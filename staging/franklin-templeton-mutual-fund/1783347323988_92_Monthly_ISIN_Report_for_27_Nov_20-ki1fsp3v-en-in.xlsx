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328"/>
  <workbookPr filterPrivacy="1" defaultThemeVersion="124226"/>
  <xr:revisionPtr revIDLastSave="0" documentId="13_ncr:1_{2C646CB2-88DE-4AFD-B3BC-1E3E0AABC26B}" xr6:coauthVersionLast="45" xr6:coauthVersionMax="45" xr10:uidLastSave="{00000000-0000-0000-0000-000000000000}"/>
  <bookViews>
    <workbookView xWindow="-110" yWindow="-110" windowWidth="19420" windowHeight="10420" xr2:uid="{00000000-000D-0000-FFFF-FFFF00000000}"/>
  </bookViews>
  <sheets>
    <sheet name="FILF" sheetId="64" r:id="rId1"/>
    <sheet name="FIONF" sheetId="65" r:id="rId2"/>
    <sheet name="FISF" sheetId="66" r:id="rId3"/>
    <sheet name="FIFRF" sheetId="67" r:id="rId4"/>
    <sheet name="FICDF" sheetId="68" r:id="rId5"/>
    <sheet name="FBPF" sheetId="69" r:id="rId6"/>
    <sheet name="FIGSF" sheetId="70" r:id="rId7"/>
    <sheet name="FIDA" sheetId="71" r:id="rId8"/>
    <sheet name="FILDF" sheetId="72" r:id="rId9"/>
    <sheet name="FIUBF" sheetId="73" r:id="rId10"/>
    <sheet name="FISTIP" sheetId="74" r:id="rId11"/>
    <sheet name="FIIOF" sheetId="75" r:id="rId12"/>
    <sheet name="FICRF" sheetId="76" r:id="rId13"/>
    <sheet name="FMPS6C" sheetId="77" r:id="rId14"/>
    <sheet name="FMPS5F" sheetId="78" r:id="rId15"/>
    <sheet name="FMPS5E" sheetId="79" r:id="rId16"/>
    <sheet name="FMPS5D" sheetId="80" r:id="rId17"/>
    <sheet name="FMPS5C" sheetId="81" r:id="rId18"/>
    <sheet name="FMPS5B" sheetId="82" r:id="rId19"/>
    <sheet name="FMPS5A" sheetId="83" r:id="rId20"/>
    <sheet name="FMPS4F" sheetId="84" r:id="rId21"/>
    <sheet name="FMPS4E" sheetId="85" r:id="rId22"/>
    <sheet name="FMPS4D" sheetId="86" r:id="rId23"/>
    <sheet name="FMPS4C" sheetId="87" r:id="rId24"/>
    <sheet name="FMPS4B" sheetId="88" r:id="rId25"/>
    <sheet name="FMPS4A" sheetId="89" r:id="rId26"/>
    <sheet name="FMPS3F" sheetId="90" r:id="rId27"/>
    <sheet name="FMPS3E" sheetId="91" r:id="rId28"/>
    <sheet name="FMPS3D" sheetId="92" r:id="rId29"/>
    <sheet name="FMPS3C" sheetId="93" r:id="rId30"/>
    <sheet name="FMPS3B" sheetId="94" r:id="rId31"/>
    <sheet name="FMPS3A" sheetId="95" r:id="rId32"/>
    <sheet name="FMPS2C" sheetId="96" r:id="rId33"/>
    <sheet name="FMPS2B" sheetId="97" r:id="rId34"/>
    <sheet name="FMPS2A" sheetId="98" r:id="rId35"/>
    <sheet name="FIPP" sheetId="99" r:id="rId36"/>
    <sheet name="FIDHY" sheetId="100" r:id="rId37"/>
    <sheet name="FIESF" sheetId="39" r:id="rId38"/>
    <sheet name="FIEHF" sheetId="40" r:id="rId39"/>
    <sheet name="TIVF" sheetId="41" r:id="rId40"/>
    <sheet name="TIEIF" sheetId="42" r:id="rId41"/>
    <sheet name="FITF" sheetId="43" r:id="rId42"/>
    <sheet name="FISCF" sheetId="44" r:id="rId43"/>
    <sheet name="FIPF" sheetId="45" r:id="rId44"/>
    <sheet name="FIOF" sheetId="46" r:id="rId45"/>
    <sheet name="FIFEF" sheetId="47" r:id="rId46"/>
    <sheet name="FIEF" sheetId="48" r:id="rId47"/>
    <sheet name="FIEAF" sheetId="49" r:id="rId48"/>
    <sheet name="FIBF" sheetId="50" r:id="rId49"/>
    <sheet name="FBIF" sheetId="51" r:id="rId50"/>
    <sheet name="FAEF" sheetId="52" r:id="rId51"/>
    <sheet name="FIIF-NSE" sheetId="53" r:id="rId52"/>
    <sheet name="FITX" sheetId="54" r:id="rId53"/>
    <sheet name="FIUS" sheetId="55" r:id="rId54"/>
    <sheet name="FEGF" sheetId="56" r:id="rId55"/>
    <sheet name="FIMAS" sheetId="57" r:id="rId56"/>
    <sheet name="FIFOF-50's+" sheetId="58" r:id="rId57"/>
    <sheet name="FIFOF-50's" sheetId="59" r:id="rId58"/>
    <sheet name="FIFOF-40's" sheetId="60" r:id="rId59"/>
    <sheet name="FIFOF-30's" sheetId="61" r:id="rId60"/>
    <sheet name="FIFOF-20's" sheetId="62" r:id="rId61"/>
    <sheet name="FF" sheetId="63" r:id="rId6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40" i="39" l="1"/>
  <c r="D77" i="39" s="1"/>
  <c r="F103" i="100" l="1"/>
  <c r="F105" i="100" s="1"/>
  <c r="E103" i="100"/>
  <c r="E105" i="100" s="1"/>
  <c r="F63" i="100"/>
  <c r="E63" i="100"/>
  <c r="F54" i="100"/>
  <c r="E54" i="100"/>
  <c r="F50" i="100"/>
  <c r="E50" i="100"/>
  <c r="F45" i="100"/>
  <c r="E45" i="100"/>
  <c r="F35" i="100"/>
  <c r="F65" i="100" s="1"/>
  <c r="E35" i="100"/>
  <c r="E65" i="100" s="1"/>
  <c r="F76" i="99"/>
  <c r="E76" i="99"/>
  <c r="F66" i="99"/>
  <c r="E66" i="99"/>
  <c r="F62" i="99"/>
  <c r="E62" i="99"/>
  <c r="F56" i="99"/>
  <c r="E56" i="99"/>
  <c r="F52" i="99"/>
  <c r="E52" i="99"/>
  <c r="F40" i="99"/>
  <c r="F80" i="99" s="1"/>
  <c r="E40" i="99"/>
  <c r="E80" i="99" s="1"/>
  <c r="F41" i="98"/>
  <c r="E41" i="98"/>
  <c r="F37" i="98"/>
  <c r="E37" i="98"/>
  <c r="F32" i="98"/>
  <c r="E32" i="98"/>
  <c r="F27" i="98"/>
  <c r="F43" i="98" s="1"/>
  <c r="E27" i="98"/>
  <c r="E43" i="98" s="1"/>
  <c r="F41" i="97"/>
  <c r="E41" i="97"/>
  <c r="F37" i="97"/>
  <c r="E37" i="97"/>
  <c r="F33" i="97"/>
  <c r="E33" i="97"/>
  <c r="F28" i="97"/>
  <c r="E28" i="97"/>
  <c r="F23" i="97"/>
  <c r="E23" i="97"/>
  <c r="F44" i="96"/>
  <c r="E44" i="96"/>
  <c r="F40" i="96"/>
  <c r="E40" i="96"/>
  <c r="F36" i="96"/>
  <c r="E36" i="96"/>
  <c r="F31" i="96"/>
  <c r="E31" i="96"/>
  <c r="F25" i="96"/>
  <c r="F48" i="96" s="1"/>
  <c r="E25" i="96"/>
  <c r="E48" i="96" s="1"/>
  <c r="F41" i="95"/>
  <c r="E41" i="95"/>
  <c r="F37" i="95"/>
  <c r="E37" i="95"/>
  <c r="F33" i="95"/>
  <c r="E33" i="95"/>
  <c r="F28" i="95"/>
  <c r="E28" i="95"/>
  <c r="F22" i="95"/>
  <c r="E22" i="95"/>
  <c r="F37" i="94"/>
  <c r="E37" i="94"/>
  <c r="F33" i="94"/>
  <c r="E33" i="94"/>
  <c r="F28" i="94"/>
  <c r="E28" i="94"/>
  <c r="F23" i="94"/>
  <c r="E23" i="94"/>
  <c r="F39" i="93"/>
  <c r="E39" i="93"/>
  <c r="F35" i="93"/>
  <c r="E35" i="93"/>
  <c r="F30" i="93"/>
  <c r="E30" i="93"/>
  <c r="F25" i="93"/>
  <c r="E25" i="93"/>
  <c r="F34" i="92"/>
  <c r="E34" i="92"/>
  <c r="F30" i="92"/>
  <c r="E30" i="92"/>
  <c r="F25" i="92"/>
  <c r="E25" i="92"/>
  <c r="F20" i="92"/>
  <c r="E20" i="92"/>
  <c r="F37" i="91"/>
  <c r="E37" i="91"/>
  <c r="F33" i="91"/>
  <c r="E33" i="91"/>
  <c r="F28" i="91"/>
  <c r="E28" i="91"/>
  <c r="F22" i="91"/>
  <c r="E22" i="91"/>
  <c r="F36" i="90"/>
  <c r="E36" i="90"/>
  <c r="F31" i="90"/>
  <c r="E31" i="90"/>
  <c r="F26" i="90"/>
  <c r="F38" i="90" s="1"/>
  <c r="E26" i="90"/>
  <c r="E38" i="90" s="1"/>
  <c r="F33" i="89"/>
  <c r="E33" i="89"/>
  <c r="F28" i="89"/>
  <c r="E28" i="89"/>
  <c r="F24" i="89"/>
  <c r="E24" i="89"/>
  <c r="E35" i="89" s="1"/>
  <c r="F35" i="88"/>
  <c r="E35" i="88"/>
  <c r="F30" i="88"/>
  <c r="E30" i="88"/>
  <c r="F26" i="88"/>
  <c r="F39" i="88" s="1"/>
  <c r="E26" i="88"/>
  <c r="F28" i="87"/>
  <c r="E28" i="87"/>
  <c r="F23" i="87"/>
  <c r="F30" i="87" s="1"/>
  <c r="E23" i="87"/>
  <c r="F27" i="86"/>
  <c r="E27" i="86"/>
  <c r="F22" i="86"/>
  <c r="E22" i="86"/>
  <c r="F17" i="86"/>
  <c r="E17" i="86"/>
  <c r="E31" i="86" s="1"/>
  <c r="F29" i="85"/>
  <c r="E29" i="85"/>
  <c r="F24" i="85"/>
  <c r="E24" i="85"/>
  <c r="F20" i="85"/>
  <c r="F31" i="85" s="1"/>
  <c r="E20" i="85"/>
  <c r="F27" i="84"/>
  <c r="E27" i="84"/>
  <c r="F23" i="84"/>
  <c r="F31" i="84" s="1"/>
  <c r="E23" i="84"/>
  <c r="F19" i="83"/>
  <c r="F21" i="83" s="1"/>
  <c r="E19" i="83"/>
  <c r="E21" i="83" s="1"/>
  <c r="F24" i="82"/>
  <c r="F26" i="82" s="1"/>
  <c r="E24" i="82"/>
  <c r="E26" i="82" s="1"/>
  <c r="F24" i="81"/>
  <c r="F26" i="81" s="1"/>
  <c r="E24" i="81"/>
  <c r="E26" i="81" s="1"/>
  <c r="F21" i="80"/>
  <c r="F23" i="80" s="1"/>
  <c r="E21" i="80"/>
  <c r="E23" i="80" s="1"/>
  <c r="F20" i="79"/>
  <c r="F22" i="79" s="1"/>
  <c r="E20" i="79"/>
  <c r="E22" i="79" s="1"/>
  <c r="F21" i="78"/>
  <c r="F23" i="78" s="1"/>
  <c r="E21" i="78"/>
  <c r="E23" i="78" s="1"/>
  <c r="F22" i="77"/>
  <c r="F24" i="77" s="1"/>
  <c r="E22" i="77"/>
  <c r="E24" i="77" s="1"/>
  <c r="F143" i="76"/>
  <c r="F145" i="76" s="1"/>
  <c r="E143" i="76"/>
  <c r="E145" i="76" s="1"/>
  <c r="F111" i="76"/>
  <c r="F113" i="76" s="1"/>
  <c r="E111" i="76"/>
  <c r="E113" i="76" s="1"/>
  <c r="F67" i="76"/>
  <c r="E67" i="76"/>
  <c r="F50" i="76"/>
  <c r="F71" i="76" s="1"/>
  <c r="E50" i="76"/>
  <c r="E69" i="76" s="1"/>
  <c r="F89" i="75"/>
  <c r="F91" i="75" s="1"/>
  <c r="E89" i="75"/>
  <c r="E91" i="75" s="1"/>
  <c r="F48" i="75"/>
  <c r="E48" i="75"/>
  <c r="F33" i="75"/>
  <c r="E33" i="75"/>
  <c r="F175" i="74"/>
  <c r="F177" i="74" s="1"/>
  <c r="E175" i="74"/>
  <c r="E177" i="74" s="1"/>
  <c r="F139" i="74"/>
  <c r="F141" i="74" s="1"/>
  <c r="E139" i="74"/>
  <c r="E141" i="74" s="1"/>
  <c r="F89" i="74"/>
  <c r="E89" i="74"/>
  <c r="F59" i="74"/>
  <c r="F93" i="74" s="1"/>
  <c r="E59" i="74"/>
  <c r="E91" i="74" s="1"/>
  <c r="F54" i="73"/>
  <c r="E54" i="73"/>
  <c r="F46" i="73"/>
  <c r="F56" i="73" s="1"/>
  <c r="E46" i="73"/>
  <c r="E58" i="73" s="1"/>
  <c r="F85" i="72"/>
  <c r="F87" i="72" s="1"/>
  <c r="E85" i="72"/>
  <c r="E89" i="72" s="1"/>
  <c r="F43" i="72"/>
  <c r="E43" i="72"/>
  <c r="F33" i="72"/>
  <c r="E33" i="72"/>
  <c r="F128" i="71"/>
  <c r="F126" i="71"/>
  <c r="E126" i="71"/>
  <c r="E128" i="71" s="1"/>
  <c r="F95" i="71"/>
  <c r="F97" i="71" s="1"/>
  <c r="E95" i="71"/>
  <c r="E99" i="71" s="1"/>
  <c r="F51" i="71"/>
  <c r="E51" i="71"/>
  <c r="F34" i="71"/>
  <c r="F55" i="71" s="1"/>
  <c r="E34" i="71"/>
  <c r="E55" i="71" s="1"/>
  <c r="F17" i="70"/>
  <c r="E17" i="70"/>
  <c r="F8" i="70"/>
  <c r="F19" i="70" s="1"/>
  <c r="E8" i="70"/>
  <c r="F58" i="69"/>
  <c r="E58" i="69"/>
  <c r="F53" i="69"/>
  <c r="E53" i="69"/>
  <c r="F49" i="69"/>
  <c r="E49" i="69"/>
  <c r="F41" i="69"/>
  <c r="F60" i="69" s="1"/>
  <c r="E41" i="69"/>
  <c r="E60" i="69" s="1"/>
  <c r="F68" i="68"/>
  <c r="E68" i="68"/>
  <c r="F64" i="68"/>
  <c r="E64" i="68"/>
  <c r="F60" i="68"/>
  <c r="E60" i="68"/>
  <c r="F55" i="68"/>
  <c r="E55" i="68"/>
  <c r="F51" i="68"/>
  <c r="F70" i="68" s="1"/>
  <c r="E51" i="68"/>
  <c r="E70" i="68" s="1"/>
  <c r="F19" i="67"/>
  <c r="E19" i="67"/>
  <c r="F11" i="67"/>
  <c r="F23" i="67" s="1"/>
  <c r="E11" i="67"/>
  <c r="E23" i="67" s="1"/>
  <c r="F33" i="66"/>
  <c r="E33" i="66"/>
  <c r="F25" i="66"/>
  <c r="F37" i="66" s="1"/>
  <c r="E25" i="66"/>
  <c r="E37" i="66" s="1"/>
  <c r="F11" i="66"/>
  <c r="F35" i="66" s="1"/>
  <c r="E11" i="66"/>
  <c r="E35" i="66" s="1"/>
  <c r="F38" i="64"/>
  <c r="E38" i="64"/>
  <c r="F33" i="64"/>
  <c r="E33" i="64"/>
  <c r="F25" i="64"/>
  <c r="E25" i="64"/>
  <c r="F16" i="64"/>
  <c r="E16" i="64"/>
  <c r="F10" i="64"/>
  <c r="F42" i="64" s="1"/>
  <c r="E10" i="64"/>
  <c r="E42" i="64" s="1"/>
  <c r="E40" i="64" l="1"/>
  <c r="E21" i="67"/>
  <c r="E19" i="70"/>
  <c r="E21" i="70"/>
  <c r="F47" i="72"/>
  <c r="F45" i="72"/>
  <c r="E46" i="96"/>
  <c r="F40" i="64"/>
  <c r="F21" i="67"/>
  <c r="E53" i="71"/>
  <c r="E97" i="71"/>
  <c r="E56" i="73"/>
  <c r="F46" i="96"/>
  <c r="F53" i="71"/>
  <c r="E130" i="71"/>
  <c r="E50" i="75"/>
  <c r="E115" i="76"/>
  <c r="F31" i="86"/>
  <c r="F35" i="89"/>
  <c r="E39" i="91"/>
  <c r="E36" i="92"/>
  <c r="E41" i="93"/>
  <c r="E39" i="94"/>
  <c r="E45" i="95"/>
  <c r="E43" i="97"/>
  <c r="E47" i="72"/>
  <c r="E45" i="72"/>
  <c r="E87" i="72"/>
  <c r="F52" i="75"/>
  <c r="E31" i="84"/>
  <c r="E31" i="85"/>
  <c r="E30" i="87"/>
  <c r="E39" i="88"/>
  <c r="E37" i="89"/>
  <c r="F37" i="89"/>
  <c r="F39" i="91"/>
  <c r="F36" i="92"/>
  <c r="F41" i="93"/>
  <c r="F39" i="94"/>
  <c r="F43" i="95"/>
  <c r="F43" i="97"/>
  <c r="E71" i="76"/>
  <c r="E78" i="99"/>
  <c r="F21" i="70"/>
  <c r="F45" i="95"/>
  <c r="E72" i="68"/>
  <c r="E62" i="69"/>
  <c r="F58" i="73"/>
  <c r="F91" i="74"/>
  <c r="E179" i="74"/>
  <c r="F50" i="75"/>
  <c r="E26" i="77"/>
  <c r="E25" i="78"/>
  <c r="E24" i="79"/>
  <c r="E25" i="80"/>
  <c r="E28" i="81"/>
  <c r="E28" i="82"/>
  <c r="E23" i="83"/>
  <c r="E29" i="84"/>
  <c r="E33" i="85"/>
  <c r="E32" i="87"/>
  <c r="E40" i="90"/>
  <c r="E41" i="91"/>
  <c r="E38" i="92"/>
  <c r="E43" i="93"/>
  <c r="E41" i="94"/>
  <c r="E43" i="95"/>
  <c r="E45" i="97"/>
  <c r="E45" i="98"/>
  <c r="E67" i="100"/>
  <c r="E29" i="86"/>
  <c r="F29" i="86"/>
  <c r="F37" i="88"/>
  <c r="F72" i="68"/>
  <c r="F62" i="69"/>
  <c r="E93" i="74"/>
  <c r="E143" i="74"/>
  <c r="E52" i="75"/>
  <c r="E93" i="75"/>
  <c r="F69" i="76"/>
  <c r="E147" i="76"/>
  <c r="F26" i="77"/>
  <c r="F25" i="78"/>
  <c r="F24" i="79"/>
  <c r="F25" i="80"/>
  <c r="F28" i="81"/>
  <c r="F28" i="82"/>
  <c r="F23" i="83"/>
  <c r="F29" i="84"/>
  <c r="F33" i="85"/>
  <c r="F32" i="87"/>
  <c r="F40" i="90"/>
  <c r="F41" i="91"/>
  <c r="F38" i="92"/>
  <c r="F43" i="93"/>
  <c r="F41" i="94"/>
  <c r="F45" i="97"/>
  <c r="F45" i="98"/>
  <c r="F67" i="100"/>
  <c r="F78" i="99"/>
  <c r="E37" i="88"/>
  <c r="E9" i="58" l="1"/>
  <c r="E11" i="58" s="1"/>
  <c r="D9" i="58"/>
  <c r="D13" i="58" s="1"/>
  <c r="E13" i="58" l="1"/>
  <c r="D11" i="58"/>
  <c r="E10" i="63" l="1"/>
  <c r="E14" i="63" s="1"/>
  <c r="D10" i="63"/>
  <c r="D14" i="63" s="1"/>
  <c r="E13" i="62"/>
  <c r="E17" i="62"/>
  <c r="D13" i="62"/>
  <c r="D15" i="62" s="1"/>
  <c r="D17" i="62"/>
  <c r="E13" i="61"/>
  <c r="E15" i="61" s="1"/>
  <c r="D13" i="61"/>
  <c r="D17" i="61" s="1"/>
  <c r="E13" i="60"/>
  <c r="E17" i="60" s="1"/>
  <c r="D13" i="60"/>
  <c r="D17" i="60"/>
  <c r="E12" i="59"/>
  <c r="E16" i="59" s="1"/>
  <c r="D12" i="59"/>
  <c r="D16" i="59" s="1"/>
  <c r="E11" i="57"/>
  <c r="E15" i="57" s="1"/>
  <c r="D11" i="57"/>
  <c r="D15" i="57" s="1"/>
  <c r="E7" i="56"/>
  <c r="E11" i="56" s="1"/>
  <c r="D7" i="56"/>
  <c r="D11" i="56" s="1"/>
  <c r="E7" i="55"/>
  <c r="E9" i="55" s="1"/>
  <c r="D7" i="55"/>
  <c r="D11" i="55" s="1"/>
  <c r="F66" i="54"/>
  <c r="F68" i="54"/>
  <c r="E66" i="54"/>
  <c r="F60" i="54"/>
  <c r="E60" i="54"/>
  <c r="E70" i="54" s="1"/>
  <c r="F58" i="53"/>
  <c r="F60" i="53" s="1"/>
  <c r="E58" i="53"/>
  <c r="E62" i="53"/>
  <c r="F65" i="52"/>
  <c r="F67" i="52" s="1"/>
  <c r="E65" i="52"/>
  <c r="F19" i="52"/>
  <c r="E19" i="52"/>
  <c r="E69" i="52" s="1"/>
  <c r="F37" i="51"/>
  <c r="F41" i="51" s="1"/>
  <c r="F39" i="51"/>
  <c r="E37" i="51"/>
  <c r="E41" i="51"/>
  <c r="F32" i="50"/>
  <c r="F34" i="50" s="1"/>
  <c r="E32" i="50"/>
  <c r="E36" i="50"/>
  <c r="F63" i="49"/>
  <c r="F59" i="49"/>
  <c r="F61" i="49"/>
  <c r="E59" i="49"/>
  <c r="E63" i="49" s="1"/>
  <c r="F61" i="48"/>
  <c r="E61" i="48"/>
  <c r="F55" i="48"/>
  <c r="F65" i="48" s="1"/>
  <c r="E55" i="48"/>
  <c r="E65" i="48"/>
  <c r="F34" i="47"/>
  <c r="F38" i="47" s="1"/>
  <c r="E34" i="47"/>
  <c r="E38" i="47"/>
  <c r="F49" i="46"/>
  <c r="F51" i="46" s="1"/>
  <c r="E49" i="46"/>
  <c r="F42" i="46"/>
  <c r="E42" i="46"/>
  <c r="E53" i="46" s="1"/>
  <c r="F61" i="45"/>
  <c r="E61" i="45"/>
  <c r="F57" i="45"/>
  <c r="F65" i="45" s="1"/>
  <c r="E57" i="45"/>
  <c r="E65" i="45"/>
  <c r="F70" i="44"/>
  <c r="F74" i="44" s="1"/>
  <c r="E70" i="44"/>
  <c r="E72" i="44" s="1"/>
  <c r="F41" i="43"/>
  <c r="E41" i="43"/>
  <c r="F37" i="43"/>
  <c r="E37" i="43"/>
  <c r="E45" i="43" s="1"/>
  <c r="F22" i="43"/>
  <c r="E22" i="43"/>
  <c r="F18" i="43"/>
  <c r="F45" i="43"/>
  <c r="E18" i="43"/>
  <c r="F62" i="42"/>
  <c r="E62" i="42"/>
  <c r="F50" i="42"/>
  <c r="F66" i="42" s="1"/>
  <c r="E50" i="42"/>
  <c r="E64" i="42" s="1"/>
  <c r="F46" i="42"/>
  <c r="E46" i="42"/>
  <c r="F41" i="41"/>
  <c r="F45" i="41" s="1"/>
  <c r="E41" i="41"/>
  <c r="E45" i="41" s="1"/>
  <c r="F78" i="40"/>
  <c r="E78" i="40"/>
  <c r="F70" i="40"/>
  <c r="E70" i="40"/>
  <c r="F66" i="40"/>
  <c r="E66" i="40"/>
  <c r="F61" i="40"/>
  <c r="E61" i="40"/>
  <c r="F57" i="40"/>
  <c r="E57" i="40"/>
  <c r="F46" i="40"/>
  <c r="E46" i="40"/>
  <c r="E80" i="40"/>
  <c r="F41" i="40"/>
  <c r="F80" i="40" s="1"/>
  <c r="E41" i="40"/>
  <c r="E82" i="40"/>
  <c r="F50" i="39"/>
  <c r="E50" i="39"/>
  <c r="F45" i="39"/>
  <c r="E45" i="39"/>
  <c r="F40" i="39"/>
  <c r="E40" i="39"/>
  <c r="E15" i="62"/>
  <c r="D15" i="61"/>
  <c r="D15" i="60"/>
  <c r="D14" i="59"/>
  <c r="D13" i="57"/>
  <c r="E13" i="57"/>
  <c r="D9" i="56"/>
  <c r="F70" i="54"/>
  <c r="E60" i="53"/>
  <c r="E39" i="51"/>
  <c r="E34" i="50"/>
  <c r="E63" i="48"/>
  <c r="E36" i="47"/>
  <c r="F36" i="47"/>
  <c r="E63" i="45"/>
  <c r="F63" i="45"/>
  <c r="F72" i="44"/>
  <c r="F43" i="43"/>
  <c r="E74" i="44" l="1"/>
  <c r="F43" i="41"/>
  <c r="F64" i="42"/>
  <c r="F53" i="46"/>
  <c r="F36" i="50"/>
  <c r="F69" i="52"/>
  <c r="E66" i="42"/>
  <c r="E43" i="43"/>
  <c r="F63" i="48"/>
  <c r="E9" i="56"/>
  <c r="E55" i="39"/>
  <c r="F82" i="40"/>
  <c r="E43" i="41"/>
  <c r="E68" i="54"/>
  <c r="E11" i="55"/>
  <c r="E51" i="46"/>
  <c r="E67" i="52"/>
  <c r="F52" i="39"/>
  <c r="F55" i="39"/>
  <c r="E61" i="49"/>
  <c r="F62" i="53"/>
  <c r="E52" i="39"/>
  <c r="D9" i="55"/>
  <c r="E14" i="59"/>
  <c r="E15" i="60"/>
  <c r="E17" i="61"/>
  <c r="E12" i="63"/>
  <c r="D12" i="63"/>
</calcChain>
</file>

<file path=xl/sharedStrings.xml><?xml version="1.0" encoding="utf-8"?>
<sst xmlns="http://schemas.openxmlformats.org/spreadsheetml/2006/main" count="7567" uniqueCount="1536">
  <si>
    <t>Name of the Instrument</t>
  </si>
  <si>
    <t>Quantity</t>
  </si>
  <si>
    <t>ISIN Number</t>
  </si>
  <si>
    <t xml:space="preserve">Market Value(Rs. in Lakhs) </t>
  </si>
  <si>
    <t>% to Net Assets</t>
  </si>
  <si>
    <t>Industry Classification / Rating</t>
  </si>
  <si>
    <t>YTM</t>
  </si>
  <si>
    <t>Portfolio Statement as on November 27, 2020</t>
  </si>
  <si>
    <t>Franklin India Ultra Short Bond Fund - (No. of segregated Portfolio in the scheme -1) - (under winding up)</t>
  </si>
  <si>
    <t>Franklin India Short-Term Income Plan (No. of segregated Portfolios in the scheme - 3) - (under winding up)</t>
  </si>
  <si>
    <t>Franklin India Savings Fund</t>
  </si>
  <si>
    <t>Franklin India Low Duration Fund (No. of segregated Portfolio in the scheme -2) - (under winding up)</t>
  </si>
  <si>
    <t>Franklin India Income Opportunities Fund (No. of segregated Portfolio in the scheme - 2) - (under winding up)</t>
  </si>
  <si>
    <t>Franklin India Government Securities Fund</t>
  </si>
  <si>
    <t>Franklin India Floating Rate Fund</t>
  </si>
  <si>
    <t>Franklin India Dynamic Accrual Fund (No. of segregated Portfolios in the scheme - 3) - (under winding up)</t>
  </si>
  <si>
    <t>Franklin India Credit Risk Fund (No. of segregated Portfolios in the scheme -3) - (under winding up)</t>
  </si>
  <si>
    <t>Franklin India Corporate Debt Fund</t>
  </si>
  <si>
    <t>Franklin India Banking &amp; PSU Debt Fund</t>
  </si>
  <si>
    <t>Franklin India Overnight Fund</t>
  </si>
  <si>
    <t>Franklin India Liquid Fund</t>
  </si>
  <si>
    <t>Franklin India Fixed Maturity Plans-Series 6 – Plan C  (1169 days)</t>
  </si>
  <si>
    <t>Franklin India Fixed Maturity Plans-Series 5 – Plan F (1203 days)</t>
  </si>
  <si>
    <t>Franklin India Fixed Maturity Plans-Series 5 – Plan E (1224 days)</t>
  </si>
  <si>
    <t>Franklin India Fixed Maturity Plans – Series 5 – Plan D (1238 days)</t>
  </si>
  <si>
    <t>Franklin India Fixed Maturity Plans - Series 5 -Plan C (1259 Days)</t>
  </si>
  <si>
    <t>Franklin India Fixed Maturity Plans – Series 5 - Plan B (1244 days)</t>
  </si>
  <si>
    <t>Franklin India Fixed Maturity Plans - Series 5 - Plan A (1273 days)</t>
  </si>
  <si>
    <t>Franklin India Fixed Maturity Plans - Series 4 - Plan F (1286 Days)</t>
  </si>
  <si>
    <t>Franklin India Fixed Maturity Plans - Series 4 - Plan E (1098 days)</t>
  </si>
  <si>
    <t>Franklin India Fixed Maturity Plans - Series 4 - Plan D (1098 Days)</t>
  </si>
  <si>
    <t>Franklin India Fixed Maturity Plans - Series 4 - Plan C (1098 Days)</t>
  </si>
  <si>
    <t>Franklin India Fixed Maturity Plans - Series 4 - Plan B (1098 days)</t>
  </si>
  <si>
    <t>Franklin India Fixed Maturity Plans-Series 4 - Plan A (1098 Days)</t>
  </si>
  <si>
    <t>Franklin India Fixed Maturity Plans - Series 3 - Plan F (1098 days)</t>
  </si>
  <si>
    <t>Franklin India Fixed Maturity Plans - Series 3 - Plan E (1104 Days)</t>
  </si>
  <si>
    <t>Franklin India Fixed Maturity Plans - Series 3 - Plan D (1132 Days)</t>
  </si>
  <si>
    <t>Franklin India Fixed Maturity Plans - Series 3 - Plan C (1132 Days)</t>
  </si>
  <si>
    <t>Franklin India Fixed Maturity Plans - Series 3 - Plan B (1139 Days)</t>
  </si>
  <si>
    <t>Franklin India Fixed Maturity Plans-Series 3-Plan A (1157 Days)</t>
  </si>
  <si>
    <t>Franklin India Fixed Maturity Plans- Series 2 - Plan C (1205 Days)</t>
  </si>
  <si>
    <t>Franklin India Fixed Maturity Plans - Series 2 - Plan B (1224 Days)</t>
  </si>
  <si>
    <t>Franklin India Fixed Maturity Plans - Series 2- Plan A (1224 Days)</t>
  </si>
  <si>
    <t>Franklin India Pension Plan</t>
  </si>
  <si>
    <t>Franklin India Debt Hybrid Fund (No. of segregated Portfolio in the scheme - 1)</t>
  </si>
  <si>
    <t>Franklin India Equity Savings Fund</t>
  </si>
  <si>
    <t>Franklin India Equity Hybrid Fund</t>
  </si>
  <si>
    <t>Templeton India Value Fund</t>
  </si>
  <si>
    <t>Templeton India Equity Income Fund</t>
  </si>
  <si>
    <t>Franklin India Technology Fund</t>
  </si>
  <si>
    <t>Franklin India Smaller Companies Fund</t>
  </si>
  <si>
    <t>Franklin India Prima Fund</t>
  </si>
  <si>
    <t>Franklin India Opportunities Fund</t>
  </si>
  <si>
    <t>Franklin India Focused Equity Fund</t>
  </si>
  <si>
    <t>Franklin India Equity Fund</t>
  </si>
  <si>
    <t>Franklin India Equity Advantage Fund</t>
  </si>
  <si>
    <t>Franklin India Bluechip Fund</t>
  </si>
  <si>
    <t>Franklin Build India Fund</t>
  </si>
  <si>
    <t>Franklin Asian Equity Fund</t>
  </si>
  <si>
    <t>Franklin India Index Fund NSE Nifty Plan</t>
  </si>
  <si>
    <t>Franklin India TAXSHIELD</t>
  </si>
  <si>
    <t>Franklin India Feeder - Franklin U.S. Opportunities Fund</t>
  </si>
  <si>
    <t>Franklin India Multi-Asset Solution Fund</t>
  </si>
  <si>
    <t>Franklin India Life Stage Fund Of Funds - 50's Plus Floating Rate Plan</t>
  </si>
  <si>
    <t>Franklin India Life Stage Fund Of Funds - 50's Plus Plan</t>
  </si>
  <si>
    <t>Franklin India Life Stage Fund Of Funds - 40's Plan</t>
  </si>
  <si>
    <t>Franklin India Life Stage Fund Of Funds - 30's Plan</t>
  </si>
  <si>
    <t>Franklin India Life Stage Fund Of Funds - 20's Plan</t>
  </si>
  <si>
    <t>Franklin India Dynamic Asset Allocation Fund Of Funds</t>
  </si>
  <si>
    <t>Debt Instruments</t>
  </si>
  <si>
    <t>(a) Listed / awaiting listing on Stock Exchanges</t>
  </si>
  <si>
    <t>JM Financial Credit Solutions Ltd (1Y SBI MCLR + 460 Bps) (23-Jul-2024) **</t>
  </si>
  <si>
    <t>INE651J07739</t>
  </si>
  <si>
    <t>ICRA AA</t>
  </si>
  <si>
    <t>Indostar Capital Finance Ltd (1Y SBI MCLR + 200 Bps) (02-May-2023) **</t>
  </si>
  <si>
    <t>INE896L07561</t>
  </si>
  <si>
    <t>CARE AA-</t>
  </si>
  <si>
    <t>Edelweiss Rural &amp; Corporate Services Ltd (1Y SBI MCLR + 250 Bps) (29-Nov-2021) **</t>
  </si>
  <si>
    <t>INE657N07597</t>
  </si>
  <si>
    <t>ICRA A+</t>
  </si>
  <si>
    <t>Edelweiss Rural &amp; Corporate Services Ltd (1Y SBI MCLR + 250 Bps) (29-Nov-2021) - Series II **</t>
  </si>
  <si>
    <t>INE657N07605</t>
  </si>
  <si>
    <t>CRISIL AA-</t>
  </si>
  <si>
    <t>Indostar Capital Finance Ltd (1Y SBI MCLR + 325 Bps) (02-Nov-2021) **</t>
  </si>
  <si>
    <t>INE896L07660</t>
  </si>
  <si>
    <t>9.60% Piramal Enterprises Ltd (06-May-2022) **</t>
  </si>
  <si>
    <t>INE140A07567</t>
  </si>
  <si>
    <t>CARE AA</t>
  </si>
  <si>
    <t>0.00% Tata Realty &amp; Infrastructure Ltd (04-Jun-2021) **</t>
  </si>
  <si>
    <t>INE371K08128</t>
  </si>
  <si>
    <t>11.25% Clix Capital Services Pvt Ltd (27-Jun-2023) **</t>
  </si>
  <si>
    <t>INE157D08027</t>
  </si>
  <si>
    <t>CARE A+</t>
  </si>
  <si>
    <t>11.25% Clix Capital Services Pvt Ltd (25-May-2023) **</t>
  </si>
  <si>
    <t>INE157D08019</t>
  </si>
  <si>
    <t>8.47% PNB Housing Finance Ltd (01-Jul-2021) **</t>
  </si>
  <si>
    <t>INE572E09361</t>
  </si>
  <si>
    <t>13.65% Clix Capital Services Pvt Ltd (06-Jul-2021) **</t>
  </si>
  <si>
    <t>INE157D08068</t>
  </si>
  <si>
    <t>13.65% Clix Capital Services Pvt Ltd (06-May-2021) **</t>
  </si>
  <si>
    <t>INE157D08050</t>
  </si>
  <si>
    <t>13.65% Clix Capital Services Pvt Ltd (06-Sep-2021) **</t>
  </si>
  <si>
    <t>INE157D08035</t>
  </si>
  <si>
    <t>7.63% PNB Housing Finance Ltd (15-Dec-2020) **</t>
  </si>
  <si>
    <t>INE572E09452</t>
  </si>
  <si>
    <t>7.80% PNB Housing Finance Ltd (07-May-2021) **</t>
  </si>
  <si>
    <t>INE572E09429</t>
  </si>
  <si>
    <t>10.15% Uttar Pradesh Power Corporation Ltd (20-Jan-2022) **</t>
  </si>
  <si>
    <t>INE540P07293</t>
  </si>
  <si>
    <t>CRISIL A+(CE)</t>
  </si>
  <si>
    <t>13.65% Clix Capital Services Pvt Ltd (12-Nov-2021) **</t>
  </si>
  <si>
    <t>INE157D08043</t>
  </si>
  <si>
    <t>Northern ARC Capital Ltd (6M SBI MCLR + 305 Bps) Series B (16-Jul-2021) **</t>
  </si>
  <si>
    <t>INE850M08069</t>
  </si>
  <si>
    <t>Northern ARC Capital Ltd (6M SBI MCLR + 305 Bps) Series C (16-Jul-2021) **</t>
  </si>
  <si>
    <t>INE850M08077</t>
  </si>
  <si>
    <t>11.75% AU Small Finance Bank Ltd (04-May-2021) **</t>
  </si>
  <si>
    <t>INE949L08152</t>
  </si>
  <si>
    <t>IND AA-</t>
  </si>
  <si>
    <t>11.80% Tata Steel Ltd (18-Mar-2021) **</t>
  </si>
  <si>
    <t>INE081A08165</t>
  </si>
  <si>
    <t>9.23% Talwandi Sabo Power Ltd (30-Jul-2021) **</t>
  </si>
  <si>
    <t>INE694L07123</t>
  </si>
  <si>
    <t>CRISIL AA-(CE)</t>
  </si>
  <si>
    <t>11.40% Tata Power Co Ltd (02-Jun-2021) **</t>
  </si>
  <si>
    <t>INE245A08034</t>
  </si>
  <si>
    <t>10.15% Uttar Pradesh Power Corporation Ltd (20-Jan-2021) **</t>
  </si>
  <si>
    <t>INE540P07285</t>
  </si>
  <si>
    <t>Northern ARC Capital Ltd (6M SBI MCLR + 305 Bps) Series A (16-Jul-2021) **</t>
  </si>
  <si>
    <t>INE850M08051</t>
  </si>
  <si>
    <t>8.55% Shriram Transport Finance Co Ltd (21-May-2021) **</t>
  </si>
  <si>
    <t>INE721A07NI6</t>
  </si>
  <si>
    <t>CRISIL AA+</t>
  </si>
  <si>
    <t>7.58% PNB Housing Finance Ltd (15-Mar-2021) **</t>
  </si>
  <si>
    <t>INE572E09569</t>
  </si>
  <si>
    <t>10.75% The Tata Power Co Ltd (21-Aug-2022) **</t>
  </si>
  <si>
    <t>INE245A08042</t>
  </si>
  <si>
    <t>CRISIL AA</t>
  </si>
  <si>
    <t>7.40% Tata Motors Ltd (29-Jun-2021) **</t>
  </si>
  <si>
    <t>INE155A08365</t>
  </si>
  <si>
    <t>9.70% Xander Finance Pvt Ltd (15-Mar-2021) **</t>
  </si>
  <si>
    <t>INE252T07040</t>
  </si>
  <si>
    <t>9.10% Shriram Transport Finance Co Ltd (12-Jul-2021) **</t>
  </si>
  <si>
    <t>INE721A07NV9</t>
  </si>
  <si>
    <t>11.30% Hinduja Leyland Finance Ltd (21-Jul-2021) **</t>
  </si>
  <si>
    <t>INE146O08084</t>
  </si>
  <si>
    <t>ICRA AA-</t>
  </si>
  <si>
    <t>9.70% Xander Finance Pvt Ltd (30-Apr-2021) **</t>
  </si>
  <si>
    <t>INE252T07057</t>
  </si>
  <si>
    <t>12.00% Vivriti Capital Pvt Ltd (19-Mar-2021) **</t>
  </si>
  <si>
    <t>INE01HV07015</t>
  </si>
  <si>
    <t>ICRA A-</t>
  </si>
  <si>
    <t>9.99% India Shelter Finance Corporation Ltd (10-Feb-2022) **</t>
  </si>
  <si>
    <t>INE922K07013</t>
  </si>
  <si>
    <t>ICRA A</t>
  </si>
  <si>
    <t>10.15% Uttar Pradesh Power Corporation Ltd (20-Jan-2023) **</t>
  </si>
  <si>
    <t>INE540P07301</t>
  </si>
  <si>
    <t>8.70% Edelweiss Rural &amp; Corporate Services Ltd (30-Jun-2027) **</t>
  </si>
  <si>
    <t>INE616U07036</t>
  </si>
  <si>
    <t>7.50% Tata Motors Ltd (20-Oct-2021) **</t>
  </si>
  <si>
    <t>INE155A08316</t>
  </si>
  <si>
    <t>10.25% Sikka Ports &amp; Terminals Ltd (22-Aug-2021) **</t>
  </si>
  <si>
    <t>INE941D08065</t>
  </si>
  <si>
    <t>CRISIL AAA</t>
  </si>
  <si>
    <t>Sub Total</t>
  </si>
  <si>
    <t>(b) Privately Placed / Unlisted</t>
  </si>
  <si>
    <t>0.00% Bharti Telecom Ltd (19-Feb-2021) **</t>
  </si>
  <si>
    <t>INE403D08025</t>
  </si>
  <si>
    <t>0.00% Hero Wind Energy Pvt Ltd (08-Feb-2022) **</t>
  </si>
  <si>
    <t>INE918T07020</t>
  </si>
  <si>
    <t>13.65% Clix Finance India Pvt Ltd (06-Jan-2022) **</t>
  </si>
  <si>
    <t>INE587B08037</t>
  </si>
  <si>
    <t>11.96% Renew Power Pvt Ltd (28-Sep-2022) **</t>
  </si>
  <si>
    <t>INE003S07155</t>
  </si>
  <si>
    <t>0.00% KKR India Financial Services Pvt Ltd (10-Mar-2021) **</t>
  </si>
  <si>
    <t>INE321N07244</t>
  </si>
  <si>
    <t>Total</t>
  </si>
  <si>
    <t>Net Assets</t>
  </si>
  <si>
    <t>Call, Cash &amp; Other Assets</t>
  </si>
  <si>
    <t>Rating</t>
  </si>
  <si>
    <t>** Non- Traded Scrips</t>
  </si>
  <si>
    <t>Notes</t>
  </si>
  <si>
    <t>a) NAV at the beginning and at the end of the Half-year ended 27-Nov-2020</t>
  </si>
  <si>
    <t xml:space="preserve">      Plan/Option</t>
  </si>
  <si>
    <t>As on 27-Nov-2020</t>
  </si>
  <si>
    <t>As on 29-May-2020</t>
  </si>
  <si>
    <t xml:space="preserve">      Retail Plan Growth Option</t>
  </si>
  <si>
    <t xml:space="preserve">      Retail Plan Daily Dividend Option</t>
  </si>
  <si>
    <t xml:space="preserve">      Retail Plan Weekly Dividend Option</t>
  </si>
  <si>
    <t xml:space="preserve">      Institutional Plan Growth Option</t>
  </si>
  <si>
    <t xml:space="preserve">      Institutional Plan Daily Dividend Option</t>
  </si>
  <si>
    <t xml:space="preserve">      Super Institutional Plan Growth Option</t>
  </si>
  <si>
    <t xml:space="preserve">      Super Institutional Plan Daily Dividend Option</t>
  </si>
  <si>
    <t xml:space="preserve">      Super Institutional Plan Weekly Dividend Option</t>
  </si>
  <si>
    <t xml:space="preserve">      Direct Super Institutional Plan Growth Option</t>
  </si>
  <si>
    <t xml:space="preserve">      Direct Super Institutional Plan Daily Dividend Option</t>
  </si>
  <si>
    <t xml:space="preserve">      Direct Super Institutional Plan Weekly Dividend Option</t>
  </si>
  <si>
    <t>b) Aggregate Dividends declared during the Half - year ended 27-Nov-2020</t>
  </si>
  <si>
    <t>Nil</t>
  </si>
  <si>
    <t>c) Average Maturity as on 27-Nov-2020</t>
  </si>
  <si>
    <t>(In Years)</t>
  </si>
  <si>
    <t xml:space="preserve">d) During the month additional instances of fair valuation/deviation from valuation price provided by the valuation agencies </t>
  </si>
  <si>
    <t>Main Portfolio</t>
  </si>
  <si>
    <t>10.25% Shriram Transport Finance Co Ltd (26-Apr-2024) **</t>
  </si>
  <si>
    <t>INE721A08DC8</t>
  </si>
  <si>
    <t>9.50% Piramal Capital &amp; Housing Finance Ltd (15-Apr-2022) **</t>
  </si>
  <si>
    <t>INE516Y07105</t>
  </si>
  <si>
    <t>10.32% Andhra Pradesh Capital Region Development Authority (16-Aug-2025) **</t>
  </si>
  <si>
    <t>INE01E708024</t>
  </si>
  <si>
    <t>10.32% Andhra Pradesh Capital Region Development Authority (16-Aug-2024) **</t>
  </si>
  <si>
    <t>INE01E708016</t>
  </si>
  <si>
    <t>9.90% Shriram Transport Finance Co Ltd (21-Jun-2024) **</t>
  </si>
  <si>
    <t>INE721A08DF1</t>
  </si>
  <si>
    <t>10.00% Aptus Value Housing Finance India Ltd (20-Aug-2025) **</t>
  </si>
  <si>
    <t>INE852O07097</t>
  </si>
  <si>
    <t>7.91% PNB Housing Finance Ltd (29-Mar-2022) **</t>
  </si>
  <si>
    <t>INE572E09403</t>
  </si>
  <si>
    <t>8.50% Vedanta Ltd (05-Apr-2021) **</t>
  </si>
  <si>
    <t>INE205A07139</t>
  </si>
  <si>
    <t>INE657N07381</t>
  </si>
  <si>
    <t>10.00% Aptus Value Housing Finance India Ltd (20-Jul-2025) **</t>
  </si>
  <si>
    <t>INE852O07089</t>
  </si>
  <si>
    <t>10.15% Uttar Pradesh Power Corporation Ltd (19-Jan-2024) **</t>
  </si>
  <si>
    <t>INE540P07319</t>
  </si>
  <si>
    <t>10.15% Uttar Pradesh Power Corporation Ltd (20-Jan-2025) **</t>
  </si>
  <si>
    <t>INE540P07327</t>
  </si>
  <si>
    <t>10.15% Uttar Pradesh Power Corporation Ltd (20-Jan-2026) **</t>
  </si>
  <si>
    <t>INE540P07335</t>
  </si>
  <si>
    <t>10.50% Vistaar Financial Services Pvt Ltd (24-Aug-2025) **</t>
  </si>
  <si>
    <t>INE016P07146</t>
  </si>
  <si>
    <t>11.60% Hinduja Leyland Finance Ltd (29-Sep-2024) **</t>
  </si>
  <si>
    <t>INE146O08159</t>
  </si>
  <si>
    <t>9.90% Coastal Gujarat Power Ltd (25-Aug-2028) **</t>
  </si>
  <si>
    <t>INE295J08022</t>
  </si>
  <si>
    <t>CARE AA(CE)</t>
  </si>
  <si>
    <t>12.00% Ess Kay Fincorp Ltd (01-Aug-2023) **</t>
  </si>
  <si>
    <t>INE124N07309</t>
  </si>
  <si>
    <t>CRISIL A</t>
  </si>
  <si>
    <t>10.32% Andhra Pradesh Capital Region Development Authority (16-Aug-2026) **</t>
  </si>
  <si>
    <t>INE01E708032</t>
  </si>
  <si>
    <t>11.50% Hinduja Leyland Finance Ltd (31-May-2021) **</t>
  </si>
  <si>
    <t>INE146O08068</t>
  </si>
  <si>
    <t>9.75% Uttar Pradesh Power Corporation Ltd (20-Oct-2021) **</t>
  </si>
  <si>
    <t>INE540P07202</t>
  </si>
  <si>
    <t>9.95% Vastu Housing Finance Corporation Ltd Series A (27-Feb-2025) **</t>
  </si>
  <si>
    <t>INE459T07025</t>
  </si>
  <si>
    <t>BWR A+</t>
  </si>
  <si>
    <t>10.90% Punjab &amp; Sind Bank (07-May-2022) **</t>
  </si>
  <si>
    <t>INE608A08025</t>
  </si>
  <si>
    <t>CARE A</t>
  </si>
  <si>
    <t>10.21% Five-Star Business Finance Ltd Series C (28-Mar-2023) **</t>
  </si>
  <si>
    <t>INE128S07333</t>
  </si>
  <si>
    <t>9.18% Vedanta Ltd (02-Jul-2021) **</t>
  </si>
  <si>
    <t>INE205A07154</t>
  </si>
  <si>
    <t>11.50% JM Financial Asset Reconstruction Co Ltd (29-May-2022) **</t>
  </si>
  <si>
    <t>INE265J07316</t>
  </si>
  <si>
    <t>11.10% Hinduja Leyland Finance Ltd (08-Apr-2022) **</t>
  </si>
  <si>
    <t>INE146O08092</t>
  </si>
  <si>
    <t>9.85% DCB Bank Ltd (18-Nov-2026) **</t>
  </si>
  <si>
    <t>INE503A08028</t>
  </si>
  <si>
    <t>12.00% Hinduja Leyland Finance Ltd (28-Mar-2021) **</t>
  </si>
  <si>
    <t>INE146O08027</t>
  </si>
  <si>
    <t>8.90% Vedanta Ltd (09-Dec-2021) **</t>
  </si>
  <si>
    <t>INE205A07162</t>
  </si>
  <si>
    <t>10.15% Uttar Pradesh Power Corporation Ltd (20-Jan-2027) **</t>
  </si>
  <si>
    <t>INE540P07343</t>
  </si>
  <si>
    <t>10.15% Uttar Pradesh Power Corporation Ltd (20-Jan-2028) **</t>
  </si>
  <si>
    <t>INE540P07350</t>
  </si>
  <si>
    <t>8.50% Bank of Baroda (02-Dec-2021) **</t>
  </si>
  <si>
    <t>INE028A08083</t>
  </si>
  <si>
    <t>10.00% Aptus Value Housing Finance India Ltd (24-Jan-2025) **</t>
  </si>
  <si>
    <t>INE852O07055</t>
  </si>
  <si>
    <t>10.21% Five-Star Business Finance Ltd Series A (28-Mar-2023) **</t>
  </si>
  <si>
    <t>INE128S07317</t>
  </si>
  <si>
    <t>9.30% Fullerton India Credit Co Ltd (15-Mar-2021) **</t>
  </si>
  <si>
    <t>INE535H07AU7</t>
  </si>
  <si>
    <t>0.00% Mahindra &amp; Mahindra Financial Services Ltd (07-Apr-2021) **</t>
  </si>
  <si>
    <t>INE774D07RY7</t>
  </si>
  <si>
    <t>IND AAA</t>
  </si>
  <si>
    <t>8.39% National Bank For Agriculture &amp; Rural Development (19-Jul-2021) **</t>
  </si>
  <si>
    <t>INE261F08AL1</t>
  </si>
  <si>
    <t>8.32% Reliance Industries Ltd (08-Jul-2021) **</t>
  </si>
  <si>
    <t>INE110L07070</t>
  </si>
  <si>
    <t>11.90% Vishal Mega Mart Pvt Ltd (20-Oct-2023) **</t>
  </si>
  <si>
    <t>INE01EA07016</t>
  </si>
  <si>
    <t>IND A+</t>
  </si>
  <si>
    <t>9.45% Renew Power Pvt Ltd (31-Jul-2025) **</t>
  </si>
  <si>
    <t>INE003S07189</t>
  </si>
  <si>
    <t>12.50% S. D. Corporation Pvt Ltd (03-Jun-2022) **</t>
  </si>
  <si>
    <t>INE660N07047</t>
  </si>
  <si>
    <t>CARE A+(CE)</t>
  </si>
  <si>
    <t>10.25% Star Health &amp; Allied Insurance Co Ltd (06-Sep-2024) **</t>
  </si>
  <si>
    <t>INE575P08016</t>
  </si>
  <si>
    <t>9.60% Narmada Wind Energy Pvt Ltd (31-Mar-2023) **</t>
  </si>
  <si>
    <t>INE209W07010</t>
  </si>
  <si>
    <t>9.60% Renew Wind Energy (Rajasthan One) Pvt Ltd (31-Mar-2023) **</t>
  </si>
  <si>
    <t>INE964Q07012</t>
  </si>
  <si>
    <t>12.50% S D Corporation Pvt Ltd (03-Jun-2022) **</t>
  </si>
  <si>
    <t>INE660N07062</t>
  </si>
  <si>
    <t>9.95% Molagavalli Renewable Pvt Ltd (31-Mar-2023) **</t>
  </si>
  <si>
    <t>INE659X07014</t>
  </si>
  <si>
    <t>11.70% Svatantra Microfin Pvt Ltd (30-Nov-2023) **</t>
  </si>
  <si>
    <t>INE00MX08011</t>
  </si>
  <si>
    <t>9.95% Narmada Wind Energy Pvt Ltd (31-Mar-2023) **</t>
  </si>
  <si>
    <t>INE209W07028</t>
  </si>
  <si>
    <t>8.01% Tata Sons Pvt Ltd (02-Sep-2021) **</t>
  </si>
  <si>
    <t>INE895D08634</t>
  </si>
  <si>
    <t>14.15% Future Ideas Co Ltd (31-Jan-2022) $$ @@@ **</t>
  </si>
  <si>
    <t>INE080T07102</t>
  </si>
  <si>
    <t>BWR D(CE)</t>
  </si>
  <si>
    <t>14.15% Future Ideas Co Ltd (31-Jan-2021) $$ @@@ **</t>
  </si>
  <si>
    <t>INE080T07094</t>
  </si>
  <si>
    <t>14.15% Future Ideas Co Ltd (31-Jan-2023) $$ @@@ **</t>
  </si>
  <si>
    <t>INE080T07110</t>
  </si>
  <si>
    <t>11.49% Reliance Infrastructure Consulting &amp; Engineers Pvt Ltd (15-Jan-2021) $$ ^^ **</t>
  </si>
  <si>
    <t>INE428K07011</t>
  </si>
  <si>
    <t>BWR D</t>
  </si>
  <si>
    <t>12.25% Rivaaz Trade Ventures Pvt Ltd (30-Jun-2021) $$ @@@ **</t>
  </si>
  <si>
    <t>INE971Z07117</t>
  </si>
  <si>
    <t>13.00% Rivaaz Trade Ventures Pvt Ltd (30-Dec-2020) $$ @@@ **</t>
  </si>
  <si>
    <t>INE971Z07166</t>
  </si>
  <si>
    <t>11.49% Reliance Big Pvt Ltd  Series I (14-Jan-2021) $$ ^^ **</t>
  </si>
  <si>
    <t>INE333T07048</t>
  </si>
  <si>
    <t>13.00% Rivaaz Trade Ventures Pvt Ltd (31-Dec-2023) $$ @@@ **</t>
  </si>
  <si>
    <t>INE971Z07190</t>
  </si>
  <si>
    <t>13.55% Nufuture Digital (India) Ltd (31-Dec-2021) $$ @@@ **</t>
  </si>
  <si>
    <t>INE946S07163</t>
  </si>
  <si>
    <t>13.00% Rivaaz Trade Ventures Pvt Ltd (30-Dec-2022) $$ @@@ **</t>
  </si>
  <si>
    <t>INE971Z07182</t>
  </si>
  <si>
    <t>12.25% Rivaaz Trade Ventures Pvt Ltd (30-Jun-2022) $$ @@@ **</t>
  </si>
  <si>
    <t>INE971Z07125</t>
  </si>
  <si>
    <t>13.55% Nufuture Digital (India) Ltd (31-Dec-2020) $$ @@@ **</t>
  </si>
  <si>
    <t>INE946S07155</t>
  </si>
  <si>
    <t>11.49% Reliance Big Pvt Ltd Series II (14-Jan-2021) $$ ^^ **</t>
  </si>
  <si>
    <t>INE333T07055</t>
  </si>
  <si>
    <t>13.00% Rivaaz Trade Ventures Pvt Ltd (30-Dec-2021) $$ @@@ **</t>
  </si>
  <si>
    <t>INE971Z07174</t>
  </si>
  <si>
    <t>* Less than 0.01%</t>
  </si>
  <si>
    <t xml:space="preserve">      Retail Plan Monthly Dividend Option</t>
  </si>
  <si>
    <t xml:space="preserve">      Retail Plan Quarterly Dividend Option</t>
  </si>
  <si>
    <t xml:space="preserve">      Direct Retail Plan Growth Option</t>
  </si>
  <si>
    <t xml:space="preserve">      Direct Retail Plan Weekly Dividend Option</t>
  </si>
  <si>
    <t xml:space="preserve">      Direct Retail Plan Monthly Dividend Option</t>
  </si>
  <si>
    <t xml:space="preserve">      Direct Retail Plan Quarterly Dividend Option</t>
  </si>
  <si>
    <t>Refer below link for rationale of devation under Valuation policy</t>
  </si>
  <si>
    <t>Franklin India Short Term Income Plan - Segregated Portfolio 2 - 10.90% Vodafone Idea Ltd (02-Sep-2023) P/C 03 Sep 2021</t>
  </si>
  <si>
    <t>10.90% Vodafone Idea Ltd (02-Sep-2023) $$ ^^ **</t>
  </si>
  <si>
    <t>INE669E08318</t>
  </si>
  <si>
    <t>CARE B+</t>
  </si>
  <si>
    <t>Franklin India Short Term Income Plan - Segregated Portfolio 3 - 9.50% Yes Bank Ltd CO 23 Dec 2021</t>
  </si>
  <si>
    <t>9.50% Yes Bank Ltd (23-Dec-2021)  $$ **</t>
  </si>
  <si>
    <t>INE528G08352</t>
  </si>
  <si>
    <t>Money Market Instruments</t>
  </si>
  <si>
    <t>Certificate of Deposit</t>
  </si>
  <si>
    <t>Bank of Baroda (11-Feb-2021) **</t>
  </si>
  <si>
    <t>INE028A16BX1</t>
  </si>
  <si>
    <t>IND A1+</t>
  </si>
  <si>
    <t>Bank of Baroda (09-Mar-2021) **</t>
  </si>
  <si>
    <t>INE028A16BY9</t>
  </si>
  <si>
    <t>CRISIL A1+</t>
  </si>
  <si>
    <t>National Bank For Agriculture &amp; Rural Development (03-Feb-2021) **</t>
  </si>
  <si>
    <t>INE261F16488</t>
  </si>
  <si>
    <t>National Bank For Agriculture &amp; Rural Development (05-Mar-2021) **</t>
  </si>
  <si>
    <t>INE261F16512</t>
  </si>
  <si>
    <t>Commercial Paper</t>
  </si>
  <si>
    <t>Fullerton India Credit Co Ltd (08-Dec-2020) **@</t>
  </si>
  <si>
    <t>INE535H14ID2</t>
  </si>
  <si>
    <t>ICRA A1+</t>
  </si>
  <si>
    <t>Reliance Jio Infocomm Ltd (09-Feb-2021) **@</t>
  </si>
  <si>
    <t>INE110L14NK1</t>
  </si>
  <si>
    <t>CARE A1+</t>
  </si>
  <si>
    <t>L&amp;T Infrastructure Finance Co Ltd (29-Jan-2021) **@</t>
  </si>
  <si>
    <t>INE691I14JS7</t>
  </si>
  <si>
    <t>Power Finance Corporation Ltd (30-Jul-2021) **@</t>
  </si>
  <si>
    <t>INE134E14AR8</t>
  </si>
  <si>
    <t>Housing Development Finance Corporation Ltd (13-Jan-2021) **@</t>
  </si>
  <si>
    <t>INE001A14WG4</t>
  </si>
  <si>
    <t>Bajaj Housing Finance Ltd (29-Jan-2021) **@</t>
  </si>
  <si>
    <t>INE377Y14710</t>
  </si>
  <si>
    <t>L&amp;T Infrastructure Finance Co Ltd (08-Feb-2021) **@</t>
  </si>
  <si>
    <t>INE691I14JR9</t>
  </si>
  <si>
    <t>Reliance Industries Ltd (05-Mar-2021) **@</t>
  </si>
  <si>
    <t>INE002A14FM5</t>
  </si>
  <si>
    <t>Reliance Industries Ltd (15-Mar-2021) **@</t>
  </si>
  <si>
    <t>INE002A14EY3</t>
  </si>
  <si>
    <t>Kotak Mahindra Investments Ltd (23-Mar-2021) **@</t>
  </si>
  <si>
    <t>INE975F14SW3</t>
  </si>
  <si>
    <t>Housing Development Finance Corporation Ltd (10-Mar-2021) **@</t>
  </si>
  <si>
    <t>INE001A14WM2</t>
  </si>
  <si>
    <t>Treasury Bill</t>
  </si>
  <si>
    <t>182 DTB (04-Mar-2021)</t>
  </si>
  <si>
    <t>IN002020Y223</t>
  </si>
  <si>
    <t>364 DTB (25-Mar-2021)</t>
  </si>
  <si>
    <t>IN002019Z537</t>
  </si>
  <si>
    <t>364 DTB (11-Mar-2021)</t>
  </si>
  <si>
    <t>IN002019Z511</t>
  </si>
  <si>
    <t>364 DTB (30-Mar-2021)</t>
  </si>
  <si>
    <t>IN002019Z545</t>
  </si>
  <si>
    <t>182 DTB (18-Mar-2021)</t>
  </si>
  <si>
    <t>IN002020Y249</t>
  </si>
  <si>
    <t>@ Listed</t>
  </si>
  <si>
    <t xml:space="preserve">      Institutional Plan Dividend Option</t>
  </si>
  <si>
    <t xml:space="preserve">      Direct Retail Plan Daily Dividend Option</t>
  </si>
  <si>
    <t>Plan Name</t>
  </si>
  <si>
    <t>Dividend per unit (Rs.)+++</t>
  </si>
  <si>
    <t>+++ Dividend payouts/ re-investments are subject to deduction of TDS at the applicable rates.</t>
  </si>
  <si>
    <t>11.50% JM Financial Asset Reconstruction Co Ltd (29-Mar-2022) **</t>
  </si>
  <si>
    <t>INE265J07324</t>
  </si>
  <si>
    <t>10.25% Shriram Transport Finance Co Ltd (27-Dec-2024) **</t>
  </si>
  <si>
    <t>INE721A08DE4</t>
  </si>
  <si>
    <t>0.00% Shriram Transport Finance Co Ltd (31-May-2021)</t>
  </si>
  <si>
    <t>INE721A07NQ9</t>
  </si>
  <si>
    <t>10.25% Incred Financial Services Pvt Ltd (26-Apr-2021) **</t>
  </si>
  <si>
    <t>INE945W07035</t>
  </si>
  <si>
    <t>0.00% Sadbhav Infrastructure Project Ltd (23-Apr-2023) **</t>
  </si>
  <si>
    <t>INE764L07173</t>
  </si>
  <si>
    <t>CARE BBB+(CE)</t>
  </si>
  <si>
    <t>9.50% Piramal Capital &amp; Housing Finance Ltd (21-Apr-2022) **</t>
  </si>
  <si>
    <t>INE516Y07089</t>
  </si>
  <si>
    <t>9.00% Shriram Transport Finance Co Ltd (28-Mar-2028) **</t>
  </si>
  <si>
    <t>INE721A08DA2</t>
  </si>
  <si>
    <t xml:space="preserve">      Growth Plan</t>
  </si>
  <si>
    <t xml:space="preserve">      Monthly Dividend Plan</t>
  </si>
  <si>
    <t xml:space="preserve">      Quarterly Dividend Plan</t>
  </si>
  <si>
    <t xml:space="preserve">      Direct Growth Plan</t>
  </si>
  <si>
    <t xml:space="preserve">      Direct Monthly Dividend Plan</t>
  </si>
  <si>
    <t xml:space="preserve">      Direct Quarterly Dividend Plan</t>
  </si>
  <si>
    <t>Franklin India Low Duration Fund-Segregated Portfolio 2 - 10.90% Vodafone Idea Ltd (02-Sep-2023) P/C 03 Sep 2021</t>
  </si>
  <si>
    <t>9.55% Piramal Capital &amp; Housing Finance Ltd (08-Mar-2027) **</t>
  </si>
  <si>
    <t>INE641O08035</t>
  </si>
  <si>
    <t>9.85% DCB Bank Ltd (12-Jan-2028) **</t>
  </si>
  <si>
    <t>INE503A08044</t>
  </si>
  <si>
    <t>10.32% Andhra Pradesh Capital Region Development Authority (16-Aug-2028) **</t>
  </si>
  <si>
    <t>INE01E708057</t>
  </si>
  <si>
    <t>10.15% Hinduja Leyland Finance Ltd (27-Mar-2025) **</t>
  </si>
  <si>
    <t>INE146O08134</t>
  </si>
  <si>
    <t>0.00% Sadbhav Infrastructure Project Ltd (06-Jun-2023) **</t>
  </si>
  <si>
    <t>INE764L07181</t>
  </si>
  <si>
    <t>9.95% Vastu Housing Finance Corporation Ltd Series C (27-Feb-2025) **</t>
  </si>
  <si>
    <t>INE459T07041</t>
  </si>
  <si>
    <t>10.00% Aptus Value Housing Finance India Ltd (26-Feb-2025) **</t>
  </si>
  <si>
    <t>INE852O07063</t>
  </si>
  <si>
    <t>0.00% India Shelter Finance Corporation Ltd (02-May-2025) **</t>
  </si>
  <si>
    <t>INE922K07039</t>
  </si>
  <si>
    <t>9.75% Uttar Pradesh Power Corporation Ltd (20-Oct-2022) **</t>
  </si>
  <si>
    <t>INE540P07210</t>
  </si>
  <si>
    <t>9.20% Hinduja Leyland Finance Ltd (13-Sep-2024) **</t>
  </si>
  <si>
    <t>INE146O08118</t>
  </si>
  <si>
    <t>9.95% Vastu Housing Finance Corporation Ltd Series D (27-Feb-2025) **</t>
  </si>
  <si>
    <t>INE459T07058</t>
  </si>
  <si>
    <t>14.15% Future Ideas Co Ltd (31-Dec-2023) $$ @@@ **</t>
  </si>
  <si>
    <t>INE080T07128</t>
  </si>
  <si>
    <t>13.55% Nufuture Digital (India) Ltd (31-Dec-2023) $$ @@@ **</t>
  </si>
  <si>
    <t>INE946S07189</t>
  </si>
  <si>
    <t>11.49% Reliance Big Pvt Ltd Series III (14-Jan-2021) $$ ^^ **</t>
  </si>
  <si>
    <t>INE333T07063</t>
  </si>
  <si>
    <t>12.25% Rivaaz Trade Ventures Pvt Ltd (30-Jun-2023) $$ @@@ **</t>
  </si>
  <si>
    <t>INE971Z07133</t>
  </si>
  <si>
    <t xml:space="preserve">      Dividend Plan</t>
  </si>
  <si>
    <t xml:space="preserve">      Direct Dividend Plan</t>
  </si>
  <si>
    <t>Franklin India Income Opportunities Fund-Segregated Portfolio 2 - 10.90% Vodafone Idea Ltd (02-Sep-2023) P/C 03 Sep 2021</t>
  </si>
  <si>
    <t>182 DTB (28-Jan-2021)</t>
  </si>
  <si>
    <t>IN002020Y173</t>
  </si>
  <si>
    <t>Government Securities</t>
  </si>
  <si>
    <t>5.77% GOI 2030 (03-Aug-2030)</t>
  </si>
  <si>
    <t>IN0020200153</t>
  </si>
  <si>
    <t>SOVEREIGN</t>
  </si>
  <si>
    <t>6.79% GOI 2027 (15-May-2027)</t>
  </si>
  <si>
    <t>IN0020170026</t>
  </si>
  <si>
    <t>7.17% GOI 2028 (08-Jan-2028)</t>
  </si>
  <si>
    <t>IN0020170174</t>
  </si>
  <si>
    <t>7.27% GOI 2026 (08-Apr-2026)</t>
  </si>
  <si>
    <t>IN0020190016</t>
  </si>
  <si>
    <t>7.32% GOI 2024 (28-Jan-2024)</t>
  </si>
  <si>
    <t>IN0020180488</t>
  </si>
  <si>
    <t>5.22% GOI 2025 (15-Jun-2025)</t>
  </si>
  <si>
    <t>IN0020200112</t>
  </si>
  <si>
    <t xml:space="preserve">      Growth Option</t>
  </si>
  <si>
    <t xml:space="preserve">      Quarterly Dividend Option</t>
  </si>
  <si>
    <t xml:space="preserve">      Direct Growth Option</t>
  </si>
  <si>
    <t xml:space="preserve">      Direct Quarterly Dividend Option</t>
  </si>
  <si>
    <t>Aditya Birla Housing Finance Ltd (364DTB +250 Bps) (17-Feb-2023) **</t>
  </si>
  <si>
    <t>INE831R07268</t>
  </si>
  <si>
    <t>ICRA AAA</t>
  </si>
  <si>
    <t>HDB Financial Services Ltd (91DTB + 205 Bps) (12-Jul-2021) **</t>
  </si>
  <si>
    <t>INE756I07CA5</t>
  </si>
  <si>
    <t>GOI FRB 2020 (21-Dec-2020)</t>
  </si>
  <si>
    <t>IN0020092071</t>
  </si>
  <si>
    <t>6.84% GOI 2022 (19-Dec-2022)</t>
  </si>
  <si>
    <t>IN0020160050</t>
  </si>
  <si>
    <t>GOI FRB 2024 (07-Nov-2024)</t>
  </si>
  <si>
    <t>IN0020160084</t>
  </si>
  <si>
    <t xml:space="preserve">      Daily Dividend Plan</t>
  </si>
  <si>
    <t xml:space="preserve">      Direct Daily Dividend Plan</t>
  </si>
  <si>
    <t>10.32% Andhra Pradesh Capital Region Development Authority (16-Aug-2027) **</t>
  </si>
  <si>
    <t>INE01E708040</t>
  </si>
  <si>
    <t>9.40% Hinduja Leyland Finance Ltd (28-Aug-2024) **</t>
  </si>
  <si>
    <t>INE146O08100</t>
  </si>
  <si>
    <t>9.75% Uttar Pradesh Power Corporation Ltd (20-Oct-2023) **</t>
  </si>
  <si>
    <t>INE540P07228</t>
  </si>
  <si>
    <t>8.85% REC Ltd (16-Apr-2029) **</t>
  </si>
  <si>
    <t>INE020B08BQ7</t>
  </si>
  <si>
    <t>10.20% Star Health &amp; Allied Insurance Co Ltd (31-Oct-2024) **</t>
  </si>
  <si>
    <t>INE575P08024</t>
  </si>
  <si>
    <t>9.41% Renew Wind Energy Delhi Pvt Ltd (30-Sep-2030) **</t>
  </si>
  <si>
    <t>INE458O07036</t>
  </si>
  <si>
    <t>CARE A+(SO)</t>
  </si>
  <si>
    <t>Franklin India Dynamic Accrual Fund - Segregated Portfolio 2 - 10.90% Vodafone Idea Ltd (02-Sep-2023) P/C 03 Sep 2021</t>
  </si>
  <si>
    <t>Franklin India Dynamic Accrual Fund - Segregated Portfolio 3 - 9.50% Yes Bank Ltd CO 23 Dec 2021</t>
  </si>
  <si>
    <t>10.50% Vistaar Financial Services Pvt Ltd (22-Jun-2023) **</t>
  </si>
  <si>
    <t>INE016P07120</t>
  </si>
  <si>
    <t>10.50% Vistaar Financial Services Pvt Ltd (23-Jul-2024) **</t>
  </si>
  <si>
    <t>INE016P07138</t>
  </si>
  <si>
    <t>10.21% Five-Star Business Finance Ltd Series B (28-Mar-2023) **</t>
  </si>
  <si>
    <t>INE128S07325</t>
  </si>
  <si>
    <t>10.21% Five-Star Business Finance Ltd Series D (28-Mar-2023) **</t>
  </si>
  <si>
    <t>INE128S07341</t>
  </si>
  <si>
    <t>10.00% Aptus Value Housing Finance India Ltd (26-Dec-2024) **</t>
  </si>
  <si>
    <t>INE852O07048</t>
  </si>
  <si>
    <t>10.00% Aptus Value Housing Finance India Ltd (20-Jun-2025) **</t>
  </si>
  <si>
    <t>INE852O07071</t>
  </si>
  <si>
    <t>8.9492% L&amp;T Finance Ltd (16-Aug-2021) **</t>
  </si>
  <si>
    <t>INE027E07709</t>
  </si>
  <si>
    <t>CARE AAA</t>
  </si>
  <si>
    <t>8.75% Housing Development Finance Corporation Ltd (04-Mar-2021) **</t>
  </si>
  <si>
    <t>INE001A07OO9</t>
  </si>
  <si>
    <t>INE660N07054</t>
  </si>
  <si>
    <t>13.55% Nufuture Digital (India) Ltd (31-Dec-2022) $$ @@@ **</t>
  </si>
  <si>
    <t>INE946S07171</t>
  </si>
  <si>
    <t>Franklin India Credit Risk Fund-Segregated Portfolio 2 - 10.90% Vodafone Idea Ltd (02-Sep-2023) P/C 03 Sep 2021</t>
  </si>
  <si>
    <t>Franklin India Credit Risk Fund - Segregated Portfolio 3 - 9.50% Yes Bank Ltd CO 23 Dec 2021</t>
  </si>
  <si>
    <t>8.62% Food Corporation Of India (22-Mar-2023) **</t>
  </si>
  <si>
    <t>INE861G08019</t>
  </si>
  <si>
    <t>ICRA AAA(CE)</t>
  </si>
  <si>
    <t>8.45% Sikka Ports &amp; Terminals Ltd (12-Jun-2023) **</t>
  </si>
  <si>
    <t>INE941D07133</t>
  </si>
  <si>
    <t>7.06% Housing Development Finance Corporation Ltd (13-Dec-2021)</t>
  </si>
  <si>
    <t>INE001A07SL6</t>
  </si>
  <si>
    <t>8.60% ONGC Petro Additions Ltd (11-Mar-2022) **</t>
  </si>
  <si>
    <t>INE163N08065</t>
  </si>
  <si>
    <t>CARE AAA(CE)</t>
  </si>
  <si>
    <t>8.85% ONGC Petro Additions Ltd (19-Apr-2022) **</t>
  </si>
  <si>
    <t>INE163N08073</t>
  </si>
  <si>
    <t>7.44% Power Finance Corporation Ltd (11-Jun-2027) **</t>
  </si>
  <si>
    <t>INE134E08JC3</t>
  </si>
  <si>
    <t>7.90% National Bank For Agriculture &amp; Rural Development (18-Apr-2022) **</t>
  </si>
  <si>
    <t>INE261F08BI5</t>
  </si>
  <si>
    <t>6.99% REC Ltd (30-Sep-2024) **</t>
  </si>
  <si>
    <t>INE020B08CM4</t>
  </si>
  <si>
    <t>7.60% National Highways Authority Of India (18-Mar-2022)</t>
  </si>
  <si>
    <t>INE906B07FG1</t>
  </si>
  <si>
    <t>7.09% REC Ltd (17-Oct-2022) **</t>
  </si>
  <si>
    <t>INE020B08AM8</t>
  </si>
  <si>
    <t>6.19% Indian Railway Finance Corporation Ltd (28-Apr-2023)</t>
  </si>
  <si>
    <t>INE053F07CC9</t>
  </si>
  <si>
    <t>5.80% National Housing Bank (15-May-2023) **</t>
  </si>
  <si>
    <t>INE557F08FJ5</t>
  </si>
  <si>
    <t>7.52% NHPC Ltd (06-Jun-2023) **</t>
  </si>
  <si>
    <t>INE848E07989</t>
  </si>
  <si>
    <t>7.00% Hindustan Petroleum Corporation Ltd (14-Aug-2024) **</t>
  </si>
  <si>
    <t>INE094A08036</t>
  </si>
  <si>
    <t>0.00% LIC Housing Finance Ltd (25-Feb-2022) **</t>
  </si>
  <si>
    <t>INE115A07NM3</t>
  </si>
  <si>
    <t>7.17% National Highways Authority Of India (23-Dec-2021) **</t>
  </si>
  <si>
    <t>INE906B07FE6</t>
  </si>
  <si>
    <t>8.02% Export-Import Bank of India (29-Oct-2025) **</t>
  </si>
  <si>
    <t>INE514E08EQ7</t>
  </si>
  <si>
    <t>8.30% REC Ltd (10-Apr-2025) **</t>
  </si>
  <si>
    <t>INE020B08930</t>
  </si>
  <si>
    <t>7.42% Power Finance Corporation Ltd (19-Nov-2024) **</t>
  </si>
  <si>
    <t>INE134E08KH0</t>
  </si>
  <si>
    <t>6.98% Power Finance Corporation Ltd (20-Apr-2023) **</t>
  </si>
  <si>
    <t>INE134E08KN8</t>
  </si>
  <si>
    <t>8.60% National Bank For Agriculture &amp; Rural Development (31-Jan-2022)</t>
  </si>
  <si>
    <t>INE261F08AI7</t>
  </si>
  <si>
    <t>8.18% Power Finance Corporation Ltd (19-Mar-2022) **</t>
  </si>
  <si>
    <t>INE134E08JW1</t>
  </si>
  <si>
    <t>8.41% Housing &amp; Urban Development Corporation Ltd (15-Mar-2029) **</t>
  </si>
  <si>
    <t>INE031A08699</t>
  </si>
  <si>
    <t>0.00% Fullerton India Credit Co Ltd (08-Apr-2021) **</t>
  </si>
  <si>
    <t>INE535H07AG6</t>
  </si>
  <si>
    <t>10.40% Sikka Ports &amp; Terminals Ltd (18-Jul-2021) **</t>
  </si>
  <si>
    <t>INE941D07125</t>
  </si>
  <si>
    <t>9.25% Power Finance Corporation Ltd (25-Sep-2024) **</t>
  </si>
  <si>
    <t>INE134E08JY7</t>
  </si>
  <si>
    <t>0.00% LIC Housing Finance Ltd (04-May-2022) **</t>
  </si>
  <si>
    <t>INE115A07NW2</t>
  </si>
  <si>
    <t>8.81% Small Industries Development Bank Of India (25-Jan-2022) **</t>
  </si>
  <si>
    <t>INE556F08JI1</t>
  </si>
  <si>
    <t>7.50% Power Finance Corporation Ltd (16-Aug-2021) **</t>
  </si>
  <si>
    <t>INE134E08IH4</t>
  </si>
  <si>
    <t>7.07% Reliance Industries Ltd (24-Dec-2020)</t>
  </si>
  <si>
    <t>INE002A08526</t>
  </si>
  <si>
    <t>8.85% Power Finance Corporation Ltd (25-May-2029) **</t>
  </si>
  <si>
    <t>INE134E08KC1</t>
  </si>
  <si>
    <t>8.40% Power Grid Corporation of India Ltd (14-Sep-2021) **</t>
  </si>
  <si>
    <t>INE752E07MZ9</t>
  </si>
  <si>
    <t>0.00% HDB Financial Services Ltd (29-Oct-2021) **</t>
  </si>
  <si>
    <t>INE756I07CD9</t>
  </si>
  <si>
    <t>8.50% NHPC Ltd (14-Jul-2021) **</t>
  </si>
  <si>
    <t>INE848E07815</t>
  </si>
  <si>
    <t>0.00% Aditya Birla Finance Ltd (08-Apr-2022) **</t>
  </si>
  <si>
    <t>INE860H07GE0</t>
  </si>
  <si>
    <t>7.35% Bharat Petroleum Corporation Ltd (10-Mar-2022) **</t>
  </si>
  <si>
    <t>INE029A07075</t>
  </si>
  <si>
    <t>7.65% Indian Railway Finance Corporation Ltd (15-Mar-2021) **</t>
  </si>
  <si>
    <t>INE053F07AK6</t>
  </si>
  <si>
    <t>9.57% Indian Railway Finance Corporation Ltd (31-May-2021) **</t>
  </si>
  <si>
    <t>INE053F09HR2</t>
  </si>
  <si>
    <t>6.70% Indian Railway Finance Corporation Ltd (24-Nov-2021) **</t>
  </si>
  <si>
    <t>INE053F07942</t>
  </si>
  <si>
    <t>7.48% Bennett Coleman and Co Ltd (26-Apr-2021) **</t>
  </si>
  <si>
    <t>INE801J08019</t>
  </si>
  <si>
    <t xml:space="preserve">      Half Yearly Dividend Plan</t>
  </si>
  <si>
    <t xml:space="preserve">      Annual Dividend Plan</t>
  </si>
  <si>
    <t xml:space="preserve">      Direct Half Yearly Dividend Plan</t>
  </si>
  <si>
    <t xml:space="preserve">      Direct Annual Dividend Plan</t>
  </si>
  <si>
    <t>7.05% National Housing Bank (18-Dec-2024) **</t>
  </si>
  <si>
    <t>INE557F08FG1</t>
  </si>
  <si>
    <t>7.24% REC Ltd (21-Oct-2021) **</t>
  </si>
  <si>
    <t>INE020B08997</t>
  </si>
  <si>
    <t>7.62% Export-Import Bank of India (01-Sep-2026) **</t>
  </si>
  <si>
    <t>INE514E08FG5</t>
  </si>
  <si>
    <t>7.29% Small Industries Development Bank Of India (01-Aug-2022) **</t>
  </si>
  <si>
    <t>INE556F08JM3</t>
  </si>
  <si>
    <t>9.17% NTPC Ltd (21-Sep-2024) **</t>
  </si>
  <si>
    <t>INE733E07JO9</t>
  </si>
  <si>
    <t>7.27% National Highways Authority Of India (06-Jun-2022) **</t>
  </si>
  <si>
    <t>INE906B07FT4</t>
  </si>
  <si>
    <t>6.70% National Bank For Agriculture &amp; Rural Development (11-Nov-2022) **</t>
  </si>
  <si>
    <t>INE261F08BQ8</t>
  </si>
  <si>
    <t>5.36% Hindustan Petroleum Corporation Ltd (11-Apr-2025) **</t>
  </si>
  <si>
    <t>INE094A08077</t>
  </si>
  <si>
    <t>8.14% Nuclear Power Corporation of India Ltd (25-Mar-2026) **</t>
  </si>
  <si>
    <t>INE206D08261</t>
  </si>
  <si>
    <t>8.27% REC Ltd (06-Feb-2025) **</t>
  </si>
  <si>
    <t>INE020B08906</t>
  </si>
  <si>
    <t>7.13% NHPC Ltd (11-Feb-2027) **</t>
  </si>
  <si>
    <t>INE848E07AZ0</t>
  </si>
  <si>
    <t>10.20% RBL Bank Ltd (15-Apr-2023) **</t>
  </si>
  <si>
    <t>INE976G08064</t>
  </si>
  <si>
    <t>6.80% NHPC Ltd (23-Apr-2027) **</t>
  </si>
  <si>
    <t>INE848E07BK0</t>
  </si>
  <si>
    <t>8.19% NTPC Ltd (15-Dec-2025) **</t>
  </si>
  <si>
    <t>INE733E07JX0</t>
  </si>
  <si>
    <t>8.80% REC Ltd (14-May-2029) **</t>
  </si>
  <si>
    <t>INE020B08BS3</t>
  </si>
  <si>
    <t>8.25% Export-Import Bank of India (28-Sep-2025) **</t>
  </si>
  <si>
    <t>INE514E08EP9</t>
  </si>
  <si>
    <t>8.40% Power Grid Corporation of India Ltd (27-May-2024) **</t>
  </si>
  <si>
    <t>INE752E07MQ8</t>
  </si>
  <si>
    <t>9.95% Food Corporation Of India (07-Mar-2022) **</t>
  </si>
  <si>
    <t>INE861G08035</t>
  </si>
  <si>
    <t>CRISIL AAA(CE)</t>
  </si>
  <si>
    <t>8.35% REC Ltd (11-Mar-2022) **</t>
  </si>
  <si>
    <t>INE020B08BM6</t>
  </si>
  <si>
    <t>8.13% Power Grid Corporation of India Ltd (23-Apr-2021) **</t>
  </si>
  <si>
    <t>INE752E07NN3</t>
  </si>
  <si>
    <t>ICICI Bank Ltd (11-Dec-2020) **</t>
  </si>
  <si>
    <t>INE090A169V2</t>
  </si>
  <si>
    <t>National Bank For Agriculture &amp; Rural Development (10-Jun-2021) **</t>
  </si>
  <si>
    <t>INE261F16538</t>
  </si>
  <si>
    <t xml:space="preserve">      Weekly Dividend Plan</t>
  </si>
  <si>
    <t xml:space="preserve">      Direct Weekly Dividend Plan</t>
  </si>
  <si>
    <t>0.00% Kotak Mahindra Prime Ltd (23-Dec-2020) **</t>
  </si>
  <si>
    <t>INE916DA7PH7</t>
  </si>
  <si>
    <t>8.70% Housing Development Finance Corporation Ltd (15-Dec-2020) **</t>
  </si>
  <si>
    <t>INE001A07RN4</t>
  </si>
  <si>
    <t>7.88% LIC Housing Finance Ltd (28-Jan-2021) **</t>
  </si>
  <si>
    <t>INE115A07MT0</t>
  </si>
  <si>
    <t>Export-Import Bank Of India (02-Dec-2020) **</t>
  </si>
  <si>
    <t>INE514E16BP8</t>
  </si>
  <si>
    <t>Reliance Industries Ltd (01-Dec-2020) **@</t>
  </si>
  <si>
    <t>INE002A14GD2</t>
  </si>
  <si>
    <t>Housing Development Finance Corporation Ltd (22-Jan-2021) **@</t>
  </si>
  <si>
    <t>INE001A14WY7</t>
  </si>
  <si>
    <t>NTPC Ltd (01-Feb-2021) **@</t>
  </si>
  <si>
    <t>INE733E14948</t>
  </si>
  <si>
    <t>ICICI Securities Ltd (16-Feb-2021) **@</t>
  </si>
  <si>
    <t>INE763G14JE8</t>
  </si>
  <si>
    <t>Bajaj Finance Ltd (07-Dec-2020) **@</t>
  </si>
  <si>
    <t>INE296A14QS7</t>
  </si>
  <si>
    <t>L&amp;T Finance Ltd (20-Jan-2021) **@</t>
  </si>
  <si>
    <t>INE027E14JU9</t>
  </si>
  <si>
    <t>182 DTB (10-Dec-2020)</t>
  </si>
  <si>
    <t>IN002020Y108</t>
  </si>
  <si>
    <t>91 DTB (03-Dec-2020)</t>
  </si>
  <si>
    <t>IN002020X241</t>
  </si>
  <si>
    <t>182 DTB (17-Dec-2020)</t>
  </si>
  <si>
    <t>IN002020Y116</t>
  </si>
  <si>
    <t>91 DTB (17-Dec-2020)</t>
  </si>
  <si>
    <t>IN002020X266</t>
  </si>
  <si>
    <t>364 DTB (17-Dec-2020)</t>
  </si>
  <si>
    <t>IN002019Z396</t>
  </si>
  <si>
    <t>8.12% GOI 2020 (10-Dec-2020)</t>
  </si>
  <si>
    <t>IN0020120054</t>
  </si>
  <si>
    <t>11.60% GOI 2020 (27-Dec-2020)</t>
  </si>
  <si>
    <t>IN0020000124</t>
  </si>
  <si>
    <t xml:space="preserve">      Regular Plan Growth Option</t>
  </si>
  <si>
    <t xml:space="preserve">      Regular Plan Daily Dividend Reinvestment Option</t>
  </si>
  <si>
    <t xml:space="preserve">      Regular Plan Weekly Dividend Option</t>
  </si>
  <si>
    <t xml:space="preserve">      Institutional Plan Daily Dividend Reinvestment Option</t>
  </si>
  <si>
    <t xml:space="preserve">      Institutional Plan Weekly Dividend Option</t>
  </si>
  <si>
    <t xml:space="preserve">      Super Institutional Plan Daily Dividend Reinvestment Option</t>
  </si>
  <si>
    <t xml:space="preserve">      Direct Super Institutional Growth Option</t>
  </si>
  <si>
    <t xml:space="preserve">      Direct Super Institutional Daily Dividend Reinvestment Option</t>
  </si>
  <si>
    <t xml:space="preserve">      Direct Super Institutional Weekly Dividend Option</t>
  </si>
  <si>
    <t xml:space="preserve">      Unclaimed Redemption Plan - Growth</t>
  </si>
  <si>
    <t xml:space="preserve">      Unclaimed Dividend Plan - Growth</t>
  </si>
  <si>
    <t xml:space="preserve">      Unclaimed Redemption Investor Education Plan - Growth</t>
  </si>
  <si>
    <t xml:space="preserve">      Unclaimed Dividend Investor Education Plan - Growth</t>
  </si>
  <si>
    <t>0.00% Axis Finance Ltd (19-Apr-2022) **</t>
  </si>
  <si>
    <t>INE891K07416</t>
  </si>
  <si>
    <t>0.00% Bajaj Housing Finance Ltd (05-Apr-2022) **</t>
  </si>
  <si>
    <t>INE377Y07052</t>
  </si>
  <si>
    <t>0.00% Mahindra &amp; Mahindra Financial Services Ltd (29-Mar-2022) **</t>
  </si>
  <si>
    <t>INE774D07SQ1</t>
  </si>
  <si>
    <t>0.00% Bajaj Finance Ltd (05-Apr-2022) **</t>
  </si>
  <si>
    <t>INE296A07QQ5</t>
  </si>
  <si>
    <t>8.23% Housing &amp; Urban Development Corporation Ltd (15-Apr-2022) **</t>
  </si>
  <si>
    <t>INE031A08657</t>
  </si>
  <si>
    <t>0.00% Fullerton India Credit Co Ltd (13-Apr-2022) **</t>
  </si>
  <si>
    <t>INE535H07AT9</t>
  </si>
  <si>
    <t xml:space="preserve">      Dividend Plan </t>
  </si>
  <si>
    <t>8.45% REC Ltd (22-Mar-2022) **</t>
  </si>
  <si>
    <t>INE020B08BF0</t>
  </si>
  <si>
    <t>8.55% Power Finance Corporation Ltd (09-Dec-2021) **</t>
  </si>
  <si>
    <t>INE134E08GT3</t>
  </si>
  <si>
    <t>0.00% Aditya Birla Housing Finance Ltd (13-Apr-2022) **</t>
  </si>
  <si>
    <t>INE831R07235</t>
  </si>
  <si>
    <t>0.00% Bajaj Housing Finance Ltd (05-May-2022) **</t>
  </si>
  <si>
    <t>INE377Y07086</t>
  </si>
  <si>
    <t>0.00% HDB Financial Services Ltd (05-Apr-2022) **</t>
  </si>
  <si>
    <t>INE756I07CI8</t>
  </si>
  <si>
    <t>9.4756% Tata Capital Financial Services Ltd (08-Apr-2022) **</t>
  </si>
  <si>
    <t>INE306N07KG9</t>
  </si>
  <si>
    <t>9.05% Mahindra &amp; Mahindra Financial Services Ltd (18-Apr-2022) **</t>
  </si>
  <si>
    <t>INE774D07SS7</t>
  </si>
  <si>
    <t>0.00% Fullerton India Credit Co Ltd (19-Apr-2022) **</t>
  </si>
  <si>
    <t>INE535H07AQ5</t>
  </si>
  <si>
    <t>9.3772% L&amp;T Housing Finance Ltd (11-Mar-2022) **</t>
  </si>
  <si>
    <t>INE476M07BR8</t>
  </si>
  <si>
    <t>9.1791% Tata Capital Housing Finance Ltd (13-Apr-2022) **</t>
  </si>
  <si>
    <t>INE033L07GA4</t>
  </si>
  <si>
    <t>7.95% LIC Housing Finance Ltd (24-Mar-2022) **</t>
  </si>
  <si>
    <t>INE115A07LM7</t>
  </si>
  <si>
    <t>7.27% Power Finance Corporation Ltd (22-Dec-2021) **</t>
  </si>
  <si>
    <t>INE134E08IN2</t>
  </si>
  <si>
    <t>8.25% Tata Sons Pvt Ltd (23-Mar-2022) **</t>
  </si>
  <si>
    <t>INE895D08790</t>
  </si>
  <si>
    <t>8.36% Ultratech Cement Ltd (07-Jun-2021) **</t>
  </si>
  <si>
    <t>INE481G08057</t>
  </si>
  <si>
    <t>8.40% Small Industries Development Bank Of India (10-Aug-2021) **</t>
  </si>
  <si>
    <t>INE556F08JH3</t>
  </si>
  <si>
    <t>8.37% National Bank For Agriculture &amp; Rural Development (03-Aug-2021) **</t>
  </si>
  <si>
    <t>INE261F08AM9</t>
  </si>
  <si>
    <t>0.00% Sundaram Finance Ltd (31-Aug-2021) **</t>
  </si>
  <si>
    <t>INE660A07PT8</t>
  </si>
  <si>
    <t>7.18% REC Ltd (21-May-2021) **</t>
  </si>
  <si>
    <t>INE020B08AO4</t>
  </si>
  <si>
    <t>0.00% Aditya Birla Finance Ltd (26-Jul-2021) **</t>
  </si>
  <si>
    <t>INE860H07FW4</t>
  </si>
  <si>
    <t>8.1352% Bajaj Housing Finance Ltd (04-Jun-2021) **</t>
  </si>
  <si>
    <t>INE377Y07045</t>
  </si>
  <si>
    <t>0.00% LIC Housing Finance Ltd (25-Mar-2021) **</t>
  </si>
  <si>
    <t>INE115A07MX2</t>
  </si>
  <si>
    <t>0.00% Axis Finance Ltd (31-Aug-2021) **</t>
  </si>
  <si>
    <t>INE891K07440</t>
  </si>
  <si>
    <t>0.00% Aditya Birla Housing Finance Ltd (26-Jul-2021) **</t>
  </si>
  <si>
    <t>INE831R07201</t>
  </si>
  <si>
    <t>9.40% REC Ltd (17-Jul-2021) **</t>
  </si>
  <si>
    <t>INE020B07IW2</t>
  </si>
  <si>
    <t>0.00% Fullerton India Credit Co Ltd (15-Jul-2021) **</t>
  </si>
  <si>
    <t>INE535H07AK8</t>
  </si>
  <si>
    <t>9.70% Power Finance Corporation Ltd (09-Jun-2021) **</t>
  </si>
  <si>
    <t>INE134E08DN3</t>
  </si>
  <si>
    <t>8.25% L&amp;T Finance Ltd (21-Jun-2021) **</t>
  </si>
  <si>
    <t>INE027E07642</t>
  </si>
  <si>
    <t>8.05% Power Finance Corporation Ltd (27-Apr-2021) **</t>
  </si>
  <si>
    <t>INE134E08ID3</t>
  </si>
  <si>
    <t>8.40% Power Grid Corporation of India Ltd (27-May-2021) **</t>
  </si>
  <si>
    <t>INE752E07MN5</t>
  </si>
  <si>
    <t>0.00% Sundaram Finance Ltd (15-Jun-2021) **</t>
  </si>
  <si>
    <t>INE660A07PN1</t>
  </si>
  <si>
    <t>8.22% ICICI Home Finance Co Ltd (27-May-2021) **</t>
  </si>
  <si>
    <t>INE071G07314</t>
  </si>
  <si>
    <t>0.00% Bajaj Housing Finance Ltd (06-Apr-2021) **</t>
  </si>
  <si>
    <t>INE377Y07029</t>
  </si>
  <si>
    <t>0.00% Axis Finance Ltd (14-Jun-2021) **</t>
  </si>
  <si>
    <t>INE891K07390</t>
  </si>
  <si>
    <t>8.70% Reliance Industries Ltd (15-Jun-2021) **</t>
  </si>
  <si>
    <t>INE110L07112</t>
  </si>
  <si>
    <t>8.50% Small Industries Development Bank of India (21-Jun-2021) **</t>
  </si>
  <si>
    <t>INE556F08JF7</t>
  </si>
  <si>
    <t>8.80% L&amp;T Housing Finance Ltd (23-Jun-2021) **</t>
  </si>
  <si>
    <t>INE476M07BM9</t>
  </si>
  <si>
    <t>7.73% REC Ltd (15-Jun-2021) **</t>
  </si>
  <si>
    <t>INE020B08AW7</t>
  </si>
  <si>
    <t>7.73% Housing &amp; Urban Development Corporation Ltd (15-Apr-2021) **</t>
  </si>
  <si>
    <t>INE031A08566</t>
  </si>
  <si>
    <t>8.10% Mahindra &amp; Mahindra Financial Services Ltd (19-Apr-2021) **</t>
  </si>
  <si>
    <t>INE774D07SB3</t>
  </si>
  <si>
    <t>7.65% Small Industries Development Bank Of India (15-Apr-2021) **</t>
  </si>
  <si>
    <t>INE556F08JD2</t>
  </si>
  <si>
    <t>10.09% MRF Ltd (27-May-2021) **</t>
  </si>
  <si>
    <t>INE883A07174</t>
  </si>
  <si>
    <t>9.18% Power Finance Corporation Ltd (15-Apr-2021) **</t>
  </si>
  <si>
    <t>INE134E08DM5</t>
  </si>
  <si>
    <t>0.00% HDB Financial Services Ltd (06-Apr-2021) **</t>
  </si>
  <si>
    <t>INE756I07BW1</t>
  </si>
  <si>
    <t>8.50% LIC Housing Finance Ltd (05-Jan-2021) **</t>
  </si>
  <si>
    <t>INE115A07IO9</t>
  </si>
  <si>
    <t>8.19% Mahindra Vehicle Manufacturers Ltd (23-Feb-2021) **</t>
  </si>
  <si>
    <t>INE244N07065</t>
  </si>
  <si>
    <t>7.75% Power Finance Corporation Ltd (15-Apr-2021) **</t>
  </si>
  <si>
    <t>INE134E08JM2</t>
  </si>
  <si>
    <t>7.70% REC Ltd (15-Mar-2021) **</t>
  </si>
  <si>
    <t>INE020B08AS5</t>
  </si>
  <si>
    <t>7.68% Housing &amp; Urban Development Corporation Ltd (05-Apr-2021) **</t>
  </si>
  <si>
    <t>INE031A08590</t>
  </si>
  <si>
    <t>0.00% Kotak Mahindra Prime Ltd (27-May-2021) **</t>
  </si>
  <si>
    <t>INE916DA7PO3</t>
  </si>
  <si>
    <t>7.40% National Bank For Agriculture &amp; Rural Development (01-Feb-2021) **</t>
  </si>
  <si>
    <t>INE261F08956</t>
  </si>
  <si>
    <t>8.25% Tata Sons Pvt Ltd (24-Mar-2021) **</t>
  </si>
  <si>
    <t>INE895D08899</t>
  </si>
  <si>
    <t>Reliance Industries Ltd (02-Mar-2021) **@</t>
  </si>
  <si>
    <t>INE002A14EM8</t>
  </si>
  <si>
    <t>0.00% Kotak Mahindra Prime Ltd (26-Apr-2021) **</t>
  </si>
  <si>
    <t>INE916DA7PI5</t>
  </si>
  <si>
    <t>7.73% Power Finance Corporation Ltd (05-Apr-2021) **</t>
  </si>
  <si>
    <t>INE134E08JK6</t>
  </si>
  <si>
    <t>7.52% Small Industries Development Bank of India (10-Feb-2021) **</t>
  </si>
  <si>
    <t>INE556F08JA8</t>
  </si>
  <si>
    <t>7.60% REC Ltd (17-Apr-2021) **</t>
  </si>
  <si>
    <t>INE020B08AR7</t>
  </si>
  <si>
    <t>8.84% Power Grid Corporation of India Ltd (29-Mar-2021) **</t>
  </si>
  <si>
    <t>INE752E07GX6</t>
  </si>
  <si>
    <t>8.25% Tata Sons Pvt Ltd (23-Mar-2021) **</t>
  </si>
  <si>
    <t>INE895D08881</t>
  </si>
  <si>
    <t>9.60% LIC Housing Finance Ltd (07-Mar-2021) **</t>
  </si>
  <si>
    <t>INE115A07AL2</t>
  </si>
  <si>
    <t>7.14% Housing &amp; Urban Development Corporation Ltd (22-Dec-2020) **</t>
  </si>
  <si>
    <t>INE031A08541</t>
  </si>
  <si>
    <t>7.9407% HDB Financial Services Ltd (15-Apr-2021) **</t>
  </si>
  <si>
    <t>INE756I07BU5</t>
  </si>
  <si>
    <t>7.64% Can Fin Homes Ltd (28-Feb-2021) **</t>
  </si>
  <si>
    <t>INE477A07274</t>
  </si>
  <si>
    <t>8.75% LIC Housing Finance Ltd (12-Feb-2021) **</t>
  </si>
  <si>
    <t>INE115A07JB4</t>
  </si>
  <si>
    <t>7.85% Tata Sons Pvt Ltd (31-Jan-2021) **</t>
  </si>
  <si>
    <t>INE895D08725</t>
  </si>
  <si>
    <t>8.33% NTPC Ltd (24-Feb-2021) **</t>
  </si>
  <si>
    <t>INE733E07JZ5</t>
  </si>
  <si>
    <t>9.70% Power Finance Corporation Ltd (31-Jan-2021) **</t>
  </si>
  <si>
    <t>INE134E07505</t>
  </si>
  <si>
    <t>8.62% India Infradebt Ltd (08-Mar-2021) **</t>
  </si>
  <si>
    <t>INE537P07117</t>
  </si>
  <si>
    <t>8.70% L&amp;T Infrastructure Debt Fund Ltd (24-Feb-2021) **</t>
  </si>
  <si>
    <t>INE235P07167</t>
  </si>
  <si>
    <t>8.78% NHPC Ltd (11-Feb-2021) **</t>
  </si>
  <si>
    <t>INE848E07419</t>
  </si>
  <si>
    <t>9.47% Power Grid Corporation of India Ltd (31-Mar-2021) **</t>
  </si>
  <si>
    <t>INE752E07ER3</t>
  </si>
  <si>
    <t>9.15% Export-Import Bank of India (18-Mar-2021) **</t>
  </si>
  <si>
    <t>INE514E08951</t>
  </si>
  <si>
    <t>9.15% Export-Import Bank of India (25-Feb-2021) **</t>
  </si>
  <si>
    <t>INE514E08928</t>
  </si>
  <si>
    <t>Equity &amp; Equity related</t>
  </si>
  <si>
    <t>HDFC Bank Ltd</t>
  </si>
  <si>
    <t>INE040A01034</t>
  </si>
  <si>
    <t>Banks</t>
  </si>
  <si>
    <t>Axis Bank Ltd</t>
  </si>
  <si>
    <t>INE238A01034</t>
  </si>
  <si>
    <t>Infosys Ltd</t>
  </si>
  <si>
    <t>INE009A01021</t>
  </si>
  <si>
    <t>Software</t>
  </si>
  <si>
    <t>Kotak Mahindra Bank Ltd</t>
  </si>
  <si>
    <t>INE237A01028</t>
  </si>
  <si>
    <t>ICICI Bank Ltd</t>
  </si>
  <si>
    <t>INE090A01021</t>
  </si>
  <si>
    <t>Bharti Airtel Ltd</t>
  </si>
  <si>
    <t>INE397D01024</t>
  </si>
  <si>
    <t>Telecom - Services</t>
  </si>
  <si>
    <t>Grasim Industries Ltd</t>
  </si>
  <si>
    <t>INE047A01021</t>
  </si>
  <si>
    <t>Cement</t>
  </si>
  <si>
    <t>Balkrishna Industries Ltd</t>
  </si>
  <si>
    <t>INE787D01026</t>
  </si>
  <si>
    <t>Auto Ancillaries</t>
  </si>
  <si>
    <t>Hindalco Industries Ltd</t>
  </si>
  <si>
    <t>INE038A01020</t>
  </si>
  <si>
    <t>Non - Ferrous Metals</t>
  </si>
  <si>
    <t>Voltas Ltd</t>
  </si>
  <si>
    <t>INE226A01021</t>
  </si>
  <si>
    <t>Consumer Durables</t>
  </si>
  <si>
    <t>Mahindra &amp; Mahindra Ltd</t>
  </si>
  <si>
    <t>INE101A01026</t>
  </si>
  <si>
    <t>Auto</t>
  </si>
  <si>
    <t>Petronet LNG Ltd</t>
  </si>
  <si>
    <t>INE347G01014</t>
  </si>
  <si>
    <t>Gas</t>
  </si>
  <si>
    <t>Tata Steel Ltd</t>
  </si>
  <si>
    <t>INE081A01012</t>
  </si>
  <si>
    <t>Ferrous Metals</t>
  </si>
  <si>
    <t>Colgate Palmolive (India) Ltd</t>
  </si>
  <si>
    <t>INE259A01022</t>
  </si>
  <si>
    <t>Consumer Non Durables</t>
  </si>
  <si>
    <t>Gujarat State Petronet Ltd</t>
  </si>
  <si>
    <t>INE246F01010</t>
  </si>
  <si>
    <t>Hindustan Petroleum Corporation Ltd</t>
  </si>
  <si>
    <t>INE094A01015</t>
  </si>
  <si>
    <t>Petroleum Products</t>
  </si>
  <si>
    <t>Cadila Healthcare Ltd</t>
  </si>
  <si>
    <t>INE010B01027</t>
  </si>
  <si>
    <t>Pharmaceuticals</t>
  </si>
  <si>
    <t>Power Grid Corporation of India Ltd</t>
  </si>
  <si>
    <t>INE752E01010</t>
  </si>
  <si>
    <t>Power</t>
  </si>
  <si>
    <t>State Bank of India</t>
  </si>
  <si>
    <t>INE062A01020</t>
  </si>
  <si>
    <t>NTPC Ltd</t>
  </si>
  <si>
    <t>INE733E01010</t>
  </si>
  <si>
    <t>Cummins India Ltd</t>
  </si>
  <si>
    <t>INE298A01020</t>
  </si>
  <si>
    <t>Industrial Products</t>
  </si>
  <si>
    <t>Torrent Pharmaceuticals Ltd</t>
  </si>
  <si>
    <t>INE685A01028</t>
  </si>
  <si>
    <t>Bharat Petroleum Corporation Ltd</t>
  </si>
  <si>
    <t>INE029A01011</t>
  </si>
  <si>
    <t>Bajaj Auto Ltd</t>
  </si>
  <si>
    <t>INE917I01010</t>
  </si>
  <si>
    <t>United Breweries Ltd</t>
  </si>
  <si>
    <t>INE686F01025</t>
  </si>
  <si>
    <t>Kansai Nerolac Paints Ltd</t>
  </si>
  <si>
    <t>INE531A01024</t>
  </si>
  <si>
    <t>Tata Motors Ltd</t>
  </si>
  <si>
    <t>INE155A01022</t>
  </si>
  <si>
    <t>TVS Motor Co Ltd</t>
  </si>
  <si>
    <t>INE494B01023</t>
  </si>
  <si>
    <t>Karur Vysya Bank Ltd</t>
  </si>
  <si>
    <t>INE036D01028</t>
  </si>
  <si>
    <t>Aditya Birla Fashion and Retail Ltd</t>
  </si>
  <si>
    <t>INE647O01011</t>
  </si>
  <si>
    <t>Retailing</t>
  </si>
  <si>
    <t>Jagran Prakashan Ltd</t>
  </si>
  <si>
    <t>INE199G01027</t>
  </si>
  <si>
    <t>Media &amp; Entertainment</t>
  </si>
  <si>
    <t>Aditya Birla Fashion and Retail Ltd – Partly Paid</t>
  </si>
  <si>
    <t>IN9647O01019</t>
  </si>
  <si>
    <t>Coal India Ltd</t>
  </si>
  <si>
    <t>INE522F01014</t>
  </si>
  <si>
    <t>Minerals/Mining</t>
  </si>
  <si>
    <t>6.95% Housing Development Finance Corporation Ltd (27-Apr-2023) **</t>
  </si>
  <si>
    <t>INE001A07SK8</t>
  </si>
  <si>
    <t>9.25% Reliance Industries Ltd (17-Jun-2024) **</t>
  </si>
  <si>
    <t>INE110L08037</t>
  </si>
  <si>
    <t>6.18% GOI 2024 (04-Nov-2024)</t>
  </si>
  <si>
    <t>IN0020190396</t>
  </si>
  <si>
    <t>Dr. Reddy's Laboratories Ltd</t>
  </si>
  <si>
    <t>INE089A01023</t>
  </si>
  <si>
    <t>Franklin India Debt Hybrid Fund - Segregated Portfolio 1 - 10.25% Yes Bank Ltd CO 05 Mar 2020</t>
  </si>
  <si>
    <t>10.25% Yes Bank Ltd (05-Mar-2110)  $$ **</t>
  </si>
  <si>
    <t>INE528G09061</t>
  </si>
  <si>
    <t>CARE BB+</t>
  </si>
  <si>
    <t>Housing Development Finance Corporation Ltd</t>
  </si>
  <si>
    <t>INE001A01036</t>
  </si>
  <si>
    <t>Finance</t>
  </si>
  <si>
    <t>Sun TV Network Ltd</t>
  </si>
  <si>
    <t>INE424H01027</t>
  </si>
  <si>
    <t>Tata Power Co Ltd</t>
  </si>
  <si>
    <t>INE245A01021</t>
  </si>
  <si>
    <t>Maruti Suzuki India Ltd</t>
  </si>
  <si>
    <t>INE585B01010</t>
  </si>
  <si>
    <t>Cholamandalam Financial Holdings Ltd</t>
  </si>
  <si>
    <t>INE149A01033</t>
  </si>
  <si>
    <t>NHPC Ltd</t>
  </si>
  <si>
    <t>INE848E01016</t>
  </si>
  <si>
    <t>Tech Mahindra Ltd</t>
  </si>
  <si>
    <t>INE669C01036</t>
  </si>
  <si>
    <t>Dabur India Ltd</t>
  </si>
  <si>
    <t>INE016A01026</t>
  </si>
  <si>
    <t>Larsen &amp; Toubro Ltd</t>
  </si>
  <si>
    <t>INE018A01030</t>
  </si>
  <si>
    <t>Construction Project</t>
  </si>
  <si>
    <t>Nestle India Ltd</t>
  </si>
  <si>
    <t>INE239A01016</t>
  </si>
  <si>
    <t>Indian Hotels Co Ltd</t>
  </si>
  <si>
    <t>INE053A01029</t>
  </si>
  <si>
    <t>Hotels/ Resorts And Other Recreational Activities</t>
  </si>
  <si>
    <t>Mahindra CIE Automotive Ltd</t>
  </si>
  <si>
    <t>INE536H01010</t>
  </si>
  <si>
    <t>Indian Oil Corporation Ltd</t>
  </si>
  <si>
    <t>INE242A01010</t>
  </si>
  <si>
    <t>Himatsingka Seide Ltd</t>
  </si>
  <si>
    <t>INE049A01027</t>
  </si>
  <si>
    <t>Textile Products</t>
  </si>
  <si>
    <t>PNB Housing Finance Ltd</t>
  </si>
  <si>
    <t>INE572E01012</t>
  </si>
  <si>
    <t>GAIL (India) Ltd</t>
  </si>
  <si>
    <t>INE129A01019</t>
  </si>
  <si>
    <t>Federal Bank Ltd</t>
  </si>
  <si>
    <t>INE171A01029</t>
  </si>
  <si>
    <t>c) Portfolio Turnover Ratio during the Half - year 27-Nov-2020</t>
  </si>
  <si>
    <t>d) Average Maturity as on 27-Nov-2020</t>
  </si>
  <si>
    <t xml:space="preserve">e) During the month additional instances of fair valuation/deviation from valuation price provided by the valuation agencies </t>
  </si>
  <si>
    <t>Tata Consultancy Services Ltd</t>
  </si>
  <si>
    <t>INE467B01029</t>
  </si>
  <si>
    <t>Titan Co Ltd</t>
  </si>
  <si>
    <t>INE280A01028</t>
  </si>
  <si>
    <t>Globsyn Technologies Ltd **</t>
  </si>
  <si>
    <t>INE671B01018</t>
  </si>
  <si>
    <t>Commercial Services</t>
  </si>
  <si>
    <t>Numero Uno International Ltd **</t>
  </si>
  <si>
    <t>National Bank For Agriculture &amp; Rural Development (18-Feb-2021) **</t>
  </si>
  <si>
    <t>INE261F16504</t>
  </si>
  <si>
    <t>Tata Motors Ltd DVR</t>
  </si>
  <si>
    <t>IN9155A01020</t>
  </si>
  <si>
    <t>ITC Ltd</t>
  </si>
  <si>
    <t>INE154A01025</t>
  </si>
  <si>
    <t>Bharat Electronics Ltd</t>
  </si>
  <si>
    <t>INE263A01024</t>
  </si>
  <si>
    <t>Industrial Capital Goods</t>
  </si>
  <si>
    <t>HCL Technologies Ltd</t>
  </si>
  <si>
    <t>INE860A01027</t>
  </si>
  <si>
    <t>Oil &amp; Natural Gas Corporation Ltd</t>
  </si>
  <si>
    <t>INE213A01029</t>
  </si>
  <si>
    <t>Oil</t>
  </si>
  <si>
    <t>Tata Chemicals Ltd</t>
  </si>
  <si>
    <t>INE092A01019</t>
  </si>
  <si>
    <t>Chemicals</t>
  </si>
  <si>
    <t>Finolex Cables Ltd</t>
  </si>
  <si>
    <t>INE235A01022</t>
  </si>
  <si>
    <t>Emami Ltd</t>
  </si>
  <si>
    <t>INE548C01032</t>
  </si>
  <si>
    <t>Container Corporation Of India Ltd</t>
  </si>
  <si>
    <t>INE111A01025</t>
  </si>
  <si>
    <t>Transportation</t>
  </si>
  <si>
    <t>Equitas Holdings Ltd</t>
  </si>
  <si>
    <t>INE988K01017</t>
  </si>
  <si>
    <t>ACC Ltd</t>
  </si>
  <si>
    <t>INE012A01025</t>
  </si>
  <si>
    <t>Gulf Oil Lubricants India Ltd</t>
  </si>
  <si>
    <t>INE635Q01029</t>
  </si>
  <si>
    <t>Century Textile &amp; Industries Ltd</t>
  </si>
  <si>
    <t>INE055A01016</t>
  </si>
  <si>
    <t>Paper</t>
  </si>
  <si>
    <t>Bosch Ltd</t>
  </si>
  <si>
    <t>INE323A01026</t>
  </si>
  <si>
    <t>Vardhman Textiles Ltd</t>
  </si>
  <si>
    <t>INE825A01012</t>
  </si>
  <si>
    <t>Textiles - Cotton</t>
  </si>
  <si>
    <t>Industry Classification</t>
  </si>
  <si>
    <t>Tata Investment Corporation Ltd</t>
  </si>
  <si>
    <t>INE672A01018</t>
  </si>
  <si>
    <t>Finolex Industries Ltd</t>
  </si>
  <si>
    <t>INE183A01016</t>
  </si>
  <si>
    <t>Tata Consumer Products Ltd</t>
  </si>
  <si>
    <t>INE192A01025</t>
  </si>
  <si>
    <t>Redington (India) Ltd</t>
  </si>
  <si>
    <t>INE891D01026</t>
  </si>
  <si>
    <t>J.K. Cement Ltd</t>
  </si>
  <si>
    <t>INE823G01014</t>
  </si>
  <si>
    <t>K.P.R. Mill Ltd</t>
  </si>
  <si>
    <t>INE930H01023</t>
  </si>
  <si>
    <t>National Aluminium Co Ltd</t>
  </si>
  <si>
    <t>INE139A01034</t>
  </si>
  <si>
    <t>Ashok Leyland Ltd</t>
  </si>
  <si>
    <t>INE208A01029</t>
  </si>
  <si>
    <t>Sundaram Clayton Ltd</t>
  </si>
  <si>
    <t>INE105A01035</t>
  </si>
  <si>
    <t>Hindustan Unilever Ltd</t>
  </si>
  <si>
    <t>INE030A01027</t>
  </si>
  <si>
    <t>Dalmia Bharat Ltd</t>
  </si>
  <si>
    <t>INE00R701025</t>
  </si>
  <si>
    <t>NMDC Ltd</t>
  </si>
  <si>
    <t>INE584A01023</t>
  </si>
  <si>
    <t>Cyient Ltd</t>
  </si>
  <si>
    <t>INE136B01020</t>
  </si>
  <si>
    <t>CESC Ltd</t>
  </si>
  <si>
    <t>INE486A01013</t>
  </si>
  <si>
    <t>(b) Units of Real Estate Investment Trusts (REITs)</t>
  </si>
  <si>
    <t>Embassy Office Parks REIT</t>
  </si>
  <si>
    <t>INE041025011</t>
  </si>
  <si>
    <t>Foreign Equity Securities</t>
  </si>
  <si>
    <t>Xinyi Solar Holdings Ltd</t>
  </si>
  <si>
    <t>KYG9829N1025</t>
  </si>
  <si>
    <t>US9047677045</t>
  </si>
  <si>
    <t>Aramex PJSC</t>
  </si>
  <si>
    <t>AEA002301017</t>
  </si>
  <si>
    <t>Novatek Microelectronics Corp. Ltd</t>
  </si>
  <si>
    <t>TW0003034005</t>
  </si>
  <si>
    <t>Semiconductors</t>
  </si>
  <si>
    <t>Travelsky Technology Ltd, H</t>
  </si>
  <si>
    <t>CNE1000004J3</t>
  </si>
  <si>
    <t>Xtep International Holdings Ltd</t>
  </si>
  <si>
    <t>KYG982771092</t>
  </si>
  <si>
    <t>Primax Electronics Ltd</t>
  </si>
  <si>
    <t>TW0004915004</t>
  </si>
  <si>
    <t>Hardware</t>
  </si>
  <si>
    <t>Mahle-Metal Leve S A</t>
  </si>
  <si>
    <t>BRLEVEACNOR2</t>
  </si>
  <si>
    <t>Fanhua Inc, (ADR)</t>
  </si>
  <si>
    <t>US30712A1034</t>
  </si>
  <si>
    <t>Info Edge (India) Ltd</t>
  </si>
  <si>
    <t>INE663F01024</t>
  </si>
  <si>
    <t>Larsen &amp; Toubro Infotech Ltd</t>
  </si>
  <si>
    <t>INE214T01019</t>
  </si>
  <si>
    <t>Happiest Minds Technologies Ltd</t>
  </si>
  <si>
    <t>INE419U01012</t>
  </si>
  <si>
    <t>Indiamart Intermesh Ltd</t>
  </si>
  <si>
    <t>INE933S01016</t>
  </si>
  <si>
    <t>JustDial Ltd</t>
  </si>
  <si>
    <t>INE599M01018</t>
  </si>
  <si>
    <t>Brillio Technologies Pvt Ltd **</t>
  </si>
  <si>
    <t>Makemytrip Ltd</t>
  </si>
  <si>
    <t>MU0295S00016</t>
  </si>
  <si>
    <t>Taiwan Semiconductor Manufacturing Co. Ltd</t>
  </si>
  <si>
    <t>TW0002330008</t>
  </si>
  <si>
    <t>Samsung Electronics Co. Ltd</t>
  </si>
  <si>
    <t>KR7005930003</t>
  </si>
  <si>
    <t>Twitter Inc.</t>
  </si>
  <si>
    <t>US90184L1026</t>
  </si>
  <si>
    <t>Qualcomm Inc.</t>
  </si>
  <si>
    <t>US7475251036</t>
  </si>
  <si>
    <t>Telecom -  Equipment &amp; Accessories</t>
  </si>
  <si>
    <t>Mediatek Inc</t>
  </si>
  <si>
    <t>TW0002454006</t>
  </si>
  <si>
    <t>Salesforce.Com Inc</t>
  </si>
  <si>
    <t>US79466L3024</t>
  </si>
  <si>
    <t xml:space="preserve">Software                                </t>
  </si>
  <si>
    <t>Nvidia Corp</t>
  </si>
  <si>
    <t>US67066G1040</t>
  </si>
  <si>
    <t>Alphabet Inc</t>
  </si>
  <si>
    <t>US02079K3059</t>
  </si>
  <si>
    <t>Sunny Optical Technology Group Co. Ltd</t>
  </si>
  <si>
    <t>KYG8586D1097</t>
  </si>
  <si>
    <t>Intel Corp</t>
  </si>
  <si>
    <t>US4581401001</t>
  </si>
  <si>
    <t>Microsoft Corp</t>
  </si>
  <si>
    <t>US5949181045</t>
  </si>
  <si>
    <t>Foreign Mutual Fund Units</t>
  </si>
  <si>
    <t>Franklin Technology Fund, Class I (Acc)</t>
  </si>
  <si>
    <t>LU0626261944</t>
  </si>
  <si>
    <t>Foreign Mutual Fund</t>
  </si>
  <si>
    <t>Deepak Nitrite Ltd</t>
  </si>
  <si>
    <t>INE288B01029</t>
  </si>
  <si>
    <t>Brigade Enterprises Ltd</t>
  </si>
  <si>
    <t>INE791I01019</t>
  </si>
  <si>
    <t>Construction</t>
  </si>
  <si>
    <t>J.B. Chemicals &amp; Pharmaceuticals Ltd</t>
  </si>
  <si>
    <t>INE572A01028</t>
  </si>
  <si>
    <t>Blue Star Ltd</t>
  </si>
  <si>
    <t>INE472A01039</t>
  </si>
  <si>
    <t>Nesco Ltd</t>
  </si>
  <si>
    <t>INE317F01035</t>
  </si>
  <si>
    <t>CCL Products (India) Ltd</t>
  </si>
  <si>
    <t>INE421D01022</t>
  </si>
  <si>
    <t>Jyothy Labs Ltd</t>
  </si>
  <si>
    <t>INE668F01031</t>
  </si>
  <si>
    <t>Quess Corp Ltd</t>
  </si>
  <si>
    <t>INE615P01015</t>
  </si>
  <si>
    <t>Services</t>
  </si>
  <si>
    <t>Eris Lifesciences Ltd</t>
  </si>
  <si>
    <t>INE406M01024</t>
  </si>
  <si>
    <t>Atul Ltd</t>
  </si>
  <si>
    <t>INE100A01010</t>
  </si>
  <si>
    <t>DCB Bank Ltd</t>
  </si>
  <si>
    <t>INE503A01015</t>
  </si>
  <si>
    <t>Teamlease Services Ltd</t>
  </si>
  <si>
    <t>INE985S01024</t>
  </si>
  <si>
    <t>TTK Prestige Ltd</t>
  </si>
  <si>
    <t>INE690A01010</t>
  </si>
  <si>
    <t>Carborundum Universal Ltd</t>
  </si>
  <si>
    <t>INE120A01034</t>
  </si>
  <si>
    <t>Cholamandalam Investment and Finance Co Ltd</t>
  </si>
  <si>
    <t>INE121A01024</t>
  </si>
  <si>
    <t>Navneet Education Ltd</t>
  </si>
  <si>
    <t>INE060A01024</t>
  </si>
  <si>
    <t>Sobha Ltd</t>
  </si>
  <si>
    <t>INE671H01015</t>
  </si>
  <si>
    <t>Metropolis Healthcare Ltd</t>
  </si>
  <si>
    <t>INE112L01020</t>
  </si>
  <si>
    <t>Healthcare Services</t>
  </si>
  <si>
    <t>Tube Investments of India Ltd</t>
  </si>
  <si>
    <t>INE974X01010</t>
  </si>
  <si>
    <t>Multi Commodity Exchange Of India Ltd</t>
  </si>
  <si>
    <t>INE745G01035</t>
  </si>
  <si>
    <t>Narayana Hrudayalaya Ltd</t>
  </si>
  <si>
    <t>INE410P01011</t>
  </si>
  <si>
    <t>Ahluwalia Contracts (India) Ltd</t>
  </si>
  <si>
    <t>INE758C01029</t>
  </si>
  <si>
    <t>City Union Bank Ltd</t>
  </si>
  <si>
    <t>INE491A01021</t>
  </si>
  <si>
    <t>KNR Constructions Ltd</t>
  </si>
  <si>
    <t>INE634I01029</t>
  </si>
  <si>
    <t>JK Lakshmi Cement Ltd</t>
  </si>
  <si>
    <t>INE786A01032</t>
  </si>
  <si>
    <t>Lemon Tree Hotels Ltd</t>
  </si>
  <si>
    <t>INE970X01018</t>
  </si>
  <si>
    <t>V.I.P. Industries Ltd</t>
  </si>
  <si>
    <t>INE054A01027</t>
  </si>
  <si>
    <t>GHCL Ltd</t>
  </si>
  <si>
    <t>INE539A01019</t>
  </si>
  <si>
    <t>Ramkrishna Forgings Ltd</t>
  </si>
  <si>
    <t>INE399G01015</t>
  </si>
  <si>
    <t>Music Broadcast Ltd</t>
  </si>
  <si>
    <t>INE919I01024</t>
  </si>
  <si>
    <t>TV Today Network Ltd</t>
  </si>
  <si>
    <t>INE038F01029</t>
  </si>
  <si>
    <t>KPIT Technologies Ltd</t>
  </si>
  <si>
    <t>INE04I401011</t>
  </si>
  <si>
    <t>CARE Ratings Ltd</t>
  </si>
  <si>
    <t>INE752H01013</t>
  </si>
  <si>
    <t>Ashoka Buildcon Ltd</t>
  </si>
  <si>
    <t>INE442H01029</t>
  </si>
  <si>
    <t>Equitas Small Finance Bank Ltd</t>
  </si>
  <si>
    <t>INE063P01018</t>
  </si>
  <si>
    <t>M M Forgings Ltd</t>
  </si>
  <si>
    <t>INE227C01017</t>
  </si>
  <si>
    <t>Techno Electric &amp; Engineering Co Ltd</t>
  </si>
  <si>
    <t>INE285K01026</t>
  </si>
  <si>
    <t>Inox Leisure Ltd</t>
  </si>
  <si>
    <t>INE312H01016</t>
  </si>
  <si>
    <t>Shankara Building Products Ltd</t>
  </si>
  <si>
    <t>INE274V01019</t>
  </si>
  <si>
    <t>Majesco Ltd</t>
  </si>
  <si>
    <t>INE898S01029</t>
  </si>
  <si>
    <t>Sanghi Industries Ltd</t>
  </si>
  <si>
    <t>INE999B01013</t>
  </si>
  <si>
    <t>Schaeffler India Ltd</t>
  </si>
  <si>
    <t>INE513A01014</t>
  </si>
  <si>
    <t>HT Media Ltd</t>
  </si>
  <si>
    <t>INE501G01024</t>
  </si>
  <si>
    <t>Pennar Industries Ltd</t>
  </si>
  <si>
    <t>INE932A01024</t>
  </si>
  <si>
    <t>Himadri Speciality Chemical Ltd</t>
  </si>
  <si>
    <t>INE019C01026</t>
  </si>
  <si>
    <t>The Ramco Cements Ltd</t>
  </si>
  <si>
    <t>INE331A01037</t>
  </si>
  <si>
    <t>Crompton Greaves Consumer Electricals Ltd</t>
  </si>
  <si>
    <t>INE299U01018</t>
  </si>
  <si>
    <t>Aarti Industries Ltd</t>
  </si>
  <si>
    <t>INE769A01020</t>
  </si>
  <si>
    <t>Trent Ltd</t>
  </si>
  <si>
    <t>INE849A01020</t>
  </si>
  <si>
    <t>Apollo Hospitals Enterprise Ltd</t>
  </si>
  <si>
    <t>INE437A01024</t>
  </si>
  <si>
    <t>Apollo Tyres Ltd</t>
  </si>
  <si>
    <t>INE438A01022</t>
  </si>
  <si>
    <t>Sundaram Finance Ltd</t>
  </si>
  <si>
    <t>INE660A01013</t>
  </si>
  <si>
    <t>PI Industries Ltd</t>
  </si>
  <si>
    <t>INE603J01030</t>
  </si>
  <si>
    <t>Pesticides</t>
  </si>
  <si>
    <t>SKF India Ltd</t>
  </si>
  <si>
    <t>INE640A01023</t>
  </si>
  <si>
    <t>Oberoi Realty Ltd</t>
  </si>
  <si>
    <t>INE093I01010</t>
  </si>
  <si>
    <t>Coromandel International Ltd</t>
  </si>
  <si>
    <t>INE169A01031</t>
  </si>
  <si>
    <t>Fertilisers</t>
  </si>
  <si>
    <t>RBL Bank Ltd</t>
  </si>
  <si>
    <t>INE976G01028</t>
  </si>
  <si>
    <t>Sundram Fasteners Ltd</t>
  </si>
  <si>
    <t>INE387A01021</t>
  </si>
  <si>
    <t>AIA Engineering Ltd</t>
  </si>
  <si>
    <t>INE212H01026</t>
  </si>
  <si>
    <t>Mphasis Ltd</t>
  </si>
  <si>
    <t>INE356A01018</t>
  </si>
  <si>
    <t>Kajaria Ceramics Ltd</t>
  </si>
  <si>
    <t>INE217B01036</t>
  </si>
  <si>
    <t>Gland Pharma Ltd</t>
  </si>
  <si>
    <t>INE068V01023</t>
  </si>
  <si>
    <t>EPL Ltd</t>
  </si>
  <si>
    <t>INE255A01020</t>
  </si>
  <si>
    <t>Bharat Forge Ltd</t>
  </si>
  <si>
    <t>INE465A01025</t>
  </si>
  <si>
    <t>Phoenix Mills Ltd</t>
  </si>
  <si>
    <t>INE211B01039</t>
  </si>
  <si>
    <t>IPCA Laboratories Ltd</t>
  </si>
  <si>
    <t>INE571A01020</t>
  </si>
  <si>
    <t>Asian Paints Ltd</t>
  </si>
  <si>
    <t>INE021A01026</t>
  </si>
  <si>
    <t>GTPL Hathway Ltd</t>
  </si>
  <si>
    <t>INE869I01013</t>
  </si>
  <si>
    <t>Caplin Point Laboratories Ltd</t>
  </si>
  <si>
    <t>INE475E01026</t>
  </si>
  <si>
    <t>Kalyani Invest Co Ltd</t>
  </si>
  <si>
    <t>INE029L01018</t>
  </si>
  <si>
    <t>Quantum Information Services **</t>
  </si>
  <si>
    <t>INE696201123</t>
  </si>
  <si>
    <t>Chennai Interactive Business Services Pvt Ltd **</t>
  </si>
  <si>
    <t>Ultratech Cement Ltd</t>
  </si>
  <si>
    <t>INE481G01011</t>
  </si>
  <si>
    <t>Lupin Ltd</t>
  </si>
  <si>
    <t>INE326A01037</t>
  </si>
  <si>
    <t>Interglobe Aviation Ltd</t>
  </si>
  <si>
    <t>INE646L01027</t>
  </si>
  <si>
    <t>KEI Industries Ltd</t>
  </si>
  <si>
    <t>INE878B01027</t>
  </si>
  <si>
    <t>Orient Cement Ltd</t>
  </si>
  <si>
    <t>INE876N01018</t>
  </si>
  <si>
    <t>Spicejet Ltd</t>
  </si>
  <si>
    <t>INE285B01017</t>
  </si>
  <si>
    <t>Somany Ceramics Ltd</t>
  </si>
  <si>
    <t>INE355A01028</t>
  </si>
  <si>
    <t>ITD Cementation India Ltd</t>
  </si>
  <si>
    <t>INE686A01026</t>
  </si>
  <si>
    <t>United Spirits Ltd</t>
  </si>
  <si>
    <t>INE854D01024</t>
  </si>
  <si>
    <t>Hindustan Aeronautics Ltd</t>
  </si>
  <si>
    <t>INE066F01012</t>
  </si>
  <si>
    <t>Aerospace &amp; Defense</t>
  </si>
  <si>
    <t>Marico Ltd</t>
  </si>
  <si>
    <t>INE196A01026</t>
  </si>
  <si>
    <t>ICICI Prudential Life Insurance Co Ltd</t>
  </si>
  <si>
    <t>INE726G01019</t>
  </si>
  <si>
    <t>Sun Pharmaceutical Industries Ltd</t>
  </si>
  <si>
    <t>INE044A01036</t>
  </si>
  <si>
    <t>Aditya Birla Capital Ltd</t>
  </si>
  <si>
    <t>INE674K01013</t>
  </si>
  <si>
    <t>Gujarat Pipavav Port Ltd</t>
  </si>
  <si>
    <t>INE517F01014</t>
  </si>
  <si>
    <t>Bata India Ltd</t>
  </si>
  <si>
    <t>INE176A01028</t>
  </si>
  <si>
    <t>Arvind Fashions Ltd</t>
  </si>
  <si>
    <t>INE955V01021</t>
  </si>
  <si>
    <t>Vodafone Idea Ltd</t>
  </si>
  <si>
    <t>INE669E01016</t>
  </si>
  <si>
    <t>Quantum Information Systems **</t>
  </si>
  <si>
    <t>IndusInd Bank Ltd</t>
  </si>
  <si>
    <t>INE095A01012</t>
  </si>
  <si>
    <t>NRB Bearings Ltd</t>
  </si>
  <si>
    <t>INE349A01021</t>
  </si>
  <si>
    <t>Ambuja Cements Ltd</t>
  </si>
  <si>
    <t>INE079A01024</t>
  </si>
  <si>
    <t>Puravankara Ltd</t>
  </si>
  <si>
    <t>INE323I01011</t>
  </si>
  <si>
    <t>Gateway Distriparks Ltd</t>
  </si>
  <si>
    <t>INE852F01015</t>
  </si>
  <si>
    <t>The New India Assurance Co Ltd</t>
  </si>
  <si>
    <t>INE470Y01017</t>
  </si>
  <si>
    <t>Hindustan Media Vent Ltd</t>
  </si>
  <si>
    <t>INE871K01015</t>
  </si>
  <si>
    <t>Godrej Properties Ltd</t>
  </si>
  <si>
    <t>INE484J01027</t>
  </si>
  <si>
    <t>Motilal Oswal Financial Services Ltd</t>
  </si>
  <si>
    <t>INE338I01027</t>
  </si>
  <si>
    <t>Tencent Holdings Ltd</t>
  </si>
  <si>
    <t>KYG875721634</t>
  </si>
  <si>
    <t>Alibaba Group Holding Ltd (ADR)</t>
  </si>
  <si>
    <t>US01609W1027</t>
  </si>
  <si>
    <t>AIA Group Ltd</t>
  </si>
  <si>
    <t>HK0000069689</t>
  </si>
  <si>
    <t>Meituan Dianping</t>
  </si>
  <si>
    <t>KYG596691041</t>
  </si>
  <si>
    <t>Ping An Insurance (Group) Co. Of China Ltd, H</t>
  </si>
  <si>
    <t>CNE1000003X6</t>
  </si>
  <si>
    <t>Naver Corp</t>
  </si>
  <si>
    <t>KR7035420009</t>
  </si>
  <si>
    <t>China Mengniu Dairy Co. Ltd</t>
  </si>
  <si>
    <t>KYG210961051</t>
  </si>
  <si>
    <t>New Oriental Education &amp; Technology Group Inc, (ADR)</t>
  </si>
  <si>
    <t>US6475811070</t>
  </si>
  <si>
    <t>Diversified Consumer Service</t>
  </si>
  <si>
    <t>Semen Indonesia (Persero) Tbk PT</t>
  </si>
  <si>
    <t>ID1000106800</t>
  </si>
  <si>
    <t>China Merchants Bank Co Ltd</t>
  </si>
  <si>
    <t>CNE1000002M1</t>
  </si>
  <si>
    <t>Bank Central Asia Tbk Pt</t>
  </si>
  <si>
    <t>ID1000109507</t>
  </si>
  <si>
    <t>Techtronic Industries Co. Ltd</t>
  </si>
  <si>
    <t>HK0669013440</t>
  </si>
  <si>
    <t>Budweiser Brewing Co APAC Ltd</t>
  </si>
  <si>
    <t>KYG1674K1013</t>
  </si>
  <si>
    <t>Kweichow Moutai Co. Ltd, A</t>
  </si>
  <si>
    <t>CNE0000018R8</t>
  </si>
  <si>
    <t>Midea Group Co Ltd</t>
  </si>
  <si>
    <t>CNE100001QQ5</t>
  </si>
  <si>
    <t>China Resources Land Ltd</t>
  </si>
  <si>
    <t>KYG2108Y1052</t>
  </si>
  <si>
    <t>Alibaba Health Information Technology Ltd</t>
  </si>
  <si>
    <t>BMG0171K1018</t>
  </si>
  <si>
    <t>Indocement Tunggal Prakarsa Tbk Pt</t>
  </si>
  <si>
    <t>ID1000061302</t>
  </si>
  <si>
    <t>SM Investments Corp</t>
  </si>
  <si>
    <t>PHY806761029</t>
  </si>
  <si>
    <t>Country Garden Services Holdings Co Ltd</t>
  </si>
  <si>
    <t>KYG2453A1085</t>
  </si>
  <si>
    <t>CNOOC Ltd</t>
  </si>
  <si>
    <t>HK0883013259</t>
  </si>
  <si>
    <t>China Resources Cement Holdings Ltd</t>
  </si>
  <si>
    <t>KYG2113L1068</t>
  </si>
  <si>
    <t>JD.Com Inc</t>
  </si>
  <si>
    <t>KYG8208B1014</t>
  </si>
  <si>
    <t>ACE Hardware Indonesia Tbk Pt</t>
  </si>
  <si>
    <t>ID1000125503</t>
  </si>
  <si>
    <t>Yum China Holdings INC</t>
  </si>
  <si>
    <t>US98850P1093</t>
  </si>
  <si>
    <t>Trip.Com Group Ltd, (ADR)</t>
  </si>
  <si>
    <t>US89677Q1076</t>
  </si>
  <si>
    <t>SK Hynix Inc</t>
  </si>
  <si>
    <t>KR7000660001</t>
  </si>
  <si>
    <t>The Siam Cement PCL, Fgn.</t>
  </si>
  <si>
    <t>TH0003010Z12</t>
  </si>
  <si>
    <t>Sea Ltd (ADR)</t>
  </si>
  <si>
    <t>US81141R1005</t>
  </si>
  <si>
    <t>Minor International Pcl, Fgn.</t>
  </si>
  <si>
    <t>TH0128B10Z17</t>
  </si>
  <si>
    <t>Beijing Oriental Yuhong Waterproof Technology Co Ltd</t>
  </si>
  <si>
    <t>CNE100000CS3</t>
  </si>
  <si>
    <t>Engineering Services</t>
  </si>
  <si>
    <t>Samsonite International S A</t>
  </si>
  <si>
    <t>LU0633102719</t>
  </si>
  <si>
    <t>Largan Precision Co. Ltd</t>
  </si>
  <si>
    <t>TW0003008009</t>
  </si>
  <si>
    <t>Singapore Technologies Engineering Ltd</t>
  </si>
  <si>
    <t>SG1F60858221</t>
  </si>
  <si>
    <t>Longi Green Energy Technology Co Ltd</t>
  </si>
  <si>
    <t>CNE100001FR6</t>
  </si>
  <si>
    <t>Health &amp; Happiness H&amp;H International Holdings Ltd</t>
  </si>
  <si>
    <t>KYG4387E1070</t>
  </si>
  <si>
    <t>Minor International PCL- Warrants (31-July-2023)</t>
  </si>
  <si>
    <t>TH0128053707</t>
  </si>
  <si>
    <t>Minor International PCL- Warrants (30-Sep-2021)</t>
  </si>
  <si>
    <t>TH0128051909</t>
  </si>
  <si>
    <t>Reliance Industries Ltd</t>
  </si>
  <si>
    <t>INE002A01018</t>
  </si>
  <si>
    <t>Bajaj Finance Ltd</t>
  </si>
  <si>
    <t>INE296A01024</t>
  </si>
  <si>
    <t>Bajaj Finserv Ltd</t>
  </si>
  <si>
    <t>INE918I01018</t>
  </si>
  <si>
    <t>Wipro Ltd</t>
  </si>
  <si>
    <t>INE075A01022</t>
  </si>
  <si>
    <t>HDFC Life Insurance Co Ltd</t>
  </si>
  <si>
    <t>INE795G01014</t>
  </si>
  <si>
    <t>Divi's Laboratories Ltd</t>
  </si>
  <si>
    <t>INE361B01024</t>
  </si>
  <si>
    <t>Britannia Industries Ltd</t>
  </si>
  <si>
    <t>INE216A01030</t>
  </si>
  <si>
    <t>Hero MotoCorp Ltd</t>
  </si>
  <si>
    <t>INE158A01026</t>
  </si>
  <si>
    <t>Cipla Ltd</t>
  </si>
  <si>
    <t>INE059A01026</t>
  </si>
  <si>
    <t>JSW Steel Ltd</t>
  </si>
  <si>
    <t>INE019A01038</t>
  </si>
  <si>
    <t>Eicher Motors Ltd</t>
  </si>
  <si>
    <t>INE066A01021</t>
  </si>
  <si>
    <t>Shree Cement Ltd</t>
  </si>
  <si>
    <t>INE070A01015</t>
  </si>
  <si>
    <t>SBI Life Insurance Co Ltd</t>
  </si>
  <si>
    <t>INE123W01016</t>
  </si>
  <si>
    <t>Adani Ports and Special Economic Zone Ltd</t>
  </si>
  <si>
    <t>INE742F01042</t>
  </si>
  <si>
    <t>UPL Ltd</t>
  </si>
  <si>
    <t>INE628A01036</t>
  </si>
  <si>
    <t>Yes Bank Ltd</t>
  </si>
  <si>
    <t>INE528G01035</t>
  </si>
  <si>
    <t>Prestige Estates Projects Ltd</t>
  </si>
  <si>
    <t>INE811K01011</t>
  </si>
  <si>
    <t>Franklin U.S. Opportunities Fund, Class I (Acc)</t>
  </si>
  <si>
    <t>LU0195948665</t>
  </si>
  <si>
    <t>Templeton European Opportunities Fund, Class I (Acc)</t>
  </si>
  <si>
    <t>LU0195949390</t>
  </si>
  <si>
    <t>Mutual Fund Units</t>
  </si>
  <si>
    <t>Franklin India Bluechip Fund Direct-Growth Plan</t>
  </si>
  <si>
    <t>INF090I01FN7</t>
  </si>
  <si>
    <t>Franklin India Short-Term Income Plan (No. of Segregated Portfolios in the Scheme- 3) - (under winding up) Direct-Growth Plan ^^</t>
  </si>
  <si>
    <t>INF090I01GK1</t>
  </si>
  <si>
    <t>Nippon India ETF Gold Bees</t>
  </si>
  <si>
    <t>INF204KB17I5</t>
  </si>
  <si>
    <t>Franklin India Short Term Income Plan- Segregated Portfolio 2- 10.90% Vodafone Idea Ltd 02Sep2023 (P/C 03Sep2021)-Direct-Growth Plan</t>
  </si>
  <si>
    <t>INF090I01UY3</t>
  </si>
  <si>
    <t>Franklin India Short Term Income Plan-Segregated Portfolio 3- 9.50% Yes Bank Ltd CO 23Dec21-Direct-Growth Plan</t>
  </si>
  <si>
    <t>INF090I01VS3</t>
  </si>
  <si>
    <t>Franklin India Savings Fund Direct-Growth Plan</t>
  </si>
  <si>
    <t>INF090I01GV8</t>
  </si>
  <si>
    <t>Templeton India Value Fund Direct-Growth Plan</t>
  </si>
  <si>
    <t>INF090I01GY2</t>
  </si>
  <si>
    <t xml:space="preserve">      Dividend Option</t>
  </si>
  <si>
    <t xml:space="preserve">      Direct Dividend Option</t>
  </si>
  <si>
    <t>Franklin India Corporate Debt Fund Direct-Growth Plan</t>
  </si>
  <si>
    <t>INF090I01FW8</t>
  </si>
  <si>
    <t>Franklin India Dynamic Accrual Fund (No. of Segregated Portfolios in the Scheme- 3) - (under winding up) Direct-Growth Plan ^^</t>
  </si>
  <si>
    <t>INF090I01HB8</t>
  </si>
  <si>
    <t>Franklin India Dynamic Accrual Fund- Segregated Portfolio 2- 10.90% Vodafone Idea Ltd 02Sep2023 (P/C 03Sep2021)-Direct-Growth Plan</t>
  </si>
  <si>
    <t>INF090I01TX7</t>
  </si>
  <si>
    <t>Franklin India Dynamic Accrual Fund- Segregated Portfolio 3- 9.50% Yes Bank Ltd CO 23Dec21-Direct-Growth Plan</t>
  </si>
  <si>
    <t>INF090I01WD3</t>
  </si>
  <si>
    <t>Franklin India Prima Fund Direct-Growth Plan</t>
  </si>
  <si>
    <t>INF090I01FH9</t>
  </si>
  <si>
    <t>Franklin India Equity Fund Direct-Growth Plan</t>
  </si>
  <si>
    <t>INF090I01FK3</t>
  </si>
  <si>
    <t>^^ Securities are fair Valued</t>
  </si>
  <si>
    <t>Mutual Fund Units / ETF</t>
  </si>
  <si>
    <t>Franklin India Feeder - Templeton European Opportunities Fund ^</t>
  </si>
  <si>
    <t>^ Franklin India Feeder - Franklin European Growth Fund is renamed as Franklin India Feeder - Templeton European Opportunities Fund effective Aug 18, 2020.</t>
  </si>
  <si>
    <t>Unilever PLC (ADR)</t>
  </si>
  <si>
    <t>## Awaiting Listing</t>
  </si>
  <si>
    <t>% to Net Assets(Hedged &amp; Unhedged)</t>
  </si>
  <si>
    <t>% to Net Assets Derivative</t>
  </si>
  <si>
    <t>Margin on Derivatives</t>
  </si>
  <si>
    <t xml:space="preserve"> $$ Indicates securties below investment grade or default</t>
  </si>
  <si>
    <t xml:space="preserve">b) During the month additional instances of fair valuation/deviation from valuation price provided by the valuation agencies </t>
  </si>
  <si>
    <t>https://www.franklintempletonindia.com/investor/reports?firstFilter-4</t>
  </si>
  <si>
    <t>N..A **</t>
  </si>
  <si>
    <t>** Plan closed effective 09 July 2020</t>
  </si>
  <si>
    <t>** Plan closed effective 19 June 2020</t>
  </si>
  <si>
    <t>e) For ISIN INE445K07106 - 9.50% Reliance Broadcast Network Ltd (20-Jul-2020), the amount due at maturity was not received. For further details refer below link</t>
  </si>
  <si>
    <t>https://www.franklintempletonindia.com/downloadsServlet/pdf/franklin-templeton-update-on-reliance-broadcast-july-23-2020-kcg9m1gq</t>
  </si>
  <si>
    <t>^^ Securities are fair valued. This amount only reflects the realizable value as on the date of disclosure and does not indicate any reduction or write-off of the amount repayable by the issuers.</t>
  </si>
  <si>
    <t>https://www.franklintempletonindia.com/downloadsServlet/pdf/franklin-templeton-update-on-future-group-july-31-2020-kd193hq1</t>
  </si>
  <si>
    <t>https://www.franklintempletonindia.com/downloadsServlet/pdf/franklin-templeton-update-on-future-group-aug-31-2020-kegstinm</t>
  </si>
  <si>
    <t>g)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</si>
  <si>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</si>
  <si>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e)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</si>
  <si>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f) For ISIN INE445K07106 - 9.50% Reliance Broadcast Network Ltd (20-Jul-2020), the amount due at maturity was not received. For further details refer below link</t>
  </si>
  <si>
    <t>g) @@@ Coupons/ part payments/ maturity payments were due to be paid by Nufuture Digital (India) Ltd. &amp; Future Ideas Co Ltd. on July 31, 2020, by Rivaaz Trade Ventures Pvt. Ltd on August 31, 2020, by Nufuture Digital (India) Ltd on September 02, 2020, by Rivaaz Trade Ventures Pvt. Ltd and Nufuture Digital (India) Ltd on September 30, 2020, and by Rivaaz Trade Ventures Pvt. Ltd on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</si>
  <si>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h) Post the creation of the segregated portfolio i.e. 8.25% Vodafone Idea Ltd 10JUL20 - Segregated Portfolio 1 on January 24, 2020, the annual coupon due and the full principal due along with the interest was received by the segregated portfolio on June 12, 2020 and July 10, 2020 respectively. With these receipts, the segregated portfolio completed full recovery on July 10, 2020.</t>
  </si>
  <si>
    <t>CARE (withdrawn)/ ICRA D (hyb)</t>
  </si>
  <si>
    <t>e) @@@ On July 31, 2020, coupons/ part payments were due to be paid by Nufuture Digital (India) Ltd. and Future Ideas Co Ltd. and on August 31, 2020 by Rivaaz Trade Ventures Pvt. Ltd. However, these issuers were unable to meet their payment obligations. Due to default in payment, the securities of these issuers are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</si>
  <si>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f) @@@ Coupons/ part payments/ maturity payments were due to be paid by Nufuture Digital (India) Ltd. &amp; Future Ideas Co Ltd. on July 31, 2020, by Rivaaz Trade Ventures Pvt. Ltd on August 31, 2020, by Nufuture Digital (India) Ltd on September 02, 2020 and by Future Ideas Co. Ltd on September 30,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</si>
  <si>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e) Essel Infra Projects Ltd - Further to the favorable decision from the Delhi High Court, the Debenture Trustees have recovered Rs. 11,208.06 Lakhs (across the 4 schemes) from sale of few pledged shares. We will continue our efforts to recover the maximum value for the benefit of the unitholders. Recovery made by Franklin India Dynamic Accrual Fund is 445.27 Lakh.</t>
  </si>
  <si>
    <t>@@@ Coupons/ part payments/ maturity payments were due to be paid by Nufuture Digital (India) Ltd. &amp; Future Ideas Co Ltd. on July 31, 2020, by Rivaaz Trade Ventures Pvt. Ltd on August 31, 2020 , by Nufuture Digital (India) Ltd on September 02, 2020, by Future Ideas Co Ltd &amp; Rivaaz Trade Ventures Pvt. Ltd on September 30, 2020 and by Rivaaz Trade Ventures Pvt. Ltd on November 7, 2020. However, these issuers were unable to meet their payment obligations. Due to default in payment, the securities of these issuers were valued at zero basis the AMFI standard haircut matrix. This amount only reflects the realizable value as on the date of disclosure and does not indicate any reduction or write-off of the amount repayable by the issuers. For more details kindly refer to the note for July 31, 2020 and note for August 31, 2020 on our website.</t>
  </si>
  <si>
    <t>e) Essel Infra Projects Ltd -  Further to the favorable decision from the Delhi High Court, the Debenture Trustees have recovered Rs. 11,208.06 Lakhs (across the 4 schemes) from sale of few pledged shares. We will continue our efforts to recover the maximum value for the benefit of the unitholders. Recovery made by Franklin India Low Duration Fund is 5,326.82 Lakhs.</t>
  </si>
  <si>
    <t>e) Essel Infra Projects Ltd - Further to the favorable decision from the Delhi High Court, the Debenture Trustees have recovered Rs. 11,208.06 Lakhs (across the 4 schemes) from sale of few pledged shares. We will continue our efforts to recover the maximum value for the benefit of the unitholders. Recovery made by Franklin India Short-Term Income Plan is 3,551.94 Lakh.</t>
  </si>
  <si>
    <t>e) Essel Infra Projects Ltd - Further to the favorable decision from the Delhi High Court, the Debenture Trustees have recovered Rs. 11,208.06 Lakhs (across the 4 schemes) from sale of few pledged shares. We will continue our efforts to recover the maximum value for the benefit of the unitholders. Recovery made by Franklin India Credit Risk Fund is 1,884.03 Lakh.</t>
  </si>
  <si>
    <t xml:space="preserve">(b) Unlisted </t>
  </si>
  <si>
    <t>d) Outstanding derivative exposure as % to net assets</t>
  </si>
  <si>
    <t xml:space="preserve">c) Total outstanding position (as at November 27, 2020) in Derivative Instruments (Gross Notional) </t>
  </si>
  <si>
    <t>Rs.4,187.97 Lacs</t>
  </si>
  <si>
    <t>e) Portfolio Turnover Ratio during the Half - year 27-Nov-2020</t>
  </si>
  <si>
    <t>f) Average Maturity as on 27-Nov-2020</t>
  </si>
  <si>
    <t xml:space="preserve">g) During the month additional instances of fair valuation/deviation from valuation price provided by the valuation agencies </t>
  </si>
  <si>
    <t>China Resources Mixc Lifestyle Services Ltd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</si>
</sst>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
  </numFmts>
  <fonts count="12" x14ac:knownFonts="1">
    <font>
      <sz val="11"/>
      <color theme="1"/>
      <name val="Calibri"/>
      <family val="2"/>
      <scheme val="minor"/>
    </font>
    <font>
      <b/>
      <sz val="9"/>
      <name val="Arial"/>
      <family val="2"/>
    </font>
    <font>
      <sz val="9"/>
      <name val="Arial"/>
      <family val="2"/>
    </font>
    <font>
      <b/>
      <sz val="8"/>
      <name val="Arial"/>
      <family val="2"/>
    </font>
    <font>
      <b/>
      <sz val="11"/>
      <color indexed="63"/>
      <name val="Arial"/>
      <family val="2"/>
    </font>
    <font>
      <sz val="9"/>
      <color theme="1"/>
      <name val="Arial"/>
      <family val="2"/>
    </font>
    <font>
      <b/>
      <sz val="8"/>
      <color theme="1"/>
      <name val="Arial"/>
      <family val="2"/>
    </font>
    <font>
      <sz val="8"/>
      <color theme="1"/>
      <name val="Arial"/>
      <family val="2"/>
    </font>
    <font>
      <b/>
      <sz val="9"/>
      <color theme="1"/>
      <name val="Arial"/>
      <family val="2"/>
    </font>
    <font>
      <u/>
      <sz val="11"/>
      <color theme="10"/>
      <name val="Calibri"/>
      <family val="2"/>
      <scheme val="minor"/>
    </font>
    <font>
      <u/>
      <sz val="8"/>
      <color theme="10"/>
      <name val="Arial"/>
      <family val="2"/>
    </font>
    <font>
      <sz val="8"/>
      <name val="Arial"/>
      <family val="2"/>
    </font>
  </fonts>
  <fills count="5">
    <fill>
      <patternFill patternType="none"/>
    </fill>
    <fill>
      <patternFill patternType="gray125"/>
    </fill>
    <fill>
      <patternFill patternType="solid">
        <fgColor indexed="65"/>
        <bgColor indexed="64"/>
      </patternFill>
    </fill>
    <fill>
      <patternFill patternType="solid">
        <fgColor theme="0"/>
        <bgColor indexed="64"/>
      </patternFill>
    </fill>
    <fill>
      <patternFill patternType="solid">
        <fgColor theme="0"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82">
    <xf numFmtId="0" fontId="0" fillId="0" borderId="0" xfId="0"/>
    <xf numFmtId="0" fontId="5" fillId="2" borderId="0" xfId="0" applyFont="1" applyFill="1"/>
    <xf numFmtId="0" fontId="1" fillId="2" borderId="0" xfId="0" applyFont="1" applyFill="1" applyAlignment="1">
      <alignment horizontal="left" vertical="top" wrapText="1"/>
    </xf>
    <xf numFmtId="0" fontId="2" fillId="2" borderId="0" xfId="0" applyFont="1" applyFill="1" applyAlignment="1">
      <alignment horizontal="left" vertical="top" wrapText="1"/>
    </xf>
    <xf numFmtId="0" fontId="2" fillId="2" borderId="0" xfId="0" applyNumberFormat="1" applyFont="1" applyFill="1" applyAlignment="1">
      <alignment horizontal="left" vertical="top" wrapText="1"/>
    </xf>
    <xf numFmtId="4" fontId="2" fillId="2" borderId="0" xfId="0" applyNumberFormat="1" applyFont="1" applyFill="1" applyAlignment="1">
      <alignment horizontal="left" vertical="top" wrapText="1"/>
    </xf>
    <xf numFmtId="0" fontId="5" fillId="2" borderId="0" xfId="0" applyNumberFormat="1" applyFont="1" applyFill="1"/>
    <xf numFmtId="4" fontId="5" fillId="2" borderId="0" xfId="0" applyNumberFormat="1" applyFont="1" applyFill="1"/>
    <xf numFmtId="0" fontId="6" fillId="0" borderId="1" xfId="0" applyFont="1" applyBorder="1" applyAlignment="1">
      <alignment vertical="center"/>
    </xf>
    <xf numFmtId="0" fontId="7" fillId="2" borderId="0" xfId="0" applyFont="1" applyFill="1"/>
    <xf numFmtId="0" fontId="7" fillId="2" borderId="0" xfId="0" applyNumberFormat="1" applyFont="1" applyFill="1"/>
    <xf numFmtId="0" fontId="3" fillId="2" borderId="0" xfId="0" applyFont="1" applyFill="1" applyAlignment="1">
      <alignment horizontal="left" vertical="top"/>
    </xf>
    <xf numFmtId="4" fontId="7" fillId="3" borderId="0" xfId="0" applyNumberFormat="1" applyFont="1" applyFill="1" applyBorder="1"/>
    <xf numFmtId="39" fontId="7" fillId="2" borderId="0" xfId="0" applyNumberFormat="1" applyFont="1" applyFill="1"/>
    <xf numFmtId="39" fontId="7" fillId="3" borderId="0" xfId="0" applyNumberFormat="1" applyFont="1" applyFill="1" applyBorder="1"/>
    <xf numFmtId="2" fontId="6" fillId="0" borderId="1" xfId="0" applyNumberFormat="1" applyFont="1" applyBorder="1" applyAlignment="1">
      <alignment horizontal="center" vertical="center"/>
    </xf>
    <xf numFmtId="0" fontId="6" fillId="0" borderId="1" xfId="0" applyNumberFormat="1" applyFont="1" applyBorder="1" applyAlignment="1">
      <alignment horizontal="center" vertical="center"/>
    </xf>
    <xf numFmtId="0" fontId="6" fillId="0" borderId="1" xfId="0" applyFont="1" applyBorder="1" applyAlignment="1">
      <alignment horizontal="center" vertical="center"/>
    </xf>
    <xf numFmtId="0" fontId="6" fillId="2" borderId="0" xfId="0" applyFont="1" applyFill="1"/>
    <xf numFmtId="0" fontId="6" fillId="2" borderId="0" xfId="0" applyNumberFormat="1" applyFont="1" applyFill="1"/>
    <xf numFmtId="39" fontId="6" fillId="3" borderId="0" xfId="0" applyNumberFormat="1" applyFont="1" applyFill="1" applyBorder="1"/>
    <xf numFmtId="0" fontId="6" fillId="2" borderId="3" xfId="0" applyFont="1" applyFill="1" applyBorder="1"/>
    <xf numFmtId="0" fontId="7" fillId="2" borderId="3" xfId="0" applyFont="1" applyFill="1" applyBorder="1"/>
    <xf numFmtId="0" fontId="7" fillId="2" borderId="3" xfId="0" applyNumberFormat="1" applyFont="1" applyFill="1" applyBorder="1"/>
    <xf numFmtId="39" fontId="7" fillId="2" borderId="3" xfId="0" applyNumberFormat="1" applyFont="1" applyFill="1" applyBorder="1"/>
    <xf numFmtId="39" fontId="7" fillId="3" borderId="3" xfId="0" applyNumberFormat="1" applyFont="1" applyFill="1" applyBorder="1"/>
    <xf numFmtId="0" fontId="6" fillId="2" borderId="4" xfId="0" applyFont="1" applyFill="1" applyBorder="1"/>
    <xf numFmtId="0" fontId="7" fillId="2" borderId="4" xfId="0" applyFont="1" applyFill="1" applyBorder="1"/>
    <xf numFmtId="0" fontId="7" fillId="2" borderId="4" xfId="0" applyNumberFormat="1" applyFont="1" applyFill="1" applyBorder="1"/>
    <xf numFmtId="39" fontId="7" fillId="2" borderId="4" xfId="0" applyNumberFormat="1" applyFont="1" applyFill="1" applyBorder="1"/>
    <xf numFmtId="39" fontId="7" fillId="3" borderId="4" xfId="0" applyNumberFormat="1" applyFont="1" applyFill="1" applyBorder="1"/>
    <xf numFmtId="3" fontId="7" fillId="2" borderId="4" xfId="0" applyNumberFormat="1" applyFont="1" applyFill="1" applyBorder="1"/>
    <xf numFmtId="0" fontId="6" fillId="2" borderId="4" xfId="0" applyNumberFormat="1" applyFont="1" applyFill="1" applyBorder="1"/>
    <xf numFmtId="39" fontId="6" fillId="2" borderId="4" xfId="0" applyNumberFormat="1" applyFont="1" applyFill="1" applyBorder="1"/>
    <xf numFmtId="39" fontId="6" fillId="3" borderId="4" xfId="0" applyNumberFormat="1" applyFont="1" applyFill="1" applyBorder="1"/>
    <xf numFmtId="0" fontId="6" fillId="2" borderId="5" xfId="0" applyFont="1" applyFill="1" applyBorder="1"/>
    <xf numFmtId="0" fontId="6" fillId="2" borderId="5" xfId="0" applyNumberFormat="1" applyFont="1" applyFill="1" applyBorder="1"/>
    <xf numFmtId="39" fontId="6" fillId="2" borderId="5" xfId="0" applyNumberFormat="1" applyFont="1" applyFill="1" applyBorder="1"/>
    <xf numFmtId="39" fontId="6" fillId="3" borderId="5" xfId="0" applyNumberFormat="1" applyFont="1" applyFill="1" applyBorder="1"/>
    <xf numFmtId="0" fontId="6" fillId="2" borderId="0" xfId="0" applyFont="1" applyFill="1" applyAlignment="1">
      <alignment horizontal="right"/>
    </xf>
    <xf numFmtId="164" fontId="7" fillId="2" borderId="0" xfId="0" applyNumberFormat="1" applyFont="1" applyFill="1"/>
    <xf numFmtId="0" fontId="6" fillId="2" borderId="0" xfId="0" applyNumberFormat="1" applyFont="1" applyFill="1" applyAlignment="1">
      <alignment horizontal="right"/>
    </xf>
    <xf numFmtId="4" fontId="7" fillId="2" borderId="0" xfId="0" applyNumberFormat="1" applyFont="1" applyFill="1"/>
    <xf numFmtId="0" fontId="8" fillId="2" borderId="0" xfId="0" applyFont="1" applyFill="1"/>
    <xf numFmtId="0" fontId="9" fillId="2" borderId="0" xfId="1" applyFill="1"/>
    <xf numFmtId="0" fontId="6" fillId="2" borderId="1" xfId="0" applyFont="1" applyFill="1" applyBorder="1" applyAlignment="1">
      <alignment horizontal="center"/>
    </xf>
    <xf numFmtId="164" fontId="7" fillId="2" borderId="1" xfId="0" applyNumberFormat="1" applyFont="1" applyFill="1" applyBorder="1"/>
    <xf numFmtId="165" fontId="7" fillId="2" borderId="0" xfId="0" applyNumberFormat="1" applyFont="1" applyFill="1"/>
    <xf numFmtId="0" fontId="7" fillId="2" borderId="4" xfId="0" applyFont="1" applyFill="1" applyBorder="1" applyAlignment="1">
      <alignment wrapText="1"/>
    </xf>
    <xf numFmtId="2" fontId="6" fillId="0" borderId="1" xfId="0" applyNumberFormat="1" applyFont="1" applyBorder="1" applyAlignment="1">
      <alignment horizontal="center" vertical="center" wrapText="1"/>
    </xf>
    <xf numFmtId="4" fontId="7" fillId="3" borderId="4" xfId="0" applyNumberFormat="1" applyFont="1" applyFill="1" applyBorder="1"/>
    <xf numFmtId="4" fontId="6" fillId="2" borderId="4" xfId="0" applyNumberFormat="1" applyFont="1" applyFill="1" applyBorder="1"/>
    <xf numFmtId="4" fontId="6" fillId="3" borderId="4" xfId="0" applyNumberFormat="1" applyFont="1" applyFill="1" applyBorder="1"/>
    <xf numFmtId="4" fontId="7" fillId="2" borderId="4" xfId="0" applyNumberFormat="1" applyFont="1" applyFill="1" applyBorder="1"/>
    <xf numFmtId="4" fontId="6" fillId="2" borderId="5" xfId="0" applyNumberFormat="1" applyFont="1" applyFill="1" applyBorder="1"/>
    <xf numFmtId="4" fontId="6" fillId="3" borderId="5" xfId="0" applyNumberFormat="1" applyFont="1" applyFill="1" applyBorder="1"/>
    <xf numFmtId="0" fontId="10" fillId="2" borderId="0" xfId="1" applyFont="1" applyFill="1"/>
    <xf numFmtId="164" fontId="7" fillId="3" borderId="0" xfId="0" applyNumberFormat="1" applyFont="1" applyFill="1" applyAlignment="1">
      <alignment horizontal="right"/>
    </xf>
    <xf numFmtId="164" fontId="7" fillId="2" borderId="0" xfId="0" applyNumberFormat="1" applyFont="1" applyFill="1" applyAlignment="1">
      <alignment horizontal="right"/>
    </xf>
    <xf numFmtId="0" fontId="10" fillId="0" borderId="0" xfId="1" applyFont="1" applyAlignment="1">
      <alignment vertical="center"/>
    </xf>
    <xf numFmtId="0" fontId="10" fillId="2" borderId="0" xfId="1" applyFont="1" applyFill="1" applyAlignment="1"/>
    <xf numFmtId="0" fontId="6" fillId="3" borderId="0" xfId="0" applyFont="1" applyFill="1"/>
    <xf numFmtId="0" fontId="6" fillId="2" borderId="0" xfId="0" quotePrefix="1" applyFont="1" applyFill="1" applyAlignment="1">
      <alignment horizontal="justify" vertical="top" wrapText="1"/>
    </xf>
    <xf numFmtId="0" fontId="7" fillId="3" borderId="0" xfId="0" applyFont="1" applyFill="1"/>
    <xf numFmtId="0" fontId="7" fillId="3" borderId="0" xfId="0" applyNumberFormat="1" applyFont="1" applyFill="1"/>
    <xf numFmtId="0" fontId="10" fillId="3" borderId="0" xfId="1" applyFont="1" applyFill="1"/>
    <xf numFmtId="0" fontId="10" fillId="3" borderId="0" xfId="1" applyFont="1" applyFill="1" applyAlignment="1"/>
    <xf numFmtId="39" fontId="7" fillId="3" borderId="0" xfId="0" applyNumberFormat="1" applyFont="1" applyFill="1"/>
    <xf numFmtId="0" fontId="11" fillId="3" borderId="0" xfId="0" applyFont="1" applyFill="1" applyAlignment="1">
      <alignment horizontal="right"/>
    </xf>
    <xf numFmtId="0" fontId="7" fillId="2" borderId="6" xfId="0" applyFont="1" applyFill="1" applyBorder="1"/>
    <xf numFmtId="0" fontId="7" fillId="2" borderId="7" xfId="0" applyFont="1" applyFill="1" applyBorder="1"/>
    <xf numFmtId="0" fontId="4" fillId="4" borderId="2" xfId="0" applyFont="1" applyFill="1" applyBorder="1" applyAlignment="1">
      <alignment horizontal="center" vertical="center" wrapText="1"/>
    </xf>
    <xf numFmtId="0" fontId="4" fillId="4" borderId="0" xfId="0" applyFont="1" applyFill="1" applyBorder="1" applyAlignment="1">
      <alignment horizontal="center" vertical="center" wrapText="1"/>
    </xf>
    <xf numFmtId="0" fontId="6" fillId="2" borderId="6" xfId="0" applyFont="1" applyFill="1" applyBorder="1"/>
    <xf numFmtId="0" fontId="6" fillId="2" borderId="7" xfId="0" applyFont="1" applyFill="1" applyBorder="1"/>
    <xf numFmtId="0" fontId="6" fillId="0" borderId="0" xfId="0" applyFont="1" applyFill="1" applyAlignment="1">
      <alignment horizontal="justify" vertical="top" wrapText="1"/>
    </xf>
    <xf numFmtId="0" fontId="6" fillId="2" borderId="0" xfId="0" quotePrefix="1" applyFont="1" applyFill="1" applyAlignment="1">
      <alignment horizontal="justify" vertical="top" wrapText="1"/>
    </xf>
    <xf numFmtId="0" fontId="10" fillId="0" borderId="0" xfId="1" quotePrefix="1" applyFont="1" applyFill="1" applyAlignment="1">
      <alignment horizontal="left" vertical="top" wrapText="1"/>
    </xf>
    <xf numFmtId="0" fontId="6" fillId="2" borderId="0" xfId="0" applyFont="1" applyFill="1" applyAlignment="1">
      <alignment horizontal="justify" vertical="top" wrapText="1"/>
    </xf>
    <xf numFmtId="0" fontId="6" fillId="2" borderId="0" xfId="0" applyFont="1" applyFill="1" applyAlignment="1">
      <alignment horizontal="justify" vertical="top"/>
    </xf>
    <xf numFmtId="0" fontId="4" fillId="4" borderId="2" xfId="0" applyFont="1" applyFill="1" applyBorder="1" applyAlignment="1">
      <alignment horizontal="center" vertical="center"/>
    </xf>
    <xf numFmtId="0" fontId="4" fillId="4" borderId="0" xfId="0" applyFont="1" applyFill="1" applyBorder="1" applyAlignment="1">
      <alignment horizontal="center" vertical="center"/>
    </xf>
  </cellXfs>
  <cellStyles count="2">
    <cellStyle name="Hyperlink" xfId="1" builtinId="8"/>
    <cellStyle name="Normal" xfId="0" builtinId="0"/>
  </cellStyles>
  <dxfs count="94">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
      <numFmt numFmtId="166" formatCode="&quot;0.00*&quot;"/>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61" Type="http://schemas.openxmlformats.org/officeDocument/2006/relationships/worksheet" Target="worksheets/sheet6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franklintempletonindia.com/downloadsServlet/pdf/franklin-templeton-update-on-reliance-broadcast-july-23-2020-kcg9m1gq"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aug-31-2020-kegstinm" TargetMode="External"/><Relationship Id="rId2" Type="http://schemas.openxmlformats.org/officeDocument/2006/relationships/hyperlink" Target="https://www.franklintempletonindia.com/downloadsServlet/pdf/franklin-templeton-update-on-future-group-july-31-2020-kd193hq1"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8.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https://www.franklintempletonindia.com/investor/reports?firstFilter-4" TargetMode="External"/><Relationship Id="rId1" Type="http://schemas.openxmlformats.org/officeDocument/2006/relationships/hyperlink" Target="https://www.franklintempletonindia.com/investor/reports?firstFilter-4"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july-31-2020-kd193hq1" TargetMode="External"/><Relationship Id="rId7" Type="http://schemas.openxmlformats.org/officeDocument/2006/relationships/printerSettings" Target="../printerSettings/printerSettings11.bin"/><Relationship Id="rId2" Type="http://schemas.openxmlformats.org/officeDocument/2006/relationships/hyperlink" Target="https://www.franklintempletonindia.com/downloadsServlet/pdf/franklin-templeton-update-on-reliance-broadcast-july-23-2020-kcg9m1gq"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hyperlink" Target="https://www.franklintempletonindia.com/investor/reports?firstFilter-4" TargetMode="External"/><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downloadsServlet/pdf/franklin-templeton-update-on-future-group-aug-31-2020-kegstinm"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aug-31-2020-kegstinm" TargetMode="External"/><Relationship Id="rId2" Type="http://schemas.openxmlformats.org/officeDocument/2006/relationships/hyperlink" Target="https://www.franklintempletonindia.com/downloadsServlet/pdf/franklin-templeton-update-on-future-group-july-31-2020-kd193hq1" TargetMode="External"/><Relationship Id="rId1" Type="http://schemas.openxmlformats.org/officeDocument/2006/relationships/hyperlink" Target="https://www.franklintempletonindia.com/investor/reports?firstFilter-4" TargetMode="External"/><Relationship Id="rId5" Type="http://schemas.openxmlformats.org/officeDocument/2006/relationships/printerSettings" Target="../printerSettings/printerSettings12.bin"/><Relationship Id="rId4" Type="http://schemas.openxmlformats.org/officeDocument/2006/relationships/hyperlink" Target="https://www.franklintempletonindia.com/investor/reports?firstFilter-4"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www.franklintempletonindia.com/downloadsServlet/pdf/franklin-templeton-update-on-future-group-aug-31-2020-kegstinm" TargetMode="External"/><Relationship Id="rId2" Type="http://schemas.openxmlformats.org/officeDocument/2006/relationships/hyperlink" Target="https://www.franklintempletonindia.com/downloadsServlet/pdf/franklin-templeton-update-on-future-group-july-31-2020-kd193hq1" TargetMode="External"/><Relationship Id="rId1" Type="http://schemas.openxmlformats.org/officeDocument/2006/relationships/hyperlink" Target="https://www.franklintempletonindia.com/investor/reports?firstFilter-4" TargetMode="External"/><Relationship Id="rId6" Type="http://schemas.openxmlformats.org/officeDocument/2006/relationships/printerSettings" Target="../printerSettings/printerSettings13.bin"/><Relationship Id="rId5" Type="http://schemas.openxmlformats.org/officeDocument/2006/relationships/hyperlink" Target="https://www.franklintempletonindia.com/investor/reports?firstFilter-4" TargetMode="External"/><Relationship Id="rId4" Type="http://schemas.openxmlformats.org/officeDocument/2006/relationships/hyperlink" Target="https://www.franklintempletonindia.com/investor/reports?firstFilter-4"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2" Type="http://schemas.openxmlformats.org/officeDocument/2006/relationships/printerSettings" Target="../printerSettings/printerSettings37.bin"/><Relationship Id="rId1" Type="http://schemas.openxmlformats.org/officeDocument/2006/relationships/hyperlink" Target="https://www.franklintempletonindia.com/investor/reports?firstFilter-4" TargetMode="External"/></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5"/>
  <sheetViews>
    <sheetView tabSelected="1"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1" t="s">
        <v>20</v>
      </c>
      <c r="B1" s="72"/>
      <c r="C1" s="72"/>
      <c r="D1" s="72"/>
      <c r="E1" s="72"/>
      <c r="F1" s="72"/>
      <c r="G1" s="72"/>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179</v>
      </c>
      <c r="D4" s="16" t="s">
        <v>1</v>
      </c>
      <c r="E4" s="15" t="s">
        <v>3</v>
      </c>
      <c r="F4" s="15" t="s">
        <v>4</v>
      </c>
      <c r="G4" s="15" t="s">
        <v>6</v>
      </c>
    </row>
    <row r="5" spans="1:9" ht="10.5" x14ac:dyDescent="0.25">
      <c r="A5" s="21" t="s">
        <v>69</v>
      </c>
      <c r="B5" s="22"/>
      <c r="C5" s="22"/>
      <c r="D5" s="23"/>
      <c r="E5" s="24"/>
      <c r="F5" s="25"/>
      <c r="G5" s="24"/>
    </row>
    <row r="6" spans="1:9" ht="10.5" x14ac:dyDescent="0.25">
      <c r="A6" s="26" t="s">
        <v>70</v>
      </c>
      <c r="B6" s="27"/>
      <c r="C6" s="27"/>
      <c r="D6" s="28"/>
      <c r="E6" s="29"/>
      <c r="F6" s="30"/>
      <c r="G6" s="29"/>
    </row>
    <row r="7" spans="1:9" x14ac:dyDescent="0.2">
      <c r="A7" s="27" t="s">
        <v>665</v>
      </c>
      <c r="B7" s="27" t="s">
        <v>664</v>
      </c>
      <c r="C7" s="27" t="s">
        <v>163</v>
      </c>
      <c r="D7" s="31">
        <v>500</v>
      </c>
      <c r="E7" s="29">
        <v>6243.76</v>
      </c>
      <c r="F7" s="30">
        <v>3.63074762865888</v>
      </c>
      <c r="G7" s="29">
        <v>3.1408</v>
      </c>
    </row>
    <row r="8" spans="1:9" x14ac:dyDescent="0.2">
      <c r="A8" s="27" t="s">
        <v>667</v>
      </c>
      <c r="B8" s="27" t="s">
        <v>666</v>
      </c>
      <c r="C8" s="27" t="s">
        <v>163</v>
      </c>
      <c r="D8" s="31">
        <v>250</v>
      </c>
      <c r="E8" s="29">
        <v>2506.31</v>
      </c>
      <c r="F8" s="30">
        <v>1.4574197421399999</v>
      </c>
      <c r="G8" s="29">
        <v>3.0293000000000001</v>
      </c>
    </row>
    <row r="9" spans="1:9" x14ac:dyDescent="0.2">
      <c r="A9" s="27" t="s">
        <v>669</v>
      </c>
      <c r="B9" s="27" t="s">
        <v>668</v>
      </c>
      <c r="C9" s="27" t="s">
        <v>163</v>
      </c>
      <c r="D9" s="31">
        <v>50</v>
      </c>
      <c r="E9" s="29">
        <v>503.85449999999997</v>
      </c>
      <c r="F9" s="30">
        <v>0.29299148767154798</v>
      </c>
      <c r="G9" s="29">
        <v>3.1248999999999998</v>
      </c>
    </row>
    <row r="10" spans="1:9" ht="10.5" x14ac:dyDescent="0.25">
      <c r="A10" s="26" t="s">
        <v>164</v>
      </c>
      <c r="B10" s="26"/>
      <c r="C10" s="26"/>
      <c r="D10" s="32"/>
      <c r="E10" s="33">
        <f>SUM(E6:E9)</f>
        <v>9253.9244999999992</v>
      </c>
      <c r="F10" s="34">
        <f>SUM(F6:F9)</f>
        <v>5.3811588584704282</v>
      </c>
      <c r="G10" s="33"/>
      <c r="H10" s="18"/>
      <c r="I10" s="18"/>
    </row>
    <row r="11" spans="1:9" x14ac:dyDescent="0.2">
      <c r="A11" s="27"/>
      <c r="B11" s="27"/>
      <c r="C11" s="27"/>
      <c r="D11" s="28"/>
      <c r="E11" s="29"/>
      <c r="F11" s="30"/>
      <c r="G11" s="29"/>
    </row>
    <row r="12" spans="1:9" ht="10.5" x14ac:dyDescent="0.25">
      <c r="A12" s="26" t="s">
        <v>352</v>
      </c>
      <c r="B12" s="27"/>
      <c r="C12" s="27"/>
      <c r="D12" s="28"/>
      <c r="E12" s="29"/>
      <c r="F12" s="30"/>
      <c r="G12" s="29"/>
    </row>
    <row r="13" spans="1:9" ht="10.5" x14ac:dyDescent="0.25">
      <c r="A13" s="26" t="s">
        <v>353</v>
      </c>
      <c r="B13" s="27"/>
      <c r="C13" s="27"/>
      <c r="D13" s="28"/>
      <c r="E13" s="29"/>
      <c r="F13" s="30"/>
      <c r="G13" s="29"/>
    </row>
    <row r="14" spans="1:9" x14ac:dyDescent="0.2">
      <c r="A14" s="27" t="s">
        <v>659</v>
      </c>
      <c r="B14" s="27" t="s">
        <v>658</v>
      </c>
      <c r="C14" s="27" t="s">
        <v>359</v>
      </c>
      <c r="D14" s="31">
        <v>10000</v>
      </c>
      <c r="E14" s="29">
        <v>9989.9500000000007</v>
      </c>
      <c r="F14" s="30">
        <v>5.8091578268416404</v>
      </c>
      <c r="G14" s="29">
        <v>2.8246000000000002</v>
      </c>
    </row>
    <row r="15" spans="1:9" x14ac:dyDescent="0.2">
      <c r="A15" s="27" t="s">
        <v>671</v>
      </c>
      <c r="B15" s="27" t="s">
        <v>670</v>
      </c>
      <c r="C15" s="27" t="s">
        <v>359</v>
      </c>
      <c r="D15" s="31">
        <v>2500</v>
      </c>
      <c r="E15" s="29">
        <v>2499.2325000000001</v>
      </c>
      <c r="F15" s="30">
        <v>1.4533041745426201</v>
      </c>
      <c r="G15" s="29">
        <v>2.8022</v>
      </c>
    </row>
    <row r="16" spans="1:9" ht="10.5" x14ac:dyDescent="0.25">
      <c r="A16" s="26" t="s">
        <v>164</v>
      </c>
      <c r="B16" s="26"/>
      <c r="C16" s="26"/>
      <c r="D16" s="32"/>
      <c r="E16" s="33">
        <f>SUM(E13:E15)</f>
        <v>12489.182500000001</v>
      </c>
      <c r="F16" s="34">
        <f>SUM(F13:F15)</f>
        <v>7.2624620013842609</v>
      </c>
      <c r="G16" s="33"/>
      <c r="H16" s="18"/>
      <c r="I16" s="18"/>
    </row>
    <row r="17" spans="1:9" x14ac:dyDescent="0.2">
      <c r="A17" s="27"/>
      <c r="B17" s="27"/>
      <c r="C17" s="27"/>
      <c r="D17" s="28"/>
      <c r="E17" s="29"/>
      <c r="F17" s="30"/>
      <c r="G17" s="29"/>
    </row>
    <row r="18" spans="1:9" ht="10.5" x14ac:dyDescent="0.25">
      <c r="A18" s="26" t="s">
        <v>364</v>
      </c>
      <c r="B18" s="27"/>
      <c r="C18" s="27"/>
      <c r="D18" s="28"/>
      <c r="E18" s="29"/>
      <c r="F18" s="30"/>
      <c r="G18" s="29"/>
    </row>
    <row r="19" spans="1:9" x14ac:dyDescent="0.2">
      <c r="A19" s="27" t="s">
        <v>673</v>
      </c>
      <c r="B19" s="27" t="s">
        <v>672</v>
      </c>
      <c r="C19" s="27" t="s">
        <v>370</v>
      </c>
      <c r="D19" s="31">
        <v>1500</v>
      </c>
      <c r="E19" s="29">
        <v>7498.2375000000002</v>
      </c>
      <c r="F19" s="30">
        <v>4.3602265337306498</v>
      </c>
      <c r="G19" s="29">
        <v>2.8658999999999999</v>
      </c>
    </row>
    <row r="20" spans="1:9" x14ac:dyDescent="0.2">
      <c r="A20" s="27" t="s">
        <v>675</v>
      </c>
      <c r="B20" s="27" t="s">
        <v>674</v>
      </c>
      <c r="C20" s="27" t="s">
        <v>367</v>
      </c>
      <c r="D20" s="31">
        <v>1500</v>
      </c>
      <c r="E20" s="29">
        <v>7466.25</v>
      </c>
      <c r="F20" s="30">
        <v>4.3416257963910203</v>
      </c>
      <c r="G20" s="29">
        <v>2.9998999999999998</v>
      </c>
    </row>
    <row r="21" spans="1:9" x14ac:dyDescent="0.2">
      <c r="A21" s="27" t="s">
        <v>677</v>
      </c>
      <c r="B21" s="27" t="s">
        <v>676</v>
      </c>
      <c r="C21" s="27" t="s">
        <v>359</v>
      </c>
      <c r="D21" s="31">
        <v>1500</v>
      </c>
      <c r="E21" s="29">
        <v>7461.3374999999996</v>
      </c>
      <c r="F21" s="30">
        <v>4.3387691767058003</v>
      </c>
      <c r="G21" s="29">
        <v>2.91</v>
      </c>
    </row>
    <row r="22" spans="1:9" x14ac:dyDescent="0.2">
      <c r="A22" s="27" t="s">
        <v>679</v>
      </c>
      <c r="B22" s="27" t="s">
        <v>678</v>
      </c>
      <c r="C22" s="27" t="s">
        <v>359</v>
      </c>
      <c r="D22" s="31">
        <v>1500</v>
      </c>
      <c r="E22" s="29">
        <v>7447.8450000000003</v>
      </c>
      <c r="F22" s="30">
        <v>4.3309232853871498</v>
      </c>
      <c r="G22" s="29">
        <v>3.1949999999999998</v>
      </c>
    </row>
    <row r="23" spans="1:9" x14ac:dyDescent="0.2">
      <c r="A23" s="27" t="s">
        <v>681</v>
      </c>
      <c r="B23" s="27" t="s">
        <v>680</v>
      </c>
      <c r="C23" s="27" t="s">
        <v>359</v>
      </c>
      <c r="D23" s="31">
        <v>1100</v>
      </c>
      <c r="E23" s="29">
        <v>5495.9409999999998</v>
      </c>
      <c r="F23" s="30">
        <v>3.1958907377924701</v>
      </c>
      <c r="G23" s="29">
        <v>2.9952000000000001</v>
      </c>
    </row>
    <row r="24" spans="1:9" x14ac:dyDescent="0.2">
      <c r="A24" s="27" t="s">
        <v>683</v>
      </c>
      <c r="B24" s="27" t="s">
        <v>682</v>
      </c>
      <c r="C24" s="27" t="s">
        <v>370</v>
      </c>
      <c r="D24" s="31">
        <v>1000</v>
      </c>
      <c r="E24" s="29">
        <v>4977.0550000000003</v>
      </c>
      <c r="F24" s="30">
        <v>2.89415843000929</v>
      </c>
      <c r="G24" s="29">
        <v>3.1749000000000001</v>
      </c>
    </row>
    <row r="25" spans="1:9" ht="10.5" x14ac:dyDescent="0.25">
      <c r="A25" s="26" t="s">
        <v>164</v>
      </c>
      <c r="B25" s="26"/>
      <c r="C25" s="26"/>
      <c r="D25" s="32"/>
      <c r="E25" s="33">
        <f>SUM(E18:E24)</f>
        <v>40346.665999999997</v>
      </c>
      <c r="F25" s="34">
        <f>SUM(F18:F24)</f>
        <v>23.461593960016383</v>
      </c>
      <c r="G25" s="33"/>
      <c r="H25" s="18"/>
      <c r="I25" s="18"/>
    </row>
    <row r="26" spans="1:9" x14ac:dyDescent="0.2">
      <c r="A26" s="27"/>
      <c r="B26" s="27"/>
      <c r="C26" s="27"/>
      <c r="D26" s="28"/>
      <c r="E26" s="29"/>
      <c r="F26" s="30"/>
      <c r="G26" s="29"/>
    </row>
    <row r="27" spans="1:9" ht="10.5" x14ac:dyDescent="0.25">
      <c r="A27" s="26" t="s">
        <v>389</v>
      </c>
      <c r="B27" s="27"/>
      <c r="C27" s="27"/>
      <c r="D27" s="28"/>
      <c r="E27" s="29"/>
      <c r="F27" s="30"/>
      <c r="G27" s="29"/>
    </row>
    <row r="28" spans="1:9" x14ac:dyDescent="0.2">
      <c r="A28" s="27" t="s">
        <v>685</v>
      </c>
      <c r="B28" s="27" t="s">
        <v>684</v>
      </c>
      <c r="C28" s="27" t="s">
        <v>466</v>
      </c>
      <c r="D28" s="31">
        <v>22500000</v>
      </c>
      <c r="E28" s="29">
        <v>22479.3</v>
      </c>
      <c r="F28" s="30">
        <v>13.071717229507801</v>
      </c>
      <c r="G28" s="29">
        <v>2.8008999999999999</v>
      </c>
    </row>
    <row r="29" spans="1:9" x14ac:dyDescent="0.2">
      <c r="A29" s="27" t="s">
        <v>687</v>
      </c>
      <c r="B29" s="27" t="s">
        <v>686</v>
      </c>
      <c r="C29" s="27" t="s">
        <v>466</v>
      </c>
      <c r="D29" s="31">
        <v>15000000</v>
      </c>
      <c r="E29" s="29">
        <v>14994.254999999999</v>
      </c>
      <c r="F29" s="30">
        <v>8.7191621370386692</v>
      </c>
      <c r="G29" s="29">
        <v>2.7970000000000002</v>
      </c>
    </row>
    <row r="30" spans="1:9" x14ac:dyDescent="0.2">
      <c r="A30" s="27" t="s">
        <v>689</v>
      </c>
      <c r="B30" s="27" t="s">
        <v>688</v>
      </c>
      <c r="C30" s="27" t="s">
        <v>466</v>
      </c>
      <c r="D30" s="31">
        <v>10000000</v>
      </c>
      <c r="E30" s="29">
        <v>9985.4</v>
      </c>
      <c r="F30" s="30">
        <v>5.8065120009754301</v>
      </c>
      <c r="G30" s="29">
        <v>2.8098000000000001</v>
      </c>
    </row>
    <row r="31" spans="1:9" x14ac:dyDescent="0.2">
      <c r="A31" s="27" t="s">
        <v>691</v>
      </c>
      <c r="B31" s="27" t="s">
        <v>690</v>
      </c>
      <c r="C31" s="27" t="s">
        <v>466</v>
      </c>
      <c r="D31" s="31">
        <v>10000000</v>
      </c>
      <c r="E31" s="29">
        <v>9985.4</v>
      </c>
      <c r="F31" s="30">
        <v>5.8065120009754301</v>
      </c>
      <c r="G31" s="29">
        <v>2.8098000000000001</v>
      </c>
    </row>
    <row r="32" spans="1:9" x14ac:dyDescent="0.2">
      <c r="A32" s="27" t="s">
        <v>693</v>
      </c>
      <c r="B32" s="27" t="s">
        <v>692</v>
      </c>
      <c r="C32" s="27" t="s">
        <v>466</v>
      </c>
      <c r="D32" s="31">
        <v>7500000</v>
      </c>
      <c r="E32" s="29">
        <v>7489.05</v>
      </c>
      <c r="F32" s="30">
        <v>4.3548840007315803</v>
      </c>
      <c r="G32" s="29">
        <v>2.8098000000000001</v>
      </c>
    </row>
    <row r="33" spans="1:9" ht="10.5" x14ac:dyDescent="0.25">
      <c r="A33" s="26" t="s">
        <v>164</v>
      </c>
      <c r="B33" s="26"/>
      <c r="C33" s="26"/>
      <c r="D33" s="32"/>
      <c r="E33" s="33">
        <f>SUM(E27:E32)</f>
        <v>64933.405000000006</v>
      </c>
      <c r="F33" s="34">
        <f>SUM(F27:F32)</f>
        <v>37.758787369228912</v>
      </c>
      <c r="G33" s="33"/>
      <c r="H33" s="18"/>
      <c r="I33" s="18"/>
    </row>
    <row r="34" spans="1:9" x14ac:dyDescent="0.2">
      <c r="A34" s="27"/>
      <c r="B34" s="27"/>
      <c r="C34" s="27"/>
      <c r="D34" s="28"/>
      <c r="E34" s="29"/>
      <c r="F34" s="30"/>
      <c r="G34" s="29"/>
    </row>
    <row r="35" spans="1:9" ht="10.5" x14ac:dyDescent="0.25">
      <c r="A35" s="26" t="s">
        <v>463</v>
      </c>
      <c r="B35" s="27"/>
      <c r="C35" s="27"/>
      <c r="D35" s="28"/>
      <c r="E35" s="29"/>
      <c r="F35" s="30"/>
      <c r="G35" s="29"/>
    </row>
    <row r="36" spans="1:9" x14ac:dyDescent="0.2">
      <c r="A36" s="27" t="s">
        <v>695</v>
      </c>
      <c r="B36" s="27" t="s">
        <v>694</v>
      </c>
      <c r="C36" s="27" t="s">
        <v>466</v>
      </c>
      <c r="D36" s="31">
        <v>9000000</v>
      </c>
      <c r="E36" s="29">
        <v>9015.5519999999997</v>
      </c>
      <c r="F36" s="30">
        <v>5.2425452043401402</v>
      </c>
      <c r="G36" s="29">
        <v>2.8633000000000002</v>
      </c>
    </row>
    <row r="37" spans="1:9" x14ac:dyDescent="0.2">
      <c r="A37" s="27" t="s">
        <v>697</v>
      </c>
      <c r="B37" s="27" t="s">
        <v>696</v>
      </c>
      <c r="C37" s="27" t="s">
        <v>466</v>
      </c>
      <c r="D37" s="31">
        <v>3000000</v>
      </c>
      <c r="E37" s="29">
        <v>3020.6729999999998</v>
      </c>
      <c r="F37" s="30">
        <v>1.75652192456211</v>
      </c>
      <c r="G37" s="29">
        <v>2.9255</v>
      </c>
    </row>
    <row r="38" spans="1:9" ht="10.5" x14ac:dyDescent="0.25">
      <c r="A38" s="26" t="s">
        <v>164</v>
      </c>
      <c r="B38" s="26"/>
      <c r="C38" s="26"/>
      <c r="D38" s="32"/>
      <c r="E38" s="33">
        <f>SUM(E36:E37)</f>
        <v>12036.224999999999</v>
      </c>
      <c r="F38" s="34">
        <f>SUM(F36:F37)</f>
        <v>6.9990671289022499</v>
      </c>
      <c r="G38" s="33"/>
      <c r="H38" s="18"/>
      <c r="I38" s="18"/>
    </row>
    <row r="39" spans="1:9" x14ac:dyDescent="0.2">
      <c r="A39" s="27"/>
      <c r="B39" s="27"/>
      <c r="C39" s="27"/>
      <c r="D39" s="28"/>
      <c r="E39" s="29"/>
      <c r="F39" s="30"/>
      <c r="G39" s="29"/>
    </row>
    <row r="40" spans="1:9" ht="10.5" x14ac:dyDescent="0.25">
      <c r="A40" s="26" t="s">
        <v>176</v>
      </c>
      <c r="B40" s="26"/>
      <c r="C40" s="26"/>
      <c r="D40" s="32"/>
      <c r="E40" s="33">
        <f>E10+E16+E25+E33+E38</f>
        <v>139059.40300000002</v>
      </c>
      <c r="F40" s="34">
        <f>F10+F16+F25+F33+F38</f>
        <v>80.863069318002232</v>
      </c>
      <c r="G40" s="33"/>
      <c r="H40" s="18"/>
      <c r="I40" s="18"/>
    </row>
    <row r="41" spans="1:9" ht="10.5" x14ac:dyDescent="0.25">
      <c r="A41" s="26"/>
      <c r="B41" s="26"/>
      <c r="C41" s="26"/>
      <c r="D41" s="32"/>
      <c r="E41" s="33"/>
      <c r="F41" s="34"/>
      <c r="G41" s="33"/>
      <c r="H41" s="18"/>
      <c r="I41" s="18"/>
    </row>
    <row r="42" spans="1:9" ht="10.5" x14ac:dyDescent="0.25">
      <c r="A42" s="26" t="s">
        <v>178</v>
      </c>
      <c r="B42" s="26"/>
      <c r="C42" s="26"/>
      <c r="D42" s="32"/>
      <c r="E42" s="33">
        <f>E44-(E10+E16+E25+E33+E38)</f>
        <v>32909.586271399981</v>
      </c>
      <c r="F42" s="34">
        <f>F44-(F10+F16+F25+F33+F38)</f>
        <v>19.136930681997768</v>
      </c>
      <c r="G42" s="33"/>
      <c r="H42" s="18"/>
      <c r="I42" s="18"/>
    </row>
    <row r="43" spans="1:9" ht="10.5" x14ac:dyDescent="0.25">
      <c r="A43" s="26"/>
      <c r="B43" s="26"/>
      <c r="C43" s="26"/>
      <c r="D43" s="32"/>
      <c r="E43" s="33"/>
      <c r="F43" s="34"/>
      <c r="G43" s="33"/>
      <c r="H43" s="18"/>
      <c r="I43" s="18"/>
    </row>
    <row r="44" spans="1:9" ht="10.5" x14ac:dyDescent="0.25">
      <c r="A44" s="35" t="s">
        <v>177</v>
      </c>
      <c r="B44" s="35"/>
      <c r="C44" s="35"/>
      <c r="D44" s="36"/>
      <c r="E44" s="37">
        <v>171968.9892714</v>
      </c>
      <c r="F44" s="38">
        <v>100</v>
      </c>
      <c r="G44" s="37"/>
      <c r="H44" s="18"/>
      <c r="I44" s="18"/>
    </row>
    <row r="46" spans="1:9" ht="10.5" x14ac:dyDescent="0.25">
      <c r="A46" s="18" t="s">
        <v>400</v>
      </c>
    </row>
    <row r="47" spans="1:9" ht="10.5" x14ac:dyDescent="0.25">
      <c r="A47" s="18" t="s">
        <v>180</v>
      </c>
    </row>
    <row r="49" spans="1:4" ht="10.5" x14ac:dyDescent="0.25">
      <c r="A49" s="18" t="s">
        <v>181</v>
      </c>
    </row>
    <row r="50" spans="1:4" ht="10.5" x14ac:dyDescent="0.25">
      <c r="A50" s="18" t="s">
        <v>182</v>
      </c>
    </row>
    <row r="51" spans="1:4" ht="10.5" x14ac:dyDescent="0.25">
      <c r="A51" s="18" t="s">
        <v>183</v>
      </c>
      <c r="B51" s="18"/>
      <c r="C51" s="39" t="s">
        <v>185</v>
      </c>
      <c r="D51" s="19" t="s">
        <v>184</v>
      </c>
    </row>
    <row r="52" spans="1:4" x14ac:dyDescent="0.2">
      <c r="A52" s="9" t="s">
        <v>698</v>
      </c>
      <c r="C52" s="40">
        <v>4660.5757000000003</v>
      </c>
      <c r="D52" s="40">
        <v>4720.4197000000004</v>
      </c>
    </row>
    <row r="53" spans="1:4" x14ac:dyDescent="0.2">
      <c r="A53" s="9" t="s">
        <v>699</v>
      </c>
      <c r="C53" s="40">
        <v>1510.5263</v>
      </c>
      <c r="D53" s="40">
        <v>1510.5263</v>
      </c>
    </row>
    <row r="54" spans="1:4" x14ac:dyDescent="0.2">
      <c r="A54" s="9" t="s">
        <v>700</v>
      </c>
      <c r="C54" s="40">
        <v>1244.742</v>
      </c>
      <c r="D54" s="40">
        <v>1244.6608000000001</v>
      </c>
    </row>
    <row r="55" spans="1:4" x14ac:dyDescent="0.2">
      <c r="A55" s="9" t="s">
        <v>189</v>
      </c>
      <c r="C55" s="40">
        <v>3030.6152000000002</v>
      </c>
      <c r="D55" s="57" t="s">
        <v>1506</v>
      </c>
    </row>
    <row r="56" spans="1:4" x14ac:dyDescent="0.2">
      <c r="A56" s="9" t="s">
        <v>701</v>
      </c>
      <c r="C56" s="40">
        <v>1000</v>
      </c>
      <c r="D56" s="40">
        <v>1000</v>
      </c>
    </row>
    <row r="57" spans="1:4" x14ac:dyDescent="0.2">
      <c r="A57" s="9" t="s">
        <v>702</v>
      </c>
      <c r="C57" s="40">
        <v>1055.1259</v>
      </c>
      <c r="D57" s="40">
        <v>1055.0623000000001</v>
      </c>
    </row>
    <row r="58" spans="1:4" x14ac:dyDescent="0.2">
      <c r="A58" s="9" t="s">
        <v>191</v>
      </c>
      <c r="C58" s="40">
        <v>2995.7071999999998</v>
      </c>
      <c r="D58" s="40">
        <v>3044.3362000000002</v>
      </c>
    </row>
    <row r="59" spans="1:4" x14ac:dyDescent="0.2">
      <c r="A59" s="9" t="s">
        <v>703</v>
      </c>
      <c r="C59" s="40">
        <v>1000</v>
      </c>
      <c r="D59" s="40">
        <v>1000</v>
      </c>
    </row>
    <row r="60" spans="1:4" x14ac:dyDescent="0.2">
      <c r="A60" s="9" t="s">
        <v>193</v>
      </c>
      <c r="C60" s="40">
        <v>1022.365</v>
      </c>
      <c r="D60" s="40">
        <v>1022.3174</v>
      </c>
    </row>
    <row r="61" spans="1:4" x14ac:dyDescent="0.2">
      <c r="A61" s="9" t="s">
        <v>704</v>
      </c>
      <c r="C61" s="40">
        <v>3009.1174000000001</v>
      </c>
      <c r="D61" s="40">
        <v>3059.2617</v>
      </c>
    </row>
    <row r="62" spans="1:4" x14ac:dyDescent="0.2">
      <c r="A62" s="9" t="s">
        <v>705</v>
      </c>
      <c r="C62" s="40">
        <v>1002.2243</v>
      </c>
      <c r="D62" s="40">
        <v>1002.2243</v>
      </c>
    </row>
    <row r="63" spans="1:4" x14ac:dyDescent="0.2">
      <c r="A63" s="9" t="s">
        <v>706</v>
      </c>
      <c r="C63" s="40">
        <v>1021.8375</v>
      </c>
      <c r="D63" s="40">
        <v>1021.7919000000001</v>
      </c>
    </row>
    <row r="64" spans="1:4" x14ac:dyDescent="0.2">
      <c r="A64" s="9" t="s">
        <v>707</v>
      </c>
      <c r="C64" s="40">
        <v>12.7036</v>
      </c>
      <c r="D64" s="40">
        <v>12.914300000000001</v>
      </c>
    </row>
    <row r="65" spans="1:4" x14ac:dyDescent="0.2">
      <c r="A65" s="9" t="s">
        <v>708</v>
      </c>
      <c r="C65" s="40">
        <v>12.7036</v>
      </c>
      <c r="D65" s="40">
        <v>12.914300000000001</v>
      </c>
    </row>
    <row r="66" spans="1:4" x14ac:dyDescent="0.2">
      <c r="A66" s="9" t="s">
        <v>709</v>
      </c>
      <c r="C66" s="40">
        <v>10</v>
      </c>
      <c r="D66" s="40">
        <v>10</v>
      </c>
    </row>
    <row r="67" spans="1:4" x14ac:dyDescent="0.2">
      <c r="A67" s="9" t="s">
        <v>710</v>
      </c>
      <c r="C67" s="40">
        <v>10</v>
      </c>
      <c r="D67" s="40">
        <v>10</v>
      </c>
    </row>
    <row r="69" spans="1:4" ht="10.5" x14ac:dyDescent="0.25">
      <c r="A69" s="18" t="s">
        <v>1507</v>
      </c>
    </row>
    <row r="71" spans="1:4" ht="10.5" x14ac:dyDescent="0.25">
      <c r="A71" s="18" t="s">
        <v>197</v>
      </c>
    </row>
    <row r="72" spans="1:4" ht="10.5" x14ac:dyDescent="0.25">
      <c r="A72" s="73" t="s">
        <v>403</v>
      </c>
      <c r="B72" s="74"/>
      <c r="C72" s="45" t="s">
        <v>404</v>
      </c>
    </row>
    <row r="73" spans="1:4" x14ac:dyDescent="0.2">
      <c r="A73" s="69" t="s">
        <v>699</v>
      </c>
      <c r="B73" s="70"/>
      <c r="C73" s="46">
        <v>18.973429958000001</v>
      </c>
    </row>
    <row r="74" spans="1:4" x14ac:dyDescent="0.2">
      <c r="A74" s="69" t="s">
        <v>700</v>
      </c>
      <c r="B74" s="70"/>
      <c r="C74" s="46">
        <v>15.268478606</v>
      </c>
    </row>
    <row r="75" spans="1:4" x14ac:dyDescent="0.2">
      <c r="A75" s="69" t="s">
        <v>701</v>
      </c>
      <c r="B75" s="70"/>
      <c r="C75" s="46">
        <v>13.792484991</v>
      </c>
    </row>
    <row r="76" spans="1:4" x14ac:dyDescent="0.2">
      <c r="A76" s="69" t="s">
        <v>702</v>
      </c>
      <c r="B76" s="70"/>
      <c r="C76" s="46">
        <v>14.246547522</v>
      </c>
    </row>
    <row r="77" spans="1:4" x14ac:dyDescent="0.2">
      <c r="A77" s="69" t="s">
        <v>703</v>
      </c>
      <c r="B77" s="70"/>
      <c r="C77" s="46">
        <v>15.862428259</v>
      </c>
    </row>
    <row r="78" spans="1:4" x14ac:dyDescent="0.2">
      <c r="A78" s="69" t="s">
        <v>193</v>
      </c>
      <c r="B78" s="70"/>
      <c r="C78" s="46">
        <v>15.826121541999999</v>
      </c>
    </row>
    <row r="79" spans="1:4" x14ac:dyDescent="0.2">
      <c r="A79" s="69" t="s">
        <v>705</v>
      </c>
      <c r="B79" s="70"/>
      <c r="C79" s="46">
        <v>16.241806302000001</v>
      </c>
    </row>
    <row r="80" spans="1:4" x14ac:dyDescent="0.2">
      <c r="A80" s="69" t="s">
        <v>706</v>
      </c>
      <c r="B80" s="70"/>
      <c r="C80" s="46">
        <v>16.164859933999999</v>
      </c>
    </row>
    <row r="81" spans="1:5" x14ac:dyDescent="0.2">
      <c r="A81" s="9" t="s">
        <v>405</v>
      </c>
    </row>
    <row r="83" spans="1:5" ht="10.5" x14ac:dyDescent="0.25">
      <c r="A83" s="18" t="s">
        <v>199</v>
      </c>
      <c r="D83" s="42">
        <v>5.4132227479452101E-2</v>
      </c>
      <c r="E83" s="13" t="s">
        <v>200</v>
      </c>
    </row>
    <row r="85" spans="1:5" ht="10.5" x14ac:dyDescent="0.25">
      <c r="A85" s="18" t="s">
        <v>201</v>
      </c>
      <c r="D85" s="41" t="s">
        <v>198</v>
      </c>
    </row>
  </sheetData>
  <mergeCells count="10">
    <mergeCell ref="A77:B77"/>
    <mergeCell ref="A78:B78"/>
    <mergeCell ref="A79:B79"/>
    <mergeCell ref="A80:B80"/>
    <mergeCell ref="A1:G1"/>
    <mergeCell ref="A72:B72"/>
    <mergeCell ref="A73:B73"/>
    <mergeCell ref="A74:B74"/>
    <mergeCell ref="A75:B75"/>
    <mergeCell ref="A76:B76"/>
  </mergeCells>
  <conditionalFormatting sqref="F2:F3 F5:F65538">
    <cfRule type="cellIs" dxfId="9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0"/>
  <sheetViews>
    <sheetView workbookViewId="0">
      <selection sqref="A1:G1"/>
    </sheetView>
  </sheetViews>
  <sheetFormatPr defaultColWidth="9.1796875" defaultRowHeight="10" x14ac:dyDescent="0.2"/>
  <cols>
    <col min="1" max="1" width="45.7265625" style="9" customWidth="1"/>
    <col min="2" max="2" width="35.7265625" style="9"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1" t="s">
        <v>19</v>
      </c>
      <c r="B1" s="72"/>
      <c r="C1" s="72"/>
      <c r="D1" s="72"/>
      <c r="E1" s="72"/>
      <c r="F1" s="72"/>
      <c r="G1" s="72"/>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179</v>
      </c>
      <c r="D4" s="16" t="s">
        <v>1</v>
      </c>
      <c r="E4" s="15" t="s">
        <v>3</v>
      </c>
      <c r="F4" s="15" t="s">
        <v>4</v>
      </c>
      <c r="G4" s="15" t="s">
        <v>6</v>
      </c>
    </row>
    <row r="5" spans="1:9" ht="10.5" x14ac:dyDescent="0.25">
      <c r="A5" s="26" t="s">
        <v>178</v>
      </c>
      <c r="B5" s="26"/>
      <c r="C5" s="26"/>
      <c r="D5" s="32"/>
      <c r="E5" s="33">
        <v>32636.917309</v>
      </c>
      <c r="F5" s="34">
        <v>100</v>
      </c>
      <c r="G5" s="33"/>
      <c r="H5" s="18"/>
      <c r="I5" s="18"/>
    </row>
    <row r="6" spans="1:9" ht="10.5" x14ac:dyDescent="0.25">
      <c r="A6" s="26"/>
      <c r="B6" s="26"/>
      <c r="C6" s="26"/>
      <c r="D6" s="32"/>
      <c r="E6" s="33"/>
      <c r="F6" s="34"/>
      <c r="G6" s="33"/>
      <c r="H6" s="18"/>
      <c r="I6" s="18"/>
    </row>
    <row r="7" spans="1:9" ht="10.5" x14ac:dyDescent="0.25">
      <c r="A7" s="35" t="s">
        <v>177</v>
      </c>
      <c r="B7" s="35"/>
      <c r="C7" s="35"/>
      <c r="D7" s="36"/>
      <c r="E7" s="37">
        <v>32636.917309</v>
      </c>
      <c r="F7" s="38">
        <v>100</v>
      </c>
      <c r="G7" s="37"/>
      <c r="H7" s="18"/>
      <c r="I7" s="18"/>
    </row>
    <row r="10" spans="1:9" ht="10.5" x14ac:dyDescent="0.25">
      <c r="A10" s="18" t="s">
        <v>181</v>
      </c>
    </row>
    <row r="11" spans="1:9" ht="10.5" x14ac:dyDescent="0.25">
      <c r="A11" s="18" t="s">
        <v>182</v>
      </c>
    </row>
    <row r="12" spans="1:9" ht="10.5" x14ac:dyDescent="0.25">
      <c r="A12" s="18" t="s">
        <v>183</v>
      </c>
      <c r="B12" s="18"/>
      <c r="C12" s="39" t="s">
        <v>185</v>
      </c>
      <c r="D12" s="19" t="s">
        <v>184</v>
      </c>
    </row>
    <row r="13" spans="1:9" x14ac:dyDescent="0.2">
      <c r="A13" s="9" t="s">
        <v>421</v>
      </c>
      <c r="C13" s="40">
        <v>1048.5733</v>
      </c>
      <c r="D13" s="40">
        <v>1063.7302</v>
      </c>
    </row>
    <row r="14" spans="1:9" x14ac:dyDescent="0.2">
      <c r="A14" s="9" t="s">
        <v>492</v>
      </c>
      <c r="C14" s="40">
        <v>1000</v>
      </c>
      <c r="D14" s="40">
        <v>1000</v>
      </c>
    </row>
    <row r="15" spans="1:9" x14ac:dyDescent="0.2">
      <c r="A15" s="9" t="s">
        <v>662</v>
      </c>
      <c r="C15" s="40">
        <v>1000.299</v>
      </c>
      <c r="D15" s="40">
        <v>1000.353</v>
      </c>
    </row>
    <row r="16" spans="1:9" x14ac:dyDescent="0.2">
      <c r="A16" s="9" t="s">
        <v>424</v>
      </c>
      <c r="C16" s="40">
        <v>1049.2557999999999</v>
      </c>
      <c r="D16" s="40">
        <v>1064.7180000000001</v>
      </c>
    </row>
    <row r="17" spans="1:5" x14ac:dyDescent="0.2">
      <c r="A17" s="9" t="s">
        <v>493</v>
      </c>
      <c r="C17" s="40">
        <v>1000</v>
      </c>
      <c r="D17" s="40">
        <v>1000</v>
      </c>
    </row>
    <row r="18" spans="1:5" x14ac:dyDescent="0.2">
      <c r="A18" s="9" t="s">
        <v>663</v>
      </c>
      <c r="C18" s="40">
        <v>1000.3089</v>
      </c>
      <c r="D18" s="40">
        <v>1000.3602</v>
      </c>
    </row>
    <row r="20" spans="1:5" ht="10.5" x14ac:dyDescent="0.25">
      <c r="A20" s="18" t="s">
        <v>197</v>
      </c>
    </row>
    <row r="21" spans="1:5" ht="10.5" x14ac:dyDescent="0.25">
      <c r="A21" s="73" t="s">
        <v>403</v>
      </c>
      <c r="B21" s="74"/>
      <c r="C21" s="45" t="s">
        <v>404</v>
      </c>
    </row>
    <row r="22" spans="1:5" x14ac:dyDescent="0.2">
      <c r="A22" s="69" t="s">
        <v>492</v>
      </c>
      <c r="B22" s="70"/>
      <c r="C22" s="46">
        <v>14.193749992000001</v>
      </c>
    </row>
    <row r="23" spans="1:5" x14ac:dyDescent="0.2">
      <c r="A23" s="69" t="s">
        <v>662</v>
      </c>
      <c r="B23" s="70"/>
      <c r="C23" s="46">
        <v>13.870938695</v>
      </c>
    </row>
    <row r="24" spans="1:5" x14ac:dyDescent="0.2">
      <c r="A24" s="69" t="s">
        <v>493</v>
      </c>
      <c r="B24" s="70"/>
      <c r="C24" s="46">
        <v>14.451046187999999</v>
      </c>
    </row>
    <row r="25" spans="1:5" x14ac:dyDescent="0.2">
      <c r="A25" s="69" t="s">
        <v>663</v>
      </c>
      <c r="B25" s="70"/>
      <c r="C25" s="46">
        <v>14.120296479</v>
      </c>
    </row>
    <row r="26" spans="1:5" x14ac:dyDescent="0.2">
      <c r="A26" s="9" t="s">
        <v>405</v>
      </c>
    </row>
    <row r="28" spans="1:5" ht="10.5" x14ac:dyDescent="0.25">
      <c r="A28" s="18" t="s">
        <v>199</v>
      </c>
      <c r="D28" s="42">
        <v>1.0958904109589E-2</v>
      </c>
      <c r="E28" s="13" t="s">
        <v>200</v>
      </c>
    </row>
    <row r="30" spans="1:5" ht="10.5" x14ac:dyDescent="0.25">
      <c r="A30" s="18" t="s">
        <v>201</v>
      </c>
      <c r="D30" s="41" t="s">
        <v>198</v>
      </c>
    </row>
  </sheetData>
  <mergeCells count="6">
    <mergeCell ref="A25:B25"/>
    <mergeCell ref="A1:G1"/>
    <mergeCell ref="A21:B21"/>
    <mergeCell ref="A22:B22"/>
    <mergeCell ref="A23:B23"/>
    <mergeCell ref="A24:B24"/>
  </mergeCells>
  <conditionalFormatting sqref="F2:F3 F5:F65533">
    <cfRule type="cellIs" dxfId="9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72"/>
  <sheetViews>
    <sheetView workbookViewId="0">
      <selection sqref="A1:G1"/>
    </sheetView>
  </sheetViews>
  <sheetFormatPr defaultColWidth="9.1796875" defaultRowHeight="10" x14ac:dyDescent="0.2"/>
  <cols>
    <col min="1" max="1" width="36.81640625" style="9" bestFit="1" customWidth="1"/>
    <col min="2" max="2" width="49"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1" t="s">
        <v>10</v>
      </c>
      <c r="B1" s="72"/>
      <c r="C1" s="72"/>
      <c r="D1" s="72"/>
      <c r="E1" s="72"/>
      <c r="F1" s="72"/>
      <c r="G1" s="72"/>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179</v>
      </c>
      <c r="D4" s="16" t="s">
        <v>1</v>
      </c>
      <c r="E4" s="15" t="s">
        <v>3</v>
      </c>
      <c r="F4" s="15" t="s">
        <v>4</v>
      </c>
      <c r="G4" s="15" t="s">
        <v>6</v>
      </c>
    </row>
    <row r="5" spans="1:9" ht="10.5" x14ac:dyDescent="0.25">
      <c r="A5" s="21" t="s">
        <v>352</v>
      </c>
      <c r="B5" s="22"/>
      <c r="C5" s="22"/>
      <c r="D5" s="23"/>
      <c r="E5" s="24"/>
      <c r="F5" s="25"/>
      <c r="G5" s="24"/>
    </row>
    <row r="6" spans="1:9" ht="10.5" x14ac:dyDescent="0.25">
      <c r="A6" s="26" t="s">
        <v>353</v>
      </c>
      <c r="B6" s="27"/>
      <c r="C6" s="27"/>
      <c r="D6" s="28"/>
      <c r="E6" s="29"/>
      <c r="F6" s="30"/>
      <c r="G6" s="29"/>
    </row>
    <row r="7" spans="1:9" x14ac:dyDescent="0.2">
      <c r="A7" s="27" t="s">
        <v>355</v>
      </c>
      <c r="B7" s="27" t="s">
        <v>354</v>
      </c>
      <c r="C7" s="27" t="s">
        <v>356</v>
      </c>
      <c r="D7" s="31">
        <v>10000</v>
      </c>
      <c r="E7" s="29">
        <v>9941.17</v>
      </c>
      <c r="F7" s="30">
        <v>7.7588593844759099</v>
      </c>
      <c r="G7" s="29">
        <v>2.88</v>
      </c>
    </row>
    <row r="8" spans="1:9" x14ac:dyDescent="0.2">
      <c r="A8" s="27" t="s">
        <v>358</v>
      </c>
      <c r="B8" s="27" t="s">
        <v>357</v>
      </c>
      <c r="C8" s="27" t="s">
        <v>359</v>
      </c>
      <c r="D8" s="31">
        <v>5000</v>
      </c>
      <c r="E8" s="29">
        <v>4958.1549999999997</v>
      </c>
      <c r="F8" s="30">
        <v>3.8697283570682499</v>
      </c>
      <c r="G8" s="29">
        <v>3.05</v>
      </c>
    </row>
    <row r="9" spans="1:9" x14ac:dyDescent="0.2">
      <c r="A9" s="27" t="s">
        <v>361</v>
      </c>
      <c r="B9" s="27" t="s">
        <v>360</v>
      </c>
      <c r="C9" s="27" t="s">
        <v>356</v>
      </c>
      <c r="D9" s="31">
        <v>2500</v>
      </c>
      <c r="E9" s="29">
        <v>2486.7624999999998</v>
      </c>
      <c r="F9" s="30">
        <v>1.9408621480256101</v>
      </c>
      <c r="G9" s="29">
        <v>2.8999000000000001</v>
      </c>
    </row>
    <row r="10" spans="1:9" x14ac:dyDescent="0.2">
      <c r="A10" s="27" t="s">
        <v>363</v>
      </c>
      <c r="B10" s="27" t="s">
        <v>362</v>
      </c>
      <c r="C10" s="27" t="s">
        <v>359</v>
      </c>
      <c r="D10" s="31">
        <v>1022</v>
      </c>
      <c r="E10" s="29">
        <v>1013.729976</v>
      </c>
      <c r="F10" s="30">
        <v>0.79119342467859799</v>
      </c>
      <c r="G10" s="29">
        <v>3.07</v>
      </c>
    </row>
    <row r="11" spans="1:9" ht="10.5" x14ac:dyDescent="0.25">
      <c r="A11" s="26" t="s">
        <v>164</v>
      </c>
      <c r="B11" s="26"/>
      <c r="C11" s="26"/>
      <c r="D11" s="32"/>
      <c r="E11" s="33">
        <f>SUM(E6:E10)</f>
        <v>18399.817476</v>
      </c>
      <c r="F11" s="34">
        <f>SUM(F6:F10)</f>
        <v>14.360643314248367</v>
      </c>
      <c r="G11" s="33"/>
      <c r="H11" s="18"/>
      <c r="I11" s="18"/>
    </row>
    <row r="12" spans="1:9" x14ac:dyDescent="0.2">
      <c r="A12" s="27"/>
      <c r="B12" s="27"/>
      <c r="C12" s="27"/>
      <c r="D12" s="28"/>
      <c r="E12" s="29"/>
      <c r="F12" s="30"/>
      <c r="G12" s="29"/>
    </row>
    <row r="13" spans="1:9" ht="10.5" x14ac:dyDescent="0.25">
      <c r="A13" s="26" t="s">
        <v>364</v>
      </c>
      <c r="B13" s="27"/>
      <c r="C13" s="27"/>
      <c r="D13" s="28"/>
      <c r="E13" s="29"/>
      <c r="F13" s="30"/>
      <c r="G13" s="29"/>
    </row>
    <row r="14" spans="1:9" x14ac:dyDescent="0.2">
      <c r="A14" s="27" t="s">
        <v>366</v>
      </c>
      <c r="B14" s="27" t="s">
        <v>365</v>
      </c>
      <c r="C14" s="27" t="s">
        <v>367</v>
      </c>
      <c r="D14" s="31">
        <v>2000</v>
      </c>
      <c r="E14" s="29">
        <v>9990.48</v>
      </c>
      <c r="F14" s="30">
        <v>7.7973447293848599</v>
      </c>
      <c r="G14" s="29">
        <v>3.4799000000000002</v>
      </c>
    </row>
    <row r="15" spans="1:9" x14ac:dyDescent="0.2">
      <c r="A15" s="27" t="s">
        <v>369</v>
      </c>
      <c r="B15" s="27" t="s">
        <v>368</v>
      </c>
      <c r="C15" s="27" t="s">
        <v>370</v>
      </c>
      <c r="D15" s="31">
        <v>2000</v>
      </c>
      <c r="E15" s="29">
        <v>9940.26</v>
      </c>
      <c r="F15" s="30">
        <v>7.7581491499622803</v>
      </c>
      <c r="G15" s="29">
        <v>3.0049999999999999</v>
      </c>
    </row>
    <row r="16" spans="1:9" x14ac:dyDescent="0.2">
      <c r="A16" s="27" t="s">
        <v>372</v>
      </c>
      <c r="B16" s="27" t="s">
        <v>371</v>
      </c>
      <c r="C16" s="27" t="s">
        <v>367</v>
      </c>
      <c r="D16" s="31">
        <v>1500</v>
      </c>
      <c r="E16" s="29">
        <v>7459.08</v>
      </c>
      <c r="F16" s="30">
        <v>5.8216440175106703</v>
      </c>
      <c r="G16" s="29">
        <v>3.2299000000000002</v>
      </c>
    </row>
    <row r="17" spans="1:9" x14ac:dyDescent="0.2">
      <c r="A17" s="27" t="s">
        <v>374</v>
      </c>
      <c r="B17" s="27" t="s">
        <v>373</v>
      </c>
      <c r="C17" s="27" t="s">
        <v>370</v>
      </c>
      <c r="D17" s="31">
        <v>1500</v>
      </c>
      <c r="E17" s="29">
        <v>7326.1424999999999</v>
      </c>
      <c r="F17" s="30">
        <v>5.7178892915152604</v>
      </c>
      <c r="G17" s="29">
        <v>3.5499000000000001</v>
      </c>
    </row>
    <row r="18" spans="1:9" x14ac:dyDescent="0.2">
      <c r="A18" s="27" t="s">
        <v>376</v>
      </c>
      <c r="B18" s="27" t="s">
        <v>375</v>
      </c>
      <c r="C18" s="27" t="s">
        <v>367</v>
      </c>
      <c r="D18" s="31">
        <v>1000</v>
      </c>
      <c r="E18" s="29">
        <v>4981.165</v>
      </c>
      <c r="F18" s="30">
        <v>3.8876871440557701</v>
      </c>
      <c r="G18" s="29">
        <v>3.0003000000000002</v>
      </c>
    </row>
    <row r="19" spans="1:9" x14ac:dyDescent="0.2">
      <c r="A19" s="27" t="s">
        <v>378</v>
      </c>
      <c r="B19" s="27" t="s">
        <v>377</v>
      </c>
      <c r="C19" s="27" t="s">
        <v>359</v>
      </c>
      <c r="D19" s="31">
        <v>1000</v>
      </c>
      <c r="E19" s="29">
        <v>4974.2299999999996</v>
      </c>
      <c r="F19" s="30">
        <v>3.88227453267992</v>
      </c>
      <c r="G19" s="29">
        <v>3.0499000000000001</v>
      </c>
    </row>
    <row r="20" spans="1:9" x14ac:dyDescent="0.2">
      <c r="A20" s="27" t="s">
        <v>380</v>
      </c>
      <c r="B20" s="27" t="s">
        <v>379</v>
      </c>
      <c r="C20" s="27" t="s">
        <v>367</v>
      </c>
      <c r="D20" s="31">
        <v>1000</v>
      </c>
      <c r="E20" s="29">
        <v>4968.0550000000003</v>
      </c>
      <c r="F20" s="30">
        <v>3.8774550841945601</v>
      </c>
      <c r="G20" s="29">
        <v>3.26</v>
      </c>
    </row>
    <row r="21" spans="1:9" x14ac:dyDescent="0.2">
      <c r="A21" s="27" t="s">
        <v>382</v>
      </c>
      <c r="B21" s="27" t="s">
        <v>381</v>
      </c>
      <c r="C21" s="27" t="s">
        <v>370</v>
      </c>
      <c r="D21" s="31">
        <v>1000</v>
      </c>
      <c r="E21" s="29">
        <v>4958.6899999999996</v>
      </c>
      <c r="F21" s="30">
        <v>3.8701459125240598</v>
      </c>
      <c r="G21" s="29">
        <v>3.1349999999999998</v>
      </c>
    </row>
    <row r="22" spans="1:9" x14ac:dyDescent="0.2">
      <c r="A22" s="27" t="s">
        <v>384</v>
      </c>
      <c r="B22" s="27" t="s">
        <v>383</v>
      </c>
      <c r="C22" s="27" t="s">
        <v>359</v>
      </c>
      <c r="D22" s="31">
        <v>1000</v>
      </c>
      <c r="E22" s="29">
        <v>4954.47</v>
      </c>
      <c r="F22" s="30">
        <v>3.86685229752679</v>
      </c>
      <c r="G22" s="29">
        <v>3.1349999999999998</v>
      </c>
    </row>
    <row r="23" spans="1:9" x14ac:dyDescent="0.2">
      <c r="A23" s="27" t="s">
        <v>386</v>
      </c>
      <c r="B23" s="27" t="s">
        <v>385</v>
      </c>
      <c r="C23" s="27" t="s">
        <v>359</v>
      </c>
      <c r="D23" s="31">
        <v>1000</v>
      </c>
      <c r="E23" s="29">
        <v>4947.93</v>
      </c>
      <c r="F23" s="30">
        <v>3.8617479747584902</v>
      </c>
      <c r="G23" s="29">
        <v>3.3401000000000001</v>
      </c>
    </row>
    <row r="24" spans="1:9" x14ac:dyDescent="0.2">
      <c r="A24" s="27" t="s">
        <v>388</v>
      </c>
      <c r="B24" s="27" t="s">
        <v>387</v>
      </c>
      <c r="C24" s="27" t="s">
        <v>359</v>
      </c>
      <c r="D24" s="31">
        <v>500</v>
      </c>
      <c r="E24" s="29">
        <v>2477.9450000000002</v>
      </c>
      <c r="F24" s="30">
        <v>1.93398028777952</v>
      </c>
      <c r="G24" s="29">
        <v>3.1850000000000001</v>
      </c>
    </row>
    <row r="25" spans="1:9" ht="10.5" x14ac:dyDescent="0.25">
      <c r="A25" s="26" t="s">
        <v>164</v>
      </c>
      <c r="B25" s="26"/>
      <c r="C25" s="26"/>
      <c r="D25" s="32"/>
      <c r="E25" s="33">
        <f>SUM(E13:E24)</f>
        <v>66978.447500000009</v>
      </c>
      <c r="F25" s="34">
        <f>SUM(F13:F24)</f>
        <v>52.275170421892184</v>
      </c>
      <c r="G25" s="33"/>
      <c r="H25" s="18"/>
      <c r="I25" s="18"/>
    </row>
    <row r="26" spans="1:9" x14ac:dyDescent="0.2">
      <c r="A26" s="27"/>
      <c r="B26" s="27"/>
      <c r="C26" s="27"/>
      <c r="D26" s="28"/>
      <c r="E26" s="29"/>
      <c r="F26" s="30"/>
      <c r="G26" s="29"/>
    </row>
    <row r="27" spans="1:9" ht="10.5" x14ac:dyDescent="0.25">
      <c r="A27" s="26" t="s">
        <v>389</v>
      </c>
      <c r="B27" s="27"/>
      <c r="C27" s="27"/>
      <c r="D27" s="28"/>
      <c r="E27" s="29"/>
      <c r="F27" s="30"/>
      <c r="G27" s="29"/>
    </row>
    <row r="28" spans="1:9" x14ac:dyDescent="0.2">
      <c r="A28" s="27" t="s">
        <v>391</v>
      </c>
      <c r="B28" s="27" t="s">
        <v>390</v>
      </c>
      <c r="C28" s="27" t="s">
        <v>466</v>
      </c>
      <c r="D28" s="31">
        <v>10000000</v>
      </c>
      <c r="E28" s="29">
        <v>9920.42</v>
      </c>
      <c r="F28" s="30">
        <v>7.7426644766101402</v>
      </c>
      <c r="G28" s="29">
        <v>3.05</v>
      </c>
    </row>
    <row r="29" spans="1:9" x14ac:dyDescent="0.2">
      <c r="A29" s="27" t="s">
        <v>393</v>
      </c>
      <c r="B29" s="27" t="s">
        <v>392</v>
      </c>
      <c r="C29" s="27" t="s">
        <v>466</v>
      </c>
      <c r="D29" s="31">
        <v>5700000</v>
      </c>
      <c r="E29" s="29">
        <v>5644.8126000000002</v>
      </c>
      <c r="F29" s="30">
        <v>4.40564915549355</v>
      </c>
      <c r="G29" s="29">
        <v>3.05</v>
      </c>
    </row>
    <row r="30" spans="1:9" x14ac:dyDescent="0.2">
      <c r="A30" s="27" t="s">
        <v>395</v>
      </c>
      <c r="B30" s="27" t="s">
        <v>394</v>
      </c>
      <c r="C30" s="27" t="s">
        <v>466</v>
      </c>
      <c r="D30" s="31">
        <v>5000000</v>
      </c>
      <c r="E30" s="29">
        <v>4957.335</v>
      </c>
      <c r="F30" s="30">
        <v>3.8690883655284898</v>
      </c>
      <c r="G30" s="29">
        <v>3.0499000000000001</v>
      </c>
    </row>
    <row r="31" spans="1:9" x14ac:dyDescent="0.2">
      <c r="A31" s="27" t="s">
        <v>397</v>
      </c>
      <c r="B31" s="27" t="s">
        <v>396</v>
      </c>
      <c r="C31" s="27" t="s">
        <v>466</v>
      </c>
      <c r="D31" s="31">
        <v>5000000</v>
      </c>
      <c r="E31" s="29">
        <v>4949.54</v>
      </c>
      <c r="F31" s="30">
        <v>3.8630045435133802</v>
      </c>
      <c r="G31" s="29">
        <v>3.0501</v>
      </c>
    </row>
    <row r="32" spans="1:9" x14ac:dyDescent="0.2">
      <c r="A32" s="27" t="s">
        <v>399</v>
      </c>
      <c r="B32" s="27" t="s">
        <v>398</v>
      </c>
      <c r="C32" s="27" t="s">
        <v>466</v>
      </c>
      <c r="D32" s="31">
        <v>2500000</v>
      </c>
      <c r="E32" s="29">
        <v>2477.23</v>
      </c>
      <c r="F32" s="30">
        <v>1.9334222463759501</v>
      </c>
      <c r="G32" s="29">
        <v>3.05</v>
      </c>
    </row>
    <row r="33" spans="1:9" ht="10.5" x14ac:dyDescent="0.25">
      <c r="A33" s="26" t="s">
        <v>164</v>
      </c>
      <c r="B33" s="26"/>
      <c r="C33" s="26"/>
      <c r="D33" s="32"/>
      <c r="E33" s="33">
        <f>SUM(E27:E32)</f>
        <v>27949.337599999999</v>
      </c>
      <c r="F33" s="34">
        <f>SUM(F27:F32)</f>
        <v>21.813828787521512</v>
      </c>
      <c r="G33" s="33"/>
      <c r="H33" s="18"/>
      <c r="I33" s="18"/>
    </row>
    <row r="34" spans="1:9" x14ac:dyDescent="0.2">
      <c r="A34" s="27"/>
      <c r="B34" s="27"/>
      <c r="C34" s="27"/>
      <c r="D34" s="28"/>
      <c r="E34" s="29"/>
      <c r="F34" s="30"/>
      <c r="G34" s="29"/>
    </row>
    <row r="35" spans="1:9" ht="10.5" x14ac:dyDescent="0.25">
      <c r="A35" s="26" t="s">
        <v>176</v>
      </c>
      <c r="B35" s="26"/>
      <c r="C35" s="26"/>
      <c r="D35" s="32"/>
      <c r="E35" s="33">
        <f>E11+E25+E33</f>
        <v>113327.602576</v>
      </c>
      <c r="F35" s="34">
        <f>F11+F25+F33</f>
        <v>88.449642523662064</v>
      </c>
      <c r="G35" s="33"/>
      <c r="H35" s="18"/>
      <c r="I35" s="18"/>
    </row>
    <row r="36" spans="1:9" ht="10.5" x14ac:dyDescent="0.25">
      <c r="A36" s="26"/>
      <c r="B36" s="26"/>
      <c r="C36" s="26"/>
      <c r="D36" s="32"/>
      <c r="E36" s="33"/>
      <c r="F36" s="34"/>
      <c r="G36" s="33"/>
      <c r="H36" s="18"/>
      <c r="I36" s="18"/>
    </row>
    <row r="37" spans="1:9" ht="10.5" x14ac:dyDescent="0.25">
      <c r="A37" s="26" t="s">
        <v>178</v>
      </c>
      <c r="B37" s="26"/>
      <c r="C37" s="26"/>
      <c r="D37" s="32"/>
      <c r="E37" s="33">
        <f>E39-(E11+E25+E33)</f>
        <v>14799.09114769999</v>
      </c>
      <c r="F37" s="34">
        <f>F39-(F11+F25+F33)</f>
        <v>11.550357476337936</v>
      </c>
      <c r="G37" s="33"/>
      <c r="H37" s="18"/>
      <c r="I37" s="18"/>
    </row>
    <row r="38" spans="1:9" ht="10.5" x14ac:dyDescent="0.25">
      <c r="A38" s="26"/>
      <c r="B38" s="26"/>
      <c r="C38" s="26"/>
      <c r="D38" s="32"/>
      <c r="E38" s="33"/>
      <c r="F38" s="34"/>
      <c r="G38" s="33"/>
      <c r="H38" s="18"/>
      <c r="I38" s="18"/>
    </row>
    <row r="39" spans="1:9" ht="10.5" x14ac:dyDescent="0.25">
      <c r="A39" s="35" t="s">
        <v>177</v>
      </c>
      <c r="B39" s="35"/>
      <c r="C39" s="35"/>
      <c r="D39" s="36"/>
      <c r="E39" s="37">
        <v>128126.69372369999</v>
      </c>
      <c r="F39" s="38">
        <v>100</v>
      </c>
      <c r="G39" s="37"/>
      <c r="H39" s="18"/>
      <c r="I39" s="18"/>
    </row>
    <row r="41" spans="1:9" ht="10.5" x14ac:dyDescent="0.25">
      <c r="A41" s="18" t="s">
        <v>400</v>
      </c>
    </row>
    <row r="42" spans="1:9" ht="10.5" x14ac:dyDescent="0.25">
      <c r="A42" s="18" t="s">
        <v>180</v>
      </c>
    </row>
    <row r="44" spans="1:9" ht="10.5" x14ac:dyDescent="0.25">
      <c r="A44" s="18" t="s">
        <v>181</v>
      </c>
    </row>
    <row r="45" spans="1:9" ht="10.5" x14ac:dyDescent="0.25">
      <c r="A45" s="18" t="s">
        <v>182</v>
      </c>
    </row>
    <row r="46" spans="1:9" ht="10.5" x14ac:dyDescent="0.25">
      <c r="A46" s="18" t="s">
        <v>183</v>
      </c>
      <c r="B46" s="18"/>
      <c r="C46" s="39" t="s">
        <v>185</v>
      </c>
      <c r="D46" s="19" t="s">
        <v>184</v>
      </c>
    </row>
    <row r="47" spans="1:9" x14ac:dyDescent="0.2">
      <c r="A47" s="9" t="s">
        <v>186</v>
      </c>
      <c r="C47" s="40">
        <v>37.604599999999998</v>
      </c>
      <c r="D47" s="40">
        <v>38.500900000000001</v>
      </c>
    </row>
    <row r="48" spans="1:9" x14ac:dyDescent="0.2">
      <c r="A48" s="9" t="s">
        <v>187</v>
      </c>
      <c r="C48" s="40">
        <v>10.105</v>
      </c>
      <c r="D48" s="40">
        <v>10.110799999999999</v>
      </c>
    </row>
    <row r="49" spans="1:4" x14ac:dyDescent="0.2">
      <c r="A49" s="9" t="s">
        <v>338</v>
      </c>
      <c r="C49" s="40">
        <v>10.220499999999999</v>
      </c>
      <c r="D49" s="40">
        <v>10.1661</v>
      </c>
    </row>
    <row r="50" spans="1:4" x14ac:dyDescent="0.2">
      <c r="A50" s="9" t="s">
        <v>339</v>
      </c>
      <c r="C50" s="40">
        <v>10.9824</v>
      </c>
      <c r="D50" s="40">
        <v>10.798400000000001</v>
      </c>
    </row>
    <row r="51" spans="1:4" x14ac:dyDescent="0.2">
      <c r="A51" s="9" t="s">
        <v>401</v>
      </c>
      <c r="C51" s="40">
        <v>10.365600000000001</v>
      </c>
      <c r="D51" s="58" t="s">
        <v>1506</v>
      </c>
    </row>
    <row r="52" spans="1:4" x14ac:dyDescent="0.2">
      <c r="A52" s="9" t="s">
        <v>340</v>
      </c>
      <c r="C52" s="40">
        <v>38.541400000000003</v>
      </c>
      <c r="D52" s="40">
        <v>39.489899999999999</v>
      </c>
    </row>
    <row r="53" spans="1:4" x14ac:dyDescent="0.2">
      <c r="A53" s="9" t="s">
        <v>402</v>
      </c>
      <c r="C53" s="40">
        <v>10.114699999999999</v>
      </c>
      <c r="D53" s="40">
        <v>10.1205</v>
      </c>
    </row>
    <row r="54" spans="1:4" x14ac:dyDescent="0.2">
      <c r="A54" s="9" t="s">
        <v>342</v>
      </c>
      <c r="C54" s="40">
        <v>10.542</v>
      </c>
      <c r="D54" s="40">
        <v>10.5032</v>
      </c>
    </row>
    <row r="55" spans="1:4" x14ac:dyDescent="0.2">
      <c r="A55" s="9" t="s">
        <v>343</v>
      </c>
      <c r="C55" s="40">
        <v>11.351100000000001</v>
      </c>
      <c r="D55" s="40">
        <v>11.1844</v>
      </c>
    </row>
    <row r="57" spans="1:4" ht="10.5" x14ac:dyDescent="0.25">
      <c r="A57" s="18" t="s">
        <v>1508</v>
      </c>
    </row>
    <row r="59" spans="1:4" ht="10.5" x14ac:dyDescent="0.25">
      <c r="A59" s="18" t="s">
        <v>197</v>
      </c>
    </row>
    <row r="60" spans="1:4" ht="10.5" x14ac:dyDescent="0.25">
      <c r="A60" s="73" t="s">
        <v>403</v>
      </c>
      <c r="B60" s="74"/>
      <c r="C60" s="45" t="s">
        <v>404</v>
      </c>
    </row>
    <row r="61" spans="1:4" x14ac:dyDescent="0.2">
      <c r="A61" s="69" t="s">
        <v>187</v>
      </c>
      <c r="B61" s="70"/>
      <c r="C61" s="46">
        <v>0.23229934869999999</v>
      </c>
    </row>
    <row r="62" spans="1:4" x14ac:dyDescent="0.2">
      <c r="A62" s="69" t="s">
        <v>338</v>
      </c>
      <c r="B62" s="70"/>
      <c r="C62" s="46">
        <v>0.29499999999999998</v>
      </c>
    </row>
    <row r="63" spans="1:4" x14ac:dyDescent="0.2">
      <c r="A63" s="69" t="s">
        <v>339</v>
      </c>
      <c r="B63" s="70"/>
      <c r="C63" s="46">
        <v>0.44</v>
      </c>
    </row>
    <row r="64" spans="1:4" x14ac:dyDescent="0.2">
      <c r="A64" s="69" t="s">
        <v>401</v>
      </c>
      <c r="B64" s="70"/>
      <c r="C64" s="46">
        <v>3.1300000000000001E-2</v>
      </c>
    </row>
    <row r="65" spans="1:5" x14ac:dyDescent="0.2">
      <c r="A65" s="69" t="s">
        <v>402</v>
      </c>
      <c r="B65" s="70"/>
      <c r="C65" s="46">
        <v>0.24010018459999999</v>
      </c>
    </row>
    <row r="66" spans="1:5" x14ac:dyDescent="0.2">
      <c r="A66" s="69" t="s">
        <v>342</v>
      </c>
      <c r="B66" s="70"/>
      <c r="C66" s="46">
        <v>0.29499999999999998</v>
      </c>
    </row>
    <row r="67" spans="1:5" x14ac:dyDescent="0.2">
      <c r="A67" s="69" t="s">
        <v>343</v>
      </c>
      <c r="B67" s="70"/>
      <c r="C67" s="46">
        <v>0.44</v>
      </c>
    </row>
    <row r="68" spans="1:5" x14ac:dyDescent="0.2">
      <c r="A68" s="9" t="s">
        <v>405</v>
      </c>
    </row>
    <row r="70" spans="1:5" ht="10.5" x14ac:dyDescent="0.25">
      <c r="A70" s="18" t="s">
        <v>199</v>
      </c>
      <c r="D70" s="42">
        <v>0.22298319802739699</v>
      </c>
      <c r="E70" s="13" t="s">
        <v>200</v>
      </c>
    </row>
    <row r="72" spans="1:5" ht="10.5" x14ac:dyDescent="0.25">
      <c r="A72" s="18" t="s">
        <v>201</v>
      </c>
      <c r="D72" s="41" t="s">
        <v>198</v>
      </c>
    </row>
  </sheetData>
  <mergeCells count="9">
    <mergeCell ref="A65:B65"/>
    <mergeCell ref="A66:B66"/>
    <mergeCell ref="A67:B67"/>
    <mergeCell ref="A1:G1"/>
    <mergeCell ref="A60:B60"/>
    <mergeCell ref="A61:B61"/>
    <mergeCell ref="A62:B62"/>
    <mergeCell ref="A63:B63"/>
    <mergeCell ref="A64:B64"/>
  </mergeCells>
  <conditionalFormatting sqref="F2:F3 F5:F65538">
    <cfRule type="cellIs" dxfId="9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45"/>
  <sheetViews>
    <sheetView workbookViewId="0">
      <selection sqref="A1:G1"/>
    </sheetView>
  </sheetViews>
  <sheetFormatPr defaultColWidth="9.1796875" defaultRowHeight="10" x14ac:dyDescent="0.2"/>
  <cols>
    <col min="1" max="1" width="38.7265625" style="9" bestFit="1" customWidth="1"/>
    <col min="2" max="2" width="53.816406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1" t="s">
        <v>14</v>
      </c>
      <c r="B1" s="72"/>
      <c r="C1" s="72"/>
      <c r="D1" s="72"/>
      <c r="E1" s="72"/>
      <c r="F1" s="72"/>
      <c r="G1" s="72"/>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179</v>
      </c>
      <c r="D4" s="16" t="s">
        <v>1</v>
      </c>
      <c r="E4" s="15" t="s">
        <v>3</v>
      </c>
      <c r="F4" s="15" t="s">
        <v>4</v>
      </c>
      <c r="G4" s="15" t="s">
        <v>6</v>
      </c>
    </row>
    <row r="5" spans="1:9" ht="10.5" x14ac:dyDescent="0.25">
      <c r="A5" s="21" t="s">
        <v>69</v>
      </c>
      <c r="B5" s="22"/>
      <c r="C5" s="22"/>
      <c r="D5" s="23"/>
      <c r="E5" s="24"/>
      <c r="F5" s="25"/>
      <c r="G5" s="24"/>
    </row>
    <row r="6" spans="1:9" ht="10.5" x14ac:dyDescent="0.25">
      <c r="A6" s="26" t="s">
        <v>70</v>
      </c>
      <c r="B6" s="27"/>
      <c r="C6" s="27"/>
      <c r="D6" s="28"/>
      <c r="E6" s="29"/>
      <c r="F6" s="30"/>
      <c r="G6" s="29"/>
    </row>
    <row r="7" spans="1:9" x14ac:dyDescent="0.2">
      <c r="A7" s="27" t="s">
        <v>482</v>
      </c>
      <c r="B7" s="27" t="s">
        <v>481</v>
      </c>
      <c r="C7" s="27" t="s">
        <v>483</v>
      </c>
      <c r="D7" s="31">
        <v>250</v>
      </c>
      <c r="E7" s="29">
        <v>2565.6</v>
      </c>
      <c r="F7" s="30">
        <v>14.2328757814421</v>
      </c>
      <c r="G7" s="29">
        <v>6.09</v>
      </c>
    </row>
    <row r="8" spans="1:9" x14ac:dyDescent="0.2">
      <c r="A8" s="27" t="s">
        <v>485</v>
      </c>
      <c r="B8" s="27" t="s">
        <v>484</v>
      </c>
      <c r="C8" s="27" t="s">
        <v>163</v>
      </c>
      <c r="D8" s="31">
        <v>250</v>
      </c>
      <c r="E8" s="29">
        <v>2512.3024999999998</v>
      </c>
      <c r="F8" s="30">
        <v>13.937203542214901</v>
      </c>
      <c r="G8" s="29">
        <v>4.5750000000000002</v>
      </c>
    </row>
    <row r="9" spans="1:9" x14ac:dyDescent="0.2">
      <c r="A9" s="27" t="s">
        <v>72</v>
      </c>
      <c r="B9" s="27" t="s">
        <v>71</v>
      </c>
      <c r="C9" s="27" t="s">
        <v>73</v>
      </c>
      <c r="D9" s="31">
        <v>100</v>
      </c>
      <c r="E9" s="29">
        <v>1004.439</v>
      </c>
      <c r="F9" s="30">
        <v>5.5722074824742496</v>
      </c>
      <c r="G9" s="29">
        <v>9.4896999999999991</v>
      </c>
    </row>
    <row r="10" spans="1:9" x14ac:dyDescent="0.2">
      <c r="A10" s="27" t="s">
        <v>75</v>
      </c>
      <c r="B10" s="27" t="s">
        <v>74</v>
      </c>
      <c r="C10" s="27" t="s">
        <v>76</v>
      </c>
      <c r="D10" s="31">
        <v>100</v>
      </c>
      <c r="E10" s="29">
        <v>995.75</v>
      </c>
      <c r="F10" s="30">
        <v>5.5240045445007002</v>
      </c>
      <c r="G10" s="29">
        <v>10.501099999999999</v>
      </c>
    </row>
    <row r="11" spans="1:9" ht="10.5" x14ac:dyDescent="0.25">
      <c r="A11" s="26" t="s">
        <v>164</v>
      </c>
      <c r="B11" s="26"/>
      <c r="C11" s="26"/>
      <c r="D11" s="32"/>
      <c r="E11" s="33">
        <f>SUM(E6:E10)</f>
        <v>7078.0915000000005</v>
      </c>
      <c r="F11" s="34">
        <f>SUM(F6:F10)</f>
        <v>39.266291350631946</v>
      </c>
      <c r="G11" s="33"/>
      <c r="H11" s="18"/>
      <c r="I11" s="18"/>
    </row>
    <row r="12" spans="1:9" x14ac:dyDescent="0.2">
      <c r="A12" s="27"/>
      <c r="B12" s="27"/>
      <c r="C12" s="27"/>
      <c r="D12" s="28"/>
      <c r="E12" s="29"/>
      <c r="F12" s="30"/>
      <c r="G12" s="29"/>
    </row>
    <row r="13" spans="1:9" ht="10.5" x14ac:dyDescent="0.25">
      <c r="A13" s="26" t="s">
        <v>463</v>
      </c>
      <c r="B13" s="27"/>
      <c r="C13" s="27"/>
      <c r="D13" s="28"/>
      <c r="E13" s="29"/>
      <c r="F13" s="30"/>
      <c r="G13" s="29"/>
    </row>
    <row r="14" spans="1:9" x14ac:dyDescent="0.2">
      <c r="A14" s="27" t="s">
        <v>487</v>
      </c>
      <c r="B14" s="27" t="s">
        <v>486</v>
      </c>
      <c r="C14" s="27" t="s">
        <v>466</v>
      </c>
      <c r="D14" s="31">
        <v>3000000</v>
      </c>
      <c r="E14" s="29">
        <v>3001.14</v>
      </c>
      <c r="F14" s="30">
        <v>16.649069544245901</v>
      </c>
      <c r="G14" s="29">
        <v>2.87995</v>
      </c>
    </row>
    <row r="15" spans="1:9" x14ac:dyDescent="0.2">
      <c r="A15" s="27" t="s">
        <v>476</v>
      </c>
      <c r="B15" s="27" t="s">
        <v>475</v>
      </c>
      <c r="C15" s="27" t="s">
        <v>466</v>
      </c>
      <c r="D15" s="31">
        <v>2000000</v>
      </c>
      <c r="E15" s="29">
        <v>2010.826</v>
      </c>
      <c r="F15" s="30">
        <v>11.1552216542306</v>
      </c>
      <c r="G15" s="29">
        <v>5.0845000000000002</v>
      </c>
    </row>
    <row r="16" spans="1:9" x14ac:dyDescent="0.2">
      <c r="A16" s="27" t="s">
        <v>465</v>
      </c>
      <c r="B16" s="27" t="s">
        <v>464</v>
      </c>
      <c r="C16" s="27" t="s">
        <v>466</v>
      </c>
      <c r="D16" s="31">
        <v>1000000</v>
      </c>
      <c r="E16" s="29">
        <v>989.67399999999998</v>
      </c>
      <c r="F16" s="30">
        <v>5.4902974376843403</v>
      </c>
      <c r="G16" s="29">
        <v>5.9103000000000003</v>
      </c>
    </row>
    <row r="17" spans="1:9" x14ac:dyDescent="0.2">
      <c r="A17" s="27" t="s">
        <v>489</v>
      </c>
      <c r="B17" s="27" t="s">
        <v>488</v>
      </c>
      <c r="C17" s="27" t="s">
        <v>466</v>
      </c>
      <c r="D17" s="31">
        <v>500000</v>
      </c>
      <c r="E17" s="29">
        <v>528.61</v>
      </c>
      <c r="F17" s="30">
        <v>2.9325071978594202</v>
      </c>
      <c r="G17" s="29">
        <v>3.9176000000000002</v>
      </c>
    </row>
    <row r="18" spans="1:9" x14ac:dyDescent="0.2">
      <c r="A18" s="27" t="s">
        <v>491</v>
      </c>
      <c r="B18" s="27" t="s">
        <v>490</v>
      </c>
      <c r="C18" s="27" t="s">
        <v>466</v>
      </c>
      <c r="D18" s="31">
        <v>500000</v>
      </c>
      <c r="E18" s="29">
        <v>490.20150000000001</v>
      </c>
      <c r="F18" s="30">
        <v>2.7194329035611902</v>
      </c>
      <c r="G18" s="29">
        <v>3.90073863648121</v>
      </c>
    </row>
    <row r="19" spans="1:9" ht="10.5" x14ac:dyDescent="0.25">
      <c r="A19" s="26" t="s">
        <v>164</v>
      </c>
      <c r="B19" s="26"/>
      <c r="C19" s="26"/>
      <c r="D19" s="32"/>
      <c r="E19" s="33">
        <f>SUM(E14:E18)</f>
        <v>7020.4515000000001</v>
      </c>
      <c r="F19" s="34">
        <f>SUM(F14:F18)</f>
        <v>38.946528737581453</v>
      </c>
      <c r="G19" s="33"/>
      <c r="H19" s="18"/>
      <c r="I19" s="18"/>
    </row>
    <row r="20" spans="1:9" x14ac:dyDescent="0.2">
      <c r="A20" s="27"/>
      <c r="B20" s="27"/>
      <c r="C20" s="27"/>
      <c r="D20" s="28"/>
      <c r="E20" s="29"/>
      <c r="F20" s="30"/>
      <c r="G20" s="29"/>
    </row>
    <row r="21" spans="1:9" ht="10.5" x14ac:dyDescent="0.25">
      <c r="A21" s="26" t="s">
        <v>176</v>
      </c>
      <c r="B21" s="26"/>
      <c r="C21" s="26"/>
      <c r="D21" s="32"/>
      <c r="E21" s="33">
        <f>E11+E19</f>
        <v>14098.543000000001</v>
      </c>
      <c r="F21" s="34">
        <f>F11+F19</f>
        <v>78.212820088213391</v>
      </c>
      <c r="G21" s="33"/>
      <c r="H21" s="18"/>
      <c r="I21" s="18"/>
    </row>
    <row r="22" spans="1:9" ht="10.5" x14ac:dyDescent="0.25">
      <c r="A22" s="26"/>
      <c r="B22" s="26"/>
      <c r="C22" s="26"/>
      <c r="D22" s="32"/>
      <c r="E22" s="33"/>
      <c r="F22" s="34"/>
      <c r="G22" s="33"/>
      <c r="H22" s="18"/>
      <c r="I22" s="18"/>
    </row>
    <row r="23" spans="1:9" ht="10.5" x14ac:dyDescent="0.25">
      <c r="A23" s="26" t="s">
        <v>178</v>
      </c>
      <c r="B23" s="26"/>
      <c r="C23" s="26"/>
      <c r="D23" s="32"/>
      <c r="E23" s="33">
        <f>E25-(E11+E19)</f>
        <v>3927.329208799998</v>
      </c>
      <c r="F23" s="34">
        <f>F25-(F11+F19)</f>
        <v>21.787179911786609</v>
      </c>
      <c r="G23" s="33"/>
      <c r="H23" s="18"/>
      <c r="I23" s="18"/>
    </row>
    <row r="24" spans="1:9" ht="10.5" x14ac:dyDescent="0.25">
      <c r="A24" s="26"/>
      <c r="B24" s="26"/>
      <c r="C24" s="26"/>
      <c r="D24" s="32"/>
      <c r="E24" s="33"/>
      <c r="F24" s="34"/>
      <c r="G24" s="33"/>
      <c r="H24" s="18"/>
      <c r="I24" s="18"/>
    </row>
    <row r="25" spans="1:9" ht="10.5" x14ac:dyDescent="0.25">
      <c r="A25" s="35" t="s">
        <v>177</v>
      </c>
      <c r="B25" s="35"/>
      <c r="C25" s="35"/>
      <c r="D25" s="36"/>
      <c r="E25" s="37">
        <v>18025.872208799999</v>
      </c>
      <c r="F25" s="38">
        <v>100</v>
      </c>
      <c r="G25" s="37"/>
      <c r="H25" s="18"/>
      <c r="I25" s="18"/>
    </row>
    <row r="27" spans="1:9" ht="10.5" x14ac:dyDescent="0.25">
      <c r="A27" s="18" t="s">
        <v>180</v>
      </c>
    </row>
    <row r="29" spans="1:9" ht="10.5" x14ac:dyDescent="0.25">
      <c r="A29" s="18" t="s">
        <v>181</v>
      </c>
    </row>
    <row r="30" spans="1:9" ht="10.5" x14ac:dyDescent="0.25">
      <c r="A30" s="18" t="s">
        <v>182</v>
      </c>
    </row>
    <row r="31" spans="1:9" ht="10.5" x14ac:dyDescent="0.25">
      <c r="A31" s="18" t="s">
        <v>183</v>
      </c>
      <c r="B31" s="18"/>
      <c r="C31" s="39" t="s">
        <v>185</v>
      </c>
      <c r="D31" s="19" t="s">
        <v>184</v>
      </c>
    </row>
    <row r="32" spans="1:9" x14ac:dyDescent="0.2">
      <c r="A32" s="9" t="s">
        <v>421</v>
      </c>
      <c r="C32" s="40">
        <v>30.049900000000001</v>
      </c>
      <c r="D32" s="40">
        <v>31.026700000000002</v>
      </c>
    </row>
    <row r="33" spans="1:5" x14ac:dyDescent="0.2">
      <c r="A33" s="9" t="s">
        <v>492</v>
      </c>
      <c r="C33" s="40">
        <v>10.058299999999999</v>
      </c>
      <c r="D33" s="40">
        <v>10.1655</v>
      </c>
    </row>
    <row r="34" spans="1:5" x14ac:dyDescent="0.2">
      <c r="A34" s="9" t="s">
        <v>424</v>
      </c>
      <c r="C34" s="40">
        <v>31.6462</v>
      </c>
      <c r="D34" s="40">
        <v>32.798900000000003</v>
      </c>
    </row>
    <row r="35" spans="1:5" x14ac:dyDescent="0.2">
      <c r="A35" s="9" t="s">
        <v>493</v>
      </c>
      <c r="C35" s="40">
        <v>9.9969000000000001</v>
      </c>
      <c r="D35" s="40">
        <v>10.0663</v>
      </c>
    </row>
    <row r="37" spans="1:5" ht="10.5" x14ac:dyDescent="0.25">
      <c r="A37" s="18" t="s">
        <v>197</v>
      </c>
    </row>
    <row r="38" spans="1:5" ht="10.5" x14ac:dyDescent="0.25">
      <c r="A38" s="73" t="s">
        <v>403</v>
      </c>
      <c r="B38" s="74"/>
      <c r="C38" s="45" t="s">
        <v>404</v>
      </c>
    </row>
    <row r="39" spans="1:5" x14ac:dyDescent="0.2">
      <c r="A39" s="69" t="s">
        <v>492</v>
      </c>
      <c r="B39" s="70"/>
      <c r="C39" s="46">
        <v>0.21677241089999999</v>
      </c>
    </row>
    <row r="40" spans="1:5" x14ac:dyDescent="0.2">
      <c r="A40" s="69" t="s">
        <v>493</v>
      </c>
      <c r="B40" s="70"/>
      <c r="C40" s="46">
        <v>0.28941711440000001</v>
      </c>
    </row>
    <row r="41" spans="1:5" x14ac:dyDescent="0.2">
      <c r="A41" s="9" t="s">
        <v>405</v>
      </c>
    </row>
    <row r="43" spans="1:5" ht="10.5" x14ac:dyDescent="0.25">
      <c r="A43" s="18" t="s">
        <v>199</v>
      </c>
      <c r="D43" s="42">
        <v>1.9524902135342499</v>
      </c>
      <c r="E43" s="13" t="s">
        <v>200</v>
      </c>
    </row>
    <row r="45" spans="1:5" ht="10.5" x14ac:dyDescent="0.25">
      <c r="A45" s="18" t="s">
        <v>201</v>
      </c>
      <c r="D45" s="41" t="s">
        <v>198</v>
      </c>
    </row>
  </sheetData>
  <mergeCells count="4">
    <mergeCell ref="A1:G1"/>
    <mergeCell ref="A38:B38"/>
    <mergeCell ref="A39:B39"/>
    <mergeCell ref="A40:B40"/>
  </mergeCells>
  <conditionalFormatting sqref="F2:F3 F5:F65536">
    <cfRule type="cellIs" dxfId="9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0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17</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532</v>
      </c>
      <c r="B7" s="27" t="s">
        <v>531</v>
      </c>
      <c r="C7" s="27" t="s">
        <v>533</v>
      </c>
      <c r="D7" s="31">
        <v>550</v>
      </c>
      <c r="E7" s="29">
        <v>6010.884</v>
      </c>
      <c r="F7" s="30">
        <v>7.0420436995076301</v>
      </c>
      <c r="G7" s="29">
        <v>4.2964000000000002</v>
      </c>
    </row>
    <row r="8" spans="1:7" x14ac:dyDescent="0.2">
      <c r="A8" s="27" t="s">
        <v>535</v>
      </c>
      <c r="B8" s="27" t="s">
        <v>534</v>
      </c>
      <c r="C8" s="27" t="s">
        <v>163</v>
      </c>
      <c r="D8" s="31">
        <v>500</v>
      </c>
      <c r="E8" s="29">
        <v>5408.5249999999996</v>
      </c>
      <c r="F8" s="30">
        <v>6.33635075970182</v>
      </c>
      <c r="G8" s="29">
        <v>4.9238999999999997</v>
      </c>
    </row>
    <row r="9" spans="1:7" x14ac:dyDescent="0.2">
      <c r="A9" s="27" t="s">
        <v>537</v>
      </c>
      <c r="B9" s="27" t="s">
        <v>536</v>
      </c>
      <c r="C9" s="27" t="s">
        <v>163</v>
      </c>
      <c r="D9" s="31">
        <v>500</v>
      </c>
      <c r="E9" s="29">
        <v>5150.4250000000002</v>
      </c>
      <c r="F9" s="30">
        <v>6.0339740246254197</v>
      </c>
      <c r="G9" s="29">
        <v>4.05</v>
      </c>
    </row>
    <row r="10" spans="1:7" x14ac:dyDescent="0.2">
      <c r="A10" s="27" t="s">
        <v>204</v>
      </c>
      <c r="B10" s="27" t="s">
        <v>203</v>
      </c>
      <c r="C10" s="27" t="s">
        <v>132</v>
      </c>
      <c r="D10" s="31">
        <v>500</v>
      </c>
      <c r="E10" s="29">
        <v>4840.2550000000001</v>
      </c>
      <c r="F10" s="30">
        <v>5.67059474559154</v>
      </c>
      <c r="G10" s="29">
        <v>11.998799999999999</v>
      </c>
    </row>
    <row r="11" spans="1:7" x14ac:dyDescent="0.2">
      <c r="A11" s="27" t="s">
        <v>539</v>
      </c>
      <c r="B11" s="27" t="s">
        <v>538</v>
      </c>
      <c r="C11" s="27" t="s">
        <v>540</v>
      </c>
      <c r="D11" s="31">
        <v>430</v>
      </c>
      <c r="E11" s="29">
        <v>4456.8769000000002</v>
      </c>
      <c r="F11" s="30">
        <v>5.2214486077465603</v>
      </c>
      <c r="G11" s="29">
        <v>5.5990000000000002</v>
      </c>
    </row>
    <row r="12" spans="1:7" x14ac:dyDescent="0.2">
      <c r="A12" s="27" t="s">
        <v>233</v>
      </c>
      <c r="B12" s="27" t="s">
        <v>232</v>
      </c>
      <c r="C12" s="27" t="s">
        <v>234</v>
      </c>
      <c r="D12" s="31">
        <v>310</v>
      </c>
      <c r="E12" s="29">
        <v>3500.1604000000002</v>
      </c>
      <c r="F12" s="30">
        <v>4.1006085780537598</v>
      </c>
      <c r="G12" s="29">
        <v>7.6195000000000004</v>
      </c>
    </row>
    <row r="13" spans="1:7" x14ac:dyDescent="0.2">
      <c r="A13" s="27" t="s">
        <v>542</v>
      </c>
      <c r="B13" s="27" t="s">
        <v>541</v>
      </c>
      <c r="C13" s="27" t="s">
        <v>533</v>
      </c>
      <c r="D13" s="31">
        <v>264</v>
      </c>
      <c r="E13" s="29">
        <v>2746.7087999999999</v>
      </c>
      <c r="F13" s="30">
        <v>3.2179032900022899</v>
      </c>
      <c r="G13" s="29">
        <v>5.7141000000000002</v>
      </c>
    </row>
    <row r="14" spans="1:7" x14ac:dyDescent="0.2">
      <c r="A14" s="27" t="s">
        <v>544</v>
      </c>
      <c r="B14" s="27" t="s">
        <v>543</v>
      </c>
      <c r="C14" s="27" t="s">
        <v>163</v>
      </c>
      <c r="D14" s="31">
        <v>250</v>
      </c>
      <c r="E14" s="29">
        <v>2648.8825000000002</v>
      </c>
      <c r="F14" s="30">
        <v>3.1032950094962799</v>
      </c>
      <c r="G14" s="29">
        <v>6.2897999999999996</v>
      </c>
    </row>
    <row r="15" spans="1:7" x14ac:dyDescent="0.2">
      <c r="A15" s="27" t="s">
        <v>546</v>
      </c>
      <c r="B15" s="27" t="s">
        <v>545</v>
      </c>
      <c r="C15" s="27" t="s">
        <v>163</v>
      </c>
      <c r="D15" s="31">
        <v>250</v>
      </c>
      <c r="E15" s="29">
        <v>2631.0324999999998</v>
      </c>
      <c r="F15" s="30">
        <v>3.08238286412195</v>
      </c>
      <c r="G15" s="29">
        <v>3.915</v>
      </c>
    </row>
    <row r="16" spans="1:7" x14ac:dyDescent="0.2">
      <c r="A16" s="27" t="s">
        <v>548</v>
      </c>
      <c r="B16" s="27" t="s">
        <v>547</v>
      </c>
      <c r="C16" s="27" t="s">
        <v>163</v>
      </c>
      <c r="D16" s="31">
        <v>250</v>
      </c>
      <c r="E16" s="29">
        <v>2629.645</v>
      </c>
      <c r="F16" s="30">
        <v>3.0807573402167998</v>
      </c>
      <c r="G16" s="29">
        <v>5.4561999999999999</v>
      </c>
    </row>
    <row r="17" spans="1:7" x14ac:dyDescent="0.2">
      <c r="A17" s="27" t="s">
        <v>550</v>
      </c>
      <c r="B17" s="27" t="s">
        <v>549</v>
      </c>
      <c r="C17" s="27" t="s">
        <v>163</v>
      </c>
      <c r="D17" s="31">
        <v>250</v>
      </c>
      <c r="E17" s="29">
        <v>2617.7049999999999</v>
      </c>
      <c r="F17" s="30">
        <v>3.0667690480168299</v>
      </c>
      <c r="G17" s="29">
        <v>3.8</v>
      </c>
    </row>
    <row r="18" spans="1:7" x14ac:dyDescent="0.2">
      <c r="A18" s="27" t="s">
        <v>552</v>
      </c>
      <c r="B18" s="27" t="s">
        <v>551</v>
      </c>
      <c r="C18" s="27" t="s">
        <v>163</v>
      </c>
      <c r="D18" s="31">
        <v>250</v>
      </c>
      <c r="E18" s="29">
        <v>2615.3225000000002</v>
      </c>
      <c r="F18" s="30">
        <v>3.06397783309502</v>
      </c>
      <c r="G18" s="29">
        <v>4.4748999999999999</v>
      </c>
    </row>
    <row r="19" spans="1:7" x14ac:dyDescent="0.2">
      <c r="A19" s="27" t="s">
        <v>554</v>
      </c>
      <c r="B19" s="27" t="s">
        <v>553</v>
      </c>
      <c r="C19" s="27" t="s">
        <v>163</v>
      </c>
      <c r="D19" s="31">
        <v>250</v>
      </c>
      <c r="E19" s="29">
        <v>2596.9124999999999</v>
      </c>
      <c r="F19" s="30">
        <v>3.0424096204148299</v>
      </c>
      <c r="G19" s="29">
        <v>4.45</v>
      </c>
    </row>
    <row r="20" spans="1:7" x14ac:dyDescent="0.2">
      <c r="A20" s="27" t="s">
        <v>556</v>
      </c>
      <c r="B20" s="27" t="s">
        <v>555</v>
      </c>
      <c r="C20" s="27" t="s">
        <v>163</v>
      </c>
      <c r="D20" s="31">
        <v>250</v>
      </c>
      <c r="E20" s="29">
        <v>2579.1750000000002</v>
      </c>
      <c r="F20" s="30">
        <v>3.02162927427606</v>
      </c>
      <c r="G20" s="29">
        <v>4.3998999999999997</v>
      </c>
    </row>
    <row r="21" spans="1:7" x14ac:dyDescent="0.2">
      <c r="A21" s="27" t="s">
        <v>558</v>
      </c>
      <c r="B21" s="27" t="s">
        <v>557</v>
      </c>
      <c r="C21" s="27" t="s">
        <v>523</v>
      </c>
      <c r="D21" s="31">
        <v>200</v>
      </c>
      <c r="E21" s="29">
        <v>2149.2559999999999</v>
      </c>
      <c r="F21" s="30">
        <v>2.51795820272508</v>
      </c>
      <c r="G21" s="29">
        <v>4.3150000000000004</v>
      </c>
    </row>
    <row r="22" spans="1:7" x14ac:dyDescent="0.2">
      <c r="A22" s="27" t="s">
        <v>560</v>
      </c>
      <c r="B22" s="27" t="s">
        <v>559</v>
      </c>
      <c r="C22" s="27" t="s">
        <v>163</v>
      </c>
      <c r="D22" s="31">
        <v>200</v>
      </c>
      <c r="E22" s="29">
        <v>2141.8339999999998</v>
      </c>
      <c r="F22" s="30">
        <v>2.5092629678248999</v>
      </c>
      <c r="G22" s="29">
        <v>4.8548</v>
      </c>
    </row>
    <row r="23" spans="1:7" x14ac:dyDescent="0.2">
      <c r="A23" s="27" t="s">
        <v>562</v>
      </c>
      <c r="B23" s="27" t="s">
        <v>561</v>
      </c>
      <c r="C23" s="27" t="s">
        <v>163</v>
      </c>
      <c r="D23" s="31">
        <v>166</v>
      </c>
      <c r="E23" s="29">
        <v>2094.24604</v>
      </c>
      <c r="F23" s="30">
        <v>2.4535113522737699</v>
      </c>
      <c r="G23" s="29">
        <v>4.1561000000000003</v>
      </c>
    </row>
    <row r="24" spans="1:7" x14ac:dyDescent="0.2">
      <c r="A24" s="27" t="s">
        <v>162</v>
      </c>
      <c r="B24" s="27" t="s">
        <v>161</v>
      </c>
      <c r="C24" s="27" t="s">
        <v>163</v>
      </c>
      <c r="D24" s="31">
        <v>187</v>
      </c>
      <c r="E24" s="29">
        <v>1953.5254199999999</v>
      </c>
      <c r="F24" s="30">
        <v>2.2886502843406999</v>
      </c>
      <c r="G24" s="29">
        <v>3.8650000000000002</v>
      </c>
    </row>
    <row r="25" spans="1:7" x14ac:dyDescent="0.2">
      <c r="A25" s="27" t="s">
        <v>564</v>
      </c>
      <c r="B25" s="27" t="s">
        <v>563</v>
      </c>
      <c r="C25" s="27" t="s">
        <v>163</v>
      </c>
      <c r="D25" s="31">
        <v>180</v>
      </c>
      <c r="E25" s="29">
        <v>1863.9251999999999</v>
      </c>
      <c r="F25" s="30">
        <v>2.1836792576621802</v>
      </c>
      <c r="G25" s="29">
        <v>3.71</v>
      </c>
    </row>
    <row r="26" spans="1:7" x14ac:dyDescent="0.2">
      <c r="A26" s="27" t="s">
        <v>566</v>
      </c>
      <c r="B26" s="27" t="s">
        <v>565</v>
      </c>
      <c r="C26" s="27" t="s">
        <v>163</v>
      </c>
      <c r="D26" s="31">
        <v>140</v>
      </c>
      <c r="E26" s="29">
        <v>1557.752</v>
      </c>
      <c r="F26" s="30">
        <v>1.82498242471414</v>
      </c>
      <c r="G26" s="29">
        <v>5.35</v>
      </c>
    </row>
    <row r="27" spans="1:7" x14ac:dyDescent="0.2">
      <c r="A27" s="27" t="s">
        <v>280</v>
      </c>
      <c r="B27" s="27" t="s">
        <v>279</v>
      </c>
      <c r="C27" s="27" t="s">
        <v>163</v>
      </c>
      <c r="D27" s="31">
        <v>118</v>
      </c>
      <c r="E27" s="29">
        <v>1214.7781399999999</v>
      </c>
      <c r="F27" s="30">
        <v>1.4231718241587401</v>
      </c>
      <c r="G27" s="29">
        <v>3.56</v>
      </c>
    </row>
    <row r="28" spans="1:7" x14ac:dyDescent="0.2">
      <c r="A28" s="27" t="s">
        <v>568</v>
      </c>
      <c r="B28" s="27" t="s">
        <v>567</v>
      </c>
      <c r="C28" s="27" t="s">
        <v>163</v>
      </c>
      <c r="D28" s="31">
        <v>100</v>
      </c>
      <c r="E28" s="29">
        <v>1099.9059999999999</v>
      </c>
      <c r="F28" s="30">
        <v>1.2885935109296101</v>
      </c>
      <c r="G28" s="29">
        <v>5.66</v>
      </c>
    </row>
    <row r="29" spans="1:7" x14ac:dyDescent="0.2">
      <c r="A29" s="27" t="s">
        <v>570</v>
      </c>
      <c r="B29" s="27" t="s">
        <v>569</v>
      </c>
      <c r="C29" s="27" t="s">
        <v>163</v>
      </c>
      <c r="D29" s="31">
        <v>100</v>
      </c>
      <c r="E29" s="29">
        <v>1071.809</v>
      </c>
      <c r="F29" s="30">
        <v>1.25567650540679</v>
      </c>
      <c r="G29" s="29">
        <v>5.3650000000000002</v>
      </c>
    </row>
    <row r="30" spans="1:7" x14ac:dyDescent="0.2">
      <c r="A30" s="27" t="s">
        <v>572</v>
      </c>
      <c r="B30" s="27" t="s">
        <v>571</v>
      </c>
      <c r="C30" s="27" t="s">
        <v>163</v>
      </c>
      <c r="D30" s="31">
        <v>100</v>
      </c>
      <c r="E30" s="29">
        <v>1049.134</v>
      </c>
      <c r="F30" s="30">
        <v>1.22911163726321</v>
      </c>
      <c r="G30" s="29">
        <v>4.7412999999999998</v>
      </c>
    </row>
    <row r="31" spans="1:7" x14ac:dyDescent="0.2">
      <c r="A31" s="27" t="s">
        <v>574</v>
      </c>
      <c r="B31" s="27" t="s">
        <v>573</v>
      </c>
      <c r="C31" s="27" t="s">
        <v>163</v>
      </c>
      <c r="D31" s="31">
        <v>76</v>
      </c>
      <c r="E31" s="29">
        <v>800.97996000000001</v>
      </c>
      <c r="F31" s="30">
        <v>0.93838707929646803</v>
      </c>
      <c r="G31" s="29">
        <v>3.8</v>
      </c>
    </row>
    <row r="32" spans="1:7" x14ac:dyDescent="0.2">
      <c r="A32" s="27" t="s">
        <v>576</v>
      </c>
      <c r="B32" s="27" t="s">
        <v>575</v>
      </c>
      <c r="C32" s="27" t="s">
        <v>483</v>
      </c>
      <c r="D32" s="31">
        <v>59</v>
      </c>
      <c r="E32" s="29">
        <v>621.82223999999997</v>
      </c>
      <c r="F32" s="30">
        <v>0.72849507450247197</v>
      </c>
      <c r="G32" s="29">
        <v>3.835</v>
      </c>
    </row>
    <row r="33" spans="1:7" x14ac:dyDescent="0.2">
      <c r="A33" s="27" t="s">
        <v>578</v>
      </c>
      <c r="B33" s="27" t="s">
        <v>577</v>
      </c>
      <c r="C33" s="27" t="s">
        <v>523</v>
      </c>
      <c r="D33" s="31">
        <v>50</v>
      </c>
      <c r="E33" s="29">
        <v>562.07849999999996</v>
      </c>
      <c r="F33" s="30">
        <v>0.65850236995984202</v>
      </c>
      <c r="G33" s="29">
        <v>6.5549999999999997</v>
      </c>
    </row>
    <row r="34" spans="1:7" x14ac:dyDescent="0.2">
      <c r="A34" s="27" t="s">
        <v>580</v>
      </c>
      <c r="B34" s="27" t="s">
        <v>579</v>
      </c>
      <c r="C34" s="27" t="s">
        <v>523</v>
      </c>
      <c r="D34" s="31">
        <v>44</v>
      </c>
      <c r="E34" s="29">
        <v>553.3374</v>
      </c>
      <c r="F34" s="30">
        <v>0.648261745089729</v>
      </c>
      <c r="G34" s="29">
        <v>5.17</v>
      </c>
    </row>
    <row r="35" spans="1:7" x14ac:dyDescent="0.2">
      <c r="A35" s="27" t="s">
        <v>582</v>
      </c>
      <c r="B35" s="27" t="s">
        <v>581</v>
      </c>
      <c r="C35" s="27" t="s">
        <v>523</v>
      </c>
      <c r="D35" s="31">
        <v>53</v>
      </c>
      <c r="E35" s="29">
        <v>551.28904</v>
      </c>
      <c r="F35" s="30">
        <v>0.64586199147073997</v>
      </c>
      <c r="G35" s="29">
        <v>3.7850000000000001</v>
      </c>
    </row>
    <row r="36" spans="1:7" x14ac:dyDescent="0.2">
      <c r="A36" s="27" t="s">
        <v>584</v>
      </c>
      <c r="B36" s="27" t="s">
        <v>583</v>
      </c>
      <c r="C36" s="27" t="s">
        <v>163</v>
      </c>
      <c r="D36" s="31">
        <v>45</v>
      </c>
      <c r="E36" s="29">
        <v>504.34875</v>
      </c>
      <c r="F36" s="30">
        <v>0.59086915290530395</v>
      </c>
      <c r="G36" s="29">
        <v>5.6494999999999997</v>
      </c>
    </row>
    <row r="37" spans="1:7" x14ac:dyDescent="0.2">
      <c r="A37" s="27" t="s">
        <v>586</v>
      </c>
      <c r="B37" s="27" t="s">
        <v>585</v>
      </c>
      <c r="C37" s="27" t="s">
        <v>163</v>
      </c>
      <c r="D37" s="31">
        <v>31</v>
      </c>
      <c r="E37" s="29">
        <v>381.02936999999997</v>
      </c>
      <c r="F37" s="30">
        <v>0.44639448612481297</v>
      </c>
      <c r="G37" s="29">
        <v>4.3150000000000004</v>
      </c>
    </row>
    <row r="38" spans="1:7" x14ac:dyDescent="0.2">
      <c r="A38" s="27" t="s">
        <v>588</v>
      </c>
      <c r="B38" s="27" t="s">
        <v>587</v>
      </c>
      <c r="C38" s="27" t="s">
        <v>523</v>
      </c>
      <c r="D38" s="31">
        <v>34</v>
      </c>
      <c r="E38" s="29">
        <v>359.14064000000002</v>
      </c>
      <c r="F38" s="30">
        <v>0.42075077162512797</v>
      </c>
      <c r="G38" s="29">
        <v>3.7349999999999999</v>
      </c>
    </row>
    <row r="39" spans="1:7" x14ac:dyDescent="0.2">
      <c r="A39" s="27" t="s">
        <v>590</v>
      </c>
      <c r="B39" s="27" t="s">
        <v>589</v>
      </c>
      <c r="C39" s="27" t="s">
        <v>163</v>
      </c>
      <c r="D39" s="31">
        <v>33</v>
      </c>
      <c r="E39" s="29">
        <v>338.53181999999998</v>
      </c>
      <c r="F39" s="30">
        <v>0.39660653409945201</v>
      </c>
      <c r="G39" s="29">
        <v>3.71</v>
      </c>
    </row>
    <row r="40" spans="1:7" x14ac:dyDescent="0.2">
      <c r="A40" s="27" t="s">
        <v>501</v>
      </c>
      <c r="B40" s="27" t="s">
        <v>500</v>
      </c>
      <c r="C40" s="27" t="s">
        <v>163</v>
      </c>
      <c r="D40" s="31">
        <v>25</v>
      </c>
      <c r="E40" s="29">
        <v>281.48424999999997</v>
      </c>
      <c r="F40" s="30">
        <v>0.32977252417832897</v>
      </c>
      <c r="G40" s="29">
        <v>6.8170000000000002</v>
      </c>
    </row>
    <row r="41" spans="1:7" x14ac:dyDescent="0.2">
      <c r="A41" s="27" t="s">
        <v>592</v>
      </c>
      <c r="B41" s="27" t="s">
        <v>591</v>
      </c>
      <c r="C41" s="27" t="s">
        <v>163</v>
      </c>
      <c r="D41" s="31">
        <v>23</v>
      </c>
      <c r="E41" s="29">
        <v>230.64883</v>
      </c>
      <c r="F41" s="30">
        <v>0.27021635088953699</v>
      </c>
      <c r="G41" s="29">
        <v>2.9001999999999999</v>
      </c>
    </row>
    <row r="42" spans="1:7" x14ac:dyDescent="0.2">
      <c r="A42" s="27" t="s">
        <v>594</v>
      </c>
      <c r="B42" s="27" t="s">
        <v>593</v>
      </c>
      <c r="C42" s="27" t="s">
        <v>163</v>
      </c>
      <c r="D42" s="31">
        <v>20</v>
      </c>
      <c r="E42" s="29">
        <v>225.6542</v>
      </c>
      <c r="F42" s="30">
        <v>0.26436489830404902</v>
      </c>
      <c r="G42" s="29">
        <v>6.8</v>
      </c>
    </row>
    <row r="43" spans="1:7" x14ac:dyDescent="0.2">
      <c r="A43" s="27" t="s">
        <v>596</v>
      </c>
      <c r="B43" s="27" t="s">
        <v>595</v>
      </c>
      <c r="C43" s="27" t="s">
        <v>523</v>
      </c>
      <c r="D43" s="31">
        <v>19</v>
      </c>
      <c r="E43" s="29">
        <v>197.10049000000001</v>
      </c>
      <c r="F43" s="30">
        <v>0.23091283474683</v>
      </c>
      <c r="G43" s="29">
        <v>3.5049999999999999</v>
      </c>
    </row>
    <row r="44" spans="1:7" x14ac:dyDescent="0.2">
      <c r="A44" s="27" t="s">
        <v>598</v>
      </c>
      <c r="B44" s="27" t="s">
        <v>597</v>
      </c>
      <c r="C44" s="27" t="s">
        <v>163</v>
      </c>
      <c r="D44" s="31">
        <v>15</v>
      </c>
      <c r="E44" s="29">
        <v>189.71700000000001</v>
      </c>
      <c r="F44" s="30">
        <v>0.22226271618941401</v>
      </c>
      <c r="G44" s="29">
        <v>4.2</v>
      </c>
    </row>
    <row r="45" spans="1:7" x14ac:dyDescent="0.2">
      <c r="A45" s="27" t="s">
        <v>600</v>
      </c>
      <c r="B45" s="27" t="s">
        <v>599</v>
      </c>
      <c r="C45" s="27" t="s">
        <v>523</v>
      </c>
      <c r="D45" s="31">
        <v>70</v>
      </c>
      <c r="E45" s="29">
        <v>72.091809999999995</v>
      </c>
      <c r="F45" s="30">
        <v>8.4459070645282894E-2</v>
      </c>
      <c r="G45" s="29">
        <v>3.4998999999999998</v>
      </c>
    </row>
    <row r="46" spans="1:7" x14ac:dyDescent="0.2">
      <c r="A46" s="27" t="s">
        <v>602</v>
      </c>
      <c r="B46" s="27" t="s">
        <v>601</v>
      </c>
      <c r="C46" s="27" t="s">
        <v>483</v>
      </c>
      <c r="D46" s="31">
        <v>3</v>
      </c>
      <c r="E46" s="29">
        <v>38.059710000000003</v>
      </c>
      <c r="F46" s="30">
        <v>4.4588806074212603E-2</v>
      </c>
      <c r="G46" s="29">
        <v>5.7</v>
      </c>
    </row>
    <row r="47" spans="1:7" x14ac:dyDescent="0.2">
      <c r="A47" s="27" t="s">
        <v>604</v>
      </c>
      <c r="B47" s="27" t="s">
        <v>603</v>
      </c>
      <c r="C47" s="27" t="s">
        <v>163</v>
      </c>
      <c r="D47" s="31">
        <v>3</v>
      </c>
      <c r="E47" s="29">
        <v>31.08624</v>
      </c>
      <c r="F47" s="30">
        <v>3.6419045939562598E-2</v>
      </c>
      <c r="G47" s="29">
        <v>4.4493</v>
      </c>
    </row>
    <row r="48" spans="1:7" x14ac:dyDescent="0.2">
      <c r="A48" s="27" t="s">
        <v>606</v>
      </c>
      <c r="B48" s="27" t="s">
        <v>605</v>
      </c>
      <c r="C48" s="27" t="s">
        <v>163</v>
      </c>
      <c r="D48" s="31">
        <v>3</v>
      </c>
      <c r="E48" s="29">
        <v>30.381599999999999</v>
      </c>
      <c r="F48" s="30">
        <v>3.5593525820987501E-2</v>
      </c>
      <c r="G48" s="29">
        <v>3.2397999999999998</v>
      </c>
    </row>
    <row r="49" spans="1:9" x14ac:dyDescent="0.2">
      <c r="A49" s="27" t="s">
        <v>608</v>
      </c>
      <c r="B49" s="27" t="s">
        <v>607</v>
      </c>
      <c r="C49" s="27" t="s">
        <v>163</v>
      </c>
      <c r="D49" s="31">
        <v>2</v>
      </c>
      <c r="E49" s="29">
        <v>20.620180000000001</v>
      </c>
      <c r="F49" s="30">
        <v>2.4157546319595099E-2</v>
      </c>
      <c r="G49" s="29">
        <v>3.37</v>
      </c>
    </row>
    <row r="50" spans="1:9" x14ac:dyDescent="0.2">
      <c r="A50" s="27" t="s">
        <v>610</v>
      </c>
      <c r="B50" s="27" t="s">
        <v>609</v>
      </c>
      <c r="C50" s="27" t="s">
        <v>163</v>
      </c>
      <c r="D50" s="31">
        <v>2</v>
      </c>
      <c r="E50" s="29">
        <v>20.601579999999998</v>
      </c>
      <c r="F50" s="30">
        <v>2.41357555126504E-2</v>
      </c>
      <c r="G50" s="29">
        <v>3.55</v>
      </c>
    </row>
    <row r="51" spans="1:9" ht="10.5" x14ac:dyDescent="0.25">
      <c r="A51" s="26" t="s">
        <v>164</v>
      </c>
      <c r="B51" s="26"/>
      <c r="C51" s="26"/>
      <c r="D51" s="32"/>
      <c r="E51" s="33">
        <f>SUM(E6:E50)</f>
        <v>72638.679510000031</v>
      </c>
      <c r="F51" s="34">
        <f>SUM(F6:F50)</f>
        <v>85.099754941860326</v>
      </c>
      <c r="G51" s="33"/>
      <c r="H51" s="18"/>
      <c r="I51" s="18"/>
    </row>
    <row r="52" spans="1:9" x14ac:dyDescent="0.2">
      <c r="A52" s="27"/>
      <c r="B52" s="27"/>
      <c r="C52" s="27"/>
      <c r="D52" s="28"/>
      <c r="E52" s="29"/>
      <c r="F52" s="30"/>
      <c r="G52" s="29"/>
    </row>
    <row r="53" spans="1:9" ht="10.5" x14ac:dyDescent="0.25">
      <c r="A53" s="26" t="s">
        <v>165</v>
      </c>
      <c r="B53" s="27"/>
      <c r="C53" s="27"/>
      <c r="D53" s="28"/>
      <c r="E53" s="29"/>
      <c r="F53" s="30"/>
      <c r="G53" s="29"/>
    </row>
    <row r="54" spans="1:9" x14ac:dyDescent="0.2">
      <c r="A54" s="27" t="s">
        <v>612</v>
      </c>
      <c r="B54" s="27" t="s">
        <v>611</v>
      </c>
      <c r="C54" s="27" t="s">
        <v>163</v>
      </c>
      <c r="D54" s="31">
        <v>49</v>
      </c>
      <c r="E54" s="29">
        <v>497.42545999999999</v>
      </c>
      <c r="F54" s="30">
        <v>0.58275818108745403</v>
      </c>
      <c r="G54" s="29">
        <v>3.5571000000000002</v>
      </c>
    </row>
    <row r="55" spans="1:9" ht="10.5" x14ac:dyDescent="0.25">
      <c r="A55" s="26" t="s">
        <v>164</v>
      </c>
      <c r="B55" s="26"/>
      <c r="C55" s="26"/>
      <c r="D55" s="32"/>
      <c r="E55" s="33">
        <f>SUM(E53:E54)</f>
        <v>497.42545999999999</v>
      </c>
      <c r="F55" s="34">
        <f>SUM(F53:F54)</f>
        <v>0.58275818108745403</v>
      </c>
      <c r="G55" s="33"/>
      <c r="H55" s="18"/>
      <c r="I55" s="18"/>
    </row>
    <row r="56" spans="1:9" x14ac:dyDescent="0.2">
      <c r="A56" s="27"/>
      <c r="B56" s="27"/>
      <c r="C56" s="27"/>
      <c r="D56" s="28"/>
      <c r="E56" s="29"/>
      <c r="F56" s="30"/>
      <c r="G56" s="29"/>
    </row>
    <row r="57" spans="1:9" ht="10.5" x14ac:dyDescent="0.25">
      <c r="A57" s="26" t="s">
        <v>352</v>
      </c>
      <c r="B57" s="27"/>
      <c r="C57" s="27"/>
      <c r="D57" s="28"/>
      <c r="E57" s="29"/>
      <c r="F57" s="30"/>
      <c r="G57" s="29"/>
    </row>
    <row r="58" spans="1:9" ht="10.5" x14ac:dyDescent="0.25">
      <c r="A58" s="26" t="s">
        <v>353</v>
      </c>
      <c r="B58" s="27"/>
      <c r="C58" s="27"/>
      <c r="D58" s="28"/>
      <c r="E58" s="29"/>
      <c r="F58" s="30"/>
      <c r="G58" s="29"/>
    </row>
    <row r="59" spans="1:9" x14ac:dyDescent="0.2">
      <c r="A59" s="27" t="s">
        <v>358</v>
      </c>
      <c r="B59" s="27" t="s">
        <v>357</v>
      </c>
      <c r="C59" s="27" t="s">
        <v>359</v>
      </c>
      <c r="D59" s="31">
        <v>1000</v>
      </c>
      <c r="E59" s="29">
        <v>991.63099999999997</v>
      </c>
      <c r="F59" s="30">
        <v>1.1617440688901099</v>
      </c>
      <c r="G59" s="29">
        <v>3.05</v>
      </c>
    </row>
    <row r="60" spans="1:9" ht="10.5" x14ac:dyDescent="0.25">
      <c r="A60" s="26" t="s">
        <v>164</v>
      </c>
      <c r="B60" s="26"/>
      <c r="C60" s="26"/>
      <c r="D60" s="32"/>
      <c r="E60" s="33">
        <f>SUM(E58:E59)</f>
        <v>991.63099999999997</v>
      </c>
      <c r="F60" s="34">
        <f>SUM(F58:F59)</f>
        <v>1.1617440688901099</v>
      </c>
      <c r="G60" s="33"/>
      <c r="H60" s="18"/>
      <c r="I60" s="18"/>
    </row>
    <row r="61" spans="1:9" x14ac:dyDescent="0.2">
      <c r="A61" s="27"/>
      <c r="B61" s="27"/>
      <c r="C61" s="27"/>
      <c r="D61" s="28"/>
      <c r="E61" s="29"/>
      <c r="F61" s="30"/>
      <c r="G61" s="29"/>
    </row>
    <row r="62" spans="1:9" ht="10.5" x14ac:dyDescent="0.25">
      <c r="A62" s="26" t="s">
        <v>389</v>
      </c>
      <c r="B62" s="27"/>
      <c r="C62" s="27"/>
      <c r="D62" s="28"/>
      <c r="E62" s="29"/>
      <c r="F62" s="30"/>
      <c r="G62" s="29"/>
    </row>
    <row r="63" spans="1:9" x14ac:dyDescent="0.2">
      <c r="A63" s="27" t="s">
        <v>393</v>
      </c>
      <c r="B63" s="27" t="s">
        <v>392</v>
      </c>
      <c r="C63" s="27" t="s">
        <v>466</v>
      </c>
      <c r="D63" s="31">
        <v>500000</v>
      </c>
      <c r="E63" s="29">
        <v>495.15899999999999</v>
      </c>
      <c r="F63" s="30">
        <v>0.58010291268380798</v>
      </c>
      <c r="G63" s="29">
        <v>3.05</v>
      </c>
    </row>
    <row r="64" spans="1:9" ht="10.5" x14ac:dyDescent="0.25">
      <c r="A64" s="26" t="s">
        <v>164</v>
      </c>
      <c r="B64" s="26"/>
      <c r="C64" s="26"/>
      <c r="D64" s="32"/>
      <c r="E64" s="33">
        <f>SUM(E62:E63)</f>
        <v>495.15899999999999</v>
      </c>
      <c r="F64" s="34">
        <f>SUM(F62:F63)</f>
        <v>0.58010291268380798</v>
      </c>
      <c r="G64" s="33"/>
      <c r="H64" s="18"/>
      <c r="I64" s="18"/>
    </row>
    <row r="65" spans="1:9" x14ac:dyDescent="0.2">
      <c r="A65" s="27"/>
      <c r="B65" s="27"/>
      <c r="C65" s="27"/>
      <c r="D65" s="28"/>
      <c r="E65" s="29"/>
      <c r="F65" s="30"/>
      <c r="G65" s="29"/>
    </row>
    <row r="66" spans="1:9" ht="10.5" x14ac:dyDescent="0.25">
      <c r="A66" s="26" t="s">
        <v>463</v>
      </c>
      <c r="B66" s="27"/>
      <c r="C66" s="27"/>
      <c r="D66" s="28"/>
      <c r="E66" s="29"/>
      <c r="F66" s="30"/>
      <c r="G66" s="29"/>
    </row>
    <row r="67" spans="1:9" x14ac:dyDescent="0.2">
      <c r="A67" s="27" t="s">
        <v>468</v>
      </c>
      <c r="B67" s="27" t="s">
        <v>467</v>
      </c>
      <c r="C67" s="27" t="s">
        <v>466</v>
      </c>
      <c r="D67" s="31">
        <v>6500000</v>
      </c>
      <c r="E67" s="29">
        <v>6904.4364999999998</v>
      </c>
      <c r="F67" s="30">
        <v>8.0888840232943195</v>
      </c>
      <c r="G67" s="29">
        <v>5.6277999999999997</v>
      </c>
    </row>
    <row r="68" spans="1:9" ht="10.5" x14ac:dyDescent="0.25">
      <c r="A68" s="26" t="s">
        <v>164</v>
      </c>
      <c r="B68" s="26"/>
      <c r="C68" s="26"/>
      <c r="D68" s="32"/>
      <c r="E68" s="33">
        <f>SUM(E67:E67)</f>
        <v>6904.4364999999998</v>
      </c>
      <c r="F68" s="34">
        <f>SUM(F67:F67)</f>
        <v>8.0888840232943195</v>
      </c>
      <c r="G68" s="33"/>
      <c r="H68" s="18"/>
      <c r="I68" s="18"/>
    </row>
    <row r="69" spans="1:9" x14ac:dyDescent="0.2">
      <c r="A69" s="27"/>
      <c r="B69" s="27"/>
      <c r="C69" s="27"/>
      <c r="D69" s="28"/>
      <c r="E69" s="29"/>
      <c r="F69" s="30"/>
      <c r="G69" s="29"/>
    </row>
    <row r="70" spans="1:9" ht="10.5" x14ac:dyDescent="0.25">
      <c r="A70" s="26" t="s">
        <v>176</v>
      </c>
      <c r="B70" s="26"/>
      <c r="C70" s="26"/>
      <c r="D70" s="32"/>
      <c r="E70" s="33">
        <f>E51+E55+E60+E64+E68</f>
        <v>81527.331470000019</v>
      </c>
      <c r="F70" s="34">
        <f>F51+F55+F60+F64+F68</f>
        <v>95.513244127816023</v>
      </c>
      <c r="G70" s="33"/>
      <c r="H70" s="18"/>
      <c r="I70" s="18"/>
    </row>
    <row r="71" spans="1:9" ht="10.5" x14ac:dyDescent="0.25">
      <c r="A71" s="26"/>
      <c r="B71" s="26"/>
      <c r="C71" s="26"/>
      <c r="D71" s="32"/>
      <c r="E71" s="33"/>
      <c r="F71" s="34"/>
      <c r="G71" s="33"/>
      <c r="H71" s="18"/>
      <c r="I71" s="18"/>
    </row>
    <row r="72" spans="1:9" ht="10.5" x14ac:dyDescent="0.25">
      <c r="A72" s="26" t="s">
        <v>178</v>
      </c>
      <c r="B72" s="26"/>
      <c r="C72" s="26"/>
      <c r="D72" s="32"/>
      <c r="E72" s="33">
        <f>E74-(E51+E55+E60+E64+E68)</f>
        <v>3829.7645164999849</v>
      </c>
      <c r="F72" s="34">
        <f>F74-(F51+F55+F60+F64+F68)</f>
        <v>4.4867558721839771</v>
      </c>
      <c r="G72" s="33"/>
      <c r="H72" s="18"/>
      <c r="I72" s="18"/>
    </row>
    <row r="73" spans="1:9" ht="10.5" x14ac:dyDescent="0.25">
      <c r="A73" s="26"/>
      <c r="B73" s="26"/>
      <c r="C73" s="26"/>
      <c r="D73" s="32"/>
      <c r="E73" s="33"/>
      <c r="F73" s="34"/>
      <c r="G73" s="33"/>
      <c r="H73" s="18"/>
      <c r="I73" s="18"/>
    </row>
    <row r="74" spans="1:9" ht="10.5" x14ac:dyDescent="0.25">
      <c r="A74" s="35" t="s">
        <v>177</v>
      </c>
      <c r="B74" s="35"/>
      <c r="C74" s="35"/>
      <c r="D74" s="36"/>
      <c r="E74" s="37">
        <v>85357.095986500004</v>
      </c>
      <c r="F74" s="38">
        <v>100</v>
      </c>
      <c r="G74" s="37"/>
      <c r="H74" s="18"/>
      <c r="I74" s="18"/>
    </row>
    <row r="76" spans="1:9" ht="10.5" x14ac:dyDescent="0.25">
      <c r="A76" s="18" t="s">
        <v>180</v>
      </c>
    </row>
    <row r="78" spans="1:9" ht="10.5" x14ac:dyDescent="0.25">
      <c r="A78" s="18" t="s">
        <v>181</v>
      </c>
    </row>
    <row r="79" spans="1:9" ht="10.5" x14ac:dyDescent="0.25">
      <c r="A79" s="18" t="s">
        <v>182</v>
      </c>
    </row>
    <row r="80" spans="1:9" ht="10.5" x14ac:dyDescent="0.25">
      <c r="A80" s="18" t="s">
        <v>183</v>
      </c>
      <c r="B80" s="18"/>
      <c r="C80" s="39" t="s">
        <v>185</v>
      </c>
      <c r="D80" s="19" t="s">
        <v>184</v>
      </c>
    </row>
    <row r="81" spans="1:4" x14ac:dyDescent="0.2">
      <c r="A81" s="9" t="s">
        <v>421</v>
      </c>
      <c r="C81" s="40">
        <v>72.0839</v>
      </c>
      <c r="D81" s="40">
        <v>76.535899999999998</v>
      </c>
    </row>
    <row r="82" spans="1:4" x14ac:dyDescent="0.2">
      <c r="A82" s="9" t="s">
        <v>422</v>
      </c>
      <c r="C82" s="40">
        <v>15.932</v>
      </c>
      <c r="D82" s="40">
        <v>16.3002</v>
      </c>
    </row>
    <row r="83" spans="1:4" x14ac:dyDescent="0.2">
      <c r="A83" s="9" t="s">
        <v>423</v>
      </c>
      <c r="C83" s="40">
        <v>13.3942</v>
      </c>
      <c r="D83" s="40">
        <v>13.650499999999999</v>
      </c>
    </row>
    <row r="84" spans="1:4" x14ac:dyDescent="0.2">
      <c r="A84" s="9" t="s">
        <v>613</v>
      </c>
      <c r="C84" s="40">
        <v>13.8797</v>
      </c>
      <c r="D84" s="40">
        <v>14.1722</v>
      </c>
    </row>
    <row r="85" spans="1:4" x14ac:dyDescent="0.2">
      <c r="A85" s="9" t="s">
        <v>614</v>
      </c>
      <c r="C85" s="40">
        <v>17.331399999999999</v>
      </c>
      <c r="D85" s="40">
        <v>18.401800000000001</v>
      </c>
    </row>
    <row r="86" spans="1:4" x14ac:dyDescent="0.2">
      <c r="A86" s="9" t="s">
        <v>424</v>
      </c>
      <c r="C86" s="40">
        <v>75.917299999999997</v>
      </c>
      <c r="D86" s="40">
        <v>80.834000000000003</v>
      </c>
    </row>
    <row r="87" spans="1:4" x14ac:dyDescent="0.2">
      <c r="A87" s="9" t="s">
        <v>425</v>
      </c>
      <c r="C87" s="40">
        <v>17.122699999999998</v>
      </c>
      <c r="D87" s="40">
        <v>17.614999999999998</v>
      </c>
    </row>
    <row r="88" spans="1:4" x14ac:dyDescent="0.2">
      <c r="A88" s="9" t="s">
        <v>426</v>
      </c>
      <c r="C88" s="40">
        <v>14.421799999999999</v>
      </c>
      <c r="D88" s="40">
        <v>14.784000000000001</v>
      </c>
    </row>
    <row r="89" spans="1:4" x14ac:dyDescent="0.2">
      <c r="A89" s="9" t="s">
        <v>615</v>
      </c>
      <c r="C89" s="40">
        <v>15.233700000000001</v>
      </c>
      <c r="D89" s="40">
        <v>15.6561</v>
      </c>
    </row>
    <row r="90" spans="1:4" x14ac:dyDescent="0.2">
      <c r="A90" s="9" t="s">
        <v>616</v>
      </c>
      <c r="C90" s="40">
        <v>18.692900000000002</v>
      </c>
      <c r="D90" s="40">
        <v>19.904</v>
      </c>
    </row>
    <row r="92" spans="1:4" ht="10.5" x14ac:dyDescent="0.25">
      <c r="A92" s="18" t="s">
        <v>197</v>
      </c>
    </row>
    <row r="93" spans="1:4" ht="10.5" x14ac:dyDescent="0.25">
      <c r="A93" s="73" t="s">
        <v>403</v>
      </c>
      <c r="B93" s="74"/>
      <c r="C93" s="45" t="s">
        <v>404</v>
      </c>
    </row>
    <row r="94" spans="1:4" x14ac:dyDescent="0.2">
      <c r="A94" s="69" t="s">
        <v>422</v>
      </c>
      <c r="B94" s="70"/>
      <c r="C94" s="46">
        <v>0.6</v>
      </c>
    </row>
    <row r="95" spans="1:4" x14ac:dyDescent="0.2">
      <c r="A95" s="69" t="s">
        <v>423</v>
      </c>
      <c r="B95" s="70"/>
      <c r="C95" s="46">
        <v>0.55000000000000004</v>
      </c>
    </row>
    <row r="96" spans="1:4" x14ac:dyDescent="0.2">
      <c r="A96" s="69" t="s">
        <v>613</v>
      </c>
      <c r="B96" s="70"/>
      <c r="C96" s="46">
        <v>0.55000000000000004</v>
      </c>
    </row>
    <row r="97" spans="1:5" x14ac:dyDescent="0.2">
      <c r="A97" s="69" t="s">
        <v>425</v>
      </c>
      <c r="B97" s="70"/>
      <c r="C97" s="46">
        <v>0.6</v>
      </c>
    </row>
    <row r="98" spans="1:5" x14ac:dyDescent="0.2">
      <c r="A98" s="69" t="s">
        <v>426</v>
      </c>
      <c r="B98" s="70"/>
      <c r="C98" s="46">
        <v>0.55000000000000004</v>
      </c>
    </row>
    <row r="99" spans="1:5" x14ac:dyDescent="0.2">
      <c r="A99" s="69" t="s">
        <v>615</v>
      </c>
      <c r="B99" s="70"/>
      <c r="C99" s="46">
        <v>0.55000000000000004</v>
      </c>
    </row>
    <row r="100" spans="1:5" x14ac:dyDescent="0.2">
      <c r="A100" s="9" t="s">
        <v>405</v>
      </c>
    </row>
    <row r="102" spans="1:5" ht="10.5" x14ac:dyDescent="0.25">
      <c r="A102" s="18" t="s">
        <v>199</v>
      </c>
      <c r="D102" s="42">
        <v>2.7875760990684899</v>
      </c>
      <c r="E102" s="13" t="s">
        <v>200</v>
      </c>
    </row>
    <row r="104" spans="1:5" ht="10.5" x14ac:dyDescent="0.25">
      <c r="A104" s="18" t="s">
        <v>201</v>
      </c>
      <c r="D104" s="41" t="s">
        <v>198</v>
      </c>
    </row>
    <row r="106" spans="1:5" ht="10.5" x14ac:dyDescent="0.25">
      <c r="A106" s="18" t="s">
        <v>1509</v>
      </c>
    </row>
    <row r="107" spans="1:5" x14ac:dyDescent="0.2">
      <c r="A107" s="59" t="s">
        <v>1510</v>
      </c>
    </row>
  </sheetData>
  <mergeCells count="8">
    <mergeCell ref="A98:B98"/>
    <mergeCell ref="A99:B99"/>
    <mergeCell ref="A1:G1"/>
    <mergeCell ref="A93:B93"/>
    <mergeCell ref="A94:B94"/>
    <mergeCell ref="A95:B95"/>
    <mergeCell ref="A96:B96"/>
    <mergeCell ref="A97:B97"/>
  </mergeCells>
  <conditionalFormatting sqref="F2:F3 F5:F65536">
    <cfRule type="cellIs" dxfId="89" priority="1" stopIfTrue="1" operator="between">
      <formula>0.009</formula>
      <formula>-0.009</formula>
    </cfRule>
  </conditionalFormatting>
  <hyperlinks>
    <hyperlink ref="A107" r:id="rId1" xr:uid="{00000000-0004-0000-04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84"/>
  <sheetViews>
    <sheetView workbookViewId="0">
      <selection sqref="A1:G1"/>
    </sheetView>
  </sheetViews>
  <sheetFormatPr defaultColWidth="9.1796875" defaultRowHeight="10" x14ac:dyDescent="0.2"/>
  <cols>
    <col min="1" max="1" width="38.7265625" style="9" bestFit="1" customWidth="1"/>
    <col min="2" max="2" width="54.179687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18</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618</v>
      </c>
      <c r="B7" s="27" t="s">
        <v>617</v>
      </c>
      <c r="C7" s="27" t="s">
        <v>163</v>
      </c>
      <c r="D7" s="31">
        <v>750</v>
      </c>
      <c r="E7" s="29">
        <v>8065.3874999999998</v>
      </c>
      <c r="F7" s="30">
        <v>7.9116323167028</v>
      </c>
      <c r="G7" s="29">
        <v>4.95</v>
      </c>
    </row>
    <row r="8" spans="1:7" x14ac:dyDescent="0.2">
      <c r="A8" s="27" t="s">
        <v>620</v>
      </c>
      <c r="B8" s="27" t="s">
        <v>619</v>
      </c>
      <c r="C8" s="27" t="s">
        <v>163</v>
      </c>
      <c r="D8" s="31">
        <v>500</v>
      </c>
      <c r="E8" s="29">
        <v>5147.66</v>
      </c>
      <c r="F8" s="30">
        <v>5.0495271568040998</v>
      </c>
      <c r="G8" s="29">
        <v>3.81</v>
      </c>
    </row>
    <row r="9" spans="1:7" x14ac:dyDescent="0.2">
      <c r="A9" s="27" t="s">
        <v>622</v>
      </c>
      <c r="B9" s="27" t="s">
        <v>621</v>
      </c>
      <c r="C9" s="27" t="s">
        <v>163</v>
      </c>
      <c r="D9" s="31">
        <v>400</v>
      </c>
      <c r="E9" s="29">
        <v>4336.3559999999998</v>
      </c>
      <c r="F9" s="30">
        <v>4.25368951787227</v>
      </c>
      <c r="G9" s="29">
        <v>5.8498999999999999</v>
      </c>
    </row>
    <row r="10" spans="1:7" x14ac:dyDescent="0.2">
      <c r="A10" s="27" t="s">
        <v>570</v>
      </c>
      <c r="B10" s="27" t="s">
        <v>569</v>
      </c>
      <c r="C10" s="27" t="s">
        <v>163</v>
      </c>
      <c r="D10" s="31">
        <v>400</v>
      </c>
      <c r="E10" s="29">
        <v>4287.2359999999999</v>
      </c>
      <c r="F10" s="30">
        <v>4.2055059210647503</v>
      </c>
      <c r="G10" s="29">
        <v>5.3650000000000002</v>
      </c>
    </row>
    <row r="11" spans="1:7" x14ac:dyDescent="0.2">
      <c r="A11" s="27" t="s">
        <v>558</v>
      </c>
      <c r="B11" s="27" t="s">
        <v>557</v>
      </c>
      <c r="C11" s="27" t="s">
        <v>523</v>
      </c>
      <c r="D11" s="31">
        <v>300</v>
      </c>
      <c r="E11" s="29">
        <v>3223.884</v>
      </c>
      <c r="F11" s="30">
        <v>3.1624252200779002</v>
      </c>
      <c r="G11" s="29">
        <v>4.3150000000000004</v>
      </c>
    </row>
    <row r="12" spans="1:7" x14ac:dyDescent="0.2">
      <c r="A12" s="27" t="s">
        <v>624</v>
      </c>
      <c r="B12" s="27" t="s">
        <v>623</v>
      </c>
      <c r="C12" s="27" t="s">
        <v>523</v>
      </c>
      <c r="D12" s="31">
        <v>300</v>
      </c>
      <c r="E12" s="29">
        <v>3158.1060000000002</v>
      </c>
      <c r="F12" s="30">
        <v>3.0979011844344702</v>
      </c>
      <c r="G12" s="29">
        <v>3.9550000000000001</v>
      </c>
    </row>
    <row r="13" spans="1:7" x14ac:dyDescent="0.2">
      <c r="A13" s="27" t="s">
        <v>539</v>
      </c>
      <c r="B13" s="27" t="s">
        <v>538</v>
      </c>
      <c r="C13" s="27" t="s">
        <v>540</v>
      </c>
      <c r="D13" s="31">
        <v>300</v>
      </c>
      <c r="E13" s="29">
        <v>3109.4490000000001</v>
      </c>
      <c r="F13" s="30">
        <v>3.0501717611880599</v>
      </c>
      <c r="G13" s="29">
        <v>5.5990000000000002</v>
      </c>
    </row>
    <row r="14" spans="1:7" x14ac:dyDescent="0.2">
      <c r="A14" s="27" t="s">
        <v>626</v>
      </c>
      <c r="B14" s="27" t="s">
        <v>625</v>
      </c>
      <c r="C14" s="27" t="s">
        <v>163</v>
      </c>
      <c r="D14" s="31">
        <v>250</v>
      </c>
      <c r="E14" s="29">
        <v>2864.37</v>
      </c>
      <c r="F14" s="30">
        <v>2.80976484502375</v>
      </c>
      <c r="G14" s="29">
        <v>4.88</v>
      </c>
    </row>
    <row r="15" spans="1:7" x14ac:dyDescent="0.2">
      <c r="A15" s="27" t="s">
        <v>628</v>
      </c>
      <c r="B15" s="27" t="s">
        <v>627</v>
      </c>
      <c r="C15" s="27" t="s">
        <v>523</v>
      </c>
      <c r="D15" s="31">
        <v>250</v>
      </c>
      <c r="E15" s="29">
        <v>2621.5974999999999</v>
      </c>
      <c r="F15" s="30">
        <v>2.5716204587054601</v>
      </c>
      <c r="G15" s="29">
        <v>3.89</v>
      </c>
    </row>
    <row r="16" spans="1:7" x14ac:dyDescent="0.2">
      <c r="A16" s="27" t="s">
        <v>630</v>
      </c>
      <c r="B16" s="27" t="s">
        <v>629</v>
      </c>
      <c r="C16" s="27" t="s">
        <v>163</v>
      </c>
      <c r="D16" s="31">
        <v>250</v>
      </c>
      <c r="E16" s="29">
        <v>2617.3874999999998</v>
      </c>
      <c r="F16" s="30">
        <v>2.5674907163895</v>
      </c>
      <c r="G16" s="29">
        <v>4.1449999999999996</v>
      </c>
    </row>
    <row r="17" spans="1:7" x14ac:dyDescent="0.2">
      <c r="A17" s="27" t="s">
        <v>632</v>
      </c>
      <c r="B17" s="27" t="s">
        <v>631</v>
      </c>
      <c r="C17" s="27" t="s">
        <v>163</v>
      </c>
      <c r="D17" s="31">
        <v>250</v>
      </c>
      <c r="E17" s="29">
        <v>2517.0650000000001</v>
      </c>
      <c r="F17" s="30">
        <v>2.46908072268586</v>
      </c>
      <c r="G17" s="29">
        <v>5.1798000000000002</v>
      </c>
    </row>
    <row r="18" spans="1:7" x14ac:dyDescent="0.2">
      <c r="A18" s="27" t="s">
        <v>566</v>
      </c>
      <c r="B18" s="27" t="s">
        <v>565</v>
      </c>
      <c r="C18" s="27" t="s">
        <v>163</v>
      </c>
      <c r="D18" s="31">
        <v>210</v>
      </c>
      <c r="E18" s="29">
        <v>2336.6280000000002</v>
      </c>
      <c r="F18" s="30">
        <v>2.2920834983951601</v>
      </c>
      <c r="G18" s="29">
        <v>5.35</v>
      </c>
    </row>
    <row r="19" spans="1:7" x14ac:dyDescent="0.2">
      <c r="A19" s="27" t="s">
        <v>572</v>
      </c>
      <c r="B19" s="27" t="s">
        <v>571</v>
      </c>
      <c r="C19" s="27" t="s">
        <v>163</v>
      </c>
      <c r="D19" s="31">
        <v>150</v>
      </c>
      <c r="E19" s="29">
        <v>1573.701</v>
      </c>
      <c r="F19" s="30">
        <v>1.54370062051296</v>
      </c>
      <c r="G19" s="29">
        <v>4.7412999999999998</v>
      </c>
    </row>
    <row r="20" spans="1:7" x14ac:dyDescent="0.2">
      <c r="A20" s="27" t="s">
        <v>582</v>
      </c>
      <c r="B20" s="27" t="s">
        <v>581</v>
      </c>
      <c r="C20" s="27" t="s">
        <v>523</v>
      </c>
      <c r="D20" s="31">
        <v>120</v>
      </c>
      <c r="E20" s="29">
        <v>1248.2016000000001</v>
      </c>
      <c r="F20" s="30">
        <v>1.2244064053115999</v>
      </c>
      <c r="G20" s="29">
        <v>3.7850000000000001</v>
      </c>
    </row>
    <row r="21" spans="1:7" x14ac:dyDescent="0.2">
      <c r="A21" s="27" t="s">
        <v>564</v>
      </c>
      <c r="B21" s="27" t="s">
        <v>563</v>
      </c>
      <c r="C21" s="27" t="s">
        <v>163</v>
      </c>
      <c r="D21" s="31">
        <v>120</v>
      </c>
      <c r="E21" s="29">
        <v>1242.6168</v>
      </c>
      <c r="F21" s="30">
        <v>1.21892807160943</v>
      </c>
      <c r="G21" s="29">
        <v>3.71</v>
      </c>
    </row>
    <row r="22" spans="1:7" x14ac:dyDescent="0.2">
      <c r="A22" s="27" t="s">
        <v>584</v>
      </c>
      <c r="B22" s="27" t="s">
        <v>583</v>
      </c>
      <c r="C22" s="27" t="s">
        <v>163</v>
      </c>
      <c r="D22" s="31">
        <v>110</v>
      </c>
      <c r="E22" s="29">
        <v>1232.8525</v>
      </c>
      <c r="F22" s="30">
        <v>1.2093499141520301</v>
      </c>
      <c r="G22" s="29">
        <v>5.6494999999999997</v>
      </c>
    </row>
    <row r="23" spans="1:7" x14ac:dyDescent="0.2">
      <c r="A23" s="27" t="s">
        <v>634</v>
      </c>
      <c r="B23" s="27" t="s">
        <v>633</v>
      </c>
      <c r="C23" s="27" t="s">
        <v>523</v>
      </c>
      <c r="D23" s="31">
        <v>100</v>
      </c>
      <c r="E23" s="29">
        <v>1105.9000000000001</v>
      </c>
      <c r="F23" s="30">
        <v>1.0848175836612499</v>
      </c>
      <c r="G23" s="29">
        <v>5.8795000000000002</v>
      </c>
    </row>
    <row r="24" spans="1:7" x14ac:dyDescent="0.2">
      <c r="A24" s="27" t="s">
        <v>636</v>
      </c>
      <c r="B24" s="27" t="s">
        <v>635</v>
      </c>
      <c r="C24" s="27" t="s">
        <v>163</v>
      </c>
      <c r="D24" s="31">
        <v>100</v>
      </c>
      <c r="E24" s="29">
        <v>1094.8240000000001</v>
      </c>
      <c r="F24" s="30">
        <v>1.07395273190554</v>
      </c>
      <c r="G24" s="29">
        <v>5.66</v>
      </c>
    </row>
    <row r="25" spans="1:7" x14ac:dyDescent="0.2">
      <c r="A25" s="27" t="s">
        <v>638</v>
      </c>
      <c r="B25" s="27" t="s">
        <v>637</v>
      </c>
      <c r="C25" s="27" t="s">
        <v>523</v>
      </c>
      <c r="D25" s="31">
        <v>500</v>
      </c>
      <c r="E25" s="29">
        <v>1058.905</v>
      </c>
      <c r="F25" s="30">
        <v>1.0387184767400399</v>
      </c>
      <c r="G25" s="29">
        <v>5.96</v>
      </c>
    </row>
    <row r="26" spans="1:7" x14ac:dyDescent="0.2">
      <c r="A26" s="27" t="s">
        <v>640</v>
      </c>
      <c r="B26" s="27" t="s">
        <v>639</v>
      </c>
      <c r="C26" s="27" t="s">
        <v>146</v>
      </c>
      <c r="D26" s="31">
        <v>100</v>
      </c>
      <c r="E26" s="29">
        <v>1044.473</v>
      </c>
      <c r="F26" s="30">
        <v>1.02456160236858</v>
      </c>
      <c r="G26" s="29">
        <v>8.3735999999999997</v>
      </c>
    </row>
    <row r="27" spans="1:7" x14ac:dyDescent="0.2">
      <c r="A27" s="27" t="s">
        <v>642</v>
      </c>
      <c r="B27" s="27" t="s">
        <v>641</v>
      </c>
      <c r="C27" s="27" t="s">
        <v>523</v>
      </c>
      <c r="D27" s="31">
        <v>500</v>
      </c>
      <c r="E27" s="29">
        <v>1043.1690000000001</v>
      </c>
      <c r="F27" s="30">
        <v>1.0232824612806899</v>
      </c>
      <c r="G27" s="29">
        <v>5.96</v>
      </c>
    </row>
    <row r="28" spans="1:7" x14ac:dyDescent="0.2">
      <c r="A28" s="27" t="s">
        <v>644</v>
      </c>
      <c r="B28" s="27" t="s">
        <v>643</v>
      </c>
      <c r="C28" s="27" t="s">
        <v>163</v>
      </c>
      <c r="D28" s="31">
        <v>50</v>
      </c>
      <c r="E28" s="29">
        <v>563.43949999999995</v>
      </c>
      <c r="F28" s="30">
        <v>0.55269832437770205</v>
      </c>
      <c r="G28" s="29">
        <v>5.26</v>
      </c>
    </row>
    <row r="29" spans="1:7" x14ac:dyDescent="0.2">
      <c r="A29" s="27" t="s">
        <v>646</v>
      </c>
      <c r="B29" s="27" t="s">
        <v>645</v>
      </c>
      <c r="C29" s="27" t="s">
        <v>163</v>
      </c>
      <c r="D29" s="31">
        <v>50</v>
      </c>
      <c r="E29" s="29">
        <v>561.81799999999998</v>
      </c>
      <c r="F29" s="30">
        <v>0.55110773597738905</v>
      </c>
      <c r="G29" s="29">
        <v>6.8170000000000002</v>
      </c>
    </row>
    <row r="30" spans="1:7" x14ac:dyDescent="0.2">
      <c r="A30" s="27" t="s">
        <v>648</v>
      </c>
      <c r="B30" s="27" t="s">
        <v>647</v>
      </c>
      <c r="C30" s="27" t="s">
        <v>163</v>
      </c>
      <c r="D30" s="31">
        <v>50</v>
      </c>
      <c r="E30" s="29">
        <v>560.19899999999996</v>
      </c>
      <c r="F30" s="30">
        <v>0.54951959991811805</v>
      </c>
      <c r="G30" s="29">
        <v>5.35</v>
      </c>
    </row>
    <row r="31" spans="1:7" x14ac:dyDescent="0.2">
      <c r="A31" s="27" t="s">
        <v>650</v>
      </c>
      <c r="B31" s="27" t="s">
        <v>649</v>
      </c>
      <c r="C31" s="27" t="s">
        <v>163</v>
      </c>
      <c r="D31" s="31">
        <v>50</v>
      </c>
      <c r="E31" s="29">
        <v>557.51049999999998</v>
      </c>
      <c r="F31" s="30">
        <v>0.54688235236076799</v>
      </c>
      <c r="G31" s="29">
        <v>4.7347999999999999</v>
      </c>
    </row>
    <row r="32" spans="1:7" x14ac:dyDescent="0.2">
      <c r="A32" s="27" t="s">
        <v>568</v>
      </c>
      <c r="B32" s="27" t="s">
        <v>567</v>
      </c>
      <c r="C32" s="27" t="s">
        <v>163</v>
      </c>
      <c r="D32" s="31">
        <v>50</v>
      </c>
      <c r="E32" s="29">
        <v>549.95299999999997</v>
      </c>
      <c r="F32" s="30">
        <v>0.53946892538860103</v>
      </c>
      <c r="G32" s="29">
        <v>5.66</v>
      </c>
    </row>
    <row r="33" spans="1:9" x14ac:dyDescent="0.2">
      <c r="A33" s="27" t="s">
        <v>542</v>
      </c>
      <c r="B33" s="27" t="s">
        <v>541</v>
      </c>
      <c r="C33" s="27" t="s">
        <v>533</v>
      </c>
      <c r="D33" s="31">
        <v>50</v>
      </c>
      <c r="E33" s="29">
        <v>520.21</v>
      </c>
      <c r="F33" s="30">
        <v>0.510292933535055</v>
      </c>
      <c r="G33" s="29">
        <v>5.7141000000000002</v>
      </c>
    </row>
    <row r="34" spans="1:9" x14ac:dyDescent="0.2">
      <c r="A34" s="27" t="s">
        <v>501</v>
      </c>
      <c r="B34" s="27" t="s">
        <v>500</v>
      </c>
      <c r="C34" s="27" t="s">
        <v>163</v>
      </c>
      <c r="D34" s="31">
        <v>30</v>
      </c>
      <c r="E34" s="29">
        <v>337.78109999999998</v>
      </c>
      <c r="F34" s="30">
        <v>0.33134178199515102</v>
      </c>
      <c r="G34" s="29">
        <v>6.8170000000000002</v>
      </c>
    </row>
    <row r="35" spans="1:9" x14ac:dyDescent="0.2">
      <c r="A35" s="27" t="s">
        <v>546</v>
      </c>
      <c r="B35" s="27" t="s">
        <v>545</v>
      </c>
      <c r="C35" s="27" t="s">
        <v>163</v>
      </c>
      <c r="D35" s="31">
        <v>32</v>
      </c>
      <c r="E35" s="29">
        <v>336.77215999999999</v>
      </c>
      <c r="F35" s="30">
        <v>0.33035207600649102</v>
      </c>
      <c r="G35" s="29">
        <v>3.915</v>
      </c>
    </row>
    <row r="36" spans="1:9" x14ac:dyDescent="0.2">
      <c r="A36" s="27" t="s">
        <v>652</v>
      </c>
      <c r="B36" s="27" t="s">
        <v>651</v>
      </c>
      <c r="C36" s="27" t="s">
        <v>653</v>
      </c>
      <c r="D36" s="31">
        <v>27</v>
      </c>
      <c r="E36" s="29">
        <v>289.91789999999997</v>
      </c>
      <c r="F36" s="30">
        <v>0.28439102607662797</v>
      </c>
      <c r="G36" s="29">
        <v>3.8614000000000002</v>
      </c>
    </row>
    <row r="37" spans="1:9" x14ac:dyDescent="0.2">
      <c r="A37" s="27" t="s">
        <v>610</v>
      </c>
      <c r="B37" s="27" t="s">
        <v>609</v>
      </c>
      <c r="C37" s="27" t="s">
        <v>163</v>
      </c>
      <c r="D37" s="31">
        <v>23</v>
      </c>
      <c r="E37" s="29">
        <v>236.91817</v>
      </c>
      <c r="F37" s="30">
        <v>0.23240166082362301</v>
      </c>
      <c r="G37" s="29">
        <v>3.55</v>
      </c>
    </row>
    <row r="38" spans="1:9" x14ac:dyDescent="0.2">
      <c r="A38" s="27" t="s">
        <v>655</v>
      </c>
      <c r="B38" s="27" t="s">
        <v>654</v>
      </c>
      <c r="C38" s="27" t="s">
        <v>523</v>
      </c>
      <c r="D38" s="31">
        <v>5</v>
      </c>
      <c r="E38" s="29">
        <v>52.724850000000004</v>
      </c>
      <c r="F38" s="30">
        <v>5.17197254506752E-2</v>
      </c>
      <c r="G38" s="29">
        <v>3.8849999999999998</v>
      </c>
    </row>
    <row r="39" spans="1:9" x14ac:dyDescent="0.2">
      <c r="A39" s="27" t="s">
        <v>606</v>
      </c>
      <c r="B39" s="27" t="s">
        <v>605</v>
      </c>
      <c r="C39" s="27" t="s">
        <v>163</v>
      </c>
      <c r="D39" s="31">
        <v>2</v>
      </c>
      <c r="E39" s="29">
        <v>20.2544</v>
      </c>
      <c r="F39" s="30">
        <v>1.9868278566333601E-2</v>
      </c>
      <c r="G39" s="29">
        <v>3.2397999999999998</v>
      </c>
    </row>
    <row r="40" spans="1:9" x14ac:dyDescent="0.2">
      <c r="A40" s="27" t="s">
        <v>657</v>
      </c>
      <c r="B40" s="27" t="s">
        <v>656</v>
      </c>
      <c r="C40" s="27" t="s">
        <v>163</v>
      </c>
      <c r="D40" s="31">
        <v>1</v>
      </c>
      <c r="E40" s="29">
        <v>10.179399999999999</v>
      </c>
      <c r="F40" s="30">
        <v>9.9853441641389803E-3</v>
      </c>
      <c r="G40" s="29">
        <v>3.42</v>
      </c>
    </row>
    <row r="41" spans="1:9" ht="10.5" x14ac:dyDescent="0.25">
      <c r="A41" s="26" t="s">
        <v>164</v>
      </c>
      <c r="B41" s="26"/>
      <c r="C41" s="26"/>
      <c r="D41" s="32"/>
      <c r="E41" s="33">
        <f>SUM(E6:E40)</f>
        <v>59527.447379999998</v>
      </c>
      <c r="F41" s="34">
        <f>SUM(F6:F40)</f>
        <v>58.392640951526865</v>
      </c>
      <c r="G41" s="33"/>
      <c r="H41" s="18"/>
      <c r="I41" s="18"/>
    </row>
    <row r="42" spans="1:9" x14ac:dyDescent="0.2">
      <c r="A42" s="27"/>
      <c r="B42" s="27"/>
      <c r="C42" s="27"/>
      <c r="D42" s="28"/>
      <c r="E42" s="29"/>
      <c r="F42" s="30"/>
      <c r="G42" s="29"/>
    </row>
    <row r="43" spans="1:9" ht="10.5" x14ac:dyDescent="0.25">
      <c r="A43" s="26" t="s">
        <v>352</v>
      </c>
      <c r="B43" s="27"/>
      <c r="C43" s="27"/>
      <c r="D43" s="28"/>
      <c r="E43" s="29"/>
      <c r="F43" s="30"/>
      <c r="G43" s="29"/>
    </row>
    <row r="44" spans="1:9" ht="10.5" x14ac:dyDescent="0.25">
      <c r="A44" s="26" t="s">
        <v>353</v>
      </c>
      <c r="B44" s="27"/>
      <c r="C44" s="27"/>
      <c r="D44" s="28"/>
      <c r="E44" s="29"/>
      <c r="F44" s="30"/>
      <c r="G44" s="29"/>
    </row>
    <row r="45" spans="1:9" x14ac:dyDescent="0.2">
      <c r="A45" s="27" t="s">
        <v>358</v>
      </c>
      <c r="B45" s="27" t="s">
        <v>357</v>
      </c>
      <c r="C45" s="27" t="s">
        <v>359</v>
      </c>
      <c r="D45" s="31">
        <v>9000</v>
      </c>
      <c r="E45" s="29">
        <v>8924.6790000000001</v>
      </c>
      <c r="F45" s="30">
        <v>8.75454264194979</v>
      </c>
      <c r="G45" s="29">
        <v>3.05</v>
      </c>
    </row>
    <row r="46" spans="1:9" x14ac:dyDescent="0.2">
      <c r="A46" s="27" t="s">
        <v>659</v>
      </c>
      <c r="B46" s="27" t="s">
        <v>658</v>
      </c>
      <c r="C46" s="27" t="s">
        <v>359</v>
      </c>
      <c r="D46" s="31">
        <v>2500</v>
      </c>
      <c r="E46" s="29">
        <v>2497.4875000000002</v>
      </c>
      <c r="F46" s="30">
        <v>2.4498764399802599</v>
      </c>
      <c r="G46" s="29">
        <v>2.8246000000000002</v>
      </c>
    </row>
    <row r="47" spans="1:9" x14ac:dyDescent="0.2">
      <c r="A47" s="27" t="s">
        <v>363</v>
      </c>
      <c r="B47" s="27" t="s">
        <v>362</v>
      </c>
      <c r="C47" s="27" t="s">
        <v>359</v>
      </c>
      <c r="D47" s="31">
        <v>2500</v>
      </c>
      <c r="E47" s="29">
        <v>2479.77</v>
      </c>
      <c r="F47" s="30">
        <v>2.4324966990104402</v>
      </c>
      <c r="G47" s="29">
        <v>3.07</v>
      </c>
    </row>
    <row r="48" spans="1:9" x14ac:dyDescent="0.2">
      <c r="A48" s="27" t="s">
        <v>661</v>
      </c>
      <c r="B48" s="27" t="s">
        <v>660</v>
      </c>
      <c r="C48" s="27" t="s">
        <v>359</v>
      </c>
      <c r="D48" s="31">
        <v>2500</v>
      </c>
      <c r="E48" s="29">
        <v>2456.2649999999999</v>
      </c>
      <c r="F48" s="30">
        <v>2.40943978852671</v>
      </c>
      <c r="G48" s="29">
        <v>3.35</v>
      </c>
    </row>
    <row r="49" spans="1:9" ht="10.5" x14ac:dyDescent="0.25">
      <c r="A49" s="26" t="s">
        <v>164</v>
      </c>
      <c r="B49" s="26"/>
      <c r="C49" s="26"/>
      <c r="D49" s="32"/>
      <c r="E49" s="33">
        <f>SUM(E44:E48)</f>
        <v>16358.201499999999</v>
      </c>
      <c r="F49" s="34">
        <f>SUM(F44:F48)</f>
        <v>16.046355569467202</v>
      </c>
      <c r="G49" s="33"/>
      <c r="H49" s="18"/>
      <c r="I49" s="18"/>
    </row>
    <row r="50" spans="1:9" x14ac:dyDescent="0.2">
      <c r="A50" s="27"/>
      <c r="B50" s="27"/>
      <c r="C50" s="27"/>
      <c r="D50" s="28"/>
      <c r="E50" s="29"/>
      <c r="F50" s="30"/>
      <c r="G50" s="29"/>
    </row>
    <row r="51" spans="1:9" ht="10.5" x14ac:dyDescent="0.25">
      <c r="A51" s="26" t="s">
        <v>389</v>
      </c>
      <c r="B51" s="27"/>
      <c r="C51" s="27"/>
      <c r="D51" s="28"/>
      <c r="E51" s="29"/>
      <c r="F51" s="30"/>
      <c r="G51" s="29"/>
    </row>
    <row r="52" spans="1:9" x14ac:dyDescent="0.2">
      <c r="A52" s="27" t="s">
        <v>399</v>
      </c>
      <c r="B52" s="27" t="s">
        <v>398</v>
      </c>
      <c r="C52" s="27" t="s">
        <v>466</v>
      </c>
      <c r="D52" s="31">
        <v>5000000</v>
      </c>
      <c r="E52" s="29">
        <v>4954.46</v>
      </c>
      <c r="F52" s="30">
        <v>4.86001024102206</v>
      </c>
      <c r="G52" s="29">
        <v>3.05</v>
      </c>
    </row>
    <row r="53" spans="1:9" ht="10.5" x14ac:dyDescent="0.25">
      <c r="A53" s="26" t="s">
        <v>164</v>
      </c>
      <c r="B53" s="26"/>
      <c r="C53" s="26"/>
      <c r="D53" s="32"/>
      <c r="E53" s="33">
        <f>SUM(E51:E52)</f>
        <v>4954.46</v>
      </c>
      <c r="F53" s="34">
        <f>SUM(F51:F52)</f>
        <v>4.86001024102206</v>
      </c>
      <c r="G53" s="33"/>
      <c r="H53" s="18"/>
      <c r="I53" s="18"/>
    </row>
    <row r="54" spans="1:9" x14ac:dyDescent="0.2">
      <c r="A54" s="27"/>
      <c r="B54" s="27"/>
      <c r="C54" s="27"/>
      <c r="D54" s="28"/>
      <c r="E54" s="29"/>
      <c r="F54" s="30"/>
      <c r="G54" s="29"/>
    </row>
    <row r="55" spans="1:9" ht="10.5" x14ac:dyDescent="0.25">
      <c r="A55" s="26" t="s">
        <v>463</v>
      </c>
      <c r="B55" s="27"/>
      <c r="C55" s="27"/>
      <c r="D55" s="28"/>
      <c r="E55" s="29"/>
      <c r="F55" s="30"/>
      <c r="G55" s="29"/>
    </row>
    <row r="56" spans="1:9" x14ac:dyDescent="0.2">
      <c r="A56" s="27" t="s">
        <v>468</v>
      </c>
      <c r="B56" s="27" t="s">
        <v>467</v>
      </c>
      <c r="C56" s="27" t="s">
        <v>466</v>
      </c>
      <c r="D56" s="31">
        <v>9000000</v>
      </c>
      <c r="E56" s="29">
        <v>9559.9889999999996</v>
      </c>
      <c r="F56" s="30">
        <v>9.3777413570920505</v>
      </c>
      <c r="G56" s="29">
        <v>5.6277999999999997</v>
      </c>
    </row>
    <row r="57" spans="1:9" x14ac:dyDescent="0.2">
      <c r="A57" s="27" t="s">
        <v>470</v>
      </c>
      <c r="B57" s="27" t="s">
        <v>469</v>
      </c>
      <c r="C57" s="27" t="s">
        <v>466</v>
      </c>
      <c r="D57" s="31">
        <v>5000000</v>
      </c>
      <c r="E57" s="29">
        <v>5395.25</v>
      </c>
      <c r="F57" s="30">
        <v>5.2923972043117304</v>
      </c>
      <c r="G57" s="29">
        <v>5.7961999999999998</v>
      </c>
    </row>
    <row r="58" spans="1:9" ht="10.5" x14ac:dyDescent="0.25">
      <c r="A58" s="26" t="s">
        <v>164</v>
      </c>
      <c r="B58" s="26"/>
      <c r="C58" s="26"/>
      <c r="D58" s="32"/>
      <c r="E58" s="33">
        <f>SUM(E56:E57)</f>
        <v>14955.239</v>
      </c>
      <c r="F58" s="34">
        <f>SUM(F56:F57)</f>
        <v>14.670138561403782</v>
      </c>
      <c r="G58" s="33"/>
      <c r="H58" s="18"/>
      <c r="I58" s="18"/>
    </row>
    <row r="59" spans="1:9" x14ac:dyDescent="0.2">
      <c r="A59" s="27"/>
      <c r="B59" s="27"/>
      <c r="C59" s="27"/>
      <c r="D59" s="28"/>
      <c r="E59" s="29"/>
      <c r="F59" s="30"/>
      <c r="G59" s="29"/>
    </row>
    <row r="60" spans="1:9" ht="10.5" x14ac:dyDescent="0.25">
      <c r="A60" s="26" t="s">
        <v>176</v>
      </c>
      <c r="B60" s="26"/>
      <c r="C60" s="26"/>
      <c r="D60" s="32"/>
      <c r="E60" s="33">
        <f>E41+E49+E53+E58</f>
        <v>95795.347880000001</v>
      </c>
      <c r="F60" s="34">
        <f>F41+F49+F53+F58</f>
        <v>93.969145323419895</v>
      </c>
      <c r="G60" s="33"/>
      <c r="H60" s="18"/>
      <c r="I60" s="18"/>
    </row>
    <row r="61" spans="1:9" ht="10.5" x14ac:dyDescent="0.25">
      <c r="A61" s="26"/>
      <c r="B61" s="26"/>
      <c r="C61" s="26"/>
      <c r="D61" s="32"/>
      <c r="E61" s="33"/>
      <c r="F61" s="34"/>
      <c r="G61" s="33"/>
      <c r="H61" s="18"/>
      <c r="I61" s="18"/>
    </row>
    <row r="62" spans="1:9" ht="10.5" x14ac:dyDescent="0.25">
      <c r="A62" s="26" t="s">
        <v>178</v>
      </c>
      <c r="B62" s="26"/>
      <c r="C62" s="26"/>
      <c r="D62" s="32"/>
      <c r="E62" s="33">
        <f>E64-(E41+E49+E53+E58)</f>
        <v>6148.0587034000055</v>
      </c>
      <c r="F62" s="34">
        <f>F64-(F41+F49+F53+F58)</f>
        <v>6.0308546765801054</v>
      </c>
      <c r="G62" s="33"/>
      <c r="H62" s="18"/>
      <c r="I62" s="18"/>
    </row>
    <row r="63" spans="1:9" ht="10.5" x14ac:dyDescent="0.25">
      <c r="A63" s="26"/>
      <c r="B63" s="26"/>
      <c r="C63" s="26"/>
      <c r="D63" s="32"/>
      <c r="E63" s="33"/>
      <c r="F63" s="34"/>
      <c r="G63" s="33"/>
      <c r="H63" s="18"/>
      <c r="I63" s="18"/>
    </row>
    <row r="64" spans="1:9" ht="10.5" x14ac:dyDescent="0.25">
      <c r="A64" s="35" t="s">
        <v>177</v>
      </c>
      <c r="B64" s="35"/>
      <c r="C64" s="35"/>
      <c r="D64" s="36"/>
      <c r="E64" s="37">
        <v>101943.40658340001</v>
      </c>
      <c r="F64" s="38">
        <v>100</v>
      </c>
      <c r="G64" s="37"/>
      <c r="H64" s="18"/>
      <c r="I64" s="18"/>
    </row>
    <row r="66" spans="1:4" ht="10.5" x14ac:dyDescent="0.25">
      <c r="A66" s="18" t="s">
        <v>180</v>
      </c>
    </row>
    <row r="68" spans="1:4" ht="10.5" x14ac:dyDescent="0.25">
      <c r="A68" s="18" t="s">
        <v>181</v>
      </c>
    </row>
    <row r="69" spans="1:4" ht="10.5" x14ac:dyDescent="0.25">
      <c r="A69" s="18" t="s">
        <v>182</v>
      </c>
    </row>
    <row r="70" spans="1:4" ht="10.5" x14ac:dyDescent="0.25">
      <c r="A70" s="18" t="s">
        <v>183</v>
      </c>
      <c r="B70" s="18"/>
      <c r="C70" s="39" t="s">
        <v>185</v>
      </c>
      <c r="D70" s="19" t="s">
        <v>184</v>
      </c>
    </row>
    <row r="71" spans="1:4" x14ac:dyDescent="0.2">
      <c r="A71" s="9" t="s">
        <v>421</v>
      </c>
      <c r="C71" s="40">
        <v>16.695699999999999</v>
      </c>
      <c r="D71" s="40">
        <v>17.400700000000001</v>
      </c>
    </row>
    <row r="72" spans="1:4" x14ac:dyDescent="0.2">
      <c r="A72" s="9" t="s">
        <v>458</v>
      </c>
      <c r="C72" s="40">
        <v>10.898</v>
      </c>
      <c r="D72" s="40">
        <v>10.947100000000001</v>
      </c>
    </row>
    <row r="73" spans="1:4" x14ac:dyDescent="0.2">
      <c r="A73" s="9" t="s">
        <v>424</v>
      </c>
      <c r="C73" s="40">
        <v>17.149799999999999</v>
      </c>
      <c r="D73" s="40">
        <v>17.902200000000001</v>
      </c>
    </row>
    <row r="74" spans="1:4" x14ac:dyDescent="0.2">
      <c r="A74" s="9" t="s">
        <v>459</v>
      </c>
      <c r="C74" s="40">
        <v>11.2583</v>
      </c>
      <c r="D74" s="40">
        <v>11.3407</v>
      </c>
    </row>
    <row r="76" spans="1:4" ht="10.5" x14ac:dyDescent="0.25">
      <c r="A76" s="18" t="s">
        <v>197</v>
      </c>
    </row>
    <row r="77" spans="1:4" ht="10.5" x14ac:dyDescent="0.25">
      <c r="A77" s="73" t="s">
        <v>403</v>
      </c>
      <c r="B77" s="74"/>
      <c r="C77" s="45" t="s">
        <v>404</v>
      </c>
    </row>
    <row r="78" spans="1:4" x14ac:dyDescent="0.2">
      <c r="A78" s="69" t="s">
        <v>458</v>
      </c>
      <c r="B78" s="70"/>
      <c r="C78" s="46">
        <v>0.4</v>
      </c>
    </row>
    <row r="79" spans="1:4" x14ac:dyDescent="0.2">
      <c r="A79" s="69" t="s">
        <v>459</v>
      </c>
      <c r="B79" s="70"/>
      <c r="C79" s="46">
        <v>0.4</v>
      </c>
    </row>
    <row r="80" spans="1:4" x14ac:dyDescent="0.2">
      <c r="A80" s="9" t="s">
        <v>405</v>
      </c>
    </row>
    <row r="82" spans="1:5" ht="10.5" x14ac:dyDescent="0.25">
      <c r="A82" s="18" t="s">
        <v>199</v>
      </c>
      <c r="D82" s="42">
        <v>2.96179349487671</v>
      </c>
      <c r="E82" s="13" t="s">
        <v>200</v>
      </c>
    </row>
    <row r="84" spans="1:5" ht="10.5" x14ac:dyDescent="0.25">
      <c r="A84" s="18" t="s">
        <v>201</v>
      </c>
      <c r="D84" s="41" t="s">
        <v>198</v>
      </c>
    </row>
  </sheetData>
  <mergeCells count="4">
    <mergeCell ref="A1:G1"/>
    <mergeCell ref="A77:B77"/>
    <mergeCell ref="A78:B78"/>
    <mergeCell ref="A79:B79"/>
  </mergeCells>
  <conditionalFormatting sqref="F2:F3 F5:F65536">
    <cfRule type="cellIs" dxfId="8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42"/>
  <sheetViews>
    <sheetView workbookViewId="0">
      <selection sqref="A1:G1"/>
    </sheetView>
  </sheetViews>
  <sheetFormatPr defaultColWidth="9.1796875" defaultRowHeight="10" x14ac:dyDescent="0.2"/>
  <cols>
    <col min="1" max="1" width="45.7265625" style="9" customWidth="1"/>
    <col min="2" max="2" width="30.7265625" style="9"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9" s="1" customFormat="1" ht="14" x14ac:dyDescent="0.25">
      <c r="A1" s="71" t="s">
        <v>13</v>
      </c>
      <c r="B1" s="72"/>
      <c r="C1" s="72"/>
      <c r="D1" s="72"/>
      <c r="E1" s="72"/>
      <c r="F1" s="72"/>
      <c r="G1" s="72"/>
    </row>
    <row r="2" spans="1:9" s="1" customFormat="1" ht="11.5" x14ac:dyDescent="0.25">
      <c r="D2" s="6"/>
      <c r="E2" s="7"/>
      <c r="F2" s="12"/>
      <c r="G2" s="13"/>
    </row>
    <row r="3" spans="1:9" s="1" customFormat="1" ht="11.5" x14ac:dyDescent="0.25">
      <c r="A3" s="11" t="s">
        <v>7</v>
      </c>
      <c r="B3" s="2"/>
      <c r="C3" s="3"/>
      <c r="D3" s="4"/>
      <c r="E3" s="5"/>
      <c r="F3" s="12"/>
      <c r="G3" s="13"/>
    </row>
    <row r="4" spans="1:9" s="1" customFormat="1" ht="17.5" customHeight="1" x14ac:dyDescent="0.25">
      <c r="A4" s="8" t="s">
        <v>2</v>
      </c>
      <c r="B4" s="8" t="s">
        <v>0</v>
      </c>
      <c r="C4" s="17" t="s">
        <v>179</v>
      </c>
      <c r="D4" s="16" t="s">
        <v>1</v>
      </c>
      <c r="E4" s="15" t="s">
        <v>3</v>
      </c>
      <c r="F4" s="15" t="s">
        <v>4</v>
      </c>
      <c r="G4" s="15" t="s">
        <v>6</v>
      </c>
    </row>
    <row r="5" spans="1:9" ht="10.5" x14ac:dyDescent="0.25">
      <c r="A5" s="21" t="s">
        <v>352</v>
      </c>
      <c r="B5" s="22"/>
      <c r="C5" s="22"/>
      <c r="D5" s="23"/>
      <c r="E5" s="24"/>
      <c r="F5" s="25"/>
      <c r="G5" s="24"/>
    </row>
    <row r="6" spans="1:9" ht="10.5" x14ac:dyDescent="0.25">
      <c r="A6" s="26" t="s">
        <v>389</v>
      </c>
      <c r="B6" s="27"/>
      <c r="C6" s="27"/>
      <c r="D6" s="28"/>
      <c r="E6" s="29"/>
      <c r="F6" s="30"/>
      <c r="G6" s="29"/>
    </row>
    <row r="7" spans="1:9" x14ac:dyDescent="0.2">
      <c r="A7" s="27" t="s">
        <v>462</v>
      </c>
      <c r="B7" s="27" t="s">
        <v>461</v>
      </c>
      <c r="C7" s="27" t="s">
        <v>466</v>
      </c>
      <c r="D7" s="31">
        <v>4000000</v>
      </c>
      <c r="E7" s="29">
        <v>3981.04</v>
      </c>
      <c r="F7" s="30">
        <v>15.5815991308463</v>
      </c>
      <c r="G7" s="29">
        <v>2.85</v>
      </c>
    </row>
    <row r="8" spans="1:9" ht="10.5" x14ac:dyDescent="0.25">
      <c r="A8" s="26" t="s">
        <v>164</v>
      </c>
      <c r="B8" s="26"/>
      <c r="C8" s="26"/>
      <c r="D8" s="32"/>
      <c r="E8" s="33">
        <f>SUM(E6:E7)</f>
        <v>3981.04</v>
      </c>
      <c r="F8" s="34">
        <f>SUM(F6:F7)</f>
        <v>15.5815991308463</v>
      </c>
      <c r="G8" s="33"/>
      <c r="H8" s="18"/>
      <c r="I8" s="18"/>
    </row>
    <row r="9" spans="1:9" x14ac:dyDescent="0.2">
      <c r="A9" s="27"/>
      <c r="B9" s="27"/>
      <c r="C9" s="27"/>
      <c r="D9" s="28"/>
      <c r="E9" s="29"/>
      <c r="F9" s="30"/>
      <c r="G9" s="29"/>
    </row>
    <row r="10" spans="1:9" ht="10.5" x14ac:dyDescent="0.25">
      <c r="A10" s="26" t="s">
        <v>463</v>
      </c>
      <c r="B10" s="27"/>
      <c r="C10" s="27"/>
      <c r="D10" s="28"/>
      <c r="E10" s="29"/>
      <c r="F10" s="30"/>
      <c r="G10" s="29"/>
    </row>
    <row r="11" spans="1:9" x14ac:dyDescent="0.2">
      <c r="A11" s="27" t="s">
        <v>465</v>
      </c>
      <c r="B11" s="27" t="s">
        <v>464</v>
      </c>
      <c r="C11" s="27" t="s">
        <v>466</v>
      </c>
      <c r="D11" s="31">
        <v>5735000</v>
      </c>
      <c r="E11" s="29">
        <v>5675.7803899999999</v>
      </c>
      <c r="F11" s="30">
        <v>22.2147315253548</v>
      </c>
      <c r="G11" s="29">
        <v>5.9103000000000003</v>
      </c>
    </row>
    <row r="12" spans="1:9" x14ac:dyDescent="0.2">
      <c r="A12" s="27" t="s">
        <v>468</v>
      </c>
      <c r="B12" s="27" t="s">
        <v>467</v>
      </c>
      <c r="C12" s="27" t="s">
        <v>466</v>
      </c>
      <c r="D12" s="31">
        <v>5200000</v>
      </c>
      <c r="E12" s="29">
        <v>5523.5492000000004</v>
      </c>
      <c r="F12" s="30">
        <v>21.618905967763801</v>
      </c>
      <c r="G12" s="29">
        <v>5.6277999999999997</v>
      </c>
    </row>
    <row r="13" spans="1:9" x14ac:dyDescent="0.2">
      <c r="A13" s="27" t="s">
        <v>470</v>
      </c>
      <c r="B13" s="27" t="s">
        <v>469</v>
      </c>
      <c r="C13" s="27" t="s">
        <v>466</v>
      </c>
      <c r="D13" s="31">
        <v>3450000</v>
      </c>
      <c r="E13" s="29">
        <v>3722.7224999999999</v>
      </c>
      <c r="F13" s="30">
        <v>14.570556857098101</v>
      </c>
      <c r="G13" s="29">
        <v>5.7961999999999998</v>
      </c>
    </row>
    <row r="14" spans="1:9" x14ac:dyDescent="0.2">
      <c r="A14" s="27" t="s">
        <v>472</v>
      </c>
      <c r="B14" s="27" t="s">
        <v>471</v>
      </c>
      <c r="C14" s="27" t="s">
        <v>466</v>
      </c>
      <c r="D14" s="31">
        <v>1900000</v>
      </c>
      <c r="E14" s="29">
        <v>2070.3388</v>
      </c>
      <c r="F14" s="30">
        <v>8.1032065105191897</v>
      </c>
      <c r="G14" s="29">
        <v>5.3236999999999997</v>
      </c>
    </row>
    <row r="15" spans="1:9" x14ac:dyDescent="0.2">
      <c r="A15" s="27" t="s">
        <v>474</v>
      </c>
      <c r="B15" s="27" t="s">
        <v>473</v>
      </c>
      <c r="C15" s="27" t="s">
        <v>466</v>
      </c>
      <c r="D15" s="31">
        <v>300000</v>
      </c>
      <c r="E15" s="29">
        <v>325.41120000000001</v>
      </c>
      <c r="F15" s="30">
        <v>1.2736437893333501</v>
      </c>
      <c r="G15" s="29">
        <v>4.4211</v>
      </c>
    </row>
    <row r="16" spans="1:9" x14ac:dyDescent="0.2">
      <c r="A16" s="27" t="s">
        <v>476</v>
      </c>
      <c r="B16" s="27" t="s">
        <v>475</v>
      </c>
      <c r="C16" s="27" t="s">
        <v>466</v>
      </c>
      <c r="D16" s="31">
        <v>200000</v>
      </c>
      <c r="E16" s="29">
        <v>201.08260000000001</v>
      </c>
      <c r="F16" s="30">
        <v>0.78702762730048104</v>
      </c>
      <c r="G16" s="29">
        <v>5.0845000000000002</v>
      </c>
    </row>
    <row r="17" spans="1:9" ht="10.5" x14ac:dyDescent="0.25">
      <c r="A17" s="26" t="s">
        <v>164</v>
      </c>
      <c r="B17" s="26"/>
      <c r="C17" s="26"/>
      <c r="D17" s="32"/>
      <c r="E17" s="33">
        <f>SUM(E11:E16)</f>
        <v>17518.884690000003</v>
      </c>
      <c r="F17" s="34">
        <f>SUM(F11:F16)</f>
        <v>68.568072277369708</v>
      </c>
      <c r="G17" s="33"/>
      <c r="H17" s="18"/>
      <c r="I17" s="18"/>
    </row>
    <row r="18" spans="1:9" x14ac:dyDescent="0.2">
      <c r="A18" s="27"/>
      <c r="B18" s="27"/>
      <c r="C18" s="27"/>
      <c r="D18" s="28"/>
      <c r="E18" s="29"/>
      <c r="F18" s="30"/>
      <c r="G18" s="29"/>
    </row>
    <row r="19" spans="1:9" ht="10.5" x14ac:dyDescent="0.25">
      <c r="A19" s="26" t="s">
        <v>176</v>
      </c>
      <c r="B19" s="26"/>
      <c r="C19" s="26"/>
      <c r="D19" s="32"/>
      <c r="E19" s="33">
        <f>E8+E17</f>
        <v>21499.924690000003</v>
      </c>
      <c r="F19" s="34">
        <f>F8+F17</f>
        <v>84.149671408216008</v>
      </c>
      <c r="G19" s="33"/>
      <c r="H19" s="18"/>
      <c r="I19" s="18"/>
    </row>
    <row r="20" spans="1:9" ht="10.5" x14ac:dyDescent="0.25">
      <c r="A20" s="26"/>
      <c r="B20" s="26"/>
      <c r="C20" s="26"/>
      <c r="D20" s="32"/>
      <c r="E20" s="33"/>
      <c r="F20" s="34"/>
      <c r="G20" s="33"/>
      <c r="H20" s="18"/>
      <c r="I20" s="18"/>
    </row>
    <row r="21" spans="1:9" ht="10.5" x14ac:dyDescent="0.25">
      <c r="A21" s="26" t="s">
        <v>178</v>
      </c>
      <c r="B21" s="26"/>
      <c r="C21" s="26"/>
      <c r="D21" s="32"/>
      <c r="E21" s="33">
        <f>E23-(E8+E17)</f>
        <v>4049.6993669999974</v>
      </c>
      <c r="F21" s="34">
        <f>F23-(F8+F17)</f>
        <v>15.850328591783992</v>
      </c>
      <c r="G21" s="33"/>
      <c r="H21" s="18"/>
      <c r="I21" s="18"/>
    </row>
    <row r="22" spans="1:9" ht="10.5" x14ac:dyDescent="0.25">
      <c r="A22" s="26"/>
      <c r="B22" s="26"/>
      <c r="C22" s="26"/>
      <c r="D22" s="32"/>
      <c r="E22" s="33"/>
      <c r="F22" s="34"/>
      <c r="G22" s="33"/>
      <c r="H22" s="18"/>
      <c r="I22" s="18"/>
    </row>
    <row r="23" spans="1:9" ht="10.5" x14ac:dyDescent="0.25">
      <c r="A23" s="35" t="s">
        <v>177</v>
      </c>
      <c r="B23" s="35"/>
      <c r="C23" s="35"/>
      <c r="D23" s="36"/>
      <c r="E23" s="37">
        <v>25549.624057000001</v>
      </c>
      <c r="F23" s="38">
        <v>100</v>
      </c>
      <c r="G23" s="37"/>
      <c r="H23" s="18"/>
      <c r="I23" s="18"/>
    </row>
    <row r="26" spans="1:9" ht="10.5" x14ac:dyDescent="0.25">
      <c r="A26" s="18" t="s">
        <v>181</v>
      </c>
    </row>
    <row r="27" spans="1:9" ht="10.5" x14ac:dyDescent="0.25">
      <c r="A27" s="18" t="s">
        <v>182</v>
      </c>
    </row>
    <row r="28" spans="1:9" ht="10.5" x14ac:dyDescent="0.25">
      <c r="A28" s="18" t="s">
        <v>183</v>
      </c>
      <c r="B28" s="18"/>
      <c r="C28" s="39" t="s">
        <v>185</v>
      </c>
      <c r="D28" s="19" t="s">
        <v>184</v>
      </c>
    </row>
    <row r="29" spans="1:9" x14ac:dyDescent="0.2">
      <c r="A29" s="9" t="s">
        <v>477</v>
      </c>
      <c r="C29" s="40">
        <v>46.689799999999998</v>
      </c>
      <c r="D29" s="40">
        <v>47.349499999999999</v>
      </c>
    </row>
    <row r="30" spans="1:9" x14ac:dyDescent="0.2">
      <c r="A30" s="9" t="s">
        <v>478</v>
      </c>
      <c r="C30" s="40">
        <v>11.175599999999999</v>
      </c>
      <c r="D30" s="40">
        <v>10.8879</v>
      </c>
    </row>
    <row r="31" spans="1:9" x14ac:dyDescent="0.2">
      <c r="A31" s="9" t="s">
        <v>479</v>
      </c>
      <c r="C31" s="40">
        <v>49.927900000000001</v>
      </c>
      <c r="D31" s="40">
        <v>50.753399999999999</v>
      </c>
    </row>
    <row r="32" spans="1:9" x14ac:dyDescent="0.2">
      <c r="A32" s="9" t="s">
        <v>480</v>
      </c>
      <c r="C32" s="40">
        <v>12.223699999999999</v>
      </c>
      <c r="D32" s="40">
        <v>11.979100000000001</v>
      </c>
    </row>
    <row r="34" spans="1:5" ht="10.5" x14ac:dyDescent="0.25">
      <c r="A34" s="18" t="s">
        <v>197</v>
      </c>
    </row>
    <row r="35" spans="1:5" ht="10.5" x14ac:dyDescent="0.25">
      <c r="A35" s="73" t="s">
        <v>403</v>
      </c>
      <c r="B35" s="74"/>
      <c r="C35" s="45" t="s">
        <v>404</v>
      </c>
    </row>
    <row r="36" spans="1:5" x14ac:dyDescent="0.2">
      <c r="A36" s="69" t="s">
        <v>478</v>
      </c>
      <c r="B36" s="70"/>
      <c r="C36" s="46">
        <v>0.44</v>
      </c>
    </row>
    <row r="37" spans="1:5" x14ac:dyDescent="0.2">
      <c r="A37" s="69" t="s">
        <v>480</v>
      </c>
      <c r="B37" s="70"/>
      <c r="C37" s="46">
        <v>0.44</v>
      </c>
    </row>
    <row r="38" spans="1:5" x14ac:dyDescent="0.2">
      <c r="A38" s="9" t="s">
        <v>405</v>
      </c>
    </row>
    <row r="40" spans="1:5" ht="10.5" x14ac:dyDescent="0.25">
      <c r="A40" s="18" t="s">
        <v>199</v>
      </c>
      <c r="D40" s="42">
        <v>5.1243620728219197</v>
      </c>
      <c r="E40" s="13" t="s">
        <v>200</v>
      </c>
    </row>
    <row r="42" spans="1:5" ht="10.5" x14ac:dyDescent="0.25">
      <c r="A42" s="18" t="s">
        <v>201</v>
      </c>
      <c r="D42" s="41" t="s">
        <v>198</v>
      </c>
    </row>
  </sheetData>
  <mergeCells count="4">
    <mergeCell ref="A1:G1"/>
    <mergeCell ref="A35:B35"/>
    <mergeCell ref="A36:B36"/>
    <mergeCell ref="A37:B37"/>
  </mergeCells>
  <conditionalFormatting sqref="F2:F3 F5:F65535">
    <cfRule type="cellIs" dxfId="8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147"/>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1" t="s">
        <v>15</v>
      </c>
      <c r="B1" s="72"/>
      <c r="C1" s="72"/>
      <c r="D1" s="72"/>
      <c r="E1" s="72"/>
      <c r="F1" s="72"/>
      <c r="G1" s="72"/>
    </row>
    <row r="2" spans="1:7" s="1" customFormat="1" ht="11.5" x14ac:dyDescent="0.25">
      <c r="A2" s="43" t="s">
        <v>202</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204</v>
      </c>
      <c r="B7" s="27" t="s">
        <v>203</v>
      </c>
      <c r="C7" s="27" t="s">
        <v>132</v>
      </c>
      <c r="D7" s="31">
        <v>2750</v>
      </c>
      <c r="E7" s="29">
        <v>26621.4025</v>
      </c>
      <c r="F7" s="30">
        <v>10.5685804034957</v>
      </c>
      <c r="G7" s="29">
        <v>11.998799999999999</v>
      </c>
    </row>
    <row r="8" spans="1:7" x14ac:dyDescent="0.2">
      <c r="A8" s="27" t="s">
        <v>156</v>
      </c>
      <c r="B8" s="27" t="s">
        <v>155</v>
      </c>
      <c r="C8" s="27" t="s">
        <v>109</v>
      </c>
      <c r="D8" s="31">
        <v>1112</v>
      </c>
      <c r="E8" s="29">
        <v>11120.76728</v>
      </c>
      <c r="F8" s="30">
        <v>4.4148959900682803</v>
      </c>
      <c r="G8" s="29">
        <v>10.5358</v>
      </c>
    </row>
    <row r="9" spans="1:7" x14ac:dyDescent="0.2">
      <c r="A9" s="27" t="s">
        <v>81</v>
      </c>
      <c r="B9" s="27" t="s">
        <v>80</v>
      </c>
      <c r="C9" s="27" t="s">
        <v>82</v>
      </c>
      <c r="D9" s="31">
        <v>1000</v>
      </c>
      <c r="E9" s="29">
        <v>9965.31</v>
      </c>
      <c r="F9" s="30">
        <v>3.95618450157761</v>
      </c>
      <c r="G9" s="29">
        <v>16.215299999999999</v>
      </c>
    </row>
    <row r="10" spans="1:7" x14ac:dyDescent="0.2">
      <c r="A10" s="27" t="s">
        <v>495</v>
      </c>
      <c r="B10" s="27" t="s">
        <v>494</v>
      </c>
      <c r="C10" s="27" t="s">
        <v>109</v>
      </c>
      <c r="D10" s="31">
        <v>4810</v>
      </c>
      <c r="E10" s="29">
        <v>9722.7512200000001</v>
      </c>
      <c r="F10" s="30">
        <v>3.8598897263867098</v>
      </c>
      <c r="G10" s="29">
        <v>10.4785</v>
      </c>
    </row>
    <row r="11" spans="1:7" x14ac:dyDescent="0.2">
      <c r="A11" s="27" t="s">
        <v>429</v>
      </c>
      <c r="B11" s="27" t="s">
        <v>428</v>
      </c>
      <c r="C11" s="27" t="s">
        <v>87</v>
      </c>
      <c r="D11" s="31">
        <v>990</v>
      </c>
      <c r="E11" s="29">
        <v>9028.3346999999994</v>
      </c>
      <c r="F11" s="30">
        <v>3.5842094039418</v>
      </c>
      <c r="G11" s="29">
        <v>11.5764</v>
      </c>
    </row>
    <row r="12" spans="1:7" x14ac:dyDescent="0.2">
      <c r="A12" s="27" t="s">
        <v>263</v>
      </c>
      <c r="B12" s="27" t="s">
        <v>262</v>
      </c>
      <c r="C12" s="27" t="s">
        <v>82</v>
      </c>
      <c r="D12" s="31">
        <v>800</v>
      </c>
      <c r="E12" s="29">
        <v>7801.6959999999999</v>
      </c>
      <c r="F12" s="30">
        <v>3.0972392029169198</v>
      </c>
      <c r="G12" s="29">
        <v>11.573700000000001</v>
      </c>
    </row>
    <row r="13" spans="1:7" x14ac:dyDescent="0.2">
      <c r="A13" s="27" t="s">
        <v>206</v>
      </c>
      <c r="B13" s="27" t="s">
        <v>205</v>
      </c>
      <c r="C13" s="27" t="s">
        <v>87</v>
      </c>
      <c r="D13" s="31">
        <v>937</v>
      </c>
      <c r="E13" s="29">
        <v>7510.4223039999997</v>
      </c>
      <c r="F13" s="30">
        <v>2.9816048190560598</v>
      </c>
      <c r="G13" s="29">
        <v>9.7650000000000006</v>
      </c>
    </row>
    <row r="14" spans="1:7" x14ac:dyDescent="0.2">
      <c r="A14" s="27" t="s">
        <v>139</v>
      </c>
      <c r="B14" s="27" t="s">
        <v>138</v>
      </c>
      <c r="C14" s="27" t="s">
        <v>76</v>
      </c>
      <c r="D14" s="31">
        <v>600</v>
      </c>
      <c r="E14" s="29">
        <v>6102.9660000000003</v>
      </c>
      <c r="F14" s="30">
        <v>2.4228508197793199</v>
      </c>
      <c r="G14" s="29">
        <v>4.28</v>
      </c>
    </row>
    <row r="15" spans="1:7" x14ac:dyDescent="0.2">
      <c r="A15" s="27" t="s">
        <v>449</v>
      </c>
      <c r="B15" s="27" t="s">
        <v>448</v>
      </c>
      <c r="C15" s="27" t="s">
        <v>246</v>
      </c>
      <c r="D15" s="31">
        <v>560</v>
      </c>
      <c r="E15" s="29">
        <v>5574.9736000000003</v>
      </c>
      <c r="F15" s="30">
        <v>2.2132401453667101</v>
      </c>
      <c r="G15" s="29">
        <v>9.24</v>
      </c>
    </row>
    <row r="16" spans="1:7" x14ac:dyDescent="0.2">
      <c r="A16" s="27" t="s">
        <v>437</v>
      </c>
      <c r="B16" s="27" t="s">
        <v>436</v>
      </c>
      <c r="C16" s="27" t="s">
        <v>416</v>
      </c>
      <c r="D16" s="31">
        <v>385</v>
      </c>
      <c r="E16" s="29">
        <v>4927.5149000000001</v>
      </c>
      <c r="F16" s="30">
        <v>1.9562018721618</v>
      </c>
      <c r="G16" s="29">
        <v>10.675000000000001</v>
      </c>
    </row>
    <row r="17" spans="1:7" x14ac:dyDescent="0.2">
      <c r="A17" s="27" t="s">
        <v>497</v>
      </c>
      <c r="B17" s="27" t="s">
        <v>496</v>
      </c>
      <c r="C17" s="27" t="s">
        <v>76</v>
      </c>
      <c r="D17" s="31">
        <v>450</v>
      </c>
      <c r="E17" s="29">
        <v>4198.3694999999998</v>
      </c>
      <c r="F17" s="30">
        <v>1.6667343361918601</v>
      </c>
      <c r="G17" s="29">
        <v>11.6752</v>
      </c>
    </row>
    <row r="18" spans="1:7" x14ac:dyDescent="0.2">
      <c r="A18" s="27" t="s">
        <v>219</v>
      </c>
      <c r="B18" s="27" t="s">
        <v>157</v>
      </c>
      <c r="C18" s="27" t="s">
        <v>79</v>
      </c>
      <c r="D18" s="31">
        <v>450</v>
      </c>
      <c r="E18" s="29">
        <v>3811.6260000000002</v>
      </c>
      <c r="F18" s="30">
        <v>1.5131988575378199</v>
      </c>
      <c r="G18" s="29">
        <v>20.8293</v>
      </c>
    </row>
    <row r="19" spans="1:7" x14ac:dyDescent="0.2">
      <c r="A19" s="27" t="s">
        <v>418</v>
      </c>
      <c r="B19" s="27" t="s">
        <v>417</v>
      </c>
      <c r="C19" s="27" t="s">
        <v>87</v>
      </c>
      <c r="D19" s="31">
        <v>475</v>
      </c>
      <c r="E19" s="29">
        <v>3807.4023999999999</v>
      </c>
      <c r="F19" s="30">
        <v>1.5115221068034399</v>
      </c>
      <c r="G19" s="29">
        <v>9.7650000000000006</v>
      </c>
    </row>
    <row r="20" spans="1:7" x14ac:dyDescent="0.2">
      <c r="A20" s="27" t="s">
        <v>136</v>
      </c>
      <c r="B20" s="27" t="s">
        <v>135</v>
      </c>
      <c r="C20" s="27" t="s">
        <v>137</v>
      </c>
      <c r="D20" s="31">
        <v>290</v>
      </c>
      <c r="E20" s="29">
        <v>3115.4989999999998</v>
      </c>
      <c r="F20" s="30">
        <v>1.2368394820111499</v>
      </c>
      <c r="G20" s="29">
        <v>6.2523</v>
      </c>
    </row>
    <row r="21" spans="1:7" x14ac:dyDescent="0.2">
      <c r="A21" s="27" t="s">
        <v>445</v>
      </c>
      <c r="B21" s="27" t="s">
        <v>444</v>
      </c>
      <c r="C21" s="27" t="s">
        <v>109</v>
      </c>
      <c r="D21" s="31">
        <v>300</v>
      </c>
      <c r="E21" s="29">
        <v>2985.6779999999999</v>
      </c>
      <c r="F21" s="30">
        <v>1.1853011125896999</v>
      </c>
      <c r="G21" s="29">
        <v>10.479900000000001</v>
      </c>
    </row>
    <row r="22" spans="1:7" x14ac:dyDescent="0.2">
      <c r="A22" s="27" t="s">
        <v>499</v>
      </c>
      <c r="B22" s="27" t="s">
        <v>498</v>
      </c>
      <c r="C22" s="27" t="s">
        <v>109</v>
      </c>
      <c r="D22" s="31">
        <v>270</v>
      </c>
      <c r="E22" s="29">
        <v>2665.6992</v>
      </c>
      <c r="F22" s="30">
        <v>1.0582709279398099</v>
      </c>
      <c r="G22" s="29">
        <v>10.7356</v>
      </c>
    </row>
    <row r="23" spans="1:7" x14ac:dyDescent="0.2">
      <c r="A23" s="27" t="s">
        <v>218</v>
      </c>
      <c r="B23" s="27" t="s">
        <v>217</v>
      </c>
      <c r="C23" s="27" t="s">
        <v>82</v>
      </c>
      <c r="D23" s="31">
        <v>250</v>
      </c>
      <c r="E23" s="29">
        <v>2471.84</v>
      </c>
      <c r="F23" s="30">
        <v>0.98130967309392203</v>
      </c>
      <c r="G23" s="29">
        <v>11.2193</v>
      </c>
    </row>
    <row r="24" spans="1:7" x14ac:dyDescent="0.2">
      <c r="A24" s="27" t="s">
        <v>158</v>
      </c>
      <c r="B24" s="27" t="s">
        <v>157</v>
      </c>
      <c r="C24" s="27" t="s">
        <v>79</v>
      </c>
      <c r="D24" s="31">
        <v>250</v>
      </c>
      <c r="E24" s="29">
        <v>2115.5625</v>
      </c>
      <c r="F24" s="30">
        <v>0.83986906324226496</v>
      </c>
      <c r="G24" s="29">
        <v>20.902699999999999</v>
      </c>
    </row>
    <row r="25" spans="1:7" x14ac:dyDescent="0.2">
      <c r="A25" s="27" t="s">
        <v>231</v>
      </c>
      <c r="B25" s="27" t="s">
        <v>230</v>
      </c>
      <c r="C25" s="27" t="s">
        <v>76</v>
      </c>
      <c r="D25" s="31">
        <v>200</v>
      </c>
      <c r="E25" s="29">
        <v>1990.1420000000001</v>
      </c>
      <c r="F25" s="30">
        <v>0.790077673081786</v>
      </c>
      <c r="G25" s="29">
        <v>11.7539</v>
      </c>
    </row>
    <row r="26" spans="1:7" x14ac:dyDescent="0.2">
      <c r="A26" s="27" t="s">
        <v>415</v>
      </c>
      <c r="B26" s="27" t="s">
        <v>414</v>
      </c>
      <c r="C26" s="27" t="s">
        <v>416</v>
      </c>
      <c r="D26" s="31">
        <v>150</v>
      </c>
      <c r="E26" s="29">
        <v>1942.4010000000001</v>
      </c>
      <c r="F26" s="30">
        <v>0.77112470480585604</v>
      </c>
      <c r="G26" s="29">
        <v>10.61</v>
      </c>
    </row>
    <row r="27" spans="1:7" x14ac:dyDescent="0.2">
      <c r="A27" s="27" t="s">
        <v>233</v>
      </c>
      <c r="B27" s="27" t="s">
        <v>232</v>
      </c>
      <c r="C27" s="27" t="s">
        <v>234</v>
      </c>
      <c r="D27" s="31">
        <v>170</v>
      </c>
      <c r="E27" s="29">
        <v>1919.4428</v>
      </c>
      <c r="F27" s="30">
        <v>0.76201039977930696</v>
      </c>
      <c r="G27" s="29">
        <v>7.6195000000000004</v>
      </c>
    </row>
    <row r="28" spans="1:7" x14ac:dyDescent="0.2">
      <c r="A28" s="27" t="s">
        <v>108</v>
      </c>
      <c r="B28" s="27" t="s">
        <v>107</v>
      </c>
      <c r="C28" s="27" t="s">
        <v>109</v>
      </c>
      <c r="D28" s="31">
        <v>160</v>
      </c>
      <c r="E28" s="29">
        <v>1601.9712</v>
      </c>
      <c r="F28" s="30">
        <v>0.63597556256791599</v>
      </c>
      <c r="G28" s="29">
        <v>10.355</v>
      </c>
    </row>
    <row r="29" spans="1:7" x14ac:dyDescent="0.2">
      <c r="A29" s="27" t="s">
        <v>241</v>
      </c>
      <c r="B29" s="27" t="s">
        <v>240</v>
      </c>
      <c r="C29" s="27" t="s">
        <v>146</v>
      </c>
      <c r="D29" s="31">
        <v>140</v>
      </c>
      <c r="E29" s="29">
        <v>1413.1348</v>
      </c>
      <c r="F29" s="30">
        <v>0.56100833736230704</v>
      </c>
      <c r="G29" s="29">
        <v>9.7690999999999999</v>
      </c>
    </row>
    <row r="30" spans="1:7" x14ac:dyDescent="0.2">
      <c r="A30" s="27" t="s">
        <v>257</v>
      </c>
      <c r="B30" s="27" t="s">
        <v>256</v>
      </c>
      <c r="C30" s="27" t="s">
        <v>76</v>
      </c>
      <c r="D30" s="31">
        <v>100</v>
      </c>
      <c r="E30" s="29">
        <v>1007.522</v>
      </c>
      <c r="F30" s="30">
        <v>0.39998182910501201</v>
      </c>
      <c r="G30" s="29">
        <v>10.435600000000001</v>
      </c>
    </row>
    <row r="31" spans="1:7" x14ac:dyDescent="0.2">
      <c r="A31" s="27" t="s">
        <v>153</v>
      </c>
      <c r="B31" s="27" t="s">
        <v>152</v>
      </c>
      <c r="C31" s="27" t="s">
        <v>154</v>
      </c>
      <c r="D31" s="31">
        <v>2500</v>
      </c>
      <c r="E31" s="29">
        <v>892.49017819999995</v>
      </c>
      <c r="F31" s="30">
        <v>0.354314698770543</v>
      </c>
      <c r="G31" s="29">
        <v>10.55</v>
      </c>
    </row>
    <row r="32" spans="1:7" x14ac:dyDescent="0.2">
      <c r="A32" s="27" t="s">
        <v>125</v>
      </c>
      <c r="B32" s="27" t="s">
        <v>124</v>
      </c>
      <c r="C32" s="27" t="s">
        <v>87</v>
      </c>
      <c r="D32" s="31">
        <v>20</v>
      </c>
      <c r="E32" s="29">
        <v>206.26480000000001</v>
      </c>
      <c r="F32" s="30">
        <v>8.1886223808492101E-2</v>
      </c>
      <c r="G32" s="29">
        <v>5.2549999999999999</v>
      </c>
    </row>
    <row r="33" spans="1:9" x14ac:dyDescent="0.2">
      <c r="A33" s="27" t="s">
        <v>501</v>
      </c>
      <c r="B33" s="27" t="s">
        <v>500</v>
      </c>
      <c r="C33" s="27" t="s">
        <v>163</v>
      </c>
      <c r="D33" s="31">
        <v>5</v>
      </c>
      <c r="E33" s="29">
        <v>56.296849999999999</v>
      </c>
      <c r="F33" s="30">
        <v>2.23496033196799E-2</v>
      </c>
      <c r="G33" s="29">
        <v>6.8170000000000002</v>
      </c>
    </row>
    <row r="34" spans="1:9" ht="10.5" x14ac:dyDescent="0.25">
      <c r="A34" s="26" t="s">
        <v>164</v>
      </c>
      <c r="B34" s="26"/>
      <c r="C34" s="26"/>
      <c r="D34" s="32"/>
      <c r="E34" s="33">
        <f>SUM(E6:E33)</f>
        <v>134577.48073220003</v>
      </c>
      <c r="F34" s="34">
        <f>SUM(F6:F33)</f>
        <v>53.426671476761776</v>
      </c>
      <c r="G34" s="33"/>
      <c r="H34" s="18"/>
      <c r="I34" s="18"/>
    </row>
    <row r="35" spans="1:9" x14ac:dyDescent="0.2">
      <c r="A35" s="27"/>
      <c r="B35" s="27"/>
      <c r="C35" s="27"/>
      <c r="D35" s="28"/>
      <c r="E35" s="29"/>
      <c r="F35" s="30"/>
      <c r="G35" s="29"/>
    </row>
    <row r="36" spans="1:9" ht="10.5" x14ac:dyDescent="0.25">
      <c r="A36" s="26" t="s">
        <v>165</v>
      </c>
      <c r="B36" s="27"/>
      <c r="C36" s="27"/>
      <c r="D36" s="28"/>
      <c r="E36" s="29"/>
      <c r="F36" s="30"/>
      <c r="G36" s="29"/>
    </row>
    <row r="37" spans="1:9" x14ac:dyDescent="0.2">
      <c r="A37" s="27" t="s">
        <v>298</v>
      </c>
      <c r="B37" s="27" t="s">
        <v>297</v>
      </c>
      <c r="C37" s="27" t="s">
        <v>290</v>
      </c>
      <c r="D37" s="31">
        <v>550</v>
      </c>
      <c r="E37" s="29">
        <v>5061.1220000000003</v>
      </c>
      <c r="F37" s="30">
        <v>2.0092433067303901</v>
      </c>
      <c r="G37" s="29">
        <v>25.8</v>
      </c>
    </row>
    <row r="38" spans="1:9" x14ac:dyDescent="0.2">
      <c r="A38" s="27" t="s">
        <v>289</v>
      </c>
      <c r="B38" s="27" t="s">
        <v>288</v>
      </c>
      <c r="C38" s="27" t="s">
        <v>290</v>
      </c>
      <c r="D38" s="31">
        <v>450</v>
      </c>
      <c r="E38" s="29">
        <v>4148.6715000000004</v>
      </c>
      <c r="F38" s="30">
        <v>1.6470044474719501</v>
      </c>
      <c r="G38" s="29">
        <v>25.8</v>
      </c>
    </row>
    <row r="39" spans="1:9" x14ac:dyDescent="0.2">
      <c r="A39" s="27" t="s">
        <v>300</v>
      </c>
      <c r="B39" s="27" t="s">
        <v>299</v>
      </c>
      <c r="C39" s="27" t="s">
        <v>290</v>
      </c>
      <c r="D39" s="31">
        <v>440</v>
      </c>
      <c r="E39" s="29">
        <v>4000.5800840000002</v>
      </c>
      <c r="F39" s="30">
        <v>1.58821280277692</v>
      </c>
      <c r="G39" s="29">
        <v>11.344900000000001</v>
      </c>
    </row>
    <row r="40" spans="1:9" x14ac:dyDescent="0.2">
      <c r="A40" s="27" t="s">
        <v>296</v>
      </c>
      <c r="B40" s="27" t="s">
        <v>295</v>
      </c>
      <c r="C40" s="27" t="s">
        <v>290</v>
      </c>
      <c r="D40" s="31">
        <v>450</v>
      </c>
      <c r="E40" s="29">
        <v>3894.6291190000002</v>
      </c>
      <c r="F40" s="30">
        <v>1.54615073289046</v>
      </c>
      <c r="G40" s="29">
        <v>11.3429</v>
      </c>
    </row>
    <row r="41" spans="1:9" x14ac:dyDescent="0.2">
      <c r="A41" s="27" t="s">
        <v>503</v>
      </c>
      <c r="B41" s="27" t="s">
        <v>502</v>
      </c>
      <c r="C41" s="27" t="s">
        <v>285</v>
      </c>
      <c r="D41" s="31">
        <v>390</v>
      </c>
      <c r="E41" s="29">
        <v>3891.6111000000001</v>
      </c>
      <c r="F41" s="30">
        <v>1.54495259254227</v>
      </c>
      <c r="G41" s="29">
        <v>9.67</v>
      </c>
    </row>
    <row r="42" spans="1:9" x14ac:dyDescent="0.2">
      <c r="A42" s="27" t="s">
        <v>287</v>
      </c>
      <c r="B42" s="27" t="s">
        <v>286</v>
      </c>
      <c r="C42" s="27" t="s">
        <v>92</v>
      </c>
      <c r="D42" s="31">
        <v>400</v>
      </c>
      <c r="E42" s="29">
        <v>3793.6</v>
      </c>
      <c r="F42" s="30">
        <v>1.50604261434765</v>
      </c>
      <c r="G42" s="29">
        <v>11.914999999999999</v>
      </c>
    </row>
    <row r="43" spans="1:9" x14ac:dyDescent="0.2">
      <c r="A43" s="27" t="s">
        <v>505</v>
      </c>
      <c r="B43" s="27" t="s">
        <v>504</v>
      </c>
      <c r="C43" s="27" t="s">
        <v>506</v>
      </c>
      <c r="D43" s="31">
        <v>400</v>
      </c>
      <c r="E43" s="29">
        <v>3029.539644</v>
      </c>
      <c r="F43" s="30">
        <v>1.2027139934941999</v>
      </c>
      <c r="G43" s="29">
        <v>10.935</v>
      </c>
    </row>
    <row r="44" spans="1:9" x14ac:dyDescent="0.2">
      <c r="A44" s="27" t="s">
        <v>284</v>
      </c>
      <c r="B44" s="27" t="s">
        <v>283</v>
      </c>
      <c r="C44" s="27" t="s">
        <v>285</v>
      </c>
      <c r="D44" s="31">
        <v>10</v>
      </c>
      <c r="E44" s="29">
        <v>1015.3920000000001</v>
      </c>
      <c r="F44" s="30">
        <v>0.40310618469730403</v>
      </c>
      <c r="G44" s="29">
        <v>8.5593000000000004</v>
      </c>
    </row>
    <row r="45" spans="1:9" x14ac:dyDescent="0.2">
      <c r="A45" s="27" t="s">
        <v>292</v>
      </c>
      <c r="B45" s="27" t="s">
        <v>291</v>
      </c>
      <c r="C45" s="27" t="s">
        <v>285</v>
      </c>
      <c r="D45" s="31">
        <v>100</v>
      </c>
      <c r="E45" s="29">
        <v>998.75699999999995</v>
      </c>
      <c r="F45" s="30">
        <v>0.39650216242566899</v>
      </c>
      <c r="G45" s="29">
        <v>9.6150000000000002</v>
      </c>
    </row>
    <row r="46" spans="1:9" x14ac:dyDescent="0.2">
      <c r="A46" s="27" t="s">
        <v>304</v>
      </c>
      <c r="B46" s="27" t="s">
        <v>303</v>
      </c>
      <c r="C46" s="27" t="s">
        <v>290</v>
      </c>
      <c r="D46" s="31">
        <v>50</v>
      </c>
      <c r="E46" s="29">
        <v>445.17963550000002</v>
      </c>
      <c r="F46" s="30">
        <v>0.17673436896424399</v>
      </c>
      <c r="G46" s="29">
        <v>11.344900000000001</v>
      </c>
    </row>
    <row r="47" spans="1:9" x14ac:dyDescent="0.2">
      <c r="A47" s="27" t="s">
        <v>453</v>
      </c>
      <c r="B47" s="27" t="s">
        <v>452</v>
      </c>
      <c r="C47" s="27" t="s">
        <v>309</v>
      </c>
      <c r="D47" s="31">
        <v>250</v>
      </c>
      <c r="E47" s="29">
        <v>0</v>
      </c>
      <c r="F47" s="29">
        <v>0</v>
      </c>
      <c r="G47" s="29">
        <v>0</v>
      </c>
    </row>
    <row r="48" spans="1:9" x14ac:dyDescent="0.2">
      <c r="A48" s="27" t="s">
        <v>455</v>
      </c>
      <c r="B48" s="27" t="s">
        <v>454</v>
      </c>
      <c r="C48" s="27" t="s">
        <v>316</v>
      </c>
      <c r="D48" s="31">
        <v>317</v>
      </c>
      <c r="E48" s="29">
        <v>0</v>
      </c>
      <c r="F48" s="29">
        <v>0</v>
      </c>
      <c r="G48" s="29">
        <v>0</v>
      </c>
    </row>
    <row r="49" spans="1:9" x14ac:dyDescent="0.2">
      <c r="A49" s="27" t="s">
        <v>324</v>
      </c>
      <c r="B49" s="27" t="s">
        <v>323</v>
      </c>
      <c r="C49" s="27" t="s">
        <v>309</v>
      </c>
      <c r="D49" s="31">
        <v>250</v>
      </c>
      <c r="E49" s="29">
        <v>0</v>
      </c>
      <c r="F49" s="29">
        <v>0</v>
      </c>
      <c r="G49" s="29">
        <v>0</v>
      </c>
    </row>
    <row r="50" spans="1:9" x14ac:dyDescent="0.2">
      <c r="A50" s="27" t="s">
        <v>457</v>
      </c>
      <c r="B50" s="27" t="s">
        <v>456</v>
      </c>
      <c r="C50" s="27" t="s">
        <v>309</v>
      </c>
      <c r="D50" s="31">
        <v>600</v>
      </c>
      <c r="E50" s="29">
        <v>0</v>
      </c>
      <c r="F50" s="29">
        <v>0</v>
      </c>
      <c r="G50" s="29">
        <v>0</v>
      </c>
    </row>
    <row r="51" spans="1:9" ht="10.5" x14ac:dyDescent="0.25">
      <c r="A51" s="26" t="s">
        <v>164</v>
      </c>
      <c r="B51" s="26"/>
      <c r="C51" s="26"/>
      <c r="D51" s="32"/>
      <c r="E51" s="33">
        <f>SUM(E36:E50)</f>
        <v>30279.082082500001</v>
      </c>
      <c r="F51" s="34">
        <f>SUM(F36:F50)</f>
        <v>12.020663206341059</v>
      </c>
      <c r="G51" s="33"/>
      <c r="H51" s="18"/>
      <c r="I51" s="18"/>
    </row>
    <row r="52" spans="1:9" x14ac:dyDescent="0.2">
      <c r="A52" s="27"/>
      <c r="B52" s="27"/>
      <c r="C52" s="27"/>
      <c r="D52" s="28"/>
      <c r="E52" s="29"/>
      <c r="F52" s="30"/>
      <c r="G52" s="29"/>
    </row>
    <row r="53" spans="1:9" ht="10.5" x14ac:dyDescent="0.25">
      <c r="A53" s="26" t="s">
        <v>176</v>
      </c>
      <c r="B53" s="26"/>
      <c r="C53" s="26"/>
      <c r="D53" s="32"/>
      <c r="E53" s="33">
        <f>E34+E51</f>
        <v>164856.56281470004</v>
      </c>
      <c r="F53" s="34">
        <f>F34+F51</f>
        <v>65.447334683102838</v>
      </c>
      <c r="G53" s="33"/>
      <c r="H53" s="18"/>
      <c r="I53" s="18"/>
    </row>
    <row r="54" spans="1:9" ht="10.5" x14ac:dyDescent="0.25">
      <c r="A54" s="26"/>
      <c r="B54" s="26"/>
      <c r="C54" s="26"/>
      <c r="D54" s="32"/>
      <c r="E54" s="33"/>
      <c r="F54" s="34"/>
      <c r="G54" s="33"/>
      <c r="H54" s="18"/>
      <c r="I54" s="18"/>
    </row>
    <row r="55" spans="1:9" ht="10.5" x14ac:dyDescent="0.25">
      <c r="A55" s="26" t="s">
        <v>178</v>
      </c>
      <c r="B55" s="26"/>
      <c r="C55" s="26"/>
      <c r="D55" s="32"/>
      <c r="E55" s="33">
        <f>E57-(E34+E51)</f>
        <v>87035.379940399958</v>
      </c>
      <c r="F55" s="34">
        <f>F57-(F34+F51)</f>
        <v>34.552665316897162</v>
      </c>
      <c r="G55" s="33"/>
      <c r="H55" s="18"/>
      <c r="I55" s="18"/>
    </row>
    <row r="56" spans="1:9" ht="10.5" x14ac:dyDescent="0.25">
      <c r="A56" s="26"/>
      <c r="B56" s="26"/>
      <c r="C56" s="26"/>
      <c r="D56" s="32"/>
      <c r="E56" s="33"/>
      <c r="F56" s="34"/>
      <c r="G56" s="33"/>
      <c r="H56" s="18"/>
      <c r="I56" s="18"/>
    </row>
    <row r="57" spans="1:9" ht="10.5" x14ac:dyDescent="0.25">
      <c r="A57" s="35" t="s">
        <v>177</v>
      </c>
      <c r="B57" s="35"/>
      <c r="C57" s="35"/>
      <c r="D57" s="36"/>
      <c r="E57" s="37">
        <v>251891.9427551</v>
      </c>
      <c r="F57" s="38">
        <v>100</v>
      </c>
      <c r="G57" s="37"/>
      <c r="H57" s="18"/>
      <c r="I57" s="18"/>
    </row>
    <row r="58" spans="1:9" ht="10.5" x14ac:dyDescent="0.25">
      <c r="F58" s="20"/>
    </row>
    <row r="59" spans="1:9" ht="10.5" x14ac:dyDescent="0.25">
      <c r="A59" s="18" t="s">
        <v>180</v>
      </c>
    </row>
    <row r="60" spans="1:9" ht="10.5" x14ac:dyDescent="0.25">
      <c r="A60" s="18" t="s">
        <v>1503</v>
      </c>
    </row>
    <row r="61" spans="1:9" ht="10.5" x14ac:dyDescent="0.25">
      <c r="A61" s="18" t="s">
        <v>1511</v>
      </c>
    </row>
    <row r="64" spans="1:9" ht="10.5" x14ac:dyDescent="0.25">
      <c r="A64" s="18" t="s">
        <v>181</v>
      </c>
    </row>
    <row r="65" spans="1:7" ht="10.5" x14ac:dyDescent="0.25">
      <c r="A65" s="18" t="s">
        <v>182</v>
      </c>
    </row>
    <row r="66" spans="1:7" ht="10.5" x14ac:dyDescent="0.25">
      <c r="A66" s="18" t="s">
        <v>183</v>
      </c>
      <c r="B66" s="18"/>
      <c r="C66" s="39" t="s">
        <v>185</v>
      </c>
      <c r="D66" s="19" t="s">
        <v>184</v>
      </c>
    </row>
    <row r="67" spans="1:7" x14ac:dyDescent="0.2">
      <c r="A67" s="9" t="s">
        <v>421</v>
      </c>
      <c r="C67" s="40">
        <v>65.727999999999994</v>
      </c>
      <c r="D67" s="40">
        <v>67.135800000000003</v>
      </c>
    </row>
    <row r="68" spans="1:7" x14ac:dyDescent="0.2">
      <c r="A68" s="9" t="s">
        <v>458</v>
      </c>
      <c r="C68" s="40">
        <v>10.864100000000001</v>
      </c>
      <c r="D68" s="40">
        <v>11.0968</v>
      </c>
    </row>
    <row r="69" spans="1:7" x14ac:dyDescent="0.2">
      <c r="A69" s="9" t="s">
        <v>424</v>
      </c>
      <c r="C69" s="40">
        <v>69.821399999999997</v>
      </c>
      <c r="D69" s="40">
        <v>71.601900000000001</v>
      </c>
    </row>
    <row r="70" spans="1:7" x14ac:dyDescent="0.2">
      <c r="A70" s="9" t="s">
        <v>459</v>
      </c>
      <c r="C70" s="40">
        <v>11.7682</v>
      </c>
      <c r="D70" s="40">
        <v>12.068300000000001</v>
      </c>
    </row>
    <row r="72" spans="1:7" ht="10.5" x14ac:dyDescent="0.25">
      <c r="A72" s="18" t="s">
        <v>197</v>
      </c>
      <c r="D72" s="41" t="s">
        <v>198</v>
      </c>
    </row>
    <row r="74" spans="1:7" ht="10.5" x14ac:dyDescent="0.25">
      <c r="A74" s="18" t="s">
        <v>199</v>
      </c>
      <c r="D74" s="42">
        <v>1.8542862111506899</v>
      </c>
      <c r="E74" s="13" t="s">
        <v>200</v>
      </c>
    </row>
    <row r="76" spans="1:7" ht="10.5" x14ac:dyDescent="0.25">
      <c r="A76" s="18" t="s">
        <v>201</v>
      </c>
      <c r="D76" s="41">
        <v>1</v>
      </c>
    </row>
    <row r="77" spans="1:7" x14ac:dyDescent="0.2">
      <c r="A77" s="9" t="s">
        <v>344</v>
      </c>
    </row>
    <row r="78" spans="1:7" x14ac:dyDescent="0.2">
      <c r="A78" s="56" t="s">
        <v>1505</v>
      </c>
    </row>
    <row r="80" spans="1:7" ht="30" customHeight="1" x14ac:dyDescent="0.2">
      <c r="A80" s="75" t="s">
        <v>1523</v>
      </c>
      <c r="B80" s="75"/>
      <c r="C80" s="75"/>
      <c r="D80" s="75"/>
      <c r="E80" s="75"/>
      <c r="F80" s="75"/>
      <c r="G80" s="75"/>
    </row>
    <row r="81" spans="1:9" s="63" customFormat="1" x14ac:dyDescent="0.2">
      <c r="A81" s="66"/>
      <c r="D81" s="64"/>
      <c r="E81" s="67"/>
      <c r="F81" s="14"/>
      <c r="G81" s="67"/>
    </row>
    <row r="82" spans="1:9" ht="50.15" customHeight="1" x14ac:dyDescent="0.2">
      <c r="A82" s="76" t="s">
        <v>1524</v>
      </c>
      <c r="B82" s="76"/>
      <c r="C82" s="76"/>
      <c r="D82" s="76"/>
      <c r="E82" s="76"/>
      <c r="F82" s="76"/>
      <c r="G82" s="76"/>
    </row>
    <row r="83" spans="1:9" ht="10.5" x14ac:dyDescent="0.2">
      <c r="A83" s="59" t="s">
        <v>1512</v>
      </c>
      <c r="B83" s="62"/>
      <c r="C83" s="62"/>
      <c r="D83" s="62"/>
      <c r="E83" s="62"/>
      <c r="F83" s="62"/>
    </row>
    <row r="84" spans="1:9" x14ac:dyDescent="0.2">
      <c r="A84" s="77" t="s">
        <v>1513</v>
      </c>
      <c r="B84" s="77"/>
      <c r="C84" s="77"/>
      <c r="D84" s="77"/>
      <c r="E84" s="77"/>
      <c r="F84" s="77"/>
    </row>
    <row r="85" spans="1:9" x14ac:dyDescent="0.2">
      <c r="A85" s="60"/>
    </row>
    <row r="86" spans="1:9" ht="25" customHeight="1" x14ac:dyDescent="0.2">
      <c r="A86" s="78" t="s">
        <v>1514</v>
      </c>
      <c r="B86" s="78"/>
      <c r="C86" s="78"/>
      <c r="D86" s="78"/>
      <c r="E86" s="78"/>
      <c r="F86" s="78"/>
      <c r="G86" s="78"/>
    </row>
    <row r="89" spans="1:9" s="1" customFormat="1" ht="14" x14ac:dyDescent="0.25">
      <c r="A89" s="71" t="s">
        <v>507</v>
      </c>
      <c r="B89" s="72"/>
      <c r="C89" s="72"/>
      <c r="D89" s="72"/>
      <c r="E89" s="72"/>
      <c r="F89" s="72"/>
      <c r="G89" s="72"/>
    </row>
    <row r="90" spans="1:9" ht="10.5" x14ac:dyDescent="0.25">
      <c r="A90" s="18" t="s">
        <v>7</v>
      </c>
    </row>
    <row r="91" spans="1:9" s="1" customFormat="1" ht="17.5" customHeight="1" x14ac:dyDescent="0.25">
      <c r="A91" s="8" t="s">
        <v>2</v>
      </c>
      <c r="B91" s="8" t="s">
        <v>0</v>
      </c>
      <c r="C91" s="17" t="s">
        <v>179</v>
      </c>
      <c r="D91" s="16" t="s">
        <v>1</v>
      </c>
      <c r="E91" s="15" t="s">
        <v>3</v>
      </c>
      <c r="F91" s="15" t="s">
        <v>4</v>
      </c>
      <c r="G91" s="15" t="s">
        <v>6</v>
      </c>
    </row>
    <row r="92" spans="1:9" ht="10.5" x14ac:dyDescent="0.25">
      <c r="A92" s="21" t="s">
        <v>69</v>
      </c>
      <c r="B92" s="22"/>
      <c r="C92" s="22"/>
      <c r="D92" s="23"/>
      <c r="E92" s="24"/>
      <c r="F92" s="25"/>
      <c r="G92" s="24"/>
    </row>
    <row r="93" spans="1:9" ht="10.5" x14ac:dyDescent="0.25">
      <c r="A93" s="26" t="s">
        <v>70</v>
      </c>
      <c r="B93" s="27"/>
      <c r="C93" s="27"/>
      <c r="D93" s="28"/>
      <c r="E93" s="29"/>
      <c r="F93" s="30"/>
      <c r="G93" s="29"/>
    </row>
    <row r="94" spans="1:9" x14ac:dyDescent="0.2">
      <c r="A94" s="27" t="s">
        <v>347</v>
      </c>
      <c r="B94" s="27" t="s">
        <v>346</v>
      </c>
      <c r="C94" s="27" t="s">
        <v>348</v>
      </c>
      <c r="D94" s="31">
        <v>940</v>
      </c>
      <c r="E94" s="29">
        <v>0</v>
      </c>
      <c r="F94" s="53">
        <v>100</v>
      </c>
      <c r="G94" s="29">
        <v>0</v>
      </c>
    </row>
    <row r="95" spans="1:9" ht="10.5" x14ac:dyDescent="0.25">
      <c r="A95" s="26" t="s">
        <v>164</v>
      </c>
      <c r="B95" s="26"/>
      <c r="C95" s="26"/>
      <c r="D95" s="32"/>
      <c r="E95" s="33">
        <f>SUM(E93:E94)</f>
        <v>0</v>
      </c>
      <c r="F95" s="52">
        <f>SUM(F93:F94)</f>
        <v>100</v>
      </c>
      <c r="G95" s="33"/>
      <c r="H95" s="18"/>
      <c r="I95" s="18"/>
    </row>
    <row r="96" spans="1:9" x14ac:dyDescent="0.2">
      <c r="A96" s="27"/>
      <c r="B96" s="27"/>
      <c r="C96" s="27"/>
      <c r="D96" s="28"/>
      <c r="E96" s="29"/>
      <c r="F96" s="50"/>
      <c r="G96" s="29"/>
    </row>
    <row r="97" spans="1:9" ht="10.5" x14ac:dyDescent="0.25">
      <c r="A97" s="26" t="s">
        <v>176</v>
      </c>
      <c r="B97" s="26"/>
      <c r="C97" s="26"/>
      <c r="D97" s="32"/>
      <c r="E97" s="33">
        <f>E95</f>
        <v>0</v>
      </c>
      <c r="F97" s="52">
        <f>F95</f>
        <v>100</v>
      </c>
      <c r="G97" s="33"/>
      <c r="H97" s="18"/>
      <c r="I97" s="18"/>
    </row>
    <row r="98" spans="1:9" ht="10.5" x14ac:dyDescent="0.25">
      <c r="A98" s="26"/>
      <c r="B98" s="26"/>
      <c r="C98" s="26"/>
      <c r="D98" s="32"/>
      <c r="E98" s="33"/>
      <c r="F98" s="52"/>
      <c r="G98" s="33"/>
      <c r="H98" s="18"/>
      <c r="I98" s="18"/>
    </row>
    <row r="99" spans="1:9" ht="10.5" x14ac:dyDescent="0.25">
      <c r="A99" s="26" t="s">
        <v>178</v>
      </c>
      <c r="B99" s="26"/>
      <c r="C99" s="26"/>
      <c r="D99" s="32"/>
      <c r="E99" s="33">
        <f>E101-(E95)</f>
        <v>0</v>
      </c>
      <c r="F99" s="34">
        <v>0</v>
      </c>
      <c r="G99" s="33"/>
      <c r="H99" s="18"/>
      <c r="I99" s="18"/>
    </row>
    <row r="100" spans="1:9" ht="10.5" x14ac:dyDescent="0.25">
      <c r="A100" s="26"/>
      <c r="B100" s="26"/>
      <c r="C100" s="26"/>
      <c r="D100" s="32"/>
      <c r="E100" s="33"/>
      <c r="F100" s="52"/>
      <c r="G100" s="33"/>
      <c r="H100" s="18"/>
      <c r="I100" s="18"/>
    </row>
    <row r="101" spans="1:9" ht="10.5" x14ac:dyDescent="0.25">
      <c r="A101" s="35" t="s">
        <v>177</v>
      </c>
      <c r="B101" s="35"/>
      <c r="C101" s="35"/>
      <c r="D101" s="36"/>
      <c r="E101" s="37">
        <v>0</v>
      </c>
      <c r="F101" s="55">
        <v>100</v>
      </c>
      <c r="G101" s="37"/>
      <c r="H101" s="18"/>
      <c r="I101" s="18"/>
    </row>
    <row r="102" spans="1:9" ht="10.5" x14ac:dyDescent="0.25">
      <c r="F102" s="20"/>
    </row>
    <row r="103" spans="1:9" ht="10.5" x14ac:dyDescent="0.25">
      <c r="A103" s="18" t="s">
        <v>180</v>
      </c>
    </row>
    <row r="104" spans="1:9" ht="10.5" x14ac:dyDescent="0.25">
      <c r="A104" s="18" t="s">
        <v>1503</v>
      </c>
    </row>
    <row r="105" spans="1:9" ht="10.5" x14ac:dyDescent="0.25">
      <c r="A105" s="18" t="s">
        <v>1511</v>
      </c>
    </row>
    <row r="107" spans="1:9" ht="10.5" x14ac:dyDescent="0.25">
      <c r="A107" s="18" t="s">
        <v>181</v>
      </c>
    </row>
    <row r="108" spans="1:9" ht="10.5" x14ac:dyDescent="0.25">
      <c r="A108" s="18" t="s">
        <v>182</v>
      </c>
    </row>
    <row r="109" spans="1:9" ht="10.5" x14ac:dyDescent="0.25">
      <c r="A109" s="18" t="s">
        <v>183</v>
      </c>
      <c r="B109" s="18"/>
      <c r="C109" s="39" t="s">
        <v>185</v>
      </c>
      <c r="D109" s="19" t="s">
        <v>184</v>
      </c>
    </row>
    <row r="110" spans="1:9" x14ac:dyDescent="0.2">
      <c r="A110" s="9" t="s">
        <v>421</v>
      </c>
      <c r="C110" s="40">
        <v>0</v>
      </c>
      <c r="D110" s="40">
        <v>0</v>
      </c>
    </row>
    <row r="111" spans="1:9" x14ac:dyDescent="0.2">
      <c r="A111" s="9" t="s">
        <v>458</v>
      </c>
      <c r="C111" s="40">
        <v>0</v>
      </c>
      <c r="D111" s="40">
        <v>0</v>
      </c>
    </row>
    <row r="112" spans="1:9" x14ac:dyDescent="0.2">
      <c r="A112" s="9" t="s">
        <v>424</v>
      </c>
      <c r="C112" s="40">
        <v>0</v>
      </c>
      <c r="D112" s="40">
        <v>0</v>
      </c>
    </row>
    <row r="113" spans="1:9" x14ac:dyDescent="0.2">
      <c r="A113" s="9" t="s">
        <v>459</v>
      </c>
      <c r="C113" s="40">
        <v>0</v>
      </c>
      <c r="D113" s="40">
        <v>0</v>
      </c>
    </row>
    <row r="115" spans="1:9" ht="10.5" x14ac:dyDescent="0.25">
      <c r="A115" s="18" t="s">
        <v>1504</v>
      </c>
      <c r="D115" s="41" t="s">
        <v>198</v>
      </c>
    </row>
    <row r="116" spans="1:9" x14ac:dyDescent="0.2">
      <c r="A116" s="9" t="s">
        <v>344</v>
      </c>
    </row>
    <row r="117" spans="1:9" x14ac:dyDescent="0.2">
      <c r="A117" s="56" t="s">
        <v>1505</v>
      </c>
    </row>
    <row r="120" spans="1:9" s="1" customFormat="1" ht="14" x14ac:dyDescent="0.25">
      <c r="A120" s="71" t="s">
        <v>508</v>
      </c>
      <c r="B120" s="72"/>
      <c r="C120" s="72"/>
      <c r="D120" s="72"/>
      <c r="E120" s="72"/>
      <c r="F120" s="72"/>
      <c r="G120" s="72"/>
    </row>
    <row r="121" spans="1:9" ht="10.5" x14ac:dyDescent="0.25">
      <c r="A121" s="18" t="s">
        <v>7</v>
      </c>
    </row>
    <row r="122" spans="1:9" s="1" customFormat="1" ht="17.5" customHeight="1" x14ac:dyDescent="0.25">
      <c r="A122" s="8" t="s">
        <v>2</v>
      </c>
      <c r="B122" s="8" t="s">
        <v>0</v>
      </c>
      <c r="C122" s="17" t="s">
        <v>179</v>
      </c>
      <c r="D122" s="16" t="s">
        <v>1</v>
      </c>
      <c r="E122" s="15" t="s">
        <v>3</v>
      </c>
      <c r="F122" s="15" t="s">
        <v>4</v>
      </c>
      <c r="G122" s="15" t="s">
        <v>6</v>
      </c>
    </row>
    <row r="123" spans="1:9" ht="10.5" x14ac:dyDescent="0.25">
      <c r="A123" s="21" t="s">
        <v>69</v>
      </c>
      <c r="B123" s="22"/>
      <c r="C123" s="22"/>
      <c r="D123" s="23"/>
      <c r="E123" s="24"/>
      <c r="F123" s="25"/>
      <c r="G123" s="24"/>
    </row>
    <row r="124" spans="1:9" ht="10.5" x14ac:dyDescent="0.25">
      <c r="A124" s="26" t="s">
        <v>70</v>
      </c>
      <c r="B124" s="27"/>
      <c r="C124" s="27"/>
      <c r="D124" s="28"/>
      <c r="E124" s="29"/>
      <c r="F124" s="30"/>
      <c r="G124" s="29"/>
    </row>
    <row r="125" spans="1:9" ht="20" x14ac:dyDescent="0.2">
      <c r="A125" s="27" t="s">
        <v>351</v>
      </c>
      <c r="B125" s="27" t="s">
        <v>350</v>
      </c>
      <c r="C125" s="48" t="s">
        <v>1520</v>
      </c>
      <c r="D125" s="31">
        <v>682</v>
      </c>
      <c r="E125" s="29">
        <v>0</v>
      </c>
      <c r="F125" s="53">
        <v>100</v>
      </c>
      <c r="G125" s="29">
        <v>0</v>
      </c>
    </row>
    <row r="126" spans="1:9" ht="10.5" x14ac:dyDescent="0.25">
      <c r="A126" s="26" t="s">
        <v>164</v>
      </c>
      <c r="B126" s="26"/>
      <c r="C126" s="26"/>
      <c r="D126" s="32"/>
      <c r="E126" s="33">
        <f>SUM(E124:E125)</f>
        <v>0</v>
      </c>
      <c r="F126" s="52">
        <f>SUM(F124:F125)</f>
        <v>100</v>
      </c>
      <c r="G126" s="33"/>
      <c r="H126" s="18"/>
      <c r="I126" s="18"/>
    </row>
    <row r="127" spans="1:9" x14ac:dyDescent="0.2">
      <c r="A127" s="27"/>
      <c r="B127" s="27"/>
      <c r="C127" s="27"/>
      <c r="D127" s="28"/>
      <c r="E127" s="29"/>
      <c r="F127" s="50"/>
      <c r="G127" s="29"/>
    </row>
    <row r="128" spans="1:9" ht="10.5" x14ac:dyDescent="0.25">
      <c r="A128" s="26" t="s">
        <v>176</v>
      </c>
      <c r="B128" s="26"/>
      <c r="C128" s="26"/>
      <c r="D128" s="32"/>
      <c r="E128" s="33">
        <f>E126</f>
        <v>0</v>
      </c>
      <c r="F128" s="52">
        <f>F126</f>
        <v>100</v>
      </c>
      <c r="G128" s="33"/>
      <c r="H128" s="18"/>
      <c r="I128" s="18"/>
    </row>
    <row r="129" spans="1:9" ht="10.5" x14ac:dyDescent="0.25">
      <c r="A129" s="26"/>
      <c r="B129" s="26"/>
      <c r="C129" s="26"/>
      <c r="D129" s="32"/>
      <c r="E129" s="33"/>
      <c r="F129" s="52"/>
      <c r="G129" s="33"/>
      <c r="H129" s="18"/>
      <c r="I129" s="18"/>
    </row>
    <row r="130" spans="1:9" ht="10.5" x14ac:dyDescent="0.25">
      <c r="A130" s="26" t="s">
        <v>178</v>
      </c>
      <c r="B130" s="26"/>
      <c r="C130" s="26"/>
      <c r="D130" s="32"/>
      <c r="E130" s="33">
        <f>E132-(E126)</f>
        <v>0</v>
      </c>
      <c r="F130" s="34">
        <v>0</v>
      </c>
      <c r="G130" s="33"/>
      <c r="H130" s="18"/>
      <c r="I130" s="18"/>
    </row>
    <row r="131" spans="1:9" ht="10.5" x14ac:dyDescent="0.25">
      <c r="A131" s="26"/>
      <c r="B131" s="26"/>
      <c r="C131" s="26"/>
      <c r="D131" s="32"/>
      <c r="E131" s="33"/>
      <c r="F131" s="52"/>
      <c r="G131" s="33"/>
      <c r="H131" s="18"/>
      <c r="I131" s="18"/>
    </row>
    <row r="132" spans="1:9" ht="10.5" x14ac:dyDescent="0.25">
      <c r="A132" s="35" t="s">
        <v>177</v>
      </c>
      <c r="B132" s="35"/>
      <c r="C132" s="35"/>
      <c r="D132" s="36"/>
      <c r="E132" s="37">
        <v>0</v>
      </c>
      <c r="F132" s="55">
        <v>100</v>
      </c>
      <c r="G132" s="37"/>
      <c r="H132" s="18"/>
      <c r="I132" s="18"/>
    </row>
    <row r="133" spans="1:9" ht="10.5" x14ac:dyDescent="0.25">
      <c r="F133" s="20"/>
    </row>
    <row r="134" spans="1:9" ht="10.5" x14ac:dyDescent="0.25">
      <c r="A134" s="18" t="s">
        <v>180</v>
      </c>
    </row>
    <row r="135" spans="1:9" ht="10.5" x14ac:dyDescent="0.25">
      <c r="A135" s="61" t="s">
        <v>1503</v>
      </c>
    </row>
    <row r="136" spans="1:9" ht="10.5" x14ac:dyDescent="0.25">
      <c r="A136" s="61"/>
    </row>
    <row r="137" spans="1:9" ht="10.5" x14ac:dyDescent="0.25">
      <c r="A137" s="18" t="s">
        <v>181</v>
      </c>
    </row>
    <row r="138" spans="1:9" ht="10.5" x14ac:dyDescent="0.25">
      <c r="A138" s="18" t="s">
        <v>182</v>
      </c>
    </row>
    <row r="139" spans="1:9" ht="10.5" x14ac:dyDescent="0.25">
      <c r="A139" s="18" t="s">
        <v>183</v>
      </c>
      <c r="B139" s="18"/>
      <c r="C139" s="39" t="s">
        <v>185</v>
      </c>
      <c r="D139" s="19" t="s">
        <v>184</v>
      </c>
    </row>
    <row r="140" spans="1:9" x14ac:dyDescent="0.2">
      <c r="A140" s="9" t="s">
        <v>421</v>
      </c>
      <c r="C140" s="40">
        <v>0</v>
      </c>
      <c r="D140" s="40">
        <v>0</v>
      </c>
    </row>
    <row r="141" spans="1:9" x14ac:dyDescent="0.2">
      <c r="A141" s="9" t="s">
        <v>458</v>
      </c>
      <c r="C141" s="40">
        <v>0</v>
      </c>
      <c r="D141" s="40">
        <v>0</v>
      </c>
    </row>
    <row r="142" spans="1:9" x14ac:dyDescent="0.2">
      <c r="A142" s="9" t="s">
        <v>424</v>
      </c>
      <c r="C142" s="40">
        <v>0</v>
      </c>
      <c r="D142" s="40">
        <v>0</v>
      </c>
    </row>
    <row r="143" spans="1:9" x14ac:dyDescent="0.2">
      <c r="A143" s="9" t="s">
        <v>459</v>
      </c>
      <c r="C143" s="40">
        <v>0</v>
      </c>
      <c r="D143" s="40">
        <v>0</v>
      </c>
    </row>
    <row r="145" spans="1:4" ht="10.5" x14ac:dyDescent="0.25">
      <c r="A145" s="18" t="s">
        <v>1504</v>
      </c>
      <c r="D145" s="41" t="s">
        <v>198</v>
      </c>
    </row>
    <row r="146" spans="1:4" x14ac:dyDescent="0.2">
      <c r="A146" s="9" t="s">
        <v>344</v>
      </c>
    </row>
    <row r="147" spans="1:4" x14ac:dyDescent="0.2">
      <c r="A147" s="56" t="s">
        <v>1505</v>
      </c>
    </row>
  </sheetData>
  <mergeCells count="7">
    <mergeCell ref="A120:G120"/>
    <mergeCell ref="A1:G1"/>
    <mergeCell ref="A80:G80"/>
    <mergeCell ref="A82:G82"/>
    <mergeCell ref="A84:F84"/>
    <mergeCell ref="A86:G86"/>
    <mergeCell ref="A89:G89"/>
  </mergeCells>
  <conditionalFormatting sqref="F2:F3 F5:F46 F123:F124 F51:F79 F87:F88 F90 F103:F119 F121 F134:F65548 F81">
    <cfRule type="cellIs" dxfId="86" priority="7" stopIfTrue="1" operator="between">
      <formula>0.009</formula>
      <formula>-0.009</formula>
    </cfRule>
  </conditionalFormatting>
  <conditionalFormatting sqref="F85">
    <cfRule type="cellIs" dxfId="85" priority="6" stopIfTrue="1" operator="between">
      <formula>0.009</formula>
      <formula>-0.009</formula>
    </cfRule>
  </conditionalFormatting>
  <conditionalFormatting sqref="F92:F93">
    <cfRule type="cellIs" dxfId="84" priority="5" stopIfTrue="1" operator="between">
      <formula>0.009</formula>
      <formula>-0.009</formula>
    </cfRule>
  </conditionalFormatting>
  <conditionalFormatting sqref="F102">
    <cfRule type="cellIs" dxfId="83" priority="4" stopIfTrue="1" operator="between">
      <formula>0.009</formula>
      <formula>-0.009</formula>
    </cfRule>
  </conditionalFormatting>
  <conditionalFormatting sqref="F95:F98 F100:F101">
    <cfRule type="cellIs" dxfId="82" priority="3" stopIfTrue="1" operator="between">
      <formula>0.009</formula>
      <formula>-0.009</formula>
    </cfRule>
  </conditionalFormatting>
  <conditionalFormatting sqref="F133">
    <cfRule type="cellIs" dxfId="81" priority="2" stopIfTrue="1" operator="between">
      <formula>0.009</formula>
      <formula>-0.009</formula>
    </cfRule>
  </conditionalFormatting>
  <conditionalFormatting sqref="F126:F129 F131:F132">
    <cfRule type="cellIs" dxfId="80" priority="1" stopIfTrue="1" operator="between">
      <formula>0.009</formula>
      <formula>-0.009</formula>
    </cfRule>
  </conditionalFormatting>
  <hyperlinks>
    <hyperlink ref="A78" r:id="rId1" xr:uid="{00000000-0004-0000-0700-000000000000}"/>
    <hyperlink ref="A83" r:id="rId2" xr:uid="{00000000-0004-0000-0700-000001000000}"/>
    <hyperlink ref="A84" r:id="rId3" xr:uid="{00000000-0004-0000-0700-000002000000}"/>
    <hyperlink ref="A117" r:id="rId4" xr:uid="{00000000-0004-0000-0700-000003000000}"/>
    <hyperlink ref="A147" r:id="rId5" xr:uid="{00000000-0004-0000-0700-000004000000}"/>
  </hyperlinks>
  <pageMargins left="0.7" right="0.7" top="0.75" bottom="0.75" header="0.3" footer="0.3"/>
  <pageSetup paperSize="9" orientation="portrait" r:id="rId6"/>
  <headerFooter>
    <oddFooter>&amp;LPUBLIC</oddFooter>
    <evenFooter>&amp;LPUBLIC</evenFooter>
    <firstFooter>&amp;LPUBLIC</first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109"/>
  <sheetViews>
    <sheetView workbookViewId="0">
      <selection sqref="A1:G1"/>
    </sheetView>
  </sheetViews>
  <sheetFormatPr defaultColWidth="9.1796875" defaultRowHeight="10" x14ac:dyDescent="0.2"/>
  <cols>
    <col min="1" max="1" width="38.7265625" style="9" bestFit="1" customWidth="1"/>
    <col min="2" max="2" width="62" style="9" bestFit="1" customWidth="1"/>
    <col min="3" max="3" width="15.5429687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1" t="s">
        <v>11</v>
      </c>
      <c r="B1" s="72"/>
      <c r="C1" s="72"/>
      <c r="D1" s="72"/>
      <c r="E1" s="72"/>
      <c r="F1" s="72"/>
      <c r="G1" s="72"/>
    </row>
    <row r="2" spans="1:7" s="1" customFormat="1" ht="11.5" x14ac:dyDescent="0.25">
      <c r="A2" s="43" t="s">
        <v>202</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407</v>
      </c>
      <c r="B7" s="27" t="s">
        <v>406</v>
      </c>
      <c r="C7" s="27" t="s">
        <v>146</v>
      </c>
      <c r="D7" s="31">
        <v>1480</v>
      </c>
      <c r="E7" s="29">
        <v>14709.498</v>
      </c>
      <c r="F7" s="30">
        <v>5.8161063954736401</v>
      </c>
      <c r="G7" s="29">
        <v>11.9</v>
      </c>
    </row>
    <row r="8" spans="1:7" x14ac:dyDescent="0.2">
      <c r="A8" s="27" t="s">
        <v>255</v>
      </c>
      <c r="B8" s="27" t="s">
        <v>254</v>
      </c>
      <c r="C8" s="27" t="s">
        <v>146</v>
      </c>
      <c r="D8" s="31">
        <v>1283</v>
      </c>
      <c r="E8" s="29">
        <v>12745.912179999999</v>
      </c>
      <c r="F8" s="30">
        <v>5.03970844866652</v>
      </c>
      <c r="G8" s="29">
        <v>11.95</v>
      </c>
    </row>
    <row r="9" spans="1:7" x14ac:dyDescent="0.2">
      <c r="A9" s="27" t="s">
        <v>236</v>
      </c>
      <c r="B9" s="27" t="s">
        <v>235</v>
      </c>
      <c r="C9" s="27" t="s">
        <v>237</v>
      </c>
      <c r="D9" s="31">
        <v>1000</v>
      </c>
      <c r="E9" s="29">
        <v>10056.56</v>
      </c>
      <c r="F9" s="30">
        <v>3.9763439195861299</v>
      </c>
      <c r="G9" s="29">
        <v>11.505000000000001</v>
      </c>
    </row>
    <row r="10" spans="1:7" x14ac:dyDescent="0.2">
      <c r="A10" s="27" t="s">
        <v>78</v>
      </c>
      <c r="B10" s="27" t="s">
        <v>77</v>
      </c>
      <c r="C10" s="27" t="s">
        <v>79</v>
      </c>
      <c r="D10" s="31">
        <v>2000</v>
      </c>
      <c r="E10" s="29">
        <v>9817.34</v>
      </c>
      <c r="F10" s="30">
        <v>3.8817568050615399</v>
      </c>
      <c r="G10" s="29">
        <v>18.389199999999999</v>
      </c>
    </row>
    <row r="11" spans="1:7" x14ac:dyDescent="0.2">
      <c r="A11" s="27" t="s">
        <v>122</v>
      </c>
      <c r="B11" s="27" t="s">
        <v>121</v>
      </c>
      <c r="C11" s="27" t="s">
        <v>123</v>
      </c>
      <c r="D11" s="31">
        <v>1000</v>
      </c>
      <c r="E11" s="29">
        <v>9769.4</v>
      </c>
      <c r="F11" s="30">
        <v>3.86280142394663</v>
      </c>
      <c r="G11" s="29">
        <v>12.5848</v>
      </c>
    </row>
    <row r="12" spans="1:7" x14ac:dyDescent="0.2">
      <c r="A12" s="27" t="s">
        <v>136</v>
      </c>
      <c r="B12" s="27" t="s">
        <v>135</v>
      </c>
      <c r="C12" s="27" t="s">
        <v>137</v>
      </c>
      <c r="D12" s="31">
        <v>780</v>
      </c>
      <c r="E12" s="29">
        <v>8379.6180000000004</v>
      </c>
      <c r="F12" s="30">
        <v>3.3132843718681602</v>
      </c>
      <c r="G12" s="29">
        <v>6.2523</v>
      </c>
    </row>
    <row r="13" spans="1:7" x14ac:dyDescent="0.2">
      <c r="A13" s="27" t="s">
        <v>91</v>
      </c>
      <c r="B13" s="27" t="s">
        <v>90</v>
      </c>
      <c r="C13" s="27" t="s">
        <v>92</v>
      </c>
      <c r="D13" s="31">
        <v>650</v>
      </c>
      <c r="E13" s="29">
        <v>6473.9089999999997</v>
      </c>
      <c r="F13" s="30">
        <v>2.55977080513654</v>
      </c>
      <c r="G13" s="29">
        <v>12.6579</v>
      </c>
    </row>
    <row r="14" spans="1:7" x14ac:dyDescent="0.2">
      <c r="A14" s="27" t="s">
        <v>72</v>
      </c>
      <c r="B14" s="27" t="s">
        <v>71</v>
      </c>
      <c r="C14" s="27" t="s">
        <v>73</v>
      </c>
      <c r="D14" s="31">
        <v>500</v>
      </c>
      <c r="E14" s="29">
        <v>5022.1949999999997</v>
      </c>
      <c r="F14" s="30">
        <v>1.9857659628367801</v>
      </c>
      <c r="G14" s="29">
        <v>9.4896999999999991</v>
      </c>
    </row>
    <row r="15" spans="1:7" x14ac:dyDescent="0.2">
      <c r="A15" s="27" t="s">
        <v>409</v>
      </c>
      <c r="B15" s="27" t="s">
        <v>408</v>
      </c>
      <c r="C15" s="27" t="s">
        <v>132</v>
      </c>
      <c r="D15" s="31">
        <v>500</v>
      </c>
      <c r="E15" s="29">
        <v>4815.5249999999996</v>
      </c>
      <c r="F15" s="30">
        <v>1.90404905388771</v>
      </c>
      <c r="G15" s="29">
        <v>11.998699999999999</v>
      </c>
    </row>
    <row r="16" spans="1:7" x14ac:dyDescent="0.2">
      <c r="A16" s="27" t="s">
        <v>411</v>
      </c>
      <c r="B16" s="27" t="s">
        <v>410</v>
      </c>
      <c r="C16" s="27" t="s">
        <v>132</v>
      </c>
      <c r="D16" s="31">
        <v>250</v>
      </c>
      <c r="E16" s="29">
        <v>3114.41</v>
      </c>
      <c r="F16" s="30">
        <v>1.23143154981408</v>
      </c>
      <c r="G16" s="29">
        <v>8.3450000000000006</v>
      </c>
    </row>
    <row r="17" spans="1:7" x14ac:dyDescent="0.2">
      <c r="A17" s="27" t="s">
        <v>413</v>
      </c>
      <c r="B17" s="27" t="s">
        <v>412</v>
      </c>
      <c r="C17" s="27" t="s">
        <v>249</v>
      </c>
      <c r="D17" s="31">
        <v>300</v>
      </c>
      <c r="E17" s="29">
        <v>3009.1289999999999</v>
      </c>
      <c r="F17" s="30">
        <v>1.18980365079115</v>
      </c>
      <c r="G17" s="29">
        <v>8.9376999999999995</v>
      </c>
    </row>
    <row r="18" spans="1:7" x14ac:dyDescent="0.2">
      <c r="A18" s="27" t="s">
        <v>415</v>
      </c>
      <c r="B18" s="27" t="s">
        <v>414</v>
      </c>
      <c r="C18" s="27" t="s">
        <v>416</v>
      </c>
      <c r="D18" s="31">
        <v>232</v>
      </c>
      <c r="E18" s="29">
        <v>3004.2468800000001</v>
      </c>
      <c r="F18" s="30">
        <v>1.1878732702060799</v>
      </c>
      <c r="G18" s="29">
        <v>10.61</v>
      </c>
    </row>
    <row r="19" spans="1:7" x14ac:dyDescent="0.2">
      <c r="A19" s="27" t="s">
        <v>243</v>
      </c>
      <c r="B19" s="27" t="s">
        <v>242</v>
      </c>
      <c r="C19" s="27" t="s">
        <v>109</v>
      </c>
      <c r="D19" s="31">
        <v>300</v>
      </c>
      <c r="E19" s="29">
        <v>3003.8220000000001</v>
      </c>
      <c r="F19" s="30">
        <v>1.18770527349502</v>
      </c>
      <c r="G19" s="29">
        <v>9.8295999999999992</v>
      </c>
    </row>
    <row r="20" spans="1:7" x14ac:dyDescent="0.2">
      <c r="A20" s="27" t="s">
        <v>127</v>
      </c>
      <c r="B20" s="27" t="s">
        <v>126</v>
      </c>
      <c r="C20" s="27" t="s">
        <v>109</v>
      </c>
      <c r="D20" s="31">
        <v>1102</v>
      </c>
      <c r="E20" s="29">
        <v>2759.1986200000001</v>
      </c>
      <c r="F20" s="30">
        <v>1.09098167321305</v>
      </c>
      <c r="G20" s="29">
        <v>9.0152999999999999</v>
      </c>
    </row>
    <row r="21" spans="1:7" x14ac:dyDescent="0.2">
      <c r="A21" s="27" t="s">
        <v>84</v>
      </c>
      <c r="B21" s="27" t="s">
        <v>83</v>
      </c>
      <c r="C21" s="27" t="s">
        <v>76</v>
      </c>
      <c r="D21" s="31">
        <v>272</v>
      </c>
      <c r="E21" s="29">
        <v>2726.0030400000001</v>
      </c>
      <c r="F21" s="30">
        <v>1.0778562065832999</v>
      </c>
      <c r="G21" s="29">
        <v>9.4047000000000001</v>
      </c>
    </row>
    <row r="22" spans="1:7" x14ac:dyDescent="0.2">
      <c r="A22" s="27" t="s">
        <v>145</v>
      </c>
      <c r="B22" s="27" t="s">
        <v>144</v>
      </c>
      <c r="C22" s="27" t="s">
        <v>146</v>
      </c>
      <c r="D22" s="31">
        <v>250</v>
      </c>
      <c r="E22" s="29">
        <v>2520.9225000000001</v>
      </c>
      <c r="F22" s="30">
        <v>0.99676776697229197</v>
      </c>
      <c r="G22" s="29">
        <v>9.9932999999999996</v>
      </c>
    </row>
    <row r="23" spans="1:7" x14ac:dyDescent="0.2">
      <c r="A23" s="27" t="s">
        <v>212</v>
      </c>
      <c r="B23" s="27" t="s">
        <v>211</v>
      </c>
      <c r="C23" s="27" t="s">
        <v>132</v>
      </c>
      <c r="D23" s="31">
        <v>250</v>
      </c>
      <c r="E23" s="29">
        <v>2386.9650000000001</v>
      </c>
      <c r="F23" s="30">
        <v>0.94380123660724002</v>
      </c>
      <c r="G23" s="29">
        <v>11.524900000000001</v>
      </c>
    </row>
    <row r="24" spans="1:7" x14ac:dyDescent="0.2">
      <c r="A24" s="27" t="s">
        <v>108</v>
      </c>
      <c r="B24" s="27" t="s">
        <v>107</v>
      </c>
      <c r="C24" s="27" t="s">
        <v>109</v>
      </c>
      <c r="D24" s="31">
        <v>176</v>
      </c>
      <c r="E24" s="29">
        <v>1762.16832</v>
      </c>
      <c r="F24" s="30">
        <v>0.69675786596204903</v>
      </c>
      <c r="G24" s="29">
        <v>10.355</v>
      </c>
    </row>
    <row r="25" spans="1:7" x14ac:dyDescent="0.2">
      <c r="A25" s="27" t="s">
        <v>158</v>
      </c>
      <c r="B25" s="27" t="s">
        <v>157</v>
      </c>
      <c r="C25" s="27" t="s">
        <v>79</v>
      </c>
      <c r="D25" s="31">
        <v>200</v>
      </c>
      <c r="E25" s="29">
        <v>1692.45</v>
      </c>
      <c r="F25" s="30">
        <v>0.66919138022380897</v>
      </c>
      <c r="G25" s="29">
        <v>20.902699999999999</v>
      </c>
    </row>
    <row r="26" spans="1:7" x14ac:dyDescent="0.2">
      <c r="A26" s="27" t="s">
        <v>251</v>
      </c>
      <c r="B26" s="27" t="s">
        <v>250</v>
      </c>
      <c r="C26" s="27" t="s">
        <v>249</v>
      </c>
      <c r="D26" s="31">
        <v>150</v>
      </c>
      <c r="E26" s="29">
        <v>1487.4494999999999</v>
      </c>
      <c r="F26" s="30">
        <v>0.58813458827038601</v>
      </c>
      <c r="G26" s="29">
        <v>11.315</v>
      </c>
    </row>
    <row r="27" spans="1:7" x14ac:dyDescent="0.2">
      <c r="A27" s="27" t="s">
        <v>418</v>
      </c>
      <c r="B27" s="27" t="s">
        <v>417</v>
      </c>
      <c r="C27" s="27" t="s">
        <v>87</v>
      </c>
      <c r="D27" s="31">
        <v>150</v>
      </c>
      <c r="E27" s="29">
        <v>1202.3376000000001</v>
      </c>
      <c r="F27" s="30">
        <v>0.47540190731719201</v>
      </c>
      <c r="G27" s="29">
        <v>9.7650000000000006</v>
      </c>
    </row>
    <row r="28" spans="1:7" x14ac:dyDescent="0.2">
      <c r="A28" s="27" t="s">
        <v>141</v>
      </c>
      <c r="B28" s="27" t="s">
        <v>140</v>
      </c>
      <c r="C28" s="27" t="s">
        <v>79</v>
      </c>
      <c r="D28" s="31">
        <v>400</v>
      </c>
      <c r="E28" s="29">
        <v>1004.756</v>
      </c>
      <c r="F28" s="30">
        <v>0.39727853373993499</v>
      </c>
      <c r="G28" s="29">
        <v>8.2810000000000006</v>
      </c>
    </row>
    <row r="29" spans="1:7" x14ac:dyDescent="0.2">
      <c r="A29" s="27" t="s">
        <v>420</v>
      </c>
      <c r="B29" s="27" t="s">
        <v>419</v>
      </c>
      <c r="C29" s="27" t="s">
        <v>132</v>
      </c>
      <c r="D29" s="31">
        <v>115</v>
      </c>
      <c r="E29" s="29">
        <v>932.19690000000003</v>
      </c>
      <c r="F29" s="30">
        <v>0.36858880921229897</v>
      </c>
      <c r="G29" s="29">
        <v>13.1547</v>
      </c>
    </row>
    <row r="30" spans="1:7" x14ac:dyDescent="0.2">
      <c r="A30" s="27" t="s">
        <v>223</v>
      </c>
      <c r="B30" s="27" t="s">
        <v>222</v>
      </c>
      <c r="C30" s="27" t="s">
        <v>109</v>
      </c>
      <c r="D30" s="31">
        <v>62</v>
      </c>
      <c r="E30" s="29">
        <v>611.67092000000002</v>
      </c>
      <c r="F30" s="30">
        <v>0.241853471120309</v>
      </c>
      <c r="G30" s="29">
        <v>11.154400000000001</v>
      </c>
    </row>
    <row r="31" spans="1:7" x14ac:dyDescent="0.2">
      <c r="A31" s="27" t="s">
        <v>225</v>
      </c>
      <c r="B31" s="27" t="s">
        <v>224</v>
      </c>
      <c r="C31" s="27" t="s">
        <v>109</v>
      </c>
      <c r="D31" s="31">
        <v>62</v>
      </c>
      <c r="E31" s="29">
        <v>604.96438000000001</v>
      </c>
      <c r="F31" s="30">
        <v>0.23920171847820701</v>
      </c>
      <c r="G31" s="29">
        <v>11.399800000000001</v>
      </c>
    </row>
    <row r="32" spans="1:7" x14ac:dyDescent="0.2">
      <c r="A32" s="27" t="s">
        <v>156</v>
      </c>
      <c r="B32" s="27" t="s">
        <v>155</v>
      </c>
      <c r="C32" s="27" t="s">
        <v>109</v>
      </c>
      <c r="D32" s="31">
        <v>55</v>
      </c>
      <c r="E32" s="29">
        <v>550.03795000000002</v>
      </c>
      <c r="F32" s="30">
        <v>0.21748391676916601</v>
      </c>
      <c r="G32" s="29">
        <v>10.5358</v>
      </c>
    </row>
    <row r="33" spans="1:9" ht="10.5" x14ac:dyDescent="0.25">
      <c r="A33" s="26" t="s">
        <v>164</v>
      </c>
      <c r="B33" s="26"/>
      <c r="C33" s="26"/>
      <c r="D33" s="32"/>
      <c r="E33" s="33">
        <f>SUM(E6:E32)</f>
        <v>114162.68578999999</v>
      </c>
      <c r="F33" s="34">
        <f>SUM(F6:F32)</f>
        <v>45.13970000523922</v>
      </c>
      <c r="G33" s="33"/>
      <c r="H33" s="18"/>
      <c r="I33" s="18"/>
    </row>
    <row r="34" spans="1:9" x14ac:dyDescent="0.2">
      <c r="A34" s="27"/>
      <c r="B34" s="27"/>
      <c r="C34" s="27"/>
      <c r="D34" s="28"/>
      <c r="E34" s="29"/>
      <c r="F34" s="30"/>
      <c r="G34" s="29"/>
    </row>
    <row r="35" spans="1:9" ht="10.5" x14ac:dyDescent="0.25">
      <c r="A35" s="26" t="s">
        <v>165</v>
      </c>
      <c r="B35" s="27"/>
      <c r="C35" s="27"/>
      <c r="D35" s="28"/>
      <c r="E35" s="29"/>
      <c r="F35" s="30"/>
      <c r="G35" s="29"/>
    </row>
    <row r="36" spans="1:9" x14ac:dyDescent="0.2">
      <c r="A36" s="27" t="s">
        <v>289</v>
      </c>
      <c r="B36" s="27" t="s">
        <v>288</v>
      </c>
      <c r="C36" s="27" t="s">
        <v>290</v>
      </c>
      <c r="D36" s="31">
        <v>600</v>
      </c>
      <c r="E36" s="29">
        <v>5531.5619999999999</v>
      </c>
      <c r="F36" s="30">
        <v>2.1871686664737902</v>
      </c>
      <c r="G36" s="29">
        <v>25.8</v>
      </c>
    </row>
    <row r="37" spans="1:9" x14ac:dyDescent="0.2">
      <c r="A37" s="27" t="s">
        <v>169</v>
      </c>
      <c r="B37" s="27" t="s">
        <v>168</v>
      </c>
      <c r="C37" s="27" t="s">
        <v>154</v>
      </c>
      <c r="D37" s="31">
        <v>310</v>
      </c>
      <c r="E37" s="29">
        <v>4834.6701000000003</v>
      </c>
      <c r="F37" s="30">
        <v>1.91161898853483</v>
      </c>
      <c r="G37" s="29">
        <v>10.226900000000001</v>
      </c>
    </row>
    <row r="38" spans="1:9" x14ac:dyDescent="0.2">
      <c r="A38" s="27" t="s">
        <v>296</v>
      </c>
      <c r="B38" s="27" t="s">
        <v>295</v>
      </c>
      <c r="C38" s="27" t="s">
        <v>290</v>
      </c>
      <c r="D38" s="31">
        <v>180</v>
      </c>
      <c r="E38" s="29">
        <v>1557.8516480000001</v>
      </c>
      <c r="F38" s="30">
        <v>0.61597145824636201</v>
      </c>
      <c r="G38" s="29">
        <v>11.3429</v>
      </c>
    </row>
    <row r="39" spans="1:9" x14ac:dyDescent="0.2">
      <c r="A39" s="27" t="s">
        <v>304</v>
      </c>
      <c r="B39" s="27" t="s">
        <v>303</v>
      </c>
      <c r="C39" s="27" t="s">
        <v>290</v>
      </c>
      <c r="D39" s="31">
        <v>120</v>
      </c>
      <c r="E39" s="29">
        <v>1068.4311250000001</v>
      </c>
      <c r="F39" s="30">
        <v>0.42245555213614999</v>
      </c>
      <c r="G39" s="29">
        <v>11.344900000000001</v>
      </c>
    </row>
    <row r="40" spans="1:9" x14ac:dyDescent="0.2">
      <c r="A40" s="27" t="s">
        <v>294</v>
      </c>
      <c r="B40" s="27" t="s">
        <v>293</v>
      </c>
      <c r="C40" s="27" t="s">
        <v>290</v>
      </c>
      <c r="D40" s="31">
        <v>40</v>
      </c>
      <c r="E40" s="29">
        <v>338.00907660000001</v>
      </c>
      <c r="F40" s="30">
        <v>0.133648119884268</v>
      </c>
      <c r="G40" s="29">
        <v>11.344900000000001</v>
      </c>
    </row>
    <row r="41" spans="1:9" x14ac:dyDescent="0.2">
      <c r="A41" s="27" t="s">
        <v>322</v>
      </c>
      <c r="B41" s="27" t="s">
        <v>321</v>
      </c>
      <c r="C41" s="27" t="s">
        <v>316</v>
      </c>
      <c r="D41" s="31">
        <v>323</v>
      </c>
      <c r="E41" s="29">
        <v>0</v>
      </c>
      <c r="F41" s="29">
        <v>0</v>
      </c>
      <c r="G41" s="29">
        <v>0</v>
      </c>
    </row>
    <row r="42" spans="1:9" x14ac:dyDescent="0.2">
      <c r="A42" s="27" t="s">
        <v>315</v>
      </c>
      <c r="B42" s="27" t="s">
        <v>314</v>
      </c>
      <c r="C42" s="27" t="s">
        <v>316</v>
      </c>
      <c r="D42" s="31">
        <v>1043</v>
      </c>
      <c r="E42" s="29">
        <v>0</v>
      </c>
      <c r="F42" s="29">
        <v>0</v>
      </c>
      <c r="G42" s="29">
        <v>0</v>
      </c>
    </row>
    <row r="43" spans="1:9" ht="10.5" x14ac:dyDescent="0.25">
      <c r="A43" s="26" t="s">
        <v>164</v>
      </c>
      <c r="B43" s="26"/>
      <c r="C43" s="26"/>
      <c r="D43" s="32"/>
      <c r="E43" s="33">
        <f>SUM(E35:E42)</f>
        <v>13330.523949599999</v>
      </c>
      <c r="F43" s="34">
        <f>SUM(F35:F42)</f>
        <v>5.2708627852754004</v>
      </c>
      <c r="G43" s="33"/>
      <c r="H43" s="18"/>
      <c r="I43" s="18"/>
    </row>
    <row r="44" spans="1:9" x14ac:dyDescent="0.2">
      <c r="A44" s="27"/>
      <c r="B44" s="27"/>
      <c r="C44" s="27"/>
      <c r="D44" s="28"/>
      <c r="E44" s="29"/>
      <c r="F44" s="30"/>
      <c r="G44" s="29"/>
    </row>
    <row r="45" spans="1:9" ht="10.5" x14ac:dyDescent="0.25">
      <c r="A45" s="26" t="s">
        <v>176</v>
      </c>
      <c r="B45" s="26"/>
      <c r="C45" s="26"/>
      <c r="D45" s="32"/>
      <c r="E45" s="33">
        <f>E33+E43</f>
        <v>127493.20973959999</v>
      </c>
      <c r="F45" s="34">
        <f>F33+F43</f>
        <v>50.410562790514618</v>
      </c>
      <c r="G45" s="33"/>
      <c r="H45" s="18"/>
      <c r="I45" s="18"/>
    </row>
    <row r="46" spans="1:9" ht="10.5" x14ac:dyDescent="0.25">
      <c r="A46" s="26"/>
      <c r="B46" s="26"/>
      <c r="C46" s="26"/>
      <c r="D46" s="32"/>
      <c r="E46" s="33"/>
      <c r="F46" s="34"/>
      <c r="G46" s="33"/>
      <c r="H46" s="18"/>
      <c r="I46" s="18"/>
    </row>
    <row r="47" spans="1:9" ht="10.5" x14ac:dyDescent="0.25">
      <c r="A47" s="26" t="s">
        <v>178</v>
      </c>
      <c r="B47" s="26"/>
      <c r="C47" s="26"/>
      <c r="D47" s="32"/>
      <c r="E47" s="33">
        <f>E49-(E33+E43)</f>
        <v>125416.50338820001</v>
      </c>
      <c r="F47" s="34">
        <f>F49-(F33+F43)</f>
        <v>49.589437209485382</v>
      </c>
      <c r="G47" s="33"/>
      <c r="H47" s="18"/>
      <c r="I47" s="18"/>
    </row>
    <row r="48" spans="1:9" ht="10.5" x14ac:dyDescent="0.25">
      <c r="A48" s="26"/>
      <c r="B48" s="26"/>
      <c r="C48" s="26"/>
      <c r="D48" s="32"/>
      <c r="E48" s="33"/>
      <c r="F48" s="34"/>
      <c r="G48" s="33"/>
      <c r="H48" s="18"/>
      <c r="I48" s="18"/>
    </row>
    <row r="49" spans="1:9" ht="10.5" x14ac:dyDescent="0.25">
      <c r="A49" s="35" t="s">
        <v>177</v>
      </c>
      <c r="B49" s="35"/>
      <c r="C49" s="35"/>
      <c r="D49" s="36"/>
      <c r="E49" s="37">
        <v>252909.7131278</v>
      </c>
      <c r="F49" s="38">
        <v>100</v>
      </c>
      <c r="G49" s="37"/>
      <c r="H49" s="18"/>
      <c r="I49" s="18"/>
    </row>
    <row r="50" spans="1:9" ht="10.5" x14ac:dyDescent="0.25">
      <c r="F50" s="20"/>
    </row>
    <row r="51" spans="1:9" ht="10.5" x14ac:dyDescent="0.25">
      <c r="A51" s="18" t="s">
        <v>180</v>
      </c>
    </row>
    <row r="52" spans="1:9" ht="10.5" x14ac:dyDescent="0.25">
      <c r="A52" s="18" t="s">
        <v>1503</v>
      </c>
    </row>
    <row r="53" spans="1:9" ht="10.5" x14ac:dyDescent="0.25">
      <c r="A53" s="18" t="s">
        <v>1511</v>
      </c>
    </row>
    <row r="56" spans="1:9" ht="10.5" x14ac:dyDescent="0.25">
      <c r="A56" s="18" t="s">
        <v>181</v>
      </c>
    </row>
    <row r="57" spans="1:9" ht="10.5" x14ac:dyDescent="0.25">
      <c r="A57" s="18" t="s">
        <v>182</v>
      </c>
    </row>
    <row r="58" spans="1:9" ht="10.5" x14ac:dyDescent="0.25">
      <c r="A58" s="18" t="s">
        <v>183</v>
      </c>
      <c r="B58" s="18"/>
      <c r="C58" s="39" t="s">
        <v>185</v>
      </c>
      <c r="D58" s="19" t="s">
        <v>184</v>
      </c>
    </row>
    <row r="59" spans="1:9" x14ac:dyDescent="0.2">
      <c r="A59" s="9" t="s">
        <v>421</v>
      </c>
      <c r="C59" s="40">
        <v>20.772400000000001</v>
      </c>
      <c r="D59" s="40">
        <v>22.228300000000001</v>
      </c>
    </row>
    <row r="60" spans="1:9" x14ac:dyDescent="0.2">
      <c r="A60" s="9" t="s">
        <v>422</v>
      </c>
      <c r="C60" s="40">
        <v>9.5782000000000007</v>
      </c>
      <c r="D60" s="40">
        <v>10.249499999999999</v>
      </c>
    </row>
    <row r="61" spans="1:9" x14ac:dyDescent="0.2">
      <c r="A61" s="9" t="s">
        <v>423</v>
      </c>
      <c r="C61" s="40">
        <v>9.4070999999999998</v>
      </c>
      <c r="D61" s="40">
        <v>10.0664</v>
      </c>
    </row>
    <row r="62" spans="1:9" x14ac:dyDescent="0.2">
      <c r="A62" s="9" t="s">
        <v>424</v>
      </c>
      <c r="C62" s="40">
        <v>21.273599999999998</v>
      </c>
      <c r="D62" s="40">
        <v>22.805499999999999</v>
      </c>
    </row>
    <row r="63" spans="1:9" x14ac:dyDescent="0.2">
      <c r="A63" s="9" t="s">
        <v>425</v>
      </c>
      <c r="C63" s="40">
        <v>9.8869000000000007</v>
      </c>
      <c r="D63" s="40">
        <v>10.598800000000001</v>
      </c>
    </row>
    <row r="64" spans="1:9" x14ac:dyDescent="0.2">
      <c r="A64" s="9" t="s">
        <v>426</v>
      </c>
      <c r="C64" s="40">
        <v>9.7157</v>
      </c>
      <c r="D64" s="40">
        <v>10.4153</v>
      </c>
    </row>
    <row r="66" spans="1:7" ht="10.5" x14ac:dyDescent="0.25">
      <c r="A66" s="18" t="s">
        <v>197</v>
      </c>
      <c r="D66" s="41" t="s">
        <v>198</v>
      </c>
    </row>
    <row r="68" spans="1:7" ht="10.5" x14ac:dyDescent="0.25">
      <c r="A68" s="18" t="s">
        <v>199</v>
      </c>
      <c r="D68" s="42">
        <v>0.826910223232877</v>
      </c>
      <c r="E68" s="13" t="s">
        <v>200</v>
      </c>
    </row>
    <row r="70" spans="1:7" ht="10.5" x14ac:dyDescent="0.25">
      <c r="A70" s="18" t="s">
        <v>201</v>
      </c>
      <c r="D70" s="41">
        <v>2</v>
      </c>
    </row>
    <row r="71" spans="1:7" x14ac:dyDescent="0.2">
      <c r="A71" s="9" t="s">
        <v>344</v>
      </c>
    </row>
    <row r="72" spans="1:7" x14ac:dyDescent="0.2">
      <c r="A72" s="56" t="s">
        <v>1505</v>
      </c>
    </row>
    <row r="74" spans="1:7" ht="30" customHeight="1" x14ac:dyDescent="0.2">
      <c r="A74" s="75" t="s">
        <v>1525</v>
      </c>
      <c r="B74" s="75"/>
      <c r="C74" s="75"/>
      <c r="D74" s="75"/>
      <c r="E74" s="75"/>
      <c r="F74" s="75"/>
      <c r="G74" s="75"/>
    </row>
    <row r="75" spans="1:7" s="63" customFormat="1" x14ac:dyDescent="0.2">
      <c r="A75" s="65"/>
      <c r="D75" s="64"/>
      <c r="E75" s="67"/>
      <c r="F75" s="14"/>
      <c r="G75" s="67"/>
    </row>
    <row r="76" spans="1:7" ht="25" customHeight="1" x14ac:dyDescent="0.2">
      <c r="A76" s="78" t="s">
        <v>1515</v>
      </c>
      <c r="B76" s="78"/>
      <c r="C76" s="78"/>
      <c r="D76" s="78"/>
      <c r="E76" s="78"/>
      <c r="F76" s="78"/>
      <c r="G76" s="78"/>
    </row>
    <row r="79" spans="1:7" s="1" customFormat="1" ht="14" x14ac:dyDescent="0.25">
      <c r="A79" s="71" t="s">
        <v>427</v>
      </c>
      <c r="B79" s="72"/>
      <c r="C79" s="72"/>
      <c r="D79" s="72"/>
      <c r="E79" s="72"/>
      <c r="F79" s="72"/>
      <c r="G79" s="72"/>
    </row>
    <row r="80" spans="1:7" ht="10.5" x14ac:dyDescent="0.25">
      <c r="A80" s="18" t="s">
        <v>7</v>
      </c>
    </row>
    <row r="81" spans="1:9" s="1" customFormat="1" ht="17.5" customHeight="1" x14ac:dyDescent="0.25">
      <c r="A81" s="8" t="s">
        <v>2</v>
      </c>
      <c r="B81" s="8" t="s">
        <v>0</v>
      </c>
      <c r="C81" s="17" t="s">
        <v>179</v>
      </c>
      <c r="D81" s="16" t="s">
        <v>1</v>
      </c>
      <c r="E81" s="15" t="s">
        <v>3</v>
      </c>
      <c r="F81" s="15" t="s">
        <v>4</v>
      </c>
      <c r="G81" s="15" t="s">
        <v>6</v>
      </c>
    </row>
    <row r="82" spans="1:9" ht="10.5" x14ac:dyDescent="0.25">
      <c r="A82" s="21" t="s">
        <v>69</v>
      </c>
      <c r="B82" s="22"/>
      <c r="C82" s="22"/>
      <c r="D82" s="23"/>
      <c r="E82" s="24"/>
      <c r="F82" s="25"/>
      <c r="G82" s="24"/>
    </row>
    <row r="83" spans="1:9" ht="10.5" x14ac:dyDescent="0.25">
      <c r="A83" s="26" t="s">
        <v>70</v>
      </c>
      <c r="B83" s="27"/>
      <c r="C83" s="27"/>
      <c r="D83" s="28"/>
      <c r="E83" s="29"/>
      <c r="F83" s="30"/>
      <c r="G83" s="29"/>
    </row>
    <row r="84" spans="1:9" x14ac:dyDescent="0.2">
      <c r="A84" s="27" t="s">
        <v>347</v>
      </c>
      <c r="B84" s="27" t="s">
        <v>346</v>
      </c>
      <c r="C84" s="27" t="s">
        <v>348</v>
      </c>
      <c r="D84" s="31">
        <v>1510</v>
      </c>
      <c r="E84" s="29">
        <v>0</v>
      </c>
      <c r="F84" s="30">
        <v>100</v>
      </c>
      <c r="G84" s="29">
        <v>0</v>
      </c>
    </row>
    <row r="85" spans="1:9" ht="10.5" x14ac:dyDescent="0.25">
      <c r="A85" s="26" t="s">
        <v>164</v>
      </c>
      <c r="B85" s="26"/>
      <c r="C85" s="26"/>
      <c r="D85" s="32"/>
      <c r="E85" s="33">
        <f>SUM(E83:E84)</f>
        <v>0</v>
      </c>
      <c r="F85" s="34">
        <f>SUM(F83:F84)</f>
        <v>100</v>
      </c>
      <c r="G85" s="33"/>
      <c r="H85" s="18"/>
      <c r="I85" s="18"/>
    </row>
    <row r="86" spans="1:9" x14ac:dyDescent="0.2">
      <c r="A86" s="27"/>
      <c r="B86" s="27"/>
      <c r="C86" s="27"/>
      <c r="D86" s="28"/>
      <c r="E86" s="29"/>
      <c r="F86" s="30"/>
      <c r="G86" s="29"/>
    </row>
    <row r="87" spans="1:9" ht="10.5" x14ac:dyDescent="0.25">
      <c r="A87" s="26" t="s">
        <v>176</v>
      </c>
      <c r="B87" s="26"/>
      <c r="C87" s="26"/>
      <c r="D87" s="32"/>
      <c r="E87" s="33">
        <f>E85</f>
        <v>0</v>
      </c>
      <c r="F87" s="34">
        <f>F85</f>
        <v>100</v>
      </c>
      <c r="G87" s="33"/>
      <c r="H87" s="18"/>
      <c r="I87" s="18"/>
    </row>
    <row r="88" spans="1:9" ht="10.5" x14ac:dyDescent="0.25">
      <c r="A88" s="26"/>
      <c r="B88" s="26"/>
      <c r="C88" s="26"/>
      <c r="D88" s="32"/>
      <c r="E88" s="33"/>
      <c r="F88" s="34"/>
      <c r="G88" s="33"/>
      <c r="H88" s="18"/>
      <c r="I88" s="18"/>
    </row>
    <row r="89" spans="1:9" ht="10.5" x14ac:dyDescent="0.25">
      <c r="A89" s="26" t="s">
        <v>178</v>
      </c>
      <c r="B89" s="26"/>
      <c r="C89" s="26"/>
      <c r="D89" s="32"/>
      <c r="E89" s="33">
        <f>E91-(E85)</f>
        <v>0</v>
      </c>
      <c r="F89" s="34">
        <v>0</v>
      </c>
      <c r="G89" s="33"/>
      <c r="H89" s="18"/>
      <c r="I89" s="18"/>
    </row>
    <row r="90" spans="1:9" ht="10.5" x14ac:dyDescent="0.25">
      <c r="A90" s="26"/>
      <c r="B90" s="26"/>
      <c r="C90" s="26"/>
      <c r="D90" s="32"/>
      <c r="E90" s="33"/>
      <c r="F90" s="34"/>
      <c r="G90" s="33"/>
      <c r="H90" s="18"/>
      <c r="I90" s="18"/>
    </row>
    <row r="91" spans="1:9" ht="10.5" x14ac:dyDescent="0.25">
      <c r="A91" s="35" t="s">
        <v>177</v>
      </c>
      <c r="B91" s="35"/>
      <c r="C91" s="35"/>
      <c r="D91" s="36"/>
      <c r="E91" s="37">
        <v>0</v>
      </c>
      <c r="F91" s="38">
        <v>100</v>
      </c>
      <c r="G91" s="37"/>
      <c r="H91" s="18"/>
      <c r="I91" s="18"/>
    </row>
    <row r="92" spans="1:9" ht="10.5" x14ac:dyDescent="0.25">
      <c r="F92" s="20"/>
    </row>
    <row r="93" spans="1:9" ht="10.5" x14ac:dyDescent="0.25">
      <c r="A93" s="61" t="s">
        <v>180</v>
      </c>
    </row>
    <row r="94" spans="1:9" ht="10.5" x14ac:dyDescent="0.25">
      <c r="A94" s="61" t="s">
        <v>1503</v>
      </c>
    </row>
    <row r="95" spans="1:9" ht="10.5" x14ac:dyDescent="0.25">
      <c r="A95" s="18" t="s">
        <v>1511</v>
      </c>
    </row>
    <row r="97" spans="1:4" ht="10.5" x14ac:dyDescent="0.25">
      <c r="A97" s="18" t="s">
        <v>181</v>
      </c>
    </row>
    <row r="98" spans="1:4" ht="10.5" x14ac:dyDescent="0.25">
      <c r="A98" s="18" t="s">
        <v>182</v>
      </c>
    </row>
    <row r="99" spans="1:4" ht="10.5" x14ac:dyDescent="0.25">
      <c r="A99" s="18" t="s">
        <v>183</v>
      </c>
      <c r="B99" s="18"/>
      <c r="C99" s="39" t="s">
        <v>185</v>
      </c>
      <c r="D99" s="19" t="s">
        <v>184</v>
      </c>
    </row>
    <row r="100" spans="1:4" x14ac:dyDescent="0.2">
      <c r="A100" s="9" t="s">
        <v>421</v>
      </c>
      <c r="C100" s="40">
        <v>0</v>
      </c>
      <c r="D100" s="40">
        <v>0</v>
      </c>
    </row>
    <row r="101" spans="1:4" x14ac:dyDescent="0.2">
      <c r="A101" s="9" t="s">
        <v>422</v>
      </c>
      <c r="C101" s="40">
        <v>0</v>
      </c>
      <c r="D101" s="40">
        <v>0</v>
      </c>
    </row>
    <row r="102" spans="1:4" x14ac:dyDescent="0.2">
      <c r="A102" s="9" t="s">
        <v>423</v>
      </c>
      <c r="C102" s="40">
        <v>0</v>
      </c>
      <c r="D102" s="40">
        <v>0</v>
      </c>
    </row>
    <row r="103" spans="1:4" x14ac:dyDescent="0.2">
      <c r="A103" s="9" t="s">
        <v>424</v>
      </c>
      <c r="C103" s="40">
        <v>0</v>
      </c>
      <c r="D103" s="40">
        <v>0</v>
      </c>
    </row>
    <row r="104" spans="1:4" x14ac:dyDescent="0.2">
      <c r="A104" s="9" t="s">
        <v>425</v>
      </c>
      <c r="C104" s="40">
        <v>0</v>
      </c>
      <c r="D104" s="40">
        <v>0</v>
      </c>
    </row>
    <row r="105" spans="1:4" x14ac:dyDescent="0.2">
      <c r="A105" s="9" t="s">
        <v>426</v>
      </c>
      <c r="C105" s="40">
        <v>0</v>
      </c>
      <c r="D105" s="40">
        <v>0</v>
      </c>
    </row>
    <row r="107" spans="1:4" ht="10.5" x14ac:dyDescent="0.25">
      <c r="A107" s="18" t="s">
        <v>1504</v>
      </c>
      <c r="D107" s="41" t="s">
        <v>198</v>
      </c>
    </row>
    <row r="108" spans="1:4" x14ac:dyDescent="0.2">
      <c r="A108" s="9" t="s">
        <v>344</v>
      </c>
    </row>
    <row r="109" spans="1:4" x14ac:dyDescent="0.2">
      <c r="A109" s="56" t="s">
        <v>1505</v>
      </c>
    </row>
  </sheetData>
  <mergeCells count="4">
    <mergeCell ref="A1:G1"/>
    <mergeCell ref="A74:G74"/>
    <mergeCell ref="A76:G76"/>
    <mergeCell ref="A79:G79"/>
  </mergeCells>
  <conditionalFormatting sqref="F2:F3 F5:F40 F82:F83 F43:F69 F80 F77:F78 F85:F86 F92:F65543 F75">
    <cfRule type="cellIs" dxfId="79" priority="4" stopIfTrue="1" operator="between">
      <formula>0.009</formula>
      <formula>-0.009</formula>
    </cfRule>
  </conditionalFormatting>
  <conditionalFormatting sqref="F70:F73">
    <cfRule type="cellIs" dxfId="78" priority="3" stopIfTrue="1" operator="between">
      <formula>0.009</formula>
      <formula>-0.009</formula>
    </cfRule>
  </conditionalFormatting>
  <conditionalFormatting sqref="F84">
    <cfRule type="cellIs" dxfId="77" priority="2" stopIfTrue="1" operator="between">
      <formula>0.009</formula>
      <formula>-0.009</formula>
    </cfRule>
  </conditionalFormatting>
  <conditionalFormatting sqref="F87:F88 F90:F91">
    <cfRule type="cellIs" dxfId="76" priority="1" stopIfTrue="1" operator="between">
      <formula>0.009</formula>
      <formula>-0.009</formula>
    </cfRule>
  </conditionalFormatting>
  <hyperlinks>
    <hyperlink ref="A72" r:id="rId1" xr:uid="{00000000-0004-0000-0800-000000000000}"/>
    <hyperlink ref="A109" r:id="rId2" xr:uid="{00000000-0004-0000-0800-000001000000}"/>
  </hyperlinks>
  <pageMargins left="0.7" right="0.7" top="0.75" bottom="0.75" header="0.3" footer="0.3"/>
  <pageSetup paperSize="9" orientation="portrait" r:id="rId3"/>
  <headerFooter>
    <oddFooter>&amp;LPUBLIC</oddFooter>
    <evenFooter>&amp;LPUBLIC</evenFooter>
    <firstFooter>&amp;LPUBLIC</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I85"/>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8</v>
      </c>
      <c r="B1" s="72"/>
      <c r="C1" s="72"/>
      <c r="D1" s="72"/>
      <c r="E1" s="72"/>
      <c r="F1" s="72"/>
      <c r="G1" s="72"/>
    </row>
    <row r="2" spans="1:7" s="1" customFormat="1" ht="11.5" x14ac:dyDescent="0.25">
      <c r="A2" s="43" t="s">
        <v>202</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72</v>
      </c>
      <c r="B7" s="27" t="s">
        <v>71</v>
      </c>
      <c r="C7" s="27" t="s">
        <v>73</v>
      </c>
      <c r="D7" s="31">
        <v>5400</v>
      </c>
      <c r="E7" s="29">
        <v>54239.705999999998</v>
      </c>
      <c r="F7" s="30">
        <v>5.35875814517245</v>
      </c>
      <c r="G7" s="29">
        <v>9.4896999999999991</v>
      </c>
    </row>
    <row r="8" spans="1:7" x14ac:dyDescent="0.2">
      <c r="A8" s="27" t="s">
        <v>75</v>
      </c>
      <c r="B8" s="27" t="s">
        <v>74</v>
      </c>
      <c r="C8" s="27" t="s">
        <v>76</v>
      </c>
      <c r="D8" s="31">
        <v>4400</v>
      </c>
      <c r="E8" s="29">
        <v>43813</v>
      </c>
      <c r="F8" s="30">
        <v>4.3286235846197298</v>
      </c>
      <c r="G8" s="29">
        <v>10.501099999999999</v>
      </c>
    </row>
    <row r="9" spans="1:7" x14ac:dyDescent="0.2">
      <c r="A9" s="27" t="s">
        <v>78</v>
      </c>
      <c r="B9" s="27" t="s">
        <v>77</v>
      </c>
      <c r="C9" s="27" t="s">
        <v>79</v>
      </c>
      <c r="D9" s="31">
        <v>7500</v>
      </c>
      <c r="E9" s="29">
        <v>36815.025000000001</v>
      </c>
      <c r="F9" s="30">
        <v>3.6372397572265101</v>
      </c>
      <c r="G9" s="29">
        <v>18.389199999999999</v>
      </c>
    </row>
    <row r="10" spans="1:7" x14ac:dyDescent="0.2">
      <c r="A10" s="27" t="s">
        <v>81</v>
      </c>
      <c r="B10" s="27" t="s">
        <v>80</v>
      </c>
      <c r="C10" s="27" t="s">
        <v>82</v>
      </c>
      <c r="D10" s="31">
        <v>3650</v>
      </c>
      <c r="E10" s="29">
        <v>36373.381500000003</v>
      </c>
      <c r="F10" s="30">
        <v>3.5936063956650099</v>
      </c>
      <c r="G10" s="29">
        <v>16.215299999999999</v>
      </c>
    </row>
    <row r="11" spans="1:7" x14ac:dyDescent="0.2">
      <c r="A11" s="27" t="s">
        <v>84</v>
      </c>
      <c r="B11" s="27" t="s">
        <v>83</v>
      </c>
      <c r="C11" s="27" t="s">
        <v>76</v>
      </c>
      <c r="D11" s="31">
        <v>3034</v>
      </c>
      <c r="E11" s="29">
        <v>30406.96038</v>
      </c>
      <c r="F11" s="30">
        <v>3.0041377179710498</v>
      </c>
      <c r="G11" s="29">
        <v>9.4047000000000001</v>
      </c>
    </row>
    <row r="12" spans="1:7" x14ac:dyDescent="0.2">
      <c r="A12" s="27" t="s">
        <v>86</v>
      </c>
      <c r="B12" s="27" t="s">
        <v>85</v>
      </c>
      <c r="C12" s="27" t="s">
        <v>87</v>
      </c>
      <c r="D12" s="31">
        <v>2550</v>
      </c>
      <c r="E12" s="29">
        <v>25555.59</v>
      </c>
      <c r="F12" s="30">
        <v>2.5248334876149099</v>
      </c>
      <c r="G12" s="29">
        <v>8.4137000000000004</v>
      </c>
    </row>
    <row r="13" spans="1:7" x14ac:dyDescent="0.2">
      <c r="A13" s="27" t="s">
        <v>89</v>
      </c>
      <c r="B13" s="27" t="s">
        <v>88</v>
      </c>
      <c r="C13" s="27" t="s">
        <v>73</v>
      </c>
      <c r="D13" s="31">
        <v>2000</v>
      </c>
      <c r="E13" s="29">
        <v>23446.799999999999</v>
      </c>
      <c r="F13" s="30">
        <v>2.3164898880209499</v>
      </c>
      <c r="G13" s="29">
        <v>4.37</v>
      </c>
    </row>
    <row r="14" spans="1:7" x14ac:dyDescent="0.2">
      <c r="A14" s="27" t="s">
        <v>91</v>
      </c>
      <c r="B14" s="27" t="s">
        <v>90</v>
      </c>
      <c r="C14" s="27" t="s">
        <v>92</v>
      </c>
      <c r="D14" s="31">
        <v>2350</v>
      </c>
      <c r="E14" s="29">
        <v>23405.670999999998</v>
      </c>
      <c r="F14" s="30">
        <v>2.31242643746035</v>
      </c>
      <c r="G14" s="29">
        <v>12.6579</v>
      </c>
    </row>
    <row r="15" spans="1:7" x14ac:dyDescent="0.2">
      <c r="A15" s="27" t="s">
        <v>94</v>
      </c>
      <c r="B15" s="27" t="s">
        <v>93</v>
      </c>
      <c r="C15" s="27" t="s">
        <v>92</v>
      </c>
      <c r="D15" s="31">
        <v>2000</v>
      </c>
      <c r="E15" s="29">
        <v>19932.02</v>
      </c>
      <c r="F15" s="30">
        <v>1.9692377116634801</v>
      </c>
      <c r="G15" s="29">
        <v>12.6585</v>
      </c>
    </row>
    <row r="16" spans="1:7" x14ac:dyDescent="0.2">
      <c r="A16" s="27" t="s">
        <v>96</v>
      </c>
      <c r="B16" s="27" t="s">
        <v>95</v>
      </c>
      <c r="C16" s="27" t="s">
        <v>87</v>
      </c>
      <c r="D16" s="31">
        <v>1910</v>
      </c>
      <c r="E16" s="29">
        <v>19077.863099999999</v>
      </c>
      <c r="F16" s="30">
        <v>1.88484897539101</v>
      </c>
      <c r="G16" s="29">
        <v>8.8681000000000001</v>
      </c>
    </row>
    <row r="17" spans="1:7" x14ac:dyDescent="0.2">
      <c r="A17" s="27" t="s">
        <v>98</v>
      </c>
      <c r="B17" s="27" t="s">
        <v>97</v>
      </c>
      <c r="C17" s="27" t="s">
        <v>92</v>
      </c>
      <c r="D17" s="31">
        <v>1000</v>
      </c>
      <c r="E17" s="29">
        <v>10084.58</v>
      </c>
      <c r="F17" s="30">
        <v>0.99633329899765999</v>
      </c>
      <c r="G17" s="29">
        <v>12.658300000000001</v>
      </c>
    </row>
    <row r="18" spans="1:7" x14ac:dyDescent="0.2">
      <c r="A18" s="27" t="s">
        <v>100</v>
      </c>
      <c r="B18" s="27" t="s">
        <v>99</v>
      </c>
      <c r="C18" s="27" t="s">
        <v>92</v>
      </c>
      <c r="D18" s="31">
        <v>1000</v>
      </c>
      <c r="E18" s="29">
        <v>10070.450000000001</v>
      </c>
      <c r="F18" s="30">
        <v>0.99493728751132704</v>
      </c>
      <c r="G18" s="29">
        <v>12.6793</v>
      </c>
    </row>
    <row r="19" spans="1:7" x14ac:dyDescent="0.2">
      <c r="A19" s="27" t="s">
        <v>102</v>
      </c>
      <c r="B19" s="27" t="s">
        <v>101</v>
      </c>
      <c r="C19" s="27" t="s">
        <v>92</v>
      </c>
      <c r="D19" s="31">
        <v>1000</v>
      </c>
      <c r="E19" s="29">
        <v>10067.76</v>
      </c>
      <c r="F19" s="30">
        <v>0.99467152170112005</v>
      </c>
      <c r="G19" s="29">
        <v>13.2286</v>
      </c>
    </row>
    <row r="20" spans="1:7" x14ac:dyDescent="0.2">
      <c r="A20" s="27" t="s">
        <v>104</v>
      </c>
      <c r="B20" s="27" t="s">
        <v>103</v>
      </c>
      <c r="C20" s="27" t="s">
        <v>87</v>
      </c>
      <c r="D20" s="31">
        <v>1000</v>
      </c>
      <c r="E20" s="29">
        <v>9995.9</v>
      </c>
      <c r="F20" s="30">
        <v>0.987571919053714</v>
      </c>
      <c r="G20" s="29">
        <v>8.1046999999999993</v>
      </c>
    </row>
    <row r="21" spans="1:7" x14ac:dyDescent="0.2">
      <c r="A21" s="27" t="s">
        <v>106</v>
      </c>
      <c r="B21" s="27" t="s">
        <v>105</v>
      </c>
      <c r="C21" s="27" t="s">
        <v>87</v>
      </c>
      <c r="D21" s="31">
        <v>1000</v>
      </c>
      <c r="E21" s="29">
        <v>9959.4699999999993</v>
      </c>
      <c r="F21" s="30">
        <v>0.98397271888053095</v>
      </c>
      <c r="G21" s="29">
        <v>8.6737000000000002</v>
      </c>
    </row>
    <row r="22" spans="1:7" x14ac:dyDescent="0.2">
      <c r="A22" s="27" t="s">
        <v>108</v>
      </c>
      <c r="B22" s="27" t="s">
        <v>107</v>
      </c>
      <c r="C22" s="27" t="s">
        <v>109</v>
      </c>
      <c r="D22" s="31">
        <v>938</v>
      </c>
      <c r="E22" s="29">
        <v>9391.5561600000001</v>
      </c>
      <c r="F22" s="30">
        <v>0.92786413827988801</v>
      </c>
      <c r="G22" s="29">
        <v>10.355</v>
      </c>
    </row>
    <row r="23" spans="1:7" x14ac:dyDescent="0.2">
      <c r="A23" s="27" t="s">
        <v>111</v>
      </c>
      <c r="B23" s="27" t="s">
        <v>110</v>
      </c>
      <c r="C23" s="27" t="s">
        <v>92</v>
      </c>
      <c r="D23" s="31">
        <v>900</v>
      </c>
      <c r="E23" s="29">
        <v>9064.4130000000005</v>
      </c>
      <c r="F23" s="30">
        <v>0.89554314684074798</v>
      </c>
      <c r="G23" s="29">
        <v>13.339700000000001</v>
      </c>
    </row>
    <row r="24" spans="1:7" x14ac:dyDescent="0.2">
      <c r="A24" s="27" t="s">
        <v>113</v>
      </c>
      <c r="B24" s="27" t="s">
        <v>112</v>
      </c>
      <c r="C24" s="27" t="s">
        <v>79</v>
      </c>
      <c r="D24" s="31">
        <v>800</v>
      </c>
      <c r="E24" s="29">
        <v>8006.3760000000002</v>
      </c>
      <c r="F24" s="30">
        <v>0.79101152582414802</v>
      </c>
      <c r="G24" s="29">
        <v>9.4700000000000006</v>
      </c>
    </row>
    <row r="25" spans="1:7" x14ac:dyDescent="0.2">
      <c r="A25" s="27" t="s">
        <v>115</v>
      </c>
      <c r="B25" s="27" t="s">
        <v>114</v>
      </c>
      <c r="C25" s="27" t="s">
        <v>79</v>
      </c>
      <c r="D25" s="31">
        <v>780</v>
      </c>
      <c r="E25" s="29">
        <v>7806.2165999999997</v>
      </c>
      <c r="F25" s="30">
        <v>0.77123623767854399</v>
      </c>
      <c r="G25" s="29">
        <v>9.4700000000000006</v>
      </c>
    </row>
    <row r="26" spans="1:7" x14ac:dyDescent="0.2">
      <c r="A26" s="27" t="s">
        <v>117</v>
      </c>
      <c r="B26" s="27" t="s">
        <v>116</v>
      </c>
      <c r="C26" s="27" t="s">
        <v>118</v>
      </c>
      <c r="D26" s="31">
        <v>750</v>
      </c>
      <c r="E26" s="29">
        <v>7652.7825000000003</v>
      </c>
      <c r="F26" s="30">
        <v>0.75607730165624698</v>
      </c>
      <c r="G26" s="29">
        <v>6.8224999999999998</v>
      </c>
    </row>
    <row r="27" spans="1:7" x14ac:dyDescent="0.2">
      <c r="A27" s="27" t="s">
        <v>120</v>
      </c>
      <c r="B27" s="27" t="s">
        <v>119</v>
      </c>
      <c r="C27" s="27" t="s">
        <v>76</v>
      </c>
      <c r="D27" s="31">
        <v>750</v>
      </c>
      <c r="E27" s="29">
        <v>7633.7924999999996</v>
      </c>
      <c r="F27" s="30">
        <v>0.75420113335296002</v>
      </c>
      <c r="G27" s="29">
        <v>5.8049999999999997</v>
      </c>
    </row>
    <row r="28" spans="1:7" x14ac:dyDescent="0.2">
      <c r="A28" s="27" t="s">
        <v>122</v>
      </c>
      <c r="B28" s="27" t="s">
        <v>121</v>
      </c>
      <c r="C28" s="27" t="s">
        <v>123</v>
      </c>
      <c r="D28" s="31">
        <v>750</v>
      </c>
      <c r="E28" s="29">
        <v>7327.05</v>
      </c>
      <c r="F28" s="30">
        <v>0.72389568017912498</v>
      </c>
      <c r="G28" s="29">
        <v>12.5848</v>
      </c>
    </row>
    <row r="29" spans="1:7" x14ac:dyDescent="0.2">
      <c r="A29" s="27" t="s">
        <v>125</v>
      </c>
      <c r="B29" s="27" t="s">
        <v>124</v>
      </c>
      <c r="C29" s="27" t="s">
        <v>87</v>
      </c>
      <c r="D29" s="31">
        <v>670</v>
      </c>
      <c r="E29" s="29">
        <v>6909.8707999999997</v>
      </c>
      <c r="F29" s="30">
        <v>0.68267933516433998</v>
      </c>
      <c r="G29" s="29">
        <v>5.2549999999999999</v>
      </c>
    </row>
    <row r="30" spans="1:7" x14ac:dyDescent="0.2">
      <c r="A30" s="27" t="s">
        <v>127</v>
      </c>
      <c r="B30" s="27" t="s">
        <v>126</v>
      </c>
      <c r="C30" s="27" t="s">
        <v>109</v>
      </c>
      <c r="D30" s="31">
        <v>2244</v>
      </c>
      <c r="E30" s="29">
        <v>5618.5496400000002</v>
      </c>
      <c r="F30" s="30">
        <v>0.555099775935469</v>
      </c>
      <c r="G30" s="29">
        <v>9.0152999999999999</v>
      </c>
    </row>
    <row r="31" spans="1:7" x14ac:dyDescent="0.2">
      <c r="A31" s="27" t="s">
        <v>129</v>
      </c>
      <c r="B31" s="27" t="s">
        <v>128</v>
      </c>
      <c r="C31" s="27" t="s">
        <v>79</v>
      </c>
      <c r="D31" s="31">
        <v>550</v>
      </c>
      <c r="E31" s="29">
        <v>5504.3834999999999</v>
      </c>
      <c r="F31" s="30">
        <v>0.54382042400410202</v>
      </c>
      <c r="G31" s="29">
        <v>9.4700000000000006</v>
      </c>
    </row>
    <row r="32" spans="1:7" x14ac:dyDescent="0.2">
      <c r="A32" s="27" t="s">
        <v>131</v>
      </c>
      <c r="B32" s="27" t="s">
        <v>130</v>
      </c>
      <c r="C32" s="27" t="s">
        <v>132</v>
      </c>
      <c r="D32" s="31">
        <v>550</v>
      </c>
      <c r="E32" s="29">
        <v>5495.7595000000001</v>
      </c>
      <c r="F32" s="30">
        <v>0.54296839264825403</v>
      </c>
      <c r="G32" s="29">
        <v>8.3449000000000009</v>
      </c>
    </row>
    <row r="33" spans="1:9" x14ac:dyDescent="0.2">
      <c r="A33" s="27" t="s">
        <v>134</v>
      </c>
      <c r="B33" s="27" t="s">
        <v>133</v>
      </c>
      <c r="C33" s="27" t="s">
        <v>87</v>
      </c>
      <c r="D33" s="31">
        <v>550</v>
      </c>
      <c r="E33" s="29">
        <v>5481.5420000000004</v>
      </c>
      <c r="F33" s="30">
        <v>0.54156373636326205</v>
      </c>
      <c r="G33" s="29">
        <v>8.3076000000000008</v>
      </c>
    </row>
    <row r="34" spans="1:9" x14ac:dyDescent="0.2">
      <c r="A34" s="27" t="s">
        <v>136</v>
      </c>
      <c r="B34" s="27" t="s">
        <v>135</v>
      </c>
      <c r="C34" s="27" t="s">
        <v>137</v>
      </c>
      <c r="D34" s="31">
        <v>500</v>
      </c>
      <c r="E34" s="29">
        <v>5371.55</v>
      </c>
      <c r="F34" s="30">
        <v>0.53069677985903996</v>
      </c>
      <c r="G34" s="29">
        <v>6.2523</v>
      </c>
    </row>
    <row r="35" spans="1:9" x14ac:dyDescent="0.2">
      <c r="A35" s="27" t="s">
        <v>139</v>
      </c>
      <c r="B35" s="27" t="s">
        <v>138</v>
      </c>
      <c r="C35" s="27" t="s">
        <v>76</v>
      </c>
      <c r="D35" s="31">
        <v>502</v>
      </c>
      <c r="E35" s="29">
        <v>5106.14822</v>
      </c>
      <c r="F35" s="30">
        <v>0.50447569469463605</v>
      </c>
      <c r="G35" s="29">
        <v>4.28</v>
      </c>
    </row>
    <row r="36" spans="1:9" x14ac:dyDescent="0.2">
      <c r="A36" s="27" t="s">
        <v>141</v>
      </c>
      <c r="B36" s="27" t="s">
        <v>140</v>
      </c>
      <c r="C36" s="27" t="s">
        <v>79</v>
      </c>
      <c r="D36" s="31">
        <v>1600</v>
      </c>
      <c r="E36" s="29">
        <v>4019.0239999999999</v>
      </c>
      <c r="F36" s="30">
        <v>0.39707032327283498</v>
      </c>
      <c r="G36" s="29">
        <v>8.2810000000000006</v>
      </c>
    </row>
    <row r="37" spans="1:9" x14ac:dyDescent="0.2">
      <c r="A37" s="27" t="s">
        <v>143</v>
      </c>
      <c r="B37" s="27" t="s">
        <v>142</v>
      </c>
      <c r="C37" s="27" t="s">
        <v>132</v>
      </c>
      <c r="D37" s="31">
        <v>300000</v>
      </c>
      <c r="E37" s="29">
        <v>2983.8690000000001</v>
      </c>
      <c r="F37" s="30">
        <v>0.29479939120388199</v>
      </c>
      <c r="G37" s="29">
        <v>9.6849000000000007</v>
      </c>
    </row>
    <row r="38" spans="1:9" x14ac:dyDescent="0.2">
      <c r="A38" s="27" t="s">
        <v>145</v>
      </c>
      <c r="B38" s="27" t="s">
        <v>144</v>
      </c>
      <c r="C38" s="27" t="s">
        <v>146</v>
      </c>
      <c r="D38" s="31">
        <v>280</v>
      </c>
      <c r="E38" s="29">
        <v>2823.4331999999999</v>
      </c>
      <c r="F38" s="30">
        <v>0.278948703332763</v>
      </c>
      <c r="G38" s="29">
        <v>9.9932999999999996</v>
      </c>
    </row>
    <row r="39" spans="1:9" x14ac:dyDescent="0.2">
      <c r="A39" s="27" t="s">
        <v>148</v>
      </c>
      <c r="B39" s="27" t="s">
        <v>147</v>
      </c>
      <c r="C39" s="27" t="s">
        <v>79</v>
      </c>
      <c r="D39" s="31">
        <v>500</v>
      </c>
      <c r="E39" s="29">
        <v>1255.2950000000001</v>
      </c>
      <c r="F39" s="30">
        <v>0.124020257518436</v>
      </c>
      <c r="G39" s="29">
        <v>8.9434000000000005</v>
      </c>
    </row>
    <row r="40" spans="1:9" x14ac:dyDescent="0.2">
      <c r="A40" s="27" t="s">
        <v>150</v>
      </c>
      <c r="B40" s="27" t="s">
        <v>149</v>
      </c>
      <c r="C40" s="27" t="s">
        <v>151</v>
      </c>
      <c r="D40" s="31">
        <v>200</v>
      </c>
      <c r="E40" s="29">
        <v>1002.064</v>
      </c>
      <c r="F40" s="30">
        <v>9.9001617412603299E-2</v>
      </c>
      <c r="G40" s="29">
        <v>11.392099999999999</v>
      </c>
    </row>
    <row r="41" spans="1:9" x14ac:dyDescent="0.2">
      <c r="A41" s="27" t="s">
        <v>153</v>
      </c>
      <c r="B41" s="27" t="s">
        <v>152</v>
      </c>
      <c r="C41" s="27" t="s">
        <v>154</v>
      </c>
      <c r="D41" s="31">
        <v>2500</v>
      </c>
      <c r="E41" s="29">
        <v>892.49017819999995</v>
      </c>
      <c r="F41" s="30">
        <v>8.8175975952296995E-2</v>
      </c>
      <c r="G41" s="29">
        <v>10.55</v>
      </c>
    </row>
    <row r="42" spans="1:9" x14ac:dyDescent="0.2">
      <c r="A42" s="27" t="s">
        <v>156</v>
      </c>
      <c r="B42" s="27" t="s">
        <v>155</v>
      </c>
      <c r="C42" s="27" t="s">
        <v>109</v>
      </c>
      <c r="D42" s="31">
        <v>61</v>
      </c>
      <c r="E42" s="29">
        <v>610.04209000000003</v>
      </c>
      <c r="F42" s="30">
        <v>6.0270754761936302E-2</v>
      </c>
      <c r="G42" s="29">
        <v>10.5358</v>
      </c>
    </row>
    <row r="43" spans="1:9" x14ac:dyDescent="0.2">
      <c r="A43" s="27" t="s">
        <v>158</v>
      </c>
      <c r="B43" s="27" t="s">
        <v>157</v>
      </c>
      <c r="C43" s="27" t="s">
        <v>79</v>
      </c>
      <c r="D43" s="31">
        <v>70</v>
      </c>
      <c r="E43" s="29">
        <v>592.35749999999996</v>
      </c>
      <c r="F43" s="30">
        <v>5.8523557962850803E-2</v>
      </c>
      <c r="G43" s="29">
        <v>20.902699999999999</v>
      </c>
    </row>
    <row r="44" spans="1:9" x14ac:dyDescent="0.2">
      <c r="A44" s="27" t="s">
        <v>160</v>
      </c>
      <c r="B44" s="27" t="s">
        <v>159</v>
      </c>
      <c r="C44" s="27" t="s">
        <v>76</v>
      </c>
      <c r="D44" s="31">
        <v>34</v>
      </c>
      <c r="E44" s="29">
        <v>346.56132000000002</v>
      </c>
      <c r="F44" s="30">
        <v>3.4239460965214602E-2</v>
      </c>
      <c r="G44" s="29">
        <v>5.1974</v>
      </c>
    </row>
    <row r="45" spans="1:9" x14ac:dyDescent="0.2">
      <c r="A45" s="27" t="s">
        <v>162</v>
      </c>
      <c r="B45" s="27" t="s">
        <v>161</v>
      </c>
      <c r="C45" s="27" t="s">
        <v>163</v>
      </c>
      <c r="D45" s="31">
        <v>22</v>
      </c>
      <c r="E45" s="29">
        <v>229.82651999999999</v>
      </c>
      <c r="F45" s="30">
        <v>2.2706331336431601E-2</v>
      </c>
      <c r="G45" s="29">
        <v>3.8650000000000002</v>
      </c>
    </row>
    <row r="46" spans="1:9" ht="10.5" x14ac:dyDescent="0.25">
      <c r="A46" s="26" t="s">
        <v>164</v>
      </c>
      <c r="B46" s="26"/>
      <c r="C46" s="26"/>
      <c r="D46" s="32"/>
      <c r="E46" s="33">
        <f>SUM(E6:E45)</f>
        <v>474369.13020819984</v>
      </c>
      <c r="F46" s="34">
        <f>SUM(F6:F45)</f>
        <v>46.866578523149819</v>
      </c>
      <c r="G46" s="33"/>
      <c r="H46" s="18"/>
      <c r="I46" s="18"/>
    </row>
    <row r="47" spans="1:9" x14ac:dyDescent="0.2">
      <c r="A47" s="27"/>
      <c r="B47" s="27"/>
      <c r="C47" s="27"/>
      <c r="D47" s="28"/>
      <c r="E47" s="29"/>
      <c r="F47" s="30"/>
      <c r="G47" s="29"/>
    </row>
    <row r="48" spans="1:9" ht="10.5" x14ac:dyDescent="0.25">
      <c r="A48" s="26" t="s">
        <v>165</v>
      </c>
      <c r="B48" s="27"/>
      <c r="C48" s="27"/>
      <c r="D48" s="28"/>
      <c r="E48" s="29"/>
      <c r="F48" s="30"/>
      <c r="G48" s="29"/>
    </row>
    <row r="49" spans="1:9" x14ac:dyDescent="0.2">
      <c r="A49" s="27" t="s">
        <v>167</v>
      </c>
      <c r="B49" s="27" t="s">
        <v>166</v>
      </c>
      <c r="C49" s="27" t="s">
        <v>132</v>
      </c>
      <c r="D49" s="31">
        <v>2400</v>
      </c>
      <c r="E49" s="29">
        <v>30476.088</v>
      </c>
      <c r="F49" s="30">
        <v>3.0109673677617699</v>
      </c>
      <c r="G49" s="29">
        <v>3.8048999999999999</v>
      </c>
    </row>
    <row r="50" spans="1:9" x14ac:dyDescent="0.2">
      <c r="A50" s="27" t="s">
        <v>169</v>
      </c>
      <c r="B50" s="27" t="s">
        <v>168</v>
      </c>
      <c r="C50" s="27" t="s">
        <v>154</v>
      </c>
      <c r="D50" s="31">
        <v>890</v>
      </c>
      <c r="E50" s="29">
        <v>13880.1819</v>
      </c>
      <c r="F50" s="30">
        <v>1.3713300328932501</v>
      </c>
      <c r="G50" s="29">
        <v>10.226900000000001</v>
      </c>
    </row>
    <row r="51" spans="1:9" x14ac:dyDescent="0.2">
      <c r="A51" s="27" t="s">
        <v>171</v>
      </c>
      <c r="B51" s="27" t="s">
        <v>170</v>
      </c>
      <c r="C51" s="27" t="s">
        <v>92</v>
      </c>
      <c r="D51" s="31">
        <v>1000</v>
      </c>
      <c r="E51" s="29">
        <v>10069.56</v>
      </c>
      <c r="F51" s="30">
        <v>0.99484935755925097</v>
      </c>
      <c r="G51" s="29">
        <v>13.465999999999999</v>
      </c>
    </row>
    <row r="52" spans="1:9" x14ac:dyDescent="0.2">
      <c r="A52" s="27" t="s">
        <v>173</v>
      </c>
      <c r="B52" s="27" t="s">
        <v>172</v>
      </c>
      <c r="C52" s="27" t="s">
        <v>92</v>
      </c>
      <c r="D52" s="31">
        <v>850</v>
      </c>
      <c r="E52" s="29">
        <v>8611.86</v>
      </c>
      <c r="F52" s="30">
        <v>0.85083195178242299</v>
      </c>
      <c r="G52" s="29">
        <v>11.925000000000001</v>
      </c>
    </row>
    <row r="53" spans="1:9" x14ac:dyDescent="0.2">
      <c r="A53" s="27" t="s">
        <v>175</v>
      </c>
      <c r="B53" s="27" t="s">
        <v>174</v>
      </c>
      <c r="C53" s="27" t="s">
        <v>137</v>
      </c>
      <c r="D53" s="31">
        <v>7</v>
      </c>
      <c r="E53" s="29">
        <v>974.66740000000004</v>
      </c>
      <c r="F53" s="30">
        <v>9.6294896373222402E-2</v>
      </c>
      <c r="G53" s="29">
        <v>10.205</v>
      </c>
    </row>
    <row r="54" spans="1:9" ht="10.5" x14ac:dyDescent="0.25">
      <c r="A54" s="26" t="s">
        <v>164</v>
      </c>
      <c r="B54" s="26"/>
      <c r="C54" s="26"/>
      <c r="D54" s="32"/>
      <c r="E54" s="33">
        <f>SUM(E48:E53)</f>
        <v>64012.357299999996</v>
      </c>
      <c r="F54" s="34">
        <f>SUM(F48:F53)</f>
        <v>6.3242736063699159</v>
      </c>
      <c r="G54" s="33"/>
      <c r="H54" s="18"/>
      <c r="I54" s="18"/>
    </row>
    <row r="55" spans="1:9" x14ac:dyDescent="0.2">
      <c r="A55" s="27"/>
      <c r="B55" s="27"/>
      <c r="C55" s="27"/>
      <c r="D55" s="28"/>
      <c r="E55" s="29"/>
      <c r="F55" s="30"/>
      <c r="G55" s="29"/>
    </row>
    <row r="56" spans="1:9" ht="10.5" x14ac:dyDescent="0.25">
      <c r="A56" s="26" t="s">
        <v>176</v>
      </c>
      <c r="B56" s="26"/>
      <c r="C56" s="26"/>
      <c r="D56" s="32"/>
      <c r="E56" s="33">
        <f>E46+E54</f>
        <v>538381.48750819988</v>
      </c>
      <c r="F56" s="34">
        <f>F46+F54</f>
        <v>53.190852129519733</v>
      </c>
      <c r="G56" s="33"/>
      <c r="H56" s="18"/>
      <c r="I56" s="18"/>
    </row>
    <row r="57" spans="1:9" ht="10.5" x14ac:dyDescent="0.25">
      <c r="A57" s="26"/>
      <c r="B57" s="26"/>
      <c r="C57" s="26"/>
      <c r="D57" s="32"/>
      <c r="E57" s="33"/>
      <c r="F57" s="34"/>
      <c r="G57" s="33"/>
      <c r="H57" s="18"/>
      <c r="I57" s="18"/>
    </row>
    <row r="58" spans="1:9" ht="10.5" x14ac:dyDescent="0.25">
      <c r="A58" s="26" t="s">
        <v>178</v>
      </c>
      <c r="B58" s="26"/>
      <c r="C58" s="26"/>
      <c r="D58" s="32"/>
      <c r="E58" s="33">
        <f>E60-(E46+E54)</f>
        <v>473787.83476030012</v>
      </c>
      <c r="F58" s="34">
        <f>F60-(F46+F54)</f>
        <v>46.809147870480267</v>
      </c>
      <c r="G58" s="33"/>
      <c r="H58" s="18"/>
      <c r="I58" s="18"/>
    </row>
    <row r="59" spans="1:9" ht="10.5" x14ac:dyDescent="0.25">
      <c r="A59" s="26"/>
      <c r="B59" s="26"/>
      <c r="C59" s="26"/>
      <c r="D59" s="32"/>
      <c r="E59" s="33"/>
      <c r="F59" s="34"/>
      <c r="G59" s="33"/>
      <c r="H59" s="18"/>
      <c r="I59" s="18"/>
    </row>
    <row r="60" spans="1:9" ht="10.5" x14ac:dyDescent="0.25">
      <c r="A60" s="35" t="s">
        <v>177</v>
      </c>
      <c r="B60" s="35"/>
      <c r="C60" s="35"/>
      <c r="D60" s="36"/>
      <c r="E60" s="37">
        <v>1012169.3222685</v>
      </c>
      <c r="F60" s="38">
        <v>100</v>
      </c>
      <c r="G60" s="37"/>
      <c r="H60" s="18"/>
      <c r="I60" s="18"/>
    </row>
    <row r="62" spans="1:9" ht="10.5" x14ac:dyDescent="0.25">
      <c r="A62" s="18" t="s">
        <v>180</v>
      </c>
    </row>
    <row r="64" spans="1:9" ht="10.5" x14ac:dyDescent="0.25">
      <c r="A64" s="18" t="s">
        <v>181</v>
      </c>
    </row>
    <row r="65" spans="1:4" ht="10.5" x14ac:dyDescent="0.25">
      <c r="A65" s="18" t="s">
        <v>182</v>
      </c>
    </row>
    <row r="66" spans="1:4" ht="10.5" x14ac:dyDescent="0.25">
      <c r="A66" s="18" t="s">
        <v>183</v>
      </c>
      <c r="B66" s="18"/>
      <c r="C66" s="39" t="s">
        <v>185</v>
      </c>
      <c r="D66" s="19" t="s">
        <v>184</v>
      </c>
    </row>
    <row r="67" spans="1:4" x14ac:dyDescent="0.2">
      <c r="A67" s="9" t="s">
        <v>186</v>
      </c>
      <c r="C67" s="40">
        <v>26.241099999999999</v>
      </c>
      <c r="D67" s="40">
        <v>27.410599999999999</v>
      </c>
    </row>
    <row r="68" spans="1:4" x14ac:dyDescent="0.2">
      <c r="A68" s="9" t="s">
        <v>187</v>
      </c>
      <c r="C68" s="40">
        <v>9.8933</v>
      </c>
      <c r="D68" s="40">
        <v>10.334300000000001</v>
      </c>
    </row>
    <row r="69" spans="1:4" x14ac:dyDescent="0.2">
      <c r="A69" s="9" t="s">
        <v>188</v>
      </c>
      <c r="C69" s="40">
        <v>9.9750999999999994</v>
      </c>
      <c r="D69" s="40">
        <v>10.419700000000001</v>
      </c>
    </row>
    <row r="70" spans="1:4" x14ac:dyDescent="0.2">
      <c r="A70" s="9" t="s">
        <v>189</v>
      </c>
      <c r="C70" s="40">
        <v>26.898700000000002</v>
      </c>
      <c r="D70" s="40">
        <v>28.110199999999999</v>
      </c>
    </row>
    <row r="71" spans="1:4" x14ac:dyDescent="0.2">
      <c r="A71" s="9" t="s">
        <v>190</v>
      </c>
      <c r="C71" s="40">
        <v>9.8512000000000004</v>
      </c>
      <c r="D71" s="40">
        <v>10.2948</v>
      </c>
    </row>
    <row r="72" spans="1:4" x14ac:dyDescent="0.2">
      <c r="A72" s="9" t="s">
        <v>191</v>
      </c>
      <c r="C72" s="40">
        <v>27.7912</v>
      </c>
      <c r="D72" s="40">
        <v>29.051600000000001</v>
      </c>
    </row>
    <row r="73" spans="1:4" x14ac:dyDescent="0.2">
      <c r="A73" s="9" t="s">
        <v>192</v>
      </c>
      <c r="C73" s="40">
        <v>9.9331999999999994</v>
      </c>
      <c r="D73" s="40">
        <v>10.383699999999999</v>
      </c>
    </row>
    <row r="74" spans="1:4" x14ac:dyDescent="0.2">
      <c r="A74" s="9" t="s">
        <v>193</v>
      </c>
      <c r="C74" s="40">
        <v>9.9589999999999996</v>
      </c>
      <c r="D74" s="40">
        <v>10.410600000000001</v>
      </c>
    </row>
    <row r="75" spans="1:4" x14ac:dyDescent="0.2">
      <c r="A75" s="9" t="s">
        <v>194</v>
      </c>
      <c r="C75" s="40">
        <v>27.944700000000001</v>
      </c>
      <c r="D75" s="40">
        <v>29.225200000000001</v>
      </c>
    </row>
    <row r="76" spans="1:4" x14ac:dyDescent="0.2">
      <c r="A76" s="9" t="s">
        <v>195</v>
      </c>
      <c r="C76" s="40">
        <v>9.9184000000000001</v>
      </c>
      <c r="D76" s="40">
        <v>10.3729</v>
      </c>
    </row>
    <row r="77" spans="1:4" x14ac:dyDescent="0.2">
      <c r="A77" s="9" t="s">
        <v>196</v>
      </c>
      <c r="C77" s="40">
        <v>9.9550000000000001</v>
      </c>
      <c r="D77" s="40">
        <v>10.411199999999999</v>
      </c>
    </row>
    <row r="79" spans="1:4" ht="10.5" x14ac:dyDescent="0.25">
      <c r="A79" s="18" t="s">
        <v>197</v>
      </c>
      <c r="D79" s="41" t="s">
        <v>198</v>
      </c>
    </row>
    <row r="81" spans="1:7" ht="10.5" x14ac:dyDescent="0.25">
      <c r="A81" s="18" t="s">
        <v>199</v>
      </c>
      <c r="D81" s="42">
        <v>0.70259160460273995</v>
      </c>
      <c r="E81" s="13" t="s">
        <v>200</v>
      </c>
    </row>
    <row r="83" spans="1:7" ht="10.5" x14ac:dyDescent="0.25">
      <c r="A83" s="18" t="s">
        <v>201</v>
      </c>
      <c r="D83" s="41" t="s">
        <v>198</v>
      </c>
    </row>
    <row r="85" spans="1:7" ht="35.15" customHeight="1" x14ac:dyDescent="0.2">
      <c r="A85" s="79" t="s">
        <v>1516</v>
      </c>
      <c r="B85" s="79"/>
      <c r="C85" s="79"/>
      <c r="D85" s="79"/>
      <c r="E85" s="79"/>
      <c r="F85" s="79"/>
      <c r="G85" s="79"/>
    </row>
  </sheetData>
  <mergeCells count="2">
    <mergeCell ref="A1:G1"/>
    <mergeCell ref="A85:G85"/>
  </mergeCells>
  <conditionalFormatting sqref="F2:F3 F5:F82 F86:F65531">
    <cfRule type="cellIs" dxfId="75" priority="2" stopIfTrue="1" operator="between">
      <formula>0.009</formula>
      <formula>-0.009</formula>
    </cfRule>
  </conditionalFormatting>
  <conditionalFormatting sqref="F83:F84">
    <cfRule type="cellIs" dxfId="7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201"/>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1" t="s">
        <v>9</v>
      </c>
      <c r="B1" s="72"/>
      <c r="C1" s="72"/>
      <c r="D1" s="72"/>
      <c r="E1" s="72"/>
      <c r="F1" s="72"/>
      <c r="G1" s="72"/>
    </row>
    <row r="2" spans="1:7" s="1" customFormat="1" ht="11.5" x14ac:dyDescent="0.25">
      <c r="A2" s="43" t="s">
        <v>202</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204</v>
      </c>
      <c r="B7" s="27" t="s">
        <v>203</v>
      </c>
      <c r="C7" s="27" t="s">
        <v>132</v>
      </c>
      <c r="D7" s="31">
        <v>7200</v>
      </c>
      <c r="E7" s="29">
        <v>69699.672000000006</v>
      </c>
      <c r="F7" s="30">
        <v>12.820995223314499</v>
      </c>
      <c r="G7" s="29">
        <v>11.998799999999999</v>
      </c>
    </row>
    <row r="8" spans="1:7" x14ac:dyDescent="0.2">
      <c r="A8" s="27" t="s">
        <v>206</v>
      </c>
      <c r="B8" s="27" t="s">
        <v>205</v>
      </c>
      <c r="C8" s="27" t="s">
        <v>87</v>
      </c>
      <c r="D8" s="31">
        <v>4813</v>
      </c>
      <c r="E8" s="29">
        <v>38578.081700000002</v>
      </c>
      <c r="F8" s="30">
        <v>7.0962945306304697</v>
      </c>
      <c r="G8" s="29">
        <v>9.7650000000000006</v>
      </c>
    </row>
    <row r="9" spans="1:7" x14ac:dyDescent="0.2">
      <c r="A9" s="27" t="s">
        <v>158</v>
      </c>
      <c r="B9" s="27" t="s">
        <v>157</v>
      </c>
      <c r="C9" s="27" t="s">
        <v>79</v>
      </c>
      <c r="D9" s="31">
        <v>3100</v>
      </c>
      <c r="E9" s="29">
        <v>26232.974999999999</v>
      </c>
      <c r="F9" s="30">
        <v>4.8254581050012604</v>
      </c>
      <c r="G9" s="29">
        <v>20.902699999999999</v>
      </c>
    </row>
    <row r="10" spans="1:7" x14ac:dyDescent="0.2">
      <c r="A10" s="27" t="s">
        <v>208</v>
      </c>
      <c r="B10" s="27" t="s">
        <v>207</v>
      </c>
      <c r="C10" s="27" t="s">
        <v>109</v>
      </c>
      <c r="D10" s="31">
        <v>11135</v>
      </c>
      <c r="E10" s="29">
        <v>22968.409469999999</v>
      </c>
      <c r="F10" s="30">
        <v>4.2249534273561897</v>
      </c>
      <c r="G10" s="29">
        <v>9.7682000000000002</v>
      </c>
    </row>
    <row r="11" spans="1:7" x14ac:dyDescent="0.2">
      <c r="A11" s="27" t="s">
        <v>210</v>
      </c>
      <c r="B11" s="27" t="s">
        <v>209</v>
      </c>
      <c r="C11" s="27" t="s">
        <v>109</v>
      </c>
      <c r="D11" s="31">
        <v>10675</v>
      </c>
      <c r="E11" s="29">
        <v>22115.269400000001</v>
      </c>
      <c r="F11" s="30">
        <v>4.0680214870984504</v>
      </c>
      <c r="G11" s="29">
        <v>9.3757999999999999</v>
      </c>
    </row>
    <row r="12" spans="1:7" x14ac:dyDescent="0.2">
      <c r="A12" s="27" t="s">
        <v>81</v>
      </c>
      <c r="B12" s="27" t="s">
        <v>80</v>
      </c>
      <c r="C12" s="27" t="s">
        <v>82</v>
      </c>
      <c r="D12" s="31">
        <v>2020</v>
      </c>
      <c r="E12" s="29">
        <v>20129.926200000002</v>
      </c>
      <c r="F12" s="30">
        <v>3.7028249954443702</v>
      </c>
      <c r="G12" s="29">
        <v>16.215299999999999</v>
      </c>
    </row>
    <row r="13" spans="1:7" x14ac:dyDescent="0.2">
      <c r="A13" s="27" t="s">
        <v>108</v>
      </c>
      <c r="B13" s="27" t="s">
        <v>107</v>
      </c>
      <c r="C13" s="27" t="s">
        <v>109</v>
      </c>
      <c r="D13" s="31">
        <v>1349</v>
      </c>
      <c r="E13" s="29">
        <v>13506.61968</v>
      </c>
      <c r="F13" s="30">
        <v>2.4844924148338299</v>
      </c>
      <c r="G13" s="29">
        <v>10.355</v>
      </c>
    </row>
    <row r="14" spans="1:7" x14ac:dyDescent="0.2">
      <c r="A14" s="27" t="s">
        <v>212</v>
      </c>
      <c r="B14" s="27" t="s">
        <v>211</v>
      </c>
      <c r="C14" s="27" t="s">
        <v>132</v>
      </c>
      <c r="D14" s="31">
        <v>1300</v>
      </c>
      <c r="E14" s="29">
        <v>12412.218000000001</v>
      </c>
      <c r="F14" s="30">
        <v>2.2831812994577398</v>
      </c>
      <c r="G14" s="29">
        <v>11.524900000000001</v>
      </c>
    </row>
    <row r="15" spans="1:7" x14ac:dyDescent="0.2">
      <c r="A15" s="27" t="s">
        <v>214</v>
      </c>
      <c r="B15" s="27" t="s">
        <v>213</v>
      </c>
      <c r="C15" s="27" t="s">
        <v>79</v>
      </c>
      <c r="D15" s="31">
        <v>12500</v>
      </c>
      <c r="E15" s="29">
        <v>12373.987499999999</v>
      </c>
      <c r="F15" s="30">
        <v>2.2761489412870399</v>
      </c>
      <c r="G15" s="29">
        <v>10.9396</v>
      </c>
    </row>
    <row r="16" spans="1:7" x14ac:dyDescent="0.2">
      <c r="A16" s="27" t="s">
        <v>216</v>
      </c>
      <c r="B16" s="27" t="s">
        <v>215</v>
      </c>
      <c r="C16" s="27" t="s">
        <v>87</v>
      </c>
      <c r="D16" s="31">
        <v>1250</v>
      </c>
      <c r="E16" s="29">
        <v>12306.987499999999</v>
      </c>
      <c r="F16" s="30">
        <v>2.2638245406792099</v>
      </c>
      <c r="G16" s="29">
        <v>9.3627000000000002</v>
      </c>
    </row>
    <row r="17" spans="1:7" x14ac:dyDescent="0.2">
      <c r="A17" s="27" t="s">
        <v>218</v>
      </c>
      <c r="B17" s="27" t="s">
        <v>217</v>
      </c>
      <c r="C17" s="27" t="s">
        <v>82</v>
      </c>
      <c r="D17" s="31">
        <v>1000</v>
      </c>
      <c r="E17" s="29">
        <v>9887.36</v>
      </c>
      <c r="F17" s="30">
        <v>1.8187430685641</v>
      </c>
      <c r="G17" s="29">
        <v>11.2193</v>
      </c>
    </row>
    <row r="18" spans="1:7" x14ac:dyDescent="0.2">
      <c r="A18" s="27" t="s">
        <v>156</v>
      </c>
      <c r="B18" s="27" t="s">
        <v>155</v>
      </c>
      <c r="C18" s="27" t="s">
        <v>109</v>
      </c>
      <c r="D18" s="31">
        <v>879</v>
      </c>
      <c r="E18" s="29">
        <v>8790.6065099999996</v>
      </c>
      <c r="F18" s="30">
        <v>1.61699934649259</v>
      </c>
      <c r="G18" s="29">
        <v>10.5358</v>
      </c>
    </row>
    <row r="19" spans="1:7" x14ac:dyDescent="0.2">
      <c r="A19" s="27" t="s">
        <v>219</v>
      </c>
      <c r="B19" s="27" t="s">
        <v>157</v>
      </c>
      <c r="C19" s="27" t="s">
        <v>79</v>
      </c>
      <c r="D19" s="31">
        <v>1000</v>
      </c>
      <c r="E19" s="29">
        <v>8470.2800000000007</v>
      </c>
      <c r="F19" s="30">
        <v>1.55807647732025</v>
      </c>
      <c r="G19" s="29">
        <v>20.8293</v>
      </c>
    </row>
    <row r="20" spans="1:7" x14ac:dyDescent="0.2">
      <c r="A20" s="27" t="s">
        <v>221</v>
      </c>
      <c r="B20" s="27" t="s">
        <v>220</v>
      </c>
      <c r="C20" s="27" t="s">
        <v>79</v>
      </c>
      <c r="D20" s="31">
        <v>8500</v>
      </c>
      <c r="E20" s="29">
        <v>8416.8104999999996</v>
      </c>
      <c r="F20" s="30">
        <v>1.54824096182323</v>
      </c>
      <c r="G20" s="29">
        <v>10.9397</v>
      </c>
    </row>
    <row r="21" spans="1:7" x14ac:dyDescent="0.2">
      <c r="A21" s="27" t="s">
        <v>223</v>
      </c>
      <c r="B21" s="27" t="s">
        <v>222</v>
      </c>
      <c r="C21" s="27" t="s">
        <v>109</v>
      </c>
      <c r="D21" s="31">
        <v>822</v>
      </c>
      <c r="E21" s="29">
        <v>8109.5725199999997</v>
      </c>
      <c r="F21" s="30">
        <v>1.4917256790253299</v>
      </c>
      <c r="G21" s="29">
        <v>11.154400000000001</v>
      </c>
    </row>
    <row r="22" spans="1:7" x14ac:dyDescent="0.2">
      <c r="A22" s="27" t="s">
        <v>225</v>
      </c>
      <c r="B22" s="27" t="s">
        <v>224</v>
      </c>
      <c r="C22" s="27" t="s">
        <v>109</v>
      </c>
      <c r="D22" s="31">
        <v>822</v>
      </c>
      <c r="E22" s="29">
        <v>8020.6567800000003</v>
      </c>
      <c r="F22" s="30">
        <v>1.4753699596208301</v>
      </c>
      <c r="G22" s="29">
        <v>11.399800000000001</v>
      </c>
    </row>
    <row r="23" spans="1:7" x14ac:dyDescent="0.2">
      <c r="A23" s="27" t="s">
        <v>227</v>
      </c>
      <c r="B23" s="27" t="s">
        <v>226</v>
      </c>
      <c r="C23" s="27" t="s">
        <v>109</v>
      </c>
      <c r="D23" s="31">
        <v>754</v>
      </c>
      <c r="E23" s="29">
        <v>7305.2571799999996</v>
      </c>
      <c r="F23" s="30">
        <v>1.3437748661122</v>
      </c>
      <c r="G23" s="29">
        <v>11.4595</v>
      </c>
    </row>
    <row r="24" spans="1:7" x14ac:dyDescent="0.2">
      <c r="A24" s="27" t="s">
        <v>150</v>
      </c>
      <c r="B24" s="27" t="s">
        <v>149</v>
      </c>
      <c r="C24" s="27" t="s">
        <v>151</v>
      </c>
      <c r="D24" s="31">
        <v>1390</v>
      </c>
      <c r="E24" s="29">
        <v>6964.3447999999999</v>
      </c>
      <c r="F24" s="30">
        <v>1.28106530277955</v>
      </c>
      <c r="G24" s="29">
        <v>11.392099999999999</v>
      </c>
    </row>
    <row r="25" spans="1:7" x14ac:dyDescent="0.2">
      <c r="A25" s="27" t="s">
        <v>229</v>
      </c>
      <c r="B25" s="27" t="s">
        <v>228</v>
      </c>
      <c r="C25" s="27" t="s">
        <v>151</v>
      </c>
      <c r="D25" s="31">
        <v>690</v>
      </c>
      <c r="E25" s="29">
        <v>6883.9161000000004</v>
      </c>
      <c r="F25" s="30">
        <v>1.2662707427919899</v>
      </c>
      <c r="G25" s="29">
        <v>11.17</v>
      </c>
    </row>
    <row r="26" spans="1:7" x14ac:dyDescent="0.2">
      <c r="A26" s="27" t="s">
        <v>231</v>
      </c>
      <c r="B26" s="27" t="s">
        <v>230</v>
      </c>
      <c r="C26" s="27" t="s">
        <v>76</v>
      </c>
      <c r="D26" s="31">
        <v>550</v>
      </c>
      <c r="E26" s="29">
        <v>5472.8905000000004</v>
      </c>
      <c r="F26" s="30">
        <v>1.0067178358920199</v>
      </c>
      <c r="G26" s="29">
        <v>11.7539</v>
      </c>
    </row>
    <row r="27" spans="1:7" x14ac:dyDescent="0.2">
      <c r="A27" s="27" t="s">
        <v>233</v>
      </c>
      <c r="B27" s="27" t="s">
        <v>232</v>
      </c>
      <c r="C27" s="27" t="s">
        <v>234</v>
      </c>
      <c r="D27" s="31">
        <v>460</v>
      </c>
      <c r="E27" s="29">
        <v>5193.7864</v>
      </c>
      <c r="F27" s="30">
        <v>0.95537767559818598</v>
      </c>
      <c r="G27" s="29">
        <v>7.6195000000000004</v>
      </c>
    </row>
    <row r="28" spans="1:7" x14ac:dyDescent="0.2">
      <c r="A28" s="27" t="s">
        <v>236</v>
      </c>
      <c r="B28" s="27" t="s">
        <v>235</v>
      </c>
      <c r="C28" s="27" t="s">
        <v>237</v>
      </c>
      <c r="D28" s="31">
        <v>500</v>
      </c>
      <c r="E28" s="29">
        <v>5028.28</v>
      </c>
      <c r="F28" s="30">
        <v>0.92493338937790004</v>
      </c>
      <c r="G28" s="29">
        <v>11.505000000000001</v>
      </c>
    </row>
    <row r="29" spans="1:7" x14ac:dyDescent="0.2">
      <c r="A29" s="27" t="s">
        <v>106</v>
      </c>
      <c r="B29" s="27" t="s">
        <v>105</v>
      </c>
      <c r="C29" s="27" t="s">
        <v>87</v>
      </c>
      <c r="D29" s="31">
        <v>500</v>
      </c>
      <c r="E29" s="29">
        <v>4979.7349999999997</v>
      </c>
      <c r="F29" s="30">
        <v>0.91600371732555796</v>
      </c>
      <c r="G29" s="29">
        <v>8.6737000000000002</v>
      </c>
    </row>
    <row r="30" spans="1:7" x14ac:dyDescent="0.2">
      <c r="A30" s="27" t="s">
        <v>86</v>
      </c>
      <c r="B30" s="27" t="s">
        <v>85</v>
      </c>
      <c r="C30" s="27" t="s">
        <v>87</v>
      </c>
      <c r="D30" s="31">
        <v>450</v>
      </c>
      <c r="E30" s="29">
        <v>4509.8100000000004</v>
      </c>
      <c r="F30" s="30">
        <v>0.82956276276387697</v>
      </c>
      <c r="G30" s="29">
        <v>8.4137000000000004</v>
      </c>
    </row>
    <row r="31" spans="1:7" x14ac:dyDescent="0.2">
      <c r="A31" s="27" t="s">
        <v>239</v>
      </c>
      <c r="B31" s="27" t="s">
        <v>238</v>
      </c>
      <c r="C31" s="27" t="s">
        <v>109</v>
      </c>
      <c r="D31" s="31">
        <v>2125</v>
      </c>
      <c r="E31" s="29">
        <v>4296.5290000000005</v>
      </c>
      <c r="F31" s="30">
        <v>0.79033051670361298</v>
      </c>
      <c r="G31" s="29">
        <v>10.4382</v>
      </c>
    </row>
    <row r="32" spans="1:7" x14ac:dyDescent="0.2">
      <c r="A32" s="27" t="s">
        <v>241</v>
      </c>
      <c r="B32" s="27" t="s">
        <v>240</v>
      </c>
      <c r="C32" s="27" t="s">
        <v>146</v>
      </c>
      <c r="D32" s="31">
        <v>370</v>
      </c>
      <c r="E32" s="29">
        <v>3734.7134000000001</v>
      </c>
      <c r="F32" s="30">
        <v>0.68698662831366997</v>
      </c>
      <c r="G32" s="29">
        <v>9.7690999999999999</v>
      </c>
    </row>
    <row r="33" spans="1:7" x14ac:dyDescent="0.2">
      <c r="A33" s="27" t="s">
        <v>243</v>
      </c>
      <c r="B33" s="27" t="s">
        <v>242</v>
      </c>
      <c r="C33" s="27" t="s">
        <v>109</v>
      </c>
      <c r="D33" s="31">
        <v>350</v>
      </c>
      <c r="E33" s="29">
        <v>3504.4589999999998</v>
      </c>
      <c r="F33" s="30">
        <v>0.64463218850300497</v>
      </c>
      <c r="G33" s="29">
        <v>9.8295999999999992</v>
      </c>
    </row>
    <row r="34" spans="1:7" x14ac:dyDescent="0.2">
      <c r="A34" s="27" t="s">
        <v>245</v>
      </c>
      <c r="B34" s="27" t="s">
        <v>244</v>
      </c>
      <c r="C34" s="27" t="s">
        <v>246</v>
      </c>
      <c r="D34" s="31">
        <v>350</v>
      </c>
      <c r="E34" s="29">
        <v>3483.172</v>
      </c>
      <c r="F34" s="30">
        <v>0.64071652408899304</v>
      </c>
      <c r="G34" s="29">
        <v>9.24</v>
      </c>
    </row>
    <row r="35" spans="1:7" x14ac:dyDescent="0.2">
      <c r="A35" s="27" t="s">
        <v>248</v>
      </c>
      <c r="B35" s="27" t="s">
        <v>247</v>
      </c>
      <c r="C35" s="27" t="s">
        <v>249</v>
      </c>
      <c r="D35" s="31">
        <v>272</v>
      </c>
      <c r="E35" s="29">
        <v>2722.5323199999998</v>
      </c>
      <c r="F35" s="30">
        <v>0.50079968626020799</v>
      </c>
      <c r="G35" s="29">
        <v>10.72</v>
      </c>
    </row>
    <row r="36" spans="1:7" x14ac:dyDescent="0.2">
      <c r="A36" s="27" t="s">
        <v>96</v>
      </c>
      <c r="B36" s="27" t="s">
        <v>95</v>
      </c>
      <c r="C36" s="27" t="s">
        <v>87</v>
      </c>
      <c r="D36" s="31">
        <v>250</v>
      </c>
      <c r="E36" s="29">
        <v>2497.1025</v>
      </c>
      <c r="F36" s="30">
        <v>0.45933270998214698</v>
      </c>
      <c r="G36" s="29">
        <v>8.8681000000000001</v>
      </c>
    </row>
    <row r="37" spans="1:7" x14ac:dyDescent="0.2">
      <c r="A37" s="27" t="s">
        <v>251</v>
      </c>
      <c r="B37" s="27" t="s">
        <v>250</v>
      </c>
      <c r="C37" s="27" t="s">
        <v>249</v>
      </c>
      <c r="D37" s="31">
        <v>240</v>
      </c>
      <c r="E37" s="29">
        <v>2379.9191999999998</v>
      </c>
      <c r="F37" s="30">
        <v>0.43777727813517597</v>
      </c>
      <c r="G37" s="29">
        <v>11.315</v>
      </c>
    </row>
    <row r="38" spans="1:7" x14ac:dyDescent="0.2">
      <c r="A38" s="27" t="s">
        <v>253</v>
      </c>
      <c r="B38" s="27" t="s">
        <v>252</v>
      </c>
      <c r="C38" s="27" t="s">
        <v>82</v>
      </c>
      <c r="D38" s="31">
        <v>200</v>
      </c>
      <c r="E38" s="29">
        <v>1969.306</v>
      </c>
      <c r="F38" s="30">
        <v>0.362246508408887</v>
      </c>
      <c r="G38" s="29">
        <v>11.5242</v>
      </c>
    </row>
    <row r="39" spans="1:7" x14ac:dyDescent="0.2">
      <c r="A39" s="27" t="s">
        <v>255</v>
      </c>
      <c r="B39" s="27" t="s">
        <v>254</v>
      </c>
      <c r="C39" s="27" t="s">
        <v>146</v>
      </c>
      <c r="D39" s="31">
        <v>197</v>
      </c>
      <c r="E39" s="29">
        <v>1957.08862</v>
      </c>
      <c r="F39" s="30">
        <v>0.35999916683428901</v>
      </c>
      <c r="G39" s="29">
        <v>11.95</v>
      </c>
    </row>
    <row r="40" spans="1:7" x14ac:dyDescent="0.2">
      <c r="A40" s="27" t="s">
        <v>127</v>
      </c>
      <c r="B40" s="27" t="s">
        <v>126</v>
      </c>
      <c r="C40" s="27" t="s">
        <v>109</v>
      </c>
      <c r="D40" s="31">
        <v>650</v>
      </c>
      <c r="E40" s="29">
        <v>1627.4765</v>
      </c>
      <c r="F40" s="30">
        <v>0.299368244266008</v>
      </c>
      <c r="G40" s="29">
        <v>9.0152999999999999</v>
      </c>
    </row>
    <row r="41" spans="1:7" x14ac:dyDescent="0.2">
      <c r="A41" s="27" t="s">
        <v>257</v>
      </c>
      <c r="B41" s="27" t="s">
        <v>256</v>
      </c>
      <c r="C41" s="27" t="s">
        <v>76</v>
      </c>
      <c r="D41" s="31">
        <v>150</v>
      </c>
      <c r="E41" s="29">
        <v>1511.2829999999999</v>
      </c>
      <c r="F41" s="30">
        <v>0.27799488244473303</v>
      </c>
      <c r="G41" s="29">
        <v>10.435600000000001</v>
      </c>
    </row>
    <row r="42" spans="1:7" x14ac:dyDescent="0.2">
      <c r="A42" s="27" t="s">
        <v>259</v>
      </c>
      <c r="B42" s="27" t="s">
        <v>258</v>
      </c>
      <c r="C42" s="27" t="s">
        <v>79</v>
      </c>
      <c r="D42" s="31">
        <v>1400</v>
      </c>
      <c r="E42" s="29">
        <v>1429.3761999999999</v>
      </c>
      <c r="F42" s="30">
        <v>0.26292843146405998</v>
      </c>
      <c r="G42" s="29">
        <v>7.7098000000000004</v>
      </c>
    </row>
    <row r="43" spans="1:7" x14ac:dyDescent="0.2">
      <c r="A43" s="27" t="s">
        <v>148</v>
      </c>
      <c r="B43" s="27" t="s">
        <v>147</v>
      </c>
      <c r="C43" s="27" t="s">
        <v>79</v>
      </c>
      <c r="D43" s="31">
        <v>500</v>
      </c>
      <c r="E43" s="29">
        <v>1255.2950000000001</v>
      </c>
      <c r="F43" s="30">
        <v>0.23090684270150699</v>
      </c>
      <c r="G43" s="29">
        <v>8.9434000000000005</v>
      </c>
    </row>
    <row r="44" spans="1:7" x14ac:dyDescent="0.2">
      <c r="A44" s="27" t="s">
        <v>111</v>
      </c>
      <c r="B44" s="27" t="s">
        <v>110</v>
      </c>
      <c r="C44" s="27" t="s">
        <v>92</v>
      </c>
      <c r="D44" s="31">
        <v>100</v>
      </c>
      <c r="E44" s="29">
        <v>1007.157</v>
      </c>
      <c r="F44" s="30">
        <v>0.185262781238451</v>
      </c>
      <c r="G44" s="29">
        <v>13.339700000000001</v>
      </c>
    </row>
    <row r="45" spans="1:7" x14ac:dyDescent="0.2">
      <c r="A45" s="27" t="s">
        <v>261</v>
      </c>
      <c r="B45" s="27" t="s">
        <v>260</v>
      </c>
      <c r="C45" s="27" t="s">
        <v>118</v>
      </c>
      <c r="D45" s="31">
        <v>100</v>
      </c>
      <c r="E45" s="29">
        <v>1006.167</v>
      </c>
      <c r="F45" s="30">
        <v>0.18508067442349899</v>
      </c>
      <c r="G45" s="29">
        <v>9.3946000000000005</v>
      </c>
    </row>
    <row r="46" spans="1:7" x14ac:dyDescent="0.2">
      <c r="A46" s="27" t="s">
        <v>263</v>
      </c>
      <c r="B46" s="27" t="s">
        <v>262</v>
      </c>
      <c r="C46" s="27" t="s">
        <v>82</v>
      </c>
      <c r="D46" s="31">
        <v>100</v>
      </c>
      <c r="E46" s="29">
        <v>975.21199999999999</v>
      </c>
      <c r="F46" s="30">
        <v>0.17938661739640599</v>
      </c>
      <c r="G46" s="29">
        <v>11.573700000000001</v>
      </c>
    </row>
    <row r="47" spans="1:7" x14ac:dyDescent="0.2">
      <c r="A47" s="27" t="s">
        <v>265</v>
      </c>
      <c r="B47" s="27" t="s">
        <v>264</v>
      </c>
      <c r="C47" s="27" t="s">
        <v>109</v>
      </c>
      <c r="D47" s="31">
        <v>62</v>
      </c>
      <c r="E47" s="29">
        <v>596.80827999999997</v>
      </c>
      <c r="F47" s="30">
        <v>0.109780661623695</v>
      </c>
      <c r="G47" s="29">
        <v>11.499700000000001</v>
      </c>
    </row>
    <row r="48" spans="1:7" x14ac:dyDescent="0.2">
      <c r="A48" s="27" t="s">
        <v>267</v>
      </c>
      <c r="B48" s="27" t="s">
        <v>266</v>
      </c>
      <c r="C48" s="27" t="s">
        <v>109</v>
      </c>
      <c r="D48" s="31">
        <v>62</v>
      </c>
      <c r="E48" s="29">
        <v>594.06664000000001</v>
      </c>
      <c r="F48" s="30">
        <v>0.109276347150823</v>
      </c>
      <c r="G48" s="29">
        <v>11.499700000000001</v>
      </c>
    </row>
    <row r="49" spans="1:9" x14ac:dyDescent="0.2">
      <c r="A49" s="27" t="s">
        <v>269</v>
      </c>
      <c r="B49" s="27" t="s">
        <v>268</v>
      </c>
      <c r="C49" s="27" t="s">
        <v>87</v>
      </c>
      <c r="D49" s="31">
        <v>55</v>
      </c>
      <c r="E49" s="29">
        <v>562.77265</v>
      </c>
      <c r="F49" s="30">
        <v>0.103519934175043</v>
      </c>
      <c r="G49" s="29">
        <v>6.06</v>
      </c>
    </row>
    <row r="50" spans="1:9" x14ac:dyDescent="0.2">
      <c r="A50" s="27" t="s">
        <v>145</v>
      </c>
      <c r="B50" s="27" t="s">
        <v>144</v>
      </c>
      <c r="C50" s="27" t="s">
        <v>146</v>
      </c>
      <c r="D50" s="31">
        <v>50</v>
      </c>
      <c r="E50" s="29">
        <v>504.18450000000001</v>
      </c>
      <c r="F50" s="30">
        <v>9.2742862063529094E-2</v>
      </c>
      <c r="G50" s="29">
        <v>9.9932999999999996</v>
      </c>
    </row>
    <row r="51" spans="1:9" x14ac:dyDescent="0.2">
      <c r="A51" s="27" t="s">
        <v>271</v>
      </c>
      <c r="B51" s="27" t="s">
        <v>270</v>
      </c>
      <c r="C51" s="27" t="s">
        <v>79</v>
      </c>
      <c r="D51" s="31">
        <v>500</v>
      </c>
      <c r="E51" s="29">
        <v>496.82900000000001</v>
      </c>
      <c r="F51" s="30">
        <v>9.1389845217695304E-2</v>
      </c>
      <c r="G51" s="29">
        <v>10.8352</v>
      </c>
    </row>
    <row r="52" spans="1:9" x14ac:dyDescent="0.2">
      <c r="A52" s="27" t="s">
        <v>273</v>
      </c>
      <c r="B52" s="27" t="s">
        <v>272</v>
      </c>
      <c r="C52" s="27" t="s">
        <v>249</v>
      </c>
      <c r="D52" s="31">
        <v>50</v>
      </c>
      <c r="E52" s="29">
        <v>496.34750000000003</v>
      </c>
      <c r="F52" s="30">
        <v>9.1301275084968894E-2</v>
      </c>
      <c r="G52" s="29">
        <v>11.11</v>
      </c>
    </row>
    <row r="53" spans="1:9" x14ac:dyDescent="0.2">
      <c r="A53" s="27" t="s">
        <v>275</v>
      </c>
      <c r="B53" s="27" t="s">
        <v>274</v>
      </c>
      <c r="C53" s="27" t="s">
        <v>163</v>
      </c>
      <c r="D53" s="31">
        <v>28</v>
      </c>
      <c r="E53" s="29">
        <v>283.75256000000002</v>
      </c>
      <c r="F53" s="30">
        <v>5.2195227208002702E-2</v>
      </c>
      <c r="G53" s="29">
        <v>4.6651999999999996</v>
      </c>
    </row>
    <row r="54" spans="1:9" x14ac:dyDescent="0.2">
      <c r="A54" s="27" t="s">
        <v>277</v>
      </c>
      <c r="B54" s="27" t="s">
        <v>276</v>
      </c>
      <c r="C54" s="27" t="s">
        <v>278</v>
      </c>
      <c r="D54" s="31">
        <v>18</v>
      </c>
      <c r="E54" s="29">
        <v>225.33750000000001</v>
      </c>
      <c r="F54" s="30">
        <v>4.14499943577014E-2</v>
      </c>
      <c r="G54" s="29">
        <v>3.9125000000000001</v>
      </c>
    </row>
    <row r="55" spans="1:9" x14ac:dyDescent="0.2">
      <c r="A55" s="27" t="s">
        <v>280</v>
      </c>
      <c r="B55" s="27" t="s">
        <v>279</v>
      </c>
      <c r="C55" s="27" t="s">
        <v>163</v>
      </c>
      <c r="D55" s="31">
        <v>12</v>
      </c>
      <c r="E55" s="29">
        <v>123.53676</v>
      </c>
      <c r="F55" s="30">
        <v>2.27241271646695E-2</v>
      </c>
      <c r="G55" s="29">
        <v>3.56</v>
      </c>
    </row>
    <row r="56" spans="1:9" x14ac:dyDescent="0.2">
      <c r="A56" s="27" t="s">
        <v>282</v>
      </c>
      <c r="B56" s="27" t="s">
        <v>281</v>
      </c>
      <c r="C56" s="27" t="s">
        <v>163</v>
      </c>
      <c r="D56" s="31">
        <v>12</v>
      </c>
      <c r="E56" s="29">
        <v>123.14748</v>
      </c>
      <c r="F56" s="30">
        <v>2.26525205576752E-2</v>
      </c>
      <c r="G56" s="29">
        <v>3.7850000000000001</v>
      </c>
    </row>
    <row r="57" spans="1:9" x14ac:dyDescent="0.2">
      <c r="A57" s="27" t="s">
        <v>143</v>
      </c>
      <c r="B57" s="27" t="s">
        <v>142</v>
      </c>
      <c r="C57" s="27" t="s">
        <v>132</v>
      </c>
      <c r="D57" s="31">
        <v>4000</v>
      </c>
      <c r="E57" s="29">
        <v>39.78492</v>
      </c>
      <c r="F57" s="29">
        <v>7.3182879437359502E-3</v>
      </c>
      <c r="G57" s="29">
        <v>9.6849000000000007</v>
      </c>
    </row>
    <row r="58" spans="1:9" x14ac:dyDescent="0.2">
      <c r="A58" s="27" t="s">
        <v>139</v>
      </c>
      <c r="B58" s="27" t="s">
        <v>138</v>
      </c>
      <c r="C58" s="27" t="s">
        <v>76</v>
      </c>
      <c r="D58" s="31">
        <v>3</v>
      </c>
      <c r="E58" s="29">
        <v>30.51483</v>
      </c>
      <c r="F58" s="29">
        <v>5.6130893940254797E-3</v>
      </c>
      <c r="G58" s="29">
        <v>4.28</v>
      </c>
    </row>
    <row r="59" spans="1:9" ht="10.5" x14ac:dyDescent="0.25">
      <c r="A59" s="26" t="s">
        <v>164</v>
      </c>
      <c r="B59" s="26"/>
      <c r="C59" s="26"/>
      <c r="D59" s="32"/>
      <c r="E59" s="33">
        <f>SUM(E6:E58)</f>
        <v>387791.32409999985</v>
      </c>
      <c r="F59" s="34">
        <f>SUM(F6:F58)</f>
        <v>71.332770603696872</v>
      </c>
      <c r="G59" s="33"/>
      <c r="H59" s="18"/>
      <c r="I59" s="18"/>
    </row>
    <row r="60" spans="1:9" x14ac:dyDescent="0.2">
      <c r="A60" s="27"/>
      <c r="B60" s="27"/>
      <c r="C60" s="27"/>
      <c r="D60" s="28"/>
      <c r="E60" s="29"/>
      <c r="F60" s="30"/>
      <c r="G60" s="29"/>
    </row>
    <row r="61" spans="1:9" ht="10.5" x14ac:dyDescent="0.25">
      <c r="A61" s="26" t="s">
        <v>165</v>
      </c>
      <c r="B61" s="27"/>
      <c r="C61" s="27"/>
      <c r="D61" s="28"/>
      <c r="E61" s="29"/>
      <c r="F61" s="30"/>
      <c r="G61" s="29"/>
    </row>
    <row r="62" spans="1:9" x14ac:dyDescent="0.2">
      <c r="A62" s="27" t="s">
        <v>284</v>
      </c>
      <c r="B62" s="27" t="s">
        <v>283</v>
      </c>
      <c r="C62" s="27" t="s">
        <v>285</v>
      </c>
      <c r="D62" s="31">
        <v>350</v>
      </c>
      <c r="E62" s="29">
        <v>35538.720000000001</v>
      </c>
      <c r="F62" s="30">
        <v>6.5372152592441504</v>
      </c>
      <c r="G62" s="29">
        <v>8.5593000000000004</v>
      </c>
    </row>
    <row r="63" spans="1:9" x14ac:dyDescent="0.2">
      <c r="A63" s="27" t="s">
        <v>287</v>
      </c>
      <c r="B63" s="27" t="s">
        <v>286</v>
      </c>
      <c r="C63" s="27" t="s">
        <v>92</v>
      </c>
      <c r="D63" s="31">
        <v>2560</v>
      </c>
      <c r="E63" s="29">
        <v>24279.040000000001</v>
      </c>
      <c r="F63" s="30">
        <v>4.4660390348273404</v>
      </c>
      <c r="G63" s="29">
        <v>11.914999999999999</v>
      </c>
    </row>
    <row r="64" spans="1:9" x14ac:dyDescent="0.2">
      <c r="A64" s="27" t="s">
        <v>289</v>
      </c>
      <c r="B64" s="27" t="s">
        <v>288</v>
      </c>
      <c r="C64" s="27" t="s">
        <v>290</v>
      </c>
      <c r="D64" s="31">
        <v>2450</v>
      </c>
      <c r="E64" s="29">
        <v>22587.211500000001</v>
      </c>
      <c r="F64" s="30">
        <v>4.1548334796969302</v>
      </c>
      <c r="G64" s="29">
        <v>25.8</v>
      </c>
    </row>
    <row r="65" spans="1:7" x14ac:dyDescent="0.2">
      <c r="A65" s="27" t="s">
        <v>292</v>
      </c>
      <c r="B65" s="27" t="s">
        <v>291</v>
      </c>
      <c r="C65" s="27" t="s">
        <v>285</v>
      </c>
      <c r="D65" s="31">
        <v>1480</v>
      </c>
      <c r="E65" s="29">
        <v>14781.6036</v>
      </c>
      <c r="F65" s="30">
        <v>2.7190209610818399</v>
      </c>
      <c r="G65" s="29">
        <v>9.6150000000000002</v>
      </c>
    </row>
    <row r="66" spans="1:7" x14ac:dyDescent="0.2">
      <c r="A66" s="27" t="s">
        <v>294</v>
      </c>
      <c r="B66" s="27" t="s">
        <v>293</v>
      </c>
      <c r="C66" s="27" t="s">
        <v>290</v>
      </c>
      <c r="D66" s="31">
        <v>1660</v>
      </c>
      <c r="E66" s="29">
        <v>14027.376679999999</v>
      </c>
      <c r="F66" s="30">
        <v>2.5802837265850198</v>
      </c>
      <c r="G66" s="29">
        <v>11.344900000000001</v>
      </c>
    </row>
    <row r="67" spans="1:7" x14ac:dyDescent="0.2">
      <c r="A67" s="27" t="s">
        <v>173</v>
      </c>
      <c r="B67" s="27" t="s">
        <v>172</v>
      </c>
      <c r="C67" s="27" t="s">
        <v>92</v>
      </c>
      <c r="D67" s="31">
        <v>1150</v>
      </c>
      <c r="E67" s="29">
        <v>11651.34</v>
      </c>
      <c r="F67" s="30">
        <v>2.1432206235520499</v>
      </c>
      <c r="G67" s="29">
        <v>11.925000000000001</v>
      </c>
    </row>
    <row r="68" spans="1:7" x14ac:dyDescent="0.2">
      <c r="A68" s="27" t="s">
        <v>296</v>
      </c>
      <c r="B68" s="27" t="s">
        <v>295</v>
      </c>
      <c r="C68" s="27" t="s">
        <v>290</v>
      </c>
      <c r="D68" s="31">
        <v>1280</v>
      </c>
      <c r="E68" s="29">
        <v>11078.05616</v>
      </c>
      <c r="F68" s="30">
        <v>2.0377671951020102</v>
      </c>
      <c r="G68" s="29">
        <v>11.3429</v>
      </c>
    </row>
    <row r="69" spans="1:7" x14ac:dyDescent="0.2">
      <c r="A69" s="27" t="s">
        <v>298</v>
      </c>
      <c r="B69" s="27" t="s">
        <v>297</v>
      </c>
      <c r="C69" s="27" t="s">
        <v>290</v>
      </c>
      <c r="D69" s="31">
        <v>650</v>
      </c>
      <c r="E69" s="29">
        <v>5981.326</v>
      </c>
      <c r="F69" s="30">
        <v>1.1002426535821701</v>
      </c>
      <c r="G69" s="29">
        <v>25.8</v>
      </c>
    </row>
    <row r="70" spans="1:7" x14ac:dyDescent="0.2">
      <c r="A70" s="27" t="s">
        <v>300</v>
      </c>
      <c r="B70" s="27" t="s">
        <v>299</v>
      </c>
      <c r="C70" s="27" t="s">
        <v>290</v>
      </c>
      <c r="D70" s="31">
        <v>385</v>
      </c>
      <c r="E70" s="29">
        <v>3500.5075729999999</v>
      </c>
      <c r="F70" s="30">
        <v>0.64390533821463802</v>
      </c>
      <c r="G70" s="29">
        <v>11.344900000000001</v>
      </c>
    </row>
    <row r="71" spans="1:7" x14ac:dyDescent="0.2">
      <c r="A71" s="27" t="s">
        <v>302</v>
      </c>
      <c r="B71" s="27" t="s">
        <v>301</v>
      </c>
      <c r="C71" s="27" t="s">
        <v>151</v>
      </c>
      <c r="D71" s="31">
        <v>300</v>
      </c>
      <c r="E71" s="29">
        <v>2975.85</v>
      </c>
      <c r="F71" s="30">
        <v>0.54739653057908999</v>
      </c>
      <c r="G71" s="29">
        <v>12.0101</v>
      </c>
    </row>
    <row r="72" spans="1:7" x14ac:dyDescent="0.2">
      <c r="A72" s="27" t="s">
        <v>175</v>
      </c>
      <c r="B72" s="27" t="s">
        <v>174</v>
      </c>
      <c r="C72" s="27" t="s">
        <v>137</v>
      </c>
      <c r="D72" s="31">
        <v>15</v>
      </c>
      <c r="E72" s="29">
        <v>2088.5729999999999</v>
      </c>
      <c r="F72" s="30">
        <v>0.384185229114761</v>
      </c>
      <c r="G72" s="29">
        <v>10.205</v>
      </c>
    </row>
    <row r="73" spans="1:7" x14ac:dyDescent="0.2">
      <c r="A73" s="27" t="s">
        <v>304</v>
      </c>
      <c r="B73" s="27" t="s">
        <v>303</v>
      </c>
      <c r="C73" s="27" t="s">
        <v>290</v>
      </c>
      <c r="D73" s="31">
        <v>150</v>
      </c>
      <c r="E73" s="29">
        <v>1335.5389070000001</v>
      </c>
      <c r="F73" s="30">
        <v>0.24566741070456799</v>
      </c>
      <c r="G73" s="29">
        <v>11.344900000000001</v>
      </c>
    </row>
    <row r="74" spans="1:7" x14ac:dyDescent="0.2">
      <c r="A74" s="27" t="s">
        <v>306</v>
      </c>
      <c r="B74" s="27" t="s">
        <v>305</v>
      </c>
      <c r="C74" s="27" t="s">
        <v>163</v>
      </c>
      <c r="D74" s="31">
        <v>13</v>
      </c>
      <c r="E74" s="29">
        <v>133.56200000000001</v>
      </c>
      <c r="F74" s="30">
        <v>2.45682327460068E-2</v>
      </c>
      <c r="G74" s="29">
        <v>4.2849000000000004</v>
      </c>
    </row>
    <row r="75" spans="1:7" x14ac:dyDescent="0.2">
      <c r="A75" s="27" t="s">
        <v>308</v>
      </c>
      <c r="B75" s="27" t="s">
        <v>307</v>
      </c>
      <c r="C75" s="27" t="s">
        <v>309</v>
      </c>
      <c r="D75" s="31">
        <v>200</v>
      </c>
      <c r="E75" s="29">
        <v>0</v>
      </c>
      <c r="F75" s="29">
        <v>0</v>
      </c>
      <c r="G75" s="29">
        <v>0</v>
      </c>
    </row>
    <row r="76" spans="1:7" x14ac:dyDescent="0.2">
      <c r="A76" s="27" t="s">
        <v>311</v>
      </c>
      <c r="B76" s="27" t="s">
        <v>310</v>
      </c>
      <c r="C76" s="27" t="s">
        <v>309</v>
      </c>
      <c r="D76" s="31">
        <v>100</v>
      </c>
      <c r="E76" s="29">
        <v>0</v>
      </c>
      <c r="F76" s="29">
        <v>0</v>
      </c>
      <c r="G76" s="29">
        <v>0</v>
      </c>
    </row>
    <row r="77" spans="1:7" x14ac:dyDescent="0.2">
      <c r="A77" s="27" t="s">
        <v>313</v>
      </c>
      <c r="B77" s="27" t="s">
        <v>312</v>
      </c>
      <c r="C77" s="27" t="s">
        <v>309</v>
      </c>
      <c r="D77" s="31">
        <v>300</v>
      </c>
      <c r="E77" s="29">
        <v>0</v>
      </c>
      <c r="F77" s="29">
        <v>0</v>
      </c>
      <c r="G77" s="29">
        <v>0</v>
      </c>
    </row>
    <row r="78" spans="1:7" x14ac:dyDescent="0.2">
      <c r="A78" s="27" t="s">
        <v>315</v>
      </c>
      <c r="B78" s="27" t="s">
        <v>314</v>
      </c>
      <c r="C78" s="27" t="s">
        <v>316</v>
      </c>
      <c r="D78" s="31">
        <v>1608</v>
      </c>
      <c r="E78" s="29">
        <v>0</v>
      </c>
      <c r="F78" s="29">
        <v>0</v>
      </c>
      <c r="G78" s="29">
        <v>0</v>
      </c>
    </row>
    <row r="79" spans="1:7" x14ac:dyDescent="0.2">
      <c r="A79" s="27" t="s">
        <v>318</v>
      </c>
      <c r="B79" s="27" t="s">
        <v>317</v>
      </c>
      <c r="C79" s="27" t="s">
        <v>309</v>
      </c>
      <c r="D79" s="31">
        <v>600</v>
      </c>
      <c r="E79" s="29">
        <v>0</v>
      </c>
      <c r="F79" s="29">
        <v>0</v>
      </c>
      <c r="G79" s="29">
        <v>0</v>
      </c>
    </row>
    <row r="80" spans="1:7" x14ac:dyDescent="0.2">
      <c r="A80" s="27" t="s">
        <v>320</v>
      </c>
      <c r="B80" s="27" t="s">
        <v>319</v>
      </c>
      <c r="C80" s="27" t="s">
        <v>309</v>
      </c>
      <c r="D80" s="31">
        <v>250</v>
      </c>
      <c r="E80" s="29">
        <v>0</v>
      </c>
      <c r="F80" s="29">
        <v>0</v>
      </c>
      <c r="G80" s="29">
        <v>0</v>
      </c>
    </row>
    <row r="81" spans="1:9" x14ac:dyDescent="0.2">
      <c r="A81" s="27" t="s">
        <v>322</v>
      </c>
      <c r="B81" s="27" t="s">
        <v>321</v>
      </c>
      <c r="C81" s="27" t="s">
        <v>316</v>
      </c>
      <c r="D81" s="31">
        <v>28</v>
      </c>
      <c r="E81" s="29">
        <v>0</v>
      </c>
      <c r="F81" s="29">
        <v>0</v>
      </c>
      <c r="G81" s="29">
        <v>0</v>
      </c>
    </row>
    <row r="82" spans="1:9" x14ac:dyDescent="0.2">
      <c r="A82" s="27" t="s">
        <v>324</v>
      </c>
      <c r="B82" s="27" t="s">
        <v>323</v>
      </c>
      <c r="C82" s="27" t="s">
        <v>309</v>
      </c>
      <c r="D82" s="31">
        <v>1000</v>
      </c>
      <c r="E82" s="29">
        <v>0</v>
      </c>
      <c r="F82" s="29">
        <v>0</v>
      </c>
      <c r="G82" s="29">
        <v>0</v>
      </c>
    </row>
    <row r="83" spans="1:9" x14ac:dyDescent="0.2">
      <c r="A83" s="27" t="s">
        <v>326</v>
      </c>
      <c r="B83" s="27" t="s">
        <v>325</v>
      </c>
      <c r="C83" s="27" t="s">
        <v>309</v>
      </c>
      <c r="D83" s="31">
        <v>500</v>
      </c>
      <c r="E83" s="29">
        <v>0</v>
      </c>
      <c r="F83" s="29">
        <v>0</v>
      </c>
      <c r="G83" s="29">
        <v>0</v>
      </c>
    </row>
    <row r="84" spans="1:9" x14ac:dyDescent="0.2">
      <c r="A84" s="27" t="s">
        <v>328</v>
      </c>
      <c r="B84" s="27" t="s">
        <v>327</v>
      </c>
      <c r="C84" s="27" t="s">
        <v>309</v>
      </c>
      <c r="D84" s="31">
        <v>350</v>
      </c>
      <c r="E84" s="29">
        <v>0</v>
      </c>
      <c r="F84" s="29">
        <v>0</v>
      </c>
      <c r="G84" s="29">
        <v>0</v>
      </c>
    </row>
    <row r="85" spans="1:9" x14ac:dyDescent="0.2">
      <c r="A85" s="27" t="s">
        <v>330</v>
      </c>
      <c r="B85" s="27" t="s">
        <v>329</v>
      </c>
      <c r="C85" s="27" t="s">
        <v>309</v>
      </c>
      <c r="D85" s="31">
        <v>800</v>
      </c>
      <c r="E85" s="29">
        <v>0</v>
      </c>
      <c r="F85" s="29">
        <v>0</v>
      </c>
      <c r="G85" s="29">
        <v>0</v>
      </c>
    </row>
    <row r="86" spans="1:9" x14ac:dyDescent="0.2">
      <c r="A86" s="27" t="s">
        <v>332</v>
      </c>
      <c r="B86" s="27" t="s">
        <v>331</v>
      </c>
      <c r="C86" s="27" t="s">
        <v>309</v>
      </c>
      <c r="D86" s="31">
        <v>250</v>
      </c>
      <c r="E86" s="29">
        <v>0</v>
      </c>
      <c r="F86" s="29">
        <v>0</v>
      </c>
      <c r="G86" s="29">
        <v>0</v>
      </c>
    </row>
    <row r="87" spans="1:9" x14ac:dyDescent="0.2">
      <c r="A87" s="27" t="s">
        <v>334</v>
      </c>
      <c r="B87" s="27" t="s">
        <v>333</v>
      </c>
      <c r="C87" s="27" t="s">
        <v>316</v>
      </c>
      <c r="D87" s="31">
        <v>775</v>
      </c>
      <c r="E87" s="29">
        <v>0</v>
      </c>
      <c r="F87" s="29">
        <v>0</v>
      </c>
      <c r="G87" s="29">
        <v>0</v>
      </c>
    </row>
    <row r="88" spans="1:9" x14ac:dyDescent="0.2">
      <c r="A88" s="27" t="s">
        <v>336</v>
      </c>
      <c r="B88" s="27" t="s">
        <v>335</v>
      </c>
      <c r="C88" s="27" t="s">
        <v>309</v>
      </c>
      <c r="D88" s="31">
        <v>375</v>
      </c>
      <c r="E88" s="29">
        <v>0</v>
      </c>
      <c r="F88" s="29">
        <v>0</v>
      </c>
      <c r="G88" s="29">
        <v>0</v>
      </c>
    </row>
    <row r="89" spans="1:9" ht="10.5" x14ac:dyDescent="0.25">
      <c r="A89" s="26" t="s">
        <v>164</v>
      </c>
      <c r="B89" s="26"/>
      <c r="C89" s="26"/>
      <c r="D89" s="32"/>
      <c r="E89" s="33">
        <f>SUM(E61:E88)</f>
        <v>149958.70542000004</v>
      </c>
      <c r="F89" s="34">
        <f>SUM(F61:F88)</f>
        <v>27.584345675030569</v>
      </c>
      <c r="G89" s="33"/>
      <c r="H89" s="18"/>
      <c r="I89" s="18"/>
    </row>
    <row r="90" spans="1:9" x14ac:dyDescent="0.2">
      <c r="A90" s="27"/>
      <c r="B90" s="27"/>
      <c r="C90" s="27"/>
      <c r="D90" s="28"/>
      <c r="E90" s="29"/>
      <c r="F90" s="30"/>
      <c r="G90" s="29"/>
    </row>
    <row r="91" spans="1:9" ht="10.5" x14ac:dyDescent="0.25">
      <c r="A91" s="26" t="s">
        <v>176</v>
      </c>
      <c r="B91" s="26"/>
      <c r="C91" s="26"/>
      <c r="D91" s="32"/>
      <c r="E91" s="33">
        <f>E59+E89</f>
        <v>537750.02951999987</v>
      </c>
      <c r="F91" s="34">
        <f>F59+F89</f>
        <v>98.917116278727434</v>
      </c>
      <c r="G91" s="33"/>
      <c r="H91" s="18"/>
      <c r="I91" s="18"/>
    </row>
    <row r="92" spans="1:9" ht="10.5" x14ac:dyDescent="0.25">
      <c r="A92" s="26"/>
      <c r="B92" s="26"/>
      <c r="C92" s="26"/>
      <c r="D92" s="32"/>
      <c r="E92" s="33"/>
      <c r="F92" s="34"/>
      <c r="G92" s="33"/>
      <c r="H92" s="18"/>
      <c r="I92" s="18"/>
    </row>
    <row r="93" spans="1:9" ht="10.5" x14ac:dyDescent="0.25">
      <c r="A93" s="26" t="s">
        <v>178</v>
      </c>
      <c r="B93" s="26"/>
      <c r="C93" s="26"/>
      <c r="D93" s="32"/>
      <c r="E93" s="33">
        <f>E95-(E59+E89)</f>
        <v>5886.9564236000879</v>
      </c>
      <c r="F93" s="34">
        <f>F95-(F59+F89)</f>
        <v>1.0828837212725659</v>
      </c>
      <c r="G93" s="33"/>
      <c r="H93" s="18"/>
      <c r="I93" s="18"/>
    </row>
    <row r="94" spans="1:9" ht="10.5" x14ac:dyDescent="0.25">
      <c r="A94" s="26"/>
      <c r="B94" s="26"/>
      <c r="C94" s="26"/>
      <c r="D94" s="32"/>
      <c r="E94" s="33"/>
      <c r="F94" s="34"/>
      <c r="G94" s="33"/>
      <c r="H94" s="18"/>
      <c r="I94" s="18"/>
    </row>
    <row r="95" spans="1:9" ht="10.5" x14ac:dyDescent="0.25">
      <c r="A95" s="35" t="s">
        <v>177</v>
      </c>
      <c r="B95" s="35"/>
      <c r="C95" s="35"/>
      <c r="D95" s="36"/>
      <c r="E95" s="37">
        <v>543636.98594359995</v>
      </c>
      <c r="F95" s="38">
        <v>100</v>
      </c>
      <c r="G95" s="37"/>
      <c r="H95" s="18"/>
      <c r="I95" s="18"/>
    </row>
    <row r="96" spans="1:9" ht="10.5" x14ac:dyDescent="0.25">
      <c r="F96" s="20"/>
    </row>
    <row r="97" spans="1:4" ht="10.5" x14ac:dyDescent="0.25">
      <c r="A97" s="18" t="s">
        <v>180</v>
      </c>
    </row>
    <row r="98" spans="1:4" ht="10.5" x14ac:dyDescent="0.25">
      <c r="A98" s="18" t="s">
        <v>1503</v>
      </c>
    </row>
    <row r="99" spans="1:4" ht="10.5" x14ac:dyDescent="0.25">
      <c r="A99" s="18" t="s">
        <v>1511</v>
      </c>
    </row>
    <row r="101" spans="1:4" ht="10.5" x14ac:dyDescent="0.25">
      <c r="A101" s="18" t="s">
        <v>181</v>
      </c>
    </row>
    <row r="102" spans="1:4" ht="10.5" x14ac:dyDescent="0.25">
      <c r="A102" s="18" t="s">
        <v>182</v>
      </c>
    </row>
    <row r="103" spans="1:4" ht="10.5" x14ac:dyDescent="0.25">
      <c r="A103" s="18" t="s">
        <v>183</v>
      </c>
      <c r="B103" s="18"/>
      <c r="C103" s="39" t="s">
        <v>185</v>
      </c>
      <c r="D103" s="19" t="s">
        <v>184</v>
      </c>
    </row>
    <row r="104" spans="1:4" x14ac:dyDescent="0.2">
      <c r="A104" s="9" t="s">
        <v>186</v>
      </c>
      <c r="C104" s="40">
        <v>3737.8137999999999</v>
      </c>
      <c r="D104" s="40">
        <v>3770.1226000000001</v>
      </c>
    </row>
    <row r="105" spans="1:4" x14ac:dyDescent="0.2">
      <c r="A105" s="9" t="s">
        <v>188</v>
      </c>
      <c r="C105" s="40">
        <v>944.71220000000005</v>
      </c>
      <c r="D105" s="40">
        <v>952.87810000000002</v>
      </c>
    </row>
    <row r="106" spans="1:4" x14ac:dyDescent="0.2">
      <c r="A106" s="9" t="s">
        <v>338</v>
      </c>
      <c r="C106" s="40">
        <v>1043.0088000000001</v>
      </c>
      <c r="D106" s="40">
        <v>1052.0243</v>
      </c>
    </row>
    <row r="107" spans="1:4" x14ac:dyDescent="0.2">
      <c r="A107" s="9" t="s">
        <v>339</v>
      </c>
      <c r="C107" s="40">
        <v>1085.0514000000001</v>
      </c>
      <c r="D107" s="40">
        <v>1094.4304</v>
      </c>
    </row>
    <row r="108" spans="1:4" x14ac:dyDescent="0.2">
      <c r="A108" s="9" t="s">
        <v>189</v>
      </c>
      <c r="C108" s="40">
        <v>3096.6417000000001</v>
      </c>
      <c r="D108" s="40">
        <v>3123.4020999999998</v>
      </c>
    </row>
    <row r="109" spans="1:4" x14ac:dyDescent="0.2">
      <c r="A109" s="9" t="s">
        <v>340</v>
      </c>
      <c r="C109" s="40">
        <v>3957.835</v>
      </c>
      <c r="D109" s="40">
        <v>4007.0025999999998</v>
      </c>
    </row>
    <row r="110" spans="1:4" x14ac:dyDescent="0.2">
      <c r="A110" s="9" t="s">
        <v>341</v>
      </c>
      <c r="C110" s="40">
        <v>949.76890000000003</v>
      </c>
      <c r="D110" s="40">
        <v>961.56780000000003</v>
      </c>
    </row>
    <row r="111" spans="1:4" x14ac:dyDescent="0.2">
      <c r="A111" s="9" t="s">
        <v>342</v>
      </c>
      <c r="C111" s="40">
        <v>1122.3779999999999</v>
      </c>
      <c r="D111" s="40">
        <v>1136.3212000000001</v>
      </c>
    </row>
    <row r="112" spans="1:4" x14ac:dyDescent="0.2">
      <c r="A112" s="9" t="s">
        <v>343</v>
      </c>
      <c r="C112" s="40">
        <v>1169.2053000000001</v>
      </c>
      <c r="D112" s="40">
        <v>1183.7302</v>
      </c>
    </row>
    <row r="114" spans="1:7" ht="10.5" x14ac:dyDescent="0.25">
      <c r="A114" s="18" t="s">
        <v>197</v>
      </c>
      <c r="D114" s="41" t="s">
        <v>198</v>
      </c>
    </row>
    <row r="116" spans="1:7" ht="10.5" x14ac:dyDescent="0.25">
      <c r="A116" s="18" t="s">
        <v>199</v>
      </c>
      <c r="D116" s="42">
        <v>2.8585620289315101</v>
      </c>
      <c r="E116" s="13" t="s">
        <v>200</v>
      </c>
    </row>
    <row r="118" spans="1:7" ht="10.5" x14ac:dyDescent="0.25">
      <c r="A118" s="18" t="s">
        <v>201</v>
      </c>
      <c r="D118" s="41">
        <v>3</v>
      </c>
    </row>
    <row r="119" spans="1:7" x14ac:dyDescent="0.2">
      <c r="A119" s="9" t="s">
        <v>344</v>
      </c>
    </row>
    <row r="120" spans="1:7" x14ac:dyDescent="0.2">
      <c r="A120" s="56" t="s">
        <v>1505</v>
      </c>
    </row>
    <row r="122" spans="1:7" ht="30" customHeight="1" x14ac:dyDescent="0.2">
      <c r="A122" s="75" t="s">
        <v>1526</v>
      </c>
      <c r="B122" s="75"/>
      <c r="C122" s="75"/>
      <c r="D122" s="75"/>
      <c r="E122" s="75"/>
      <c r="F122" s="75"/>
      <c r="G122" s="75"/>
    </row>
    <row r="123" spans="1:7" x14ac:dyDescent="0.2">
      <c r="A123" s="60"/>
      <c r="G123" s="9"/>
    </row>
    <row r="124" spans="1:7" ht="10.5" x14ac:dyDescent="0.25">
      <c r="A124" s="18" t="s">
        <v>1517</v>
      </c>
      <c r="G124" s="9"/>
    </row>
    <row r="125" spans="1:7" x14ac:dyDescent="0.2">
      <c r="A125" s="59" t="s">
        <v>1510</v>
      </c>
      <c r="G125" s="9"/>
    </row>
    <row r="126" spans="1:7" x14ac:dyDescent="0.2">
      <c r="G126" s="9"/>
    </row>
    <row r="127" spans="1:7" ht="50.15" customHeight="1" x14ac:dyDescent="0.2">
      <c r="A127" s="76" t="s">
        <v>1518</v>
      </c>
      <c r="B127" s="76"/>
      <c r="C127" s="76"/>
      <c r="D127" s="76"/>
      <c r="E127" s="76"/>
      <c r="F127" s="76"/>
      <c r="G127" s="76"/>
    </row>
    <row r="128" spans="1:7" ht="10.5" x14ac:dyDescent="0.2">
      <c r="A128" s="59" t="s">
        <v>1512</v>
      </c>
      <c r="B128" s="62"/>
      <c r="C128" s="62"/>
      <c r="D128" s="62"/>
      <c r="E128" s="62"/>
      <c r="F128" s="62"/>
      <c r="G128" s="9"/>
    </row>
    <row r="129" spans="1:9" x14ac:dyDescent="0.2">
      <c r="A129" s="77" t="s">
        <v>1513</v>
      </c>
      <c r="B129" s="77"/>
      <c r="C129" s="77"/>
      <c r="D129" s="77"/>
      <c r="E129" s="77"/>
      <c r="F129" s="77"/>
      <c r="G129" s="63"/>
    </row>
    <row r="130" spans="1:9" ht="10.5" x14ac:dyDescent="0.2">
      <c r="A130" s="62"/>
      <c r="B130" s="62"/>
      <c r="C130" s="62"/>
      <c r="D130" s="62"/>
      <c r="E130" s="62"/>
      <c r="F130" s="62"/>
      <c r="G130" s="9"/>
    </row>
    <row r="131" spans="1:9" ht="30" customHeight="1" x14ac:dyDescent="0.2">
      <c r="A131" s="78" t="s">
        <v>1519</v>
      </c>
      <c r="B131" s="78"/>
      <c r="C131" s="78"/>
      <c r="D131" s="78"/>
      <c r="E131" s="78"/>
      <c r="F131" s="78"/>
      <c r="G131" s="78"/>
    </row>
    <row r="133" spans="1:9" s="1" customFormat="1" ht="14" x14ac:dyDescent="0.25">
      <c r="A133" s="71" t="s">
        <v>345</v>
      </c>
      <c r="B133" s="72"/>
      <c r="C133" s="72"/>
      <c r="D133" s="72"/>
      <c r="E133" s="72"/>
      <c r="F133" s="72"/>
      <c r="G133" s="72"/>
    </row>
    <row r="134" spans="1:9" ht="10.5" x14ac:dyDescent="0.25">
      <c r="A134" s="18" t="s">
        <v>7</v>
      </c>
    </row>
    <row r="135" spans="1:9" s="1" customFormat="1" ht="17.5" customHeight="1" x14ac:dyDescent="0.25">
      <c r="A135" s="8" t="s">
        <v>2</v>
      </c>
      <c r="B135" s="8" t="s">
        <v>0</v>
      </c>
      <c r="C135" s="17" t="s">
        <v>179</v>
      </c>
      <c r="D135" s="16" t="s">
        <v>1</v>
      </c>
      <c r="E135" s="15" t="s">
        <v>3</v>
      </c>
      <c r="F135" s="15" t="s">
        <v>4</v>
      </c>
      <c r="G135" s="15" t="s">
        <v>6</v>
      </c>
    </row>
    <row r="136" spans="1:9" ht="10.5" x14ac:dyDescent="0.25">
      <c r="A136" s="21" t="s">
        <v>69</v>
      </c>
      <c r="B136" s="22"/>
      <c r="C136" s="22"/>
      <c r="D136" s="23"/>
      <c r="E136" s="24"/>
      <c r="F136" s="25"/>
      <c r="G136" s="24"/>
    </row>
    <row r="137" spans="1:9" ht="10.5" x14ac:dyDescent="0.25">
      <c r="A137" s="26" t="s">
        <v>70</v>
      </c>
      <c r="B137" s="27"/>
      <c r="C137" s="27"/>
      <c r="D137" s="28"/>
      <c r="E137" s="29"/>
      <c r="F137" s="30"/>
      <c r="G137" s="29"/>
    </row>
    <row r="138" spans="1:9" x14ac:dyDescent="0.2">
      <c r="A138" s="27" t="s">
        <v>347</v>
      </c>
      <c r="B138" s="27" t="s">
        <v>346</v>
      </c>
      <c r="C138" s="27" t="s">
        <v>348</v>
      </c>
      <c r="D138" s="31">
        <v>5230</v>
      </c>
      <c r="E138" s="29">
        <v>0</v>
      </c>
      <c r="F138" s="30">
        <v>100</v>
      </c>
      <c r="G138" s="29">
        <v>0</v>
      </c>
    </row>
    <row r="139" spans="1:9" ht="10.5" x14ac:dyDescent="0.25">
      <c r="A139" s="26" t="s">
        <v>164</v>
      </c>
      <c r="B139" s="26"/>
      <c r="C139" s="26"/>
      <c r="D139" s="32"/>
      <c r="E139" s="33">
        <f>SUM(E137:E138)</f>
        <v>0</v>
      </c>
      <c r="F139" s="34">
        <f>SUM(F137:F138)</f>
        <v>100</v>
      </c>
      <c r="G139" s="33"/>
      <c r="H139" s="18"/>
      <c r="I139" s="18"/>
    </row>
    <row r="140" spans="1:9" x14ac:dyDescent="0.2">
      <c r="A140" s="27"/>
      <c r="B140" s="27"/>
      <c r="C140" s="27"/>
      <c r="D140" s="28"/>
      <c r="E140" s="29"/>
      <c r="F140" s="30"/>
      <c r="G140" s="29"/>
    </row>
    <row r="141" spans="1:9" ht="10.5" x14ac:dyDescent="0.25">
      <c r="A141" s="26" t="s">
        <v>176</v>
      </c>
      <c r="B141" s="26"/>
      <c r="C141" s="26"/>
      <c r="D141" s="32"/>
      <c r="E141" s="33">
        <f>E139</f>
        <v>0</v>
      </c>
      <c r="F141" s="34">
        <f>F139</f>
        <v>100</v>
      </c>
      <c r="G141" s="33"/>
      <c r="H141" s="18"/>
      <c r="I141" s="18"/>
    </row>
    <row r="142" spans="1:9" ht="10.5" x14ac:dyDescent="0.25">
      <c r="A142" s="26"/>
      <c r="B142" s="26"/>
      <c r="C142" s="26"/>
      <c r="D142" s="32"/>
      <c r="E142" s="33"/>
      <c r="F142" s="34"/>
      <c r="G142" s="33"/>
      <c r="H142" s="18"/>
      <c r="I142" s="18"/>
    </row>
    <row r="143" spans="1:9" ht="10.5" x14ac:dyDescent="0.25">
      <c r="A143" s="26" t="s">
        <v>178</v>
      </c>
      <c r="B143" s="26"/>
      <c r="C143" s="26"/>
      <c r="D143" s="32"/>
      <c r="E143" s="33">
        <f>E145-(E139)</f>
        <v>0</v>
      </c>
      <c r="F143" s="34">
        <v>0</v>
      </c>
      <c r="G143" s="33"/>
      <c r="H143" s="18"/>
      <c r="I143" s="18"/>
    </row>
    <row r="144" spans="1:9" ht="10.5" x14ac:dyDescent="0.25">
      <c r="A144" s="26"/>
      <c r="B144" s="26"/>
      <c r="C144" s="26"/>
      <c r="D144" s="32"/>
      <c r="E144" s="33"/>
      <c r="F144" s="34"/>
      <c r="G144" s="33"/>
      <c r="H144" s="18"/>
      <c r="I144" s="18"/>
    </row>
    <row r="145" spans="1:9" ht="10.5" x14ac:dyDescent="0.25">
      <c r="A145" s="35" t="s">
        <v>177</v>
      </c>
      <c r="B145" s="35"/>
      <c r="C145" s="35"/>
      <c r="D145" s="36"/>
      <c r="E145" s="37">
        <v>0</v>
      </c>
      <c r="F145" s="38">
        <v>100</v>
      </c>
      <c r="G145" s="37"/>
      <c r="H145" s="18"/>
      <c r="I145" s="18"/>
    </row>
    <row r="146" spans="1:9" ht="10.5" x14ac:dyDescent="0.25">
      <c r="F146" s="20"/>
    </row>
    <row r="147" spans="1:9" ht="10.5" x14ac:dyDescent="0.25">
      <c r="A147" s="61" t="s">
        <v>180</v>
      </c>
    </row>
    <row r="148" spans="1:9" ht="10.5" x14ac:dyDescent="0.25">
      <c r="A148" s="61" t="s">
        <v>1503</v>
      </c>
    </row>
    <row r="149" spans="1:9" ht="10.5" x14ac:dyDescent="0.25">
      <c r="A149" s="18" t="s">
        <v>1511</v>
      </c>
    </row>
    <row r="151" spans="1:9" ht="10.5" x14ac:dyDescent="0.25">
      <c r="A151" s="18" t="s">
        <v>181</v>
      </c>
    </row>
    <row r="152" spans="1:9" ht="10.5" x14ac:dyDescent="0.25">
      <c r="A152" s="18" t="s">
        <v>182</v>
      </c>
    </row>
    <row r="153" spans="1:9" ht="10.5" x14ac:dyDescent="0.25">
      <c r="A153" s="18" t="s">
        <v>183</v>
      </c>
      <c r="B153" s="18"/>
      <c r="C153" s="39" t="s">
        <v>185</v>
      </c>
      <c r="D153" s="19" t="s">
        <v>184</v>
      </c>
    </row>
    <row r="154" spans="1:9" x14ac:dyDescent="0.2">
      <c r="A154" s="9" t="s">
        <v>186</v>
      </c>
      <c r="C154" s="40">
        <v>0</v>
      </c>
      <c r="D154" s="40">
        <v>0</v>
      </c>
    </row>
    <row r="155" spans="1:9" x14ac:dyDescent="0.2">
      <c r="A155" s="9" t="s">
        <v>188</v>
      </c>
      <c r="C155" s="40">
        <v>0</v>
      </c>
      <c r="D155" s="40">
        <v>0</v>
      </c>
    </row>
    <row r="156" spans="1:9" x14ac:dyDescent="0.2">
      <c r="A156" s="9" t="s">
        <v>338</v>
      </c>
      <c r="C156" s="40">
        <v>0</v>
      </c>
      <c r="D156" s="40">
        <v>0</v>
      </c>
    </row>
    <row r="157" spans="1:9" x14ac:dyDescent="0.2">
      <c r="A157" s="9" t="s">
        <v>339</v>
      </c>
      <c r="C157" s="40">
        <v>0</v>
      </c>
      <c r="D157" s="40">
        <v>0</v>
      </c>
    </row>
    <row r="158" spans="1:9" x14ac:dyDescent="0.2">
      <c r="A158" s="9" t="s">
        <v>189</v>
      </c>
      <c r="C158" s="40">
        <v>0</v>
      </c>
      <c r="D158" s="40">
        <v>0</v>
      </c>
    </row>
    <row r="159" spans="1:9" x14ac:dyDescent="0.2">
      <c r="A159" s="9" t="s">
        <v>340</v>
      </c>
      <c r="C159" s="40">
        <v>0</v>
      </c>
      <c r="D159" s="40">
        <v>0</v>
      </c>
    </row>
    <row r="160" spans="1:9" x14ac:dyDescent="0.2">
      <c r="A160" s="9" t="s">
        <v>341</v>
      </c>
      <c r="C160" s="40">
        <v>0</v>
      </c>
      <c r="D160" s="40">
        <v>0</v>
      </c>
    </row>
    <row r="161" spans="1:9" x14ac:dyDescent="0.2">
      <c r="A161" s="9" t="s">
        <v>342</v>
      </c>
      <c r="C161" s="40">
        <v>0</v>
      </c>
      <c r="D161" s="40">
        <v>0</v>
      </c>
    </row>
    <row r="162" spans="1:9" x14ac:dyDescent="0.2">
      <c r="A162" s="9" t="s">
        <v>343</v>
      </c>
      <c r="C162" s="40">
        <v>0</v>
      </c>
      <c r="D162" s="40">
        <v>0</v>
      </c>
    </row>
    <row r="164" spans="1:9" ht="10.5" x14ac:dyDescent="0.25">
      <c r="A164" s="18" t="s">
        <v>1504</v>
      </c>
      <c r="D164" s="41" t="s">
        <v>198</v>
      </c>
    </row>
    <row r="165" spans="1:9" x14ac:dyDescent="0.2">
      <c r="A165" s="9" t="s">
        <v>344</v>
      </c>
    </row>
    <row r="166" spans="1:9" x14ac:dyDescent="0.2">
      <c r="A166" s="56" t="s">
        <v>1505</v>
      </c>
    </row>
    <row r="169" spans="1:9" s="1" customFormat="1" ht="14" x14ac:dyDescent="0.25">
      <c r="A169" s="71" t="s">
        <v>349</v>
      </c>
      <c r="B169" s="72"/>
      <c r="C169" s="72"/>
      <c r="D169" s="72"/>
      <c r="E169" s="72"/>
      <c r="F169" s="72"/>
      <c r="G169" s="72"/>
    </row>
    <row r="170" spans="1:9" ht="10.5" x14ac:dyDescent="0.25">
      <c r="A170" s="18" t="s">
        <v>7</v>
      </c>
    </row>
    <row r="171" spans="1:9" s="1" customFormat="1" ht="17.5" customHeight="1" x14ac:dyDescent="0.25">
      <c r="A171" s="8" t="s">
        <v>2</v>
      </c>
      <c r="B171" s="8" t="s">
        <v>0</v>
      </c>
      <c r="C171" s="17" t="s">
        <v>179</v>
      </c>
      <c r="D171" s="16" t="s">
        <v>1</v>
      </c>
      <c r="E171" s="15" t="s">
        <v>3</v>
      </c>
      <c r="F171" s="15" t="s">
        <v>4</v>
      </c>
      <c r="G171" s="15" t="s">
        <v>6</v>
      </c>
    </row>
    <row r="172" spans="1:9" ht="10.5" x14ac:dyDescent="0.25">
      <c r="A172" s="21" t="s">
        <v>69</v>
      </c>
      <c r="B172" s="22"/>
      <c r="C172" s="22"/>
      <c r="D172" s="23"/>
      <c r="E172" s="24"/>
      <c r="F172" s="25"/>
      <c r="G172" s="24"/>
    </row>
    <row r="173" spans="1:9" ht="10.5" x14ac:dyDescent="0.25">
      <c r="A173" s="26" t="s">
        <v>70</v>
      </c>
      <c r="B173" s="27"/>
      <c r="C173" s="27"/>
      <c r="D173" s="28"/>
      <c r="E173" s="29"/>
      <c r="F173" s="30"/>
      <c r="G173" s="29"/>
    </row>
    <row r="174" spans="1:9" ht="20" x14ac:dyDescent="0.2">
      <c r="A174" s="27" t="s">
        <v>351</v>
      </c>
      <c r="B174" s="27" t="s">
        <v>350</v>
      </c>
      <c r="C174" s="48" t="s">
        <v>1520</v>
      </c>
      <c r="D174" s="31">
        <v>3523</v>
      </c>
      <c r="E174" s="29">
        <v>0</v>
      </c>
      <c r="F174" s="30">
        <v>100</v>
      </c>
      <c r="G174" s="29">
        <v>0</v>
      </c>
    </row>
    <row r="175" spans="1:9" ht="10.5" x14ac:dyDescent="0.25">
      <c r="A175" s="26" t="s">
        <v>164</v>
      </c>
      <c r="B175" s="26"/>
      <c r="C175" s="26"/>
      <c r="D175" s="32"/>
      <c r="E175" s="33">
        <f>SUM(E173:E174)</f>
        <v>0</v>
      </c>
      <c r="F175" s="34">
        <f>SUM(F173:F174)</f>
        <v>100</v>
      </c>
      <c r="G175" s="33"/>
      <c r="H175" s="18"/>
      <c r="I175" s="18"/>
    </row>
    <row r="176" spans="1:9" x14ac:dyDescent="0.2">
      <c r="A176" s="27"/>
      <c r="B176" s="27"/>
      <c r="C176" s="27"/>
      <c r="D176" s="28"/>
      <c r="E176" s="29"/>
      <c r="F176" s="30"/>
      <c r="G176" s="29"/>
    </row>
    <row r="177" spans="1:9" ht="10.5" x14ac:dyDescent="0.25">
      <c r="A177" s="26" t="s">
        <v>176</v>
      </c>
      <c r="B177" s="26"/>
      <c r="C177" s="26"/>
      <c r="D177" s="32"/>
      <c r="E177" s="33">
        <f>E175</f>
        <v>0</v>
      </c>
      <c r="F177" s="34">
        <f>F175</f>
        <v>100</v>
      </c>
      <c r="G177" s="33"/>
      <c r="H177" s="18"/>
      <c r="I177" s="18"/>
    </row>
    <row r="178" spans="1:9" ht="10.5" x14ac:dyDescent="0.25">
      <c r="A178" s="26"/>
      <c r="B178" s="26"/>
      <c r="C178" s="26"/>
      <c r="D178" s="32"/>
      <c r="E178" s="33"/>
      <c r="F178" s="34"/>
      <c r="G178" s="33"/>
      <c r="H178" s="18"/>
      <c r="I178" s="18"/>
    </row>
    <row r="179" spans="1:9" ht="10.5" x14ac:dyDescent="0.25">
      <c r="A179" s="26" t="s">
        <v>178</v>
      </c>
      <c r="B179" s="26"/>
      <c r="C179" s="26"/>
      <c r="D179" s="32"/>
      <c r="E179" s="33">
        <f>E181-(E175)</f>
        <v>0</v>
      </c>
      <c r="F179" s="34">
        <v>0</v>
      </c>
      <c r="G179" s="33"/>
      <c r="H179" s="18"/>
      <c r="I179" s="18"/>
    </row>
    <row r="180" spans="1:9" ht="10.5" x14ac:dyDescent="0.25">
      <c r="A180" s="26"/>
      <c r="B180" s="26"/>
      <c r="C180" s="26"/>
      <c r="D180" s="32"/>
      <c r="E180" s="33"/>
      <c r="F180" s="34"/>
      <c r="G180" s="33"/>
      <c r="H180" s="18"/>
      <c r="I180" s="18"/>
    </row>
    <row r="181" spans="1:9" ht="10.5" x14ac:dyDescent="0.25">
      <c r="A181" s="35" t="s">
        <v>177</v>
      </c>
      <c r="B181" s="35"/>
      <c r="C181" s="35"/>
      <c r="D181" s="36"/>
      <c r="E181" s="37">
        <v>0</v>
      </c>
      <c r="F181" s="38">
        <v>100</v>
      </c>
      <c r="G181" s="37"/>
      <c r="H181" s="18"/>
      <c r="I181" s="18"/>
    </row>
    <row r="182" spans="1:9" ht="10.5" x14ac:dyDescent="0.25">
      <c r="F182" s="20"/>
    </row>
    <row r="183" spans="1:9" ht="10.5" x14ac:dyDescent="0.25">
      <c r="A183" s="18" t="s">
        <v>180</v>
      </c>
    </row>
    <row r="184" spans="1:9" ht="10.5" x14ac:dyDescent="0.25">
      <c r="A184" s="61" t="s">
        <v>1503</v>
      </c>
    </row>
    <row r="186" spans="1:9" ht="10.5" x14ac:dyDescent="0.25">
      <c r="A186" s="18" t="s">
        <v>181</v>
      </c>
    </row>
    <row r="187" spans="1:9" ht="10.5" x14ac:dyDescent="0.25">
      <c r="A187" s="18" t="s">
        <v>182</v>
      </c>
    </row>
    <row r="188" spans="1:9" ht="10.5" x14ac:dyDescent="0.25">
      <c r="A188" s="18" t="s">
        <v>183</v>
      </c>
      <c r="B188" s="18"/>
      <c r="C188" s="39" t="s">
        <v>185</v>
      </c>
      <c r="D188" s="19" t="s">
        <v>184</v>
      </c>
    </row>
    <row r="189" spans="1:9" x14ac:dyDescent="0.2">
      <c r="A189" s="9" t="s">
        <v>186</v>
      </c>
      <c r="C189" s="40">
        <v>0</v>
      </c>
      <c r="D189" s="40">
        <v>0</v>
      </c>
    </row>
    <row r="190" spans="1:9" x14ac:dyDescent="0.2">
      <c r="A190" s="9" t="s">
        <v>188</v>
      </c>
      <c r="C190" s="40">
        <v>0</v>
      </c>
      <c r="D190" s="40">
        <v>0</v>
      </c>
    </row>
    <row r="191" spans="1:9" x14ac:dyDescent="0.2">
      <c r="A191" s="9" t="s">
        <v>338</v>
      </c>
      <c r="C191" s="40">
        <v>0</v>
      </c>
      <c r="D191" s="40">
        <v>0</v>
      </c>
    </row>
    <row r="192" spans="1:9" x14ac:dyDescent="0.2">
      <c r="A192" s="9" t="s">
        <v>339</v>
      </c>
      <c r="C192" s="40">
        <v>0</v>
      </c>
      <c r="D192" s="40">
        <v>0</v>
      </c>
    </row>
    <row r="193" spans="1:4" x14ac:dyDescent="0.2">
      <c r="A193" s="9" t="s">
        <v>189</v>
      </c>
      <c r="C193" s="40">
        <v>0</v>
      </c>
      <c r="D193" s="40">
        <v>0</v>
      </c>
    </row>
    <row r="194" spans="1:4" x14ac:dyDescent="0.2">
      <c r="A194" s="9" t="s">
        <v>340</v>
      </c>
      <c r="C194" s="40">
        <v>0</v>
      </c>
      <c r="D194" s="40">
        <v>0</v>
      </c>
    </row>
    <row r="195" spans="1:4" x14ac:dyDescent="0.2">
      <c r="A195" s="9" t="s">
        <v>341</v>
      </c>
      <c r="C195" s="40">
        <v>0</v>
      </c>
      <c r="D195" s="40">
        <v>0</v>
      </c>
    </row>
    <row r="196" spans="1:4" x14ac:dyDescent="0.2">
      <c r="A196" s="9" t="s">
        <v>342</v>
      </c>
      <c r="C196" s="40">
        <v>0</v>
      </c>
      <c r="D196" s="40">
        <v>0</v>
      </c>
    </row>
    <row r="197" spans="1:4" x14ac:dyDescent="0.2">
      <c r="A197" s="9" t="s">
        <v>343</v>
      </c>
      <c r="C197" s="40">
        <v>0</v>
      </c>
      <c r="D197" s="40">
        <v>0</v>
      </c>
    </row>
    <row r="199" spans="1:4" ht="10.5" x14ac:dyDescent="0.25">
      <c r="A199" s="18" t="s">
        <v>1504</v>
      </c>
      <c r="D199" s="41" t="s">
        <v>198</v>
      </c>
    </row>
    <row r="200" spans="1:4" x14ac:dyDescent="0.2">
      <c r="A200" s="9" t="s">
        <v>344</v>
      </c>
    </row>
    <row r="201" spans="1:4" x14ac:dyDescent="0.2">
      <c r="A201" s="56" t="s">
        <v>1505</v>
      </c>
    </row>
  </sheetData>
  <mergeCells count="7">
    <mergeCell ref="A169:G169"/>
    <mergeCell ref="A1:G1"/>
    <mergeCell ref="A122:G122"/>
    <mergeCell ref="A127:G127"/>
    <mergeCell ref="A129:F129"/>
    <mergeCell ref="A131:G131"/>
    <mergeCell ref="A133:G133"/>
  </mergeCells>
  <conditionalFormatting sqref="F2:F3 F5:F56 F136:F137 F172:F173 F89:F117 F59:F74 F132 F134 F147:F168 F170 F183:F65549 F123">
    <cfRule type="cellIs" dxfId="73" priority="5" stopIfTrue="1" operator="between">
      <formula>0.009</formula>
      <formula>-0.009</formula>
    </cfRule>
  </conditionalFormatting>
  <conditionalFormatting sqref="F118:F121">
    <cfRule type="cellIs" dxfId="72" priority="4" stopIfTrue="1" operator="between">
      <formula>0.009</formula>
      <formula>-0.009</formula>
    </cfRule>
  </conditionalFormatting>
  <conditionalFormatting sqref="F124:F126">
    <cfRule type="cellIs" dxfId="71" priority="3" stopIfTrue="1" operator="between">
      <formula>0.009</formula>
      <formula>-0.009</formula>
    </cfRule>
  </conditionalFormatting>
  <conditionalFormatting sqref="F138:F142 F144:F146">
    <cfRule type="cellIs" dxfId="70" priority="2" stopIfTrue="1" operator="between">
      <formula>0.009</formula>
      <formula>-0.009</formula>
    </cfRule>
  </conditionalFormatting>
  <conditionalFormatting sqref="F174:F178 F180:F182">
    <cfRule type="cellIs" dxfId="69" priority="1" stopIfTrue="1" operator="between">
      <formula>0.009</formula>
      <formula>-0.009</formula>
    </cfRule>
  </conditionalFormatting>
  <hyperlinks>
    <hyperlink ref="A120" r:id="rId1" xr:uid="{00000000-0004-0000-0A00-000000000000}"/>
    <hyperlink ref="A125" r:id="rId2" xr:uid="{00000000-0004-0000-0A00-000001000000}"/>
    <hyperlink ref="A128" r:id="rId3" xr:uid="{00000000-0004-0000-0A00-000002000000}"/>
    <hyperlink ref="A129" r:id="rId4" xr:uid="{00000000-0004-0000-0A00-000003000000}"/>
    <hyperlink ref="A166" r:id="rId5" xr:uid="{00000000-0004-0000-0A00-000004000000}"/>
    <hyperlink ref="A201" r:id="rId6" xr:uid="{00000000-0004-0000-0A00-000005000000}"/>
  </hyperlinks>
  <pageMargins left="0.7" right="0.7" top="0.75" bottom="0.75" header="0.3" footer="0.3"/>
  <pageSetup paperSize="9" orientation="portrait" r:id="rId7"/>
  <headerFooter>
    <oddFooter>&amp;LPUBLIC</oddFooter>
    <evenFooter>&amp;LPUBLIC</evenFooter>
    <firstFooter>&amp;LPUBLIC</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I111"/>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1" t="s">
        <v>12</v>
      </c>
      <c r="B1" s="72"/>
      <c r="C1" s="72"/>
      <c r="D1" s="72"/>
      <c r="E1" s="72"/>
      <c r="F1" s="72"/>
      <c r="G1" s="72"/>
    </row>
    <row r="2" spans="1:7" s="1" customFormat="1" ht="11.5" x14ac:dyDescent="0.25">
      <c r="A2" s="43" t="s">
        <v>202</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429</v>
      </c>
      <c r="B7" s="27" t="s">
        <v>428</v>
      </c>
      <c r="C7" s="27" t="s">
        <v>87</v>
      </c>
      <c r="D7" s="31">
        <v>2797</v>
      </c>
      <c r="E7" s="29">
        <v>25507.325410000001</v>
      </c>
      <c r="F7" s="30">
        <v>15.1085428944918</v>
      </c>
      <c r="G7" s="29">
        <v>11.5764</v>
      </c>
    </row>
    <row r="8" spans="1:7" x14ac:dyDescent="0.2">
      <c r="A8" s="27" t="s">
        <v>233</v>
      </c>
      <c r="B8" s="27" t="s">
        <v>232</v>
      </c>
      <c r="C8" s="27" t="s">
        <v>234</v>
      </c>
      <c r="D8" s="31">
        <v>1910</v>
      </c>
      <c r="E8" s="29">
        <v>21565.504400000002</v>
      </c>
      <c r="F8" s="30">
        <v>12.7737166885014</v>
      </c>
      <c r="G8" s="29">
        <v>7.6195000000000004</v>
      </c>
    </row>
    <row r="9" spans="1:7" x14ac:dyDescent="0.2">
      <c r="A9" s="27" t="s">
        <v>212</v>
      </c>
      <c r="B9" s="27" t="s">
        <v>211</v>
      </c>
      <c r="C9" s="27" t="s">
        <v>132</v>
      </c>
      <c r="D9" s="31">
        <v>1550</v>
      </c>
      <c r="E9" s="29">
        <v>14799.183000000001</v>
      </c>
      <c r="F9" s="30">
        <v>8.7658775494852801</v>
      </c>
      <c r="G9" s="29">
        <v>11.524900000000001</v>
      </c>
    </row>
    <row r="10" spans="1:7" x14ac:dyDescent="0.2">
      <c r="A10" s="27" t="s">
        <v>431</v>
      </c>
      <c r="B10" s="27" t="s">
        <v>430</v>
      </c>
      <c r="C10" s="27" t="s">
        <v>82</v>
      </c>
      <c r="D10" s="31">
        <v>12100</v>
      </c>
      <c r="E10" s="29">
        <v>12497.968999999999</v>
      </c>
      <c r="F10" s="30">
        <v>7.4028185117558802</v>
      </c>
      <c r="G10" s="29">
        <v>8.2873999999999999</v>
      </c>
    </row>
    <row r="11" spans="1:7" x14ac:dyDescent="0.2">
      <c r="A11" s="27" t="s">
        <v>433</v>
      </c>
      <c r="B11" s="27" t="s">
        <v>432</v>
      </c>
      <c r="C11" s="27" t="s">
        <v>109</v>
      </c>
      <c r="D11" s="31">
        <v>5858</v>
      </c>
      <c r="E11" s="29">
        <v>11648.59785</v>
      </c>
      <c r="F11" s="30">
        <v>6.8997175301026701</v>
      </c>
      <c r="G11" s="29">
        <v>10.8484</v>
      </c>
    </row>
    <row r="12" spans="1:7" x14ac:dyDescent="0.2">
      <c r="A12" s="27" t="s">
        <v>435</v>
      </c>
      <c r="B12" s="27" t="s">
        <v>434</v>
      </c>
      <c r="C12" s="27" t="s">
        <v>76</v>
      </c>
      <c r="D12" s="31">
        <v>1000</v>
      </c>
      <c r="E12" s="29">
        <v>9408.34</v>
      </c>
      <c r="F12" s="30">
        <v>5.5727641440696001</v>
      </c>
      <c r="G12" s="29">
        <v>11.9467</v>
      </c>
    </row>
    <row r="13" spans="1:7" x14ac:dyDescent="0.2">
      <c r="A13" s="27" t="s">
        <v>437</v>
      </c>
      <c r="B13" s="27" t="s">
        <v>436</v>
      </c>
      <c r="C13" s="27" t="s">
        <v>416</v>
      </c>
      <c r="D13" s="31">
        <v>723</v>
      </c>
      <c r="E13" s="29">
        <v>9253.4890200000009</v>
      </c>
      <c r="F13" s="30">
        <v>5.4810425450395801</v>
      </c>
      <c r="G13" s="29">
        <v>10.675000000000001</v>
      </c>
    </row>
    <row r="14" spans="1:7" x14ac:dyDescent="0.2">
      <c r="A14" s="27" t="s">
        <v>81</v>
      </c>
      <c r="B14" s="27" t="s">
        <v>80</v>
      </c>
      <c r="C14" s="27" t="s">
        <v>82</v>
      </c>
      <c r="D14" s="31">
        <v>780</v>
      </c>
      <c r="E14" s="29">
        <v>7772.9417999999996</v>
      </c>
      <c r="F14" s="30">
        <v>4.60408226711405</v>
      </c>
      <c r="G14" s="29">
        <v>16.215299999999999</v>
      </c>
    </row>
    <row r="15" spans="1:7" x14ac:dyDescent="0.2">
      <c r="A15" s="27" t="s">
        <v>263</v>
      </c>
      <c r="B15" s="27" t="s">
        <v>262</v>
      </c>
      <c r="C15" s="27" t="s">
        <v>82</v>
      </c>
      <c r="D15" s="31">
        <v>650</v>
      </c>
      <c r="E15" s="29">
        <v>6338.8779999999997</v>
      </c>
      <c r="F15" s="30">
        <v>3.7546551285382499</v>
      </c>
      <c r="G15" s="29">
        <v>11.573700000000001</v>
      </c>
    </row>
    <row r="16" spans="1:7" x14ac:dyDescent="0.2">
      <c r="A16" s="27" t="s">
        <v>267</v>
      </c>
      <c r="B16" s="27" t="s">
        <v>266</v>
      </c>
      <c r="C16" s="27" t="s">
        <v>109</v>
      </c>
      <c r="D16" s="31">
        <v>646</v>
      </c>
      <c r="E16" s="29">
        <v>6189.7911199999999</v>
      </c>
      <c r="F16" s="30">
        <v>3.6663477311424102</v>
      </c>
      <c r="G16" s="29">
        <v>11.499700000000001</v>
      </c>
    </row>
    <row r="17" spans="1:7" x14ac:dyDescent="0.2">
      <c r="A17" s="27" t="s">
        <v>204</v>
      </c>
      <c r="B17" s="27" t="s">
        <v>203</v>
      </c>
      <c r="C17" s="27" t="s">
        <v>132</v>
      </c>
      <c r="D17" s="31">
        <v>620</v>
      </c>
      <c r="E17" s="29">
        <v>6001.9161999999997</v>
      </c>
      <c r="F17" s="30">
        <v>3.5550653351250499</v>
      </c>
      <c r="G17" s="29">
        <v>11.998799999999999</v>
      </c>
    </row>
    <row r="18" spans="1:7" x14ac:dyDescent="0.2">
      <c r="A18" s="27" t="s">
        <v>156</v>
      </c>
      <c r="B18" s="27" t="s">
        <v>155</v>
      </c>
      <c r="C18" s="27" t="s">
        <v>109</v>
      </c>
      <c r="D18" s="31">
        <v>501</v>
      </c>
      <c r="E18" s="29">
        <v>5010.3456900000001</v>
      </c>
      <c r="F18" s="30">
        <v>2.9677365837784002</v>
      </c>
      <c r="G18" s="29">
        <v>10.5358</v>
      </c>
    </row>
    <row r="19" spans="1:7" x14ac:dyDescent="0.2">
      <c r="A19" s="27" t="s">
        <v>439</v>
      </c>
      <c r="B19" s="27" t="s">
        <v>438</v>
      </c>
      <c r="C19" s="27" t="s">
        <v>246</v>
      </c>
      <c r="D19" s="31">
        <v>400</v>
      </c>
      <c r="E19" s="29">
        <v>3981.308</v>
      </c>
      <c r="F19" s="30">
        <v>2.3582152078791201</v>
      </c>
      <c r="G19" s="29">
        <v>9.24</v>
      </c>
    </row>
    <row r="20" spans="1:7" x14ac:dyDescent="0.2">
      <c r="A20" s="27" t="s">
        <v>221</v>
      </c>
      <c r="B20" s="27" t="s">
        <v>220</v>
      </c>
      <c r="C20" s="27" t="s">
        <v>79</v>
      </c>
      <c r="D20" s="31">
        <v>4000</v>
      </c>
      <c r="E20" s="29">
        <v>3960.8519999999999</v>
      </c>
      <c r="F20" s="30">
        <v>2.3460986747466999</v>
      </c>
      <c r="G20" s="29">
        <v>10.9397</v>
      </c>
    </row>
    <row r="21" spans="1:7" x14ac:dyDescent="0.2">
      <c r="A21" s="27" t="s">
        <v>265</v>
      </c>
      <c r="B21" s="27" t="s">
        <v>264</v>
      </c>
      <c r="C21" s="27" t="s">
        <v>109</v>
      </c>
      <c r="D21" s="31">
        <v>350</v>
      </c>
      <c r="E21" s="29">
        <v>3369.0790000000002</v>
      </c>
      <c r="F21" s="30">
        <v>1.99557867272418</v>
      </c>
      <c r="G21" s="29">
        <v>11.499700000000001</v>
      </c>
    </row>
    <row r="22" spans="1:7" x14ac:dyDescent="0.2">
      <c r="A22" s="27" t="s">
        <v>108</v>
      </c>
      <c r="B22" s="27" t="s">
        <v>107</v>
      </c>
      <c r="C22" s="27" t="s">
        <v>109</v>
      </c>
      <c r="D22" s="31">
        <v>240</v>
      </c>
      <c r="E22" s="29">
        <v>2402.9567999999999</v>
      </c>
      <c r="F22" s="30">
        <v>1.42332350816278</v>
      </c>
      <c r="G22" s="29">
        <v>10.355</v>
      </c>
    </row>
    <row r="23" spans="1:7" x14ac:dyDescent="0.2">
      <c r="A23" s="27" t="s">
        <v>136</v>
      </c>
      <c r="B23" s="27" t="s">
        <v>135</v>
      </c>
      <c r="C23" s="27" t="s">
        <v>137</v>
      </c>
      <c r="D23" s="31">
        <v>204</v>
      </c>
      <c r="E23" s="29">
        <v>2191.5924</v>
      </c>
      <c r="F23" s="30">
        <v>1.2981277829176501</v>
      </c>
      <c r="G23" s="29">
        <v>6.2523</v>
      </c>
    </row>
    <row r="24" spans="1:7" x14ac:dyDescent="0.2">
      <c r="A24" s="27" t="s">
        <v>257</v>
      </c>
      <c r="B24" s="27" t="s">
        <v>256</v>
      </c>
      <c r="C24" s="27" t="s">
        <v>76</v>
      </c>
      <c r="D24" s="31">
        <v>200</v>
      </c>
      <c r="E24" s="29">
        <v>2015.0440000000001</v>
      </c>
      <c r="F24" s="30">
        <v>1.1935543307238701</v>
      </c>
      <c r="G24" s="29">
        <v>10.435600000000001</v>
      </c>
    </row>
    <row r="25" spans="1:7" x14ac:dyDescent="0.2">
      <c r="A25" s="27" t="s">
        <v>206</v>
      </c>
      <c r="B25" s="27" t="s">
        <v>205</v>
      </c>
      <c r="C25" s="27" t="s">
        <v>87</v>
      </c>
      <c r="D25" s="31">
        <v>250</v>
      </c>
      <c r="E25" s="29">
        <v>2003.848</v>
      </c>
      <c r="F25" s="30">
        <v>1.18692269673137</v>
      </c>
      <c r="G25" s="29">
        <v>9.7650000000000006</v>
      </c>
    </row>
    <row r="26" spans="1:7" x14ac:dyDescent="0.2">
      <c r="A26" s="27" t="s">
        <v>441</v>
      </c>
      <c r="B26" s="27" t="s">
        <v>440</v>
      </c>
      <c r="C26" s="27" t="s">
        <v>79</v>
      </c>
      <c r="D26" s="31">
        <v>2000</v>
      </c>
      <c r="E26" s="29">
        <v>1986.856</v>
      </c>
      <c r="F26" s="30">
        <v>1.1768579660417799</v>
      </c>
      <c r="G26" s="29">
        <v>10.835000000000001</v>
      </c>
    </row>
    <row r="27" spans="1:7" x14ac:dyDescent="0.2">
      <c r="A27" s="27" t="s">
        <v>443</v>
      </c>
      <c r="B27" s="27" t="s">
        <v>442</v>
      </c>
      <c r="C27" s="27" t="s">
        <v>154</v>
      </c>
      <c r="D27" s="31">
        <v>150</v>
      </c>
      <c r="E27" s="29">
        <v>1884.2204999999999</v>
      </c>
      <c r="F27" s="30">
        <v>1.11606473000773</v>
      </c>
      <c r="G27" s="29">
        <v>10.910500000000001</v>
      </c>
    </row>
    <row r="28" spans="1:7" x14ac:dyDescent="0.2">
      <c r="A28" s="27" t="s">
        <v>445</v>
      </c>
      <c r="B28" s="27" t="s">
        <v>444</v>
      </c>
      <c r="C28" s="27" t="s">
        <v>109</v>
      </c>
      <c r="D28" s="31">
        <v>150</v>
      </c>
      <c r="E28" s="29">
        <v>1492.8389999999999</v>
      </c>
      <c r="F28" s="30">
        <v>0.88424096621388204</v>
      </c>
      <c r="G28" s="29">
        <v>10.479900000000001</v>
      </c>
    </row>
    <row r="29" spans="1:7" x14ac:dyDescent="0.2">
      <c r="A29" s="27" t="s">
        <v>245</v>
      </c>
      <c r="B29" s="27" t="s">
        <v>244</v>
      </c>
      <c r="C29" s="27" t="s">
        <v>246</v>
      </c>
      <c r="D29" s="31">
        <v>150</v>
      </c>
      <c r="E29" s="29">
        <v>1492.788</v>
      </c>
      <c r="F29" s="30">
        <v>0.88421075780609204</v>
      </c>
      <c r="G29" s="29">
        <v>9.24</v>
      </c>
    </row>
    <row r="30" spans="1:7" x14ac:dyDescent="0.2">
      <c r="A30" s="27" t="s">
        <v>447</v>
      </c>
      <c r="B30" s="27" t="s">
        <v>446</v>
      </c>
      <c r="C30" s="27" t="s">
        <v>76</v>
      </c>
      <c r="D30" s="31">
        <v>150</v>
      </c>
      <c r="E30" s="29">
        <v>1386.933</v>
      </c>
      <c r="F30" s="30">
        <v>0.82151054199007201</v>
      </c>
      <c r="G30" s="29">
        <v>11.7538</v>
      </c>
    </row>
    <row r="31" spans="1:7" x14ac:dyDescent="0.2">
      <c r="A31" s="27" t="s">
        <v>449</v>
      </c>
      <c r="B31" s="27" t="s">
        <v>448</v>
      </c>
      <c r="C31" s="27" t="s">
        <v>246</v>
      </c>
      <c r="D31" s="31">
        <v>40</v>
      </c>
      <c r="E31" s="29">
        <v>398.2124</v>
      </c>
      <c r="F31" s="30">
        <v>0.23586985424037599</v>
      </c>
      <c r="G31" s="29">
        <v>9.24</v>
      </c>
    </row>
    <row r="32" spans="1:7" x14ac:dyDescent="0.2">
      <c r="A32" s="27" t="s">
        <v>125</v>
      </c>
      <c r="B32" s="27" t="s">
        <v>124</v>
      </c>
      <c r="C32" s="27" t="s">
        <v>87</v>
      </c>
      <c r="D32" s="31">
        <v>30</v>
      </c>
      <c r="E32" s="29">
        <v>309.3972</v>
      </c>
      <c r="F32" s="30">
        <v>0.18326268209222099</v>
      </c>
      <c r="G32" s="29">
        <v>5.2549999999999999</v>
      </c>
    </row>
    <row r="33" spans="1:9" ht="10.5" x14ac:dyDescent="0.25">
      <c r="A33" s="26" t="s">
        <v>164</v>
      </c>
      <c r="B33" s="26"/>
      <c r="C33" s="26"/>
      <c r="D33" s="32"/>
      <c r="E33" s="33">
        <f>SUM(E6:E32)</f>
        <v>164870.20778999993</v>
      </c>
      <c r="F33" s="34">
        <f>SUM(F6:F32)</f>
        <v>97.656205281422189</v>
      </c>
      <c r="G33" s="33"/>
      <c r="H33" s="18"/>
      <c r="I33" s="18"/>
    </row>
    <row r="34" spans="1:9" x14ac:dyDescent="0.2">
      <c r="A34" s="27"/>
      <c r="B34" s="27"/>
      <c r="C34" s="27"/>
      <c r="D34" s="28"/>
      <c r="E34" s="29"/>
      <c r="F34" s="30"/>
      <c r="G34" s="29"/>
    </row>
    <row r="35" spans="1:9" ht="10.5" x14ac:dyDescent="0.25">
      <c r="A35" s="26" t="s">
        <v>165</v>
      </c>
      <c r="B35" s="27"/>
      <c r="C35" s="27"/>
      <c r="D35" s="28"/>
      <c r="E35" s="29"/>
      <c r="F35" s="30"/>
      <c r="G35" s="29"/>
    </row>
    <row r="36" spans="1:9" x14ac:dyDescent="0.2">
      <c r="A36" s="27" t="s">
        <v>298</v>
      </c>
      <c r="B36" s="27" t="s">
        <v>297</v>
      </c>
      <c r="C36" s="27" t="s">
        <v>290</v>
      </c>
      <c r="D36" s="31">
        <v>1000</v>
      </c>
      <c r="E36" s="29">
        <v>9202.0400000000009</v>
      </c>
      <c r="F36" s="30">
        <v>5.4505681729501898</v>
      </c>
      <c r="G36" s="29">
        <v>25.8</v>
      </c>
    </row>
    <row r="37" spans="1:9" x14ac:dyDescent="0.2">
      <c r="A37" s="27" t="s">
        <v>296</v>
      </c>
      <c r="B37" s="27" t="s">
        <v>295</v>
      </c>
      <c r="C37" s="27" t="s">
        <v>290</v>
      </c>
      <c r="D37" s="31">
        <v>770</v>
      </c>
      <c r="E37" s="29">
        <v>6664.1431590000002</v>
      </c>
      <c r="F37" s="30">
        <v>3.9473167474200399</v>
      </c>
      <c r="G37" s="29">
        <v>11.3429</v>
      </c>
    </row>
    <row r="38" spans="1:9" x14ac:dyDescent="0.2">
      <c r="A38" s="27" t="s">
        <v>292</v>
      </c>
      <c r="B38" s="27" t="s">
        <v>291</v>
      </c>
      <c r="C38" s="27" t="s">
        <v>285</v>
      </c>
      <c r="D38" s="31">
        <v>370</v>
      </c>
      <c r="E38" s="29">
        <v>3695.4009000000001</v>
      </c>
      <c r="F38" s="30">
        <v>2.18886622225414</v>
      </c>
      <c r="G38" s="29">
        <v>9.6150000000000002</v>
      </c>
    </row>
    <row r="39" spans="1:9" x14ac:dyDescent="0.2">
      <c r="A39" s="27" t="s">
        <v>302</v>
      </c>
      <c r="B39" s="27" t="s">
        <v>301</v>
      </c>
      <c r="C39" s="27" t="s">
        <v>151</v>
      </c>
      <c r="D39" s="31">
        <v>300</v>
      </c>
      <c r="E39" s="29">
        <v>2975.85</v>
      </c>
      <c r="F39" s="30">
        <v>1.7626605945500999</v>
      </c>
      <c r="G39" s="29">
        <v>12.0101</v>
      </c>
    </row>
    <row r="40" spans="1:9" x14ac:dyDescent="0.2">
      <c r="A40" s="27" t="s">
        <v>304</v>
      </c>
      <c r="B40" s="27" t="s">
        <v>303</v>
      </c>
      <c r="C40" s="27" t="s">
        <v>290</v>
      </c>
      <c r="D40" s="31">
        <v>250</v>
      </c>
      <c r="E40" s="29">
        <v>2225.8981779999999</v>
      </c>
      <c r="F40" s="30">
        <v>1.3184478403956701</v>
      </c>
      <c r="G40" s="29">
        <v>11.344900000000001</v>
      </c>
    </row>
    <row r="41" spans="1:9" x14ac:dyDescent="0.2">
      <c r="A41" s="27" t="s">
        <v>284</v>
      </c>
      <c r="B41" s="27" t="s">
        <v>283</v>
      </c>
      <c r="C41" s="27" t="s">
        <v>285</v>
      </c>
      <c r="D41" s="31">
        <v>10</v>
      </c>
      <c r="E41" s="29">
        <v>1015.3920000000001</v>
      </c>
      <c r="F41" s="30">
        <v>0.60143873730914399</v>
      </c>
      <c r="G41" s="29">
        <v>8.5593000000000004</v>
      </c>
    </row>
    <row r="42" spans="1:9" x14ac:dyDescent="0.2">
      <c r="A42" s="27" t="s">
        <v>300</v>
      </c>
      <c r="B42" s="27" t="s">
        <v>299</v>
      </c>
      <c r="C42" s="27" t="s">
        <v>290</v>
      </c>
      <c r="D42" s="31">
        <v>110</v>
      </c>
      <c r="E42" s="29">
        <v>1000.145021</v>
      </c>
      <c r="F42" s="30">
        <v>0.59240762046211504</v>
      </c>
      <c r="G42" s="29">
        <v>11.344900000000001</v>
      </c>
    </row>
    <row r="43" spans="1:9" x14ac:dyDescent="0.2">
      <c r="A43" s="27" t="s">
        <v>287</v>
      </c>
      <c r="B43" s="27" t="s">
        <v>286</v>
      </c>
      <c r="C43" s="27" t="s">
        <v>92</v>
      </c>
      <c r="D43" s="31">
        <v>50</v>
      </c>
      <c r="E43" s="29">
        <v>474.2</v>
      </c>
      <c r="F43" s="30">
        <v>0.28087896027543702</v>
      </c>
      <c r="G43" s="29">
        <v>11.914999999999999</v>
      </c>
    </row>
    <row r="44" spans="1:9" x14ac:dyDescent="0.2">
      <c r="A44" s="27" t="s">
        <v>451</v>
      </c>
      <c r="B44" s="27" t="s">
        <v>450</v>
      </c>
      <c r="C44" s="27" t="s">
        <v>309</v>
      </c>
      <c r="D44" s="31">
        <v>400</v>
      </c>
      <c r="E44" s="29">
        <v>0</v>
      </c>
      <c r="F44" s="29">
        <v>0</v>
      </c>
      <c r="G44" s="29">
        <v>0</v>
      </c>
    </row>
    <row r="45" spans="1:9" x14ac:dyDescent="0.2">
      <c r="A45" s="27" t="s">
        <v>453</v>
      </c>
      <c r="B45" s="27" t="s">
        <v>452</v>
      </c>
      <c r="C45" s="27" t="s">
        <v>309</v>
      </c>
      <c r="D45" s="31">
        <v>688</v>
      </c>
      <c r="E45" s="29">
        <v>0</v>
      </c>
      <c r="F45" s="29">
        <v>0</v>
      </c>
      <c r="G45" s="29">
        <v>0</v>
      </c>
    </row>
    <row r="46" spans="1:9" x14ac:dyDescent="0.2">
      <c r="A46" s="27" t="s">
        <v>455</v>
      </c>
      <c r="B46" s="27" t="s">
        <v>454</v>
      </c>
      <c r="C46" s="27" t="s">
        <v>316</v>
      </c>
      <c r="D46" s="31">
        <v>599</v>
      </c>
      <c r="E46" s="29">
        <v>0</v>
      </c>
      <c r="F46" s="29">
        <v>0</v>
      </c>
      <c r="G46" s="29">
        <v>0</v>
      </c>
    </row>
    <row r="47" spans="1:9" x14ac:dyDescent="0.2">
      <c r="A47" s="27" t="s">
        <v>457</v>
      </c>
      <c r="B47" s="27" t="s">
        <v>456</v>
      </c>
      <c r="C47" s="27" t="s">
        <v>309</v>
      </c>
      <c r="D47" s="31">
        <v>1400</v>
      </c>
      <c r="E47" s="29">
        <v>0</v>
      </c>
      <c r="F47" s="29">
        <v>0</v>
      </c>
      <c r="G47" s="29">
        <v>0</v>
      </c>
    </row>
    <row r="48" spans="1:9" ht="10.5" x14ac:dyDescent="0.25">
      <c r="A48" s="26" t="s">
        <v>164</v>
      </c>
      <c r="B48" s="26"/>
      <c r="C48" s="26"/>
      <c r="D48" s="32"/>
      <c r="E48" s="33">
        <f>SUM(E35:E47)</f>
        <v>27253.069258</v>
      </c>
      <c r="F48" s="34">
        <f>SUM(F35:F47)</f>
        <v>16.142584895616835</v>
      </c>
      <c r="G48" s="33"/>
      <c r="H48" s="18"/>
      <c r="I48" s="18"/>
    </row>
    <row r="49" spans="1:9" x14ac:dyDescent="0.2">
      <c r="A49" s="27"/>
      <c r="B49" s="27"/>
      <c r="C49" s="27"/>
      <c r="D49" s="28"/>
      <c r="E49" s="29"/>
      <c r="F49" s="30"/>
      <c r="G49" s="29"/>
    </row>
    <row r="50" spans="1:9" ht="10.5" x14ac:dyDescent="0.25">
      <c r="A50" s="26" t="s">
        <v>176</v>
      </c>
      <c r="B50" s="26"/>
      <c r="C50" s="26"/>
      <c r="D50" s="32"/>
      <c r="E50" s="33">
        <f>E33+E48</f>
        <v>192123.27704799993</v>
      </c>
      <c r="F50" s="34">
        <f>F33+F48</f>
        <v>113.79879017703902</v>
      </c>
      <c r="G50" s="33"/>
      <c r="H50" s="18"/>
      <c r="I50" s="18"/>
    </row>
    <row r="51" spans="1:9" ht="10.5" x14ac:dyDescent="0.25">
      <c r="A51" s="26"/>
      <c r="B51" s="26"/>
      <c r="C51" s="26"/>
      <c r="D51" s="32"/>
      <c r="E51" s="33"/>
      <c r="F51" s="34"/>
      <c r="G51" s="33"/>
      <c r="H51" s="18"/>
      <c r="I51" s="18"/>
    </row>
    <row r="52" spans="1:9" ht="10.5" x14ac:dyDescent="0.25">
      <c r="A52" s="26" t="s">
        <v>178</v>
      </c>
      <c r="B52" s="26"/>
      <c r="C52" s="26"/>
      <c r="D52" s="32"/>
      <c r="E52" s="33">
        <f>E54-(E33+E48)</f>
        <v>-23296.106961999933</v>
      </c>
      <c r="F52" s="34">
        <f>F54-(F33+F48)</f>
        <v>-13.798790177039024</v>
      </c>
      <c r="G52" s="33"/>
      <c r="H52" s="18"/>
      <c r="I52" s="18"/>
    </row>
    <row r="53" spans="1:9" ht="10.5" x14ac:dyDescent="0.25">
      <c r="A53" s="26"/>
      <c r="B53" s="26"/>
      <c r="C53" s="26"/>
      <c r="D53" s="32"/>
      <c r="E53" s="33"/>
      <c r="F53" s="34"/>
      <c r="G53" s="33"/>
      <c r="H53" s="18"/>
      <c r="I53" s="18"/>
    </row>
    <row r="54" spans="1:9" ht="10.5" x14ac:dyDescent="0.25">
      <c r="A54" s="35" t="s">
        <v>177</v>
      </c>
      <c r="B54" s="35"/>
      <c r="C54" s="35"/>
      <c r="D54" s="36"/>
      <c r="E54" s="37">
        <v>168827.170086</v>
      </c>
      <c r="F54" s="38">
        <v>100</v>
      </c>
      <c r="G54" s="37"/>
      <c r="H54" s="18"/>
      <c r="I54" s="18"/>
    </row>
    <row r="55" spans="1:9" ht="10.5" x14ac:dyDescent="0.25">
      <c r="F55" s="20"/>
    </row>
    <row r="56" spans="1:9" ht="10.5" x14ac:dyDescent="0.25">
      <c r="A56" s="61" t="s">
        <v>180</v>
      </c>
    </row>
    <row r="57" spans="1:9" ht="10.5" x14ac:dyDescent="0.25">
      <c r="A57" s="61" t="s">
        <v>1503</v>
      </c>
    </row>
    <row r="58" spans="1:9" ht="10.5" x14ac:dyDescent="0.25">
      <c r="A58" s="18" t="s">
        <v>1511</v>
      </c>
    </row>
    <row r="60" spans="1:9" ht="10.5" x14ac:dyDescent="0.25">
      <c r="A60" s="18" t="s">
        <v>181</v>
      </c>
    </row>
    <row r="61" spans="1:9" ht="10.5" x14ac:dyDescent="0.25">
      <c r="A61" s="18" t="s">
        <v>182</v>
      </c>
    </row>
    <row r="62" spans="1:9" ht="10.5" x14ac:dyDescent="0.25">
      <c r="A62" s="18" t="s">
        <v>183</v>
      </c>
      <c r="B62" s="18"/>
      <c r="C62" s="39" t="s">
        <v>185</v>
      </c>
      <c r="D62" s="19" t="s">
        <v>184</v>
      </c>
    </row>
    <row r="63" spans="1:9" x14ac:dyDescent="0.2">
      <c r="A63" s="9" t="s">
        <v>421</v>
      </c>
      <c r="C63" s="40">
        <v>21.375599999999999</v>
      </c>
      <c r="D63" s="40">
        <v>21.5001</v>
      </c>
    </row>
    <row r="64" spans="1:9" x14ac:dyDescent="0.2">
      <c r="A64" s="9" t="s">
        <v>458</v>
      </c>
      <c r="C64" s="40">
        <v>9.9098000000000006</v>
      </c>
      <c r="D64" s="40">
        <v>9.9674999999999994</v>
      </c>
    </row>
    <row r="65" spans="1:7" x14ac:dyDescent="0.2">
      <c r="A65" s="9" t="s">
        <v>424</v>
      </c>
      <c r="C65" s="40">
        <v>22.659800000000001</v>
      </c>
      <c r="D65" s="40">
        <v>22.869199999999999</v>
      </c>
    </row>
    <row r="66" spans="1:7" x14ac:dyDescent="0.2">
      <c r="A66" s="9" t="s">
        <v>459</v>
      </c>
      <c r="C66" s="40">
        <v>10.6416</v>
      </c>
      <c r="D66" s="40">
        <v>10.7399</v>
      </c>
    </row>
    <row r="68" spans="1:7" ht="10.5" x14ac:dyDescent="0.25">
      <c r="A68" s="18" t="s">
        <v>197</v>
      </c>
      <c r="D68" s="41" t="s">
        <v>198</v>
      </c>
    </row>
    <row r="70" spans="1:7" ht="10.5" x14ac:dyDescent="0.25">
      <c r="A70" s="18" t="s">
        <v>199</v>
      </c>
      <c r="D70" s="42">
        <v>4.56007616693151</v>
      </c>
      <c r="E70" s="13" t="s">
        <v>200</v>
      </c>
    </row>
    <row r="72" spans="1:7" ht="10.5" x14ac:dyDescent="0.25">
      <c r="A72" s="18" t="s">
        <v>201</v>
      </c>
      <c r="D72" s="41">
        <v>1</v>
      </c>
    </row>
    <row r="73" spans="1:7" x14ac:dyDescent="0.2">
      <c r="A73" s="9" t="s">
        <v>344</v>
      </c>
    </row>
    <row r="74" spans="1:7" x14ac:dyDescent="0.2">
      <c r="A74" s="56" t="s">
        <v>1505</v>
      </c>
    </row>
    <row r="76" spans="1:7" ht="40" customHeight="1" x14ac:dyDescent="0.2">
      <c r="A76" s="76" t="s">
        <v>1521</v>
      </c>
      <c r="B76" s="76"/>
      <c r="C76" s="76"/>
      <c r="D76" s="76"/>
      <c r="E76" s="76"/>
      <c r="F76" s="76"/>
      <c r="G76" s="76"/>
    </row>
    <row r="77" spans="1:7" ht="10.5" x14ac:dyDescent="0.2">
      <c r="A77" s="59" t="s">
        <v>1512</v>
      </c>
      <c r="B77" s="62"/>
      <c r="C77" s="62"/>
      <c r="D77" s="62"/>
      <c r="E77" s="62"/>
      <c r="F77" s="62"/>
    </row>
    <row r="78" spans="1:7" x14ac:dyDescent="0.2">
      <c r="A78" s="77" t="s">
        <v>1513</v>
      </c>
      <c r="B78" s="77"/>
      <c r="C78" s="77"/>
      <c r="D78" s="77"/>
      <c r="E78" s="77"/>
      <c r="F78" s="77"/>
    </row>
    <row r="80" spans="1:7" ht="30" customHeight="1" x14ac:dyDescent="0.2">
      <c r="A80" s="78" t="s">
        <v>1515</v>
      </c>
      <c r="B80" s="78"/>
      <c r="C80" s="78"/>
      <c r="D80" s="78"/>
      <c r="E80" s="78"/>
      <c r="F80" s="78"/>
      <c r="G80" s="78"/>
    </row>
    <row r="83" spans="1:9" s="1" customFormat="1" ht="14" x14ac:dyDescent="0.25">
      <c r="A83" s="71" t="s">
        <v>460</v>
      </c>
      <c r="B83" s="72"/>
      <c r="C83" s="72"/>
      <c r="D83" s="72"/>
      <c r="E83" s="72"/>
      <c r="F83" s="72"/>
      <c r="G83" s="72"/>
    </row>
    <row r="84" spans="1:9" ht="10.5" x14ac:dyDescent="0.25">
      <c r="A84" s="18" t="s">
        <v>7</v>
      </c>
    </row>
    <row r="85" spans="1:9" s="1" customFormat="1" ht="17.5" customHeight="1" x14ac:dyDescent="0.25">
      <c r="A85" s="8" t="s">
        <v>2</v>
      </c>
      <c r="B85" s="8" t="s">
        <v>0</v>
      </c>
      <c r="C85" s="17" t="s">
        <v>179</v>
      </c>
      <c r="D85" s="16" t="s">
        <v>1</v>
      </c>
      <c r="E85" s="15" t="s">
        <v>3</v>
      </c>
      <c r="F85" s="15" t="s">
        <v>4</v>
      </c>
      <c r="G85" s="15" t="s">
        <v>6</v>
      </c>
    </row>
    <row r="86" spans="1:9" ht="10.5" x14ac:dyDescent="0.25">
      <c r="A86" s="21" t="s">
        <v>69</v>
      </c>
      <c r="B86" s="22"/>
      <c r="C86" s="22"/>
      <c r="D86" s="23"/>
      <c r="E86" s="24"/>
      <c r="F86" s="25"/>
      <c r="G86" s="24"/>
    </row>
    <row r="87" spans="1:9" ht="10.5" x14ac:dyDescent="0.25">
      <c r="A87" s="26" t="s">
        <v>70</v>
      </c>
      <c r="B87" s="27"/>
      <c r="C87" s="27"/>
      <c r="D87" s="28"/>
      <c r="E87" s="29"/>
      <c r="F87" s="30"/>
      <c r="G87" s="29"/>
    </row>
    <row r="88" spans="1:9" x14ac:dyDescent="0.2">
      <c r="A88" s="27" t="s">
        <v>347</v>
      </c>
      <c r="B88" s="27" t="s">
        <v>346</v>
      </c>
      <c r="C88" s="27" t="s">
        <v>348</v>
      </c>
      <c r="D88" s="31">
        <v>1450</v>
      </c>
      <c r="E88" s="29">
        <v>0</v>
      </c>
      <c r="F88" s="30">
        <v>100</v>
      </c>
      <c r="G88" s="29">
        <v>0</v>
      </c>
    </row>
    <row r="89" spans="1:9" ht="10.5" x14ac:dyDescent="0.25">
      <c r="A89" s="26" t="s">
        <v>164</v>
      </c>
      <c r="B89" s="26"/>
      <c r="C89" s="26"/>
      <c r="D89" s="32"/>
      <c r="E89" s="33">
        <f>SUM(E87:E88)</f>
        <v>0</v>
      </c>
      <c r="F89" s="34">
        <f>SUM(F87:F88)</f>
        <v>100</v>
      </c>
      <c r="G89" s="33"/>
      <c r="H89" s="18"/>
      <c r="I89" s="18"/>
    </row>
    <row r="90" spans="1:9" x14ac:dyDescent="0.2">
      <c r="A90" s="27"/>
      <c r="B90" s="27"/>
      <c r="C90" s="27"/>
      <c r="D90" s="28"/>
      <c r="E90" s="29"/>
      <c r="F90" s="30"/>
      <c r="G90" s="29"/>
    </row>
    <row r="91" spans="1:9" ht="10.5" x14ac:dyDescent="0.25">
      <c r="A91" s="26" t="s">
        <v>176</v>
      </c>
      <c r="B91" s="26"/>
      <c r="C91" s="26"/>
      <c r="D91" s="32"/>
      <c r="E91" s="33">
        <f>E89</f>
        <v>0</v>
      </c>
      <c r="F91" s="34">
        <f>F89</f>
        <v>100</v>
      </c>
      <c r="G91" s="33"/>
      <c r="H91" s="18"/>
      <c r="I91" s="18"/>
    </row>
    <row r="92" spans="1:9" ht="10.5" x14ac:dyDescent="0.25">
      <c r="A92" s="26"/>
      <c r="B92" s="26"/>
      <c r="C92" s="26"/>
      <c r="D92" s="32"/>
      <c r="E92" s="33"/>
      <c r="F92" s="34"/>
      <c r="G92" s="33"/>
      <c r="H92" s="18"/>
      <c r="I92" s="18"/>
    </row>
    <row r="93" spans="1:9" ht="10.5" x14ac:dyDescent="0.25">
      <c r="A93" s="26" t="s">
        <v>178</v>
      </c>
      <c r="B93" s="26"/>
      <c r="C93" s="26"/>
      <c r="D93" s="32"/>
      <c r="E93" s="33">
        <f>E95-(E89)</f>
        <v>0</v>
      </c>
      <c r="F93" s="34">
        <v>0</v>
      </c>
      <c r="G93" s="33"/>
      <c r="H93" s="18"/>
      <c r="I93" s="18"/>
    </row>
    <row r="94" spans="1:9" ht="10.5" x14ac:dyDescent="0.25">
      <c r="A94" s="26"/>
      <c r="B94" s="26"/>
      <c r="C94" s="26"/>
      <c r="D94" s="32"/>
      <c r="E94" s="33"/>
      <c r="F94" s="34"/>
      <c r="G94" s="33"/>
      <c r="H94" s="18"/>
      <c r="I94" s="18"/>
    </row>
    <row r="95" spans="1:9" ht="10.5" x14ac:dyDescent="0.25">
      <c r="A95" s="35" t="s">
        <v>177</v>
      </c>
      <c r="B95" s="35"/>
      <c r="C95" s="35"/>
      <c r="D95" s="36"/>
      <c r="E95" s="37">
        <v>0</v>
      </c>
      <c r="F95" s="38">
        <v>100</v>
      </c>
      <c r="G95" s="37"/>
      <c r="H95" s="18"/>
      <c r="I95" s="18"/>
    </row>
    <row r="96" spans="1:9" ht="10.5" x14ac:dyDescent="0.25">
      <c r="F96" s="20"/>
    </row>
    <row r="97" spans="1:4" ht="10.5" x14ac:dyDescent="0.25">
      <c r="A97" s="61" t="s">
        <v>180</v>
      </c>
    </row>
    <row r="98" spans="1:4" ht="10.5" x14ac:dyDescent="0.25">
      <c r="A98" s="61" t="s">
        <v>1503</v>
      </c>
    </row>
    <row r="99" spans="1:4" ht="10.5" x14ac:dyDescent="0.25">
      <c r="A99" s="18" t="s">
        <v>1511</v>
      </c>
    </row>
    <row r="100" spans="1:4" ht="10.5" x14ac:dyDescent="0.25">
      <c r="A100" s="18"/>
    </row>
    <row r="101" spans="1:4" ht="10.5" x14ac:dyDescent="0.25">
      <c r="A101" s="18" t="s">
        <v>181</v>
      </c>
    </row>
    <row r="102" spans="1:4" ht="10.5" x14ac:dyDescent="0.25">
      <c r="A102" s="18" t="s">
        <v>182</v>
      </c>
    </row>
    <row r="103" spans="1:4" ht="10.5" x14ac:dyDescent="0.25">
      <c r="A103" s="18" t="s">
        <v>183</v>
      </c>
      <c r="B103" s="18"/>
      <c r="C103" s="39" t="s">
        <v>185</v>
      </c>
      <c r="D103" s="19" t="s">
        <v>184</v>
      </c>
    </row>
    <row r="104" spans="1:4" x14ac:dyDescent="0.2">
      <c r="A104" s="9" t="s">
        <v>421</v>
      </c>
      <c r="C104" s="40">
        <v>0</v>
      </c>
      <c r="D104" s="40">
        <v>0</v>
      </c>
    </row>
    <row r="105" spans="1:4" x14ac:dyDescent="0.2">
      <c r="A105" s="9" t="s">
        <v>458</v>
      </c>
      <c r="C105" s="40">
        <v>0</v>
      </c>
      <c r="D105" s="40">
        <v>0</v>
      </c>
    </row>
    <row r="106" spans="1:4" x14ac:dyDescent="0.2">
      <c r="A106" s="9" t="s">
        <v>424</v>
      </c>
      <c r="C106" s="40">
        <v>0</v>
      </c>
      <c r="D106" s="40">
        <v>0</v>
      </c>
    </row>
    <row r="107" spans="1:4" x14ac:dyDescent="0.2">
      <c r="A107" s="9" t="s">
        <v>459</v>
      </c>
      <c r="C107" s="40">
        <v>0</v>
      </c>
      <c r="D107" s="40">
        <v>0</v>
      </c>
    </row>
    <row r="109" spans="1:4" ht="10.5" x14ac:dyDescent="0.25">
      <c r="A109" s="18" t="s">
        <v>1504</v>
      </c>
      <c r="D109" s="41" t="s">
        <v>198</v>
      </c>
    </row>
    <row r="110" spans="1:4" x14ac:dyDescent="0.2">
      <c r="A110" s="9" t="s">
        <v>344</v>
      </c>
    </row>
    <row r="111" spans="1:4" x14ac:dyDescent="0.2">
      <c r="A111" s="56" t="s">
        <v>1505</v>
      </c>
    </row>
  </sheetData>
  <mergeCells count="5">
    <mergeCell ref="A1:G1"/>
    <mergeCell ref="A76:G76"/>
    <mergeCell ref="A78:F78"/>
    <mergeCell ref="A80:G80"/>
    <mergeCell ref="A83:G83"/>
  </mergeCells>
  <conditionalFormatting sqref="F2:F3 F5:F43 F86 F84 F48:F71 F81:F82 F100:F65544">
    <cfRule type="cellIs" dxfId="68" priority="6" stopIfTrue="1" operator="between">
      <formula>0.009</formula>
      <formula>-0.009</formula>
    </cfRule>
  </conditionalFormatting>
  <conditionalFormatting sqref="F72:F75">
    <cfRule type="cellIs" dxfId="67" priority="5" stopIfTrue="1" operator="between">
      <formula>0.009</formula>
      <formula>-0.009</formula>
    </cfRule>
  </conditionalFormatting>
  <conditionalFormatting sqref="F79">
    <cfRule type="cellIs" dxfId="66" priority="4" stopIfTrue="1" operator="between">
      <formula>0.009</formula>
      <formula>-0.009</formula>
    </cfRule>
  </conditionalFormatting>
  <conditionalFormatting sqref="F88:F92 F94:F95">
    <cfRule type="cellIs" dxfId="65" priority="1" stopIfTrue="1" operator="between">
      <formula>0.009</formula>
      <formula>-0.009</formula>
    </cfRule>
  </conditionalFormatting>
  <conditionalFormatting sqref="F87 F97:F99">
    <cfRule type="cellIs" dxfId="64" priority="3" stopIfTrue="1" operator="between">
      <formula>0.009</formula>
      <formula>-0.009</formula>
    </cfRule>
  </conditionalFormatting>
  <conditionalFormatting sqref="F96">
    <cfRule type="cellIs" dxfId="63" priority="2" stopIfTrue="1" operator="between">
      <formula>0.009</formula>
      <formula>-0.009</formula>
    </cfRule>
  </conditionalFormatting>
  <hyperlinks>
    <hyperlink ref="A74" r:id="rId1" xr:uid="{00000000-0004-0000-0B00-000000000000}"/>
    <hyperlink ref="A77" r:id="rId2" xr:uid="{00000000-0004-0000-0B00-000001000000}"/>
    <hyperlink ref="A78" r:id="rId3" xr:uid="{00000000-0004-0000-0B00-000002000000}"/>
    <hyperlink ref="A111" r:id="rId4" xr:uid="{00000000-0004-0000-0B00-000003000000}"/>
  </hyperlinks>
  <pageMargins left="0.7" right="0.7" top="0.75" bottom="0.75" header="0.3" footer="0.3"/>
  <pageSetup paperSize="9" orientation="portrait" r:id="rId5"/>
  <headerFooter>
    <oddFooter>&amp;LPUBLIC</oddFooter>
    <evenFooter>&amp;LPUBLIC</evenFooter>
    <firstFooter>&amp;LPUBLIC</first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I164"/>
  <sheetViews>
    <sheetView workbookViewId="0">
      <selection sqref="A1:G1"/>
    </sheetView>
  </sheetViews>
  <sheetFormatPr defaultColWidth="9.1796875" defaultRowHeight="10" x14ac:dyDescent="0.2"/>
  <cols>
    <col min="1" max="1" width="38.7265625" style="9" bestFit="1" customWidth="1"/>
    <col min="2" max="2" width="69.1796875" style="9" bestFit="1" customWidth="1"/>
    <col min="3" max="3" width="15.5429687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1" t="s">
        <v>16</v>
      </c>
      <c r="B1" s="72"/>
      <c r="C1" s="72"/>
      <c r="D1" s="72"/>
      <c r="E1" s="72"/>
      <c r="F1" s="72"/>
      <c r="G1" s="72"/>
    </row>
    <row r="2" spans="1:7" s="1" customFormat="1" ht="11.5" x14ac:dyDescent="0.25">
      <c r="A2" s="43" t="s">
        <v>202</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204</v>
      </c>
      <c r="B7" s="27" t="s">
        <v>203</v>
      </c>
      <c r="C7" s="27" t="s">
        <v>132</v>
      </c>
      <c r="D7" s="31">
        <v>3930</v>
      </c>
      <c r="E7" s="29">
        <v>38044.404300000002</v>
      </c>
      <c r="F7" s="30">
        <v>10.664940332901001</v>
      </c>
      <c r="G7" s="29">
        <v>11.998799999999999</v>
      </c>
    </row>
    <row r="8" spans="1:7" x14ac:dyDescent="0.2">
      <c r="A8" s="27" t="s">
        <v>239</v>
      </c>
      <c r="B8" s="27" t="s">
        <v>238</v>
      </c>
      <c r="C8" s="27" t="s">
        <v>109</v>
      </c>
      <c r="D8" s="31">
        <v>10140</v>
      </c>
      <c r="E8" s="29">
        <v>20502.025440000001</v>
      </c>
      <c r="F8" s="30">
        <v>5.7473071807623901</v>
      </c>
      <c r="G8" s="29">
        <v>10.4382</v>
      </c>
    </row>
    <row r="9" spans="1:7" x14ac:dyDescent="0.2">
      <c r="A9" s="27" t="s">
        <v>206</v>
      </c>
      <c r="B9" s="27" t="s">
        <v>205</v>
      </c>
      <c r="C9" s="27" t="s">
        <v>87</v>
      </c>
      <c r="D9" s="31">
        <v>2125</v>
      </c>
      <c r="E9" s="29">
        <v>17032.707999999999</v>
      </c>
      <c r="F9" s="30">
        <v>4.77475775662821</v>
      </c>
      <c r="G9" s="29">
        <v>9.7650000000000006</v>
      </c>
    </row>
    <row r="10" spans="1:7" x14ac:dyDescent="0.2">
      <c r="A10" s="27" t="s">
        <v>233</v>
      </c>
      <c r="B10" s="27" t="s">
        <v>232</v>
      </c>
      <c r="C10" s="27" t="s">
        <v>234</v>
      </c>
      <c r="D10" s="31">
        <v>1150</v>
      </c>
      <c r="E10" s="29">
        <v>12984.466</v>
      </c>
      <c r="F10" s="30">
        <v>3.6399191337733998</v>
      </c>
      <c r="G10" s="29">
        <v>7.6195000000000004</v>
      </c>
    </row>
    <row r="11" spans="1:7" x14ac:dyDescent="0.2">
      <c r="A11" s="27" t="s">
        <v>495</v>
      </c>
      <c r="B11" s="27" t="s">
        <v>494</v>
      </c>
      <c r="C11" s="27" t="s">
        <v>109</v>
      </c>
      <c r="D11" s="31">
        <v>5580</v>
      </c>
      <c r="E11" s="29">
        <v>11279.19996</v>
      </c>
      <c r="F11" s="30">
        <v>3.1618840349738102</v>
      </c>
      <c r="G11" s="29">
        <v>10.4785</v>
      </c>
    </row>
    <row r="12" spans="1:7" x14ac:dyDescent="0.2">
      <c r="A12" s="27" t="s">
        <v>212</v>
      </c>
      <c r="B12" s="27" t="s">
        <v>211</v>
      </c>
      <c r="C12" s="27" t="s">
        <v>132</v>
      </c>
      <c r="D12" s="31">
        <v>1000</v>
      </c>
      <c r="E12" s="29">
        <v>9547.86</v>
      </c>
      <c r="F12" s="30">
        <v>2.6765396667517698</v>
      </c>
      <c r="G12" s="29">
        <v>11.524900000000001</v>
      </c>
    </row>
    <row r="13" spans="1:7" x14ac:dyDescent="0.2">
      <c r="A13" s="27" t="s">
        <v>447</v>
      </c>
      <c r="B13" s="27" t="s">
        <v>446</v>
      </c>
      <c r="C13" s="27" t="s">
        <v>76</v>
      </c>
      <c r="D13" s="31">
        <v>850</v>
      </c>
      <c r="E13" s="29">
        <v>7859.2870000000003</v>
      </c>
      <c r="F13" s="30">
        <v>2.2031841070026701</v>
      </c>
      <c r="G13" s="29">
        <v>11.7538</v>
      </c>
    </row>
    <row r="14" spans="1:7" x14ac:dyDescent="0.2">
      <c r="A14" s="27" t="s">
        <v>415</v>
      </c>
      <c r="B14" s="27" t="s">
        <v>414</v>
      </c>
      <c r="C14" s="27" t="s">
        <v>416</v>
      </c>
      <c r="D14" s="31">
        <v>510</v>
      </c>
      <c r="E14" s="29">
        <v>6604.1634000000004</v>
      </c>
      <c r="F14" s="30">
        <v>1.85133687609687</v>
      </c>
      <c r="G14" s="29">
        <v>10.61</v>
      </c>
    </row>
    <row r="15" spans="1:7" x14ac:dyDescent="0.2">
      <c r="A15" s="27" t="s">
        <v>510</v>
      </c>
      <c r="B15" s="27" t="s">
        <v>509</v>
      </c>
      <c r="C15" s="27" t="s">
        <v>151</v>
      </c>
      <c r="D15" s="31">
        <v>650</v>
      </c>
      <c r="E15" s="29">
        <v>6545.0775000000003</v>
      </c>
      <c r="F15" s="30">
        <v>1.83477339955912</v>
      </c>
      <c r="G15" s="29">
        <v>9.6397999999999993</v>
      </c>
    </row>
    <row r="16" spans="1:7" x14ac:dyDescent="0.2">
      <c r="A16" s="27" t="s">
        <v>512</v>
      </c>
      <c r="B16" s="27" t="s">
        <v>511</v>
      </c>
      <c r="C16" s="27" t="s">
        <v>151</v>
      </c>
      <c r="D16" s="31">
        <v>650</v>
      </c>
      <c r="E16" s="29">
        <v>6515.5870000000004</v>
      </c>
      <c r="F16" s="30">
        <v>1.82650636453322</v>
      </c>
      <c r="G16" s="29">
        <v>10.8477</v>
      </c>
    </row>
    <row r="17" spans="1:7" x14ac:dyDescent="0.2">
      <c r="A17" s="27" t="s">
        <v>514</v>
      </c>
      <c r="B17" s="27" t="s">
        <v>513</v>
      </c>
      <c r="C17" s="27" t="s">
        <v>249</v>
      </c>
      <c r="D17" s="31">
        <v>650</v>
      </c>
      <c r="E17" s="29">
        <v>6453.4665000000005</v>
      </c>
      <c r="F17" s="30">
        <v>1.8090922023682501</v>
      </c>
      <c r="G17" s="29">
        <v>11.11</v>
      </c>
    </row>
    <row r="18" spans="1:7" x14ac:dyDescent="0.2">
      <c r="A18" s="27" t="s">
        <v>516</v>
      </c>
      <c r="B18" s="27" t="s">
        <v>515</v>
      </c>
      <c r="C18" s="27" t="s">
        <v>249</v>
      </c>
      <c r="D18" s="31">
        <v>650</v>
      </c>
      <c r="E18" s="29">
        <v>6421.3954999999996</v>
      </c>
      <c r="F18" s="30">
        <v>1.80010177900088</v>
      </c>
      <c r="G18" s="29">
        <v>11.95</v>
      </c>
    </row>
    <row r="19" spans="1:7" x14ac:dyDescent="0.2">
      <c r="A19" s="27" t="s">
        <v>265</v>
      </c>
      <c r="B19" s="27" t="s">
        <v>264</v>
      </c>
      <c r="C19" s="27" t="s">
        <v>109</v>
      </c>
      <c r="D19" s="31">
        <v>648</v>
      </c>
      <c r="E19" s="29">
        <v>6237.6091200000001</v>
      </c>
      <c r="F19" s="30">
        <v>1.7485811726787599</v>
      </c>
      <c r="G19" s="29">
        <v>11.499700000000001</v>
      </c>
    </row>
    <row r="20" spans="1:7" x14ac:dyDescent="0.2">
      <c r="A20" s="27" t="s">
        <v>156</v>
      </c>
      <c r="B20" s="27" t="s">
        <v>155</v>
      </c>
      <c r="C20" s="27" t="s">
        <v>109</v>
      </c>
      <c r="D20" s="31">
        <v>606</v>
      </c>
      <c r="E20" s="29">
        <v>6060.4181399999998</v>
      </c>
      <c r="F20" s="30">
        <v>1.6989094465997601</v>
      </c>
      <c r="G20" s="29">
        <v>10.5358</v>
      </c>
    </row>
    <row r="21" spans="1:7" x14ac:dyDescent="0.2">
      <c r="A21" s="27" t="s">
        <v>518</v>
      </c>
      <c r="B21" s="27" t="s">
        <v>517</v>
      </c>
      <c r="C21" s="27" t="s">
        <v>79</v>
      </c>
      <c r="D21" s="31">
        <v>5500</v>
      </c>
      <c r="E21" s="29">
        <v>5482.95</v>
      </c>
      <c r="F21" s="30">
        <v>1.5370285242783901</v>
      </c>
      <c r="G21" s="29">
        <v>10.656499999999999</v>
      </c>
    </row>
    <row r="22" spans="1:7" x14ac:dyDescent="0.2">
      <c r="A22" s="27" t="s">
        <v>81</v>
      </c>
      <c r="B22" s="27" t="s">
        <v>80</v>
      </c>
      <c r="C22" s="27" t="s">
        <v>82</v>
      </c>
      <c r="D22" s="31">
        <v>550</v>
      </c>
      <c r="E22" s="29">
        <v>5480.9205000000002</v>
      </c>
      <c r="F22" s="30">
        <v>1.5364595970786099</v>
      </c>
      <c r="G22" s="29">
        <v>16.215299999999999</v>
      </c>
    </row>
    <row r="23" spans="1:7" x14ac:dyDescent="0.2">
      <c r="A23" s="27" t="s">
        <v>445</v>
      </c>
      <c r="B23" s="27" t="s">
        <v>444</v>
      </c>
      <c r="C23" s="27" t="s">
        <v>109</v>
      </c>
      <c r="D23" s="31">
        <v>550</v>
      </c>
      <c r="E23" s="29">
        <v>5473.7430000000004</v>
      </c>
      <c r="F23" s="30">
        <v>1.53444753746964</v>
      </c>
      <c r="G23" s="29">
        <v>10.479900000000001</v>
      </c>
    </row>
    <row r="24" spans="1:7" x14ac:dyDescent="0.2">
      <c r="A24" s="27" t="s">
        <v>497</v>
      </c>
      <c r="B24" s="27" t="s">
        <v>496</v>
      </c>
      <c r="C24" s="27" t="s">
        <v>76</v>
      </c>
      <c r="D24" s="31">
        <v>550</v>
      </c>
      <c r="E24" s="29">
        <v>5131.3405000000002</v>
      </c>
      <c r="F24" s="30">
        <v>1.43846227236887</v>
      </c>
      <c r="G24" s="29">
        <v>11.6752</v>
      </c>
    </row>
    <row r="25" spans="1:7" x14ac:dyDescent="0.2">
      <c r="A25" s="27" t="s">
        <v>520</v>
      </c>
      <c r="B25" s="27" t="s">
        <v>519</v>
      </c>
      <c r="C25" s="27" t="s">
        <v>79</v>
      </c>
      <c r="D25" s="31">
        <v>5000</v>
      </c>
      <c r="E25" s="29">
        <v>4961.1750000000002</v>
      </c>
      <c r="F25" s="30">
        <v>1.3907599903221499</v>
      </c>
      <c r="G25" s="29">
        <v>10.854200000000001</v>
      </c>
    </row>
    <row r="26" spans="1:7" x14ac:dyDescent="0.2">
      <c r="A26" s="27" t="s">
        <v>219</v>
      </c>
      <c r="B26" s="27" t="s">
        <v>157</v>
      </c>
      <c r="C26" s="27" t="s">
        <v>79</v>
      </c>
      <c r="D26" s="31">
        <v>550</v>
      </c>
      <c r="E26" s="29">
        <v>4658.6540000000005</v>
      </c>
      <c r="F26" s="30">
        <v>1.3059546562969899</v>
      </c>
      <c r="G26" s="29">
        <v>20.8293</v>
      </c>
    </row>
    <row r="27" spans="1:7" x14ac:dyDescent="0.2">
      <c r="A27" s="27" t="s">
        <v>413</v>
      </c>
      <c r="B27" s="27" t="s">
        <v>412</v>
      </c>
      <c r="C27" s="27" t="s">
        <v>249</v>
      </c>
      <c r="D27" s="31">
        <v>450</v>
      </c>
      <c r="E27" s="29">
        <v>4513.6935000000003</v>
      </c>
      <c r="F27" s="30">
        <v>1.26531806041455</v>
      </c>
      <c r="G27" s="29">
        <v>8.9376999999999995</v>
      </c>
    </row>
    <row r="28" spans="1:7" x14ac:dyDescent="0.2">
      <c r="A28" s="27" t="s">
        <v>443</v>
      </c>
      <c r="B28" s="27" t="s">
        <v>442</v>
      </c>
      <c r="C28" s="27" t="s">
        <v>154</v>
      </c>
      <c r="D28" s="31">
        <v>350</v>
      </c>
      <c r="E28" s="29">
        <v>4396.5145000000002</v>
      </c>
      <c r="F28" s="30">
        <v>1.2324694177228499</v>
      </c>
      <c r="G28" s="29">
        <v>10.910500000000001</v>
      </c>
    </row>
    <row r="29" spans="1:7" x14ac:dyDescent="0.2">
      <c r="A29" s="27" t="s">
        <v>108</v>
      </c>
      <c r="B29" s="27" t="s">
        <v>107</v>
      </c>
      <c r="C29" s="27" t="s">
        <v>109</v>
      </c>
      <c r="D29" s="31">
        <v>351</v>
      </c>
      <c r="E29" s="29">
        <v>3514.3243200000002</v>
      </c>
      <c r="F29" s="30">
        <v>0.98516614658263202</v>
      </c>
      <c r="G29" s="29">
        <v>10.355</v>
      </c>
    </row>
    <row r="30" spans="1:7" x14ac:dyDescent="0.2">
      <c r="A30" s="27" t="s">
        <v>243</v>
      </c>
      <c r="B30" s="27" t="s">
        <v>242</v>
      </c>
      <c r="C30" s="27" t="s">
        <v>109</v>
      </c>
      <c r="D30" s="31">
        <v>350</v>
      </c>
      <c r="E30" s="29">
        <v>3504.4589999999998</v>
      </c>
      <c r="F30" s="30">
        <v>0.98240061375064702</v>
      </c>
      <c r="G30" s="29">
        <v>9.8295999999999992</v>
      </c>
    </row>
    <row r="31" spans="1:7" x14ac:dyDescent="0.2">
      <c r="A31" s="27" t="s">
        <v>267</v>
      </c>
      <c r="B31" s="27" t="s">
        <v>266</v>
      </c>
      <c r="C31" s="27" t="s">
        <v>109</v>
      </c>
      <c r="D31" s="31">
        <v>352</v>
      </c>
      <c r="E31" s="29">
        <v>3372.7654400000001</v>
      </c>
      <c r="F31" s="30">
        <v>0.94548312258553202</v>
      </c>
      <c r="G31" s="29">
        <v>11.499700000000001</v>
      </c>
    </row>
    <row r="32" spans="1:7" x14ac:dyDescent="0.2">
      <c r="A32" s="27" t="s">
        <v>136</v>
      </c>
      <c r="B32" s="27" t="s">
        <v>135</v>
      </c>
      <c r="C32" s="27" t="s">
        <v>137</v>
      </c>
      <c r="D32" s="31">
        <v>310</v>
      </c>
      <c r="E32" s="29">
        <v>3330.3609999999999</v>
      </c>
      <c r="F32" s="30">
        <v>0.93359593889134296</v>
      </c>
      <c r="G32" s="29">
        <v>6.2523</v>
      </c>
    </row>
    <row r="33" spans="1:7" x14ac:dyDescent="0.2">
      <c r="A33" s="27" t="s">
        <v>158</v>
      </c>
      <c r="B33" s="27" t="s">
        <v>157</v>
      </c>
      <c r="C33" s="27" t="s">
        <v>79</v>
      </c>
      <c r="D33" s="31">
        <v>380</v>
      </c>
      <c r="E33" s="29">
        <v>3215.6550000000002</v>
      </c>
      <c r="F33" s="30">
        <v>0.90144054920041505</v>
      </c>
      <c r="G33" s="29">
        <v>20.902699999999999</v>
      </c>
    </row>
    <row r="34" spans="1:7" x14ac:dyDescent="0.2">
      <c r="A34" s="27" t="s">
        <v>218</v>
      </c>
      <c r="B34" s="27" t="s">
        <v>217</v>
      </c>
      <c r="C34" s="27" t="s">
        <v>82</v>
      </c>
      <c r="D34" s="31">
        <v>300</v>
      </c>
      <c r="E34" s="29">
        <v>2966.2080000000001</v>
      </c>
      <c r="F34" s="30">
        <v>0.83151338329598901</v>
      </c>
      <c r="G34" s="29">
        <v>11.2193</v>
      </c>
    </row>
    <row r="35" spans="1:7" x14ac:dyDescent="0.2">
      <c r="A35" s="27" t="s">
        <v>227</v>
      </c>
      <c r="B35" s="27" t="s">
        <v>226</v>
      </c>
      <c r="C35" s="27" t="s">
        <v>109</v>
      </c>
      <c r="D35" s="31">
        <v>306</v>
      </c>
      <c r="E35" s="29">
        <v>2964.7330200000001</v>
      </c>
      <c r="F35" s="30">
        <v>0.83109990399511302</v>
      </c>
      <c r="G35" s="29">
        <v>11.4595</v>
      </c>
    </row>
    <row r="36" spans="1:7" x14ac:dyDescent="0.2">
      <c r="A36" s="27" t="s">
        <v>145</v>
      </c>
      <c r="B36" s="27" t="s">
        <v>144</v>
      </c>
      <c r="C36" s="27" t="s">
        <v>146</v>
      </c>
      <c r="D36" s="31">
        <v>270</v>
      </c>
      <c r="E36" s="29">
        <v>2722.5963000000002</v>
      </c>
      <c r="F36" s="30">
        <v>0.76322201975119097</v>
      </c>
      <c r="G36" s="29">
        <v>9.9932999999999996</v>
      </c>
    </row>
    <row r="37" spans="1:7" x14ac:dyDescent="0.2">
      <c r="A37" s="27" t="s">
        <v>251</v>
      </c>
      <c r="B37" s="27" t="s">
        <v>250</v>
      </c>
      <c r="C37" s="27" t="s">
        <v>249</v>
      </c>
      <c r="D37" s="31">
        <v>260</v>
      </c>
      <c r="E37" s="29">
        <v>2578.2458000000001</v>
      </c>
      <c r="F37" s="30">
        <v>0.72275642440674204</v>
      </c>
      <c r="G37" s="29">
        <v>11.315</v>
      </c>
    </row>
    <row r="38" spans="1:7" x14ac:dyDescent="0.2">
      <c r="A38" s="27" t="s">
        <v>231</v>
      </c>
      <c r="B38" s="27" t="s">
        <v>230</v>
      </c>
      <c r="C38" s="27" t="s">
        <v>76</v>
      </c>
      <c r="D38" s="31">
        <v>250</v>
      </c>
      <c r="E38" s="29">
        <v>2487.6774999999998</v>
      </c>
      <c r="F38" s="30">
        <v>0.69736752600434904</v>
      </c>
      <c r="G38" s="29">
        <v>11.7539</v>
      </c>
    </row>
    <row r="39" spans="1:7" x14ac:dyDescent="0.2">
      <c r="A39" s="27" t="s">
        <v>150</v>
      </c>
      <c r="B39" s="27" t="s">
        <v>149</v>
      </c>
      <c r="C39" s="27" t="s">
        <v>151</v>
      </c>
      <c r="D39" s="31">
        <v>400</v>
      </c>
      <c r="E39" s="29">
        <v>2004.1279999999999</v>
      </c>
      <c r="F39" s="30">
        <v>0.561814698712371</v>
      </c>
      <c r="G39" s="29">
        <v>11.392099999999999</v>
      </c>
    </row>
    <row r="40" spans="1:7" x14ac:dyDescent="0.2">
      <c r="A40" s="27" t="s">
        <v>271</v>
      </c>
      <c r="B40" s="27" t="s">
        <v>270</v>
      </c>
      <c r="C40" s="27" t="s">
        <v>79</v>
      </c>
      <c r="D40" s="31">
        <v>2000</v>
      </c>
      <c r="E40" s="29">
        <v>1987.316</v>
      </c>
      <c r="F40" s="30">
        <v>0.55710181175367701</v>
      </c>
      <c r="G40" s="29">
        <v>10.8352</v>
      </c>
    </row>
    <row r="41" spans="1:7" x14ac:dyDescent="0.2">
      <c r="A41" s="27" t="s">
        <v>223</v>
      </c>
      <c r="B41" s="27" t="s">
        <v>222</v>
      </c>
      <c r="C41" s="27" t="s">
        <v>109</v>
      </c>
      <c r="D41" s="31">
        <v>176</v>
      </c>
      <c r="E41" s="29">
        <v>1736.35616</v>
      </c>
      <c r="F41" s="30">
        <v>0.486750553301869</v>
      </c>
      <c r="G41" s="29">
        <v>11.154400000000001</v>
      </c>
    </row>
    <row r="42" spans="1:7" x14ac:dyDescent="0.2">
      <c r="A42" s="27" t="s">
        <v>225</v>
      </c>
      <c r="B42" s="27" t="s">
        <v>224</v>
      </c>
      <c r="C42" s="27" t="s">
        <v>109</v>
      </c>
      <c r="D42" s="31">
        <v>176</v>
      </c>
      <c r="E42" s="29">
        <v>1717.3182400000001</v>
      </c>
      <c r="F42" s="30">
        <v>0.48141367697016302</v>
      </c>
      <c r="G42" s="29">
        <v>11.399800000000001</v>
      </c>
    </row>
    <row r="43" spans="1:7" x14ac:dyDescent="0.2">
      <c r="A43" s="27" t="s">
        <v>257</v>
      </c>
      <c r="B43" s="27" t="s">
        <v>256</v>
      </c>
      <c r="C43" s="27" t="s">
        <v>76</v>
      </c>
      <c r="D43" s="31">
        <v>150</v>
      </c>
      <c r="E43" s="29">
        <v>1511.2829999999999</v>
      </c>
      <c r="F43" s="30">
        <v>0.42365607551719597</v>
      </c>
      <c r="G43" s="29">
        <v>10.435600000000001</v>
      </c>
    </row>
    <row r="44" spans="1:7" x14ac:dyDescent="0.2">
      <c r="A44" s="27" t="s">
        <v>241</v>
      </c>
      <c r="B44" s="27" t="s">
        <v>240</v>
      </c>
      <c r="C44" s="27" t="s">
        <v>146</v>
      </c>
      <c r="D44" s="31">
        <v>90</v>
      </c>
      <c r="E44" s="29">
        <v>908.44380000000001</v>
      </c>
      <c r="F44" s="30">
        <v>0.25466291563918098</v>
      </c>
      <c r="G44" s="29">
        <v>9.7690999999999999</v>
      </c>
    </row>
    <row r="45" spans="1:7" x14ac:dyDescent="0.2">
      <c r="A45" s="27" t="s">
        <v>429</v>
      </c>
      <c r="B45" s="27" t="s">
        <v>428</v>
      </c>
      <c r="C45" s="27" t="s">
        <v>87</v>
      </c>
      <c r="D45" s="31">
        <v>95</v>
      </c>
      <c r="E45" s="29">
        <v>866.35535000000004</v>
      </c>
      <c r="F45" s="30">
        <v>0.24286431302696301</v>
      </c>
      <c r="G45" s="29">
        <v>11.5764</v>
      </c>
    </row>
    <row r="46" spans="1:7" x14ac:dyDescent="0.2">
      <c r="A46" s="27" t="s">
        <v>522</v>
      </c>
      <c r="B46" s="27" t="s">
        <v>521</v>
      </c>
      <c r="C46" s="27" t="s">
        <v>523</v>
      </c>
      <c r="D46" s="31">
        <v>74</v>
      </c>
      <c r="E46" s="29">
        <v>765.87558000000001</v>
      </c>
      <c r="F46" s="30">
        <v>0.21469694462073399</v>
      </c>
      <c r="G46" s="29">
        <v>4.6273999999999997</v>
      </c>
    </row>
    <row r="47" spans="1:7" x14ac:dyDescent="0.2">
      <c r="A47" s="27" t="s">
        <v>431</v>
      </c>
      <c r="B47" s="27" t="s">
        <v>430</v>
      </c>
      <c r="C47" s="27" t="s">
        <v>82</v>
      </c>
      <c r="D47" s="31">
        <v>400</v>
      </c>
      <c r="E47" s="29">
        <v>413.15600000000001</v>
      </c>
      <c r="F47" s="30">
        <v>0.115819505371517</v>
      </c>
      <c r="G47" s="29">
        <v>8.2873999999999999</v>
      </c>
    </row>
    <row r="48" spans="1:7" x14ac:dyDescent="0.2">
      <c r="A48" s="27" t="s">
        <v>125</v>
      </c>
      <c r="B48" s="27" t="s">
        <v>124</v>
      </c>
      <c r="C48" s="27" t="s">
        <v>87</v>
      </c>
      <c r="D48" s="31">
        <v>40</v>
      </c>
      <c r="E48" s="29">
        <v>412.52960000000002</v>
      </c>
      <c r="F48" s="30">
        <v>0.115643907442007</v>
      </c>
      <c r="G48" s="29">
        <v>5.2549999999999999</v>
      </c>
    </row>
    <row r="49" spans="1:9" x14ac:dyDescent="0.2">
      <c r="A49" s="27" t="s">
        <v>525</v>
      </c>
      <c r="B49" s="27" t="s">
        <v>524</v>
      </c>
      <c r="C49" s="27" t="s">
        <v>163</v>
      </c>
      <c r="D49" s="31">
        <v>3</v>
      </c>
      <c r="E49" s="29">
        <v>304.17689999999999</v>
      </c>
      <c r="F49" s="30">
        <v>8.5269530403628405E-2</v>
      </c>
      <c r="G49" s="29">
        <v>3.2050999999999998</v>
      </c>
    </row>
    <row r="50" spans="1:9" ht="10.5" x14ac:dyDescent="0.25">
      <c r="A50" s="26" t="s">
        <v>164</v>
      </c>
      <c r="B50" s="26"/>
      <c r="C50" s="26"/>
      <c r="D50" s="32"/>
      <c r="E50" s="33">
        <f>SUM(E6:E49)</f>
        <v>245470.62287000002</v>
      </c>
      <c r="F50" s="34">
        <f>SUM(F6:F49)</f>
        <v>68.812473070805424</v>
      </c>
      <c r="G50" s="33"/>
      <c r="H50" s="18"/>
      <c r="I50" s="18"/>
    </row>
    <row r="51" spans="1:9" x14ac:dyDescent="0.2">
      <c r="A51" s="27"/>
      <c r="B51" s="27"/>
      <c r="C51" s="27"/>
      <c r="D51" s="28"/>
      <c r="E51" s="29"/>
      <c r="F51" s="30"/>
      <c r="G51" s="29"/>
    </row>
    <row r="52" spans="1:9" ht="10.5" x14ac:dyDescent="0.25">
      <c r="A52" s="26" t="s">
        <v>165</v>
      </c>
      <c r="B52" s="27"/>
      <c r="C52" s="27"/>
      <c r="D52" s="28"/>
      <c r="E52" s="29"/>
      <c r="F52" s="30"/>
      <c r="G52" s="29"/>
    </row>
    <row r="53" spans="1:9" x14ac:dyDescent="0.2">
      <c r="A53" s="27" t="s">
        <v>284</v>
      </c>
      <c r="B53" s="27" t="s">
        <v>283</v>
      </c>
      <c r="C53" s="27" t="s">
        <v>285</v>
      </c>
      <c r="D53" s="31">
        <v>230</v>
      </c>
      <c r="E53" s="29">
        <v>23354.016</v>
      </c>
      <c r="F53" s="30">
        <v>6.5468021317819396</v>
      </c>
      <c r="G53" s="29">
        <v>8.5593000000000004</v>
      </c>
    </row>
    <row r="54" spans="1:9" x14ac:dyDescent="0.2">
      <c r="A54" s="27" t="s">
        <v>526</v>
      </c>
      <c r="B54" s="27" t="s">
        <v>288</v>
      </c>
      <c r="C54" s="27" t="s">
        <v>290</v>
      </c>
      <c r="D54" s="31">
        <v>1250</v>
      </c>
      <c r="E54" s="29">
        <v>11521.737499999999</v>
      </c>
      <c r="F54" s="30">
        <v>3.2298742805876302</v>
      </c>
      <c r="G54" s="29">
        <v>25.8</v>
      </c>
    </row>
    <row r="55" spans="1:9" x14ac:dyDescent="0.2">
      <c r="A55" s="27" t="s">
        <v>505</v>
      </c>
      <c r="B55" s="27" t="s">
        <v>504</v>
      </c>
      <c r="C55" s="27" t="s">
        <v>506</v>
      </c>
      <c r="D55" s="31">
        <v>1000</v>
      </c>
      <c r="E55" s="29">
        <v>7573.8491100000001</v>
      </c>
      <c r="F55" s="30">
        <v>2.12316765986384</v>
      </c>
      <c r="G55" s="29">
        <v>10.935</v>
      </c>
    </row>
    <row r="56" spans="1:9" x14ac:dyDescent="0.2">
      <c r="A56" s="27" t="s">
        <v>300</v>
      </c>
      <c r="B56" s="27" t="s">
        <v>299</v>
      </c>
      <c r="C56" s="27" t="s">
        <v>290</v>
      </c>
      <c r="D56" s="31">
        <v>580</v>
      </c>
      <c r="E56" s="29">
        <v>5273.4919280000004</v>
      </c>
      <c r="F56" s="30">
        <v>1.4783114046066099</v>
      </c>
      <c r="G56" s="29">
        <v>11.344900000000001</v>
      </c>
    </row>
    <row r="57" spans="1:9" x14ac:dyDescent="0.2">
      <c r="A57" s="27" t="s">
        <v>298</v>
      </c>
      <c r="B57" s="27" t="s">
        <v>297</v>
      </c>
      <c r="C57" s="27" t="s">
        <v>290</v>
      </c>
      <c r="D57" s="31">
        <v>550</v>
      </c>
      <c r="E57" s="29">
        <v>5061.1220000000003</v>
      </c>
      <c r="F57" s="30">
        <v>1.41877800797981</v>
      </c>
      <c r="G57" s="29">
        <v>25.8</v>
      </c>
    </row>
    <row r="58" spans="1:9" x14ac:dyDescent="0.2">
      <c r="A58" s="27" t="s">
        <v>287</v>
      </c>
      <c r="B58" s="27" t="s">
        <v>286</v>
      </c>
      <c r="C58" s="27" t="s">
        <v>92</v>
      </c>
      <c r="D58" s="31">
        <v>200</v>
      </c>
      <c r="E58" s="29">
        <v>1896.8</v>
      </c>
      <c r="F58" s="30">
        <v>0.53172757454495201</v>
      </c>
      <c r="G58" s="29">
        <v>11.914999999999999</v>
      </c>
    </row>
    <row r="59" spans="1:9" x14ac:dyDescent="0.2">
      <c r="A59" s="27" t="s">
        <v>304</v>
      </c>
      <c r="B59" s="27" t="s">
        <v>303</v>
      </c>
      <c r="C59" s="27" t="s">
        <v>290</v>
      </c>
      <c r="D59" s="31">
        <v>130</v>
      </c>
      <c r="E59" s="29">
        <v>1157.467052</v>
      </c>
      <c r="F59" s="30">
        <v>0.32447129279610698</v>
      </c>
      <c r="G59" s="29">
        <v>11.344900000000001</v>
      </c>
    </row>
    <row r="60" spans="1:9" x14ac:dyDescent="0.2">
      <c r="A60" s="27" t="s">
        <v>503</v>
      </c>
      <c r="B60" s="27" t="s">
        <v>502</v>
      </c>
      <c r="C60" s="27" t="s">
        <v>285</v>
      </c>
      <c r="D60" s="31">
        <v>110</v>
      </c>
      <c r="E60" s="29">
        <v>1097.6339</v>
      </c>
      <c r="F60" s="30">
        <v>0.30769834003865199</v>
      </c>
      <c r="G60" s="29">
        <v>9.67</v>
      </c>
    </row>
    <row r="61" spans="1:9" x14ac:dyDescent="0.2">
      <c r="A61" s="27" t="s">
        <v>292</v>
      </c>
      <c r="B61" s="27" t="s">
        <v>291</v>
      </c>
      <c r="C61" s="27" t="s">
        <v>285</v>
      </c>
      <c r="D61" s="31">
        <v>50</v>
      </c>
      <c r="E61" s="29">
        <v>499.37849999999997</v>
      </c>
      <c r="F61" s="30">
        <v>0.13999015108862101</v>
      </c>
      <c r="G61" s="29">
        <v>9.6150000000000002</v>
      </c>
    </row>
    <row r="62" spans="1:9" x14ac:dyDescent="0.2">
      <c r="A62" s="27" t="s">
        <v>528</v>
      </c>
      <c r="B62" s="27" t="s">
        <v>527</v>
      </c>
      <c r="C62" s="27" t="s">
        <v>309</v>
      </c>
      <c r="D62" s="31">
        <v>750</v>
      </c>
      <c r="E62" s="29">
        <v>0</v>
      </c>
      <c r="F62" s="29">
        <v>0</v>
      </c>
      <c r="G62" s="29">
        <v>0</v>
      </c>
    </row>
    <row r="63" spans="1:9" x14ac:dyDescent="0.2">
      <c r="A63" s="27" t="s">
        <v>315</v>
      </c>
      <c r="B63" s="27" t="s">
        <v>314</v>
      </c>
      <c r="C63" s="27" t="s">
        <v>316</v>
      </c>
      <c r="D63" s="31">
        <v>938</v>
      </c>
      <c r="E63" s="29">
        <v>0</v>
      </c>
      <c r="F63" s="29">
        <v>0</v>
      </c>
      <c r="G63" s="29">
        <v>0</v>
      </c>
    </row>
    <row r="64" spans="1:9" x14ac:dyDescent="0.2">
      <c r="A64" s="27" t="s">
        <v>455</v>
      </c>
      <c r="B64" s="27" t="s">
        <v>454</v>
      </c>
      <c r="C64" s="27" t="s">
        <v>316</v>
      </c>
      <c r="D64" s="31">
        <v>843</v>
      </c>
      <c r="E64" s="29">
        <v>0</v>
      </c>
      <c r="F64" s="29">
        <v>0</v>
      </c>
      <c r="G64" s="29">
        <v>0</v>
      </c>
    </row>
    <row r="65" spans="1:9" x14ac:dyDescent="0.2">
      <c r="A65" s="27" t="s">
        <v>328</v>
      </c>
      <c r="B65" s="27" t="s">
        <v>327</v>
      </c>
      <c r="C65" s="27" t="s">
        <v>309</v>
      </c>
      <c r="D65" s="31">
        <v>150</v>
      </c>
      <c r="E65" s="29">
        <v>0</v>
      </c>
      <c r="F65" s="29">
        <v>0</v>
      </c>
      <c r="G65" s="29">
        <v>0</v>
      </c>
    </row>
    <row r="66" spans="1:9" x14ac:dyDescent="0.2">
      <c r="A66" s="27" t="s">
        <v>334</v>
      </c>
      <c r="B66" s="27" t="s">
        <v>333</v>
      </c>
      <c r="C66" s="27" t="s">
        <v>316</v>
      </c>
      <c r="D66" s="31">
        <v>632</v>
      </c>
      <c r="E66" s="29">
        <v>0</v>
      </c>
      <c r="F66" s="29">
        <v>0</v>
      </c>
      <c r="G66" s="29">
        <v>0</v>
      </c>
    </row>
    <row r="67" spans="1:9" ht="10.5" x14ac:dyDescent="0.25">
      <c r="A67" s="26" t="s">
        <v>164</v>
      </c>
      <c r="B67" s="26"/>
      <c r="C67" s="26"/>
      <c r="D67" s="32"/>
      <c r="E67" s="33">
        <f>SUM(E52:E66)</f>
        <v>57435.49599000001</v>
      </c>
      <c r="F67" s="34">
        <f>SUM(F52:F66)</f>
        <v>16.100820843288162</v>
      </c>
      <c r="G67" s="33"/>
      <c r="H67" s="18"/>
      <c r="I67" s="18"/>
    </row>
    <row r="68" spans="1:9" x14ac:dyDescent="0.2">
      <c r="A68" s="27"/>
      <c r="B68" s="27"/>
      <c r="C68" s="27"/>
      <c r="D68" s="28"/>
      <c r="E68" s="29"/>
      <c r="F68" s="30"/>
      <c r="G68" s="29"/>
    </row>
    <row r="69" spans="1:9" ht="10.5" x14ac:dyDescent="0.25">
      <c r="A69" s="26" t="s">
        <v>176</v>
      </c>
      <c r="B69" s="26"/>
      <c r="C69" s="26"/>
      <c r="D69" s="32"/>
      <c r="E69" s="33">
        <f>E50+E67</f>
        <v>302906.11886000005</v>
      </c>
      <c r="F69" s="34">
        <f>F50+F67</f>
        <v>84.913293914093586</v>
      </c>
      <c r="G69" s="33"/>
      <c r="H69" s="18"/>
      <c r="I69" s="18"/>
    </row>
    <row r="70" spans="1:9" ht="10.5" x14ac:dyDescent="0.25">
      <c r="A70" s="26"/>
      <c r="B70" s="26"/>
      <c r="C70" s="26"/>
      <c r="D70" s="32"/>
      <c r="E70" s="33"/>
      <c r="F70" s="34"/>
      <c r="G70" s="33"/>
      <c r="H70" s="18"/>
      <c r="I70" s="18"/>
    </row>
    <row r="71" spans="1:9" ht="10.5" x14ac:dyDescent="0.25">
      <c r="A71" s="26" t="s">
        <v>178</v>
      </c>
      <c r="B71" s="26"/>
      <c r="C71" s="26"/>
      <c r="D71" s="32"/>
      <c r="E71" s="33">
        <f>E73-(E50+E67)</f>
        <v>53817.905020699953</v>
      </c>
      <c r="F71" s="34">
        <f>F73-(F50+F67)</f>
        <v>15.086706085906414</v>
      </c>
      <c r="G71" s="33"/>
      <c r="H71" s="18"/>
      <c r="I71" s="18"/>
    </row>
    <row r="72" spans="1:9" ht="10.5" x14ac:dyDescent="0.25">
      <c r="A72" s="26"/>
      <c r="B72" s="26"/>
      <c r="C72" s="26"/>
      <c r="D72" s="32"/>
      <c r="E72" s="33"/>
      <c r="F72" s="34"/>
      <c r="G72" s="33"/>
      <c r="H72" s="18"/>
      <c r="I72" s="18"/>
    </row>
    <row r="73" spans="1:9" ht="10.5" x14ac:dyDescent="0.25">
      <c r="A73" s="35" t="s">
        <v>177</v>
      </c>
      <c r="B73" s="35"/>
      <c r="C73" s="35"/>
      <c r="D73" s="36"/>
      <c r="E73" s="37">
        <v>356724.0238807</v>
      </c>
      <c r="F73" s="38">
        <v>100</v>
      </c>
      <c r="G73" s="37"/>
      <c r="H73" s="18"/>
      <c r="I73" s="18"/>
    </row>
    <row r="74" spans="1:9" ht="10.5" x14ac:dyDescent="0.25">
      <c r="F74" s="20"/>
    </row>
    <row r="75" spans="1:9" ht="10.5" x14ac:dyDescent="0.25">
      <c r="A75" s="18" t="s">
        <v>180</v>
      </c>
    </row>
    <row r="76" spans="1:9" ht="10.5" x14ac:dyDescent="0.25">
      <c r="A76" s="61" t="s">
        <v>1503</v>
      </c>
    </row>
    <row r="77" spans="1:9" ht="10.5" x14ac:dyDescent="0.25">
      <c r="A77" s="18" t="s">
        <v>1511</v>
      </c>
    </row>
    <row r="80" spans="1:9" ht="10.5" x14ac:dyDescent="0.25">
      <c r="A80" s="18" t="s">
        <v>181</v>
      </c>
    </row>
    <row r="81" spans="1:7" ht="10.5" x14ac:dyDescent="0.25">
      <c r="A81" s="18" t="s">
        <v>182</v>
      </c>
    </row>
    <row r="82" spans="1:7" ht="10.5" x14ac:dyDescent="0.25">
      <c r="A82" s="18" t="s">
        <v>183</v>
      </c>
      <c r="B82" s="18"/>
      <c r="C82" s="39" t="s">
        <v>185</v>
      </c>
      <c r="D82" s="19" t="s">
        <v>184</v>
      </c>
    </row>
    <row r="83" spans="1:7" x14ac:dyDescent="0.2">
      <c r="A83" s="9" t="s">
        <v>421</v>
      </c>
      <c r="C83" s="40">
        <v>18.388999999999999</v>
      </c>
      <c r="D83" s="40">
        <v>19.518899999999999</v>
      </c>
    </row>
    <row r="84" spans="1:7" x14ac:dyDescent="0.2">
      <c r="A84" s="9" t="s">
        <v>458</v>
      </c>
      <c r="C84" s="40">
        <v>9.8611000000000004</v>
      </c>
      <c r="D84" s="40">
        <v>10.467000000000001</v>
      </c>
    </row>
    <row r="85" spans="1:7" x14ac:dyDescent="0.2">
      <c r="A85" s="9" t="s">
        <v>424</v>
      </c>
      <c r="C85" s="40">
        <v>19.497399999999999</v>
      </c>
      <c r="D85" s="40">
        <v>20.755400000000002</v>
      </c>
    </row>
    <row r="86" spans="1:7" x14ac:dyDescent="0.2">
      <c r="A86" s="9" t="s">
        <v>459</v>
      </c>
      <c r="C86" s="40">
        <v>10.6853</v>
      </c>
      <c r="D86" s="40">
        <v>11.374599999999999</v>
      </c>
    </row>
    <row r="88" spans="1:7" ht="10.5" x14ac:dyDescent="0.25">
      <c r="A88" s="18" t="s">
        <v>197</v>
      </c>
      <c r="D88" s="41" t="s">
        <v>198</v>
      </c>
    </row>
    <row r="90" spans="1:7" ht="10.5" x14ac:dyDescent="0.25">
      <c r="A90" s="18" t="s">
        <v>199</v>
      </c>
      <c r="D90" s="42">
        <v>2.7253123891780802</v>
      </c>
      <c r="E90" s="13" t="s">
        <v>200</v>
      </c>
    </row>
    <row r="92" spans="1:7" ht="10.5" x14ac:dyDescent="0.25">
      <c r="A92" s="18" t="s">
        <v>201</v>
      </c>
      <c r="D92" s="41">
        <v>3</v>
      </c>
    </row>
    <row r="93" spans="1:7" x14ac:dyDescent="0.2">
      <c r="A93" s="9" t="s">
        <v>344</v>
      </c>
    </row>
    <row r="94" spans="1:7" x14ac:dyDescent="0.2">
      <c r="A94" s="56" t="s">
        <v>1505</v>
      </c>
    </row>
    <row r="96" spans="1:7" ht="30" customHeight="1" x14ac:dyDescent="0.2">
      <c r="A96" s="75" t="s">
        <v>1527</v>
      </c>
      <c r="B96" s="75"/>
      <c r="C96" s="75"/>
      <c r="D96" s="75"/>
      <c r="E96" s="75"/>
      <c r="F96" s="75"/>
      <c r="G96" s="75"/>
    </row>
    <row r="97" spans="1:9" s="63" customFormat="1" x14ac:dyDescent="0.2">
      <c r="D97" s="64"/>
      <c r="E97" s="67"/>
      <c r="F97" s="14"/>
      <c r="G97" s="67"/>
    </row>
    <row r="98" spans="1:9" ht="50.15" customHeight="1" x14ac:dyDescent="0.2">
      <c r="A98" s="76" t="s">
        <v>1522</v>
      </c>
      <c r="B98" s="76"/>
      <c r="C98" s="76"/>
      <c r="D98" s="76"/>
      <c r="E98" s="76"/>
      <c r="F98" s="76"/>
      <c r="G98" s="76"/>
    </row>
    <row r="99" spans="1:9" ht="10.5" x14ac:dyDescent="0.2">
      <c r="A99" s="59" t="s">
        <v>1512</v>
      </c>
      <c r="B99" s="62"/>
      <c r="C99" s="62"/>
      <c r="D99" s="62"/>
      <c r="E99" s="62"/>
      <c r="F99" s="62"/>
    </row>
    <row r="100" spans="1:9" x14ac:dyDescent="0.2">
      <c r="A100" s="77" t="s">
        <v>1513</v>
      </c>
      <c r="B100" s="77"/>
      <c r="C100" s="77"/>
      <c r="D100" s="77"/>
      <c r="E100" s="77"/>
      <c r="F100" s="77"/>
    </row>
    <row r="101" spans="1:9" ht="14.5" x14ac:dyDescent="0.35">
      <c r="A101" s="44"/>
    </row>
    <row r="102" spans="1:9" ht="30" customHeight="1" x14ac:dyDescent="0.2">
      <c r="A102" s="78" t="s">
        <v>1514</v>
      </c>
      <c r="B102" s="78"/>
      <c r="C102" s="78"/>
      <c r="D102" s="78"/>
      <c r="E102" s="78"/>
      <c r="F102" s="78"/>
      <c r="G102" s="78"/>
    </row>
    <row r="105" spans="1:9" s="1" customFormat="1" ht="14" x14ac:dyDescent="0.25">
      <c r="A105" s="71" t="s">
        <v>529</v>
      </c>
      <c r="B105" s="72"/>
      <c r="C105" s="72"/>
      <c r="D105" s="72"/>
      <c r="E105" s="72"/>
      <c r="F105" s="72"/>
      <c r="G105" s="72"/>
    </row>
    <row r="106" spans="1:9" ht="10.5" x14ac:dyDescent="0.25">
      <c r="A106" s="18" t="s">
        <v>7</v>
      </c>
    </row>
    <row r="107" spans="1:9" s="1" customFormat="1" ht="17.5" customHeight="1" x14ac:dyDescent="0.25">
      <c r="A107" s="8" t="s">
        <v>2</v>
      </c>
      <c r="B107" s="8" t="s">
        <v>0</v>
      </c>
      <c r="C107" s="17" t="s">
        <v>179</v>
      </c>
      <c r="D107" s="16" t="s">
        <v>1</v>
      </c>
      <c r="E107" s="15" t="s">
        <v>3</v>
      </c>
      <c r="F107" s="15" t="s">
        <v>4</v>
      </c>
      <c r="G107" s="15" t="s">
        <v>6</v>
      </c>
    </row>
    <row r="108" spans="1:9" ht="10.5" x14ac:dyDescent="0.25">
      <c r="A108" s="21" t="s">
        <v>69</v>
      </c>
      <c r="B108" s="22"/>
      <c r="C108" s="22"/>
      <c r="D108" s="23"/>
      <c r="E108" s="24"/>
      <c r="F108" s="25"/>
      <c r="G108" s="24"/>
    </row>
    <row r="109" spans="1:9" ht="10.5" x14ac:dyDescent="0.25">
      <c r="A109" s="26" t="s">
        <v>70</v>
      </c>
      <c r="B109" s="27"/>
      <c r="C109" s="27"/>
      <c r="D109" s="28"/>
      <c r="E109" s="29"/>
      <c r="F109" s="30"/>
      <c r="G109" s="29"/>
    </row>
    <row r="110" spans="1:9" x14ac:dyDescent="0.2">
      <c r="A110" s="27" t="s">
        <v>347</v>
      </c>
      <c r="B110" s="27" t="s">
        <v>346</v>
      </c>
      <c r="C110" s="27" t="s">
        <v>348</v>
      </c>
      <c r="D110" s="31">
        <v>3370</v>
      </c>
      <c r="E110" s="29">
        <v>0</v>
      </c>
      <c r="F110" s="53">
        <v>100</v>
      </c>
      <c r="G110" s="29">
        <v>0</v>
      </c>
    </row>
    <row r="111" spans="1:9" ht="10.5" x14ac:dyDescent="0.25">
      <c r="A111" s="26" t="s">
        <v>164</v>
      </c>
      <c r="B111" s="26"/>
      <c r="C111" s="26"/>
      <c r="D111" s="32"/>
      <c r="E111" s="33">
        <f>SUM(E109:E110)</f>
        <v>0</v>
      </c>
      <c r="F111" s="52">
        <f>SUM(F109:F110)</f>
        <v>100</v>
      </c>
      <c r="G111" s="33"/>
      <c r="H111" s="18"/>
      <c r="I111" s="18"/>
    </row>
    <row r="112" spans="1:9" x14ac:dyDescent="0.2">
      <c r="A112" s="27"/>
      <c r="B112" s="27"/>
      <c r="C112" s="27"/>
      <c r="D112" s="28"/>
      <c r="E112" s="29"/>
      <c r="F112" s="50"/>
      <c r="G112" s="29"/>
    </row>
    <row r="113" spans="1:9" ht="10.5" x14ac:dyDescent="0.25">
      <c r="A113" s="26" t="s">
        <v>176</v>
      </c>
      <c r="B113" s="26"/>
      <c r="C113" s="26"/>
      <c r="D113" s="32"/>
      <c r="E113" s="33">
        <f>E111</f>
        <v>0</v>
      </c>
      <c r="F113" s="52">
        <f>F111</f>
        <v>100</v>
      </c>
      <c r="G113" s="33"/>
      <c r="H113" s="18"/>
      <c r="I113" s="18"/>
    </row>
    <row r="114" spans="1:9" ht="10.5" x14ac:dyDescent="0.25">
      <c r="A114" s="26"/>
      <c r="B114" s="26"/>
      <c r="C114" s="26"/>
      <c r="D114" s="32"/>
      <c r="E114" s="33"/>
      <c r="F114" s="52"/>
      <c r="G114" s="33"/>
      <c r="H114" s="18"/>
      <c r="I114" s="18"/>
    </row>
    <row r="115" spans="1:9" ht="10.5" x14ac:dyDescent="0.25">
      <c r="A115" s="26" t="s">
        <v>178</v>
      </c>
      <c r="B115" s="26"/>
      <c r="C115" s="26"/>
      <c r="D115" s="32"/>
      <c r="E115" s="33">
        <f>E117-(E111)</f>
        <v>0</v>
      </c>
      <c r="F115" s="34">
        <v>0</v>
      </c>
      <c r="G115" s="33"/>
      <c r="H115" s="18"/>
      <c r="I115" s="18"/>
    </row>
    <row r="116" spans="1:9" ht="10.5" x14ac:dyDescent="0.25">
      <c r="A116" s="26"/>
      <c r="B116" s="26"/>
      <c r="C116" s="26"/>
      <c r="D116" s="32"/>
      <c r="E116" s="33"/>
      <c r="F116" s="52"/>
      <c r="G116" s="33"/>
      <c r="H116" s="18"/>
      <c r="I116" s="18"/>
    </row>
    <row r="117" spans="1:9" ht="10.5" x14ac:dyDescent="0.25">
      <c r="A117" s="35" t="s">
        <v>177</v>
      </c>
      <c r="B117" s="35"/>
      <c r="C117" s="35"/>
      <c r="D117" s="36"/>
      <c r="E117" s="37">
        <v>0</v>
      </c>
      <c r="F117" s="55">
        <v>100</v>
      </c>
      <c r="G117" s="37"/>
      <c r="H117" s="18"/>
      <c r="I117" s="18"/>
    </row>
    <row r="118" spans="1:9" ht="10.5" x14ac:dyDescent="0.25">
      <c r="F118" s="20"/>
    </row>
    <row r="119" spans="1:9" ht="10.5" x14ac:dyDescent="0.25">
      <c r="A119" s="61" t="s">
        <v>180</v>
      </c>
    </row>
    <row r="120" spans="1:9" ht="10.5" x14ac:dyDescent="0.25">
      <c r="A120" s="61" t="s">
        <v>1503</v>
      </c>
    </row>
    <row r="121" spans="1:9" ht="10.5" x14ac:dyDescent="0.25">
      <c r="A121" s="18" t="s">
        <v>1511</v>
      </c>
    </row>
    <row r="124" spans="1:9" ht="10.5" x14ac:dyDescent="0.25">
      <c r="A124" s="18" t="s">
        <v>181</v>
      </c>
    </row>
    <row r="125" spans="1:9" ht="10.5" x14ac:dyDescent="0.25">
      <c r="A125" s="18" t="s">
        <v>182</v>
      </c>
    </row>
    <row r="126" spans="1:9" ht="10.5" x14ac:dyDescent="0.25">
      <c r="A126" s="18" t="s">
        <v>183</v>
      </c>
      <c r="B126" s="18"/>
      <c r="C126" s="39" t="s">
        <v>185</v>
      </c>
      <c r="D126" s="19" t="s">
        <v>184</v>
      </c>
    </row>
    <row r="127" spans="1:9" x14ac:dyDescent="0.2">
      <c r="A127" s="9" t="s">
        <v>421</v>
      </c>
      <c r="C127" s="40">
        <v>0</v>
      </c>
      <c r="D127" s="40">
        <v>0</v>
      </c>
    </row>
    <row r="128" spans="1:9" x14ac:dyDescent="0.2">
      <c r="A128" s="9" t="s">
        <v>458</v>
      </c>
      <c r="C128" s="40">
        <v>0</v>
      </c>
      <c r="D128" s="40">
        <v>0</v>
      </c>
    </row>
    <row r="129" spans="1:9" x14ac:dyDescent="0.2">
      <c r="A129" s="9" t="s">
        <v>424</v>
      </c>
      <c r="C129" s="40">
        <v>0</v>
      </c>
      <c r="D129" s="40">
        <v>0</v>
      </c>
    </row>
    <row r="130" spans="1:9" x14ac:dyDescent="0.2">
      <c r="A130" s="9" t="s">
        <v>459</v>
      </c>
      <c r="C130" s="40">
        <v>0</v>
      </c>
      <c r="D130" s="40">
        <v>0</v>
      </c>
    </row>
    <row r="132" spans="1:9" ht="10.5" x14ac:dyDescent="0.25">
      <c r="A132" s="18" t="s">
        <v>1504</v>
      </c>
      <c r="D132" s="41" t="s">
        <v>198</v>
      </c>
    </row>
    <row r="133" spans="1:9" x14ac:dyDescent="0.2">
      <c r="A133" s="9" t="s">
        <v>344</v>
      </c>
    </row>
    <row r="134" spans="1:9" x14ac:dyDescent="0.2">
      <c r="A134" s="56" t="s">
        <v>1505</v>
      </c>
    </row>
    <row r="137" spans="1:9" s="1" customFormat="1" ht="14" x14ac:dyDescent="0.25">
      <c r="A137" s="71" t="s">
        <v>530</v>
      </c>
      <c r="B137" s="72"/>
      <c r="C137" s="72"/>
      <c r="D137" s="72"/>
      <c r="E137" s="72"/>
      <c r="F137" s="72"/>
      <c r="G137" s="72"/>
    </row>
    <row r="138" spans="1:9" ht="10.5" x14ac:dyDescent="0.25">
      <c r="A138" s="18" t="s">
        <v>7</v>
      </c>
    </row>
    <row r="139" spans="1:9" s="1" customFormat="1" ht="17.5" customHeight="1" x14ac:dyDescent="0.25">
      <c r="A139" s="8" t="s">
        <v>2</v>
      </c>
      <c r="B139" s="8" t="s">
        <v>0</v>
      </c>
      <c r="C139" s="17" t="s">
        <v>179</v>
      </c>
      <c r="D139" s="16" t="s">
        <v>1</v>
      </c>
      <c r="E139" s="15" t="s">
        <v>3</v>
      </c>
      <c r="F139" s="15" t="s">
        <v>4</v>
      </c>
      <c r="G139" s="15" t="s">
        <v>6</v>
      </c>
    </row>
    <row r="140" spans="1:9" ht="10.5" x14ac:dyDescent="0.25">
      <c r="A140" s="21" t="s">
        <v>69</v>
      </c>
      <c r="B140" s="22"/>
      <c r="C140" s="22"/>
      <c r="D140" s="23"/>
      <c r="E140" s="24"/>
      <c r="F140" s="25"/>
      <c r="G140" s="24"/>
    </row>
    <row r="141" spans="1:9" ht="10.5" x14ac:dyDescent="0.25">
      <c r="A141" s="26" t="s">
        <v>70</v>
      </c>
      <c r="B141" s="27"/>
      <c r="C141" s="27"/>
      <c r="D141" s="28"/>
      <c r="E141" s="29"/>
      <c r="F141" s="30"/>
      <c r="G141" s="29"/>
    </row>
    <row r="142" spans="1:9" ht="20" x14ac:dyDescent="0.2">
      <c r="A142" s="27" t="s">
        <v>351</v>
      </c>
      <c r="B142" s="27" t="s">
        <v>350</v>
      </c>
      <c r="C142" s="48" t="s">
        <v>1520</v>
      </c>
      <c r="D142" s="31">
        <v>1695</v>
      </c>
      <c r="E142" s="29">
        <v>0</v>
      </c>
      <c r="F142" s="53">
        <v>100</v>
      </c>
      <c r="G142" s="29">
        <v>0</v>
      </c>
    </row>
    <row r="143" spans="1:9" ht="10.5" x14ac:dyDescent="0.25">
      <c r="A143" s="26" t="s">
        <v>164</v>
      </c>
      <c r="B143" s="26"/>
      <c r="C143" s="26"/>
      <c r="D143" s="32"/>
      <c r="E143" s="33">
        <f>SUM(E141:E142)</f>
        <v>0</v>
      </c>
      <c r="F143" s="52">
        <f>SUM(F141:F142)</f>
        <v>100</v>
      </c>
      <c r="G143" s="33"/>
      <c r="H143" s="18"/>
      <c r="I143" s="18"/>
    </row>
    <row r="144" spans="1:9" x14ac:dyDescent="0.2">
      <c r="A144" s="27"/>
      <c r="B144" s="27"/>
      <c r="C144" s="27"/>
      <c r="D144" s="28"/>
      <c r="E144" s="29"/>
      <c r="F144" s="50"/>
      <c r="G144" s="29"/>
    </row>
    <row r="145" spans="1:9" ht="10.5" x14ac:dyDescent="0.25">
      <c r="A145" s="26" t="s">
        <v>176</v>
      </c>
      <c r="B145" s="26"/>
      <c r="C145" s="26"/>
      <c r="D145" s="32"/>
      <c r="E145" s="33">
        <f>E143</f>
        <v>0</v>
      </c>
      <c r="F145" s="52">
        <f>F143</f>
        <v>100</v>
      </c>
      <c r="G145" s="33"/>
      <c r="H145" s="18"/>
      <c r="I145" s="18"/>
    </row>
    <row r="146" spans="1:9" ht="10.5" x14ac:dyDescent="0.25">
      <c r="A146" s="26"/>
      <c r="B146" s="26"/>
      <c r="C146" s="26"/>
      <c r="D146" s="32"/>
      <c r="E146" s="33"/>
      <c r="F146" s="52"/>
      <c r="G146" s="33"/>
      <c r="H146" s="18"/>
      <c r="I146" s="18"/>
    </row>
    <row r="147" spans="1:9" ht="10.5" x14ac:dyDescent="0.25">
      <c r="A147" s="26" t="s">
        <v>178</v>
      </c>
      <c r="B147" s="26"/>
      <c r="C147" s="26"/>
      <c r="D147" s="32"/>
      <c r="E147" s="33">
        <f>E149-(E143)</f>
        <v>0</v>
      </c>
      <c r="F147" s="34">
        <v>0</v>
      </c>
      <c r="G147" s="33"/>
      <c r="H147" s="18"/>
      <c r="I147" s="18"/>
    </row>
    <row r="148" spans="1:9" ht="10.5" x14ac:dyDescent="0.25">
      <c r="A148" s="26"/>
      <c r="B148" s="26"/>
      <c r="C148" s="26"/>
      <c r="D148" s="32"/>
      <c r="E148" s="33"/>
      <c r="F148" s="52"/>
      <c r="G148" s="33"/>
      <c r="H148" s="18"/>
      <c r="I148" s="18"/>
    </row>
    <row r="149" spans="1:9" ht="10.5" x14ac:dyDescent="0.25">
      <c r="A149" s="35" t="s">
        <v>177</v>
      </c>
      <c r="B149" s="35"/>
      <c r="C149" s="35"/>
      <c r="D149" s="36"/>
      <c r="E149" s="37">
        <v>0</v>
      </c>
      <c r="F149" s="55">
        <v>100</v>
      </c>
      <c r="G149" s="37"/>
      <c r="H149" s="18"/>
      <c r="I149" s="18"/>
    </row>
    <row r="150" spans="1:9" ht="10.5" x14ac:dyDescent="0.25">
      <c r="F150" s="20"/>
    </row>
    <row r="151" spans="1:9" ht="10.5" x14ac:dyDescent="0.25">
      <c r="A151" s="18" t="s">
        <v>180</v>
      </c>
    </row>
    <row r="152" spans="1:9" ht="10.5" x14ac:dyDescent="0.25">
      <c r="A152" s="61" t="s">
        <v>1503</v>
      </c>
    </row>
    <row r="153" spans="1:9" ht="10.5" x14ac:dyDescent="0.25">
      <c r="A153" s="61"/>
    </row>
    <row r="154" spans="1:9" ht="10.5" x14ac:dyDescent="0.25">
      <c r="A154" s="18" t="s">
        <v>181</v>
      </c>
    </row>
    <row r="155" spans="1:9" ht="10.5" x14ac:dyDescent="0.25">
      <c r="A155" s="18" t="s">
        <v>182</v>
      </c>
    </row>
    <row r="156" spans="1:9" ht="10.5" x14ac:dyDescent="0.25">
      <c r="A156" s="18" t="s">
        <v>183</v>
      </c>
      <c r="B156" s="18"/>
      <c r="C156" s="39" t="s">
        <v>185</v>
      </c>
      <c r="D156" s="19" t="s">
        <v>184</v>
      </c>
    </row>
    <row r="157" spans="1:9" x14ac:dyDescent="0.2">
      <c r="A157" s="9" t="s">
        <v>421</v>
      </c>
      <c r="C157" s="40">
        <v>0</v>
      </c>
      <c r="D157" s="40">
        <v>0</v>
      </c>
    </row>
    <row r="158" spans="1:9" x14ac:dyDescent="0.2">
      <c r="A158" s="9" t="s">
        <v>458</v>
      </c>
      <c r="C158" s="40">
        <v>0</v>
      </c>
      <c r="D158" s="40">
        <v>0</v>
      </c>
    </row>
    <row r="159" spans="1:9" x14ac:dyDescent="0.2">
      <c r="A159" s="9" t="s">
        <v>424</v>
      </c>
      <c r="C159" s="40">
        <v>0</v>
      </c>
      <c r="D159" s="40">
        <v>0</v>
      </c>
    </row>
    <row r="160" spans="1:9" x14ac:dyDescent="0.2">
      <c r="A160" s="9" t="s">
        <v>459</v>
      </c>
      <c r="C160" s="40">
        <v>0</v>
      </c>
      <c r="D160" s="40">
        <v>0</v>
      </c>
    </row>
    <row r="162" spans="1:4" ht="10.5" x14ac:dyDescent="0.25">
      <c r="A162" s="18" t="s">
        <v>1504</v>
      </c>
      <c r="D162" s="41" t="s">
        <v>198</v>
      </c>
    </row>
    <row r="163" spans="1:4" x14ac:dyDescent="0.2">
      <c r="A163" s="63" t="s">
        <v>344</v>
      </c>
      <c r="B163" s="63"/>
      <c r="C163" s="63"/>
      <c r="D163" s="64"/>
    </row>
    <row r="164" spans="1:4" x14ac:dyDescent="0.2">
      <c r="A164" s="65" t="s">
        <v>1505</v>
      </c>
      <c r="B164" s="63"/>
      <c r="C164" s="63"/>
      <c r="D164" s="64"/>
    </row>
  </sheetData>
  <mergeCells count="7">
    <mergeCell ref="A137:G137"/>
    <mergeCell ref="A1:G1"/>
    <mergeCell ref="A96:G96"/>
    <mergeCell ref="A98:G98"/>
    <mergeCell ref="A100:F100"/>
    <mergeCell ref="A102:G102"/>
    <mergeCell ref="A105:G105"/>
  </mergeCells>
  <conditionalFormatting sqref="F2:F3 F5:F61 F108:F109 F140:F141 F138 F106 F67:F91 F103:F104 F119:F136 F151:F65549">
    <cfRule type="cellIs" dxfId="62" priority="7" stopIfTrue="1" operator="between">
      <formula>0.009</formula>
      <formula>-0.009</formula>
    </cfRule>
  </conditionalFormatting>
  <conditionalFormatting sqref="F92:F95 F97">
    <cfRule type="cellIs" dxfId="61" priority="6" stopIfTrue="1" operator="between">
      <formula>0.009</formula>
      <formula>-0.009</formula>
    </cfRule>
  </conditionalFormatting>
  <conditionalFormatting sqref="F101">
    <cfRule type="cellIs" dxfId="60" priority="5" stopIfTrue="1" operator="between">
      <formula>0.009</formula>
      <formula>-0.009</formula>
    </cfRule>
  </conditionalFormatting>
  <conditionalFormatting sqref="F118">
    <cfRule type="cellIs" dxfId="59" priority="4" stopIfTrue="1" operator="between">
      <formula>0.009</formula>
      <formula>-0.009</formula>
    </cfRule>
  </conditionalFormatting>
  <conditionalFormatting sqref="F111:F114 F116:F117">
    <cfRule type="cellIs" dxfId="58" priority="3" stopIfTrue="1" operator="between">
      <formula>0.009</formula>
      <formula>-0.009</formula>
    </cfRule>
  </conditionalFormatting>
  <conditionalFormatting sqref="F150">
    <cfRule type="cellIs" dxfId="57" priority="2" stopIfTrue="1" operator="between">
      <formula>0.009</formula>
      <formula>-0.009</formula>
    </cfRule>
  </conditionalFormatting>
  <conditionalFormatting sqref="F143:F146 F148:F149">
    <cfRule type="cellIs" dxfId="56" priority="1" stopIfTrue="1" operator="between">
      <formula>0.009</formula>
      <formula>-0.009</formula>
    </cfRule>
  </conditionalFormatting>
  <hyperlinks>
    <hyperlink ref="A94" r:id="rId1" xr:uid="{00000000-0004-0000-0C00-000000000000}"/>
    <hyperlink ref="A99" r:id="rId2" xr:uid="{00000000-0004-0000-0C00-000001000000}"/>
    <hyperlink ref="A100" r:id="rId3" xr:uid="{00000000-0004-0000-0C00-000002000000}"/>
    <hyperlink ref="A134" r:id="rId4" xr:uid="{00000000-0004-0000-0C00-000003000000}"/>
    <hyperlink ref="A164" r:id="rId5" xr:uid="{00000000-0004-0000-0C00-000004000000}"/>
  </hyperlinks>
  <pageMargins left="0.7" right="0.7" top="0.75" bottom="0.75" header="0.3" footer="0.3"/>
  <pageSetup paperSize="9" orientation="portrait" r:id="rId6"/>
  <headerFooter>
    <oddFooter>&amp;LPUBLIC</oddFooter>
    <evenFooter>&amp;LPUBLIC</evenFooter>
    <firstFooter>&amp;LPUBLIC</first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I4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21</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712</v>
      </c>
      <c r="B7" s="27" t="s">
        <v>711</v>
      </c>
      <c r="C7" s="27" t="s">
        <v>278</v>
      </c>
      <c r="D7" s="31">
        <v>40</v>
      </c>
      <c r="E7" s="29">
        <v>517.52719999999999</v>
      </c>
      <c r="F7" s="30">
        <v>10.125438382439601</v>
      </c>
      <c r="G7" s="29">
        <v>4.6748000000000003</v>
      </c>
    </row>
    <row r="8" spans="1:7" x14ac:dyDescent="0.2">
      <c r="A8" s="27" t="s">
        <v>714</v>
      </c>
      <c r="B8" s="27" t="s">
        <v>713</v>
      </c>
      <c r="C8" s="27" t="s">
        <v>163</v>
      </c>
      <c r="D8" s="31">
        <v>40</v>
      </c>
      <c r="E8" s="29">
        <v>513.89919999999995</v>
      </c>
      <c r="F8" s="30">
        <v>10.0544564312465</v>
      </c>
      <c r="G8" s="29">
        <v>4.5250000000000004</v>
      </c>
    </row>
    <row r="9" spans="1:7" x14ac:dyDescent="0.2">
      <c r="A9" s="27" t="s">
        <v>655</v>
      </c>
      <c r="B9" s="27" t="s">
        <v>654</v>
      </c>
      <c r="C9" s="27" t="s">
        <v>523</v>
      </c>
      <c r="D9" s="31">
        <v>42</v>
      </c>
      <c r="E9" s="29">
        <v>442.88873999999998</v>
      </c>
      <c r="F9" s="30">
        <v>8.6651342135182308</v>
      </c>
      <c r="G9" s="29">
        <v>3.8849999999999998</v>
      </c>
    </row>
    <row r="10" spans="1:7" x14ac:dyDescent="0.2">
      <c r="A10" s="27" t="s">
        <v>576</v>
      </c>
      <c r="B10" s="27" t="s">
        <v>575</v>
      </c>
      <c r="C10" s="27" t="s">
        <v>483</v>
      </c>
      <c r="D10" s="31">
        <v>41</v>
      </c>
      <c r="E10" s="29">
        <v>432.11376000000001</v>
      </c>
      <c r="F10" s="30">
        <v>8.4543213401813002</v>
      </c>
      <c r="G10" s="29">
        <v>3.835</v>
      </c>
    </row>
    <row r="11" spans="1:7" x14ac:dyDescent="0.2">
      <c r="A11" s="27" t="s">
        <v>162</v>
      </c>
      <c r="B11" s="27" t="s">
        <v>161</v>
      </c>
      <c r="C11" s="27" t="s">
        <v>163</v>
      </c>
      <c r="D11" s="31">
        <v>41</v>
      </c>
      <c r="E11" s="29">
        <v>428.31306000000001</v>
      </c>
      <c r="F11" s="30">
        <v>8.3799605072431707</v>
      </c>
      <c r="G11" s="29">
        <v>3.8650000000000002</v>
      </c>
    </row>
    <row r="12" spans="1:7" x14ac:dyDescent="0.2">
      <c r="A12" s="27" t="s">
        <v>542</v>
      </c>
      <c r="B12" s="27" t="s">
        <v>541</v>
      </c>
      <c r="C12" s="27" t="s">
        <v>533</v>
      </c>
      <c r="D12" s="31">
        <v>40</v>
      </c>
      <c r="E12" s="29">
        <v>416.16800000000001</v>
      </c>
      <c r="F12" s="30">
        <v>8.1423419691624002</v>
      </c>
      <c r="G12" s="29">
        <v>5.7141000000000002</v>
      </c>
    </row>
    <row r="13" spans="1:7" x14ac:dyDescent="0.2">
      <c r="A13" s="27" t="s">
        <v>652</v>
      </c>
      <c r="B13" s="27" t="s">
        <v>651</v>
      </c>
      <c r="C13" s="27" t="s">
        <v>653</v>
      </c>
      <c r="D13" s="31">
        <v>37</v>
      </c>
      <c r="E13" s="29">
        <v>397.29489999999998</v>
      </c>
      <c r="F13" s="30">
        <v>7.7730890851871903</v>
      </c>
      <c r="G13" s="29">
        <v>3.8614000000000002</v>
      </c>
    </row>
    <row r="14" spans="1:7" x14ac:dyDescent="0.2">
      <c r="A14" s="27" t="s">
        <v>586</v>
      </c>
      <c r="B14" s="27" t="s">
        <v>585</v>
      </c>
      <c r="C14" s="27" t="s">
        <v>163</v>
      </c>
      <c r="D14" s="31">
        <v>30</v>
      </c>
      <c r="E14" s="29">
        <v>368.73809999999997</v>
      </c>
      <c r="F14" s="30">
        <v>7.2143742605370997</v>
      </c>
      <c r="G14" s="29">
        <v>4.3150000000000004</v>
      </c>
    </row>
    <row r="15" spans="1:7" x14ac:dyDescent="0.2">
      <c r="A15" s="27" t="s">
        <v>574</v>
      </c>
      <c r="B15" s="27" t="s">
        <v>573</v>
      </c>
      <c r="C15" s="27" t="s">
        <v>163</v>
      </c>
      <c r="D15" s="31">
        <v>30</v>
      </c>
      <c r="E15" s="29">
        <v>316.17630000000003</v>
      </c>
      <c r="F15" s="30">
        <v>6.1860007428357804</v>
      </c>
      <c r="G15" s="29">
        <v>3.8</v>
      </c>
    </row>
    <row r="16" spans="1:7" x14ac:dyDescent="0.2">
      <c r="A16" s="27" t="s">
        <v>716</v>
      </c>
      <c r="B16" s="27" t="s">
        <v>715</v>
      </c>
      <c r="C16" s="27" t="s">
        <v>278</v>
      </c>
      <c r="D16" s="31">
        <v>21</v>
      </c>
      <c r="E16" s="29">
        <v>265.25225999999998</v>
      </c>
      <c r="F16" s="30">
        <v>5.1896700587579501</v>
      </c>
      <c r="G16" s="29">
        <v>4.6898</v>
      </c>
    </row>
    <row r="17" spans="1:9" x14ac:dyDescent="0.2">
      <c r="A17" s="27" t="s">
        <v>718</v>
      </c>
      <c r="B17" s="27" t="s">
        <v>717</v>
      </c>
      <c r="C17" s="27" t="s">
        <v>163</v>
      </c>
      <c r="D17" s="31">
        <v>19</v>
      </c>
      <c r="E17" s="29">
        <v>240.30345</v>
      </c>
      <c r="F17" s="30">
        <v>4.7015456889273501</v>
      </c>
      <c r="G17" s="29">
        <v>4.5250000000000004</v>
      </c>
    </row>
    <row r="18" spans="1:9" x14ac:dyDescent="0.2">
      <c r="A18" s="27" t="s">
        <v>720</v>
      </c>
      <c r="B18" s="27" t="s">
        <v>719</v>
      </c>
      <c r="C18" s="27" t="s">
        <v>483</v>
      </c>
      <c r="D18" s="31">
        <v>18</v>
      </c>
      <c r="E18" s="29">
        <v>190.32138</v>
      </c>
      <c r="F18" s="30">
        <v>3.7236446819623499</v>
      </c>
      <c r="G18" s="29">
        <v>3.89</v>
      </c>
    </row>
    <row r="19" spans="1:9" x14ac:dyDescent="0.2">
      <c r="A19" s="27" t="s">
        <v>722</v>
      </c>
      <c r="B19" s="27" t="s">
        <v>721</v>
      </c>
      <c r="C19" s="27" t="s">
        <v>163</v>
      </c>
      <c r="D19" s="31">
        <v>12</v>
      </c>
      <c r="E19" s="29">
        <v>149.45748</v>
      </c>
      <c r="F19" s="30">
        <v>2.9241410007719302</v>
      </c>
      <c r="G19" s="29">
        <v>5.8898999999999999</v>
      </c>
    </row>
    <row r="20" spans="1:9" x14ac:dyDescent="0.2">
      <c r="A20" s="27" t="s">
        <v>546</v>
      </c>
      <c r="B20" s="27" t="s">
        <v>545</v>
      </c>
      <c r="C20" s="27" t="s">
        <v>163</v>
      </c>
      <c r="D20" s="31">
        <v>10</v>
      </c>
      <c r="E20" s="29">
        <v>105.2413</v>
      </c>
      <c r="F20" s="30">
        <v>2.05904984015881</v>
      </c>
      <c r="G20" s="29">
        <v>3.915</v>
      </c>
    </row>
    <row r="21" spans="1:9" x14ac:dyDescent="0.2">
      <c r="A21" s="27" t="s">
        <v>539</v>
      </c>
      <c r="B21" s="27" t="s">
        <v>538</v>
      </c>
      <c r="C21" s="27" t="s">
        <v>540</v>
      </c>
      <c r="D21" s="31">
        <v>5</v>
      </c>
      <c r="E21" s="29">
        <v>51.824150000000003</v>
      </c>
      <c r="F21" s="30">
        <v>1.0139413687769501</v>
      </c>
      <c r="G21" s="29">
        <v>5.5990000000000002</v>
      </c>
    </row>
    <row r="22" spans="1:9" ht="10.5" x14ac:dyDescent="0.25">
      <c r="A22" s="26" t="s">
        <v>164</v>
      </c>
      <c r="B22" s="26"/>
      <c r="C22" s="26"/>
      <c r="D22" s="32"/>
      <c r="E22" s="33">
        <f>SUM(E6:E21)</f>
        <v>4835.5192800000004</v>
      </c>
      <c r="F22" s="34">
        <f>SUM(F6:F21)</f>
        <v>94.607109571706616</v>
      </c>
      <c r="G22" s="33"/>
      <c r="H22" s="18"/>
      <c r="I22" s="18"/>
    </row>
    <row r="23" spans="1:9" x14ac:dyDescent="0.2">
      <c r="A23" s="27"/>
      <c r="B23" s="27"/>
      <c r="C23" s="27"/>
      <c r="D23" s="28"/>
      <c r="E23" s="29"/>
      <c r="F23" s="30"/>
      <c r="G23" s="29"/>
    </row>
    <row r="24" spans="1:9" ht="10.5" x14ac:dyDescent="0.25">
      <c r="A24" s="26" t="s">
        <v>176</v>
      </c>
      <c r="B24" s="26"/>
      <c r="C24" s="26"/>
      <c r="D24" s="32"/>
      <c r="E24" s="33">
        <f>E22</f>
        <v>4835.5192800000004</v>
      </c>
      <c r="F24" s="34">
        <f>F22</f>
        <v>94.607109571706616</v>
      </c>
      <c r="G24" s="33"/>
      <c r="H24" s="18"/>
      <c r="I24" s="18"/>
    </row>
    <row r="25" spans="1:9" ht="10.5" x14ac:dyDescent="0.25">
      <c r="A25" s="26"/>
      <c r="B25" s="26"/>
      <c r="C25" s="26"/>
      <c r="D25" s="32"/>
      <c r="E25" s="33"/>
      <c r="F25" s="34"/>
      <c r="G25" s="33"/>
      <c r="H25" s="18"/>
      <c r="I25" s="18"/>
    </row>
    <row r="26" spans="1:9" ht="10.5" x14ac:dyDescent="0.25">
      <c r="A26" s="26" t="s">
        <v>178</v>
      </c>
      <c r="B26" s="26"/>
      <c r="C26" s="26"/>
      <c r="D26" s="32"/>
      <c r="E26" s="33">
        <f>E28-(E22)</f>
        <v>275.63917509999919</v>
      </c>
      <c r="F26" s="34">
        <f>F28-(F22)</f>
        <v>5.3928904282933843</v>
      </c>
      <c r="G26" s="33"/>
      <c r="H26" s="18"/>
      <c r="I26" s="18"/>
    </row>
    <row r="27" spans="1:9" ht="10.5" x14ac:dyDescent="0.25">
      <c r="A27" s="26"/>
      <c r="B27" s="26"/>
      <c r="C27" s="26"/>
      <c r="D27" s="32"/>
      <c r="E27" s="33"/>
      <c r="F27" s="34"/>
      <c r="G27" s="33"/>
      <c r="H27" s="18"/>
      <c r="I27" s="18"/>
    </row>
    <row r="28" spans="1:9" ht="10.5" x14ac:dyDescent="0.25">
      <c r="A28" s="35" t="s">
        <v>177</v>
      </c>
      <c r="B28" s="35"/>
      <c r="C28" s="35"/>
      <c r="D28" s="36"/>
      <c r="E28" s="37">
        <v>5111.1584550999996</v>
      </c>
      <c r="F28" s="38">
        <v>100</v>
      </c>
      <c r="G28" s="37"/>
      <c r="H28" s="18"/>
      <c r="I28" s="18"/>
    </row>
    <row r="30" spans="1:9" ht="10.5" x14ac:dyDescent="0.25">
      <c r="A30" s="18" t="s">
        <v>180</v>
      </c>
    </row>
    <row r="32" spans="1:9" ht="10.5" x14ac:dyDescent="0.25">
      <c r="A32" s="18" t="s">
        <v>181</v>
      </c>
    </row>
    <row r="33" spans="1:5" ht="10.5" x14ac:dyDescent="0.25">
      <c r="A33" s="18" t="s">
        <v>182</v>
      </c>
    </row>
    <row r="34" spans="1:5" ht="10.5" x14ac:dyDescent="0.25">
      <c r="A34" s="18" t="s">
        <v>183</v>
      </c>
      <c r="B34" s="18"/>
      <c r="C34" s="39" t="s">
        <v>185</v>
      </c>
      <c r="D34" s="19" t="s">
        <v>184</v>
      </c>
    </row>
    <row r="35" spans="1:5" x14ac:dyDescent="0.2">
      <c r="A35" s="9" t="s">
        <v>421</v>
      </c>
      <c r="C35" s="40">
        <v>11.2814</v>
      </c>
      <c r="D35" s="40">
        <v>11.909800000000001</v>
      </c>
    </row>
    <row r="36" spans="1:5" x14ac:dyDescent="0.2">
      <c r="A36" s="9" t="s">
        <v>723</v>
      </c>
      <c r="C36" s="40">
        <v>10.4887</v>
      </c>
      <c r="D36" s="40">
        <v>11.072900000000001</v>
      </c>
    </row>
    <row r="37" spans="1:5" x14ac:dyDescent="0.2">
      <c r="A37" s="9" t="s">
        <v>423</v>
      </c>
      <c r="C37" s="40">
        <v>10.484299999999999</v>
      </c>
      <c r="D37" s="40">
        <v>10.677300000000001</v>
      </c>
    </row>
    <row r="38" spans="1:5" x14ac:dyDescent="0.2">
      <c r="A38" s="9" t="s">
        <v>424</v>
      </c>
      <c r="C38" s="40">
        <v>11.308400000000001</v>
      </c>
      <c r="D38" s="40">
        <v>11.950200000000001</v>
      </c>
    </row>
    <row r="40" spans="1:5" ht="10.5" x14ac:dyDescent="0.25">
      <c r="A40" s="18" t="s">
        <v>197</v>
      </c>
    </row>
    <row r="41" spans="1:5" ht="10.5" x14ac:dyDescent="0.25">
      <c r="A41" s="73" t="s">
        <v>403</v>
      </c>
      <c r="B41" s="74"/>
      <c r="C41" s="45" t="s">
        <v>404</v>
      </c>
    </row>
    <row r="42" spans="1:5" x14ac:dyDescent="0.2">
      <c r="A42" s="69" t="s">
        <v>423</v>
      </c>
      <c r="B42" s="70"/>
      <c r="C42" s="46">
        <v>0.38</v>
      </c>
    </row>
    <row r="43" spans="1:5" x14ac:dyDescent="0.2">
      <c r="A43" s="9" t="s">
        <v>405</v>
      </c>
    </row>
    <row r="45" spans="1:5" ht="10.5" x14ac:dyDescent="0.25">
      <c r="A45" s="18" t="s">
        <v>199</v>
      </c>
      <c r="D45" s="42">
        <v>1.2150973147123301</v>
      </c>
      <c r="E45" s="13" t="s">
        <v>200</v>
      </c>
    </row>
    <row r="47" spans="1:5" ht="10.5" x14ac:dyDescent="0.25">
      <c r="A47" s="18" t="s">
        <v>201</v>
      </c>
      <c r="D47" s="41" t="s">
        <v>198</v>
      </c>
    </row>
  </sheetData>
  <mergeCells count="3">
    <mergeCell ref="A1:G1"/>
    <mergeCell ref="A41:B41"/>
    <mergeCell ref="A42:B42"/>
  </mergeCells>
  <conditionalFormatting sqref="F2:F3 F5:F65536">
    <cfRule type="cellIs" dxfId="5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I49"/>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22</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586</v>
      </c>
      <c r="B7" s="27" t="s">
        <v>585</v>
      </c>
      <c r="C7" s="27" t="s">
        <v>163</v>
      </c>
      <c r="D7" s="31">
        <v>39</v>
      </c>
      <c r="E7" s="29">
        <v>479.35953000000001</v>
      </c>
      <c r="F7" s="30">
        <v>12.0110416078304</v>
      </c>
      <c r="G7" s="29">
        <v>4.3150000000000004</v>
      </c>
    </row>
    <row r="8" spans="1:7" x14ac:dyDescent="0.2">
      <c r="A8" s="27" t="s">
        <v>725</v>
      </c>
      <c r="B8" s="27" t="s">
        <v>724</v>
      </c>
      <c r="C8" s="27" t="s">
        <v>163</v>
      </c>
      <c r="D8" s="31">
        <v>39</v>
      </c>
      <c r="E8" s="29">
        <v>412.72100999999998</v>
      </c>
      <c r="F8" s="30">
        <v>10.3413177652602</v>
      </c>
      <c r="G8" s="29">
        <v>3.8849999999999998</v>
      </c>
    </row>
    <row r="9" spans="1:7" x14ac:dyDescent="0.2">
      <c r="A9" s="27" t="s">
        <v>727</v>
      </c>
      <c r="B9" s="27" t="s">
        <v>726</v>
      </c>
      <c r="C9" s="27" t="s">
        <v>163</v>
      </c>
      <c r="D9" s="31">
        <v>39</v>
      </c>
      <c r="E9" s="29">
        <v>408.31439999999998</v>
      </c>
      <c r="F9" s="30">
        <v>10.230903821764599</v>
      </c>
      <c r="G9" s="29">
        <v>3.81</v>
      </c>
    </row>
    <row r="10" spans="1:7" x14ac:dyDescent="0.2">
      <c r="A10" s="27" t="s">
        <v>162</v>
      </c>
      <c r="B10" s="27" t="s">
        <v>161</v>
      </c>
      <c r="C10" s="27" t="s">
        <v>163</v>
      </c>
      <c r="D10" s="31">
        <v>38</v>
      </c>
      <c r="E10" s="29">
        <v>396.97307999999998</v>
      </c>
      <c r="F10" s="30">
        <v>9.9467307577437403</v>
      </c>
      <c r="G10" s="29">
        <v>3.8650000000000002</v>
      </c>
    </row>
    <row r="11" spans="1:7" x14ac:dyDescent="0.2">
      <c r="A11" s="27" t="s">
        <v>720</v>
      </c>
      <c r="B11" s="27" t="s">
        <v>719</v>
      </c>
      <c r="C11" s="27" t="s">
        <v>483</v>
      </c>
      <c r="D11" s="31">
        <v>37</v>
      </c>
      <c r="E11" s="29">
        <v>391.21616999999998</v>
      </c>
      <c r="F11" s="30">
        <v>9.8024831080881007</v>
      </c>
      <c r="G11" s="29">
        <v>3.89</v>
      </c>
    </row>
    <row r="12" spans="1:7" x14ac:dyDescent="0.2">
      <c r="A12" s="27" t="s">
        <v>716</v>
      </c>
      <c r="B12" s="27" t="s">
        <v>715</v>
      </c>
      <c r="C12" s="27" t="s">
        <v>278</v>
      </c>
      <c r="D12" s="31">
        <v>29</v>
      </c>
      <c r="E12" s="29">
        <v>366.30074000000002</v>
      </c>
      <c r="F12" s="30">
        <v>9.1781912192693103</v>
      </c>
      <c r="G12" s="29">
        <v>4.6898</v>
      </c>
    </row>
    <row r="13" spans="1:7" x14ac:dyDescent="0.2">
      <c r="A13" s="27" t="s">
        <v>539</v>
      </c>
      <c r="B13" s="27" t="s">
        <v>538</v>
      </c>
      <c r="C13" s="27" t="s">
        <v>540</v>
      </c>
      <c r="D13" s="31">
        <v>34</v>
      </c>
      <c r="E13" s="29">
        <v>352.40422000000001</v>
      </c>
      <c r="F13" s="30">
        <v>8.8299939487904098</v>
      </c>
      <c r="G13" s="29">
        <v>5.5990000000000002</v>
      </c>
    </row>
    <row r="14" spans="1:7" x14ac:dyDescent="0.2">
      <c r="A14" s="27" t="s">
        <v>598</v>
      </c>
      <c r="B14" s="27" t="s">
        <v>597</v>
      </c>
      <c r="C14" s="27" t="s">
        <v>163</v>
      </c>
      <c r="D14" s="31">
        <v>27</v>
      </c>
      <c r="E14" s="29">
        <v>341.49059999999997</v>
      </c>
      <c r="F14" s="30">
        <v>8.5565375226460301</v>
      </c>
      <c r="G14" s="29">
        <v>4.2</v>
      </c>
    </row>
    <row r="15" spans="1:7" x14ac:dyDescent="0.2">
      <c r="A15" s="27" t="s">
        <v>722</v>
      </c>
      <c r="B15" s="27" t="s">
        <v>721</v>
      </c>
      <c r="C15" s="27" t="s">
        <v>163</v>
      </c>
      <c r="D15" s="31">
        <v>24</v>
      </c>
      <c r="E15" s="29">
        <v>298.91496000000001</v>
      </c>
      <c r="F15" s="30">
        <v>7.4897437039855204</v>
      </c>
      <c r="G15" s="29">
        <v>5.8898999999999999</v>
      </c>
    </row>
    <row r="16" spans="1:7" x14ac:dyDescent="0.2">
      <c r="A16" s="27" t="s">
        <v>574</v>
      </c>
      <c r="B16" s="27" t="s">
        <v>573</v>
      </c>
      <c r="C16" s="27" t="s">
        <v>163</v>
      </c>
      <c r="D16" s="31">
        <v>13</v>
      </c>
      <c r="E16" s="29">
        <v>137.00972999999999</v>
      </c>
      <c r="F16" s="30">
        <v>3.4329755949727501</v>
      </c>
      <c r="G16" s="29">
        <v>3.8</v>
      </c>
    </row>
    <row r="17" spans="1:9" x14ac:dyDescent="0.2">
      <c r="A17" s="27" t="s">
        <v>546</v>
      </c>
      <c r="B17" s="27" t="s">
        <v>545</v>
      </c>
      <c r="C17" s="27" t="s">
        <v>163</v>
      </c>
      <c r="D17" s="31">
        <v>12</v>
      </c>
      <c r="E17" s="29">
        <v>126.28955999999999</v>
      </c>
      <c r="F17" s="30">
        <v>3.1643663364627201</v>
      </c>
      <c r="G17" s="29">
        <v>3.915</v>
      </c>
    </row>
    <row r="18" spans="1:9" x14ac:dyDescent="0.2">
      <c r="A18" s="27" t="s">
        <v>714</v>
      </c>
      <c r="B18" s="27" t="s">
        <v>713</v>
      </c>
      <c r="C18" s="27" t="s">
        <v>163</v>
      </c>
      <c r="D18" s="31">
        <v>4</v>
      </c>
      <c r="E18" s="29">
        <v>51.389919999999996</v>
      </c>
      <c r="F18" s="30">
        <v>1.2876482654743</v>
      </c>
      <c r="G18" s="29">
        <v>4.5250000000000004</v>
      </c>
    </row>
    <row r="19" spans="1:9" x14ac:dyDescent="0.2">
      <c r="A19" s="27" t="s">
        <v>729</v>
      </c>
      <c r="B19" s="27" t="s">
        <v>728</v>
      </c>
      <c r="C19" s="27" t="s">
        <v>278</v>
      </c>
      <c r="D19" s="31">
        <v>1</v>
      </c>
      <c r="E19" s="29">
        <v>12.49146</v>
      </c>
      <c r="F19" s="30">
        <v>0.31299147385793902</v>
      </c>
      <c r="G19" s="29">
        <v>5.5799000000000003</v>
      </c>
    </row>
    <row r="20" spans="1:9" x14ac:dyDescent="0.2">
      <c r="A20" s="27" t="s">
        <v>542</v>
      </c>
      <c r="B20" s="27" t="s">
        <v>541</v>
      </c>
      <c r="C20" s="27" t="s">
        <v>533</v>
      </c>
      <c r="D20" s="31">
        <v>1</v>
      </c>
      <c r="E20" s="29">
        <v>10.404199999999999</v>
      </c>
      <c r="F20" s="30">
        <v>0.26069217627985602</v>
      </c>
      <c r="G20" s="29">
        <v>5.7141000000000002</v>
      </c>
    </row>
    <row r="21" spans="1:9" ht="10.5" x14ac:dyDescent="0.25">
      <c r="A21" s="26" t="s">
        <v>164</v>
      </c>
      <c r="B21" s="26"/>
      <c r="C21" s="26"/>
      <c r="D21" s="32"/>
      <c r="E21" s="33">
        <f>SUM(E6:E20)</f>
        <v>3785.2795800000008</v>
      </c>
      <c r="F21" s="34">
        <f>SUM(F6:F20)</f>
        <v>94.845617302425879</v>
      </c>
      <c r="G21" s="33"/>
      <c r="H21" s="18"/>
      <c r="I21" s="18"/>
    </row>
    <row r="22" spans="1:9" x14ac:dyDescent="0.2">
      <c r="A22" s="27"/>
      <c r="B22" s="27"/>
      <c r="C22" s="27"/>
      <c r="D22" s="28"/>
      <c r="E22" s="29"/>
      <c r="F22" s="30"/>
      <c r="G22" s="29"/>
    </row>
    <row r="23" spans="1:9" ht="10.5" x14ac:dyDescent="0.25">
      <c r="A23" s="26" t="s">
        <v>176</v>
      </c>
      <c r="B23" s="26"/>
      <c r="C23" s="26"/>
      <c r="D23" s="32"/>
      <c r="E23" s="33">
        <f>E21</f>
        <v>3785.2795800000008</v>
      </c>
      <c r="F23" s="34">
        <f>F21</f>
        <v>94.845617302425879</v>
      </c>
      <c r="G23" s="33"/>
      <c r="H23" s="18"/>
      <c r="I23" s="18"/>
    </row>
    <row r="24" spans="1:9" ht="10.5" x14ac:dyDescent="0.25">
      <c r="A24" s="26"/>
      <c r="B24" s="26"/>
      <c r="C24" s="26"/>
      <c r="D24" s="32"/>
      <c r="E24" s="33"/>
      <c r="F24" s="34"/>
      <c r="G24" s="33"/>
      <c r="H24" s="18"/>
      <c r="I24" s="18"/>
    </row>
    <row r="25" spans="1:9" ht="10.5" x14ac:dyDescent="0.25">
      <c r="A25" s="26" t="s">
        <v>178</v>
      </c>
      <c r="B25" s="26"/>
      <c r="C25" s="26"/>
      <c r="D25" s="32"/>
      <c r="E25" s="33">
        <f>E27-(E21)</f>
        <v>205.71092399999907</v>
      </c>
      <c r="F25" s="34">
        <f>F27-(F21)</f>
        <v>5.1543826975741212</v>
      </c>
      <c r="G25" s="33"/>
      <c r="H25" s="18"/>
      <c r="I25" s="18"/>
    </row>
    <row r="26" spans="1:9" ht="10.5" x14ac:dyDescent="0.25">
      <c r="A26" s="26"/>
      <c r="B26" s="26"/>
      <c r="C26" s="26"/>
      <c r="D26" s="32"/>
      <c r="E26" s="33"/>
      <c r="F26" s="34"/>
      <c r="G26" s="33"/>
      <c r="H26" s="18"/>
      <c r="I26" s="18"/>
    </row>
    <row r="27" spans="1:9" ht="10.5" x14ac:dyDescent="0.25">
      <c r="A27" s="35" t="s">
        <v>177</v>
      </c>
      <c r="B27" s="35"/>
      <c r="C27" s="35"/>
      <c r="D27" s="36"/>
      <c r="E27" s="37">
        <v>3990.9905039999999</v>
      </c>
      <c r="F27" s="38">
        <v>100</v>
      </c>
      <c r="G27" s="37"/>
      <c r="H27" s="18"/>
      <c r="I27" s="18"/>
    </row>
    <row r="29" spans="1:9" ht="10.5" x14ac:dyDescent="0.25">
      <c r="A29" s="18" t="s">
        <v>180</v>
      </c>
    </row>
    <row r="31" spans="1:9" ht="10.5" x14ac:dyDescent="0.25">
      <c r="A31" s="18" t="s">
        <v>181</v>
      </c>
    </row>
    <row r="32" spans="1:9" ht="10.5" x14ac:dyDescent="0.25">
      <c r="A32" s="18" t="s">
        <v>182</v>
      </c>
    </row>
    <row r="33" spans="1:5" ht="10.5" x14ac:dyDescent="0.25">
      <c r="A33" s="18" t="s">
        <v>183</v>
      </c>
      <c r="B33" s="18"/>
      <c r="C33" s="39" t="s">
        <v>185</v>
      </c>
      <c r="D33" s="19" t="s">
        <v>184</v>
      </c>
    </row>
    <row r="34" spans="1:5" x14ac:dyDescent="0.2">
      <c r="A34" s="9" t="s">
        <v>421</v>
      </c>
      <c r="C34" s="40">
        <v>11.4184</v>
      </c>
      <c r="D34" s="40">
        <v>12.037000000000001</v>
      </c>
    </row>
    <row r="35" spans="1:5" x14ac:dyDescent="0.2">
      <c r="A35" s="9" t="s">
        <v>723</v>
      </c>
      <c r="C35" s="40">
        <v>10.599600000000001</v>
      </c>
      <c r="D35" s="40">
        <v>11.1746</v>
      </c>
    </row>
    <row r="36" spans="1:5" x14ac:dyDescent="0.2">
      <c r="A36" s="9" t="s">
        <v>423</v>
      </c>
      <c r="C36" s="40">
        <v>10.409700000000001</v>
      </c>
      <c r="D36" s="40">
        <v>10.5487</v>
      </c>
    </row>
    <row r="37" spans="1:5" x14ac:dyDescent="0.2">
      <c r="A37" s="9" t="s">
        <v>424</v>
      </c>
      <c r="C37" s="40">
        <v>11.447800000000001</v>
      </c>
      <c r="D37" s="40">
        <v>12.08</v>
      </c>
    </row>
    <row r="38" spans="1:5" x14ac:dyDescent="0.2">
      <c r="A38" s="9" t="s">
        <v>459</v>
      </c>
      <c r="C38" s="40">
        <v>10.628399999999999</v>
      </c>
      <c r="D38" s="40">
        <v>11.215199999999999</v>
      </c>
    </row>
    <row r="39" spans="1:5" x14ac:dyDescent="0.2">
      <c r="A39" s="9" t="s">
        <v>426</v>
      </c>
      <c r="C39" s="40">
        <v>10.438000000000001</v>
      </c>
      <c r="D39" s="40">
        <v>10.5898</v>
      </c>
    </row>
    <row r="41" spans="1:5" ht="10.5" x14ac:dyDescent="0.25">
      <c r="A41" s="18" t="s">
        <v>197</v>
      </c>
    </row>
    <row r="42" spans="1:5" ht="10.5" x14ac:dyDescent="0.25">
      <c r="A42" s="73" t="s">
        <v>403</v>
      </c>
      <c r="B42" s="74"/>
      <c r="C42" s="45" t="s">
        <v>404</v>
      </c>
    </row>
    <row r="43" spans="1:5" x14ac:dyDescent="0.2">
      <c r="A43" s="69" t="s">
        <v>423</v>
      </c>
      <c r="B43" s="70"/>
      <c r="C43" s="46">
        <v>0.42</v>
      </c>
    </row>
    <row r="44" spans="1:5" x14ac:dyDescent="0.2">
      <c r="A44" s="69" t="s">
        <v>426</v>
      </c>
      <c r="B44" s="70"/>
      <c r="C44" s="46">
        <v>0.42</v>
      </c>
    </row>
    <row r="45" spans="1:5" x14ac:dyDescent="0.2">
      <c r="A45" s="9" t="s">
        <v>405</v>
      </c>
    </row>
    <row r="47" spans="1:5" ht="10.5" x14ac:dyDescent="0.25">
      <c r="A47" s="18" t="s">
        <v>199</v>
      </c>
      <c r="D47" s="42">
        <v>1.1496134954794499</v>
      </c>
      <c r="E47" s="13" t="s">
        <v>200</v>
      </c>
    </row>
    <row r="49" spans="1:4" ht="10.5" x14ac:dyDescent="0.25">
      <c r="A49" s="18" t="s">
        <v>201</v>
      </c>
      <c r="D49" s="41" t="s">
        <v>198</v>
      </c>
    </row>
  </sheetData>
  <mergeCells count="4">
    <mergeCell ref="A1:G1"/>
    <mergeCell ref="A42:B42"/>
    <mergeCell ref="A43:B43"/>
    <mergeCell ref="A44:B44"/>
  </mergeCells>
  <conditionalFormatting sqref="F2:F3 F5:F65536">
    <cfRule type="cellIs" dxfId="5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I48"/>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23</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731</v>
      </c>
      <c r="B7" s="27" t="s">
        <v>730</v>
      </c>
      <c r="C7" s="27" t="s">
        <v>163</v>
      </c>
      <c r="D7" s="31">
        <v>23</v>
      </c>
      <c r="E7" s="29">
        <v>293.02206999999999</v>
      </c>
      <c r="F7" s="30">
        <v>11.998707893163401</v>
      </c>
      <c r="G7" s="29">
        <v>4.5250000000000004</v>
      </c>
    </row>
    <row r="8" spans="1:7" x14ac:dyDescent="0.2">
      <c r="A8" s="27" t="s">
        <v>733</v>
      </c>
      <c r="B8" s="27" t="s">
        <v>732</v>
      </c>
      <c r="C8" s="27" t="s">
        <v>163</v>
      </c>
      <c r="D8" s="31">
        <v>23</v>
      </c>
      <c r="E8" s="29">
        <v>290.84719000000001</v>
      </c>
      <c r="F8" s="30">
        <v>11.909650608766</v>
      </c>
      <c r="G8" s="29">
        <v>4.5049000000000001</v>
      </c>
    </row>
    <row r="9" spans="1:7" x14ac:dyDescent="0.2">
      <c r="A9" s="27" t="s">
        <v>720</v>
      </c>
      <c r="B9" s="27" t="s">
        <v>719</v>
      </c>
      <c r="C9" s="27" t="s">
        <v>483</v>
      </c>
      <c r="D9" s="31">
        <v>24</v>
      </c>
      <c r="E9" s="29">
        <v>253.76184000000001</v>
      </c>
      <c r="F9" s="30">
        <v>10.3910746128838</v>
      </c>
      <c r="G9" s="29">
        <v>3.89</v>
      </c>
    </row>
    <row r="10" spans="1:7" x14ac:dyDescent="0.2">
      <c r="A10" s="27" t="s">
        <v>727</v>
      </c>
      <c r="B10" s="27" t="s">
        <v>726</v>
      </c>
      <c r="C10" s="27" t="s">
        <v>163</v>
      </c>
      <c r="D10" s="31">
        <v>24</v>
      </c>
      <c r="E10" s="29">
        <v>251.2704</v>
      </c>
      <c r="F10" s="30">
        <v>10.2890547862088</v>
      </c>
      <c r="G10" s="29">
        <v>3.81</v>
      </c>
    </row>
    <row r="11" spans="1:7" x14ac:dyDescent="0.2">
      <c r="A11" s="27" t="s">
        <v>725</v>
      </c>
      <c r="B11" s="27" t="s">
        <v>724</v>
      </c>
      <c r="C11" s="27" t="s">
        <v>163</v>
      </c>
      <c r="D11" s="31">
        <v>23</v>
      </c>
      <c r="E11" s="29">
        <v>243.39957000000001</v>
      </c>
      <c r="F11" s="30">
        <v>9.9667589603457696</v>
      </c>
      <c r="G11" s="29">
        <v>3.8849999999999998</v>
      </c>
    </row>
    <row r="12" spans="1:7" x14ac:dyDescent="0.2">
      <c r="A12" s="27" t="s">
        <v>162</v>
      </c>
      <c r="B12" s="27" t="s">
        <v>161</v>
      </c>
      <c r="C12" s="27" t="s">
        <v>163</v>
      </c>
      <c r="D12" s="31">
        <v>23</v>
      </c>
      <c r="E12" s="29">
        <v>240.27318</v>
      </c>
      <c r="F12" s="30">
        <v>9.8387391140246194</v>
      </c>
      <c r="G12" s="29">
        <v>3.8650000000000002</v>
      </c>
    </row>
    <row r="13" spans="1:7" x14ac:dyDescent="0.2">
      <c r="A13" s="27" t="s">
        <v>729</v>
      </c>
      <c r="B13" s="27" t="s">
        <v>728</v>
      </c>
      <c r="C13" s="27" t="s">
        <v>278</v>
      </c>
      <c r="D13" s="31">
        <v>18</v>
      </c>
      <c r="E13" s="29">
        <v>224.84628000000001</v>
      </c>
      <c r="F13" s="30">
        <v>9.2070362979294291</v>
      </c>
      <c r="G13" s="29">
        <v>5.5799000000000003</v>
      </c>
    </row>
    <row r="14" spans="1:7" x14ac:dyDescent="0.2">
      <c r="A14" s="27" t="s">
        <v>539</v>
      </c>
      <c r="B14" s="27" t="s">
        <v>538</v>
      </c>
      <c r="C14" s="27" t="s">
        <v>540</v>
      </c>
      <c r="D14" s="31">
        <v>21</v>
      </c>
      <c r="E14" s="29">
        <v>217.66143</v>
      </c>
      <c r="F14" s="30">
        <v>8.9128300751483405</v>
      </c>
      <c r="G14" s="29">
        <v>5.5990000000000002</v>
      </c>
    </row>
    <row r="15" spans="1:7" x14ac:dyDescent="0.2">
      <c r="A15" s="27" t="s">
        <v>722</v>
      </c>
      <c r="B15" s="27" t="s">
        <v>721</v>
      </c>
      <c r="C15" s="27" t="s">
        <v>163</v>
      </c>
      <c r="D15" s="31">
        <v>14</v>
      </c>
      <c r="E15" s="29">
        <v>174.36706000000001</v>
      </c>
      <c r="F15" s="30">
        <v>7.14000627710291</v>
      </c>
      <c r="G15" s="29">
        <v>5.8898999999999999</v>
      </c>
    </row>
    <row r="16" spans="1:7" x14ac:dyDescent="0.2">
      <c r="A16" s="27" t="s">
        <v>546</v>
      </c>
      <c r="B16" s="27" t="s">
        <v>545</v>
      </c>
      <c r="C16" s="27" t="s">
        <v>163</v>
      </c>
      <c r="D16" s="31">
        <v>6</v>
      </c>
      <c r="E16" s="29">
        <v>63.144779999999997</v>
      </c>
      <c r="F16" s="30">
        <v>2.5856611080457599</v>
      </c>
      <c r="G16" s="29">
        <v>3.915</v>
      </c>
    </row>
    <row r="17" spans="1:9" x14ac:dyDescent="0.2">
      <c r="A17" s="27" t="s">
        <v>574</v>
      </c>
      <c r="B17" s="27" t="s">
        <v>573</v>
      </c>
      <c r="C17" s="27" t="s">
        <v>163</v>
      </c>
      <c r="D17" s="31">
        <v>3</v>
      </c>
      <c r="E17" s="29">
        <v>31.617629999999998</v>
      </c>
      <c r="F17" s="30">
        <v>1.2946830477449001</v>
      </c>
      <c r="G17" s="29">
        <v>3.8</v>
      </c>
    </row>
    <row r="18" spans="1:9" x14ac:dyDescent="0.2">
      <c r="A18" s="27" t="s">
        <v>550</v>
      </c>
      <c r="B18" s="27" t="s">
        <v>549</v>
      </c>
      <c r="C18" s="27" t="s">
        <v>163</v>
      </c>
      <c r="D18" s="31">
        <v>2</v>
      </c>
      <c r="E18" s="29">
        <v>20.94164</v>
      </c>
      <c r="F18" s="30">
        <v>0.85752114563856996</v>
      </c>
      <c r="G18" s="29">
        <v>3.8</v>
      </c>
    </row>
    <row r="19" spans="1:9" x14ac:dyDescent="0.2">
      <c r="A19" s="27" t="s">
        <v>735</v>
      </c>
      <c r="B19" s="27" t="s">
        <v>734</v>
      </c>
      <c r="C19" s="27" t="s">
        <v>483</v>
      </c>
      <c r="D19" s="31">
        <v>1</v>
      </c>
      <c r="E19" s="29">
        <v>10.706110000000001</v>
      </c>
      <c r="F19" s="30">
        <v>0.43839525999551898</v>
      </c>
      <c r="G19" s="29">
        <v>5.0498000000000003</v>
      </c>
    </row>
    <row r="20" spans="1:9" ht="10.5" x14ac:dyDescent="0.25">
      <c r="A20" s="26" t="s">
        <v>164</v>
      </c>
      <c r="B20" s="26"/>
      <c r="C20" s="26"/>
      <c r="D20" s="32"/>
      <c r="E20" s="33">
        <f>SUM(E6:E19)</f>
        <v>2315.8591800000004</v>
      </c>
      <c r="F20" s="34">
        <f>SUM(F6:F19)</f>
        <v>94.830119186997806</v>
      </c>
      <c r="G20" s="33"/>
      <c r="H20" s="18"/>
      <c r="I20" s="18"/>
    </row>
    <row r="21" spans="1:9" x14ac:dyDescent="0.2">
      <c r="A21" s="27"/>
      <c r="B21" s="27"/>
      <c r="C21" s="27"/>
      <c r="D21" s="28"/>
      <c r="E21" s="29"/>
      <c r="F21" s="30"/>
      <c r="G21" s="29"/>
    </row>
    <row r="22" spans="1:9" ht="10.5" x14ac:dyDescent="0.25">
      <c r="A22" s="26" t="s">
        <v>176</v>
      </c>
      <c r="B22" s="26"/>
      <c r="C22" s="26"/>
      <c r="D22" s="32"/>
      <c r="E22" s="33">
        <f>E20</f>
        <v>2315.8591800000004</v>
      </c>
      <c r="F22" s="34">
        <f>F20</f>
        <v>94.830119186997806</v>
      </c>
      <c r="G22" s="33"/>
      <c r="H22" s="18"/>
      <c r="I22" s="18"/>
    </row>
    <row r="23" spans="1:9" ht="10.5" x14ac:dyDescent="0.25">
      <c r="A23" s="26"/>
      <c r="B23" s="26"/>
      <c r="C23" s="26"/>
      <c r="D23" s="32"/>
      <c r="E23" s="33"/>
      <c r="F23" s="34"/>
      <c r="G23" s="33"/>
      <c r="H23" s="18"/>
      <c r="I23" s="18"/>
    </row>
    <row r="24" spans="1:9" ht="10.5" x14ac:dyDescent="0.25">
      <c r="A24" s="26" t="s">
        <v>178</v>
      </c>
      <c r="B24" s="26"/>
      <c r="C24" s="26"/>
      <c r="D24" s="32"/>
      <c r="E24" s="33">
        <f>E26-(E20)</f>
        <v>126.25435929999958</v>
      </c>
      <c r="F24" s="34">
        <f>F26-(F20)</f>
        <v>5.1698808130021945</v>
      </c>
      <c r="G24" s="33"/>
      <c r="H24" s="18"/>
      <c r="I24" s="18"/>
    </row>
    <row r="25" spans="1:9" ht="10.5" x14ac:dyDescent="0.25">
      <c r="A25" s="26"/>
      <c r="B25" s="26"/>
      <c r="C25" s="26"/>
      <c r="D25" s="32"/>
      <c r="E25" s="33"/>
      <c r="F25" s="34"/>
      <c r="G25" s="33"/>
      <c r="H25" s="18"/>
      <c r="I25" s="18"/>
    </row>
    <row r="26" spans="1:9" ht="10.5" x14ac:dyDescent="0.25">
      <c r="A26" s="35" t="s">
        <v>177</v>
      </c>
      <c r="B26" s="35"/>
      <c r="C26" s="35"/>
      <c r="D26" s="36"/>
      <c r="E26" s="37">
        <v>2442.1135393</v>
      </c>
      <c r="F26" s="38">
        <v>100</v>
      </c>
      <c r="G26" s="37"/>
      <c r="H26" s="18"/>
      <c r="I26" s="18"/>
    </row>
    <row r="28" spans="1:9" ht="10.5" x14ac:dyDescent="0.25">
      <c r="A28" s="18" t="s">
        <v>180</v>
      </c>
    </row>
    <row r="30" spans="1:9" ht="10.5" x14ac:dyDescent="0.25">
      <c r="A30" s="18" t="s">
        <v>181</v>
      </c>
    </row>
    <row r="31" spans="1:9" ht="10.5" x14ac:dyDescent="0.25">
      <c r="A31" s="18" t="s">
        <v>182</v>
      </c>
    </row>
    <row r="32" spans="1:9" ht="10.5" x14ac:dyDescent="0.25">
      <c r="A32" s="18" t="s">
        <v>183</v>
      </c>
      <c r="B32" s="18"/>
      <c r="C32" s="39" t="s">
        <v>185</v>
      </c>
      <c r="D32" s="19" t="s">
        <v>184</v>
      </c>
    </row>
    <row r="33" spans="1:5" x14ac:dyDescent="0.2">
      <c r="A33" s="9" t="s">
        <v>421</v>
      </c>
      <c r="C33" s="40">
        <v>11.469799999999999</v>
      </c>
      <c r="D33" s="40">
        <v>12.1058</v>
      </c>
    </row>
    <row r="34" spans="1:5" x14ac:dyDescent="0.2">
      <c r="A34" s="9" t="s">
        <v>723</v>
      </c>
      <c r="C34" s="40">
        <v>10.6998</v>
      </c>
      <c r="D34" s="40">
        <v>11.293100000000001</v>
      </c>
    </row>
    <row r="35" spans="1:5" x14ac:dyDescent="0.2">
      <c r="A35" s="9" t="s">
        <v>423</v>
      </c>
      <c r="C35" s="40">
        <v>10.451499999999999</v>
      </c>
      <c r="D35" s="40">
        <v>10.6189</v>
      </c>
    </row>
    <row r="36" spans="1:5" x14ac:dyDescent="0.2">
      <c r="A36" s="9" t="s">
        <v>424</v>
      </c>
      <c r="C36" s="40">
        <v>11.5085</v>
      </c>
      <c r="D36" s="40">
        <v>12.161799999999999</v>
      </c>
    </row>
    <row r="37" spans="1:5" x14ac:dyDescent="0.2">
      <c r="A37" s="9" t="s">
        <v>459</v>
      </c>
      <c r="C37" s="40">
        <v>10.7378</v>
      </c>
      <c r="D37" s="40">
        <v>11.3475</v>
      </c>
    </row>
    <row r="38" spans="1:5" x14ac:dyDescent="0.2">
      <c r="A38" s="9" t="s">
        <v>426</v>
      </c>
      <c r="C38" s="40">
        <v>10.4887</v>
      </c>
      <c r="D38" s="40">
        <v>10.6716</v>
      </c>
    </row>
    <row r="40" spans="1:5" ht="10.5" x14ac:dyDescent="0.25">
      <c r="A40" s="18" t="s">
        <v>197</v>
      </c>
    </row>
    <row r="41" spans="1:5" ht="10.5" x14ac:dyDescent="0.25">
      <c r="A41" s="73" t="s">
        <v>403</v>
      </c>
      <c r="B41" s="74"/>
      <c r="C41" s="45" t="s">
        <v>404</v>
      </c>
    </row>
    <row r="42" spans="1:5" x14ac:dyDescent="0.2">
      <c r="A42" s="69" t="s">
        <v>423</v>
      </c>
      <c r="B42" s="70"/>
      <c r="C42" s="46">
        <v>0.40500000000000003</v>
      </c>
    </row>
    <row r="43" spans="1:5" x14ac:dyDescent="0.2">
      <c r="A43" s="69" t="s">
        <v>426</v>
      </c>
      <c r="B43" s="70"/>
      <c r="C43" s="46">
        <v>0.40500000000000003</v>
      </c>
    </row>
    <row r="44" spans="1:5" x14ac:dyDescent="0.2">
      <c r="A44" s="9" t="s">
        <v>405</v>
      </c>
    </row>
    <row r="46" spans="1:5" ht="10.5" x14ac:dyDescent="0.25">
      <c r="A46" s="18" t="s">
        <v>199</v>
      </c>
      <c r="D46" s="42">
        <v>1.19418167054795</v>
      </c>
      <c r="E46" s="13" t="s">
        <v>200</v>
      </c>
    </row>
    <row r="48" spans="1:5" ht="10.5" x14ac:dyDescent="0.25">
      <c r="A48" s="18" t="s">
        <v>201</v>
      </c>
      <c r="D48" s="41" t="s">
        <v>198</v>
      </c>
    </row>
  </sheetData>
  <mergeCells count="4">
    <mergeCell ref="A1:G1"/>
    <mergeCell ref="A41:B41"/>
    <mergeCell ref="A42:B42"/>
    <mergeCell ref="A43:B43"/>
  </mergeCells>
  <conditionalFormatting sqref="F2:F3 F5:F65536">
    <cfRule type="cellIs" dxfId="5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4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24</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731</v>
      </c>
      <c r="B7" s="27" t="s">
        <v>730</v>
      </c>
      <c r="C7" s="27" t="s">
        <v>163</v>
      </c>
      <c r="D7" s="31">
        <v>68</v>
      </c>
      <c r="E7" s="29">
        <v>866.32611999999995</v>
      </c>
      <c r="F7" s="30">
        <v>11.896492469428599</v>
      </c>
      <c r="G7" s="29">
        <v>4.5250000000000004</v>
      </c>
    </row>
    <row r="8" spans="1:7" x14ac:dyDescent="0.2">
      <c r="A8" s="27" t="s">
        <v>720</v>
      </c>
      <c r="B8" s="27" t="s">
        <v>719</v>
      </c>
      <c r="C8" s="27" t="s">
        <v>483</v>
      </c>
      <c r="D8" s="31">
        <v>71</v>
      </c>
      <c r="E8" s="29">
        <v>750.71211000000005</v>
      </c>
      <c r="F8" s="30">
        <v>10.308867246579</v>
      </c>
      <c r="G8" s="29">
        <v>3.89</v>
      </c>
    </row>
    <row r="9" spans="1:7" x14ac:dyDescent="0.2">
      <c r="A9" s="27" t="s">
        <v>727</v>
      </c>
      <c r="B9" s="27" t="s">
        <v>726</v>
      </c>
      <c r="C9" s="27" t="s">
        <v>163</v>
      </c>
      <c r="D9" s="31">
        <v>71</v>
      </c>
      <c r="E9" s="29">
        <v>743.34159999999997</v>
      </c>
      <c r="F9" s="30">
        <v>10.2076545338527</v>
      </c>
      <c r="G9" s="29">
        <v>3.81</v>
      </c>
    </row>
    <row r="10" spans="1:7" x14ac:dyDescent="0.2">
      <c r="A10" s="27" t="s">
        <v>725</v>
      </c>
      <c r="B10" s="27" t="s">
        <v>724</v>
      </c>
      <c r="C10" s="27" t="s">
        <v>163</v>
      </c>
      <c r="D10" s="31">
        <v>70</v>
      </c>
      <c r="E10" s="29">
        <v>740.78129999999999</v>
      </c>
      <c r="F10" s="30">
        <v>10.1724961922463</v>
      </c>
      <c r="G10" s="29">
        <v>3.8849999999999998</v>
      </c>
    </row>
    <row r="11" spans="1:7" x14ac:dyDescent="0.2">
      <c r="A11" s="27" t="s">
        <v>737</v>
      </c>
      <c r="B11" s="27" t="s">
        <v>736</v>
      </c>
      <c r="C11" s="27" t="s">
        <v>523</v>
      </c>
      <c r="D11" s="31">
        <v>70000</v>
      </c>
      <c r="E11" s="29">
        <v>739.31129999999996</v>
      </c>
      <c r="F11" s="30">
        <v>10.152309978849001</v>
      </c>
      <c r="G11" s="29">
        <v>4.7398999999999996</v>
      </c>
    </row>
    <row r="12" spans="1:7" x14ac:dyDescent="0.2">
      <c r="A12" s="27" t="s">
        <v>539</v>
      </c>
      <c r="B12" s="27" t="s">
        <v>538</v>
      </c>
      <c r="C12" s="27" t="s">
        <v>540</v>
      </c>
      <c r="D12" s="31">
        <v>70</v>
      </c>
      <c r="E12" s="29">
        <v>725.53809999999999</v>
      </c>
      <c r="F12" s="30">
        <v>9.9631747717979007</v>
      </c>
      <c r="G12" s="29">
        <v>5.5990000000000002</v>
      </c>
    </row>
    <row r="13" spans="1:7" x14ac:dyDescent="0.2">
      <c r="A13" s="27" t="s">
        <v>162</v>
      </c>
      <c r="B13" s="27" t="s">
        <v>161</v>
      </c>
      <c r="C13" s="27" t="s">
        <v>163</v>
      </c>
      <c r="D13" s="31">
        <v>69</v>
      </c>
      <c r="E13" s="29">
        <v>720.81953999999996</v>
      </c>
      <c r="F13" s="30">
        <v>9.8983789492887606</v>
      </c>
      <c r="G13" s="29">
        <v>3.8650000000000002</v>
      </c>
    </row>
    <row r="14" spans="1:7" x14ac:dyDescent="0.2">
      <c r="A14" s="27" t="s">
        <v>602</v>
      </c>
      <c r="B14" s="27" t="s">
        <v>601</v>
      </c>
      <c r="C14" s="27" t="s">
        <v>483</v>
      </c>
      <c r="D14" s="31">
        <v>47</v>
      </c>
      <c r="E14" s="29">
        <v>596.26878999999997</v>
      </c>
      <c r="F14" s="30">
        <v>8.1880333586044092</v>
      </c>
      <c r="G14" s="29">
        <v>5.7</v>
      </c>
    </row>
    <row r="15" spans="1:7" x14ac:dyDescent="0.2">
      <c r="A15" s="27" t="s">
        <v>735</v>
      </c>
      <c r="B15" s="27" t="s">
        <v>734</v>
      </c>
      <c r="C15" s="27" t="s">
        <v>483</v>
      </c>
      <c r="D15" s="31">
        <v>31</v>
      </c>
      <c r="E15" s="29">
        <v>331.88941</v>
      </c>
      <c r="F15" s="30">
        <v>4.5575445269364696</v>
      </c>
      <c r="G15" s="29">
        <v>5.0498000000000003</v>
      </c>
    </row>
    <row r="16" spans="1:7" x14ac:dyDescent="0.2">
      <c r="A16" s="27" t="s">
        <v>729</v>
      </c>
      <c r="B16" s="27" t="s">
        <v>728</v>
      </c>
      <c r="C16" s="27" t="s">
        <v>278</v>
      </c>
      <c r="D16" s="31">
        <v>20</v>
      </c>
      <c r="E16" s="29">
        <v>249.82919999999999</v>
      </c>
      <c r="F16" s="30">
        <v>3.4306840436063299</v>
      </c>
      <c r="G16" s="29">
        <v>5.5799000000000003</v>
      </c>
    </row>
    <row r="17" spans="1:9" x14ac:dyDescent="0.2">
      <c r="A17" s="27" t="s">
        <v>546</v>
      </c>
      <c r="B17" s="27" t="s">
        <v>545</v>
      </c>
      <c r="C17" s="27" t="s">
        <v>163</v>
      </c>
      <c r="D17" s="31">
        <v>22</v>
      </c>
      <c r="E17" s="29">
        <v>231.53085999999999</v>
      </c>
      <c r="F17" s="30">
        <v>3.1794090803014599</v>
      </c>
      <c r="G17" s="29">
        <v>3.915</v>
      </c>
    </row>
    <row r="18" spans="1:9" x14ac:dyDescent="0.2">
      <c r="A18" s="27" t="s">
        <v>652</v>
      </c>
      <c r="B18" s="27" t="s">
        <v>651</v>
      </c>
      <c r="C18" s="27" t="s">
        <v>653</v>
      </c>
      <c r="D18" s="31">
        <v>11</v>
      </c>
      <c r="E18" s="29">
        <v>118.1147</v>
      </c>
      <c r="F18" s="30">
        <v>1.6219649929045401</v>
      </c>
      <c r="G18" s="29">
        <v>3.8614000000000002</v>
      </c>
    </row>
    <row r="19" spans="1:9" x14ac:dyDescent="0.2">
      <c r="A19" s="27" t="s">
        <v>718</v>
      </c>
      <c r="B19" s="27" t="s">
        <v>717</v>
      </c>
      <c r="C19" s="27" t="s">
        <v>163</v>
      </c>
      <c r="D19" s="31">
        <v>2</v>
      </c>
      <c r="E19" s="29">
        <v>25.295100000000001</v>
      </c>
      <c r="F19" s="30">
        <v>0.34735529694457801</v>
      </c>
      <c r="G19" s="29">
        <v>4.5250000000000004</v>
      </c>
    </row>
    <row r="20" spans="1:9" x14ac:dyDescent="0.2">
      <c r="A20" s="27" t="s">
        <v>574</v>
      </c>
      <c r="B20" s="27" t="s">
        <v>573</v>
      </c>
      <c r="C20" s="27" t="s">
        <v>163</v>
      </c>
      <c r="D20" s="31">
        <v>1</v>
      </c>
      <c r="E20" s="29">
        <v>10.539210000000001</v>
      </c>
      <c r="F20" s="30">
        <v>0.14472567489795499</v>
      </c>
      <c r="G20" s="29">
        <v>3.8</v>
      </c>
    </row>
    <row r="21" spans="1:9" ht="10.5" x14ac:dyDescent="0.25">
      <c r="A21" s="26" t="s">
        <v>164</v>
      </c>
      <c r="B21" s="26"/>
      <c r="C21" s="26"/>
      <c r="D21" s="32"/>
      <c r="E21" s="33">
        <f>SUM(E6:E20)</f>
        <v>6850.2973400000001</v>
      </c>
      <c r="F21" s="34">
        <f>SUM(F6:F20)</f>
        <v>94.069091116238013</v>
      </c>
      <c r="G21" s="33"/>
      <c r="H21" s="18"/>
      <c r="I21" s="18"/>
    </row>
    <row r="22" spans="1:9" x14ac:dyDescent="0.2">
      <c r="A22" s="27"/>
      <c r="B22" s="27"/>
      <c r="C22" s="27"/>
      <c r="D22" s="28"/>
      <c r="E22" s="29"/>
      <c r="F22" s="30"/>
      <c r="G22" s="29"/>
    </row>
    <row r="23" spans="1:9" ht="10.5" x14ac:dyDescent="0.25">
      <c r="A23" s="26" t="s">
        <v>176</v>
      </c>
      <c r="B23" s="26"/>
      <c r="C23" s="26"/>
      <c r="D23" s="32"/>
      <c r="E23" s="33">
        <f>E21</f>
        <v>6850.2973400000001</v>
      </c>
      <c r="F23" s="34">
        <f>F21</f>
        <v>94.069091116238013</v>
      </c>
      <c r="G23" s="33"/>
      <c r="H23" s="18"/>
      <c r="I23" s="18"/>
    </row>
    <row r="24" spans="1:9" ht="10.5" x14ac:dyDescent="0.25">
      <c r="A24" s="26"/>
      <c r="B24" s="26"/>
      <c r="C24" s="26"/>
      <c r="D24" s="32"/>
      <c r="E24" s="33"/>
      <c r="F24" s="34"/>
      <c r="G24" s="33"/>
      <c r="H24" s="18"/>
      <c r="I24" s="18"/>
    </row>
    <row r="25" spans="1:9" ht="10.5" x14ac:dyDescent="0.25">
      <c r="A25" s="26" t="s">
        <v>178</v>
      </c>
      <c r="B25" s="26"/>
      <c r="C25" s="26"/>
      <c r="D25" s="32"/>
      <c r="E25" s="33">
        <f>E27-(E21)</f>
        <v>431.90051979999953</v>
      </c>
      <c r="F25" s="34">
        <f>F27-(F21)</f>
        <v>5.9309088837619868</v>
      </c>
      <c r="G25" s="33"/>
      <c r="H25" s="18"/>
      <c r="I25" s="18"/>
    </row>
    <row r="26" spans="1:9" ht="10.5" x14ac:dyDescent="0.25">
      <c r="A26" s="26"/>
      <c r="B26" s="26"/>
      <c r="C26" s="26"/>
      <c r="D26" s="32"/>
      <c r="E26" s="33"/>
      <c r="F26" s="34"/>
      <c r="G26" s="33"/>
      <c r="H26" s="18"/>
      <c r="I26" s="18"/>
    </row>
    <row r="27" spans="1:9" ht="10.5" x14ac:dyDescent="0.25">
      <c r="A27" s="35" t="s">
        <v>177</v>
      </c>
      <c r="B27" s="35"/>
      <c r="C27" s="35"/>
      <c r="D27" s="36"/>
      <c r="E27" s="37">
        <v>7282.1978597999996</v>
      </c>
      <c r="F27" s="38">
        <v>100</v>
      </c>
      <c r="G27" s="37"/>
      <c r="H27" s="18"/>
      <c r="I27" s="18"/>
    </row>
    <row r="29" spans="1:9" ht="10.5" x14ac:dyDescent="0.25">
      <c r="A29" s="18" t="s">
        <v>180</v>
      </c>
    </row>
    <row r="31" spans="1:9" ht="10.5" x14ac:dyDescent="0.25">
      <c r="A31" s="18" t="s">
        <v>181</v>
      </c>
    </row>
    <row r="32" spans="1:9" ht="10.5" x14ac:dyDescent="0.25">
      <c r="A32" s="18" t="s">
        <v>182</v>
      </c>
    </row>
    <row r="33" spans="1:5" ht="10.5" x14ac:dyDescent="0.25">
      <c r="A33" s="18" t="s">
        <v>183</v>
      </c>
      <c r="B33" s="18"/>
      <c r="C33" s="39" t="s">
        <v>185</v>
      </c>
      <c r="D33" s="19" t="s">
        <v>184</v>
      </c>
    </row>
    <row r="34" spans="1:5" x14ac:dyDescent="0.2">
      <c r="A34" s="9" t="s">
        <v>421</v>
      </c>
      <c r="C34" s="40">
        <v>11.4976</v>
      </c>
      <c r="D34" s="40">
        <v>12.129200000000001</v>
      </c>
    </row>
    <row r="35" spans="1:5" x14ac:dyDescent="0.2">
      <c r="A35" s="9" t="s">
        <v>723</v>
      </c>
      <c r="C35" s="40">
        <v>10.6973</v>
      </c>
      <c r="D35" s="40">
        <v>11.2849</v>
      </c>
    </row>
    <row r="36" spans="1:5" x14ac:dyDescent="0.2">
      <c r="A36" s="9" t="s">
        <v>423</v>
      </c>
      <c r="C36" s="40">
        <v>10.4526</v>
      </c>
      <c r="D36" s="40">
        <v>10.6197</v>
      </c>
    </row>
    <row r="37" spans="1:5" x14ac:dyDescent="0.2">
      <c r="A37" s="9" t="s">
        <v>424</v>
      </c>
      <c r="C37" s="40">
        <v>11.5374</v>
      </c>
      <c r="D37" s="40">
        <v>12.186400000000001</v>
      </c>
    </row>
    <row r="38" spans="1:5" x14ac:dyDescent="0.2">
      <c r="A38" s="9" t="s">
        <v>459</v>
      </c>
      <c r="C38" s="40">
        <v>10.7364</v>
      </c>
      <c r="D38" s="40">
        <v>11.340400000000001</v>
      </c>
    </row>
    <row r="40" spans="1:5" ht="10.5" x14ac:dyDescent="0.25">
      <c r="A40" s="18" t="s">
        <v>197</v>
      </c>
    </row>
    <row r="41" spans="1:5" ht="10.5" x14ac:dyDescent="0.25">
      <c r="A41" s="73" t="s">
        <v>403</v>
      </c>
      <c r="B41" s="74"/>
      <c r="C41" s="45" t="s">
        <v>404</v>
      </c>
    </row>
    <row r="42" spans="1:5" x14ac:dyDescent="0.2">
      <c r="A42" s="69" t="s">
        <v>423</v>
      </c>
      <c r="B42" s="70"/>
      <c r="C42" s="46">
        <v>0.4</v>
      </c>
    </row>
    <row r="43" spans="1:5" x14ac:dyDescent="0.2">
      <c r="A43" s="9" t="s">
        <v>405</v>
      </c>
    </row>
    <row r="45" spans="1:5" ht="10.5" x14ac:dyDescent="0.25">
      <c r="A45" s="18" t="s">
        <v>199</v>
      </c>
      <c r="D45" s="42">
        <v>1.18602701041096</v>
      </c>
      <c r="E45" s="13" t="s">
        <v>200</v>
      </c>
    </row>
    <row r="47" spans="1:5" ht="10.5" x14ac:dyDescent="0.25">
      <c r="A47" s="18" t="s">
        <v>201</v>
      </c>
      <c r="D47" s="41" t="s">
        <v>198</v>
      </c>
    </row>
  </sheetData>
  <mergeCells count="3">
    <mergeCell ref="A1:G1"/>
    <mergeCell ref="A41:B41"/>
    <mergeCell ref="A42:B42"/>
  </mergeCells>
  <conditionalFormatting sqref="F2:F3 F5:F65536">
    <cfRule type="cellIs" dxfId="5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I52"/>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25</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562</v>
      </c>
      <c r="B7" s="27" t="s">
        <v>561</v>
      </c>
      <c r="C7" s="27" t="s">
        <v>163</v>
      </c>
      <c r="D7" s="31">
        <v>37</v>
      </c>
      <c r="E7" s="29">
        <v>466.78978000000001</v>
      </c>
      <c r="F7" s="30">
        <v>12.0315079204579</v>
      </c>
      <c r="G7" s="29">
        <v>4.1561000000000003</v>
      </c>
    </row>
    <row r="8" spans="1:7" x14ac:dyDescent="0.2">
      <c r="A8" s="27" t="s">
        <v>655</v>
      </c>
      <c r="B8" s="27" t="s">
        <v>654</v>
      </c>
      <c r="C8" s="27" t="s">
        <v>523</v>
      </c>
      <c r="D8" s="31">
        <v>37</v>
      </c>
      <c r="E8" s="29">
        <v>390.16388999999998</v>
      </c>
      <c r="F8" s="30">
        <v>10.0564753855829</v>
      </c>
      <c r="G8" s="29">
        <v>3.8849999999999998</v>
      </c>
    </row>
    <row r="9" spans="1:7" x14ac:dyDescent="0.2">
      <c r="A9" s="27" t="s">
        <v>735</v>
      </c>
      <c r="B9" s="27" t="s">
        <v>734</v>
      </c>
      <c r="C9" s="27" t="s">
        <v>483</v>
      </c>
      <c r="D9" s="31">
        <v>36</v>
      </c>
      <c r="E9" s="29">
        <v>385.41996</v>
      </c>
      <c r="F9" s="30">
        <v>9.9342005762048995</v>
      </c>
      <c r="G9" s="29">
        <v>5.0498000000000003</v>
      </c>
    </row>
    <row r="10" spans="1:7" x14ac:dyDescent="0.2">
      <c r="A10" s="27" t="s">
        <v>604</v>
      </c>
      <c r="B10" s="27" t="s">
        <v>603</v>
      </c>
      <c r="C10" s="27" t="s">
        <v>163</v>
      </c>
      <c r="D10" s="31">
        <v>37</v>
      </c>
      <c r="E10" s="29">
        <v>383.39695999999998</v>
      </c>
      <c r="F10" s="30">
        <v>9.8820577453933804</v>
      </c>
      <c r="G10" s="29">
        <v>4.4493</v>
      </c>
    </row>
    <row r="11" spans="1:7" x14ac:dyDescent="0.2">
      <c r="A11" s="27" t="s">
        <v>162</v>
      </c>
      <c r="B11" s="27" t="s">
        <v>161</v>
      </c>
      <c r="C11" s="27" t="s">
        <v>163</v>
      </c>
      <c r="D11" s="31">
        <v>36</v>
      </c>
      <c r="E11" s="29">
        <v>376.07976000000002</v>
      </c>
      <c r="F11" s="30">
        <v>9.6934568943730905</v>
      </c>
      <c r="G11" s="29">
        <v>3.8650000000000002</v>
      </c>
    </row>
    <row r="12" spans="1:7" x14ac:dyDescent="0.2">
      <c r="A12" s="27" t="s">
        <v>539</v>
      </c>
      <c r="B12" s="27" t="s">
        <v>538</v>
      </c>
      <c r="C12" s="27" t="s">
        <v>540</v>
      </c>
      <c r="D12" s="31">
        <v>33</v>
      </c>
      <c r="E12" s="29">
        <v>342.03939000000003</v>
      </c>
      <c r="F12" s="30">
        <v>8.8160662598345301</v>
      </c>
      <c r="G12" s="29">
        <v>5.5990000000000002</v>
      </c>
    </row>
    <row r="13" spans="1:7" x14ac:dyDescent="0.2">
      <c r="A13" s="27" t="s">
        <v>574</v>
      </c>
      <c r="B13" s="27" t="s">
        <v>573</v>
      </c>
      <c r="C13" s="27" t="s">
        <v>163</v>
      </c>
      <c r="D13" s="31">
        <v>27</v>
      </c>
      <c r="E13" s="29">
        <v>284.55867000000001</v>
      </c>
      <c r="F13" s="30">
        <v>7.3345005367083198</v>
      </c>
      <c r="G13" s="29">
        <v>3.8</v>
      </c>
    </row>
    <row r="14" spans="1:7" x14ac:dyDescent="0.2">
      <c r="A14" s="27" t="s">
        <v>739</v>
      </c>
      <c r="B14" s="27" t="s">
        <v>738</v>
      </c>
      <c r="C14" s="27" t="s">
        <v>163</v>
      </c>
      <c r="D14" s="31">
        <v>21</v>
      </c>
      <c r="E14" s="29">
        <v>265.17791999999997</v>
      </c>
      <c r="F14" s="30">
        <v>6.8349616497827901</v>
      </c>
      <c r="G14" s="29">
        <v>5.9149000000000003</v>
      </c>
    </row>
    <row r="15" spans="1:7" x14ac:dyDescent="0.2">
      <c r="A15" s="27" t="s">
        <v>588</v>
      </c>
      <c r="B15" s="27" t="s">
        <v>587</v>
      </c>
      <c r="C15" s="27" t="s">
        <v>523</v>
      </c>
      <c r="D15" s="31">
        <v>20</v>
      </c>
      <c r="E15" s="29">
        <v>211.25919999999999</v>
      </c>
      <c r="F15" s="30">
        <v>5.44520648688923</v>
      </c>
      <c r="G15" s="29">
        <v>3.7349999999999999</v>
      </c>
    </row>
    <row r="16" spans="1:7" x14ac:dyDescent="0.2">
      <c r="A16" s="27" t="s">
        <v>602</v>
      </c>
      <c r="B16" s="27" t="s">
        <v>601</v>
      </c>
      <c r="C16" s="27" t="s">
        <v>483</v>
      </c>
      <c r="D16" s="31">
        <v>12</v>
      </c>
      <c r="E16" s="29">
        <v>152.23884000000001</v>
      </c>
      <c r="F16" s="30">
        <v>3.9239565383400601</v>
      </c>
      <c r="G16" s="29">
        <v>5.7</v>
      </c>
    </row>
    <row r="17" spans="1:9" x14ac:dyDescent="0.2">
      <c r="A17" s="27" t="s">
        <v>546</v>
      </c>
      <c r="B17" s="27" t="s">
        <v>545</v>
      </c>
      <c r="C17" s="27" t="s">
        <v>163</v>
      </c>
      <c r="D17" s="31">
        <v>10</v>
      </c>
      <c r="E17" s="29">
        <v>105.2413</v>
      </c>
      <c r="F17" s="30">
        <v>2.7125948098291301</v>
      </c>
      <c r="G17" s="29">
        <v>3.915</v>
      </c>
    </row>
    <row r="18" spans="1:9" x14ac:dyDescent="0.2">
      <c r="A18" s="27" t="s">
        <v>598</v>
      </c>
      <c r="B18" s="27" t="s">
        <v>597</v>
      </c>
      <c r="C18" s="27" t="s">
        <v>163</v>
      </c>
      <c r="D18" s="31">
        <v>8</v>
      </c>
      <c r="E18" s="29">
        <v>101.1824</v>
      </c>
      <c r="F18" s="30">
        <v>2.6079766506690398</v>
      </c>
      <c r="G18" s="29">
        <v>4.2</v>
      </c>
    </row>
    <row r="19" spans="1:9" x14ac:dyDescent="0.2">
      <c r="A19" s="27" t="s">
        <v>714</v>
      </c>
      <c r="B19" s="27" t="s">
        <v>713</v>
      </c>
      <c r="C19" s="27" t="s">
        <v>163</v>
      </c>
      <c r="D19" s="31">
        <v>3</v>
      </c>
      <c r="E19" s="29">
        <v>38.542439999999999</v>
      </c>
      <c r="F19" s="30">
        <v>0.99343150172176597</v>
      </c>
      <c r="G19" s="29">
        <v>4.5250000000000004</v>
      </c>
    </row>
    <row r="20" spans="1:9" x14ac:dyDescent="0.2">
      <c r="A20" s="27" t="s">
        <v>729</v>
      </c>
      <c r="B20" s="27" t="s">
        <v>728</v>
      </c>
      <c r="C20" s="27" t="s">
        <v>278</v>
      </c>
      <c r="D20" s="31">
        <v>3</v>
      </c>
      <c r="E20" s="29">
        <v>37.474379999999996</v>
      </c>
      <c r="F20" s="30">
        <v>0.96590225215352499</v>
      </c>
      <c r="G20" s="29">
        <v>5.5799000000000003</v>
      </c>
    </row>
    <row r="21" spans="1:9" x14ac:dyDescent="0.2">
      <c r="A21" s="27" t="s">
        <v>741</v>
      </c>
      <c r="B21" s="27" t="s">
        <v>740</v>
      </c>
      <c r="C21" s="27" t="s">
        <v>483</v>
      </c>
      <c r="D21" s="31">
        <v>3</v>
      </c>
      <c r="E21" s="29">
        <v>31.710090000000001</v>
      </c>
      <c r="F21" s="30">
        <v>0.81732766084431496</v>
      </c>
      <c r="G21" s="29">
        <v>5.56</v>
      </c>
    </row>
    <row r="22" spans="1:9" x14ac:dyDescent="0.2">
      <c r="A22" s="27" t="s">
        <v>550</v>
      </c>
      <c r="B22" s="27" t="s">
        <v>549</v>
      </c>
      <c r="C22" s="27" t="s">
        <v>163</v>
      </c>
      <c r="D22" s="31">
        <v>3</v>
      </c>
      <c r="E22" s="29">
        <v>31.412459999999999</v>
      </c>
      <c r="F22" s="30">
        <v>0.80965624673930603</v>
      </c>
      <c r="G22" s="29">
        <v>3.8</v>
      </c>
    </row>
    <row r="23" spans="1:9" x14ac:dyDescent="0.2">
      <c r="A23" s="27" t="s">
        <v>718</v>
      </c>
      <c r="B23" s="27" t="s">
        <v>717</v>
      </c>
      <c r="C23" s="27" t="s">
        <v>163</v>
      </c>
      <c r="D23" s="31">
        <v>2</v>
      </c>
      <c r="E23" s="29">
        <v>25.295100000000001</v>
      </c>
      <c r="F23" s="30">
        <v>0.65198127516582305</v>
      </c>
      <c r="G23" s="29">
        <v>4.5250000000000004</v>
      </c>
    </row>
    <row r="24" spans="1:9" ht="10.5" x14ac:dyDescent="0.25">
      <c r="A24" s="26" t="s">
        <v>164</v>
      </c>
      <c r="B24" s="26"/>
      <c r="C24" s="26"/>
      <c r="D24" s="32"/>
      <c r="E24" s="33">
        <f>SUM(E6:E23)</f>
        <v>3627.9825400000004</v>
      </c>
      <c r="F24" s="34">
        <f>SUM(F6:F23)</f>
        <v>93.511260390690026</v>
      </c>
      <c r="G24" s="33"/>
      <c r="H24" s="18"/>
      <c r="I24" s="18"/>
    </row>
    <row r="25" spans="1:9" x14ac:dyDescent="0.2">
      <c r="A25" s="27"/>
      <c r="B25" s="27"/>
      <c r="C25" s="27"/>
      <c r="D25" s="28"/>
      <c r="E25" s="29"/>
      <c r="F25" s="30"/>
      <c r="G25" s="29"/>
    </row>
    <row r="26" spans="1:9" ht="10.5" x14ac:dyDescent="0.25">
      <c r="A26" s="26" t="s">
        <v>176</v>
      </c>
      <c r="B26" s="26"/>
      <c r="C26" s="26"/>
      <c r="D26" s="32"/>
      <c r="E26" s="33">
        <f>E24</f>
        <v>3627.9825400000004</v>
      </c>
      <c r="F26" s="34">
        <f>F24</f>
        <v>93.511260390690026</v>
      </c>
      <c r="G26" s="33"/>
      <c r="H26" s="18"/>
      <c r="I26" s="18"/>
    </row>
    <row r="27" spans="1:9" ht="10.5" x14ac:dyDescent="0.25">
      <c r="A27" s="26"/>
      <c r="B27" s="26"/>
      <c r="C27" s="26"/>
      <c r="D27" s="32"/>
      <c r="E27" s="33"/>
      <c r="F27" s="34"/>
      <c r="G27" s="33"/>
      <c r="H27" s="18"/>
      <c r="I27" s="18"/>
    </row>
    <row r="28" spans="1:9" ht="10.5" x14ac:dyDescent="0.25">
      <c r="A28" s="26" t="s">
        <v>178</v>
      </c>
      <c r="B28" s="26"/>
      <c r="C28" s="26"/>
      <c r="D28" s="32"/>
      <c r="E28" s="33">
        <f>E30-(E24)</f>
        <v>251.74544659999947</v>
      </c>
      <c r="F28" s="34">
        <f>F30-(F24)</f>
        <v>6.4887396093099738</v>
      </c>
      <c r="G28" s="33"/>
      <c r="H28" s="18"/>
      <c r="I28" s="18"/>
    </row>
    <row r="29" spans="1:9" ht="10.5" x14ac:dyDescent="0.25">
      <c r="A29" s="26"/>
      <c r="B29" s="26"/>
      <c r="C29" s="26"/>
      <c r="D29" s="32"/>
      <c r="E29" s="33"/>
      <c r="F29" s="34"/>
      <c r="G29" s="33"/>
      <c r="H29" s="18"/>
      <c r="I29" s="18"/>
    </row>
    <row r="30" spans="1:9" ht="10.5" x14ac:dyDescent="0.25">
      <c r="A30" s="35" t="s">
        <v>177</v>
      </c>
      <c r="B30" s="35"/>
      <c r="C30" s="35"/>
      <c r="D30" s="36"/>
      <c r="E30" s="37">
        <v>3879.7279865999999</v>
      </c>
      <c r="F30" s="38">
        <v>100</v>
      </c>
      <c r="G30" s="37"/>
      <c r="H30" s="18"/>
      <c r="I30" s="18"/>
    </row>
    <row r="32" spans="1:9" ht="10.5" x14ac:dyDescent="0.25">
      <c r="A32" s="18" t="s">
        <v>180</v>
      </c>
    </row>
    <row r="34" spans="1:4" ht="10.5" x14ac:dyDescent="0.25">
      <c r="A34" s="18" t="s">
        <v>181</v>
      </c>
    </row>
    <row r="35" spans="1:4" ht="10.5" x14ac:dyDescent="0.25">
      <c r="A35" s="18" t="s">
        <v>182</v>
      </c>
    </row>
    <row r="36" spans="1:4" ht="10.5" x14ac:dyDescent="0.25">
      <c r="A36" s="18" t="s">
        <v>183</v>
      </c>
      <c r="B36" s="18"/>
      <c r="C36" s="39" t="s">
        <v>185</v>
      </c>
      <c r="D36" s="19" t="s">
        <v>184</v>
      </c>
    </row>
    <row r="37" spans="1:4" x14ac:dyDescent="0.2">
      <c r="A37" s="9" t="s">
        <v>421</v>
      </c>
      <c r="C37" s="40">
        <v>11.604799999999999</v>
      </c>
      <c r="D37" s="40">
        <v>12.2066</v>
      </c>
    </row>
    <row r="38" spans="1:4" x14ac:dyDescent="0.2">
      <c r="A38" s="9" t="s">
        <v>723</v>
      </c>
      <c r="C38" s="40">
        <v>10.7674</v>
      </c>
      <c r="D38" s="40">
        <v>11.325699999999999</v>
      </c>
    </row>
    <row r="39" spans="1:4" x14ac:dyDescent="0.2">
      <c r="A39" s="9" t="s">
        <v>423</v>
      </c>
      <c r="C39" s="40">
        <v>10.5396</v>
      </c>
      <c r="D39" s="40">
        <v>10.6915</v>
      </c>
    </row>
    <row r="40" spans="1:4" x14ac:dyDescent="0.2">
      <c r="A40" s="9" t="s">
        <v>424</v>
      </c>
      <c r="C40" s="40">
        <v>11.646699999999999</v>
      </c>
      <c r="D40" s="40">
        <v>12.266</v>
      </c>
    </row>
    <row r="41" spans="1:4" x14ac:dyDescent="0.2">
      <c r="A41" s="9" t="s">
        <v>459</v>
      </c>
      <c r="C41" s="40">
        <v>10.8086</v>
      </c>
      <c r="D41" s="40">
        <v>11.3834</v>
      </c>
    </row>
    <row r="42" spans="1:4" x14ac:dyDescent="0.2">
      <c r="A42" s="9" t="s">
        <v>426</v>
      </c>
      <c r="C42" s="40">
        <v>10.581099999999999</v>
      </c>
      <c r="D42" s="40">
        <v>10.7507</v>
      </c>
    </row>
    <row r="44" spans="1:4" ht="10.5" x14ac:dyDescent="0.25">
      <c r="A44" s="18" t="s">
        <v>197</v>
      </c>
    </row>
    <row r="45" spans="1:4" ht="10.5" x14ac:dyDescent="0.25">
      <c r="A45" s="73" t="s">
        <v>403</v>
      </c>
      <c r="B45" s="74"/>
      <c r="C45" s="45" t="s">
        <v>404</v>
      </c>
    </row>
    <row r="46" spans="1:4" x14ac:dyDescent="0.2">
      <c r="A46" s="69" t="s">
        <v>423</v>
      </c>
      <c r="B46" s="70"/>
      <c r="C46" s="46">
        <v>0.38500000000000001</v>
      </c>
    </row>
    <row r="47" spans="1:4" x14ac:dyDescent="0.2">
      <c r="A47" s="69" t="s">
        <v>426</v>
      </c>
      <c r="B47" s="70"/>
      <c r="C47" s="46">
        <v>0.38500000000000001</v>
      </c>
    </row>
    <row r="48" spans="1:4" x14ac:dyDescent="0.2">
      <c r="A48" s="9" t="s">
        <v>405</v>
      </c>
    </row>
    <row r="50" spans="1:5" ht="10.5" x14ac:dyDescent="0.25">
      <c r="A50" s="18" t="s">
        <v>199</v>
      </c>
      <c r="D50" s="42">
        <v>1.14215017358904</v>
      </c>
      <c r="E50" s="13" t="s">
        <v>200</v>
      </c>
    </row>
    <row r="52" spans="1:5" ht="10.5" x14ac:dyDescent="0.25">
      <c r="A52" s="18" t="s">
        <v>201</v>
      </c>
      <c r="D52" s="41" t="s">
        <v>198</v>
      </c>
    </row>
  </sheetData>
  <mergeCells count="4">
    <mergeCell ref="A1:G1"/>
    <mergeCell ref="A45:B45"/>
    <mergeCell ref="A46:B46"/>
    <mergeCell ref="A47:B47"/>
  </mergeCells>
  <conditionalFormatting sqref="F2:F3 F5:F65536">
    <cfRule type="cellIs" dxfId="5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I50"/>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26</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562</v>
      </c>
      <c r="B7" s="27" t="s">
        <v>561</v>
      </c>
      <c r="C7" s="27" t="s">
        <v>163</v>
      </c>
      <c r="D7" s="31">
        <v>47</v>
      </c>
      <c r="E7" s="29">
        <v>592.94917999999996</v>
      </c>
      <c r="F7" s="30">
        <v>12.052546947633401</v>
      </c>
      <c r="G7" s="29">
        <v>4.1561000000000003</v>
      </c>
    </row>
    <row r="8" spans="1:7" x14ac:dyDescent="0.2">
      <c r="A8" s="27" t="s">
        <v>655</v>
      </c>
      <c r="B8" s="27" t="s">
        <v>654</v>
      </c>
      <c r="C8" s="27" t="s">
        <v>523</v>
      </c>
      <c r="D8" s="31">
        <v>47</v>
      </c>
      <c r="E8" s="29">
        <v>495.61358999999999</v>
      </c>
      <c r="F8" s="30">
        <v>10.074060750636599</v>
      </c>
      <c r="G8" s="29">
        <v>3.8849999999999998</v>
      </c>
    </row>
    <row r="9" spans="1:7" x14ac:dyDescent="0.2">
      <c r="A9" s="27" t="s">
        <v>610</v>
      </c>
      <c r="B9" s="27" t="s">
        <v>609</v>
      </c>
      <c r="C9" s="27" t="s">
        <v>163</v>
      </c>
      <c r="D9" s="31">
        <v>47</v>
      </c>
      <c r="E9" s="29">
        <v>484.13713000000001</v>
      </c>
      <c r="F9" s="30">
        <v>9.8407851553441894</v>
      </c>
      <c r="G9" s="29">
        <v>3.55</v>
      </c>
    </row>
    <row r="10" spans="1:7" x14ac:dyDescent="0.2">
      <c r="A10" s="27" t="s">
        <v>602</v>
      </c>
      <c r="B10" s="27" t="s">
        <v>601</v>
      </c>
      <c r="C10" s="27" t="s">
        <v>483</v>
      </c>
      <c r="D10" s="31">
        <v>38</v>
      </c>
      <c r="E10" s="29">
        <v>482.08965999999998</v>
      </c>
      <c r="F10" s="30">
        <v>9.7991673757245703</v>
      </c>
      <c r="G10" s="29">
        <v>5.7</v>
      </c>
    </row>
    <row r="11" spans="1:7" x14ac:dyDescent="0.2">
      <c r="A11" s="27" t="s">
        <v>162</v>
      </c>
      <c r="B11" s="27" t="s">
        <v>161</v>
      </c>
      <c r="C11" s="27" t="s">
        <v>163</v>
      </c>
      <c r="D11" s="31">
        <v>46</v>
      </c>
      <c r="E11" s="29">
        <v>480.54635999999999</v>
      </c>
      <c r="F11" s="30">
        <v>9.7677975782247604</v>
      </c>
      <c r="G11" s="29">
        <v>3.8650000000000002</v>
      </c>
    </row>
    <row r="12" spans="1:7" x14ac:dyDescent="0.2">
      <c r="A12" s="27" t="s">
        <v>550</v>
      </c>
      <c r="B12" s="27" t="s">
        <v>549</v>
      </c>
      <c r="C12" s="27" t="s">
        <v>163</v>
      </c>
      <c r="D12" s="31">
        <v>45</v>
      </c>
      <c r="E12" s="29">
        <v>471.18689999999998</v>
      </c>
      <c r="F12" s="30">
        <v>9.5775530600444707</v>
      </c>
      <c r="G12" s="29">
        <v>3.8</v>
      </c>
    </row>
    <row r="13" spans="1:7" x14ac:dyDescent="0.2">
      <c r="A13" s="27" t="s">
        <v>743</v>
      </c>
      <c r="B13" s="27" t="s">
        <v>742</v>
      </c>
      <c r="C13" s="27" t="s">
        <v>163</v>
      </c>
      <c r="D13" s="31">
        <v>35</v>
      </c>
      <c r="E13" s="29">
        <v>373.7713</v>
      </c>
      <c r="F13" s="30">
        <v>7.5974405444459503</v>
      </c>
      <c r="G13" s="29">
        <v>4.8499999999999996</v>
      </c>
    </row>
    <row r="14" spans="1:7" x14ac:dyDescent="0.2">
      <c r="A14" s="27" t="s">
        <v>739</v>
      </c>
      <c r="B14" s="27" t="s">
        <v>738</v>
      </c>
      <c r="C14" s="27" t="s">
        <v>163</v>
      </c>
      <c r="D14" s="31">
        <v>29</v>
      </c>
      <c r="E14" s="29">
        <v>366.19808</v>
      </c>
      <c r="F14" s="30">
        <v>7.4435039295158898</v>
      </c>
      <c r="G14" s="29">
        <v>5.9149000000000003</v>
      </c>
    </row>
    <row r="15" spans="1:7" x14ac:dyDescent="0.2">
      <c r="A15" s="27" t="s">
        <v>574</v>
      </c>
      <c r="B15" s="27" t="s">
        <v>573</v>
      </c>
      <c r="C15" s="27" t="s">
        <v>163</v>
      </c>
      <c r="D15" s="31">
        <v>24</v>
      </c>
      <c r="E15" s="29">
        <v>252.94103999999999</v>
      </c>
      <c r="F15" s="30">
        <v>5.1413913070648398</v>
      </c>
      <c r="G15" s="29">
        <v>3.8</v>
      </c>
    </row>
    <row r="16" spans="1:7" x14ac:dyDescent="0.2">
      <c r="A16" s="27" t="s">
        <v>652</v>
      </c>
      <c r="B16" s="27" t="s">
        <v>651</v>
      </c>
      <c r="C16" s="27" t="s">
        <v>653</v>
      </c>
      <c r="D16" s="31">
        <v>22</v>
      </c>
      <c r="E16" s="29">
        <v>236.2294</v>
      </c>
      <c r="F16" s="30">
        <v>4.8017031306313198</v>
      </c>
      <c r="G16" s="29">
        <v>3.8614000000000002</v>
      </c>
    </row>
    <row r="17" spans="1:9" x14ac:dyDescent="0.2">
      <c r="A17" s="27" t="s">
        <v>604</v>
      </c>
      <c r="B17" s="27" t="s">
        <v>603</v>
      </c>
      <c r="C17" s="27" t="s">
        <v>163</v>
      </c>
      <c r="D17" s="31">
        <v>10</v>
      </c>
      <c r="E17" s="29">
        <v>103.6208</v>
      </c>
      <c r="F17" s="30">
        <v>2.1062421517326899</v>
      </c>
      <c r="G17" s="29">
        <v>4.4493</v>
      </c>
    </row>
    <row r="18" spans="1:9" x14ac:dyDescent="0.2">
      <c r="A18" s="27" t="s">
        <v>546</v>
      </c>
      <c r="B18" s="27" t="s">
        <v>545</v>
      </c>
      <c r="C18" s="27" t="s">
        <v>163</v>
      </c>
      <c r="D18" s="31">
        <v>8</v>
      </c>
      <c r="E18" s="29">
        <v>84.193039999999996</v>
      </c>
      <c r="F18" s="30">
        <v>1.71134492042637</v>
      </c>
      <c r="G18" s="29">
        <v>3.915</v>
      </c>
    </row>
    <row r="19" spans="1:9" x14ac:dyDescent="0.2">
      <c r="A19" s="27" t="s">
        <v>729</v>
      </c>
      <c r="B19" s="27" t="s">
        <v>728</v>
      </c>
      <c r="C19" s="27" t="s">
        <v>278</v>
      </c>
      <c r="D19" s="31">
        <v>5</v>
      </c>
      <c r="E19" s="29">
        <v>62.457299999999996</v>
      </c>
      <c r="F19" s="30">
        <v>1.26953466816908</v>
      </c>
      <c r="G19" s="29">
        <v>5.5799000000000003</v>
      </c>
    </row>
    <row r="20" spans="1:9" x14ac:dyDescent="0.2">
      <c r="A20" s="27" t="s">
        <v>539</v>
      </c>
      <c r="B20" s="27" t="s">
        <v>538</v>
      </c>
      <c r="C20" s="27" t="s">
        <v>540</v>
      </c>
      <c r="D20" s="31">
        <v>6</v>
      </c>
      <c r="E20" s="29">
        <v>62.188980000000001</v>
      </c>
      <c r="F20" s="30">
        <v>1.2640806773279201</v>
      </c>
      <c r="G20" s="29">
        <v>5.5990000000000002</v>
      </c>
    </row>
    <row r="21" spans="1:9" x14ac:dyDescent="0.2">
      <c r="A21" s="27" t="s">
        <v>735</v>
      </c>
      <c r="B21" s="27" t="s">
        <v>734</v>
      </c>
      <c r="C21" s="27" t="s">
        <v>483</v>
      </c>
      <c r="D21" s="31">
        <v>4</v>
      </c>
      <c r="E21" s="29">
        <v>42.824440000000003</v>
      </c>
      <c r="F21" s="30">
        <v>0.87046848366686502</v>
      </c>
      <c r="G21" s="29">
        <v>5.0498000000000003</v>
      </c>
    </row>
    <row r="22" spans="1:9" x14ac:dyDescent="0.2">
      <c r="A22" s="27" t="s">
        <v>718</v>
      </c>
      <c r="B22" s="27" t="s">
        <v>717</v>
      </c>
      <c r="C22" s="27" t="s">
        <v>163</v>
      </c>
      <c r="D22" s="31">
        <v>1</v>
      </c>
      <c r="E22" s="29">
        <v>12.647550000000001</v>
      </c>
      <c r="F22" s="30">
        <v>0.25707968792121599</v>
      </c>
      <c r="G22" s="29">
        <v>4.5250000000000004</v>
      </c>
    </row>
    <row r="23" spans="1:9" x14ac:dyDescent="0.2">
      <c r="A23" s="27" t="s">
        <v>542</v>
      </c>
      <c r="B23" s="27" t="s">
        <v>541</v>
      </c>
      <c r="C23" s="27" t="s">
        <v>533</v>
      </c>
      <c r="D23" s="31">
        <v>1</v>
      </c>
      <c r="E23" s="29">
        <v>10.404199999999999</v>
      </c>
      <c r="F23" s="30">
        <v>0.21148036489833399</v>
      </c>
      <c r="G23" s="29">
        <v>5.7141000000000002</v>
      </c>
    </row>
    <row r="24" spans="1:9" ht="10.5" x14ac:dyDescent="0.25">
      <c r="A24" s="26" t="s">
        <v>164</v>
      </c>
      <c r="B24" s="26"/>
      <c r="C24" s="26"/>
      <c r="D24" s="32"/>
      <c r="E24" s="33">
        <f>SUM(E6:E23)</f>
        <v>4613.9989500000001</v>
      </c>
      <c r="F24" s="34">
        <f>SUM(F6:F23)</f>
        <v>93.786180733408472</v>
      </c>
      <c r="G24" s="33"/>
      <c r="H24" s="18"/>
      <c r="I24" s="18"/>
    </row>
    <row r="25" spans="1:9" x14ac:dyDescent="0.2">
      <c r="A25" s="27"/>
      <c r="B25" s="27"/>
      <c r="C25" s="27"/>
      <c r="D25" s="28"/>
      <c r="E25" s="29"/>
      <c r="F25" s="30"/>
      <c r="G25" s="29"/>
    </row>
    <row r="26" spans="1:9" ht="10.5" x14ac:dyDescent="0.25">
      <c r="A26" s="26" t="s">
        <v>176</v>
      </c>
      <c r="B26" s="26"/>
      <c r="C26" s="26"/>
      <c r="D26" s="32"/>
      <c r="E26" s="33">
        <f>E24</f>
        <v>4613.9989500000001</v>
      </c>
      <c r="F26" s="34">
        <f>F24</f>
        <v>93.786180733408472</v>
      </c>
      <c r="G26" s="33"/>
      <c r="H26" s="18"/>
      <c r="I26" s="18"/>
    </row>
    <row r="27" spans="1:9" ht="10.5" x14ac:dyDescent="0.25">
      <c r="A27" s="26"/>
      <c r="B27" s="26"/>
      <c r="C27" s="26"/>
      <c r="D27" s="32"/>
      <c r="E27" s="33"/>
      <c r="F27" s="34"/>
      <c r="G27" s="33"/>
      <c r="H27" s="18"/>
      <c r="I27" s="18"/>
    </row>
    <row r="28" spans="1:9" ht="10.5" x14ac:dyDescent="0.25">
      <c r="A28" s="26" t="s">
        <v>178</v>
      </c>
      <c r="B28" s="26"/>
      <c r="C28" s="26"/>
      <c r="D28" s="32"/>
      <c r="E28" s="33">
        <f>E30-(E24)</f>
        <v>305.70128079999995</v>
      </c>
      <c r="F28" s="34">
        <f>F30-(F24)</f>
        <v>6.2138192665915284</v>
      </c>
      <c r="G28" s="33"/>
      <c r="H28" s="18"/>
      <c r="I28" s="18"/>
    </row>
    <row r="29" spans="1:9" ht="10.5" x14ac:dyDescent="0.25">
      <c r="A29" s="26"/>
      <c r="B29" s="26"/>
      <c r="C29" s="26"/>
      <c r="D29" s="32"/>
      <c r="E29" s="33"/>
      <c r="F29" s="34"/>
      <c r="G29" s="33"/>
      <c r="H29" s="18"/>
      <c r="I29" s="18"/>
    </row>
    <row r="30" spans="1:9" ht="10.5" x14ac:dyDescent="0.25">
      <c r="A30" s="35" t="s">
        <v>177</v>
      </c>
      <c r="B30" s="35"/>
      <c r="C30" s="35"/>
      <c r="D30" s="36"/>
      <c r="E30" s="37">
        <v>4919.7002308000001</v>
      </c>
      <c r="F30" s="38">
        <v>100</v>
      </c>
      <c r="G30" s="37"/>
      <c r="H30" s="18"/>
      <c r="I30" s="18"/>
    </row>
    <row r="32" spans="1:9" ht="10.5" x14ac:dyDescent="0.25">
      <c r="A32" s="18" t="s">
        <v>180</v>
      </c>
    </row>
    <row r="34" spans="1:5" ht="10.5" x14ac:dyDescent="0.25">
      <c r="A34" s="18" t="s">
        <v>181</v>
      </c>
    </row>
    <row r="35" spans="1:5" ht="10.5" x14ac:dyDescent="0.25">
      <c r="A35" s="18" t="s">
        <v>182</v>
      </c>
    </row>
    <row r="36" spans="1:5" ht="10.5" x14ac:dyDescent="0.25">
      <c r="A36" s="18" t="s">
        <v>183</v>
      </c>
      <c r="B36" s="18"/>
      <c r="C36" s="39" t="s">
        <v>185</v>
      </c>
      <c r="D36" s="19" t="s">
        <v>184</v>
      </c>
    </row>
    <row r="37" spans="1:5" x14ac:dyDescent="0.2">
      <c r="A37" s="9" t="s">
        <v>421</v>
      </c>
      <c r="C37" s="40">
        <v>11.7136</v>
      </c>
      <c r="D37" s="40">
        <v>12.2972</v>
      </c>
    </row>
    <row r="38" spans="1:5" x14ac:dyDescent="0.2">
      <c r="A38" s="9" t="s">
        <v>723</v>
      </c>
      <c r="C38" s="40">
        <v>10.8986</v>
      </c>
      <c r="D38" s="40">
        <v>10.600899999999999</v>
      </c>
    </row>
    <row r="39" spans="1:5" x14ac:dyDescent="0.2">
      <c r="A39" s="9" t="s">
        <v>423</v>
      </c>
      <c r="C39" s="40">
        <v>10.489699999999999</v>
      </c>
      <c r="D39" s="40">
        <v>10.587899999999999</v>
      </c>
    </row>
    <row r="40" spans="1:5" x14ac:dyDescent="0.2">
      <c r="A40" s="9" t="s">
        <v>424</v>
      </c>
      <c r="C40" s="40">
        <v>11.766</v>
      </c>
      <c r="D40" s="40">
        <v>12.370699999999999</v>
      </c>
    </row>
    <row r="42" spans="1:5" ht="10.5" x14ac:dyDescent="0.25">
      <c r="A42" s="18" t="s">
        <v>197</v>
      </c>
    </row>
    <row r="43" spans="1:5" ht="10.5" x14ac:dyDescent="0.25">
      <c r="A43" s="73" t="s">
        <v>403</v>
      </c>
      <c r="B43" s="74"/>
      <c r="C43" s="45" t="s">
        <v>404</v>
      </c>
    </row>
    <row r="44" spans="1:5" x14ac:dyDescent="0.2">
      <c r="A44" s="69" t="s">
        <v>723</v>
      </c>
      <c r="B44" s="70"/>
      <c r="C44" s="46">
        <v>0.84</v>
      </c>
    </row>
    <row r="45" spans="1:5" x14ac:dyDescent="0.2">
      <c r="A45" s="69" t="s">
        <v>423</v>
      </c>
      <c r="B45" s="70"/>
      <c r="C45" s="46">
        <v>0.42</v>
      </c>
    </row>
    <row r="46" spans="1:5" x14ac:dyDescent="0.2">
      <c r="A46" s="9" t="s">
        <v>405</v>
      </c>
    </row>
    <row r="48" spans="1:5" ht="10.5" x14ac:dyDescent="0.25">
      <c r="A48" s="18" t="s">
        <v>199</v>
      </c>
      <c r="D48" s="42">
        <v>1.1399252021917801</v>
      </c>
      <c r="E48" s="13" t="s">
        <v>200</v>
      </c>
    </row>
    <row r="50" spans="1:4" ht="10.5" x14ac:dyDescent="0.25">
      <c r="A50" s="18" t="s">
        <v>201</v>
      </c>
      <c r="D50" s="41" t="s">
        <v>198</v>
      </c>
    </row>
  </sheetData>
  <mergeCells count="4">
    <mergeCell ref="A1:G1"/>
    <mergeCell ref="A43:B43"/>
    <mergeCell ref="A44:B44"/>
    <mergeCell ref="A45:B45"/>
  </mergeCells>
  <conditionalFormatting sqref="F2:F3 F5:F65536">
    <cfRule type="cellIs" dxfId="5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I49"/>
  <sheetViews>
    <sheetView workbookViewId="0">
      <selection sqref="A1:G1"/>
    </sheetView>
  </sheetViews>
  <sheetFormatPr defaultColWidth="9.1796875" defaultRowHeight="10" x14ac:dyDescent="0.2"/>
  <cols>
    <col min="1" max="1" width="38.7265625" style="9" bestFit="1" customWidth="1"/>
    <col min="2" max="2" width="52.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27</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602</v>
      </c>
      <c r="B7" s="27" t="s">
        <v>601</v>
      </c>
      <c r="C7" s="27" t="s">
        <v>483</v>
      </c>
      <c r="D7" s="31">
        <v>26</v>
      </c>
      <c r="E7" s="29">
        <v>329.85082</v>
      </c>
      <c r="F7" s="30">
        <v>11.883425071100501</v>
      </c>
      <c r="G7" s="29">
        <v>5.7</v>
      </c>
    </row>
    <row r="8" spans="1:7" x14ac:dyDescent="0.2">
      <c r="A8" s="27" t="s">
        <v>610</v>
      </c>
      <c r="B8" s="27" t="s">
        <v>609</v>
      </c>
      <c r="C8" s="27" t="s">
        <v>163</v>
      </c>
      <c r="D8" s="31">
        <v>28</v>
      </c>
      <c r="E8" s="29">
        <v>288.42212000000001</v>
      </c>
      <c r="F8" s="30">
        <v>10.3908871648946</v>
      </c>
      <c r="G8" s="29">
        <v>3.55</v>
      </c>
    </row>
    <row r="9" spans="1:7" x14ac:dyDescent="0.2">
      <c r="A9" s="27" t="s">
        <v>655</v>
      </c>
      <c r="B9" s="27" t="s">
        <v>654</v>
      </c>
      <c r="C9" s="27" t="s">
        <v>523</v>
      </c>
      <c r="D9" s="31">
        <v>27</v>
      </c>
      <c r="E9" s="29">
        <v>284.71418999999997</v>
      </c>
      <c r="F9" s="30">
        <v>10.2573028120533</v>
      </c>
      <c r="G9" s="29">
        <v>3.8849999999999998</v>
      </c>
    </row>
    <row r="10" spans="1:7" x14ac:dyDescent="0.2">
      <c r="A10" s="27" t="s">
        <v>741</v>
      </c>
      <c r="B10" s="27" t="s">
        <v>740</v>
      </c>
      <c r="C10" s="27" t="s">
        <v>483</v>
      </c>
      <c r="D10" s="31">
        <v>26</v>
      </c>
      <c r="E10" s="29">
        <v>274.82078000000001</v>
      </c>
      <c r="F10" s="30">
        <v>9.9008762419065608</v>
      </c>
      <c r="G10" s="29">
        <v>5.56</v>
      </c>
    </row>
    <row r="11" spans="1:7" x14ac:dyDescent="0.2">
      <c r="A11" s="27" t="s">
        <v>588</v>
      </c>
      <c r="B11" s="27" t="s">
        <v>587</v>
      </c>
      <c r="C11" s="27" t="s">
        <v>523</v>
      </c>
      <c r="D11" s="31">
        <v>26</v>
      </c>
      <c r="E11" s="29">
        <v>274.63695999999999</v>
      </c>
      <c r="F11" s="30">
        <v>9.8942538203022394</v>
      </c>
      <c r="G11" s="29">
        <v>3.7349999999999999</v>
      </c>
    </row>
    <row r="12" spans="1:7" x14ac:dyDescent="0.2">
      <c r="A12" s="27" t="s">
        <v>574</v>
      </c>
      <c r="B12" s="27" t="s">
        <v>573</v>
      </c>
      <c r="C12" s="27" t="s">
        <v>163</v>
      </c>
      <c r="D12" s="31">
        <v>26</v>
      </c>
      <c r="E12" s="29">
        <v>274.01945999999998</v>
      </c>
      <c r="F12" s="30">
        <v>9.8720073545168692</v>
      </c>
      <c r="G12" s="29">
        <v>3.8</v>
      </c>
    </row>
    <row r="13" spans="1:7" x14ac:dyDescent="0.2">
      <c r="A13" s="27" t="s">
        <v>162</v>
      </c>
      <c r="B13" s="27" t="s">
        <v>161</v>
      </c>
      <c r="C13" s="27" t="s">
        <v>163</v>
      </c>
      <c r="D13" s="31">
        <v>26</v>
      </c>
      <c r="E13" s="29">
        <v>271.61315999999999</v>
      </c>
      <c r="F13" s="30">
        <v>9.7853163899511699</v>
      </c>
      <c r="G13" s="29">
        <v>3.8650000000000002</v>
      </c>
    </row>
    <row r="14" spans="1:7" x14ac:dyDescent="0.2">
      <c r="A14" s="27" t="s">
        <v>542</v>
      </c>
      <c r="B14" s="27" t="s">
        <v>541</v>
      </c>
      <c r="C14" s="27" t="s">
        <v>533</v>
      </c>
      <c r="D14" s="31">
        <v>24</v>
      </c>
      <c r="E14" s="29">
        <v>249.70079999999999</v>
      </c>
      <c r="F14" s="30">
        <v>8.9958871316246896</v>
      </c>
      <c r="G14" s="29">
        <v>5.7141000000000002</v>
      </c>
    </row>
    <row r="15" spans="1:7" x14ac:dyDescent="0.2">
      <c r="A15" s="27" t="s">
        <v>739</v>
      </c>
      <c r="B15" s="27" t="s">
        <v>738</v>
      </c>
      <c r="C15" s="27" t="s">
        <v>163</v>
      </c>
      <c r="D15" s="31">
        <v>10</v>
      </c>
      <c r="E15" s="29">
        <v>126.2752</v>
      </c>
      <c r="F15" s="30">
        <v>4.5492743584455297</v>
      </c>
      <c r="G15" s="29">
        <v>5.9149000000000003</v>
      </c>
    </row>
    <row r="16" spans="1:7" x14ac:dyDescent="0.2">
      <c r="A16" s="27" t="s">
        <v>727</v>
      </c>
      <c r="B16" s="27" t="s">
        <v>726</v>
      </c>
      <c r="C16" s="27" t="s">
        <v>163</v>
      </c>
      <c r="D16" s="31">
        <v>12</v>
      </c>
      <c r="E16" s="29">
        <v>125.6352</v>
      </c>
      <c r="F16" s="30">
        <v>4.5262172926922704</v>
      </c>
      <c r="G16" s="29">
        <v>3.81</v>
      </c>
    </row>
    <row r="17" spans="1:9" x14ac:dyDescent="0.2">
      <c r="A17" s="27" t="s">
        <v>718</v>
      </c>
      <c r="B17" s="27" t="s">
        <v>717</v>
      </c>
      <c r="C17" s="27" t="s">
        <v>163</v>
      </c>
      <c r="D17" s="31">
        <v>2</v>
      </c>
      <c r="E17" s="29">
        <v>25.295100000000001</v>
      </c>
      <c r="F17" s="30">
        <v>0.911298099898598</v>
      </c>
      <c r="G17" s="29">
        <v>4.5250000000000004</v>
      </c>
    </row>
    <row r="18" spans="1:9" x14ac:dyDescent="0.2">
      <c r="A18" s="27" t="s">
        <v>735</v>
      </c>
      <c r="B18" s="27" t="s">
        <v>734</v>
      </c>
      <c r="C18" s="27" t="s">
        <v>483</v>
      </c>
      <c r="D18" s="31">
        <v>2</v>
      </c>
      <c r="E18" s="29">
        <v>21.412220000000001</v>
      </c>
      <c r="F18" s="30">
        <v>0.77141088197361396</v>
      </c>
      <c r="G18" s="29">
        <v>5.0498000000000003</v>
      </c>
    </row>
    <row r="19" spans="1:9" ht="10.5" x14ac:dyDescent="0.25">
      <c r="A19" s="26" t="s">
        <v>164</v>
      </c>
      <c r="B19" s="26"/>
      <c r="C19" s="26"/>
      <c r="D19" s="32"/>
      <c r="E19" s="33">
        <f>SUM(E6:E18)</f>
        <v>2546.3960100000004</v>
      </c>
      <c r="F19" s="34">
        <f>SUM(F6:F18)</f>
        <v>91.738156619359927</v>
      </c>
      <c r="G19" s="33"/>
      <c r="H19" s="18"/>
      <c r="I19" s="18"/>
    </row>
    <row r="20" spans="1:9" x14ac:dyDescent="0.2">
      <c r="A20" s="27"/>
      <c r="B20" s="27"/>
      <c r="C20" s="27"/>
      <c r="D20" s="28"/>
      <c r="E20" s="29"/>
      <c r="F20" s="30"/>
      <c r="G20" s="29"/>
    </row>
    <row r="21" spans="1:9" ht="10.5" x14ac:dyDescent="0.25">
      <c r="A21" s="26" t="s">
        <v>176</v>
      </c>
      <c r="B21" s="26"/>
      <c r="C21" s="26"/>
      <c r="D21" s="32"/>
      <c r="E21" s="33">
        <f>E19</f>
        <v>2546.3960100000004</v>
      </c>
      <c r="F21" s="34">
        <f>F19</f>
        <v>91.738156619359927</v>
      </c>
      <c r="G21" s="33"/>
      <c r="H21" s="18"/>
      <c r="I21" s="18"/>
    </row>
    <row r="22" spans="1:9" ht="10.5" x14ac:dyDescent="0.25">
      <c r="A22" s="26"/>
      <c r="B22" s="26"/>
      <c r="C22" s="26"/>
      <c r="D22" s="32"/>
      <c r="E22" s="33"/>
      <c r="F22" s="34"/>
      <c r="G22" s="33"/>
      <c r="H22" s="18"/>
      <c r="I22" s="18"/>
    </row>
    <row r="23" spans="1:9" ht="10.5" x14ac:dyDescent="0.25">
      <c r="A23" s="26" t="s">
        <v>178</v>
      </c>
      <c r="B23" s="26"/>
      <c r="C23" s="26"/>
      <c r="D23" s="32"/>
      <c r="E23" s="33">
        <f>E25-(E19)</f>
        <v>229.32578759999979</v>
      </c>
      <c r="F23" s="34">
        <f>F25-(F19)</f>
        <v>8.2618433806400731</v>
      </c>
      <c r="G23" s="33"/>
      <c r="H23" s="18"/>
      <c r="I23" s="18"/>
    </row>
    <row r="24" spans="1:9" ht="10.5" x14ac:dyDescent="0.25">
      <c r="A24" s="26"/>
      <c r="B24" s="26"/>
      <c r="C24" s="26"/>
      <c r="D24" s="32"/>
      <c r="E24" s="33"/>
      <c r="F24" s="34"/>
      <c r="G24" s="33"/>
      <c r="H24" s="18"/>
      <c r="I24" s="18"/>
    </row>
    <row r="25" spans="1:9" ht="10.5" x14ac:dyDescent="0.25">
      <c r="A25" s="35" t="s">
        <v>177</v>
      </c>
      <c r="B25" s="35"/>
      <c r="C25" s="35"/>
      <c r="D25" s="36"/>
      <c r="E25" s="37">
        <v>2775.7217976000002</v>
      </c>
      <c r="F25" s="38">
        <v>100</v>
      </c>
      <c r="G25" s="37"/>
      <c r="H25" s="18"/>
      <c r="I25" s="18"/>
    </row>
    <row r="27" spans="1:9" ht="10.5" x14ac:dyDescent="0.25">
      <c r="A27" s="18" t="s">
        <v>180</v>
      </c>
    </row>
    <row r="29" spans="1:9" ht="10.5" x14ac:dyDescent="0.25">
      <c r="A29" s="18" t="s">
        <v>181</v>
      </c>
    </row>
    <row r="30" spans="1:9" ht="10.5" x14ac:dyDescent="0.25">
      <c r="A30" s="18" t="s">
        <v>182</v>
      </c>
    </row>
    <row r="31" spans="1:9" ht="10.5" x14ac:dyDescent="0.25">
      <c r="A31" s="18" t="s">
        <v>183</v>
      </c>
      <c r="B31" s="18"/>
      <c r="C31" s="39" t="s">
        <v>185</v>
      </c>
      <c r="D31" s="19" t="s">
        <v>184</v>
      </c>
    </row>
    <row r="32" spans="1:9" x14ac:dyDescent="0.2">
      <c r="A32" s="9" t="s">
        <v>421</v>
      </c>
      <c r="C32" s="40">
        <v>11.8619</v>
      </c>
      <c r="D32" s="40">
        <v>12.4391</v>
      </c>
    </row>
    <row r="33" spans="1:5" x14ac:dyDescent="0.2">
      <c r="A33" s="9" t="s">
        <v>723</v>
      </c>
      <c r="C33" s="40">
        <v>11.023400000000001</v>
      </c>
      <c r="D33" s="40">
        <v>10.634600000000001</v>
      </c>
    </row>
    <row r="34" spans="1:5" x14ac:dyDescent="0.2">
      <c r="A34" s="9" t="s">
        <v>423</v>
      </c>
      <c r="C34" s="40">
        <v>10.5175</v>
      </c>
      <c r="D34" s="40">
        <v>10.6174</v>
      </c>
    </row>
    <row r="35" spans="1:5" x14ac:dyDescent="0.2">
      <c r="A35" s="9" t="s">
        <v>424</v>
      </c>
      <c r="C35" s="40">
        <v>11.918200000000001</v>
      </c>
      <c r="D35" s="40">
        <v>12.5168</v>
      </c>
    </row>
    <row r="36" spans="1:5" x14ac:dyDescent="0.2">
      <c r="A36" s="9" t="s">
        <v>459</v>
      </c>
      <c r="C36" s="40">
        <v>11.0763</v>
      </c>
      <c r="D36" s="40">
        <v>10.7049</v>
      </c>
    </row>
    <row r="37" spans="1:5" x14ac:dyDescent="0.2">
      <c r="A37" s="9" t="s">
        <v>426</v>
      </c>
      <c r="C37" s="40">
        <v>10.571099999999999</v>
      </c>
      <c r="D37" s="40">
        <v>10.6899</v>
      </c>
    </row>
    <row r="39" spans="1:5" ht="10.5" x14ac:dyDescent="0.25">
      <c r="A39" s="18" t="s">
        <v>197</v>
      </c>
    </row>
    <row r="40" spans="1:5" ht="10.5" x14ac:dyDescent="0.25">
      <c r="A40" s="73" t="s">
        <v>403</v>
      </c>
      <c r="B40" s="74"/>
      <c r="C40" s="45" t="s">
        <v>404</v>
      </c>
    </row>
    <row r="41" spans="1:5" x14ac:dyDescent="0.2">
      <c r="A41" s="69" t="s">
        <v>723</v>
      </c>
      <c r="B41" s="70"/>
      <c r="C41" s="46">
        <v>0.92</v>
      </c>
    </row>
    <row r="42" spans="1:5" x14ac:dyDescent="0.2">
      <c r="A42" s="69" t="s">
        <v>423</v>
      </c>
      <c r="B42" s="70"/>
      <c r="C42" s="46">
        <v>0.40500000000000003</v>
      </c>
    </row>
    <row r="43" spans="1:5" x14ac:dyDescent="0.2">
      <c r="A43" s="69" t="s">
        <v>459</v>
      </c>
      <c r="B43" s="70"/>
      <c r="C43" s="46">
        <v>0.92</v>
      </c>
    </row>
    <row r="44" spans="1:5" x14ac:dyDescent="0.2">
      <c r="A44" s="69" t="s">
        <v>426</v>
      </c>
      <c r="B44" s="70"/>
      <c r="C44" s="46">
        <v>0.40500000000000003</v>
      </c>
    </row>
    <row r="45" spans="1:5" x14ac:dyDescent="0.2">
      <c r="A45" s="9" t="s">
        <v>405</v>
      </c>
    </row>
    <row r="47" spans="1:5" ht="10.5" x14ac:dyDescent="0.25">
      <c r="A47" s="18" t="s">
        <v>199</v>
      </c>
      <c r="D47" s="42">
        <v>1.0850750339726001</v>
      </c>
      <c r="E47" s="13" t="s">
        <v>200</v>
      </c>
    </row>
    <row r="49" spans="1:4" ht="10.5" x14ac:dyDescent="0.25">
      <c r="A49" s="18" t="s">
        <v>201</v>
      </c>
      <c r="D49" s="41" t="s">
        <v>198</v>
      </c>
    </row>
  </sheetData>
  <mergeCells count="6">
    <mergeCell ref="A44:B44"/>
    <mergeCell ref="A1:G1"/>
    <mergeCell ref="A40:B40"/>
    <mergeCell ref="A41:B41"/>
    <mergeCell ref="A42:B42"/>
    <mergeCell ref="A43:B43"/>
  </mergeCells>
  <conditionalFormatting sqref="F2:F3 F5:F65536">
    <cfRule type="cellIs" dxfId="4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I57"/>
  <sheetViews>
    <sheetView workbookViewId="0">
      <selection sqref="A1:G1"/>
    </sheetView>
  </sheetViews>
  <sheetFormatPr defaultColWidth="9.1796875" defaultRowHeight="10" x14ac:dyDescent="0.2"/>
  <cols>
    <col min="1" max="1" width="38.7265625" style="9" bestFit="1" customWidth="1"/>
    <col min="2" max="2" width="52.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28</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602</v>
      </c>
      <c r="B7" s="27" t="s">
        <v>601</v>
      </c>
      <c r="C7" s="27" t="s">
        <v>483</v>
      </c>
      <c r="D7" s="31">
        <v>50</v>
      </c>
      <c r="E7" s="29">
        <v>634.32849999999996</v>
      </c>
      <c r="F7" s="30">
        <v>11.942942501014199</v>
      </c>
      <c r="G7" s="29">
        <v>5.7</v>
      </c>
    </row>
    <row r="8" spans="1:7" x14ac:dyDescent="0.2">
      <c r="A8" s="27" t="s">
        <v>655</v>
      </c>
      <c r="B8" s="27" t="s">
        <v>654</v>
      </c>
      <c r="C8" s="27" t="s">
        <v>523</v>
      </c>
      <c r="D8" s="31">
        <v>50</v>
      </c>
      <c r="E8" s="29">
        <v>527.24850000000004</v>
      </c>
      <c r="F8" s="30">
        <v>9.9268730937455505</v>
      </c>
      <c r="G8" s="29">
        <v>3.8849999999999998</v>
      </c>
    </row>
    <row r="9" spans="1:7" x14ac:dyDescent="0.2">
      <c r="A9" s="27" t="s">
        <v>574</v>
      </c>
      <c r="B9" s="27" t="s">
        <v>573</v>
      </c>
      <c r="C9" s="27" t="s">
        <v>163</v>
      </c>
      <c r="D9" s="31">
        <v>50</v>
      </c>
      <c r="E9" s="29">
        <v>526.96050000000002</v>
      </c>
      <c r="F9" s="30">
        <v>9.9214507180517408</v>
      </c>
      <c r="G9" s="29">
        <v>3.8</v>
      </c>
    </row>
    <row r="10" spans="1:7" x14ac:dyDescent="0.2">
      <c r="A10" s="27" t="s">
        <v>745</v>
      </c>
      <c r="B10" s="27" t="s">
        <v>744</v>
      </c>
      <c r="C10" s="27" t="s">
        <v>163</v>
      </c>
      <c r="D10" s="31">
        <v>50</v>
      </c>
      <c r="E10" s="29">
        <v>523.67849999999999</v>
      </c>
      <c r="F10" s="30">
        <v>9.8596582283743395</v>
      </c>
      <c r="G10" s="29">
        <v>4.1550000000000002</v>
      </c>
    </row>
    <row r="11" spans="1:7" x14ac:dyDescent="0.2">
      <c r="A11" s="27" t="s">
        <v>747</v>
      </c>
      <c r="B11" s="27" t="s">
        <v>746</v>
      </c>
      <c r="C11" s="27" t="s">
        <v>163</v>
      </c>
      <c r="D11" s="31">
        <v>50</v>
      </c>
      <c r="E11" s="29">
        <v>517.69449999999995</v>
      </c>
      <c r="F11" s="30">
        <v>9.7469933111807006</v>
      </c>
      <c r="G11" s="29">
        <v>3.81</v>
      </c>
    </row>
    <row r="12" spans="1:7" x14ac:dyDescent="0.2">
      <c r="A12" s="27" t="s">
        <v>652</v>
      </c>
      <c r="B12" s="27" t="s">
        <v>651</v>
      </c>
      <c r="C12" s="27" t="s">
        <v>653</v>
      </c>
      <c r="D12" s="31">
        <v>48</v>
      </c>
      <c r="E12" s="29">
        <v>515.40959999999995</v>
      </c>
      <c r="F12" s="30">
        <v>9.7039739145737904</v>
      </c>
      <c r="G12" s="29">
        <v>3.8614000000000002</v>
      </c>
    </row>
    <row r="13" spans="1:7" x14ac:dyDescent="0.2">
      <c r="A13" s="27" t="s">
        <v>162</v>
      </c>
      <c r="B13" s="27" t="s">
        <v>161</v>
      </c>
      <c r="C13" s="27" t="s">
        <v>163</v>
      </c>
      <c r="D13" s="31">
        <v>49</v>
      </c>
      <c r="E13" s="29">
        <v>511.88634000000002</v>
      </c>
      <c r="F13" s="30">
        <v>9.6376390555912206</v>
      </c>
      <c r="G13" s="29">
        <v>3.8650000000000002</v>
      </c>
    </row>
    <row r="14" spans="1:7" x14ac:dyDescent="0.2">
      <c r="A14" s="27" t="s">
        <v>588</v>
      </c>
      <c r="B14" s="27" t="s">
        <v>587</v>
      </c>
      <c r="C14" s="27" t="s">
        <v>523</v>
      </c>
      <c r="D14" s="31">
        <v>20</v>
      </c>
      <c r="E14" s="29">
        <v>211.25919999999999</v>
      </c>
      <c r="F14" s="30">
        <v>3.9775234415768099</v>
      </c>
      <c r="G14" s="29">
        <v>3.7349999999999999</v>
      </c>
    </row>
    <row r="15" spans="1:7" x14ac:dyDescent="0.2">
      <c r="A15" s="27" t="s">
        <v>741</v>
      </c>
      <c r="B15" s="27" t="s">
        <v>740</v>
      </c>
      <c r="C15" s="27" t="s">
        <v>483</v>
      </c>
      <c r="D15" s="31">
        <v>15</v>
      </c>
      <c r="E15" s="29">
        <v>158.55045000000001</v>
      </c>
      <c r="F15" s="30">
        <v>2.9851392580656899</v>
      </c>
      <c r="G15" s="29">
        <v>5.56</v>
      </c>
    </row>
    <row r="16" spans="1:7" x14ac:dyDescent="0.2">
      <c r="A16" s="27" t="s">
        <v>735</v>
      </c>
      <c r="B16" s="27" t="s">
        <v>734</v>
      </c>
      <c r="C16" s="27" t="s">
        <v>483</v>
      </c>
      <c r="D16" s="31">
        <v>6</v>
      </c>
      <c r="E16" s="29">
        <v>64.236660000000001</v>
      </c>
      <c r="F16" s="30">
        <v>1.2094281383182299</v>
      </c>
      <c r="G16" s="29">
        <v>5.0498000000000003</v>
      </c>
    </row>
    <row r="17" spans="1:9" x14ac:dyDescent="0.2">
      <c r="A17" s="27" t="s">
        <v>727</v>
      </c>
      <c r="B17" s="27" t="s">
        <v>726</v>
      </c>
      <c r="C17" s="27" t="s">
        <v>163</v>
      </c>
      <c r="D17" s="31">
        <v>4</v>
      </c>
      <c r="E17" s="29">
        <v>41.878399999999999</v>
      </c>
      <c r="F17" s="30">
        <v>0.78847367449905204</v>
      </c>
      <c r="G17" s="29">
        <v>3.81</v>
      </c>
    </row>
    <row r="18" spans="1:9" x14ac:dyDescent="0.2">
      <c r="A18" s="27" t="s">
        <v>714</v>
      </c>
      <c r="B18" s="27" t="s">
        <v>713</v>
      </c>
      <c r="C18" s="27" t="s">
        <v>163</v>
      </c>
      <c r="D18" s="31">
        <v>3</v>
      </c>
      <c r="E18" s="29">
        <v>38.542439999999999</v>
      </c>
      <c r="F18" s="30">
        <v>0.72566524248680098</v>
      </c>
      <c r="G18" s="29">
        <v>4.5250000000000004</v>
      </c>
    </row>
    <row r="19" spans="1:9" x14ac:dyDescent="0.2">
      <c r="A19" s="27" t="s">
        <v>718</v>
      </c>
      <c r="B19" s="27" t="s">
        <v>717</v>
      </c>
      <c r="C19" s="27" t="s">
        <v>163</v>
      </c>
      <c r="D19" s="31">
        <v>3</v>
      </c>
      <c r="E19" s="29">
        <v>37.94265</v>
      </c>
      <c r="F19" s="30">
        <v>0.71437258027363704</v>
      </c>
      <c r="G19" s="29">
        <v>4.5250000000000004</v>
      </c>
    </row>
    <row r="20" spans="1:9" x14ac:dyDescent="0.2">
      <c r="A20" s="27" t="s">
        <v>729</v>
      </c>
      <c r="B20" s="27" t="s">
        <v>728</v>
      </c>
      <c r="C20" s="27" t="s">
        <v>278</v>
      </c>
      <c r="D20" s="31">
        <v>3</v>
      </c>
      <c r="E20" s="29">
        <v>37.474379999999996</v>
      </c>
      <c r="F20" s="30">
        <v>0.70555613629397995</v>
      </c>
      <c r="G20" s="29">
        <v>5.5799000000000003</v>
      </c>
    </row>
    <row r="21" spans="1:9" x14ac:dyDescent="0.2">
      <c r="A21" s="27" t="s">
        <v>582</v>
      </c>
      <c r="B21" s="27" t="s">
        <v>581</v>
      </c>
      <c r="C21" s="27" t="s">
        <v>523</v>
      </c>
      <c r="D21" s="31">
        <v>2</v>
      </c>
      <c r="E21" s="29">
        <v>20.803360000000001</v>
      </c>
      <c r="F21" s="30">
        <v>0.39167928338061198</v>
      </c>
      <c r="G21" s="29">
        <v>3.7850000000000001</v>
      </c>
    </row>
    <row r="22" spans="1:9" x14ac:dyDescent="0.2">
      <c r="A22" s="27" t="s">
        <v>539</v>
      </c>
      <c r="B22" s="27" t="s">
        <v>538</v>
      </c>
      <c r="C22" s="27" t="s">
        <v>540</v>
      </c>
      <c r="D22" s="31">
        <v>1</v>
      </c>
      <c r="E22" s="29">
        <v>10.36483</v>
      </c>
      <c r="F22" s="30">
        <v>0.195145841189205</v>
      </c>
      <c r="G22" s="29">
        <v>5.5990000000000002</v>
      </c>
    </row>
    <row r="23" spans="1:9" ht="10.5" x14ac:dyDescent="0.25">
      <c r="A23" s="26" t="s">
        <v>164</v>
      </c>
      <c r="B23" s="26"/>
      <c r="C23" s="26"/>
      <c r="D23" s="32"/>
      <c r="E23" s="33">
        <f>SUM(E6:E22)</f>
        <v>4378.2588099999994</v>
      </c>
      <c r="F23" s="34">
        <f>SUM(F6:F22)</f>
        <v>82.432514418615554</v>
      </c>
      <c r="G23" s="33"/>
      <c r="H23" s="18"/>
      <c r="I23" s="18"/>
    </row>
    <row r="24" spans="1:9" x14ac:dyDescent="0.2">
      <c r="A24" s="27"/>
      <c r="B24" s="27"/>
      <c r="C24" s="27"/>
      <c r="D24" s="28"/>
      <c r="E24" s="29"/>
      <c r="F24" s="30"/>
      <c r="G24" s="29"/>
    </row>
    <row r="25" spans="1:9" ht="10.5" x14ac:dyDescent="0.25">
      <c r="A25" s="26" t="s">
        <v>165</v>
      </c>
      <c r="B25" s="27"/>
      <c r="C25" s="27"/>
      <c r="D25" s="28"/>
      <c r="E25" s="29"/>
      <c r="F25" s="30"/>
      <c r="G25" s="29"/>
    </row>
    <row r="26" spans="1:9" x14ac:dyDescent="0.2">
      <c r="A26" s="27" t="s">
        <v>749</v>
      </c>
      <c r="B26" s="27" t="s">
        <v>748</v>
      </c>
      <c r="C26" s="27" t="s">
        <v>163</v>
      </c>
      <c r="D26" s="31">
        <v>50</v>
      </c>
      <c r="E26" s="29">
        <v>522.12300000000005</v>
      </c>
      <c r="F26" s="30">
        <v>9.8303717513197402</v>
      </c>
      <c r="G26" s="29">
        <v>4.6749000000000001</v>
      </c>
    </row>
    <row r="27" spans="1:9" ht="10.5" x14ac:dyDescent="0.25">
      <c r="A27" s="26" t="s">
        <v>164</v>
      </c>
      <c r="B27" s="26"/>
      <c r="C27" s="26"/>
      <c r="D27" s="32"/>
      <c r="E27" s="33">
        <f>SUM(E25:E26)</f>
        <v>522.12300000000005</v>
      </c>
      <c r="F27" s="34">
        <f>SUM(F25:F26)</f>
        <v>9.8303717513197402</v>
      </c>
      <c r="G27" s="33"/>
      <c r="H27" s="18"/>
      <c r="I27" s="18"/>
    </row>
    <row r="28" spans="1:9" x14ac:dyDescent="0.2">
      <c r="A28" s="27"/>
      <c r="B28" s="27"/>
      <c r="C28" s="27"/>
      <c r="D28" s="28"/>
      <c r="E28" s="29"/>
      <c r="F28" s="30"/>
      <c r="G28" s="29"/>
    </row>
    <row r="29" spans="1:9" ht="10.5" x14ac:dyDescent="0.25">
      <c r="A29" s="26" t="s">
        <v>176</v>
      </c>
      <c r="B29" s="26"/>
      <c r="C29" s="26"/>
      <c r="D29" s="32"/>
      <c r="E29" s="33">
        <f>E23+E27</f>
        <v>4900.3818099999989</v>
      </c>
      <c r="F29" s="34">
        <f>F23+F27</f>
        <v>92.2628861699353</v>
      </c>
      <c r="G29" s="33"/>
      <c r="H29" s="18"/>
      <c r="I29" s="18"/>
    </row>
    <row r="30" spans="1:9" ht="10.5" x14ac:dyDescent="0.25">
      <c r="A30" s="26"/>
      <c r="B30" s="26"/>
      <c r="C30" s="26"/>
      <c r="D30" s="32"/>
      <c r="E30" s="33"/>
      <c r="F30" s="34"/>
      <c r="G30" s="33"/>
      <c r="H30" s="18"/>
      <c r="I30" s="18"/>
    </row>
    <row r="31" spans="1:9" ht="10.5" x14ac:dyDescent="0.25">
      <c r="A31" s="26" t="s">
        <v>178</v>
      </c>
      <c r="B31" s="26"/>
      <c r="C31" s="26"/>
      <c r="D31" s="32"/>
      <c r="E31" s="33">
        <f>E33-(E23+E27)</f>
        <v>410.94326710000132</v>
      </c>
      <c r="F31" s="34">
        <f>F33-(F23+F27)</f>
        <v>7.7371138300647004</v>
      </c>
      <c r="G31" s="33"/>
      <c r="H31" s="18"/>
      <c r="I31" s="18"/>
    </row>
    <row r="32" spans="1:9" ht="10.5" x14ac:dyDescent="0.25">
      <c r="A32" s="26"/>
      <c r="B32" s="26"/>
      <c r="C32" s="26"/>
      <c r="D32" s="32"/>
      <c r="E32" s="33"/>
      <c r="F32" s="34"/>
      <c r="G32" s="33"/>
      <c r="H32" s="18"/>
      <c r="I32" s="18"/>
    </row>
    <row r="33" spans="1:9" ht="10.5" x14ac:dyDescent="0.25">
      <c r="A33" s="35" t="s">
        <v>177</v>
      </c>
      <c r="B33" s="35"/>
      <c r="C33" s="35"/>
      <c r="D33" s="36"/>
      <c r="E33" s="37">
        <v>5311.3250771000003</v>
      </c>
      <c r="F33" s="38">
        <v>100</v>
      </c>
      <c r="G33" s="37"/>
      <c r="H33" s="18"/>
      <c r="I33" s="18"/>
    </row>
    <row r="35" spans="1:9" ht="10.5" x14ac:dyDescent="0.25">
      <c r="A35" s="18" t="s">
        <v>180</v>
      </c>
    </row>
    <row r="37" spans="1:9" ht="10.5" x14ac:dyDescent="0.25">
      <c r="A37" s="18" t="s">
        <v>181</v>
      </c>
    </row>
    <row r="38" spans="1:9" ht="10.5" x14ac:dyDescent="0.25">
      <c r="A38" s="18" t="s">
        <v>182</v>
      </c>
    </row>
    <row r="39" spans="1:9" ht="10.5" x14ac:dyDescent="0.25">
      <c r="A39" s="18" t="s">
        <v>183</v>
      </c>
      <c r="B39" s="18"/>
      <c r="C39" s="39" t="s">
        <v>185</v>
      </c>
      <c r="D39" s="19" t="s">
        <v>184</v>
      </c>
    </row>
    <row r="40" spans="1:9" x14ac:dyDescent="0.2">
      <c r="A40" s="9" t="s">
        <v>421</v>
      </c>
      <c r="C40" s="40">
        <v>11.788500000000001</v>
      </c>
      <c r="D40" s="40">
        <v>12.43</v>
      </c>
    </row>
    <row r="41" spans="1:9" x14ac:dyDescent="0.2">
      <c r="A41" s="9" t="s">
        <v>723</v>
      </c>
      <c r="C41" s="40">
        <v>10.985099999999999</v>
      </c>
      <c r="D41" s="40">
        <v>10.688700000000001</v>
      </c>
    </row>
    <row r="42" spans="1:9" x14ac:dyDescent="0.2">
      <c r="A42" s="9" t="s">
        <v>423</v>
      </c>
      <c r="C42" s="40">
        <v>10.529500000000001</v>
      </c>
      <c r="D42" s="40">
        <v>10.667199999999999</v>
      </c>
    </row>
    <row r="43" spans="1:9" x14ac:dyDescent="0.2">
      <c r="A43" s="9" t="s">
        <v>424</v>
      </c>
      <c r="C43" s="40">
        <v>11.9131</v>
      </c>
      <c r="D43" s="40">
        <v>12.561299999999999</v>
      </c>
    </row>
    <row r="44" spans="1:9" x14ac:dyDescent="0.2">
      <c r="A44" s="9" t="s">
        <v>459</v>
      </c>
      <c r="C44" s="40">
        <v>11.001300000000001</v>
      </c>
      <c r="D44" s="40">
        <v>10.704000000000001</v>
      </c>
    </row>
    <row r="45" spans="1:9" x14ac:dyDescent="0.2">
      <c r="A45" s="9" t="s">
        <v>426</v>
      </c>
      <c r="C45" s="40">
        <v>10.5557</v>
      </c>
      <c r="D45" s="40">
        <v>10.694100000000001</v>
      </c>
    </row>
    <row r="47" spans="1:9" ht="10.5" x14ac:dyDescent="0.25">
      <c r="A47" s="18" t="s">
        <v>197</v>
      </c>
    </row>
    <row r="48" spans="1:9" ht="10.5" x14ac:dyDescent="0.25">
      <c r="A48" s="73" t="s">
        <v>403</v>
      </c>
      <c r="B48" s="74"/>
      <c r="C48" s="45" t="s">
        <v>404</v>
      </c>
    </row>
    <row r="49" spans="1:5" x14ac:dyDescent="0.2">
      <c r="A49" s="69" t="s">
        <v>723</v>
      </c>
      <c r="B49" s="70"/>
      <c r="C49" s="46">
        <v>0.89</v>
      </c>
    </row>
    <row r="50" spans="1:5" x14ac:dyDescent="0.2">
      <c r="A50" s="69" t="s">
        <v>423</v>
      </c>
      <c r="B50" s="70"/>
      <c r="C50" s="46">
        <v>0.43</v>
      </c>
    </row>
    <row r="51" spans="1:5" x14ac:dyDescent="0.2">
      <c r="A51" s="69" t="s">
        <v>459</v>
      </c>
      <c r="B51" s="70"/>
      <c r="C51" s="46">
        <v>0.89</v>
      </c>
    </row>
    <row r="52" spans="1:5" x14ac:dyDescent="0.2">
      <c r="A52" s="69" t="s">
        <v>426</v>
      </c>
      <c r="B52" s="70"/>
      <c r="C52" s="46">
        <v>0.43</v>
      </c>
    </row>
    <row r="53" spans="1:5" x14ac:dyDescent="0.2">
      <c r="A53" s="9" t="s">
        <v>405</v>
      </c>
    </row>
    <row r="55" spans="1:5" ht="10.5" x14ac:dyDescent="0.25">
      <c r="A55" s="18" t="s">
        <v>199</v>
      </c>
      <c r="D55" s="42">
        <v>1.1087147802739701</v>
      </c>
      <c r="E55" s="13" t="s">
        <v>200</v>
      </c>
    </row>
    <row r="57" spans="1:5" ht="10.5" x14ac:dyDescent="0.25">
      <c r="A57" s="18" t="s">
        <v>201</v>
      </c>
      <c r="D57" s="41" t="s">
        <v>198</v>
      </c>
    </row>
  </sheetData>
  <mergeCells count="6">
    <mergeCell ref="A52:B52"/>
    <mergeCell ref="A1:G1"/>
    <mergeCell ref="A48:B48"/>
    <mergeCell ref="A49:B49"/>
    <mergeCell ref="A50:B50"/>
    <mergeCell ref="A51:B51"/>
  </mergeCells>
  <conditionalFormatting sqref="F2:F3 F5:F65536">
    <cfRule type="cellIs" dxfId="4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I57"/>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29</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596</v>
      </c>
      <c r="B7" s="27" t="s">
        <v>595</v>
      </c>
      <c r="C7" s="27" t="s">
        <v>523</v>
      </c>
      <c r="D7" s="31">
        <v>31</v>
      </c>
      <c r="E7" s="29">
        <v>321.58501000000001</v>
      </c>
      <c r="F7" s="30">
        <v>9.9246197594863403</v>
      </c>
      <c r="G7" s="29">
        <v>3.5049999999999999</v>
      </c>
    </row>
    <row r="8" spans="1:7" x14ac:dyDescent="0.2">
      <c r="A8" s="27" t="s">
        <v>590</v>
      </c>
      <c r="B8" s="27" t="s">
        <v>589</v>
      </c>
      <c r="C8" s="27" t="s">
        <v>163</v>
      </c>
      <c r="D8" s="31">
        <v>31</v>
      </c>
      <c r="E8" s="29">
        <v>318.01474000000002</v>
      </c>
      <c r="F8" s="30">
        <v>9.8144356057264908</v>
      </c>
      <c r="G8" s="29">
        <v>3.71</v>
      </c>
    </row>
    <row r="9" spans="1:7" x14ac:dyDescent="0.2">
      <c r="A9" s="27" t="s">
        <v>751</v>
      </c>
      <c r="B9" s="27" t="s">
        <v>750</v>
      </c>
      <c r="C9" s="27" t="s">
        <v>163</v>
      </c>
      <c r="D9" s="31">
        <v>31</v>
      </c>
      <c r="E9" s="29">
        <v>317.55067000000003</v>
      </c>
      <c r="F9" s="30">
        <v>9.8001136748262194</v>
      </c>
      <c r="G9" s="29">
        <v>3.5251000000000001</v>
      </c>
    </row>
    <row r="10" spans="1:7" x14ac:dyDescent="0.2">
      <c r="A10" s="27" t="s">
        <v>162</v>
      </c>
      <c r="B10" s="27" t="s">
        <v>161</v>
      </c>
      <c r="C10" s="27" t="s">
        <v>163</v>
      </c>
      <c r="D10" s="31">
        <v>30</v>
      </c>
      <c r="E10" s="29">
        <v>313.39980000000003</v>
      </c>
      <c r="F10" s="30">
        <v>9.6720112908840701</v>
      </c>
      <c r="G10" s="29">
        <v>3.8650000000000002</v>
      </c>
    </row>
    <row r="11" spans="1:7" x14ac:dyDescent="0.2">
      <c r="A11" s="27" t="s">
        <v>522</v>
      </c>
      <c r="B11" s="27" t="s">
        <v>521</v>
      </c>
      <c r="C11" s="27" t="s">
        <v>523</v>
      </c>
      <c r="D11" s="31">
        <v>26</v>
      </c>
      <c r="E11" s="29">
        <v>269.09142000000003</v>
      </c>
      <c r="F11" s="30">
        <v>8.3045849184333491</v>
      </c>
      <c r="G11" s="29">
        <v>4.6273999999999997</v>
      </c>
    </row>
    <row r="12" spans="1:7" x14ac:dyDescent="0.2">
      <c r="A12" s="27" t="s">
        <v>282</v>
      </c>
      <c r="B12" s="27" t="s">
        <v>281</v>
      </c>
      <c r="C12" s="27" t="s">
        <v>163</v>
      </c>
      <c r="D12" s="31">
        <v>22</v>
      </c>
      <c r="E12" s="29">
        <v>225.77037999999999</v>
      </c>
      <c r="F12" s="30">
        <v>6.9676294129963896</v>
      </c>
      <c r="G12" s="29">
        <v>3.7850000000000001</v>
      </c>
    </row>
    <row r="13" spans="1:7" x14ac:dyDescent="0.2">
      <c r="A13" s="27" t="s">
        <v>580</v>
      </c>
      <c r="B13" s="27" t="s">
        <v>579</v>
      </c>
      <c r="C13" s="27" t="s">
        <v>523</v>
      </c>
      <c r="D13" s="31">
        <v>16</v>
      </c>
      <c r="E13" s="29">
        <v>201.21360000000001</v>
      </c>
      <c r="F13" s="30">
        <v>6.2097685163788601</v>
      </c>
      <c r="G13" s="29">
        <v>5.17</v>
      </c>
    </row>
    <row r="14" spans="1:7" x14ac:dyDescent="0.2">
      <c r="A14" s="27" t="s">
        <v>753</v>
      </c>
      <c r="B14" s="27" t="s">
        <v>752</v>
      </c>
      <c r="C14" s="27" t="s">
        <v>523</v>
      </c>
      <c r="D14" s="31">
        <v>19</v>
      </c>
      <c r="E14" s="29">
        <v>196.17956000000001</v>
      </c>
      <c r="F14" s="30">
        <v>6.0544101156435604</v>
      </c>
      <c r="G14" s="29">
        <v>3.5398999999999998</v>
      </c>
    </row>
    <row r="15" spans="1:7" x14ac:dyDescent="0.2">
      <c r="A15" s="27" t="s">
        <v>755</v>
      </c>
      <c r="B15" s="27" t="s">
        <v>754</v>
      </c>
      <c r="C15" s="27" t="s">
        <v>163</v>
      </c>
      <c r="D15" s="31">
        <v>19</v>
      </c>
      <c r="E15" s="29">
        <v>195.94244</v>
      </c>
      <c r="F15" s="30">
        <v>6.0470922190868501</v>
      </c>
      <c r="G15" s="29">
        <v>3.56</v>
      </c>
    </row>
    <row r="16" spans="1:7" x14ac:dyDescent="0.2">
      <c r="A16" s="27" t="s">
        <v>757</v>
      </c>
      <c r="B16" s="27" t="s">
        <v>756</v>
      </c>
      <c r="C16" s="27" t="s">
        <v>163</v>
      </c>
      <c r="D16" s="31">
        <v>20</v>
      </c>
      <c r="E16" s="29">
        <v>194.23519999999999</v>
      </c>
      <c r="F16" s="30">
        <v>5.9944041045563097</v>
      </c>
      <c r="G16" s="29">
        <v>3.9249999999999998</v>
      </c>
    </row>
    <row r="17" spans="1:9" x14ac:dyDescent="0.2">
      <c r="A17" s="27" t="s">
        <v>759</v>
      </c>
      <c r="B17" s="27" t="s">
        <v>758</v>
      </c>
      <c r="C17" s="27" t="s">
        <v>163</v>
      </c>
      <c r="D17" s="31">
        <v>16</v>
      </c>
      <c r="E17" s="29">
        <v>162.63839999999999</v>
      </c>
      <c r="F17" s="30">
        <v>5.0192771058926002</v>
      </c>
      <c r="G17" s="29">
        <v>3.53</v>
      </c>
    </row>
    <row r="18" spans="1:9" x14ac:dyDescent="0.2">
      <c r="A18" s="27" t="s">
        <v>525</v>
      </c>
      <c r="B18" s="27" t="s">
        <v>524</v>
      </c>
      <c r="C18" s="27" t="s">
        <v>163</v>
      </c>
      <c r="D18" s="31">
        <v>1</v>
      </c>
      <c r="E18" s="29">
        <v>101.39230000000001</v>
      </c>
      <c r="F18" s="30">
        <v>3.1291260249965198</v>
      </c>
      <c r="G18" s="29">
        <v>3.2050999999999998</v>
      </c>
    </row>
    <row r="19" spans="1:9" x14ac:dyDescent="0.2">
      <c r="A19" s="27" t="s">
        <v>761</v>
      </c>
      <c r="B19" s="27" t="s">
        <v>760</v>
      </c>
      <c r="C19" s="27" t="s">
        <v>278</v>
      </c>
      <c r="D19" s="31">
        <v>7</v>
      </c>
      <c r="E19" s="29">
        <v>87.278310000000005</v>
      </c>
      <c r="F19" s="30">
        <v>2.6935460704482899</v>
      </c>
      <c r="G19" s="29">
        <v>4.7999000000000001</v>
      </c>
    </row>
    <row r="20" spans="1:9" ht="10.5" x14ac:dyDescent="0.25">
      <c r="A20" s="26" t="s">
        <v>164</v>
      </c>
      <c r="B20" s="26"/>
      <c r="C20" s="26"/>
      <c r="D20" s="32"/>
      <c r="E20" s="33">
        <f>SUM(E6:E19)</f>
        <v>2904.2918299999997</v>
      </c>
      <c r="F20" s="34">
        <f>SUM(F6:F19)</f>
        <v>89.631018819355845</v>
      </c>
      <c r="G20" s="33"/>
      <c r="H20" s="18"/>
      <c r="I20" s="18"/>
    </row>
    <row r="21" spans="1:9" x14ac:dyDescent="0.2">
      <c r="A21" s="27"/>
      <c r="B21" s="27"/>
      <c r="C21" s="27"/>
      <c r="D21" s="28"/>
      <c r="E21" s="29"/>
      <c r="F21" s="30"/>
      <c r="G21" s="29"/>
    </row>
    <row r="22" spans="1:9" ht="10.5" x14ac:dyDescent="0.25">
      <c r="A22" s="26" t="s">
        <v>165</v>
      </c>
      <c r="B22" s="27"/>
      <c r="C22" s="27"/>
      <c r="D22" s="28"/>
      <c r="E22" s="29"/>
      <c r="F22" s="30"/>
      <c r="G22" s="29"/>
    </row>
    <row r="23" spans="1:9" x14ac:dyDescent="0.2">
      <c r="A23" s="27" t="s">
        <v>306</v>
      </c>
      <c r="B23" s="27" t="s">
        <v>305</v>
      </c>
      <c r="C23" s="27" t="s">
        <v>163</v>
      </c>
      <c r="D23" s="31">
        <v>3</v>
      </c>
      <c r="E23" s="29">
        <v>30.821999999999999</v>
      </c>
      <c r="F23" s="30">
        <v>0.95121545070427205</v>
      </c>
      <c r="G23" s="29">
        <v>4.2849000000000004</v>
      </c>
    </row>
    <row r="24" spans="1:9" ht="10.5" x14ac:dyDescent="0.25">
      <c r="A24" s="26" t="s">
        <v>164</v>
      </c>
      <c r="B24" s="26"/>
      <c r="C24" s="26"/>
      <c r="D24" s="32"/>
      <c r="E24" s="33">
        <f>SUM(E22:E23)</f>
        <v>30.821999999999999</v>
      </c>
      <c r="F24" s="34">
        <f>SUM(F22:F23)</f>
        <v>0.95121545070427205</v>
      </c>
      <c r="G24" s="33"/>
      <c r="H24" s="18"/>
      <c r="I24" s="18"/>
    </row>
    <row r="25" spans="1:9" x14ac:dyDescent="0.2">
      <c r="A25" s="27"/>
      <c r="B25" s="27"/>
      <c r="C25" s="27"/>
      <c r="D25" s="28"/>
      <c r="E25" s="29"/>
      <c r="F25" s="30"/>
      <c r="G25" s="29"/>
    </row>
    <row r="26" spans="1:9" ht="10.5" x14ac:dyDescent="0.25">
      <c r="A26" s="26" t="s">
        <v>352</v>
      </c>
      <c r="B26" s="27"/>
      <c r="C26" s="27"/>
      <c r="D26" s="28"/>
      <c r="E26" s="29"/>
      <c r="F26" s="30"/>
      <c r="G26" s="29"/>
    </row>
    <row r="27" spans="1:9" ht="10.5" x14ac:dyDescent="0.25">
      <c r="A27" s="26" t="s">
        <v>353</v>
      </c>
      <c r="B27" s="27"/>
      <c r="C27" s="27"/>
      <c r="D27" s="28"/>
      <c r="E27" s="29"/>
      <c r="F27" s="30"/>
      <c r="G27" s="29"/>
    </row>
    <row r="28" spans="1:9" x14ac:dyDescent="0.2">
      <c r="A28" s="27" t="s">
        <v>363</v>
      </c>
      <c r="B28" s="27" t="s">
        <v>362</v>
      </c>
      <c r="C28" s="27" t="s">
        <v>359</v>
      </c>
      <c r="D28" s="31">
        <v>16</v>
      </c>
      <c r="E28" s="29">
        <v>15.870528</v>
      </c>
      <c r="F28" s="30">
        <v>0.48978948298081798</v>
      </c>
      <c r="G28" s="29">
        <v>3.07</v>
      </c>
    </row>
    <row r="29" spans="1:9" ht="10.5" x14ac:dyDescent="0.25">
      <c r="A29" s="26" t="s">
        <v>164</v>
      </c>
      <c r="B29" s="26"/>
      <c r="C29" s="26"/>
      <c r="D29" s="32"/>
      <c r="E29" s="33">
        <f>SUM(E27:E28)</f>
        <v>15.870528</v>
      </c>
      <c r="F29" s="34">
        <f>SUM(F27:F28)</f>
        <v>0.48978948298081798</v>
      </c>
      <c r="G29" s="33"/>
      <c r="H29" s="18"/>
      <c r="I29" s="18"/>
    </row>
    <row r="30" spans="1:9" x14ac:dyDescent="0.2">
      <c r="A30" s="27"/>
      <c r="B30" s="27"/>
      <c r="C30" s="27"/>
      <c r="D30" s="28"/>
      <c r="E30" s="29"/>
      <c r="F30" s="30"/>
      <c r="G30" s="29"/>
    </row>
    <row r="31" spans="1:9" ht="10.5" x14ac:dyDescent="0.25">
      <c r="A31" s="26" t="s">
        <v>176</v>
      </c>
      <c r="B31" s="26"/>
      <c r="C31" s="26"/>
      <c r="D31" s="32"/>
      <c r="E31" s="33">
        <f>E20+E24+E29</f>
        <v>2950.9843579999997</v>
      </c>
      <c r="F31" s="34">
        <f>F20+F24+F29</f>
        <v>91.072023753040924</v>
      </c>
      <c r="G31" s="33"/>
      <c r="H31" s="18"/>
      <c r="I31" s="18"/>
    </row>
    <row r="32" spans="1:9" ht="10.5" x14ac:dyDescent="0.25">
      <c r="A32" s="26"/>
      <c r="B32" s="26"/>
      <c r="C32" s="26"/>
      <c r="D32" s="32"/>
      <c r="E32" s="33"/>
      <c r="F32" s="34"/>
      <c r="G32" s="33"/>
      <c r="H32" s="18"/>
      <c r="I32" s="18"/>
    </row>
    <row r="33" spans="1:9" ht="10.5" x14ac:dyDescent="0.25">
      <c r="A33" s="26" t="s">
        <v>178</v>
      </c>
      <c r="B33" s="26"/>
      <c r="C33" s="26"/>
      <c r="D33" s="32"/>
      <c r="E33" s="33">
        <f>E35-(E20+E24+E29)</f>
        <v>289.29101570000012</v>
      </c>
      <c r="F33" s="34">
        <f>F35-(F20+F24+F29)</f>
        <v>8.9279762469590764</v>
      </c>
      <c r="G33" s="33"/>
      <c r="H33" s="18"/>
      <c r="I33" s="18"/>
    </row>
    <row r="34" spans="1:9" ht="10.5" x14ac:dyDescent="0.25">
      <c r="A34" s="26"/>
      <c r="B34" s="26"/>
      <c r="C34" s="26"/>
      <c r="D34" s="32"/>
      <c r="E34" s="33"/>
      <c r="F34" s="34"/>
      <c r="G34" s="33"/>
      <c r="H34" s="18"/>
      <c r="I34" s="18"/>
    </row>
    <row r="35" spans="1:9" ht="10.5" x14ac:dyDescent="0.25">
      <c r="A35" s="35" t="s">
        <v>177</v>
      </c>
      <c r="B35" s="35"/>
      <c r="C35" s="35"/>
      <c r="D35" s="36"/>
      <c r="E35" s="37">
        <v>3240.2753736999998</v>
      </c>
      <c r="F35" s="38">
        <v>100</v>
      </c>
      <c r="G35" s="37"/>
      <c r="H35" s="18"/>
      <c r="I35" s="18"/>
    </row>
    <row r="37" spans="1:9" ht="10.5" x14ac:dyDescent="0.25">
      <c r="A37" s="18" t="s">
        <v>180</v>
      </c>
    </row>
    <row r="39" spans="1:9" ht="10.5" x14ac:dyDescent="0.25">
      <c r="A39" s="18" t="s">
        <v>181</v>
      </c>
    </row>
    <row r="40" spans="1:9" ht="10.5" x14ac:dyDescent="0.25">
      <c r="A40" s="18" t="s">
        <v>182</v>
      </c>
    </row>
    <row r="41" spans="1:9" ht="10.5" x14ac:dyDescent="0.25">
      <c r="A41" s="18" t="s">
        <v>183</v>
      </c>
      <c r="B41" s="18"/>
      <c r="C41" s="39" t="s">
        <v>185</v>
      </c>
      <c r="D41" s="19" t="s">
        <v>184</v>
      </c>
    </row>
    <row r="42" spans="1:9" x14ac:dyDescent="0.2">
      <c r="A42" s="9" t="s">
        <v>421</v>
      </c>
      <c r="C42" s="40">
        <v>11.822900000000001</v>
      </c>
      <c r="D42" s="40">
        <v>12.287000000000001</v>
      </c>
    </row>
    <row r="43" spans="1:9" x14ac:dyDescent="0.2">
      <c r="A43" s="9" t="s">
        <v>723</v>
      </c>
      <c r="C43" s="40">
        <v>11.046099999999999</v>
      </c>
      <c r="D43" s="40">
        <v>10.5741</v>
      </c>
    </row>
    <row r="44" spans="1:9" x14ac:dyDescent="0.2">
      <c r="A44" s="9" t="s">
        <v>423</v>
      </c>
      <c r="C44" s="40">
        <v>10.5685</v>
      </c>
      <c r="D44" s="40">
        <v>10.565200000000001</v>
      </c>
    </row>
    <row r="45" spans="1:9" x14ac:dyDescent="0.2">
      <c r="A45" s="9" t="s">
        <v>424</v>
      </c>
      <c r="C45" s="40">
        <v>11.9413</v>
      </c>
      <c r="D45" s="40">
        <v>12.4101</v>
      </c>
    </row>
    <row r="46" spans="1:9" x14ac:dyDescent="0.2">
      <c r="A46" s="9" t="s">
        <v>426</v>
      </c>
      <c r="C46" s="40">
        <v>10.683999999999999</v>
      </c>
      <c r="D46" s="40">
        <v>10.6852</v>
      </c>
    </row>
    <row r="48" spans="1:9" ht="10.5" x14ac:dyDescent="0.25">
      <c r="A48" s="18" t="s">
        <v>197</v>
      </c>
    </row>
    <row r="49" spans="1:5" ht="10.5" x14ac:dyDescent="0.25">
      <c r="A49" s="73" t="s">
        <v>403</v>
      </c>
      <c r="B49" s="74"/>
      <c r="C49" s="45" t="s">
        <v>404</v>
      </c>
    </row>
    <row r="50" spans="1:5" x14ac:dyDescent="0.2">
      <c r="A50" s="69" t="s">
        <v>723</v>
      </c>
      <c r="B50" s="70"/>
      <c r="C50" s="46">
        <v>0.89500000000000002</v>
      </c>
    </row>
    <row r="51" spans="1:5" x14ac:dyDescent="0.2">
      <c r="A51" s="69" t="s">
        <v>423</v>
      </c>
      <c r="B51" s="70"/>
      <c r="C51" s="46">
        <v>0.41</v>
      </c>
    </row>
    <row r="52" spans="1:5" x14ac:dyDescent="0.2">
      <c r="A52" s="69" t="s">
        <v>426</v>
      </c>
      <c r="B52" s="70"/>
      <c r="C52" s="46">
        <v>0.41</v>
      </c>
    </row>
    <row r="53" spans="1:5" x14ac:dyDescent="0.2">
      <c r="A53" s="9" t="s">
        <v>405</v>
      </c>
    </row>
    <row r="55" spans="1:5" ht="10.5" x14ac:dyDescent="0.25">
      <c r="A55" s="18" t="s">
        <v>199</v>
      </c>
      <c r="D55" s="42">
        <v>0.58473906572602696</v>
      </c>
      <c r="E55" s="13" t="s">
        <v>200</v>
      </c>
    </row>
    <row r="57" spans="1:5" ht="10.5" x14ac:dyDescent="0.25">
      <c r="A57" s="18" t="s">
        <v>201</v>
      </c>
      <c r="D57" s="41" t="s">
        <v>198</v>
      </c>
    </row>
  </sheetData>
  <mergeCells count="5">
    <mergeCell ref="A1:G1"/>
    <mergeCell ref="A49:B49"/>
    <mergeCell ref="A50:B50"/>
    <mergeCell ref="A51:B51"/>
    <mergeCell ref="A52:B52"/>
  </mergeCells>
  <conditionalFormatting sqref="F2:F3 F5:F65536">
    <cfRule type="cellIs" dxfId="4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I53"/>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30</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590</v>
      </c>
      <c r="B7" s="27" t="s">
        <v>589</v>
      </c>
      <c r="C7" s="27" t="s">
        <v>163</v>
      </c>
      <c r="D7" s="31">
        <v>44</v>
      </c>
      <c r="E7" s="29">
        <v>451.37576000000001</v>
      </c>
      <c r="F7" s="30">
        <v>11.1829608510693</v>
      </c>
      <c r="G7" s="29">
        <v>3.71</v>
      </c>
    </row>
    <row r="8" spans="1:7" x14ac:dyDescent="0.2">
      <c r="A8" s="27" t="s">
        <v>753</v>
      </c>
      <c r="B8" s="27" t="s">
        <v>752</v>
      </c>
      <c r="C8" s="27" t="s">
        <v>523</v>
      </c>
      <c r="D8" s="31">
        <v>41</v>
      </c>
      <c r="E8" s="29">
        <v>423.33483999999999</v>
      </c>
      <c r="F8" s="30">
        <v>10.4882392058751</v>
      </c>
      <c r="G8" s="29">
        <v>3.5398999999999998</v>
      </c>
    </row>
    <row r="9" spans="1:7" x14ac:dyDescent="0.2">
      <c r="A9" s="27" t="s">
        <v>755</v>
      </c>
      <c r="B9" s="27" t="s">
        <v>754</v>
      </c>
      <c r="C9" s="27" t="s">
        <v>163</v>
      </c>
      <c r="D9" s="31">
        <v>41</v>
      </c>
      <c r="E9" s="29">
        <v>422.82315999999997</v>
      </c>
      <c r="F9" s="30">
        <v>10.475562190591299</v>
      </c>
      <c r="G9" s="29">
        <v>3.56</v>
      </c>
    </row>
    <row r="10" spans="1:7" x14ac:dyDescent="0.2">
      <c r="A10" s="27" t="s">
        <v>162</v>
      </c>
      <c r="B10" s="27" t="s">
        <v>161</v>
      </c>
      <c r="C10" s="27" t="s">
        <v>163</v>
      </c>
      <c r="D10" s="31">
        <v>40</v>
      </c>
      <c r="E10" s="29">
        <v>417.8664</v>
      </c>
      <c r="F10" s="30">
        <v>10.3527570735683</v>
      </c>
      <c r="G10" s="29">
        <v>3.8650000000000002</v>
      </c>
    </row>
    <row r="11" spans="1:7" x14ac:dyDescent="0.2">
      <c r="A11" s="27" t="s">
        <v>757</v>
      </c>
      <c r="B11" s="27" t="s">
        <v>756</v>
      </c>
      <c r="C11" s="27" t="s">
        <v>163</v>
      </c>
      <c r="D11" s="31">
        <v>33</v>
      </c>
      <c r="E11" s="29">
        <v>320.48808000000002</v>
      </c>
      <c r="F11" s="30">
        <v>7.9401819270807801</v>
      </c>
      <c r="G11" s="29">
        <v>3.9249999999999998</v>
      </c>
    </row>
    <row r="12" spans="1:7" x14ac:dyDescent="0.2">
      <c r="A12" s="27" t="s">
        <v>282</v>
      </c>
      <c r="B12" s="27" t="s">
        <v>281</v>
      </c>
      <c r="C12" s="27" t="s">
        <v>163</v>
      </c>
      <c r="D12" s="31">
        <v>30</v>
      </c>
      <c r="E12" s="29">
        <v>307.86869999999999</v>
      </c>
      <c r="F12" s="30">
        <v>7.6275332538229001</v>
      </c>
      <c r="G12" s="29">
        <v>3.7850000000000001</v>
      </c>
    </row>
    <row r="13" spans="1:7" x14ac:dyDescent="0.2">
      <c r="A13" s="27" t="s">
        <v>763</v>
      </c>
      <c r="B13" s="27" t="s">
        <v>762</v>
      </c>
      <c r="C13" s="27" t="s">
        <v>163</v>
      </c>
      <c r="D13" s="31">
        <v>26</v>
      </c>
      <c r="E13" s="29">
        <v>265.28163999999998</v>
      </c>
      <c r="F13" s="30">
        <v>6.5724269168274496</v>
      </c>
      <c r="G13" s="29">
        <v>3.9550000000000001</v>
      </c>
    </row>
    <row r="14" spans="1:7" x14ac:dyDescent="0.2">
      <c r="A14" s="27" t="s">
        <v>143</v>
      </c>
      <c r="B14" s="27" t="s">
        <v>142</v>
      </c>
      <c r="C14" s="27" t="s">
        <v>132</v>
      </c>
      <c r="D14" s="31">
        <v>26000</v>
      </c>
      <c r="E14" s="29">
        <v>258.60198000000003</v>
      </c>
      <c r="F14" s="30">
        <v>6.4069364698472002</v>
      </c>
      <c r="G14" s="29">
        <v>9.6849000000000007</v>
      </c>
    </row>
    <row r="15" spans="1:7" x14ac:dyDescent="0.2">
      <c r="A15" s="27" t="s">
        <v>525</v>
      </c>
      <c r="B15" s="27" t="s">
        <v>524</v>
      </c>
      <c r="C15" s="27" t="s">
        <v>163</v>
      </c>
      <c r="D15" s="31">
        <v>2</v>
      </c>
      <c r="E15" s="29">
        <v>202.78460000000001</v>
      </c>
      <c r="F15" s="30">
        <v>5.0240452500146198</v>
      </c>
      <c r="G15" s="29">
        <v>3.2050999999999998</v>
      </c>
    </row>
    <row r="16" spans="1:7" x14ac:dyDescent="0.2">
      <c r="A16" s="27" t="s">
        <v>600</v>
      </c>
      <c r="B16" s="27" t="s">
        <v>599</v>
      </c>
      <c r="C16" s="27" t="s">
        <v>523</v>
      </c>
      <c r="D16" s="31">
        <v>150</v>
      </c>
      <c r="E16" s="29">
        <v>154.48245</v>
      </c>
      <c r="F16" s="30">
        <v>3.8273459578938498</v>
      </c>
      <c r="G16" s="29">
        <v>3.4998999999999998</v>
      </c>
    </row>
    <row r="17" spans="1:9" ht="10.5" x14ac:dyDescent="0.25">
      <c r="A17" s="26" t="s">
        <v>164</v>
      </c>
      <c r="B17" s="26"/>
      <c r="C17" s="26"/>
      <c r="D17" s="32"/>
      <c r="E17" s="33">
        <f>SUM(E6:E16)</f>
        <v>3224.9076100000002</v>
      </c>
      <c r="F17" s="34">
        <f>SUM(F6:F16)</f>
        <v>79.897989096590806</v>
      </c>
      <c r="G17" s="33"/>
      <c r="H17" s="18"/>
      <c r="I17" s="18"/>
    </row>
    <row r="18" spans="1:9" x14ac:dyDescent="0.2">
      <c r="A18" s="27"/>
      <c r="B18" s="27"/>
      <c r="C18" s="27"/>
      <c r="D18" s="28"/>
      <c r="E18" s="29"/>
      <c r="F18" s="30"/>
      <c r="G18" s="29"/>
    </row>
    <row r="19" spans="1:9" ht="10.5" x14ac:dyDescent="0.25">
      <c r="A19" s="26" t="s">
        <v>165</v>
      </c>
      <c r="B19" s="27"/>
      <c r="C19" s="27"/>
      <c r="D19" s="28"/>
      <c r="E19" s="29"/>
      <c r="F19" s="30"/>
      <c r="G19" s="29"/>
    </row>
    <row r="20" spans="1:9" x14ac:dyDescent="0.2">
      <c r="A20" s="27" t="s">
        <v>306</v>
      </c>
      <c r="B20" s="27" t="s">
        <v>305</v>
      </c>
      <c r="C20" s="27" t="s">
        <v>163</v>
      </c>
      <c r="D20" s="31">
        <v>34</v>
      </c>
      <c r="E20" s="29">
        <v>349.31599999999997</v>
      </c>
      <c r="F20" s="30">
        <v>8.6544017176556203</v>
      </c>
      <c r="G20" s="29">
        <v>4.2849000000000004</v>
      </c>
    </row>
    <row r="21" spans="1:9" x14ac:dyDescent="0.2">
      <c r="A21" s="27" t="s">
        <v>612</v>
      </c>
      <c r="B21" s="27" t="s">
        <v>611</v>
      </c>
      <c r="C21" s="27" t="s">
        <v>163</v>
      </c>
      <c r="D21" s="31">
        <v>7</v>
      </c>
      <c r="E21" s="29">
        <v>71.060779999999994</v>
      </c>
      <c r="F21" s="30">
        <v>1.76055072338498</v>
      </c>
      <c r="G21" s="29">
        <v>3.5571000000000002</v>
      </c>
    </row>
    <row r="22" spans="1:9" ht="10.5" x14ac:dyDescent="0.25">
      <c r="A22" s="26" t="s">
        <v>164</v>
      </c>
      <c r="B22" s="26"/>
      <c r="C22" s="26"/>
      <c r="D22" s="32"/>
      <c r="E22" s="33">
        <f>SUM(E19:E21)</f>
        <v>420.37677999999994</v>
      </c>
      <c r="F22" s="34">
        <f>SUM(F19:F21)</f>
        <v>10.414952441040601</v>
      </c>
      <c r="G22" s="33"/>
      <c r="H22" s="18"/>
      <c r="I22" s="18"/>
    </row>
    <row r="23" spans="1:9" x14ac:dyDescent="0.2">
      <c r="A23" s="27"/>
      <c r="B23" s="27"/>
      <c r="C23" s="27"/>
      <c r="D23" s="28"/>
      <c r="E23" s="29"/>
      <c r="F23" s="30"/>
      <c r="G23" s="29"/>
    </row>
    <row r="24" spans="1:9" ht="10.5" x14ac:dyDescent="0.25">
      <c r="A24" s="26" t="s">
        <v>352</v>
      </c>
      <c r="B24" s="27"/>
      <c r="C24" s="27"/>
      <c r="D24" s="28"/>
      <c r="E24" s="29"/>
      <c r="F24" s="30"/>
      <c r="G24" s="29"/>
    </row>
    <row r="25" spans="1:9" ht="10.5" x14ac:dyDescent="0.25">
      <c r="A25" s="26" t="s">
        <v>353</v>
      </c>
      <c r="B25" s="27"/>
      <c r="C25" s="27"/>
      <c r="D25" s="28"/>
      <c r="E25" s="29"/>
      <c r="F25" s="30"/>
      <c r="G25" s="29"/>
    </row>
    <row r="26" spans="1:9" x14ac:dyDescent="0.2">
      <c r="A26" s="27" t="s">
        <v>363</v>
      </c>
      <c r="B26" s="27" t="s">
        <v>362</v>
      </c>
      <c r="C26" s="27" t="s">
        <v>359</v>
      </c>
      <c r="D26" s="31">
        <v>33</v>
      </c>
      <c r="E26" s="29">
        <v>32.732964000000003</v>
      </c>
      <c r="F26" s="30">
        <v>0.81096834918972904</v>
      </c>
      <c r="G26" s="29">
        <v>3.07</v>
      </c>
    </row>
    <row r="27" spans="1:9" ht="10.5" x14ac:dyDescent="0.25">
      <c r="A27" s="26" t="s">
        <v>164</v>
      </c>
      <c r="B27" s="26"/>
      <c r="C27" s="26"/>
      <c r="D27" s="32"/>
      <c r="E27" s="33">
        <f>SUM(E25:E26)</f>
        <v>32.732964000000003</v>
      </c>
      <c r="F27" s="34">
        <f>SUM(F25:F26)</f>
        <v>0.81096834918972904</v>
      </c>
      <c r="G27" s="33"/>
      <c r="H27" s="18"/>
      <c r="I27" s="18"/>
    </row>
    <row r="28" spans="1:9" x14ac:dyDescent="0.2">
      <c r="A28" s="27"/>
      <c r="B28" s="27"/>
      <c r="C28" s="27"/>
      <c r="D28" s="28"/>
      <c r="E28" s="29"/>
      <c r="F28" s="30"/>
      <c r="G28" s="29"/>
    </row>
    <row r="29" spans="1:9" ht="10.5" x14ac:dyDescent="0.25">
      <c r="A29" s="26" t="s">
        <v>176</v>
      </c>
      <c r="B29" s="26"/>
      <c r="C29" s="26"/>
      <c r="D29" s="32"/>
      <c r="E29" s="33">
        <f>E17+E22+E27</f>
        <v>3678.0173540000001</v>
      </c>
      <c r="F29" s="34">
        <f>F17+F22+F27</f>
        <v>91.123909886821139</v>
      </c>
      <c r="G29" s="33"/>
      <c r="H29" s="18"/>
      <c r="I29" s="18"/>
    </row>
    <row r="30" spans="1:9" ht="10.5" x14ac:dyDescent="0.25">
      <c r="A30" s="26"/>
      <c r="B30" s="26"/>
      <c r="C30" s="26"/>
      <c r="D30" s="32"/>
      <c r="E30" s="33"/>
      <c r="F30" s="34"/>
      <c r="G30" s="33"/>
      <c r="H30" s="18"/>
      <c r="I30" s="18"/>
    </row>
    <row r="31" spans="1:9" ht="10.5" x14ac:dyDescent="0.25">
      <c r="A31" s="26" t="s">
        <v>178</v>
      </c>
      <c r="B31" s="26"/>
      <c r="C31" s="26"/>
      <c r="D31" s="32"/>
      <c r="E31" s="33">
        <f>E33-(E17+E22+E27)</f>
        <v>358.26396729999988</v>
      </c>
      <c r="F31" s="34">
        <f>F33-(F17+F22+F27)</f>
        <v>8.8760901131788614</v>
      </c>
      <c r="G31" s="33"/>
      <c r="H31" s="18"/>
      <c r="I31" s="18"/>
    </row>
    <row r="32" spans="1:9" ht="10.5" x14ac:dyDescent="0.25">
      <c r="A32" s="26"/>
      <c r="B32" s="26"/>
      <c r="C32" s="26"/>
      <c r="D32" s="32"/>
      <c r="E32" s="33"/>
      <c r="F32" s="34"/>
      <c r="G32" s="33"/>
      <c r="H32" s="18"/>
      <c r="I32" s="18"/>
    </row>
    <row r="33" spans="1:9" ht="10.5" x14ac:dyDescent="0.25">
      <c r="A33" s="35" t="s">
        <v>177</v>
      </c>
      <c r="B33" s="35"/>
      <c r="C33" s="35"/>
      <c r="D33" s="36"/>
      <c r="E33" s="37">
        <v>4036.2813212999999</v>
      </c>
      <c r="F33" s="38">
        <v>100</v>
      </c>
      <c r="G33" s="37"/>
      <c r="H33" s="18"/>
      <c r="I33" s="18"/>
    </row>
    <row r="35" spans="1:9" ht="10.5" x14ac:dyDescent="0.25">
      <c r="A35" s="18" t="s">
        <v>180</v>
      </c>
    </row>
    <row r="37" spans="1:9" ht="10.5" x14ac:dyDescent="0.25">
      <c r="A37" s="18" t="s">
        <v>181</v>
      </c>
    </row>
    <row r="38" spans="1:9" ht="10.5" x14ac:dyDescent="0.25">
      <c r="A38" s="18" t="s">
        <v>182</v>
      </c>
    </row>
    <row r="39" spans="1:9" ht="10.5" x14ac:dyDescent="0.25">
      <c r="A39" s="18" t="s">
        <v>183</v>
      </c>
      <c r="B39" s="18"/>
      <c r="C39" s="39" t="s">
        <v>185</v>
      </c>
      <c r="D39" s="19" t="s">
        <v>184</v>
      </c>
    </row>
    <row r="40" spans="1:9" x14ac:dyDescent="0.2">
      <c r="A40" s="9" t="s">
        <v>421</v>
      </c>
      <c r="C40" s="40">
        <v>11.177</v>
      </c>
      <c r="D40" s="40">
        <v>11.6668</v>
      </c>
    </row>
    <row r="41" spans="1:9" x14ac:dyDescent="0.2">
      <c r="A41" s="9" t="s">
        <v>723</v>
      </c>
      <c r="C41" s="40">
        <v>10.926500000000001</v>
      </c>
      <c r="D41" s="40">
        <v>10.5296</v>
      </c>
    </row>
    <row r="42" spans="1:9" x14ac:dyDescent="0.2">
      <c r="A42" s="9" t="s">
        <v>423</v>
      </c>
      <c r="C42" s="40">
        <v>10.4602</v>
      </c>
      <c r="D42" s="40">
        <v>10.5097</v>
      </c>
    </row>
    <row r="43" spans="1:9" x14ac:dyDescent="0.2">
      <c r="A43" s="9" t="s">
        <v>424</v>
      </c>
      <c r="C43" s="40">
        <v>11.2887</v>
      </c>
      <c r="D43" s="40">
        <v>11.783300000000001</v>
      </c>
    </row>
    <row r="45" spans="1:9" ht="10.5" x14ac:dyDescent="0.25">
      <c r="A45" s="18" t="s">
        <v>197</v>
      </c>
    </row>
    <row r="46" spans="1:9" ht="10.5" x14ac:dyDescent="0.25">
      <c r="A46" s="73" t="s">
        <v>403</v>
      </c>
      <c r="B46" s="74"/>
      <c r="C46" s="45" t="s">
        <v>404</v>
      </c>
    </row>
    <row r="47" spans="1:9" x14ac:dyDescent="0.2">
      <c r="A47" s="69" t="s">
        <v>723</v>
      </c>
      <c r="B47" s="70"/>
      <c r="C47" s="46">
        <v>0.86499999999999999</v>
      </c>
    </row>
    <row r="48" spans="1:9" x14ac:dyDescent="0.2">
      <c r="A48" s="69" t="s">
        <v>423</v>
      </c>
      <c r="B48" s="70"/>
      <c r="C48" s="46">
        <v>0.4</v>
      </c>
    </row>
    <row r="49" spans="1:5" x14ac:dyDescent="0.2">
      <c r="A49" s="9" t="s">
        <v>405</v>
      </c>
    </row>
    <row r="51" spans="1:5" ht="10.5" x14ac:dyDescent="0.25">
      <c r="A51" s="18" t="s">
        <v>199</v>
      </c>
      <c r="D51" s="42">
        <v>0.59497924654794498</v>
      </c>
      <c r="E51" s="13" t="s">
        <v>200</v>
      </c>
    </row>
    <row r="53" spans="1:5" ht="10.5" x14ac:dyDescent="0.25">
      <c r="A53" s="18" t="s">
        <v>201</v>
      </c>
      <c r="D53" s="41" t="s">
        <v>198</v>
      </c>
    </row>
  </sheetData>
  <mergeCells count="4">
    <mergeCell ref="A1:G1"/>
    <mergeCell ref="A46:B46"/>
    <mergeCell ref="A47:B47"/>
    <mergeCell ref="A48:B48"/>
  </mergeCells>
  <conditionalFormatting sqref="F2:F3 F5:F65536">
    <cfRule type="cellIs" dxfId="4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56"/>
  <sheetViews>
    <sheetView workbookViewId="0">
      <selection sqref="A1:G1"/>
    </sheetView>
  </sheetViews>
  <sheetFormatPr defaultColWidth="9.1796875" defaultRowHeight="10" x14ac:dyDescent="0.2"/>
  <cols>
    <col min="1" max="1" width="38.7265625" style="9" bestFit="1" customWidth="1"/>
    <col min="2" max="2" width="54.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31</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765</v>
      </c>
      <c r="B7" s="27" t="s">
        <v>764</v>
      </c>
      <c r="C7" s="27" t="s">
        <v>163</v>
      </c>
      <c r="D7" s="31">
        <v>90</v>
      </c>
      <c r="E7" s="29">
        <v>1131.1785</v>
      </c>
      <c r="F7" s="30">
        <v>11.868126488191701</v>
      </c>
      <c r="G7" s="29">
        <v>3.31</v>
      </c>
    </row>
    <row r="8" spans="1:7" x14ac:dyDescent="0.2">
      <c r="A8" s="27" t="s">
        <v>162</v>
      </c>
      <c r="B8" s="27" t="s">
        <v>161</v>
      </c>
      <c r="C8" s="27" t="s">
        <v>163</v>
      </c>
      <c r="D8" s="31">
        <v>98</v>
      </c>
      <c r="E8" s="29">
        <v>1023.77268</v>
      </c>
      <c r="F8" s="30">
        <v>10.741243456620699</v>
      </c>
      <c r="G8" s="29">
        <v>3.8650000000000002</v>
      </c>
    </row>
    <row r="9" spans="1:7" x14ac:dyDescent="0.2">
      <c r="A9" s="27" t="s">
        <v>590</v>
      </c>
      <c r="B9" s="27" t="s">
        <v>589</v>
      </c>
      <c r="C9" s="27" t="s">
        <v>163</v>
      </c>
      <c r="D9" s="31">
        <v>92</v>
      </c>
      <c r="E9" s="29">
        <v>943.78567999999996</v>
      </c>
      <c r="F9" s="30">
        <v>9.9020338770441505</v>
      </c>
      <c r="G9" s="29">
        <v>3.71</v>
      </c>
    </row>
    <row r="10" spans="1:7" x14ac:dyDescent="0.2">
      <c r="A10" s="27" t="s">
        <v>753</v>
      </c>
      <c r="B10" s="27" t="s">
        <v>752</v>
      </c>
      <c r="C10" s="27" t="s">
        <v>523</v>
      </c>
      <c r="D10" s="31">
        <v>90</v>
      </c>
      <c r="E10" s="29">
        <v>929.27160000000003</v>
      </c>
      <c r="F10" s="30">
        <v>9.7497546944927294</v>
      </c>
      <c r="G10" s="29">
        <v>3.5398999999999998</v>
      </c>
    </row>
    <row r="11" spans="1:7" x14ac:dyDescent="0.2">
      <c r="A11" s="27" t="s">
        <v>755</v>
      </c>
      <c r="B11" s="27" t="s">
        <v>754</v>
      </c>
      <c r="C11" s="27" t="s">
        <v>163</v>
      </c>
      <c r="D11" s="31">
        <v>90</v>
      </c>
      <c r="E11" s="29">
        <v>928.14840000000004</v>
      </c>
      <c r="F11" s="30">
        <v>9.7379702770276406</v>
      </c>
      <c r="G11" s="29">
        <v>3.56</v>
      </c>
    </row>
    <row r="12" spans="1:7" x14ac:dyDescent="0.2">
      <c r="A12" s="27" t="s">
        <v>767</v>
      </c>
      <c r="B12" s="27" t="s">
        <v>766</v>
      </c>
      <c r="C12" s="27" t="s">
        <v>163</v>
      </c>
      <c r="D12" s="31">
        <v>60</v>
      </c>
      <c r="E12" s="29">
        <v>747.00419999999997</v>
      </c>
      <c r="F12" s="30">
        <v>7.8374370913259197</v>
      </c>
      <c r="G12" s="29">
        <v>4.2748999999999997</v>
      </c>
    </row>
    <row r="13" spans="1:7" x14ac:dyDescent="0.2">
      <c r="A13" s="27" t="s">
        <v>282</v>
      </c>
      <c r="B13" s="27" t="s">
        <v>281</v>
      </c>
      <c r="C13" s="27" t="s">
        <v>163</v>
      </c>
      <c r="D13" s="31">
        <v>71</v>
      </c>
      <c r="E13" s="29">
        <v>728.62258999999995</v>
      </c>
      <c r="F13" s="30">
        <v>7.6445804621231899</v>
      </c>
      <c r="G13" s="29">
        <v>3.7850000000000001</v>
      </c>
    </row>
    <row r="14" spans="1:7" x14ac:dyDescent="0.2">
      <c r="A14" s="27" t="s">
        <v>757</v>
      </c>
      <c r="B14" s="27" t="s">
        <v>756</v>
      </c>
      <c r="C14" s="27" t="s">
        <v>163</v>
      </c>
      <c r="D14" s="31">
        <v>75</v>
      </c>
      <c r="E14" s="29">
        <v>728.38199999999995</v>
      </c>
      <c r="F14" s="30">
        <v>7.6420562340267404</v>
      </c>
      <c r="G14" s="29">
        <v>3.9249999999999998</v>
      </c>
    </row>
    <row r="15" spans="1:7" x14ac:dyDescent="0.2">
      <c r="A15" s="27" t="s">
        <v>761</v>
      </c>
      <c r="B15" s="27" t="s">
        <v>760</v>
      </c>
      <c r="C15" s="27" t="s">
        <v>278</v>
      </c>
      <c r="D15" s="31">
        <v>58</v>
      </c>
      <c r="E15" s="29">
        <v>723.16314</v>
      </c>
      <c r="F15" s="30">
        <v>7.5873008699492202</v>
      </c>
      <c r="G15" s="29">
        <v>4.7999000000000001</v>
      </c>
    </row>
    <row r="16" spans="1:7" x14ac:dyDescent="0.2">
      <c r="A16" s="27" t="s">
        <v>600</v>
      </c>
      <c r="B16" s="27" t="s">
        <v>599</v>
      </c>
      <c r="C16" s="27" t="s">
        <v>523</v>
      </c>
      <c r="D16" s="31">
        <v>470</v>
      </c>
      <c r="E16" s="29">
        <v>484.04500999999999</v>
      </c>
      <c r="F16" s="30">
        <v>5.0785153754761101</v>
      </c>
      <c r="G16" s="29">
        <v>3.4998999999999998</v>
      </c>
    </row>
    <row r="17" spans="1:9" x14ac:dyDescent="0.2">
      <c r="A17" s="27" t="s">
        <v>525</v>
      </c>
      <c r="B17" s="27" t="s">
        <v>524</v>
      </c>
      <c r="C17" s="27" t="s">
        <v>163</v>
      </c>
      <c r="D17" s="31">
        <v>2</v>
      </c>
      <c r="E17" s="29">
        <v>202.78460000000001</v>
      </c>
      <c r="F17" s="30">
        <v>2.1275804682084698</v>
      </c>
      <c r="G17" s="29">
        <v>3.2050999999999998</v>
      </c>
    </row>
    <row r="18" spans="1:9" x14ac:dyDescent="0.2">
      <c r="A18" s="27" t="s">
        <v>769</v>
      </c>
      <c r="B18" s="27" t="s">
        <v>768</v>
      </c>
      <c r="C18" s="27" t="s">
        <v>278</v>
      </c>
      <c r="D18" s="31">
        <v>10</v>
      </c>
      <c r="E18" s="29">
        <v>124.7015</v>
      </c>
      <c r="F18" s="30">
        <v>1.3083462736139599</v>
      </c>
      <c r="G18" s="29">
        <v>5.0744999999999996</v>
      </c>
    </row>
    <row r="19" spans="1:9" x14ac:dyDescent="0.2">
      <c r="A19" s="27" t="s">
        <v>280</v>
      </c>
      <c r="B19" s="27" t="s">
        <v>279</v>
      </c>
      <c r="C19" s="27" t="s">
        <v>163</v>
      </c>
      <c r="D19" s="31">
        <v>8</v>
      </c>
      <c r="E19" s="29">
        <v>82.357839999999996</v>
      </c>
      <c r="F19" s="30">
        <v>0.86408401716815797</v>
      </c>
      <c r="G19" s="29">
        <v>3.56</v>
      </c>
    </row>
    <row r="20" spans="1:9" x14ac:dyDescent="0.2">
      <c r="A20" s="27" t="s">
        <v>580</v>
      </c>
      <c r="B20" s="27" t="s">
        <v>579</v>
      </c>
      <c r="C20" s="27" t="s">
        <v>523</v>
      </c>
      <c r="D20" s="31">
        <v>6</v>
      </c>
      <c r="E20" s="29">
        <v>75.455100000000002</v>
      </c>
      <c r="F20" s="30">
        <v>0.79166167937169096</v>
      </c>
      <c r="G20" s="29">
        <v>5.17</v>
      </c>
    </row>
    <row r="21" spans="1:9" x14ac:dyDescent="0.2">
      <c r="A21" s="27" t="s">
        <v>763</v>
      </c>
      <c r="B21" s="27" t="s">
        <v>762</v>
      </c>
      <c r="C21" s="27" t="s">
        <v>163</v>
      </c>
      <c r="D21" s="31">
        <v>4</v>
      </c>
      <c r="E21" s="29">
        <v>40.812559999999998</v>
      </c>
      <c r="F21" s="30">
        <v>0.428198223699364</v>
      </c>
      <c r="G21" s="29">
        <v>3.9550000000000001</v>
      </c>
    </row>
    <row r="22" spans="1:9" x14ac:dyDescent="0.2">
      <c r="A22" s="27" t="s">
        <v>275</v>
      </c>
      <c r="B22" s="27" t="s">
        <v>274</v>
      </c>
      <c r="C22" s="27" t="s">
        <v>163</v>
      </c>
      <c r="D22" s="31">
        <v>1</v>
      </c>
      <c r="E22" s="29">
        <v>10.13402</v>
      </c>
      <c r="F22" s="30">
        <v>0.106324361003912</v>
      </c>
      <c r="G22" s="29">
        <v>4.6651999999999996</v>
      </c>
    </row>
    <row r="23" spans="1:9" ht="10.5" x14ac:dyDescent="0.25">
      <c r="A23" s="26" t="s">
        <v>164</v>
      </c>
      <c r="B23" s="26"/>
      <c r="C23" s="26"/>
      <c r="D23" s="32"/>
      <c r="E23" s="33">
        <f>SUM(E6:E22)</f>
        <v>8903.6194199999991</v>
      </c>
      <c r="F23" s="34">
        <f>SUM(F6:F22)</f>
        <v>93.415213849343644</v>
      </c>
      <c r="G23" s="33"/>
      <c r="H23" s="18"/>
      <c r="I23" s="18"/>
    </row>
    <row r="24" spans="1:9" x14ac:dyDescent="0.2">
      <c r="A24" s="27"/>
      <c r="B24" s="27"/>
      <c r="C24" s="27"/>
      <c r="D24" s="28"/>
      <c r="E24" s="29"/>
      <c r="F24" s="30"/>
      <c r="G24" s="29"/>
    </row>
    <row r="25" spans="1:9" ht="10.5" x14ac:dyDescent="0.25">
      <c r="A25" s="26" t="s">
        <v>352</v>
      </c>
      <c r="B25" s="27"/>
      <c r="C25" s="27"/>
      <c r="D25" s="28"/>
      <c r="E25" s="29"/>
      <c r="F25" s="30"/>
      <c r="G25" s="29"/>
    </row>
    <row r="26" spans="1:9" ht="10.5" x14ac:dyDescent="0.25">
      <c r="A26" s="26" t="s">
        <v>353</v>
      </c>
      <c r="B26" s="27"/>
      <c r="C26" s="27"/>
      <c r="D26" s="28"/>
      <c r="E26" s="29"/>
      <c r="F26" s="30"/>
      <c r="G26" s="29"/>
    </row>
    <row r="27" spans="1:9" x14ac:dyDescent="0.2">
      <c r="A27" s="27" t="s">
        <v>363</v>
      </c>
      <c r="B27" s="27" t="s">
        <v>362</v>
      </c>
      <c r="C27" s="27" t="s">
        <v>359</v>
      </c>
      <c r="D27" s="31">
        <v>48</v>
      </c>
      <c r="E27" s="29">
        <v>47.611584000000001</v>
      </c>
      <c r="F27" s="30">
        <v>0.49953239140875</v>
      </c>
      <c r="G27" s="29">
        <v>3.07</v>
      </c>
    </row>
    <row r="28" spans="1:9" ht="10.5" x14ac:dyDescent="0.25">
      <c r="A28" s="26" t="s">
        <v>164</v>
      </c>
      <c r="B28" s="26"/>
      <c r="C28" s="26"/>
      <c r="D28" s="32"/>
      <c r="E28" s="33">
        <f>SUM(E26:E27)</f>
        <v>47.611584000000001</v>
      </c>
      <c r="F28" s="34">
        <f>SUM(F26:F27)</f>
        <v>0.49953239140875</v>
      </c>
      <c r="G28" s="33"/>
      <c r="H28" s="18"/>
      <c r="I28" s="18"/>
    </row>
    <row r="29" spans="1:9" x14ac:dyDescent="0.2">
      <c r="A29" s="27"/>
      <c r="B29" s="27"/>
      <c r="C29" s="27"/>
      <c r="D29" s="28"/>
      <c r="E29" s="29"/>
      <c r="F29" s="30"/>
      <c r="G29" s="29"/>
    </row>
    <row r="30" spans="1:9" ht="10.5" x14ac:dyDescent="0.25">
      <c r="A30" s="26" t="s">
        <v>176</v>
      </c>
      <c r="B30" s="26"/>
      <c r="C30" s="26"/>
      <c r="D30" s="32"/>
      <c r="E30" s="33">
        <f>E23+E28</f>
        <v>8951.2310039999993</v>
      </c>
      <c r="F30" s="34">
        <f>F23+F28</f>
        <v>93.914746240752393</v>
      </c>
      <c r="G30" s="33"/>
      <c r="H30" s="18"/>
      <c r="I30" s="18"/>
    </row>
    <row r="31" spans="1:9" ht="10.5" x14ac:dyDescent="0.25">
      <c r="A31" s="26"/>
      <c r="B31" s="26"/>
      <c r="C31" s="26"/>
      <c r="D31" s="32"/>
      <c r="E31" s="33"/>
      <c r="F31" s="34"/>
      <c r="G31" s="33"/>
      <c r="H31" s="18"/>
      <c r="I31" s="18"/>
    </row>
    <row r="32" spans="1:9" ht="10.5" x14ac:dyDescent="0.25">
      <c r="A32" s="26" t="s">
        <v>178</v>
      </c>
      <c r="B32" s="26"/>
      <c r="C32" s="26"/>
      <c r="D32" s="32"/>
      <c r="E32" s="33">
        <f>E34-(E23+E28)</f>
        <v>579.99956660000134</v>
      </c>
      <c r="F32" s="34">
        <f>F34-(F23+F28)</f>
        <v>6.0852537592476068</v>
      </c>
      <c r="G32" s="33"/>
      <c r="H32" s="18"/>
      <c r="I32" s="18"/>
    </row>
    <row r="33" spans="1:9" ht="10.5" x14ac:dyDescent="0.25">
      <c r="A33" s="26"/>
      <c r="B33" s="26"/>
      <c r="C33" s="26"/>
      <c r="D33" s="32"/>
      <c r="E33" s="33"/>
      <c r="F33" s="34"/>
      <c r="G33" s="33"/>
      <c r="H33" s="18"/>
      <c r="I33" s="18"/>
    </row>
    <row r="34" spans="1:9" ht="10.5" x14ac:dyDescent="0.25">
      <c r="A34" s="35" t="s">
        <v>177</v>
      </c>
      <c r="B34" s="35"/>
      <c r="C34" s="35"/>
      <c r="D34" s="36"/>
      <c r="E34" s="37">
        <v>9531.2305706000006</v>
      </c>
      <c r="F34" s="38">
        <v>100</v>
      </c>
      <c r="G34" s="37"/>
      <c r="H34" s="18"/>
      <c r="I34" s="18"/>
    </row>
    <row r="36" spans="1:9" ht="10.5" x14ac:dyDescent="0.25">
      <c r="A36" s="18" t="s">
        <v>180</v>
      </c>
    </row>
    <row r="38" spans="1:9" ht="10.5" x14ac:dyDescent="0.25">
      <c r="A38" s="18" t="s">
        <v>181</v>
      </c>
    </row>
    <row r="39" spans="1:9" ht="10.5" x14ac:dyDescent="0.25">
      <c r="A39" s="18" t="s">
        <v>182</v>
      </c>
    </row>
    <row r="40" spans="1:9" ht="10.5" x14ac:dyDescent="0.25">
      <c r="A40" s="18" t="s">
        <v>183</v>
      </c>
      <c r="B40" s="18"/>
      <c r="C40" s="39" t="s">
        <v>185</v>
      </c>
      <c r="D40" s="19" t="s">
        <v>184</v>
      </c>
    </row>
    <row r="41" spans="1:9" x14ac:dyDescent="0.2">
      <c r="A41" s="9" t="s">
        <v>421</v>
      </c>
      <c r="C41" s="40">
        <v>11.778600000000001</v>
      </c>
      <c r="D41" s="40">
        <v>12.2438</v>
      </c>
    </row>
    <row r="42" spans="1:9" x14ac:dyDescent="0.2">
      <c r="A42" s="9" t="s">
        <v>723</v>
      </c>
      <c r="C42" s="40">
        <v>11.037800000000001</v>
      </c>
      <c r="D42" s="40">
        <v>10.5862</v>
      </c>
    </row>
    <row r="43" spans="1:9" x14ac:dyDescent="0.2">
      <c r="A43" s="9" t="s">
        <v>423</v>
      </c>
      <c r="C43" s="40">
        <v>10.3972</v>
      </c>
      <c r="D43" s="40">
        <v>10.3794</v>
      </c>
    </row>
    <row r="44" spans="1:9" x14ac:dyDescent="0.2">
      <c r="A44" s="9" t="s">
        <v>424</v>
      </c>
      <c r="C44" s="40">
        <v>11.885</v>
      </c>
      <c r="D44" s="40">
        <v>12.3544</v>
      </c>
    </row>
    <row r="45" spans="1:9" x14ac:dyDescent="0.2">
      <c r="A45" s="9" t="s">
        <v>426</v>
      </c>
      <c r="C45" s="40">
        <v>10.4062</v>
      </c>
      <c r="D45" s="40">
        <v>10.3873</v>
      </c>
    </row>
    <row r="47" spans="1:9" ht="10.5" x14ac:dyDescent="0.25">
      <c r="A47" s="18" t="s">
        <v>197</v>
      </c>
    </row>
    <row r="48" spans="1:9" ht="10.5" x14ac:dyDescent="0.25">
      <c r="A48" s="73" t="s">
        <v>403</v>
      </c>
      <c r="B48" s="74"/>
      <c r="C48" s="45" t="s">
        <v>404</v>
      </c>
    </row>
    <row r="49" spans="1:5" x14ac:dyDescent="0.2">
      <c r="A49" s="69" t="s">
        <v>723</v>
      </c>
      <c r="B49" s="70"/>
      <c r="C49" s="46">
        <v>0.875</v>
      </c>
    </row>
    <row r="50" spans="1:5" x14ac:dyDescent="0.2">
      <c r="A50" s="69" t="s">
        <v>423</v>
      </c>
      <c r="B50" s="70"/>
      <c r="C50" s="46">
        <v>0.42499999999999999</v>
      </c>
    </row>
    <row r="51" spans="1:5" x14ac:dyDescent="0.2">
      <c r="A51" s="69" t="s">
        <v>426</v>
      </c>
      <c r="B51" s="70"/>
      <c r="C51" s="46">
        <v>0.42499999999999999</v>
      </c>
    </row>
    <row r="52" spans="1:5" x14ac:dyDescent="0.2">
      <c r="A52" s="9" t="s">
        <v>405</v>
      </c>
    </row>
    <row r="54" spans="1:5" ht="10.5" x14ac:dyDescent="0.25">
      <c r="A54" s="18" t="s">
        <v>199</v>
      </c>
      <c r="D54" s="42">
        <v>0.59583411843835599</v>
      </c>
      <c r="E54" s="13" t="s">
        <v>200</v>
      </c>
    </row>
    <row r="56" spans="1:5" ht="10.5" x14ac:dyDescent="0.25">
      <c r="A56" s="18" t="s">
        <v>201</v>
      </c>
      <c r="D56" s="41" t="s">
        <v>198</v>
      </c>
    </row>
  </sheetData>
  <mergeCells count="5">
    <mergeCell ref="A1:G1"/>
    <mergeCell ref="A48:B48"/>
    <mergeCell ref="A49:B49"/>
    <mergeCell ref="A50:B50"/>
    <mergeCell ref="A51:B51"/>
  </mergeCells>
  <conditionalFormatting sqref="F2:F3 F5:F65536">
    <cfRule type="cellIs" dxfId="4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I63"/>
  <sheetViews>
    <sheetView workbookViewId="0">
      <selection sqref="A1:G1"/>
    </sheetView>
  </sheetViews>
  <sheetFormatPr defaultColWidth="9.1796875" defaultRowHeight="10" x14ac:dyDescent="0.2"/>
  <cols>
    <col min="1" max="1" width="38.7265625" style="9" bestFit="1" customWidth="1"/>
    <col min="2" max="2" width="53.2695312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32</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769</v>
      </c>
      <c r="B7" s="27" t="s">
        <v>768</v>
      </c>
      <c r="C7" s="27" t="s">
        <v>278</v>
      </c>
      <c r="D7" s="31">
        <v>103</v>
      </c>
      <c r="E7" s="29">
        <v>1284.42545</v>
      </c>
      <c r="F7" s="30">
        <v>11.0579405363804</v>
      </c>
      <c r="G7" s="29">
        <v>5.0744999999999996</v>
      </c>
    </row>
    <row r="8" spans="1:7" x14ac:dyDescent="0.2">
      <c r="A8" s="27" t="s">
        <v>282</v>
      </c>
      <c r="B8" s="27" t="s">
        <v>281</v>
      </c>
      <c r="C8" s="27" t="s">
        <v>163</v>
      </c>
      <c r="D8" s="31">
        <v>115</v>
      </c>
      <c r="E8" s="29">
        <v>1180.16335</v>
      </c>
      <c r="F8" s="30">
        <v>10.1603219926197</v>
      </c>
      <c r="G8" s="29">
        <v>3.7850000000000001</v>
      </c>
    </row>
    <row r="9" spans="1:7" x14ac:dyDescent="0.2">
      <c r="A9" s="27" t="s">
        <v>280</v>
      </c>
      <c r="B9" s="27" t="s">
        <v>279</v>
      </c>
      <c r="C9" s="27" t="s">
        <v>163</v>
      </c>
      <c r="D9" s="31">
        <v>112</v>
      </c>
      <c r="E9" s="29">
        <v>1153.0097599999999</v>
      </c>
      <c r="F9" s="30">
        <v>9.9265499324590607</v>
      </c>
      <c r="G9" s="29">
        <v>3.56</v>
      </c>
    </row>
    <row r="10" spans="1:7" x14ac:dyDescent="0.2">
      <c r="A10" s="27" t="s">
        <v>761</v>
      </c>
      <c r="B10" s="27" t="s">
        <v>760</v>
      </c>
      <c r="C10" s="27" t="s">
        <v>278</v>
      </c>
      <c r="D10" s="31">
        <v>85</v>
      </c>
      <c r="E10" s="29">
        <v>1059.8080500000001</v>
      </c>
      <c r="F10" s="30">
        <v>9.1241530576003704</v>
      </c>
      <c r="G10" s="29">
        <v>4.7999000000000001</v>
      </c>
    </row>
    <row r="11" spans="1:7" x14ac:dyDescent="0.2">
      <c r="A11" s="27" t="s">
        <v>771</v>
      </c>
      <c r="B11" s="27" t="s">
        <v>770</v>
      </c>
      <c r="C11" s="27" t="s">
        <v>163</v>
      </c>
      <c r="D11" s="31">
        <v>100</v>
      </c>
      <c r="E11" s="29">
        <v>1034.393</v>
      </c>
      <c r="F11" s="30">
        <v>8.9053485239241308</v>
      </c>
      <c r="G11" s="29">
        <v>3.71</v>
      </c>
    </row>
    <row r="12" spans="1:7" x14ac:dyDescent="0.2">
      <c r="A12" s="27" t="s">
        <v>773</v>
      </c>
      <c r="B12" s="27" t="s">
        <v>772</v>
      </c>
      <c r="C12" s="27" t="s">
        <v>163</v>
      </c>
      <c r="D12" s="31">
        <v>70</v>
      </c>
      <c r="E12" s="29">
        <v>879.53880000000004</v>
      </c>
      <c r="F12" s="30">
        <v>7.5721699144464498</v>
      </c>
      <c r="G12" s="29">
        <v>5.3949999999999996</v>
      </c>
    </row>
    <row r="13" spans="1:7" x14ac:dyDescent="0.2">
      <c r="A13" s="27" t="s">
        <v>775</v>
      </c>
      <c r="B13" s="27" t="s">
        <v>774</v>
      </c>
      <c r="C13" s="27" t="s">
        <v>163</v>
      </c>
      <c r="D13" s="31">
        <v>77</v>
      </c>
      <c r="E13" s="29">
        <v>793.97317999999996</v>
      </c>
      <c r="F13" s="30">
        <v>6.8355140517659603</v>
      </c>
      <c r="G13" s="29">
        <v>3.54</v>
      </c>
    </row>
    <row r="14" spans="1:7" x14ac:dyDescent="0.2">
      <c r="A14" s="27" t="s">
        <v>582</v>
      </c>
      <c r="B14" s="27" t="s">
        <v>581</v>
      </c>
      <c r="C14" s="27" t="s">
        <v>523</v>
      </c>
      <c r="D14" s="31">
        <v>75</v>
      </c>
      <c r="E14" s="29">
        <v>780.12599999999998</v>
      </c>
      <c r="F14" s="30">
        <v>6.7163002094705204</v>
      </c>
      <c r="G14" s="29">
        <v>3.7850000000000001</v>
      </c>
    </row>
    <row r="15" spans="1:7" x14ac:dyDescent="0.2">
      <c r="A15" s="27" t="s">
        <v>777</v>
      </c>
      <c r="B15" s="27" t="s">
        <v>776</v>
      </c>
      <c r="C15" s="27" t="s">
        <v>523</v>
      </c>
      <c r="D15" s="31">
        <v>21</v>
      </c>
      <c r="E15" s="29">
        <v>535.88797499999998</v>
      </c>
      <c r="F15" s="30">
        <v>4.6135938537431596</v>
      </c>
      <c r="G15" s="29">
        <v>4.415</v>
      </c>
    </row>
    <row r="16" spans="1:7" x14ac:dyDescent="0.2">
      <c r="A16" s="27" t="s">
        <v>779</v>
      </c>
      <c r="B16" s="27" t="s">
        <v>778</v>
      </c>
      <c r="C16" s="27" t="s">
        <v>163</v>
      </c>
      <c r="D16" s="31">
        <v>33</v>
      </c>
      <c r="E16" s="29">
        <v>335.81855999999999</v>
      </c>
      <c r="F16" s="30">
        <v>2.89114612879469</v>
      </c>
      <c r="G16" s="29">
        <v>3.53</v>
      </c>
    </row>
    <row r="17" spans="1:9" x14ac:dyDescent="0.2">
      <c r="A17" s="27" t="s">
        <v>781</v>
      </c>
      <c r="B17" s="27" t="s">
        <v>780</v>
      </c>
      <c r="C17" s="27" t="s">
        <v>163</v>
      </c>
      <c r="D17" s="31">
        <v>32</v>
      </c>
      <c r="E17" s="29">
        <v>327.50272000000001</v>
      </c>
      <c r="F17" s="30">
        <v>2.81955297854214</v>
      </c>
      <c r="G17" s="29">
        <v>3.42</v>
      </c>
    </row>
    <row r="18" spans="1:9" x14ac:dyDescent="0.2">
      <c r="A18" s="27" t="s">
        <v>600</v>
      </c>
      <c r="B18" s="27" t="s">
        <v>599</v>
      </c>
      <c r="C18" s="27" t="s">
        <v>523</v>
      </c>
      <c r="D18" s="31">
        <v>310</v>
      </c>
      <c r="E18" s="29">
        <v>319.26373000000001</v>
      </c>
      <c r="F18" s="30">
        <v>2.7486214491958201</v>
      </c>
      <c r="G18" s="29">
        <v>3.4998999999999998</v>
      </c>
    </row>
    <row r="19" spans="1:9" x14ac:dyDescent="0.2">
      <c r="A19" s="27" t="s">
        <v>783</v>
      </c>
      <c r="B19" s="27" t="s">
        <v>782</v>
      </c>
      <c r="C19" s="27" t="s">
        <v>483</v>
      </c>
      <c r="D19" s="31">
        <v>32</v>
      </c>
      <c r="E19" s="29">
        <v>313.47967999999997</v>
      </c>
      <c r="F19" s="30">
        <v>2.6988251134416101</v>
      </c>
      <c r="G19" s="29">
        <v>3.8149999999999999</v>
      </c>
    </row>
    <row r="20" spans="1:9" x14ac:dyDescent="0.2">
      <c r="A20" s="27" t="s">
        <v>525</v>
      </c>
      <c r="B20" s="27" t="s">
        <v>524</v>
      </c>
      <c r="C20" s="27" t="s">
        <v>163</v>
      </c>
      <c r="D20" s="31">
        <v>2</v>
      </c>
      <c r="E20" s="29">
        <v>202.78460000000001</v>
      </c>
      <c r="F20" s="30">
        <v>1.74582343295493</v>
      </c>
      <c r="G20" s="29">
        <v>3.2050999999999998</v>
      </c>
    </row>
    <row r="21" spans="1:9" x14ac:dyDescent="0.2">
      <c r="A21" s="27" t="s">
        <v>785</v>
      </c>
      <c r="B21" s="27" t="s">
        <v>784</v>
      </c>
      <c r="C21" s="27" t="s">
        <v>483</v>
      </c>
      <c r="D21" s="31">
        <v>26</v>
      </c>
      <c r="E21" s="29">
        <v>132.47845000000001</v>
      </c>
      <c r="F21" s="30">
        <v>1.14054017105612</v>
      </c>
      <c r="G21" s="29">
        <v>4.2098000000000004</v>
      </c>
    </row>
    <row r="22" spans="1:9" x14ac:dyDescent="0.2">
      <c r="A22" s="27" t="s">
        <v>275</v>
      </c>
      <c r="B22" s="27" t="s">
        <v>274</v>
      </c>
      <c r="C22" s="27" t="s">
        <v>163</v>
      </c>
      <c r="D22" s="31">
        <v>4</v>
      </c>
      <c r="E22" s="29">
        <v>40.536079999999998</v>
      </c>
      <c r="F22" s="30">
        <v>0.34898526980912498</v>
      </c>
      <c r="G22" s="29">
        <v>4.6651999999999996</v>
      </c>
    </row>
    <row r="23" spans="1:9" x14ac:dyDescent="0.2">
      <c r="A23" s="27" t="s">
        <v>787</v>
      </c>
      <c r="B23" s="27" t="s">
        <v>786</v>
      </c>
      <c r="C23" s="27" t="s">
        <v>163</v>
      </c>
      <c r="D23" s="31">
        <v>2</v>
      </c>
      <c r="E23" s="29">
        <v>25.274920000000002</v>
      </c>
      <c r="F23" s="30">
        <v>0.21759811939398299</v>
      </c>
      <c r="G23" s="29">
        <v>3.9550000000000001</v>
      </c>
    </row>
    <row r="24" spans="1:9" x14ac:dyDescent="0.2">
      <c r="A24" s="27" t="s">
        <v>277</v>
      </c>
      <c r="B24" s="27" t="s">
        <v>276</v>
      </c>
      <c r="C24" s="27" t="s">
        <v>278</v>
      </c>
      <c r="D24" s="31">
        <v>2</v>
      </c>
      <c r="E24" s="29">
        <v>25.037500000000001</v>
      </c>
      <c r="F24" s="30">
        <v>0.21555411112386699</v>
      </c>
      <c r="G24" s="29">
        <v>3.9125000000000001</v>
      </c>
    </row>
    <row r="25" spans="1:9" x14ac:dyDescent="0.2">
      <c r="A25" s="27" t="s">
        <v>669</v>
      </c>
      <c r="B25" s="27" t="s">
        <v>668</v>
      </c>
      <c r="C25" s="27" t="s">
        <v>163</v>
      </c>
      <c r="D25" s="31">
        <v>1</v>
      </c>
      <c r="E25" s="29">
        <v>10.07709</v>
      </c>
      <c r="F25" s="30">
        <v>8.6756192817382394E-2</v>
      </c>
      <c r="G25" s="29">
        <v>3.1248999999999998</v>
      </c>
    </row>
    <row r="26" spans="1:9" ht="10.5" x14ac:dyDescent="0.25">
      <c r="A26" s="26" t="s">
        <v>164</v>
      </c>
      <c r="B26" s="26"/>
      <c r="C26" s="26"/>
      <c r="D26" s="32"/>
      <c r="E26" s="33">
        <f>SUM(E6:E25)</f>
        <v>10433.578895000004</v>
      </c>
      <c r="F26" s="34">
        <f>SUM(F6:F25)</f>
        <v>89.825295039539412</v>
      </c>
      <c r="G26" s="33"/>
      <c r="H26" s="18"/>
      <c r="I26" s="18"/>
    </row>
    <row r="27" spans="1:9" x14ac:dyDescent="0.2">
      <c r="A27" s="27"/>
      <c r="B27" s="27"/>
      <c r="C27" s="27"/>
      <c r="D27" s="28"/>
      <c r="E27" s="29"/>
      <c r="F27" s="30"/>
      <c r="G27" s="29"/>
    </row>
    <row r="28" spans="1:9" ht="10.5" x14ac:dyDescent="0.25">
      <c r="A28" s="26" t="s">
        <v>165</v>
      </c>
      <c r="B28" s="27"/>
      <c r="C28" s="27"/>
      <c r="D28" s="28"/>
      <c r="E28" s="29"/>
      <c r="F28" s="30"/>
      <c r="G28" s="29"/>
    </row>
    <row r="29" spans="1:9" x14ac:dyDescent="0.2">
      <c r="A29" s="27" t="s">
        <v>612</v>
      </c>
      <c r="B29" s="27" t="s">
        <v>611</v>
      </c>
      <c r="C29" s="27" t="s">
        <v>163</v>
      </c>
      <c r="D29" s="31">
        <v>29</v>
      </c>
      <c r="E29" s="29">
        <v>294.39465999999999</v>
      </c>
      <c r="F29" s="30">
        <v>2.5345173941453099</v>
      </c>
      <c r="G29" s="29">
        <v>3.5571000000000002</v>
      </c>
    </row>
    <row r="30" spans="1:9" ht="10.5" x14ac:dyDescent="0.25">
      <c r="A30" s="26" t="s">
        <v>164</v>
      </c>
      <c r="B30" s="26"/>
      <c r="C30" s="26"/>
      <c r="D30" s="32"/>
      <c r="E30" s="33">
        <f>SUM(E28:E29)</f>
        <v>294.39465999999999</v>
      </c>
      <c r="F30" s="34">
        <f>SUM(F28:F29)</f>
        <v>2.5345173941453099</v>
      </c>
      <c r="G30" s="33"/>
      <c r="H30" s="18"/>
      <c r="I30" s="18"/>
    </row>
    <row r="31" spans="1:9" x14ac:dyDescent="0.2">
      <c r="A31" s="27"/>
      <c r="B31" s="27"/>
      <c r="C31" s="27"/>
      <c r="D31" s="28"/>
      <c r="E31" s="29"/>
      <c r="F31" s="30"/>
      <c r="G31" s="29"/>
    </row>
    <row r="32" spans="1:9" ht="10.5" x14ac:dyDescent="0.25">
      <c r="A32" s="26" t="s">
        <v>352</v>
      </c>
      <c r="B32" s="27"/>
      <c r="C32" s="27"/>
      <c r="D32" s="28"/>
      <c r="E32" s="29"/>
      <c r="F32" s="30"/>
      <c r="G32" s="29"/>
    </row>
    <row r="33" spans="1:9" ht="10.5" x14ac:dyDescent="0.25">
      <c r="A33" s="26" t="s">
        <v>353</v>
      </c>
      <c r="B33" s="27"/>
      <c r="C33" s="27"/>
      <c r="D33" s="28"/>
      <c r="E33" s="29"/>
      <c r="F33" s="30"/>
      <c r="G33" s="29"/>
    </row>
    <row r="34" spans="1:9" x14ac:dyDescent="0.2">
      <c r="A34" s="27" t="s">
        <v>363</v>
      </c>
      <c r="B34" s="27" t="s">
        <v>362</v>
      </c>
      <c r="C34" s="27" t="s">
        <v>359</v>
      </c>
      <c r="D34" s="31">
        <v>16</v>
      </c>
      <c r="E34" s="29">
        <v>15.870528</v>
      </c>
      <c r="F34" s="30">
        <v>0.13663335221593401</v>
      </c>
      <c r="G34" s="29">
        <v>3.07</v>
      </c>
    </row>
    <row r="35" spans="1:9" ht="10.5" x14ac:dyDescent="0.25">
      <c r="A35" s="26" t="s">
        <v>164</v>
      </c>
      <c r="B35" s="26"/>
      <c r="C35" s="26"/>
      <c r="D35" s="32"/>
      <c r="E35" s="33">
        <f>SUM(E33:E34)</f>
        <v>15.870528</v>
      </c>
      <c r="F35" s="34">
        <f>SUM(F33:F34)</f>
        <v>0.13663335221593401</v>
      </c>
      <c r="G35" s="33"/>
      <c r="H35" s="18"/>
      <c r="I35" s="18"/>
    </row>
    <row r="36" spans="1:9" x14ac:dyDescent="0.2">
      <c r="A36" s="27"/>
      <c r="B36" s="27"/>
      <c r="C36" s="27"/>
      <c r="D36" s="28"/>
      <c r="E36" s="29"/>
      <c r="F36" s="30"/>
      <c r="G36" s="29"/>
    </row>
    <row r="37" spans="1:9" ht="10.5" x14ac:dyDescent="0.25">
      <c r="A37" s="26" t="s">
        <v>176</v>
      </c>
      <c r="B37" s="26"/>
      <c r="C37" s="26"/>
      <c r="D37" s="32"/>
      <c r="E37" s="33">
        <f>E26+E30+E35</f>
        <v>10743.844083000004</v>
      </c>
      <c r="F37" s="34">
        <f>F26+F30+F35</f>
        <v>92.496445785900661</v>
      </c>
      <c r="G37" s="33"/>
      <c r="H37" s="18"/>
      <c r="I37" s="18"/>
    </row>
    <row r="38" spans="1:9" ht="10.5" x14ac:dyDescent="0.25">
      <c r="A38" s="26"/>
      <c r="B38" s="26"/>
      <c r="C38" s="26"/>
      <c r="D38" s="32"/>
      <c r="E38" s="33"/>
      <c r="F38" s="34"/>
      <c r="G38" s="33"/>
      <c r="H38" s="18"/>
      <c r="I38" s="18"/>
    </row>
    <row r="39" spans="1:9" ht="10.5" x14ac:dyDescent="0.25">
      <c r="A39" s="26" t="s">
        <v>178</v>
      </c>
      <c r="B39" s="26"/>
      <c r="C39" s="26"/>
      <c r="D39" s="32"/>
      <c r="E39" s="33">
        <f>E41-(E26+E30+E35)</f>
        <v>871.56880309999724</v>
      </c>
      <c r="F39" s="34">
        <f>F41-(F26+F30+F35)</f>
        <v>7.5035542140993385</v>
      </c>
      <c r="G39" s="33"/>
      <c r="H39" s="18"/>
      <c r="I39" s="18"/>
    </row>
    <row r="40" spans="1:9" ht="10.5" x14ac:dyDescent="0.25">
      <c r="A40" s="26"/>
      <c r="B40" s="26"/>
      <c r="C40" s="26"/>
      <c r="D40" s="32"/>
      <c r="E40" s="33"/>
      <c r="F40" s="34"/>
      <c r="G40" s="33"/>
      <c r="H40" s="18"/>
      <c r="I40" s="18"/>
    </row>
    <row r="41" spans="1:9" ht="10.5" x14ac:dyDescent="0.25">
      <c r="A41" s="35" t="s">
        <v>177</v>
      </c>
      <c r="B41" s="35"/>
      <c r="C41" s="35"/>
      <c r="D41" s="36"/>
      <c r="E41" s="37">
        <v>11615.412886100001</v>
      </c>
      <c r="F41" s="38">
        <v>100</v>
      </c>
      <c r="G41" s="37"/>
      <c r="H41" s="18"/>
      <c r="I41" s="18"/>
    </row>
    <row r="43" spans="1:9" ht="10.5" x14ac:dyDescent="0.25">
      <c r="A43" s="18" t="s">
        <v>180</v>
      </c>
    </row>
    <row r="45" spans="1:9" ht="10.5" x14ac:dyDescent="0.25">
      <c r="A45" s="18" t="s">
        <v>181</v>
      </c>
    </row>
    <row r="46" spans="1:9" ht="10.5" x14ac:dyDescent="0.25">
      <c r="A46" s="18" t="s">
        <v>182</v>
      </c>
    </row>
    <row r="47" spans="1:9" ht="10.5" x14ac:dyDescent="0.25">
      <c r="A47" s="18" t="s">
        <v>183</v>
      </c>
      <c r="B47" s="18"/>
      <c r="C47" s="39" t="s">
        <v>185</v>
      </c>
      <c r="D47" s="19" t="s">
        <v>184</v>
      </c>
    </row>
    <row r="48" spans="1:9" x14ac:dyDescent="0.2">
      <c r="A48" s="9" t="s">
        <v>421</v>
      </c>
      <c r="C48" s="40">
        <v>11.782999999999999</v>
      </c>
      <c r="D48" s="40">
        <v>12.2546</v>
      </c>
    </row>
    <row r="49" spans="1:5" x14ac:dyDescent="0.2">
      <c r="A49" s="9" t="s">
        <v>723</v>
      </c>
      <c r="C49" s="40">
        <v>11.0227</v>
      </c>
      <c r="D49" s="40">
        <v>10.586600000000001</v>
      </c>
    </row>
    <row r="50" spans="1:5" x14ac:dyDescent="0.2">
      <c r="A50" s="9" t="s">
        <v>423</v>
      </c>
      <c r="C50" s="40">
        <v>10.3637</v>
      </c>
      <c r="D50" s="40">
        <v>10.3735</v>
      </c>
    </row>
    <row r="51" spans="1:5" x14ac:dyDescent="0.2">
      <c r="A51" s="9" t="s">
        <v>424</v>
      </c>
      <c r="C51" s="40">
        <v>11.901400000000001</v>
      </c>
      <c r="D51" s="40">
        <v>12.377800000000001</v>
      </c>
    </row>
    <row r="52" spans="1:5" x14ac:dyDescent="0.2">
      <c r="A52" s="9" t="s">
        <v>459</v>
      </c>
      <c r="C52" s="40">
        <v>11.141999999999999</v>
      </c>
      <c r="D52" s="40">
        <v>10.712400000000001</v>
      </c>
    </row>
    <row r="54" spans="1:5" ht="10.5" x14ac:dyDescent="0.25">
      <c r="A54" s="18" t="s">
        <v>197</v>
      </c>
    </row>
    <row r="55" spans="1:5" ht="10.5" x14ac:dyDescent="0.25">
      <c r="A55" s="73" t="s">
        <v>403</v>
      </c>
      <c r="B55" s="74"/>
      <c r="C55" s="45" t="s">
        <v>404</v>
      </c>
    </row>
    <row r="56" spans="1:5" x14ac:dyDescent="0.2">
      <c r="A56" s="69" t="s">
        <v>723</v>
      </c>
      <c r="B56" s="70"/>
      <c r="C56" s="46">
        <v>0.86</v>
      </c>
    </row>
    <row r="57" spans="1:5" x14ac:dyDescent="0.2">
      <c r="A57" s="69" t="s">
        <v>423</v>
      </c>
      <c r="B57" s="70"/>
      <c r="C57" s="46">
        <v>0.4</v>
      </c>
    </row>
    <row r="58" spans="1:5" x14ac:dyDescent="0.2">
      <c r="A58" s="69" t="s">
        <v>459</v>
      </c>
      <c r="B58" s="70"/>
      <c r="C58" s="46">
        <v>0.86</v>
      </c>
    </row>
    <row r="59" spans="1:5" x14ac:dyDescent="0.2">
      <c r="A59" s="9" t="s">
        <v>405</v>
      </c>
    </row>
    <row r="61" spans="1:5" ht="10.5" x14ac:dyDescent="0.25">
      <c r="A61" s="18" t="s">
        <v>199</v>
      </c>
      <c r="D61" s="42">
        <v>0.55031570621917802</v>
      </c>
      <c r="E61" s="13" t="s">
        <v>200</v>
      </c>
    </row>
    <row r="63" spans="1:5" ht="10.5" x14ac:dyDescent="0.25">
      <c r="A63" s="18" t="s">
        <v>201</v>
      </c>
      <c r="D63" s="41" t="s">
        <v>198</v>
      </c>
    </row>
  </sheetData>
  <mergeCells count="5">
    <mergeCell ref="A1:G1"/>
    <mergeCell ref="A55:B55"/>
    <mergeCell ref="A56:B56"/>
    <mergeCell ref="A57:B57"/>
    <mergeCell ref="A58:B58"/>
  </mergeCells>
  <conditionalFormatting sqref="F2:F3 F5:F65536">
    <cfRule type="cellIs" dxfId="4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I63"/>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33</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789</v>
      </c>
      <c r="B7" s="27" t="s">
        <v>788</v>
      </c>
      <c r="C7" s="27" t="s">
        <v>163</v>
      </c>
      <c r="D7" s="31">
        <v>99</v>
      </c>
      <c r="E7" s="29">
        <v>1247.0039999999999</v>
      </c>
      <c r="F7" s="30">
        <v>10.064345442944401</v>
      </c>
      <c r="G7" s="29">
        <v>4.1247999999999996</v>
      </c>
    </row>
    <row r="8" spans="1:7" x14ac:dyDescent="0.2">
      <c r="A8" s="27" t="s">
        <v>791</v>
      </c>
      <c r="B8" s="27" t="s">
        <v>790</v>
      </c>
      <c r="C8" s="27" t="s">
        <v>163</v>
      </c>
      <c r="D8" s="31">
        <v>119</v>
      </c>
      <c r="E8" s="29">
        <v>1221.68137</v>
      </c>
      <c r="F8" s="30">
        <v>9.8599710417044495</v>
      </c>
      <c r="G8" s="29">
        <v>3.5798999999999999</v>
      </c>
    </row>
    <row r="9" spans="1:7" x14ac:dyDescent="0.2">
      <c r="A9" s="27" t="s">
        <v>751</v>
      </c>
      <c r="B9" s="27" t="s">
        <v>750</v>
      </c>
      <c r="C9" s="27" t="s">
        <v>163</v>
      </c>
      <c r="D9" s="31">
        <v>119</v>
      </c>
      <c r="E9" s="29">
        <v>1218.9848300000001</v>
      </c>
      <c r="F9" s="30">
        <v>9.8382077514016792</v>
      </c>
      <c r="G9" s="29">
        <v>3.5251000000000001</v>
      </c>
    </row>
    <row r="10" spans="1:7" x14ac:dyDescent="0.2">
      <c r="A10" s="27" t="s">
        <v>793</v>
      </c>
      <c r="B10" s="27" t="s">
        <v>792</v>
      </c>
      <c r="C10" s="27" t="s">
        <v>523</v>
      </c>
      <c r="D10" s="31">
        <v>100</v>
      </c>
      <c r="E10" s="29">
        <v>1027.21</v>
      </c>
      <c r="F10" s="30">
        <v>8.2904275226438404</v>
      </c>
      <c r="G10" s="29">
        <v>3.4340000000000002</v>
      </c>
    </row>
    <row r="11" spans="1:7" x14ac:dyDescent="0.2">
      <c r="A11" s="27" t="s">
        <v>795</v>
      </c>
      <c r="B11" s="27" t="s">
        <v>794</v>
      </c>
      <c r="C11" s="27" t="s">
        <v>523</v>
      </c>
      <c r="D11" s="31">
        <v>100</v>
      </c>
      <c r="E11" s="29">
        <v>1023.086</v>
      </c>
      <c r="F11" s="30">
        <v>8.2571434589145305</v>
      </c>
      <c r="G11" s="29">
        <v>4.4698000000000002</v>
      </c>
    </row>
    <row r="12" spans="1:7" x14ac:dyDescent="0.2">
      <c r="A12" s="27" t="s">
        <v>797</v>
      </c>
      <c r="B12" s="27" t="s">
        <v>796</v>
      </c>
      <c r="C12" s="27" t="s">
        <v>163</v>
      </c>
      <c r="D12" s="31">
        <v>100</v>
      </c>
      <c r="E12" s="29">
        <v>1021.69</v>
      </c>
      <c r="F12" s="30">
        <v>8.2458765935008298</v>
      </c>
      <c r="G12" s="29">
        <v>3.55</v>
      </c>
    </row>
    <row r="13" spans="1:7" x14ac:dyDescent="0.2">
      <c r="A13" s="27" t="s">
        <v>783</v>
      </c>
      <c r="B13" s="27" t="s">
        <v>782</v>
      </c>
      <c r="C13" s="27" t="s">
        <v>483</v>
      </c>
      <c r="D13" s="31">
        <v>96</v>
      </c>
      <c r="E13" s="29">
        <v>940.43903999999998</v>
      </c>
      <c r="F13" s="30">
        <v>7.59011468013819</v>
      </c>
      <c r="G13" s="29">
        <v>3.8149999999999999</v>
      </c>
    </row>
    <row r="14" spans="1:7" x14ac:dyDescent="0.2">
      <c r="A14" s="27" t="s">
        <v>580</v>
      </c>
      <c r="B14" s="27" t="s">
        <v>579</v>
      </c>
      <c r="C14" s="27" t="s">
        <v>523</v>
      </c>
      <c r="D14" s="31">
        <v>74</v>
      </c>
      <c r="E14" s="29">
        <v>930.61289999999997</v>
      </c>
      <c r="F14" s="30">
        <v>7.5108096680205598</v>
      </c>
      <c r="G14" s="29">
        <v>5.17</v>
      </c>
    </row>
    <row r="15" spans="1:7" x14ac:dyDescent="0.2">
      <c r="A15" s="27" t="s">
        <v>781</v>
      </c>
      <c r="B15" s="27" t="s">
        <v>780</v>
      </c>
      <c r="C15" s="27" t="s">
        <v>163</v>
      </c>
      <c r="D15" s="31">
        <v>67</v>
      </c>
      <c r="E15" s="29">
        <v>685.70881999999995</v>
      </c>
      <c r="F15" s="30">
        <v>5.5342327993765901</v>
      </c>
      <c r="G15" s="29">
        <v>3.42</v>
      </c>
    </row>
    <row r="16" spans="1:7" x14ac:dyDescent="0.2">
      <c r="A16" s="27" t="s">
        <v>525</v>
      </c>
      <c r="B16" s="27" t="s">
        <v>524</v>
      </c>
      <c r="C16" s="27" t="s">
        <v>163</v>
      </c>
      <c r="D16" s="31">
        <v>5</v>
      </c>
      <c r="E16" s="29">
        <v>506.9615</v>
      </c>
      <c r="F16" s="30">
        <v>4.0915952653506196</v>
      </c>
      <c r="G16" s="29">
        <v>3.2050999999999998</v>
      </c>
    </row>
    <row r="17" spans="1:9" x14ac:dyDescent="0.2">
      <c r="A17" s="27" t="s">
        <v>608</v>
      </c>
      <c r="B17" s="27" t="s">
        <v>607</v>
      </c>
      <c r="C17" s="27" t="s">
        <v>163</v>
      </c>
      <c r="D17" s="31">
        <v>46</v>
      </c>
      <c r="E17" s="29">
        <v>474.26414</v>
      </c>
      <c r="F17" s="30">
        <v>3.8277007420673601</v>
      </c>
      <c r="G17" s="29">
        <v>3.37</v>
      </c>
    </row>
    <row r="18" spans="1:9" x14ac:dyDescent="0.2">
      <c r="A18" s="27" t="s">
        <v>775</v>
      </c>
      <c r="B18" s="27" t="s">
        <v>774</v>
      </c>
      <c r="C18" s="27" t="s">
        <v>163</v>
      </c>
      <c r="D18" s="31">
        <v>23</v>
      </c>
      <c r="E18" s="29">
        <v>237.16082</v>
      </c>
      <c r="F18" s="30">
        <v>1.9140824071229701</v>
      </c>
      <c r="G18" s="29">
        <v>3.54</v>
      </c>
    </row>
    <row r="19" spans="1:9" x14ac:dyDescent="0.2">
      <c r="A19" s="27" t="s">
        <v>759</v>
      </c>
      <c r="B19" s="27" t="s">
        <v>758</v>
      </c>
      <c r="C19" s="27" t="s">
        <v>163</v>
      </c>
      <c r="D19" s="31">
        <v>20</v>
      </c>
      <c r="E19" s="29">
        <v>203.298</v>
      </c>
      <c r="F19" s="30">
        <v>1.64078166538337</v>
      </c>
      <c r="G19" s="29">
        <v>3.53</v>
      </c>
    </row>
    <row r="20" spans="1:9" x14ac:dyDescent="0.2">
      <c r="A20" s="27" t="s">
        <v>779</v>
      </c>
      <c r="B20" s="27" t="s">
        <v>778</v>
      </c>
      <c r="C20" s="27" t="s">
        <v>163</v>
      </c>
      <c r="D20" s="31">
        <v>17</v>
      </c>
      <c r="E20" s="29">
        <v>172.99744000000001</v>
      </c>
      <c r="F20" s="30">
        <v>1.3962312846671301</v>
      </c>
      <c r="G20" s="29">
        <v>3.53</v>
      </c>
    </row>
    <row r="21" spans="1:9" x14ac:dyDescent="0.2">
      <c r="A21" s="27" t="s">
        <v>277</v>
      </c>
      <c r="B21" s="27" t="s">
        <v>276</v>
      </c>
      <c r="C21" s="27" t="s">
        <v>278</v>
      </c>
      <c r="D21" s="31">
        <v>2</v>
      </c>
      <c r="E21" s="29">
        <v>25.037500000000001</v>
      </c>
      <c r="F21" s="30">
        <v>0.20207316819169899</v>
      </c>
      <c r="G21" s="29">
        <v>3.9125000000000001</v>
      </c>
    </row>
    <row r="22" spans="1:9" x14ac:dyDescent="0.2">
      <c r="A22" s="27" t="s">
        <v>785</v>
      </c>
      <c r="B22" s="27" t="s">
        <v>784</v>
      </c>
      <c r="C22" s="27" t="s">
        <v>483</v>
      </c>
      <c r="D22" s="31">
        <v>4</v>
      </c>
      <c r="E22" s="29">
        <v>20.3813</v>
      </c>
      <c r="F22" s="30">
        <v>0.164493813793928</v>
      </c>
      <c r="G22" s="29">
        <v>4.2098000000000004</v>
      </c>
    </row>
    <row r="23" spans="1:9" x14ac:dyDescent="0.2">
      <c r="A23" s="27" t="s">
        <v>787</v>
      </c>
      <c r="B23" s="27" t="s">
        <v>786</v>
      </c>
      <c r="C23" s="27" t="s">
        <v>163</v>
      </c>
      <c r="D23" s="31">
        <v>1</v>
      </c>
      <c r="E23" s="29">
        <v>12.637460000000001</v>
      </c>
      <c r="F23" s="30">
        <v>0.10199467119703901</v>
      </c>
      <c r="G23" s="29">
        <v>3.9550000000000001</v>
      </c>
    </row>
    <row r="24" spans="1:9" ht="10.5" x14ac:dyDescent="0.25">
      <c r="A24" s="26" t="s">
        <v>164</v>
      </c>
      <c r="B24" s="26"/>
      <c r="C24" s="26"/>
      <c r="D24" s="32"/>
      <c r="E24" s="33">
        <f>SUM(E6:E23)</f>
        <v>10969.155119999998</v>
      </c>
      <c r="F24" s="34">
        <f>SUM(F6:F23)</f>
        <v>88.530081976419197</v>
      </c>
      <c r="G24" s="33"/>
      <c r="H24" s="18"/>
      <c r="I24" s="18"/>
    </row>
    <row r="25" spans="1:9" x14ac:dyDescent="0.2">
      <c r="A25" s="27"/>
      <c r="B25" s="27"/>
      <c r="C25" s="27"/>
      <c r="D25" s="28"/>
      <c r="E25" s="29"/>
      <c r="F25" s="30"/>
      <c r="G25" s="29"/>
    </row>
    <row r="26" spans="1:9" ht="10.5" x14ac:dyDescent="0.25">
      <c r="A26" s="26" t="s">
        <v>165</v>
      </c>
      <c r="B26" s="27"/>
      <c r="C26" s="27"/>
      <c r="D26" s="28"/>
      <c r="E26" s="29"/>
      <c r="F26" s="30"/>
      <c r="G26" s="29"/>
    </row>
    <row r="27" spans="1:9" x14ac:dyDescent="0.2">
      <c r="A27" s="27" t="s">
        <v>612</v>
      </c>
      <c r="B27" s="27" t="s">
        <v>611</v>
      </c>
      <c r="C27" s="27" t="s">
        <v>163</v>
      </c>
      <c r="D27" s="31">
        <v>37</v>
      </c>
      <c r="E27" s="29">
        <v>375.60698000000002</v>
      </c>
      <c r="F27" s="30">
        <v>3.0314565129711899</v>
      </c>
      <c r="G27" s="29">
        <v>3.5571000000000002</v>
      </c>
    </row>
    <row r="28" spans="1:9" ht="10.5" x14ac:dyDescent="0.25">
      <c r="A28" s="26" t="s">
        <v>164</v>
      </c>
      <c r="B28" s="26"/>
      <c r="C28" s="26"/>
      <c r="D28" s="32"/>
      <c r="E28" s="33">
        <f>SUM(E26:E27)</f>
        <v>375.60698000000002</v>
      </c>
      <c r="F28" s="34">
        <f>SUM(F26:F27)</f>
        <v>3.0314565129711899</v>
      </c>
      <c r="G28" s="33"/>
      <c r="H28" s="18"/>
      <c r="I28" s="18"/>
    </row>
    <row r="29" spans="1:9" x14ac:dyDescent="0.2">
      <c r="A29" s="27"/>
      <c r="B29" s="27"/>
      <c r="C29" s="27"/>
      <c r="D29" s="28"/>
      <c r="E29" s="29"/>
      <c r="F29" s="30"/>
      <c r="G29" s="29"/>
    </row>
    <row r="30" spans="1:9" ht="10.5" x14ac:dyDescent="0.25">
      <c r="A30" s="26" t="s">
        <v>352</v>
      </c>
      <c r="B30" s="27"/>
      <c r="C30" s="27"/>
      <c r="D30" s="28"/>
      <c r="E30" s="29"/>
      <c r="F30" s="30"/>
      <c r="G30" s="29"/>
    </row>
    <row r="31" spans="1:9" ht="10.5" x14ac:dyDescent="0.25">
      <c r="A31" s="26" t="s">
        <v>353</v>
      </c>
      <c r="B31" s="27"/>
      <c r="C31" s="27"/>
      <c r="D31" s="28"/>
      <c r="E31" s="29"/>
      <c r="F31" s="30"/>
      <c r="G31" s="29"/>
    </row>
    <row r="32" spans="1:9" x14ac:dyDescent="0.2">
      <c r="A32" s="27" t="s">
        <v>363</v>
      </c>
      <c r="B32" s="27" t="s">
        <v>362</v>
      </c>
      <c r="C32" s="27" t="s">
        <v>359</v>
      </c>
      <c r="D32" s="31">
        <v>112</v>
      </c>
      <c r="E32" s="29">
        <v>111.09369599999999</v>
      </c>
      <c r="F32" s="30">
        <v>0.89661727875568598</v>
      </c>
      <c r="G32" s="29">
        <v>3.07</v>
      </c>
    </row>
    <row r="33" spans="1:9" ht="10.5" x14ac:dyDescent="0.25">
      <c r="A33" s="26" t="s">
        <v>164</v>
      </c>
      <c r="B33" s="26"/>
      <c r="C33" s="26"/>
      <c r="D33" s="32"/>
      <c r="E33" s="33">
        <f>SUM(E31:E32)</f>
        <v>111.09369599999999</v>
      </c>
      <c r="F33" s="34">
        <f>SUM(F31:F32)</f>
        <v>0.89661727875568598</v>
      </c>
      <c r="G33" s="33"/>
      <c r="H33" s="18"/>
      <c r="I33" s="18"/>
    </row>
    <row r="34" spans="1:9" x14ac:dyDescent="0.2">
      <c r="A34" s="27"/>
      <c r="B34" s="27"/>
      <c r="C34" s="27"/>
      <c r="D34" s="28"/>
      <c r="E34" s="29"/>
      <c r="F34" s="30"/>
      <c r="G34" s="29"/>
    </row>
    <row r="35" spans="1:9" ht="10.5" x14ac:dyDescent="0.25">
      <c r="A35" s="26" t="s">
        <v>176</v>
      </c>
      <c r="B35" s="26"/>
      <c r="C35" s="26"/>
      <c r="D35" s="32"/>
      <c r="E35" s="33">
        <f>E24+E28+E33</f>
        <v>11455.855795999998</v>
      </c>
      <c r="F35" s="34">
        <f>F24+F28+F33</f>
        <v>92.458155768146071</v>
      </c>
      <c r="G35" s="33"/>
      <c r="H35" s="18"/>
      <c r="I35" s="18"/>
    </row>
    <row r="36" spans="1:9" ht="10.5" x14ac:dyDescent="0.25">
      <c r="A36" s="26"/>
      <c r="B36" s="26"/>
      <c r="C36" s="26"/>
      <c r="D36" s="32"/>
      <c r="E36" s="33"/>
      <c r="F36" s="34"/>
      <c r="G36" s="33"/>
      <c r="H36" s="18"/>
      <c r="I36" s="18"/>
    </row>
    <row r="37" spans="1:9" ht="10.5" x14ac:dyDescent="0.25">
      <c r="A37" s="26" t="s">
        <v>178</v>
      </c>
      <c r="B37" s="26"/>
      <c r="C37" s="26"/>
      <c r="D37" s="32"/>
      <c r="E37" s="33">
        <f>E39-(E24+E28+E33)</f>
        <v>934.45817990000251</v>
      </c>
      <c r="F37" s="34">
        <f>F39-(F24+F28+F33)</f>
        <v>7.5418442318539292</v>
      </c>
      <c r="G37" s="33"/>
      <c r="H37" s="18"/>
      <c r="I37" s="18"/>
    </row>
    <row r="38" spans="1:9" ht="10.5" x14ac:dyDescent="0.25">
      <c r="A38" s="26"/>
      <c r="B38" s="26"/>
      <c r="C38" s="26"/>
      <c r="D38" s="32"/>
      <c r="E38" s="33"/>
      <c r="F38" s="34"/>
      <c r="G38" s="33"/>
      <c r="H38" s="18"/>
      <c r="I38" s="18"/>
    </row>
    <row r="39" spans="1:9" ht="10.5" x14ac:dyDescent="0.25">
      <c r="A39" s="35" t="s">
        <v>177</v>
      </c>
      <c r="B39" s="35"/>
      <c r="C39" s="35"/>
      <c r="D39" s="36"/>
      <c r="E39" s="37">
        <v>12390.313975900001</v>
      </c>
      <c r="F39" s="38">
        <v>100</v>
      </c>
      <c r="G39" s="37"/>
      <c r="H39" s="18"/>
      <c r="I39" s="18"/>
    </row>
    <row r="41" spans="1:9" ht="10.5" x14ac:dyDescent="0.25">
      <c r="A41" s="18" t="s">
        <v>180</v>
      </c>
    </row>
    <row r="43" spans="1:9" ht="10.5" x14ac:dyDescent="0.25">
      <c r="A43" s="18" t="s">
        <v>181</v>
      </c>
    </row>
    <row r="44" spans="1:9" ht="10.5" x14ac:dyDescent="0.25">
      <c r="A44" s="18" t="s">
        <v>182</v>
      </c>
    </row>
    <row r="45" spans="1:9" ht="10.5" x14ac:dyDescent="0.25">
      <c r="A45" s="18" t="s">
        <v>183</v>
      </c>
      <c r="B45" s="18"/>
      <c r="C45" s="39" t="s">
        <v>185</v>
      </c>
      <c r="D45" s="19" t="s">
        <v>184</v>
      </c>
    </row>
    <row r="46" spans="1:9" x14ac:dyDescent="0.2">
      <c r="A46" s="9" t="s">
        <v>421</v>
      </c>
      <c r="C46" s="40">
        <v>11.854200000000001</v>
      </c>
      <c r="D46" s="40">
        <v>12.2883</v>
      </c>
    </row>
    <row r="47" spans="1:9" x14ac:dyDescent="0.2">
      <c r="A47" s="9" t="s">
        <v>723</v>
      </c>
      <c r="C47" s="40">
        <v>11.148400000000001</v>
      </c>
      <c r="D47" s="40">
        <v>10.649800000000001</v>
      </c>
    </row>
    <row r="48" spans="1:9" x14ac:dyDescent="0.2">
      <c r="A48" s="9" t="s">
        <v>423</v>
      </c>
      <c r="C48" s="40">
        <v>10.448499999999999</v>
      </c>
      <c r="D48" s="40">
        <v>10.4442</v>
      </c>
    </row>
    <row r="49" spans="1:5" x14ac:dyDescent="0.2">
      <c r="A49" s="9" t="s">
        <v>424</v>
      </c>
      <c r="C49" s="40">
        <v>11.973000000000001</v>
      </c>
      <c r="D49" s="40">
        <v>12.4115</v>
      </c>
    </row>
    <row r="50" spans="1:5" x14ac:dyDescent="0.2">
      <c r="A50" s="9" t="s">
        <v>459</v>
      </c>
      <c r="C50" s="40">
        <v>11.2674</v>
      </c>
      <c r="D50" s="40">
        <v>10.774100000000001</v>
      </c>
    </row>
    <row r="51" spans="1:5" x14ac:dyDescent="0.2">
      <c r="A51" s="9" t="s">
        <v>426</v>
      </c>
      <c r="C51" s="40">
        <v>10.5183</v>
      </c>
      <c r="D51" s="40">
        <v>10.5154</v>
      </c>
    </row>
    <row r="53" spans="1:5" ht="10.5" x14ac:dyDescent="0.25">
      <c r="A53" s="18" t="s">
        <v>197</v>
      </c>
    </row>
    <row r="54" spans="1:5" ht="10.5" x14ac:dyDescent="0.25">
      <c r="A54" s="73" t="s">
        <v>403</v>
      </c>
      <c r="B54" s="74"/>
      <c r="C54" s="45" t="s">
        <v>404</v>
      </c>
    </row>
    <row r="55" spans="1:5" x14ac:dyDescent="0.2">
      <c r="A55" s="69" t="s">
        <v>723</v>
      </c>
      <c r="B55" s="70"/>
      <c r="C55" s="46">
        <v>0.88500000000000001</v>
      </c>
    </row>
    <row r="56" spans="1:5" x14ac:dyDescent="0.2">
      <c r="A56" s="69" t="s">
        <v>423</v>
      </c>
      <c r="B56" s="70"/>
      <c r="C56" s="46">
        <v>0.38</v>
      </c>
    </row>
    <row r="57" spans="1:5" x14ac:dyDescent="0.2">
      <c r="A57" s="69" t="s">
        <v>459</v>
      </c>
      <c r="B57" s="70"/>
      <c r="C57" s="46">
        <v>0.88500000000000001</v>
      </c>
    </row>
    <row r="58" spans="1:5" x14ac:dyDescent="0.2">
      <c r="A58" s="69" t="s">
        <v>426</v>
      </c>
      <c r="B58" s="70"/>
      <c r="C58" s="46">
        <v>0.38</v>
      </c>
    </row>
    <row r="59" spans="1:5" x14ac:dyDescent="0.2">
      <c r="A59" s="9" t="s">
        <v>405</v>
      </c>
    </row>
    <row r="61" spans="1:5" ht="10.5" x14ac:dyDescent="0.25">
      <c r="A61" s="18" t="s">
        <v>199</v>
      </c>
      <c r="D61" s="42">
        <v>0.46673344049315102</v>
      </c>
      <c r="E61" s="13" t="s">
        <v>200</v>
      </c>
    </row>
    <row r="63" spans="1:5" ht="10.5" x14ac:dyDescent="0.25">
      <c r="A63" s="18" t="s">
        <v>201</v>
      </c>
      <c r="D63" s="41" t="s">
        <v>198</v>
      </c>
    </row>
  </sheetData>
  <mergeCells count="6">
    <mergeCell ref="A58:B58"/>
    <mergeCell ref="A1:G1"/>
    <mergeCell ref="A54:B54"/>
    <mergeCell ref="A55:B55"/>
    <mergeCell ref="A56:B56"/>
    <mergeCell ref="A57:B57"/>
  </mergeCells>
  <conditionalFormatting sqref="F2:F3 F5:F65536">
    <cfRule type="cellIs" dxfId="4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I60"/>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34</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759</v>
      </c>
      <c r="B7" s="27" t="s">
        <v>758</v>
      </c>
      <c r="C7" s="27" t="s">
        <v>163</v>
      </c>
      <c r="D7" s="31">
        <v>105</v>
      </c>
      <c r="E7" s="29">
        <v>1067.3145</v>
      </c>
      <c r="F7" s="30">
        <v>10.0825070436722</v>
      </c>
      <c r="G7" s="29">
        <v>3.53</v>
      </c>
    </row>
    <row r="8" spans="1:7" x14ac:dyDescent="0.2">
      <c r="A8" s="27" t="s">
        <v>799</v>
      </c>
      <c r="B8" s="27" t="s">
        <v>798</v>
      </c>
      <c r="C8" s="27" t="s">
        <v>523</v>
      </c>
      <c r="D8" s="31">
        <v>100</v>
      </c>
      <c r="E8" s="29">
        <v>1018.347</v>
      </c>
      <c r="F8" s="30">
        <v>9.6199300210035901</v>
      </c>
      <c r="G8" s="29">
        <v>3.5019999999999998</v>
      </c>
    </row>
    <row r="9" spans="1:7" x14ac:dyDescent="0.2">
      <c r="A9" s="27" t="s">
        <v>785</v>
      </c>
      <c r="B9" s="27" t="s">
        <v>784</v>
      </c>
      <c r="C9" s="27" t="s">
        <v>483</v>
      </c>
      <c r="D9" s="31">
        <v>170</v>
      </c>
      <c r="E9" s="29">
        <v>866.20524999999998</v>
      </c>
      <c r="F9" s="30">
        <v>8.1827057857743206</v>
      </c>
      <c r="G9" s="29">
        <v>4.2098000000000004</v>
      </c>
    </row>
    <row r="10" spans="1:7" x14ac:dyDescent="0.2">
      <c r="A10" s="27" t="s">
        <v>580</v>
      </c>
      <c r="B10" s="27" t="s">
        <v>579</v>
      </c>
      <c r="C10" s="27" t="s">
        <v>523</v>
      </c>
      <c r="D10" s="31">
        <v>63</v>
      </c>
      <c r="E10" s="29">
        <v>792.27855</v>
      </c>
      <c r="F10" s="30">
        <v>7.4843488596148404</v>
      </c>
      <c r="G10" s="29">
        <v>5.17</v>
      </c>
    </row>
    <row r="11" spans="1:7" x14ac:dyDescent="0.2">
      <c r="A11" s="27" t="s">
        <v>801</v>
      </c>
      <c r="B11" s="27" t="s">
        <v>800</v>
      </c>
      <c r="C11" s="27" t="s">
        <v>483</v>
      </c>
      <c r="D11" s="31">
        <v>78</v>
      </c>
      <c r="E11" s="29">
        <v>791.93790000000001</v>
      </c>
      <c r="F11" s="30">
        <v>7.4811308708922803</v>
      </c>
      <c r="G11" s="29">
        <v>3.9125000000000001</v>
      </c>
    </row>
    <row r="12" spans="1:7" x14ac:dyDescent="0.2">
      <c r="A12" s="27" t="s">
        <v>789</v>
      </c>
      <c r="B12" s="27" t="s">
        <v>788</v>
      </c>
      <c r="C12" s="27" t="s">
        <v>163</v>
      </c>
      <c r="D12" s="31">
        <v>50</v>
      </c>
      <c r="E12" s="29">
        <v>629.79999999999995</v>
      </c>
      <c r="F12" s="30">
        <v>5.9494768750023903</v>
      </c>
      <c r="G12" s="29">
        <v>4.1247999999999996</v>
      </c>
    </row>
    <row r="13" spans="1:7" x14ac:dyDescent="0.2">
      <c r="A13" s="27" t="s">
        <v>803</v>
      </c>
      <c r="B13" s="27" t="s">
        <v>802</v>
      </c>
      <c r="C13" s="27" t="s">
        <v>523</v>
      </c>
      <c r="D13" s="31">
        <v>52</v>
      </c>
      <c r="E13" s="29">
        <v>527.86551999999995</v>
      </c>
      <c r="F13" s="30">
        <v>4.9865412898556896</v>
      </c>
      <c r="G13" s="29">
        <v>3.4340999999999999</v>
      </c>
    </row>
    <row r="14" spans="1:7" x14ac:dyDescent="0.2">
      <c r="A14" s="27" t="s">
        <v>805</v>
      </c>
      <c r="B14" s="27" t="s">
        <v>804</v>
      </c>
      <c r="C14" s="27" t="s">
        <v>523</v>
      </c>
      <c r="D14" s="31">
        <v>50</v>
      </c>
      <c r="E14" s="29">
        <v>514.375</v>
      </c>
      <c r="F14" s="30">
        <v>4.8591015680840801</v>
      </c>
      <c r="G14" s="29">
        <v>3.9449999999999998</v>
      </c>
    </row>
    <row r="15" spans="1:7" x14ac:dyDescent="0.2">
      <c r="A15" s="27" t="s">
        <v>779</v>
      </c>
      <c r="B15" s="27" t="s">
        <v>778</v>
      </c>
      <c r="C15" s="27" t="s">
        <v>163</v>
      </c>
      <c r="D15" s="31">
        <v>50</v>
      </c>
      <c r="E15" s="29">
        <v>508.81599999999997</v>
      </c>
      <c r="F15" s="30">
        <v>4.8065878463499798</v>
      </c>
      <c r="G15" s="29">
        <v>3.53</v>
      </c>
    </row>
    <row r="16" spans="1:7" x14ac:dyDescent="0.2">
      <c r="A16" s="27" t="s">
        <v>787</v>
      </c>
      <c r="B16" s="27" t="s">
        <v>786</v>
      </c>
      <c r="C16" s="27" t="s">
        <v>163</v>
      </c>
      <c r="D16" s="31">
        <v>39</v>
      </c>
      <c r="E16" s="29">
        <v>492.86094000000003</v>
      </c>
      <c r="F16" s="30">
        <v>4.6558665689455996</v>
      </c>
      <c r="G16" s="29">
        <v>3.9550000000000001</v>
      </c>
    </row>
    <row r="17" spans="1:9" x14ac:dyDescent="0.2">
      <c r="A17" s="27" t="s">
        <v>791</v>
      </c>
      <c r="B17" s="27" t="s">
        <v>790</v>
      </c>
      <c r="C17" s="27" t="s">
        <v>163</v>
      </c>
      <c r="D17" s="31">
        <v>31</v>
      </c>
      <c r="E17" s="29">
        <v>318.25313</v>
      </c>
      <c r="F17" s="30">
        <v>3.0064141589903599</v>
      </c>
      <c r="G17" s="29">
        <v>3.5798999999999999</v>
      </c>
    </row>
    <row r="18" spans="1:9" x14ac:dyDescent="0.2">
      <c r="A18" s="27" t="s">
        <v>606</v>
      </c>
      <c r="B18" s="27" t="s">
        <v>605</v>
      </c>
      <c r="C18" s="27" t="s">
        <v>163</v>
      </c>
      <c r="D18" s="31">
        <v>28</v>
      </c>
      <c r="E18" s="29">
        <v>283.5616</v>
      </c>
      <c r="F18" s="30">
        <v>2.6786967002837101</v>
      </c>
      <c r="G18" s="29">
        <v>3.2397999999999998</v>
      </c>
    </row>
    <row r="19" spans="1:9" x14ac:dyDescent="0.2">
      <c r="A19" s="27" t="s">
        <v>807</v>
      </c>
      <c r="B19" s="27" t="s">
        <v>806</v>
      </c>
      <c r="C19" s="27" t="s">
        <v>163</v>
      </c>
      <c r="D19" s="31">
        <v>26</v>
      </c>
      <c r="E19" s="29">
        <v>265.28554000000003</v>
      </c>
      <c r="F19" s="30">
        <v>2.5060498340783099</v>
      </c>
      <c r="G19" s="29">
        <v>3.53</v>
      </c>
    </row>
    <row r="20" spans="1:9" x14ac:dyDescent="0.2">
      <c r="A20" s="27" t="s">
        <v>809</v>
      </c>
      <c r="B20" s="27" t="s">
        <v>808</v>
      </c>
      <c r="C20" s="27" t="s">
        <v>163</v>
      </c>
      <c r="D20" s="31">
        <v>21</v>
      </c>
      <c r="E20" s="29">
        <v>263.74025999999998</v>
      </c>
      <c r="F20" s="30">
        <v>2.49145217192302</v>
      </c>
      <c r="G20" s="29">
        <v>3.7149999999999999</v>
      </c>
    </row>
    <row r="21" spans="1:9" x14ac:dyDescent="0.2">
      <c r="A21" s="27" t="s">
        <v>525</v>
      </c>
      <c r="B21" s="27" t="s">
        <v>524</v>
      </c>
      <c r="C21" s="27" t="s">
        <v>163</v>
      </c>
      <c r="D21" s="31">
        <v>1</v>
      </c>
      <c r="E21" s="29">
        <v>101.39230000000001</v>
      </c>
      <c r="F21" s="30">
        <v>0.95781382050381803</v>
      </c>
      <c r="G21" s="29">
        <v>3.2050999999999998</v>
      </c>
    </row>
    <row r="22" spans="1:9" x14ac:dyDescent="0.2">
      <c r="A22" s="27" t="s">
        <v>277</v>
      </c>
      <c r="B22" s="27" t="s">
        <v>276</v>
      </c>
      <c r="C22" s="27" t="s">
        <v>278</v>
      </c>
      <c r="D22" s="31">
        <v>6</v>
      </c>
      <c r="E22" s="29">
        <v>75.112499999999997</v>
      </c>
      <c r="F22" s="30">
        <v>0.70955871986919195</v>
      </c>
      <c r="G22" s="29">
        <v>3.9125000000000001</v>
      </c>
    </row>
    <row r="23" spans="1:9" x14ac:dyDescent="0.2">
      <c r="A23" s="27" t="s">
        <v>608</v>
      </c>
      <c r="B23" s="27" t="s">
        <v>607</v>
      </c>
      <c r="C23" s="27" t="s">
        <v>163</v>
      </c>
      <c r="D23" s="31">
        <v>2</v>
      </c>
      <c r="E23" s="29">
        <v>20.620180000000001</v>
      </c>
      <c r="F23" s="30">
        <v>0.194790860699249</v>
      </c>
      <c r="G23" s="29">
        <v>3.37</v>
      </c>
    </row>
    <row r="24" spans="1:9" x14ac:dyDescent="0.2">
      <c r="A24" s="27" t="s">
        <v>275</v>
      </c>
      <c r="B24" s="27" t="s">
        <v>274</v>
      </c>
      <c r="C24" s="27" t="s">
        <v>163</v>
      </c>
      <c r="D24" s="31">
        <v>1</v>
      </c>
      <c r="E24" s="29">
        <v>10.13402</v>
      </c>
      <c r="F24" s="30">
        <v>9.5732165196589003E-2</v>
      </c>
      <c r="G24" s="29">
        <v>4.6651999999999996</v>
      </c>
    </row>
    <row r="25" spans="1:9" x14ac:dyDescent="0.2">
      <c r="A25" s="27" t="s">
        <v>811</v>
      </c>
      <c r="B25" s="27" t="s">
        <v>810</v>
      </c>
      <c r="C25" s="27" t="s">
        <v>163</v>
      </c>
      <c r="D25" s="31">
        <v>1</v>
      </c>
      <c r="E25" s="29">
        <v>10.05317</v>
      </c>
      <c r="F25" s="30">
        <v>9.4968406534562996E-2</v>
      </c>
      <c r="G25" s="29">
        <v>3.125</v>
      </c>
    </row>
    <row r="26" spans="1:9" ht="10.5" x14ac:dyDescent="0.25">
      <c r="A26" s="26" t="s">
        <v>164</v>
      </c>
      <c r="B26" s="26"/>
      <c r="C26" s="26"/>
      <c r="D26" s="32"/>
      <c r="E26" s="33">
        <f>SUM(E6:E25)</f>
        <v>8557.9533599999977</v>
      </c>
      <c r="F26" s="34">
        <f>SUM(F6:F25)</f>
        <v>80.843673567273768</v>
      </c>
      <c r="G26" s="33"/>
      <c r="H26" s="18"/>
      <c r="I26" s="18"/>
    </row>
    <row r="27" spans="1:9" x14ac:dyDescent="0.2">
      <c r="A27" s="27"/>
      <c r="B27" s="27"/>
      <c r="C27" s="27"/>
      <c r="D27" s="28"/>
      <c r="E27" s="29"/>
      <c r="F27" s="30"/>
      <c r="G27" s="29"/>
    </row>
    <row r="28" spans="1:9" ht="10.5" x14ac:dyDescent="0.25">
      <c r="A28" s="26" t="s">
        <v>165</v>
      </c>
      <c r="B28" s="27"/>
      <c r="C28" s="27"/>
      <c r="D28" s="28"/>
      <c r="E28" s="29"/>
      <c r="F28" s="30"/>
      <c r="G28" s="29"/>
    </row>
    <row r="29" spans="1:9" x14ac:dyDescent="0.2">
      <c r="A29" s="27" t="s">
        <v>813</v>
      </c>
      <c r="B29" s="27" t="s">
        <v>812</v>
      </c>
      <c r="C29" s="27" t="s">
        <v>483</v>
      </c>
      <c r="D29" s="31">
        <v>95</v>
      </c>
      <c r="E29" s="29">
        <v>959.06870000000004</v>
      </c>
      <c r="F29" s="30">
        <v>9.0599508608901296</v>
      </c>
      <c r="G29" s="29">
        <v>3.8948</v>
      </c>
    </row>
    <row r="30" spans="1:9" x14ac:dyDescent="0.2">
      <c r="A30" s="27" t="s">
        <v>612</v>
      </c>
      <c r="B30" s="27" t="s">
        <v>611</v>
      </c>
      <c r="C30" s="27" t="s">
        <v>163</v>
      </c>
      <c r="D30" s="31">
        <v>3</v>
      </c>
      <c r="E30" s="29">
        <v>30.454619999999998</v>
      </c>
      <c r="F30" s="30">
        <v>0.28769300956968102</v>
      </c>
      <c r="G30" s="29">
        <v>3.5571000000000002</v>
      </c>
    </row>
    <row r="31" spans="1:9" ht="10.5" x14ac:dyDescent="0.25">
      <c r="A31" s="26" t="s">
        <v>164</v>
      </c>
      <c r="B31" s="26"/>
      <c r="C31" s="26"/>
      <c r="D31" s="32"/>
      <c r="E31" s="33">
        <f>SUM(E28:E30)</f>
        <v>989.52332000000001</v>
      </c>
      <c r="F31" s="34">
        <f>SUM(F28:F30)</f>
        <v>9.3476438704598106</v>
      </c>
      <c r="G31" s="33"/>
      <c r="H31" s="18"/>
      <c r="I31" s="18"/>
    </row>
    <row r="32" spans="1:9" x14ac:dyDescent="0.2">
      <c r="A32" s="27"/>
      <c r="B32" s="27"/>
      <c r="C32" s="27"/>
      <c r="D32" s="28"/>
      <c r="E32" s="29"/>
      <c r="F32" s="30"/>
      <c r="G32" s="29"/>
    </row>
    <row r="33" spans="1:9" ht="10.5" x14ac:dyDescent="0.25">
      <c r="A33" s="26" t="s">
        <v>352</v>
      </c>
      <c r="B33" s="27"/>
      <c r="C33" s="27"/>
      <c r="D33" s="28"/>
      <c r="E33" s="29"/>
      <c r="F33" s="30"/>
      <c r="G33" s="29"/>
    </row>
    <row r="34" spans="1:9" ht="10.5" x14ac:dyDescent="0.25">
      <c r="A34" s="26" t="s">
        <v>353</v>
      </c>
      <c r="B34" s="27"/>
      <c r="C34" s="27"/>
      <c r="D34" s="28"/>
      <c r="E34" s="29"/>
      <c r="F34" s="30"/>
      <c r="G34" s="29"/>
    </row>
    <row r="35" spans="1:9" x14ac:dyDescent="0.2">
      <c r="A35" s="27" t="s">
        <v>363</v>
      </c>
      <c r="B35" s="27" t="s">
        <v>362</v>
      </c>
      <c r="C35" s="27" t="s">
        <v>359</v>
      </c>
      <c r="D35" s="31">
        <v>91</v>
      </c>
      <c r="E35" s="29">
        <v>90.263627999999997</v>
      </c>
      <c r="F35" s="30">
        <v>0.85268556278154695</v>
      </c>
      <c r="G35" s="29">
        <v>3.07</v>
      </c>
    </row>
    <row r="36" spans="1:9" ht="10.5" x14ac:dyDescent="0.25">
      <c r="A36" s="26" t="s">
        <v>164</v>
      </c>
      <c r="B36" s="26"/>
      <c r="C36" s="26"/>
      <c r="D36" s="32"/>
      <c r="E36" s="33">
        <f>SUM(E34:E35)</f>
        <v>90.263627999999997</v>
      </c>
      <c r="F36" s="34">
        <f>SUM(F34:F35)</f>
        <v>0.85268556278154695</v>
      </c>
      <c r="G36" s="33"/>
      <c r="H36" s="18"/>
      <c r="I36" s="18"/>
    </row>
    <row r="37" spans="1:9" x14ac:dyDescent="0.2">
      <c r="A37" s="27"/>
      <c r="B37" s="27"/>
      <c r="C37" s="27"/>
      <c r="D37" s="28"/>
      <c r="E37" s="29"/>
      <c r="F37" s="30"/>
      <c r="G37" s="29"/>
    </row>
    <row r="38" spans="1:9" ht="10.5" x14ac:dyDescent="0.25">
      <c r="A38" s="26" t="s">
        <v>176</v>
      </c>
      <c r="B38" s="26"/>
      <c r="C38" s="26"/>
      <c r="D38" s="32"/>
      <c r="E38" s="33">
        <f>E26+E31+E36</f>
        <v>9637.7403079999985</v>
      </c>
      <c r="F38" s="34">
        <f>F26+F31+F36</f>
        <v>91.044003000515119</v>
      </c>
      <c r="G38" s="33"/>
      <c r="H38" s="18"/>
      <c r="I38" s="18"/>
    </row>
    <row r="39" spans="1:9" ht="10.5" x14ac:dyDescent="0.25">
      <c r="A39" s="26"/>
      <c r="B39" s="26"/>
      <c r="C39" s="26"/>
      <c r="D39" s="32"/>
      <c r="E39" s="33"/>
      <c r="F39" s="34"/>
      <c r="G39" s="33"/>
      <c r="H39" s="18"/>
      <c r="I39" s="18"/>
    </row>
    <row r="40" spans="1:9" ht="10.5" x14ac:dyDescent="0.25">
      <c r="A40" s="26" t="s">
        <v>178</v>
      </c>
      <c r="B40" s="26"/>
      <c r="C40" s="26"/>
      <c r="D40" s="32"/>
      <c r="E40" s="33">
        <f>E42-(E26+E31+E36)</f>
        <v>948.06434730000183</v>
      </c>
      <c r="F40" s="34">
        <f>F42-(F26+F31+F36)</f>
        <v>8.9559969994848814</v>
      </c>
      <c r="G40" s="33"/>
      <c r="H40" s="18"/>
      <c r="I40" s="18"/>
    </row>
    <row r="41" spans="1:9" ht="10.5" x14ac:dyDescent="0.25">
      <c r="A41" s="26"/>
      <c r="B41" s="26"/>
      <c r="C41" s="26"/>
      <c r="D41" s="32"/>
      <c r="E41" s="33"/>
      <c r="F41" s="34"/>
      <c r="G41" s="33"/>
      <c r="H41" s="18"/>
      <c r="I41" s="18"/>
    </row>
    <row r="42" spans="1:9" ht="10.5" x14ac:dyDescent="0.25">
      <c r="A42" s="35" t="s">
        <v>177</v>
      </c>
      <c r="B42" s="35"/>
      <c r="C42" s="35"/>
      <c r="D42" s="36"/>
      <c r="E42" s="37">
        <v>10585.8046553</v>
      </c>
      <c r="F42" s="38">
        <v>100</v>
      </c>
      <c r="G42" s="37"/>
      <c r="H42" s="18"/>
      <c r="I42" s="18"/>
    </row>
    <row r="44" spans="1:9" ht="10.5" x14ac:dyDescent="0.25">
      <c r="A44" s="18" t="s">
        <v>180</v>
      </c>
    </row>
    <row r="46" spans="1:9" ht="10.5" x14ac:dyDescent="0.25">
      <c r="A46" s="18" t="s">
        <v>181</v>
      </c>
    </row>
    <row r="47" spans="1:9" ht="10.5" x14ac:dyDescent="0.25">
      <c r="A47" s="18" t="s">
        <v>182</v>
      </c>
    </row>
    <row r="48" spans="1:9" ht="10.5" x14ac:dyDescent="0.25">
      <c r="A48" s="18" t="s">
        <v>183</v>
      </c>
      <c r="B48" s="18"/>
      <c r="C48" s="39" t="s">
        <v>185</v>
      </c>
      <c r="D48" s="19" t="s">
        <v>184</v>
      </c>
    </row>
    <row r="49" spans="1:5" x14ac:dyDescent="0.2">
      <c r="A49" s="9" t="s">
        <v>421</v>
      </c>
      <c r="C49" s="40">
        <v>11.944599999999999</v>
      </c>
      <c r="D49" s="40">
        <v>12.3584</v>
      </c>
    </row>
    <row r="50" spans="1:5" x14ac:dyDescent="0.2">
      <c r="A50" s="9" t="s">
        <v>723</v>
      </c>
      <c r="C50" s="40">
        <v>11.232799999999999</v>
      </c>
      <c r="D50" s="40">
        <v>10.618</v>
      </c>
    </row>
    <row r="51" spans="1:5" x14ac:dyDescent="0.2">
      <c r="A51" s="9" t="s">
        <v>424</v>
      </c>
      <c r="C51" s="40">
        <v>12.0345</v>
      </c>
      <c r="D51" s="40">
        <v>12.4514</v>
      </c>
    </row>
    <row r="53" spans="1:5" ht="10.5" x14ac:dyDescent="0.25">
      <c r="A53" s="18" t="s">
        <v>197</v>
      </c>
    </row>
    <row r="54" spans="1:5" ht="10.5" x14ac:dyDescent="0.25">
      <c r="A54" s="73" t="s">
        <v>403</v>
      </c>
      <c r="B54" s="74"/>
      <c r="C54" s="45" t="s">
        <v>404</v>
      </c>
    </row>
    <row r="55" spans="1:5" x14ac:dyDescent="0.2">
      <c r="A55" s="69" t="s">
        <v>723</v>
      </c>
      <c r="B55" s="70"/>
      <c r="C55" s="46">
        <v>0.98</v>
      </c>
    </row>
    <row r="56" spans="1:5" x14ac:dyDescent="0.2">
      <c r="A56" s="9" t="s">
        <v>405</v>
      </c>
    </row>
    <row r="58" spans="1:5" ht="10.5" x14ac:dyDescent="0.25">
      <c r="A58" s="18" t="s">
        <v>199</v>
      </c>
      <c r="D58" s="42">
        <v>0.368514757424658</v>
      </c>
      <c r="E58" s="13" t="s">
        <v>200</v>
      </c>
    </row>
    <row r="60" spans="1:5" ht="10.5" x14ac:dyDescent="0.25">
      <c r="A60" s="18" t="s">
        <v>201</v>
      </c>
      <c r="D60" s="41" t="s">
        <v>198</v>
      </c>
    </row>
  </sheetData>
  <mergeCells count="3">
    <mergeCell ref="A1:G1"/>
    <mergeCell ref="A54:B54"/>
    <mergeCell ref="A55:B55"/>
  </mergeCells>
  <conditionalFormatting sqref="F2:F3 F5:F65536">
    <cfRule type="cellIs" dxfId="4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I68"/>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35</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815</v>
      </c>
      <c r="B7" s="27" t="s">
        <v>814</v>
      </c>
      <c r="C7" s="27" t="s">
        <v>163</v>
      </c>
      <c r="D7" s="31">
        <v>173</v>
      </c>
      <c r="E7" s="29">
        <v>1756.64373</v>
      </c>
      <c r="F7" s="30">
        <v>9.3451909228802297</v>
      </c>
      <c r="G7" s="29">
        <v>3.53</v>
      </c>
    </row>
    <row r="8" spans="1:7" x14ac:dyDescent="0.2">
      <c r="A8" s="27" t="s">
        <v>817</v>
      </c>
      <c r="B8" s="27" t="s">
        <v>816</v>
      </c>
      <c r="C8" s="27" t="s">
        <v>163</v>
      </c>
      <c r="D8" s="31">
        <v>161</v>
      </c>
      <c r="E8" s="29">
        <v>1630.0525500000001</v>
      </c>
      <c r="F8" s="30">
        <v>8.6717369230457209</v>
      </c>
      <c r="G8" s="29">
        <v>3.2351000000000001</v>
      </c>
    </row>
    <row r="9" spans="1:7" x14ac:dyDescent="0.2">
      <c r="A9" s="27" t="s">
        <v>785</v>
      </c>
      <c r="B9" s="27" t="s">
        <v>784</v>
      </c>
      <c r="C9" s="27" t="s">
        <v>483</v>
      </c>
      <c r="D9" s="31">
        <v>300</v>
      </c>
      <c r="E9" s="29">
        <v>1528.5975000000001</v>
      </c>
      <c r="F9" s="30">
        <v>8.1320049351938906</v>
      </c>
      <c r="G9" s="29">
        <v>4.2098000000000004</v>
      </c>
    </row>
    <row r="10" spans="1:7" x14ac:dyDescent="0.2">
      <c r="A10" s="27" t="s">
        <v>803</v>
      </c>
      <c r="B10" s="27" t="s">
        <v>802</v>
      </c>
      <c r="C10" s="27" t="s">
        <v>523</v>
      </c>
      <c r="D10" s="31">
        <v>150</v>
      </c>
      <c r="E10" s="29">
        <v>1522.6890000000001</v>
      </c>
      <c r="F10" s="30">
        <v>8.1005722322360505</v>
      </c>
      <c r="G10" s="29">
        <v>3.4340999999999999</v>
      </c>
    </row>
    <row r="11" spans="1:7" x14ac:dyDescent="0.2">
      <c r="A11" s="27" t="s">
        <v>819</v>
      </c>
      <c r="B11" s="27" t="s">
        <v>818</v>
      </c>
      <c r="C11" s="27" t="s">
        <v>483</v>
      </c>
      <c r="D11" s="31">
        <v>149</v>
      </c>
      <c r="E11" s="29">
        <v>1510.9255599999999</v>
      </c>
      <c r="F11" s="30">
        <v>8.0379917608334406</v>
      </c>
      <c r="G11" s="29">
        <v>3.5049000000000001</v>
      </c>
    </row>
    <row r="12" spans="1:7" x14ac:dyDescent="0.2">
      <c r="A12" s="27" t="s">
        <v>821</v>
      </c>
      <c r="B12" s="27" t="s">
        <v>820</v>
      </c>
      <c r="C12" s="27" t="s">
        <v>163</v>
      </c>
      <c r="D12" s="31">
        <v>128</v>
      </c>
      <c r="E12" s="29">
        <v>1256.8191999999999</v>
      </c>
      <c r="F12" s="30">
        <v>6.6861681620220104</v>
      </c>
      <c r="G12" s="29">
        <v>3.74</v>
      </c>
    </row>
    <row r="13" spans="1:7" x14ac:dyDescent="0.2">
      <c r="A13" s="27" t="s">
        <v>809</v>
      </c>
      <c r="B13" s="27" t="s">
        <v>808</v>
      </c>
      <c r="C13" s="27" t="s">
        <v>163</v>
      </c>
      <c r="D13" s="31">
        <v>89</v>
      </c>
      <c r="E13" s="29">
        <v>1117.7563399999999</v>
      </c>
      <c r="F13" s="30">
        <v>5.9463659159617004</v>
      </c>
      <c r="G13" s="29">
        <v>3.7149999999999999</v>
      </c>
    </row>
    <row r="14" spans="1:7" x14ac:dyDescent="0.2">
      <c r="A14" s="27" t="s">
        <v>787</v>
      </c>
      <c r="B14" s="27" t="s">
        <v>786</v>
      </c>
      <c r="C14" s="27" t="s">
        <v>163</v>
      </c>
      <c r="D14" s="31">
        <v>84</v>
      </c>
      <c r="E14" s="29">
        <v>1061.54664</v>
      </c>
      <c r="F14" s="30">
        <v>5.6473352307710103</v>
      </c>
      <c r="G14" s="29">
        <v>3.9550000000000001</v>
      </c>
    </row>
    <row r="15" spans="1:7" x14ac:dyDescent="0.2">
      <c r="A15" s="27" t="s">
        <v>781</v>
      </c>
      <c r="B15" s="27" t="s">
        <v>780</v>
      </c>
      <c r="C15" s="27" t="s">
        <v>163</v>
      </c>
      <c r="D15" s="31">
        <v>101</v>
      </c>
      <c r="E15" s="29">
        <v>1033.68046</v>
      </c>
      <c r="F15" s="30">
        <v>5.4990895916900904</v>
      </c>
      <c r="G15" s="29">
        <v>3.42</v>
      </c>
    </row>
    <row r="16" spans="1:7" x14ac:dyDescent="0.2">
      <c r="A16" s="27" t="s">
        <v>823</v>
      </c>
      <c r="B16" s="27" t="s">
        <v>822</v>
      </c>
      <c r="C16" s="27" t="s">
        <v>163</v>
      </c>
      <c r="D16" s="31">
        <v>50</v>
      </c>
      <c r="E16" s="29">
        <v>503.87900000000002</v>
      </c>
      <c r="F16" s="30">
        <v>2.68059218645887</v>
      </c>
      <c r="G16" s="29">
        <v>3.0099</v>
      </c>
    </row>
    <row r="17" spans="1:9" x14ac:dyDescent="0.2">
      <c r="A17" s="27" t="s">
        <v>606</v>
      </c>
      <c r="B17" s="27" t="s">
        <v>605</v>
      </c>
      <c r="C17" s="27" t="s">
        <v>163</v>
      </c>
      <c r="D17" s="31">
        <v>29</v>
      </c>
      <c r="E17" s="29">
        <v>293.68880000000001</v>
      </c>
      <c r="F17" s="30">
        <v>1.5623987158235999</v>
      </c>
      <c r="G17" s="29">
        <v>3.2397999999999998</v>
      </c>
    </row>
    <row r="18" spans="1:9" x14ac:dyDescent="0.2">
      <c r="A18" s="27" t="s">
        <v>275</v>
      </c>
      <c r="B18" s="27" t="s">
        <v>274</v>
      </c>
      <c r="C18" s="27" t="s">
        <v>163</v>
      </c>
      <c r="D18" s="31">
        <v>24</v>
      </c>
      <c r="E18" s="29">
        <v>243.21647999999999</v>
      </c>
      <c r="F18" s="30">
        <v>1.2938903901651599</v>
      </c>
      <c r="G18" s="29">
        <v>4.6651999999999996</v>
      </c>
    </row>
    <row r="19" spans="1:9" x14ac:dyDescent="0.2">
      <c r="A19" s="27" t="s">
        <v>801</v>
      </c>
      <c r="B19" s="27" t="s">
        <v>800</v>
      </c>
      <c r="C19" s="27" t="s">
        <v>483</v>
      </c>
      <c r="D19" s="31">
        <v>22</v>
      </c>
      <c r="E19" s="29">
        <v>223.36709999999999</v>
      </c>
      <c r="F19" s="30">
        <v>1.18829342554855</v>
      </c>
      <c r="G19" s="29">
        <v>3.9125000000000001</v>
      </c>
    </row>
    <row r="20" spans="1:9" x14ac:dyDescent="0.2">
      <c r="A20" s="27" t="s">
        <v>765</v>
      </c>
      <c r="B20" s="27" t="s">
        <v>764</v>
      </c>
      <c r="C20" s="27" t="s">
        <v>163</v>
      </c>
      <c r="D20" s="31">
        <v>15</v>
      </c>
      <c r="E20" s="29">
        <v>188.52975000000001</v>
      </c>
      <c r="F20" s="30">
        <v>1.00296177210212</v>
      </c>
      <c r="G20" s="29">
        <v>3.31</v>
      </c>
    </row>
    <row r="21" spans="1:9" x14ac:dyDescent="0.2">
      <c r="A21" s="27" t="s">
        <v>759</v>
      </c>
      <c r="B21" s="27" t="s">
        <v>758</v>
      </c>
      <c r="C21" s="27" t="s">
        <v>163</v>
      </c>
      <c r="D21" s="31">
        <v>9</v>
      </c>
      <c r="E21" s="29">
        <v>91.484099999999998</v>
      </c>
      <c r="F21" s="30">
        <v>0.48668740639165697</v>
      </c>
      <c r="G21" s="29">
        <v>3.53</v>
      </c>
    </row>
    <row r="22" spans="1:9" ht="10.5" x14ac:dyDescent="0.25">
      <c r="A22" s="26" t="s">
        <v>164</v>
      </c>
      <c r="B22" s="26"/>
      <c r="C22" s="26"/>
      <c r="D22" s="32"/>
      <c r="E22" s="33">
        <f>SUM(E6:E21)</f>
        <v>13962.876209999999</v>
      </c>
      <c r="F22" s="34">
        <f>SUM(F6:F21)</f>
        <v>74.281279571124102</v>
      </c>
      <c r="G22" s="33"/>
      <c r="H22" s="18"/>
      <c r="I22" s="18"/>
    </row>
    <row r="23" spans="1:9" x14ac:dyDescent="0.2">
      <c r="A23" s="27"/>
      <c r="B23" s="27"/>
      <c r="C23" s="27"/>
      <c r="D23" s="28"/>
      <c r="E23" s="29"/>
      <c r="F23" s="30"/>
      <c r="G23" s="29"/>
    </row>
    <row r="24" spans="1:9" ht="10.5" x14ac:dyDescent="0.25">
      <c r="A24" s="26" t="s">
        <v>165</v>
      </c>
      <c r="B24" s="27"/>
      <c r="C24" s="27"/>
      <c r="D24" s="28"/>
      <c r="E24" s="29"/>
      <c r="F24" s="30"/>
      <c r="G24" s="29"/>
    </row>
    <row r="25" spans="1:9" x14ac:dyDescent="0.2">
      <c r="A25" s="27" t="s">
        <v>825</v>
      </c>
      <c r="B25" s="27" t="s">
        <v>824</v>
      </c>
      <c r="C25" s="27" t="s">
        <v>163</v>
      </c>
      <c r="D25" s="31">
        <v>150</v>
      </c>
      <c r="E25" s="29">
        <v>1520.2560000000001</v>
      </c>
      <c r="F25" s="30">
        <v>8.0876288851434897</v>
      </c>
      <c r="G25" s="29">
        <v>3.7399</v>
      </c>
    </row>
    <row r="26" spans="1:9" x14ac:dyDescent="0.2">
      <c r="A26" s="27" t="s">
        <v>813</v>
      </c>
      <c r="B26" s="27" t="s">
        <v>812</v>
      </c>
      <c r="C26" s="27" t="s">
        <v>483</v>
      </c>
      <c r="D26" s="31">
        <v>150</v>
      </c>
      <c r="E26" s="29">
        <v>1514.319</v>
      </c>
      <c r="F26" s="30">
        <v>8.0560445646796293</v>
      </c>
      <c r="G26" s="29">
        <v>3.8948</v>
      </c>
    </row>
    <row r="27" spans="1:9" x14ac:dyDescent="0.2">
      <c r="A27" s="27" t="s">
        <v>612</v>
      </c>
      <c r="B27" s="27" t="s">
        <v>611</v>
      </c>
      <c r="C27" s="27" t="s">
        <v>163</v>
      </c>
      <c r="D27" s="31">
        <v>2</v>
      </c>
      <c r="E27" s="29">
        <v>20.303080000000001</v>
      </c>
      <c r="F27" s="30">
        <v>0.10801060891414301</v>
      </c>
      <c r="G27" s="29">
        <v>3.5571000000000002</v>
      </c>
    </row>
    <row r="28" spans="1:9" ht="10.5" x14ac:dyDescent="0.25">
      <c r="A28" s="26" t="s">
        <v>164</v>
      </c>
      <c r="B28" s="26"/>
      <c r="C28" s="26"/>
      <c r="D28" s="32"/>
      <c r="E28" s="33">
        <f>SUM(E24:E27)</f>
        <v>3054.87808</v>
      </c>
      <c r="F28" s="34">
        <f>SUM(F24:F27)</f>
        <v>16.251684058737261</v>
      </c>
      <c r="G28" s="33"/>
      <c r="H28" s="18"/>
      <c r="I28" s="18"/>
    </row>
    <row r="29" spans="1:9" x14ac:dyDescent="0.2">
      <c r="A29" s="27"/>
      <c r="B29" s="27"/>
      <c r="C29" s="27"/>
      <c r="D29" s="28"/>
      <c r="E29" s="29"/>
      <c r="F29" s="30"/>
      <c r="G29" s="29"/>
    </row>
    <row r="30" spans="1:9" ht="10.5" x14ac:dyDescent="0.25">
      <c r="A30" s="26" t="s">
        <v>352</v>
      </c>
      <c r="B30" s="27"/>
      <c r="C30" s="27"/>
      <c r="D30" s="28"/>
      <c r="E30" s="29"/>
      <c r="F30" s="30"/>
      <c r="G30" s="29"/>
    </row>
    <row r="31" spans="1:9" ht="10.5" x14ac:dyDescent="0.25">
      <c r="A31" s="26" t="s">
        <v>353</v>
      </c>
      <c r="B31" s="27"/>
      <c r="C31" s="27"/>
      <c r="D31" s="28"/>
      <c r="E31" s="29"/>
      <c r="F31" s="30"/>
      <c r="G31" s="29"/>
    </row>
    <row r="32" spans="1:9" x14ac:dyDescent="0.2">
      <c r="A32" s="27" t="s">
        <v>363</v>
      </c>
      <c r="B32" s="27" t="s">
        <v>362</v>
      </c>
      <c r="C32" s="27" t="s">
        <v>359</v>
      </c>
      <c r="D32" s="31">
        <v>292</v>
      </c>
      <c r="E32" s="29">
        <v>289.637136</v>
      </c>
      <c r="F32" s="30">
        <v>1.5408442178974</v>
      </c>
      <c r="G32" s="29">
        <v>3.07</v>
      </c>
    </row>
    <row r="33" spans="1:9" ht="10.5" x14ac:dyDescent="0.25">
      <c r="A33" s="26" t="s">
        <v>164</v>
      </c>
      <c r="B33" s="26"/>
      <c r="C33" s="26"/>
      <c r="D33" s="32"/>
      <c r="E33" s="33">
        <f>SUM(E31:E32)</f>
        <v>289.637136</v>
      </c>
      <c r="F33" s="34">
        <f>SUM(F31:F32)</f>
        <v>1.5408442178974</v>
      </c>
      <c r="G33" s="33"/>
      <c r="H33" s="18"/>
      <c r="I33" s="18"/>
    </row>
    <row r="34" spans="1:9" x14ac:dyDescent="0.2">
      <c r="A34" s="27"/>
      <c r="B34" s="27"/>
      <c r="C34" s="27"/>
      <c r="D34" s="28"/>
      <c r="E34" s="29"/>
      <c r="F34" s="30"/>
      <c r="G34" s="29"/>
    </row>
    <row r="35" spans="1:9" ht="10.5" x14ac:dyDescent="0.25">
      <c r="A35" s="26" t="s">
        <v>364</v>
      </c>
      <c r="B35" s="27"/>
      <c r="C35" s="27"/>
      <c r="D35" s="28"/>
      <c r="E35" s="29"/>
      <c r="F35" s="30"/>
      <c r="G35" s="29"/>
    </row>
    <row r="36" spans="1:9" x14ac:dyDescent="0.2">
      <c r="A36" s="27" t="s">
        <v>827</v>
      </c>
      <c r="B36" s="27" t="s">
        <v>826</v>
      </c>
      <c r="C36" s="27" t="s">
        <v>370</v>
      </c>
      <c r="D36" s="31">
        <v>33</v>
      </c>
      <c r="E36" s="29">
        <v>163.678515</v>
      </c>
      <c r="F36" s="30">
        <v>0.87075537658880597</v>
      </c>
      <c r="G36" s="29">
        <v>3.1349999999999998</v>
      </c>
    </row>
    <row r="37" spans="1:9" ht="10.5" x14ac:dyDescent="0.25">
      <c r="A37" s="26" t="s">
        <v>164</v>
      </c>
      <c r="B37" s="26"/>
      <c r="C37" s="26"/>
      <c r="D37" s="32"/>
      <c r="E37" s="33">
        <f>SUM(E35:E36)</f>
        <v>163.678515</v>
      </c>
      <c r="F37" s="34">
        <f>SUM(F35:F36)</f>
        <v>0.87075537658880597</v>
      </c>
      <c r="G37" s="33"/>
      <c r="H37" s="18"/>
      <c r="I37" s="18"/>
    </row>
    <row r="38" spans="1:9" x14ac:dyDescent="0.2">
      <c r="A38" s="27"/>
      <c r="B38" s="27"/>
      <c r="C38" s="27"/>
      <c r="D38" s="28"/>
      <c r="E38" s="29"/>
      <c r="F38" s="30"/>
      <c r="G38" s="29"/>
    </row>
    <row r="39" spans="1:9" ht="10.5" x14ac:dyDescent="0.25">
      <c r="A39" s="26" t="s">
        <v>176</v>
      </c>
      <c r="B39" s="26"/>
      <c r="C39" s="26"/>
      <c r="D39" s="32"/>
      <c r="E39" s="33">
        <f>E22+E28+E33+E37</f>
        <v>17471.069940999998</v>
      </c>
      <c r="F39" s="34">
        <f>F22+F28+F33+F37</f>
        <v>92.944563224347576</v>
      </c>
      <c r="G39" s="33"/>
      <c r="H39" s="18"/>
      <c r="I39" s="18"/>
    </row>
    <row r="40" spans="1:9" ht="10.5" x14ac:dyDescent="0.25">
      <c r="A40" s="26"/>
      <c r="B40" s="26"/>
      <c r="C40" s="26"/>
      <c r="D40" s="32"/>
      <c r="E40" s="33"/>
      <c r="F40" s="34"/>
      <c r="G40" s="33"/>
      <c r="H40" s="18"/>
      <c r="I40" s="18"/>
    </row>
    <row r="41" spans="1:9" ht="10.5" x14ac:dyDescent="0.25">
      <c r="A41" s="26" t="s">
        <v>178</v>
      </c>
      <c r="B41" s="26"/>
      <c r="C41" s="26"/>
      <c r="D41" s="32"/>
      <c r="E41" s="33">
        <f>E43-(E22+E28+E33+E37)</f>
        <v>1326.2317353000035</v>
      </c>
      <c r="F41" s="34">
        <f>F43-(F22+F28+F33+F37)</f>
        <v>7.0554367756524243</v>
      </c>
      <c r="G41" s="33"/>
      <c r="H41" s="18"/>
      <c r="I41" s="18"/>
    </row>
    <row r="42" spans="1:9" ht="10.5" x14ac:dyDescent="0.25">
      <c r="A42" s="26"/>
      <c r="B42" s="26"/>
      <c r="C42" s="26"/>
      <c r="D42" s="32"/>
      <c r="E42" s="33"/>
      <c r="F42" s="34"/>
      <c r="G42" s="33"/>
      <c r="H42" s="18"/>
      <c r="I42" s="18"/>
    </row>
    <row r="43" spans="1:9" ht="10.5" x14ac:dyDescent="0.25">
      <c r="A43" s="35" t="s">
        <v>177</v>
      </c>
      <c r="B43" s="35"/>
      <c r="C43" s="35"/>
      <c r="D43" s="36"/>
      <c r="E43" s="37">
        <v>18797.301676300001</v>
      </c>
      <c r="F43" s="38">
        <v>100</v>
      </c>
      <c r="G43" s="37"/>
      <c r="H43" s="18"/>
      <c r="I43" s="18"/>
    </row>
    <row r="45" spans="1:9" ht="10.5" x14ac:dyDescent="0.25">
      <c r="A45" s="18" t="s">
        <v>400</v>
      </c>
    </row>
    <row r="46" spans="1:9" ht="10.5" x14ac:dyDescent="0.25">
      <c r="A46" s="18" t="s">
        <v>180</v>
      </c>
    </row>
    <row r="48" spans="1:9" ht="10.5" x14ac:dyDescent="0.25">
      <c r="A48" s="18" t="s">
        <v>181</v>
      </c>
    </row>
    <row r="49" spans="1:4" ht="10.5" x14ac:dyDescent="0.25">
      <c r="A49" s="18" t="s">
        <v>182</v>
      </c>
    </row>
    <row r="50" spans="1:4" ht="10.5" x14ac:dyDescent="0.25">
      <c r="A50" s="18" t="s">
        <v>183</v>
      </c>
      <c r="B50" s="18"/>
      <c r="C50" s="39" t="s">
        <v>185</v>
      </c>
      <c r="D50" s="19" t="s">
        <v>184</v>
      </c>
    </row>
    <row r="51" spans="1:4" x14ac:dyDescent="0.2">
      <c r="A51" s="9" t="s">
        <v>421</v>
      </c>
      <c r="C51" s="40">
        <v>11.9939</v>
      </c>
      <c r="D51" s="40">
        <v>12.3858</v>
      </c>
    </row>
    <row r="52" spans="1:4" x14ac:dyDescent="0.2">
      <c r="A52" s="9" t="s">
        <v>723</v>
      </c>
      <c r="C52" s="40">
        <v>11.228300000000001</v>
      </c>
      <c r="D52" s="40">
        <v>10.603</v>
      </c>
    </row>
    <row r="53" spans="1:4" x14ac:dyDescent="0.2">
      <c r="A53" s="9" t="s">
        <v>423</v>
      </c>
      <c r="C53" s="40">
        <v>10.4489</v>
      </c>
      <c r="D53" s="40">
        <v>10.3939</v>
      </c>
    </row>
    <row r="54" spans="1:4" x14ac:dyDescent="0.2">
      <c r="A54" s="9" t="s">
        <v>424</v>
      </c>
      <c r="C54" s="40">
        <v>12.066000000000001</v>
      </c>
      <c r="D54" s="40">
        <v>12.4603</v>
      </c>
    </row>
    <row r="55" spans="1:4" x14ac:dyDescent="0.2">
      <c r="A55" s="9" t="s">
        <v>459</v>
      </c>
      <c r="C55" s="40">
        <v>11.301600000000001</v>
      </c>
      <c r="D55" s="40">
        <v>10.6805</v>
      </c>
    </row>
    <row r="56" spans="1:4" x14ac:dyDescent="0.2">
      <c r="A56" s="9" t="s">
        <v>426</v>
      </c>
      <c r="C56" s="40">
        <v>10.5099</v>
      </c>
      <c r="D56" s="40">
        <v>10.457700000000001</v>
      </c>
    </row>
    <row r="58" spans="1:4" ht="10.5" x14ac:dyDescent="0.25">
      <c r="A58" s="18" t="s">
        <v>197</v>
      </c>
    </row>
    <row r="59" spans="1:4" ht="10.5" x14ac:dyDescent="0.25">
      <c r="A59" s="73" t="s">
        <v>403</v>
      </c>
      <c r="B59" s="74"/>
      <c r="C59" s="45" t="s">
        <v>404</v>
      </c>
    </row>
    <row r="60" spans="1:4" x14ac:dyDescent="0.2">
      <c r="A60" s="69" t="s">
        <v>723</v>
      </c>
      <c r="B60" s="70"/>
      <c r="C60" s="46">
        <v>0.97</v>
      </c>
    </row>
    <row r="61" spans="1:4" x14ac:dyDescent="0.2">
      <c r="A61" s="69" t="s">
        <v>423</v>
      </c>
      <c r="B61" s="70"/>
      <c r="C61" s="46">
        <v>0.39</v>
      </c>
    </row>
    <row r="62" spans="1:4" x14ac:dyDescent="0.2">
      <c r="A62" s="69" t="s">
        <v>459</v>
      </c>
      <c r="B62" s="70"/>
      <c r="C62" s="46">
        <v>0.97</v>
      </c>
    </row>
    <row r="63" spans="1:4" x14ac:dyDescent="0.2">
      <c r="A63" s="69" t="s">
        <v>426</v>
      </c>
      <c r="B63" s="70"/>
      <c r="C63" s="46">
        <v>0.39</v>
      </c>
    </row>
    <row r="64" spans="1:4" x14ac:dyDescent="0.2">
      <c r="A64" s="9" t="s">
        <v>405</v>
      </c>
    </row>
    <row r="66" spans="1:5" ht="10.5" x14ac:dyDescent="0.25">
      <c r="A66" s="18" t="s">
        <v>199</v>
      </c>
      <c r="D66" s="42">
        <v>0.33827314843835599</v>
      </c>
      <c r="E66" s="13" t="s">
        <v>200</v>
      </c>
    </row>
    <row r="68" spans="1:5" ht="10.5" x14ac:dyDescent="0.25">
      <c r="A68" s="18" t="s">
        <v>201</v>
      </c>
      <c r="D68" s="41" t="s">
        <v>198</v>
      </c>
    </row>
  </sheetData>
  <mergeCells count="6">
    <mergeCell ref="A63:B63"/>
    <mergeCell ref="A1:G1"/>
    <mergeCell ref="A59:B59"/>
    <mergeCell ref="A60:B60"/>
    <mergeCell ref="A61:B61"/>
    <mergeCell ref="A62:B62"/>
  </mergeCells>
  <conditionalFormatting sqref="F2:F3 F5:F65536">
    <cfRule type="cellIs" dxfId="4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I6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15" customHeight="1" x14ac:dyDescent="0.25">
      <c r="A1" s="71" t="s">
        <v>36</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817</v>
      </c>
      <c r="B7" s="27" t="s">
        <v>816</v>
      </c>
      <c r="C7" s="27" t="s">
        <v>163</v>
      </c>
      <c r="D7" s="31">
        <v>61</v>
      </c>
      <c r="E7" s="29">
        <v>617.59754999999996</v>
      </c>
      <c r="F7" s="30">
        <v>10.645299941395001</v>
      </c>
      <c r="G7" s="29">
        <v>3.2351000000000001</v>
      </c>
    </row>
    <row r="8" spans="1:7" x14ac:dyDescent="0.2">
      <c r="A8" s="27" t="s">
        <v>787</v>
      </c>
      <c r="B8" s="27" t="s">
        <v>786</v>
      </c>
      <c r="C8" s="27" t="s">
        <v>163</v>
      </c>
      <c r="D8" s="31">
        <v>45</v>
      </c>
      <c r="E8" s="29">
        <v>568.6857</v>
      </c>
      <c r="F8" s="30">
        <v>9.8022245212633905</v>
      </c>
      <c r="G8" s="29">
        <v>3.9550000000000001</v>
      </c>
    </row>
    <row r="9" spans="1:7" x14ac:dyDescent="0.2">
      <c r="A9" s="27" t="s">
        <v>809</v>
      </c>
      <c r="B9" s="27" t="s">
        <v>808</v>
      </c>
      <c r="C9" s="27" t="s">
        <v>163</v>
      </c>
      <c r="D9" s="31">
        <v>45</v>
      </c>
      <c r="E9" s="29">
        <v>565.15769999999998</v>
      </c>
      <c r="F9" s="30">
        <v>9.7414136935759394</v>
      </c>
      <c r="G9" s="29">
        <v>3.7149999999999999</v>
      </c>
    </row>
    <row r="10" spans="1:7" x14ac:dyDescent="0.2">
      <c r="A10" s="27" t="s">
        <v>803</v>
      </c>
      <c r="B10" s="27" t="s">
        <v>802</v>
      </c>
      <c r="C10" s="27" t="s">
        <v>523</v>
      </c>
      <c r="D10" s="31">
        <v>46</v>
      </c>
      <c r="E10" s="29">
        <v>466.95796000000001</v>
      </c>
      <c r="F10" s="30">
        <v>8.0487811912821599</v>
      </c>
      <c r="G10" s="29">
        <v>3.4340999999999999</v>
      </c>
    </row>
    <row r="11" spans="1:7" x14ac:dyDescent="0.2">
      <c r="A11" s="27" t="s">
        <v>823</v>
      </c>
      <c r="B11" s="27" t="s">
        <v>822</v>
      </c>
      <c r="C11" s="27" t="s">
        <v>163</v>
      </c>
      <c r="D11" s="31">
        <v>46</v>
      </c>
      <c r="E11" s="29">
        <v>463.56867999999997</v>
      </c>
      <c r="F11" s="30">
        <v>7.9903614287922196</v>
      </c>
      <c r="G11" s="29">
        <v>3.0099</v>
      </c>
    </row>
    <row r="12" spans="1:7" x14ac:dyDescent="0.2">
      <c r="A12" s="27" t="s">
        <v>815</v>
      </c>
      <c r="B12" s="27" t="s">
        <v>814</v>
      </c>
      <c r="C12" s="27" t="s">
        <v>163</v>
      </c>
      <c r="D12" s="31">
        <v>45</v>
      </c>
      <c r="E12" s="29">
        <v>456.93045000000001</v>
      </c>
      <c r="F12" s="30">
        <v>7.8759407199827898</v>
      </c>
      <c r="G12" s="29">
        <v>3.53</v>
      </c>
    </row>
    <row r="13" spans="1:7" x14ac:dyDescent="0.2">
      <c r="A13" s="27" t="s">
        <v>580</v>
      </c>
      <c r="B13" s="27" t="s">
        <v>579</v>
      </c>
      <c r="C13" s="27" t="s">
        <v>523</v>
      </c>
      <c r="D13" s="31">
        <v>34</v>
      </c>
      <c r="E13" s="29">
        <v>427.57889999999998</v>
      </c>
      <c r="F13" s="30">
        <v>7.37001893727032</v>
      </c>
      <c r="G13" s="29">
        <v>5.17</v>
      </c>
    </row>
    <row r="14" spans="1:7" x14ac:dyDescent="0.2">
      <c r="A14" s="27" t="s">
        <v>606</v>
      </c>
      <c r="B14" s="27" t="s">
        <v>605</v>
      </c>
      <c r="C14" s="27" t="s">
        <v>163</v>
      </c>
      <c r="D14" s="31">
        <v>38</v>
      </c>
      <c r="E14" s="29">
        <v>384.83359999999999</v>
      </c>
      <c r="F14" s="30">
        <v>6.6332340527044504</v>
      </c>
      <c r="G14" s="29">
        <v>3.2397999999999998</v>
      </c>
    </row>
    <row r="15" spans="1:7" x14ac:dyDescent="0.2">
      <c r="A15" s="27" t="s">
        <v>765</v>
      </c>
      <c r="B15" s="27" t="s">
        <v>764</v>
      </c>
      <c r="C15" s="27" t="s">
        <v>163</v>
      </c>
      <c r="D15" s="31">
        <v>28</v>
      </c>
      <c r="E15" s="29">
        <v>351.92219999999998</v>
      </c>
      <c r="F15" s="30">
        <v>6.0659524556656903</v>
      </c>
      <c r="G15" s="29">
        <v>3.31</v>
      </c>
    </row>
    <row r="16" spans="1:7" x14ac:dyDescent="0.2">
      <c r="A16" s="27" t="s">
        <v>277</v>
      </c>
      <c r="B16" s="27" t="s">
        <v>276</v>
      </c>
      <c r="C16" s="27" t="s">
        <v>278</v>
      </c>
      <c r="D16" s="31">
        <v>20</v>
      </c>
      <c r="E16" s="29">
        <v>250.375</v>
      </c>
      <c r="F16" s="30">
        <v>4.3156210267135604</v>
      </c>
      <c r="G16" s="29">
        <v>3.9125000000000001</v>
      </c>
    </row>
    <row r="17" spans="1:9" x14ac:dyDescent="0.2">
      <c r="A17" s="27" t="s">
        <v>799</v>
      </c>
      <c r="B17" s="27" t="s">
        <v>798</v>
      </c>
      <c r="C17" s="27" t="s">
        <v>523</v>
      </c>
      <c r="D17" s="31">
        <v>20</v>
      </c>
      <c r="E17" s="29">
        <v>203.6694</v>
      </c>
      <c r="F17" s="30">
        <v>3.5105739196730301</v>
      </c>
      <c r="G17" s="29">
        <v>3.5019999999999998</v>
      </c>
    </row>
    <row r="18" spans="1:9" x14ac:dyDescent="0.2">
      <c r="A18" s="27" t="s">
        <v>829</v>
      </c>
      <c r="B18" s="27" t="s">
        <v>828</v>
      </c>
      <c r="C18" s="27" t="s">
        <v>163</v>
      </c>
      <c r="D18" s="31">
        <v>17</v>
      </c>
      <c r="E18" s="29">
        <v>167.44371000000001</v>
      </c>
      <c r="F18" s="30">
        <v>2.8861651349652702</v>
      </c>
      <c r="G18" s="29">
        <v>3.7399</v>
      </c>
    </row>
    <row r="19" spans="1:9" x14ac:dyDescent="0.2">
      <c r="A19" s="27" t="s">
        <v>275</v>
      </c>
      <c r="B19" s="27" t="s">
        <v>274</v>
      </c>
      <c r="C19" s="27" t="s">
        <v>163</v>
      </c>
      <c r="D19" s="31">
        <v>1</v>
      </c>
      <c r="E19" s="29">
        <v>10.13402</v>
      </c>
      <c r="F19" s="30">
        <v>0.174676344671536</v>
      </c>
      <c r="G19" s="29">
        <v>4.6651999999999996</v>
      </c>
    </row>
    <row r="20" spans="1:9" ht="10.5" x14ac:dyDescent="0.25">
      <c r="A20" s="26" t="s">
        <v>164</v>
      </c>
      <c r="B20" s="26"/>
      <c r="C20" s="26"/>
      <c r="D20" s="32"/>
      <c r="E20" s="33">
        <f>SUM(E6:E19)</f>
        <v>4934.8548700000001</v>
      </c>
      <c r="F20" s="34">
        <f>SUM(F6:F19)</f>
        <v>85.060263367955358</v>
      </c>
      <c r="G20" s="33"/>
      <c r="H20" s="18"/>
      <c r="I20" s="18"/>
    </row>
    <row r="21" spans="1:9" x14ac:dyDescent="0.2">
      <c r="A21" s="27"/>
      <c r="B21" s="27"/>
      <c r="C21" s="27"/>
      <c r="D21" s="28"/>
      <c r="E21" s="29"/>
      <c r="F21" s="30"/>
      <c r="G21" s="29"/>
    </row>
    <row r="22" spans="1:9" ht="10.5" x14ac:dyDescent="0.25">
      <c r="A22" s="26" t="s">
        <v>165</v>
      </c>
      <c r="B22" s="27"/>
      <c r="C22" s="27"/>
      <c r="D22" s="28"/>
      <c r="E22" s="29"/>
      <c r="F22" s="30"/>
      <c r="G22" s="29"/>
    </row>
    <row r="23" spans="1:9" x14ac:dyDescent="0.2">
      <c r="A23" s="27" t="s">
        <v>813</v>
      </c>
      <c r="B23" s="27" t="s">
        <v>812</v>
      </c>
      <c r="C23" s="27" t="s">
        <v>483</v>
      </c>
      <c r="D23" s="31">
        <v>45</v>
      </c>
      <c r="E23" s="29">
        <v>454.29570000000001</v>
      </c>
      <c r="F23" s="30">
        <v>7.8305265112952904</v>
      </c>
      <c r="G23" s="29">
        <v>3.8948</v>
      </c>
    </row>
    <row r="24" spans="1:9" x14ac:dyDescent="0.2">
      <c r="A24" s="27" t="s">
        <v>612</v>
      </c>
      <c r="B24" s="27" t="s">
        <v>611</v>
      </c>
      <c r="C24" s="27" t="s">
        <v>163</v>
      </c>
      <c r="D24" s="31">
        <v>6</v>
      </c>
      <c r="E24" s="29">
        <v>60.909239999999997</v>
      </c>
      <c r="F24" s="30">
        <v>1.04986998248684</v>
      </c>
      <c r="G24" s="29">
        <v>3.5571000000000002</v>
      </c>
    </row>
    <row r="25" spans="1:9" ht="10.5" x14ac:dyDescent="0.25">
      <c r="A25" s="26" t="s">
        <v>164</v>
      </c>
      <c r="B25" s="26"/>
      <c r="C25" s="26"/>
      <c r="D25" s="32"/>
      <c r="E25" s="33">
        <f>SUM(E22:E24)</f>
        <v>515.20493999999997</v>
      </c>
      <c r="F25" s="34">
        <f>SUM(F22:F24)</f>
        <v>8.8803964937821309</v>
      </c>
      <c r="G25" s="33"/>
      <c r="H25" s="18"/>
      <c r="I25" s="18"/>
    </row>
    <row r="26" spans="1:9" x14ac:dyDescent="0.2">
      <c r="A26" s="27"/>
      <c r="B26" s="27"/>
      <c r="C26" s="27"/>
      <c r="D26" s="28"/>
      <c r="E26" s="29"/>
      <c r="F26" s="30"/>
      <c r="G26" s="29"/>
    </row>
    <row r="27" spans="1:9" ht="10.5" x14ac:dyDescent="0.25">
      <c r="A27" s="26" t="s">
        <v>352</v>
      </c>
      <c r="B27" s="27"/>
      <c r="C27" s="27"/>
      <c r="D27" s="28"/>
      <c r="E27" s="29"/>
      <c r="F27" s="30"/>
      <c r="G27" s="29"/>
    </row>
    <row r="28" spans="1:9" ht="10.5" x14ac:dyDescent="0.25">
      <c r="A28" s="26" t="s">
        <v>353</v>
      </c>
      <c r="B28" s="27"/>
      <c r="C28" s="27"/>
      <c r="D28" s="28"/>
      <c r="E28" s="29"/>
      <c r="F28" s="30"/>
      <c r="G28" s="29"/>
    </row>
    <row r="29" spans="1:9" x14ac:dyDescent="0.2">
      <c r="A29" s="27" t="s">
        <v>363</v>
      </c>
      <c r="B29" s="27" t="s">
        <v>362</v>
      </c>
      <c r="C29" s="27" t="s">
        <v>359</v>
      </c>
      <c r="D29" s="31">
        <v>87</v>
      </c>
      <c r="E29" s="29">
        <v>86.295996000000002</v>
      </c>
      <c r="F29" s="30">
        <v>1.48745208131319</v>
      </c>
      <c r="G29" s="29">
        <v>3.07</v>
      </c>
    </row>
    <row r="30" spans="1:9" ht="10.5" x14ac:dyDescent="0.25">
      <c r="A30" s="26" t="s">
        <v>164</v>
      </c>
      <c r="B30" s="26"/>
      <c r="C30" s="26"/>
      <c r="D30" s="32"/>
      <c r="E30" s="33">
        <f>SUM(E28:E29)</f>
        <v>86.295996000000002</v>
      </c>
      <c r="F30" s="34">
        <f>SUM(F28:F29)</f>
        <v>1.48745208131319</v>
      </c>
      <c r="G30" s="33"/>
      <c r="H30" s="18"/>
      <c r="I30" s="18"/>
    </row>
    <row r="31" spans="1:9" x14ac:dyDescent="0.2">
      <c r="A31" s="27"/>
      <c r="B31" s="27"/>
      <c r="C31" s="27"/>
      <c r="D31" s="28"/>
      <c r="E31" s="29"/>
      <c r="F31" s="30"/>
      <c r="G31" s="29"/>
    </row>
    <row r="32" spans="1:9" ht="10.5" x14ac:dyDescent="0.25">
      <c r="A32" s="26" t="s">
        <v>389</v>
      </c>
      <c r="B32" s="27"/>
      <c r="C32" s="27"/>
      <c r="D32" s="28"/>
      <c r="E32" s="29"/>
      <c r="F32" s="30"/>
      <c r="G32" s="29"/>
    </row>
    <row r="33" spans="1:9" x14ac:dyDescent="0.2">
      <c r="A33" s="27" t="s">
        <v>393</v>
      </c>
      <c r="B33" s="27" t="s">
        <v>392</v>
      </c>
      <c r="C33" s="27" t="s">
        <v>466</v>
      </c>
      <c r="D33" s="31">
        <v>40000</v>
      </c>
      <c r="E33" s="29">
        <v>39.612720000000003</v>
      </c>
      <c r="F33" s="30">
        <v>0.68278976478209497</v>
      </c>
      <c r="G33" s="29">
        <v>3.05</v>
      </c>
    </row>
    <row r="34" spans="1:9" ht="10.5" x14ac:dyDescent="0.25">
      <c r="A34" s="26" t="s">
        <v>164</v>
      </c>
      <c r="B34" s="26"/>
      <c r="C34" s="26"/>
      <c r="D34" s="32"/>
      <c r="E34" s="33">
        <f>SUM(E32:E33)</f>
        <v>39.612720000000003</v>
      </c>
      <c r="F34" s="34">
        <f>SUM(F32:F33)</f>
        <v>0.68278976478209497</v>
      </c>
      <c r="G34" s="33"/>
      <c r="H34" s="18"/>
      <c r="I34" s="18"/>
    </row>
    <row r="35" spans="1:9" x14ac:dyDescent="0.2">
      <c r="A35" s="27"/>
      <c r="B35" s="27"/>
      <c r="C35" s="27"/>
      <c r="D35" s="28"/>
      <c r="E35" s="29"/>
      <c r="F35" s="30"/>
      <c r="G35" s="29"/>
    </row>
    <row r="36" spans="1:9" ht="10.5" x14ac:dyDescent="0.25">
      <c r="A36" s="26" t="s">
        <v>176</v>
      </c>
      <c r="B36" s="26"/>
      <c r="C36" s="26"/>
      <c r="D36" s="32"/>
      <c r="E36" s="33">
        <f>E20+E25+E30+E34</f>
        <v>5575.9685259999997</v>
      </c>
      <c r="F36" s="34">
        <f>F20+F25+F30+F34</f>
        <v>96.110901707832781</v>
      </c>
      <c r="G36" s="33"/>
      <c r="H36" s="18"/>
      <c r="I36" s="18"/>
    </row>
    <row r="37" spans="1:9" ht="10.5" x14ac:dyDescent="0.25">
      <c r="A37" s="26"/>
      <c r="B37" s="26"/>
      <c r="C37" s="26"/>
      <c r="D37" s="32"/>
      <c r="E37" s="33"/>
      <c r="F37" s="34"/>
      <c r="G37" s="33"/>
      <c r="H37" s="18"/>
      <c r="I37" s="18"/>
    </row>
    <row r="38" spans="1:9" ht="10.5" x14ac:dyDescent="0.25">
      <c r="A38" s="26" t="s">
        <v>178</v>
      </c>
      <c r="B38" s="26"/>
      <c r="C38" s="26"/>
      <c r="D38" s="32"/>
      <c r="E38" s="33">
        <f>E40-(E20+E25+E30+E34)</f>
        <v>225.6298639000006</v>
      </c>
      <c r="F38" s="34">
        <f>F40-(F20+F25+F30+F34)</f>
        <v>3.889098292167219</v>
      </c>
      <c r="G38" s="33"/>
      <c r="H38" s="18"/>
      <c r="I38" s="18"/>
    </row>
    <row r="39" spans="1:9" ht="10.5" x14ac:dyDescent="0.25">
      <c r="A39" s="26"/>
      <c r="B39" s="26"/>
      <c r="C39" s="26"/>
      <c r="D39" s="32"/>
      <c r="E39" s="33"/>
      <c r="F39" s="34"/>
      <c r="G39" s="33"/>
      <c r="H39" s="18"/>
      <c r="I39" s="18"/>
    </row>
    <row r="40" spans="1:9" ht="10.5" x14ac:dyDescent="0.25">
      <c r="A40" s="35" t="s">
        <v>177</v>
      </c>
      <c r="B40" s="35"/>
      <c r="C40" s="35"/>
      <c r="D40" s="36"/>
      <c r="E40" s="37">
        <v>5801.5983899000003</v>
      </c>
      <c r="F40" s="38">
        <v>100</v>
      </c>
      <c r="G40" s="37"/>
      <c r="H40" s="18"/>
      <c r="I40" s="18"/>
    </row>
    <row r="42" spans="1:9" ht="10.5" x14ac:dyDescent="0.25">
      <c r="A42" s="18" t="s">
        <v>180</v>
      </c>
    </row>
    <row r="44" spans="1:9" ht="10.5" x14ac:dyDescent="0.25">
      <c r="A44" s="18" t="s">
        <v>181</v>
      </c>
    </row>
    <row r="45" spans="1:9" ht="10.5" x14ac:dyDescent="0.25">
      <c r="A45" s="18" t="s">
        <v>182</v>
      </c>
    </row>
    <row r="46" spans="1:9" ht="10.5" x14ac:dyDescent="0.25">
      <c r="A46" s="18" t="s">
        <v>183</v>
      </c>
      <c r="B46" s="18"/>
      <c r="C46" s="39" t="s">
        <v>185</v>
      </c>
      <c r="D46" s="19" t="s">
        <v>184</v>
      </c>
    </row>
    <row r="47" spans="1:9" x14ac:dyDescent="0.2">
      <c r="A47" s="9" t="s">
        <v>421</v>
      </c>
      <c r="C47" s="40">
        <v>11.9254</v>
      </c>
      <c r="D47" s="40">
        <v>12.313599999999999</v>
      </c>
    </row>
    <row r="48" spans="1:9" x14ac:dyDescent="0.2">
      <c r="A48" s="9" t="s">
        <v>723</v>
      </c>
      <c r="C48" s="40">
        <v>10.3687</v>
      </c>
      <c r="D48" s="40">
        <v>10.706200000000001</v>
      </c>
    </row>
    <row r="49" spans="1:5" x14ac:dyDescent="0.2">
      <c r="A49" s="9" t="s">
        <v>423</v>
      </c>
      <c r="C49" s="40">
        <v>10.355700000000001</v>
      </c>
      <c r="D49" s="40">
        <v>10.3218</v>
      </c>
    </row>
    <row r="50" spans="1:5" x14ac:dyDescent="0.2">
      <c r="A50" s="9" t="s">
        <v>424</v>
      </c>
      <c r="C50" s="40">
        <v>11.9971</v>
      </c>
      <c r="D50" s="40">
        <v>12.387700000000001</v>
      </c>
    </row>
    <row r="51" spans="1:5" x14ac:dyDescent="0.2">
      <c r="A51" s="9" t="s">
        <v>426</v>
      </c>
      <c r="C51" s="40">
        <v>10.4155</v>
      </c>
      <c r="D51" s="40">
        <v>10.3835</v>
      </c>
    </row>
    <row r="53" spans="1:5" ht="10.5" x14ac:dyDescent="0.25">
      <c r="A53" s="18" t="s">
        <v>197</v>
      </c>
    </row>
    <row r="54" spans="1:5" ht="10.5" x14ac:dyDescent="0.25">
      <c r="A54" s="73" t="s">
        <v>403</v>
      </c>
      <c r="B54" s="74"/>
      <c r="C54" s="45" t="s">
        <v>404</v>
      </c>
    </row>
    <row r="55" spans="1:5" x14ac:dyDescent="0.2">
      <c r="A55" s="69" t="s">
        <v>423</v>
      </c>
      <c r="B55" s="70"/>
      <c r="C55" s="46">
        <v>0.36499999999999999</v>
      </c>
    </row>
    <row r="56" spans="1:5" x14ac:dyDescent="0.2">
      <c r="A56" s="69" t="s">
        <v>426</v>
      </c>
      <c r="B56" s="70"/>
      <c r="C56" s="46">
        <v>0.36499999999999999</v>
      </c>
    </row>
    <row r="57" spans="1:5" x14ac:dyDescent="0.2">
      <c r="A57" s="9" t="s">
        <v>405</v>
      </c>
    </row>
    <row r="59" spans="1:5" ht="10.5" x14ac:dyDescent="0.25">
      <c r="A59" s="18" t="s">
        <v>199</v>
      </c>
      <c r="D59" s="42">
        <v>0.312720330328767</v>
      </c>
      <c r="E59" s="13" t="s">
        <v>200</v>
      </c>
    </row>
    <row r="61" spans="1:5" ht="10.5" x14ac:dyDescent="0.25">
      <c r="A61" s="18" t="s">
        <v>201</v>
      </c>
      <c r="D61" s="41" t="s">
        <v>198</v>
      </c>
    </row>
  </sheetData>
  <mergeCells count="4">
    <mergeCell ref="A1:G1"/>
    <mergeCell ref="A54:B54"/>
    <mergeCell ref="A55:B55"/>
    <mergeCell ref="A56:B56"/>
  </mergeCells>
  <conditionalFormatting sqref="F2:F3 F5:F65536">
    <cfRule type="cellIs" dxfId="4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I6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37</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817</v>
      </c>
      <c r="B7" s="27" t="s">
        <v>816</v>
      </c>
      <c r="C7" s="27" t="s">
        <v>163</v>
      </c>
      <c r="D7" s="31">
        <v>132</v>
      </c>
      <c r="E7" s="29">
        <v>1336.4405999999999</v>
      </c>
      <c r="F7" s="30">
        <v>10.5382246333554</v>
      </c>
      <c r="G7" s="29">
        <v>3.2351000000000001</v>
      </c>
    </row>
    <row r="8" spans="1:7" x14ac:dyDescent="0.2">
      <c r="A8" s="27" t="s">
        <v>787</v>
      </c>
      <c r="B8" s="27" t="s">
        <v>786</v>
      </c>
      <c r="C8" s="27" t="s">
        <v>163</v>
      </c>
      <c r="D8" s="31">
        <v>100</v>
      </c>
      <c r="E8" s="29">
        <v>1263.7460000000001</v>
      </c>
      <c r="F8" s="30">
        <v>9.9650064712972597</v>
      </c>
      <c r="G8" s="29">
        <v>3.9550000000000001</v>
      </c>
    </row>
    <row r="9" spans="1:7" x14ac:dyDescent="0.2">
      <c r="A9" s="27" t="s">
        <v>606</v>
      </c>
      <c r="B9" s="27" t="s">
        <v>605</v>
      </c>
      <c r="C9" s="27" t="s">
        <v>163</v>
      </c>
      <c r="D9" s="31">
        <v>110</v>
      </c>
      <c r="E9" s="29">
        <v>1113.992</v>
      </c>
      <c r="F9" s="30">
        <v>8.7841524238046098</v>
      </c>
      <c r="G9" s="29">
        <v>3.2397999999999998</v>
      </c>
    </row>
    <row r="10" spans="1:7" x14ac:dyDescent="0.2">
      <c r="A10" s="27" t="s">
        <v>809</v>
      </c>
      <c r="B10" s="27" t="s">
        <v>808</v>
      </c>
      <c r="C10" s="27" t="s">
        <v>163</v>
      </c>
      <c r="D10" s="31">
        <v>84</v>
      </c>
      <c r="E10" s="29">
        <v>1054.9610399999999</v>
      </c>
      <c r="F10" s="30">
        <v>8.3186760556049109</v>
      </c>
      <c r="G10" s="29">
        <v>3.7149999999999999</v>
      </c>
    </row>
    <row r="11" spans="1:7" x14ac:dyDescent="0.2">
      <c r="A11" s="27" t="s">
        <v>799</v>
      </c>
      <c r="B11" s="27" t="s">
        <v>798</v>
      </c>
      <c r="C11" s="27" t="s">
        <v>523</v>
      </c>
      <c r="D11" s="31">
        <v>101</v>
      </c>
      <c r="E11" s="29">
        <v>1028.5304699999999</v>
      </c>
      <c r="F11" s="30">
        <v>8.1102632882528702</v>
      </c>
      <c r="G11" s="29">
        <v>3.5019999999999998</v>
      </c>
    </row>
    <row r="12" spans="1:7" x14ac:dyDescent="0.2">
      <c r="A12" s="27" t="s">
        <v>765</v>
      </c>
      <c r="B12" s="27" t="s">
        <v>764</v>
      </c>
      <c r="C12" s="27" t="s">
        <v>163</v>
      </c>
      <c r="D12" s="31">
        <v>77</v>
      </c>
      <c r="E12" s="29">
        <v>967.78605000000005</v>
      </c>
      <c r="F12" s="30">
        <v>7.63127578728733</v>
      </c>
      <c r="G12" s="29">
        <v>3.31</v>
      </c>
    </row>
    <row r="13" spans="1:7" x14ac:dyDescent="0.2">
      <c r="A13" s="27" t="s">
        <v>580</v>
      </c>
      <c r="B13" s="27" t="s">
        <v>579</v>
      </c>
      <c r="C13" s="27" t="s">
        <v>523</v>
      </c>
      <c r="D13" s="31">
        <v>70</v>
      </c>
      <c r="E13" s="29">
        <v>880.30949999999996</v>
      </c>
      <c r="F13" s="30">
        <v>6.9414976302551796</v>
      </c>
      <c r="G13" s="29">
        <v>5.17</v>
      </c>
    </row>
    <row r="14" spans="1:7" x14ac:dyDescent="0.2">
      <c r="A14" s="27" t="s">
        <v>831</v>
      </c>
      <c r="B14" s="27" t="s">
        <v>830</v>
      </c>
      <c r="C14" s="27" t="s">
        <v>163</v>
      </c>
      <c r="D14" s="31">
        <v>75</v>
      </c>
      <c r="E14" s="29">
        <v>760.72799999999995</v>
      </c>
      <c r="F14" s="30">
        <v>5.9985625615408704</v>
      </c>
      <c r="G14" s="29">
        <v>3.5301</v>
      </c>
    </row>
    <row r="15" spans="1:7" x14ac:dyDescent="0.2">
      <c r="A15" s="27" t="s">
        <v>833</v>
      </c>
      <c r="B15" s="27" t="s">
        <v>832</v>
      </c>
      <c r="C15" s="27" t="s">
        <v>523</v>
      </c>
      <c r="D15" s="31">
        <v>56</v>
      </c>
      <c r="E15" s="29">
        <v>564.98792000000003</v>
      </c>
      <c r="F15" s="30">
        <v>4.4550948363079099</v>
      </c>
      <c r="G15" s="29">
        <v>3.0249000000000001</v>
      </c>
    </row>
    <row r="16" spans="1:7" x14ac:dyDescent="0.2">
      <c r="A16" s="27" t="s">
        <v>592</v>
      </c>
      <c r="B16" s="27" t="s">
        <v>591</v>
      </c>
      <c r="C16" s="27" t="s">
        <v>163</v>
      </c>
      <c r="D16" s="31">
        <v>45</v>
      </c>
      <c r="E16" s="29">
        <v>451.26945000000001</v>
      </c>
      <c r="F16" s="30">
        <v>3.55839147229646</v>
      </c>
      <c r="G16" s="29">
        <v>2.9001999999999999</v>
      </c>
    </row>
    <row r="17" spans="1:9" x14ac:dyDescent="0.2">
      <c r="A17" s="27" t="s">
        <v>815</v>
      </c>
      <c r="B17" s="27" t="s">
        <v>814</v>
      </c>
      <c r="C17" s="27" t="s">
        <v>163</v>
      </c>
      <c r="D17" s="31">
        <v>27</v>
      </c>
      <c r="E17" s="29">
        <v>274.15827000000002</v>
      </c>
      <c r="F17" s="30">
        <v>2.1618180668501901</v>
      </c>
      <c r="G17" s="29">
        <v>3.53</v>
      </c>
    </row>
    <row r="18" spans="1:9" x14ac:dyDescent="0.2">
      <c r="A18" s="27" t="s">
        <v>277</v>
      </c>
      <c r="B18" s="27" t="s">
        <v>276</v>
      </c>
      <c r="C18" s="27" t="s">
        <v>278</v>
      </c>
      <c r="D18" s="31">
        <v>9</v>
      </c>
      <c r="E18" s="29">
        <v>112.66875</v>
      </c>
      <c r="F18" s="30">
        <v>0.88842601508766295</v>
      </c>
      <c r="G18" s="29">
        <v>3.9125000000000001</v>
      </c>
    </row>
    <row r="19" spans="1:9" x14ac:dyDescent="0.2">
      <c r="A19" s="27" t="s">
        <v>807</v>
      </c>
      <c r="B19" s="27" t="s">
        <v>806</v>
      </c>
      <c r="C19" s="27" t="s">
        <v>163</v>
      </c>
      <c r="D19" s="31">
        <v>11</v>
      </c>
      <c r="E19" s="29">
        <v>112.23618999999999</v>
      </c>
      <c r="F19" s="30">
        <v>0.88501515309543899</v>
      </c>
      <c r="G19" s="29">
        <v>3.53</v>
      </c>
    </row>
    <row r="20" spans="1:9" x14ac:dyDescent="0.2">
      <c r="A20" s="27" t="s">
        <v>835</v>
      </c>
      <c r="B20" s="27" t="s">
        <v>834</v>
      </c>
      <c r="C20" s="27" t="s">
        <v>163</v>
      </c>
      <c r="D20" s="31">
        <v>8</v>
      </c>
      <c r="E20" s="29">
        <v>81.182159999999996</v>
      </c>
      <c r="F20" s="30">
        <v>0.64014505268771504</v>
      </c>
      <c r="G20" s="29">
        <v>3.53</v>
      </c>
    </row>
    <row r="21" spans="1:9" x14ac:dyDescent="0.2">
      <c r="A21" s="27" t="s">
        <v>823</v>
      </c>
      <c r="B21" s="27" t="s">
        <v>822</v>
      </c>
      <c r="C21" s="27" t="s">
        <v>163</v>
      </c>
      <c r="D21" s="31">
        <v>4</v>
      </c>
      <c r="E21" s="29">
        <v>40.310319999999997</v>
      </c>
      <c r="F21" s="30">
        <v>0.31785865170695998</v>
      </c>
      <c r="G21" s="29">
        <v>3.0099</v>
      </c>
    </row>
    <row r="22" spans="1:9" x14ac:dyDescent="0.2">
      <c r="A22" s="27" t="s">
        <v>837</v>
      </c>
      <c r="B22" s="27" t="s">
        <v>836</v>
      </c>
      <c r="C22" s="27" t="s">
        <v>163</v>
      </c>
      <c r="D22" s="31">
        <v>3</v>
      </c>
      <c r="E22" s="29">
        <v>38.184449999999998</v>
      </c>
      <c r="F22" s="30">
        <v>0.30109554558663398</v>
      </c>
      <c r="G22" s="29">
        <v>3.0950000000000002</v>
      </c>
    </row>
    <row r="23" spans="1:9" x14ac:dyDescent="0.2">
      <c r="A23" s="27" t="s">
        <v>803</v>
      </c>
      <c r="B23" s="27" t="s">
        <v>802</v>
      </c>
      <c r="C23" s="27" t="s">
        <v>523</v>
      </c>
      <c r="D23" s="31">
        <v>1</v>
      </c>
      <c r="E23" s="29">
        <v>10.151260000000001</v>
      </c>
      <c r="F23" s="30">
        <v>8.0045651255727907E-2</v>
      </c>
      <c r="G23" s="29">
        <v>3.4340999999999999</v>
      </c>
    </row>
    <row r="24" spans="1:9" x14ac:dyDescent="0.2">
      <c r="A24" s="27" t="s">
        <v>275</v>
      </c>
      <c r="B24" s="27" t="s">
        <v>274</v>
      </c>
      <c r="C24" s="27" t="s">
        <v>163</v>
      </c>
      <c r="D24" s="31">
        <v>1</v>
      </c>
      <c r="E24" s="29">
        <v>10.13402</v>
      </c>
      <c r="F24" s="30">
        <v>7.9909708818271905E-2</v>
      </c>
      <c r="G24" s="29">
        <v>4.6651999999999996</v>
      </c>
    </row>
    <row r="25" spans="1:9" ht="10.5" x14ac:dyDescent="0.25">
      <c r="A25" s="26" t="s">
        <v>164</v>
      </c>
      <c r="B25" s="26"/>
      <c r="C25" s="26"/>
      <c r="D25" s="32"/>
      <c r="E25" s="33">
        <f>SUM(E6:E24)</f>
        <v>10101.776450000001</v>
      </c>
      <c r="F25" s="34">
        <f>SUM(F6:F24)</f>
        <v>79.655459005091387</v>
      </c>
      <c r="G25" s="33"/>
      <c r="H25" s="18"/>
      <c r="I25" s="18"/>
    </row>
    <row r="26" spans="1:9" x14ac:dyDescent="0.2">
      <c r="A26" s="27"/>
      <c r="B26" s="27"/>
      <c r="C26" s="27"/>
      <c r="D26" s="28"/>
      <c r="E26" s="29"/>
      <c r="F26" s="30"/>
      <c r="G26" s="29"/>
    </row>
    <row r="27" spans="1:9" ht="10.5" x14ac:dyDescent="0.25">
      <c r="A27" s="26" t="s">
        <v>165</v>
      </c>
      <c r="B27" s="27"/>
      <c r="C27" s="27"/>
      <c r="D27" s="28"/>
      <c r="E27" s="29"/>
      <c r="F27" s="30"/>
      <c r="G27" s="29"/>
    </row>
    <row r="28" spans="1:9" x14ac:dyDescent="0.2">
      <c r="A28" s="27" t="s">
        <v>813</v>
      </c>
      <c r="B28" s="27" t="s">
        <v>812</v>
      </c>
      <c r="C28" s="27" t="s">
        <v>483</v>
      </c>
      <c r="D28" s="31">
        <v>100</v>
      </c>
      <c r="E28" s="29">
        <v>1009.546</v>
      </c>
      <c r="F28" s="30">
        <v>7.96056519512012</v>
      </c>
      <c r="G28" s="29">
        <v>3.8948</v>
      </c>
    </row>
    <row r="29" spans="1:9" x14ac:dyDescent="0.2">
      <c r="A29" s="27" t="s">
        <v>839</v>
      </c>
      <c r="B29" s="27" t="s">
        <v>838</v>
      </c>
      <c r="C29" s="27" t="s">
        <v>163</v>
      </c>
      <c r="D29" s="31">
        <v>72</v>
      </c>
      <c r="E29" s="29">
        <v>729.63792000000001</v>
      </c>
      <c r="F29" s="30">
        <v>5.7534081963494801</v>
      </c>
      <c r="G29" s="29">
        <v>3.74</v>
      </c>
    </row>
    <row r="30" spans="1:9" ht="10.5" x14ac:dyDescent="0.25">
      <c r="A30" s="26" t="s">
        <v>164</v>
      </c>
      <c r="B30" s="26"/>
      <c r="C30" s="26"/>
      <c r="D30" s="32"/>
      <c r="E30" s="33">
        <f>SUM(E27:E29)</f>
        <v>1739.1839199999999</v>
      </c>
      <c r="F30" s="34">
        <f>SUM(F27:F29)</f>
        <v>13.713973391469601</v>
      </c>
      <c r="G30" s="33"/>
      <c r="H30" s="18"/>
      <c r="I30" s="18"/>
    </row>
    <row r="31" spans="1:9" x14ac:dyDescent="0.2">
      <c r="A31" s="27"/>
      <c r="B31" s="27"/>
      <c r="C31" s="27"/>
      <c r="D31" s="28"/>
      <c r="E31" s="29"/>
      <c r="F31" s="30"/>
      <c r="G31" s="29"/>
    </row>
    <row r="32" spans="1:9" ht="10.5" x14ac:dyDescent="0.25">
      <c r="A32" s="26" t="s">
        <v>352</v>
      </c>
      <c r="B32" s="27"/>
      <c r="C32" s="27"/>
      <c r="D32" s="28"/>
      <c r="E32" s="29"/>
      <c r="F32" s="30"/>
      <c r="G32" s="29"/>
    </row>
    <row r="33" spans="1:9" ht="10.5" x14ac:dyDescent="0.25">
      <c r="A33" s="26" t="s">
        <v>353</v>
      </c>
      <c r="B33" s="27"/>
      <c r="C33" s="27"/>
      <c r="D33" s="28"/>
      <c r="E33" s="29"/>
      <c r="F33" s="30"/>
      <c r="G33" s="29"/>
    </row>
    <row r="34" spans="1:9" x14ac:dyDescent="0.2">
      <c r="A34" s="27" t="s">
        <v>363</v>
      </c>
      <c r="B34" s="27" t="s">
        <v>362</v>
      </c>
      <c r="C34" s="27" t="s">
        <v>359</v>
      </c>
      <c r="D34" s="31">
        <v>117</v>
      </c>
      <c r="E34" s="29">
        <v>116.053236</v>
      </c>
      <c r="F34" s="30">
        <v>0.91511367613032102</v>
      </c>
      <c r="G34" s="29">
        <v>3.07</v>
      </c>
    </row>
    <row r="35" spans="1:9" ht="10.5" x14ac:dyDescent="0.25">
      <c r="A35" s="26" t="s">
        <v>164</v>
      </c>
      <c r="B35" s="26"/>
      <c r="C35" s="26"/>
      <c r="D35" s="32"/>
      <c r="E35" s="33">
        <f>SUM(E33:E34)</f>
        <v>116.053236</v>
      </c>
      <c r="F35" s="34">
        <f>SUM(F33:F34)</f>
        <v>0.91511367613032102</v>
      </c>
      <c r="G35" s="33"/>
      <c r="H35" s="18"/>
      <c r="I35" s="18"/>
    </row>
    <row r="36" spans="1:9" x14ac:dyDescent="0.2">
      <c r="A36" s="27"/>
      <c r="B36" s="27"/>
      <c r="C36" s="27"/>
      <c r="D36" s="28"/>
      <c r="E36" s="29"/>
      <c r="F36" s="30"/>
      <c r="G36" s="29"/>
    </row>
    <row r="37" spans="1:9" ht="10.5" x14ac:dyDescent="0.25">
      <c r="A37" s="26" t="s">
        <v>389</v>
      </c>
      <c r="B37" s="27"/>
      <c r="C37" s="27"/>
      <c r="D37" s="28"/>
      <c r="E37" s="29"/>
      <c r="F37" s="30"/>
      <c r="G37" s="29"/>
    </row>
    <row r="38" spans="1:9" x14ac:dyDescent="0.2">
      <c r="A38" s="27" t="s">
        <v>393</v>
      </c>
      <c r="B38" s="27" t="s">
        <v>392</v>
      </c>
      <c r="C38" s="27" t="s">
        <v>466</v>
      </c>
      <c r="D38" s="31">
        <v>77000</v>
      </c>
      <c r="E38" s="29">
        <v>76.254486</v>
      </c>
      <c r="F38" s="30">
        <v>0.60128890335197605</v>
      </c>
      <c r="G38" s="29">
        <v>3.05</v>
      </c>
    </row>
    <row r="39" spans="1:9" ht="10.5" x14ac:dyDescent="0.25">
      <c r="A39" s="26" t="s">
        <v>164</v>
      </c>
      <c r="B39" s="26"/>
      <c r="C39" s="26"/>
      <c r="D39" s="32"/>
      <c r="E39" s="33">
        <f>SUM(E37:E38)</f>
        <v>76.254486</v>
      </c>
      <c r="F39" s="34">
        <f>SUM(F37:F38)</f>
        <v>0.60128890335197605</v>
      </c>
      <c r="G39" s="33"/>
      <c r="H39" s="18"/>
      <c r="I39" s="18"/>
    </row>
    <row r="40" spans="1:9" x14ac:dyDescent="0.2">
      <c r="A40" s="27"/>
      <c r="B40" s="27"/>
      <c r="C40" s="27"/>
      <c r="D40" s="28"/>
      <c r="E40" s="29"/>
      <c r="F40" s="30"/>
      <c r="G40" s="29"/>
    </row>
    <row r="41" spans="1:9" ht="10.5" x14ac:dyDescent="0.25">
      <c r="A41" s="26" t="s">
        <v>176</v>
      </c>
      <c r="B41" s="26"/>
      <c r="C41" s="26"/>
      <c r="D41" s="32"/>
      <c r="E41" s="33">
        <f>E25+E30+E35+E39</f>
        <v>12033.268092</v>
      </c>
      <c r="F41" s="34">
        <f>F25+F30+F35+F39</f>
        <v>94.885834976043284</v>
      </c>
      <c r="G41" s="33"/>
      <c r="H41" s="18"/>
      <c r="I41" s="18"/>
    </row>
    <row r="42" spans="1:9" ht="10.5" x14ac:dyDescent="0.25">
      <c r="A42" s="26"/>
      <c r="B42" s="26"/>
      <c r="C42" s="26"/>
      <c r="D42" s="32"/>
      <c r="E42" s="33"/>
      <c r="F42" s="34"/>
      <c r="G42" s="33"/>
      <c r="H42" s="18"/>
      <c r="I42" s="18"/>
    </row>
    <row r="43" spans="1:9" ht="10.5" x14ac:dyDescent="0.25">
      <c r="A43" s="26" t="s">
        <v>178</v>
      </c>
      <c r="B43" s="26"/>
      <c r="C43" s="26"/>
      <c r="D43" s="32"/>
      <c r="E43" s="33">
        <f>E45-(E25+E30+E35+E39)</f>
        <v>648.57013499999994</v>
      </c>
      <c r="F43" s="34">
        <f>F45-(F25+F30+F35+F39)</f>
        <v>5.1141650239567156</v>
      </c>
      <c r="G43" s="33"/>
      <c r="H43" s="18"/>
      <c r="I43" s="18"/>
    </row>
    <row r="44" spans="1:9" ht="10.5" x14ac:dyDescent="0.25">
      <c r="A44" s="26"/>
      <c r="B44" s="26"/>
      <c r="C44" s="26"/>
      <c r="D44" s="32"/>
      <c r="E44" s="33"/>
      <c r="F44" s="34"/>
      <c r="G44" s="33"/>
      <c r="H44" s="18"/>
      <c r="I44" s="18"/>
    </row>
    <row r="45" spans="1:9" ht="10.5" x14ac:dyDescent="0.25">
      <c r="A45" s="35" t="s">
        <v>177</v>
      </c>
      <c r="B45" s="35"/>
      <c r="C45" s="35"/>
      <c r="D45" s="36"/>
      <c r="E45" s="37">
        <v>12681.838227</v>
      </c>
      <c r="F45" s="38">
        <v>100</v>
      </c>
      <c r="G45" s="37"/>
      <c r="H45" s="18"/>
      <c r="I45" s="18"/>
    </row>
    <row r="47" spans="1:9" ht="10.5" x14ac:dyDescent="0.25">
      <c r="A47" s="18" t="s">
        <v>180</v>
      </c>
    </row>
    <row r="49" spans="1:4" ht="10.5" x14ac:dyDescent="0.25">
      <c r="A49" s="18" t="s">
        <v>181</v>
      </c>
    </row>
    <row r="50" spans="1:4" ht="10.5" x14ac:dyDescent="0.25">
      <c r="A50" s="18" t="s">
        <v>182</v>
      </c>
    </row>
    <row r="51" spans="1:4" ht="10.5" x14ac:dyDescent="0.25">
      <c r="A51" s="18" t="s">
        <v>183</v>
      </c>
      <c r="B51" s="18"/>
      <c r="C51" s="39" t="s">
        <v>185</v>
      </c>
      <c r="D51" s="19" t="s">
        <v>184</v>
      </c>
    </row>
    <row r="52" spans="1:4" x14ac:dyDescent="0.2">
      <c r="A52" s="9" t="s">
        <v>421</v>
      </c>
      <c r="C52" s="40">
        <v>11.948399999999999</v>
      </c>
      <c r="D52" s="40">
        <v>12.334199999999999</v>
      </c>
    </row>
    <row r="53" spans="1:4" x14ac:dyDescent="0.2">
      <c r="A53" s="9" t="s">
        <v>723</v>
      </c>
      <c r="C53" s="40">
        <v>10.3659</v>
      </c>
      <c r="D53" s="40">
        <v>10.7006</v>
      </c>
    </row>
    <row r="54" spans="1:4" x14ac:dyDescent="0.2">
      <c r="A54" s="9" t="s">
        <v>423</v>
      </c>
      <c r="C54" s="40">
        <v>10.355600000000001</v>
      </c>
      <c r="D54" s="40">
        <v>10.319000000000001</v>
      </c>
    </row>
    <row r="55" spans="1:4" x14ac:dyDescent="0.2">
      <c r="A55" s="9" t="s">
        <v>424</v>
      </c>
      <c r="C55" s="40">
        <v>12.020300000000001</v>
      </c>
      <c r="D55" s="40">
        <v>12.4084</v>
      </c>
    </row>
    <row r="56" spans="1:4" x14ac:dyDescent="0.2">
      <c r="A56" s="9" t="s">
        <v>459</v>
      </c>
      <c r="C56" s="40">
        <v>10.438000000000001</v>
      </c>
      <c r="D56" s="40">
        <v>10.775499999999999</v>
      </c>
    </row>
    <row r="57" spans="1:4" x14ac:dyDescent="0.2">
      <c r="A57" s="9" t="s">
        <v>426</v>
      </c>
      <c r="C57" s="40">
        <v>10.3918</v>
      </c>
      <c r="D57" s="40">
        <v>10.356299999999999</v>
      </c>
    </row>
    <row r="59" spans="1:4" ht="10.5" x14ac:dyDescent="0.25">
      <c r="A59" s="18" t="s">
        <v>197</v>
      </c>
    </row>
    <row r="60" spans="1:4" ht="10.5" x14ac:dyDescent="0.25">
      <c r="A60" s="73" t="s">
        <v>403</v>
      </c>
      <c r="B60" s="74"/>
      <c r="C60" s="45" t="s">
        <v>404</v>
      </c>
    </row>
    <row r="61" spans="1:4" x14ac:dyDescent="0.2">
      <c r="A61" s="69" t="s">
        <v>423</v>
      </c>
      <c r="B61" s="70"/>
      <c r="C61" s="46">
        <v>0.36499999999999999</v>
      </c>
    </row>
    <row r="62" spans="1:4" x14ac:dyDescent="0.2">
      <c r="A62" s="69" t="s">
        <v>426</v>
      </c>
      <c r="B62" s="70"/>
      <c r="C62" s="46">
        <v>0.36499999999999999</v>
      </c>
    </row>
    <row r="63" spans="1:4" x14ac:dyDescent="0.2">
      <c r="A63" s="9" t="s">
        <v>405</v>
      </c>
    </row>
    <row r="65" spans="1:5" ht="10.5" x14ac:dyDescent="0.25">
      <c r="A65" s="18" t="s">
        <v>199</v>
      </c>
      <c r="D65" s="42">
        <v>0.29720534208219201</v>
      </c>
      <c r="E65" s="13" t="s">
        <v>200</v>
      </c>
    </row>
    <row r="67" spans="1:5" ht="10.5" x14ac:dyDescent="0.25">
      <c r="A67" s="18" t="s">
        <v>201</v>
      </c>
      <c r="D67" s="41" t="s">
        <v>198</v>
      </c>
    </row>
  </sheetData>
  <mergeCells count="4">
    <mergeCell ref="A1:G1"/>
    <mergeCell ref="A60:B60"/>
    <mergeCell ref="A61:B61"/>
    <mergeCell ref="A62:B62"/>
  </mergeCells>
  <conditionalFormatting sqref="F2:F3 F5:F65536">
    <cfRule type="cellIs" dxfId="3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I62"/>
  <sheetViews>
    <sheetView workbookViewId="0">
      <selection sqref="A1:G1"/>
    </sheetView>
  </sheetViews>
  <sheetFormatPr defaultColWidth="9.1796875" defaultRowHeight="10" x14ac:dyDescent="0.2"/>
  <cols>
    <col min="1" max="1" width="38.7265625" style="9" bestFit="1" customWidth="1"/>
    <col min="2" max="2" width="51.1796875"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38</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787</v>
      </c>
      <c r="B7" s="27" t="s">
        <v>786</v>
      </c>
      <c r="C7" s="27" t="s">
        <v>163</v>
      </c>
      <c r="D7" s="31">
        <v>61</v>
      </c>
      <c r="E7" s="29">
        <v>770.88505999999995</v>
      </c>
      <c r="F7" s="30">
        <v>10.0108602662109</v>
      </c>
      <c r="G7" s="29">
        <v>3.9550000000000001</v>
      </c>
    </row>
    <row r="8" spans="1:7" x14ac:dyDescent="0.2">
      <c r="A8" s="27" t="s">
        <v>799</v>
      </c>
      <c r="B8" s="27" t="s">
        <v>798</v>
      </c>
      <c r="C8" s="27" t="s">
        <v>523</v>
      </c>
      <c r="D8" s="31">
        <v>61</v>
      </c>
      <c r="E8" s="29">
        <v>621.19167000000004</v>
      </c>
      <c r="F8" s="30">
        <v>8.0669133825270798</v>
      </c>
      <c r="G8" s="29">
        <v>3.5019999999999998</v>
      </c>
    </row>
    <row r="9" spans="1:7" x14ac:dyDescent="0.2">
      <c r="A9" s="27" t="s">
        <v>835</v>
      </c>
      <c r="B9" s="27" t="s">
        <v>834</v>
      </c>
      <c r="C9" s="27" t="s">
        <v>163</v>
      </c>
      <c r="D9" s="31">
        <v>61</v>
      </c>
      <c r="E9" s="29">
        <v>619.01396999999997</v>
      </c>
      <c r="F9" s="30">
        <v>8.0386333554090008</v>
      </c>
      <c r="G9" s="29">
        <v>3.53</v>
      </c>
    </row>
    <row r="10" spans="1:7" x14ac:dyDescent="0.2">
      <c r="A10" s="27" t="s">
        <v>831</v>
      </c>
      <c r="B10" s="27" t="s">
        <v>830</v>
      </c>
      <c r="C10" s="27" t="s">
        <v>163</v>
      </c>
      <c r="D10" s="31">
        <v>61</v>
      </c>
      <c r="E10" s="29">
        <v>618.72544000000005</v>
      </c>
      <c r="F10" s="30">
        <v>8.0348864498552608</v>
      </c>
      <c r="G10" s="29">
        <v>3.5301</v>
      </c>
    </row>
    <row r="11" spans="1:7" x14ac:dyDescent="0.2">
      <c r="A11" s="27" t="s">
        <v>833</v>
      </c>
      <c r="B11" s="27" t="s">
        <v>832</v>
      </c>
      <c r="C11" s="27" t="s">
        <v>523</v>
      </c>
      <c r="D11" s="31">
        <v>61</v>
      </c>
      <c r="E11" s="29">
        <v>615.43326999999999</v>
      </c>
      <c r="F11" s="30">
        <v>7.9921337029767399</v>
      </c>
      <c r="G11" s="29">
        <v>3.0249000000000001</v>
      </c>
    </row>
    <row r="12" spans="1:7" x14ac:dyDescent="0.2">
      <c r="A12" s="27" t="s">
        <v>525</v>
      </c>
      <c r="B12" s="27" t="s">
        <v>524</v>
      </c>
      <c r="C12" s="27" t="s">
        <v>163</v>
      </c>
      <c r="D12" s="31">
        <v>5</v>
      </c>
      <c r="E12" s="29">
        <v>506.9615</v>
      </c>
      <c r="F12" s="30">
        <v>6.5834986305853098</v>
      </c>
      <c r="G12" s="29">
        <v>3.2050999999999998</v>
      </c>
    </row>
    <row r="13" spans="1:7" x14ac:dyDescent="0.2">
      <c r="A13" s="27" t="s">
        <v>580</v>
      </c>
      <c r="B13" s="27" t="s">
        <v>579</v>
      </c>
      <c r="C13" s="27" t="s">
        <v>523</v>
      </c>
      <c r="D13" s="31">
        <v>40</v>
      </c>
      <c r="E13" s="29">
        <v>503.03399999999999</v>
      </c>
      <c r="F13" s="30">
        <v>6.53249536727711</v>
      </c>
      <c r="G13" s="29">
        <v>5.17</v>
      </c>
    </row>
    <row r="14" spans="1:7" x14ac:dyDescent="0.2">
      <c r="A14" s="27" t="s">
        <v>606</v>
      </c>
      <c r="B14" s="27" t="s">
        <v>605</v>
      </c>
      <c r="C14" s="27" t="s">
        <v>163</v>
      </c>
      <c r="D14" s="31">
        <v>38</v>
      </c>
      <c r="E14" s="29">
        <v>384.83359999999999</v>
      </c>
      <c r="F14" s="30">
        <v>4.99752245210576</v>
      </c>
      <c r="G14" s="29">
        <v>3.2397999999999998</v>
      </c>
    </row>
    <row r="15" spans="1:7" x14ac:dyDescent="0.2">
      <c r="A15" s="27" t="s">
        <v>765</v>
      </c>
      <c r="B15" s="27" t="s">
        <v>764</v>
      </c>
      <c r="C15" s="27" t="s">
        <v>163</v>
      </c>
      <c r="D15" s="31">
        <v>30</v>
      </c>
      <c r="E15" s="29">
        <v>377.05950000000001</v>
      </c>
      <c r="F15" s="30">
        <v>4.8965665083032599</v>
      </c>
      <c r="G15" s="29">
        <v>3.31</v>
      </c>
    </row>
    <row r="16" spans="1:7" x14ac:dyDescent="0.2">
      <c r="A16" s="27" t="s">
        <v>592</v>
      </c>
      <c r="B16" s="27" t="s">
        <v>591</v>
      </c>
      <c r="C16" s="27" t="s">
        <v>163</v>
      </c>
      <c r="D16" s="31">
        <v>36</v>
      </c>
      <c r="E16" s="29">
        <v>361.01555999999999</v>
      </c>
      <c r="F16" s="30">
        <v>4.6882168466046998</v>
      </c>
      <c r="G16" s="29">
        <v>2.9001999999999999</v>
      </c>
    </row>
    <row r="17" spans="1:9" x14ac:dyDescent="0.2">
      <c r="A17" s="27" t="s">
        <v>817</v>
      </c>
      <c r="B17" s="27" t="s">
        <v>816</v>
      </c>
      <c r="C17" s="27" t="s">
        <v>163</v>
      </c>
      <c r="D17" s="31">
        <v>21</v>
      </c>
      <c r="E17" s="29">
        <v>212.61555000000001</v>
      </c>
      <c r="F17" s="30">
        <v>2.7610660420291202</v>
      </c>
      <c r="G17" s="29">
        <v>3.2351000000000001</v>
      </c>
    </row>
    <row r="18" spans="1:9" x14ac:dyDescent="0.2">
      <c r="A18" s="27" t="s">
        <v>277</v>
      </c>
      <c r="B18" s="27" t="s">
        <v>276</v>
      </c>
      <c r="C18" s="27" t="s">
        <v>278</v>
      </c>
      <c r="D18" s="31">
        <v>10</v>
      </c>
      <c r="E18" s="29">
        <v>125.1875</v>
      </c>
      <c r="F18" s="30">
        <v>1.6257087270264099</v>
      </c>
      <c r="G18" s="29">
        <v>3.9125000000000001</v>
      </c>
    </row>
    <row r="19" spans="1:9" x14ac:dyDescent="0.2">
      <c r="A19" s="27" t="s">
        <v>807</v>
      </c>
      <c r="B19" s="27" t="s">
        <v>806</v>
      </c>
      <c r="C19" s="27" t="s">
        <v>163</v>
      </c>
      <c r="D19" s="31">
        <v>10</v>
      </c>
      <c r="E19" s="29">
        <v>102.0329</v>
      </c>
      <c r="F19" s="30">
        <v>1.3250186797708501</v>
      </c>
      <c r="G19" s="29">
        <v>3.53</v>
      </c>
    </row>
    <row r="20" spans="1:9" x14ac:dyDescent="0.2">
      <c r="A20" s="27" t="s">
        <v>275</v>
      </c>
      <c r="B20" s="27" t="s">
        <v>274</v>
      </c>
      <c r="C20" s="27" t="s">
        <v>163</v>
      </c>
      <c r="D20" s="31">
        <v>2</v>
      </c>
      <c r="E20" s="29">
        <v>20.268039999999999</v>
      </c>
      <c r="F20" s="30">
        <v>0.26320462911808601</v>
      </c>
      <c r="G20" s="29">
        <v>4.6651999999999996</v>
      </c>
    </row>
    <row r="21" spans="1:9" x14ac:dyDescent="0.2">
      <c r="A21" s="27" t="s">
        <v>809</v>
      </c>
      <c r="B21" s="27" t="s">
        <v>808</v>
      </c>
      <c r="C21" s="27" t="s">
        <v>163</v>
      </c>
      <c r="D21" s="31">
        <v>1</v>
      </c>
      <c r="E21" s="29">
        <v>12.559060000000001</v>
      </c>
      <c r="F21" s="30">
        <v>0.163094346042922</v>
      </c>
      <c r="G21" s="29">
        <v>3.7149999999999999</v>
      </c>
    </row>
    <row r="22" spans="1:9" x14ac:dyDescent="0.2">
      <c r="A22" s="27" t="s">
        <v>803</v>
      </c>
      <c r="B22" s="27" t="s">
        <v>802</v>
      </c>
      <c r="C22" s="27" t="s">
        <v>523</v>
      </c>
      <c r="D22" s="31">
        <v>1</v>
      </c>
      <c r="E22" s="29">
        <v>10.151260000000001</v>
      </c>
      <c r="F22" s="30">
        <v>0.13182619648378699</v>
      </c>
      <c r="G22" s="29">
        <v>3.4340999999999999</v>
      </c>
    </row>
    <row r="23" spans="1:9" ht="10.5" x14ac:dyDescent="0.25">
      <c r="A23" s="26" t="s">
        <v>164</v>
      </c>
      <c r="B23" s="26"/>
      <c r="C23" s="26"/>
      <c r="D23" s="32"/>
      <c r="E23" s="33">
        <f>SUM(E6:E22)</f>
        <v>5860.9678799999992</v>
      </c>
      <c r="F23" s="34">
        <f>SUM(F6:F22)</f>
        <v>76.111645582326304</v>
      </c>
      <c r="G23" s="33"/>
      <c r="H23" s="18"/>
      <c r="I23" s="18"/>
    </row>
    <row r="24" spans="1:9" x14ac:dyDescent="0.2">
      <c r="A24" s="27"/>
      <c r="B24" s="27"/>
      <c r="C24" s="27"/>
      <c r="D24" s="28"/>
      <c r="E24" s="29"/>
      <c r="F24" s="30"/>
      <c r="G24" s="29"/>
    </row>
    <row r="25" spans="1:9" ht="10.5" x14ac:dyDescent="0.25">
      <c r="A25" s="26" t="s">
        <v>165</v>
      </c>
      <c r="B25" s="27"/>
      <c r="C25" s="27"/>
      <c r="D25" s="28"/>
      <c r="E25" s="29"/>
      <c r="F25" s="30"/>
      <c r="G25" s="29"/>
    </row>
    <row r="26" spans="1:9" x14ac:dyDescent="0.2">
      <c r="A26" s="27" t="s">
        <v>839</v>
      </c>
      <c r="B26" s="27" t="s">
        <v>838</v>
      </c>
      <c r="C26" s="27" t="s">
        <v>163</v>
      </c>
      <c r="D26" s="31">
        <v>61</v>
      </c>
      <c r="E26" s="29">
        <v>618.16546000000005</v>
      </c>
      <c r="F26" s="30">
        <v>8.0276144428820295</v>
      </c>
      <c r="G26" s="29">
        <v>3.74</v>
      </c>
    </row>
    <row r="27" spans="1:9" x14ac:dyDescent="0.2">
      <c r="A27" s="27" t="s">
        <v>813</v>
      </c>
      <c r="B27" s="27" t="s">
        <v>812</v>
      </c>
      <c r="C27" s="27" t="s">
        <v>483</v>
      </c>
      <c r="D27" s="31">
        <v>61</v>
      </c>
      <c r="E27" s="29">
        <v>615.82306000000005</v>
      </c>
      <c r="F27" s="30">
        <v>7.9971955901835896</v>
      </c>
      <c r="G27" s="29">
        <v>3.8948</v>
      </c>
    </row>
    <row r="28" spans="1:9" ht="10.5" x14ac:dyDescent="0.25">
      <c r="A28" s="26" t="s">
        <v>164</v>
      </c>
      <c r="B28" s="26"/>
      <c r="C28" s="26"/>
      <c r="D28" s="32"/>
      <c r="E28" s="33">
        <f>SUM(E25:E27)</f>
        <v>1233.9885200000001</v>
      </c>
      <c r="F28" s="34">
        <f>SUM(F25:F27)</f>
        <v>16.02481003306562</v>
      </c>
      <c r="G28" s="33"/>
      <c r="H28" s="18"/>
      <c r="I28" s="18"/>
    </row>
    <row r="29" spans="1:9" x14ac:dyDescent="0.2">
      <c r="A29" s="27"/>
      <c r="B29" s="27"/>
      <c r="C29" s="27"/>
      <c r="D29" s="28"/>
      <c r="E29" s="29"/>
      <c r="F29" s="30"/>
      <c r="G29" s="29"/>
    </row>
    <row r="30" spans="1:9" ht="10.5" x14ac:dyDescent="0.25">
      <c r="A30" s="26" t="s">
        <v>352</v>
      </c>
      <c r="B30" s="27"/>
      <c r="C30" s="27"/>
      <c r="D30" s="28"/>
      <c r="E30" s="29"/>
      <c r="F30" s="30"/>
      <c r="G30" s="29"/>
    </row>
    <row r="31" spans="1:9" ht="10.5" x14ac:dyDescent="0.25">
      <c r="A31" s="26" t="s">
        <v>353</v>
      </c>
      <c r="B31" s="27"/>
      <c r="C31" s="27"/>
      <c r="D31" s="28"/>
      <c r="E31" s="29"/>
      <c r="F31" s="30"/>
      <c r="G31" s="29"/>
    </row>
    <row r="32" spans="1:9" x14ac:dyDescent="0.2">
      <c r="A32" s="27" t="s">
        <v>363</v>
      </c>
      <c r="B32" s="27" t="s">
        <v>362</v>
      </c>
      <c r="C32" s="27" t="s">
        <v>359</v>
      </c>
      <c r="D32" s="31">
        <v>56</v>
      </c>
      <c r="E32" s="29">
        <v>55.546847999999997</v>
      </c>
      <c r="F32" s="30">
        <v>0.72134195149203795</v>
      </c>
      <c r="G32" s="29">
        <v>3.07</v>
      </c>
    </row>
    <row r="33" spans="1:9" ht="10.5" x14ac:dyDescent="0.25">
      <c r="A33" s="26" t="s">
        <v>164</v>
      </c>
      <c r="B33" s="26"/>
      <c r="C33" s="26"/>
      <c r="D33" s="32"/>
      <c r="E33" s="33">
        <f>SUM(E31:E32)</f>
        <v>55.546847999999997</v>
      </c>
      <c r="F33" s="34">
        <f>SUM(F31:F32)</f>
        <v>0.72134195149203795</v>
      </c>
      <c r="G33" s="33"/>
      <c r="H33" s="18"/>
      <c r="I33" s="18"/>
    </row>
    <row r="34" spans="1:9" x14ac:dyDescent="0.2">
      <c r="A34" s="27"/>
      <c r="B34" s="27"/>
      <c r="C34" s="27"/>
      <c r="D34" s="28"/>
      <c r="E34" s="29"/>
      <c r="F34" s="30"/>
      <c r="G34" s="29"/>
    </row>
    <row r="35" spans="1:9" ht="10.5" x14ac:dyDescent="0.25">
      <c r="A35" s="26" t="s">
        <v>389</v>
      </c>
      <c r="B35" s="27"/>
      <c r="C35" s="27"/>
      <c r="D35" s="28"/>
      <c r="E35" s="29"/>
      <c r="F35" s="30"/>
      <c r="G35" s="29"/>
    </row>
    <row r="36" spans="1:9" x14ac:dyDescent="0.2">
      <c r="A36" s="27" t="s">
        <v>393</v>
      </c>
      <c r="B36" s="27" t="s">
        <v>392</v>
      </c>
      <c r="C36" s="27" t="s">
        <v>466</v>
      </c>
      <c r="D36" s="31">
        <v>120000</v>
      </c>
      <c r="E36" s="29">
        <v>118.83816</v>
      </c>
      <c r="F36" s="30">
        <v>1.5432549880440201</v>
      </c>
      <c r="G36" s="29">
        <v>3.05</v>
      </c>
    </row>
    <row r="37" spans="1:9" ht="10.5" x14ac:dyDescent="0.25">
      <c r="A37" s="26" t="s">
        <v>164</v>
      </c>
      <c r="B37" s="26"/>
      <c r="C37" s="26"/>
      <c r="D37" s="32"/>
      <c r="E37" s="33">
        <f>SUM(E35:E36)</f>
        <v>118.83816</v>
      </c>
      <c r="F37" s="34">
        <f>SUM(F35:F36)</f>
        <v>1.5432549880440201</v>
      </c>
      <c r="G37" s="33"/>
      <c r="H37" s="18"/>
      <c r="I37" s="18"/>
    </row>
    <row r="38" spans="1:9" x14ac:dyDescent="0.2">
      <c r="A38" s="27"/>
      <c r="B38" s="27"/>
      <c r="C38" s="27"/>
      <c r="D38" s="28"/>
      <c r="E38" s="29"/>
      <c r="F38" s="30"/>
      <c r="G38" s="29"/>
    </row>
    <row r="39" spans="1:9" ht="10.5" x14ac:dyDescent="0.25">
      <c r="A39" s="26" t="s">
        <v>176</v>
      </c>
      <c r="B39" s="26"/>
      <c r="C39" s="26"/>
      <c r="D39" s="32"/>
      <c r="E39" s="33">
        <f>E23+E28+E33+E37</f>
        <v>7269.3414079999993</v>
      </c>
      <c r="F39" s="34">
        <f>F23+F28+F33+F37</f>
        <v>94.401052554927986</v>
      </c>
      <c r="G39" s="33"/>
      <c r="H39" s="18"/>
      <c r="I39" s="18"/>
    </row>
    <row r="40" spans="1:9" ht="10.5" x14ac:dyDescent="0.25">
      <c r="A40" s="26"/>
      <c r="B40" s="26"/>
      <c r="C40" s="26"/>
      <c r="D40" s="32"/>
      <c r="E40" s="33"/>
      <c r="F40" s="34"/>
      <c r="G40" s="33"/>
      <c r="H40" s="18"/>
      <c r="I40" s="18"/>
    </row>
    <row r="41" spans="1:9" ht="10.5" x14ac:dyDescent="0.25">
      <c r="A41" s="26" t="s">
        <v>178</v>
      </c>
      <c r="B41" s="26"/>
      <c r="C41" s="26"/>
      <c r="D41" s="32"/>
      <c r="E41" s="33">
        <f>E43-(E23+E28+E33+E37)</f>
        <v>431.14625740000065</v>
      </c>
      <c r="F41" s="34">
        <f>F43-(F23+F28+F33+F37)</f>
        <v>5.5989474450720138</v>
      </c>
      <c r="G41" s="33"/>
      <c r="H41" s="18"/>
      <c r="I41" s="18"/>
    </row>
    <row r="42" spans="1:9" ht="10.5" x14ac:dyDescent="0.25">
      <c r="A42" s="26"/>
      <c r="B42" s="26"/>
      <c r="C42" s="26"/>
      <c r="D42" s="32"/>
      <c r="E42" s="33"/>
      <c r="F42" s="34"/>
      <c r="G42" s="33"/>
      <c r="H42" s="18"/>
      <c r="I42" s="18"/>
    </row>
    <row r="43" spans="1:9" ht="10.5" x14ac:dyDescent="0.25">
      <c r="A43" s="35" t="s">
        <v>177</v>
      </c>
      <c r="B43" s="35"/>
      <c r="C43" s="35"/>
      <c r="D43" s="36"/>
      <c r="E43" s="37">
        <v>7700.4876654</v>
      </c>
      <c r="F43" s="38">
        <v>100</v>
      </c>
      <c r="G43" s="37"/>
      <c r="H43" s="18"/>
      <c r="I43" s="18"/>
    </row>
    <row r="45" spans="1:9" ht="10.5" x14ac:dyDescent="0.25">
      <c r="A45" s="18" t="s">
        <v>180</v>
      </c>
    </row>
    <row r="47" spans="1:9" ht="10.5" x14ac:dyDescent="0.25">
      <c r="A47" s="18" t="s">
        <v>181</v>
      </c>
    </row>
    <row r="48" spans="1:9" ht="10.5" x14ac:dyDescent="0.25">
      <c r="A48" s="18" t="s">
        <v>182</v>
      </c>
    </row>
    <row r="49" spans="1:5" ht="10.5" x14ac:dyDescent="0.25">
      <c r="A49" s="18" t="s">
        <v>183</v>
      </c>
      <c r="B49" s="18"/>
      <c r="C49" s="39" t="s">
        <v>185</v>
      </c>
      <c r="D49" s="19" t="s">
        <v>184</v>
      </c>
    </row>
    <row r="50" spans="1:5" x14ac:dyDescent="0.2">
      <c r="A50" s="9" t="s">
        <v>421</v>
      </c>
      <c r="C50" s="40">
        <v>12.0274</v>
      </c>
      <c r="D50" s="40">
        <v>12.408300000000001</v>
      </c>
    </row>
    <row r="51" spans="1:5" x14ac:dyDescent="0.2">
      <c r="A51" s="9" t="s">
        <v>723</v>
      </c>
      <c r="C51" s="40">
        <v>10.3819</v>
      </c>
      <c r="D51" s="40">
        <v>10.7112</v>
      </c>
    </row>
    <row r="52" spans="1:5" x14ac:dyDescent="0.2">
      <c r="A52" s="9" t="s">
        <v>423</v>
      </c>
      <c r="C52" s="40">
        <v>10.3695</v>
      </c>
      <c r="D52" s="40">
        <v>10.3225</v>
      </c>
    </row>
    <row r="53" spans="1:5" x14ac:dyDescent="0.2">
      <c r="A53" s="9" t="s">
        <v>424</v>
      </c>
      <c r="C53" s="40">
        <v>12.0877</v>
      </c>
      <c r="D53" s="40">
        <v>12.470499999999999</v>
      </c>
    </row>
    <row r="55" spans="1:5" ht="10.5" x14ac:dyDescent="0.25">
      <c r="A55" s="18" t="s">
        <v>197</v>
      </c>
    </row>
    <row r="56" spans="1:5" ht="10.5" x14ac:dyDescent="0.25">
      <c r="A56" s="73" t="s">
        <v>403</v>
      </c>
      <c r="B56" s="74"/>
      <c r="C56" s="45" t="s">
        <v>404</v>
      </c>
    </row>
    <row r="57" spans="1:5" x14ac:dyDescent="0.2">
      <c r="A57" s="69" t="s">
        <v>423</v>
      </c>
      <c r="B57" s="70"/>
      <c r="C57" s="46">
        <v>0.37</v>
      </c>
    </row>
    <row r="58" spans="1:5" x14ac:dyDescent="0.2">
      <c r="A58" s="9" t="s">
        <v>405</v>
      </c>
    </row>
    <row r="60" spans="1:5" ht="10.5" x14ac:dyDescent="0.25">
      <c r="A60" s="18" t="s">
        <v>199</v>
      </c>
      <c r="D60" s="42">
        <v>0.29008529008219203</v>
      </c>
      <c r="E60" s="13" t="s">
        <v>200</v>
      </c>
    </row>
    <row r="62" spans="1:5" ht="10.5" x14ac:dyDescent="0.25">
      <c r="A62" s="18" t="s">
        <v>201</v>
      </c>
      <c r="D62" s="41" t="s">
        <v>198</v>
      </c>
    </row>
  </sheetData>
  <mergeCells count="3">
    <mergeCell ref="A1:G1"/>
    <mergeCell ref="A56:B56"/>
    <mergeCell ref="A57:B57"/>
  </mergeCells>
  <conditionalFormatting sqref="F2:F3 F5:F65536">
    <cfRule type="cellIs" dxfId="3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I63"/>
  <sheetViews>
    <sheetView workbookViewId="0">
      <selection sqref="A1:G1"/>
    </sheetView>
  </sheetViews>
  <sheetFormatPr defaultColWidth="9.1796875" defaultRowHeight="10" x14ac:dyDescent="0.2"/>
  <cols>
    <col min="1" max="1" width="38.7265625" style="9" bestFit="1" customWidth="1"/>
    <col min="2" max="2" width="51.26953125" style="9" bestFit="1" customWidth="1"/>
    <col min="3" max="3" width="15.542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39</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829</v>
      </c>
      <c r="B7" s="27" t="s">
        <v>828</v>
      </c>
      <c r="C7" s="27" t="s">
        <v>163</v>
      </c>
      <c r="D7" s="31">
        <v>86</v>
      </c>
      <c r="E7" s="29">
        <v>847.06817999999998</v>
      </c>
      <c r="F7" s="30">
        <v>9.9690026747018905</v>
      </c>
      <c r="G7" s="29">
        <v>3.7399</v>
      </c>
    </row>
    <row r="8" spans="1:7" x14ac:dyDescent="0.2">
      <c r="A8" s="27" t="s">
        <v>787</v>
      </c>
      <c r="B8" s="27" t="s">
        <v>786</v>
      </c>
      <c r="C8" s="27" t="s">
        <v>163</v>
      </c>
      <c r="D8" s="31">
        <v>67</v>
      </c>
      <c r="E8" s="29">
        <v>846.70982000000004</v>
      </c>
      <c r="F8" s="30">
        <v>9.9647851962475507</v>
      </c>
      <c r="G8" s="29">
        <v>3.9550000000000001</v>
      </c>
    </row>
    <row r="9" spans="1:7" x14ac:dyDescent="0.2">
      <c r="A9" s="27" t="s">
        <v>606</v>
      </c>
      <c r="B9" s="27" t="s">
        <v>605</v>
      </c>
      <c r="C9" s="27" t="s">
        <v>163</v>
      </c>
      <c r="D9" s="31">
        <v>72</v>
      </c>
      <c r="E9" s="29">
        <v>729.15840000000003</v>
      </c>
      <c r="F9" s="30">
        <v>8.5813423423381892</v>
      </c>
      <c r="G9" s="29">
        <v>3.2397999999999998</v>
      </c>
    </row>
    <row r="10" spans="1:7" x14ac:dyDescent="0.2">
      <c r="A10" s="27" t="s">
        <v>799</v>
      </c>
      <c r="B10" s="27" t="s">
        <v>798</v>
      </c>
      <c r="C10" s="27" t="s">
        <v>523</v>
      </c>
      <c r="D10" s="31">
        <v>68</v>
      </c>
      <c r="E10" s="29">
        <v>692.47595999999999</v>
      </c>
      <c r="F10" s="30">
        <v>8.1496328871741603</v>
      </c>
      <c r="G10" s="29">
        <v>3.5019999999999998</v>
      </c>
    </row>
    <row r="11" spans="1:7" x14ac:dyDescent="0.2">
      <c r="A11" s="27" t="s">
        <v>835</v>
      </c>
      <c r="B11" s="27" t="s">
        <v>834</v>
      </c>
      <c r="C11" s="27" t="s">
        <v>163</v>
      </c>
      <c r="D11" s="31">
        <v>68</v>
      </c>
      <c r="E11" s="29">
        <v>690.04836</v>
      </c>
      <c r="F11" s="30">
        <v>8.1210628718383102</v>
      </c>
      <c r="G11" s="29">
        <v>3.53</v>
      </c>
    </row>
    <row r="12" spans="1:7" x14ac:dyDescent="0.2">
      <c r="A12" s="27" t="s">
        <v>831</v>
      </c>
      <c r="B12" s="27" t="s">
        <v>830</v>
      </c>
      <c r="C12" s="27" t="s">
        <v>163</v>
      </c>
      <c r="D12" s="31">
        <v>68</v>
      </c>
      <c r="E12" s="29">
        <v>689.72672</v>
      </c>
      <c r="F12" s="30">
        <v>8.1172775448764494</v>
      </c>
      <c r="G12" s="29">
        <v>3.5301</v>
      </c>
    </row>
    <row r="13" spans="1:7" x14ac:dyDescent="0.2">
      <c r="A13" s="27" t="s">
        <v>833</v>
      </c>
      <c r="B13" s="27" t="s">
        <v>832</v>
      </c>
      <c r="C13" s="27" t="s">
        <v>523</v>
      </c>
      <c r="D13" s="31">
        <v>68</v>
      </c>
      <c r="E13" s="29">
        <v>686.05676000000005</v>
      </c>
      <c r="F13" s="30">
        <v>8.0740864040452003</v>
      </c>
      <c r="G13" s="29">
        <v>3.0249000000000001</v>
      </c>
    </row>
    <row r="14" spans="1:7" x14ac:dyDescent="0.2">
      <c r="A14" s="27" t="s">
        <v>841</v>
      </c>
      <c r="B14" s="27" t="s">
        <v>840</v>
      </c>
      <c r="C14" s="27" t="s">
        <v>163</v>
      </c>
      <c r="D14" s="31">
        <v>50</v>
      </c>
      <c r="E14" s="29">
        <v>508.14350000000002</v>
      </c>
      <c r="F14" s="30">
        <v>5.9802552264829201</v>
      </c>
      <c r="G14" s="29">
        <v>3.3098999999999998</v>
      </c>
    </row>
    <row r="15" spans="1:7" x14ac:dyDescent="0.2">
      <c r="A15" s="27" t="s">
        <v>669</v>
      </c>
      <c r="B15" s="27" t="s">
        <v>668</v>
      </c>
      <c r="C15" s="27" t="s">
        <v>163</v>
      </c>
      <c r="D15" s="31">
        <v>16</v>
      </c>
      <c r="E15" s="29">
        <v>161.23344</v>
      </c>
      <c r="F15" s="30">
        <v>1.8975291866250801</v>
      </c>
      <c r="G15" s="29">
        <v>3.1248999999999998</v>
      </c>
    </row>
    <row r="16" spans="1:7" x14ac:dyDescent="0.2">
      <c r="A16" s="27" t="s">
        <v>275</v>
      </c>
      <c r="B16" s="27" t="s">
        <v>274</v>
      </c>
      <c r="C16" s="27" t="s">
        <v>163</v>
      </c>
      <c r="D16" s="31">
        <v>7</v>
      </c>
      <c r="E16" s="29">
        <v>70.938140000000004</v>
      </c>
      <c r="F16" s="30">
        <v>0.83485901618731195</v>
      </c>
      <c r="G16" s="29">
        <v>4.6651999999999996</v>
      </c>
    </row>
    <row r="17" spans="1:9" x14ac:dyDescent="0.2">
      <c r="A17" s="27" t="s">
        <v>817</v>
      </c>
      <c r="B17" s="27" t="s">
        <v>816</v>
      </c>
      <c r="C17" s="27" t="s">
        <v>163</v>
      </c>
      <c r="D17" s="31">
        <v>6</v>
      </c>
      <c r="E17" s="29">
        <v>60.747300000000003</v>
      </c>
      <c r="F17" s="30">
        <v>0.71492473744075502</v>
      </c>
      <c r="G17" s="29">
        <v>3.2351000000000001</v>
      </c>
    </row>
    <row r="18" spans="1:9" x14ac:dyDescent="0.2">
      <c r="A18" s="27" t="s">
        <v>809</v>
      </c>
      <c r="B18" s="27" t="s">
        <v>808</v>
      </c>
      <c r="C18" s="27" t="s">
        <v>163</v>
      </c>
      <c r="D18" s="31">
        <v>4</v>
      </c>
      <c r="E18" s="29">
        <v>50.236240000000002</v>
      </c>
      <c r="F18" s="30">
        <v>0.59122184347305495</v>
      </c>
      <c r="G18" s="29">
        <v>3.7149999999999999</v>
      </c>
    </row>
    <row r="19" spans="1:9" x14ac:dyDescent="0.2">
      <c r="A19" s="27" t="s">
        <v>277</v>
      </c>
      <c r="B19" s="27" t="s">
        <v>276</v>
      </c>
      <c r="C19" s="27" t="s">
        <v>278</v>
      </c>
      <c r="D19" s="31">
        <v>3</v>
      </c>
      <c r="E19" s="29">
        <v>37.556249999999999</v>
      </c>
      <c r="F19" s="30">
        <v>0.44199317781217201</v>
      </c>
      <c r="G19" s="29">
        <v>3.9125000000000001</v>
      </c>
    </row>
    <row r="20" spans="1:9" x14ac:dyDescent="0.2">
      <c r="A20" s="27" t="s">
        <v>807</v>
      </c>
      <c r="B20" s="27" t="s">
        <v>806</v>
      </c>
      <c r="C20" s="27" t="s">
        <v>163</v>
      </c>
      <c r="D20" s="31">
        <v>3</v>
      </c>
      <c r="E20" s="29">
        <v>30.609870000000001</v>
      </c>
      <c r="F20" s="30">
        <v>0.36024240209598801</v>
      </c>
      <c r="G20" s="29">
        <v>3.53</v>
      </c>
    </row>
    <row r="21" spans="1:9" x14ac:dyDescent="0.2">
      <c r="A21" s="27" t="s">
        <v>843</v>
      </c>
      <c r="B21" s="27" t="s">
        <v>842</v>
      </c>
      <c r="C21" s="27" t="s">
        <v>523</v>
      </c>
      <c r="D21" s="31">
        <v>1</v>
      </c>
      <c r="E21" s="29">
        <v>10.02741</v>
      </c>
      <c r="F21" s="30">
        <v>0.11801089861542501</v>
      </c>
      <c r="G21" s="29">
        <v>2.9598</v>
      </c>
    </row>
    <row r="22" spans="1:9" ht="10.5" x14ac:dyDescent="0.25">
      <c r="A22" s="26" t="s">
        <v>164</v>
      </c>
      <c r="B22" s="26"/>
      <c r="C22" s="26"/>
      <c r="D22" s="32"/>
      <c r="E22" s="33">
        <f>SUM(E6:E21)</f>
        <v>6110.7363500000001</v>
      </c>
      <c r="F22" s="34">
        <f>SUM(F6:F21)</f>
        <v>71.916226409954447</v>
      </c>
      <c r="G22" s="33"/>
      <c r="H22" s="18"/>
      <c r="I22" s="18"/>
    </row>
    <row r="23" spans="1:9" x14ac:dyDescent="0.2">
      <c r="A23" s="27"/>
      <c r="B23" s="27"/>
      <c r="C23" s="27"/>
      <c r="D23" s="28"/>
      <c r="E23" s="29"/>
      <c r="F23" s="30"/>
      <c r="G23" s="29"/>
    </row>
    <row r="24" spans="1:9" ht="10.5" x14ac:dyDescent="0.25">
      <c r="A24" s="26" t="s">
        <v>165</v>
      </c>
      <c r="B24" s="27"/>
      <c r="C24" s="27"/>
      <c r="D24" s="28"/>
      <c r="E24" s="29"/>
      <c r="F24" s="30"/>
      <c r="G24" s="29"/>
    </row>
    <row r="25" spans="1:9" x14ac:dyDescent="0.2">
      <c r="A25" s="27" t="s">
        <v>839</v>
      </c>
      <c r="B25" s="27" t="s">
        <v>838</v>
      </c>
      <c r="C25" s="27" t="s">
        <v>163</v>
      </c>
      <c r="D25" s="31">
        <v>68</v>
      </c>
      <c r="E25" s="29">
        <v>689.10248000000001</v>
      </c>
      <c r="F25" s="30">
        <v>8.1099309695043704</v>
      </c>
      <c r="G25" s="29">
        <v>3.74</v>
      </c>
    </row>
    <row r="26" spans="1:9" x14ac:dyDescent="0.2">
      <c r="A26" s="27" t="s">
        <v>813</v>
      </c>
      <c r="B26" s="27" t="s">
        <v>812</v>
      </c>
      <c r="C26" s="27" t="s">
        <v>483</v>
      </c>
      <c r="D26" s="31">
        <v>67</v>
      </c>
      <c r="E26" s="29">
        <v>676.39581999999996</v>
      </c>
      <c r="F26" s="30">
        <v>7.96038842910753</v>
      </c>
      <c r="G26" s="29">
        <v>3.8948</v>
      </c>
    </row>
    <row r="27" spans="1:9" x14ac:dyDescent="0.2">
      <c r="A27" s="27" t="s">
        <v>612</v>
      </c>
      <c r="B27" s="27" t="s">
        <v>611</v>
      </c>
      <c r="C27" s="27" t="s">
        <v>163</v>
      </c>
      <c r="D27" s="31">
        <v>12</v>
      </c>
      <c r="E27" s="29">
        <v>121.81847999999999</v>
      </c>
      <c r="F27" s="30">
        <v>1.43366116402592</v>
      </c>
      <c r="G27" s="29">
        <v>3.5571000000000002</v>
      </c>
    </row>
    <row r="28" spans="1:9" ht="10.5" x14ac:dyDescent="0.25">
      <c r="A28" s="26" t="s">
        <v>164</v>
      </c>
      <c r="B28" s="26"/>
      <c r="C28" s="26"/>
      <c r="D28" s="32"/>
      <c r="E28" s="33">
        <f>SUM(E24:E27)</f>
        <v>1487.3167799999999</v>
      </c>
      <c r="F28" s="34">
        <f>SUM(F24:F27)</f>
        <v>17.503980562637821</v>
      </c>
      <c r="G28" s="33"/>
      <c r="H28" s="18"/>
      <c r="I28" s="18"/>
    </row>
    <row r="29" spans="1:9" x14ac:dyDescent="0.2">
      <c r="A29" s="27"/>
      <c r="B29" s="27"/>
      <c r="C29" s="27"/>
      <c r="D29" s="28"/>
      <c r="E29" s="29"/>
      <c r="F29" s="30"/>
      <c r="G29" s="29"/>
    </row>
    <row r="30" spans="1:9" ht="10.5" x14ac:dyDescent="0.25">
      <c r="A30" s="26" t="s">
        <v>352</v>
      </c>
      <c r="B30" s="27"/>
      <c r="C30" s="27"/>
      <c r="D30" s="28"/>
      <c r="E30" s="29"/>
      <c r="F30" s="30"/>
      <c r="G30" s="29"/>
    </row>
    <row r="31" spans="1:9" ht="10.5" x14ac:dyDescent="0.25">
      <c r="A31" s="26" t="s">
        <v>353</v>
      </c>
      <c r="B31" s="27"/>
      <c r="C31" s="27"/>
      <c r="D31" s="28"/>
      <c r="E31" s="29"/>
      <c r="F31" s="30"/>
      <c r="G31" s="29"/>
    </row>
    <row r="32" spans="1:9" x14ac:dyDescent="0.2">
      <c r="A32" s="27" t="s">
        <v>363</v>
      </c>
      <c r="B32" s="27" t="s">
        <v>362</v>
      </c>
      <c r="C32" s="27" t="s">
        <v>359</v>
      </c>
      <c r="D32" s="31">
        <v>36</v>
      </c>
      <c r="E32" s="29">
        <v>35.708688000000002</v>
      </c>
      <c r="F32" s="30">
        <v>0.42024953195868497</v>
      </c>
      <c r="G32" s="29">
        <v>3.07</v>
      </c>
    </row>
    <row r="33" spans="1:9" ht="10.5" x14ac:dyDescent="0.25">
      <c r="A33" s="26" t="s">
        <v>164</v>
      </c>
      <c r="B33" s="26"/>
      <c r="C33" s="26"/>
      <c r="D33" s="32"/>
      <c r="E33" s="33">
        <f>SUM(E31:E32)</f>
        <v>35.708688000000002</v>
      </c>
      <c r="F33" s="34">
        <f>SUM(F31:F32)</f>
        <v>0.42024953195868497</v>
      </c>
      <c r="G33" s="33"/>
      <c r="H33" s="18"/>
      <c r="I33" s="18"/>
    </row>
    <row r="34" spans="1:9" x14ac:dyDescent="0.2">
      <c r="A34" s="27"/>
      <c r="B34" s="27"/>
      <c r="C34" s="27"/>
      <c r="D34" s="28"/>
      <c r="E34" s="29"/>
      <c r="F34" s="30"/>
      <c r="G34" s="29"/>
    </row>
    <row r="35" spans="1:9" ht="10.5" x14ac:dyDescent="0.25">
      <c r="A35" s="26" t="s">
        <v>364</v>
      </c>
      <c r="B35" s="27"/>
      <c r="C35" s="27"/>
      <c r="D35" s="28"/>
      <c r="E35" s="29"/>
      <c r="F35" s="30"/>
      <c r="G35" s="29"/>
    </row>
    <row r="36" spans="1:9" x14ac:dyDescent="0.2">
      <c r="A36" s="27" t="s">
        <v>827</v>
      </c>
      <c r="B36" s="27" t="s">
        <v>826</v>
      </c>
      <c r="C36" s="27" t="s">
        <v>370</v>
      </c>
      <c r="D36" s="31">
        <v>53</v>
      </c>
      <c r="E36" s="29">
        <v>262.87761499999999</v>
      </c>
      <c r="F36" s="30">
        <v>3.0937623545890398</v>
      </c>
      <c r="G36" s="29">
        <v>3.1349999999999998</v>
      </c>
    </row>
    <row r="37" spans="1:9" ht="10.5" x14ac:dyDescent="0.25">
      <c r="A37" s="26" t="s">
        <v>164</v>
      </c>
      <c r="B37" s="26"/>
      <c r="C37" s="26"/>
      <c r="D37" s="32"/>
      <c r="E37" s="33">
        <f>SUM(E35:E36)</f>
        <v>262.87761499999999</v>
      </c>
      <c r="F37" s="34">
        <f>SUM(F35:F36)</f>
        <v>3.0937623545890398</v>
      </c>
      <c r="G37" s="33"/>
      <c r="H37" s="18"/>
      <c r="I37" s="18"/>
    </row>
    <row r="38" spans="1:9" x14ac:dyDescent="0.2">
      <c r="A38" s="27"/>
      <c r="B38" s="27"/>
      <c r="C38" s="27"/>
      <c r="D38" s="28"/>
      <c r="E38" s="29"/>
      <c r="F38" s="30"/>
      <c r="G38" s="29"/>
    </row>
    <row r="39" spans="1:9" ht="10.5" x14ac:dyDescent="0.25">
      <c r="A39" s="26" t="s">
        <v>389</v>
      </c>
      <c r="B39" s="27"/>
      <c r="C39" s="27"/>
      <c r="D39" s="28"/>
      <c r="E39" s="29"/>
      <c r="F39" s="30"/>
      <c r="G39" s="29"/>
    </row>
    <row r="40" spans="1:9" x14ac:dyDescent="0.2">
      <c r="A40" s="27" t="s">
        <v>393</v>
      </c>
      <c r="B40" s="27" t="s">
        <v>392</v>
      </c>
      <c r="C40" s="27" t="s">
        <v>466</v>
      </c>
      <c r="D40" s="31">
        <v>118000</v>
      </c>
      <c r="E40" s="29">
        <v>116.857524</v>
      </c>
      <c r="F40" s="30">
        <v>1.37527650881071</v>
      </c>
      <c r="G40" s="29">
        <v>3.05</v>
      </c>
    </row>
    <row r="41" spans="1:9" ht="10.5" x14ac:dyDescent="0.25">
      <c r="A41" s="26" t="s">
        <v>164</v>
      </c>
      <c r="B41" s="26"/>
      <c r="C41" s="26"/>
      <c r="D41" s="32"/>
      <c r="E41" s="33">
        <f>SUM(E39:E40)</f>
        <v>116.857524</v>
      </c>
      <c r="F41" s="34">
        <f>SUM(F39:F40)</f>
        <v>1.37527650881071</v>
      </c>
      <c r="G41" s="33"/>
      <c r="H41" s="18"/>
      <c r="I41" s="18"/>
    </row>
    <row r="42" spans="1:9" x14ac:dyDescent="0.2">
      <c r="A42" s="27"/>
      <c r="B42" s="27"/>
      <c r="C42" s="27"/>
      <c r="D42" s="28"/>
      <c r="E42" s="29"/>
      <c r="F42" s="30"/>
      <c r="G42" s="29"/>
    </row>
    <row r="43" spans="1:9" ht="10.5" x14ac:dyDescent="0.25">
      <c r="A43" s="26" t="s">
        <v>176</v>
      </c>
      <c r="B43" s="26"/>
      <c r="C43" s="26"/>
      <c r="D43" s="32"/>
      <c r="E43" s="33">
        <f>E22+E28+E33+E37+E41</f>
        <v>8013.4969570000003</v>
      </c>
      <c r="F43" s="34">
        <f>F22+F28+F33+F37+F41</f>
        <v>94.309495367950717</v>
      </c>
      <c r="G43" s="33"/>
      <c r="H43" s="18"/>
      <c r="I43" s="18"/>
    </row>
    <row r="44" spans="1:9" ht="10.5" x14ac:dyDescent="0.25">
      <c r="A44" s="26"/>
      <c r="B44" s="26"/>
      <c r="C44" s="26"/>
      <c r="D44" s="32"/>
      <c r="E44" s="33"/>
      <c r="F44" s="34"/>
      <c r="G44" s="33"/>
      <c r="H44" s="18"/>
      <c r="I44" s="18"/>
    </row>
    <row r="45" spans="1:9" ht="10.5" x14ac:dyDescent="0.25">
      <c r="A45" s="26" t="s">
        <v>178</v>
      </c>
      <c r="B45" s="26"/>
      <c r="C45" s="26"/>
      <c r="D45" s="32"/>
      <c r="E45" s="33">
        <f>E47-(E22+E28+E33+E37+E41)</f>
        <v>483.5233331999998</v>
      </c>
      <c r="F45" s="34">
        <f>F47-(F22+F28+F33+F37+F41)</f>
        <v>5.6905046320492829</v>
      </c>
      <c r="G45" s="33"/>
      <c r="H45" s="18"/>
      <c r="I45" s="18"/>
    </row>
    <row r="46" spans="1:9" ht="10.5" x14ac:dyDescent="0.25">
      <c r="A46" s="26"/>
      <c r="B46" s="26"/>
      <c r="C46" s="26"/>
      <c r="D46" s="32"/>
      <c r="E46" s="33"/>
      <c r="F46" s="34"/>
      <c r="G46" s="33"/>
      <c r="H46" s="18"/>
      <c r="I46" s="18"/>
    </row>
    <row r="47" spans="1:9" ht="10.5" x14ac:dyDescent="0.25">
      <c r="A47" s="35" t="s">
        <v>177</v>
      </c>
      <c r="B47" s="35"/>
      <c r="C47" s="35"/>
      <c r="D47" s="36"/>
      <c r="E47" s="37">
        <v>8497.0202902000001</v>
      </c>
      <c r="F47" s="38">
        <v>100</v>
      </c>
      <c r="G47" s="37"/>
      <c r="H47" s="18"/>
      <c r="I47" s="18"/>
    </row>
    <row r="49" spans="1:5" ht="10.5" x14ac:dyDescent="0.25">
      <c r="A49" s="18" t="s">
        <v>400</v>
      </c>
    </row>
    <row r="50" spans="1:5" ht="10.5" x14ac:dyDescent="0.25">
      <c r="A50" s="18" t="s">
        <v>180</v>
      </c>
    </row>
    <row r="52" spans="1:5" ht="10.5" x14ac:dyDescent="0.25">
      <c r="A52" s="18" t="s">
        <v>181</v>
      </c>
    </row>
    <row r="53" spans="1:5" ht="10.5" x14ac:dyDescent="0.25">
      <c r="A53" s="18" t="s">
        <v>182</v>
      </c>
    </row>
    <row r="54" spans="1:5" ht="10.5" x14ac:dyDescent="0.25">
      <c r="A54" s="18" t="s">
        <v>183</v>
      </c>
      <c r="B54" s="18"/>
      <c r="C54" s="39" t="s">
        <v>185</v>
      </c>
      <c r="D54" s="19" t="s">
        <v>184</v>
      </c>
    </row>
    <row r="55" spans="1:5" x14ac:dyDescent="0.2">
      <c r="A55" s="9" t="s">
        <v>421</v>
      </c>
      <c r="C55" s="40">
        <v>12.0412</v>
      </c>
      <c r="D55" s="40">
        <v>12.4224</v>
      </c>
    </row>
    <row r="56" spans="1:5" x14ac:dyDescent="0.2">
      <c r="A56" s="9" t="s">
        <v>723</v>
      </c>
      <c r="C56" s="40">
        <v>10.4648</v>
      </c>
      <c r="D56" s="40">
        <v>10.7965</v>
      </c>
    </row>
    <row r="57" spans="1:5" x14ac:dyDescent="0.2">
      <c r="A57" s="9" t="s">
        <v>424</v>
      </c>
      <c r="C57" s="40">
        <v>12.1052</v>
      </c>
      <c r="D57" s="40">
        <v>12.4884</v>
      </c>
    </row>
    <row r="59" spans="1:5" ht="10.5" x14ac:dyDescent="0.25">
      <c r="A59" s="18" t="s">
        <v>197</v>
      </c>
      <c r="D59" s="41" t="s">
        <v>198</v>
      </c>
    </row>
    <row r="61" spans="1:5" ht="10.5" x14ac:dyDescent="0.25">
      <c r="A61" s="18" t="s">
        <v>199</v>
      </c>
      <c r="D61" s="42">
        <v>0.30335984410958899</v>
      </c>
      <c r="E61" s="13" t="s">
        <v>200</v>
      </c>
    </row>
    <row r="63" spans="1:5" ht="10.5" x14ac:dyDescent="0.25">
      <c r="A63" s="18" t="s">
        <v>201</v>
      </c>
      <c r="D63" s="41" t="s">
        <v>198</v>
      </c>
    </row>
  </sheetData>
  <mergeCells count="1">
    <mergeCell ref="A1:G1"/>
  </mergeCells>
  <conditionalFormatting sqref="F2:F3 F5:F65536">
    <cfRule type="cellIs" dxfId="3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40</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829</v>
      </c>
      <c r="B7" s="27" t="s">
        <v>828</v>
      </c>
      <c r="C7" s="27" t="s">
        <v>163</v>
      </c>
      <c r="D7" s="31">
        <v>107</v>
      </c>
      <c r="E7" s="29">
        <v>1053.91041</v>
      </c>
      <c r="F7" s="30">
        <v>9.9788622869475194</v>
      </c>
      <c r="G7" s="29">
        <v>3.7399</v>
      </c>
    </row>
    <row r="8" spans="1:7" x14ac:dyDescent="0.2">
      <c r="A8" s="27" t="s">
        <v>843</v>
      </c>
      <c r="B8" s="27" t="s">
        <v>842</v>
      </c>
      <c r="C8" s="27" t="s">
        <v>523</v>
      </c>
      <c r="D8" s="31">
        <v>87</v>
      </c>
      <c r="E8" s="29">
        <v>872.38467000000003</v>
      </c>
      <c r="F8" s="30">
        <v>8.2601010489821007</v>
      </c>
      <c r="G8" s="29">
        <v>2.9598</v>
      </c>
    </row>
    <row r="9" spans="1:7" x14ac:dyDescent="0.2">
      <c r="A9" s="27" t="s">
        <v>592</v>
      </c>
      <c r="B9" s="27" t="s">
        <v>591</v>
      </c>
      <c r="C9" s="27" t="s">
        <v>163</v>
      </c>
      <c r="D9" s="31">
        <v>84</v>
      </c>
      <c r="E9" s="29">
        <v>842.36964</v>
      </c>
      <c r="F9" s="30">
        <v>7.9759062558890204</v>
      </c>
      <c r="G9" s="29">
        <v>2.9001999999999999</v>
      </c>
    </row>
    <row r="10" spans="1:7" x14ac:dyDescent="0.2">
      <c r="A10" s="27" t="s">
        <v>823</v>
      </c>
      <c r="B10" s="27" t="s">
        <v>822</v>
      </c>
      <c r="C10" s="27" t="s">
        <v>163</v>
      </c>
      <c r="D10" s="31">
        <v>83</v>
      </c>
      <c r="E10" s="29">
        <v>836.43913999999995</v>
      </c>
      <c r="F10" s="30">
        <v>7.9197538142476596</v>
      </c>
      <c r="G10" s="29">
        <v>3.0099</v>
      </c>
    </row>
    <row r="11" spans="1:7" x14ac:dyDescent="0.2">
      <c r="A11" s="27" t="s">
        <v>669</v>
      </c>
      <c r="B11" s="27" t="s">
        <v>668</v>
      </c>
      <c r="C11" s="27" t="s">
        <v>163</v>
      </c>
      <c r="D11" s="31">
        <v>83</v>
      </c>
      <c r="E11" s="29">
        <v>836.39846999999997</v>
      </c>
      <c r="F11" s="30">
        <v>7.9193687337651504</v>
      </c>
      <c r="G11" s="29">
        <v>3.1248999999999998</v>
      </c>
    </row>
    <row r="12" spans="1:7" x14ac:dyDescent="0.2">
      <c r="A12" s="27" t="s">
        <v>845</v>
      </c>
      <c r="B12" s="27" t="s">
        <v>844</v>
      </c>
      <c r="C12" s="27" t="s">
        <v>163</v>
      </c>
      <c r="D12" s="31">
        <v>80</v>
      </c>
      <c r="E12" s="29">
        <v>812.53120000000001</v>
      </c>
      <c r="F12" s="30">
        <v>7.6933834903938498</v>
      </c>
      <c r="G12" s="29">
        <v>3.7149999999999999</v>
      </c>
    </row>
    <row r="13" spans="1:7" x14ac:dyDescent="0.2">
      <c r="A13" s="27" t="s">
        <v>837</v>
      </c>
      <c r="B13" s="27" t="s">
        <v>836</v>
      </c>
      <c r="C13" s="27" t="s">
        <v>163</v>
      </c>
      <c r="D13" s="31">
        <v>62</v>
      </c>
      <c r="E13" s="29">
        <v>789.14530000000002</v>
      </c>
      <c r="F13" s="30">
        <v>7.4719560584773896</v>
      </c>
      <c r="G13" s="29">
        <v>3.0950000000000002</v>
      </c>
    </row>
    <row r="14" spans="1:7" x14ac:dyDescent="0.2">
      <c r="A14" s="27" t="s">
        <v>833</v>
      </c>
      <c r="B14" s="27" t="s">
        <v>832</v>
      </c>
      <c r="C14" s="27" t="s">
        <v>523</v>
      </c>
      <c r="D14" s="31">
        <v>65</v>
      </c>
      <c r="E14" s="29">
        <v>655.78954999999996</v>
      </c>
      <c r="F14" s="30">
        <v>6.2092883290424004</v>
      </c>
      <c r="G14" s="29">
        <v>3.0249000000000001</v>
      </c>
    </row>
    <row r="15" spans="1:7" x14ac:dyDescent="0.2">
      <c r="A15" s="27" t="s">
        <v>525</v>
      </c>
      <c r="B15" s="27" t="s">
        <v>524</v>
      </c>
      <c r="C15" s="27" t="s">
        <v>163</v>
      </c>
      <c r="D15" s="31">
        <v>5</v>
      </c>
      <c r="E15" s="29">
        <v>506.9615</v>
      </c>
      <c r="F15" s="30">
        <v>4.8001224252869301</v>
      </c>
      <c r="G15" s="29">
        <v>3.2050999999999998</v>
      </c>
    </row>
    <row r="16" spans="1:7" x14ac:dyDescent="0.2">
      <c r="A16" s="27" t="s">
        <v>817</v>
      </c>
      <c r="B16" s="27" t="s">
        <v>816</v>
      </c>
      <c r="C16" s="27" t="s">
        <v>163</v>
      </c>
      <c r="D16" s="31">
        <v>40</v>
      </c>
      <c r="E16" s="29">
        <v>404.98200000000003</v>
      </c>
      <c r="F16" s="30">
        <v>3.8345380862995602</v>
      </c>
      <c r="G16" s="29">
        <v>3.2351000000000001</v>
      </c>
    </row>
    <row r="17" spans="1:9" x14ac:dyDescent="0.2">
      <c r="A17" s="27" t="s">
        <v>835</v>
      </c>
      <c r="B17" s="27" t="s">
        <v>834</v>
      </c>
      <c r="C17" s="27" t="s">
        <v>163</v>
      </c>
      <c r="D17" s="31">
        <v>13</v>
      </c>
      <c r="E17" s="29">
        <v>131.92101</v>
      </c>
      <c r="F17" s="30">
        <v>1.2490830141292799</v>
      </c>
      <c r="G17" s="29">
        <v>3.53</v>
      </c>
    </row>
    <row r="18" spans="1:9" x14ac:dyDescent="0.2">
      <c r="A18" s="27" t="s">
        <v>831</v>
      </c>
      <c r="B18" s="27" t="s">
        <v>830</v>
      </c>
      <c r="C18" s="27" t="s">
        <v>163</v>
      </c>
      <c r="D18" s="31">
        <v>8</v>
      </c>
      <c r="E18" s="29">
        <v>81.144319999999993</v>
      </c>
      <c r="F18" s="30">
        <v>0.76830818536843304</v>
      </c>
      <c r="G18" s="29">
        <v>3.5301</v>
      </c>
    </row>
    <row r="19" spans="1:9" x14ac:dyDescent="0.2">
      <c r="A19" s="27" t="s">
        <v>277</v>
      </c>
      <c r="B19" s="27" t="s">
        <v>276</v>
      </c>
      <c r="C19" s="27" t="s">
        <v>278</v>
      </c>
      <c r="D19" s="31">
        <v>6</v>
      </c>
      <c r="E19" s="29">
        <v>75.112499999999997</v>
      </c>
      <c r="F19" s="30">
        <v>0.71119640380850402</v>
      </c>
      <c r="G19" s="29">
        <v>3.9125000000000001</v>
      </c>
    </row>
    <row r="20" spans="1:9" x14ac:dyDescent="0.2">
      <c r="A20" s="27" t="s">
        <v>815</v>
      </c>
      <c r="B20" s="27" t="s">
        <v>814</v>
      </c>
      <c r="C20" s="27" t="s">
        <v>163</v>
      </c>
      <c r="D20" s="31">
        <v>5</v>
      </c>
      <c r="E20" s="29">
        <v>50.770049999999998</v>
      </c>
      <c r="F20" s="30">
        <v>0.48071195847798898</v>
      </c>
      <c r="G20" s="29">
        <v>3.53</v>
      </c>
    </row>
    <row r="21" spans="1:9" x14ac:dyDescent="0.2">
      <c r="A21" s="27" t="s">
        <v>807</v>
      </c>
      <c r="B21" s="27" t="s">
        <v>806</v>
      </c>
      <c r="C21" s="27" t="s">
        <v>163</v>
      </c>
      <c r="D21" s="31">
        <v>3</v>
      </c>
      <c r="E21" s="29">
        <v>30.609870000000001</v>
      </c>
      <c r="F21" s="30">
        <v>0.28982698572202797</v>
      </c>
      <c r="G21" s="29">
        <v>3.53</v>
      </c>
    </row>
    <row r="22" spans="1:9" x14ac:dyDescent="0.2">
      <c r="A22" s="27" t="s">
        <v>275</v>
      </c>
      <c r="B22" s="27" t="s">
        <v>274</v>
      </c>
      <c r="C22" s="27" t="s">
        <v>163</v>
      </c>
      <c r="D22" s="31">
        <v>3</v>
      </c>
      <c r="E22" s="29">
        <v>30.402059999999999</v>
      </c>
      <c r="F22" s="30">
        <v>0.28785935417367797</v>
      </c>
      <c r="G22" s="29">
        <v>4.6651999999999996</v>
      </c>
    </row>
    <row r="23" spans="1:9" x14ac:dyDescent="0.2">
      <c r="A23" s="27" t="s">
        <v>787</v>
      </c>
      <c r="B23" s="27" t="s">
        <v>786</v>
      </c>
      <c r="C23" s="27" t="s">
        <v>163</v>
      </c>
      <c r="D23" s="31">
        <v>1</v>
      </c>
      <c r="E23" s="29">
        <v>12.637460000000001</v>
      </c>
      <c r="F23" s="30">
        <v>0.11965672964252</v>
      </c>
      <c r="G23" s="29">
        <v>3.9550000000000001</v>
      </c>
    </row>
    <row r="24" spans="1:9" x14ac:dyDescent="0.2">
      <c r="A24" s="27" t="s">
        <v>606</v>
      </c>
      <c r="B24" s="27" t="s">
        <v>605</v>
      </c>
      <c r="C24" s="27" t="s">
        <v>163</v>
      </c>
      <c r="D24" s="31">
        <v>1</v>
      </c>
      <c r="E24" s="29">
        <v>10.1272</v>
      </c>
      <c r="F24" s="30">
        <v>9.58885434601362E-2</v>
      </c>
      <c r="G24" s="29">
        <v>3.2397999999999998</v>
      </c>
    </row>
    <row r="25" spans="1:9" ht="10.5" x14ac:dyDescent="0.25">
      <c r="A25" s="26" t="s">
        <v>164</v>
      </c>
      <c r="B25" s="26"/>
      <c r="C25" s="26"/>
      <c r="D25" s="32"/>
      <c r="E25" s="33">
        <f>SUM(E6:E24)</f>
        <v>8033.6363500000016</v>
      </c>
      <c r="F25" s="34">
        <f>SUM(F6:F24)</f>
        <v>76.06581170411414</v>
      </c>
      <c r="G25" s="33"/>
      <c r="H25" s="18"/>
      <c r="I25" s="18"/>
    </row>
    <row r="26" spans="1:9" x14ac:dyDescent="0.2">
      <c r="A26" s="27"/>
      <c r="B26" s="27"/>
      <c r="C26" s="27"/>
      <c r="D26" s="28"/>
      <c r="E26" s="29"/>
      <c r="F26" s="30"/>
      <c r="G26" s="29"/>
    </row>
    <row r="27" spans="1:9" ht="10.5" x14ac:dyDescent="0.25">
      <c r="A27" s="26" t="s">
        <v>165</v>
      </c>
      <c r="B27" s="27"/>
      <c r="C27" s="27"/>
      <c r="D27" s="28"/>
      <c r="E27" s="29"/>
      <c r="F27" s="30"/>
      <c r="G27" s="29"/>
    </row>
    <row r="28" spans="1:9" x14ac:dyDescent="0.2">
      <c r="A28" s="27" t="s">
        <v>813</v>
      </c>
      <c r="B28" s="27" t="s">
        <v>812</v>
      </c>
      <c r="C28" s="27" t="s">
        <v>483</v>
      </c>
      <c r="D28" s="31">
        <v>82</v>
      </c>
      <c r="E28" s="29">
        <v>827.82772</v>
      </c>
      <c r="F28" s="30">
        <v>7.8382173065334397</v>
      </c>
      <c r="G28" s="29">
        <v>3.8948</v>
      </c>
    </row>
    <row r="29" spans="1:9" x14ac:dyDescent="0.2">
      <c r="A29" s="27" t="s">
        <v>839</v>
      </c>
      <c r="B29" s="27" t="s">
        <v>838</v>
      </c>
      <c r="C29" s="27" t="s">
        <v>163</v>
      </c>
      <c r="D29" s="31">
        <v>49</v>
      </c>
      <c r="E29" s="29">
        <v>496.55914000000001</v>
      </c>
      <c r="F29" s="30">
        <v>4.7016285524545598</v>
      </c>
      <c r="G29" s="29">
        <v>3.74</v>
      </c>
    </row>
    <row r="30" spans="1:9" x14ac:dyDescent="0.2">
      <c r="A30" s="27" t="s">
        <v>612</v>
      </c>
      <c r="B30" s="27" t="s">
        <v>611</v>
      </c>
      <c r="C30" s="27" t="s">
        <v>163</v>
      </c>
      <c r="D30" s="31">
        <v>27</v>
      </c>
      <c r="E30" s="29">
        <v>274.09158000000002</v>
      </c>
      <c r="F30" s="30">
        <v>2.5952131271118799</v>
      </c>
      <c r="G30" s="29">
        <v>3.5571000000000002</v>
      </c>
    </row>
    <row r="31" spans="1:9" ht="10.5" x14ac:dyDescent="0.25">
      <c r="A31" s="26" t="s">
        <v>164</v>
      </c>
      <c r="B31" s="26"/>
      <c r="C31" s="26"/>
      <c r="D31" s="32"/>
      <c r="E31" s="33">
        <f>SUM(E27:E30)</f>
        <v>1598.4784400000001</v>
      </c>
      <c r="F31" s="34">
        <f>SUM(F27:F30)</f>
        <v>15.135058986099878</v>
      </c>
      <c r="G31" s="33"/>
      <c r="H31" s="18"/>
      <c r="I31" s="18"/>
    </row>
    <row r="32" spans="1:9" x14ac:dyDescent="0.2">
      <c r="A32" s="27"/>
      <c r="B32" s="27"/>
      <c r="C32" s="27"/>
      <c r="D32" s="28"/>
      <c r="E32" s="29"/>
      <c r="F32" s="30"/>
      <c r="G32" s="29"/>
    </row>
    <row r="33" spans="1:9" ht="10.5" x14ac:dyDescent="0.25">
      <c r="A33" s="26" t="s">
        <v>352</v>
      </c>
      <c r="B33" s="27"/>
      <c r="C33" s="27"/>
      <c r="D33" s="28"/>
      <c r="E33" s="29"/>
      <c r="F33" s="30"/>
      <c r="G33" s="29"/>
    </row>
    <row r="34" spans="1:9" ht="10.5" x14ac:dyDescent="0.25">
      <c r="A34" s="26" t="s">
        <v>353</v>
      </c>
      <c r="B34" s="27"/>
      <c r="C34" s="27"/>
      <c r="D34" s="28"/>
      <c r="E34" s="29"/>
      <c r="F34" s="30"/>
      <c r="G34" s="29"/>
    </row>
    <row r="35" spans="1:9" x14ac:dyDescent="0.2">
      <c r="A35" s="27" t="s">
        <v>363</v>
      </c>
      <c r="B35" s="27" t="s">
        <v>362</v>
      </c>
      <c r="C35" s="27" t="s">
        <v>359</v>
      </c>
      <c r="D35" s="31">
        <v>30</v>
      </c>
      <c r="E35" s="29">
        <v>29.757239999999999</v>
      </c>
      <c r="F35" s="30">
        <v>0.281753930108392</v>
      </c>
      <c r="G35" s="29">
        <v>3.07</v>
      </c>
    </row>
    <row r="36" spans="1:9" ht="10.5" x14ac:dyDescent="0.25">
      <c r="A36" s="26" t="s">
        <v>164</v>
      </c>
      <c r="B36" s="26"/>
      <c r="C36" s="26"/>
      <c r="D36" s="32"/>
      <c r="E36" s="33">
        <f>SUM(E34:E35)</f>
        <v>29.757239999999999</v>
      </c>
      <c r="F36" s="34">
        <f>SUM(F34:F35)</f>
        <v>0.281753930108392</v>
      </c>
      <c r="G36" s="33"/>
      <c r="H36" s="18"/>
      <c r="I36" s="18"/>
    </row>
    <row r="37" spans="1:9" x14ac:dyDescent="0.2">
      <c r="A37" s="27"/>
      <c r="B37" s="27"/>
      <c r="C37" s="27"/>
      <c r="D37" s="28"/>
      <c r="E37" s="29"/>
      <c r="F37" s="30"/>
      <c r="G37" s="29"/>
    </row>
    <row r="38" spans="1:9" ht="10.5" x14ac:dyDescent="0.25">
      <c r="A38" s="26" t="s">
        <v>364</v>
      </c>
      <c r="B38" s="27"/>
      <c r="C38" s="27"/>
      <c r="D38" s="28"/>
      <c r="E38" s="29"/>
      <c r="F38" s="30"/>
      <c r="G38" s="29"/>
    </row>
    <row r="39" spans="1:9" x14ac:dyDescent="0.2">
      <c r="A39" s="27" t="s">
        <v>827</v>
      </c>
      <c r="B39" s="27" t="s">
        <v>826</v>
      </c>
      <c r="C39" s="27" t="s">
        <v>370</v>
      </c>
      <c r="D39" s="31">
        <v>37</v>
      </c>
      <c r="E39" s="29">
        <v>183.51833500000001</v>
      </c>
      <c r="F39" s="30">
        <v>1.7376279565308601</v>
      </c>
      <c r="G39" s="29">
        <v>3.1349999999999998</v>
      </c>
    </row>
    <row r="40" spans="1:9" ht="10.5" x14ac:dyDescent="0.25">
      <c r="A40" s="26" t="s">
        <v>164</v>
      </c>
      <c r="B40" s="26"/>
      <c r="C40" s="26"/>
      <c r="D40" s="32"/>
      <c r="E40" s="33">
        <f>SUM(E38:E39)</f>
        <v>183.51833500000001</v>
      </c>
      <c r="F40" s="34">
        <f>SUM(F38:F39)</f>
        <v>1.7376279565308601</v>
      </c>
      <c r="G40" s="33"/>
      <c r="H40" s="18"/>
      <c r="I40" s="18"/>
    </row>
    <row r="41" spans="1:9" x14ac:dyDescent="0.2">
      <c r="A41" s="27"/>
      <c r="B41" s="27"/>
      <c r="C41" s="27"/>
      <c r="D41" s="28"/>
      <c r="E41" s="29"/>
      <c r="F41" s="30"/>
      <c r="G41" s="29"/>
    </row>
    <row r="42" spans="1:9" ht="10.5" x14ac:dyDescent="0.25">
      <c r="A42" s="26" t="s">
        <v>389</v>
      </c>
      <c r="B42" s="27"/>
      <c r="C42" s="27"/>
      <c r="D42" s="28"/>
      <c r="E42" s="29"/>
      <c r="F42" s="30"/>
      <c r="G42" s="29"/>
    </row>
    <row r="43" spans="1:9" x14ac:dyDescent="0.2">
      <c r="A43" s="27" t="s">
        <v>393</v>
      </c>
      <c r="B43" s="27" t="s">
        <v>392</v>
      </c>
      <c r="C43" s="27" t="s">
        <v>466</v>
      </c>
      <c r="D43" s="31">
        <v>170000</v>
      </c>
      <c r="E43" s="29">
        <v>168.35406</v>
      </c>
      <c r="F43" s="30">
        <v>1.5940462910775299</v>
      </c>
      <c r="G43" s="29">
        <v>3.05</v>
      </c>
    </row>
    <row r="44" spans="1:9" ht="10.5" x14ac:dyDescent="0.25">
      <c r="A44" s="26" t="s">
        <v>164</v>
      </c>
      <c r="B44" s="26"/>
      <c r="C44" s="26"/>
      <c r="D44" s="32"/>
      <c r="E44" s="33">
        <f>SUM(E42:E43)</f>
        <v>168.35406</v>
      </c>
      <c r="F44" s="34">
        <f>SUM(F42:F43)</f>
        <v>1.5940462910775299</v>
      </c>
      <c r="G44" s="33"/>
      <c r="H44" s="18"/>
      <c r="I44" s="18"/>
    </row>
    <row r="45" spans="1:9" x14ac:dyDescent="0.2">
      <c r="A45" s="27"/>
      <c r="B45" s="27"/>
      <c r="C45" s="27"/>
      <c r="D45" s="28"/>
      <c r="E45" s="29"/>
      <c r="F45" s="30"/>
      <c r="G45" s="29"/>
    </row>
    <row r="46" spans="1:9" ht="10.5" x14ac:dyDescent="0.25">
      <c r="A46" s="26" t="s">
        <v>176</v>
      </c>
      <c r="B46" s="26"/>
      <c r="C46" s="26"/>
      <c r="D46" s="32"/>
      <c r="E46" s="33">
        <f>E25+E31+E36+E40+E44</f>
        <v>10013.744425000003</v>
      </c>
      <c r="F46" s="34">
        <f>F25+F31+F36+F40+F44</f>
        <v>94.814298867930802</v>
      </c>
      <c r="G46" s="33"/>
      <c r="H46" s="18"/>
      <c r="I46" s="18"/>
    </row>
    <row r="47" spans="1:9" ht="10.5" x14ac:dyDescent="0.25">
      <c r="A47" s="26"/>
      <c r="B47" s="26"/>
      <c r="C47" s="26"/>
      <c r="D47" s="32"/>
      <c r="E47" s="33"/>
      <c r="F47" s="34"/>
      <c r="G47" s="33"/>
      <c r="H47" s="18"/>
      <c r="I47" s="18"/>
    </row>
    <row r="48" spans="1:9" ht="10.5" x14ac:dyDescent="0.25">
      <c r="A48" s="26" t="s">
        <v>178</v>
      </c>
      <c r="B48" s="26"/>
      <c r="C48" s="26"/>
      <c r="D48" s="32"/>
      <c r="E48" s="33">
        <f>E50-(E25+E31+E36+E40+E44)</f>
        <v>547.68411959999685</v>
      </c>
      <c r="F48" s="34">
        <f>F50-(F25+F31+F36+F40+F44)</f>
        <v>5.1857011320691981</v>
      </c>
      <c r="G48" s="33"/>
      <c r="H48" s="18"/>
      <c r="I48" s="18"/>
    </row>
    <row r="49" spans="1:9" ht="10.5" x14ac:dyDescent="0.25">
      <c r="A49" s="26"/>
      <c r="B49" s="26"/>
      <c r="C49" s="26"/>
      <c r="D49" s="32"/>
      <c r="E49" s="33"/>
      <c r="F49" s="34"/>
      <c r="G49" s="33"/>
      <c r="H49" s="18"/>
      <c r="I49" s="18"/>
    </row>
    <row r="50" spans="1:9" ht="10.5" x14ac:dyDescent="0.25">
      <c r="A50" s="35" t="s">
        <v>177</v>
      </c>
      <c r="B50" s="35"/>
      <c r="C50" s="35"/>
      <c r="D50" s="36"/>
      <c r="E50" s="37">
        <v>10561.428544599999</v>
      </c>
      <c r="F50" s="38">
        <v>100</v>
      </c>
      <c r="G50" s="37"/>
      <c r="H50" s="18"/>
      <c r="I50" s="18"/>
    </row>
    <row r="52" spans="1:9" ht="10.5" x14ac:dyDescent="0.25">
      <c r="A52" s="18" t="s">
        <v>400</v>
      </c>
    </row>
    <row r="53" spans="1:9" ht="10.5" x14ac:dyDescent="0.25">
      <c r="A53" s="18" t="s">
        <v>180</v>
      </c>
    </row>
    <row r="55" spans="1:9" ht="10.5" x14ac:dyDescent="0.25">
      <c r="A55" s="18" t="s">
        <v>181</v>
      </c>
    </row>
    <row r="56" spans="1:9" ht="10.5" x14ac:dyDescent="0.25">
      <c r="A56" s="18" t="s">
        <v>182</v>
      </c>
    </row>
    <row r="57" spans="1:9" ht="10.5" x14ac:dyDescent="0.25">
      <c r="A57" s="18" t="s">
        <v>183</v>
      </c>
      <c r="B57" s="18"/>
      <c r="C57" s="39" t="s">
        <v>185</v>
      </c>
      <c r="D57" s="19" t="s">
        <v>184</v>
      </c>
    </row>
    <row r="58" spans="1:9" x14ac:dyDescent="0.2">
      <c r="A58" s="9" t="s">
        <v>421</v>
      </c>
      <c r="C58" s="40">
        <v>12.072800000000001</v>
      </c>
      <c r="D58" s="40">
        <v>12.433</v>
      </c>
    </row>
    <row r="59" spans="1:9" x14ac:dyDescent="0.2">
      <c r="A59" s="9" t="s">
        <v>723</v>
      </c>
      <c r="C59" s="40">
        <v>10.5166</v>
      </c>
      <c r="D59" s="40">
        <v>10.830399999999999</v>
      </c>
    </row>
    <row r="60" spans="1:9" x14ac:dyDescent="0.2">
      <c r="A60" s="9" t="s">
        <v>423</v>
      </c>
      <c r="C60" s="40">
        <v>10.3005</v>
      </c>
      <c r="D60" s="40">
        <v>10.2242</v>
      </c>
    </row>
    <row r="61" spans="1:9" x14ac:dyDescent="0.2">
      <c r="A61" s="9" t="s">
        <v>424</v>
      </c>
      <c r="C61" s="40">
        <v>12.1333</v>
      </c>
      <c r="D61" s="40">
        <v>12.4953</v>
      </c>
    </row>
    <row r="62" spans="1:9" x14ac:dyDescent="0.2">
      <c r="A62" s="9" t="s">
        <v>459</v>
      </c>
      <c r="C62" s="40">
        <v>10.577199999999999</v>
      </c>
      <c r="D62" s="40">
        <v>10.892899999999999</v>
      </c>
    </row>
    <row r="64" spans="1:9" ht="10.5" x14ac:dyDescent="0.25">
      <c r="A64" s="18" t="s">
        <v>197</v>
      </c>
    </row>
    <row r="65" spans="1:5" ht="10.5" x14ac:dyDescent="0.25">
      <c r="A65" s="73" t="s">
        <v>403</v>
      </c>
      <c r="B65" s="74"/>
      <c r="C65" s="45" t="s">
        <v>404</v>
      </c>
    </row>
    <row r="66" spans="1:5" x14ac:dyDescent="0.2">
      <c r="A66" s="69" t="s">
        <v>423</v>
      </c>
      <c r="B66" s="70"/>
      <c r="C66" s="46">
        <v>0.38</v>
      </c>
    </row>
    <row r="67" spans="1:5" x14ac:dyDescent="0.2">
      <c r="A67" s="9" t="s">
        <v>405</v>
      </c>
    </row>
    <row r="69" spans="1:5" ht="10.5" x14ac:dyDescent="0.25">
      <c r="A69" s="18" t="s">
        <v>199</v>
      </c>
      <c r="D69" s="42">
        <v>0.241000152109589</v>
      </c>
      <c r="E69" s="13" t="s">
        <v>200</v>
      </c>
    </row>
    <row r="71" spans="1:5" ht="10.5" x14ac:dyDescent="0.25">
      <c r="A71" s="18" t="s">
        <v>201</v>
      </c>
      <c r="D71" s="41" t="s">
        <v>198</v>
      </c>
    </row>
  </sheetData>
  <mergeCells count="3">
    <mergeCell ref="A1:G1"/>
    <mergeCell ref="A65:B65"/>
    <mergeCell ref="A66:B66"/>
  </mergeCells>
  <conditionalFormatting sqref="F2:F3 F5:F65536">
    <cfRule type="cellIs" dxfId="3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41</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817</v>
      </c>
      <c r="B7" s="27" t="s">
        <v>816</v>
      </c>
      <c r="C7" s="27" t="s">
        <v>163</v>
      </c>
      <c r="D7" s="31">
        <v>113</v>
      </c>
      <c r="E7" s="29">
        <v>1144.0741499999999</v>
      </c>
      <c r="F7" s="30">
        <v>9.0062725122025</v>
      </c>
      <c r="G7" s="29">
        <v>3.2351000000000001</v>
      </c>
    </row>
    <row r="8" spans="1:7" x14ac:dyDescent="0.2">
      <c r="A8" s="27" t="s">
        <v>843</v>
      </c>
      <c r="B8" s="27" t="s">
        <v>842</v>
      </c>
      <c r="C8" s="27" t="s">
        <v>523</v>
      </c>
      <c r="D8" s="31">
        <v>106</v>
      </c>
      <c r="E8" s="29">
        <v>1062.9054599999999</v>
      </c>
      <c r="F8" s="30">
        <v>8.36730401387703</v>
      </c>
      <c r="G8" s="29">
        <v>2.9598</v>
      </c>
    </row>
    <row r="9" spans="1:7" x14ac:dyDescent="0.2">
      <c r="A9" s="27" t="s">
        <v>847</v>
      </c>
      <c r="B9" s="27" t="s">
        <v>846</v>
      </c>
      <c r="C9" s="27" t="s">
        <v>523</v>
      </c>
      <c r="D9" s="31">
        <v>100</v>
      </c>
      <c r="E9" s="29">
        <v>1010.821</v>
      </c>
      <c r="F9" s="30">
        <v>7.9572896451309898</v>
      </c>
      <c r="G9" s="29">
        <v>3.3500999999999999</v>
      </c>
    </row>
    <row r="10" spans="1:7" x14ac:dyDescent="0.2">
      <c r="A10" s="27" t="s">
        <v>657</v>
      </c>
      <c r="B10" s="27" t="s">
        <v>656</v>
      </c>
      <c r="C10" s="27" t="s">
        <v>163</v>
      </c>
      <c r="D10" s="31">
        <v>99</v>
      </c>
      <c r="E10" s="29">
        <v>1007.7606</v>
      </c>
      <c r="F10" s="30">
        <v>7.9331978531817198</v>
      </c>
      <c r="G10" s="29">
        <v>3.42</v>
      </c>
    </row>
    <row r="11" spans="1:7" x14ac:dyDescent="0.2">
      <c r="A11" s="27" t="s">
        <v>592</v>
      </c>
      <c r="B11" s="27" t="s">
        <v>591</v>
      </c>
      <c r="C11" s="27" t="s">
        <v>163</v>
      </c>
      <c r="D11" s="31">
        <v>100</v>
      </c>
      <c r="E11" s="29">
        <v>1002.821</v>
      </c>
      <c r="F11" s="30">
        <v>7.89431280040671</v>
      </c>
      <c r="G11" s="29">
        <v>2.9001999999999999</v>
      </c>
    </row>
    <row r="12" spans="1:7" x14ac:dyDescent="0.2">
      <c r="A12" s="27" t="s">
        <v>807</v>
      </c>
      <c r="B12" s="27" t="s">
        <v>806</v>
      </c>
      <c r="C12" s="27" t="s">
        <v>163</v>
      </c>
      <c r="D12" s="31">
        <v>97</v>
      </c>
      <c r="E12" s="29">
        <v>989.71912999999995</v>
      </c>
      <c r="F12" s="30">
        <v>7.7911734963332302</v>
      </c>
      <c r="G12" s="29">
        <v>3.53</v>
      </c>
    </row>
    <row r="13" spans="1:7" x14ac:dyDescent="0.2">
      <c r="A13" s="27" t="s">
        <v>823</v>
      </c>
      <c r="B13" s="27" t="s">
        <v>822</v>
      </c>
      <c r="C13" s="27" t="s">
        <v>163</v>
      </c>
      <c r="D13" s="31">
        <v>73</v>
      </c>
      <c r="E13" s="29">
        <v>735.66333999999995</v>
      </c>
      <c r="F13" s="30">
        <v>5.7912194915662401</v>
      </c>
      <c r="G13" s="29">
        <v>3.0099</v>
      </c>
    </row>
    <row r="14" spans="1:7" x14ac:dyDescent="0.2">
      <c r="A14" s="27" t="s">
        <v>525</v>
      </c>
      <c r="B14" s="27" t="s">
        <v>524</v>
      </c>
      <c r="C14" s="27" t="s">
        <v>163</v>
      </c>
      <c r="D14" s="31">
        <v>5</v>
      </c>
      <c r="E14" s="29">
        <v>506.9615</v>
      </c>
      <c r="F14" s="30">
        <v>3.9908544583364201</v>
      </c>
      <c r="G14" s="29">
        <v>3.2050999999999998</v>
      </c>
    </row>
    <row r="15" spans="1:7" x14ac:dyDescent="0.2">
      <c r="A15" s="27" t="s">
        <v>849</v>
      </c>
      <c r="B15" s="27" t="s">
        <v>848</v>
      </c>
      <c r="C15" s="27" t="s">
        <v>523</v>
      </c>
      <c r="D15" s="31">
        <v>50</v>
      </c>
      <c r="E15" s="29">
        <v>505.57499999999999</v>
      </c>
      <c r="F15" s="30">
        <v>3.9799397839351398</v>
      </c>
      <c r="G15" s="29">
        <v>3.165</v>
      </c>
    </row>
    <row r="16" spans="1:7" x14ac:dyDescent="0.2">
      <c r="A16" s="27" t="s">
        <v>811</v>
      </c>
      <c r="B16" s="27" t="s">
        <v>810</v>
      </c>
      <c r="C16" s="27" t="s">
        <v>163</v>
      </c>
      <c r="D16" s="31">
        <v>49</v>
      </c>
      <c r="E16" s="29">
        <v>492.60532999999998</v>
      </c>
      <c r="F16" s="30">
        <v>3.8778411722207302</v>
      </c>
      <c r="G16" s="29">
        <v>3.125</v>
      </c>
    </row>
    <row r="17" spans="1:9" x14ac:dyDescent="0.2">
      <c r="A17" s="27" t="s">
        <v>277</v>
      </c>
      <c r="B17" s="27" t="s">
        <v>276</v>
      </c>
      <c r="C17" s="27" t="s">
        <v>278</v>
      </c>
      <c r="D17" s="31">
        <v>24</v>
      </c>
      <c r="E17" s="29">
        <v>300.45</v>
      </c>
      <c r="F17" s="30">
        <v>2.3651741246764799</v>
      </c>
      <c r="G17" s="29">
        <v>3.9125000000000001</v>
      </c>
    </row>
    <row r="18" spans="1:9" x14ac:dyDescent="0.2">
      <c r="A18" s="27" t="s">
        <v>829</v>
      </c>
      <c r="B18" s="27" t="s">
        <v>828</v>
      </c>
      <c r="C18" s="27" t="s">
        <v>163</v>
      </c>
      <c r="D18" s="31">
        <v>18</v>
      </c>
      <c r="E18" s="29">
        <v>177.29334</v>
      </c>
      <c r="F18" s="30">
        <v>1.3956718929787699</v>
      </c>
      <c r="G18" s="29">
        <v>3.7399</v>
      </c>
    </row>
    <row r="19" spans="1:9" x14ac:dyDescent="0.2">
      <c r="A19" s="27" t="s">
        <v>606</v>
      </c>
      <c r="B19" s="27" t="s">
        <v>605</v>
      </c>
      <c r="C19" s="27" t="s">
        <v>163</v>
      </c>
      <c r="D19" s="31">
        <v>9</v>
      </c>
      <c r="E19" s="29">
        <v>91.144800000000004</v>
      </c>
      <c r="F19" s="30">
        <v>0.71750148962826799</v>
      </c>
      <c r="G19" s="29">
        <v>3.2397999999999998</v>
      </c>
    </row>
    <row r="20" spans="1:9" x14ac:dyDescent="0.2">
      <c r="A20" s="27" t="s">
        <v>809</v>
      </c>
      <c r="B20" s="27" t="s">
        <v>808</v>
      </c>
      <c r="C20" s="27" t="s">
        <v>163</v>
      </c>
      <c r="D20" s="31">
        <v>6</v>
      </c>
      <c r="E20" s="29">
        <v>75.35436</v>
      </c>
      <c r="F20" s="30">
        <v>0.59319747862724803</v>
      </c>
      <c r="G20" s="29">
        <v>3.7149999999999999</v>
      </c>
    </row>
    <row r="21" spans="1:9" x14ac:dyDescent="0.2">
      <c r="A21" s="27" t="s">
        <v>580</v>
      </c>
      <c r="B21" s="27" t="s">
        <v>579</v>
      </c>
      <c r="C21" s="27" t="s">
        <v>523</v>
      </c>
      <c r="D21" s="31">
        <v>3</v>
      </c>
      <c r="E21" s="29">
        <v>37.727550000000001</v>
      </c>
      <c r="F21" s="30">
        <v>0.29699525727221898</v>
      </c>
      <c r="G21" s="29">
        <v>5.17</v>
      </c>
    </row>
    <row r="22" spans="1:9" x14ac:dyDescent="0.2">
      <c r="A22" s="27" t="s">
        <v>275</v>
      </c>
      <c r="B22" s="27" t="s">
        <v>274</v>
      </c>
      <c r="C22" s="27" t="s">
        <v>163</v>
      </c>
      <c r="D22" s="31">
        <v>3</v>
      </c>
      <c r="E22" s="29">
        <v>30.402059999999999</v>
      </c>
      <c r="F22" s="30">
        <v>0.23932822648980501</v>
      </c>
      <c r="G22" s="29">
        <v>4.6651999999999996</v>
      </c>
    </row>
    <row r="23" spans="1:9" ht="10.5" x14ac:dyDescent="0.25">
      <c r="A23" s="26" t="s">
        <v>164</v>
      </c>
      <c r="B23" s="26"/>
      <c r="C23" s="26"/>
      <c r="D23" s="32"/>
      <c r="E23" s="33">
        <f>SUM(E6:E22)</f>
        <v>9171.2786199999991</v>
      </c>
      <c r="F23" s="34">
        <f>SUM(F6:F22)</f>
        <v>72.19727369686349</v>
      </c>
      <c r="G23" s="33"/>
      <c r="H23" s="18"/>
      <c r="I23" s="18"/>
    </row>
    <row r="24" spans="1:9" x14ac:dyDescent="0.2">
      <c r="A24" s="27"/>
      <c r="B24" s="27"/>
      <c r="C24" s="27"/>
      <c r="D24" s="28"/>
      <c r="E24" s="29"/>
      <c r="F24" s="30"/>
      <c r="G24" s="29"/>
    </row>
    <row r="25" spans="1:9" ht="10.5" x14ac:dyDescent="0.25">
      <c r="A25" s="26" t="s">
        <v>165</v>
      </c>
      <c r="B25" s="27"/>
      <c r="C25" s="27"/>
      <c r="D25" s="28"/>
      <c r="E25" s="29"/>
      <c r="F25" s="30"/>
      <c r="G25" s="29"/>
    </row>
    <row r="26" spans="1:9" x14ac:dyDescent="0.2">
      <c r="A26" s="27" t="s">
        <v>851</v>
      </c>
      <c r="B26" s="27" t="s">
        <v>850</v>
      </c>
      <c r="C26" s="27" t="s">
        <v>163</v>
      </c>
      <c r="D26" s="31">
        <v>100</v>
      </c>
      <c r="E26" s="29">
        <v>1007.176</v>
      </c>
      <c r="F26" s="30">
        <v>7.9285958202534896</v>
      </c>
      <c r="G26" s="29">
        <v>3.6000999999999999</v>
      </c>
    </row>
    <row r="27" spans="1:9" x14ac:dyDescent="0.2">
      <c r="A27" s="27" t="s">
        <v>612</v>
      </c>
      <c r="B27" s="27" t="s">
        <v>611</v>
      </c>
      <c r="C27" s="27" t="s">
        <v>163</v>
      </c>
      <c r="D27" s="31">
        <v>56</v>
      </c>
      <c r="E27" s="29">
        <v>568.48623999999995</v>
      </c>
      <c r="F27" s="30">
        <v>4.4751837080466803</v>
      </c>
      <c r="G27" s="29">
        <v>3.5571000000000002</v>
      </c>
    </row>
    <row r="28" spans="1:9" ht="10.5" x14ac:dyDescent="0.25">
      <c r="A28" s="26" t="s">
        <v>164</v>
      </c>
      <c r="B28" s="26"/>
      <c r="C28" s="26"/>
      <c r="D28" s="32"/>
      <c r="E28" s="33">
        <f>SUM(E25:E27)</f>
        <v>1575.6622400000001</v>
      </c>
      <c r="F28" s="34">
        <f>SUM(F25:F27)</f>
        <v>12.40377952830017</v>
      </c>
      <c r="G28" s="33"/>
      <c r="H28" s="18"/>
      <c r="I28" s="18"/>
    </row>
    <row r="29" spans="1:9" x14ac:dyDescent="0.2">
      <c r="A29" s="27"/>
      <c r="B29" s="27"/>
      <c r="C29" s="27"/>
      <c r="D29" s="28"/>
      <c r="E29" s="29"/>
      <c r="F29" s="30"/>
      <c r="G29" s="29"/>
    </row>
    <row r="30" spans="1:9" ht="10.5" x14ac:dyDescent="0.25">
      <c r="A30" s="26" t="s">
        <v>352</v>
      </c>
      <c r="B30" s="27"/>
      <c r="C30" s="27"/>
      <c r="D30" s="28"/>
      <c r="E30" s="29"/>
      <c r="F30" s="30"/>
      <c r="G30" s="29"/>
    </row>
    <row r="31" spans="1:9" ht="10.5" x14ac:dyDescent="0.25">
      <c r="A31" s="26" t="s">
        <v>353</v>
      </c>
      <c r="B31" s="27"/>
      <c r="C31" s="27"/>
      <c r="D31" s="28"/>
      <c r="E31" s="29"/>
      <c r="F31" s="30"/>
      <c r="G31" s="29"/>
    </row>
    <row r="32" spans="1:9" x14ac:dyDescent="0.2">
      <c r="A32" s="27" t="s">
        <v>363</v>
      </c>
      <c r="B32" s="27" t="s">
        <v>362</v>
      </c>
      <c r="C32" s="27" t="s">
        <v>359</v>
      </c>
      <c r="D32" s="31">
        <v>222</v>
      </c>
      <c r="E32" s="29">
        <v>220.203576</v>
      </c>
      <c r="F32" s="30">
        <v>1.73346580168558</v>
      </c>
      <c r="G32" s="29">
        <v>3.07</v>
      </c>
    </row>
    <row r="33" spans="1:9" ht="10.5" x14ac:dyDescent="0.25">
      <c r="A33" s="26" t="s">
        <v>164</v>
      </c>
      <c r="B33" s="26"/>
      <c r="C33" s="26"/>
      <c r="D33" s="32"/>
      <c r="E33" s="33">
        <f>SUM(E31:E32)</f>
        <v>220.203576</v>
      </c>
      <c r="F33" s="34">
        <f>SUM(F31:F32)</f>
        <v>1.73346580168558</v>
      </c>
      <c r="G33" s="33"/>
      <c r="H33" s="18"/>
      <c r="I33" s="18"/>
    </row>
    <row r="34" spans="1:9" x14ac:dyDescent="0.2">
      <c r="A34" s="27"/>
      <c r="B34" s="27"/>
      <c r="C34" s="27"/>
      <c r="D34" s="28"/>
      <c r="E34" s="29"/>
      <c r="F34" s="30"/>
      <c r="G34" s="29"/>
    </row>
    <row r="35" spans="1:9" ht="10.5" x14ac:dyDescent="0.25">
      <c r="A35" s="26" t="s">
        <v>364</v>
      </c>
      <c r="B35" s="27"/>
      <c r="C35" s="27"/>
      <c r="D35" s="28"/>
      <c r="E35" s="29"/>
      <c r="F35" s="30"/>
      <c r="G35" s="29"/>
    </row>
    <row r="36" spans="1:9" x14ac:dyDescent="0.2">
      <c r="A36" s="27" t="s">
        <v>827</v>
      </c>
      <c r="B36" s="27" t="s">
        <v>826</v>
      </c>
      <c r="C36" s="27" t="s">
        <v>370</v>
      </c>
      <c r="D36" s="31">
        <v>77</v>
      </c>
      <c r="E36" s="29">
        <v>381.91653500000001</v>
      </c>
      <c r="F36" s="30">
        <v>3.00648729029156</v>
      </c>
      <c r="G36" s="29">
        <v>3.1349999999999998</v>
      </c>
    </row>
    <row r="37" spans="1:9" ht="10.5" x14ac:dyDescent="0.25">
      <c r="A37" s="26" t="s">
        <v>164</v>
      </c>
      <c r="B37" s="26"/>
      <c r="C37" s="26"/>
      <c r="D37" s="32"/>
      <c r="E37" s="33">
        <f>SUM(E35:E36)</f>
        <v>381.91653500000001</v>
      </c>
      <c r="F37" s="34">
        <f>SUM(F35:F36)</f>
        <v>3.00648729029156</v>
      </c>
      <c r="G37" s="33"/>
      <c r="H37" s="18"/>
      <c r="I37" s="18"/>
    </row>
    <row r="38" spans="1:9" x14ac:dyDescent="0.2">
      <c r="A38" s="27"/>
      <c r="B38" s="27"/>
      <c r="C38" s="27"/>
      <c r="D38" s="28"/>
      <c r="E38" s="29"/>
      <c r="F38" s="30"/>
      <c r="G38" s="29"/>
    </row>
    <row r="39" spans="1:9" ht="10.5" x14ac:dyDescent="0.25">
      <c r="A39" s="26" t="s">
        <v>389</v>
      </c>
      <c r="B39" s="27"/>
      <c r="C39" s="27"/>
      <c r="D39" s="28"/>
      <c r="E39" s="29"/>
      <c r="F39" s="30"/>
      <c r="G39" s="29"/>
    </row>
    <row r="40" spans="1:9" x14ac:dyDescent="0.2">
      <c r="A40" s="27" t="s">
        <v>393</v>
      </c>
      <c r="B40" s="27" t="s">
        <v>392</v>
      </c>
      <c r="C40" s="27" t="s">
        <v>466</v>
      </c>
      <c r="D40" s="31">
        <v>710000</v>
      </c>
      <c r="E40" s="29">
        <v>703.12577999999996</v>
      </c>
      <c r="F40" s="30">
        <v>5.5350803835878502</v>
      </c>
      <c r="G40" s="29">
        <v>3.05</v>
      </c>
    </row>
    <row r="41" spans="1:9" ht="10.5" x14ac:dyDescent="0.25">
      <c r="A41" s="26" t="s">
        <v>164</v>
      </c>
      <c r="B41" s="26"/>
      <c r="C41" s="26"/>
      <c r="D41" s="32"/>
      <c r="E41" s="33">
        <f>SUM(E39:E40)</f>
        <v>703.12577999999996</v>
      </c>
      <c r="F41" s="34">
        <f>SUM(F39:F40)</f>
        <v>5.5350803835878502</v>
      </c>
      <c r="G41" s="33"/>
      <c r="H41" s="18"/>
      <c r="I41" s="18"/>
    </row>
    <row r="42" spans="1:9" x14ac:dyDescent="0.2">
      <c r="A42" s="27"/>
      <c r="B42" s="27"/>
      <c r="C42" s="27"/>
      <c r="D42" s="28"/>
      <c r="E42" s="29"/>
      <c r="F42" s="30"/>
      <c r="G42" s="29"/>
    </row>
    <row r="43" spans="1:9" ht="10.5" x14ac:dyDescent="0.25">
      <c r="A43" s="26" t="s">
        <v>176</v>
      </c>
      <c r="B43" s="26"/>
      <c r="C43" s="26"/>
      <c r="D43" s="32"/>
      <c r="E43" s="33">
        <f>E23+E28+E33+E37+E41</f>
        <v>12052.186750999999</v>
      </c>
      <c r="F43" s="34">
        <f>F23+F28+F33+F37+F41</f>
        <v>94.876086700728663</v>
      </c>
      <c r="G43" s="33"/>
      <c r="H43" s="18"/>
      <c r="I43" s="18"/>
    </row>
    <row r="44" spans="1:9" ht="10.5" x14ac:dyDescent="0.25">
      <c r="A44" s="26"/>
      <c r="B44" s="26"/>
      <c r="C44" s="26"/>
      <c r="D44" s="32"/>
      <c r="E44" s="33"/>
      <c r="F44" s="34"/>
      <c r="G44" s="33"/>
      <c r="H44" s="18"/>
      <c r="I44" s="18"/>
    </row>
    <row r="45" spans="1:9" ht="10.5" x14ac:dyDescent="0.25">
      <c r="A45" s="26" t="s">
        <v>178</v>
      </c>
      <c r="B45" s="26"/>
      <c r="C45" s="26"/>
      <c r="D45" s="32"/>
      <c r="E45" s="33">
        <f>E47-(E23+E28+E33+E37+E41)</f>
        <v>650.89488960000017</v>
      </c>
      <c r="F45" s="34">
        <f>F47-(F23+F28+F33+F37+F41)</f>
        <v>5.1239132992713365</v>
      </c>
      <c r="G45" s="33"/>
      <c r="H45" s="18"/>
      <c r="I45" s="18"/>
    </row>
    <row r="46" spans="1:9" ht="10.5" x14ac:dyDescent="0.25">
      <c r="A46" s="26"/>
      <c r="B46" s="26"/>
      <c r="C46" s="26"/>
      <c r="D46" s="32"/>
      <c r="E46" s="33"/>
      <c r="F46" s="34"/>
      <c r="G46" s="33"/>
      <c r="H46" s="18"/>
      <c r="I46" s="18"/>
    </row>
    <row r="47" spans="1:9" ht="10.5" x14ac:dyDescent="0.25">
      <c r="A47" s="35" t="s">
        <v>177</v>
      </c>
      <c r="B47" s="35"/>
      <c r="C47" s="35"/>
      <c r="D47" s="36"/>
      <c r="E47" s="37">
        <v>12703.081640599999</v>
      </c>
      <c r="F47" s="38">
        <v>100</v>
      </c>
      <c r="G47" s="37"/>
      <c r="H47" s="18"/>
      <c r="I47" s="18"/>
    </row>
    <row r="49" spans="1:4" ht="10.5" x14ac:dyDescent="0.25">
      <c r="A49" s="18" t="s">
        <v>400</v>
      </c>
    </row>
    <row r="50" spans="1:4" ht="10.5" x14ac:dyDescent="0.25">
      <c r="A50" s="18" t="s">
        <v>180</v>
      </c>
    </row>
    <row r="52" spans="1:4" ht="10.5" x14ac:dyDescent="0.25">
      <c r="A52" s="18" t="s">
        <v>181</v>
      </c>
    </row>
    <row r="53" spans="1:4" ht="10.5" x14ac:dyDescent="0.25">
      <c r="A53" s="18" t="s">
        <v>182</v>
      </c>
    </row>
    <row r="54" spans="1:4" ht="10.5" x14ac:dyDescent="0.25">
      <c r="A54" s="18" t="s">
        <v>183</v>
      </c>
      <c r="B54" s="18"/>
      <c r="C54" s="39" t="s">
        <v>185</v>
      </c>
      <c r="D54" s="19" t="s">
        <v>184</v>
      </c>
    </row>
    <row r="55" spans="1:4" x14ac:dyDescent="0.2">
      <c r="A55" s="9" t="s">
        <v>421</v>
      </c>
      <c r="C55" s="40">
        <v>12.088699999999999</v>
      </c>
      <c r="D55" s="40">
        <v>12.436299999999999</v>
      </c>
    </row>
    <row r="56" spans="1:4" x14ac:dyDescent="0.2">
      <c r="A56" s="9" t="s">
        <v>723</v>
      </c>
      <c r="C56" s="40">
        <v>10.5526</v>
      </c>
      <c r="D56" s="40">
        <v>10.8567</v>
      </c>
    </row>
    <row r="57" spans="1:4" x14ac:dyDescent="0.2">
      <c r="A57" s="9" t="s">
        <v>423</v>
      </c>
      <c r="C57" s="40">
        <v>10.3445</v>
      </c>
      <c r="D57" s="40">
        <v>10.281499999999999</v>
      </c>
    </row>
    <row r="58" spans="1:4" x14ac:dyDescent="0.2">
      <c r="A58" s="9" t="s">
        <v>424</v>
      </c>
      <c r="C58" s="40">
        <v>12.1493</v>
      </c>
      <c r="D58" s="40">
        <v>12.4986</v>
      </c>
    </row>
    <row r="60" spans="1:4" ht="10.5" x14ac:dyDescent="0.25">
      <c r="A60" s="18" t="s">
        <v>197</v>
      </c>
    </row>
    <row r="61" spans="1:4" ht="10.5" x14ac:dyDescent="0.25">
      <c r="A61" s="73" t="s">
        <v>403</v>
      </c>
      <c r="B61" s="74"/>
      <c r="C61" s="45" t="s">
        <v>404</v>
      </c>
    </row>
    <row r="62" spans="1:4" x14ac:dyDescent="0.2">
      <c r="A62" s="69" t="s">
        <v>423</v>
      </c>
      <c r="B62" s="70"/>
      <c r="C62" s="46">
        <v>0.35499999999999998</v>
      </c>
    </row>
    <row r="63" spans="1:4" x14ac:dyDescent="0.2">
      <c r="A63" s="9" t="s">
        <v>405</v>
      </c>
    </row>
    <row r="65" spans="1:5" ht="10.5" x14ac:dyDescent="0.25">
      <c r="A65" s="18" t="s">
        <v>199</v>
      </c>
      <c r="D65" s="42">
        <v>0.236858326520548</v>
      </c>
      <c r="E65" s="13" t="s">
        <v>200</v>
      </c>
    </row>
    <row r="67" spans="1:5" ht="10.5" x14ac:dyDescent="0.25">
      <c r="A67" s="18" t="s">
        <v>201</v>
      </c>
      <c r="D67" s="41" t="s">
        <v>198</v>
      </c>
    </row>
  </sheetData>
  <mergeCells count="3">
    <mergeCell ref="A1:G1"/>
    <mergeCell ref="A61:B61"/>
    <mergeCell ref="A62:B62"/>
  </mergeCells>
  <conditionalFormatting sqref="F2:F3 F5:F65536">
    <cfRule type="cellIs" dxfId="3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I71"/>
  <sheetViews>
    <sheetView workbookViewId="0">
      <selection sqref="A1:G1"/>
    </sheetView>
  </sheetViews>
  <sheetFormatPr defaultColWidth="9.1796875" defaultRowHeight="10" x14ac:dyDescent="0.2"/>
  <cols>
    <col min="1" max="1" width="38.7265625" style="9" bestFit="1" customWidth="1"/>
    <col min="2" max="2" width="54" style="9" bestFit="1" customWidth="1"/>
    <col min="3" max="3" width="21.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42</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179</v>
      </c>
      <c r="D4" s="16" t="s">
        <v>1</v>
      </c>
      <c r="E4" s="15" t="s">
        <v>3</v>
      </c>
      <c r="F4" s="15" t="s">
        <v>4</v>
      </c>
      <c r="G4" s="15" t="s">
        <v>6</v>
      </c>
    </row>
    <row r="5" spans="1:7" ht="10.5" x14ac:dyDescent="0.25">
      <c r="A5" s="21" t="s">
        <v>69</v>
      </c>
      <c r="B5" s="22"/>
      <c r="C5" s="22"/>
      <c r="D5" s="23"/>
      <c r="E5" s="24"/>
      <c r="F5" s="25"/>
      <c r="G5" s="24"/>
    </row>
    <row r="6" spans="1:7" ht="10.5" x14ac:dyDescent="0.25">
      <c r="A6" s="26" t="s">
        <v>70</v>
      </c>
      <c r="B6" s="27"/>
      <c r="C6" s="27"/>
      <c r="D6" s="28"/>
      <c r="E6" s="29"/>
      <c r="F6" s="30"/>
      <c r="G6" s="29"/>
    </row>
    <row r="7" spans="1:7" x14ac:dyDescent="0.2">
      <c r="A7" s="27" t="s">
        <v>843</v>
      </c>
      <c r="B7" s="27" t="s">
        <v>842</v>
      </c>
      <c r="C7" s="27" t="s">
        <v>523</v>
      </c>
      <c r="D7" s="31">
        <v>156</v>
      </c>
      <c r="E7" s="29">
        <v>1564.2759599999999</v>
      </c>
      <c r="F7" s="30">
        <v>8.0743563369871705</v>
      </c>
      <c r="G7" s="29">
        <v>2.9598</v>
      </c>
    </row>
    <row r="8" spans="1:7" x14ac:dyDescent="0.2">
      <c r="A8" s="27" t="s">
        <v>853</v>
      </c>
      <c r="B8" s="27" t="s">
        <v>852</v>
      </c>
      <c r="C8" s="27" t="s">
        <v>163</v>
      </c>
      <c r="D8" s="31">
        <v>150</v>
      </c>
      <c r="E8" s="29">
        <v>1518.4259999999999</v>
      </c>
      <c r="F8" s="30">
        <v>7.8376916278545101</v>
      </c>
      <c r="G8" s="29">
        <v>2.9948999999999999</v>
      </c>
    </row>
    <row r="9" spans="1:7" x14ac:dyDescent="0.2">
      <c r="A9" s="27" t="s">
        <v>847</v>
      </c>
      <c r="B9" s="27" t="s">
        <v>846</v>
      </c>
      <c r="C9" s="27" t="s">
        <v>523</v>
      </c>
      <c r="D9" s="31">
        <v>150</v>
      </c>
      <c r="E9" s="29">
        <v>1516.2315000000001</v>
      </c>
      <c r="F9" s="30">
        <v>7.8263642307490002</v>
      </c>
      <c r="G9" s="29">
        <v>3.3500999999999999</v>
      </c>
    </row>
    <row r="10" spans="1:7" x14ac:dyDescent="0.2">
      <c r="A10" s="27" t="s">
        <v>525</v>
      </c>
      <c r="B10" s="27" t="s">
        <v>524</v>
      </c>
      <c r="C10" s="27" t="s">
        <v>163</v>
      </c>
      <c r="D10" s="31">
        <v>14</v>
      </c>
      <c r="E10" s="29">
        <v>1419.4921999999999</v>
      </c>
      <c r="F10" s="30">
        <v>7.3270229380587404</v>
      </c>
      <c r="G10" s="29">
        <v>3.2050999999999998</v>
      </c>
    </row>
    <row r="11" spans="1:7" x14ac:dyDescent="0.2">
      <c r="A11" s="27" t="s">
        <v>817</v>
      </c>
      <c r="B11" s="27" t="s">
        <v>816</v>
      </c>
      <c r="C11" s="27" t="s">
        <v>163</v>
      </c>
      <c r="D11" s="31">
        <v>116</v>
      </c>
      <c r="E11" s="29">
        <v>1174.4477999999999</v>
      </c>
      <c r="F11" s="30">
        <v>6.0621720712185798</v>
      </c>
      <c r="G11" s="29">
        <v>3.2351000000000001</v>
      </c>
    </row>
    <row r="12" spans="1:7" x14ac:dyDescent="0.2">
      <c r="A12" s="27" t="s">
        <v>855</v>
      </c>
      <c r="B12" s="27" t="s">
        <v>854</v>
      </c>
      <c r="C12" s="27" t="s">
        <v>163</v>
      </c>
      <c r="D12" s="31">
        <v>100</v>
      </c>
      <c r="E12" s="29">
        <v>1010.932</v>
      </c>
      <c r="F12" s="30">
        <v>5.2181491048824302</v>
      </c>
      <c r="G12" s="29">
        <v>3.07</v>
      </c>
    </row>
    <row r="13" spans="1:7" x14ac:dyDescent="0.2">
      <c r="A13" s="27" t="s">
        <v>857</v>
      </c>
      <c r="B13" s="27" t="s">
        <v>856</v>
      </c>
      <c r="C13" s="27" t="s">
        <v>163</v>
      </c>
      <c r="D13" s="31">
        <v>100</v>
      </c>
      <c r="E13" s="29">
        <v>1010.068</v>
      </c>
      <c r="F13" s="30">
        <v>5.2136893777923596</v>
      </c>
      <c r="G13" s="29">
        <v>4.8048999999999999</v>
      </c>
    </row>
    <row r="14" spans="1:7" x14ac:dyDescent="0.2">
      <c r="A14" s="27" t="s">
        <v>859</v>
      </c>
      <c r="B14" s="27" t="s">
        <v>858</v>
      </c>
      <c r="C14" s="27" t="s">
        <v>163</v>
      </c>
      <c r="D14" s="31">
        <v>40</v>
      </c>
      <c r="E14" s="29">
        <v>1008.44</v>
      </c>
      <c r="F14" s="30">
        <v>5.2052860957291296</v>
      </c>
      <c r="G14" s="29">
        <v>4.83</v>
      </c>
    </row>
    <row r="15" spans="1:7" x14ac:dyDescent="0.2">
      <c r="A15" s="27" t="s">
        <v>861</v>
      </c>
      <c r="B15" s="27" t="s">
        <v>860</v>
      </c>
      <c r="C15" s="27" t="s">
        <v>483</v>
      </c>
      <c r="D15" s="31">
        <v>800</v>
      </c>
      <c r="E15" s="29">
        <v>809.03200000000004</v>
      </c>
      <c r="F15" s="30">
        <v>4.1759976008487696</v>
      </c>
      <c r="G15" s="29">
        <v>3.0251000000000001</v>
      </c>
    </row>
    <row r="16" spans="1:7" x14ac:dyDescent="0.2">
      <c r="A16" s="27" t="s">
        <v>592</v>
      </c>
      <c r="B16" s="27" t="s">
        <v>591</v>
      </c>
      <c r="C16" s="27" t="s">
        <v>163</v>
      </c>
      <c r="D16" s="31">
        <v>62</v>
      </c>
      <c r="E16" s="29">
        <v>621.74901999999997</v>
      </c>
      <c r="F16" s="30">
        <v>3.2092950783777101</v>
      </c>
      <c r="G16" s="29">
        <v>2.9001999999999999</v>
      </c>
    </row>
    <row r="17" spans="1:9" x14ac:dyDescent="0.2">
      <c r="A17" s="27" t="s">
        <v>863</v>
      </c>
      <c r="B17" s="27" t="s">
        <v>862</v>
      </c>
      <c r="C17" s="27" t="s">
        <v>163</v>
      </c>
      <c r="D17" s="31">
        <v>40</v>
      </c>
      <c r="E17" s="29">
        <v>510.30650000000003</v>
      </c>
      <c r="F17" s="30">
        <v>2.6340598637600601</v>
      </c>
      <c r="G17" s="29">
        <v>3.0950000000000002</v>
      </c>
    </row>
    <row r="18" spans="1:9" x14ac:dyDescent="0.2">
      <c r="A18" s="27" t="s">
        <v>865</v>
      </c>
      <c r="B18" s="27" t="s">
        <v>864</v>
      </c>
      <c r="C18" s="27" t="s">
        <v>163</v>
      </c>
      <c r="D18" s="31">
        <v>50</v>
      </c>
      <c r="E18" s="29">
        <v>508.66399999999999</v>
      </c>
      <c r="F18" s="30">
        <v>2.6255817367398802</v>
      </c>
      <c r="G18" s="29">
        <v>3.1448999999999998</v>
      </c>
    </row>
    <row r="19" spans="1:9" x14ac:dyDescent="0.2">
      <c r="A19" s="27" t="s">
        <v>867</v>
      </c>
      <c r="B19" s="27" t="s">
        <v>866</v>
      </c>
      <c r="C19" s="27" t="s">
        <v>163</v>
      </c>
      <c r="D19" s="31">
        <v>50</v>
      </c>
      <c r="E19" s="29">
        <v>507.13350000000003</v>
      </c>
      <c r="F19" s="30">
        <v>2.6176817224906301</v>
      </c>
      <c r="G19" s="29">
        <v>3.0299</v>
      </c>
    </row>
    <row r="20" spans="1:9" x14ac:dyDescent="0.2">
      <c r="A20" s="27" t="s">
        <v>823</v>
      </c>
      <c r="B20" s="27" t="s">
        <v>822</v>
      </c>
      <c r="C20" s="27" t="s">
        <v>163</v>
      </c>
      <c r="D20" s="31">
        <v>44</v>
      </c>
      <c r="E20" s="29">
        <v>443.41352000000001</v>
      </c>
      <c r="F20" s="30">
        <v>2.2887769528324098</v>
      </c>
      <c r="G20" s="29">
        <v>3.0099</v>
      </c>
    </row>
    <row r="21" spans="1:9" x14ac:dyDescent="0.2">
      <c r="A21" s="27" t="s">
        <v>831</v>
      </c>
      <c r="B21" s="27" t="s">
        <v>830</v>
      </c>
      <c r="C21" s="27" t="s">
        <v>163</v>
      </c>
      <c r="D21" s="31">
        <v>38</v>
      </c>
      <c r="E21" s="29">
        <v>385.43552</v>
      </c>
      <c r="F21" s="30">
        <v>1.98951068289251</v>
      </c>
      <c r="G21" s="29">
        <v>3.5301</v>
      </c>
    </row>
    <row r="22" spans="1:9" x14ac:dyDescent="0.2">
      <c r="A22" s="27" t="s">
        <v>275</v>
      </c>
      <c r="B22" s="27" t="s">
        <v>274</v>
      </c>
      <c r="C22" s="27" t="s">
        <v>163</v>
      </c>
      <c r="D22" s="31">
        <v>25</v>
      </c>
      <c r="E22" s="29">
        <v>253.35050000000001</v>
      </c>
      <c r="F22" s="30">
        <v>1.3077246390424999</v>
      </c>
      <c r="G22" s="29">
        <v>4.6651999999999996</v>
      </c>
    </row>
    <row r="23" spans="1:9" x14ac:dyDescent="0.2">
      <c r="A23" s="27" t="s">
        <v>606</v>
      </c>
      <c r="B23" s="27" t="s">
        <v>605</v>
      </c>
      <c r="C23" s="27" t="s">
        <v>163</v>
      </c>
      <c r="D23" s="31">
        <v>20</v>
      </c>
      <c r="E23" s="29">
        <v>202.54400000000001</v>
      </c>
      <c r="F23" s="30">
        <v>1.0454756524665401</v>
      </c>
      <c r="G23" s="29">
        <v>3.2397999999999998</v>
      </c>
    </row>
    <row r="24" spans="1:9" x14ac:dyDescent="0.2">
      <c r="A24" s="27" t="s">
        <v>837</v>
      </c>
      <c r="B24" s="27" t="s">
        <v>836</v>
      </c>
      <c r="C24" s="27" t="s">
        <v>163</v>
      </c>
      <c r="D24" s="31">
        <v>15</v>
      </c>
      <c r="E24" s="29">
        <v>190.92224999999999</v>
      </c>
      <c r="F24" s="30">
        <v>0.98548741946999396</v>
      </c>
      <c r="G24" s="29">
        <v>3.0950000000000002</v>
      </c>
    </row>
    <row r="25" spans="1:9" x14ac:dyDescent="0.2">
      <c r="A25" s="27" t="s">
        <v>765</v>
      </c>
      <c r="B25" s="27" t="s">
        <v>764</v>
      </c>
      <c r="C25" s="27" t="s">
        <v>163</v>
      </c>
      <c r="D25" s="31">
        <v>10</v>
      </c>
      <c r="E25" s="29">
        <v>125.6865</v>
      </c>
      <c r="F25" s="30">
        <v>0.64875866771534196</v>
      </c>
      <c r="G25" s="29">
        <v>3.31</v>
      </c>
    </row>
    <row r="26" spans="1:9" x14ac:dyDescent="0.2">
      <c r="A26" s="27" t="s">
        <v>819</v>
      </c>
      <c r="B26" s="27" t="s">
        <v>818</v>
      </c>
      <c r="C26" s="27" t="s">
        <v>483</v>
      </c>
      <c r="D26" s="31">
        <v>1</v>
      </c>
      <c r="E26" s="29">
        <v>10.14044</v>
      </c>
      <c r="F26" s="30">
        <v>5.23421238116056E-2</v>
      </c>
      <c r="G26" s="29">
        <v>3.5049000000000001</v>
      </c>
    </row>
    <row r="27" spans="1:9" ht="10.5" x14ac:dyDescent="0.25">
      <c r="A27" s="26" t="s">
        <v>164</v>
      </c>
      <c r="B27" s="26"/>
      <c r="C27" s="26"/>
      <c r="D27" s="32"/>
      <c r="E27" s="33">
        <f>SUM(E6:E26)</f>
        <v>14790.691209999999</v>
      </c>
      <c r="F27" s="34">
        <f>SUM(F6:F26)</f>
        <v>76.345423923719849</v>
      </c>
      <c r="G27" s="33"/>
      <c r="H27" s="18"/>
      <c r="I27" s="18"/>
    </row>
    <row r="28" spans="1:9" x14ac:dyDescent="0.2">
      <c r="A28" s="27"/>
      <c r="B28" s="27"/>
      <c r="C28" s="27"/>
      <c r="D28" s="28"/>
      <c r="E28" s="29"/>
      <c r="F28" s="30"/>
      <c r="G28" s="29"/>
    </row>
    <row r="29" spans="1:9" ht="10.5" x14ac:dyDescent="0.25">
      <c r="A29" s="26" t="s">
        <v>165</v>
      </c>
      <c r="B29" s="27"/>
      <c r="C29" s="27"/>
      <c r="D29" s="28"/>
      <c r="E29" s="29"/>
      <c r="F29" s="30"/>
      <c r="G29" s="29"/>
    </row>
    <row r="30" spans="1:9" x14ac:dyDescent="0.2">
      <c r="A30" s="27" t="s">
        <v>813</v>
      </c>
      <c r="B30" s="27" t="s">
        <v>812</v>
      </c>
      <c r="C30" s="27" t="s">
        <v>483</v>
      </c>
      <c r="D30" s="31">
        <v>150</v>
      </c>
      <c r="E30" s="29">
        <v>1514.319</v>
      </c>
      <c r="F30" s="30">
        <v>7.81649243901317</v>
      </c>
      <c r="G30" s="29">
        <v>3.8948</v>
      </c>
    </row>
    <row r="31" spans="1:9" x14ac:dyDescent="0.2">
      <c r="A31" s="27" t="s">
        <v>851</v>
      </c>
      <c r="B31" s="27" t="s">
        <v>850</v>
      </c>
      <c r="C31" s="27" t="s">
        <v>163</v>
      </c>
      <c r="D31" s="31">
        <v>150</v>
      </c>
      <c r="E31" s="29">
        <v>1510.7639999999999</v>
      </c>
      <c r="F31" s="30">
        <v>7.7981425202571497</v>
      </c>
      <c r="G31" s="29">
        <v>3.6000999999999999</v>
      </c>
    </row>
    <row r="32" spans="1:9" ht="10.5" x14ac:dyDescent="0.25">
      <c r="A32" s="26" t="s">
        <v>164</v>
      </c>
      <c r="B32" s="26"/>
      <c r="C32" s="26"/>
      <c r="D32" s="32"/>
      <c r="E32" s="33">
        <f>SUM(E29:E31)</f>
        <v>3025.0829999999996</v>
      </c>
      <c r="F32" s="34">
        <f>SUM(F29:F31)</f>
        <v>15.614634959270319</v>
      </c>
      <c r="G32" s="33"/>
      <c r="H32" s="18"/>
      <c r="I32" s="18"/>
    </row>
    <row r="33" spans="1:9" x14ac:dyDescent="0.2">
      <c r="A33" s="27"/>
      <c r="B33" s="27"/>
      <c r="C33" s="27"/>
      <c r="D33" s="28"/>
      <c r="E33" s="29"/>
      <c r="F33" s="30"/>
      <c r="G33" s="29"/>
    </row>
    <row r="34" spans="1:9" ht="10.5" x14ac:dyDescent="0.25">
      <c r="A34" s="26" t="s">
        <v>352</v>
      </c>
      <c r="B34" s="27"/>
      <c r="C34" s="27"/>
      <c r="D34" s="28"/>
      <c r="E34" s="29"/>
      <c r="F34" s="30"/>
      <c r="G34" s="29"/>
    </row>
    <row r="35" spans="1:9" ht="10.5" x14ac:dyDescent="0.25">
      <c r="A35" s="26" t="s">
        <v>353</v>
      </c>
      <c r="B35" s="27"/>
      <c r="C35" s="27"/>
      <c r="D35" s="28"/>
      <c r="E35" s="29"/>
      <c r="F35" s="30"/>
      <c r="G35" s="29"/>
    </row>
    <row r="36" spans="1:9" x14ac:dyDescent="0.2">
      <c r="A36" s="27" t="s">
        <v>363</v>
      </c>
      <c r="B36" s="27" t="s">
        <v>362</v>
      </c>
      <c r="C36" s="27" t="s">
        <v>359</v>
      </c>
      <c r="D36" s="31">
        <v>322</v>
      </c>
      <c r="E36" s="29">
        <v>319.39437600000002</v>
      </c>
      <c r="F36" s="30">
        <v>1.6486247118786299</v>
      </c>
      <c r="G36" s="29">
        <v>3.07</v>
      </c>
    </row>
    <row r="37" spans="1:9" ht="10.5" x14ac:dyDescent="0.25">
      <c r="A37" s="26" t="s">
        <v>164</v>
      </c>
      <c r="B37" s="26"/>
      <c r="C37" s="26"/>
      <c r="D37" s="32"/>
      <c r="E37" s="33">
        <f>SUM(E35:E36)</f>
        <v>319.39437600000002</v>
      </c>
      <c r="F37" s="34">
        <f>SUM(F35:F36)</f>
        <v>1.6486247118786299</v>
      </c>
      <c r="G37" s="33"/>
      <c r="H37" s="18"/>
      <c r="I37" s="18"/>
    </row>
    <row r="38" spans="1:9" x14ac:dyDescent="0.2">
      <c r="A38" s="27"/>
      <c r="B38" s="27"/>
      <c r="C38" s="27"/>
      <c r="D38" s="28"/>
      <c r="E38" s="29"/>
      <c r="F38" s="30"/>
      <c r="G38" s="29"/>
    </row>
    <row r="39" spans="1:9" ht="10.5" x14ac:dyDescent="0.25">
      <c r="A39" s="26" t="s">
        <v>389</v>
      </c>
      <c r="B39" s="27"/>
      <c r="C39" s="27"/>
      <c r="D39" s="28"/>
      <c r="E39" s="29"/>
      <c r="F39" s="30"/>
      <c r="G39" s="29"/>
    </row>
    <row r="40" spans="1:9" x14ac:dyDescent="0.2">
      <c r="A40" s="27" t="s">
        <v>393</v>
      </c>
      <c r="B40" s="27" t="s">
        <v>392</v>
      </c>
      <c r="C40" s="27" t="s">
        <v>466</v>
      </c>
      <c r="D40" s="31">
        <v>65000</v>
      </c>
      <c r="E40" s="29">
        <v>64.370670000000004</v>
      </c>
      <c r="F40" s="30">
        <v>0.33226345000572</v>
      </c>
      <c r="G40" s="29">
        <v>3.05</v>
      </c>
    </row>
    <row r="41" spans="1:9" ht="10.5" x14ac:dyDescent="0.25">
      <c r="A41" s="26" t="s">
        <v>164</v>
      </c>
      <c r="B41" s="26"/>
      <c r="C41" s="26"/>
      <c r="D41" s="32"/>
      <c r="E41" s="33">
        <f>SUM(E39:E40)</f>
        <v>64.370670000000004</v>
      </c>
      <c r="F41" s="34">
        <f>SUM(F39:F40)</f>
        <v>0.33226345000572</v>
      </c>
      <c r="G41" s="33"/>
      <c r="H41" s="18"/>
      <c r="I41" s="18"/>
    </row>
    <row r="42" spans="1:9" x14ac:dyDescent="0.2">
      <c r="A42" s="27"/>
      <c r="B42" s="27"/>
      <c r="C42" s="27"/>
      <c r="D42" s="28"/>
      <c r="E42" s="29"/>
      <c r="F42" s="30"/>
      <c r="G42" s="29"/>
    </row>
    <row r="43" spans="1:9" ht="10.5" x14ac:dyDescent="0.25">
      <c r="A43" s="26" t="s">
        <v>176</v>
      </c>
      <c r="B43" s="26"/>
      <c r="C43" s="26"/>
      <c r="D43" s="32"/>
      <c r="E43" s="33">
        <f>E27+E32+E37+E41</f>
        <v>18199.539256</v>
      </c>
      <c r="F43" s="34">
        <f>F27+F32+F37+F41</f>
        <v>93.94094704487452</v>
      </c>
      <c r="G43" s="33"/>
      <c r="H43" s="18"/>
      <c r="I43" s="18"/>
    </row>
    <row r="44" spans="1:9" ht="10.5" x14ac:dyDescent="0.25">
      <c r="A44" s="26"/>
      <c r="B44" s="26"/>
      <c r="C44" s="26"/>
      <c r="D44" s="32"/>
      <c r="E44" s="33"/>
      <c r="F44" s="34"/>
      <c r="G44" s="33"/>
      <c r="H44" s="18"/>
      <c r="I44" s="18"/>
    </row>
    <row r="45" spans="1:9" ht="10.5" x14ac:dyDescent="0.25">
      <c r="A45" s="26" t="s">
        <v>178</v>
      </c>
      <c r="B45" s="26"/>
      <c r="C45" s="26"/>
      <c r="D45" s="32"/>
      <c r="E45" s="33">
        <f>E47-(E27+E32+E37+E41)</f>
        <v>1173.8435217000006</v>
      </c>
      <c r="F45" s="34">
        <f>F47-(F27+F32+F37+F41)</f>
        <v>6.0590529551254804</v>
      </c>
      <c r="G45" s="33"/>
      <c r="H45" s="18"/>
      <c r="I45" s="18"/>
    </row>
    <row r="46" spans="1:9" ht="10.5" x14ac:dyDescent="0.25">
      <c r="A46" s="26"/>
      <c r="B46" s="26"/>
      <c r="C46" s="26"/>
      <c r="D46" s="32"/>
      <c r="E46" s="33"/>
      <c r="F46" s="34"/>
      <c r="G46" s="33"/>
      <c r="H46" s="18"/>
      <c r="I46" s="18"/>
    </row>
    <row r="47" spans="1:9" ht="10.5" x14ac:dyDescent="0.25">
      <c r="A47" s="35" t="s">
        <v>177</v>
      </c>
      <c r="B47" s="35"/>
      <c r="C47" s="35"/>
      <c r="D47" s="36"/>
      <c r="E47" s="37">
        <v>19373.382777700001</v>
      </c>
      <c r="F47" s="38">
        <v>100</v>
      </c>
      <c r="G47" s="37"/>
      <c r="H47" s="18"/>
      <c r="I47" s="18"/>
    </row>
    <row r="49" spans="1:4" ht="10.5" x14ac:dyDescent="0.25">
      <c r="A49" s="18" t="s">
        <v>180</v>
      </c>
    </row>
    <row r="51" spans="1:4" ht="10.5" x14ac:dyDescent="0.25">
      <c r="A51" s="18" t="s">
        <v>181</v>
      </c>
    </row>
    <row r="52" spans="1:4" ht="10.5" x14ac:dyDescent="0.25">
      <c r="A52" s="18" t="s">
        <v>182</v>
      </c>
    </row>
    <row r="53" spans="1:4" ht="10.5" x14ac:dyDescent="0.25">
      <c r="A53" s="18" t="s">
        <v>183</v>
      </c>
      <c r="B53" s="18"/>
      <c r="C53" s="39" t="s">
        <v>185</v>
      </c>
      <c r="D53" s="19" t="s">
        <v>184</v>
      </c>
    </row>
    <row r="54" spans="1:4" x14ac:dyDescent="0.2">
      <c r="A54" s="9" t="s">
        <v>421</v>
      </c>
      <c r="C54" s="40">
        <v>12.0722</v>
      </c>
      <c r="D54" s="40">
        <v>12.4161</v>
      </c>
    </row>
    <row r="55" spans="1:4" x14ac:dyDescent="0.2">
      <c r="A55" s="9" t="s">
        <v>723</v>
      </c>
      <c r="C55" s="40">
        <v>10.5939</v>
      </c>
      <c r="D55" s="40">
        <v>10.155200000000001</v>
      </c>
    </row>
    <row r="56" spans="1:4" x14ac:dyDescent="0.2">
      <c r="A56" s="9" t="s">
        <v>423</v>
      </c>
      <c r="C56" s="40">
        <v>10.2311</v>
      </c>
      <c r="D56" s="40">
        <v>10.145099999999999</v>
      </c>
    </row>
    <row r="57" spans="1:4" x14ac:dyDescent="0.2">
      <c r="A57" s="9" t="s">
        <v>424</v>
      </c>
      <c r="C57" s="40">
        <v>12.1327</v>
      </c>
      <c r="D57" s="40">
        <v>12.478300000000001</v>
      </c>
    </row>
    <row r="58" spans="1:4" x14ac:dyDescent="0.2">
      <c r="A58" s="9" t="s">
        <v>459</v>
      </c>
      <c r="C58" s="40">
        <v>10.6197</v>
      </c>
      <c r="D58" s="40">
        <v>10.181800000000001</v>
      </c>
    </row>
    <row r="59" spans="1:4" x14ac:dyDescent="0.2">
      <c r="A59" s="9" t="s">
        <v>426</v>
      </c>
      <c r="C59" s="40">
        <v>10.2552</v>
      </c>
      <c r="D59" s="40">
        <v>10.1698</v>
      </c>
    </row>
    <row r="61" spans="1:4" ht="10.5" x14ac:dyDescent="0.25">
      <c r="A61" s="18" t="s">
        <v>197</v>
      </c>
    </row>
    <row r="62" spans="1:4" ht="10.5" x14ac:dyDescent="0.25">
      <c r="A62" s="73" t="s">
        <v>403</v>
      </c>
      <c r="B62" s="74"/>
      <c r="C62" s="45" t="s">
        <v>404</v>
      </c>
    </row>
    <row r="63" spans="1:4" x14ac:dyDescent="0.2">
      <c r="A63" s="69" t="s">
        <v>723</v>
      </c>
      <c r="B63" s="70"/>
      <c r="C63" s="46">
        <v>0.74</v>
      </c>
    </row>
    <row r="64" spans="1:4" x14ac:dyDescent="0.2">
      <c r="A64" s="69" t="s">
        <v>423</v>
      </c>
      <c r="B64" s="70"/>
      <c r="C64" s="46">
        <v>0.375</v>
      </c>
    </row>
    <row r="65" spans="1:5" x14ac:dyDescent="0.2">
      <c r="A65" s="69" t="s">
        <v>459</v>
      </c>
      <c r="B65" s="70"/>
      <c r="C65" s="46">
        <v>0.74</v>
      </c>
    </row>
    <row r="66" spans="1:5" x14ac:dyDescent="0.2">
      <c r="A66" s="69" t="s">
        <v>426</v>
      </c>
      <c r="B66" s="70"/>
      <c r="C66" s="46">
        <v>0.375</v>
      </c>
    </row>
    <row r="67" spans="1:5" x14ac:dyDescent="0.2">
      <c r="A67" s="9" t="s">
        <v>405</v>
      </c>
    </row>
    <row r="69" spans="1:5" ht="10.5" x14ac:dyDescent="0.25">
      <c r="A69" s="18" t="s">
        <v>199</v>
      </c>
      <c r="D69" s="42">
        <v>0.21465991339726001</v>
      </c>
      <c r="E69" s="13" t="s">
        <v>200</v>
      </c>
    </row>
    <row r="71" spans="1:5" ht="10.5" x14ac:dyDescent="0.25">
      <c r="A71" s="18" t="s">
        <v>201</v>
      </c>
      <c r="D71" s="41" t="s">
        <v>198</v>
      </c>
    </row>
  </sheetData>
  <mergeCells count="6">
    <mergeCell ref="A66:B66"/>
    <mergeCell ref="A1:G1"/>
    <mergeCell ref="A62:B62"/>
    <mergeCell ref="A63:B63"/>
    <mergeCell ref="A64:B64"/>
    <mergeCell ref="A65:B65"/>
  </mergeCells>
  <conditionalFormatting sqref="F2:F3 F5:F65536">
    <cfRule type="cellIs" dxfId="3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I98"/>
  <sheetViews>
    <sheetView workbookViewId="0">
      <selection sqref="A1:G1"/>
    </sheetView>
  </sheetViews>
  <sheetFormatPr defaultColWidth="9.1796875" defaultRowHeight="10" x14ac:dyDescent="0.2"/>
  <cols>
    <col min="1" max="1" width="38.7265625" style="9" bestFit="1" customWidth="1"/>
    <col min="2" max="2" width="51.81640625" style="9" bestFit="1" customWidth="1"/>
    <col min="3" max="3" width="25.1796875" style="9" bestFit="1" customWidth="1"/>
    <col min="4" max="4" width="15.26953125" style="10" bestFit="1" customWidth="1"/>
    <col min="5" max="5" width="23" style="13" bestFit="1" customWidth="1"/>
    <col min="6" max="6" width="13.54296875" style="14" bestFit="1" customWidth="1"/>
    <col min="7" max="7" width="14.26953125" style="13" customWidth="1"/>
    <col min="8" max="16384" width="9.1796875" style="9"/>
  </cols>
  <sheetData>
    <row r="1" spans="1:7" s="1" customFormat="1" ht="14" x14ac:dyDescent="0.25">
      <c r="A1" s="71" t="s">
        <v>43</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868</v>
      </c>
      <c r="B5" s="22"/>
      <c r="C5" s="22"/>
      <c r="D5" s="23"/>
      <c r="E5" s="24"/>
      <c r="F5" s="25"/>
      <c r="G5" s="24"/>
    </row>
    <row r="6" spans="1:7" ht="10.5" x14ac:dyDescent="0.25">
      <c r="A6" s="26" t="s">
        <v>70</v>
      </c>
      <c r="B6" s="27"/>
      <c r="C6" s="27"/>
      <c r="D6" s="28"/>
      <c r="E6" s="29"/>
      <c r="F6" s="30"/>
      <c r="G6" s="29"/>
    </row>
    <row r="7" spans="1:7" x14ac:dyDescent="0.2">
      <c r="A7" s="27" t="s">
        <v>870</v>
      </c>
      <c r="B7" s="27" t="s">
        <v>869</v>
      </c>
      <c r="C7" s="27" t="s">
        <v>871</v>
      </c>
      <c r="D7" s="31">
        <v>158000</v>
      </c>
      <c r="E7" s="29">
        <v>2276.5430000000001</v>
      </c>
      <c r="F7" s="30">
        <v>5.1068727877509996</v>
      </c>
      <c r="G7" s="29"/>
    </row>
    <row r="8" spans="1:7" x14ac:dyDescent="0.2">
      <c r="A8" s="27" t="s">
        <v>873</v>
      </c>
      <c r="B8" s="27" t="s">
        <v>872</v>
      </c>
      <c r="C8" s="27" t="s">
        <v>871</v>
      </c>
      <c r="D8" s="31">
        <v>206475</v>
      </c>
      <c r="E8" s="29">
        <v>1242.1536000000001</v>
      </c>
      <c r="F8" s="30">
        <v>2.7864707225152099</v>
      </c>
      <c r="G8" s="29"/>
    </row>
    <row r="9" spans="1:7" x14ac:dyDescent="0.2">
      <c r="A9" s="27" t="s">
        <v>875</v>
      </c>
      <c r="B9" s="27" t="s">
        <v>874</v>
      </c>
      <c r="C9" s="27" t="s">
        <v>876</v>
      </c>
      <c r="D9" s="31">
        <v>109904</v>
      </c>
      <c r="E9" s="29">
        <v>1208.944</v>
      </c>
      <c r="F9" s="30">
        <v>2.7119730290685702</v>
      </c>
      <c r="G9" s="29"/>
    </row>
    <row r="10" spans="1:7" x14ac:dyDescent="0.2">
      <c r="A10" s="27" t="s">
        <v>878</v>
      </c>
      <c r="B10" s="27" t="s">
        <v>877</v>
      </c>
      <c r="C10" s="27" t="s">
        <v>871</v>
      </c>
      <c r="D10" s="31">
        <v>53853</v>
      </c>
      <c r="E10" s="29">
        <v>1027.030563</v>
      </c>
      <c r="F10" s="30">
        <v>2.3038942969112801</v>
      </c>
      <c r="G10" s="29"/>
    </row>
    <row r="11" spans="1:7" x14ac:dyDescent="0.2">
      <c r="A11" s="27" t="s">
        <v>880</v>
      </c>
      <c r="B11" s="27" t="s">
        <v>879</v>
      </c>
      <c r="C11" s="27" t="s">
        <v>871</v>
      </c>
      <c r="D11" s="31">
        <v>206474</v>
      </c>
      <c r="E11" s="29">
        <v>977.34467900000004</v>
      </c>
      <c r="F11" s="30">
        <v>2.1924360512576899</v>
      </c>
      <c r="G11" s="29"/>
    </row>
    <row r="12" spans="1:7" x14ac:dyDescent="0.2">
      <c r="A12" s="27" t="s">
        <v>882</v>
      </c>
      <c r="B12" s="27" t="s">
        <v>881</v>
      </c>
      <c r="C12" s="27" t="s">
        <v>883</v>
      </c>
      <c r="D12" s="31">
        <v>205373</v>
      </c>
      <c r="E12" s="29">
        <v>951.3904225</v>
      </c>
      <c r="F12" s="30">
        <v>2.1342139635369</v>
      </c>
      <c r="G12" s="29"/>
    </row>
    <row r="13" spans="1:7" x14ac:dyDescent="0.2">
      <c r="A13" s="27" t="s">
        <v>885</v>
      </c>
      <c r="B13" s="27" t="s">
        <v>884</v>
      </c>
      <c r="C13" s="27" t="s">
        <v>886</v>
      </c>
      <c r="D13" s="31">
        <v>79950</v>
      </c>
      <c r="E13" s="29">
        <v>700.16212499999995</v>
      </c>
      <c r="F13" s="30">
        <v>1.5706441315522801</v>
      </c>
      <c r="G13" s="29"/>
    </row>
    <row r="14" spans="1:7" x14ac:dyDescent="0.2">
      <c r="A14" s="27" t="s">
        <v>888</v>
      </c>
      <c r="B14" s="27" t="s">
        <v>887</v>
      </c>
      <c r="C14" s="27" t="s">
        <v>889</v>
      </c>
      <c r="D14" s="31">
        <v>40000</v>
      </c>
      <c r="E14" s="29">
        <v>663.76</v>
      </c>
      <c r="F14" s="30">
        <v>1.48898478157347</v>
      </c>
      <c r="G14" s="29"/>
    </row>
    <row r="15" spans="1:7" x14ac:dyDescent="0.2">
      <c r="A15" s="27" t="s">
        <v>891</v>
      </c>
      <c r="B15" s="27" t="s">
        <v>890</v>
      </c>
      <c r="C15" s="27" t="s">
        <v>892</v>
      </c>
      <c r="D15" s="31">
        <v>254936</v>
      </c>
      <c r="E15" s="29">
        <v>577.04763600000001</v>
      </c>
      <c r="F15" s="30">
        <v>1.29446659673217</v>
      </c>
      <c r="G15" s="29"/>
    </row>
    <row r="16" spans="1:7" x14ac:dyDescent="0.2">
      <c r="A16" s="27" t="s">
        <v>894</v>
      </c>
      <c r="B16" s="27" t="s">
        <v>893</v>
      </c>
      <c r="C16" s="27" t="s">
        <v>895</v>
      </c>
      <c r="D16" s="31">
        <v>60000</v>
      </c>
      <c r="E16" s="29">
        <v>483.96</v>
      </c>
      <c r="F16" s="30">
        <v>1.0856470334010699</v>
      </c>
      <c r="G16" s="29"/>
    </row>
    <row r="17" spans="1:7" x14ac:dyDescent="0.2">
      <c r="A17" s="27" t="s">
        <v>897</v>
      </c>
      <c r="B17" s="27" t="s">
        <v>896</v>
      </c>
      <c r="C17" s="27" t="s">
        <v>898</v>
      </c>
      <c r="D17" s="31">
        <v>66526</v>
      </c>
      <c r="E17" s="29">
        <v>480.31772000000001</v>
      </c>
      <c r="F17" s="30">
        <v>1.07747646046774</v>
      </c>
      <c r="G17" s="29"/>
    </row>
    <row r="18" spans="1:7" x14ac:dyDescent="0.2">
      <c r="A18" s="27" t="s">
        <v>900</v>
      </c>
      <c r="B18" s="27" t="s">
        <v>899</v>
      </c>
      <c r="C18" s="27" t="s">
        <v>901</v>
      </c>
      <c r="D18" s="31">
        <v>190244</v>
      </c>
      <c r="E18" s="29">
        <v>477.98804999999999</v>
      </c>
      <c r="F18" s="30">
        <v>1.0722504101241099</v>
      </c>
      <c r="G18" s="29"/>
    </row>
    <row r="19" spans="1:7" x14ac:dyDescent="0.2">
      <c r="A19" s="27" t="s">
        <v>903</v>
      </c>
      <c r="B19" s="27" t="s">
        <v>902</v>
      </c>
      <c r="C19" s="27" t="s">
        <v>904</v>
      </c>
      <c r="D19" s="31">
        <v>74355</v>
      </c>
      <c r="E19" s="29">
        <v>429.28859249999999</v>
      </c>
      <c r="F19" s="30">
        <v>0.96300497338735902</v>
      </c>
      <c r="G19" s="29"/>
    </row>
    <row r="20" spans="1:7" x14ac:dyDescent="0.2">
      <c r="A20" s="27" t="s">
        <v>906</v>
      </c>
      <c r="B20" s="27" t="s">
        <v>905</v>
      </c>
      <c r="C20" s="27" t="s">
        <v>907</v>
      </c>
      <c r="D20" s="31">
        <v>26468</v>
      </c>
      <c r="E20" s="29">
        <v>400.64611600000001</v>
      </c>
      <c r="F20" s="30">
        <v>0.89875251524725497</v>
      </c>
      <c r="G20" s="29"/>
    </row>
    <row r="21" spans="1:7" x14ac:dyDescent="0.2">
      <c r="A21" s="27" t="s">
        <v>909</v>
      </c>
      <c r="B21" s="27" t="s">
        <v>908</v>
      </c>
      <c r="C21" s="27" t="s">
        <v>901</v>
      </c>
      <c r="D21" s="31">
        <v>168573</v>
      </c>
      <c r="E21" s="29">
        <v>370.10202149999998</v>
      </c>
      <c r="F21" s="30">
        <v>0.830234237741165</v>
      </c>
      <c r="G21" s="29"/>
    </row>
    <row r="22" spans="1:7" x14ac:dyDescent="0.2">
      <c r="A22" s="27" t="s">
        <v>911</v>
      </c>
      <c r="B22" s="27" t="s">
        <v>910</v>
      </c>
      <c r="C22" s="27" t="s">
        <v>912</v>
      </c>
      <c r="D22" s="31">
        <v>156244</v>
      </c>
      <c r="E22" s="29">
        <v>327.09681399999999</v>
      </c>
      <c r="F22" s="30">
        <v>0.73376247159691299</v>
      </c>
      <c r="G22" s="29"/>
    </row>
    <row r="23" spans="1:7" x14ac:dyDescent="0.2">
      <c r="A23" s="27" t="s">
        <v>914</v>
      </c>
      <c r="B23" s="27" t="s">
        <v>913</v>
      </c>
      <c r="C23" s="27" t="s">
        <v>915</v>
      </c>
      <c r="D23" s="31">
        <v>72000</v>
      </c>
      <c r="E23" s="29">
        <v>324.072</v>
      </c>
      <c r="F23" s="30">
        <v>0.72697703406965897</v>
      </c>
      <c r="G23" s="29"/>
    </row>
    <row r="24" spans="1:7" x14ac:dyDescent="0.2">
      <c r="A24" s="27" t="s">
        <v>917</v>
      </c>
      <c r="B24" s="27" t="s">
        <v>916</v>
      </c>
      <c r="C24" s="27" t="s">
        <v>918</v>
      </c>
      <c r="D24" s="31">
        <v>130625</v>
      </c>
      <c r="E24" s="29">
        <v>251.32249999999999</v>
      </c>
      <c r="F24" s="30">
        <v>0.56378115247528904</v>
      </c>
      <c r="G24" s="29"/>
    </row>
    <row r="25" spans="1:7" x14ac:dyDescent="0.2">
      <c r="A25" s="27" t="s">
        <v>920</v>
      </c>
      <c r="B25" s="27" t="s">
        <v>919</v>
      </c>
      <c r="C25" s="27" t="s">
        <v>871</v>
      </c>
      <c r="D25" s="31">
        <v>88509</v>
      </c>
      <c r="E25" s="29">
        <v>216.1832325</v>
      </c>
      <c r="F25" s="30">
        <v>0.48495471740366802</v>
      </c>
      <c r="G25" s="29"/>
    </row>
    <row r="26" spans="1:7" x14ac:dyDescent="0.2">
      <c r="A26" s="27" t="s">
        <v>922</v>
      </c>
      <c r="B26" s="27" t="s">
        <v>921</v>
      </c>
      <c r="C26" s="27" t="s">
        <v>918</v>
      </c>
      <c r="D26" s="31">
        <v>221251</v>
      </c>
      <c r="E26" s="29">
        <v>209.524697</v>
      </c>
      <c r="F26" s="30">
        <v>0.470017905864758</v>
      </c>
      <c r="G26" s="29"/>
    </row>
    <row r="27" spans="1:7" x14ac:dyDescent="0.2">
      <c r="A27" s="27" t="s">
        <v>924</v>
      </c>
      <c r="B27" s="27" t="s">
        <v>923</v>
      </c>
      <c r="C27" s="27" t="s">
        <v>925</v>
      </c>
      <c r="D27" s="31">
        <v>32100</v>
      </c>
      <c r="E27" s="29">
        <v>188.10599999999999</v>
      </c>
      <c r="F27" s="30">
        <v>0.42197024726205001</v>
      </c>
      <c r="G27" s="29"/>
    </row>
    <row r="28" spans="1:7" x14ac:dyDescent="0.2">
      <c r="A28" s="27" t="s">
        <v>927</v>
      </c>
      <c r="B28" s="27" t="s">
        <v>926</v>
      </c>
      <c r="C28" s="27" t="s">
        <v>915</v>
      </c>
      <c r="D28" s="31">
        <v>7072</v>
      </c>
      <c r="E28" s="29">
        <v>184.93987200000001</v>
      </c>
      <c r="F28" s="30">
        <v>0.41486780600540102</v>
      </c>
      <c r="G28" s="29"/>
    </row>
    <row r="29" spans="1:7" x14ac:dyDescent="0.2">
      <c r="A29" s="27" t="s">
        <v>929</v>
      </c>
      <c r="B29" s="27" t="s">
        <v>928</v>
      </c>
      <c r="C29" s="27" t="s">
        <v>912</v>
      </c>
      <c r="D29" s="31">
        <v>43000</v>
      </c>
      <c r="E29" s="29">
        <v>160.38999999999999</v>
      </c>
      <c r="F29" s="30">
        <v>0.35979611473509798</v>
      </c>
      <c r="G29" s="29"/>
    </row>
    <row r="30" spans="1:7" x14ac:dyDescent="0.2">
      <c r="A30" s="27" t="s">
        <v>931</v>
      </c>
      <c r="B30" s="27" t="s">
        <v>930</v>
      </c>
      <c r="C30" s="27" t="s">
        <v>898</v>
      </c>
      <c r="D30" s="31">
        <v>4923</v>
      </c>
      <c r="E30" s="29">
        <v>156.2338665</v>
      </c>
      <c r="F30" s="30">
        <v>0.35047283594202799</v>
      </c>
      <c r="G30" s="29"/>
    </row>
    <row r="31" spans="1:7" x14ac:dyDescent="0.2">
      <c r="A31" s="27" t="s">
        <v>933</v>
      </c>
      <c r="B31" s="27" t="s">
        <v>932</v>
      </c>
      <c r="C31" s="27" t="s">
        <v>907</v>
      </c>
      <c r="D31" s="31">
        <v>15000</v>
      </c>
      <c r="E31" s="29">
        <v>155.8425</v>
      </c>
      <c r="F31" s="30">
        <v>0.34959489999753401</v>
      </c>
      <c r="G31" s="29"/>
    </row>
    <row r="32" spans="1:7" x14ac:dyDescent="0.2">
      <c r="A32" s="27" t="s">
        <v>935</v>
      </c>
      <c r="B32" s="27" t="s">
        <v>934</v>
      </c>
      <c r="C32" s="27" t="s">
        <v>907</v>
      </c>
      <c r="D32" s="31">
        <v>27182</v>
      </c>
      <c r="E32" s="29">
        <v>147.312849</v>
      </c>
      <c r="F32" s="30">
        <v>0.33046069406296003</v>
      </c>
      <c r="G32" s="29"/>
    </row>
    <row r="33" spans="1:9" x14ac:dyDescent="0.2">
      <c r="A33" s="27" t="s">
        <v>937</v>
      </c>
      <c r="B33" s="27" t="s">
        <v>936</v>
      </c>
      <c r="C33" s="27" t="s">
        <v>898</v>
      </c>
      <c r="D33" s="31">
        <v>74940</v>
      </c>
      <c r="E33" s="29">
        <v>135.15429</v>
      </c>
      <c r="F33" s="30">
        <v>0.30318591203803602</v>
      </c>
      <c r="G33" s="29"/>
    </row>
    <row r="34" spans="1:9" x14ac:dyDescent="0.2">
      <c r="A34" s="27" t="s">
        <v>939</v>
      </c>
      <c r="B34" s="27" t="s">
        <v>938</v>
      </c>
      <c r="C34" s="27" t="s">
        <v>898</v>
      </c>
      <c r="D34" s="31">
        <v>23121</v>
      </c>
      <c r="E34" s="29">
        <v>115.52407650000001</v>
      </c>
      <c r="F34" s="30">
        <v>0.25915028295442499</v>
      </c>
      <c r="G34" s="29"/>
    </row>
    <row r="35" spans="1:9" x14ac:dyDescent="0.2">
      <c r="A35" s="27" t="s">
        <v>941</v>
      </c>
      <c r="B35" s="27" t="s">
        <v>940</v>
      </c>
      <c r="C35" s="27" t="s">
        <v>871</v>
      </c>
      <c r="D35" s="31">
        <v>301582</v>
      </c>
      <c r="E35" s="29">
        <v>113.09325</v>
      </c>
      <c r="F35" s="30">
        <v>0.253697312505549</v>
      </c>
      <c r="G35" s="29"/>
    </row>
    <row r="36" spans="1:9" x14ac:dyDescent="0.2">
      <c r="A36" s="27" t="s">
        <v>943</v>
      </c>
      <c r="B36" s="27" t="s">
        <v>942</v>
      </c>
      <c r="C36" s="27" t="s">
        <v>944</v>
      </c>
      <c r="D36" s="31">
        <v>65910</v>
      </c>
      <c r="E36" s="29">
        <v>107.20261499999999</v>
      </c>
      <c r="F36" s="30">
        <v>0.240483099734662</v>
      </c>
      <c r="G36" s="29"/>
    </row>
    <row r="37" spans="1:9" x14ac:dyDescent="0.2">
      <c r="A37" s="27" t="s">
        <v>946</v>
      </c>
      <c r="B37" s="27" t="s">
        <v>945</v>
      </c>
      <c r="C37" s="27" t="s">
        <v>947</v>
      </c>
      <c r="D37" s="31">
        <v>153047</v>
      </c>
      <c r="E37" s="29">
        <v>60.8361825</v>
      </c>
      <c r="F37" s="30">
        <v>0.13647123947138401</v>
      </c>
      <c r="G37" s="29"/>
    </row>
    <row r="38" spans="1:9" x14ac:dyDescent="0.2">
      <c r="A38" s="27" t="s">
        <v>949</v>
      </c>
      <c r="B38" s="27" t="s">
        <v>948</v>
      </c>
      <c r="C38" s="27" t="s">
        <v>944</v>
      </c>
      <c r="D38" s="31">
        <v>7703</v>
      </c>
      <c r="E38" s="29">
        <v>7.8031389999999998</v>
      </c>
      <c r="F38" s="30">
        <v>1.7504452241024499E-2</v>
      </c>
      <c r="G38" s="29"/>
    </row>
    <row r="39" spans="1:9" x14ac:dyDescent="0.2">
      <c r="A39" s="27" t="s">
        <v>951</v>
      </c>
      <c r="B39" s="27" t="s">
        <v>950</v>
      </c>
      <c r="C39" s="27" t="s">
        <v>952</v>
      </c>
      <c r="D39" s="31">
        <v>984</v>
      </c>
      <c r="E39" s="29">
        <v>1.235412</v>
      </c>
      <c r="F39" s="30">
        <v>2.77134757589074E-3</v>
      </c>
      <c r="G39" s="29"/>
    </row>
    <row r="40" spans="1:9" ht="10.5" x14ac:dyDescent="0.25">
      <c r="A40" s="26" t="s">
        <v>164</v>
      </c>
      <c r="B40" s="26"/>
      <c r="C40" s="26"/>
      <c r="D40" s="32"/>
      <c r="E40" s="33">
        <f>SUM(E7:E39)</f>
        <v>15128.551821500001</v>
      </c>
      <c r="F40" s="34">
        <f>SUM(F7:F39)</f>
        <v>33.937241517203596</v>
      </c>
      <c r="G40" s="33"/>
      <c r="H40" s="18"/>
      <c r="I40" s="18"/>
    </row>
    <row r="41" spans="1:9" x14ac:dyDescent="0.2">
      <c r="A41" s="27"/>
      <c r="B41" s="27"/>
      <c r="C41" s="27"/>
      <c r="D41" s="28"/>
      <c r="E41" s="29"/>
      <c r="F41" s="30"/>
      <c r="G41" s="29"/>
    </row>
    <row r="42" spans="1:9" ht="10.5" x14ac:dyDescent="0.25">
      <c r="A42" s="26" t="s">
        <v>69</v>
      </c>
      <c r="B42" s="27"/>
      <c r="C42" s="27"/>
      <c r="D42" s="28"/>
      <c r="E42" s="29"/>
      <c r="F42" s="30"/>
      <c r="G42" s="29"/>
    </row>
    <row r="43" spans="1:9" ht="10.5" x14ac:dyDescent="0.25">
      <c r="A43" s="26" t="s">
        <v>70</v>
      </c>
      <c r="B43" s="27"/>
      <c r="C43" s="27"/>
      <c r="D43" s="28"/>
      <c r="E43" s="29"/>
      <c r="F43" s="30"/>
      <c r="G43" s="29"/>
    </row>
    <row r="44" spans="1:9" x14ac:dyDescent="0.2">
      <c r="A44" s="27" t="s">
        <v>954</v>
      </c>
      <c r="B44" s="27" t="s">
        <v>953</v>
      </c>
      <c r="C44" s="27" t="s">
        <v>163</v>
      </c>
      <c r="D44" s="31">
        <v>200</v>
      </c>
      <c r="E44" s="29">
        <v>2103.0720000000001</v>
      </c>
      <c r="F44" s="30">
        <v>4.7177326180445904</v>
      </c>
      <c r="G44" s="29">
        <v>4.625</v>
      </c>
    </row>
    <row r="45" spans="1:9" x14ac:dyDescent="0.2">
      <c r="A45" s="27" t="s">
        <v>956</v>
      </c>
      <c r="B45" s="27" t="s">
        <v>955</v>
      </c>
      <c r="C45" s="27" t="s">
        <v>163</v>
      </c>
      <c r="D45" s="31">
        <v>150</v>
      </c>
      <c r="E45" s="29">
        <v>1695.4545000000001</v>
      </c>
      <c r="F45" s="30">
        <v>3.8033414914280002</v>
      </c>
      <c r="G45" s="29">
        <v>5.125</v>
      </c>
    </row>
    <row r="46" spans="1:9" x14ac:dyDescent="0.2">
      <c r="A46" s="27" t="s">
        <v>646</v>
      </c>
      <c r="B46" s="27" t="s">
        <v>645</v>
      </c>
      <c r="C46" s="27" t="s">
        <v>163</v>
      </c>
      <c r="D46" s="31">
        <v>65</v>
      </c>
      <c r="E46" s="29">
        <v>730.36339999999996</v>
      </c>
      <c r="F46" s="30">
        <v>1.6383933765491401</v>
      </c>
      <c r="G46" s="29">
        <v>6.8170000000000002</v>
      </c>
    </row>
    <row r="47" spans="1:9" x14ac:dyDescent="0.2">
      <c r="A47" s="27" t="s">
        <v>263</v>
      </c>
      <c r="B47" s="27" t="s">
        <v>262</v>
      </c>
      <c r="C47" s="27" t="s">
        <v>82</v>
      </c>
      <c r="D47" s="31">
        <v>60</v>
      </c>
      <c r="E47" s="29">
        <v>585.12720000000002</v>
      </c>
      <c r="F47" s="30">
        <v>1.3125911415039999</v>
      </c>
      <c r="G47" s="29">
        <v>11.573700000000001</v>
      </c>
    </row>
    <row r="48" spans="1:9" x14ac:dyDescent="0.2">
      <c r="A48" s="27" t="s">
        <v>584</v>
      </c>
      <c r="B48" s="27" t="s">
        <v>583</v>
      </c>
      <c r="C48" s="27" t="s">
        <v>163</v>
      </c>
      <c r="D48" s="31">
        <v>45</v>
      </c>
      <c r="E48" s="29">
        <v>504.34875</v>
      </c>
      <c r="F48" s="30">
        <v>1.13138425538689</v>
      </c>
      <c r="G48" s="29">
        <v>5.6494999999999997</v>
      </c>
    </row>
    <row r="49" spans="1:9" x14ac:dyDescent="0.2">
      <c r="A49" s="27" t="s">
        <v>75</v>
      </c>
      <c r="B49" s="27" t="s">
        <v>74</v>
      </c>
      <c r="C49" s="27" t="s">
        <v>76</v>
      </c>
      <c r="D49" s="31">
        <v>50</v>
      </c>
      <c r="E49" s="29">
        <v>497.875</v>
      </c>
      <c r="F49" s="30">
        <v>1.11686196535779</v>
      </c>
      <c r="G49" s="29">
        <v>10.501099999999999</v>
      </c>
    </row>
    <row r="50" spans="1:9" x14ac:dyDescent="0.2">
      <c r="A50" s="27" t="s">
        <v>501</v>
      </c>
      <c r="B50" s="27" t="s">
        <v>500</v>
      </c>
      <c r="C50" s="27" t="s">
        <v>163</v>
      </c>
      <c r="D50" s="31">
        <v>30</v>
      </c>
      <c r="E50" s="29">
        <v>337.78109999999998</v>
      </c>
      <c r="F50" s="30">
        <v>0.75773007925024904</v>
      </c>
      <c r="G50" s="29">
        <v>6.8170000000000002</v>
      </c>
    </row>
    <row r="51" spans="1:9" x14ac:dyDescent="0.2">
      <c r="A51" s="27" t="s">
        <v>594</v>
      </c>
      <c r="B51" s="27" t="s">
        <v>593</v>
      </c>
      <c r="C51" s="27" t="s">
        <v>163</v>
      </c>
      <c r="D51" s="31">
        <v>5</v>
      </c>
      <c r="E51" s="29">
        <v>56.413550000000001</v>
      </c>
      <c r="F51" s="30">
        <v>0.12655013472419799</v>
      </c>
      <c r="G51" s="29">
        <v>6.8</v>
      </c>
    </row>
    <row r="52" spans="1:9" ht="10.5" x14ac:dyDescent="0.25">
      <c r="A52" s="26" t="s">
        <v>164</v>
      </c>
      <c r="B52" s="26"/>
      <c r="C52" s="26"/>
      <c r="D52" s="32"/>
      <c r="E52" s="33">
        <f>SUM(E43:E51)</f>
        <v>6510.4355000000005</v>
      </c>
      <c r="F52" s="34">
        <f>SUM(F43:F51)</f>
        <v>14.604585062244858</v>
      </c>
      <c r="G52" s="33"/>
      <c r="H52" s="18"/>
      <c r="I52" s="18"/>
    </row>
    <row r="53" spans="1:9" x14ac:dyDescent="0.2">
      <c r="A53" s="27"/>
      <c r="B53" s="27"/>
      <c r="C53" s="27"/>
      <c r="D53" s="28"/>
      <c r="E53" s="29"/>
      <c r="F53" s="30"/>
      <c r="G53" s="29"/>
    </row>
    <row r="54" spans="1:9" ht="10.5" x14ac:dyDescent="0.25">
      <c r="A54" s="26" t="s">
        <v>165</v>
      </c>
      <c r="B54" s="27"/>
      <c r="C54" s="27"/>
      <c r="D54" s="28"/>
      <c r="E54" s="29"/>
      <c r="F54" s="30"/>
      <c r="G54" s="29"/>
    </row>
    <row r="55" spans="1:9" x14ac:dyDescent="0.2">
      <c r="A55" s="27" t="s">
        <v>175</v>
      </c>
      <c r="B55" s="27" t="s">
        <v>174</v>
      </c>
      <c r="C55" s="27" t="s">
        <v>137</v>
      </c>
      <c r="D55" s="31">
        <v>14</v>
      </c>
      <c r="E55" s="29">
        <v>1949.3348000000001</v>
      </c>
      <c r="F55" s="30">
        <v>4.3728604486434204</v>
      </c>
      <c r="G55" s="29">
        <v>10.205</v>
      </c>
    </row>
    <row r="56" spans="1:9" ht="10.5" x14ac:dyDescent="0.25">
      <c r="A56" s="26" t="s">
        <v>164</v>
      </c>
      <c r="B56" s="26"/>
      <c r="C56" s="26"/>
      <c r="D56" s="32"/>
      <c r="E56" s="33">
        <f>SUM(E54:E55)</f>
        <v>1949.3348000000001</v>
      </c>
      <c r="F56" s="34">
        <f>SUM(F54:F55)</f>
        <v>4.3728604486434204</v>
      </c>
      <c r="G56" s="33"/>
      <c r="H56" s="18"/>
      <c r="I56" s="18"/>
    </row>
    <row r="57" spans="1:9" x14ac:dyDescent="0.2">
      <c r="A57" s="27"/>
      <c r="B57" s="27"/>
      <c r="C57" s="27"/>
      <c r="D57" s="28"/>
      <c r="E57" s="29"/>
      <c r="F57" s="30"/>
      <c r="G57" s="29"/>
    </row>
    <row r="58" spans="1:9" ht="10.5" x14ac:dyDescent="0.25">
      <c r="A58" s="26" t="s">
        <v>352</v>
      </c>
      <c r="B58" s="27"/>
      <c r="C58" s="27"/>
      <c r="D58" s="28"/>
      <c r="E58" s="29"/>
      <c r="F58" s="30"/>
      <c r="G58" s="29"/>
    </row>
    <row r="59" spans="1:9" ht="10.5" x14ac:dyDescent="0.25">
      <c r="A59" s="26" t="s">
        <v>353</v>
      </c>
      <c r="B59" s="27"/>
      <c r="C59" s="27"/>
      <c r="D59" s="28"/>
      <c r="E59" s="29"/>
      <c r="F59" s="30"/>
      <c r="G59" s="29"/>
    </row>
    <row r="60" spans="1:9" x14ac:dyDescent="0.2">
      <c r="A60" s="27" t="s">
        <v>355</v>
      </c>
      <c r="B60" s="27" t="s">
        <v>354</v>
      </c>
      <c r="C60" s="27" t="s">
        <v>356</v>
      </c>
      <c r="D60" s="31">
        <v>2000</v>
      </c>
      <c r="E60" s="29">
        <v>1988.2339999999999</v>
      </c>
      <c r="F60" s="30">
        <v>4.4601213815338996</v>
      </c>
      <c r="G60" s="29">
        <v>2.88</v>
      </c>
    </row>
    <row r="61" spans="1:9" x14ac:dyDescent="0.2">
      <c r="A61" s="27" t="s">
        <v>358</v>
      </c>
      <c r="B61" s="27" t="s">
        <v>357</v>
      </c>
      <c r="C61" s="27" t="s">
        <v>359</v>
      </c>
      <c r="D61" s="31">
        <v>500</v>
      </c>
      <c r="E61" s="29">
        <v>495.81549999999999</v>
      </c>
      <c r="F61" s="30">
        <v>1.1122419759675799</v>
      </c>
      <c r="G61" s="29">
        <v>3.05</v>
      </c>
    </row>
    <row r="62" spans="1:9" ht="10.5" x14ac:dyDescent="0.25">
      <c r="A62" s="26" t="s">
        <v>164</v>
      </c>
      <c r="B62" s="26"/>
      <c r="C62" s="26"/>
      <c r="D62" s="32"/>
      <c r="E62" s="33">
        <f>SUM(E59:E61)</f>
        <v>2484.0495000000001</v>
      </c>
      <c r="F62" s="34">
        <f>SUM(F59:F61)</f>
        <v>5.5723633575014793</v>
      </c>
      <c r="G62" s="33"/>
      <c r="H62" s="18"/>
      <c r="I62" s="18"/>
    </row>
    <row r="63" spans="1:9" x14ac:dyDescent="0.2">
      <c r="A63" s="27"/>
      <c r="B63" s="27"/>
      <c r="C63" s="27"/>
      <c r="D63" s="28"/>
      <c r="E63" s="29"/>
      <c r="F63" s="30"/>
      <c r="G63" s="29"/>
    </row>
    <row r="64" spans="1:9" ht="10.5" x14ac:dyDescent="0.25">
      <c r="A64" s="26" t="s">
        <v>389</v>
      </c>
      <c r="B64" s="27"/>
      <c r="C64" s="27"/>
      <c r="D64" s="28"/>
      <c r="E64" s="29"/>
      <c r="F64" s="30"/>
      <c r="G64" s="29"/>
    </row>
    <row r="65" spans="1:9" x14ac:dyDescent="0.2">
      <c r="A65" s="27" t="s">
        <v>462</v>
      </c>
      <c r="B65" s="27" t="s">
        <v>461</v>
      </c>
      <c r="C65" s="27" t="s">
        <v>466</v>
      </c>
      <c r="D65" s="31">
        <v>3000000</v>
      </c>
      <c r="E65" s="29">
        <v>2985.78</v>
      </c>
      <c r="F65" s="30">
        <v>6.69787420321566</v>
      </c>
      <c r="G65" s="29">
        <v>2.85</v>
      </c>
    </row>
    <row r="66" spans="1:9" ht="10.5" x14ac:dyDescent="0.25">
      <c r="A66" s="26" t="s">
        <v>164</v>
      </c>
      <c r="B66" s="26"/>
      <c r="C66" s="26"/>
      <c r="D66" s="32"/>
      <c r="E66" s="33">
        <f>SUM(E64:E65)</f>
        <v>2985.78</v>
      </c>
      <c r="F66" s="34">
        <f>SUM(F64:F65)</f>
        <v>6.69787420321566</v>
      </c>
      <c r="G66" s="33"/>
      <c r="H66" s="18"/>
      <c r="I66" s="18"/>
    </row>
    <row r="67" spans="1:9" x14ac:dyDescent="0.2">
      <c r="A67" s="27"/>
      <c r="B67" s="27"/>
      <c r="C67" s="27"/>
      <c r="D67" s="28"/>
      <c r="E67" s="29"/>
      <c r="F67" s="30"/>
      <c r="G67" s="29"/>
    </row>
    <row r="68" spans="1:9" ht="10.5" x14ac:dyDescent="0.25">
      <c r="A68" s="26" t="s">
        <v>463</v>
      </c>
      <c r="B68" s="27"/>
      <c r="C68" s="27"/>
      <c r="D68" s="28"/>
      <c r="E68" s="29"/>
      <c r="F68" s="30"/>
      <c r="G68" s="29"/>
    </row>
    <row r="69" spans="1:9" x14ac:dyDescent="0.2">
      <c r="A69" s="27" t="s">
        <v>465</v>
      </c>
      <c r="B69" s="27" t="s">
        <v>464</v>
      </c>
      <c r="C69" s="27" t="s">
        <v>466</v>
      </c>
      <c r="D69" s="31">
        <v>3095000</v>
      </c>
      <c r="E69" s="29">
        <v>3063.0410299999999</v>
      </c>
      <c r="F69" s="30">
        <v>6.8711906095653799</v>
      </c>
      <c r="G69" s="29">
        <v>5.9103000000000003</v>
      </c>
    </row>
    <row r="70" spans="1:9" x14ac:dyDescent="0.2">
      <c r="A70" s="27" t="s">
        <v>472</v>
      </c>
      <c r="B70" s="27" t="s">
        <v>471</v>
      </c>
      <c r="C70" s="27" t="s">
        <v>466</v>
      </c>
      <c r="D70" s="31">
        <v>2600000</v>
      </c>
      <c r="E70" s="29">
        <v>2833.0952000000002</v>
      </c>
      <c r="F70" s="30">
        <v>6.3553628382982401</v>
      </c>
      <c r="G70" s="29">
        <v>5.3236999999999997</v>
      </c>
    </row>
    <row r="71" spans="1:9" x14ac:dyDescent="0.2">
      <c r="A71" s="27" t="s">
        <v>468</v>
      </c>
      <c r="B71" s="27" t="s">
        <v>467</v>
      </c>
      <c r="C71" s="27" t="s">
        <v>466</v>
      </c>
      <c r="D71" s="31">
        <v>2600000</v>
      </c>
      <c r="E71" s="29">
        <v>2761.7746000000002</v>
      </c>
      <c r="F71" s="30">
        <v>6.1953723477403697</v>
      </c>
      <c r="G71" s="29">
        <v>5.6277999999999997</v>
      </c>
    </row>
    <row r="72" spans="1:9" x14ac:dyDescent="0.2">
      <c r="A72" s="27" t="s">
        <v>470</v>
      </c>
      <c r="B72" s="27" t="s">
        <v>469</v>
      </c>
      <c r="C72" s="27" t="s">
        <v>466</v>
      </c>
      <c r="D72" s="31">
        <v>2125000</v>
      </c>
      <c r="E72" s="29">
        <v>2292.9812499999998</v>
      </c>
      <c r="F72" s="30">
        <v>5.1437480198916896</v>
      </c>
      <c r="G72" s="29">
        <v>5.7961999999999998</v>
      </c>
    </row>
    <row r="73" spans="1:9" x14ac:dyDescent="0.2">
      <c r="A73" s="27" t="s">
        <v>958</v>
      </c>
      <c r="B73" s="27" t="s">
        <v>957</v>
      </c>
      <c r="C73" s="27" t="s">
        <v>466</v>
      </c>
      <c r="D73" s="31">
        <v>900000</v>
      </c>
      <c r="E73" s="29">
        <v>944.04780000000005</v>
      </c>
      <c r="F73" s="30">
        <v>2.1177425685156002</v>
      </c>
      <c r="G73" s="29">
        <v>4.7986000000000004</v>
      </c>
    </row>
    <row r="74" spans="1:9" x14ac:dyDescent="0.2">
      <c r="A74" s="27" t="s">
        <v>474</v>
      </c>
      <c r="B74" s="27" t="s">
        <v>473</v>
      </c>
      <c r="C74" s="27" t="s">
        <v>466</v>
      </c>
      <c r="D74" s="31">
        <v>400000</v>
      </c>
      <c r="E74" s="29">
        <v>433.88159999999999</v>
      </c>
      <c r="F74" s="30">
        <v>0.97330827317817603</v>
      </c>
      <c r="G74" s="29">
        <v>4.4211</v>
      </c>
    </row>
    <row r="75" spans="1:9" x14ac:dyDescent="0.2">
      <c r="A75" s="27" t="s">
        <v>476</v>
      </c>
      <c r="B75" s="27" t="s">
        <v>475</v>
      </c>
      <c r="C75" s="27" t="s">
        <v>466</v>
      </c>
      <c r="D75" s="31">
        <v>100000</v>
      </c>
      <c r="E75" s="29">
        <v>100.54130000000001</v>
      </c>
      <c r="F75" s="30">
        <v>0.225540053060764</v>
      </c>
      <c r="G75" s="29">
        <v>5.0845000000000002</v>
      </c>
    </row>
    <row r="76" spans="1:9" ht="10.5" x14ac:dyDescent="0.25">
      <c r="A76" s="26" t="s">
        <v>164</v>
      </c>
      <c r="B76" s="26"/>
      <c r="C76" s="26"/>
      <c r="D76" s="32"/>
      <c r="E76" s="33">
        <f>SUM(E69:E75)</f>
        <v>12429.362780000003</v>
      </c>
      <c r="F76" s="34">
        <f>SUM(F69:F75)</f>
        <v>27.882264710250219</v>
      </c>
      <c r="G76" s="33"/>
      <c r="H76" s="18"/>
      <c r="I76" s="18"/>
    </row>
    <row r="77" spans="1:9" x14ac:dyDescent="0.2">
      <c r="A77" s="27"/>
      <c r="B77" s="27"/>
      <c r="C77" s="27"/>
      <c r="D77" s="28"/>
      <c r="E77" s="29"/>
      <c r="F77" s="30"/>
      <c r="G77" s="29"/>
    </row>
    <row r="78" spans="1:9" ht="10.5" x14ac:dyDescent="0.25">
      <c r="A78" s="26" t="s">
        <v>176</v>
      </c>
      <c r="B78" s="26"/>
      <c r="C78" s="26"/>
      <c r="D78" s="32"/>
      <c r="E78" s="33">
        <f>E40+E52+E56+E62+E66+E76</f>
        <v>41487.514401500004</v>
      </c>
      <c r="F78" s="34">
        <f>F40+F52+F56+F62+F66+F76</f>
        <v>93.067189299059237</v>
      </c>
      <c r="G78" s="33"/>
      <c r="H78" s="18"/>
      <c r="I78" s="18"/>
    </row>
    <row r="79" spans="1:9" ht="10.5" x14ac:dyDescent="0.25">
      <c r="A79" s="26"/>
      <c r="B79" s="26"/>
      <c r="C79" s="26"/>
      <c r="D79" s="32"/>
      <c r="E79" s="33"/>
      <c r="F79" s="34"/>
      <c r="G79" s="33"/>
      <c r="H79" s="18"/>
      <c r="I79" s="18"/>
    </row>
    <row r="80" spans="1:9" ht="10.5" x14ac:dyDescent="0.25">
      <c r="A80" s="26" t="s">
        <v>178</v>
      </c>
      <c r="B80" s="26"/>
      <c r="C80" s="26"/>
      <c r="D80" s="32"/>
      <c r="E80" s="33">
        <f>E82-(E40+E52+E56+E62+E66+E76)</f>
        <v>3090.5100493999926</v>
      </c>
      <c r="F80" s="34">
        <f>F82-(F40+F52+F56+F62+F66+F76)</f>
        <v>6.9328107009407631</v>
      </c>
      <c r="G80" s="33"/>
      <c r="H80" s="18"/>
      <c r="I80" s="18"/>
    </row>
    <row r="81" spans="1:9" ht="10.5" x14ac:dyDescent="0.25">
      <c r="A81" s="26"/>
      <c r="B81" s="26"/>
      <c r="C81" s="26"/>
      <c r="D81" s="32"/>
      <c r="E81" s="33"/>
      <c r="F81" s="34"/>
      <c r="G81" s="33"/>
      <c r="H81" s="18"/>
      <c r="I81" s="18"/>
    </row>
    <row r="82" spans="1:9" ht="10.5" x14ac:dyDescent="0.25">
      <c r="A82" s="35" t="s">
        <v>177</v>
      </c>
      <c r="B82" s="35"/>
      <c r="C82" s="35"/>
      <c r="D82" s="36"/>
      <c r="E82" s="37">
        <v>44578.024450899997</v>
      </c>
      <c r="F82" s="38">
        <v>100</v>
      </c>
      <c r="G82" s="37"/>
      <c r="H82" s="18"/>
      <c r="I82" s="18"/>
    </row>
    <row r="83" spans="1:9" ht="10.5" x14ac:dyDescent="0.25">
      <c r="F83" s="20" t="s">
        <v>337</v>
      </c>
    </row>
    <row r="84" spans="1:9" ht="10.5" x14ac:dyDescent="0.25">
      <c r="A84" s="18" t="s">
        <v>180</v>
      </c>
    </row>
    <row r="86" spans="1:9" ht="10.5" x14ac:dyDescent="0.25">
      <c r="A86" s="18" t="s">
        <v>181</v>
      </c>
    </row>
    <row r="87" spans="1:9" ht="10.5" x14ac:dyDescent="0.25">
      <c r="A87" s="18" t="s">
        <v>182</v>
      </c>
    </row>
    <row r="88" spans="1:9" ht="10.5" x14ac:dyDescent="0.25">
      <c r="A88" s="18" t="s">
        <v>183</v>
      </c>
      <c r="B88" s="18"/>
      <c r="C88" s="39" t="s">
        <v>185</v>
      </c>
      <c r="D88" s="19" t="s">
        <v>184</v>
      </c>
    </row>
    <row r="89" spans="1:9" x14ac:dyDescent="0.2">
      <c r="A89" s="9" t="s">
        <v>421</v>
      </c>
      <c r="C89" s="40">
        <v>127.5294</v>
      </c>
      <c r="D89" s="40">
        <v>143.08099999999999</v>
      </c>
    </row>
    <row r="90" spans="1:9" x14ac:dyDescent="0.2">
      <c r="A90" s="9" t="s">
        <v>458</v>
      </c>
      <c r="C90" s="40">
        <v>15.7317</v>
      </c>
      <c r="D90" s="40">
        <v>17.650200000000002</v>
      </c>
    </row>
    <row r="91" spans="1:9" x14ac:dyDescent="0.2">
      <c r="A91" s="9" t="s">
        <v>424</v>
      </c>
      <c r="C91" s="40">
        <v>134.3554</v>
      </c>
      <c r="D91" s="40">
        <v>151.3048</v>
      </c>
    </row>
    <row r="92" spans="1:9" x14ac:dyDescent="0.2">
      <c r="A92" s="9" t="s">
        <v>459</v>
      </c>
      <c r="C92" s="40">
        <v>16.7957</v>
      </c>
      <c r="D92" s="40">
        <v>18.911100000000001</v>
      </c>
    </row>
    <row r="94" spans="1:9" ht="10.5" x14ac:dyDescent="0.25">
      <c r="A94" s="18" t="s">
        <v>197</v>
      </c>
      <c r="D94" s="41" t="s">
        <v>198</v>
      </c>
    </row>
    <row r="96" spans="1:9" ht="10.5" x14ac:dyDescent="0.25">
      <c r="A96" s="18" t="s">
        <v>199</v>
      </c>
      <c r="D96" s="42">
        <v>3.80623200584562</v>
      </c>
      <c r="E96" s="13" t="s">
        <v>200</v>
      </c>
    </row>
    <row r="98" spans="1:4" ht="10.5" x14ac:dyDescent="0.25">
      <c r="A98" s="18" t="s">
        <v>201</v>
      </c>
      <c r="D98" s="41" t="s">
        <v>198</v>
      </c>
    </row>
  </sheetData>
  <mergeCells count="1">
    <mergeCell ref="A1:G1"/>
  </mergeCells>
  <conditionalFormatting sqref="F2:F3 F5:F82 F84:F65536">
    <cfRule type="cellIs" dxfId="33" priority="2" stopIfTrue="1" operator="between">
      <formula>0.009</formula>
      <formula>-0.009</formula>
    </cfRule>
  </conditionalFormatting>
  <conditionalFormatting sqref="F83">
    <cfRule type="cellIs" dxfId="3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I126"/>
  <sheetViews>
    <sheetView workbookViewId="0">
      <selection sqref="A1:G1"/>
    </sheetView>
  </sheetViews>
  <sheetFormatPr defaultColWidth="9.1796875" defaultRowHeight="10" x14ac:dyDescent="0.2"/>
  <cols>
    <col min="1" max="1" width="38.7265625" style="9" bestFit="1" customWidth="1"/>
    <col min="2" max="2" width="51" style="9" bestFit="1" customWidth="1"/>
    <col min="3" max="3" width="25.179687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1" t="s">
        <v>44</v>
      </c>
      <c r="B1" s="72"/>
      <c r="C1" s="72"/>
      <c r="D1" s="72"/>
      <c r="E1" s="72"/>
      <c r="F1" s="72"/>
      <c r="G1" s="72"/>
    </row>
    <row r="2" spans="1:7" s="1" customFormat="1" ht="11.5" x14ac:dyDescent="0.25">
      <c r="A2" s="43" t="s">
        <v>202</v>
      </c>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868</v>
      </c>
      <c r="B5" s="22"/>
      <c r="C5" s="22"/>
      <c r="D5" s="23"/>
      <c r="E5" s="24"/>
      <c r="F5" s="25"/>
      <c r="G5" s="24"/>
    </row>
    <row r="6" spans="1:7" ht="10.5" x14ac:dyDescent="0.25">
      <c r="A6" s="26" t="s">
        <v>70</v>
      </c>
      <c r="B6" s="27"/>
      <c r="C6" s="27"/>
      <c r="D6" s="28"/>
      <c r="E6" s="29"/>
      <c r="F6" s="30"/>
      <c r="G6" s="29"/>
    </row>
    <row r="7" spans="1:7" x14ac:dyDescent="0.2">
      <c r="A7" s="27" t="s">
        <v>873</v>
      </c>
      <c r="B7" s="27" t="s">
        <v>872</v>
      </c>
      <c r="C7" s="27" t="s">
        <v>871</v>
      </c>
      <c r="D7" s="31">
        <v>85488</v>
      </c>
      <c r="E7" s="29">
        <v>514.29580799999997</v>
      </c>
      <c r="F7" s="30">
        <v>2.6230488110187098</v>
      </c>
      <c r="G7" s="29"/>
    </row>
    <row r="8" spans="1:7" x14ac:dyDescent="0.2">
      <c r="A8" s="27" t="s">
        <v>875</v>
      </c>
      <c r="B8" s="27" t="s">
        <v>874</v>
      </c>
      <c r="C8" s="27" t="s">
        <v>876</v>
      </c>
      <c r="D8" s="31">
        <v>38838</v>
      </c>
      <c r="E8" s="29">
        <v>427.21800000000002</v>
      </c>
      <c r="F8" s="30">
        <v>2.1789282539627299</v>
      </c>
      <c r="G8" s="29"/>
    </row>
    <row r="9" spans="1:7" x14ac:dyDescent="0.2">
      <c r="A9" s="27" t="s">
        <v>870</v>
      </c>
      <c r="B9" s="27" t="s">
        <v>869</v>
      </c>
      <c r="C9" s="27" t="s">
        <v>871</v>
      </c>
      <c r="D9" s="31">
        <v>22986</v>
      </c>
      <c r="E9" s="29">
        <v>331.193781</v>
      </c>
      <c r="F9" s="30">
        <v>1.6891785621337201</v>
      </c>
      <c r="G9" s="29"/>
    </row>
    <row r="10" spans="1:7" x14ac:dyDescent="0.2">
      <c r="A10" s="27" t="s">
        <v>880</v>
      </c>
      <c r="B10" s="27" t="s">
        <v>879</v>
      </c>
      <c r="C10" s="27" t="s">
        <v>871</v>
      </c>
      <c r="D10" s="31">
        <v>60374</v>
      </c>
      <c r="E10" s="29">
        <v>285.78032899999999</v>
      </c>
      <c r="F10" s="30">
        <v>1.4575575778287999</v>
      </c>
      <c r="G10" s="29"/>
    </row>
    <row r="11" spans="1:7" x14ac:dyDescent="0.2">
      <c r="A11" s="27" t="s">
        <v>894</v>
      </c>
      <c r="B11" s="27" t="s">
        <v>893</v>
      </c>
      <c r="C11" s="27" t="s">
        <v>895</v>
      </c>
      <c r="D11" s="31">
        <v>32000</v>
      </c>
      <c r="E11" s="29">
        <v>258.11200000000002</v>
      </c>
      <c r="F11" s="30">
        <v>1.31644155790914</v>
      </c>
      <c r="G11" s="29"/>
    </row>
    <row r="12" spans="1:7" x14ac:dyDescent="0.2">
      <c r="A12" s="27" t="s">
        <v>888</v>
      </c>
      <c r="B12" s="27" t="s">
        <v>887</v>
      </c>
      <c r="C12" s="27" t="s">
        <v>889</v>
      </c>
      <c r="D12" s="31">
        <v>15000</v>
      </c>
      <c r="E12" s="29">
        <v>248.91</v>
      </c>
      <c r="F12" s="30">
        <v>1.2695088495659399</v>
      </c>
      <c r="G12" s="29"/>
    </row>
    <row r="13" spans="1:7" x14ac:dyDescent="0.2">
      <c r="A13" s="27" t="s">
        <v>878</v>
      </c>
      <c r="B13" s="27" t="s">
        <v>877</v>
      </c>
      <c r="C13" s="27" t="s">
        <v>871</v>
      </c>
      <c r="D13" s="31">
        <v>12909</v>
      </c>
      <c r="E13" s="29">
        <v>246.18753899999999</v>
      </c>
      <c r="F13" s="30">
        <v>1.25562355635917</v>
      </c>
      <c r="G13" s="29"/>
    </row>
    <row r="14" spans="1:7" x14ac:dyDescent="0.2">
      <c r="A14" s="27" t="s">
        <v>909</v>
      </c>
      <c r="B14" s="27" t="s">
        <v>908</v>
      </c>
      <c r="C14" s="27" t="s">
        <v>901</v>
      </c>
      <c r="D14" s="31">
        <v>105586</v>
      </c>
      <c r="E14" s="29">
        <v>231.814063</v>
      </c>
      <c r="F14" s="30">
        <v>1.18231491074017</v>
      </c>
      <c r="G14" s="29"/>
    </row>
    <row r="15" spans="1:7" x14ac:dyDescent="0.2">
      <c r="A15" s="27" t="s">
        <v>882</v>
      </c>
      <c r="B15" s="27" t="s">
        <v>881</v>
      </c>
      <c r="C15" s="27" t="s">
        <v>883</v>
      </c>
      <c r="D15" s="31">
        <v>48903</v>
      </c>
      <c r="E15" s="29">
        <v>226.5431475</v>
      </c>
      <c r="F15" s="30">
        <v>1.15543180490849</v>
      </c>
      <c r="G15" s="29"/>
    </row>
    <row r="16" spans="1:7" x14ac:dyDescent="0.2">
      <c r="A16" s="27" t="s">
        <v>917</v>
      </c>
      <c r="B16" s="27" t="s">
        <v>916</v>
      </c>
      <c r="C16" s="27" t="s">
        <v>918</v>
      </c>
      <c r="D16" s="31">
        <v>113926</v>
      </c>
      <c r="E16" s="29">
        <v>219.193624</v>
      </c>
      <c r="F16" s="30">
        <v>1.1179472316758201</v>
      </c>
      <c r="G16" s="29"/>
    </row>
    <row r="17" spans="1:7" x14ac:dyDescent="0.2">
      <c r="A17" s="27" t="s">
        <v>960</v>
      </c>
      <c r="B17" s="27" t="s">
        <v>959</v>
      </c>
      <c r="C17" s="27" t="s">
        <v>915</v>
      </c>
      <c r="D17" s="31">
        <v>4300</v>
      </c>
      <c r="E17" s="29">
        <v>207.64484999999999</v>
      </c>
      <c r="F17" s="30">
        <v>1.05904533623315</v>
      </c>
      <c r="G17" s="29"/>
    </row>
    <row r="18" spans="1:7" x14ac:dyDescent="0.2">
      <c r="A18" s="27" t="s">
        <v>897</v>
      </c>
      <c r="B18" s="27" t="s">
        <v>896</v>
      </c>
      <c r="C18" s="27" t="s">
        <v>898</v>
      </c>
      <c r="D18" s="31">
        <v>27341</v>
      </c>
      <c r="E18" s="29">
        <v>197.40201999999999</v>
      </c>
      <c r="F18" s="30">
        <v>1.00680411117349</v>
      </c>
      <c r="G18" s="29"/>
    </row>
    <row r="19" spans="1:7" x14ac:dyDescent="0.2">
      <c r="A19" s="27" t="s">
        <v>935</v>
      </c>
      <c r="B19" s="27" t="s">
        <v>934</v>
      </c>
      <c r="C19" s="27" t="s">
        <v>907</v>
      </c>
      <c r="D19" s="31">
        <v>33697</v>
      </c>
      <c r="E19" s="29">
        <v>182.6208915</v>
      </c>
      <c r="F19" s="30">
        <v>0.93141632668382801</v>
      </c>
      <c r="G19" s="29"/>
    </row>
    <row r="20" spans="1:7" x14ac:dyDescent="0.2">
      <c r="A20" s="27" t="s">
        <v>891</v>
      </c>
      <c r="B20" s="27" t="s">
        <v>890</v>
      </c>
      <c r="C20" s="27" t="s">
        <v>892</v>
      </c>
      <c r="D20" s="31">
        <v>76457</v>
      </c>
      <c r="E20" s="29">
        <v>173.06041949999999</v>
      </c>
      <c r="F20" s="30">
        <v>0.88265531342591397</v>
      </c>
      <c r="G20" s="29"/>
    </row>
    <row r="21" spans="1:7" x14ac:dyDescent="0.2">
      <c r="A21" s="27" t="s">
        <v>914</v>
      </c>
      <c r="B21" s="27" t="s">
        <v>913</v>
      </c>
      <c r="C21" s="27" t="s">
        <v>915</v>
      </c>
      <c r="D21" s="31">
        <v>35000</v>
      </c>
      <c r="E21" s="29">
        <v>157.535</v>
      </c>
      <c r="F21" s="30">
        <v>0.80347144195239495</v>
      </c>
      <c r="G21" s="29"/>
    </row>
    <row r="22" spans="1:7" x14ac:dyDescent="0.2">
      <c r="A22" s="27" t="s">
        <v>906</v>
      </c>
      <c r="B22" s="27" t="s">
        <v>905</v>
      </c>
      <c r="C22" s="27" t="s">
        <v>907</v>
      </c>
      <c r="D22" s="31">
        <v>9526</v>
      </c>
      <c r="E22" s="29">
        <v>144.19506200000001</v>
      </c>
      <c r="F22" s="30">
        <v>0.73543412186215695</v>
      </c>
      <c r="G22" s="29"/>
    </row>
    <row r="23" spans="1:7" x14ac:dyDescent="0.2">
      <c r="A23" s="27" t="s">
        <v>939</v>
      </c>
      <c r="B23" s="27" t="s">
        <v>938</v>
      </c>
      <c r="C23" s="27" t="s">
        <v>898</v>
      </c>
      <c r="D23" s="31">
        <v>25761</v>
      </c>
      <c r="E23" s="29">
        <v>128.71483649999999</v>
      </c>
      <c r="F23" s="30">
        <v>0.656480752107924</v>
      </c>
      <c r="G23" s="29"/>
    </row>
    <row r="24" spans="1:7" x14ac:dyDescent="0.2">
      <c r="A24" s="27" t="s">
        <v>924</v>
      </c>
      <c r="B24" s="27" t="s">
        <v>923</v>
      </c>
      <c r="C24" s="27" t="s">
        <v>925</v>
      </c>
      <c r="D24" s="31">
        <v>20015</v>
      </c>
      <c r="E24" s="29">
        <v>117.28789999999999</v>
      </c>
      <c r="F24" s="30">
        <v>0.59820026112653202</v>
      </c>
      <c r="G24" s="29"/>
    </row>
    <row r="25" spans="1:7" x14ac:dyDescent="0.2">
      <c r="A25" s="27" t="s">
        <v>885</v>
      </c>
      <c r="B25" s="27" t="s">
        <v>884</v>
      </c>
      <c r="C25" s="27" t="s">
        <v>886</v>
      </c>
      <c r="D25" s="31">
        <v>13254</v>
      </c>
      <c r="E25" s="29">
        <v>116.071905</v>
      </c>
      <c r="F25" s="30">
        <v>0.59199835516241694</v>
      </c>
      <c r="G25" s="29"/>
    </row>
    <row r="26" spans="1:7" x14ac:dyDescent="0.2">
      <c r="A26" s="27" t="s">
        <v>929</v>
      </c>
      <c r="B26" s="27" t="s">
        <v>928</v>
      </c>
      <c r="C26" s="27" t="s">
        <v>912</v>
      </c>
      <c r="D26" s="31">
        <v>30000</v>
      </c>
      <c r="E26" s="29">
        <v>111.9</v>
      </c>
      <c r="F26" s="30">
        <v>0.57072050245642503</v>
      </c>
      <c r="G26" s="29"/>
    </row>
    <row r="27" spans="1:7" x14ac:dyDescent="0.2">
      <c r="A27" s="27" t="s">
        <v>933</v>
      </c>
      <c r="B27" s="27" t="s">
        <v>932</v>
      </c>
      <c r="C27" s="27" t="s">
        <v>907</v>
      </c>
      <c r="D27" s="31">
        <v>10000</v>
      </c>
      <c r="E27" s="29">
        <v>103.895</v>
      </c>
      <c r="F27" s="30">
        <v>0.52989282039955599</v>
      </c>
      <c r="G27" s="29"/>
    </row>
    <row r="28" spans="1:7" x14ac:dyDescent="0.2">
      <c r="A28" s="27" t="s">
        <v>920</v>
      </c>
      <c r="B28" s="27" t="s">
        <v>919</v>
      </c>
      <c r="C28" s="27" t="s">
        <v>871</v>
      </c>
      <c r="D28" s="31">
        <v>29755</v>
      </c>
      <c r="E28" s="29">
        <v>72.676587499999997</v>
      </c>
      <c r="F28" s="30">
        <v>0.370670406924204</v>
      </c>
      <c r="G28" s="29"/>
    </row>
    <row r="29" spans="1:7" x14ac:dyDescent="0.2">
      <c r="A29" s="27" t="s">
        <v>937</v>
      </c>
      <c r="B29" s="27" t="s">
        <v>936</v>
      </c>
      <c r="C29" s="27" t="s">
        <v>898</v>
      </c>
      <c r="D29" s="31">
        <v>40000</v>
      </c>
      <c r="E29" s="29">
        <v>72.14</v>
      </c>
      <c r="F29" s="30">
        <v>0.36793366440756498</v>
      </c>
      <c r="G29" s="29"/>
    </row>
    <row r="30" spans="1:7" x14ac:dyDescent="0.2">
      <c r="A30" s="27" t="s">
        <v>943</v>
      </c>
      <c r="B30" s="27" t="s">
        <v>942</v>
      </c>
      <c r="C30" s="27" t="s">
        <v>944</v>
      </c>
      <c r="D30" s="31">
        <v>35367</v>
      </c>
      <c r="E30" s="29">
        <v>57.5244255</v>
      </c>
      <c r="F30" s="30">
        <v>0.29339025044573003</v>
      </c>
      <c r="G30" s="29"/>
    </row>
    <row r="31" spans="1:7" x14ac:dyDescent="0.2">
      <c r="A31" s="27" t="s">
        <v>946</v>
      </c>
      <c r="B31" s="27" t="s">
        <v>945</v>
      </c>
      <c r="C31" s="27" t="s">
        <v>947</v>
      </c>
      <c r="D31" s="31">
        <v>97694</v>
      </c>
      <c r="E31" s="29">
        <v>38.833365000000001</v>
      </c>
      <c r="F31" s="30">
        <v>0.19806074696044501</v>
      </c>
      <c r="G31" s="29"/>
    </row>
    <row r="32" spans="1:7" x14ac:dyDescent="0.2">
      <c r="A32" s="27" t="s">
        <v>941</v>
      </c>
      <c r="B32" s="27" t="s">
        <v>940</v>
      </c>
      <c r="C32" s="27" t="s">
        <v>871</v>
      </c>
      <c r="D32" s="31">
        <v>77000</v>
      </c>
      <c r="E32" s="29">
        <v>28.875</v>
      </c>
      <c r="F32" s="30">
        <v>0.14727037094217399</v>
      </c>
      <c r="G32" s="29"/>
    </row>
    <row r="33" spans="1:9" x14ac:dyDescent="0.2">
      <c r="A33" s="27" t="s">
        <v>949</v>
      </c>
      <c r="B33" s="27" t="s">
        <v>948</v>
      </c>
      <c r="C33" s="27" t="s">
        <v>944</v>
      </c>
      <c r="D33" s="31">
        <v>4133</v>
      </c>
      <c r="E33" s="29">
        <v>4.1867289999999997</v>
      </c>
      <c r="F33" s="30">
        <v>2.1353459146817601E-2</v>
      </c>
      <c r="G33" s="29"/>
    </row>
    <row r="34" spans="1:9" x14ac:dyDescent="0.2">
      <c r="A34" s="27" t="s">
        <v>951</v>
      </c>
      <c r="B34" s="27" t="s">
        <v>950</v>
      </c>
      <c r="C34" s="27" t="s">
        <v>952</v>
      </c>
      <c r="D34" s="31">
        <v>581</v>
      </c>
      <c r="E34" s="29">
        <v>0.72944549999999997</v>
      </c>
      <c r="F34" s="30">
        <v>3.7203708871722798E-3</v>
      </c>
      <c r="G34" s="29"/>
    </row>
    <row r="35" spans="1:9" ht="10.5" x14ac:dyDescent="0.25">
      <c r="A35" s="26" t="s">
        <v>164</v>
      </c>
      <c r="B35" s="26"/>
      <c r="C35" s="26"/>
      <c r="D35" s="32"/>
      <c r="E35" s="33">
        <f>SUM(E7:E34)</f>
        <v>4904.5417285000012</v>
      </c>
      <c r="F35" s="34">
        <f>SUM(F7:F34)</f>
        <v>25.014499728400587</v>
      </c>
      <c r="G35" s="33"/>
      <c r="H35" s="18"/>
      <c r="I35" s="18"/>
    </row>
    <row r="36" spans="1:9" x14ac:dyDescent="0.2">
      <c r="A36" s="27"/>
      <c r="B36" s="27"/>
      <c r="C36" s="27"/>
      <c r="D36" s="28"/>
      <c r="E36" s="29"/>
      <c r="F36" s="30"/>
      <c r="G36" s="29"/>
    </row>
    <row r="37" spans="1:9" ht="10.5" x14ac:dyDescent="0.25">
      <c r="A37" s="26" t="s">
        <v>69</v>
      </c>
      <c r="B37" s="27"/>
      <c r="C37" s="27"/>
      <c r="D37" s="28"/>
      <c r="E37" s="29"/>
      <c r="F37" s="30"/>
      <c r="G37" s="29"/>
    </row>
    <row r="38" spans="1:9" ht="10.5" x14ac:dyDescent="0.25">
      <c r="A38" s="26" t="s">
        <v>70</v>
      </c>
      <c r="B38" s="27"/>
      <c r="C38" s="27"/>
      <c r="D38" s="28"/>
      <c r="E38" s="29"/>
      <c r="F38" s="30"/>
      <c r="G38" s="29"/>
    </row>
    <row r="39" spans="1:9" x14ac:dyDescent="0.2">
      <c r="A39" s="27" t="s">
        <v>954</v>
      </c>
      <c r="B39" s="27" t="s">
        <v>953</v>
      </c>
      <c r="C39" s="27" t="s">
        <v>163</v>
      </c>
      <c r="D39" s="31">
        <v>200</v>
      </c>
      <c r="E39" s="29">
        <v>2103.0720000000001</v>
      </c>
      <c r="F39" s="30">
        <v>10.726240469544599</v>
      </c>
      <c r="G39" s="29">
        <v>4.625</v>
      </c>
    </row>
    <row r="40" spans="1:9" x14ac:dyDescent="0.2">
      <c r="A40" s="27" t="s">
        <v>594</v>
      </c>
      <c r="B40" s="27" t="s">
        <v>593</v>
      </c>
      <c r="C40" s="27" t="s">
        <v>163</v>
      </c>
      <c r="D40" s="31">
        <v>65</v>
      </c>
      <c r="E40" s="29">
        <v>733.37615000000005</v>
      </c>
      <c r="F40" s="30">
        <v>3.7404182736153602</v>
      </c>
      <c r="G40" s="29">
        <v>6.8</v>
      </c>
    </row>
    <row r="41" spans="1:9" x14ac:dyDescent="0.2">
      <c r="A41" s="27" t="s">
        <v>263</v>
      </c>
      <c r="B41" s="27" t="s">
        <v>262</v>
      </c>
      <c r="C41" s="27" t="s">
        <v>82</v>
      </c>
      <c r="D41" s="31">
        <v>60</v>
      </c>
      <c r="E41" s="29">
        <v>585.12720000000002</v>
      </c>
      <c r="F41" s="30">
        <v>2.9843082179170799</v>
      </c>
      <c r="G41" s="29">
        <v>11.573700000000001</v>
      </c>
    </row>
    <row r="42" spans="1:9" x14ac:dyDescent="0.2">
      <c r="A42" s="27" t="s">
        <v>584</v>
      </c>
      <c r="B42" s="27" t="s">
        <v>583</v>
      </c>
      <c r="C42" s="27" t="s">
        <v>163</v>
      </c>
      <c r="D42" s="31">
        <v>50</v>
      </c>
      <c r="E42" s="29">
        <v>560.38750000000005</v>
      </c>
      <c r="F42" s="30">
        <v>2.8581290042028602</v>
      </c>
      <c r="G42" s="29">
        <v>5.6494999999999997</v>
      </c>
    </row>
    <row r="43" spans="1:9" x14ac:dyDescent="0.2">
      <c r="A43" s="27" t="s">
        <v>646</v>
      </c>
      <c r="B43" s="27" t="s">
        <v>645</v>
      </c>
      <c r="C43" s="27" t="s">
        <v>163</v>
      </c>
      <c r="D43" s="31">
        <v>35</v>
      </c>
      <c r="E43" s="29">
        <v>393.27260000000001</v>
      </c>
      <c r="F43" s="30">
        <v>2.0057974608967402</v>
      </c>
      <c r="G43" s="29">
        <v>6.8170000000000002</v>
      </c>
    </row>
    <row r="44" spans="1:9" x14ac:dyDescent="0.2">
      <c r="A44" s="27" t="s">
        <v>501</v>
      </c>
      <c r="B44" s="27" t="s">
        <v>500</v>
      </c>
      <c r="C44" s="27" t="s">
        <v>163</v>
      </c>
      <c r="D44" s="31">
        <v>30</v>
      </c>
      <c r="E44" s="29">
        <v>337.78109999999998</v>
      </c>
      <c r="F44" s="30">
        <v>1.7227756846495501</v>
      </c>
      <c r="G44" s="29">
        <v>6.8170000000000002</v>
      </c>
    </row>
    <row r="45" spans="1:9" ht="10.5" x14ac:dyDescent="0.25">
      <c r="A45" s="26" t="s">
        <v>164</v>
      </c>
      <c r="B45" s="26"/>
      <c r="C45" s="26"/>
      <c r="D45" s="32"/>
      <c r="E45" s="33">
        <f>SUM(E38:E44)</f>
        <v>4713.0165500000003</v>
      </c>
      <c r="F45" s="34">
        <f>SUM(F38:F44)</f>
        <v>24.037669110826194</v>
      </c>
      <c r="G45" s="33"/>
      <c r="H45" s="18"/>
      <c r="I45" s="18"/>
    </row>
    <row r="46" spans="1:9" x14ac:dyDescent="0.2">
      <c r="A46" s="27"/>
      <c r="B46" s="27"/>
      <c r="C46" s="27"/>
      <c r="D46" s="28"/>
      <c r="E46" s="29"/>
      <c r="F46" s="30"/>
      <c r="G46" s="29"/>
    </row>
    <row r="47" spans="1:9" ht="10.5" x14ac:dyDescent="0.25">
      <c r="A47" s="26" t="s">
        <v>352</v>
      </c>
      <c r="B47" s="27"/>
      <c r="C47" s="27"/>
      <c r="D47" s="28"/>
      <c r="E47" s="29"/>
      <c r="F47" s="30"/>
      <c r="G47" s="29"/>
    </row>
    <row r="48" spans="1:9" ht="10.5" x14ac:dyDescent="0.25">
      <c r="A48" s="26" t="s">
        <v>353</v>
      </c>
      <c r="B48" s="27"/>
      <c r="C48" s="27"/>
      <c r="D48" s="28"/>
      <c r="E48" s="29"/>
      <c r="F48" s="30"/>
      <c r="G48" s="29"/>
    </row>
    <row r="49" spans="1:9" x14ac:dyDescent="0.2">
      <c r="A49" s="27" t="s">
        <v>358</v>
      </c>
      <c r="B49" s="27" t="s">
        <v>357</v>
      </c>
      <c r="C49" s="27" t="s">
        <v>359</v>
      </c>
      <c r="D49" s="31">
        <v>2000</v>
      </c>
      <c r="E49" s="29">
        <v>1983.2619999999999</v>
      </c>
      <c r="F49" s="30">
        <v>10.115176810927</v>
      </c>
      <c r="G49" s="29">
        <v>3.05</v>
      </c>
    </row>
    <row r="50" spans="1:9" ht="10.5" x14ac:dyDescent="0.25">
      <c r="A50" s="26" t="s">
        <v>164</v>
      </c>
      <c r="B50" s="26"/>
      <c r="C50" s="26"/>
      <c r="D50" s="32"/>
      <c r="E50" s="33">
        <f>SUM(E48:E49)</f>
        <v>1983.2619999999999</v>
      </c>
      <c r="F50" s="34">
        <f>SUM(F48:F49)</f>
        <v>10.115176810927</v>
      </c>
      <c r="G50" s="33"/>
      <c r="H50" s="18"/>
      <c r="I50" s="18"/>
    </row>
    <row r="51" spans="1:9" x14ac:dyDescent="0.2">
      <c r="A51" s="27"/>
      <c r="B51" s="27"/>
      <c r="C51" s="27"/>
      <c r="D51" s="28"/>
      <c r="E51" s="29"/>
      <c r="F51" s="30"/>
      <c r="G51" s="29"/>
    </row>
    <row r="52" spans="1:9" ht="10.5" x14ac:dyDescent="0.25">
      <c r="A52" s="26" t="s">
        <v>389</v>
      </c>
      <c r="B52" s="27"/>
      <c r="C52" s="27"/>
      <c r="D52" s="28"/>
      <c r="E52" s="29"/>
      <c r="F52" s="30"/>
      <c r="G52" s="29"/>
    </row>
    <row r="53" spans="1:9" x14ac:dyDescent="0.2">
      <c r="A53" s="27" t="s">
        <v>462</v>
      </c>
      <c r="B53" s="27" t="s">
        <v>461</v>
      </c>
      <c r="C53" s="27" t="s">
        <v>466</v>
      </c>
      <c r="D53" s="31">
        <v>1500000</v>
      </c>
      <c r="E53" s="29">
        <v>1492.89</v>
      </c>
      <c r="F53" s="30">
        <v>7.6141459420212101</v>
      </c>
      <c r="G53" s="29">
        <v>2.85</v>
      </c>
    </row>
    <row r="54" spans="1:9" ht="10.5" x14ac:dyDescent="0.25">
      <c r="A54" s="26" t="s">
        <v>164</v>
      </c>
      <c r="B54" s="26"/>
      <c r="C54" s="26"/>
      <c r="D54" s="32"/>
      <c r="E54" s="33">
        <f>SUM(E52:E53)</f>
        <v>1492.89</v>
      </c>
      <c r="F54" s="34">
        <f>SUM(F52:F53)</f>
        <v>7.6141459420212101</v>
      </c>
      <c r="G54" s="33"/>
      <c r="H54" s="18"/>
      <c r="I54" s="18"/>
    </row>
    <row r="55" spans="1:9" x14ac:dyDescent="0.2">
      <c r="A55" s="27"/>
      <c r="B55" s="27"/>
      <c r="C55" s="27"/>
      <c r="D55" s="28"/>
      <c r="E55" s="29"/>
      <c r="F55" s="30"/>
      <c r="G55" s="29"/>
    </row>
    <row r="56" spans="1:9" ht="10.5" x14ac:dyDescent="0.25">
      <c r="A56" s="26" t="s">
        <v>463</v>
      </c>
      <c r="B56" s="27"/>
      <c r="C56" s="27"/>
      <c r="D56" s="28"/>
      <c r="E56" s="29"/>
      <c r="F56" s="30"/>
      <c r="G56" s="29"/>
    </row>
    <row r="57" spans="1:9" x14ac:dyDescent="0.2">
      <c r="A57" s="27" t="s">
        <v>465</v>
      </c>
      <c r="B57" s="27" t="s">
        <v>464</v>
      </c>
      <c r="C57" s="27" t="s">
        <v>466</v>
      </c>
      <c r="D57" s="31">
        <v>2380000</v>
      </c>
      <c r="E57" s="29">
        <v>2355.4241200000001</v>
      </c>
      <c r="F57" s="30">
        <v>12.013305069386799</v>
      </c>
      <c r="G57" s="29">
        <v>5.9103000000000003</v>
      </c>
    </row>
    <row r="58" spans="1:9" x14ac:dyDescent="0.2">
      <c r="A58" s="27" t="s">
        <v>470</v>
      </c>
      <c r="B58" s="27" t="s">
        <v>469</v>
      </c>
      <c r="C58" s="27" t="s">
        <v>466</v>
      </c>
      <c r="D58" s="31">
        <v>925000</v>
      </c>
      <c r="E58" s="29">
        <v>998.12125000000003</v>
      </c>
      <c r="F58" s="30">
        <v>5.0906904496196201</v>
      </c>
      <c r="G58" s="29">
        <v>5.7961999999999998</v>
      </c>
    </row>
    <row r="59" spans="1:9" x14ac:dyDescent="0.2">
      <c r="A59" s="27" t="s">
        <v>958</v>
      </c>
      <c r="B59" s="27" t="s">
        <v>957</v>
      </c>
      <c r="C59" s="27" t="s">
        <v>466</v>
      </c>
      <c r="D59" s="31">
        <v>800000</v>
      </c>
      <c r="E59" s="29">
        <v>839.15359999999998</v>
      </c>
      <c r="F59" s="30">
        <v>4.27991210214583</v>
      </c>
      <c r="G59" s="29">
        <v>4.7986000000000004</v>
      </c>
    </row>
    <row r="60" spans="1:9" x14ac:dyDescent="0.2">
      <c r="A60" s="27" t="s">
        <v>468</v>
      </c>
      <c r="B60" s="27" t="s">
        <v>467</v>
      </c>
      <c r="C60" s="27" t="s">
        <v>466</v>
      </c>
      <c r="D60" s="31">
        <v>700000</v>
      </c>
      <c r="E60" s="29">
        <v>743.55470000000003</v>
      </c>
      <c r="F60" s="30">
        <v>3.7923316531531399</v>
      </c>
      <c r="G60" s="29">
        <v>5.6277999999999997</v>
      </c>
    </row>
    <row r="61" spans="1:9" x14ac:dyDescent="0.2">
      <c r="A61" s="27" t="s">
        <v>474</v>
      </c>
      <c r="B61" s="27" t="s">
        <v>473</v>
      </c>
      <c r="C61" s="27" t="s">
        <v>466</v>
      </c>
      <c r="D61" s="31">
        <v>200000</v>
      </c>
      <c r="E61" s="29">
        <v>216.9408</v>
      </c>
      <c r="F61" s="30">
        <v>1.10645721518587</v>
      </c>
      <c r="G61" s="29">
        <v>4.4211</v>
      </c>
    </row>
    <row r="62" spans="1:9" x14ac:dyDescent="0.2">
      <c r="A62" s="27" t="s">
        <v>476</v>
      </c>
      <c r="B62" s="27" t="s">
        <v>475</v>
      </c>
      <c r="C62" s="27" t="s">
        <v>466</v>
      </c>
      <c r="D62" s="31">
        <v>100000</v>
      </c>
      <c r="E62" s="29">
        <v>100.54130000000001</v>
      </c>
      <c r="F62" s="30">
        <v>0.51278803622540003</v>
      </c>
      <c r="G62" s="29">
        <v>5.0845000000000002</v>
      </c>
    </row>
    <row r="63" spans="1:9" ht="10.5" x14ac:dyDescent="0.25">
      <c r="A63" s="26" t="s">
        <v>164</v>
      </c>
      <c r="B63" s="26"/>
      <c r="C63" s="26"/>
      <c r="D63" s="32"/>
      <c r="E63" s="33">
        <f>SUM(E57:E62)</f>
        <v>5253.7357700000002</v>
      </c>
      <c r="F63" s="34">
        <f>SUM(F57:F62)</f>
        <v>26.79548452571666</v>
      </c>
      <c r="G63" s="33"/>
      <c r="H63" s="18"/>
      <c r="I63" s="18"/>
    </row>
    <row r="64" spans="1:9" x14ac:dyDescent="0.2">
      <c r="A64" s="27"/>
      <c r="B64" s="27"/>
      <c r="C64" s="27"/>
      <c r="D64" s="28"/>
      <c r="E64" s="29"/>
      <c r="F64" s="30"/>
      <c r="G64" s="29"/>
    </row>
    <row r="65" spans="1:9" ht="10.5" x14ac:dyDescent="0.25">
      <c r="A65" s="26" t="s">
        <v>176</v>
      </c>
      <c r="B65" s="26"/>
      <c r="C65" s="26"/>
      <c r="D65" s="32"/>
      <c r="E65" s="33">
        <f>E35+E45+E50+E54+E63</f>
        <v>18347.446048500002</v>
      </c>
      <c r="F65" s="34">
        <f>F35+F45+F50+F54+F63</f>
        <v>93.576976117891647</v>
      </c>
      <c r="G65" s="33"/>
      <c r="H65" s="18"/>
      <c r="I65" s="18"/>
    </row>
    <row r="66" spans="1:9" ht="10.5" x14ac:dyDescent="0.25">
      <c r="A66" s="26"/>
      <c r="B66" s="26"/>
      <c r="C66" s="26"/>
      <c r="D66" s="32"/>
      <c r="E66" s="33"/>
      <c r="F66" s="34"/>
      <c r="G66" s="33"/>
      <c r="H66" s="18"/>
      <c r="I66" s="18"/>
    </row>
    <row r="67" spans="1:9" ht="10.5" x14ac:dyDescent="0.25">
      <c r="A67" s="26" t="s">
        <v>178</v>
      </c>
      <c r="B67" s="26"/>
      <c r="C67" s="26"/>
      <c r="D67" s="32"/>
      <c r="E67" s="33">
        <f>E69-(E35+E45+E50+E54+E63)</f>
        <v>1259.3491372999997</v>
      </c>
      <c r="F67" s="34">
        <f>F69-(F35+F45+F50+F54+F63)</f>
        <v>6.4230238821083532</v>
      </c>
      <c r="G67" s="33"/>
      <c r="H67" s="18"/>
      <c r="I67" s="18"/>
    </row>
    <row r="68" spans="1:9" ht="10.5" x14ac:dyDescent="0.25">
      <c r="A68" s="26"/>
      <c r="B68" s="26"/>
      <c r="C68" s="26"/>
      <c r="D68" s="32"/>
      <c r="E68" s="33"/>
      <c r="F68" s="34"/>
      <c r="G68" s="33"/>
      <c r="H68" s="18"/>
      <c r="I68" s="18"/>
    </row>
    <row r="69" spans="1:9" ht="10.5" x14ac:dyDescent="0.25">
      <c r="A69" s="35" t="s">
        <v>177</v>
      </c>
      <c r="B69" s="35"/>
      <c r="C69" s="35"/>
      <c r="D69" s="36"/>
      <c r="E69" s="37">
        <v>19606.795185800001</v>
      </c>
      <c r="F69" s="38">
        <v>100</v>
      </c>
      <c r="G69" s="37"/>
      <c r="H69" s="18"/>
      <c r="I69" s="18"/>
    </row>
    <row r="70" spans="1:9" ht="10.5" x14ac:dyDescent="0.25">
      <c r="F70" s="20" t="s">
        <v>337</v>
      </c>
    </row>
    <row r="71" spans="1:9" ht="10.5" x14ac:dyDescent="0.25">
      <c r="A71" s="18" t="s">
        <v>180</v>
      </c>
    </row>
    <row r="73" spans="1:9" ht="10.5" x14ac:dyDescent="0.25">
      <c r="A73" s="18" t="s">
        <v>181</v>
      </c>
    </row>
    <row r="74" spans="1:9" ht="10.5" x14ac:dyDescent="0.25">
      <c r="A74" s="18" t="s">
        <v>182</v>
      </c>
    </row>
    <row r="75" spans="1:9" ht="10.5" x14ac:dyDescent="0.25">
      <c r="A75" s="18" t="s">
        <v>183</v>
      </c>
      <c r="B75" s="18"/>
      <c r="C75" s="39" t="s">
        <v>185</v>
      </c>
      <c r="D75" s="19" t="s">
        <v>184</v>
      </c>
    </row>
    <row r="76" spans="1:9" x14ac:dyDescent="0.2">
      <c r="A76" s="9" t="s">
        <v>421</v>
      </c>
      <c r="C76" s="40">
        <v>56.208599999999997</v>
      </c>
      <c r="D76" s="40">
        <v>62.081299999999999</v>
      </c>
    </row>
    <row r="77" spans="1:9" x14ac:dyDescent="0.2">
      <c r="A77" s="9" t="s">
        <v>422</v>
      </c>
      <c r="C77" s="40">
        <v>12.3058</v>
      </c>
      <c r="D77" s="40">
        <v>13.073499999999999</v>
      </c>
    </row>
    <row r="78" spans="1:9" x14ac:dyDescent="0.2">
      <c r="A78" s="9" t="s">
        <v>423</v>
      </c>
      <c r="C78" s="40">
        <v>11.8802</v>
      </c>
      <c r="D78" s="40">
        <v>12.567500000000001</v>
      </c>
    </row>
    <row r="79" spans="1:9" x14ac:dyDescent="0.2">
      <c r="A79" s="9" t="s">
        <v>424</v>
      </c>
      <c r="C79" s="40">
        <v>59.4069</v>
      </c>
      <c r="D79" s="40">
        <v>65.888900000000007</v>
      </c>
    </row>
    <row r="80" spans="1:9" x14ac:dyDescent="0.2">
      <c r="A80" s="9" t="s">
        <v>425</v>
      </c>
      <c r="C80" s="40">
        <v>13.210699999999999</v>
      </c>
      <c r="D80" s="40">
        <v>14.1275</v>
      </c>
    </row>
    <row r="81" spans="1:5" x14ac:dyDescent="0.2">
      <c r="A81" s="9" t="s">
        <v>426</v>
      </c>
      <c r="C81" s="40">
        <v>12.7531</v>
      </c>
      <c r="D81" s="40">
        <v>13.5845</v>
      </c>
    </row>
    <row r="83" spans="1:5" ht="10.5" x14ac:dyDescent="0.25">
      <c r="A83" s="18" t="s">
        <v>197</v>
      </c>
    </row>
    <row r="84" spans="1:5" ht="10.5" x14ac:dyDescent="0.25">
      <c r="A84" s="73" t="s">
        <v>403</v>
      </c>
      <c r="B84" s="74"/>
      <c r="C84" s="45" t="s">
        <v>404</v>
      </c>
    </row>
    <row r="85" spans="1:5" x14ac:dyDescent="0.2">
      <c r="A85" s="69" t="s">
        <v>422</v>
      </c>
      <c r="B85" s="70"/>
      <c r="C85" s="46">
        <v>0.495</v>
      </c>
    </row>
    <row r="86" spans="1:5" x14ac:dyDescent="0.2">
      <c r="A86" s="69" t="s">
        <v>423</v>
      </c>
      <c r="B86" s="70"/>
      <c r="C86" s="46">
        <v>0.52</v>
      </c>
    </row>
    <row r="87" spans="1:5" x14ac:dyDescent="0.2">
      <c r="A87" s="69" t="s">
        <v>425</v>
      </c>
      <c r="B87" s="70"/>
      <c r="C87" s="46">
        <v>0.495</v>
      </c>
    </row>
    <row r="88" spans="1:5" x14ac:dyDescent="0.2">
      <c r="A88" s="69" t="s">
        <v>426</v>
      </c>
      <c r="B88" s="70"/>
      <c r="C88" s="46">
        <v>0.52</v>
      </c>
    </row>
    <row r="89" spans="1:5" x14ac:dyDescent="0.2">
      <c r="A89" s="9" t="s">
        <v>405</v>
      </c>
    </row>
    <row r="91" spans="1:5" ht="10.5" x14ac:dyDescent="0.25">
      <c r="A91" s="18" t="s">
        <v>199</v>
      </c>
      <c r="D91" s="42">
        <v>4.1012040537375096</v>
      </c>
      <c r="E91" s="13" t="s">
        <v>200</v>
      </c>
    </row>
    <row r="93" spans="1:5" ht="10.5" x14ac:dyDescent="0.25">
      <c r="A93" s="18" t="s">
        <v>201</v>
      </c>
      <c r="D93" s="41" t="s">
        <v>198</v>
      </c>
    </row>
    <row r="97" spans="1:9" s="1" customFormat="1" ht="14" x14ac:dyDescent="0.25">
      <c r="A97" s="71" t="s">
        <v>961</v>
      </c>
      <c r="B97" s="72"/>
      <c r="C97" s="72"/>
      <c r="D97" s="72"/>
      <c r="E97" s="72"/>
      <c r="F97" s="72"/>
      <c r="G97" s="72"/>
    </row>
    <row r="98" spans="1:9" ht="10.5" x14ac:dyDescent="0.25">
      <c r="A98" s="18" t="s">
        <v>7</v>
      </c>
    </row>
    <row r="99" spans="1:9" s="1" customFormat="1" ht="17.5" customHeight="1" x14ac:dyDescent="0.25">
      <c r="A99" s="8" t="s">
        <v>2</v>
      </c>
      <c r="B99" s="8" t="s">
        <v>0</v>
      </c>
      <c r="C99" s="17" t="s">
        <v>5</v>
      </c>
      <c r="D99" s="16" t="s">
        <v>1</v>
      </c>
      <c r="E99" s="15" t="s">
        <v>3</v>
      </c>
      <c r="F99" s="15" t="s">
        <v>4</v>
      </c>
      <c r="G99" s="15" t="s">
        <v>6</v>
      </c>
    </row>
    <row r="100" spans="1:9" ht="10.5" x14ac:dyDescent="0.25">
      <c r="A100" s="21" t="s">
        <v>69</v>
      </c>
      <c r="B100" s="22"/>
      <c r="C100" s="22"/>
      <c r="D100" s="23"/>
      <c r="E100" s="24"/>
      <c r="F100" s="25"/>
      <c r="G100" s="24"/>
    </row>
    <row r="101" spans="1:9" ht="10.5" x14ac:dyDescent="0.25">
      <c r="A101" s="26" t="s">
        <v>70</v>
      </c>
      <c r="B101" s="27"/>
      <c r="C101" s="27"/>
      <c r="D101" s="28"/>
      <c r="E101" s="29"/>
      <c r="F101" s="30"/>
      <c r="G101" s="29"/>
    </row>
    <row r="102" spans="1:9" x14ac:dyDescent="0.2">
      <c r="A102" s="27" t="s">
        <v>963</v>
      </c>
      <c r="B102" s="27" t="s">
        <v>962</v>
      </c>
      <c r="C102" s="27" t="s">
        <v>964</v>
      </c>
      <c r="D102" s="31">
        <v>50</v>
      </c>
      <c r="E102" s="50">
        <v>0</v>
      </c>
      <c r="F102" s="50">
        <v>100</v>
      </c>
      <c r="G102" s="29">
        <v>0</v>
      </c>
    </row>
    <row r="103" spans="1:9" ht="10.5" x14ac:dyDescent="0.25">
      <c r="A103" s="26" t="s">
        <v>164</v>
      </c>
      <c r="B103" s="26"/>
      <c r="C103" s="26"/>
      <c r="D103" s="32"/>
      <c r="E103" s="51">
        <f>SUM(E101:E102)</f>
        <v>0</v>
      </c>
      <c r="F103" s="52">
        <f>SUM(F101:F102)</f>
        <v>100</v>
      </c>
      <c r="G103" s="33"/>
      <c r="H103" s="18"/>
      <c r="I103" s="18"/>
    </row>
    <row r="104" spans="1:9" x14ac:dyDescent="0.2">
      <c r="A104" s="27"/>
      <c r="B104" s="27"/>
      <c r="C104" s="27"/>
      <c r="D104" s="28"/>
      <c r="E104" s="53"/>
      <c r="F104" s="50"/>
      <c r="G104" s="29"/>
    </row>
    <row r="105" spans="1:9" ht="10.5" x14ac:dyDescent="0.25">
      <c r="A105" s="26" t="s">
        <v>176</v>
      </c>
      <c r="B105" s="26"/>
      <c r="C105" s="26"/>
      <c r="D105" s="32"/>
      <c r="E105" s="51">
        <f>E103</f>
        <v>0</v>
      </c>
      <c r="F105" s="52">
        <f>F103</f>
        <v>100</v>
      </c>
      <c r="G105" s="33"/>
      <c r="H105" s="18"/>
      <c r="I105" s="18"/>
    </row>
    <row r="106" spans="1:9" ht="10.5" x14ac:dyDescent="0.25">
      <c r="A106" s="26"/>
      <c r="B106" s="26"/>
      <c r="C106" s="26"/>
      <c r="D106" s="32"/>
      <c r="E106" s="51"/>
      <c r="F106" s="52"/>
      <c r="G106" s="33"/>
      <c r="H106" s="18"/>
      <c r="I106" s="18"/>
    </row>
    <row r="107" spans="1:9" ht="10.5" x14ac:dyDescent="0.25">
      <c r="A107" s="26" t="s">
        <v>178</v>
      </c>
      <c r="B107" s="26"/>
      <c r="C107" s="26"/>
      <c r="D107" s="32"/>
      <c r="E107" s="51">
        <v>0</v>
      </c>
      <c r="F107" s="34">
        <v>0</v>
      </c>
      <c r="G107" s="33"/>
      <c r="H107" s="18"/>
      <c r="I107" s="18"/>
    </row>
    <row r="108" spans="1:9" ht="10.5" x14ac:dyDescent="0.25">
      <c r="A108" s="26"/>
      <c r="B108" s="26"/>
      <c r="C108" s="26"/>
      <c r="D108" s="32"/>
      <c r="E108" s="51"/>
      <c r="F108" s="52"/>
      <c r="G108" s="33"/>
      <c r="H108" s="18"/>
      <c r="I108" s="18"/>
    </row>
    <row r="109" spans="1:9" ht="10.5" x14ac:dyDescent="0.25">
      <c r="A109" s="35" t="s">
        <v>177</v>
      </c>
      <c r="B109" s="35"/>
      <c r="C109" s="35"/>
      <c r="D109" s="36"/>
      <c r="E109" s="54">
        <v>0</v>
      </c>
      <c r="F109" s="55">
        <v>100</v>
      </c>
      <c r="G109" s="37"/>
      <c r="H109" s="18"/>
      <c r="I109" s="18"/>
    </row>
    <row r="110" spans="1:9" ht="10.5" x14ac:dyDescent="0.25">
      <c r="F110" s="20"/>
    </row>
    <row r="111" spans="1:9" ht="10.5" x14ac:dyDescent="0.25">
      <c r="A111" s="18" t="s">
        <v>180</v>
      </c>
    </row>
    <row r="112" spans="1:9" ht="10.5" x14ac:dyDescent="0.25">
      <c r="A112" s="18" t="s">
        <v>1503</v>
      </c>
    </row>
    <row r="113" spans="1:4" ht="10.5" x14ac:dyDescent="0.25">
      <c r="A113" s="18"/>
    </row>
    <row r="114" spans="1:4" ht="10.5" x14ac:dyDescent="0.25">
      <c r="A114" s="18" t="s">
        <v>181</v>
      </c>
    </row>
    <row r="115" spans="1:4" ht="10.5" x14ac:dyDescent="0.25">
      <c r="A115" s="18" t="s">
        <v>182</v>
      </c>
    </row>
    <row r="116" spans="1:4" ht="10.5" x14ac:dyDescent="0.25">
      <c r="A116" s="18" t="s">
        <v>183</v>
      </c>
      <c r="B116" s="18"/>
      <c r="C116" s="39" t="s">
        <v>185</v>
      </c>
      <c r="D116" s="19" t="s">
        <v>184</v>
      </c>
    </row>
    <row r="117" spans="1:4" x14ac:dyDescent="0.2">
      <c r="A117" s="9" t="s">
        <v>421</v>
      </c>
      <c r="C117" s="40">
        <v>0</v>
      </c>
      <c r="D117" s="40">
        <v>0</v>
      </c>
    </row>
    <row r="118" spans="1:4" x14ac:dyDescent="0.2">
      <c r="A118" s="9" t="s">
        <v>422</v>
      </c>
      <c r="C118" s="40">
        <v>0</v>
      </c>
      <c r="D118" s="40">
        <v>0</v>
      </c>
    </row>
    <row r="119" spans="1:4" x14ac:dyDescent="0.2">
      <c r="A119" s="9" t="s">
        <v>423</v>
      </c>
      <c r="C119" s="40">
        <v>0</v>
      </c>
      <c r="D119" s="40">
        <v>0</v>
      </c>
    </row>
    <row r="120" spans="1:4" x14ac:dyDescent="0.2">
      <c r="A120" s="9" t="s">
        <v>424</v>
      </c>
      <c r="C120" s="40">
        <v>0</v>
      </c>
      <c r="D120" s="40">
        <v>0</v>
      </c>
    </row>
    <row r="121" spans="1:4" x14ac:dyDescent="0.2">
      <c r="A121" s="9" t="s">
        <v>425</v>
      </c>
      <c r="C121" s="40">
        <v>0</v>
      </c>
      <c r="D121" s="40">
        <v>0</v>
      </c>
    </row>
    <row r="122" spans="1:4" x14ac:dyDescent="0.2">
      <c r="A122" s="9" t="s">
        <v>426</v>
      </c>
      <c r="C122" s="40">
        <v>0</v>
      </c>
      <c r="D122" s="40">
        <v>0</v>
      </c>
    </row>
    <row r="124" spans="1:4" ht="10.5" x14ac:dyDescent="0.25">
      <c r="A124" s="18" t="s">
        <v>1504</v>
      </c>
      <c r="D124" s="41" t="s">
        <v>198</v>
      </c>
    </row>
    <row r="125" spans="1:4" x14ac:dyDescent="0.2">
      <c r="A125" s="9" t="s">
        <v>344</v>
      </c>
    </row>
    <row r="126" spans="1:4" x14ac:dyDescent="0.2">
      <c r="A126" s="56" t="s">
        <v>1505</v>
      </c>
    </row>
  </sheetData>
  <mergeCells count="7">
    <mergeCell ref="A97:G97"/>
    <mergeCell ref="A1:G1"/>
    <mergeCell ref="A84:B84"/>
    <mergeCell ref="A85:B85"/>
    <mergeCell ref="A86:B86"/>
    <mergeCell ref="A87:B87"/>
    <mergeCell ref="A88:B88"/>
  </mergeCells>
  <conditionalFormatting sqref="F2:F3 F5:F69 F112:F65536 F71:F96 F98">
    <cfRule type="cellIs" dxfId="31" priority="5" stopIfTrue="1" operator="between">
      <formula>0.009</formula>
      <formula>-0.009</formula>
    </cfRule>
  </conditionalFormatting>
  <conditionalFormatting sqref="F70">
    <cfRule type="cellIs" dxfId="30" priority="4" stopIfTrue="1" operator="between">
      <formula>0.009</formula>
      <formula>-0.009</formula>
    </cfRule>
  </conditionalFormatting>
  <conditionalFormatting sqref="F100:F101 F111">
    <cfRule type="cellIs" dxfId="29" priority="3" stopIfTrue="1" operator="between">
      <formula>0.009</formula>
      <formula>-0.009</formula>
    </cfRule>
  </conditionalFormatting>
  <conditionalFormatting sqref="F110">
    <cfRule type="cellIs" dxfId="28" priority="2" stopIfTrue="1" operator="between">
      <formula>0.009</formula>
      <formula>-0.009</formula>
    </cfRule>
  </conditionalFormatting>
  <conditionalFormatting sqref="F102:F106 F108:F109">
    <cfRule type="cellIs" dxfId="27" priority="1" stopIfTrue="1" operator="between">
      <formula>0.009</formula>
      <formula>-0.009</formula>
    </cfRule>
  </conditionalFormatting>
  <hyperlinks>
    <hyperlink ref="A126" r:id="rId1" xr:uid="{00000000-0004-0000-2400-000000000000}"/>
  </hyperlinks>
  <pageMargins left="0.7" right="0.7" top="0.75" bottom="0.75" header="0.3" footer="0.3"/>
  <pageSetup paperSize="9" orientation="portrait" r:id="rId2"/>
  <headerFooter>
    <oddFooter>&amp;LPUBLIC</oddFooter>
    <evenFooter>&amp;LPUBLIC</evenFooter>
    <firstFooter>&amp;LPUBLIC</first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J83"/>
  <sheetViews>
    <sheetView workbookViewId="0">
      <selection sqref="A1:H1"/>
    </sheetView>
  </sheetViews>
  <sheetFormatPr defaultColWidth="9.1796875" defaultRowHeight="10" x14ac:dyDescent="0.2"/>
  <cols>
    <col min="1" max="1" width="38.7265625" style="9" bestFit="1" customWidth="1"/>
    <col min="2" max="2" width="51" style="9" bestFit="1" customWidth="1"/>
    <col min="3" max="3" width="35.7265625" style="9" bestFit="1" customWidth="1"/>
    <col min="4" max="4" width="15.26953125" style="10" bestFit="1" customWidth="1"/>
    <col min="5" max="5" width="23" style="13" bestFit="1" customWidth="1"/>
    <col min="6" max="6" width="13.54296875" style="14" bestFit="1" customWidth="1"/>
    <col min="7" max="7" width="13.54296875" style="14" customWidth="1"/>
    <col min="8" max="8" width="14.26953125" style="13" customWidth="1"/>
    <col min="9" max="16384" width="9.1796875" style="9"/>
  </cols>
  <sheetData>
    <row r="1" spans="1:8" s="1" customFormat="1" ht="14" x14ac:dyDescent="0.25">
      <c r="A1" s="71" t="s">
        <v>45</v>
      </c>
      <c r="B1" s="72"/>
      <c r="C1" s="72"/>
      <c r="D1" s="72"/>
      <c r="E1" s="72"/>
      <c r="F1" s="72"/>
      <c r="G1" s="72"/>
      <c r="H1" s="72"/>
    </row>
    <row r="2" spans="1:8" s="1" customFormat="1" ht="11.5" x14ac:dyDescent="0.25">
      <c r="D2" s="6"/>
      <c r="E2" s="7"/>
      <c r="F2" s="12"/>
      <c r="G2" s="12"/>
      <c r="H2" s="13"/>
    </row>
    <row r="3" spans="1:8" s="1" customFormat="1" ht="11.5" x14ac:dyDescent="0.25">
      <c r="A3" s="11" t="s">
        <v>7</v>
      </c>
      <c r="B3" s="2"/>
      <c r="C3" s="3"/>
      <c r="D3" s="4"/>
      <c r="E3" s="5"/>
      <c r="F3" s="12"/>
      <c r="G3" s="12"/>
      <c r="H3" s="13"/>
    </row>
    <row r="4" spans="1:8" s="1" customFormat="1" ht="35.15" customHeight="1" x14ac:dyDescent="0.25">
      <c r="A4" s="8" t="s">
        <v>2</v>
      </c>
      <c r="B4" s="8" t="s">
        <v>0</v>
      </c>
      <c r="C4" s="17" t="s">
        <v>5</v>
      </c>
      <c r="D4" s="16" t="s">
        <v>1</v>
      </c>
      <c r="E4" s="15" t="s">
        <v>3</v>
      </c>
      <c r="F4" s="49" t="s">
        <v>1500</v>
      </c>
      <c r="G4" s="49" t="s">
        <v>1501</v>
      </c>
      <c r="H4" s="15" t="s">
        <v>6</v>
      </c>
    </row>
    <row r="5" spans="1:8" ht="10.5" x14ac:dyDescent="0.25">
      <c r="A5" s="21" t="s">
        <v>868</v>
      </c>
      <c r="B5" s="22"/>
      <c r="C5" s="22"/>
      <c r="D5" s="23"/>
      <c r="E5" s="24"/>
      <c r="F5" s="25"/>
      <c r="G5" s="25"/>
      <c r="H5" s="24"/>
    </row>
    <row r="6" spans="1:8" ht="10.5" x14ac:dyDescent="0.25">
      <c r="A6" s="26" t="s">
        <v>70</v>
      </c>
      <c r="B6" s="27"/>
      <c r="C6" s="27"/>
      <c r="D6" s="28"/>
      <c r="E6" s="29"/>
      <c r="F6" s="30"/>
      <c r="G6" s="30"/>
      <c r="H6" s="29"/>
    </row>
    <row r="7" spans="1:8" x14ac:dyDescent="0.2">
      <c r="A7" s="27" t="s">
        <v>966</v>
      </c>
      <c r="B7" s="27" t="s">
        <v>965</v>
      </c>
      <c r="C7" s="27" t="s">
        <v>967</v>
      </c>
      <c r="D7" s="31">
        <v>64500</v>
      </c>
      <c r="E7" s="29">
        <v>1455.28125</v>
      </c>
      <c r="F7" s="30">
        <v>10.89731044977</v>
      </c>
      <c r="G7" s="30">
        <v>-10.930400000000001</v>
      </c>
      <c r="H7" s="29"/>
    </row>
    <row r="8" spans="1:8" x14ac:dyDescent="0.2">
      <c r="A8" s="27" t="s">
        <v>873</v>
      </c>
      <c r="B8" s="27" t="s">
        <v>872</v>
      </c>
      <c r="C8" s="27" t="s">
        <v>871</v>
      </c>
      <c r="D8" s="31">
        <v>167000</v>
      </c>
      <c r="E8" s="29">
        <v>1004.672</v>
      </c>
      <c r="F8" s="30">
        <v>7.5230974659993102</v>
      </c>
      <c r="G8" s="30">
        <v>-3.8064</v>
      </c>
      <c r="H8" s="29"/>
    </row>
    <row r="9" spans="1:8" x14ac:dyDescent="0.2">
      <c r="A9" s="27" t="s">
        <v>911</v>
      </c>
      <c r="B9" s="27" t="s">
        <v>910</v>
      </c>
      <c r="C9" s="27" t="s">
        <v>912</v>
      </c>
      <c r="D9" s="31">
        <v>339400</v>
      </c>
      <c r="E9" s="29">
        <v>710.53390000000002</v>
      </c>
      <c r="F9" s="30">
        <v>5.3205581349899296</v>
      </c>
      <c r="G9" s="30">
        <v>-5.1885000000000003</v>
      </c>
      <c r="H9" s="29"/>
    </row>
    <row r="10" spans="1:8" x14ac:dyDescent="0.2">
      <c r="A10" s="27" t="s">
        <v>880</v>
      </c>
      <c r="B10" s="27" t="s">
        <v>879</v>
      </c>
      <c r="C10" s="27" t="s">
        <v>871</v>
      </c>
      <c r="D10" s="31">
        <v>140061</v>
      </c>
      <c r="E10" s="29">
        <v>662.97874349999995</v>
      </c>
      <c r="F10" s="30">
        <v>4.9644597492875802</v>
      </c>
      <c r="G10" s="30">
        <v>-1.9621999999999999</v>
      </c>
      <c r="H10" s="29"/>
    </row>
    <row r="11" spans="1:8" x14ac:dyDescent="0.2">
      <c r="A11" s="27" t="s">
        <v>875</v>
      </c>
      <c r="B11" s="27" t="s">
        <v>874</v>
      </c>
      <c r="C11" s="27" t="s">
        <v>876</v>
      </c>
      <c r="D11" s="31">
        <v>51245</v>
      </c>
      <c r="E11" s="29">
        <v>563.69500000000005</v>
      </c>
      <c r="F11" s="30">
        <v>4.2210118586926697</v>
      </c>
      <c r="G11" s="30"/>
      <c r="H11" s="29"/>
    </row>
    <row r="12" spans="1:8" x14ac:dyDescent="0.2">
      <c r="A12" s="27" t="s">
        <v>969</v>
      </c>
      <c r="B12" s="27" t="s">
        <v>968</v>
      </c>
      <c r="C12" s="27" t="s">
        <v>947</v>
      </c>
      <c r="D12" s="31">
        <v>123000</v>
      </c>
      <c r="E12" s="29">
        <v>541.13850000000002</v>
      </c>
      <c r="F12" s="30">
        <v>4.0521062377618398</v>
      </c>
      <c r="G12" s="30">
        <v>-4.0598999999999998</v>
      </c>
      <c r="H12" s="29"/>
    </row>
    <row r="13" spans="1:8" x14ac:dyDescent="0.2">
      <c r="A13" s="27" t="s">
        <v>971</v>
      </c>
      <c r="B13" s="27" t="s">
        <v>970</v>
      </c>
      <c r="C13" s="27" t="s">
        <v>918</v>
      </c>
      <c r="D13" s="31">
        <v>567938</v>
      </c>
      <c r="E13" s="29">
        <v>368.59176200000002</v>
      </c>
      <c r="F13" s="30">
        <v>2.7600567654820898</v>
      </c>
      <c r="G13" s="30"/>
      <c r="H13" s="29"/>
    </row>
    <row r="14" spans="1:8" x14ac:dyDescent="0.2">
      <c r="A14" s="27" t="s">
        <v>973</v>
      </c>
      <c r="B14" s="27" t="s">
        <v>972</v>
      </c>
      <c r="C14" s="27" t="s">
        <v>898</v>
      </c>
      <c r="D14" s="31">
        <v>4600</v>
      </c>
      <c r="E14" s="29">
        <v>323.64679999999998</v>
      </c>
      <c r="F14" s="30">
        <v>2.42350381115308</v>
      </c>
      <c r="G14" s="30">
        <v>-2.4298000000000002</v>
      </c>
      <c r="H14" s="29"/>
    </row>
    <row r="15" spans="1:8" x14ac:dyDescent="0.2">
      <c r="A15" s="27" t="s">
        <v>975</v>
      </c>
      <c r="B15" s="27" t="s">
        <v>974</v>
      </c>
      <c r="C15" s="27" t="s">
        <v>967</v>
      </c>
      <c r="D15" s="31">
        <v>56311</v>
      </c>
      <c r="E15" s="29">
        <v>304.755132</v>
      </c>
      <c r="F15" s="30">
        <v>2.2820408663717999</v>
      </c>
      <c r="G15" s="30"/>
      <c r="H15" s="29"/>
    </row>
    <row r="16" spans="1:8" x14ac:dyDescent="0.2">
      <c r="A16" s="27" t="s">
        <v>882</v>
      </c>
      <c r="B16" s="27" t="s">
        <v>881</v>
      </c>
      <c r="C16" s="27" t="s">
        <v>883</v>
      </c>
      <c r="D16" s="31">
        <v>63951</v>
      </c>
      <c r="E16" s="29">
        <v>296.25300750000002</v>
      </c>
      <c r="F16" s="30">
        <v>2.2183759973582702</v>
      </c>
      <c r="G16" s="30"/>
      <c r="H16" s="29"/>
    </row>
    <row r="17" spans="1:8" x14ac:dyDescent="0.2">
      <c r="A17" s="27" t="s">
        <v>870</v>
      </c>
      <c r="B17" s="27" t="s">
        <v>869</v>
      </c>
      <c r="C17" s="27" t="s">
        <v>871</v>
      </c>
      <c r="D17" s="31">
        <v>19878</v>
      </c>
      <c r="E17" s="29">
        <v>286.41216300000002</v>
      </c>
      <c r="F17" s="30">
        <v>2.1446866417066301</v>
      </c>
      <c r="G17" s="30"/>
      <c r="H17" s="29"/>
    </row>
    <row r="18" spans="1:8" x14ac:dyDescent="0.2">
      <c r="A18" s="27" t="s">
        <v>977</v>
      </c>
      <c r="B18" s="27" t="s">
        <v>976</v>
      </c>
      <c r="C18" s="27" t="s">
        <v>918</v>
      </c>
      <c r="D18" s="31">
        <v>1300000</v>
      </c>
      <c r="E18" s="29">
        <v>278.85000000000002</v>
      </c>
      <c r="F18" s="30">
        <v>2.08806031062268</v>
      </c>
      <c r="G18" s="30"/>
      <c r="H18" s="29"/>
    </row>
    <row r="19" spans="1:8" x14ac:dyDescent="0.2">
      <c r="A19" s="27" t="s">
        <v>979</v>
      </c>
      <c r="B19" s="27" t="s">
        <v>978</v>
      </c>
      <c r="C19" s="27" t="s">
        <v>876</v>
      </c>
      <c r="D19" s="31">
        <v>29733</v>
      </c>
      <c r="E19" s="29">
        <v>260.71381050000002</v>
      </c>
      <c r="F19" s="30">
        <v>1.9522544742200201</v>
      </c>
      <c r="G19" s="30"/>
      <c r="H19" s="29"/>
    </row>
    <row r="20" spans="1:8" x14ac:dyDescent="0.2">
      <c r="A20" s="27" t="s">
        <v>920</v>
      </c>
      <c r="B20" s="27" t="s">
        <v>919</v>
      </c>
      <c r="C20" s="27" t="s">
        <v>871</v>
      </c>
      <c r="D20" s="31">
        <v>97218</v>
      </c>
      <c r="E20" s="29">
        <v>237.45496499999999</v>
      </c>
      <c r="F20" s="30">
        <v>1.7780896108187101</v>
      </c>
      <c r="G20" s="30"/>
      <c r="H20" s="29"/>
    </row>
    <row r="21" spans="1:8" x14ac:dyDescent="0.2">
      <c r="A21" s="27" t="s">
        <v>917</v>
      </c>
      <c r="B21" s="27" t="s">
        <v>916</v>
      </c>
      <c r="C21" s="27" t="s">
        <v>918</v>
      </c>
      <c r="D21" s="31">
        <v>115523</v>
      </c>
      <c r="E21" s="29">
        <v>222.26625200000001</v>
      </c>
      <c r="F21" s="30">
        <v>1.6643548115189499</v>
      </c>
      <c r="G21" s="30"/>
      <c r="H21" s="29"/>
    </row>
    <row r="22" spans="1:8" x14ac:dyDescent="0.2">
      <c r="A22" s="27" t="s">
        <v>897</v>
      </c>
      <c r="B22" s="27" t="s">
        <v>896</v>
      </c>
      <c r="C22" s="27" t="s">
        <v>898</v>
      </c>
      <c r="D22" s="31">
        <v>30438</v>
      </c>
      <c r="E22" s="29">
        <v>219.76236</v>
      </c>
      <c r="F22" s="30">
        <v>1.6456053852780099</v>
      </c>
      <c r="G22" s="30"/>
      <c r="H22" s="29"/>
    </row>
    <row r="23" spans="1:8" x14ac:dyDescent="0.2">
      <c r="A23" s="27" t="s">
        <v>878</v>
      </c>
      <c r="B23" s="27" t="s">
        <v>877</v>
      </c>
      <c r="C23" s="27" t="s">
        <v>871</v>
      </c>
      <c r="D23" s="31">
        <v>11128</v>
      </c>
      <c r="E23" s="29">
        <v>212.22208800000001</v>
      </c>
      <c r="F23" s="30">
        <v>1.5891429764757901</v>
      </c>
      <c r="G23" s="30"/>
      <c r="H23" s="29"/>
    </row>
    <row r="24" spans="1:8" x14ac:dyDescent="0.2">
      <c r="A24" s="27" t="s">
        <v>981</v>
      </c>
      <c r="B24" s="27" t="s">
        <v>980</v>
      </c>
      <c r="C24" s="27" t="s">
        <v>907</v>
      </c>
      <c r="D24" s="31">
        <v>41250</v>
      </c>
      <c r="E24" s="29">
        <v>206.16749999999999</v>
      </c>
      <c r="F24" s="30">
        <v>1.5438055373509101</v>
      </c>
      <c r="G24" s="30">
        <v>-1.5530999999999999</v>
      </c>
      <c r="H24" s="29"/>
    </row>
    <row r="25" spans="1:8" x14ac:dyDescent="0.2">
      <c r="A25" s="27" t="s">
        <v>933</v>
      </c>
      <c r="B25" s="27" t="s">
        <v>932</v>
      </c>
      <c r="C25" s="27" t="s">
        <v>907</v>
      </c>
      <c r="D25" s="31">
        <v>18456</v>
      </c>
      <c r="E25" s="29">
        <v>191.74861200000001</v>
      </c>
      <c r="F25" s="30">
        <v>1.4358352746429499</v>
      </c>
      <c r="G25" s="30"/>
      <c r="H25" s="29"/>
    </row>
    <row r="26" spans="1:8" x14ac:dyDescent="0.2">
      <c r="A26" s="27" t="s">
        <v>983</v>
      </c>
      <c r="B26" s="27" t="s">
        <v>982</v>
      </c>
      <c r="C26" s="27" t="s">
        <v>984</v>
      </c>
      <c r="D26" s="31">
        <v>16500</v>
      </c>
      <c r="E26" s="29">
        <v>185.196</v>
      </c>
      <c r="F26" s="30">
        <v>1.3867685755283401</v>
      </c>
      <c r="G26" s="30">
        <v>-1.3895</v>
      </c>
      <c r="H26" s="29"/>
    </row>
    <row r="27" spans="1:8" x14ac:dyDescent="0.2">
      <c r="A27" s="27" t="s">
        <v>900</v>
      </c>
      <c r="B27" s="27" t="s">
        <v>899</v>
      </c>
      <c r="C27" s="27" t="s">
        <v>901</v>
      </c>
      <c r="D27" s="31">
        <v>73156</v>
      </c>
      <c r="E27" s="29">
        <v>183.80445</v>
      </c>
      <c r="F27" s="30">
        <v>1.3763484918803299</v>
      </c>
      <c r="G27" s="30"/>
      <c r="H27" s="29"/>
    </row>
    <row r="28" spans="1:8" x14ac:dyDescent="0.2">
      <c r="A28" s="27" t="s">
        <v>909</v>
      </c>
      <c r="B28" s="27" t="s">
        <v>908</v>
      </c>
      <c r="C28" s="27" t="s">
        <v>901</v>
      </c>
      <c r="D28" s="31">
        <v>82933</v>
      </c>
      <c r="E28" s="29">
        <v>182.07940149999999</v>
      </c>
      <c r="F28" s="30">
        <v>1.36343113377831</v>
      </c>
      <c r="G28" s="30"/>
      <c r="H28" s="29"/>
    </row>
    <row r="29" spans="1:8" x14ac:dyDescent="0.2">
      <c r="A29" s="27" t="s">
        <v>922</v>
      </c>
      <c r="B29" s="27" t="s">
        <v>921</v>
      </c>
      <c r="C29" s="27" t="s">
        <v>918</v>
      </c>
      <c r="D29" s="31">
        <v>183537</v>
      </c>
      <c r="E29" s="29">
        <v>173.809539</v>
      </c>
      <c r="F29" s="30">
        <v>1.3015054688668599</v>
      </c>
      <c r="G29" s="30"/>
      <c r="H29" s="29"/>
    </row>
    <row r="30" spans="1:8" x14ac:dyDescent="0.2">
      <c r="A30" s="27" t="s">
        <v>986</v>
      </c>
      <c r="B30" s="27" t="s">
        <v>985</v>
      </c>
      <c r="C30" s="27" t="s">
        <v>907</v>
      </c>
      <c r="D30" s="31">
        <v>902</v>
      </c>
      <c r="E30" s="29">
        <v>161.358329</v>
      </c>
      <c r="F30" s="30">
        <v>1.2082694013745601</v>
      </c>
      <c r="G30" s="30"/>
      <c r="H30" s="29"/>
    </row>
    <row r="31" spans="1:8" x14ac:dyDescent="0.2">
      <c r="A31" s="27" t="s">
        <v>906</v>
      </c>
      <c r="B31" s="27" t="s">
        <v>905</v>
      </c>
      <c r="C31" s="27" t="s">
        <v>907</v>
      </c>
      <c r="D31" s="31">
        <v>10287</v>
      </c>
      <c r="E31" s="29">
        <v>155.71431899999999</v>
      </c>
      <c r="F31" s="30">
        <v>1.1660064167098401</v>
      </c>
      <c r="G31" s="30"/>
      <c r="H31" s="29"/>
    </row>
    <row r="32" spans="1:8" x14ac:dyDescent="0.2">
      <c r="A32" s="27" t="s">
        <v>988</v>
      </c>
      <c r="B32" s="27" t="s">
        <v>987</v>
      </c>
      <c r="C32" s="27" t="s">
        <v>989</v>
      </c>
      <c r="D32" s="31">
        <v>122059</v>
      </c>
      <c r="E32" s="29">
        <v>144.27373800000001</v>
      </c>
      <c r="F32" s="30">
        <v>1.0803380533726901</v>
      </c>
      <c r="G32" s="30"/>
      <c r="H32" s="29"/>
    </row>
    <row r="33" spans="1:10" x14ac:dyDescent="0.2">
      <c r="A33" s="27" t="s">
        <v>960</v>
      </c>
      <c r="B33" s="27" t="s">
        <v>959</v>
      </c>
      <c r="C33" s="27" t="s">
        <v>915</v>
      </c>
      <c r="D33" s="31">
        <v>2392</v>
      </c>
      <c r="E33" s="29">
        <v>115.508484</v>
      </c>
      <c r="F33" s="30">
        <v>0.86494058088791403</v>
      </c>
      <c r="G33" s="30"/>
      <c r="H33" s="29"/>
    </row>
    <row r="34" spans="1:10" x14ac:dyDescent="0.2">
      <c r="A34" s="27" t="s">
        <v>991</v>
      </c>
      <c r="B34" s="27" t="s">
        <v>990</v>
      </c>
      <c r="C34" s="27" t="s">
        <v>925</v>
      </c>
      <c r="D34" s="31">
        <v>64953</v>
      </c>
      <c r="E34" s="29">
        <v>104.02222949999999</v>
      </c>
      <c r="F34" s="30">
        <v>0.77893020922156597</v>
      </c>
      <c r="G34" s="30"/>
      <c r="H34" s="29"/>
    </row>
    <row r="35" spans="1:10" x14ac:dyDescent="0.2">
      <c r="A35" s="27" t="s">
        <v>993</v>
      </c>
      <c r="B35" s="27" t="s">
        <v>992</v>
      </c>
      <c r="C35" s="27" t="s">
        <v>912</v>
      </c>
      <c r="D35" s="31">
        <v>121901</v>
      </c>
      <c r="E35" s="29">
        <v>103.128246</v>
      </c>
      <c r="F35" s="30">
        <v>0.77223595975159398</v>
      </c>
      <c r="G35" s="30"/>
      <c r="H35" s="29"/>
    </row>
    <row r="36" spans="1:10" x14ac:dyDescent="0.2">
      <c r="A36" s="27" t="s">
        <v>995</v>
      </c>
      <c r="B36" s="27" t="s">
        <v>994</v>
      </c>
      <c r="C36" s="27" t="s">
        <v>996</v>
      </c>
      <c r="D36" s="31">
        <v>76471</v>
      </c>
      <c r="E36" s="29">
        <v>91.612257999999997</v>
      </c>
      <c r="F36" s="30">
        <v>0.68600294027730002</v>
      </c>
      <c r="G36" s="30"/>
      <c r="H36" s="29"/>
    </row>
    <row r="37" spans="1:10" x14ac:dyDescent="0.2">
      <c r="A37" s="27" t="s">
        <v>998</v>
      </c>
      <c r="B37" s="27" t="s">
        <v>997</v>
      </c>
      <c r="C37" s="27" t="s">
        <v>967</v>
      </c>
      <c r="D37" s="31">
        <v>21957</v>
      </c>
      <c r="E37" s="29">
        <v>83.096266499999999</v>
      </c>
      <c r="F37" s="30">
        <v>0.62223423360077101</v>
      </c>
      <c r="G37" s="30"/>
      <c r="H37" s="29"/>
    </row>
    <row r="38" spans="1:10" x14ac:dyDescent="0.2">
      <c r="A38" s="27" t="s">
        <v>1000</v>
      </c>
      <c r="B38" s="27" t="s">
        <v>999</v>
      </c>
      <c r="C38" s="27" t="s">
        <v>901</v>
      </c>
      <c r="D38" s="31">
        <v>47372</v>
      </c>
      <c r="E38" s="29">
        <v>48.627358000000001</v>
      </c>
      <c r="F38" s="30">
        <v>0.36412715169532101</v>
      </c>
      <c r="G38" s="30"/>
      <c r="H38" s="29"/>
    </row>
    <row r="39" spans="1:10" x14ac:dyDescent="0.2">
      <c r="A39" s="27" t="s">
        <v>1002</v>
      </c>
      <c r="B39" s="27" t="s">
        <v>1001</v>
      </c>
      <c r="C39" s="27" t="s">
        <v>871</v>
      </c>
      <c r="D39" s="31">
        <v>8500</v>
      </c>
      <c r="E39" s="29">
        <v>5.3380000000000001</v>
      </c>
      <c r="F39" s="30">
        <v>3.9971547204962703E-2</v>
      </c>
      <c r="G39" s="30">
        <v>-4.02E-2</v>
      </c>
      <c r="H39" s="29"/>
    </row>
    <row r="40" spans="1:10" ht="10.5" x14ac:dyDescent="0.25">
      <c r="A40" s="26" t="s">
        <v>164</v>
      </c>
      <c r="B40" s="26"/>
      <c r="C40" s="26"/>
      <c r="D40" s="32"/>
      <c r="E40" s="33">
        <f>SUM(E7:E39)</f>
        <v>10084.712464</v>
      </c>
      <c r="F40" s="34">
        <f>SUM(F7:F39)</f>
        <v>75.515466523651583</v>
      </c>
      <c r="G40" s="34">
        <f>SUM(G7:G39)</f>
        <v>-31.36</v>
      </c>
      <c r="H40" s="33"/>
      <c r="I40" s="18"/>
      <c r="J40" s="18"/>
    </row>
    <row r="41" spans="1:10" x14ac:dyDescent="0.2">
      <c r="A41" s="27"/>
      <c r="B41" s="27"/>
      <c r="C41" s="27"/>
      <c r="D41" s="28"/>
      <c r="E41" s="29"/>
      <c r="F41" s="30"/>
      <c r="G41" s="30"/>
      <c r="H41" s="29"/>
    </row>
    <row r="42" spans="1:10" ht="10.5" x14ac:dyDescent="0.25">
      <c r="A42" s="26" t="s">
        <v>69</v>
      </c>
      <c r="B42" s="27"/>
      <c r="C42" s="27"/>
      <c r="D42" s="28"/>
      <c r="E42" s="29"/>
      <c r="F42" s="30"/>
      <c r="G42" s="30"/>
      <c r="H42" s="29"/>
    </row>
    <row r="43" spans="1:10" ht="10.5" x14ac:dyDescent="0.25">
      <c r="A43" s="26" t="s">
        <v>70</v>
      </c>
      <c r="B43" s="27"/>
      <c r="C43" s="27"/>
      <c r="D43" s="28"/>
      <c r="E43" s="29"/>
      <c r="F43" s="30"/>
      <c r="G43" s="30"/>
      <c r="H43" s="29"/>
    </row>
    <row r="44" spans="1:10" x14ac:dyDescent="0.2">
      <c r="A44" s="27" t="s">
        <v>954</v>
      </c>
      <c r="B44" s="27" t="s">
        <v>953</v>
      </c>
      <c r="C44" s="27" t="s">
        <v>163</v>
      </c>
      <c r="D44" s="31">
        <v>50</v>
      </c>
      <c r="E44" s="29">
        <v>525.76800000000003</v>
      </c>
      <c r="F44" s="30">
        <v>3.9370101968637798</v>
      </c>
      <c r="G44" s="30"/>
      <c r="H44" s="29">
        <v>4.625</v>
      </c>
    </row>
    <row r="45" spans="1:10" ht="10.5" x14ac:dyDescent="0.25">
      <c r="A45" s="26" t="s">
        <v>164</v>
      </c>
      <c r="B45" s="26"/>
      <c r="C45" s="26"/>
      <c r="D45" s="32"/>
      <c r="E45" s="33">
        <f>SUM(E43:E44)</f>
        <v>525.76800000000003</v>
      </c>
      <c r="F45" s="34">
        <f>SUM(F43:F44)</f>
        <v>3.9370101968637798</v>
      </c>
      <c r="G45" s="34"/>
      <c r="H45" s="33"/>
      <c r="I45" s="18"/>
      <c r="J45" s="18"/>
    </row>
    <row r="46" spans="1:10" x14ac:dyDescent="0.2">
      <c r="A46" s="27"/>
      <c r="B46" s="27"/>
      <c r="C46" s="27"/>
      <c r="D46" s="28"/>
      <c r="E46" s="29"/>
      <c r="F46" s="30"/>
      <c r="G46" s="30"/>
      <c r="H46" s="29"/>
    </row>
    <row r="47" spans="1:10" ht="10.5" x14ac:dyDescent="0.25">
      <c r="A47" s="26" t="s">
        <v>352</v>
      </c>
      <c r="B47" s="27"/>
      <c r="C47" s="27"/>
      <c r="D47" s="28"/>
      <c r="E47" s="29"/>
      <c r="F47" s="30"/>
      <c r="G47" s="30"/>
      <c r="H47" s="29"/>
    </row>
    <row r="48" spans="1:10" ht="10.5" x14ac:dyDescent="0.25">
      <c r="A48" s="26" t="s">
        <v>353</v>
      </c>
      <c r="B48" s="27"/>
      <c r="C48" s="27"/>
      <c r="D48" s="28"/>
      <c r="E48" s="29"/>
      <c r="F48" s="30"/>
      <c r="G48" s="30"/>
      <c r="H48" s="29"/>
    </row>
    <row r="49" spans="1:10" x14ac:dyDescent="0.2">
      <c r="A49" s="27" t="s">
        <v>355</v>
      </c>
      <c r="B49" s="27" t="s">
        <v>354</v>
      </c>
      <c r="C49" s="27" t="s">
        <v>356</v>
      </c>
      <c r="D49" s="31">
        <v>500</v>
      </c>
      <c r="E49" s="29">
        <v>497.05849999999998</v>
      </c>
      <c r="F49" s="30">
        <v>3.7220302166313202</v>
      </c>
      <c r="G49" s="30"/>
      <c r="H49" s="29">
        <v>2.88</v>
      </c>
    </row>
    <row r="50" spans="1:10" ht="10.5" x14ac:dyDescent="0.25">
      <c r="A50" s="26" t="s">
        <v>164</v>
      </c>
      <c r="B50" s="26"/>
      <c r="C50" s="26"/>
      <c r="D50" s="32"/>
      <c r="E50" s="33">
        <f>SUM(E48:E49)</f>
        <v>497.05849999999998</v>
      </c>
      <c r="F50" s="34">
        <f>SUM(F48:F49)</f>
        <v>3.7220302166313202</v>
      </c>
      <c r="G50" s="34"/>
      <c r="H50" s="33"/>
      <c r="I50" s="18"/>
      <c r="J50" s="18"/>
    </row>
    <row r="51" spans="1:10" x14ac:dyDescent="0.2">
      <c r="A51" s="27"/>
      <c r="B51" s="27"/>
      <c r="C51" s="27"/>
      <c r="D51" s="28"/>
      <c r="E51" s="29"/>
      <c r="F51" s="30"/>
      <c r="G51" s="30"/>
      <c r="H51" s="29"/>
    </row>
    <row r="52" spans="1:10" ht="10.5" x14ac:dyDescent="0.25">
      <c r="A52" s="26" t="s">
        <v>176</v>
      </c>
      <c r="B52" s="26"/>
      <c r="C52" s="26"/>
      <c r="D52" s="32"/>
      <c r="E52" s="33">
        <f>E40+E45+E50</f>
        <v>11107.538963999999</v>
      </c>
      <c r="F52" s="34">
        <f>F40+F45+F50</f>
        <v>83.174506937146688</v>
      </c>
      <c r="G52" s="34"/>
      <c r="H52" s="33"/>
      <c r="I52" s="18"/>
      <c r="J52" s="18"/>
    </row>
    <row r="53" spans="1:10" ht="10.5" x14ac:dyDescent="0.25">
      <c r="A53" s="26"/>
      <c r="B53" s="26"/>
      <c r="C53" s="26"/>
      <c r="D53" s="32"/>
      <c r="E53" s="33"/>
      <c r="F53" s="34"/>
      <c r="G53" s="34"/>
      <c r="H53" s="33"/>
      <c r="I53" s="18"/>
      <c r="J53" s="18"/>
    </row>
    <row r="54" spans="1:10" ht="10.5" x14ac:dyDescent="0.25">
      <c r="A54" s="26" t="s">
        <v>1502</v>
      </c>
      <c r="B54" s="26"/>
      <c r="C54" s="26"/>
      <c r="D54" s="32"/>
      <c r="E54" s="33">
        <v>1693.34014</v>
      </c>
      <c r="F54" s="33">
        <v>12.67992231923346</v>
      </c>
      <c r="G54" s="34"/>
      <c r="H54" s="33"/>
      <c r="I54" s="18"/>
      <c r="J54" s="18"/>
    </row>
    <row r="55" spans="1:10" ht="10.5" x14ac:dyDescent="0.25">
      <c r="A55" s="26" t="s">
        <v>178</v>
      </c>
      <c r="B55" s="26"/>
      <c r="C55" s="26"/>
      <c r="D55" s="32"/>
      <c r="E55" s="33">
        <f>E57-(E40+E45+E50+E54)</f>
        <v>553.62021679999998</v>
      </c>
      <c r="F55" s="34">
        <f>F57-(F40+F45+F50+F54)</f>
        <v>4.1455707436198566</v>
      </c>
      <c r="G55" s="34"/>
      <c r="H55" s="33"/>
      <c r="I55" s="18"/>
      <c r="J55" s="18"/>
    </row>
    <row r="56" spans="1:10" ht="10.5" x14ac:dyDescent="0.25">
      <c r="A56" s="26"/>
      <c r="B56" s="26"/>
      <c r="C56" s="26"/>
      <c r="D56" s="32"/>
      <c r="E56" s="33"/>
      <c r="F56" s="34"/>
      <c r="G56" s="34"/>
      <c r="H56" s="33"/>
      <c r="I56" s="18"/>
      <c r="J56" s="18"/>
    </row>
    <row r="57" spans="1:10" ht="10.5" x14ac:dyDescent="0.25">
      <c r="A57" s="35" t="s">
        <v>177</v>
      </c>
      <c r="B57" s="35"/>
      <c r="C57" s="35"/>
      <c r="D57" s="36"/>
      <c r="E57" s="37">
        <v>13354.4993208</v>
      </c>
      <c r="F57" s="38">
        <v>100</v>
      </c>
      <c r="G57" s="38"/>
      <c r="H57" s="37"/>
      <c r="I57" s="18"/>
      <c r="J57" s="18"/>
    </row>
    <row r="59" spans="1:10" ht="10.5" x14ac:dyDescent="0.25">
      <c r="A59" s="18" t="s">
        <v>180</v>
      </c>
    </row>
    <row r="61" spans="1:10" ht="10.5" x14ac:dyDescent="0.25">
      <c r="A61" s="18" t="s">
        <v>181</v>
      </c>
    </row>
    <row r="62" spans="1:10" ht="10.5" x14ac:dyDescent="0.25">
      <c r="A62" s="18" t="s">
        <v>182</v>
      </c>
    </row>
    <row r="63" spans="1:10" ht="10.5" x14ac:dyDescent="0.25">
      <c r="A63" s="18" t="s">
        <v>183</v>
      </c>
      <c r="B63" s="18"/>
      <c r="C63" s="39" t="s">
        <v>185</v>
      </c>
      <c r="D63" s="19" t="s">
        <v>184</v>
      </c>
    </row>
    <row r="64" spans="1:10" x14ac:dyDescent="0.2">
      <c r="A64" s="9" t="s">
        <v>421</v>
      </c>
      <c r="C64" s="40">
        <v>9.4831000000000003</v>
      </c>
      <c r="D64" s="40">
        <v>10.9495</v>
      </c>
    </row>
    <row r="65" spans="1:4" x14ac:dyDescent="0.2">
      <c r="A65" s="9" t="s">
        <v>458</v>
      </c>
      <c r="C65" s="40">
        <v>9.4831000000000003</v>
      </c>
      <c r="D65" s="40">
        <v>10.9495</v>
      </c>
    </row>
    <row r="66" spans="1:4" x14ac:dyDescent="0.2">
      <c r="A66" s="9" t="s">
        <v>422</v>
      </c>
      <c r="C66" s="40">
        <v>9.4252000000000002</v>
      </c>
      <c r="D66" s="40">
        <v>10.8835</v>
      </c>
    </row>
    <row r="67" spans="1:4" x14ac:dyDescent="0.2">
      <c r="A67" s="9" t="s">
        <v>423</v>
      </c>
      <c r="C67" s="40">
        <v>9.4831000000000003</v>
      </c>
      <c r="D67" s="40">
        <v>10.9495</v>
      </c>
    </row>
    <row r="68" spans="1:4" x14ac:dyDescent="0.2">
      <c r="A68" s="9" t="s">
        <v>424</v>
      </c>
      <c r="C68" s="40">
        <v>9.7940000000000005</v>
      </c>
      <c r="D68" s="40">
        <v>11.383800000000001</v>
      </c>
    </row>
    <row r="69" spans="1:4" x14ac:dyDescent="0.2">
      <c r="A69" s="9" t="s">
        <v>459</v>
      </c>
      <c r="C69" s="40">
        <v>9.7940000000000005</v>
      </c>
      <c r="D69" s="40">
        <v>11.383800000000001</v>
      </c>
    </row>
    <row r="70" spans="1:4" x14ac:dyDescent="0.2">
      <c r="A70" s="9" t="s">
        <v>425</v>
      </c>
      <c r="C70" s="40">
        <v>9.7368000000000006</v>
      </c>
      <c r="D70" s="40">
        <v>11.316000000000001</v>
      </c>
    </row>
    <row r="71" spans="1:4" x14ac:dyDescent="0.2">
      <c r="A71" s="9" t="s">
        <v>426</v>
      </c>
      <c r="C71" s="40">
        <v>9.7940000000000005</v>
      </c>
      <c r="D71" s="40">
        <v>11.383800000000001</v>
      </c>
    </row>
    <row r="73" spans="1:4" ht="10.5" x14ac:dyDescent="0.25">
      <c r="A73" s="18" t="s">
        <v>197</v>
      </c>
      <c r="D73" s="41" t="s">
        <v>198</v>
      </c>
    </row>
    <row r="75" spans="1:4" ht="10.5" x14ac:dyDescent="0.25">
      <c r="A75" s="61" t="s">
        <v>1530</v>
      </c>
      <c r="B75" s="63"/>
      <c r="C75" s="63"/>
      <c r="D75" s="68" t="s">
        <v>1531</v>
      </c>
    </row>
    <row r="77" spans="1:4" ht="10.5" x14ac:dyDescent="0.25">
      <c r="A77" s="18" t="s">
        <v>1529</v>
      </c>
      <c r="D77" s="42">
        <f>-G40</f>
        <v>31.36</v>
      </c>
    </row>
    <row r="79" spans="1:4" ht="10.5" x14ac:dyDescent="0.25">
      <c r="A79" s="18" t="s">
        <v>1532</v>
      </c>
      <c r="D79" s="47">
        <v>1.8763000000000001</v>
      </c>
    </row>
    <row r="81" spans="1:5" ht="10.5" x14ac:dyDescent="0.25">
      <c r="A81" s="18" t="s">
        <v>1533</v>
      </c>
      <c r="D81" s="42">
        <v>0.86642748850930895</v>
      </c>
      <c r="E81" s="13" t="s">
        <v>200</v>
      </c>
    </row>
    <row r="83" spans="1:5" ht="10.5" x14ac:dyDescent="0.25">
      <c r="A83" s="18" t="s">
        <v>1534</v>
      </c>
      <c r="D83" s="41" t="s">
        <v>198</v>
      </c>
    </row>
  </sheetData>
  <mergeCells count="1">
    <mergeCell ref="A1:H1"/>
  </mergeCells>
  <conditionalFormatting sqref="F2:G3 F5:G53 F55:G65542 G54">
    <cfRule type="cellIs" dxfId="2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I107"/>
  <sheetViews>
    <sheetView workbookViewId="0">
      <selection sqref="A1:G1"/>
    </sheetView>
  </sheetViews>
  <sheetFormatPr defaultColWidth="9.1796875" defaultRowHeight="10" x14ac:dyDescent="0.2"/>
  <cols>
    <col min="1" max="1" width="38.7265625" style="9" bestFit="1" customWidth="1"/>
    <col min="2" max="2" width="51.81640625" style="9" bestFit="1" customWidth="1"/>
    <col min="3" max="3" width="35.7265625" style="9" bestFit="1" customWidth="1"/>
    <col min="4" max="4" width="15.26953125" style="10" bestFit="1" customWidth="1"/>
    <col min="5" max="5" width="23" style="13" bestFit="1" customWidth="1"/>
    <col min="6" max="6" width="14.7265625" style="14" bestFit="1" customWidth="1"/>
    <col min="7" max="7" width="14.26953125" style="13" customWidth="1"/>
    <col min="8" max="16384" width="9.1796875" style="9"/>
  </cols>
  <sheetData>
    <row r="1" spans="1:7" s="1" customFormat="1" ht="14" x14ac:dyDescent="0.25">
      <c r="A1" s="71" t="s">
        <v>46</v>
      </c>
      <c r="B1" s="72"/>
      <c r="C1" s="72"/>
      <c r="D1" s="72"/>
      <c r="E1" s="72"/>
      <c r="F1" s="72"/>
      <c r="G1" s="72"/>
    </row>
    <row r="2" spans="1:7" s="1" customFormat="1" ht="11.5" x14ac:dyDescent="0.25">
      <c r="D2" s="6"/>
      <c r="E2" s="7"/>
      <c r="F2" s="12"/>
      <c r="G2" s="13"/>
    </row>
    <row r="3" spans="1:7" s="1" customFormat="1" ht="11.5" x14ac:dyDescent="0.25">
      <c r="A3" s="11" t="s">
        <v>7</v>
      </c>
      <c r="B3" s="2"/>
      <c r="C3" s="3"/>
      <c r="D3" s="4"/>
      <c r="E3" s="5"/>
      <c r="F3" s="12"/>
      <c r="G3" s="13"/>
    </row>
    <row r="4" spans="1:7" s="1" customFormat="1" ht="17.5" customHeight="1" x14ac:dyDescent="0.25">
      <c r="A4" s="8" t="s">
        <v>2</v>
      </c>
      <c r="B4" s="8" t="s">
        <v>0</v>
      </c>
      <c r="C4" s="17" t="s">
        <v>5</v>
      </c>
      <c r="D4" s="16" t="s">
        <v>1</v>
      </c>
      <c r="E4" s="15" t="s">
        <v>3</v>
      </c>
      <c r="F4" s="15" t="s">
        <v>4</v>
      </c>
      <c r="G4" s="15" t="s">
        <v>6</v>
      </c>
    </row>
    <row r="5" spans="1:7" ht="10.5" x14ac:dyDescent="0.25">
      <c r="A5" s="21" t="s">
        <v>868</v>
      </c>
      <c r="B5" s="22"/>
      <c r="C5" s="22"/>
      <c r="D5" s="23"/>
      <c r="E5" s="24"/>
      <c r="F5" s="25"/>
      <c r="G5" s="24"/>
    </row>
    <row r="6" spans="1:7" ht="10.5" x14ac:dyDescent="0.25">
      <c r="A6" s="26" t="s">
        <v>70</v>
      </c>
      <c r="B6" s="27"/>
      <c r="C6" s="27"/>
      <c r="D6" s="28"/>
      <c r="E6" s="29"/>
      <c r="F6" s="30"/>
      <c r="G6" s="29"/>
    </row>
    <row r="7" spans="1:7" x14ac:dyDescent="0.2">
      <c r="A7" s="27" t="s">
        <v>873</v>
      </c>
      <c r="B7" s="27" t="s">
        <v>872</v>
      </c>
      <c r="C7" s="27" t="s">
        <v>871</v>
      </c>
      <c r="D7" s="31">
        <v>2236935</v>
      </c>
      <c r="E7" s="29">
        <v>13457.400960000001</v>
      </c>
      <c r="F7" s="30">
        <v>9.9513257251019596</v>
      </c>
      <c r="G7" s="29"/>
    </row>
    <row r="8" spans="1:7" x14ac:dyDescent="0.2">
      <c r="A8" s="27" t="s">
        <v>875</v>
      </c>
      <c r="B8" s="27" t="s">
        <v>874</v>
      </c>
      <c r="C8" s="27" t="s">
        <v>876</v>
      </c>
      <c r="D8" s="31">
        <v>1053784</v>
      </c>
      <c r="E8" s="29">
        <v>11591.624</v>
      </c>
      <c r="F8" s="30">
        <v>8.57164221009503</v>
      </c>
      <c r="G8" s="29"/>
    </row>
    <row r="9" spans="1:7" x14ac:dyDescent="0.2">
      <c r="A9" s="27" t="s">
        <v>870</v>
      </c>
      <c r="B9" s="27" t="s">
        <v>869</v>
      </c>
      <c r="C9" s="27" t="s">
        <v>871</v>
      </c>
      <c r="D9" s="31">
        <v>693868</v>
      </c>
      <c r="E9" s="29">
        <v>9997.5970780000007</v>
      </c>
      <c r="F9" s="30">
        <v>7.3929093208430103</v>
      </c>
      <c r="G9" s="29"/>
    </row>
    <row r="10" spans="1:7" x14ac:dyDescent="0.2">
      <c r="A10" s="27" t="s">
        <v>880</v>
      </c>
      <c r="B10" s="27" t="s">
        <v>879</v>
      </c>
      <c r="C10" s="27" t="s">
        <v>871</v>
      </c>
      <c r="D10" s="31">
        <v>1581302</v>
      </c>
      <c r="E10" s="29">
        <v>7485.0930170000001</v>
      </c>
      <c r="F10" s="30">
        <v>5.5349914085381604</v>
      </c>
      <c r="G10" s="29"/>
    </row>
    <row r="11" spans="1:7" x14ac:dyDescent="0.2">
      <c r="A11" s="27" t="s">
        <v>897</v>
      </c>
      <c r="B11" s="27" t="s">
        <v>896</v>
      </c>
      <c r="C11" s="27" t="s">
        <v>898</v>
      </c>
      <c r="D11" s="31">
        <v>1021320</v>
      </c>
      <c r="E11" s="29">
        <v>7373.9304000000002</v>
      </c>
      <c r="F11" s="30">
        <v>5.4527901414800004</v>
      </c>
      <c r="G11" s="29"/>
    </row>
    <row r="12" spans="1:7" x14ac:dyDescent="0.2">
      <c r="A12" s="27" t="s">
        <v>882</v>
      </c>
      <c r="B12" s="27" t="s">
        <v>881</v>
      </c>
      <c r="C12" s="27" t="s">
        <v>883</v>
      </c>
      <c r="D12" s="31">
        <v>1164520</v>
      </c>
      <c r="E12" s="29">
        <v>5394.6388999999999</v>
      </c>
      <c r="F12" s="30">
        <v>3.9891661861582599</v>
      </c>
      <c r="G12" s="29"/>
    </row>
    <row r="13" spans="1:7" x14ac:dyDescent="0.2">
      <c r="A13" s="27" t="s">
        <v>917</v>
      </c>
      <c r="B13" s="27" t="s">
        <v>916</v>
      </c>
      <c r="C13" s="27" t="s">
        <v>918</v>
      </c>
      <c r="D13" s="31">
        <v>2508769</v>
      </c>
      <c r="E13" s="29">
        <v>4826.8715560000001</v>
      </c>
      <c r="F13" s="30">
        <v>3.5693200514541101</v>
      </c>
      <c r="G13" s="29"/>
    </row>
    <row r="14" spans="1:7" x14ac:dyDescent="0.2">
      <c r="A14" s="27" t="s">
        <v>979</v>
      </c>
      <c r="B14" s="27" t="s">
        <v>978</v>
      </c>
      <c r="C14" s="27" t="s">
        <v>876</v>
      </c>
      <c r="D14" s="31">
        <v>429717</v>
      </c>
      <c r="E14" s="29">
        <v>3767.9735150000001</v>
      </c>
      <c r="F14" s="30">
        <v>2.7862981776922799</v>
      </c>
      <c r="G14" s="29"/>
    </row>
    <row r="15" spans="1:7" x14ac:dyDescent="0.2">
      <c r="A15" s="27" t="s">
        <v>900</v>
      </c>
      <c r="B15" s="27" t="s">
        <v>899</v>
      </c>
      <c r="C15" s="27" t="s">
        <v>901</v>
      </c>
      <c r="D15" s="31">
        <v>1379354</v>
      </c>
      <c r="E15" s="29">
        <v>3465.626925</v>
      </c>
      <c r="F15" s="30">
        <v>2.5627223618340098</v>
      </c>
      <c r="G15" s="29"/>
    </row>
    <row r="16" spans="1:7" x14ac:dyDescent="0.2">
      <c r="A16" s="27" t="s">
        <v>960</v>
      </c>
      <c r="B16" s="27" t="s">
        <v>959</v>
      </c>
      <c r="C16" s="27" t="s">
        <v>915</v>
      </c>
      <c r="D16" s="31">
        <v>71688</v>
      </c>
      <c r="E16" s="29">
        <v>3461.7776760000002</v>
      </c>
      <c r="F16" s="30">
        <v>2.5598759629855401</v>
      </c>
      <c r="G16" s="29"/>
    </row>
    <row r="17" spans="1:7" x14ac:dyDescent="0.2">
      <c r="A17" s="27" t="s">
        <v>909</v>
      </c>
      <c r="B17" s="27" t="s">
        <v>908</v>
      </c>
      <c r="C17" s="27" t="s">
        <v>901</v>
      </c>
      <c r="D17" s="31">
        <v>1266102</v>
      </c>
      <c r="E17" s="29">
        <v>2779.7269409999999</v>
      </c>
      <c r="F17" s="30">
        <v>2.0555208467781498</v>
      </c>
      <c r="G17" s="29"/>
    </row>
    <row r="18" spans="1:7" x14ac:dyDescent="0.2">
      <c r="A18" s="27" t="s">
        <v>1007</v>
      </c>
      <c r="B18" s="27" t="s">
        <v>1006</v>
      </c>
      <c r="C18" s="27" t="s">
        <v>876</v>
      </c>
      <c r="D18" s="31">
        <v>93552</v>
      </c>
      <c r="E18" s="29">
        <v>2506.866168</v>
      </c>
      <c r="F18" s="30">
        <v>1.8537488673449001</v>
      </c>
      <c r="G18" s="29"/>
    </row>
    <row r="19" spans="1:7" x14ac:dyDescent="0.2">
      <c r="A19" s="27" t="s">
        <v>922</v>
      </c>
      <c r="B19" s="27" t="s">
        <v>921</v>
      </c>
      <c r="C19" s="27" t="s">
        <v>918</v>
      </c>
      <c r="D19" s="31">
        <v>2512015</v>
      </c>
      <c r="E19" s="29">
        <v>2378.878205</v>
      </c>
      <c r="F19" s="30">
        <v>1.7591057848885601</v>
      </c>
      <c r="G19" s="29"/>
    </row>
    <row r="20" spans="1:7" x14ac:dyDescent="0.2">
      <c r="A20" s="27" t="s">
        <v>891</v>
      </c>
      <c r="B20" s="27" t="s">
        <v>890</v>
      </c>
      <c r="C20" s="27" t="s">
        <v>892</v>
      </c>
      <c r="D20" s="31">
        <v>1044188</v>
      </c>
      <c r="E20" s="29">
        <v>2363.519538</v>
      </c>
      <c r="F20" s="30">
        <v>1.74774853258742</v>
      </c>
      <c r="G20" s="29"/>
    </row>
    <row r="21" spans="1:7" x14ac:dyDescent="0.2">
      <c r="A21" s="27" t="s">
        <v>983</v>
      </c>
      <c r="B21" s="27" t="s">
        <v>982</v>
      </c>
      <c r="C21" s="27" t="s">
        <v>984</v>
      </c>
      <c r="D21" s="31">
        <v>205227</v>
      </c>
      <c r="E21" s="29">
        <v>2303.4678479999998</v>
      </c>
      <c r="F21" s="30">
        <v>1.7033421922168599</v>
      </c>
      <c r="G21" s="29"/>
    </row>
    <row r="22" spans="1:7" x14ac:dyDescent="0.2">
      <c r="A22" s="27" t="s">
        <v>894</v>
      </c>
      <c r="B22" s="27" t="s">
        <v>893</v>
      </c>
      <c r="C22" s="27" t="s">
        <v>895</v>
      </c>
      <c r="D22" s="31">
        <v>274626</v>
      </c>
      <c r="E22" s="29">
        <v>2215.1333159999999</v>
      </c>
      <c r="F22" s="30">
        <v>1.6380215776851801</v>
      </c>
      <c r="G22" s="29"/>
    </row>
    <row r="23" spans="1:7" x14ac:dyDescent="0.2">
      <c r="A23" s="27" t="s">
        <v>993</v>
      </c>
      <c r="B23" s="27" t="s">
        <v>992</v>
      </c>
      <c r="C23" s="27" t="s">
        <v>912</v>
      </c>
      <c r="D23" s="31">
        <v>2568360</v>
      </c>
      <c r="E23" s="29">
        <v>2172.8325599999998</v>
      </c>
      <c r="F23" s="30">
        <v>1.60674149599442</v>
      </c>
      <c r="G23" s="29"/>
    </row>
    <row r="24" spans="1:7" x14ac:dyDescent="0.2">
      <c r="A24" s="27" t="s">
        <v>937</v>
      </c>
      <c r="B24" s="27" t="s">
        <v>936</v>
      </c>
      <c r="C24" s="27" t="s">
        <v>898</v>
      </c>
      <c r="D24" s="31">
        <v>1081483</v>
      </c>
      <c r="E24" s="29">
        <v>1950.4545909999999</v>
      </c>
      <c r="F24" s="30">
        <v>1.4422999660003799</v>
      </c>
      <c r="G24" s="29"/>
    </row>
    <row r="25" spans="1:7" x14ac:dyDescent="0.2">
      <c r="A25" s="27" t="s">
        <v>988</v>
      </c>
      <c r="B25" s="27" t="s">
        <v>987</v>
      </c>
      <c r="C25" s="27" t="s">
        <v>989</v>
      </c>
      <c r="D25" s="31">
        <v>1583382</v>
      </c>
      <c r="E25" s="29">
        <v>1871.5575240000001</v>
      </c>
      <c r="F25" s="30">
        <v>1.3839580606944599</v>
      </c>
      <c r="G25" s="29"/>
    </row>
    <row r="26" spans="1:7" x14ac:dyDescent="0.2">
      <c r="A26" s="27" t="s">
        <v>975</v>
      </c>
      <c r="B26" s="27" t="s">
        <v>974</v>
      </c>
      <c r="C26" s="27" t="s">
        <v>967</v>
      </c>
      <c r="D26" s="31">
        <v>345421</v>
      </c>
      <c r="E26" s="29">
        <v>1869.4184519999999</v>
      </c>
      <c r="F26" s="30">
        <v>1.3823762840731999</v>
      </c>
      <c r="G26" s="29"/>
    </row>
    <row r="27" spans="1:7" x14ac:dyDescent="0.2">
      <c r="A27" s="27" t="s">
        <v>888</v>
      </c>
      <c r="B27" s="27" t="s">
        <v>887</v>
      </c>
      <c r="C27" s="27" t="s">
        <v>889</v>
      </c>
      <c r="D27" s="31">
        <v>99000</v>
      </c>
      <c r="E27" s="29">
        <v>1642.806</v>
      </c>
      <c r="F27" s="30">
        <v>1.21480348677609</v>
      </c>
      <c r="G27" s="29"/>
    </row>
    <row r="28" spans="1:7" x14ac:dyDescent="0.2">
      <c r="A28" s="27" t="s">
        <v>911</v>
      </c>
      <c r="B28" s="27" t="s">
        <v>910</v>
      </c>
      <c r="C28" s="27" t="s">
        <v>912</v>
      </c>
      <c r="D28" s="31">
        <v>762218</v>
      </c>
      <c r="E28" s="29">
        <v>1595.703383</v>
      </c>
      <c r="F28" s="30">
        <v>1.1799725795552201</v>
      </c>
      <c r="G28" s="29"/>
    </row>
    <row r="29" spans="1:7" x14ac:dyDescent="0.2">
      <c r="A29" s="27" t="s">
        <v>914</v>
      </c>
      <c r="B29" s="27" t="s">
        <v>913</v>
      </c>
      <c r="C29" s="27" t="s">
        <v>915</v>
      </c>
      <c r="D29" s="31">
        <v>349001</v>
      </c>
      <c r="E29" s="29">
        <v>1570.8535010000001</v>
      </c>
      <c r="F29" s="30">
        <v>1.1615968715899601</v>
      </c>
      <c r="G29" s="29"/>
    </row>
    <row r="30" spans="1:7" x14ac:dyDescent="0.2">
      <c r="A30" s="27" t="s">
        <v>920</v>
      </c>
      <c r="B30" s="27" t="s">
        <v>919</v>
      </c>
      <c r="C30" s="27" t="s">
        <v>871</v>
      </c>
      <c r="D30" s="31">
        <v>615662</v>
      </c>
      <c r="E30" s="29">
        <v>1503.7544350000001</v>
      </c>
      <c r="F30" s="30">
        <v>1.1119792178096499</v>
      </c>
      <c r="G30" s="29"/>
    </row>
    <row r="31" spans="1:7" x14ac:dyDescent="0.2">
      <c r="A31" s="27" t="s">
        <v>977</v>
      </c>
      <c r="B31" s="27" t="s">
        <v>976</v>
      </c>
      <c r="C31" s="27" t="s">
        <v>918</v>
      </c>
      <c r="D31" s="31">
        <v>6797235</v>
      </c>
      <c r="E31" s="29">
        <v>1458.0069080000001</v>
      </c>
      <c r="F31" s="30">
        <v>1.07815035712191</v>
      </c>
      <c r="G31" s="29"/>
    </row>
    <row r="32" spans="1:7" x14ac:dyDescent="0.2">
      <c r="A32" s="27" t="s">
        <v>903</v>
      </c>
      <c r="B32" s="27" t="s">
        <v>902</v>
      </c>
      <c r="C32" s="27" t="s">
        <v>904</v>
      </c>
      <c r="D32" s="31">
        <v>235077</v>
      </c>
      <c r="E32" s="29">
        <v>1357.2170599999999</v>
      </c>
      <c r="F32" s="30">
        <v>1.0036194272482499</v>
      </c>
      <c r="G32" s="29"/>
    </row>
    <row r="33" spans="1:9" x14ac:dyDescent="0.2">
      <c r="A33" s="27" t="s">
        <v>933</v>
      </c>
      <c r="B33" s="27" t="s">
        <v>932</v>
      </c>
      <c r="C33" s="27" t="s">
        <v>907</v>
      </c>
      <c r="D33" s="31">
        <v>128251</v>
      </c>
      <c r="E33" s="29">
        <v>1332.463765</v>
      </c>
      <c r="F33" s="30">
        <v>0.98531514233865303</v>
      </c>
      <c r="G33" s="29"/>
    </row>
    <row r="34" spans="1:9" x14ac:dyDescent="0.2">
      <c r="A34" s="27" t="s">
        <v>998</v>
      </c>
      <c r="B34" s="27" t="s">
        <v>997</v>
      </c>
      <c r="C34" s="27" t="s">
        <v>967</v>
      </c>
      <c r="D34" s="31">
        <v>336933</v>
      </c>
      <c r="E34" s="29">
        <v>1275.1229390000001</v>
      </c>
      <c r="F34" s="30">
        <v>0.94291340083087805</v>
      </c>
      <c r="G34" s="29"/>
    </row>
    <row r="35" spans="1:9" x14ac:dyDescent="0.2">
      <c r="A35" s="27" t="s">
        <v>995</v>
      </c>
      <c r="B35" s="27" t="s">
        <v>994</v>
      </c>
      <c r="C35" s="27" t="s">
        <v>996</v>
      </c>
      <c r="D35" s="31">
        <v>921918</v>
      </c>
      <c r="E35" s="29">
        <v>1104.457764</v>
      </c>
      <c r="F35" s="30">
        <v>0.816711859284736</v>
      </c>
      <c r="G35" s="29"/>
    </row>
    <row r="36" spans="1:9" x14ac:dyDescent="0.2">
      <c r="A36" s="27" t="s">
        <v>943</v>
      </c>
      <c r="B36" s="27" t="s">
        <v>942</v>
      </c>
      <c r="C36" s="27" t="s">
        <v>944</v>
      </c>
      <c r="D36" s="31">
        <v>649104</v>
      </c>
      <c r="E36" s="29">
        <v>1055.767656</v>
      </c>
      <c r="F36" s="30">
        <v>0.78070705228384596</v>
      </c>
      <c r="G36" s="29"/>
    </row>
    <row r="37" spans="1:9" x14ac:dyDescent="0.2">
      <c r="A37" s="27" t="s">
        <v>1009</v>
      </c>
      <c r="B37" s="27" t="s">
        <v>1008</v>
      </c>
      <c r="C37" s="27" t="s">
        <v>895</v>
      </c>
      <c r="D37" s="31">
        <v>72561</v>
      </c>
      <c r="E37" s="29">
        <v>987.700332</v>
      </c>
      <c r="F37" s="30">
        <v>0.73037340209586399</v>
      </c>
      <c r="G37" s="29"/>
    </row>
    <row r="38" spans="1:9" x14ac:dyDescent="0.2">
      <c r="A38" s="27" t="s">
        <v>991</v>
      </c>
      <c r="B38" s="27" t="s">
        <v>990</v>
      </c>
      <c r="C38" s="27" t="s">
        <v>925</v>
      </c>
      <c r="D38" s="31">
        <v>377910</v>
      </c>
      <c r="E38" s="29">
        <v>605.22286499999996</v>
      </c>
      <c r="F38" s="30">
        <v>0.447543317152855</v>
      </c>
      <c r="G38" s="29"/>
    </row>
    <row r="39" spans="1:9" x14ac:dyDescent="0.2">
      <c r="A39" s="27" t="s">
        <v>946</v>
      </c>
      <c r="B39" s="27" t="s">
        <v>945</v>
      </c>
      <c r="C39" s="27" t="s">
        <v>947</v>
      </c>
      <c r="D39" s="31">
        <v>1265151</v>
      </c>
      <c r="E39" s="29">
        <v>502.89752249999998</v>
      </c>
      <c r="F39" s="30">
        <v>0.37187693727929899</v>
      </c>
      <c r="G39" s="29"/>
    </row>
    <row r="40" spans="1:9" x14ac:dyDescent="0.2">
      <c r="A40" s="27" t="s">
        <v>949</v>
      </c>
      <c r="B40" s="27" t="s">
        <v>948</v>
      </c>
      <c r="C40" s="27" t="s">
        <v>944</v>
      </c>
      <c r="D40" s="31">
        <v>75869</v>
      </c>
      <c r="E40" s="29">
        <v>76.855296999999993</v>
      </c>
      <c r="F40" s="30">
        <v>5.6832080460390198E-2</v>
      </c>
      <c r="G40" s="29"/>
    </row>
    <row r="41" spans="1:9" ht="10.5" x14ac:dyDescent="0.25">
      <c r="A41" s="26" t="s">
        <v>164</v>
      </c>
      <c r="B41" s="26"/>
      <c r="C41" s="26"/>
      <c r="D41" s="32"/>
      <c r="E41" s="33">
        <f>SUM(E7:E40)</f>
        <v>109303.21859749996</v>
      </c>
      <c r="F41" s="34">
        <f>SUM(F7:F40)</f>
        <v>80.826300286273494</v>
      </c>
      <c r="G41" s="33"/>
      <c r="H41" s="18"/>
      <c r="I41" s="18"/>
    </row>
    <row r="42" spans="1:9" x14ac:dyDescent="0.2">
      <c r="A42" s="27"/>
      <c r="B42" s="27"/>
      <c r="C42" s="27"/>
      <c r="D42" s="28"/>
      <c r="E42" s="29"/>
      <c r="F42" s="30"/>
      <c r="G42" s="29"/>
    </row>
    <row r="43" spans="1:9" ht="10.5" x14ac:dyDescent="0.25">
      <c r="A43" s="26" t="s">
        <v>1528</v>
      </c>
      <c r="B43" s="27"/>
      <c r="C43" s="27"/>
      <c r="D43" s="28"/>
      <c r="E43" s="29"/>
      <c r="F43" s="30"/>
      <c r="G43" s="29"/>
    </row>
    <row r="44" spans="1:9" x14ac:dyDescent="0.2">
      <c r="A44" s="27" t="s">
        <v>1011</v>
      </c>
      <c r="B44" s="27" t="s">
        <v>1010</v>
      </c>
      <c r="C44" s="27" t="s">
        <v>1012</v>
      </c>
      <c r="D44" s="31">
        <v>270000</v>
      </c>
      <c r="E44" s="29">
        <v>2.7E-2</v>
      </c>
      <c r="F44" s="30">
        <v>1.9965652756901499E-5</v>
      </c>
      <c r="G44" s="29"/>
    </row>
    <row r="45" spans="1:9" x14ac:dyDescent="0.2">
      <c r="A45" s="27"/>
      <c r="B45" s="27" t="s">
        <v>1013</v>
      </c>
      <c r="C45" s="27" t="s">
        <v>967</v>
      </c>
      <c r="D45" s="31">
        <v>27500</v>
      </c>
      <c r="E45" s="29">
        <v>2.7499999999999998E-3</v>
      </c>
      <c r="F45" s="30">
        <v>2.0335387067214498E-6</v>
      </c>
      <c r="G45" s="29"/>
    </row>
    <row r="46" spans="1:9" ht="10.5" x14ac:dyDescent="0.25">
      <c r="A46" s="26" t="s">
        <v>164</v>
      </c>
      <c r="B46" s="26"/>
      <c r="C46" s="26"/>
      <c r="D46" s="32"/>
      <c r="E46" s="33">
        <f>SUM(E43:E45)</f>
        <v>2.9749999999999999E-2</v>
      </c>
      <c r="F46" s="34">
        <f>SUM(F43:F45)</f>
        <v>2.1999191463622948E-5</v>
      </c>
      <c r="G46" s="33"/>
      <c r="H46" s="18"/>
      <c r="I46" s="18"/>
    </row>
    <row r="47" spans="1:9" x14ac:dyDescent="0.2">
      <c r="A47" s="27"/>
      <c r="B47" s="27"/>
      <c r="C47" s="27"/>
      <c r="D47" s="28"/>
      <c r="E47" s="29"/>
      <c r="F47" s="30"/>
      <c r="G47" s="29"/>
    </row>
    <row r="48" spans="1:9" ht="10.5" x14ac:dyDescent="0.25">
      <c r="A48" s="26" t="s">
        <v>69</v>
      </c>
      <c r="B48" s="27"/>
      <c r="C48" s="27"/>
      <c r="D48" s="28"/>
      <c r="E48" s="29"/>
      <c r="F48" s="30"/>
      <c r="G48" s="29"/>
    </row>
    <row r="49" spans="1:9" ht="10.5" x14ac:dyDescent="0.25">
      <c r="A49" s="26" t="s">
        <v>70</v>
      </c>
      <c r="B49" s="27"/>
      <c r="C49" s="27"/>
      <c r="D49" s="28"/>
      <c r="E49" s="29"/>
      <c r="F49" s="30"/>
      <c r="G49" s="29"/>
    </row>
    <row r="50" spans="1:9" x14ac:dyDescent="0.2">
      <c r="A50" s="27" t="s">
        <v>75</v>
      </c>
      <c r="B50" s="27" t="s">
        <v>74</v>
      </c>
      <c r="C50" s="27" t="s">
        <v>76</v>
      </c>
      <c r="D50" s="31">
        <v>450</v>
      </c>
      <c r="E50" s="29">
        <v>4480.875</v>
      </c>
      <c r="F50" s="30">
        <v>3.31346645544745</v>
      </c>
      <c r="G50" s="29">
        <v>10.501099999999999</v>
      </c>
    </row>
    <row r="51" spans="1:9" x14ac:dyDescent="0.2">
      <c r="A51" s="27" t="s">
        <v>136</v>
      </c>
      <c r="B51" s="27" t="s">
        <v>135</v>
      </c>
      <c r="C51" s="27" t="s">
        <v>137</v>
      </c>
      <c r="D51" s="31">
        <v>350</v>
      </c>
      <c r="E51" s="29">
        <v>3760.085</v>
      </c>
      <c r="F51" s="30">
        <v>2.7804648683864501</v>
      </c>
      <c r="G51" s="29">
        <v>6.2523</v>
      </c>
    </row>
    <row r="52" spans="1:9" x14ac:dyDescent="0.2">
      <c r="A52" s="27" t="s">
        <v>84</v>
      </c>
      <c r="B52" s="27" t="s">
        <v>83</v>
      </c>
      <c r="C52" s="27" t="s">
        <v>76</v>
      </c>
      <c r="D52" s="31">
        <v>194</v>
      </c>
      <c r="E52" s="29">
        <v>1944.2815800000001</v>
      </c>
      <c r="F52" s="30">
        <v>1.4377352180711001</v>
      </c>
      <c r="G52" s="29">
        <v>9.4047000000000001</v>
      </c>
    </row>
    <row r="53" spans="1:9" x14ac:dyDescent="0.2">
      <c r="A53" s="27" t="s">
        <v>263</v>
      </c>
      <c r="B53" s="27" t="s">
        <v>262</v>
      </c>
      <c r="C53" s="27" t="s">
        <v>82</v>
      </c>
      <c r="D53" s="31">
        <v>80</v>
      </c>
      <c r="E53" s="29">
        <v>780.16959999999995</v>
      </c>
      <c r="F53" s="30">
        <v>0.57691093796632398</v>
      </c>
      <c r="G53" s="29">
        <v>11.573700000000001</v>
      </c>
    </row>
    <row r="54" spans="1:9" x14ac:dyDescent="0.2">
      <c r="A54" s="27" t="s">
        <v>594</v>
      </c>
      <c r="B54" s="27" t="s">
        <v>593</v>
      </c>
      <c r="C54" s="27" t="s">
        <v>163</v>
      </c>
      <c r="D54" s="31">
        <v>60</v>
      </c>
      <c r="E54" s="29">
        <v>676.96259999999995</v>
      </c>
      <c r="F54" s="30">
        <v>0.50059260003737804</v>
      </c>
      <c r="G54" s="29">
        <v>6.8</v>
      </c>
    </row>
    <row r="55" spans="1:9" x14ac:dyDescent="0.2">
      <c r="A55" s="27" t="s">
        <v>954</v>
      </c>
      <c r="B55" s="27" t="s">
        <v>953</v>
      </c>
      <c r="C55" s="27" t="s">
        <v>163</v>
      </c>
      <c r="D55" s="31">
        <v>50</v>
      </c>
      <c r="E55" s="29">
        <v>525.76800000000003</v>
      </c>
      <c r="F55" s="30">
        <v>0.38878893772928103</v>
      </c>
      <c r="G55" s="29">
        <v>4.625</v>
      </c>
    </row>
    <row r="56" spans="1:9" x14ac:dyDescent="0.2">
      <c r="A56" s="27" t="s">
        <v>501</v>
      </c>
      <c r="B56" s="27" t="s">
        <v>500</v>
      </c>
      <c r="C56" s="27" t="s">
        <v>163</v>
      </c>
      <c r="D56" s="31">
        <v>30</v>
      </c>
      <c r="E56" s="29">
        <v>337.78109999999998</v>
      </c>
      <c r="F56" s="30">
        <v>0.249778524090527</v>
      </c>
      <c r="G56" s="29">
        <v>6.8170000000000002</v>
      </c>
    </row>
    <row r="57" spans="1:9" ht="10.5" x14ac:dyDescent="0.25">
      <c r="A57" s="26" t="s">
        <v>164</v>
      </c>
      <c r="B57" s="26"/>
      <c r="C57" s="26"/>
      <c r="D57" s="32"/>
      <c r="E57" s="33">
        <f>SUM(E49:E56)</f>
        <v>12505.92288</v>
      </c>
      <c r="F57" s="34">
        <f>SUM(F49:F56)</f>
        <v>9.2477375417285081</v>
      </c>
      <c r="G57" s="33"/>
      <c r="H57" s="18"/>
      <c r="I57" s="18"/>
    </row>
    <row r="58" spans="1:9" x14ac:dyDescent="0.2">
      <c r="A58" s="27"/>
      <c r="B58" s="27"/>
      <c r="C58" s="27"/>
      <c r="D58" s="28"/>
      <c r="E58" s="29"/>
      <c r="F58" s="30"/>
      <c r="G58" s="29"/>
    </row>
    <row r="59" spans="1:9" ht="10.5" x14ac:dyDescent="0.25">
      <c r="A59" s="26" t="s">
        <v>165</v>
      </c>
      <c r="B59" s="27"/>
      <c r="C59" s="27"/>
      <c r="D59" s="28"/>
      <c r="E59" s="29"/>
      <c r="F59" s="30"/>
      <c r="G59" s="29"/>
    </row>
    <row r="60" spans="1:9" x14ac:dyDescent="0.2">
      <c r="A60" s="27" t="s">
        <v>175</v>
      </c>
      <c r="B60" s="27" t="s">
        <v>174</v>
      </c>
      <c r="C60" s="27" t="s">
        <v>137</v>
      </c>
      <c r="D60" s="31">
        <v>14</v>
      </c>
      <c r="E60" s="29">
        <v>1949.3348000000001</v>
      </c>
      <c r="F60" s="30">
        <v>1.44147191569422</v>
      </c>
      <c r="G60" s="29">
        <v>10.205</v>
      </c>
    </row>
    <row r="61" spans="1:9" ht="10.5" x14ac:dyDescent="0.25">
      <c r="A61" s="26" t="s">
        <v>164</v>
      </c>
      <c r="B61" s="26"/>
      <c r="C61" s="26"/>
      <c r="D61" s="32"/>
      <c r="E61" s="33">
        <f>SUM(E59:E60)</f>
        <v>1949.3348000000001</v>
      </c>
      <c r="F61" s="34">
        <f>SUM(F59:F60)</f>
        <v>1.44147191569422</v>
      </c>
      <c r="G61" s="33"/>
      <c r="H61" s="18"/>
      <c r="I61" s="18"/>
    </row>
    <row r="62" spans="1:9" x14ac:dyDescent="0.2">
      <c r="A62" s="27"/>
      <c r="B62" s="27"/>
      <c r="C62" s="27"/>
      <c r="D62" s="28"/>
      <c r="E62" s="29"/>
      <c r="F62" s="30"/>
      <c r="G62" s="29"/>
    </row>
    <row r="63" spans="1:9" ht="10.5" x14ac:dyDescent="0.25">
      <c r="A63" s="26" t="s">
        <v>352</v>
      </c>
      <c r="B63" s="27"/>
      <c r="C63" s="27"/>
      <c r="D63" s="28"/>
      <c r="E63" s="29"/>
      <c r="F63" s="30"/>
      <c r="G63" s="29"/>
    </row>
    <row r="64" spans="1:9" ht="10.5" x14ac:dyDescent="0.25">
      <c r="A64" s="26" t="s">
        <v>353</v>
      </c>
      <c r="B64" s="27"/>
      <c r="C64" s="27"/>
      <c r="D64" s="28"/>
      <c r="E64" s="29"/>
      <c r="F64" s="30"/>
      <c r="G64" s="29"/>
    </row>
    <row r="65" spans="1:9" x14ac:dyDescent="0.2">
      <c r="A65" s="27" t="s">
        <v>1015</v>
      </c>
      <c r="B65" s="27" t="s">
        <v>1014</v>
      </c>
      <c r="C65" s="27" t="s">
        <v>359</v>
      </c>
      <c r="D65" s="31">
        <v>2500</v>
      </c>
      <c r="E65" s="29">
        <v>2483.6799999999998</v>
      </c>
      <c r="F65" s="30">
        <v>1.83660342367634</v>
      </c>
      <c r="G65" s="29">
        <v>2.9251</v>
      </c>
    </row>
    <row r="66" spans="1:9" ht="10.5" x14ac:dyDescent="0.25">
      <c r="A66" s="26" t="s">
        <v>164</v>
      </c>
      <c r="B66" s="26"/>
      <c r="C66" s="26"/>
      <c r="D66" s="32"/>
      <c r="E66" s="33">
        <f>SUM(E64:E65)</f>
        <v>2483.6799999999998</v>
      </c>
      <c r="F66" s="34">
        <f>SUM(F64:F65)</f>
        <v>1.83660342367634</v>
      </c>
      <c r="G66" s="33"/>
      <c r="H66" s="18"/>
      <c r="I66" s="18"/>
    </row>
    <row r="67" spans="1:9" x14ac:dyDescent="0.2">
      <c r="A67" s="27"/>
      <c r="B67" s="27"/>
      <c r="C67" s="27"/>
      <c r="D67" s="28"/>
      <c r="E67" s="29"/>
      <c r="F67" s="30"/>
      <c r="G67" s="29"/>
    </row>
    <row r="68" spans="1:9" ht="10.5" x14ac:dyDescent="0.25">
      <c r="A68" s="26" t="s">
        <v>389</v>
      </c>
      <c r="B68" s="27"/>
      <c r="C68" s="27"/>
      <c r="D68" s="28"/>
      <c r="E68" s="29"/>
      <c r="F68" s="30"/>
      <c r="G68" s="29"/>
    </row>
    <row r="69" spans="1:9" x14ac:dyDescent="0.2">
      <c r="A69" s="27" t="s">
        <v>462</v>
      </c>
      <c r="B69" s="27" t="s">
        <v>461</v>
      </c>
      <c r="C69" s="27" t="s">
        <v>466</v>
      </c>
      <c r="D69" s="31">
        <v>1500000</v>
      </c>
      <c r="E69" s="29">
        <v>1492.89</v>
      </c>
      <c r="F69" s="30">
        <v>1.10394530904632</v>
      </c>
      <c r="G69" s="29">
        <v>2.85</v>
      </c>
    </row>
    <row r="70" spans="1:9" ht="10.5" x14ac:dyDescent="0.25">
      <c r="A70" s="26" t="s">
        <v>164</v>
      </c>
      <c r="B70" s="26"/>
      <c r="C70" s="26"/>
      <c r="D70" s="32"/>
      <c r="E70" s="33">
        <f>SUM(E68:E69)</f>
        <v>1492.89</v>
      </c>
      <c r="F70" s="34">
        <f>SUM(F68:F69)</f>
        <v>1.10394530904632</v>
      </c>
      <c r="G70" s="33"/>
      <c r="H70" s="18"/>
      <c r="I70" s="18"/>
    </row>
    <row r="71" spans="1:9" x14ac:dyDescent="0.2">
      <c r="A71" s="27"/>
      <c r="B71" s="27"/>
      <c r="C71" s="27"/>
      <c r="D71" s="28"/>
      <c r="E71" s="29"/>
      <c r="F71" s="30"/>
      <c r="G71" s="29"/>
    </row>
    <row r="72" spans="1:9" ht="10.5" x14ac:dyDescent="0.25">
      <c r="A72" s="26" t="s">
        <v>463</v>
      </c>
      <c r="B72" s="27"/>
      <c r="C72" s="27"/>
      <c r="D72" s="28"/>
      <c r="E72" s="29"/>
      <c r="F72" s="30"/>
      <c r="G72" s="29"/>
    </row>
    <row r="73" spans="1:9" x14ac:dyDescent="0.2">
      <c r="A73" s="27" t="s">
        <v>465</v>
      </c>
      <c r="B73" s="27" t="s">
        <v>464</v>
      </c>
      <c r="C73" s="27" t="s">
        <v>466</v>
      </c>
      <c r="D73" s="31">
        <v>2790000</v>
      </c>
      <c r="E73" s="29">
        <v>2761.1904599999998</v>
      </c>
      <c r="F73" s="30">
        <v>2.04181370074182</v>
      </c>
      <c r="G73" s="29">
        <v>5.9103000000000003</v>
      </c>
    </row>
    <row r="74" spans="1:9" x14ac:dyDescent="0.2">
      <c r="A74" s="27" t="s">
        <v>472</v>
      </c>
      <c r="B74" s="27" t="s">
        <v>471</v>
      </c>
      <c r="C74" s="27" t="s">
        <v>466</v>
      </c>
      <c r="D74" s="31">
        <v>2000000</v>
      </c>
      <c r="E74" s="29">
        <v>2179.3040000000001</v>
      </c>
      <c r="F74" s="30">
        <v>1.61152692280469</v>
      </c>
      <c r="G74" s="29">
        <v>5.3236999999999997</v>
      </c>
    </row>
    <row r="75" spans="1:9" x14ac:dyDescent="0.2">
      <c r="A75" s="27" t="s">
        <v>958</v>
      </c>
      <c r="B75" s="27" t="s">
        <v>957</v>
      </c>
      <c r="C75" s="27" t="s">
        <v>466</v>
      </c>
      <c r="D75" s="31">
        <v>300000</v>
      </c>
      <c r="E75" s="29">
        <v>314.68259999999998</v>
      </c>
      <c r="F75" s="30">
        <v>0.23269790815699801</v>
      </c>
      <c r="G75" s="29">
        <v>4.7986000000000004</v>
      </c>
    </row>
    <row r="76" spans="1:9" x14ac:dyDescent="0.2">
      <c r="A76" s="27" t="s">
        <v>474</v>
      </c>
      <c r="B76" s="27" t="s">
        <v>473</v>
      </c>
      <c r="C76" s="27" t="s">
        <v>466</v>
      </c>
      <c r="D76" s="31">
        <v>100000</v>
      </c>
      <c r="E76" s="29">
        <v>108.4704</v>
      </c>
      <c r="F76" s="30">
        <v>8.0210457066748495E-2</v>
      </c>
      <c r="G76" s="29">
        <v>4.4211</v>
      </c>
    </row>
    <row r="77" spans="1:9" x14ac:dyDescent="0.2">
      <c r="A77" s="27" t="s">
        <v>476</v>
      </c>
      <c r="B77" s="27" t="s">
        <v>475</v>
      </c>
      <c r="C77" s="27" t="s">
        <v>466</v>
      </c>
      <c r="D77" s="31">
        <v>100000</v>
      </c>
      <c r="E77" s="29">
        <v>100.54130000000001</v>
      </c>
      <c r="F77" s="30">
        <v>7.4347136426943003E-2</v>
      </c>
      <c r="G77" s="29">
        <v>5.0845000000000002</v>
      </c>
    </row>
    <row r="78" spans="1:9" ht="10.5" x14ac:dyDescent="0.25">
      <c r="A78" s="26" t="s">
        <v>164</v>
      </c>
      <c r="B78" s="26"/>
      <c r="C78" s="26"/>
      <c r="D78" s="32"/>
      <c r="E78" s="33">
        <f>SUM(E73:E77)</f>
        <v>5464.18876</v>
      </c>
      <c r="F78" s="34">
        <f>SUM(F73:F77)</f>
        <v>4.0405961251971991</v>
      </c>
      <c r="G78" s="33"/>
      <c r="H78" s="18"/>
      <c r="I78" s="18"/>
    </row>
    <row r="79" spans="1:9" x14ac:dyDescent="0.2">
      <c r="A79" s="27"/>
      <c r="B79" s="27"/>
      <c r="C79" s="27"/>
      <c r="D79" s="28"/>
      <c r="E79" s="29"/>
      <c r="F79" s="30"/>
      <c r="G79" s="29"/>
    </row>
    <row r="80" spans="1:9" ht="10.5" x14ac:dyDescent="0.25">
      <c r="A80" s="26" t="s">
        <v>176</v>
      </c>
      <c r="B80" s="26"/>
      <c r="C80" s="26"/>
      <c r="D80" s="32"/>
      <c r="E80" s="33">
        <f>E41+E46+E57+E61+E66+E70+E78</f>
        <v>133199.26478749994</v>
      </c>
      <c r="F80" s="34">
        <f>F41+F46+F57+F61+F66+F70+F78</f>
        <v>98.496676600807547</v>
      </c>
      <c r="G80" s="33"/>
      <c r="H80" s="18"/>
      <c r="I80" s="18"/>
    </row>
    <row r="81" spans="1:9" ht="10.5" x14ac:dyDescent="0.25">
      <c r="A81" s="26"/>
      <c r="B81" s="26"/>
      <c r="C81" s="26"/>
      <c r="D81" s="32"/>
      <c r="E81" s="33"/>
      <c r="F81" s="34"/>
      <c r="G81" s="33"/>
      <c r="H81" s="18"/>
      <c r="I81" s="18"/>
    </row>
    <row r="82" spans="1:9" ht="10.5" x14ac:dyDescent="0.25">
      <c r="A82" s="26" t="s">
        <v>178</v>
      </c>
      <c r="B82" s="26"/>
      <c r="C82" s="26"/>
      <c r="D82" s="32"/>
      <c r="E82" s="33">
        <f>E84-(E41+E46+E57+E61+E66+E70+E78)</f>
        <v>2032.9779483000748</v>
      </c>
      <c r="F82" s="34">
        <f>F84-(F41+F46+F57+F61+F66+F70+F78)</f>
        <v>1.5033233991924533</v>
      </c>
      <c r="G82" s="33"/>
      <c r="H82" s="18"/>
      <c r="I82" s="18"/>
    </row>
    <row r="83" spans="1:9" ht="10.5" x14ac:dyDescent="0.25">
      <c r="A83" s="26"/>
      <c r="B83" s="26"/>
      <c r="C83" s="26"/>
      <c r="D83" s="32"/>
      <c r="E83" s="33"/>
      <c r="F83" s="34"/>
      <c r="G83" s="33"/>
      <c r="H83" s="18"/>
      <c r="I83" s="18"/>
    </row>
    <row r="84" spans="1:9" ht="10.5" x14ac:dyDescent="0.25">
      <c r="A84" s="35" t="s">
        <v>177</v>
      </c>
      <c r="B84" s="35"/>
      <c r="C84" s="35"/>
      <c r="D84" s="36"/>
      <c r="E84" s="37">
        <v>135232.24273580001</v>
      </c>
      <c r="F84" s="38">
        <v>100</v>
      </c>
      <c r="G84" s="37"/>
      <c r="H84" s="18"/>
      <c r="I84" s="18"/>
    </row>
    <row r="85" spans="1:9" ht="10.5" x14ac:dyDescent="0.25">
      <c r="F85" s="20" t="s">
        <v>337</v>
      </c>
    </row>
    <row r="86" spans="1:9" ht="10.5" x14ac:dyDescent="0.25">
      <c r="A86" s="18" t="s">
        <v>180</v>
      </c>
    </row>
    <row r="89" spans="1:9" ht="10.5" x14ac:dyDescent="0.25">
      <c r="A89" s="18" t="s">
        <v>181</v>
      </c>
    </row>
    <row r="90" spans="1:9" ht="10.5" x14ac:dyDescent="0.25">
      <c r="A90" s="18" t="s">
        <v>182</v>
      </c>
    </row>
    <row r="91" spans="1:9" ht="10.5" x14ac:dyDescent="0.25">
      <c r="A91" s="18" t="s">
        <v>183</v>
      </c>
      <c r="B91" s="18"/>
      <c r="C91" s="39" t="s">
        <v>185</v>
      </c>
      <c r="D91" s="19" t="s">
        <v>184</v>
      </c>
    </row>
    <row r="92" spans="1:9" x14ac:dyDescent="0.2">
      <c r="A92" s="9" t="s">
        <v>421</v>
      </c>
      <c r="C92" s="40">
        <v>105.3899</v>
      </c>
      <c r="D92" s="40">
        <v>135.33009999999999</v>
      </c>
    </row>
    <row r="93" spans="1:9" x14ac:dyDescent="0.2">
      <c r="A93" s="9" t="s">
        <v>458</v>
      </c>
      <c r="C93" s="40">
        <v>18.011900000000001</v>
      </c>
      <c r="D93" s="40">
        <v>21.549199999999999</v>
      </c>
    </row>
    <row r="94" spans="1:9" x14ac:dyDescent="0.2">
      <c r="A94" s="9" t="s">
        <v>424</v>
      </c>
      <c r="C94" s="40">
        <v>114.2054</v>
      </c>
      <c r="D94" s="40">
        <v>147.38220000000001</v>
      </c>
    </row>
    <row r="95" spans="1:9" x14ac:dyDescent="0.2">
      <c r="A95" s="9" t="s">
        <v>459</v>
      </c>
      <c r="C95" s="40">
        <v>19.944600000000001</v>
      </c>
      <c r="D95" s="40">
        <v>24.1493</v>
      </c>
    </row>
    <row r="97" spans="1:5" ht="10.5" x14ac:dyDescent="0.25">
      <c r="A97" s="18" t="s">
        <v>197</v>
      </c>
    </row>
    <row r="98" spans="1:5" ht="10.5" x14ac:dyDescent="0.25">
      <c r="A98" s="73" t="s">
        <v>403</v>
      </c>
      <c r="B98" s="74"/>
      <c r="C98" s="45" t="s">
        <v>404</v>
      </c>
    </row>
    <row r="99" spans="1:5" x14ac:dyDescent="0.2">
      <c r="A99" s="69" t="s">
        <v>458</v>
      </c>
      <c r="B99" s="70"/>
      <c r="C99" s="46">
        <v>1.25</v>
      </c>
    </row>
    <row r="100" spans="1:5" x14ac:dyDescent="0.2">
      <c r="A100" s="69" t="s">
        <v>459</v>
      </c>
      <c r="B100" s="70"/>
      <c r="C100" s="46">
        <v>1.25</v>
      </c>
    </row>
    <row r="101" spans="1:5" x14ac:dyDescent="0.2">
      <c r="A101" s="9" t="s">
        <v>405</v>
      </c>
    </row>
    <row r="103" spans="1:5" ht="10.5" x14ac:dyDescent="0.25">
      <c r="A103" s="18" t="s">
        <v>1003</v>
      </c>
      <c r="D103" s="47">
        <v>0.36199999999999999</v>
      </c>
    </row>
    <row r="105" spans="1:5" ht="10.5" x14ac:dyDescent="0.25">
      <c r="A105" s="18" t="s">
        <v>1004</v>
      </c>
      <c r="D105" s="42">
        <v>2.8138093293856201</v>
      </c>
      <c r="E105" s="13" t="s">
        <v>200</v>
      </c>
    </row>
    <row r="107" spans="1:5" ht="10.5" x14ac:dyDescent="0.25">
      <c r="A107" s="18" t="s">
        <v>1005</v>
      </c>
      <c r="D107" s="41" t="s">
        <v>198</v>
      </c>
    </row>
  </sheetData>
  <mergeCells count="4">
    <mergeCell ref="A1:G1"/>
    <mergeCell ref="A98:B98"/>
    <mergeCell ref="A99:B99"/>
    <mergeCell ref="A100:B100"/>
  </mergeCells>
  <conditionalFormatting sqref="F2:F3 F5:F84 F86:F65538">
    <cfRule type="cellIs" dxfId="25" priority="2" stopIfTrue="1" operator="between">
      <formula>0.009</formula>
      <formula>-0.009</formula>
    </cfRule>
  </conditionalFormatting>
  <conditionalFormatting sqref="F85">
    <cfRule type="cellIs" dxfId="2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I60"/>
  <sheetViews>
    <sheetView workbookViewId="0">
      <selection sqref="A1:F1"/>
    </sheetView>
  </sheetViews>
  <sheetFormatPr defaultColWidth="9.1796875" defaultRowHeight="10" x14ac:dyDescent="0.2"/>
  <cols>
    <col min="1" max="1" width="38.7265625" style="9" bestFit="1" customWidth="1"/>
    <col min="2" max="2" width="25.81640625" style="9" bestFit="1" customWidth="1"/>
    <col min="3" max="3" width="18.81640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47</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880</v>
      </c>
      <c r="B7" s="27" t="s">
        <v>879</v>
      </c>
      <c r="C7" s="27" t="s">
        <v>871</v>
      </c>
      <c r="D7" s="31">
        <v>800000</v>
      </c>
      <c r="E7" s="29">
        <v>3786.8</v>
      </c>
      <c r="F7" s="30">
        <v>8.3907293908063991</v>
      </c>
    </row>
    <row r="8" spans="1:6" x14ac:dyDescent="0.2">
      <c r="A8" s="27" t="s">
        <v>920</v>
      </c>
      <c r="B8" s="27" t="s">
        <v>919</v>
      </c>
      <c r="C8" s="27" t="s">
        <v>871</v>
      </c>
      <c r="D8" s="31">
        <v>1400000</v>
      </c>
      <c r="E8" s="29">
        <v>3419.5</v>
      </c>
      <c r="F8" s="30">
        <v>7.5768720692570204</v>
      </c>
    </row>
    <row r="9" spans="1:6" x14ac:dyDescent="0.2">
      <c r="A9" s="27" t="s">
        <v>870</v>
      </c>
      <c r="B9" s="27" t="s">
        <v>869</v>
      </c>
      <c r="C9" s="27" t="s">
        <v>871</v>
      </c>
      <c r="D9" s="31">
        <v>200000</v>
      </c>
      <c r="E9" s="29">
        <v>2881.7</v>
      </c>
      <c r="F9" s="30">
        <v>6.3852236414616002</v>
      </c>
    </row>
    <row r="10" spans="1:6" x14ac:dyDescent="0.2">
      <c r="A10" s="27" t="s">
        <v>1017</v>
      </c>
      <c r="B10" s="27" t="s">
        <v>1016</v>
      </c>
      <c r="C10" s="27" t="s">
        <v>898</v>
      </c>
      <c r="D10" s="31">
        <v>3000000</v>
      </c>
      <c r="E10" s="29">
        <v>2344.5</v>
      </c>
      <c r="F10" s="30">
        <v>5.1949046838347996</v>
      </c>
    </row>
    <row r="11" spans="1:6" x14ac:dyDescent="0.2">
      <c r="A11" s="27" t="s">
        <v>882</v>
      </c>
      <c r="B11" s="27" t="s">
        <v>881</v>
      </c>
      <c r="C11" s="27" t="s">
        <v>883</v>
      </c>
      <c r="D11" s="31">
        <v>500000</v>
      </c>
      <c r="E11" s="29">
        <v>2316.25</v>
      </c>
      <c r="F11" s="30">
        <v>5.13230879672951</v>
      </c>
    </row>
    <row r="12" spans="1:6" x14ac:dyDescent="0.2">
      <c r="A12" s="27" t="s">
        <v>873</v>
      </c>
      <c r="B12" s="27" t="s">
        <v>872</v>
      </c>
      <c r="C12" s="27" t="s">
        <v>871</v>
      </c>
      <c r="D12" s="31">
        <v>385000</v>
      </c>
      <c r="E12" s="29">
        <v>2316.16</v>
      </c>
      <c r="F12" s="30">
        <v>5.1321093762042196</v>
      </c>
    </row>
    <row r="13" spans="1:6" x14ac:dyDescent="0.2">
      <c r="A13" s="27" t="s">
        <v>897</v>
      </c>
      <c r="B13" s="27" t="s">
        <v>896</v>
      </c>
      <c r="C13" s="27" t="s">
        <v>898</v>
      </c>
      <c r="D13" s="31">
        <v>280000</v>
      </c>
      <c r="E13" s="29">
        <v>2021.6</v>
      </c>
      <c r="F13" s="30">
        <v>4.47942815476239</v>
      </c>
    </row>
    <row r="14" spans="1:6" x14ac:dyDescent="0.2">
      <c r="A14" s="27" t="s">
        <v>875</v>
      </c>
      <c r="B14" s="27" t="s">
        <v>874</v>
      </c>
      <c r="C14" s="27" t="s">
        <v>876</v>
      </c>
      <c r="D14" s="31">
        <v>180000</v>
      </c>
      <c r="E14" s="29">
        <v>1980</v>
      </c>
      <c r="F14" s="30">
        <v>4.3872515564055901</v>
      </c>
    </row>
    <row r="15" spans="1:6" x14ac:dyDescent="0.2">
      <c r="A15" s="27" t="s">
        <v>885</v>
      </c>
      <c r="B15" s="27" t="s">
        <v>884</v>
      </c>
      <c r="C15" s="27" t="s">
        <v>886</v>
      </c>
      <c r="D15" s="31">
        <v>210000</v>
      </c>
      <c r="E15" s="29">
        <v>1839.075</v>
      </c>
      <c r="F15" s="30">
        <v>4.0749922505538398</v>
      </c>
    </row>
    <row r="16" spans="1:6" x14ac:dyDescent="0.2">
      <c r="A16" s="27" t="s">
        <v>1019</v>
      </c>
      <c r="B16" s="27" t="s">
        <v>1018</v>
      </c>
      <c r="C16" s="27" t="s">
        <v>907</v>
      </c>
      <c r="D16" s="31">
        <v>800000</v>
      </c>
      <c r="E16" s="29">
        <v>1549.2</v>
      </c>
      <c r="F16" s="30">
        <v>3.4326919753452199</v>
      </c>
    </row>
    <row r="17" spans="1:6" x14ac:dyDescent="0.2">
      <c r="A17" s="27" t="s">
        <v>922</v>
      </c>
      <c r="B17" s="27" t="s">
        <v>921</v>
      </c>
      <c r="C17" s="27" t="s">
        <v>918</v>
      </c>
      <c r="D17" s="31">
        <v>1400000</v>
      </c>
      <c r="E17" s="29">
        <v>1325.8</v>
      </c>
      <c r="F17" s="30">
        <v>2.93768591590027</v>
      </c>
    </row>
    <row r="18" spans="1:6" x14ac:dyDescent="0.2">
      <c r="A18" s="27" t="s">
        <v>1021</v>
      </c>
      <c r="B18" s="27" t="s">
        <v>1020</v>
      </c>
      <c r="C18" s="27" t="s">
        <v>1022</v>
      </c>
      <c r="D18" s="31">
        <v>1100000</v>
      </c>
      <c r="E18" s="29">
        <v>1222.0999999999999</v>
      </c>
      <c r="F18" s="30">
        <v>2.70790915509256</v>
      </c>
    </row>
    <row r="19" spans="1:6" x14ac:dyDescent="0.2">
      <c r="A19" s="27" t="s">
        <v>1024</v>
      </c>
      <c r="B19" s="27" t="s">
        <v>1023</v>
      </c>
      <c r="C19" s="27" t="s">
        <v>876</v>
      </c>
      <c r="D19" s="31">
        <v>130000</v>
      </c>
      <c r="E19" s="29">
        <v>1068.73</v>
      </c>
      <c r="F19" s="30">
        <v>2.3680744221602699</v>
      </c>
    </row>
    <row r="20" spans="1:6" x14ac:dyDescent="0.2">
      <c r="A20" s="27" t="s">
        <v>1026</v>
      </c>
      <c r="B20" s="27" t="s">
        <v>1025</v>
      </c>
      <c r="C20" s="27" t="s">
        <v>1027</v>
      </c>
      <c r="D20" s="31">
        <v>1300000</v>
      </c>
      <c r="E20" s="29">
        <v>1020.5</v>
      </c>
      <c r="F20" s="30">
        <v>2.2612071784403498</v>
      </c>
    </row>
    <row r="21" spans="1:6" x14ac:dyDescent="0.2">
      <c r="A21" s="27" t="s">
        <v>1002</v>
      </c>
      <c r="B21" s="27" t="s">
        <v>1001</v>
      </c>
      <c r="C21" s="27" t="s">
        <v>871</v>
      </c>
      <c r="D21" s="31">
        <v>1600000</v>
      </c>
      <c r="E21" s="29">
        <v>1004.8</v>
      </c>
      <c r="F21" s="30">
        <v>2.2264193756951198</v>
      </c>
    </row>
    <row r="22" spans="1:6" x14ac:dyDescent="0.2">
      <c r="A22" s="27" t="s">
        <v>951</v>
      </c>
      <c r="B22" s="27" t="s">
        <v>950</v>
      </c>
      <c r="C22" s="27" t="s">
        <v>952</v>
      </c>
      <c r="D22" s="31">
        <v>800000</v>
      </c>
      <c r="E22" s="29">
        <v>1004.4</v>
      </c>
      <c r="F22" s="30">
        <v>2.2255330622493799</v>
      </c>
    </row>
    <row r="23" spans="1:6" x14ac:dyDescent="0.2">
      <c r="A23" s="27" t="s">
        <v>1029</v>
      </c>
      <c r="B23" s="27" t="s">
        <v>1028</v>
      </c>
      <c r="C23" s="27" t="s">
        <v>1030</v>
      </c>
      <c r="D23" s="31">
        <v>250000</v>
      </c>
      <c r="E23" s="29">
        <v>980.25</v>
      </c>
      <c r="F23" s="30">
        <v>2.1720218879629201</v>
      </c>
    </row>
    <row r="24" spans="1:6" x14ac:dyDescent="0.2">
      <c r="A24" s="27" t="s">
        <v>917</v>
      </c>
      <c r="B24" s="27" t="s">
        <v>916</v>
      </c>
      <c r="C24" s="27" t="s">
        <v>918</v>
      </c>
      <c r="D24" s="31">
        <v>500000</v>
      </c>
      <c r="E24" s="29">
        <v>962</v>
      </c>
      <c r="F24" s="30">
        <v>2.1315838370011</v>
      </c>
    </row>
    <row r="25" spans="1:6" x14ac:dyDescent="0.2">
      <c r="A25" s="27" t="s">
        <v>993</v>
      </c>
      <c r="B25" s="27" t="s">
        <v>992</v>
      </c>
      <c r="C25" s="27" t="s">
        <v>912</v>
      </c>
      <c r="D25" s="31">
        <v>1100000</v>
      </c>
      <c r="E25" s="29">
        <v>930.6</v>
      </c>
      <c r="F25" s="30">
        <v>2.0620082315106298</v>
      </c>
    </row>
    <row r="26" spans="1:6" x14ac:dyDescent="0.2">
      <c r="A26" s="27" t="s">
        <v>1032</v>
      </c>
      <c r="B26" s="27" t="s">
        <v>1031</v>
      </c>
      <c r="C26" s="27" t="s">
        <v>925</v>
      </c>
      <c r="D26" s="31">
        <v>300000</v>
      </c>
      <c r="E26" s="29">
        <v>926.4</v>
      </c>
      <c r="F26" s="30">
        <v>2.0527019403303699</v>
      </c>
    </row>
    <row r="27" spans="1:6" x14ac:dyDescent="0.2">
      <c r="A27" s="27" t="s">
        <v>979</v>
      </c>
      <c r="B27" s="27" t="s">
        <v>978</v>
      </c>
      <c r="C27" s="27" t="s">
        <v>876</v>
      </c>
      <c r="D27" s="31">
        <v>100000</v>
      </c>
      <c r="E27" s="29">
        <v>876.85</v>
      </c>
      <c r="F27" s="30">
        <v>1.94290986223951</v>
      </c>
    </row>
    <row r="28" spans="1:6" x14ac:dyDescent="0.2">
      <c r="A28" s="27" t="s">
        <v>1000</v>
      </c>
      <c r="B28" s="27" t="s">
        <v>999</v>
      </c>
      <c r="C28" s="27" t="s">
        <v>901</v>
      </c>
      <c r="D28" s="31">
        <v>800000</v>
      </c>
      <c r="E28" s="29">
        <v>821.2</v>
      </c>
      <c r="F28" s="30">
        <v>1.81960150410115</v>
      </c>
    </row>
    <row r="29" spans="1:6" x14ac:dyDescent="0.2">
      <c r="A29" s="27" t="s">
        <v>998</v>
      </c>
      <c r="B29" s="27" t="s">
        <v>997</v>
      </c>
      <c r="C29" s="27" t="s">
        <v>967</v>
      </c>
      <c r="D29" s="31">
        <v>200000</v>
      </c>
      <c r="E29" s="29">
        <v>756.9</v>
      </c>
      <c r="F29" s="30">
        <v>1.6771266176986801</v>
      </c>
    </row>
    <row r="30" spans="1:6" x14ac:dyDescent="0.2">
      <c r="A30" s="27" t="s">
        <v>929</v>
      </c>
      <c r="B30" s="27" t="s">
        <v>928</v>
      </c>
      <c r="C30" s="27" t="s">
        <v>912</v>
      </c>
      <c r="D30" s="31">
        <v>200000</v>
      </c>
      <c r="E30" s="29">
        <v>746</v>
      </c>
      <c r="F30" s="30">
        <v>1.65297457630231</v>
      </c>
    </row>
    <row r="31" spans="1:6" x14ac:dyDescent="0.2">
      <c r="A31" s="27" t="s">
        <v>1034</v>
      </c>
      <c r="B31" s="27" t="s">
        <v>1033</v>
      </c>
      <c r="C31" s="27" t="s">
        <v>907</v>
      </c>
      <c r="D31" s="31">
        <v>150000</v>
      </c>
      <c r="E31" s="29">
        <v>660.52499999999998</v>
      </c>
      <c r="F31" s="30">
        <v>1.4635804718660601</v>
      </c>
    </row>
    <row r="32" spans="1:6" x14ac:dyDescent="0.2">
      <c r="A32" s="27" t="s">
        <v>1036</v>
      </c>
      <c r="B32" s="27" t="s">
        <v>1035</v>
      </c>
      <c r="C32" s="27" t="s">
        <v>1037</v>
      </c>
      <c r="D32" s="31">
        <v>160000</v>
      </c>
      <c r="E32" s="29">
        <v>649.67999999999995</v>
      </c>
      <c r="F32" s="30">
        <v>1.43955029856848</v>
      </c>
    </row>
    <row r="33" spans="1:9" x14ac:dyDescent="0.2">
      <c r="A33" s="27" t="s">
        <v>903</v>
      </c>
      <c r="B33" s="27" t="s">
        <v>902</v>
      </c>
      <c r="C33" s="27" t="s">
        <v>904</v>
      </c>
      <c r="D33" s="31">
        <v>100000</v>
      </c>
      <c r="E33" s="29">
        <v>577.35</v>
      </c>
      <c r="F33" s="30">
        <v>1.2792826697428099</v>
      </c>
    </row>
    <row r="34" spans="1:9" x14ac:dyDescent="0.2">
      <c r="A34" s="27" t="s">
        <v>1039</v>
      </c>
      <c r="B34" s="27" t="s">
        <v>1038</v>
      </c>
      <c r="C34" s="27" t="s">
        <v>967</v>
      </c>
      <c r="D34" s="31">
        <v>800000</v>
      </c>
      <c r="E34" s="29">
        <v>562.4</v>
      </c>
      <c r="F34" s="30">
        <v>1.24615670470833</v>
      </c>
    </row>
    <row r="35" spans="1:9" x14ac:dyDescent="0.2">
      <c r="A35" s="27" t="s">
        <v>1041</v>
      </c>
      <c r="B35" s="27" t="s">
        <v>1040</v>
      </c>
      <c r="C35" s="27" t="s">
        <v>886</v>
      </c>
      <c r="D35" s="31">
        <v>30000</v>
      </c>
      <c r="E35" s="29">
        <v>511.51499999999999</v>
      </c>
      <c r="F35" s="30">
        <v>1.1334065554923201</v>
      </c>
    </row>
    <row r="36" spans="1:9" x14ac:dyDescent="0.2">
      <c r="A36" s="27" t="s">
        <v>1043</v>
      </c>
      <c r="B36" s="27" t="s">
        <v>1042</v>
      </c>
      <c r="C36" s="27" t="s">
        <v>912</v>
      </c>
      <c r="D36" s="31">
        <v>59701</v>
      </c>
      <c r="E36" s="29">
        <v>472.53341499999999</v>
      </c>
      <c r="F36" s="30">
        <v>1.0470317981880799</v>
      </c>
    </row>
    <row r="37" spans="1:9" x14ac:dyDescent="0.2">
      <c r="A37" s="27" t="s">
        <v>1045</v>
      </c>
      <c r="B37" s="27" t="s">
        <v>1044</v>
      </c>
      <c r="C37" s="27" t="s">
        <v>1046</v>
      </c>
      <c r="D37" s="31">
        <v>130000</v>
      </c>
      <c r="E37" s="29">
        <v>457.40499999999997</v>
      </c>
      <c r="F37" s="30">
        <v>1.0135105041200501</v>
      </c>
    </row>
    <row r="38" spans="1:9" x14ac:dyDescent="0.2">
      <c r="A38" s="27" t="s">
        <v>1048</v>
      </c>
      <c r="B38" s="27" t="s">
        <v>1047</v>
      </c>
      <c r="C38" s="27" t="s">
        <v>889</v>
      </c>
      <c r="D38" s="31">
        <v>3500</v>
      </c>
      <c r="E38" s="29">
        <v>448.56349999999998</v>
      </c>
      <c r="F38" s="30">
        <v>0.99391965329380705</v>
      </c>
    </row>
    <row r="39" spans="1:9" x14ac:dyDescent="0.2">
      <c r="A39" s="27" t="s">
        <v>995</v>
      </c>
      <c r="B39" s="27" t="s">
        <v>994</v>
      </c>
      <c r="C39" s="27" t="s">
        <v>996</v>
      </c>
      <c r="D39" s="31">
        <v>300000</v>
      </c>
      <c r="E39" s="29">
        <v>359.4</v>
      </c>
      <c r="F39" s="30">
        <v>0.79635263099604403</v>
      </c>
    </row>
    <row r="40" spans="1:9" x14ac:dyDescent="0.2">
      <c r="A40" s="27" t="s">
        <v>1050</v>
      </c>
      <c r="B40" s="27" t="s">
        <v>1049</v>
      </c>
      <c r="C40" s="27" t="s">
        <v>1051</v>
      </c>
      <c r="D40" s="31">
        <v>40000</v>
      </c>
      <c r="E40" s="29">
        <v>326.06</v>
      </c>
      <c r="F40" s="30">
        <v>0.72247840529373997</v>
      </c>
    </row>
    <row r="41" spans="1:9" ht="10.5" x14ac:dyDescent="0.25">
      <c r="A41" s="26" t="s">
        <v>164</v>
      </c>
      <c r="B41" s="26"/>
      <c r="C41" s="26"/>
      <c r="D41" s="32"/>
      <c r="E41" s="33">
        <f>SUM(E7:E40)</f>
        <v>43126.746914999989</v>
      </c>
      <c r="F41" s="34">
        <f>SUM(F7:F40)</f>
        <v>95.559539154314891</v>
      </c>
      <c r="G41" s="18"/>
      <c r="H41" s="18"/>
      <c r="I41" s="18"/>
    </row>
    <row r="42" spans="1:9" x14ac:dyDescent="0.2">
      <c r="A42" s="27"/>
      <c r="B42" s="27"/>
      <c r="C42" s="27"/>
      <c r="D42" s="28"/>
      <c r="E42" s="29"/>
      <c r="F42" s="30"/>
    </row>
    <row r="43" spans="1:9" ht="10.5" x14ac:dyDescent="0.25">
      <c r="A43" s="26" t="s">
        <v>176</v>
      </c>
      <c r="B43" s="26"/>
      <c r="C43" s="26"/>
      <c r="D43" s="32"/>
      <c r="E43" s="33">
        <f>E41</f>
        <v>43126.746914999989</v>
      </c>
      <c r="F43" s="34">
        <f>F41</f>
        <v>95.559539154314891</v>
      </c>
      <c r="G43" s="18"/>
      <c r="H43" s="18"/>
      <c r="I43" s="18"/>
    </row>
    <row r="44" spans="1:9" ht="10.5" x14ac:dyDescent="0.25">
      <c r="A44" s="26"/>
      <c r="B44" s="26"/>
      <c r="C44" s="26"/>
      <c r="D44" s="32"/>
      <c r="E44" s="33"/>
      <c r="F44" s="34"/>
      <c r="G44" s="18"/>
      <c r="H44" s="18"/>
      <c r="I44" s="18"/>
    </row>
    <row r="45" spans="1:9" ht="10.5" x14ac:dyDescent="0.25">
      <c r="A45" s="26" t="s">
        <v>178</v>
      </c>
      <c r="B45" s="26"/>
      <c r="C45" s="26"/>
      <c r="D45" s="32"/>
      <c r="E45" s="33">
        <f>E47-(E41)</f>
        <v>2004.0137570000079</v>
      </c>
      <c r="F45" s="34">
        <f>F47-(F41)</f>
        <v>4.4404608456851093</v>
      </c>
      <c r="G45" s="18"/>
      <c r="H45" s="18"/>
      <c r="I45" s="18"/>
    </row>
    <row r="46" spans="1:9" ht="10.5" x14ac:dyDescent="0.25">
      <c r="A46" s="26"/>
      <c r="B46" s="26"/>
      <c r="C46" s="26"/>
      <c r="D46" s="32"/>
      <c r="E46" s="33"/>
      <c r="F46" s="34"/>
      <c r="G46" s="18"/>
      <c r="H46" s="18"/>
      <c r="I46" s="18"/>
    </row>
    <row r="47" spans="1:9" ht="10.5" x14ac:dyDescent="0.25">
      <c r="A47" s="35" t="s">
        <v>177</v>
      </c>
      <c r="B47" s="35"/>
      <c r="C47" s="35"/>
      <c r="D47" s="36"/>
      <c r="E47" s="37">
        <v>45130.760671999997</v>
      </c>
      <c r="F47" s="38">
        <v>100</v>
      </c>
      <c r="G47" s="18"/>
      <c r="H47" s="18"/>
      <c r="I47" s="18"/>
    </row>
    <row r="50" spans="1:4" ht="10.5" x14ac:dyDescent="0.25">
      <c r="A50" s="18" t="s">
        <v>181</v>
      </c>
    </row>
    <row r="51" spans="1:4" ht="10.5" x14ac:dyDescent="0.25">
      <c r="A51" s="18" t="s">
        <v>182</v>
      </c>
    </row>
    <row r="52" spans="1:4" ht="10.5" x14ac:dyDescent="0.25">
      <c r="A52" s="18" t="s">
        <v>183</v>
      </c>
      <c r="B52" s="18"/>
      <c r="C52" s="39" t="s">
        <v>185</v>
      </c>
      <c r="D52" s="19" t="s">
        <v>184</v>
      </c>
    </row>
    <row r="53" spans="1:4" x14ac:dyDescent="0.2">
      <c r="A53" s="9" t="s">
        <v>421</v>
      </c>
      <c r="C53" s="40">
        <v>180.649</v>
      </c>
      <c r="D53" s="40">
        <v>253.17259999999999</v>
      </c>
    </row>
    <row r="54" spans="1:4" x14ac:dyDescent="0.2">
      <c r="A54" s="9" t="s">
        <v>458</v>
      </c>
      <c r="C54" s="40">
        <v>39.508099999999999</v>
      </c>
      <c r="D54" s="40">
        <v>55.369199999999999</v>
      </c>
    </row>
    <row r="55" spans="1:4" x14ac:dyDescent="0.2">
      <c r="A55" s="9" t="s">
        <v>424</v>
      </c>
      <c r="C55" s="40">
        <v>190.6497</v>
      </c>
      <c r="D55" s="40">
        <v>268.48320000000001</v>
      </c>
    </row>
    <row r="56" spans="1:4" x14ac:dyDescent="0.2">
      <c r="A56" s="9" t="s">
        <v>459</v>
      </c>
      <c r="C56" s="40">
        <v>42.465499999999999</v>
      </c>
      <c r="D56" s="40">
        <v>59.795299999999997</v>
      </c>
    </row>
    <row r="58" spans="1:4" ht="10.5" x14ac:dyDescent="0.25">
      <c r="A58" s="18" t="s">
        <v>197</v>
      </c>
      <c r="D58" s="41" t="s">
        <v>198</v>
      </c>
    </row>
    <row r="60" spans="1:4" ht="10.5" x14ac:dyDescent="0.25">
      <c r="A60" s="18" t="s">
        <v>1003</v>
      </c>
      <c r="D60" s="47">
        <v>0.19089999999999999</v>
      </c>
    </row>
  </sheetData>
  <mergeCells count="1">
    <mergeCell ref="A1:F1"/>
  </mergeCells>
  <conditionalFormatting sqref="F2:F3 F5:F65536">
    <cfRule type="cellIs" dxfId="2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I85"/>
  <sheetViews>
    <sheetView workbookViewId="0">
      <selection sqref="A1:F1"/>
    </sheetView>
  </sheetViews>
  <sheetFormatPr defaultColWidth="9.1796875" defaultRowHeight="10" x14ac:dyDescent="0.2"/>
  <cols>
    <col min="1" max="1" width="40.54296875" style="9" bestFit="1" customWidth="1"/>
    <col min="2" max="2" width="26.54296875" style="9" bestFit="1" customWidth="1"/>
    <col min="3" max="3" width="21.179687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48</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875</v>
      </c>
      <c r="B7" s="27" t="s">
        <v>874</v>
      </c>
      <c r="C7" s="27" t="s">
        <v>876</v>
      </c>
      <c r="D7" s="31">
        <v>775444</v>
      </c>
      <c r="E7" s="29">
        <v>8529.884</v>
      </c>
      <c r="F7" s="30">
        <v>9.7744320824858999</v>
      </c>
    </row>
    <row r="8" spans="1:6" x14ac:dyDescent="0.2">
      <c r="A8" s="27" t="s">
        <v>917</v>
      </c>
      <c r="B8" s="27" t="s">
        <v>916</v>
      </c>
      <c r="C8" s="27" t="s">
        <v>918</v>
      </c>
      <c r="D8" s="31">
        <v>2509054</v>
      </c>
      <c r="E8" s="29">
        <v>4827.4198960000003</v>
      </c>
      <c r="F8" s="30">
        <v>5.5317619685206898</v>
      </c>
    </row>
    <row r="9" spans="1:6" x14ac:dyDescent="0.2">
      <c r="A9" s="27" t="s">
        <v>971</v>
      </c>
      <c r="B9" s="27" t="s">
        <v>970</v>
      </c>
      <c r="C9" s="27" t="s">
        <v>918</v>
      </c>
      <c r="D9" s="31">
        <v>7297866</v>
      </c>
      <c r="E9" s="29">
        <v>4736.3150340000002</v>
      </c>
      <c r="F9" s="30">
        <v>5.4273645012159504</v>
      </c>
    </row>
    <row r="10" spans="1:6" x14ac:dyDescent="0.2">
      <c r="A10" s="27" t="s">
        <v>922</v>
      </c>
      <c r="B10" s="27" t="s">
        <v>921</v>
      </c>
      <c r="C10" s="27" t="s">
        <v>918</v>
      </c>
      <c r="D10" s="31">
        <v>3350145</v>
      </c>
      <c r="E10" s="29">
        <v>3172.5873150000002</v>
      </c>
      <c r="F10" s="30">
        <v>3.6354819404606</v>
      </c>
    </row>
    <row r="11" spans="1:6" x14ac:dyDescent="0.2">
      <c r="A11" s="27" t="s">
        <v>977</v>
      </c>
      <c r="B11" s="27" t="s">
        <v>976</v>
      </c>
      <c r="C11" s="27" t="s">
        <v>918</v>
      </c>
      <c r="D11" s="31">
        <v>14497327</v>
      </c>
      <c r="E11" s="29">
        <v>3109.6766419999999</v>
      </c>
      <c r="F11" s="30">
        <v>3.5633923199567299</v>
      </c>
    </row>
    <row r="12" spans="1:6" x14ac:dyDescent="0.2">
      <c r="A12" s="27" t="s">
        <v>1054</v>
      </c>
      <c r="B12" s="27" t="s">
        <v>1053</v>
      </c>
      <c r="C12" s="27" t="s">
        <v>967</v>
      </c>
      <c r="D12" s="31">
        <v>284585</v>
      </c>
      <c r="E12" s="29">
        <v>2678.3717280000001</v>
      </c>
      <c r="F12" s="30">
        <v>3.0691580972245802</v>
      </c>
    </row>
    <row r="13" spans="1:6" x14ac:dyDescent="0.2">
      <c r="A13" s="27" t="s">
        <v>1056</v>
      </c>
      <c r="B13" s="27" t="s">
        <v>1055</v>
      </c>
      <c r="C13" s="27" t="s">
        <v>925</v>
      </c>
      <c r="D13" s="31">
        <v>419757</v>
      </c>
      <c r="E13" s="29">
        <v>2648.0370349999998</v>
      </c>
      <c r="F13" s="30">
        <v>3.0343974373525899</v>
      </c>
    </row>
    <row r="14" spans="1:6" x14ac:dyDescent="0.2">
      <c r="A14" s="27" t="s">
        <v>885</v>
      </c>
      <c r="B14" s="27" t="s">
        <v>884</v>
      </c>
      <c r="C14" s="27" t="s">
        <v>886</v>
      </c>
      <c r="D14" s="31">
        <v>264691</v>
      </c>
      <c r="E14" s="29">
        <v>2318.0314330000001</v>
      </c>
      <c r="F14" s="30">
        <v>2.65624254760393</v>
      </c>
    </row>
    <row r="15" spans="1:6" x14ac:dyDescent="0.2">
      <c r="A15" s="27" t="s">
        <v>1058</v>
      </c>
      <c r="B15" s="27" t="s">
        <v>1057</v>
      </c>
      <c r="C15" s="27" t="s">
        <v>907</v>
      </c>
      <c r="D15" s="31">
        <v>401912</v>
      </c>
      <c r="E15" s="29">
        <v>2162.28656</v>
      </c>
      <c r="F15" s="30">
        <v>2.47777380367565</v>
      </c>
    </row>
    <row r="16" spans="1:6" x14ac:dyDescent="0.2">
      <c r="A16" s="27" t="s">
        <v>900</v>
      </c>
      <c r="B16" s="27" t="s">
        <v>899</v>
      </c>
      <c r="C16" s="27" t="s">
        <v>901</v>
      </c>
      <c r="D16" s="31">
        <v>803388</v>
      </c>
      <c r="E16" s="29">
        <v>2018.51235</v>
      </c>
      <c r="F16" s="30">
        <v>2.31302229581715</v>
      </c>
    </row>
    <row r="17" spans="1:6" x14ac:dyDescent="0.2">
      <c r="A17" s="27" t="s">
        <v>1060</v>
      </c>
      <c r="B17" s="27" t="s">
        <v>1059</v>
      </c>
      <c r="C17" s="27" t="s">
        <v>1037</v>
      </c>
      <c r="D17" s="31">
        <v>1517846</v>
      </c>
      <c r="E17" s="29">
        <v>1994.449644</v>
      </c>
      <c r="F17" s="30">
        <v>2.2854487337947602</v>
      </c>
    </row>
    <row r="18" spans="1:6" x14ac:dyDescent="0.2">
      <c r="A18" s="27" t="s">
        <v>1029</v>
      </c>
      <c r="B18" s="27" t="s">
        <v>1028</v>
      </c>
      <c r="C18" s="27" t="s">
        <v>1030</v>
      </c>
      <c r="D18" s="31">
        <v>484134</v>
      </c>
      <c r="E18" s="29">
        <v>1898.2894140000001</v>
      </c>
      <c r="F18" s="30">
        <v>2.1752582977734498</v>
      </c>
    </row>
    <row r="19" spans="1:6" x14ac:dyDescent="0.2">
      <c r="A19" s="27" t="s">
        <v>906</v>
      </c>
      <c r="B19" s="27" t="s">
        <v>905</v>
      </c>
      <c r="C19" s="27" t="s">
        <v>907</v>
      </c>
      <c r="D19" s="31">
        <v>114045</v>
      </c>
      <c r="E19" s="29">
        <v>1726.2991649999999</v>
      </c>
      <c r="F19" s="30">
        <v>1.97817390510171</v>
      </c>
    </row>
    <row r="20" spans="1:6" x14ac:dyDescent="0.2">
      <c r="A20" s="27" t="s">
        <v>951</v>
      </c>
      <c r="B20" s="27" t="s">
        <v>950</v>
      </c>
      <c r="C20" s="27" t="s">
        <v>952</v>
      </c>
      <c r="D20" s="31">
        <v>1247000</v>
      </c>
      <c r="E20" s="29">
        <v>1565.6085</v>
      </c>
      <c r="F20" s="30">
        <v>1.7940377560835099</v>
      </c>
    </row>
    <row r="21" spans="1:6" x14ac:dyDescent="0.2">
      <c r="A21" s="27" t="s">
        <v>1062</v>
      </c>
      <c r="B21" s="27" t="s">
        <v>1061</v>
      </c>
      <c r="C21" s="27" t="s">
        <v>886</v>
      </c>
      <c r="D21" s="31">
        <v>76875</v>
      </c>
      <c r="E21" s="29">
        <v>1560.5240630000001</v>
      </c>
      <c r="F21" s="30">
        <v>1.7882114770703199</v>
      </c>
    </row>
    <row r="22" spans="1:6" x14ac:dyDescent="0.2">
      <c r="A22" s="27" t="s">
        <v>1064</v>
      </c>
      <c r="B22" s="27" t="s">
        <v>1063</v>
      </c>
      <c r="C22" s="27" t="s">
        <v>996</v>
      </c>
      <c r="D22" s="31">
        <v>178656</v>
      </c>
      <c r="E22" s="29">
        <v>1439.0740800000001</v>
      </c>
      <c r="F22" s="30">
        <v>1.6490414004019101</v>
      </c>
    </row>
    <row r="23" spans="1:6" x14ac:dyDescent="0.2">
      <c r="A23" s="27" t="s">
        <v>1007</v>
      </c>
      <c r="B23" s="27" t="s">
        <v>1006</v>
      </c>
      <c r="C23" s="27" t="s">
        <v>876</v>
      </c>
      <c r="D23" s="31">
        <v>51823</v>
      </c>
      <c r="E23" s="29">
        <v>1388.6750199999999</v>
      </c>
      <c r="F23" s="30">
        <v>1.5912888929831599</v>
      </c>
    </row>
    <row r="24" spans="1:6" x14ac:dyDescent="0.2">
      <c r="A24" s="27" t="s">
        <v>909</v>
      </c>
      <c r="B24" s="27" t="s">
        <v>908</v>
      </c>
      <c r="C24" s="27" t="s">
        <v>901</v>
      </c>
      <c r="D24" s="31">
        <v>624255</v>
      </c>
      <c r="E24" s="29">
        <v>1370.5518529999999</v>
      </c>
      <c r="F24" s="30">
        <v>1.57052147516586</v>
      </c>
    </row>
    <row r="25" spans="1:6" x14ac:dyDescent="0.2">
      <c r="A25" s="27" t="s">
        <v>911</v>
      </c>
      <c r="B25" s="27" t="s">
        <v>910</v>
      </c>
      <c r="C25" s="27" t="s">
        <v>912</v>
      </c>
      <c r="D25" s="31">
        <v>639633</v>
      </c>
      <c r="E25" s="29">
        <v>1339.071686</v>
      </c>
      <c r="F25" s="30">
        <v>1.53444821153334</v>
      </c>
    </row>
    <row r="26" spans="1:6" x14ac:dyDescent="0.2">
      <c r="A26" s="27" t="s">
        <v>1066</v>
      </c>
      <c r="B26" s="27" t="s">
        <v>1065</v>
      </c>
      <c r="C26" s="27" t="s">
        <v>892</v>
      </c>
      <c r="D26" s="31">
        <v>3209748</v>
      </c>
      <c r="E26" s="29">
        <v>1258.2212159999999</v>
      </c>
      <c r="F26" s="30">
        <v>1.4418012977122301</v>
      </c>
    </row>
    <row r="27" spans="1:6" x14ac:dyDescent="0.2">
      <c r="A27" s="27" t="s">
        <v>1068</v>
      </c>
      <c r="B27" s="27" t="s">
        <v>1067</v>
      </c>
      <c r="C27" s="27" t="s">
        <v>898</v>
      </c>
      <c r="D27" s="31">
        <v>1239545</v>
      </c>
      <c r="E27" s="29">
        <v>1142.240718</v>
      </c>
      <c r="F27" s="30">
        <v>1.3088987282758999</v>
      </c>
    </row>
    <row r="28" spans="1:6" x14ac:dyDescent="0.2">
      <c r="A28" s="27" t="s">
        <v>897</v>
      </c>
      <c r="B28" s="27" t="s">
        <v>896</v>
      </c>
      <c r="C28" s="27" t="s">
        <v>898</v>
      </c>
      <c r="D28" s="31">
        <v>155566</v>
      </c>
      <c r="E28" s="29">
        <v>1123.18652</v>
      </c>
      <c r="F28" s="30">
        <v>1.28706443788728</v>
      </c>
    </row>
    <row r="29" spans="1:6" x14ac:dyDescent="0.2">
      <c r="A29" s="27" t="s">
        <v>1050</v>
      </c>
      <c r="B29" s="27" t="s">
        <v>1049</v>
      </c>
      <c r="C29" s="27" t="s">
        <v>1051</v>
      </c>
      <c r="D29" s="31">
        <v>136944</v>
      </c>
      <c r="E29" s="29">
        <v>1116.2990159999999</v>
      </c>
      <c r="F29" s="30">
        <v>1.2791720163647999</v>
      </c>
    </row>
    <row r="30" spans="1:6" x14ac:dyDescent="0.2">
      <c r="A30" s="27" t="s">
        <v>979</v>
      </c>
      <c r="B30" s="27" t="s">
        <v>978</v>
      </c>
      <c r="C30" s="27" t="s">
        <v>876</v>
      </c>
      <c r="D30" s="31">
        <v>121952</v>
      </c>
      <c r="E30" s="29">
        <v>1069.336112</v>
      </c>
      <c r="F30" s="30">
        <v>1.2253570154170399</v>
      </c>
    </row>
    <row r="31" spans="1:6" x14ac:dyDescent="0.2">
      <c r="A31" s="27" t="s">
        <v>1039</v>
      </c>
      <c r="B31" s="27" t="s">
        <v>1038</v>
      </c>
      <c r="C31" s="27" t="s">
        <v>967</v>
      </c>
      <c r="D31" s="31">
        <v>1505501</v>
      </c>
      <c r="E31" s="29">
        <v>1058.367203</v>
      </c>
      <c r="F31" s="30">
        <v>1.21278769371941</v>
      </c>
    </row>
    <row r="32" spans="1:6" x14ac:dyDescent="0.2">
      <c r="A32" s="27" t="s">
        <v>960</v>
      </c>
      <c r="B32" s="27" t="s">
        <v>959</v>
      </c>
      <c r="C32" s="27" t="s">
        <v>915</v>
      </c>
      <c r="D32" s="31">
        <v>20000</v>
      </c>
      <c r="E32" s="29">
        <v>965.79</v>
      </c>
      <c r="F32" s="30">
        <v>1.1067030643024101</v>
      </c>
    </row>
    <row r="33" spans="1:9" x14ac:dyDescent="0.2">
      <c r="A33" s="27" t="s">
        <v>1002</v>
      </c>
      <c r="B33" s="27" t="s">
        <v>1001</v>
      </c>
      <c r="C33" s="27" t="s">
        <v>871</v>
      </c>
      <c r="D33" s="31">
        <v>1505600</v>
      </c>
      <c r="E33" s="29">
        <v>945.51679999999999</v>
      </c>
      <c r="F33" s="30">
        <v>1.0834719140904401</v>
      </c>
    </row>
    <row r="34" spans="1:9" x14ac:dyDescent="0.2">
      <c r="A34" s="27" t="s">
        <v>1021</v>
      </c>
      <c r="B34" s="27" t="s">
        <v>1020</v>
      </c>
      <c r="C34" s="27" t="s">
        <v>1022</v>
      </c>
      <c r="D34" s="31">
        <v>821499</v>
      </c>
      <c r="E34" s="29">
        <v>912.68538899999999</v>
      </c>
      <c r="F34" s="30">
        <v>1.0458502539375401</v>
      </c>
    </row>
    <row r="35" spans="1:9" x14ac:dyDescent="0.2">
      <c r="A35" s="27" t="s">
        <v>1017</v>
      </c>
      <c r="B35" s="27" t="s">
        <v>1016</v>
      </c>
      <c r="C35" s="27" t="s">
        <v>898</v>
      </c>
      <c r="D35" s="31">
        <v>1158906</v>
      </c>
      <c r="E35" s="29">
        <v>905.68503899999996</v>
      </c>
      <c r="F35" s="30">
        <v>1.03782852168085</v>
      </c>
    </row>
    <row r="36" spans="1:9" x14ac:dyDescent="0.2">
      <c r="A36" s="27" t="s">
        <v>1070</v>
      </c>
      <c r="B36" s="27" t="s">
        <v>1069</v>
      </c>
      <c r="C36" s="27" t="s">
        <v>889</v>
      </c>
      <c r="D36" s="31">
        <v>46395</v>
      </c>
      <c r="E36" s="29">
        <v>842.02285500000005</v>
      </c>
      <c r="F36" s="30">
        <v>0.96487774137354898</v>
      </c>
    </row>
    <row r="37" spans="1:9" x14ac:dyDescent="0.2">
      <c r="A37" s="27" t="s">
        <v>993</v>
      </c>
      <c r="B37" s="27" t="s">
        <v>992</v>
      </c>
      <c r="C37" s="27" t="s">
        <v>912</v>
      </c>
      <c r="D37" s="31">
        <v>972460</v>
      </c>
      <c r="E37" s="29">
        <v>822.70115999999996</v>
      </c>
      <c r="F37" s="30">
        <v>0.94273692498073403</v>
      </c>
    </row>
    <row r="38" spans="1:9" x14ac:dyDescent="0.2">
      <c r="A38" s="27" t="s">
        <v>1072</v>
      </c>
      <c r="B38" s="27" t="s">
        <v>1071</v>
      </c>
      <c r="C38" s="27" t="s">
        <v>907</v>
      </c>
      <c r="D38" s="31">
        <v>38206</v>
      </c>
      <c r="E38" s="29">
        <v>816.92069200000003</v>
      </c>
      <c r="F38" s="30">
        <v>0.93611306094331204</v>
      </c>
    </row>
    <row r="39" spans="1:9" x14ac:dyDescent="0.2">
      <c r="A39" s="27" t="s">
        <v>1074</v>
      </c>
      <c r="B39" s="27" t="s">
        <v>1073</v>
      </c>
      <c r="C39" s="27" t="s">
        <v>886</v>
      </c>
      <c r="D39" s="31">
        <v>70800</v>
      </c>
      <c r="E39" s="29">
        <v>780.00360000000001</v>
      </c>
      <c r="F39" s="30">
        <v>0.89380960072780602</v>
      </c>
    </row>
    <row r="40" spans="1:9" x14ac:dyDescent="0.2">
      <c r="A40" s="27" t="s">
        <v>1076</v>
      </c>
      <c r="B40" s="27" t="s">
        <v>1075</v>
      </c>
      <c r="C40" s="27" t="s">
        <v>952</v>
      </c>
      <c r="D40" s="31">
        <v>709254</v>
      </c>
      <c r="E40" s="29">
        <v>683.72085600000003</v>
      </c>
      <c r="F40" s="30">
        <v>0.78347877536800303</v>
      </c>
    </row>
    <row r="41" spans="1:9" x14ac:dyDescent="0.2">
      <c r="A41" s="27" t="s">
        <v>1000</v>
      </c>
      <c r="B41" s="27" t="s">
        <v>999</v>
      </c>
      <c r="C41" s="27" t="s">
        <v>901</v>
      </c>
      <c r="D41" s="31">
        <v>621258</v>
      </c>
      <c r="E41" s="29">
        <v>637.72133699999995</v>
      </c>
      <c r="F41" s="30">
        <v>0.73076772158432701</v>
      </c>
    </row>
    <row r="42" spans="1:9" x14ac:dyDescent="0.2">
      <c r="A42" s="27" t="s">
        <v>1026</v>
      </c>
      <c r="B42" s="27" t="s">
        <v>1025</v>
      </c>
      <c r="C42" s="27" t="s">
        <v>1027</v>
      </c>
      <c r="D42" s="31">
        <v>753071</v>
      </c>
      <c r="E42" s="29">
        <v>591.16073500000005</v>
      </c>
      <c r="F42" s="30">
        <v>0.67741372029091496</v>
      </c>
    </row>
    <row r="43" spans="1:9" x14ac:dyDescent="0.2">
      <c r="A43" s="27" t="s">
        <v>1078</v>
      </c>
      <c r="B43" s="27" t="s">
        <v>1077</v>
      </c>
      <c r="C43" s="27" t="s">
        <v>876</v>
      </c>
      <c r="D43" s="31">
        <v>119545</v>
      </c>
      <c r="E43" s="29">
        <v>584.75436749999994</v>
      </c>
      <c r="F43" s="30">
        <v>0.67007263522760097</v>
      </c>
    </row>
    <row r="44" spans="1:9" x14ac:dyDescent="0.2">
      <c r="A44" s="27" t="s">
        <v>1080</v>
      </c>
      <c r="B44" s="27" t="s">
        <v>1079</v>
      </c>
      <c r="C44" s="27" t="s">
        <v>918</v>
      </c>
      <c r="D44" s="31">
        <v>100000</v>
      </c>
      <c r="E44" s="29">
        <v>581.4</v>
      </c>
      <c r="F44" s="30">
        <v>0.66622885056318504</v>
      </c>
    </row>
    <row r="45" spans="1:9" x14ac:dyDescent="0.2">
      <c r="A45" s="27" t="s">
        <v>995</v>
      </c>
      <c r="B45" s="27" t="s">
        <v>994</v>
      </c>
      <c r="C45" s="27" t="s">
        <v>996</v>
      </c>
      <c r="D45" s="31">
        <v>439349</v>
      </c>
      <c r="E45" s="29">
        <v>526.340102</v>
      </c>
      <c r="F45" s="30">
        <v>0.60313546811277896</v>
      </c>
    </row>
    <row r="46" spans="1:9" ht="10.5" x14ac:dyDescent="0.25">
      <c r="A46" s="26" t="s">
        <v>164</v>
      </c>
      <c r="B46" s="26"/>
      <c r="C46" s="26"/>
      <c r="D46" s="32"/>
      <c r="E46" s="33">
        <f>SUM(E7:E45)</f>
        <v>67847.739135499971</v>
      </c>
      <c r="F46" s="34">
        <f>SUM(F7:F45)</f>
        <v>77.747026586781914</v>
      </c>
      <c r="G46" s="18"/>
      <c r="H46" s="18"/>
      <c r="I46" s="18"/>
    </row>
    <row r="47" spans="1:9" x14ac:dyDescent="0.2">
      <c r="A47" s="27"/>
      <c r="B47" s="27"/>
      <c r="C47" s="27"/>
      <c r="D47" s="28"/>
      <c r="E47" s="29"/>
      <c r="F47" s="30"/>
    </row>
    <row r="48" spans="1:9" ht="10.5" x14ac:dyDescent="0.25">
      <c r="A48" s="26" t="s">
        <v>1081</v>
      </c>
      <c r="B48" s="27"/>
      <c r="C48" s="27"/>
      <c r="D48" s="28"/>
      <c r="E48" s="29"/>
      <c r="F48" s="30"/>
    </row>
    <row r="49" spans="1:9" x14ac:dyDescent="0.2">
      <c r="A49" s="27" t="s">
        <v>1083</v>
      </c>
      <c r="B49" s="27" t="s">
        <v>1082</v>
      </c>
      <c r="C49" s="27"/>
      <c r="D49" s="31">
        <v>289200</v>
      </c>
      <c r="E49" s="29">
        <v>1009.77072</v>
      </c>
      <c r="F49" s="30">
        <v>1.1571007673167499</v>
      </c>
    </row>
    <row r="50" spans="1:9" ht="10.5" x14ac:dyDescent="0.25">
      <c r="A50" s="26" t="s">
        <v>164</v>
      </c>
      <c r="B50" s="26"/>
      <c r="C50" s="26"/>
      <c r="D50" s="32"/>
      <c r="E50" s="33">
        <f>SUM(E48:E49)</f>
        <v>1009.77072</v>
      </c>
      <c r="F50" s="34">
        <f>SUM(F48:F49)</f>
        <v>1.1571007673167499</v>
      </c>
      <c r="G50" s="18"/>
      <c r="H50" s="18"/>
      <c r="I50" s="18"/>
    </row>
    <row r="51" spans="1:9" x14ac:dyDescent="0.2">
      <c r="A51" s="27"/>
      <c r="B51" s="27"/>
      <c r="C51" s="27"/>
      <c r="D51" s="28"/>
      <c r="E51" s="29"/>
      <c r="F51" s="30"/>
    </row>
    <row r="52" spans="1:9" ht="10.5" x14ac:dyDescent="0.25">
      <c r="A52" s="26" t="s">
        <v>1084</v>
      </c>
      <c r="B52" s="27"/>
      <c r="C52" s="27"/>
      <c r="D52" s="28"/>
      <c r="E52" s="29"/>
      <c r="F52" s="30"/>
    </row>
    <row r="53" spans="1:9" x14ac:dyDescent="0.2">
      <c r="A53" s="27" t="s">
        <v>1086</v>
      </c>
      <c r="B53" s="27" t="s">
        <v>1085</v>
      </c>
      <c r="C53" s="27" t="s">
        <v>1022</v>
      </c>
      <c r="D53" s="31">
        <v>5075983</v>
      </c>
      <c r="E53" s="29">
        <v>6681.097694</v>
      </c>
      <c r="F53" s="30">
        <v>7.6558996167422899</v>
      </c>
    </row>
    <row r="54" spans="1:9" x14ac:dyDescent="0.2">
      <c r="A54" s="27" t="s">
        <v>1087</v>
      </c>
      <c r="B54" s="27" t="s">
        <v>1498</v>
      </c>
      <c r="C54" s="27" t="s">
        <v>907</v>
      </c>
      <c r="D54" s="31">
        <v>86900</v>
      </c>
      <c r="E54" s="29">
        <v>3942.3491279999998</v>
      </c>
      <c r="F54" s="30">
        <v>4.5175554318304396</v>
      </c>
    </row>
    <row r="55" spans="1:9" x14ac:dyDescent="0.2">
      <c r="A55" s="27" t="s">
        <v>1089</v>
      </c>
      <c r="B55" s="27" t="s">
        <v>1088</v>
      </c>
      <c r="C55" s="27" t="s">
        <v>1037</v>
      </c>
      <c r="D55" s="31">
        <v>2562198</v>
      </c>
      <c r="E55" s="29">
        <v>2065.62066</v>
      </c>
      <c r="F55" s="30">
        <v>2.3670039181482099</v>
      </c>
    </row>
    <row r="56" spans="1:9" x14ac:dyDescent="0.2">
      <c r="A56" s="27" t="s">
        <v>1091</v>
      </c>
      <c r="B56" s="27" t="s">
        <v>1090</v>
      </c>
      <c r="C56" s="27" t="s">
        <v>1092</v>
      </c>
      <c r="D56" s="31">
        <v>187038</v>
      </c>
      <c r="E56" s="29">
        <v>1475.4286139999999</v>
      </c>
      <c r="F56" s="30">
        <v>1.6907002228986101</v>
      </c>
    </row>
    <row r="57" spans="1:9" x14ac:dyDescent="0.2">
      <c r="A57" s="27" t="s">
        <v>1094</v>
      </c>
      <c r="B57" s="27" t="s">
        <v>1093</v>
      </c>
      <c r="C57" s="27" t="s">
        <v>876</v>
      </c>
      <c r="D57" s="31">
        <v>633055</v>
      </c>
      <c r="E57" s="29">
        <v>1096.8750849999999</v>
      </c>
      <c r="F57" s="30">
        <v>1.2569140472840501</v>
      </c>
    </row>
    <row r="58" spans="1:9" x14ac:dyDescent="0.2">
      <c r="A58" s="27" t="s">
        <v>1096</v>
      </c>
      <c r="B58" s="27" t="s">
        <v>1095</v>
      </c>
      <c r="C58" s="27" t="s">
        <v>895</v>
      </c>
      <c r="D58" s="31">
        <v>3297307</v>
      </c>
      <c r="E58" s="29">
        <v>1051.923839</v>
      </c>
      <c r="F58" s="30">
        <v>1.2054042142018999</v>
      </c>
    </row>
    <row r="59" spans="1:9" x14ac:dyDescent="0.2">
      <c r="A59" s="27" t="s">
        <v>1098</v>
      </c>
      <c r="B59" s="27" t="s">
        <v>1097</v>
      </c>
      <c r="C59" s="27" t="s">
        <v>1099</v>
      </c>
      <c r="D59" s="31">
        <v>500000</v>
      </c>
      <c r="E59" s="29">
        <v>611.73942380000005</v>
      </c>
      <c r="F59" s="30">
        <v>0.70099493147997805</v>
      </c>
    </row>
    <row r="60" spans="1:9" x14ac:dyDescent="0.2">
      <c r="A60" s="27" t="s">
        <v>1101</v>
      </c>
      <c r="B60" s="27" t="s">
        <v>1100</v>
      </c>
      <c r="C60" s="27" t="s">
        <v>889</v>
      </c>
      <c r="D60" s="31">
        <v>200000</v>
      </c>
      <c r="E60" s="29">
        <v>550.71915430000001</v>
      </c>
      <c r="F60" s="30">
        <v>0.63107153276989703</v>
      </c>
    </row>
    <row r="61" spans="1:9" x14ac:dyDescent="0.2">
      <c r="A61" s="27" t="s">
        <v>1103</v>
      </c>
      <c r="B61" s="27" t="s">
        <v>1102</v>
      </c>
      <c r="C61" s="27" t="s">
        <v>967</v>
      </c>
      <c r="D61" s="31">
        <v>25000</v>
      </c>
      <c r="E61" s="29">
        <v>263.73721879999999</v>
      </c>
      <c r="F61" s="30">
        <v>0.30221765416555801</v>
      </c>
    </row>
    <row r="62" spans="1:9" ht="10.5" x14ac:dyDescent="0.25">
      <c r="A62" s="26" t="s">
        <v>164</v>
      </c>
      <c r="B62" s="26"/>
      <c r="C62" s="26"/>
      <c r="D62" s="32"/>
      <c r="E62" s="33">
        <f>SUM(E52:E61)</f>
        <v>17739.490816900005</v>
      </c>
      <c r="F62" s="34">
        <f>SUM(F52:F61)</f>
        <v>20.327761569520934</v>
      </c>
      <c r="G62" s="18"/>
      <c r="H62" s="18"/>
      <c r="I62" s="18"/>
    </row>
    <row r="63" spans="1:9" x14ac:dyDescent="0.2">
      <c r="A63" s="27"/>
      <c r="B63" s="27"/>
      <c r="C63" s="27"/>
      <c r="D63" s="28"/>
      <c r="E63" s="29"/>
      <c r="F63" s="30"/>
    </row>
    <row r="64" spans="1:9" ht="10.5" x14ac:dyDescent="0.25">
      <c r="A64" s="26" t="s">
        <v>176</v>
      </c>
      <c r="B64" s="26"/>
      <c r="C64" s="26"/>
      <c r="D64" s="32"/>
      <c r="E64" s="33">
        <f>E46+E50+E62</f>
        <v>86597.000672399969</v>
      </c>
      <c r="F64" s="34">
        <f>F46+F50+F62</f>
        <v>99.231888923619593</v>
      </c>
      <c r="G64" s="18"/>
      <c r="H64" s="18"/>
      <c r="I64" s="18"/>
    </row>
    <row r="65" spans="1:9" ht="10.5" x14ac:dyDescent="0.25">
      <c r="A65" s="26"/>
      <c r="B65" s="26"/>
      <c r="C65" s="26"/>
      <c r="D65" s="32"/>
      <c r="E65" s="33"/>
      <c r="F65" s="34"/>
      <c r="G65" s="18"/>
      <c r="H65" s="18"/>
      <c r="I65" s="18"/>
    </row>
    <row r="66" spans="1:9" ht="10.5" x14ac:dyDescent="0.25">
      <c r="A66" s="26" t="s">
        <v>178</v>
      </c>
      <c r="B66" s="26"/>
      <c r="C66" s="26"/>
      <c r="D66" s="32"/>
      <c r="E66" s="33">
        <f>E68-(E46+E50+E62)</f>
        <v>670.30987840003218</v>
      </c>
      <c r="F66" s="34">
        <f>F68-(F46+F50+F62)</f>
        <v>0.7681110763804071</v>
      </c>
      <c r="G66" s="18"/>
      <c r="H66" s="18"/>
      <c r="I66" s="18"/>
    </row>
    <row r="67" spans="1:9" ht="10.5" x14ac:dyDescent="0.25">
      <c r="A67" s="26"/>
      <c r="B67" s="26"/>
      <c r="C67" s="26"/>
      <c r="D67" s="32"/>
      <c r="E67" s="33"/>
      <c r="F67" s="34"/>
      <c r="G67" s="18"/>
      <c r="H67" s="18"/>
      <c r="I67" s="18"/>
    </row>
    <row r="68" spans="1:9" ht="10.5" x14ac:dyDescent="0.25">
      <c r="A68" s="35" t="s">
        <v>177</v>
      </c>
      <c r="B68" s="35"/>
      <c r="C68" s="35"/>
      <c r="D68" s="36"/>
      <c r="E68" s="37">
        <v>87267.310550800001</v>
      </c>
      <c r="F68" s="38">
        <v>100</v>
      </c>
      <c r="G68" s="18"/>
      <c r="H68" s="18"/>
      <c r="I68" s="18"/>
    </row>
    <row r="71" spans="1:9" ht="10.5" x14ac:dyDescent="0.25">
      <c r="A71" s="18" t="s">
        <v>181</v>
      </c>
    </row>
    <row r="72" spans="1:9" ht="10.5" x14ac:dyDescent="0.25">
      <c r="A72" s="18" t="s">
        <v>182</v>
      </c>
    </row>
    <row r="73" spans="1:9" ht="10.5" x14ac:dyDescent="0.25">
      <c r="A73" s="18" t="s">
        <v>183</v>
      </c>
      <c r="B73" s="18"/>
      <c r="C73" s="39" t="s">
        <v>185</v>
      </c>
      <c r="D73" s="19" t="s">
        <v>184</v>
      </c>
    </row>
    <row r="74" spans="1:9" x14ac:dyDescent="0.2">
      <c r="A74" s="9" t="s">
        <v>421</v>
      </c>
      <c r="C74" s="40">
        <v>37.856400000000001</v>
      </c>
      <c r="D74" s="40">
        <v>51.936999999999998</v>
      </c>
    </row>
    <row r="75" spans="1:9" x14ac:dyDescent="0.2">
      <c r="A75" s="9" t="s">
        <v>458</v>
      </c>
      <c r="C75" s="40">
        <v>11.5768</v>
      </c>
      <c r="D75" s="40">
        <v>14.261799999999999</v>
      </c>
    </row>
    <row r="76" spans="1:9" x14ac:dyDescent="0.2">
      <c r="A76" s="9" t="s">
        <v>424</v>
      </c>
      <c r="C76" s="40">
        <v>39.730899999999998</v>
      </c>
      <c r="D76" s="40">
        <v>54.806800000000003</v>
      </c>
    </row>
    <row r="77" spans="1:9" x14ac:dyDescent="0.2">
      <c r="A77" s="9" t="s">
        <v>459</v>
      </c>
      <c r="C77" s="40">
        <v>12.3141</v>
      </c>
      <c r="D77" s="40">
        <v>15.3584</v>
      </c>
    </row>
    <row r="79" spans="1:9" ht="10.5" x14ac:dyDescent="0.25">
      <c r="A79" s="18" t="s">
        <v>197</v>
      </c>
    </row>
    <row r="80" spans="1:9" ht="10.5" x14ac:dyDescent="0.25">
      <c r="A80" s="73" t="s">
        <v>403</v>
      </c>
      <c r="B80" s="74"/>
      <c r="C80" s="45" t="s">
        <v>404</v>
      </c>
    </row>
    <row r="81" spans="1:4" x14ac:dyDescent="0.2">
      <c r="A81" s="69" t="s">
        <v>458</v>
      </c>
      <c r="B81" s="70"/>
      <c r="C81" s="46">
        <v>1.35</v>
      </c>
    </row>
    <row r="82" spans="1:4" x14ac:dyDescent="0.2">
      <c r="A82" s="69" t="s">
        <v>459</v>
      </c>
      <c r="B82" s="70"/>
      <c r="C82" s="46">
        <v>1.35</v>
      </c>
    </row>
    <row r="83" spans="1:4" x14ac:dyDescent="0.2">
      <c r="A83" s="9" t="s">
        <v>405</v>
      </c>
    </row>
    <row r="85" spans="1:4" ht="10.5" x14ac:dyDescent="0.25">
      <c r="A85" s="18" t="s">
        <v>1003</v>
      </c>
      <c r="D85" s="47">
        <v>1.6E-2</v>
      </c>
    </row>
  </sheetData>
  <mergeCells count="4">
    <mergeCell ref="A1:F1"/>
    <mergeCell ref="A80:B80"/>
    <mergeCell ref="A81:B81"/>
    <mergeCell ref="A82:B82"/>
  </mergeCells>
  <conditionalFormatting sqref="F2:F3 F5:F65536">
    <cfRule type="cellIs" dxfId="2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I65"/>
  <sheetViews>
    <sheetView workbookViewId="0">
      <selection sqref="A1:F1"/>
    </sheetView>
  </sheetViews>
  <sheetFormatPr defaultColWidth="9.1796875" defaultRowHeight="10" x14ac:dyDescent="0.2"/>
  <cols>
    <col min="1" max="1" width="38.7265625" style="9" bestFit="1" customWidth="1"/>
    <col min="2" max="2" width="33.1796875" style="9" bestFit="1" customWidth="1"/>
    <col min="3" max="3" width="26.81640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49</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875</v>
      </c>
      <c r="B7" s="27" t="s">
        <v>874</v>
      </c>
      <c r="C7" s="27" t="s">
        <v>876</v>
      </c>
      <c r="D7" s="31">
        <v>945647</v>
      </c>
      <c r="E7" s="29">
        <v>10402.117</v>
      </c>
      <c r="F7" s="30">
        <v>24.874481475221302</v>
      </c>
    </row>
    <row r="8" spans="1:6" x14ac:dyDescent="0.2">
      <c r="A8" s="27" t="s">
        <v>1007</v>
      </c>
      <c r="B8" s="27" t="s">
        <v>1006</v>
      </c>
      <c r="C8" s="27" t="s">
        <v>876</v>
      </c>
      <c r="D8" s="31">
        <v>170000</v>
      </c>
      <c r="E8" s="29">
        <v>4555.4049999999997</v>
      </c>
      <c r="F8" s="30">
        <v>10.893295786293301</v>
      </c>
    </row>
    <row r="9" spans="1:6" x14ac:dyDescent="0.2">
      <c r="A9" s="27" t="s">
        <v>1024</v>
      </c>
      <c r="B9" s="27" t="s">
        <v>1023</v>
      </c>
      <c r="C9" s="27" t="s">
        <v>876</v>
      </c>
      <c r="D9" s="31">
        <v>450000</v>
      </c>
      <c r="E9" s="29">
        <v>3699.45</v>
      </c>
      <c r="F9" s="30">
        <v>8.8464588980788594</v>
      </c>
    </row>
    <row r="10" spans="1:6" x14ac:dyDescent="0.2">
      <c r="A10" s="27" t="s">
        <v>882</v>
      </c>
      <c r="B10" s="27" t="s">
        <v>881</v>
      </c>
      <c r="C10" s="27" t="s">
        <v>883</v>
      </c>
      <c r="D10" s="31">
        <v>600000</v>
      </c>
      <c r="E10" s="29">
        <v>2779.5</v>
      </c>
      <c r="F10" s="30">
        <v>6.6465913871549001</v>
      </c>
    </row>
    <row r="11" spans="1:6" x14ac:dyDescent="0.2">
      <c r="A11" s="27" t="s">
        <v>1105</v>
      </c>
      <c r="B11" s="27" t="s">
        <v>1104</v>
      </c>
      <c r="C11" s="27" t="s">
        <v>876</v>
      </c>
      <c r="D11" s="31">
        <v>46300</v>
      </c>
      <c r="E11" s="29">
        <v>1993.84005</v>
      </c>
      <c r="F11" s="30">
        <v>4.7678503701005504</v>
      </c>
    </row>
    <row r="12" spans="1:6" x14ac:dyDescent="0.2">
      <c r="A12" s="27" t="s">
        <v>979</v>
      </c>
      <c r="B12" s="27" t="s">
        <v>978</v>
      </c>
      <c r="C12" s="27" t="s">
        <v>876</v>
      </c>
      <c r="D12" s="31">
        <v>220000</v>
      </c>
      <c r="E12" s="29">
        <v>1929.07</v>
      </c>
      <c r="F12" s="30">
        <v>4.6129663778445398</v>
      </c>
    </row>
    <row r="13" spans="1:6" x14ac:dyDescent="0.2">
      <c r="A13" s="27" t="s">
        <v>1078</v>
      </c>
      <c r="B13" s="27" t="s">
        <v>1077</v>
      </c>
      <c r="C13" s="27" t="s">
        <v>876</v>
      </c>
      <c r="D13" s="31">
        <v>215000</v>
      </c>
      <c r="E13" s="29">
        <v>1051.6724999999999</v>
      </c>
      <c r="F13" s="30">
        <v>2.5148542473853799</v>
      </c>
    </row>
    <row r="14" spans="1:6" x14ac:dyDescent="0.2">
      <c r="A14" s="27" t="s">
        <v>1107</v>
      </c>
      <c r="B14" s="27" t="s">
        <v>1106</v>
      </c>
      <c r="C14" s="27" t="s">
        <v>876</v>
      </c>
      <c r="D14" s="31">
        <v>31000</v>
      </c>
      <c r="E14" s="29">
        <v>992.1395</v>
      </c>
      <c r="F14" s="30">
        <v>2.37249356199179</v>
      </c>
    </row>
    <row r="15" spans="1:6" x14ac:dyDescent="0.2">
      <c r="A15" s="27" t="s">
        <v>1109</v>
      </c>
      <c r="B15" s="27" t="s">
        <v>1108</v>
      </c>
      <c r="C15" s="27" t="s">
        <v>876</v>
      </c>
      <c r="D15" s="31">
        <v>201960</v>
      </c>
      <c r="E15" s="29">
        <v>634.05341999999996</v>
      </c>
      <c r="F15" s="30">
        <v>1.5162057925411401</v>
      </c>
    </row>
    <row r="16" spans="1:6" x14ac:dyDescent="0.2">
      <c r="A16" s="27" t="s">
        <v>1111</v>
      </c>
      <c r="B16" s="27" t="s">
        <v>1110</v>
      </c>
      <c r="C16" s="27" t="s">
        <v>876</v>
      </c>
      <c r="D16" s="31">
        <v>11000</v>
      </c>
      <c r="E16" s="29">
        <v>560.16399999999999</v>
      </c>
      <c r="F16" s="30">
        <v>1.3395147392675799</v>
      </c>
    </row>
    <row r="17" spans="1:9" x14ac:dyDescent="0.2">
      <c r="A17" s="27" t="s">
        <v>1113</v>
      </c>
      <c r="B17" s="27" t="s">
        <v>1112</v>
      </c>
      <c r="C17" s="27" t="s">
        <v>876</v>
      </c>
      <c r="D17" s="31">
        <v>80000</v>
      </c>
      <c r="E17" s="29">
        <v>485.48</v>
      </c>
      <c r="F17" s="30">
        <v>1.16092361454793</v>
      </c>
    </row>
    <row r="18" spans="1:9" ht="10.5" x14ac:dyDescent="0.25">
      <c r="A18" s="26" t="s">
        <v>164</v>
      </c>
      <c r="B18" s="26"/>
      <c r="C18" s="26"/>
      <c r="D18" s="32"/>
      <c r="E18" s="33">
        <f>SUM(E7:E17)</f>
        <v>29082.891470000002</v>
      </c>
      <c r="F18" s="34">
        <f>SUM(F7:F17)</f>
        <v>69.545636250427279</v>
      </c>
      <c r="G18" s="18"/>
      <c r="H18" s="18"/>
      <c r="I18" s="18"/>
    </row>
    <row r="19" spans="1:9" x14ac:dyDescent="0.2">
      <c r="A19" s="27"/>
      <c r="B19" s="27"/>
      <c r="C19" s="27"/>
      <c r="D19" s="28"/>
      <c r="E19" s="29"/>
      <c r="F19" s="30"/>
    </row>
    <row r="20" spans="1:9" ht="10.5" x14ac:dyDescent="0.25">
      <c r="A20" s="26" t="s">
        <v>1528</v>
      </c>
      <c r="B20" s="27"/>
      <c r="C20" s="27"/>
      <c r="D20" s="28"/>
      <c r="E20" s="29"/>
      <c r="F20" s="30"/>
    </row>
    <row r="21" spans="1:9" x14ac:dyDescent="0.2">
      <c r="A21" s="27"/>
      <c r="B21" s="27" t="s">
        <v>1114</v>
      </c>
      <c r="C21" s="27" t="s">
        <v>876</v>
      </c>
      <c r="D21" s="31">
        <v>970000</v>
      </c>
      <c r="E21" s="29">
        <v>9.7000000000000003E-2</v>
      </c>
      <c r="F21" s="30">
        <v>2.31955159040844E-4</v>
      </c>
    </row>
    <row r="22" spans="1:9" ht="10.5" x14ac:dyDescent="0.25">
      <c r="A22" s="26" t="s">
        <v>164</v>
      </c>
      <c r="B22" s="26"/>
      <c r="C22" s="26"/>
      <c r="D22" s="32"/>
      <c r="E22" s="33">
        <f>SUM(E20:E21)</f>
        <v>9.7000000000000003E-2</v>
      </c>
      <c r="F22" s="34">
        <f>SUM(F20:F21)</f>
        <v>2.31955159040844E-4</v>
      </c>
      <c r="G22" s="18"/>
      <c r="H22" s="18"/>
      <c r="I22" s="18"/>
    </row>
    <row r="23" spans="1:9" x14ac:dyDescent="0.2">
      <c r="A23" s="27"/>
      <c r="B23" s="27"/>
      <c r="C23" s="27"/>
      <c r="D23" s="28"/>
      <c r="E23" s="29"/>
      <c r="F23" s="30"/>
    </row>
    <row r="24" spans="1:9" ht="10.5" x14ac:dyDescent="0.25">
      <c r="A24" s="26" t="s">
        <v>1084</v>
      </c>
      <c r="B24" s="27"/>
      <c r="C24" s="27"/>
      <c r="D24" s="28"/>
      <c r="E24" s="29"/>
      <c r="F24" s="30"/>
    </row>
    <row r="25" spans="1:9" x14ac:dyDescent="0.2">
      <c r="A25" s="27" t="s">
        <v>1116</v>
      </c>
      <c r="B25" s="27" t="s">
        <v>1115</v>
      </c>
      <c r="C25" s="27" t="s">
        <v>876</v>
      </c>
      <c r="D25" s="31">
        <v>60135</v>
      </c>
      <c r="E25" s="29">
        <v>1139.2371800000001</v>
      </c>
      <c r="F25" s="30">
        <v>2.7242468172385799</v>
      </c>
    </row>
    <row r="26" spans="1:9" x14ac:dyDescent="0.2">
      <c r="A26" s="27" t="s">
        <v>1118</v>
      </c>
      <c r="B26" s="27" t="s">
        <v>1117</v>
      </c>
      <c r="C26" s="27" t="s">
        <v>1099</v>
      </c>
      <c r="D26" s="31">
        <v>88000</v>
      </c>
      <c r="E26" s="29">
        <v>1116.6223070000001</v>
      </c>
      <c r="F26" s="30">
        <v>2.6701680908117398</v>
      </c>
    </row>
    <row r="27" spans="1:9" x14ac:dyDescent="0.2">
      <c r="A27" s="27" t="s">
        <v>1120</v>
      </c>
      <c r="B27" s="27" t="s">
        <v>1119</v>
      </c>
      <c r="C27" s="27" t="s">
        <v>1099</v>
      </c>
      <c r="D27" s="31">
        <v>17000</v>
      </c>
      <c r="E27" s="29">
        <v>776.7788511</v>
      </c>
      <c r="F27" s="30">
        <v>1.8575037314068501</v>
      </c>
    </row>
    <row r="28" spans="1:9" x14ac:dyDescent="0.2">
      <c r="A28" s="27" t="s">
        <v>1122</v>
      </c>
      <c r="B28" s="27" t="s">
        <v>1121</v>
      </c>
      <c r="C28" s="27" t="s">
        <v>876</v>
      </c>
      <c r="D28" s="31">
        <v>22500</v>
      </c>
      <c r="E28" s="29">
        <v>776.05370660000006</v>
      </c>
      <c r="F28" s="30">
        <v>1.85576970039834</v>
      </c>
    </row>
    <row r="29" spans="1:9" x14ac:dyDescent="0.2">
      <c r="A29" s="27" t="s">
        <v>1124</v>
      </c>
      <c r="B29" s="27" t="s">
        <v>1123</v>
      </c>
      <c r="C29" s="27" t="s">
        <v>1125</v>
      </c>
      <c r="D29" s="31">
        <v>6000</v>
      </c>
      <c r="E29" s="29">
        <v>638.87703869999996</v>
      </c>
      <c r="F29" s="30">
        <v>1.5277404651464099</v>
      </c>
    </row>
    <row r="30" spans="1:9" x14ac:dyDescent="0.2">
      <c r="A30" s="27" t="s">
        <v>1127</v>
      </c>
      <c r="B30" s="27" t="s">
        <v>1126</v>
      </c>
      <c r="C30" s="27" t="s">
        <v>1099</v>
      </c>
      <c r="D30" s="31">
        <v>22000</v>
      </c>
      <c r="E30" s="29">
        <v>413.8809675</v>
      </c>
      <c r="F30" s="30">
        <v>0.98970954268495603</v>
      </c>
    </row>
    <row r="31" spans="1:9" x14ac:dyDescent="0.2">
      <c r="A31" s="27" t="s">
        <v>1129</v>
      </c>
      <c r="B31" s="27" t="s">
        <v>1128</v>
      </c>
      <c r="C31" s="27" t="s">
        <v>1130</v>
      </c>
      <c r="D31" s="31">
        <v>2173</v>
      </c>
      <c r="E31" s="29">
        <v>398.36349410000003</v>
      </c>
      <c r="F31" s="30">
        <v>0.95260275907249203</v>
      </c>
    </row>
    <row r="32" spans="1:9" x14ac:dyDescent="0.2">
      <c r="A32" s="27" t="s">
        <v>1132</v>
      </c>
      <c r="B32" s="27" t="s">
        <v>1131</v>
      </c>
      <c r="C32" s="27" t="s">
        <v>1099</v>
      </c>
      <c r="D32" s="31">
        <v>1000</v>
      </c>
      <c r="E32" s="29">
        <v>392.7000918</v>
      </c>
      <c r="F32" s="30">
        <v>0.93905992009095796</v>
      </c>
    </row>
    <row r="33" spans="1:9" x14ac:dyDescent="0.2">
      <c r="A33" s="27" t="s">
        <v>1134</v>
      </c>
      <c r="B33" s="27" t="s">
        <v>1133</v>
      </c>
      <c r="C33" s="27" t="s">
        <v>876</v>
      </c>
      <c r="D33" s="31">
        <v>267</v>
      </c>
      <c r="E33" s="29">
        <v>353.22970889999999</v>
      </c>
      <c r="F33" s="30">
        <v>0.84467477634897303</v>
      </c>
    </row>
    <row r="34" spans="1:9" x14ac:dyDescent="0.2">
      <c r="A34" s="27" t="s">
        <v>1136</v>
      </c>
      <c r="B34" s="27" t="s">
        <v>1135</v>
      </c>
      <c r="C34" s="27" t="s">
        <v>1099</v>
      </c>
      <c r="D34" s="31">
        <v>23000</v>
      </c>
      <c r="E34" s="29">
        <v>338.09979040000002</v>
      </c>
      <c r="F34" s="30">
        <v>0.80849474900936003</v>
      </c>
    </row>
    <row r="35" spans="1:9" x14ac:dyDescent="0.2">
      <c r="A35" s="27" t="s">
        <v>1138</v>
      </c>
      <c r="B35" s="27" t="s">
        <v>1137</v>
      </c>
      <c r="C35" s="27" t="s">
        <v>1099</v>
      </c>
      <c r="D35" s="31">
        <v>8982</v>
      </c>
      <c r="E35" s="29">
        <v>315.51921770000001</v>
      </c>
      <c r="F35" s="30">
        <v>0.75449804455717595</v>
      </c>
    </row>
    <row r="36" spans="1:9" x14ac:dyDescent="0.2">
      <c r="A36" s="27" t="s">
        <v>1140</v>
      </c>
      <c r="B36" s="27" t="s">
        <v>1139</v>
      </c>
      <c r="C36" s="27" t="s">
        <v>876</v>
      </c>
      <c r="D36" s="31">
        <v>1100</v>
      </c>
      <c r="E36" s="29">
        <v>175.27179720000001</v>
      </c>
      <c r="F36" s="30">
        <v>0.419125748401036</v>
      </c>
    </row>
    <row r="37" spans="1:9" ht="10.5" x14ac:dyDescent="0.25">
      <c r="A37" s="26" t="s">
        <v>164</v>
      </c>
      <c r="B37" s="26"/>
      <c r="C37" s="26"/>
      <c r="D37" s="32"/>
      <c r="E37" s="33">
        <f>SUM(E24:E36)</f>
        <v>6834.6341510000002</v>
      </c>
      <c r="F37" s="34">
        <f>SUM(F24:F36)</f>
        <v>16.343594345166874</v>
      </c>
      <c r="G37" s="18"/>
      <c r="H37" s="18"/>
      <c r="I37" s="18"/>
    </row>
    <row r="38" spans="1:9" x14ac:dyDescent="0.2">
      <c r="A38" s="27"/>
      <c r="B38" s="27"/>
      <c r="C38" s="27"/>
      <c r="D38" s="28"/>
      <c r="E38" s="29"/>
      <c r="F38" s="30"/>
    </row>
    <row r="39" spans="1:9" ht="10.5" x14ac:dyDescent="0.25">
      <c r="A39" s="26" t="s">
        <v>1141</v>
      </c>
      <c r="B39" s="27"/>
      <c r="C39" s="27"/>
      <c r="D39" s="28"/>
      <c r="E39" s="29"/>
      <c r="F39" s="30"/>
    </row>
    <row r="40" spans="1:9" x14ac:dyDescent="0.2">
      <c r="A40" s="27" t="s">
        <v>1143</v>
      </c>
      <c r="B40" s="27" t="s">
        <v>1142</v>
      </c>
      <c r="C40" s="27" t="s">
        <v>1144</v>
      </c>
      <c r="D40" s="31">
        <v>91868.481</v>
      </c>
      <c r="E40" s="29">
        <v>3586.2524309999999</v>
      </c>
      <c r="F40" s="30">
        <v>8.5757706494146095</v>
      </c>
    </row>
    <row r="41" spans="1:9" ht="10.5" x14ac:dyDescent="0.25">
      <c r="A41" s="26" t="s">
        <v>164</v>
      </c>
      <c r="B41" s="26"/>
      <c r="C41" s="26"/>
      <c r="D41" s="32"/>
      <c r="E41" s="33">
        <f>SUM(E40:E40)</f>
        <v>3586.2524309999999</v>
      </c>
      <c r="F41" s="34">
        <f>SUM(F40:F40)</f>
        <v>8.5757706494146095</v>
      </c>
      <c r="G41" s="18"/>
      <c r="H41" s="18"/>
      <c r="I41" s="18"/>
    </row>
    <row r="42" spans="1:9" x14ac:dyDescent="0.2">
      <c r="A42" s="27"/>
      <c r="B42" s="27"/>
      <c r="C42" s="27"/>
      <c r="D42" s="28"/>
      <c r="E42" s="29"/>
      <c r="F42" s="30"/>
    </row>
    <row r="43" spans="1:9" ht="10.5" x14ac:dyDescent="0.25">
      <c r="A43" s="26" t="s">
        <v>176</v>
      </c>
      <c r="B43" s="26"/>
      <c r="C43" s="26"/>
      <c r="D43" s="32"/>
      <c r="E43" s="33">
        <f>E18+E22+E37+E41</f>
        <v>39503.875052000003</v>
      </c>
      <c r="F43" s="34">
        <f>F18+F22+F37+F41</f>
        <v>94.465233200167802</v>
      </c>
      <c r="G43" s="18"/>
      <c r="H43" s="18"/>
      <c r="I43" s="18"/>
    </row>
    <row r="44" spans="1:9" ht="10.5" x14ac:dyDescent="0.25">
      <c r="A44" s="26"/>
      <c r="B44" s="26"/>
      <c r="C44" s="26"/>
      <c r="D44" s="32"/>
      <c r="E44" s="33"/>
      <c r="F44" s="34"/>
      <c r="G44" s="18"/>
      <c r="H44" s="18"/>
      <c r="I44" s="18"/>
    </row>
    <row r="45" spans="1:9" ht="10.5" x14ac:dyDescent="0.25">
      <c r="A45" s="26" t="s">
        <v>178</v>
      </c>
      <c r="B45" s="26"/>
      <c r="C45" s="26"/>
      <c r="D45" s="32"/>
      <c r="E45" s="33">
        <f>E47-(E18+E22+E37+E41)</f>
        <v>2314.5524411000006</v>
      </c>
      <c r="F45" s="34">
        <f>F47-(F18+F22+F37+F41)</f>
        <v>5.5347667998321981</v>
      </c>
      <c r="G45" s="18"/>
      <c r="H45" s="18"/>
      <c r="I45" s="18"/>
    </row>
    <row r="46" spans="1:9" ht="10.5" x14ac:dyDescent="0.25">
      <c r="A46" s="26"/>
      <c r="B46" s="26"/>
      <c r="C46" s="26"/>
      <c r="D46" s="32"/>
      <c r="E46" s="33"/>
      <c r="F46" s="34"/>
      <c r="G46" s="18"/>
      <c r="H46" s="18"/>
      <c r="I46" s="18"/>
    </row>
    <row r="47" spans="1:9" ht="10.5" x14ac:dyDescent="0.25">
      <c r="A47" s="35" t="s">
        <v>177</v>
      </c>
      <c r="B47" s="35"/>
      <c r="C47" s="35"/>
      <c r="D47" s="36"/>
      <c r="E47" s="37">
        <v>41818.427493100004</v>
      </c>
      <c r="F47" s="38">
        <v>100</v>
      </c>
      <c r="G47" s="18"/>
      <c r="H47" s="18"/>
      <c r="I47" s="18"/>
    </row>
    <row r="48" spans="1:9" ht="10.5" x14ac:dyDescent="0.25">
      <c r="F48" s="20" t="s">
        <v>337</v>
      </c>
    </row>
    <row r="49" spans="1:4" ht="10.5" x14ac:dyDescent="0.25">
      <c r="A49" s="18" t="s">
        <v>180</v>
      </c>
    </row>
    <row r="51" spans="1:4" ht="10.5" x14ac:dyDescent="0.25">
      <c r="A51" s="18" t="s">
        <v>181</v>
      </c>
    </row>
    <row r="52" spans="1:4" ht="10.5" x14ac:dyDescent="0.25">
      <c r="A52" s="18" t="s">
        <v>182</v>
      </c>
    </row>
    <row r="53" spans="1:4" ht="10.5" x14ac:dyDescent="0.25">
      <c r="A53" s="18" t="s">
        <v>183</v>
      </c>
      <c r="B53" s="18"/>
      <c r="C53" s="39" t="s">
        <v>185</v>
      </c>
      <c r="D53" s="19" t="s">
        <v>184</v>
      </c>
    </row>
    <row r="54" spans="1:4" x14ac:dyDescent="0.2">
      <c r="A54" s="9" t="s">
        <v>421</v>
      </c>
      <c r="C54" s="40">
        <v>161.26740000000001</v>
      </c>
      <c r="D54" s="40">
        <v>237.81209999999999</v>
      </c>
    </row>
    <row r="55" spans="1:4" x14ac:dyDescent="0.2">
      <c r="A55" s="9" t="s">
        <v>458</v>
      </c>
      <c r="C55" s="40">
        <v>23.532499999999999</v>
      </c>
      <c r="D55" s="40">
        <v>32.041600000000003</v>
      </c>
    </row>
    <row r="56" spans="1:4" x14ac:dyDescent="0.2">
      <c r="A56" s="9" t="s">
        <v>424</v>
      </c>
      <c r="C56" s="40">
        <v>168.68510000000001</v>
      </c>
      <c r="D56" s="40">
        <v>249.9384</v>
      </c>
    </row>
    <row r="57" spans="1:4" x14ac:dyDescent="0.2">
      <c r="A57" s="9" t="s">
        <v>459</v>
      </c>
      <c r="C57" s="40">
        <v>24.8202</v>
      </c>
      <c r="D57" s="40">
        <v>34.106999999999999</v>
      </c>
    </row>
    <row r="59" spans="1:4" ht="10.5" x14ac:dyDescent="0.25">
      <c r="A59" s="18" t="s">
        <v>197</v>
      </c>
    </row>
    <row r="60" spans="1:4" ht="10.5" x14ac:dyDescent="0.25">
      <c r="A60" s="73" t="s">
        <v>403</v>
      </c>
      <c r="B60" s="74"/>
      <c r="C60" s="45" t="s">
        <v>404</v>
      </c>
    </row>
    <row r="61" spans="1:4" x14ac:dyDescent="0.2">
      <c r="A61" s="69" t="s">
        <v>458</v>
      </c>
      <c r="B61" s="70"/>
      <c r="C61" s="46">
        <v>2.5</v>
      </c>
    </row>
    <row r="62" spans="1:4" x14ac:dyDescent="0.2">
      <c r="A62" s="69" t="s">
        <v>459</v>
      </c>
      <c r="B62" s="70"/>
      <c r="C62" s="46">
        <v>2.5</v>
      </c>
    </row>
    <row r="63" spans="1:4" x14ac:dyDescent="0.2">
      <c r="A63" s="9" t="s">
        <v>405</v>
      </c>
    </row>
    <row r="65" spans="1:4" ht="10.5" x14ac:dyDescent="0.25">
      <c r="A65" s="18" t="s">
        <v>1003</v>
      </c>
      <c r="D65" s="47">
        <v>8.72E-2</v>
      </c>
    </row>
  </sheetData>
  <mergeCells count="4">
    <mergeCell ref="A1:F1"/>
    <mergeCell ref="A60:B60"/>
    <mergeCell ref="A61:B61"/>
    <mergeCell ref="A62:B62"/>
  </mergeCells>
  <conditionalFormatting sqref="F2:F3 F5:F47 F49:F65537">
    <cfRule type="cellIs" dxfId="21" priority="2" stopIfTrue="1" operator="between">
      <formula>0.009</formula>
      <formula>-0.009</formula>
    </cfRule>
  </conditionalFormatting>
  <conditionalFormatting sqref="F48">
    <cfRule type="cellIs" dxfId="2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I89"/>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50</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1146</v>
      </c>
      <c r="B7" s="27" t="s">
        <v>1145</v>
      </c>
      <c r="C7" s="27" t="s">
        <v>1030</v>
      </c>
      <c r="D7" s="31">
        <v>4442967</v>
      </c>
      <c r="E7" s="29">
        <v>38436.107519999998</v>
      </c>
      <c r="F7" s="30">
        <v>6.2478395311048898</v>
      </c>
    </row>
    <row r="8" spans="1:6" x14ac:dyDescent="0.2">
      <c r="A8" s="27" t="s">
        <v>870</v>
      </c>
      <c r="B8" s="27" t="s">
        <v>869</v>
      </c>
      <c r="C8" s="27" t="s">
        <v>871</v>
      </c>
      <c r="D8" s="31">
        <v>1649964</v>
      </c>
      <c r="E8" s="29">
        <v>23773.506290000001</v>
      </c>
      <c r="F8" s="30">
        <v>3.8644145303825099</v>
      </c>
    </row>
    <row r="9" spans="1:6" x14ac:dyDescent="0.2">
      <c r="A9" s="27" t="s">
        <v>875</v>
      </c>
      <c r="B9" s="27" t="s">
        <v>874</v>
      </c>
      <c r="C9" s="27" t="s">
        <v>876</v>
      </c>
      <c r="D9" s="31">
        <v>1982437</v>
      </c>
      <c r="E9" s="29">
        <v>21806.807000000001</v>
      </c>
      <c r="F9" s="30">
        <v>3.5447249894095099</v>
      </c>
    </row>
    <row r="10" spans="1:6" x14ac:dyDescent="0.2">
      <c r="A10" s="27" t="s">
        <v>1148</v>
      </c>
      <c r="B10" s="27" t="s">
        <v>1147</v>
      </c>
      <c r="C10" s="27" t="s">
        <v>1149</v>
      </c>
      <c r="D10" s="31">
        <v>7945595</v>
      </c>
      <c r="E10" s="29">
        <v>17377.01627</v>
      </c>
      <c r="F10" s="30">
        <v>2.8246567144674</v>
      </c>
    </row>
    <row r="11" spans="1:6" x14ac:dyDescent="0.2">
      <c r="A11" s="27" t="s">
        <v>894</v>
      </c>
      <c r="B11" s="27" t="s">
        <v>893</v>
      </c>
      <c r="C11" s="27" t="s">
        <v>895</v>
      </c>
      <c r="D11" s="31">
        <v>2011210</v>
      </c>
      <c r="E11" s="29">
        <v>16222.41986</v>
      </c>
      <c r="F11" s="30">
        <v>2.6369755584316001</v>
      </c>
    </row>
    <row r="12" spans="1:6" x14ac:dyDescent="0.2">
      <c r="A12" s="27" t="s">
        <v>1151</v>
      </c>
      <c r="B12" s="27" t="s">
        <v>1150</v>
      </c>
      <c r="C12" s="27" t="s">
        <v>915</v>
      </c>
      <c r="D12" s="31">
        <v>1626587</v>
      </c>
      <c r="E12" s="29">
        <v>16179.660889999999</v>
      </c>
      <c r="F12" s="30">
        <v>2.6300250319523899</v>
      </c>
    </row>
    <row r="13" spans="1:6" x14ac:dyDescent="0.2">
      <c r="A13" s="27" t="s">
        <v>1078</v>
      </c>
      <c r="B13" s="27" t="s">
        <v>1077</v>
      </c>
      <c r="C13" s="27" t="s">
        <v>876</v>
      </c>
      <c r="D13" s="31">
        <v>3303552</v>
      </c>
      <c r="E13" s="29">
        <v>16159.32461</v>
      </c>
      <c r="F13" s="30">
        <v>2.6267193430494902</v>
      </c>
    </row>
    <row r="14" spans="1:6" x14ac:dyDescent="0.2">
      <c r="A14" s="27" t="s">
        <v>1153</v>
      </c>
      <c r="B14" s="27" t="s">
        <v>1152</v>
      </c>
      <c r="C14" s="27" t="s">
        <v>895</v>
      </c>
      <c r="D14" s="31">
        <v>1858713</v>
      </c>
      <c r="E14" s="29">
        <v>15089.96149</v>
      </c>
      <c r="F14" s="30">
        <v>2.45289296974244</v>
      </c>
    </row>
    <row r="15" spans="1:6" x14ac:dyDescent="0.2">
      <c r="A15" s="27" t="s">
        <v>1155</v>
      </c>
      <c r="B15" s="27" t="s">
        <v>1154</v>
      </c>
      <c r="C15" s="27" t="s">
        <v>1012</v>
      </c>
      <c r="D15" s="31">
        <v>2772305</v>
      </c>
      <c r="E15" s="29">
        <v>15070.249980000001</v>
      </c>
      <c r="F15" s="30">
        <v>2.4496888380198998</v>
      </c>
    </row>
    <row r="16" spans="1:6" x14ac:dyDescent="0.2">
      <c r="A16" s="27" t="s">
        <v>1157</v>
      </c>
      <c r="B16" s="27" t="s">
        <v>1156</v>
      </c>
      <c r="C16" s="27" t="s">
        <v>907</v>
      </c>
      <c r="D16" s="31">
        <v>5467185</v>
      </c>
      <c r="E16" s="29">
        <v>14556.38006</v>
      </c>
      <c r="F16" s="30">
        <v>2.3661586106587902</v>
      </c>
    </row>
    <row r="17" spans="1:6" x14ac:dyDescent="0.2">
      <c r="A17" s="27" t="s">
        <v>1159</v>
      </c>
      <c r="B17" s="27" t="s">
        <v>1158</v>
      </c>
      <c r="C17" s="27" t="s">
        <v>907</v>
      </c>
      <c r="D17" s="31">
        <v>10263765</v>
      </c>
      <c r="E17" s="29">
        <v>14461.64489</v>
      </c>
      <c r="F17" s="30">
        <v>2.3507592849127001</v>
      </c>
    </row>
    <row r="18" spans="1:6" x14ac:dyDescent="0.2">
      <c r="A18" s="27" t="s">
        <v>873</v>
      </c>
      <c r="B18" s="27" t="s">
        <v>872</v>
      </c>
      <c r="C18" s="27" t="s">
        <v>871</v>
      </c>
      <c r="D18" s="31">
        <v>2299441</v>
      </c>
      <c r="E18" s="29">
        <v>13833.43706</v>
      </c>
      <c r="F18" s="30">
        <v>2.2486432807886798</v>
      </c>
    </row>
    <row r="19" spans="1:6" x14ac:dyDescent="0.2">
      <c r="A19" s="27" t="s">
        <v>1050</v>
      </c>
      <c r="B19" s="27" t="s">
        <v>1049</v>
      </c>
      <c r="C19" s="27" t="s">
        <v>1051</v>
      </c>
      <c r="D19" s="31">
        <v>1655675</v>
      </c>
      <c r="E19" s="29">
        <v>13496.234759999999</v>
      </c>
      <c r="F19" s="30">
        <v>2.1938306060446702</v>
      </c>
    </row>
    <row r="20" spans="1:6" x14ac:dyDescent="0.2">
      <c r="A20" s="27" t="s">
        <v>911</v>
      </c>
      <c r="B20" s="27" t="s">
        <v>910</v>
      </c>
      <c r="C20" s="27" t="s">
        <v>912</v>
      </c>
      <c r="D20" s="31">
        <v>6289744</v>
      </c>
      <c r="E20" s="29">
        <v>13167.57906</v>
      </c>
      <c r="F20" s="30">
        <v>2.1404071923050201</v>
      </c>
    </row>
    <row r="21" spans="1:6" x14ac:dyDescent="0.2">
      <c r="A21" s="27" t="s">
        <v>1064</v>
      </c>
      <c r="B21" s="27" t="s">
        <v>1063</v>
      </c>
      <c r="C21" s="27" t="s">
        <v>996</v>
      </c>
      <c r="D21" s="31">
        <v>1625886</v>
      </c>
      <c r="E21" s="29">
        <v>13096.51173</v>
      </c>
      <c r="F21" s="30">
        <v>2.1288551048957198</v>
      </c>
    </row>
    <row r="22" spans="1:6" x14ac:dyDescent="0.2">
      <c r="A22" s="27" t="s">
        <v>878</v>
      </c>
      <c r="B22" s="27" t="s">
        <v>877</v>
      </c>
      <c r="C22" s="27" t="s">
        <v>871</v>
      </c>
      <c r="D22" s="31">
        <v>673158</v>
      </c>
      <c r="E22" s="29">
        <v>12837.79622</v>
      </c>
      <c r="F22" s="30">
        <v>2.08680056048467</v>
      </c>
    </row>
    <row r="23" spans="1:6" x14ac:dyDescent="0.2">
      <c r="A23" s="27" t="s">
        <v>1032</v>
      </c>
      <c r="B23" s="27" t="s">
        <v>1031</v>
      </c>
      <c r="C23" s="27" t="s">
        <v>925</v>
      </c>
      <c r="D23" s="31">
        <v>4112021</v>
      </c>
      <c r="E23" s="29">
        <v>12697.92085</v>
      </c>
      <c r="F23" s="30">
        <v>2.0640636362095099</v>
      </c>
    </row>
    <row r="24" spans="1:6" x14ac:dyDescent="0.2">
      <c r="A24" s="27" t="s">
        <v>1161</v>
      </c>
      <c r="B24" s="27" t="s">
        <v>1160</v>
      </c>
      <c r="C24" s="27" t="s">
        <v>1162</v>
      </c>
      <c r="D24" s="31">
        <v>2460139</v>
      </c>
      <c r="E24" s="29">
        <v>12320.376109999999</v>
      </c>
      <c r="F24" s="30">
        <v>2.0026932450973201</v>
      </c>
    </row>
    <row r="25" spans="1:6" x14ac:dyDescent="0.2">
      <c r="A25" s="27" t="s">
        <v>1164</v>
      </c>
      <c r="B25" s="27" t="s">
        <v>1163</v>
      </c>
      <c r="C25" s="27" t="s">
        <v>915</v>
      </c>
      <c r="D25" s="31">
        <v>2300752</v>
      </c>
      <c r="E25" s="29">
        <v>11994.97055</v>
      </c>
      <c r="F25" s="30">
        <v>1.9497981458640901</v>
      </c>
    </row>
    <row r="26" spans="1:6" x14ac:dyDescent="0.2">
      <c r="A26" s="27" t="s">
        <v>1166</v>
      </c>
      <c r="B26" s="27" t="s">
        <v>1165</v>
      </c>
      <c r="C26" s="27" t="s">
        <v>1030</v>
      </c>
      <c r="D26" s="31">
        <v>185642</v>
      </c>
      <c r="E26" s="29">
        <v>11714.659949999999</v>
      </c>
      <c r="F26" s="30">
        <v>1.90423329133879</v>
      </c>
    </row>
    <row r="27" spans="1:6" x14ac:dyDescent="0.2">
      <c r="A27" s="27" t="s">
        <v>1039</v>
      </c>
      <c r="B27" s="27" t="s">
        <v>1038</v>
      </c>
      <c r="C27" s="27" t="s">
        <v>967</v>
      </c>
      <c r="D27" s="31">
        <v>16272603</v>
      </c>
      <c r="E27" s="29">
        <v>11439.63991</v>
      </c>
      <c r="F27" s="30">
        <v>1.85952842425869</v>
      </c>
    </row>
    <row r="28" spans="1:6" x14ac:dyDescent="0.2">
      <c r="A28" s="27" t="s">
        <v>1043</v>
      </c>
      <c r="B28" s="27" t="s">
        <v>1042</v>
      </c>
      <c r="C28" s="27" t="s">
        <v>912</v>
      </c>
      <c r="D28" s="31">
        <v>1432291</v>
      </c>
      <c r="E28" s="29">
        <v>11336.583269999999</v>
      </c>
      <c r="F28" s="30">
        <v>1.8427764326841001</v>
      </c>
    </row>
    <row r="29" spans="1:6" x14ac:dyDescent="0.2">
      <c r="A29" s="27" t="s">
        <v>1168</v>
      </c>
      <c r="B29" s="27" t="s">
        <v>1167</v>
      </c>
      <c r="C29" s="27" t="s">
        <v>871</v>
      </c>
      <c r="D29" s="31">
        <v>9949095</v>
      </c>
      <c r="E29" s="29">
        <v>10710.200769999999</v>
      </c>
      <c r="F29" s="30">
        <v>1.7409571383381299</v>
      </c>
    </row>
    <row r="30" spans="1:6" x14ac:dyDescent="0.2">
      <c r="A30" s="27" t="s">
        <v>1170</v>
      </c>
      <c r="B30" s="27" t="s">
        <v>1169</v>
      </c>
      <c r="C30" s="27" t="s">
        <v>1012</v>
      </c>
      <c r="D30" s="31">
        <v>408284</v>
      </c>
      <c r="E30" s="29">
        <v>10206.691720000001</v>
      </c>
      <c r="F30" s="30">
        <v>1.6591110839419601</v>
      </c>
    </row>
    <row r="31" spans="1:6" x14ac:dyDescent="0.2">
      <c r="A31" s="27" t="s">
        <v>903</v>
      </c>
      <c r="B31" s="27" t="s">
        <v>902</v>
      </c>
      <c r="C31" s="27" t="s">
        <v>904</v>
      </c>
      <c r="D31" s="31">
        <v>1638427</v>
      </c>
      <c r="E31" s="29">
        <v>9459.4582850000006</v>
      </c>
      <c r="F31" s="30">
        <v>1.5376473121037999</v>
      </c>
    </row>
    <row r="32" spans="1:6" x14ac:dyDescent="0.2">
      <c r="A32" s="27" t="s">
        <v>1172</v>
      </c>
      <c r="B32" s="27" t="s">
        <v>1171</v>
      </c>
      <c r="C32" s="27" t="s">
        <v>895</v>
      </c>
      <c r="D32" s="31">
        <v>162407</v>
      </c>
      <c r="E32" s="29">
        <v>9331.5814059999993</v>
      </c>
      <c r="F32" s="30">
        <v>1.5168607582282601</v>
      </c>
    </row>
    <row r="33" spans="1:6" x14ac:dyDescent="0.2">
      <c r="A33" s="27" t="s">
        <v>1174</v>
      </c>
      <c r="B33" s="27" t="s">
        <v>1173</v>
      </c>
      <c r="C33" s="27" t="s">
        <v>925</v>
      </c>
      <c r="D33" s="31">
        <v>2667883</v>
      </c>
      <c r="E33" s="29">
        <v>9256.2200690000009</v>
      </c>
      <c r="F33" s="30">
        <v>1.5046106743668699</v>
      </c>
    </row>
    <row r="34" spans="1:6" x14ac:dyDescent="0.2">
      <c r="A34" s="27" t="s">
        <v>1176</v>
      </c>
      <c r="B34" s="27" t="s">
        <v>1175</v>
      </c>
      <c r="C34" s="27" t="s">
        <v>967</v>
      </c>
      <c r="D34" s="31">
        <v>2353836</v>
      </c>
      <c r="E34" s="29">
        <v>9149.3605320000006</v>
      </c>
      <c r="F34" s="30">
        <v>1.48724051691279</v>
      </c>
    </row>
    <row r="35" spans="1:6" x14ac:dyDescent="0.2">
      <c r="A35" s="27" t="s">
        <v>1178</v>
      </c>
      <c r="B35" s="27" t="s">
        <v>1177</v>
      </c>
      <c r="C35" s="27" t="s">
        <v>947</v>
      </c>
      <c r="D35" s="31">
        <v>11177038</v>
      </c>
      <c r="E35" s="29">
        <v>9014.2811469999997</v>
      </c>
      <c r="F35" s="30">
        <v>1.46528318626995</v>
      </c>
    </row>
    <row r="36" spans="1:6" x14ac:dyDescent="0.2">
      <c r="A36" s="27" t="s">
        <v>1180</v>
      </c>
      <c r="B36" s="27" t="s">
        <v>1179</v>
      </c>
      <c r="C36" s="27" t="s">
        <v>1149</v>
      </c>
      <c r="D36" s="31">
        <v>2829248</v>
      </c>
      <c r="E36" s="29">
        <v>8797.5466560000004</v>
      </c>
      <c r="F36" s="30">
        <v>1.4300527113859101</v>
      </c>
    </row>
    <row r="37" spans="1:6" x14ac:dyDescent="0.2">
      <c r="A37" s="27" t="s">
        <v>1182</v>
      </c>
      <c r="B37" s="27" t="s">
        <v>1181</v>
      </c>
      <c r="C37" s="27" t="s">
        <v>1183</v>
      </c>
      <c r="D37" s="31">
        <v>393330</v>
      </c>
      <c r="E37" s="29">
        <v>8788.5655200000001</v>
      </c>
      <c r="F37" s="30">
        <v>1.4285928159866199</v>
      </c>
    </row>
    <row r="38" spans="1:6" x14ac:dyDescent="0.2">
      <c r="A38" s="27" t="s">
        <v>1111</v>
      </c>
      <c r="B38" s="27" t="s">
        <v>1110</v>
      </c>
      <c r="C38" s="27" t="s">
        <v>876</v>
      </c>
      <c r="D38" s="31">
        <v>170000</v>
      </c>
      <c r="E38" s="29">
        <v>8657.08</v>
      </c>
      <c r="F38" s="30">
        <v>1.4072196727983699</v>
      </c>
    </row>
    <row r="39" spans="1:6" x14ac:dyDescent="0.2">
      <c r="A39" s="27" t="s">
        <v>1185</v>
      </c>
      <c r="B39" s="27" t="s">
        <v>1184</v>
      </c>
      <c r="C39" s="27" t="s">
        <v>889</v>
      </c>
      <c r="D39" s="31">
        <v>1000416</v>
      </c>
      <c r="E39" s="29">
        <v>8239.4261760000009</v>
      </c>
      <c r="F39" s="30">
        <v>1.3393294976409</v>
      </c>
    </row>
    <row r="40" spans="1:6" x14ac:dyDescent="0.2">
      <c r="A40" s="27" t="s">
        <v>1187</v>
      </c>
      <c r="B40" s="27" t="s">
        <v>1186</v>
      </c>
      <c r="C40" s="27" t="s">
        <v>967</v>
      </c>
      <c r="D40" s="31">
        <v>504140</v>
      </c>
      <c r="E40" s="29">
        <v>8141.6089300000003</v>
      </c>
      <c r="F40" s="30">
        <v>1.32342917641132</v>
      </c>
    </row>
    <row r="41" spans="1:6" x14ac:dyDescent="0.2">
      <c r="A41" s="27" t="s">
        <v>1189</v>
      </c>
      <c r="B41" s="27" t="s">
        <v>1188</v>
      </c>
      <c r="C41" s="27" t="s">
        <v>1183</v>
      </c>
      <c r="D41" s="31">
        <v>2084260</v>
      </c>
      <c r="E41" s="29">
        <v>8054.6227699999999</v>
      </c>
      <c r="F41" s="30">
        <v>1.30928946237227</v>
      </c>
    </row>
    <row r="42" spans="1:6" x14ac:dyDescent="0.2">
      <c r="A42" s="27" t="s">
        <v>1191</v>
      </c>
      <c r="B42" s="27" t="s">
        <v>1190</v>
      </c>
      <c r="C42" s="27" t="s">
        <v>1149</v>
      </c>
      <c r="D42" s="31">
        <v>3270913</v>
      </c>
      <c r="E42" s="29">
        <v>8051.3523500000001</v>
      </c>
      <c r="F42" s="30">
        <v>1.30875785132532</v>
      </c>
    </row>
    <row r="43" spans="1:6" x14ac:dyDescent="0.2">
      <c r="A43" s="27" t="s">
        <v>1193</v>
      </c>
      <c r="B43" s="27" t="s">
        <v>1192</v>
      </c>
      <c r="C43" s="27" t="s">
        <v>871</v>
      </c>
      <c r="D43" s="31">
        <v>4308453</v>
      </c>
      <c r="E43" s="29">
        <v>8015.8768069999996</v>
      </c>
      <c r="F43" s="30">
        <v>1.3029912554277701</v>
      </c>
    </row>
    <row r="44" spans="1:6" x14ac:dyDescent="0.2">
      <c r="A44" s="27" t="s">
        <v>1195</v>
      </c>
      <c r="B44" s="27" t="s">
        <v>1194</v>
      </c>
      <c r="C44" s="27" t="s">
        <v>1149</v>
      </c>
      <c r="D44" s="31">
        <v>2805627</v>
      </c>
      <c r="E44" s="29">
        <v>7998.8425770000003</v>
      </c>
      <c r="F44" s="30">
        <v>1.30022231906967</v>
      </c>
    </row>
    <row r="45" spans="1:6" x14ac:dyDescent="0.2">
      <c r="A45" s="27" t="s">
        <v>1197</v>
      </c>
      <c r="B45" s="27" t="s">
        <v>1196</v>
      </c>
      <c r="C45" s="27" t="s">
        <v>886</v>
      </c>
      <c r="D45" s="31">
        <v>2345030</v>
      </c>
      <c r="E45" s="29">
        <v>7762.0492999999997</v>
      </c>
      <c r="F45" s="30">
        <v>1.2617312622952399</v>
      </c>
    </row>
    <row r="46" spans="1:6" x14ac:dyDescent="0.2">
      <c r="A46" s="27" t="s">
        <v>1199</v>
      </c>
      <c r="B46" s="27" t="s">
        <v>1198</v>
      </c>
      <c r="C46" s="27" t="s">
        <v>989</v>
      </c>
      <c r="D46" s="31">
        <v>23086857</v>
      </c>
      <c r="E46" s="29">
        <v>7699.4668099999999</v>
      </c>
      <c r="F46" s="30">
        <v>1.25155839672154</v>
      </c>
    </row>
    <row r="47" spans="1:6" x14ac:dyDescent="0.2">
      <c r="A47" s="27" t="s">
        <v>1201</v>
      </c>
      <c r="B47" s="27" t="s">
        <v>1200</v>
      </c>
      <c r="C47" s="27" t="s">
        <v>895</v>
      </c>
      <c r="D47" s="31">
        <v>2046602</v>
      </c>
      <c r="E47" s="29">
        <v>7397.4429289999998</v>
      </c>
      <c r="F47" s="30">
        <v>1.20246401998041</v>
      </c>
    </row>
    <row r="48" spans="1:6" x14ac:dyDescent="0.2">
      <c r="A48" s="27" t="s">
        <v>941</v>
      </c>
      <c r="B48" s="27" t="s">
        <v>940</v>
      </c>
      <c r="C48" s="27" t="s">
        <v>871</v>
      </c>
      <c r="D48" s="31">
        <v>19398917</v>
      </c>
      <c r="E48" s="29">
        <v>7274.5938749999996</v>
      </c>
      <c r="F48" s="30">
        <v>1.1824947456323101</v>
      </c>
    </row>
    <row r="49" spans="1:6" x14ac:dyDescent="0.2">
      <c r="A49" s="27" t="s">
        <v>1056</v>
      </c>
      <c r="B49" s="27" t="s">
        <v>1055</v>
      </c>
      <c r="C49" s="27" t="s">
        <v>925</v>
      </c>
      <c r="D49" s="31">
        <v>1041126</v>
      </c>
      <c r="E49" s="29">
        <v>6567.9433710000003</v>
      </c>
      <c r="F49" s="30">
        <v>1.06762778228882</v>
      </c>
    </row>
    <row r="50" spans="1:6" x14ac:dyDescent="0.2">
      <c r="A50" s="27" t="s">
        <v>1203</v>
      </c>
      <c r="B50" s="27" t="s">
        <v>1202</v>
      </c>
      <c r="C50" s="27" t="s">
        <v>1030</v>
      </c>
      <c r="D50" s="31">
        <v>3836227</v>
      </c>
      <c r="E50" s="29">
        <v>6519.6677870000003</v>
      </c>
      <c r="F50" s="30">
        <v>1.0597805229911501</v>
      </c>
    </row>
    <row r="51" spans="1:6" x14ac:dyDescent="0.2">
      <c r="A51" s="27" t="s">
        <v>1205</v>
      </c>
      <c r="B51" s="27" t="s">
        <v>1204</v>
      </c>
      <c r="C51" s="27" t="s">
        <v>925</v>
      </c>
      <c r="D51" s="31">
        <v>1349476</v>
      </c>
      <c r="E51" s="29">
        <v>6108.4031139999997</v>
      </c>
      <c r="F51" s="30">
        <v>0.992928912682295</v>
      </c>
    </row>
    <row r="52" spans="1:6" x14ac:dyDescent="0.2">
      <c r="A52" s="27" t="s">
        <v>1207</v>
      </c>
      <c r="B52" s="27" t="s">
        <v>1206</v>
      </c>
      <c r="C52" s="27" t="s">
        <v>947</v>
      </c>
      <c r="D52" s="31">
        <v>24421468</v>
      </c>
      <c r="E52" s="29">
        <v>5568.0947040000001</v>
      </c>
      <c r="F52" s="30">
        <v>0.90510107420437802</v>
      </c>
    </row>
    <row r="53" spans="1:6" x14ac:dyDescent="0.2">
      <c r="A53" s="27" t="s">
        <v>1209</v>
      </c>
      <c r="B53" s="27" t="s">
        <v>1208</v>
      </c>
      <c r="C53" s="27" t="s">
        <v>947</v>
      </c>
      <c r="D53" s="31">
        <v>2713308</v>
      </c>
      <c r="E53" s="29">
        <v>5510.728548</v>
      </c>
      <c r="F53" s="30">
        <v>0.89577613054254002</v>
      </c>
    </row>
    <row r="54" spans="1:6" x14ac:dyDescent="0.2">
      <c r="A54" s="27" t="s">
        <v>1211</v>
      </c>
      <c r="B54" s="27" t="s">
        <v>1210</v>
      </c>
      <c r="C54" s="27" t="s">
        <v>876</v>
      </c>
      <c r="D54" s="31">
        <v>4950639</v>
      </c>
      <c r="E54" s="29">
        <v>5292.2330910000001</v>
      </c>
      <c r="F54" s="30">
        <v>0.86025940833280301</v>
      </c>
    </row>
    <row r="55" spans="1:6" x14ac:dyDescent="0.2">
      <c r="A55" s="27" t="s">
        <v>1213</v>
      </c>
      <c r="B55" s="27" t="s">
        <v>1212</v>
      </c>
      <c r="C55" s="27" t="s">
        <v>967</v>
      </c>
      <c r="D55" s="31">
        <v>1054022</v>
      </c>
      <c r="E55" s="29">
        <v>5289.0823959999998</v>
      </c>
      <c r="F55" s="30">
        <v>0.859747258741141</v>
      </c>
    </row>
    <row r="56" spans="1:6" x14ac:dyDescent="0.2">
      <c r="A56" s="27" t="s">
        <v>1215</v>
      </c>
      <c r="B56" s="27" t="s">
        <v>1214</v>
      </c>
      <c r="C56" s="27" t="s">
        <v>984</v>
      </c>
      <c r="D56" s="31">
        <v>6313159</v>
      </c>
      <c r="E56" s="29">
        <v>4899.0113840000004</v>
      </c>
      <c r="F56" s="30">
        <v>0.79634070573772997</v>
      </c>
    </row>
    <row r="57" spans="1:6" x14ac:dyDescent="0.2">
      <c r="A57" s="27" t="s">
        <v>995</v>
      </c>
      <c r="B57" s="27" t="s">
        <v>994</v>
      </c>
      <c r="C57" s="27" t="s">
        <v>996</v>
      </c>
      <c r="D57" s="31">
        <v>4031266</v>
      </c>
      <c r="E57" s="29">
        <v>4829.4566679999998</v>
      </c>
      <c r="F57" s="30">
        <v>0.78503449571182005</v>
      </c>
    </row>
    <row r="58" spans="1:6" x14ac:dyDescent="0.2">
      <c r="A58" s="27" t="s">
        <v>1217</v>
      </c>
      <c r="B58" s="27" t="s">
        <v>1216</v>
      </c>
      <c r="C58" s="27" t="s">
        <v>871</v>
      </c>
      <c r="D58" s="31">
        <v>13370612</v>
      </c>
      <c r="E58" s="29">
        <v>4592.805222</v>
      </c>
      <c r="F58" s="30">
        <v>0.746566493751877</v>
      </c>
    </row>
    <row r="59" spans="1:6" x14ac:dyDescent="0.2">
      <c r="A59" s="27" t="s">
        <v>1219</v>
      </c>
      <c r="B59" s="27" t="s">
        <v>1218</v>
      </c>
      <c r="C59" s="27" t="s">
        <v>925</v>
      </c>
      <c r="D59" s="31">
        <v>1196703</v>
      </c>
      <c r="E59" s="29">
        <v>4499.0049289999997</v>
      </c>
      <c r="F59" s="30">
        <v>0.73131913348445998</v>
      </c>
    </row>
    <row r="60" spans="1:6" x14ac:dyDescent="0.2">
      <c r="A60" s="27" t="s">
        <v>1221</v>
      </c>
      <c r="B60" s="27" t="s">
        <v>1220</v>
      </c>
      <c r="C60" s="27" t="s">
        <v>984</v>
      </c>
      <c r="D60" s="31">
        <v>2017424</v>
      </c>
      <c r="E60" s="29">
        <v>4352.5922799999998</v>
      </c>
      <c r="F60" s="30">
        <v>0.70751956596061505</v>
      </c>
    </row>
    <row r="61" spans="1:6" x14ac:dyDescent="0.2">
      <c r="A61" s="27" t="s">
        <v>1223</v>
      </c>
      <c r="B61" s="27" t="s">
        <v>1222</v>
      </c>
      <c r="C61" s="27" t="s">
        <v>947</v>
      </c>
      <c r="D61" s="31">
        <v>1444092</v>
      </c>
      <c r="E61" s="29">
        <v>3906.990906</v>
      </c>
      <c r="F61" s="30">
        <v>0.63508648001029699</v>
      </c>
    </row>
    <row r="62" spans="1:6" x14ac:dyDescent="0.2">
      <c r="A62" s="27" t="s">
        <v>1225</v>
      </c>
      <c r="B62" s="27" t="s">
        <v>1224</v>
      </c>
      <c r="C62" s="27" t="s">
        <v>944</v>
      </c>
      <c r="D62" s="31">
        <v>988899</v>
      </c>
      <c r="E62" s="29">
        <v>3257.927756</v>
      </c>
      <c r="F62" s="30">
        <v>0.52958041635274899</v>
      </c>
    </row>
    <row r="63" spans="1:6" x14ac:dyDescent="0.2">
      <c r="A63" s="27" t="s">
        <v>1227</v>
      </c>
      <c r="B63" s="27" t="s">
        <v>1226</v>
      </c>
      <c r="C63" s="27" t="s">
        <v>876</v>
      </c>
      <c r="D63" s="31">
        <v>286766</v>
      </c>
      <c r="E63" s="29">
        <v>2731.4461500000002</v>
      </c>
      <c r="F63" s="30">
        <v>0.44400014294304502</v>
      </c>
    </row>
    <row r="64" spans="1:6" x14ac:dyDescent="0.2">
      <c r="A64" s="27" t="s">
        <v>1229</v>
      </c>
      <c r="B64" s="27" t="s">
        <v>1228</v>
      </c>
      <c r="C64" s="27" t="s">
        <v>886</v>
      </c>
      <c r="D64" s="31">
        <v>7433782</v>
      </c>
      <c r="E64" s="29">
        <v>2601.8236999999999</v>
      </c>
      <c r="F64" s="30">
        <v>0.422929844219189</v>
      </c>
    </row>
    <row r="65" spans="1:9" x14ac:dyDescent="0.2">
      <c r="A65" s="27" t="s">
        <v>1231</v>
      </c>
      <c r="B65" s="27" t="s">
        <v>1230</v>
      </c>
      <c r="C65" s="27" t="s">
        <v>925</v>
      </c>
      <c r="D65" s="31">
        <v>58360</v>
      </c>
      <c r="E65" s="29">
        <v>2325.1499399999998</v>
      </c>
      <c r="F65" s="30">
        <v>0.37795616279091299</v>
      </c>
    </row>
    <row r="66" spans="1:9" x14ac:dyDescent="0.2">
      <c r="A66" s="27" t="s">
        <v>1233</v>
      </c>
      <c r="B66" s="27" t="s">
        <v>1232</v>
      </c>
      <c r="C66" s="27" t="s">
        <v>947</v>
      </c>
      <c r="D66" s="31">
        <v>11046869</v>
      </c>
      <c r="E66" s="29">
        <v>1563.1319639999999</v>
      </c>
      <c r="F66" s="30">
        <v>0.25408914448298497</v>
      </c>
    </row>
    <row r="67" spans="1:9" x14ac:dyDescent="0.2">
      <c r="A67" s="27" t="s">
        <v>1235</v>
      </c>
      <c r="B67" s="27" t="s">
        <v>1234</v>
      </c>
      <c r="C67" s="27" t="s">
        <v>904</v>
      </c>
      <c r="D67" s="31">
        <v>8689354</v>
      </c>
      <c r="E67" s="29">
        <v>1546.7050119999999</v>
      </c>
      <c r="F67" s="30">
        <v>0.25141892195777799</v>
      </c>
    </row>
    <row r="68" spans="1:9" x14ac:dyDescent="0.2">
      <c r="A68" s="27" t="s">
        <v>1237</v>
      </c>
      <c r="B68" s="27" t="s">
        <v>1236</v>
      </c>
      <c r="C68" s="27" t="s">
        <v>1030</v>
      </c>
      <c r="D68" s="31">
        <v>3656106</v>
      </c>
      <c r="E68" s="29">
        <v>1499.0034599999999</v>
      </c>
      <c r="F68" s="30">
        <v>0.24366497231223799</v>
      </c>
    </row>
    <row r="69" spans="1:9" x14ac:dyDescent="0.2">
      <c r="A69" s="27" t="s">
        <v>1113</v>
      </c>
      <c r="B69" s="27" t="s">
        <v>1112</v>
      </c>
      <c r="C69" s="27" t="s">
        <v>876</v>
      </c>
      <c r="D69" s="31">
        <v>57595</v>
      </c>
      <c r="E69" s="29">
        <v>349.51525750000002</v>
      </c>
      <c r="F69" s="30">
        <v>5.68141620843505E-2</v>
      </c>
    </row>
    <row r="70" spans="1:9" ht="10.5" x14ac:dyDescent="0.25">
      <c r="A70" s="26" t="s">
        <v>164</v>
      </c>
      <c r="B70" s="26"/>
      <c r="C70" s="26"/>
      <c r="D70" s="32"/>
      <c r="E70" s="33">
        <f>SUM(E7:E69)</f>
        <v>602885.77459849999</v>
      </c>
      <c r="F70" s="34">
        <f>SUM(F7:F69)</f>
        <v>97.999870910895481</v>
      </c>
      <c r="G70" s="18"/>
      <c r="H70" s="18"/>
      <c r="I70" s="18"/>
    </row>
    <row r="71" spans="1:9" x14ac:dyDescent="0.2">
      <c r="A71" s="27"/>
      <c r="B71" s="27"/>
      <c r="C71" s="27"/>
      <c r="D71" s="28"/>
      <c r="E71" s="29"/>
      <c r="F71" s="30"/>
    </row>
    <row r="72" spans="1:9" ht="10.5" x14ac:dyDescent="0.25">
      <c r="A72" s="26" t="s">
        <v>176</v>
      </c>
      <c r="B72" s="26"/>
      <c r="C72" s="26"/>
      <c r="D72" s="32"/>
      <c r="E72" s="33">
        <f>E70</f>
        <v>602885.77459849999</v>
      </c>
      <c r="F72" s="34">
        <f>F70</f>
        <v>97.999870910895481</v>
      </c>
      <c r="G72" s="18"/>
      <c r="H72" s="18"/>
      <c r="I72" s="18"/>
    </row>
    <row r="73" spans="1:9" ht="10.5" x14ac:dyDescent="0.25">
      <c r="A73" s="26"/>
      <c r="B73" s="26"/>
      <c r="C73" s="26"/>
      <c r="D73" s="32"/>
      <c r="E73" s="33"/>
      <c r="F73" s="34"/>
      <c r="G73" s="18"/>
      <c r="H73" s="18"/>
      <c r="I73" s="18"/>
    </row>
    <row r="74" spans="1:9" ht="10.5" x14ac:dyDescent="0.25">
      <c r="A74" s="26" t="s">
        <v>178</v>
      </c>
      <c r="B74" s="26"/>
      <c r="C74" s="26"/>
      <c r="D74" s="32"/>
      <c r="E74" s="33">
        <f>E76-(E70)</f>
        <v>12304.601669099997</v>
      </c>
      <c r="F74" s="34">
        <f>F76-(F70)</f>
        <v>2.0001290891045187</v>
      </c>
      <c r="G74" s="18"/>
      <c r="H74" s="18"/>
      <c r="I74" s="18"/>
    </row>
    <row r="75" spans="1:9" ht="10.5" x14ac:dyDescent="0.25">
      <c r="A75" s="26"/>
      <c r="B75" s="26"/>
      <c r="C75" s="26"/>
      <c r="D75" s="32"/>
      <c r="E75" s="33"/>
      <c r="F75" s="34"/>
      <c r="G75" s="18"/>
      <c r="H75" s="18"/>
      <c r="I75" s="18"/>
    </row>
    <row r="76" spans="1:9" ht="10.5" x14ac:dyDescent="0.25">
      <c r="A76" s="35" t="s">
        <v>177</v>
      </c>
      <c r="B76" s="35"/>
      <c r="C76" s="35"/>
      <c r="D76" s="36"/>
      <c r="E76" s="37">
        <v>615190.37626759999</v>
      </c>
      <c r="F76" s="38">
        <v>100</v>
      </c>
      <c r="G76" s="18"/>
      <c r="H76" s="18"/>
      <c r="I76" s="18"/>
    </row>
    <row r="79" spans="1:9" ht="10.5" x14ac:dyDescent="0.25">
      <c r="A79" s="18" t="s">
        <v>181</v>
      </c>
    </row>
    <row r="80" spans="1:9" ht="10.5" x14ac:dyDescent="0.25">
      <c r="A80" s="18" t="s">
        <v>182</v>
      </c>
    </row>
    <row r="81" spans="1:4" ht="10.5" x14ac:dyDescent="0.25">
      <c r="A81" s="18" t="s">
        <v>183</v>
      </c>
      <c r="B81" s="18"/>
      <c r="C81" s="39" t="s">
        <v>185</v>
      </c>
      <c r="D81" s="19" t="s">
        <v>184</v>
      </c>
    </row>
    <row r="82" spans="1:4" x14ac:dyDescent="0.2">
      <c r="A82" s="9" t="s">
        <v>421</v>
      </c>
      <c r="C82" s="40">
        <v>35.481400000000001</v>
      </c>
      <c r="D82" s="40">
        <v>54.706499999999998</v>
      </c>
    </row>
    <row r="83" spans="1:4" x14ac:dyDescent="0.2">
      <c r="A83" s="9" t="s">
        <v>458</v>
      </c>
      <c r="C83" s="40">
        <v>14.9503</v>
      </c>
      <c r="D83" s="40">
        <v>23.051100000000002</v>
      </c>
    </row>
    <row r="84" spans="1:4" x14ac:dyDescent="0.2">
      <c r="A84" s="9" t="s">
        <v>424</v>
      </c>
      <c r="C84" s="40">
        <v>38.465699999999998</v>
      </c>
      <c r="D84" s="40">
        <v>59.555900000000001</v>
      </c>
    </row>
    <row r="85" spans="1:4" x14ac:dyDescent="0.2">
      <c r="A85" s="9" t="s">
        <v>459</v>
      </c>
      <c r="C85" s="40">
        <v>16.698799999999999</v>
      </c>
      <c r="D85" s="40">
        <v>25.854399999999998</v>
      </c>
    </row>
    <row r="87" spans="1:4" ht="10.5" x14ac:dyDescent="0.25">
      <c r="A87" s="18" t="s">
        <v>197</v>
      </c>
      <c r="D87" s="41" t="s">
        <v>198</v>
      </c>
    </row>
    <row r="89" spans="1:4" ht="10.5" x14ac:dyDescent="0.25">
      <c r="A89" s="18" t="s">
        <v>1003</v>
      </c>
      <c r="D89" s="47">
        <v>9.3200000000000005E-2</v>
      </c>
    </row>
  </sheetData>
  <mergeCells count="1">
    <mergeCell ref="A1:F1"/>
  </mergeCells>
  <conditionalFormatting sqref="F2:F3 F5:F65536">
    <cfRule type="cellIs" dxfId="1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I85"/>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71" t="s">
        <v>51</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870</v>
      </c>
      <c r="B7" s="27" t="s">
        <v>869</v>
      </c>
      <c r="C7" s="27" t="s">
        <v>871</v>
      </c>
      <c r="D7" s="31">
        <v>1988423</v>
      </c>
      <c r="E7" s="29">
        <v>28650.192800000001</v>
      </c>
      <c r="F7" s="30">
        <v>4.0776863984134897</v>
      </c>
    </row>
    <row r="8" spans="1:6" x14ac:dyDescent="0.2">
      <c r="A8" s="27" t="s">
        <v>1239</v>
      </c>
      <c r="B8" s="27" t="s">
        <v>1238</v>
      </c>
      <c r="C8" s="27" t="s">
        <v>886</v>
      </c>
      <c r="D8" s="31">
        <v>2927389</v>
      </c>
      <c r="E8" s="29">
        <v>26116.700959999998</v>
      </c>
      <c r="F8" s="30">
        <v>3.7171029535279301</v>
      </c>
    </row>
    <row r="9" spans="1:6" x14ac:dyDescent="0.2">
      <c r="A9" s="27" t="s">
        <v>878</v>
      </c>
      <c r="B9" s="27" t="s">
        <v>877</v>
      </c>
      <c r="C9" s="27" t="s">
        <v>871</v>
      </c>
      <c r="D9" s="31">
        <v>1350892</v>
      </c>
      <c r="E9" s="29">
        <v>25762.86133</v>
      </c>
      <c r="F9" s="30">
        <v>3.6667421389762498</v>
      </c>
    </row>
    <row r="10" spans="1:6" x14ac:dyDescent="0.2">
      <c r="A10" s="27" t="s">
        <v>880</v>
      </c>
      <c r="B10" s="27" t="s">
        <v>879</v>
      </c>
      <c r="C10" s="27" t="s">
        <v>871</v>
      </c>
      <c r="D10" s="31">
        <v>5159409</v>
      </c>
      <c r="E10" s="29">
        <v>24422.0625</v>
      </c>
      <c r="F10" s="30">
        <v>3.4759107128051898</v>
      </c>
    </row>
    <row r="11" spans="1:6" x14ac:dyDescent="0.2">
      <c r="A11" s="27" t="s">
        <v>1241</v>
      </c>
      <c r="B11" s="27" t="s">
        <v>1240</v>
      </c>
      <c r="C11" s="27" t="s">
        <v>895</v>
      </c>
      <c r="D11" s="31">
        <v>7941052</v>
      </c>
      <c r="E11" s="29">
        <v>24244.031760000002</v>
      </c>
      <c r="F11" s="30">
        <v>3.4505721912788201</v>
      </c>
    </row>
    <row r="12" spans="1:6" x14ac:dyDescent="0.2">
      <c r="A12" s="27" t="s">
        <v>935</v>
      </c>
      <c r="B12" s="27" t="s">
        <v>934</v>
      </c>
      <c r="C12" s="27" t="s">
        <v>907</v>
      </c>
      <c r="D12" s="31">
        <v>4435936</v>
      </c>
      <c r="E12" s="29">
        <v>24040.55515</v>
      </c>
      <c r="F12" s="30">
        <v>3.4216120439323698</v>
      </c>
    </row>
    <row r="13" spans="1:6" x14ac:dyDescent="0.2">
      <c r="A13" s="27" t="s">
        <v>1193</v>
      </c>
      <c r="B13" s="27" t="s">
        <v>1192</v>
      </c>
      <c r="C13" s="27" t="s">
        <v>871</v>
      </c>
      <c r="D13" s="31">
        <v>11788196</v>
      </c>
      <c r="E13" s="29">
        <v>21931.93866</v>
      </c>
      <c r="F13" s="30">
        <v>3.1214996907358001</v>
      </c>
    </row>
    <row r="14" spans="1:6" x14ac:dyDescent="0.2">
      <c r="A14" s="27" t="s">
        <v>894</v>
      </c>
      <c r="B14" s="27" t="s">
        <v>893</v>
      </c>
      <c r="C14" s="27" t="s">
        <v>895</v>
      </c>
      <c r="D14" s="31">
        <v>2622087</v>
      </c>
      <c r="E14" s="29">
        <v>21149.75374</v>
      </c>
      <c r="F14" s="30">
        <v>3.0101739195064998</v>
      </c>
    </row>
    <row r="15" spans="1:6" x14ac:dyDescent="0.2">
      <c r="A15" s="27" t="s">
        <v>1105</v>
      </c>
      <c r="B15" s="27" t="s">
        <v>1104</v>
      </c>
      <c r="C15" s="27" t="s">
        <v>876</v>
      </c>
      <c r="D15" s="31">
        <v>478016</v>
      </c>
      <c r="E15" s="29">
        <v>20585.042020000001</v>
      </c>
      <c r="F15" s="30">
        <v>2.92980038360245</v>
      </c>
    </row>
    <row r="16" spans="1:6" x14ac:dyDescent="0.2">
      <c r="A16" s="27" t="s">
        <v>888</v>
      </c>
      <c r="B16" s="27" t="s">
        <v>887</v>
      </c>
      <c r="C16" s="27" t="s">
        <v>889</v>
      </c>
      <c r="D16" s="31">
        <v>1136879</v>
      </c>
      <c r="E16" s="29">
        <v>18865.370129999999</v>
      </c>
      <c r="F16" s="30">
        <v>2.6850452182694302</v>
      </c>
    </row>
    <row r="17" spans="1:6" x14ac:dyDescent="0.2">
      <c r="A17" s="27" t="s">
        <v>1058</v>
      </c>
      <c r="B17" s="27" t="s">
        <v>1057</v>
      </c>
      <c r="C17" s="27" t="s">
        <v>907</v>
      </c>
      <c r="D17" s="31">
        <v>3246137</v>
      </c>
      <c r="E17" s="29">
        <v>17464.217059999999</v>
      </c>
      <c r="F17" s="30">
        <v>2.4856237743888001</v>
      </c>
    </row>
    <row r="18" spans="1:6" x14ac:dyDescent="0.2">
      <c r="A18" s="27" t="s">
        <v>1243</v>
      </c>
      <c r="B18" s="27" t="s">
        <v>1242</v>
      </c>
      <c r="C18" s="27" t="s">
        <v>1030</v>
      </c>
      <c r="D18" s="31">
        <v>1489796</v>
      </c>
      <c r="E18" s="29">
        <v>17211.61319</v>
      </c>
      <c r="F18" s="30">
        <v>2.4496715079563902</v>
      </c>
    </row>
    <row r="19" spans="1:6" x14ac:dyDescent="0.2">
      <c r="A19" s="27" t="s">
        <v>975</v>
      </c>
      <c r="B19" s="27" t="s">
        <v>974</v>
      </c>
      <c r="C19" s="27" t="s">
        <v>967</v>
      </c>
      <c r="D19" s="31">
        <v>3121672</v>
      </c>
      <c r="E19" s="29">
        <v>16894.488860000001</v>
      </c>
      <c r="F19" s="30">
        <v>2.4045362596153401</v>
      </c>
    </row>
    <row r="20" spans="1:6" x14ac:dyDescent="0.2">
      <c r="A20" s="27" t="s">
        <v>1068</v>
      </c>
      <c r="B20" s="27" t="s">
        <v>1067</v>
      </c>
      <c r="C20" s="27" t="s">
        <v>898</v>
      </c>
      <c r="D20" s="31">
        <v>18234302</v>
      </c>
      <c r="E20" s="29">
        <v>16802.90929</v>
      </c>
      <c r="F20" s="30">
        <v>2.3915020448172601</v>
      </c>
    </row>
    <row r="21" spans="1:6" x14ac:dyDescent="0.2">
      <c r="A21" s="27" t="s">
        <v>1245</v>
      </c>
      <c r="B21" s="27" t="s">
        <v>1244</v>
      </c>
      <c r="C21" s="27" t="s">
        <v>944</v>
      </c>
      <c r="D21" s="31">
        <v>2131049</v>
      </c>
      <c r="E21" s="29">
        <v>15349.945949999999</v>
      </c>
      <c r="F21" s="30">
        <v>2.1847066179846899</v>
      </c>
    </row>
    <row r="22" spans="1:6" x14ac:dyDescent="0.2">
      <c r="A22" s="27" t="s">
        <v>988</v>
      </c>
      <c r="B22" s="27" t="s">
        <v>987</v>
      </c>
      <c r="C22" s="27" t="s">
        <v>989</v>
      </c>
      <c r="D22" s="31">
        <v>12940848</v>
      </c>
      <c r="E22" s="29">
        <v>15296.082340000001</v>
      </c>
      <c r="F22" s="30">
        <v>2.1770403899980302</v>
      </c>
    </row>
    <row r="23" spans="1:6" x14ac:dyDescent="0.2">
      <c r="A23" s="27" t="s">
        <v>929</v>
      </c>
      <c r="B23" s="27" t="s">
        <v>928</v>
      </c>
      <c r="C23" s="27" t="s">
        <v>912</v>
      </c>
      <c r="D23" s="31">
        <v>4050170</v>
      </c>
      <c r="E23" s="29">
        <v>15107.134099999999</v>
      </c>
      <c r="F23" s="30">
        <v>2.1501480171043998</v>
      </c>
    </row>
    <row r="24" spans="1:6" x14ac:dyDescent="0.2">
      <c r="A24" s="27" t="s">
        <v>1002</v>
      </c>
      <c r="B24" s="27" t="s">
        <v>1001</v>
      </c>
      <c r="C24" s="27" t="s">
        <v>871</v>
      </c>
      <c r="D24" s="31">
        <v>23869927</v>
      </c>
      <c r="E24" s="29">
        <v>14990.31416</v>
      </c>
      <c r="F24" s="30">
        <v>2.13352142461593</v>
      </c>
    </row>
    <row r="25" spans="1:6" x14ac:dyDescent="0.2">
      <c r="A25" s="27" t="s">
        <v>1034</v>
      </c>
      <c r="B25" s="27" t="s">
        <v>1033</v>
      </c>
      <c r="C25" s="27" t="s">
        <v>907</v>
      </c>
      <c r="D25" s="31">
        <v>3366673</v>
      </c>
      <c r="E25" s="29">
        <v>14825.144560000001</v>
      </c>
      <c r="F25" s="30">
        <v>2.1100133862563699</v>
      </c>
    </row>
    <row r="26" spans="1:6" x14ac:dyDescent="0.2">
      <c r="A26" s="27" t="s">
        <v>909</v>
      </c>
      <c r="B26" s="27" t="s">
        <v>908</v>
      </c>
      <c r="C26" s="27" t="s">
        <v>901</v>
      </c>
      <c r="D26" s="31">
        <v>6672160</v>
      </c>
      <c r="E26" s="29">
        <v>14648.727279999999</v>
      </c>
      <c r="F26" s="30">
        <v>2.0849045031112201</v>
      </c>
    </row>
    <row r="27" spans="1:6" x14ac:dyDescent="0.2">
      <c r="A27" s="27" t="s">
        <v>1247</v>
      </c>
      <c r="B27" s="27" t="s">
        <v>1246</v>
      </c>
      <c r="C27" s="27" t="s">
        <v>1183</v>
      </c>
      <c r="D27" s="31">
        <v>612865</v>
      </c>
      <c r="E27" s="29">
        <v>14389.457340000001</v>
      </c>
      <c r="F27" s="30">
        <v>2.04800347716575</v>
      </c>
    </row>
    <row r="28" spans="1:6" x14ac:dyDescent="0.2">
      <c r="A28" s="27" t="s">
        <v>1249</v>
      </c>
      <c r="B28" s="27" t="s">
        <v>1248</v>
      </c>
      <c r="C28" s="27" t="s">
        <v>889</v>
      </c>
      <c r="D28" s="31">
        <v>7460107</v>
      </c>
      <c r="E28" s="29">
        <v>13760.167359999999</v>
      </c>
      <c r="F28" s="30">
        <v>1.95843873287182</v>
      </c>
    </row>
    <row r="29" spans="1:6" x14ac:dyDescent="0.2">
      <c r="A29" s="27" t="s">
        <v>1251</v>
      </c>
      <c r="B29" s="27" t="s">
        <v>1250</v>
      </c>
      <c r="C29" s="27" t="s">
        <v>967</v>
      </c>
      <c r="D29" s="31">
        <v>784058</v>
      </c>
      <c r="E29" s="29">
        <v>13695.925139999999</v>
      </c>
      <c r="F29" s="30">
        <v>1.9492953519345</v>
      </c>
    </row>
    <row r="30" spans="1:6" x14ac:dyDescent="0.2">
      <c r="A30" s="27" t="s">
        <v>1021</v>
      </c>
      <c r="B30" s="27" t="s">
        <v>1020</v>
      </c>
      <c r="C30" s="27" t="s">
        <v>1022</v>
      </c>
      <c r="D30" s="31">
        <v>11887252</v>
      </c>
      <c r="E30" s="29">
        <v>13206.73697</v>
      </c>
      <c r="F30" s="30">
        <v>1.87967083104563</v>
      </c>
    </row>
    <row r="31" spans="1:6" x14ac:dyDescent="0.2">
      <c r="A31" s="27" t="s">
        <v>1062</v>
      </c>
      <c r="B31" s="27" t="s">
        <v>1061</v>
      </c>
      <c r="C31" s="27" t="s">
        <v>886</v>
      </c>
      <c r="D31" s="31">
        <v>634521</v>
      </c>
      <c r="E31" s="29">
        <v>12880.45904</v>
      </c>
      <c r="F31" s="30">
        <v>1.8332327813420499</v>
      </c>
    </row>
    <row r="32" spans="1:6" x14ac:dyDescent="0.2">
      <c r="A32" s="27" t="s">
        <v>1253</v>
      </c>
      <c r="B32" s="27" t="s">
        <v>1252</v>
      </c>
      <c r="C32" s="27" t="s">
        <v>1254</v>
      </c>
      <c r="D32" s="31">
        <v>583155</v>
      </c>
      <c r="E32" s="29">
        <v>12878.39502</v>
      </c>
      <c r="F32" s="30">
        <v>1.8329390162585599</v>
      </c>
    </row>
    <row r="33" spans="1:6" x14ac:dyDescent="0.2">
      <c r="A33" s="27" t="s">
        <v>1032</v>
      </c>
      <c r="B33" s="27" t="s">
        <v>1031</v>
      </c>
      <c r="C33" s="27" t="s">
        <v>925</v>
      </c>
      <c r="D33" s="31">
        <v>4145052</v>
      </c>
      <c r="E33" s="29">
        <v>12799.92058</v>
      </c>
      <c r="F33" s="30">
        <v>1.8217700109103201</v>
      </c>
    </row>
    <row r="34" spans="1:6" x14ac:dyDescent="0.2">
      <c r="A34" s="27" t="s">
        <v>1256</v>
      </c>
      <c r="B34" s="27" t="s">
        <v>1255</v>
      </c>
      <c r="C34" s="27" t="s">
        <v>925</v>
      </c>
      <c r="D34" s="31">
        <v>783689</v>
      </c>
      <c r="E34" s="29">
        <v>12304.309139999999</v>
      </c>
      <c r="F34" s="30">
        <v>1.7512312874227101</v>
      </c>
    </row>
    <row r="35" spans="1:6" x14ac:dyDescent="0.2">
      <c r="A35" s="27" t="s">
        <v>1258</v>
      </c>
      <c r="B35" s="27" t="s">
        <v>1257</v>
      </c>
      <c r="C35" s="27" t="s">
        <v>1149</v>
      </c>
      <c r="D35" s="31">
        <v>2606125</v>
      </c>
      <c r="E35" s="29">
        <v>12076.78325</v>
      </c>
      <c r="F35" s="30">
        <v>1.7188482862535199</v>
      </c>
    </row>
    <row r="36" spans="1:6" x14ac:dyDescent="0.2">
      <c r="A36" s="27" t="s">
        <v>1029</v>
      </c>
      <c r="B36" s="27" t="s">
        <v>1028</v>
      </c>
      <c r="C36" s="27" t="s">
        <v>1030</v>
      </c>
      <c r="D36" s="31">
        <v>2956964</v>
      </c>
      <c r="E36" s="29">
        <v>11594.25584</v>
      </c>
      <c r="F36" s="30">
        <v>1.6501717691231099</v>
      </c>
    </row>
    <row r="37" spans="1:6" x14ac:dyDescent="0.2">
      <c r="A37" s="27" t="s">
        <v>1260</v>
      </c>
      <c r="B37" s="27" t="s">
        <v>1259</v>
      </c>
      <c r="C37" s="27" t="s">
        <v>1261</v>
      </c>
      <c r="D37" s="31">
        <v>1386228</v>
      </c>
      <c r="E37" s="29">
        <v>11482.81964</v>
      </c>
      <c r="F37" s="30">
        <v>1.6343114263951199</v>
      </c>
    </row>
    <row r="38" spans="1:6" x14ac:dyDescent="0.2">
      <c r="A38" s="27" t="s">
        <v>900</v>
      </c>
      <c r="B38" s="27" t="s">
        <v>899</v>
      </c>
      <c r="C38" s="27" t="s">
        <v>901</v>
      </c>
      <c r="D38" s="31">
        <v>4535064</v>
      </c>
      <c r="E38" s="29">
        <v>11394.3483</v>
      </c>
      <c r="F38" s="30">
        <v>1.6217195956076</v>
      </c>
    </row>
    <row r="39" spans="1:6" x14ac:dyDescent="0.2">
      <c r="A39" s="27" t="s">
        <v>1263</v>
      </c>
      <c r="B39" s="27" t="s">
        <v>1262</v>
      </c>
      <c r="C39" s="27" t="s">
        <v>871</v>
      </c>
      <c r="D39" s="31">
        <v>4734341</v>
      </c>
      <c r="E39" s="29">
        <v>10595.45516</v>
      </c>
      <c r="F39" s="30">
        <v>1.5080157991443599</v>
      </c>
    </row>
    <row r="40" spans="1:6" x14ac:dyDescent="0.2">
      <c r="A40" s="27" t="s">
        <v>1231</v>
      </c>
      <c r="B40" s="27" t="s">
        <v>1230</v>
      </c>
      <c r="C40" s="27" t="s">
        <v>925</v>
      </c>
      <c r="D40" s="31">
        <v>264692</v>
      </c>
      <c r="E40" s="29">
        <v>10545.72632</v>
      </c>
      <c r="F40" s="30">
        <v>1.50093805918315</v>
      </c>
    </row>
    <row r="41" spans="1:6" x14ac:dyDescent="0.2">
      <c r="A41" s="27" t="s">
        <v>1265</v>
      </c>
      <c r="B41" s="27" t="s">
        <v>1264</v>
      </c>
      <c r="C41" s="27" t="s">
        <v>889</v>
      </c>
      <c r="D41" s="31">
        <v>1950821</v>
      </c>
      <c r="E41" s="29">
        <v>10174.50693</v>
      </c>
      <c r="F41" s="30">
        <v>1.44810364134879</v>
      </c>
    </row>
    <row r="42" spans="1:6" x14ac:dyDescent="0.2">
      <c r="A42" s="27" t="s">
        <v>1267</v>
      </c>
      <c r="B42" s="27" t="s">
        <v>1266</v>
      </c>
      <c r="C42" s="27" t="s">
        <v>925</v>
      </c>
      <c r="D42" s="31">
        <v>540261</v>
      </c>
      <c r="E42" s="29">
        <v>10029.13507</v>
      </c>
      <c r="F42" s="30">
        <v>1.42741334930181</v>
      </c>
    </row>
    <row r="43" spans="1:6" x14ac:dyDescent="0.2">
      <c r="A43" s="27" t="s">
        <v>939</v>
      </c>
      <c r="B43" s="27" t="s">
        <v>938</v>
      </c>
      <c r="C43" s="27" t="s">
        <v>898</v>
      </c>
      <c r="D43" s="31">
        <v>1979985</v>
      </c>
      <c r="E43" s="29">
        <v>9892.9950530000006</v>
      </c>
      <c r="F43" s="30">
        <v>1.4080369946826301</v>
      </c>
    </row>
    <row r="44" spans="1:6" x14ac:dyDescent="0.2">
      <c r="A44" s="27" t="s">
        <v>1041</v>
      </c>
      <c r="B44" s="27" t="s">
        <v>1040</v>
      </c>
      <c r="C44" s="27" t="s">
        <v>886</v>
      </c>
      <c r="D44" s="31">
        <v>573690</v>
      </c>
      <c r="E44" s="29">
        <v>9781.7013449999995</v>
      </c>
      <c r="F44" s="30">
        <v>1.3921969323658201</v>
      </c>
    </row>
    <row r="45" spans="1:6" x14ac:dyDescent="0.2">
      <c r="A45" s="27" t="s">
        <v>1269</v>
      </c>
      <c r="B45" s="27" t="s">
        <v>1268</v>
      </c>
      <c r="C45" s="27" t="s">
        <v>876</v>
      </c>
      <c r="D45" s="31">
        <v>714369</v>
      </c>
      <c r="E45" s="29">
        <v>9398.9529330000005</v>
      </c>
      <c r="F45" s="30">
        <v>1.3377216272772401</v>
      </c>
    </row>
    <row r="46" spans="1:6" x14ac:dyDescent="0.2">
      <c r="A46" s="27" t="s">
        <v>1271</v>
      </c>
      <c r="B46" s="27" t="s">
        <v>1270</v>
      </c>
      <c r="C46" s="27" t="s">
        <v>1149</v>
      </c>
      <c r="D46" s="31">
        <v>1443720</v>
      </c>
      <c r="E46" s="29">
        <v>9353.8618800000004</v>
      </c>
      <c r="F46" s="30">
        <v>1.3313039680736301</v>
      </c>
    </row>
    <row r="47" spans="1:6" x14ac:dyDescent="0.2">
      <c r="A47" s="27" t="s">
        <v>1080</v>
      </c>
      <c r="B47" s="27" t="s">
        <v>1079</v>
      </c>
      <c r="C47" s="27" t="s">
        <v>918</v>
      </c>
      <c r="D47" s="31">
        <v>1476818</v>
      </c>
      <c r="E47" s="29">
        <v>8586.2198520000002</v>
      </c>
      <c r="F47" s="30">
        <v>1.2220480381649801</v>
      </c>
    </row>
    <row r="48" spans="1:6" x14ac:dyDescent="0.2">
      <c r="A48" s="27" t="s">
        <v>1273</v>
      </c>
      <c r="B48" s="27" t="s">
        <v>1272</v>
      </c>
      <c r="C48" s="27" t="s">
        <v>1183</v>
      </c>
      <c r="D48" s="31">
        <v>391950</v>
      </c>
      <c r="E48" s="29">
        <v>8281.9035000000003</v>
      </c>
      <c r="F48" s="30">
        <v>1.1787357066205499</v>
      </c>
    </row>
    <row r="49" spans="1:9" x14ac:dyDescent="0.2">
      <c r="A49" s="27" t="s">
        <v>1039</v>
      </c>
      <c r="B49" s="27" t="s">
        <v>1038</v>
      </c>
      <c r="C49" s="27" t="s">
        <v>967</v>
      </c>
      <c r="D49" s="31">
        <v>11253507</v>
      </c>
      <c r="E49" s="29">
        <v>7911.2154209999999</v>
      </c>
      <c r="F49" s="30">
        <v>1.1259769085089999</v>
      </c>
    </row>
    <row r="50" spans="1:9" x14ac:dyDescent="0.2">
      <c r="A50" s="27" t="s">
        <v>1275</v>
      </c>
      <c r="B50" s="27" t="s">
        <v>1274</v>
      </c>
      <c r="C50" s="27" t="s">
        <v>925</v>
      </c>
      <c r="D50" s="31">
        <v>3000000</v>
      </c>
      <c r="E50" s="29">
        <v>7824</v>
      </c>
      <c r="F50" s="30">
        <v>1.1135638284845</v>
      </c>
    </row>
    <row r="51" spans="1:9" x14ac:dyDescent="0.2">
      <c r="A51" s="27" t="s">
        <v>1277</v>
      </c>
      <c r="B51" s="27" t="s">
        <v>1276</v>
      </c>
      <c r="C51" s="27" t="s">
        <v>925</v>
      </c>
      <c r="D51" s="31">
        <v>1521940</v>
      </c>
      <c r="E51" s="29">
        <v>7736.7819900000004</v>
      </c>
      <c r="F51" s="30">
        <v>1.1011503799762701</v>
      </c>
    </row>
    <row r="52" spans="1:9" x14ac:dyDescent="0.2">
      <c r="A52" s="27" t="s">
        <v>1279</v>
      </c>
      <c r="B52" s="27" t="s">
        <v>1278</v>
      </c>
      <c r="C52" s="27" t="s">
        <v>1149</v>
      </c>
      <c r="D52" s="31">
        <v>1021062</v>
      </c>
      <c r="E52" s="29">
        <v>6969.2586810000003</v>
      </c>
      <c r="F52" s="30">
        <v>0.99191134694698602</v>
      </c>
    </row>
    <row r="53" spans="1:9" x14ac:dyDescent="0.2">
      <c r="A53" s="27" t="s">
        <v>943</v>
      </c>
      <c r="B53" s="27" t="s">
        <v>942</v>
      </c>
      <c r="C53" s="27" t="s">
        <v>944</v>
      </c>
      <c r="D53" s="31">
        <v>3318223</v>
      </c>
      <c r="E53" s="29">
        <v>5397.0897100000002</v>
      </c>
      <c r="F53" s="30">
        <v>0.76814978018173796</v>
      </c>
    </row>
    <row r="54" spans="1:9" x14ac:dyDescent="0.2">
      <c r="A54" s="27" t="s">
        <v>941</v>
      </c>
      <c r="B54" s="27" t="s">
        <v>940</v>
      </c>
      <c r="C54" s="27" t="s">
        <v>871</v>
      </c>
      <c r="D54" s="31">
        <v>12530441</v>
      </c>
      <c r="E54" s="29">
        <v>4698.9153749999996</v>
      </c>
      <c r="F54" s="30">
        <v>0.66878095535655602</v>
      </c>
    </row>
    <row r="55" spans="1:9" x14ac:dyDescent="0.2">
      <c r="A55" s="27" t="s">
        <v>1281</v>
      </c>
      <c r="B55" s="27" t="s">
        <v>1280</v>
      </c>
      <c r="C55" s="27" t="s">
        <v>915</v>
      </c>
      <c r="D55" s="31">
        <v>103793</v>
      </c>
      <c r="E55" s="29">
        <v>2248.9348279999999</v>
      </c>
      <c r="F55" s="30">
        <v>0.32008339430979299</v>
      </c>
    </row>
    <row r="56" spans="1:9" x14ac:dyDescent="0.2">
      <c r="A56" s="27" t="s">
        <v>949</v>
      </c>
      <c r="B56" s="27" t="s">
        <v>948</v>
      </c>
      <c r="C56" s="27" t="s">
        <v>944</v>
      </c>
      <c r="D56" s="31">
        <v>387844</v>
      </c>
      <c r="E56" s="29">
        <v>392.88597199999998</v>
      </c>
      <c r="F56" s="30">
        <v>5.59181501965971E-2</v>
      </c>
    </row>
    <row r="57" spans="1:9" ht="10.5" x14ac:dyDescent="0.25">
      <c r="A57" s="26" t="s">
        <v>164</v>
      </c>
      <c r="B57" s="26"/>
      <c r="C57" s="26"/>
      <c r="D57" s="32"/>
      <c r="E57" s="33">
        <f>SUM(E7:E56)</f>
        <v>686642.20348000003</v>
      </c>
      <c r="F57" s="34">
        <f>SUM(F7:F56)</f>
        <v>97.727495003351763</v>
      </c>
      <c r="G57" s="18"/>
      <c r="H57" s="18"/>
      <c r="I57" s="18"/>
    </row>
    <row r="58" spans="1:9" x14ac:dyDescent="0.2">
      <c r="A58" s="27"/>
      <c r="B58" s="27"/>
      <c r="C58" s="27"/>
      <c r="D58" s="28"/>
      <c r="E58" s="29"/>
      <c r="F58" s="30"/>
    </row>
    <row r="59" spans="1:9" ht="10.5" x14ac:dyDescent="0.25">
      <c r="A59" s="26" t="s">
        <v>1528</v>
      </c>
      <c r="B59" s="27"/>
      <c r="C59" s="27"/>
      <c r="D59" s="28"/>
      <c r="E59" s="29"/>
      <c r="F59" s="30"/>
    </row>
    <row r="60" spans="1:9" x14ac:dyDescent="0.2">
      <c r="A60" s="27"/>
      <c r="B60" s="27" t="s">
        <v>1013</v>
      </c>
      <c r="C60" s="27" t="s">
        <v>967</v>
      </c>
      <c r="D60" s="31">
        <v>8100</v>
      </c>
      <c r="E60" s="29">
        <v>8.0999999999999996E-4</v>
      </c>
      <c r="F60" s="30">
        <v>1.15284598807828E-7</v>
      </c>
    </row>
    <row r="61" spans="1:9" ht="10.5" x14ac:dyDescent="0.25">
      <c r="A61" s="26" t="s">
        <v>164</v>
      </c>
      <c r="B61" s="26"/>
      <c r="C61" s="26"/>
      <c r="D61" s="32"/>
      <c r="E61" s="33">
        <f>SUM(E59:E60)</f>
        <v>8.0999999999999996E-4</v>
      </c>
      <c r="F61" s="34">
        <f>SUM(F59:F60)</f>
        <v>1.15284598807828E-7</v>
      </c>
      <c r="G61" s="18"/>
      <c r="H61" s="18"/>
      <c r="I61" s="18"/>
    </row>
    <row r="62" spans="1:9" x14ac:dyDescent="0.2">
      <c r="A62" s="27"/>
      <c r="B62" s="27"/>
      <c r="C62" s="27"/>
      <c r="D62" s="28"/>
      <c r="E62" s="29"/>
      <c r="F62" s="30"/>
    </row>
    <row r="63" spans="1:9" ht="10.5" x14ac:dyDescent="0.25">
      <c r="A63" s="26" t="s">
        <v>176</v>
      </c>
      <c r="B63" s="26"/>
      <c r="C63" s="26"/>
      <c r="D63" s="32"/>
      <c r="E63" s="33">
        <f>E57+E61</f>
        <v>686642.20429000002</v>
      </c>
      <c r="F63" s="34">
        <f>F57+F61</f>
        <v>97.727495118636355</v>
      </c>
      <c r="G63" s="18"/>
      <c r="H63" s="18"/>
      <c r="I63" s="18"/>
    </row>
    <row r="64" spans="1:9" ht="10.5" x14ac:dyDescent="0.25">
      <c r="A64" s="26"/>
      <c r="B64" s="26"/>
      <c r="C64" s="26"/>
      <c r="D64" s="32"/>
      <c r="E64" s="33"/>
      <c r="F64" s="34"/>
      <c r="G64" s="18"/>
      <c r="H64" s="18"/>
      <c r="I64" s="18"/>
    </row>
    <row r="65" spans="1:9" ht="10.5" x14ac:dyDescent="0.25">
      <c r="A65" s="26" t="s">
        <v>178</v>
      </c>
      <c r="B65" s="26"/>
      <c r="C65" s="26"/>
      <c r="D65" s="32"/>
      <c r="E65" s="33">
        <f>E67-(E57+E61)</f>
        <v>15966.824475599919</v>
      </c>
      <c r="F65" s="34">
        <f>F67-(F57+F61)</f>
        <v>2.2725048813636448</v>
      </c>
      <c r="G65" s="18"/>
      <c r="H65" s="18"/>
      <c r="I65" s="18"/>
    </row>
    <row r="66" spans="1:9" ht="10.5" x14ac:dyDescent="0.25">
      <c r="A66" s="26"/>
      <c r="B66" s="26"/>
      <c r="C66" s="26"/>
      <c r="D66" s="32"/>
      <c r="E66" s="33"/>
      <c r="F66" s="34"/>
      <c r="G66" s="18"/>
      <c r="H66" s="18"/>
      <c r="I66" s="18"/>
    </row>
    <row r="67" spans="1:9" ht="10.5" x14ac:dyDescent="0.25">
      <c r="A67" s="35" t="s">
        <v>177</v>
      </c>
      <c r="B67" s="35"/>
      <c r="C67" s="35"/>
      <c r="D67" s="36"/>
      <c r="E67" s="37">
        <v>702609.02876559994</v>
      </c>
      <c r="F67" s="38">
        <v>100</v>
      </c>
      <c r="G67" s="18"/>
      <c r="H67" s="18"/>
      <c r="I67" s="18"/>
    </row>
    <row r="68" spans="1:9" ht="10.5" x14ac:dyDescent="0.25">
      <c r="F68" s="20" t="s">
        <v>337</v>
      </c>
    </row>
    <row r="69" spans="1:9" ht="10.5" x14ac:dyDescent="0.25">
      <c r="A69" s="18" t="s">
        <v>180</v>
      </c>
    </row>
    <row r="71" spans="1:9" ht="10.5" x14ac:dyDescent="0.25">
      <c r="A71" s="18" t="s">
        <v>181</v>
      </c>
    </row>
    <row r="72" spans="1:9" ht="10.5" x14ac:dyDescent="0.25">
      <c r="A72" s="18" t="s">
        <v>182</v>
      </c>
    </row>
    <row r="73" spans="1:9" ht="10.5" x14ac:dyDescent="0.25">
      <c r="A73" s="18" t="s">
        <v>183</v>
      </c>
      <c r="B73" s="18"/>
      <c r="C73" s="39" t="s">
        <v>185</v>
      </c>
      <c r="D73" s="19" t="s">
        <v>184</v>
      </c>
    </row>
    <row r="74" spans="1:9" x14ac:dyDescent="0.2">
      <c r="A74" s="9" t="s">
        <v>421</v>
      </c>
      <c r="C74" s="40">
        <v>752.10889999999995</v>
      </c>
      <c r="D74" s="40">
        <v>1082.5499</v>
      </c>
    </row>
    <row r="75" spans="1:9" x14ac:dyDescent="0.2">
      <c r="A75" s="9" t="s">
        <v>458</v>
      </c>
      <c r="C75" s="40">
        <v>43.337000000000003</v>
      </c>
      <c r="D75" s="40">
        <v>56.826999999999998</v>
      </c>
    </row>
    <row r="76" spans="1:9" x14ac:dyDescent="0.2">
      <c r="A76" s="9" t="s">
        <v>424</v>
      </c>
      <c r="C76" s="40">
        <v>810.73760000000004</v>
      </c>
      <c r="D76" s="40">
        <v>1171.6606999999999</v>
      </c>
    </row>
    <row r="77" spans="1:9" x14ac:dyDescent="0.2">
      <c r="A77" s="9" t="s">
        <v>459</v>
      </c>
      <c r="C77" s="40">
        <v>48.063499999999998</v>
      </c>
      <c r="D77" s="40">
        <v>63.891399999999997</v>
      </c>
    </row>
    <row r="79" spans="1:9" ht="10.5" x14ac:dyDescent="0.25">
      <c r="A79" s="18" t="s">
        <v>197</v>
      </c>
    </row>
    <row r="80" spans="1:9" ht="10.5" x14ac:dyDescent="0.25">
      <c r="A80" s="73" t="s">
        <v>403</v>
      </c>
      <c r="B80" s="74"/>
      <c r="C80" s="45" t="s">
        <v>404</v>
      </c>
    </row>
    <row r="81" spans="1:4" x14ac:dyDescent="0.2">
      <c r="A81" s="69" t="s">
        <v>458</v>
      </c>
      <c r="B81" s="70"/>
      <c r="C81" s="46">
        <v>4.25</v>
      </c>
    </row>
    <row r="82" spans="1:4" x14ac:dyDescent="0.2">
      <c r="A82" s="69" t="s">
        <v>459</v>
      </c>
      <c r="B82" s="70"/>
      <c r="C82" s="46">
        <v>4.25</v>
      </c>
    </row>
    <row r="83" spans="1:4" x14ac:dyDescent="0.2">
      <c r="A83" s="9" t="s">
        <v>405</v>
      </c>
    </row>
    <row r="85" spans="1:4" ht="10.5" x14ac:dyDescent="0.25">
      <c r="A85" s="18" t="s">
        <v>1003</v>
      </c>
      <c r="D85" s="47">
        <v>8.9599999999999999E-2</v>
      </c>
    </row>
  </sheetData>
  <mergeCells count="4">
    <mergeCell ref="A1:F1"/>
    <mergeCell ref="A80:B80"/>
    <mergeCell ref="A81:B81"/>
    <mergeCell ref="A82:B82"/>
  </mergeCells>
  <conditionalFormatting sqref="F2:F3 F5:F65537">
    <cfRule type="cellIs" dxfId="1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I73"/>
  <sheetViews>
    <sheetView workbookViewId="0">
      <selection sqref="A1:F1"/>
    </sheetView>
  </sheetViews>
  <sheetFormatPr defaultColWidth="9.1796875" defaultRowHeight="10" x14ac:dyDescent="0.2"/>
  <cols>
    <col min="1" max="1" width="38.7265625" style="9" bestFit="1" customWidth="1"/>
    <col min="2" max="2" width="35.1796875" style="9" bestFit="1" customWidth="1"/>
    <col min="3" max="3" width="21.179687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71" t="s">
        <v>52</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870</v>
      </c>
      <c r="B7" s="27" t="s">
        <v>869</v>
      </c>
      <c r="C7" s="27" t="s">
        <v>871</v>
      </c>
      <c r="D7" s="31">
        <v>395485</v>
      </c>
      <c r="E7" s="29">
        <v>5698.3456230000002</v>
      </c>
      <c r="F7" s="30">
        <v>9.8934458494009796</v>
      </c>
    </row>
    <row r="8" spans="1:6" x14ac:dyDescent="0.2">
      <c r="A8" s="27" t="s">
        <v>875</v>
      </c>
      <c r="B8" s="27" t="s">
        <v>874</v>
      </c>
      <c r="C8" s="27" t="s">
        <v>876</v>
      </c>
      <c r="D8" s="31">
        <v>405492</v>
      </c>
      <c r="E8" s="29">
        <v>4460.4120000000003</v>
      </c>
      <c r="F8" s="30">
        <v>7.7441502336929</v>
      </c>
    </row>
    <row r="9" spans="1:6" x14ac:dyDescent="0.2">
      <c r="A9" s="27" t="s">
        <v>1105</v>
      </c>
      <c r="B9" s="27" t="s">
        <v>1104</v>
      </c>
      <c r="C9" s="27" t="s">
        <v>876</v>
      </c>
      <c r="D9" s="31">
        <v>95845</v>
      </c>
      <c r="E9" s="29">
        <v>4127.4211580000001</v>
      </c>
      <c r="F9" s="30">
        <v>7.1660128089680297</v>
      </c>
    </row>
    <row r="10" spans="1:6" x14ac:dyDescent="0.2">
      <c r="A10" s="27" t="s">
        <v>878</v>
      </c>
      <c r="B10" s="27" t="s">
        <v>877</v>
      </c>
      <c r="C10" s="27" t="s">
        <v>871</v>
      </c>
      <c r="D10" s="31">
        <v>186650</v>
      </c>
      <c r="E10" s="29">
        <v>3559.6021500000002</v>
      </c>
      <c r="F10" s="30">
        <v>6.1801676216852197</v>
      </c>
    </row>
    <row r="11" spans="1:6" x14ac:dyDescent="0.2">
      <c r="A11" s="27" t="s">
        <v>880</v>
      </c>
      <c r="B11" s="27" t="s">
        <v>879</v>
      </c>
      <c r="C11" s="27" t="s">
        <v>871</v>
      </c>
      <c r="D11" s="31">
        <v>583651</v>
      </c>
      <c r="E11" s="29">
        <v>2762.7120089999999</v>
      </c>
      <c r="F11" s="30">
        <v>4.7966100104930902</v>
      </c>
    </row>
    <row r="12" spans="1:6" x14ac:dyDescent="0.2">
      <c r="A12" s="27" t="s">
        <v>873</v>
      </c>
      <c r="B12" s="27" t="s">
        <v>872</v>
      </c>
      <c r="C12" s="27" t="s">
        <v>871</v>
      </c>
      <c r="D12" s="31">
        <v>458037</v>
      </c>
      <c r="E12" s="29">
        <v>2755.5505920000001</v>
      </c>
      <c r="F12" s="30">
        <v>4.7841763857216302</v>
      </c>
    </row>
    <row r="13" spans="1:6" x14ac:dyDescent="0.2">
      <c r="A13" s="27" t="s">
        <v>885</v>
      </c>
      <c r="B13" s="27" t="s">
        <v>884</v>
      </c>
      <c r="C13" s="27" t="s">
        <v>886</v>
      </c>
      <c r="D13" s="31">
        <v>269484</v>
      </c>
      <c r="E13" s="29">
        <v>2360.0061300000002</v>
      </c>
      <c r="F13" s="30">
        <v>4.0974336054956702</v>
      </c>
    </row>
    <row r="14" spans="1:6" x14ac:dyDescent="0.2">
      <c r="A14" s="27" t="s">
        <v>897</v>
      </c>
      <c r="B14" s="27" t="s">
        <v>896</v>
      </c>
      <c r="C14" s="27" t="s">
        <v>898</v>
      </c>
      <c r="D14" s="31">
        <v>274264</v>
      </c>
      <c r="E14" s="29">
        <v>1980.1860799999999</v>
      </c>
      <c r="F14" s="30">
        <v>3.43799148916903</v>
      </c>
    </row>
    <row r="15" spans="1:6" x14ac:dyDescent="0.2">
      <c r="A15" s="27" t="s">
        <v>929</v>
      </c>
      <c r="B15" s="27" t="s">
        <v>928</v>
      </c>
      <c r="C15" s="27" t="s">
        <v>912</v>
      </c>
      <c r="D15" s="31">
        <v>523765</v>
      </c>
      <c r="E15" s="29">
        <v>1953.64345</v>
      </c>
      <c r="F15" s="30">
        <v>3.3919082766054101</v>
      </c>
    </row>
    <row r="16" spans="1:6" x14ac:dyDescent="0.2">
      <c r="A16" s="27" t="s">
        <v>1024</v>
      </c>
      <c r="B16" s="27" t="s">
        <v>1023</v>
      </c>
      <c r="C16" s="27" t="s">
        <v>876</v>
      </c>
      <c r="D16" s="31">
        <v>229692</v>
      </c>
      <c r="E16" s="29">
        <v>1888.2979319999999</v>
      </c>
      <c r="F16" s="30">
        <v>3.2784556384880199</v>
      </c>
    </row>
    <row r="17" spans="1:6" x14ac:dyDescent="0.2">
      <c r="A17" s="27" t="s">
        <v>1062</v>
      </c>
      <c r="B17" s="27" t="s">
        <v>1061</v>
      </c>
      <c r="C17" s="27" t="s">
        <v>886</v>
      </c>
      <c r="D17" s="31">
        <v>86898</v>
      </c>
      <c r="E17" s="29">
        <v>1763.9859510000001</v>
      </c>
      <c r="F17" s="30">
        <v>3.0626256531162701</v>
      </c>
    </row>
    <row r="18" spans="1:6" x14ac:dyDescent="0.2">
      <c r="A18" s="27" t="s">
        <v>1227</v>
      </c>
      <c r="B18" s="27" t="s">
        <v>1226</v>
      </c>
      <c r="C18" s="27" t="s">
        <v>876</v>
      </c>
      <c r="D18" s="31">
        <v>176709</v>
      </c>
      <c r="E18" s="29">
        <v>1683.153225</v>
      </c>
      <c r="F18" s="30">
        <v>2.9222841837760098</v>
      </c>
    </row>
    <row r="19" spans="1:6" x14ac:dyDescent="0.2">
      <c r="A19" s="27" t="s">
        <v>1283</v>
      </c>
      <c r="B19" s="27" t="s">
        <v>1282</v>
      </c>
      <c r="C19" s="27" t="s">
        <v>907</v>
      </c>
      <c r="D19" s="31">
        <v>73037</v>
      </c>
      <c r="E19" s="29">
        <v>1617.9886610000001</v>
      </c>
      <c r="F19" s="30">
        <v>2.8091457173004701</v>
      </c>
    </row>
    <row r="20" spans="1:6" x14ac:dyDescent="0.2">
      <c r="A20" s="27" t="s">
        <v>914</v>
      </c>
      <c r="B20" s="27" t="s">
        <v>913</v>
      </c>
      <c r="C20" s="27" t="s">
        <v>915</v>
      </c>
      <c r="D20" s="31">
        <v>354144</v>
      </c>
      <c r="E20" s="29">
        <v>1594.002144</v>
      </c>
      <c r="F20" s="30">
        <v>2.7675004183390599</v>
      </c>
    </row>
    <row r="21" spans="1:6" x14ac:dyDescent="0.2">
      <c r="A21" s="27" t="s">
        <v>960</v>
      </c>
      <c r="B21" s="27" t="s">
        <v>959</v>
      </c>
      <c r="C21" s="27" t="s">
        <v>915</v>
      </c>
      <c r="D21" s="31">
        <v>29191</v>
      </c>
      <c r="E21" s="29">
        <v>1409.6187950000001</v>
      </c>
      <c r="F21" s="30">
        <v>2.4473747538830799</v>
      </c>
    </row>
    <row r="22" spans="1:6" x14ac:dyDescent="0.2">
      <c r="A22" s="27" t="s">
        <v>983</v>
      </c>
      <c r="B22" s="27" t="s">
        <v>982</v>
      </c>
      <c r="C22" s="27" t="s">
        <v>984</v>
      </c>
      <c r="D22" s="31">
        <v>116490</v>
      </c>
      <c r="E22" s="29">
        <v>1307.4837600000001</v>
      </c>
      <c r="F22" s="30">
        <v>2.2700482972321101</v>
      </c>
    </row>
    <row r="23" spans="1:6" x14ac:dyDescent="0.2">
      <c r="A23" s="27" t="s">
        <v>1113</v>
      </c>
      <c r="B23" s="27" t="s">
        <v>1112</v>
      </c>
      <c r="C23" s="27" t="s">
        <v>876</v>
      </c>
      <c r="D23" s="31">
        <v>194891</v>
      </c>
      <c r="E23" s="29">
        <v>1182.6960340000001</v>
      </c>
      <c r="F23" s="30">
        <v>2.05339232521318</v>
      </c>
    </row>
    <row r="24" spans="1:6" x14ac:dyDescent="0.2">
      <c r="A24" s="27" t="s">
        <v>903</v>
      </c>
      <c r="B24" s="27" t="s">
        <v>902</v>
      </c>
      <c r="C24" s="27" t="s">
        <v>904</v>
      </c>
      <c r="D24" s="31">
        <v>201376</v>
      </c>
      <c r="E24" s="29">
        <v>1162.6443360000001</v>
      </c>
      <c r="F24" s="30">
        <v>2.01857864393157</v>
      </c>
    </row>
    <row r="25" spans="1:6" x14ac:dyDescent="0.2">
      <c r="A25" s="27" t="s">
        <v>911</v>
      </c>
      <c r="B25" s="27" t="s">
        <v>910</v>
      </c>
      <c r="C25" s="27" t="s">
        <v>912</v>
      </c>
      <c r="D25" s="31">
        <v>551423</v>
      </c>
      <c r="E25" s="29">
        <v>1154.404051</v>
      </c>
      <c r="F25" s="30">
        <v>2.0042718926699301</v>
      </c>
    </row>
    <row r="26" spans="1:6" x14ac:dyDescent="0.2">
      <c r="A26" s="27" t="s">
        <v>1187</v>
      </c>
      <c r="B26" s="27" t="s">
        <v>1186</v>
      </c>
      <c r="C26" s="27" t="s">
        <v>967</v>
      </c>
      <c r="D26" s="31">
        <v>71018</v>
      </c>
      <c r="E26" s="29">
        <v>1146.9051910000001</v>
      </c>
      <c r="F26" s="30">
        <v>1.9912524006540699</v>
      </c>
    </row>
    <row r="27" spans="1:6" x14ac:dyDescent="0.2">
      <c r="A27" s="27" t="s">
        <v>882</v>
      </c>
      <c r="B27" s="27" t="s">
        <v>881</v>
      </c>
      <c r="C27" s="27" t="s">
        <v>883</v>
      </c>
      <c r="D27" s="31">
        <v>242272</v>
      </c>
      <c r="E27" s="29">
        <v>1122.3250399999999</v>
      </c>
      <c r="F27" s="30">
        <v>1.9485764366151299</v>
      </c>
    </row>
    <row r="28" spans="1:6" x14ac:dyDescent="0.2">
      <c r="A28" s="27" t="s">
        <v>1080</v>
      </c>
      <c r="B28" s="27" t="s">
        <v>1079</v>
      </c>
      <c r="C28" s="27" t="s">
        <v>918</v>
      </c>
      <c r="D28" s="31">
        <v>183307</v>
      </c>
      <c r="E28" s="29">
        <v>1065.7468980000001</v>
      </c>
      <c r="F28" s="30">
        <v>1.8503456831351399</v>
      </c>
    </row>
    <row r="29" spans="1:6" x14ac:dyDescent="0.2">
      <c r="A29" s="27" t="s">
        <v>1111</v>
      </c>
      <c r="B29" s="27" t="s">
        <v>1110</v>
      </c>
      <c r="C29" s="27" t="s">
        <v>876</v>
      </c>
      <c r="D29" s="31">
        <v>20384</v>
      </c>
      <c r="E29" s="29">
        <v>1038.0348160000001</v>
      </c>
      <c r="F29" s="30">
        <v>1.8022320724874199</v>
      </c>
    </row>
    <row r="30" spans="1:6" x14ac:dyDescent="0.2">
      <c r="A30" s="27" t="s">
        <v>1215</v>
      </c>
      <c r="B30" s="27" t="s">
        <v>1214</v>
      </c>
      <c r="C30" s="27" t="s">
        <v>984</v>
      </c>
      <c r="D30" s="31">
        <v>1262673</v>
      </c>
      <c r="E30" s="29">
        <v>979.834248</v>
      </c>
      <c r="F30" s="30">
        <v>1.70118446919915</v>
      </c>
    </row>
    <row r="31" spans="1:6" x14ac:dyDescent="0.2">
      <c r="A31" s="27" t="s">
        <v>1249</v>
      </c>
      <c r="B31" s="27" t="s">
        <v>1248</v>
      </c>
      <c r="C31" s="27" t="s">
        <v>889</v>
      </c>
      <c r="D31" s="31">
        <v>522693</v>
      </c>
      <c r="E31" s="29">
        <v>964.10723849999999</v>
      </c>
      <c r="F31" s="30">
        <v>1.6738792955302799</v>
      </c>
    </row>
    <row r="32" spans="1:6" x14ac:dyDescent="0.2">
      <c r="A32" s="27" t="s">
        <v>1039</v>
      </c>
      <c r="B32" s="27" t="s">
        <v>1038</v>
      </c>
      <c r="C32" s="27" t="s">
        <v>967</v>
      </c>
      <c r="D32" s="31">
        <v>1247117</v>
      </c>
      <c r="E32" s="29">
        <v>876.723251</v>
      </c>
      <c r="F32" s="30">
        <v>1.52216355106112</v>
      </c>
    </row>
    <row r="33" spans="1:9" x14ac:dyDescent="0.2">
      <c r="A33" s="27" t="s">
        <v>937</v>
      </c>
      <c r="B33" s="27" t="s">
        <v>936</v>
      </c>
      <c r="C33" s="27" t="s">
        <v>898</v>
      </c>
      <c r="D33" s="31">
        <v>484457</v>
      </c>
      <c r="E33" s="29">
        <v>873.71819949999997</v>
      </c>
      <c r="F33" s="30">
        <v>1.5169461921543701</v>
      </c>
    </row>
    <row r="34" spans="1:9" x14ac:dyDescent="0.2">
      <c r="A34" s="27" t="s">
        <v>1285</v>
      </c>
      <c r="B34" s="27" t="s">
        <v>1284</v>
      </c>
      <c r="C34" s="27" t="s">
        <v>947</v>
      </c>
      <c r="D34" s="31">
        <v>583460</v>
      </c>
      <c r="E34" s="29">
        <v>702.19411000000002</v>
      </c>
      <c r="F34" s="30">
        <v>1.21914672479903</v>
      </c>
    </row>
    <row r="35" spans="1:9" x14ac:dyDescent="0.2">
      <c r="A35" s="27" t="s">
        <v>1036</v>
      </c>
      <c r="B35" s="27" t="s">
        <v>1035</v>
      </c>
      <c r="C35" s="27" t="s">
        <v>1037</v>
      </c>
      <c r="D35" s="31">
        <v>170533</v>
      </c>
      <c r="E35" s="29">
        <v>692.44924649999996</v>
      </c>
      <c r="F35" s="30">
        <v>1.2022277301073201</v>
      </c>
    </row>
    <row r="36" spans="1:9" x14ac:dyDescent="0.2">
      <c r="A36" s="27" t="s">
        <v>1287</v>
      </c>
      <c r="B36" s="27" t="s">
        <v>1286</v>
      </c>
      <c r="C36" s="27" t="s">
        <v>915</v>
      </c>
      <c r="D36" s="31">
        <v>139673</v>
      </c>
      <c r="E36" s="29">
        <v>683.90884449999999</v>
      </c>
      <c r="F36" s="30">
        <v>1.1873999168595399</v>
      </c>
    </row>
    <row r="37" spans="1:9" x14ac:dyDescent="0.2">
      <c r="A37" s="27" t="s">
        <v>935</v>
      </c>
      <c r="B37" s="27" t="s">
        <v>934</v>
      </c>
      <c r="C37" s="27" t="s">
        <v>907</v>
      </c>
      <c r="D37" s="31">
        <v>122466</v>
      </c>
      <c r="E37" s="29">
        <v>663.70448699999997</v>
      </c>
      <c r="F37" s="30">
        <v>1.15232118873864</v>
      </c>
    </row>
    <row r="38" spans="1:9" x14ac:dyDescent="0.2">
      <c r="A38" s="27" t="s">
        <v>1058</v>
      </c>
      <c r="B38" s="27" t="s">
        <v>1057</v>
      </c>
      <c r="C38" s="27" t="s">
        <v>907</v>
      </c>
      <c r="D38" s="31">
        <v>111273</v>
      </c>
      <c r="E38" s="29">
        <v>598.64873999999998</v>
      </c>
      <c r="F38" s="30">
        <v>1.03937164992179</v>
      </c>
    </row>
    <row r="39" spans="1:9" x14ac:dyDescent="0.2">
      <c r="A39" s="27" t="s">
        <v>943</v>
      </c>
      <c r="B39" s="27" t="s">
        <v>942</v>
      </c>
      <c r="C39" s="27" t="s">
        <v>944</v>
      </c>
      <c r="D39" s="31">
        <v>226247</v>
      </c>
      <c r="E39" s="29">
        <v>367.9907455</v>
      </c>
      <c r="F39" s="30">
        <v>0.63890412315289402</v>
      </c>
    </row>
    <row r="40" spans="1:9" x14ac:dyDescent="0.2">
      <c r="A40" s="27" t="s">
        <v>1289</v>
      </c>
      <c r="B40" s="27" t="s">
        <v>1288</v>
      </c>
      <c r="C40" s="27" t="s">
        <v>967</v>
      </c>
      <c r="D40" s="31">
        <v>12795</v>
      </c>
      <c r="E40" s="29">
        <v>170.80685249999999</v>
      </c>
      <c r="F40" s="30">
        <v>0.29655420322253301</v>
      </c>
    </row>
    <row r="41" spans="1:9" x14ac:dyDescent="0.2">
      <c r="A41" s="27" t="s">
        <v>949</v>
      </c>
      <c r="B41" s="27" t="s">
        <v>948</v>
      </c>
      <c r="C41" s="27" t="s">
        <v>944</v>
      </c>
      <c r="D41" s="31">
        <v>26444</v>
      </c>
      <c r="E41" s="29">
        <v>26.787772</v>
      </c>
      <c r="F41" s="30">
        <v>4.6508827165273499E-2</v>
      </c>
    </row>
    <row r="42" spans="1:9" ht="10.5" x14ac:dyDescent="0.25">
      <c r="A42" s="26" t="s">
        <v>164</v>
      </c>
      <c r="B42" s="26"/>
      <c r="C42" s="26"/>
      <c r="D42" s="32"/>
      <c r="E42" s="33">
        <f>SUM(E7:E41)</f>
        <v>56396.039761000007</v>
      </c>
      <c r="F42" s="34">
        <f>SUM(F7:F41)</f>
        <v>97.914588269985359</v>
      </c>
      <c r="G42" s="18"/>
      <c r="H42" s="18"/>
      <c r="I42" s="18"/>
    </row>
    <row r="43" spans="1:9" x14ac:dyDescent="0.2">
      <c r="A43" s="27"/>
      <c r="B43" s="27"/>
      <c r="C43" s="27"/>
      <c r="D43" s="28"/>
      <c r="E43" s="29"/>
      <c r="F43" s="30"/>
    </row>
    <row r="44" spans="1:9" ht="10.5" x14ac:dyDescent="0.25">
      <c r="A44" s="26" t="s">
        <v>1528</v>
      </c>
      <c r="B44" s="27"/>
      <c r="C44" s="27"/>
      <c r="D44" s="28"/>
      <c r="E44" s="29"/>
      <c r="F44" s="30"/>
    </row>
    <row r="45" spans="1:9" x14ac:dyDescent="0.2">
      <c r="A45" s="27"/>
      <c r="B45" s="27" t="s">
        <v>1114</v>
      </c>
      <c r="C45" s="27" t="s">
        <v>876</v>
      </c>
      <c r="D45" s="31">
        <v>489000</v>
      </c>
      <c r="E45" s="29">
        <v>4.8899999999999999E-2</v>
      </c>
      <c r="F45" s="30">
        <v>8.4899992742280906E-5</v>
      </c>
    </row>
    <row r="46" spans="1:9" x14ac:dyDescent="0.2">
      <c r="A46" s="27"/>
      <c r="B46" s="27" t="s">
        <v>1013</v>
      </c>
      <c r="C46" s="27" t="s">
        <v>967</v>
      </c>
      <c r="D46" s="31">
        <v>98000</v>
      </c>
      <c r="E46" s="29">
        <v>9.7999999999999997E-3</v>
      </c>
      <c r="F46" s="30">
        <v>1.7014722471868199E-5</v>
      </c>
    </row>
    <row r="47" spans="1:9" x14ac:dyDescent="0.2">
      <c r="A47" s="27" t="s">
        <v>1291</v>
      </c>
      <c r="B47" s="27" t="s">
        <v>1290</v>
      </c>
      <c r="C47" s="27" t="s">
        <v>967</v>
      </c>
      <c r="D47" s="31">
        <v>44170</v>
      </c>
      <c r="E47" s="29">
        <v>4.4169999999999999E-3</v>
      </c>
      <c r="F47" s="30">
        <v>7.6687784855348606E-6</v>
      </c>
    </row>
    <row r="48" spans="1:9" x14ac:dyDescent="0.2">
      <c r="A48" s="27"/>
      <c r="B48" s="27" t="s">
        <v>1292</v>
      </c>
      <c r="C48" s="27" t="s">
        <v>876</v>
      </c>
      <c r="D48" s="31">
        <v>23815</v>
      </c>
      <c r="E48" s="29">
        <v>2.3814999999999999E-3</v>
      </c>
      <c r="F48" s="30">
        <v>4.1347511802810203E-6</v>
      </c>
    </row>
    <row r="49" spans="1:9" ht="10.5" x14ac:dyDescent="0.25">
      <c r="A49" s="26" t="s">
        <v>164</v>
      </c>
      <c r="B49" s="26"/>
      <c r="C49" s="26"/>
      <c r="D49" s="32"/>
      <c r="E49" s="33">
        <f>SUM(E44:E48)</f>
        <v>6.5498500000000001E-2</v>
      </c>
      <c r="F49" s="34">
        <f>SUM(F44:F48)</f>
        <v>1.1371824487996499E-4</v>
      </c>
      <c r="G49" s="18"/>
      <c r="H49" s="18"/>
      <c r="I49" s="18"/>
    </row>
    <row r="50" spans="1:9" x14ac:dyDescent="0.2">
      <c r="A50" s="27"/>
      <c r="B50" s="27"/>
      <c r="C50" s="27"/>
      <c r="D50" s="28"/>
      <c r="E50" s="29"/>
      <c r="F50" s="30"/>
    </row>
    <row r="51" spans="1:9" ht="10.5" x14ac:dyDescent="0.25">
      <c r="A51" s="26" t="s">
        <v>176</v>
      </c>
      <c r="B51" s="26"/>
      <c r="C51" s="26"/>
      <c r="D51" s="32"/>
      <c r="E51" s="33">
        <f>E42+E49</f>
        <v>56396.105259500007</v>
      </c>
      <c r="F51" s="34">
        <f>F42+F49</f>
        <v>97.914701988230235</v>
      </c>
      <c r="G51" s="18"/>
      <c r="H51" s="18"/>
      <c r="I51" s="18"/>
    </row>
    <row r="52" spans="1:9" ht="10.5" x14ac:dyDescent="0.25">
      <c r="A52" s="26"/>
      <c r="B52" s="26"/>
      <c r="C52" s="26"/>
      <c r="D52" s="32"/>
      <c r="E52" s="33"/>
      <c r="F52" s="34"/>
      <c r="G52" s="18"/>
      <c r="H52" s="18"/>
      <c r="I52" s="18"/>
    </row>
    <row r="53" spans="1:9" ht="10.5" x14ac:dyDescent="0.25">
      <c r="A53" s="26" t="s">
        <v>178</v>
      </c>
      <c r="B53" s="26"/>
      <c r="C53" s="26"/>
      <c r="D53" s="32"/>
      <c r="E53" s="33">
        <f>E55-(E42+E49)</f>
        <v>1201.072809099991</v>
      </c>
      <c r="F53" s="34">
        <f>F55-(F42+F49)</f>
        <v>2.0852980117697655</v>
      </c>
      <c r="G53" s="18"/>
      <c r="H53" s="18"/>
      <c r="I53" s="18"/>
    </row>
    <row r="54" spans="1:9" ht="10.5" x14ac:dyDescent="0.25">
      <c r="A54" s="26"/>
      <c r="B54" s="26"/>
      <c r="C54" s="26"/>
      <c r="D54" s="32"/>
      <c r="E54" s="33"/>
      <c r="F54" s="34"/>
      <c r="G54" s="18"/>
      <c r="H54" s="18"/>
      <c r="I54" s="18"/>
    </row>
    <row r="55" spans="1:9" ht="10.5" x14ac:dyDescent="0.25">
      <c r="A55" s="35" t="s">
        <v>177</v>
      </c>
      <c r="B55" s="35"/>
      <c r="C55" s="35"/>
      <c r="D55" s="36"/>
      <c r="E55" s="37">
        <v>57597.178068599998</v>
      </c>
      <c r="F55" s="38">
        <v>100</v>
      </c>
      <c r="G55" s="18"/>
      <c r="H55" s="18"/>
      <c r="I55" s="18"/>
    </row>
    <row r="56" spans="1:9" ht="10.5" x14ac:dyDescent="0.25">
      <c r="F56" s="20" t="s">
        <v>337</v>
      </c>
    </row>
    <row r="57" spans="1:9" ht="10.5" x14ac:dyDescent="0.25">
      <c r="A57" s="18" t="s">
        <v>180</v>
      </c>
    </row>
    <row r="59" spans="1:9" ht="10.5" x14ac:dyDescent="0.25">
      <c r="A59" s="18" t="s">
        <v>181</v>
      </c>
    </row>
    <row r="60" spans="1:9" ht="10.5" x14ac:dyDescent="0.25">
      <c r="A60" s="18" t="s">
        <v>182</v>
      </c>
    </row>
    <row r="61" spans="1:9" ht="10.5" x14ac:dyDescent="0.25">
      <c r="A61" s="18" t="s">
        <v>183</v>
      </c>
      <c r="B61" s="18"/>
      <c r="C61" s="39" t="s">
        <v>185</v>
      </c>
      <c r="D61" s="19" t="s">
        <v>184</v>
      </c>
    </row>
    <row r="62" spans="1:9" x14ac:dyDescent="0.2">
      <c r="A62" s="9" t="s">
        <v>421</v>
      </c>
      <c r="C62" s="40">
        <v>59.587299999999999</v>
      </c>
      <c r="D62" s="40">
        <v>85.993899999999996</v>
      </c>
    </row>
    <row r="63" spans="1:9" x14ac:dyDescent="0.2">
      <c r="A63" s="9" t="s">
        <v>458</v>
      </c>
      <c r="C63" s="40">
        <v>13.918100000000001</v>
      </c>
      <c r="D63" s="40">
        <v>18.964300000000001</v>
      </c>
    </row>
    <row r="64" spans="1:9" x14ac:dyDescent="0.2">
      <c r="A64" s="9" t="s">
        <v>424</v>
      </c>
      <c r="C64" s="40">
        <v>62.637599999999999</v>
      </c>
      <c r="D64" s="40">
        <v>90.851699999999994</v>
      </c>
    </row>
    <row r="65" spans="1:4" x14ac:dyDescent="0.2">
      <c r="A65" s="9" t="s">
        <v>459</v>
      </c>
      <c r="C65" s="40">
        <v>14.8484</v>
      </c>
      <c r="D65" s="40">
        <v>20.412600000000001</v>
      </c>
    </row>
    <row r="67" spans="1:4" ht="10.5" x14ac:dyDescent="0.25">
      <c r="A67" s="18" t="s">
        <v>197</v>
      </c>
    </row>
    <row r="68" spans="1:4" ht="10.5" x14ac:dyDescent="0.25">
      <c r="A68" s="73" t="s">
        <v>403</v>
      </c>
      <c r="B68" s="74"/>
      <c r="C68" s="45" t="s">
        <v>404</v>
      </c>
    </row>
    <row r="69" spans="1:4" x14ac:dyDescent="0.2">
      <c r="A69" s="69" t="s">
        <v>458</v>
      </c>
      <c r="B69" s="70"/>
      <c r="C69" s="46">
        <v>1</v>
      </c>
    </row>
    <row r="70" spans="1:4" x14ac:dyDescent="0.2">
      <c r="A70" s="69" t="s">
        <v>459</v>
      </c>
      <c r="B70" s="70"/>
      <c r="C70" s="46">
        <v>1</v>
      </c>
    </row>
    <row r="71" spans="1:4" x14ac:dyDescent="0.2">
      <c r="A71" s="9" t="s">
        <v>405</v>
      </c>
    </row>
    <row r="73" spans="1:4" ht="10.5" x14ac:dyDescent="0.25">
      <c r="A73" s="18" t="s">
        <v>1003</v>
      </c>
      <c r="D73" s="47">
        <v>0.223</v>
      </c>
    </row>
  </sheetData>
  <mergeCells count="4">
    <mergeCell ref="A1:F1"/>
    <mergeCell ref="A68:B68"/>
    <mergeCell ref="A69:B69"/>
    <mergeCell ref="A70:B70"/>
  </mergeCells>
  <conditionalFormatting sqref="F2:F3 F5:F65537">
    <cfRule type="cellIs" dxfId="1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I57"/>
  <sheetViews>
    <sheetView workbookViewId="0">
      <selection sqref="A1:F1"/>
    </sheetView>
  </sheetViews>
  <sheetFormatPr defaultColWidth="9.1796875" defaultRowHeight="10" x14ac:dyDescent="0.2"/>
  <cols>
    <col min="1" max="1" width="38.7265625" style="9" bestFit="1" customWidth="1"/>
    <col min="2" max="2" width="24.1796875" style="9" bestFit="1" customWidth="1"/>
    <col min="3" max="3" width="21.179687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53</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920</v>
      </c>
      <c r="B7" s="27" t="s">
        <v>919</v>
      </c>
      <c r="C7" s="27" t="s">
        <v>871</v>
      </c>
      <c r="D7" s="31">
        <v>31000000</v>
      </c>
      <c r="E7" s="29">
        <v>75717.5</v>
      </c>
      <c r="F7" s="30">
        <v>10.5094114908901</v>
      </c>
    </row>
    <row r="8" spans="1:6" x14ac:dyDescent="0.2">
      <c r="A8" s="27" t="s">
        <v>880</v>
      </c>
      <c r="B8" s="27" t="s">
        <v>879</v>
      </c>
      <c r="C8" s="27" t="s">
        <v>871</v>
      </c>
      <c r="D8" s="31">
        <v>15000000</v>
      </c>
      <c r="E8" s="29">
        <v>71002.5</v>
      </c>
      <c r="F8" s="30">
        <v>9.8549805445494805</v>
      </c>
    </row>
    <row r="9" spans="1:6" x14ac:dyDescent="0.2">
      <c r="A9" s="27" t="s">
        <v>873</v>
      </c>
      <c r="B9" s="27" t="s">
        <v>872</v>
      </c>
      <c r="C9" s="27" t="s">
        <v>871</v>
      </c>
      <c r="D9" s="31">
        <v>11000000</v>
      </c>
      <c r="E9" s="29">
        <v>66176</v>
      </c>
      <c r="F9" s="30">
        <v>9.1850736596050293</v>
      </c>
    </row>
    <row r="10" spans="1:6" x14ac:dyDescent="0.2">
      <c r="A10" s="27" t="s">
        <v>882</v>
      </c>
      <c r="B10" s="27" t="s">
        <v>881</v>
      </c>
      <c r="C10" s="27" t="s">
        <v>883</v>
      </c>
      <c r="D10" s="31">
        <v>10000000</v>
      </c>
      <c r="E10" s="29">
        <v>46325</v>
      </c>
      <c r="F10" s="30">
        <v>6.4298013975036703</v>
      </c>
    </row>
    <row r="11" spans="1:6" x14ac:dyDescent="0.2">
      <c r="A11" s="27" t="s">
        <v>870</v>
      </c>
      <c r="B11" s="27" t="s">
        <v>869</v>
      </c>
      <c r="C11" s="27" t="s">
        <v>871</v>
      </c>
      <c r="D11" s="31">
        <v>2600000</v>
      </c>
      <c r="E11" s="29">
        <v>37462.1</v>
      </c>
      <c r="F11" s="30">
        <v>5.1996516553356198</v>
      </c>
    </row>
    <row r="12" spans="1:6" x14ac:dyDescent="0.2">
      <c r="A12" s="27" t="s">
        <v>929</v>
      </c>
      <c r="B12" s="27" t="s">
        <v>928</v>
      </c>
      <c r="C12" s="27" t="s">
        <v>912</v>
      </c>
      <c r="D12" s="31">
        <v>8700000</v>
      </c>
      <c r="E12" s="29">
        <v>32451</v>
      </c>
      <c r="F12" s="30">
        <v>4.5041227231601004</v>
      </c>
    </row>
    <row r="13" spans="1:6" x14ac:dyDescent="0.2">
      <c r="A13" s="27" t="s">
        <v>993</v>
      </c>
      <c r="B13" s="27" t="s">
        <v>992</v>
      </c>
      <c r="C13" s="27" t="s">
        <v>912</v>
      </c>
      <c r="D13" s="31">
        <v>37000000</v>
      </c>
      <c r="E13" s="29">
        <v>31302</v>
      </c>
      <c r="F13" s="30">
        <v>4.3446442168302202</v>
      </c>
    </row>
    <row r="14" spans="1:6" x14ac:dyDescent="0.2">
      <c r="A14" s="27" t="s">
        <v>922</v>
      </c>
      <c r="B14" s="27" t="s">
        <v>921</v>
      </c>
      <c r="C14" s="27" t="s">
        <v>918</v>
      </c>
      <c r="D14" s="31">
        <v>32000000</v>
      </c>
      <c r="E14" s="29">
        <v>30304</v>
      </c>
      <c r="F14" s="30">
        <v>4.2061241565019198</v>
      </c>
    </row>
    <row r="15" spans="1:6" x14ac:dyDescent="0.2">
      <c r="A15" s="27" t="s">
        <v>983</v>
      </c>
      <c r="B15" s="27" t="s">
        <v>982</v>
      </c>
      <c r="C15" s="27" t="s">
        <v>984</v>
      </c>
      <c r="D15" s="31">
        <v>2675000</v>
      </c>
      <c r="E15" s="29">
        <v>30024.2</v>
      </c>
      <c r="F15" s="30">
        <v>4.1672885724539599</v>
      </c>
    </row>
    <row r="16" spans="1:6" x14ac:dyDescent="0.2">
      <c r="A16" s="27" t="s">
        <v>1294</v>
      </c>
      <c r="B16" s="27" t="s">
        <v>1293</v>
      </c>
      <c r="C16" s="27" t="s">
        <v>886</v>
      </c>
      <c r="D16" s="31">
        <v>579620</v>
      </c>
      <c r="E16" s="29">
        <v>27833.3524</v>
      </c>
      <c r="F16" s="30">
        <v>3.86320406171036</v>
      </c>
    </row>
    <row r="17" spans="1:6" x14ac:dyDescent="0.2">
      <c r="A17" s="27" t="s">
        <v>1296</v>
      </c>
      <c r="B17" s="27" t="s">
        <v>1295</v>
      </c>
      <c r="C17" s="27" t="s">
        <v>915</v>
      </c>
      <c r="D17" s="31">
        <v>2900000</v>
      </c>
      <c r="E17" s="29">
        <v>25862.2</v>
      </c>
      <c r="F17" s="30">
        <v>3.5896127296820199</v>
      </c>
    </row>
    <row r="18" spans="1:6" x14ac:dyDescent="0.2">
      <c r="A18" s="27" t="s">
        <v>1041</v>
      </c>
      <c r="B18" s="27" t="s">
        <v>1040</v>
      </c>
      <c r="C18" s="27" t="s">
        <v>886</v>
      </c>
      <c r="D18" s="31">
        <v>1500000</v>
      </c>
      <c r="E18" s="29">
        <v>25575.75</v>
      </c>
      <c r="F18" s="30">
        <v>3.5498541412240598</v>
      </c>
    </row>
    <row r="19" spans="1:6" x14ac:dyDescent="0.2">
      <c r="A19" s="27" t="s">
        <v>1002</v>
      </c>
      <c r="B19" s="27" t="s">
        <v>1001</v>
      </c>
      <c r="C19" s="27" t="s">
        <v>871</v>
      </c>
      <c r="D19" s="31">
        <v>40000000</v>
      </c>
      <c r="E19" s="29">
        <v>25120</v>
      </c>
      <c r="F19" s="30">
        <v>3.4865971096663202</v>
      </c>
    </row>
    <row r="20" spans="1:6" x14ac:dyDescent="0.2">
      <c r="A20" s="27" t="s">
        <v>1298</v>
      </c>
      <c r="B20" s="27" t="s">
        <v>1297</v>
      </c>
      <c r="C20" s="27" t="s">
        <v>1037</v>
      </c>
      <c r="D20" s="31">
        <v>1633407</v>
      </c>
      <c r="E20" s="29">
        <v>24732.232090000001</v>
      </c>
      <c r="F20" s="30">
        <v>3.43277583282606</v>
      </c>
    </row>
    <row r="21" spans="1:6" x14ac:dyDescent="0.2">
      <c r="A21" s="27" t="s">
        <v>1000</v>
      </c>
      <c r="B21" s="27" t="s">
        <v>999</v>
      </c>
      <c r="C21" s="27" t="s">
        <v>901</v>
      </c>
      <c r="D21" s="31">
        <v>20000000</v>
      </c>
      <c r="E21" s="29">
        <v>20530</v>
      </c>
      <c r="F21" s="30">
        <v>2.8495158702806398</v>
      </c>
    </row>
    <row r="22" spans="1:6" x14ac:dyDescent="0.2">
      <c r="A22" s="27" t="s">
        <v>1300</v>
      </c>
      <c r="B22" s="27" t="s">
        <v>1299</v>
      </c>
      <c r="C22" s="27" t="s">
        <v>925</v>
      </c>
      <c r="D22" s="31">
        <v>4000000</v>
      </c>
      <c r="E22" s="29">
        <v>16996</v>
      </c>
      <c r="F22" s="30">
        <v>2.35900495525035</v>
      </c>
    </row>
    <row r="23" spans="1:6" x14ac:dyDescent="0.2">
      <c r="A23" s="27" t="s">
        <v>1180</v>
      </c>
      <c r="B23" s="27" t="s">
        <v>1179</v>
      </c>
      <c r="C23" s="27" t="s">
        <v>1149</v>
      </c>
      <c r="D23" s="31">
        <v>4800000</v>
      </c>
      <c r="E23" s="29">
        <v>14925.6</v>
      </c>
      <c r="F23" s="30">
        <v>2.0716382890141598</v>
      </c>
    </row>
    <row r="24" spans="1:6" x14ac:dyDescent="0.2">
      <c r="A24" s="27" t="s">
        <v>1197</v>
      </c>
      <c r="B24" s="27" t="s">
        <v>1196</v>
      </c>
      <c r="C24" s="27" t="s">
        <v>886</v>
      </c>
      <c r="D24" s="31">
        <v>4500000</v>
      </c>
      <c r="E24" s="29">
        <v>14895</v>
      </c>
      <c r="F24" s="30">
        <v>2.0673910807515901</v>
      </c>
    </row>
    <row r="25" spans="1:6" x14ac:dyDescent="0.2">
      <c r="A25" s="27" t="s">
        <v>1302</v>
      </c>
      <c r="B25" s="27" t="s">
        <v>1301</v>
      </c>
      <c r="C25" s="27" t="s">
        <v>886</v>
      </c>
      <c r="D25" s="31">
        <v>17200000</v>
      </c>
      <c r="E25" s="29">
        <v>12323.8</v>
      </c>
      <c r="F25" s="30">
        <v>1.71051454857109</v>
      </c>
    </row>
    <row r="26" spans="1:6" x14ac:dyDescent="0.2">
      <c r="A26" s="27" t="s">
        <v>1247</v>
      </c>
      <c r="B26" s="27" t="s">
        <v>1246</v>
      </c>
      <c r="C26" s="27" t="s">
        <v>1183</v>
      </c>
      <c r="D26" s="31">
        <v>475000</v>
      </c>
      <c r="E26" s="29">
        <v>11152.525</v>
      </c>
      <c r="F26" s="30">
        <v>1.54794432446184</v>
      </c>
    </row>
    <row r="27" spans="1:6" x14ac:dyDescent="0.2">
      <c r="A27" s="27" t="s">
        <v>1304</v>
      </c>
      <c r="B27" s="27" t="s">
        <v>1303</v>
      </c>
      <c r="C27" s="27" t="s">
        <v>1037</v>
      </c>
      <c r="D27" s="31">
        <v>13000000</v>
      </c>
      <c r="E27" s="29">
        <v>9295</v>
      </c>
      <c r="F27" s="30">
        <v>1.2901242091699201</v>
      </c>
    </row>
    <row r="28" spans="1:6" x14ac:dyDescent="0.2">
      <c r="A28" s="27" t="s">
        <v>1306</v>
      </c>
      <c r="B28" s="27" t="s">
        <v>1305</v>
      </c>
      <c r="C28" s="27" t="s">
        <v>1149</v>
      </c>
      <c r="D28" s="31">
        <v>3200000</v>
      </c>
      <c r="E28" s="29">
        <v>8963.2000000000007</v>
      </c>
      <c r="F28" s="30">
        <v>1.24407114702871</v>
      </c>
    </row>
    <row r="29" spans="1:6" x14ac:dyDescent="0.2">
      <c r="A29" s="27" t="s">
        <v>1308</v>
      </c>
      <c r="B29" s="27" t="s">
        <v>1307</v>
      </c>
      <c r="C29" s="27" t="s">
        <v>1149</v>
      </c>
      <c r="D29" s="31">
        <v>15000000</v>
      </c>
      <c r="E29" s="29">
        <v>8422.5</v>
      </c>
      <c r="F29" s="30">
        <v>1.1690232546243899</v>
      </c>
    </row>
    <row r="30" spans="1:6" x14ac:dyDescent="0.2">
      <c r="A30" s="27" t="s">
        <v>1310</v>
      </c>
      <c r="B30" s="27" t="s">
        <v>1309</v>
      </c>
      <c r="C30" s="27" t="s">
        <v>907</v>
      </c>
      <c r="D30" s="31">
        <v>1000000</v>
      </c>
      <c r="E30" s="29">
        <v>5484</v>
      </c>
      <c r="F30" s="30">
        <v>0.76116634352747203</v>
      </c>
    </row>
    <row r="31" spans="1:6" x14ac:dyDescent="0.2">
      <c r="A31" s="27" t="s">
        <v>914</v>
      </c>
      <c r="B31" s="27" t="s">
        <v>913</v>
      </c>
      <c r="C31" s="27" t="s">
        <v>915</v>
      </c>
      <c r="D31" s="31">
        <v>1200000</v>
      </c>
      <c r="E31" s="29">
        <v>5401.2</v>
      </c>
      <c r="F31" s="30">
        <v>0.74967389764051495</v>
      </c>
    </row>
    <row r="32" spans="1:6" x14ac:dyDescent="0.2">
      <c r="A32" s="27" t="s">
        <v>1312</v>
      </c>
      <c r="B32" s="27" t="s">
        <v>1311</v>
      </c>
      <c r="C32" s="27" t="s">
        <v>1313</v>
      </c>
      <c r="D32" s="31">
        <v>300000</v>
      </c>
      <c r="E32" s="29">
        <v>2455.5</v>
      </c>
      <c r="F32" s="30">
        <v>0.34081764342299598</v>
      </c>
    </row>
    <row r="33" spans="1:9" x14ac:dyDescent="0.2">
      <c r="A33" s="27" t="s">
        <v>875</v>
      </c>
      <c r="B33" s="27" t="s">
        <v>874</v>
      </c>
      <c r="C33" s="27" t="s">
        <v>876</v>
      </c>
      <c r="D33" s="31">
        <v>200000</v>
      </c>
      <c r="E33" s="29">
        <v>2200</v>
      </c>
      <c r="F33" s="30">
        <v>0.30535484240708199</v>
      </c>
    </row>
    <row r="34" spans="1:9" ht="10.5" x14ac:dyDescent="0.25">
      <c r="A34" s="26" t="s">
        <v>164</v>
      </c>
      <c r="B34" s="26"/>
      <c r="C34" s="26"/>
      <c r="D34" s="32"/>
      <c r="E34" s="33">
        <f>SUM(E7:E33)</f>
        <v>682932.15948999987</v>
      </c>
      <c r="F34" s="34">
        <f>SUM(F7:F33)</f>
        <v>94.789382698089682</v>
      </c>
      <c r="G34" s="18"/>
      <c r="H34" s="18"/>
      <c r="I34" s="18"/>
    </row>
    <row r="35" spans="1:9" x14ac:dyDescent="0.2">
      <c r="A35" s="27"/>
      <c r="B35" s="27"/>
      <c r="C35" s="27"/>
      <c r="D35" s="28"/>
      <c r="E35" s="29"/>
      <c r="F35" s="30"/>
    </row>
    <row r="36" spans="1:9" ht="10.5" x14ac:dyDescent="0.25">
      <c r="A36" s="26" t="s">
        <v>176</v>
      </c>
      <c r="B36" s="26"/>
      <c r="C36" s="26"/>
      <c r="D36" s="32"/>
      <c r="E36" s="33">
        <f>E34</f>
        <v>682932.15948999987</v>
      </c>
      <c r="F36" s="34">
        <f>F34</f>
        <v>94.789382698089682</v>
      </c>
      <c r="G36" s="18"/>
      <c r="H36" s="18"/>
      <c r="I36" s="18"/>
    </row>
    <row r="37" spans="1:9" ht="10.5" x14ac:dyDescent="0.25">
      <c r="A37" s="26"/>
      <c r="B37" s="26"/>
      <c r="C37" s="26"/>
      <c r="D37" s="32"/>
      <c r="E37" s="33"/>
      <c r="F37" s="34"/>
      <c r="G37" s="18"/>
      <c r="H37" s="18"/>
      <c r="I37" s="18"/>
    </row>
    <row r="38" spans="1:9" ht="10.5" x14ac:dyDescent="0.25">
      <c r="A38" s="26" t="s">
        <v>178</v>
      </c>
      <c r="B38" s="26"/>
      <c r="C38" s="26"/>
      <c r="D38" s="32"/>
      <c r="E38" s="33">
        <f>E40-(E34)</f>
        <v>37541.104551800177</v>
      </c>
      <c r="F38" s="34">
        <f>F40-(F34)</f>
        <v>5.2106173019103181</v>
      </c>
      <c r="G38" s="18"/>
      <c r="H38" s="18"/>
      <c r="I38" s="18"/>
    </row>
    <row r="39" spans="1:9" ht="10.5" x14ac:dyDescent="0.25">
      <c r="A39" s="26"/>
      <c r="B39" s="26"/>
      <c r="C39" s="26"/>
      <c r="D39" s="32"/>
      <c r="E39" s="33"/>
      <c r="F39" s="34"/>
      <c r="G39" s="18"/>
      <c r="H39" s="18"/>
      <c r="I39" s="18"/>
    </row>
    <row r="40" spans="1:9" ht="10.5" x14ac:dyDescent="0.25">
      <c r="A40" s="35" t="s">
        <v>177</v>
      </c>
      <c r="B40" s="35"/>
      <c r="C40" s="35"/>
      <c r="D40" s="36"/>
      <c r="E40" s="37">
        <v>720473.26404180005</v>
      </c>
      <c r="F40" s="38">
        <v>100</v>
      </c>
      <c r="G40" s="18"/>
      <c r="H40" s="18"/>
      <c r="I40" s="18"/>
    </row>
    <row r="43" spans="1:9" ht="10.5" x14ac:dyDescent="0.25">
      <c r="A43" s="18" t="s">
        <v>181</v>
      </c>
    </row>
    <row r="44" spans="1:9" ht="10.5" x14ac:dyDescent="0.25">
      <c r="A44" s="18" t="s">
        <v>182</v>
      </c>
    </row>
    <row r="45" spans="1:9" ht="10.5" x14ac:dyDescent="0.25">
      <c r="A45" s="18" t="s">
        <v>183</v>
      </c>
      <c r="B45" s="18"/>
      <c r="C45" s="39" t="s">
        <v>185</v>
      </c>
      <c r="D45" s="19" t="s">
        <v>184</v>
      </c>
    </row>
    <row r="46" spans="1:9" x14ac:dyDescent="0.2">
      <c r="A46" s="9" t="s">
        <v>421</v>
      </c>
      <c r="C46" s="40">
        <v>32.791600000000003</v>
      </c>
      <c r="D46" s="40">
        <v>42.917400000000001</v>
      </c>
    </row>
    <row r="47" spans="1:9" x14ac:dyDescent="0.2">
      <c r="A47" s="9" t="s">
        <v>458</v>
      </c>
      <c r="C47" s="40">
        <v>17.777999999999999</v>
      </c>
      <c r="D47" s="40">
        <v>21.566700000000001</v>
      </c>
    </row>
    <row r="48" spans="1:9" x14ac:dyDescent="0.2">
      <c r="A48" s="9" t="s">
        <v>424</v>
      </c>
      <c r="C48" s="40">
        <v>35.430900000000001</v>
      </c>
      <c r="D48" s="40">
        <v>46.556800000000003</v>
      </c>
    </row>
    <row r="49" spans="1:4" x14ac:dyDescent="0.2">
      <c r="A49" s="9" t="s">
        <v>459</v>
      </c>
      <c r="C49" s="40">
        <v>19.692599999999999</v>
      </c>
      <c r="D49" s="40">
        <v>24.171600000000002</v>
      </c>
    </row>
    <row r="51" spans="1:4" ht="10.5" x14ac:dyDescent="0.25">
      <c r="A51" s="18" t="s">
        <v>197</v>
      </c>
    </row>
    <row r="52" spans="1:4" ht="10.5" x14ac:dyDescent="0.25">
      <c r="A52" s="73" t="s">
        <v>403</v>
      </c>
      <c r="B52" s="74"/>
      <c r="C52" s="45" t="s">
        <v>404</v>
      </c>
    </row>
    <row r="53" spans="1:4" x14ac:dyDescent="0.2">
      <c r="A53" s="69" t="s">
        <v>458</v>
      </c>
      <c r="B53" s="70"/>
      <c r="C53" s="46">
        <v>1.5</v>
      </c>
    </row>
    <row r="54" spans="1:4" x14ac:dyDescent="0.2">
      <c r="A54" s="69" t="s">
        <v>459</v>
      </c>
      <c r="B54" s="70"/>
      <c r="C54" s="46">
        <v>1.5</v>
      </c>
    </row>
    <row r="55" spans="1:4" x14ac:dyDescent="0.2">
      <c r="A55" s="9" t="s">
        <v>405</v>
      </c>
    </row>
    <row r="57" spans="1:4" ht="10.5" x14ac:dyDescent="0.25">
      <c r="A57" s="18" t="s">
        <v>1003</v>
      </c>
      <c r="D57" s="47">
        <v>0.11119999999999999</v>
      </c>
    </row>
  </sheetData>
  <mergeCells count="4">
    <mergeCell ref="A1:F1"/>
    <mergeCell ref="A52:B52"/>
    <mergeCell ref="A53:B53"/>
    <mergeCell ref="A54:B54"/>
  </mergeCells>
  <conditionalFormatting sqref="F2:F3 F5:F65536">
    <cfRule type="cellIs" dxfId="1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I81"/>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18.81640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71" t="s">
        <v>54</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870</v>
      </c>
      <c r="B7" s="27" t="s">
        <v>869</v>
      </c>
      <c r="C7" s="27" t="s">
        <v>871</v>
      </c>
      <c r="D7" s="31">
        <v>5700000</v>
      </c>
      <c r="E7" s="29">
        <v>82128.45</v>
      </c>
      <c r="F7" s="30">
        <v>9.2895166776797193</v>
      </c>
    </row>
    <row r="8" spans="1:6" x14ac:dyDescent="0.2">
      <c r="A8" s="27" t="s">
        <v>880</v>
      </c>
      <c r="B8" s="27" t="s">
        <v>879</v>
      </c>
      <c r="C8" s="27" t="s">
        <v>871</v>
      </c>
      <c r="D8" s="31">
        <v>12800000</v>
      </c>
      <c r="E8" s="29">
        <v>60588.800000000003</v>
      </c>
      <c r="F8" s="30">
        <v>6.8531753379078904</v>
      </c>
    </row>
    <row r="9" spans="1:6" x14ac:dyDescent="0.2">
      <c r="A9" s="27" t="s">
        <v>875</v>
      </c>
      <c r="B9" s="27" t="s">
        <v>874</v>
      </c>
      <c r="C9" s="27" t="s">
        <v>876</v>
      </c>
      <c r="D9" s="31">
        <v>5400000</v>
      </c>
      <c r="E9" s="29">
        <v>59400</v>
      </c>
      <c r="F9" s="30">
        <v>6.7187106374730803</v>
      </c>
    </row>
    <row r="10" spans="1:6" x14ac:dyDescent="0.2">
      <c r="A10" s="27" t="s">
        <v>882</v>
      </c>
      <c r="B10" s="27" t="s">
        <v>881</v>
      </c>
      <c r="C10" s="27" t="s">
        <v>883</v>
      </c>
      <c r="D10" s="31">
        <v>12500000</v>
      </c>
      <c r="E10" s="29">
        <v>57906.25</v>
      </c>
      <c r="F10" s="30">
        <v>6.5497531624776997</v>
      </c>
    </row>
    <row r="11" spans="1:6" x14ac:dyDescent="0.2">
      <c r="A11" s="27" t="s">
        <v>873</v>
      </c>
      <c r="B11" s="27" t="s">
        <v>872</v>
      </c>
      <c r="C11" s="27" t="s">
        <v>871</v>
      </c>
      <c r="D11" s="31">
        <v>9000000</v>
      </c>
      <c r="E11" s="29">
        <v>54144</v>
      </c>
      <c r="F11" s="30">
        <v>6.1242065447027301</v>
      </c>
    </row>
    <row r="12" spans="1:6" x14ac:dyDescent="0.2">
      <c r="A12" s="27" t="s">
        <v>897</v>
      </c>
      <c r="B12" s="27" t="s">
        <v>896</v>
      </c>
      <c r="C12" s="27" t="s">
        <v>898</v>
      </c>
      <c r="D12" s="31">
        <v>5200000</v>
      </c>
      <c r="E12" s="29">
        <v>37544</v>
      </c>
      <c r="F12" s="30">
        <v>4.2465870736243998</v>
      </c>
    </row>
    <row r="13" spans="1:6" x14ac:dyDescent="0.2">
      <c r="A13" s="27" t="s">
        <v>983</v>
      </c>
      <c r="B13" s="27" t="s">
        <v>982</v>
      </c>
      <c r="C13" s="27" t="s">
        <v>984</v>
      </c>
      <c r="D13" s="31">
        <v>3200000</v>
      </c>
      <c r="E13" s="29">
        <v>35916.800000000003</v>
      </c>
      <c r="F13" s="30">
        <v>4.0625351216160404</v>
      </c>
    </row>
    <row r="14" spans="1:6" x14ac:dyDescent="0.2">
      <c r="A14" s="27" t="s">
        <v>920</v>
      </c>
      <c r="B14" s="27" t="s">
        <v>919</v>
      </c>
      <c r="C14" s="27" t="s">
        <v>871</v>
      </c>
      <c r="D14" s="31">
        <v>14000000</v>
      </c>
      <c r="E14" s="29">
        <v>34195</v>
      </c>
      <c r="F14" s="30">
        <v>3.8677830008146801</v>
      </c>
    </row>
    <row r="15" spans="1:6" x14ac:dyDescent="0.2">
      <c r="A15" s="27" t="s">
        <v>937</v>
      </c>
      <c r="B15" s="27" t="s">
        <v>936</v>
      </c>
      <c r="C15" s="27" t="s">
        <v>898</v>
      </c>
      <c r="D15" s="31">
        <v>16500000</v>
      </c>
      <c r="E15" s="29">
        <v>29757.75</v>
      </c>
      <c r="F15" s="30">
        <v>3.36588739852297</v>
      </c>
    </row>
    <row r="16" spans="1:6" x14ac:dyDescent="0.2">
      <c r="A16" s="27" t="s">
        <v>894</v>
      </c>
      <c r="B16" s="27" t="s">
        <v>893</v>
      </c>
      <c r="C16" s="27" t="s">
        <v>895</v>
      </c>
      <c r="D16" s="31">
        <v>2800000</v>
      </c>
      <c r="E16" s="29">
        <v>22584.799999999999</v>
      </c>
      <c r="F16" s="30">
        <v>2.5545578452054198</v>
      </c>
    </row>
    <row r="17" spans="1:6" x14ac:dyDescent="0.2">
      <c r="A17" s="27" t="s">
        <v>885</v>
      </c>
      <c r="B17" s="27" t="s">
        <v>884</v>
      </c>
      <c r="C17" s="27" t="s">
        <v>886</v>
      </c>
      <c r="D17" s="31">
        <v>2300000</v>
      </c>
      <c r="E17" s="29">
        <v>20142.25</v>
      </c>
      <c r="F17" s="30">
        <v>2.27828197538118</v>
      </c>
    </row>
    <row r="18" spans="1:6" x14ac:dyDescent="0.2">
      <c r="A18" s="27" t="s">
        <v>933</v>
      </c>
      <c r="B18" s="27" t="s">
        <v>932</v>
      </c>
      <c r="C18" s="27" t="s">
        <v>907</v>
      </c>
      <c r="D18" s="31">
        <v>1920000</v>
      </c>
      <c r="E18" s="29">
        <v>19947.84</v>
      </c>
      <c r="F18" s="30">
        <v>2.25629233674429</v>
      </c>
    </row>
    <row r="19" spans="1:6" x14ac:dyDescent="0.2">
      <c r="A19" s="27" t="s">
        <v>922</v>
      </c>
      <c r="B19" s="27" t="s">
        <v>921</v>
      </c>
      <c r="C19" s="27" t="s">
        <v>918</v>
      </c>
      <c r="D19" s="31">
        <v>21000000</v>
      </c>
      <c r="E19" s="29">
        <v>19887</v>
      </c>
      <c r="F19" s="30">
        <v>2.24941074827318</v>
      </c>
    </row>
    <row r="20" spans="1:6" x14ac:dyDescent="0.2">
      <c r="A20" s="27" t="s">
        <v>943</v>
      </c>
      <c r="B20" s="27" t="s">
        <v>942</v>
      </c>
      <c r="C20" s="27" t="s">
        <v>944</v>
      </c>
      <c r="D20" s="31">
        <v>11500000</v>
      </c>
      <c r="E20" s="29">
        <v>18704.75</v>
      </c>
      <c r="F20" s="30">
        <v>2.1156869157622</v>
      </c>
    </row>
    <row r="21" spans="1:6" x14ac:dyDescent="0.2">
      <c r="A21" s="27" t="s">
        <v>1310</v>
      </c>
      <c r="B21" s="27" t="s">
        <v>1309</v>
      </c>
      <c r="C21" s="27" t="s">
        <v>907</v>
      </c>
      <c r="D21" s="31">
        <v>3300000</v>
      </c>
      <c r="E21" s="29">
        <v>18097.2</v>
      </c>
      <c r="F21" s="30">
        <v>2.0469671742168001</v>
      </c>
    </row>
    <row r="22" spans="1:6" x14ac:dyDescent="0.2">
      <c r="A22" s="27" t="s">
        <v>1024</v>
      </c>
      <c r="B22" s="27" t="s">
        <v>1023</v>
      </c>
      <c r="C22" s="27" t="s">
        <v>876</v>
      </c>
      <c r="D22" s="31">
        <v>2200000</v>
      </c>
      <c r="E22" s="29">
        <v>18086.2</v>
      </c>
      <c r="F22" s="30">
        <v>2.0457229685431901</v>
      </c>
    </row>
    <row r="23" spans="1:6" x14ac:dyDescent="0.2">
      <c r="A23" s="27" t="s">
        <v>911</v>
      </c>
      <c r="B23" s="27" t="s">
        <v>910</v>
      </c>
      <c r="C23" s="27" t="s">
        <v>912</v>
      </c>
      <c r="D23" s="31">
        <v>8500000</v>
      </c>
      <c r="E23" s="29">
        <v>17794.75</v>
      </c>
      <c r="F23" s="30">
        <v>2.0127571736729601</v>
      </c>
    </row>
    <row r="24" spans="1:6" x14ac:dyDescent="0.2">
      <c r="A24" s="27" t="s">
        <v>1315</v>
      </c>
      <c r="B24" s="27" t="s">
        <v>1314</v>
      </c>
      <c r="C24" s="27" t="s">
        <v>907</v>
      </c>
      <c r="D24" s="31">
        <v>4800000</v>
      </c>
      <c r="E24" s="29">
        <v>17649.599999999999</v>
      </c>
      <c r="F24" s="30">
        <v>1.9963393142617001</v>
      </c>
    </row>
    <row r="25" spans="1:6" x14ac:dyDescent="0.2">
      <c r="A25" s="27" t="s">
        <v>979</v>
      </c>
      <c r="B25" s="27" t="s">
        <v>978</v>
      </c>
      <c r="C25" s="27" t="s">
        <v>876</v>
      </c>
      <c r="D25" s="31">
        <v>2000000</v>
      </c>
      <c r="E25" s="29">
        <v>17537</v>
      </c>
      <c r="F25" s="30">
        <v>1.9836031725482399</v>
      </c>
    </row>
    <row r="26" spans="1:6" x14ac:dyDescent="0.2">
      <c r="A26" s="27" t="s">
        <v>1317</v>
      </c>
      <c r="B26" s="27" t="s">
        <v>1316</v>
      </c>
      <c r="C26" s="27" t="s">
        <v>967</v>
      </c>
      <c r="D26" s="31">
        <v>3700000</v>
      </c>
      <c r="E26" s="29">
        <v>16342.9</v>
      </c>
      <c r="F26" s="30">
        <v>1.8485389911979599</v>
      </c>
    </row>
    <row r="27" spans="1:6" x14ac:dyDescent="0.2">
      <c r="A27" s="27" t="s">
        <v>1319</v>
      </c>
      <c r="B27" s="27" t="s">
        <v>1318</v>
      </c>
      <c r="C27" s="27" t="s">
        <v>915</v>
      </c>
      <c r="D27" s="31">
        <v>3000000</v>
      </c>
      <c r="E27" s="29">
        <v>15349.5</v>
      </c>
      <c r="F27" s="30">
        <v>1.73617590791066</v>
      </c>
    </row>
    <row r="28" spans="1:6" x14ac:dyDescent="0.2">
      <c r="A28" s="27" t="s">
        <v>939</v>
      </c>
      <c r="B28" s="27" t="s">
        <v>938</v>
      </c>
      <c r="C28" s="27" t="s">
        <v>898</v>
      </c>
      <c r="D28" s="31">
        <v>2600000</v>
      </c>
      <c r="E28" s="29">
        <v>12990.9</v>
      </c>
      <c r="F28" s="30">
        <v>1.4693955895681601</v>
      </c>
    </row>
    <row r="29" spans="1:6" x14ac:dyDescent="0.2">
      <c r="A29" s="27" t="s">
        <v>1159</v>
      </c>
      <c r="B29" s="27" t="s">
        <v>1158</v>
      </c>
      <c r="C29" s="27" t="s">
        <v>907</v>
      </c>
      <c r="D29" s="31">
        <v>9200000</v>
      </c>
      <c r="E29" s="29">
        <v>12962.8</v>
      </c>
      <c r="F29" s="30">
        <v>1.46621720962013</v>
      </c>
    </row>
    <row r="30" spans="1:6" x14ac:dyDescent="0.2">
      <c r="A30" s="27" t="s">
        <v>1000</v>
      </c>
      <c r="B30" s="27" t="s">
        <v>999</v>
      </c>
      <c r="C30" s="27" t="s">
        <v>901</v>
      </c>
      <c r="D30" s="31">
        <v>12000000</v>
      </c>
      <c r="E30" s="29">
        <v>12318</v>
      </c>
      <c r="F30" s="30">
        <v>1.3932841352254799</v>
      </c>
    </row>
    <row r="31" spans="1:6" x14ac:dyDescent="0.2">
      <c r="A31" s="27" t="s">
        <v>1294</v>
      </c>
      <c r="B31" s="27" t="s">
        <v>1293</v>
      </c>
      <c r="C31" s="27" t="s">
        <v>886</v>
      </c>
      <c r="D31" s="31">
        <v>230000</v>
      </c>
      <c r="E31" s="29">
        <v>11044.6</v>
      </c>
      <c r="F31" s="30">
        <v>1.2492503620645601</v>
      </c>
    </row>
    <row r="32" spans="1:6" x14ac:dyDescent="0.2">
      <c r="A32" s="27" t="s">
        <v>1321</v>
      </c>
      <c r="B32" s="27" t="s">
        <v>1320</v>
      </c>
      <c r="C32" s="27" t="s">
        <v>967</v>
      </c>
      <c r="D32" s="31">
        <v>12000000</v>
      </c>
      <c r="E32" s="29">
        <v>10614</v>
      </c>
      <c r="F32" s="30">
        <v>1.2005453654232201</v>
      </c>
    </row>
    <row r="33" spans="1:6" x14ac:dyDescent="0.2">
      <c r="A33" s="27" t="s">
        <v>1041</v>
      </c>
      <c r="B33" s="27" t="s">
        <v>1040</v>
      </c>
      <c r="C33" s="27" t="s">
        <v>886</v>
      </c>
      <c r="D33" s="31">
        <v>600000</v>
      </c>
      <c r="E33" s="29">
        <v>10230.299999999999</v>
      </c>
      <c r="F33" s="30">
        <v>1.1571452093357</v>
      </c>
    </row>
    <row r="34" spans="1:6" x14ac:dyDescent="0.2">
      <c r="A34" s="27" t="s">
        <v>1296</v>
      </c>
      <c r="B34" s="27" t="s">
        <v>1295</v>
      </c>
      <c r="C34" s="27" t="s">
        <v>915</v>
      </c>
      <c r="D34" s="31">
        <v>1100000</v>
      </c>
      <c r="E34" s="29">
        <v>9809.7999999999993</v>
      </c>
      <c r="F34" s="30">
        <v>1.1095826197219401</v>
      </c>
    </row>
    <row r="35" spans="1:6" x14ac:dyDescent="0.2">
      <c r="A35" s="27" t="s">
        <v>924</v>
      </c>
      <c r="B35" s="27" t="s">
        <v>923</v>
      </c>
      <c r="C35" s="27" t="s">
        <v>925</v>
      </c>
      <c r="D35" s="31">
        <v>1500000</v>
      </c>
      <c r="E35" s="29">
        <v>8790</v>
      </c>
      <c r="F35" s="30">
        <v>0.99423344281798598</v>
      </c>
    </row>
    <row r="36" spans="1:6" x14ac:dyDescent="0.2">
      <c r="A36" s="27" t="s">
        <v>1056</v>
      </c>
      <c r="B36" s="27" t="s">
        <v>1055</v>
      </c>
      <c r="C36" s="27" t="s">
        <v>925</v>
      </c>
      <c r="D36" s="31">
        <v>1359500</v>
      </c>
      <c r="E36" s="29">
        <v>8576.4057499999999</v>
      </c>
      <c r="F36" s="30">
        <v>0.97007388120892701</v>
      </c>
    </row>
    <row r="37" spans="1:6" x14ac:dyDescent="0.2">
      <c r="A37" s="27" t="s">
        <v>1256</v>
      </c>
      <c r="B37" s="27" t="s">
        <v>1255</v>
      </c>
      <c r="C37" s="27" t="s">
        <v>925</v>
      </c>
      <c r="D37" s="31">
        <v>540000</v>
      </c>
      <c r="E37" s="29">
        <v>8478.27</v>
      </c>
      <c r="F37" s="30">
        <v>0.95897378512405496</v>
      </c>
    </row>
    <row r="38" spans="1:6" x14ac:dyDescent="0.2">
      <c r="A38" s="27" t="s">
        <v>1043</v>
      </c>
      <c r="B38" s="27" t="s">
        <v>1042</v>
      </c>
      <c r="C38" s="27" t="s">
        <v>912</v>
      </c>
      <c r="D38" s="31">
        <v>1000000</v>
      </c>
      <c r="E38" s="29">
        <v>7915</v>
      </c>
      <c r="F38" s="30">
        <v>0.89526253696295299</v>
      </c>
    </row>
    <row r="39" spans="1:6" x14ac:dyDescent="0.2">
      <c r="A39" s="27" t="s">
        <v>1197</v>
      </c>
      <c r="B39" s="27" t="s">
        <v>1196</v>
      </c>
      <c r="C39" s="27" t="s">
        <v>886</v>
      </c>
      <c r="D39" s="31">
        <v>2100000</v>
      </c>
      <c r="E39" s="29">
        <v>6951</v>
      </c>
      <c r="F39" s="30">
        <v>0.78622487611238001</v>
      </c>
    </row>
    <row r="40" spans="1:6" x14ac:dyDescent="0.2">
      <c r="A40" s="27" t="s">
        <v>914</v>
      </c>
      <c r="B40" s="27" t="s">
        <v>913</v>
      </c>
      <c r="C40" s="27" t="s">
        <v>915</v>
      </c>
      <c r="D40" s="31">
        <v>1531260</v>
      </c>
      <c r="E40" s="29">
        <v>6892.2012599999998</v>
      </c>
      <c r="F40" s="30">
        <v>0.77957417375702598</v>
      </c>
    </row>
    <row r="41" spans="1:6" x14ac:dyDescent="0.2">
      <c r="A41" s="27" t="s">
        <v>1021</v>
      </c>
      <c r="B41" s="27" t="s">
        <v>1020</v>
      </c>
      <c r="C41" s="27" t="s">
        <v>1022</v>
      </c>
      <c r="D41" s="31">
        <v>5500000</v>
      </c>
      <c r="E41" s="29">
        <v>6110.5</v>
      </c>
      <c r="F41" s="30">
        <v>0.69115625168820305</v>
      </c>
    </row>
    <row r="42" spans="1:6" x14ac:dyDescent="0.2">
      <c r="A42" s="27" t="s">
        <v>1323</v>
      </c>
      <c r="B42" s="27" t="s">
        <v>1322</v>
      </c>
      <c r="C42" s="27" t="s">
        <v>1037</v>
      </c>
      <c r="D42" s="31">
        <v>6266061</v>
      </c>
      <c r="E42" s="29">
        <v>6059.2809870000001</v>
      </c>
      <c r="F42" s="30">
        <v>0.68536288927264799</v>
      </c>
    </row>
    <row r="43" spans="1:6" x14ac:dyDescent="0.2">
      <c r="A43" s="27" t="s">
        <v>993</v>
      </c>
      <c r="B43" s="27" t="s">
        <v>992</v>
      </c>
      <c r="C43" s="27" t="s">
        <v>912</v>
      </c>
      <c r="D43" s="31">
        <v>7000000</v>
      </c>
      <c r="E43" s="29">
        <v>5922</v>
      </c>
      <c r="F43" s="30">
        <v>0.66983509082686099</v>
      </c>
    </row>
    <row r="44" spans="1:6" x14ac:dyDescent="0.2">
      <c r="A44" s="27" t="s">
        <v>1036</v>
      </c>
      <c r="B44" s="27" t="s">
        <v>1035</v>
      </c>
      <c r="C44" s="27" t="s">
        <v>1037</v>
      </c>
      <c r="D44" s="31">
        <v>1400000</v>
      </c>
      <c r="E44" s="29">
        <v>5684.7</v>
      </c>
      <c r="F44" s="30">
        <v>0.642994181158976</v>
      </c>
    </row>
    <row r="45" spans="1:6" x14ac:dyDescent="0.2">
      <c r="A45" s="27" t="s">
        <v>1045</v>
      </c>
      <c r="B45" s="27" t="s">
        <v>1044</v>
      </c>
      <c r="C45" s="27" t="s">
        <v>1046</v>
      </c>
      <c r="D45" s="31">
        <v>1600000</v>
      </c>
      <c r="E45" s="29">
        <v>5629.6</v>
      </c>
      <c r="F45" s="30">
        <v>0.63676184183027695</v>
      </c>
    </row>
    <row r="46" spans="1:6" x14ac:dyDescent="0.2">
      <c r="A46" s="27" t="s">
        <v>1017</v>
      </c>
      <c r="B46" s="27" t="s">
        <v>1016</v>
      </c>
      <c r="C46" s="27" t="s">
        <v>898</v>
      </c>
      <c r="D46" s="31">
        <v>7000000</v>
      </c>
      <c r="E46" s="29">
        <v>5470.5</v>
      </c>
      <c r="F46" s="30">
        <v>0.61876610340566396</v>
      </c>
    </row>
    <row r="47" spans="1:6" x14ac:dyDescent="0.2">
      <c r="A47" s="27" t="s">
        <v>1325</v>
      </c>
      <c r="B47" s="27" t="s">
        <v>1324</v>
      </c>
      <c r="C47" s="27" t="s">
        <v>895</v>
      </c>
      <c r="D47" s="31">
        <v>325617</v>
      </c>
      <c r="E47" s="29">
        <v>5121.6297930000001</v>
      </c>
      <c r="F47" s="30">
        <v>0.579305531505524</v>
      </c>
    </row>
    <row r="48" spans="1:6" x14ac:dyDescent="0.2">
      <c r="A48" s="27" t="s">
        <v>878</v>
      </c>
      <c r="B48" s="27" t="s">
        <v>877</v>
      </c>
      <c r="C48" s="27" t="s">
        <v>871</v>
      </c>
      <c r="D48" s="31">
        <v>200000</v>
      </c>
      <c r="E48" s="29">
        <v>3814.2</v>
      </c>
      <c r="F48" s="30">
        <v>0.43142266184258898</v>
      </c>
    </row>
    <row r="49" spans="1:9" x14ac:dyDescent="0.2">
      <c r="A49" s="27" t="s">
        <v>1327</v>
      </c>
      <c r="B49" s="27" t="s">
        <v>1326</v>
      </c>
      <c r="C49" s="27" t="s">
        <v>944</v>
      </c>
      <c r="D49" s="31">
        <v>2600000</v>
      </c>
      <c r="E49" s="29">
        <v>3415.1</v>
      </c>
      <c r="F49" s="30">
        <v>0.386280617812025</v>
      </c>
    </row>
    <row r="50" spans="1:9" x14ac:dyDescent="0.2">
      <c r="A50" s="27" t="s">
        <v>946</v>
      </c>
      <c r="B50" s="27" t="s">
        <v>945</v>
      </c>
      <c r="C50" s="27" t="s">
        <v>947</v>
      </c>
      <c r="D50" s="31">
        <v>7000000</v>
      </c>
      <c r="E50" s="29">
        <v>2782.5</v>
      </c>
      <c r="F50" s="30">
        <v>0.31472748061900402</v>
      </c>
    </row>
    <row r="51" spans="1:9" x14ac:dyDescent="0.2">
      <c r="A51" s="27" t="s">
        <v>941</v>
      </c>
      <c r="B51" s="27" t="s">
        <v>940</v>
      </c>
      <c r="C51" s="27" t="s">
        <v>871</v>
      </c>
      <c r="D51" s="31">
        <v>7000000</v>
      </c>
      <c r="E51" s="29">
        <v>2625</v>
      </c>
      <c r="F51" s="30">
        <v>0.29691271756509802</v>
      </c>
    </row>
    <row r="52" spans="1:9" x14ac:dyDescent="0.2">
      <c r="A52" s="27" t="s">
        <v>1113</v>
      </c>
      <c r="B52" s="27" t="s">
        <v>1112</v>
      </c>
      <c r="C52" s="27" t="s">
        <v>876</v>
      </c>
      <c r="D52" s="31">
        <v>400000</v>
      </c>
      <c r="E52" s="29">
        <v>2427.4</v>
      </c>
      <c r="F52" s="30">
        <v>0.27456225928286399</v>
      </c>
    </row>
    <row r="53" spans="1:9" x14ac:dyDescent="0.2">
      <c r="A53" s="27" t="s">
        <v>1329</v>
      </c>
      <c r="B53" s="27" t="s">
        <v>1328</v>
      </c>
      <c r="C53" s="27" t="s">
        <v>883</v>
      </c>
      <c r="D53" s="31">
        <v>18000000</v>
      </c>
      <c r="E53" s="29">
        <v>1764</v>
      </c>
      <c r="F53" s="30">
        <v>0.19952534620374601</v>
      </c>
    </row>
    <row r="54" spans="1:9" x14ac:dyDescent="0.2">
      <c r="A54" s="27" t="s">
        <v>949</v>
      </c>
      <c r="B54" s="27" t="s">
        <v>948</v>
      </c>
      <c r="C54" s="27" t="s">
        <v>944</v>
      </c>
      <c r="D54" s="31">
        <v>1344155</v>
      </c>
      <c r="E54" s="29">
        <v>1361.629015</v>
      </c>
      <c r="F54" s="30">
        <v>0.15401332234633799</v>
      </c>
    </row>
    <row r="55" spans="1:9" ht="10.5" x14ac:dyDescent="0.25">
      <c r="A55" s="26" t="s">
        <v>164</v>
      </c>
      <c r="B55" s="26"/>
      <c r="C55" s="26"/>
      <c r="D55" s="32"/>
      <c r="E55" s="33">
        <f>SUM(E7:E54)</f>
        <v>859466.15680499992</v>
      </c>
      <c r="F55" s="34">
        <f>SUM(F7:F54)</f>
        <v>97.213878960839324</v>
      </c>
      <c r="G55" s="18"/>
      <c r="H55" s="18"/>
      <c r="I55" s="18"/>
    </row>
    <row r="56" spans="1:9" x14ac:dyDescent="0.2">
      <c r="A56" s="27"/>
      <c r="B56" s="27"/>
      <c r="C56" s="27"/>
      <c r="D56" s="28"/>
      <c r="E56" s="29"/>
      <c r="F56" s="30"/>
    </row>
    <row r="57" spans="1:9" ht="10.5" x14ac:dyDescent="0.25">
      <c r="A57" s="26" t="s">
        <v>1528</v>
      </c>
      <c r="B57" s="27"/>
      <c r="C57" s="27"/>
      <c r="D57" s="28"/>
      <c r="E57" s="29"/>
      <c r="F57" s="30"/>
    </row>
    <row r="58" spans="1:9" x14ac:dyDescent="0.2">
      <c r="A58" s="27"/>
      <c r="B58" s="27" t="s">
        <v>1013</v>
      </c>
      <c r="C58" s="27" t="s">
        <v>967</v>
      </c>
      <c r="D58" s="31">
        <v>73500</v>
      </c>
      <c r="E58" s="29">
        <v>7.3499999999999998E-3</v>
      </c>
      <c r="F58" s="30">
        <v>8.3135560918227504E-7</v>
      </c>
    </row>
    <row r="59" spans="1:9" x14ac:dyDescent="0.2">
      <c r="A59" s="27"/>
      <c r="B59" s="27" t="s">
        <v>1330</v>
      </c>
      <c r="C59" s="27" t="s">
        <v>876</v>
      </c>
      <c r="D59" s="31">
        <v>45000</v>
      </c>
      <c r="E59" s="29">
        <v>4.4999999999999997E-3</v>
      </c>
      <c r="F59" s="30">
        <v>5.0899323011159704E-7</v>
      </c>
    </row>
    <row r="60" spans="1:9" x14ac:dyDescent="0.2">
      <c r="A60" s="27" t="s">
        <v>1291</v>
      </c>
      <c r="B60" s="27" t="s">
        <v>1290</v>
      </c>
      <c r="C60" s="27" t="s">
        <v>967</v>
      </c>
      <c r="D60" s="31">
        <v>38000</v>
      </c>
      <c r="E60" s="29">
        <v>3.8E-3</v>
      </c>
      <c r="F60" s="30">
        <v>4.29816505427571E-7</v>
      </c>
    </row>
    <row r="61" spans="1:9" ht="10.5" x14ac:dyDescent="0.25">
      <c r="A61" s="26" t="s">
        <v>164</v>
      </c>
      <c r="B61" s="26"/>
      <c r="C61" s="26"/>
      <c r="D61" s="32"/>
      <c r="E61" s="33">
        <f>SUM(E57:E60)</f>
        <v>1.5650000000000001E-2</v>
      </c>
      <c r="F61" s="34">
        <f>SUM(F57:F60)</f>
        <v>1.770165344721443E-6</v>
      </c>
      <c r="G61" s="18"/>
      <c r="H61" s="18"/>
      <c r="I61" s="18"/>
    </row>
    <row r="62" spans="1:9" x14ac:dyDescent="0.2">
      <c r="A62" s="27"/>
      <c r="B62" s="27"/>
      <c r="C62" s="27"/>
      <c r="D62" s="28"/>
      <c r="E62" s="29"/>
      <c r="F62" s="30"/>
    </row>
    <row r="63" spans="1:9" ht="10.5" x14ac:dyDescent="0.25">
      <c r="A63" s="26" t="s">
        <v>176</v>
      </c>
      <c r="B63" s="26"/>
      <c r="C63" s="26"/>
      <c r="D63" s="32"/>
      <c r="E63" s="33">
        <f>E55+E61</f>
        <v>859466.17245499988</v>
      </c>
      <c r="F63" s="34">
        <f>F55+F61</f>
        <v>97.213880731004664</v>
      </c>
      <c r="G63" s="18"/>
      <c r="H63" s="18"/>
      <c r="I63" s="18"/>
    </row>
    <row r="64" spans="1:9" ht="10.5" x14ac:dyDescent="0.25">
      <c r="A64" s="26"/>
      <c r="B64" s="26"/>
      <c r="C64" s="26"/>
      <c r="D64" s="32"/>
      <c r="E64" s="33"/>
      <c r="F64" s="34"/>
      <c r="G64" s="18"/>
      <c r="H64" s="18"/>
      <c r="I64" s="18"/>
    </row>
    <row r="65" spans="1:9" ht="10.5" x14ac:dyDescent="0.25">
      <c r="A65" s="26" t="s">
        <v>178</v>
      </c>
      <c r="B65" s="26"/>
      <c r="C65" s="26"/>
      <c r="D65" s="32"/>
      <c r="E65" s="33">
        <f>E67-(E55+E61)</f>
        <v>24632.030386200175</v>
      </c>
      <c r="F65" s="34">
        <f>F67-(F55+F61)</f>
        <v>2.7861192689953356</v>
      </c>
      <c r="G65" s="18"/>
      <c r="H65" s="18"/>
      <c r="I65" s="18"/>
    </row>
    <row r="66" spans="1:9" ht="10.5" x14ac:dyDescent="0.25">
      <c r="A66" s="26"/>
      <c r="B66" s="26"/>
      <c r="C66" s="26"/>
      <c r="D66" s="32"/>
      <c r="E66" s="33"/>
      <c r="F66" s="34"/>
      <c r="G66" s="18"/>
      <c r="H66" s="18"/>
      <c r="I66" s="18"/>
    </row>
    <row r="67" spans="1:9" ht="10.5" x14ac:dyDescent="0.25">
      <c r="A67" s="35" t="s">
        <v>177</v>
      </c>
      <c r="B67" s="35"/>
      <c r="C67" s="35"/>
      <c r="D67" s="36"/>
      <c r="E67" s="37">
        <v>884098.20284120005</v>
      </c>
      <c r="F67" s="38">
        <v>100</v>
      </c>
      <c r="G67" s="18"/>
      <c r="H67" s="18"/>
      <c r="I67" s="18"/>
    </row>
    <row r="68" spans="1:9" ht="10.5" x14ac:dyDescent="0.25">
      <c r="F68" s="20" t="s">
        <v>337</v>
      </c>
    </row>
    <row r="69" spans="1:9" ht="10.5" x14ac:dyDescent="0.25">
      <c r="A69" s="18" t="s">
        <v>180</v>
      </c>
      <c r="F69" s="20"/>
    </row>
    <row r="71" spans="1:9" ht="10.5" x14ac:dyDescent="0.25">
      <c r="A71" s="18" t="s">
        <v>181</v>
      </c>
    </row>
    <row r="72" spans="1:9" ht="10.5" x14ac:dyDescent="0.25">
      <c r="A72" s="18" t="s">
        <v>182</v>
      </c>
    </row>
    <row r="73" spans="1:9" ht="10.5" x14ac:dyDescent="0.25">
      <c r="A73" s="18" t="s">
        <v>183</v>
      </c>
      <c r="B73" s="18"/>
      <c r="C73" s="39" t="s">
        <v>185</v>
      </c>
      <c r="D73" s="19" t="s">
        <v>184</v>
      </c>
    </row>
    <row r="74" spans="1:9" x14ac:dyDescent="0.2">
      <c r="A74" s="9" t="s">
        <v>421</v>
      </c>
      <c r="C74" s="40">
        <v>472.1671</v>
      </c>
      <c r="D74" s="40">
        <v>641.99680000000001</v>
      </c>
    </row>
    <row r="75" spans="1:9" x14ac:dyDescent="0.2">
      <c r="A75" s="9" t="s">
        <v>458</v>
      </c>
      <c r="C75" s="40">
        <v>26.645399999999999</v>
      </c>
      <c r="D75" s="40">
        <v>36.2288</v>
      </c>
    </row>
    <row r="76" spans="1:9" x14ac:dyDescent="0.2">
      <c r="A76" s="9" t="s">
        <v>424</v>
      </c>
      <c r="C76" s="40">
        <v>505.66500000000002</v>
      </c>
      <c r="D76" s="40">
        <v>690.09289999999999</v>
      </c>
    </row>
    <row r="77" spans="1:9" x14ac:dyDescent="0.2">
      <c r="A77" s="9" t="s">
        <v>459</v>
      </c>
      <c r="C77" s="40">
        <v>29.217500000000001</v>
      </c>
      <c r="D77" s="40">
        <v>39.873699999999999</v>
      </c>
    </row>
    <row r="79" spans="1:9" ht="10.5" x14ac:dyDescent="0.25">
      <c r="A79" s="18" t="s">
        <v>197</v>
      </c>
      <c r="D79" s="41" t="s">
        <v>198</v>
      </c>
    </row>
    <row r="81" spans="1:4" ht="10.5" x14ac:dyDescent="0.25">
      <c r="A81" s="18" t="s">
        <v>1003</v>
      </c>
      <c r="D81" s="47">
        <v>9.1200000000000003E-2</v>
      </c>
    </row>
  </sheetData>
  <mergeCells count="1">
    <mergeCell ref="A1:F1"/>
  </mergeCells>
  <conditionalFormatting sqref="F2:F3 F5:F65537">
    <cfRule type="cellIs" dxfId="1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I82"/>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55</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873</v>
      </c>
      <c r="B7" s="27" t="s">
        <v>872</v>
      </c>
      <c r="C7" s="27" t="s">
        <v>871</v>
      </c>
      <c r="D7" s="31">
        <v>3444468</v>
      </c>
      <c r="E7" s="29">
        <v>20721.91949</v>
      </c>
      <c r="F7" s="30">
        <v>8.9535461615881307</v>
      </c>
    </row>
    <row r="8" spans="1:6" x14ac:dyDescent="0.2">
      <c r="A8" s="27" t="s">
        <v>875</v>
      </c>
      <c r="B8" s="27" t="s">
        <v>874</v>
      </c>
      <c r="C8" s="27" t="s">
        <v>876</v>
      </c>
      <c r="D8" s="31">
        <v>1729339</v>
      </c>
      <c r="E8" s="29">
        <v>19022.728999999999</v>
      </c>
      <c r="F8" s="30">
        <v>8.2193583612307108</v>
      </c>
    </row>
    <row r="9" spans="1:6" x14ac:dyDescent="0.2">
      <c r="A9" s="27" t="s">
        <v>870</v>
      </c>
      <c r="B9" s="27" t="s">
        <v>869</v>
      </c>
      <c r="C9" s="27" t="s">
        <v>871</v>
      </c>
      <c r="D9" s="31">
        <v>1188046</v>
      </c>
      <c r="E9" s="29">
        <v>17117.960790000001</v>
      </c>
      <c r="F9" s="30">
        <v>7.3963443492521996</v>
      </c>
    </row>
    <row r="10" spans="1:6" x14ac:dyDescent="0.2">
      <c r="A10" s="27" t="s">
        <v>880</v>
      </c>
      <c r="B10" s="27" t="s">
        <v>879</v>
      </c>
      <c r="C10" s="27" t="s">
        <v>871</v>
      </c>
      <c r="D10" s="31">
        <v>2485871</v>
      </c>
      <c r="E10" s="29">
        <v>11766.87038</v>
      </c>
      <c r="F10" s="30">
        <v>5.0842402498280297</v>
      </c>
    </row>
    <row r="11" spans="1:6" x14ac:dyDescent="0.2">
      <c r="A11" s="27" t="s">
        <v>971</v>
      </c>
      <c r="B11" s="27" t="s">
        <v>970</v>
      </c>
      <c r="C11" s="27" t="s">
        <v>918</v>
      </c>
      <c r="D11" s="31">
        <v>16577483</v>
      </c>
      <c r="E11" s="29">
        <v>10758.786469999999</v>
      </c>
      <c r="F11" s="30">
        <v>4.6486664205167596</v>
      </c>
    </row>
    <row r="12" spans="1:6" x14ac:dyDescent="0.2">
      <c r="A12" s="27" t="s">
        <v>1247</v>
      </c>
      <c r="B12" s="27" t="s">
        <v>1246</v>
      </c>
      <c r="C12" s="27" t="s">
        <v>1183</v>
      </c>
      <c r="D12" s="31">
        <v>357232</v>
      </c>
      <c r="E12" s="29">
        <v>8387.4501280000004</v>
      </c>
      <c r="F12" s="30">
        <v>3.62405721802494</v>
      </c>
    </row>
    <row r="13" spans="1:6" x14ac:dyDescent="0.2">
      <c r="A13" s="27" t="s">
        <v>882</v>
      </c>
      <c r="B13" s="27" t="s">
        <v>881</v>
      </c>
      <c r="C13" s="27" t="s">
        <v>883</v>
      </c>
      <c r="D13" s="31">
        <v>1583873</v>
      </c>
      <c r="E13" s="29">
        <v>7337.2916729999997</v>
      </c>
      <c r="F13" s="30">
        <v>3.1703037803493399</v>
      </c>
    </row>
    <row r="14" spans="1:6" x14ac:dyDescent="0.2">
      <c r="A14" s="27" t="s">
        <v>975</v>
      </c>
      <c r="B14" s="27" t="s">
        <v>974</v>
      </c>
      <c r="C14" s="27" t="s">
        <v>967</v>
      </c>
      <c r="D14" s="31">
        <v>1190390</v>
      </c>
      <c r="E14" s="29">
        <v>6442.3906800000004</v>
      </c>
      <c r="F14" s="30">
        <v>2.7836341306219898</v>
      </c>
    </row>
    <row r="15" spans="1:6" x14ac:dyDescent="0.2">
      <c r="A15" s="27" t="s">
        <v>1021</v>
      </c>
      <c r="B15" s="27" t="s">
        <v>1020</v>
      </c>
      <c r="C15" s="27" t="s">
        <v>1022</v>
      </c>
      <c r="D15" s="31">
        <v>5044411</v>
      </c>
      <c r="E15" s="29">
        <v>5604.3406210000003</v>
      </c>
      <c r="F15" s="30">
        <v>2.4215286851009301</v>
      </c>
    </row>
    <row r="16" spans="1:6" x14ac:dyDescent="0.2">
      <c r="A16" s="27" t="s">
        <v>988</v>
      </c>
      <c r="B16" s="27" t="s">
        <v>987</v>
      </c>
      <c r="C16" s="27" t="s">
        <v>989</v>
      </c>
      <c r="D16" s="31">
        <v>4517530</v>
      </c>
      <c r="E16" s="29">
        <v>5339.7204599999995</v>
      </c>
      <c r="F16" s="30">
        <v>2.3071913608996701</v>
      </c>
    </row>
    <row r="17" spans="1:6" x14ac:dyDescent="0.2">
      <c r="A17" s="27" t="s">
        <v>1193</v>
      </c>
      <c r="B17" s="27" t="s">
        <v>1192</v>
      </c>
      <c r="C17" s="27" t="s">
        <v>871</v>
      </c>
      <c r="D17" s="31">
        <v>2836879</v>
      </c>
      <c r="E17" s="29">
        <v>5278.0133800000003</v>
      </c>
      <c r="F17" s="30">
        <v>2.2805289086329599</v>
      </c>
    </row>
    <row r="18" spans="1:6" x14ac:dyDescent="0.2">
      <c r="A18" s="27" t="s">
        <v>1002</v>
      </c>
      <c r="B18" s="27" t="s">
        <v>1001</v>
      </c>
      <c r="C18" s="27" t="s">
        <v>871</v>
      </c>
      <c r="D18" s="31">
        <v>8330054</v>
      </c>
      <c r="E18" s="29">
        <v>5231.2739119999997</v>
      </c>
      <c r="F18" s="30">
        <v>2.2603336760191102</v>
      </c>
    </row>
    <row r="19" spans="1:6" x14ac:dyDescent="0.2">
      <c r="A19" s="27" t="s">
        <v>909</v>
      </c>
      <c r="B19" s="27" t="s">
        <v>908</v>
      </c>
      <c r="C19" s="27" t="s">
        <v>901</v>
      </c>
      <c r="D19" s="31">
        <v>2265841</v>
      </c>
      <c r="E19" s="29">
        <v>4974.6539160000002</v>
      </c>
      <c r="F19" s="30">
        <v>2.1494530705191499</v>
      </c>
    </row>
    <row r="20" spans="1:6" x14ac:dyDescent="0.2">
      <c r="A20" s="27" t="s">
        <v>914</v>
      </c>
      <c r="B20" s="27" t="s">
        <v>913</v>
      </c>
      <c r="C20" s="27" t="s">
        <v>915</v>
      </c>
      <c r="D20" s="31">
        <v>1052564</v>
      </c>
      <c r="E20" s="29">
        <v>4737.5905640000001</v>
      </c>
      <c r="F20" s="30">
        <v>2.0470225178680299</v>
      </c>
    </row>
    <row r="21" spans="1:6" x14ac:dyDescent="0.2">
      <c r="A21" s="27" t="s">
        <v>888</v>
      </c>
      <c r="B21" s="27" t="s">
        <v>887</v>
      </c>
      <c r="C21" s="27" t="s">
        <v>889</v>
      </c>
      <c r="D21" s="31">
        <v>282387</v>
      </c>
      <c r="E21" s="29">
        <v>4685.9298779999999</v>
      </c>
      <c r="F21" s="30">
        <v>2.0247009208237201</v>
      </c>
    </row>
    <row r="22" spans="1:6" x14ac:dyDescent="0.2">
      <c r="A22" s="27" t="s">
        <v>1068</v>
      </c>
      <c r="B22" s="27" t="s">
        <v>1067</v>
      </c>
      <c r="C22" s="27" t="s">
        <v>898</v>
      </c>
      <c r="D22" s="31">
        <v>4919680</v>
      </c>
      <c r="E22" s="29">
        <v>4533.4851200000003</v>
      </c>
      <c r="F22" s="30">
        <v>1.95883244862433</v>
      </c>
    </row>
    <row r="23" spans="1:6" x14ac:dyDescent="0.2">
      <c r="A23" s="27" t="s">
        <v>983</v>
      </c>
      <c r="B23" s="27" t="s">
        <v>982</v>
      </c>
      <c r="C23" s="27" t="s">
        <v>984</v>
      </c>
      <c r="D23" s="31">
        <v>399838</v>
      </c>
      <c r="E23" s="29">
        <v>4487.781712</v>
      </c>
      <c r="F23" s="30">
        <v>1.9390848777746601</v>
      </c>
    </row>
    <row r="24" spans="1:6" x14ac:dyDescent="0.2">
      <c r="A24" s="27" t="s">
        <v>1260</v>
      </c>
      <c r="B24" s="27" t="s">
        <v>1259</v>
      </c>
      <c r="C24" s="27" t="s">
        <v>1261</v>
      </c>
      <c r="D24" s="31">
        <v>511291</v>
      </c>
      <c r="E24" s="29">
        <v>4235.2789990000001</v>
      </c>
      <c r="F24" s="30">
        <v>1.8299832717259199</v>
      </c>
    </row>
    <row r="25" spans="1:6" x14ac:dyDescent="0.2">
      <c r="A25" s="27" t="s">
        <v>897</v>
      </c>
      <c r="B25" s="27" t="s">
        <v>896</v>
      </c>
      <c r="C25" s="27" t="s">
        <v>898</v>
      </c>
      <c r="D25" s="31">
        <v>586570</v>
      </c>
      <c r="E25" s="29">
        <v>4235.0353999999998</v>
      </c>
      <c r="F25" s="30">
        <v>1.82987801724443</v>
      </c>
    </row>
    <row r="26" spans="1:6" x14ac:dyDescent="0.2">
      <c r="A26" s="27" t="s">
        <v>1332</v>
      </c>
      <c r="B26" s="27" t="s">
        <v>1331</v>
      </c>
      <c r="C26" s="27" t="s">
        <v>871</v>
      </c>
      <c r="D26" s="31">
        <v>480528</v>
      </c>
      <c r="E26" s="29">
        <v>4121.2483920000004</v>
      </c>
      <c r="F26" s="30">
        <v>1.78071282146183</v>
      </c>
    </row>
    <row r="27" spans="1:6" x14ac:dyDescent="0.2">
      <c r="A27" s="27" t="s">
        <v>991</v>
      </c>
      <c r="B27" s="27" t="s">
        <v>990</v>
      </c>
      <c r="C27" s="27" t="s">
        <v>925</v>
      </c>
      <c r="D27" s="31">
        <v>2493349</v>
      </c>
      <c r="E27" s="29">
        <v>3993.0984239999998</v>
      </c>
      <c r="F27" s="30">
        <v>1.72534166462244</v>
      </c>
    </row>
    <row r="28" spans="1:6" x14ac:dyDescent="0.2">
      <c r="A28" s="27" t="s">
        <v>977</v>
      </c>
      <c r="B28" s="27" t="s">
        <v>976</v>
      </c>
      <c r="C28" s="27" t="s">
        <v>918</v>
      </c>
      <c r="D28" s="31">
        <v>18217899</v>
      </c>
      <c r="E28" s="29">
        <v>3907.7393360000001</v>
      </c>
      <c r="F28" s="30">
        <v>1.6884596308374999</v>
      </c>
    </row>
    <row r="29" spans="1:6" x14ac:dyDescent="0.2">
      <c r="A29" s="27" t="s">
        <v>1080</v>
      </c>
      <c r="B29" s="27" t="s">
        <v>1079</v>
      </c>
      <c r="C29" s="27" t="s">
        <v>918</v>
      </c>
      <c r="D29" s="31">
        <v>657029</v>
      </c>
      <c r="E29" s="29">
        <v>3819.966606</v>
      </c>
      <c r="F29" s="30">
        <v>1.65053470838218</v>
      </c>
    </row>
    <row r="30" spans="1:6" x14ac:dyDescent="0.2">
      <c r="A30" s="27" t="s">
        <v>998</v>
      </c>
      <c r="B30" s="27" t="s">
        <v>997</v>
      </c>
      <c r="C30" s="27" t="s">
        <v>967</v>
      </c>
      <c r="D30" s="31">
        <v>974352</v>
      </c>
      <c r="E30" s="29">
        <v>3687.435144</v>
      </c>
      <c r="F30" s="30">
        <v>1.59327039155803</v>
      </c>
    </row>
    <row r="31" spans="1:6" x14ac:dyDescent="0.2">
      <c r="A31" s="27" t="s">
        <v>1058</v>
      </c>
      <c r="B31" s="27" t="s">
        <v>1057</v>
      </c>
      <c r="C31" s="27" t="s">
        <v>907</v>
      </c>
      <c r="D31" s="31">
        <v>641207</v>
      </c>
      <c r="E31" s="29">
        <v>3449.6936599999999</v>
      </c>
      <c r="F31" s="30">
        <v>1.4905468310044001</v>
      </c>
    </row>
    <row r="32" spans="1:6" x14ac:dyDescent="0.2">
      <c r="A32" s="27" t="s">
        <v>1064</v>
      </c>
      <c r="B32" s="27" t="s">
        <v>1063</v>
      </c>
      <c r="C32" s="27" t="s">
        <v>996</v>
      </c>
      <c r="D32" s="31">
        <v>417110</v>
      </c>
      <c r="E32" s="29">
        <v>3359.82105</v>
      </c>
      <c r="F32" s="30">
        <v>1.4517145904542099</v>
      </c>
    </row>
    <row r="33" spans="1:6" x14ac:dyDescent="0.2">
      <c r="A33" s="27" t="s">
        <v>993</v>
      </c>
      <c r="B33" s="27" t="s">
        <v>992</v>
      </c>
      <c r="C33" s="27" t="s">
        <v>912</v>
      </c>
      <c r="D33" s="31">
        <v>3938381</v>
      </c>
      <c r="E33" s="29">
        <v>3331.8703260000002</v>
      </c>
      <c r="F33" s="30">
        <v>1.4396376157461199</v>
      </c>
    </row>
    <row r="34" spans="1:6" x14ac:dyDescent="0.2">
      <c r="A34" s="27" t="s">
        <v>960</v>
      </c>
      <c r="B34" s="27" t="s">
        <v>959</v>
      </c>
      <c r="C34" s="27" t="s">
        <v>915</v>
      </c>
      <c r="D34" s="31">
        <v>67295</v>
      </c>
      <c r="E34" s="29">
        <v>3249.6419030000002</v>
      </c>
      <c r="F34" s="30">
        <v>1.40410828259335</v>
      </c>
    </row>
    <row r="35" spans="1:6" x14ac:dyDescent="0.2">
      <c r="A35" s="27" t="s">
        <v>1029</v>
      </c>
      <c r="B35" s="27" t="s">
        <v>1028</v>
      </c>
      <c r="C35" s="27" t="s">
        <v>1030</v>
      </c>
      <c r="D35" s="31">
        <v>801059</v>
      </c>
      <c r="E35" s="29">
        <v>3140.9523389999999</v>
      </c>
      <c r="F35" s="30">
        <v>1.35714559513447</v>
      </c>
    </row>
    <row r="36" spans="1:6" x14ac:dyDescent="0.2">
      <c r="A36" s="27" t="s">
        <v>900</v>
      </c>
      <c r="B36" s="27" t="s">
        <v>899</v>
      </c>
      <c r="C36" s="27" t="s">
        <v>901</v>
      </c>
      <c r="D36" s="31">
        <v>1232307</v>
      </c>
      <c r="E36" s="29">
        <v>3096.1713380000001</v>
      </c>
      <c r="F36" s="30">
        <v>1.3377965787555099</v>
      </c>
    </row>
    <row r="37" spans="1:6" x14ac:dyDescent="0.2">
      <c r="A37" s="27" t="s">
        <v>894</v>
      </c>
      <c r="B37" s="27" t="s">
        <v>893</v>
      </c>
      <c r="C37" s="27" t="s">
        <v>895</v>
      </c>
      <c r="D37" s="31">
        <v>373797</v>
      </c>
      <c r="E37" s="29">
        <v>3015.0466019999999</v>
      </c>
      <c r="F37" s="30">
        <v>1.3027441277037</v>
      </c>
    </row>
    <row r="38" spans="1:6" x14ac:dyDescent="0.2">
      <c r="A38" s="27" t="s">
        <v>1296</v>
      </c>
      <c r="B38" s="27" t="s">
        <v>1295</v>
      </c>
      <c r="C38" s="27" t="s">
        <v>915</v>
      </c>
      <c r="D38" s="31">
        <v>311893</v>
      </c>
      <c r="E38" s="29">
        <v>2781.4617739999999</v>
      </c>
      <c r="F38" s="30">
        <v>1.20181657892359</v>
      </c>
    </row>
    <row r="39" spans="1:6" x14ac:dyDescent="0.2">
      <c r="A39" s="27" t="s">
        <v>1017</v>
      </c>
      <c r="B39" s="27" t="s">
        <v>1016</v>
      </c>
      <c r="C39" s="27" t="s">
        <v>898</v>
      </c>
      <c r="D39" s="31">
        <v>3415915</v>
      </c>
      <c r="E39" s="29">
        <v>2669.5375730000001</v>
      </c>
      <c r="F39" s="30">
        <v>1.1534562665145001</v>
      </c>
    </row>
    <row r="40" spans="1:6" x14ac:dyDescent="0.2">
      <c r="A40" s="27" t="s">
        <v>933</v>
      </c>
      <c r="B40" s="27" t="s">
        <v>932</v>
      </c>
      <c r="C40" s="27" t="s">
        <v>907</v>
      </c>
      <c r="D40" s="31">
        <v>247050</v>
      </c>
      <c r="E40" s="29">
        <v>2566.7259749999998</v>
      </c>
      <c r="F40" s="30">
        <v>1.1090333360478599</v>
      </c>
    </row>
    <row r="41" spans="1:6" x14ac:dyDescent="0.2">
      <c r="A41" s="27" t="s">
        <v>911</v>
      </c>
      <c r="B41" s="27" t="s">
        <v>910</v>
      </c>
      <c r="C41" s="27" t="s">
        <v>912</v>
      </c>
      <c r="D41" s="31">
        <v>1225067</v>
      </c>
      <c r="E41" s="29">
        <v>2564.6777649999999</v>
      </c>
      <c r="F41" s="30">
        <v>1.1081483435744299</v>
      </c>
    </row>
    <row r="42" spans="1:6" x14ac:dyDescent="0.2">
      <c r="A42" s="27" t="s">
        <v>979</v>
      </c>
      <c r="B42" s="27" t="s">
        <v>978</v>
      </c>
      <c r="C42" s="27" t="s">
        <v>876</v>
      </c>
      <c r="D42" s="31">
        <v>283932</v>
      </c>
      <c r="E42" s="29">
        <v>2489.6577419999999</v>
      </c>
      <c r="F42" s="30">
        <v>1.0757336225685801</v>
      </c>
    </row>
    <row r="43" spans="1:6" x14ac:dyDescent="0.2">
      <c r="A43" s="27" t="s">
        <v>1078</v>
      </c>
      <c r="B43" s="27" t="s">
        <v>1077</v>
      </c>
      <c r="C43" s="27" t="s">
        <v>876</v>
      </c>
      <c r="D43" s="31">
        <v>415509</v>
      </c>
      <c r="E43" s="29">
        <v>2032.462274</v>
      </c>
      <c r="F43" s="30">
        <v>0.87818818139541799</v>
      </c>
    </row>
    <row r="44" spans="1:6" x14ac:dyDescent="0.2">
      <c r="A44" s="27" t="s">
        <v>922</v>
      </c>
      <c r="B44" s="27" t="s">
        <v>921</v>
      </c>
      <c r="C44" s="27" t="s">
        <v>918</v>
      </c>
      <c r="D44" s="31">
        <v>1892345</v>
      </c>
      <c r="E44" s="29">
        <v>1792.0507150000001</v>
      </c>
      <c r="F44" s="30">
        <v>0.77431093236331805</v>
      </c>
    </row>
    <row r="45" spans="1:6" x14ac:dyDescent="0.2">
      <c r="A45" s="27" t="s">
        <v>1199</v>
      </c>
      <c r="B45" s="27" t="s">
        <v>1198</v>
      </c>
      <c r="C45" s="27" t="s">
        <v>989</v>
      </c>
      <c r="D45" s="31">
        <v>5150797</v>
      </c>
      <c r="E45" s="29">
        <v>1717.7908</v>
      </c>
      <c r="F45" s="30">
        <v>0.74222463952596895</v>
      </c>
    </row>
    <row r="46" spans="1:6" x14ac:dyDescent="0.2">
      <c r="A46" s="27" t="s">
        <v>935</v>
      </c>
      <c r="B46" s="27" t="s">
        <v>934</v>
      </c>
      <c r="C46" s="27" t="s">
        <v>907</v>
      </c>
      <c r="D46" s="31">
        <v>312320</v>
      </c>
      <c r="E46" s="29">
        <v>1692.61824</v>
      </c>
      <c r="F46" s="30">
        <v>0.73134805649155898</v>
      </c>
    </row>
    <row r="47" spans="1:6" x14ac:dyDescent="0.2">
      <c r="A47" s="27" t="s">
        <v>1256</v>
      </c>
      <c r="B47" s="27" t="s">
        <v>1255</v>
      </c>
      <c r="C47" s="27" t="s">
        <v>925</v>
      </c>
      <c r="D47" s="31">
        <v>90000</v>
      </c>
      <c r="E47" s="29">
        <v>1413.0450000000001</v>
      </c>
      <c r="F47" s="30">
        <v>0.61054979206954196</v>
      </c>
    </row>
    <row r="48" spans="1:6" x14ac:dyDescent="0.2">
      <c r="A48" s="27" t="s">
        <v>1045</v>
      </c>
      <c r="B48" s="27" t="s">
        <v>1044</v>
      </c>
      <c r="C48" s="27" t="s">
        <v>1046</v>
      </c>
      <c r="D48" s="31">
        <v>397199</v>
      </c>
      <c r="E48" s="29">
        <v>1397.544682</v>
      </c>
      <c r="F48" s="30">
        <v>0.60385240031491905</v>
      </c>
    </row>
    <row r="49" spans="1:9" x14ac:dyDescent="0.2">
      <c r="A49" s="27" t="s">
        <v>943</v>
      </c>
      <c r="B49" s="27" t="s">
        <v>942</v>
      </c>
      <c r="C49" s="27" t="s">
        <v>944</v>
      </c>
      <c r="D49" s="31">
        <v>805716</v>
      </c>
      <c r="E49" s="29">
        <v>1310.4970740000001</v>
      </c>
      <c r="F49" s="30">
        <v>0.56624078924481802</v>
      </c>
    </row>
    <row r="50" spans="1:9" x14ac:dyDescent="0.2">
      <c r="A50" s="27" t="s">
        <v>1066</v>
      </c>
      <c r="B50" s="27" t="s">
        <v>1065</v>
      </c>
      <c r="C50" s="27" t="s">
        <v>892</v>
      </c>
      <c r="D50" s="31">
        <v>3050843</v>
      </c>
      <c r="E50" s="29">
        <v>1195.930456</v>
      </c>
      <c r="F50" s="30">
        <v>0.516738738851511</v>
      </c>
    </row>
    <row r="51" spans="1:9" x14ac:dyDescent="0.2">
      <c r="A51" s="27" t="s">
        <v>1032</v>
      </c>
      <c r="B51" s="27" t="s">
        <v>1031</v>
      </c>
      <c r="C51" s="27" t="s">
        <v>925</v>
      </c>
      <c r="D51" s="31">
        <v>360275</v>
      </c>
      <c r="E51" s="29">
        <v>1112.5291999999999</v>
      </c>
      <c r="F51" s="30">
        <v>0.48070264693006498</v>
      </c>
    </row>
    <row r="52" spans="1:9" x14ac:dyDescent="0.2">
      <c r="A52" s="27" t="s">
        <v>995</v>
      </c>
      <c r="B52" s="27" t="s">
        <v>994</v>
      </c>
      <c r="C52" s="27" t="s">
        <v>996</v>
      </c>
      <c r="D52" s="31">
        <v>656332</v>
      </c>
      <c r="E52" s="29">
        <v>786.28573600000004</v>
      </c>
      <c r="F52" s="30">
        <v>0.33973906890583599</v>
      </c>
    </row>
    <row r="53" spans="1:9" x14ac:dyDescent="0.2">
      <c r="A53" s="27" t="s">
        <v>1039</v>
      </c>
      <c r="B53" s="27" t="s">
        <v>1038</v>
      </c>
      <c r="C53" s="27" t="s">
        <v>967</v>
      </c>
      <c r="D53" s="31">
        <v>1113029</v>
      </c>
      <c r="E53" s="29">
        <v>782.45938699999999</v>
      </c>
      <c r="F53" s="30">
        <v>0.33808577648674398</v>
      </c>
    </row>
    <row r="54" spans="1:9" x14ac:dyDescent="0.2">
      <c r="A54" s="27" t="s">
        <v>1070</v>
      </c>
      <c r="B54" s="27" t="s">
        <v>1069</v>
      </c>
      <c r="C54" s="27" t="s">
        <v>889</v>
      </c>
      <c r="D54" s="31">
        <v>42129</v>
      </c>
      <c r="E54" s="29">
        <v>764.59922099999994</v>
      </c>
      <c r="F54" s="30">
        <v>0.33036873942307798</v>
      </c>
    </row>
    <row r="55" spans="1:9" x14ac:dyDescent="0.2">
      <c r="A55" s="27" t="s">
        <v>1279</v>
      </c>
      <c r="B55" s="27" t="s">
        <v>1278</v>
      </c>
      <c r="C55" s="27" t="s">
        <v>1149</v>
      </c>
      <c r="D55" s="31">
        <v>105014</v>
      </c>
      <c r="E55" s="29">
        <v>716.77305699999999</v>
      </c>
      <c r="F55" s="30">
        <v>0.30970396619527302</v>
      </c>
    </row>
    <row r="56" spans="1:9" x14ac:dyDescent="0.2">
      <c r="A56" s="27" t="s">
        <v>946</v>
      </c>
      <c r="B56" s="27" t="s">
        <v>945</v>
      </c>
      <c r="C56" s="27" t="s">
        <v>947</v>
      </c>
      <c r="D56" s="31">
        <v>1656994</v>
      </c>
      <c r="E56" s="29">
        <v>658.65511500000002</v>
      </c>
      <c r="F56" s="30">
        <v>0.284592311999116</v>
      </c>
    </row>
    <row r="57" spans="1:9" x14ac:dyDescent="0.2">
      <c r="A57" s="27" t="s">
        <v>1334</v>
      </c>
      <c r="B57" s="27" t="s">
        <v>1333</v>
      </c>
      <c r="C57" s="27" t="s">
        <v>925</v>
      </c>
      <c r="D57" s="31">
        <v>724550</v>
      </c>
      <c r="E57" s="29">
        <v>606.44835</v>
      </c>
      <c r="F57" s="30">
        <v>0.262034764634825</v>
      </c>
    </row>
    <row r="58" spans="1:9" x14ac:dyDescent="0.2">
      <c r="A58" s="27" t="s">
        <v>949</v>
      </c>
      <c r="B58" s="27" t="s">
        <v>948</v>
      </c>
      <c r="C58" s="27" t="s">
        <v>944</v>
      </c>
      <c r="D58" s="31">
        <v>94174</v>
      </c>
      <c r="E58" s="29">
        <v>95.398262000000003</v>
      </c>
      <c r="F58" s="30">
        <v>4.1219769383066797E-2</v>
      </c>
    </row>
    <row r="59" spans="1:9" ht="10.5" x14ac:dyDescent="0.25">
      <c r="A59" s="26" t="s">
        <v>164</v>
      </c>
      <c r="B59" s="26"/>
      <c r="C59" s="26"/>
      <c r="D59" s="32"/>
      <c r="E59" s="33">
        <f>SUM(E7:E58)</f>
        <v>228218.33609100003</v>
      </c>
      <c r="F59" s="34">
        <f>SUM(F7:F58)</f>
        <v>98.608789986742792</v>
      </c>
      <c r="G59" s="18"/>
      <c r="H59" s="18"/>
      <c r="I59" s="18"/>
    </row>
    <row r="60" spans="1:9" x14ac:dyDescent="0.2">
      <c r="A60" s="27"/>
      <c r="B60" s="27"/>
      <c r="C60" s="27"/>
      <c r="D60" s="28"/>
      <c r="E60" s="29"/>
      <c r="F60" s="30"/>
    </row>
    <row r="61" spans="1:9" ht="10.5" x14ac:dyDescent="0.25">
      <c r="A61" s="26" t="s">
        <v>176</v>
      </c>
      <c r="B61" s="26"/>
      <c r="C61" s="26"/>
      <c r="D61" s="32"/>
      <c r="E61" s="33">
        <f>E59</f>
        <v>228218.33609100003</v>
      </c>
      <c r="F61" s="34">
        <f>F59</f>
        <v>98.608789986742792</v>
      </c>
      <c r="G61" s="18"/>
      <c r="H61" s="18"/>
      <c r="I61" s="18"/>
    </row>
    <row r="62" spans="1:9" ht="10.5" x14ac:dyDescent="0.25">
      <c r="A62" s="26"/>
      <c r="B62" s="26"/>
      <c r="C62" s="26"/>
      <c r="D62" s="32"/>
      <c r="E62" s="33"/>
      <c r="F62" s="34"/>
      <c r="G62" s="18"/>
      <c r="H62" s="18"/>
      <c r="I62" s="18"/>
    </row>
    <row r="63" spans="1:9" ht="10.5" x14ac:dyDescent="0.25">
      <c r="A63" s="26" t="s">
        <v>178</v>
      </c>
      <c r="B63" s="26"/>
      <c r="C63" s="26"/>
      <c r="D63" s="32"/>
      <c r="E63" s="33">
        <f>E65-(E59)</f>
        <v>3219.7903900999518</v>
      </c>
      <c r="F63" s="34">
        <f>F65-(F59)</f>
        <v>1.3912100132572078</v>
      </c>
      <c r="G63" s="18"/>
      <c r="H63" s="18"/>
      <c r="I63" s="18"/>
    </row>
    <row r="64" spans="1:9" ht="10.5" x14ac:dyDescent="0.25">
      <c r="A64" s="26"/>
      <c r="B64" s="26"/>
      <c r="C64" s="26"/>
      <c r="D64" s="32"/>
      <c r="E64" s="33"/>
      <c r="F64" s="34"/>
      <c r="G64" s="18"/>
      <c r="H64" s="18"/>
      <c r="I64" s="18"/>
    </row>
    <row r="65" spans="1:9" ht="10.5" x14ac:dyDescent="0.25">
      <c r="A65" s="35" t="s">
        <v>177</v>
      </c>
      <c r="B65" s="35"/>
      <c r="C65" s="35"/>
      <c r="D65" s="36"/>
      <c r="E65" s="37">
        <v>231438.12648109999</v>
      </c>
      <c r="F65" s="38">
        <v>100</v>
      </c>
      <c r="G65" s="18"/>
      <c r="H65" s="18"/>
      <c r="I65" s="18"/>
    </row>
    <row r="68" spans="1:9" ht="10.5" x14ac:dyDescent="0.25">
      <c r="A68" s="18" t="s">
        <v>181</v>
      </c>
    </row>
    <row r="69" spans="1:9" ht="10.5" x14ac:dyDescent="0.25">
      <c r="A69" s="18" t="s">
        <v>182</v>
      </c>
    </row>
    <row r="70" spans="1:9" ht="10.5" x14ac:dyDescent="0.25">
      <c r="A70" s="18" t="s">
        <v>183</v>
      </c>
      <c r="B70" s="18"/>
      <c r="C70" s="39" t="s">
        <v>185</v>
      </c>
      <c r="D70" s="19" t="s">
        <v>184</v>
      </c>
    </row>
    <row r="71" spans="1:9" x14ac:dyDescent="0.2">
      <c r="A71" s="9" t="s">
        <v>421</v>
      </c>
      <c r="C71" s="40">
        <v>58.563099999999999</v>
      </c>
      <c r="D71" s="40">
        <v>84.107600000000005</v>
      </c>
    </row>
    <row r="72" spans="1:9" x14ac:dyDescent="0.2">
      <c r="A72" s="9" t="s">
        <v>458</v>
      </c>
      <c r="C72" s="40">
        <v>11.1762</v>
      </c>
      <c r="D72" s="40">
        <v>14.744300000000001</v>
      </c>
    </row>
    <row r="73" spans="1:9" x14ac:dyDescent="0.2">
      <c r="A73" s="9" t="s">
        <v>424</v>
      </c>
      <c r="C73" s="40">
        <v>61.878399999999999</v>
      </c>
      <c r="D73" s="40">
        <v>89.289299999999997</v>
      </c>
    </row>
    <row r="74" spans="1:9" x14ac:dyDescent="0.2">
      <c r="A74" s="9" t="s">
        <v>459</v>
      </c>
      <c r="C74" s="40">
        <v>12.028</v>
      </c>
      <c r="D74" s="40">
        <v>16.043700000000001</v>
      </c>
    </row>
    <row r="76" spans="1:9" ht="10.5" x14ac:dyDescent="0.25">
      <c r="A76" s="18" t="s">
        <v>197</v>
      </c>
    </row>
    <row r="77" spans="1:9" ht="10.5" x14ac:dyDescent="0.25">
      <c r="A77" s="73" t="s">
        <v>403</v>
      </c>
      <c r="B77" s="74"/>
      <c r="C77" s="45" t="s">
        <v>404</v>
      </c>
    </row>
    <row r="78" spans="1:9" x14ac:dyDescent="0.2">
      <c r="A78" s="69" t="s">
        <v>458</v>
      </c>
      <c r="B78" s="70"/>
      <c r="C78" s="46">
        <v>1</v>
      </c>
    </row>
    <row r="79" spans="1:9" x14ac:dyDescent="0.2">
      <c r="A79" s="69" t="s">
        <v>459</v>
      </c>
      <c r="B79" s="70"/>
      <c r="C79" s="46">
        <v>1</v>
      </c>
    </row>
    <row r="80" spans="1:9" x14ac:dyDescent="0.2">
      <c r="A80" s="9" t="s">
        <v>405</v>
      </c>
    </row>
    <row r="82" spans="1:4" ht="10.5" x14ac:dyDescent="0.25">
      <c r="A82" s="18" t="s">
        <v>1003</v>
      </c>
      <c r="D82" s="47">
        <v>6.2399999999999997E-2</v>
      </c>
    </row>
  </sheetData>
  <mergeCells count="4">
    <mergeCell ref="A1:F1"/>
    <mergeCell ref="A77:B77"/>
    <mergeCell ref="A78:B78"/>
    <mergeCell ref="A79:B79"/>
  </mergeCells>
  <conditionalFormatting sqref="F2:F3 F5:F65536">
    <cfRule type="cellIs" dxfId="1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I51"/>
  <sheetViews>
    <sheetView workbookViewId="0">
      <selection sqref="A1:F1"/>
    </sheetView>
  </sheetViews>
  <sheetFormatPr defaultColWidth="9.1796875" defaultRowHeight="10" x14ac:dyDescent="0.2"/>
  <cols>
    <col min="1" max="1" width="38.7265625" style="9" bestFit="1" customWidth="1"/>
    <col min="2" max="2" width="24.1796875" style="9" bestFit="1" customWidth="1"/>
    <col min="3" max="3" width="18.81640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56</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880</v>
      </c>
      <c r="B7" s="27" t="s">
        <v>879</v>
      </c>
      <c r="C7" s="27" t="s">
        <v>871</v>
      </c>
      <c r="D7" s="31">
        <v>11500000</v>
      </c>
      <c r="E7" s="29">
        <v>54435.25</v>
      </c>
      <c r="F7" s="30">
        <v>10.006252620978</v>
      </c>
    </row>
    <row r="8" spans="1:6" x14ac:dyDescent="0.2">
      <c r="A8" s="27" t="s">
        <v>920</v>
      </c>
      <c r="B8" s="27" t="s">
        <v>919</v>
      </c>
      <c r="C8" s="27" t="s">
        <v>871</v>
      </c>
      <c r="D8" s="31">
        <v>21000000</v>
      </c>
      <c r="E8" s="29">
        <v>51292.5</v>
      </c>
      <c r="F8" s="30">
        <v>9.4285543386227406</v>
      </c>
    </row>
    <row r="9" spans="1:6" x14ac:dyDescent="0.2">
      <c r="A9" s="27" t="s">
        <v>873</v>
      </c>
      <c r="B9" s="27" t="s">
        <v>872</v>
      </c>
      <c r="C9" s="27" t="s">
        <v>871</v>
      </c>
      <c r="D9" s="31">
        <v>8200000</v>
      </c>
      <c r="E9" s="29">
        <v>49331.199999999997</v>
      </c>
      <c r="F9" s="30">
        <v>9.0680294348972303</v>
      </c>
    </row>
    <row r="10" spans="1:6" x14ac:dyDescent="0.2">
      <c r="A10" s="27" t="s">
        <v>870</v>
      </c>
      <c r="B10" s="27" t="s">
        <v>869</v>
      </c>
      <c r="C10" s="27" t="s">
        <v>871</v>
      </c>
      <c r="D10" s="31">
        <v>2600000</v>
      </c>
      <c r="E10" s="29">
        <v>37462.1</v>
      </c>
      <c r="F10" s="30">
        <v>6.8862591117398999</v>
      </c>
    </row>
    <row r="11" spans="1:6" x14ac:dyDescent="0.2">
      <c r="A11" s="27" t="s">
        <v>882</v>
      </c>
      <c r="B11" s="27" t="s">
        <v>881</v>
      </c>
      <c r="C11" s="27" t="s">
        <v>883</v>
      </c>
      <c r="D11" s="31">
        <v>7200000</v>
      </c>
      <c r="E11" s="29">
        <v>33354</v>
      </c>
      <c r="F11" s="30">
        <v>6.1311108136749599</v>
      </c>
    </row>
    <row r="12" spans="1:6" x14ac:dyDescent="0.2">
      <c r="A12" s="27" t="s">
        <v>983</v>
      </c>
      <c r="B12" s="27" t="s">
        <v>982</v>
      </c>
      <c r="C12" s="27" t="s">
        <v>984</v>
      </c>
      <c r="D12" s="31">
        <v>2300000</v>
      </c>
      <c r="E12" s="29">
        <v>25815.200000000001</v>
      </c>
      <c r="F12" s="30">
        <v>4.7453334495767203</v>
      </c>
    </row>
    <row r="13" spans="1:6" x14ac:dyDescent="0.2">
      <c r="A13" s="27" t="s">
        <v>875</v>
      </c>
      <c r="B13" s="27" t="s">
        <v>874</v>
      </c>
      <c r="C13" s="27" t="s">
        <v>876</v>
      </c>
      <c r="D13" s="31">
        <v>2200000</v>
      </c>
      <c r="E13" s="29">
        <v>24200</v>
      </c>
      <c r="F13" s="30">
        <v>4.4484284251044599</v>
      </c>
    </row>
    <row r="14" spans="1:6" x14ac:dyDescent="0.2">
      <c r="A14" s="27" t="s">
        <v>1294</v>
      </c>
      <c r="B14" s="27" t="s">
        <v>1293</v>
      </c>
      <c r="C14" s="27" t="s">
        <v>886</v>
      </c>
      <c r="D14" s="31">
        <v>479620</v>
      </c>
      <c r="E14" s="29">
        <v>23031.3524</v>
      </c>
      <c r="F14" s="30">
        <v>4.2336083754032101</v>
      </c>
    </row>
    <row r="15" spans="1:6" x14ac:dyDescent="0.2">
      <c r="A15" s="27" t="s">
        <v>922</v>
      </c>
      <c r="B15" s="27" t="s">
        <v>921</v>
      </c>
      <c r="C15" s="27" t="s">
        <v>918</v>
      </c>
      <c r="D15" s="31">
        <v>24000000</v>
      </c>
      <c r="E15" s="29">
        <v>22728</v>
      </c>
      <c r="F15" s="30">
        <v>4.1778463324699997</v>
      </c>
    </row>
    <row r="16" spans="1:6" x14ac:dyDescent="0.2">
      <c r="A16" s="27" t="s">
        <v>1041</v>
      </c>
      <c r="B16" s="27" t="s">
        <v>1040</v>
      </c>
      <c r="C16" s="27" t="s">
        <v>886</v>
      </c>
      <c r="D16" s="31">
        <v>1250000</v>
      </c>
      <c r="E16" s="29">
        <v>21313.125</v>
      </c>
      <c r="F16" s="30">
        <v>3.9177649205704301</v>
      </c>
    </row>
    <row r="17" spans="1:9" x14ac:dyDescent="0.2">
      <c r="A17" s="27" t="s">
        <v>993</v>
      </c>
      <c r="B17" s="27" t="s">
        <v>992</v>
      </c>
      <c r="C17" s="27" t="s">
        <v>912</v>
      </c>
      <c r="D17" s="31">
        <v>24000000</v>
      </c>
      <c r="E17" s="29">
        <v>20304</v>
      </c>
      <c r="F17" s="30">
        <v>3.7322682125339202</v>
      </c>
    </row>
    <row r="18" spans="1:9" x14ac:dyDescent="0.2">
      <c r="A18" s="27" t="s">
        <v>1298</v>
      </c>
      <c r="B18" s="27" t="s">
        <v>1297</v>
      </c>
      <c r="C18" s="27" t="s">
        <v>1037</v>
      </c>
      <c r="D18" s="31">
        <v>1316816</v>
      </c>
      <c r="E18" s="29">
        <v>19938.569459999999</v>
      </c>
      <c r="F18" s="30">
        <v>3.6650950058588299</v>
      </c>
    </row>
    <row r="19" spans="1:9" x14ac:dyDescent="0.2">
      <c r="A19" s="27" t="s">
        <v>1296</v>
      </c>
      <c r="B19" s="27" t="s">
        <v>1295</v>
      </c>
      <c r="C19" s="27" t="s">
        <v>915</v>
      </c>
      <c r="D19" s="31">
        <v>1986467</v>
      </c>
      <c r="E19" s="29">
        <v>17715.312709999998</v>
      </c>
      <c r="F19" s="30">
        <v>3.25641738094125</v>
      </c>
    </row>
    <row r="20" spans="1:9" x14ac:dyDescent="0.2">
      <c r="A20" s="27" t="s">
        <v>929</v>
      </c>
      <c r="B20" s="27" t="s">
        <v>928</v>
      </c>
      <c r="C20" s="27" t="s">
        <v>912</v>
      </c>
      <c r="D20" s="31">
        <v>4700000</v>
      </c>
      <c r="E20" s="29">
        <v>17531</v>
      </c>
      <c r="F20" s="30">
        <v>3.2225371372109999</v>
      </c>
    </row>
    <row r="21" spans="1:9" x14ac:dyDescent="0.2">
      <c r="A21" s="27" t="s">
        <v>1000</v>
      </c>
      <c r="B21" s="27" t="s">
        <v>999</v>
      </c>
      <c r="C21" s="27" t="s">
        <v>901</v>
      </c>
      <c r="D21" s="31">
        <v>15500000</v>
      </c>
      <c r="E21" s="29">
        <v>15910.75</v>
      </c>
      <c r="F21" s="30">
        <v>2.9247038249888702</v>
      </c>
    </row>
    <row r="22" spans="1:9" x14ac:dyDescent="0.2">
      <c r="A22" s="27" t="s">
        <v>1002</v>
      </c>
      <c r="B22" s="27" t="s">
        <v>1001</v>
      </c>
      <c r="C22" s="27" t="s">
        <v>871</v>
      </c>
      <c r="D22" s="31">
        <v>20000000</v>
      </c>
      <c r="E22" s="29">
        <v>12560</v>
      </c>
      <c r="F22" s="30">
        <v>2.3087711165004898</v>
      </c>
    </row>
    <row r="23" spans="1:9" x14ac:dyDescent="0.2">
      <c r="A23" s="27" t="s">
        <v>1247</v>
      </c>
      <c r="B23" s="27" t="s">
        <v>1246</v>
      </c>
      <c r="C23" s="27" t="s">
        <v>1183</v>
      </c>
      <c r="D23" s="31">
        <v>425000</v>
      </c>
      <c r="E23" s="29">
        <v>9978.5750000000007</v>
      </c>
      <c r="F23" s="30">
        <v>1.83425523438168</v>
      </c>
    </row>
    <row r="24" spans="1:9" x14ac:dyDescent="0.2">
      <c r="A24" s="27" t="s">
        <v>885</v>
      </c>
      <c r="B24" s="27" t="s">
        <v>884</v>
      </c>
      <c r="C24" s="27" t="s">
        <v>886</v>
      </c>
      <c r="D24" s="31">
        <v>1000000</v>
      </c>
      <c r="E24" s="29">
        <v>8757.5</v>
      </c>
      <c r="F24" s="30">
        <v>1.60979801375423</v>
      </c>
    </row>
    <row r="25" spans="1:9" x14ac:dyDescent="0.2">
      <c r="A25" s="27" t="s">
        <v>1310</v>
      </c>
      <c r="B25" s="27" t="s">
        <v>1309</v>
      </c>
      <c r="C25" s="27" t="s">
        <v>907</v>
      </c>
      <c r="D25" s="31">
        <v>1500000</v>
      </c>
      <c r="E25" s="29">
        <v>8226</v>
      </c>
      <c r="F25" s="30">
        <v>1.5120980258226999</v>
      </c>
    </row>
    <row r="26" spans="1:9" x14ac:dyDescent="0.2">
      <c r="A26" s="27" t="s">
        <v>1336</v>
      </c>
      <c r="B26" s="27" t="s">
        <v>1335</v>
      </c>
      <c r="C26" s="27" t="s">
        <v>886</v>
      </c>
      <c r="D26" s="31">
        <v>3000000</v>
      </c>
      <c r="E26" s="29">
        <v>7831.5</v>
      </c>
      <c r="F26" s="30">
        <v>1.4395812897192399</v>
      </c>
    </row>
    <row r="27" spans="1:9" x14ac:dyDescent="0.2">
      <c r="A27" s="27" t="s">
        <v>891</v>
      </c>
      <c r="B27" s="27" t="s">
        <v>890</v>
      </c>
      <c r="C27" s="27" t="s">
        <v>892</v>
      </c>
      <c r="D27" s="31">
        <v>3400000</v>
      </c>
      <c r="E27" s="29">
        <v>7695.9</v>
      </c>
      <c r="F27" s="30">
        <v>1.41465538499014</v>
      </c>
    </row>
    <row r="28" spans="1:9" x14ac:dyDescent="0.2">
      <c r="A28" s="27" t="s">
        <v>931</v>
      </c>
      <c r="B28" s="27" t="s">
        <v>930</v>
      </c>
      <c r="C28" s="27" t="s">
        <v>898</v>
      </c>
      <c r="D28" s="31">
        <v>200000</v>
      </c>
      <c r="E28" s="29">
        <v>6347.1</v>
      </c>
      <c r="F28" s="30">
        <v>1.16671983706531</v>
      </c>
    </row>
    <row r="29" spans="1:9" x14ac:dyDescent="0.2">
      <c r="A29" s="27" t="s">
        <v>960</v>
      </c>
      <c r="B29" s="27" t="s">
        <v>959</v>
      </c>
      <c r="C29" s="27" t="s">
        <v>915</v>
      </c>
      <c r="D29" s="31">
        <v>125000</v>
      </c>
      <c r="E29" s="29">
        <v>6036.1875</v>
      </c>
      <c r="F29" s="30">
        <v>1.1095681014157099</v>
      </c>
    </row>
    <row r="30" spans="1:9" x14ac:dyDescent="0.2">
      <c r="A30" s="27" t="s">
        <v>914</v>
      </c>
      <c r="B30" s="27" t="s">
        <v>913</v>
      </c>
      <c r="C30" s="27" t="s">
        <v>915</v>
      </c>
      <c r="D30" s="31">
        <v>620727</v>
      </c>
      <c r="E30" s="29">
        <v>2793.8922269999998</v>
      </c>
      <c r="F30" s="30">
        <v>0.51357147104401601</v>
      </c>
    </row>
    <row r="31" spans="1:9" x14ac:dyDescent="0.2">
      <c r="A31" s="27" t="s">
        <v>1249</v>
      </c>
      <c r="B31" s="27" t="s">
        <v>1248</v>
      </c>
      <c r="C31" s="27" t="s">
        <v>889</v>
      </c>
      <c r="D31" s="31">
        <v>1500000</v>
      </c>
      <c r="E31" s="29">
        <v>2766.75</v>
      </c>
      <c r="F31" s="30">
        <v>0.50858220434536205</v>
      </c>
    </row>
    <row r="32" spans="1:9" ht="10.5" x14ac:dyDescent="0.25">
      <c r="A32" s="26" t="s">
        <v>164</v>
      </c>
      <c r="B32" s="26"/>
      <c r="C32" s="26"/>
      <c r="D32" s="32"/>
      <c r="E32" s="33">
        <f>SUM(E7:E31)</f>
        <v>507355.76429699996</v>
      </c>
      <c r="F32" s="34">
        <f>SUM(F7:F31)</f>
        <v>93.261810063610397</v>
      </c>
      <c r="G32" s="18"/>
      <c r="H32" s="18"/>
      <c r="I32" s="18"/>
    </row>
    <row r="33" spans="1:9" x14ac:dyDescent="0.2">
      <c r="A33" s="27"/>
      <c r="B33" s="27"/>
      <c r="C33" s="27"/>
      <c r="D33" s="28"/>
      <c r="E33" s="29"/>
      <c r="F33" s="30"/>
    </row>
    <row r="34" spans="1:9" ht="10.5" x14ac:dyDescent="0.25">
      <c r="A34" s="26" t="s">
        <v>176</v>
      </c>
      <c r="B34" s="26"/>
      <c r="C34" s="26"/>
      <c r="D34" s="32"/>
      <c r="E34" s="33">
        <f>E32</f>
        <v>507355.76429699996</v>
      </c>
      <c r="F34" s="34">
        <f>F32</f>
        <v>93.261810063610397</v>
      </c>
      <c r="G34" s="18"/>
      <c r="H34" s="18"/>
      <c r="I34" s="18"/>
    </row>
    <row r="35" spans="1:9" ht="10.5" x14ac:dyDescent="0.25">
      <c r="A35" s="26"/>
      <c r="B35" s="26"/>
      <c r="C35" s="26"/>
      <c r="D35" s="32"/>
      <c r="E35" s="33"/>
      <c r="F35" s="34"/>
      <c r="G35" s="18"/>
      <c r="H35" s="18"/>
      <c r="I35" s="18"/>
    </row>
    <row r="36" spans="1:9" ht="10.5" x14ac:dyDescent="0.25">
      <c r="A36" s="26" t="s">
        <v>178</v>
      </c>
      <c r="B36" s="26"/>
      <c r="C36" s="26"/>
      <c r="D36" s="32"/>
      <c r="E36" s="33">
        <f>E38-(E32)</f>
        <v>36656.58540000004</v>
      </c>
      <c r="F36" s="34">
        <f>F38-(F32)</f>
        <v>6.7381899363896025</v>
      </c>
      <c r="G36" s="18"/>
      <c r="H36" s="18"/>
      <c r="I36" s="18"/>
    </row>
    <row r="37" spans="1:9" ht="10.5" x14ac:dyDescent="0.25">
      <c r="A37" s="26"/>
      <c r="B37" s="26"/>
      <c r="C37" s="26"/>
      <c r="D37" s="32"/>
      <c r="E37" s="33"/>
      <c r="F37" s="34"/>
      <c r="G37" s="18"/>
      <c r="H37" s="18"/>
      <c r="I37" s="18"/>
    </row>
    <row r="38" spans="1:9" ht="10.5" x14ac:dyDescent="0.25">
      <c r="A38" s="35" t="s">
        <v>177</v>
      </c>
      <c r="B38" s="35"/>
      <c r="C38" s="35"/>
      <c r="D38" s="36"/>
      <c r="E38" s="37">
        <v>544012.349697</v>
      </c>
      <c r="F38" s="38">
        <v>100</v>
      </c>
      <c r="G38" s="18"/>
      <c r="H38" s="18"/>
      <c r="I38" s="18"/>
    </row>
    <row r="41" spans="1:9" ht="10.5" x14ac:dyDescent="0.25">
      <c r="A41" s="18" t="s">
        <v>181</v>
      </c>
    </row>
    <row r="42" spans="1:9" ht="10.5" x14ac:dyDescent="0.25">
      <c r="A42" s="18" t="s">
        <v>182</v>
      </c>
    </row>
    <row r="43" spans="1:9" ht="10.5" x14ac:dyDescent="0.25">
      <c r="A43" s="18" t="s">
        <v>183</v>
      </c>
      <c r="B43" s="18"/>
      <c r="C43" s="39" t="s">
        <v>185</v>
      </c>
      <c r="D43" s="19" t="s">
        <v>184</v>
      </c>
    </row>
    <row r="44" spans="1:9" x14ac:dyDescent="0.2">
      <c r="A44" s="9" t="s">
        <v>421</v>
      </c>
      <c r="C44" s="40">
        <v>382.48950000000002</v>
      </c>
      <c r="D44" s="40">
        <v>498.0915</v>
      </c>
    </row>
    <row r="45" spans="1:9" x14ac:dyDescent="0.2">
      <c r="A45" s="9" t="s">
        <v>458</v>
      </c>
      <c r="C45" s="40">
        <v>28.172699999999999</v>
      </c>
      <c r="D45" s="40">
        <v>36.6875</v>
      </c>
    </row>
    <row r="46" spans="1:9" x14ac:dyDescent="0.2">
      <c r="A46" s="9" t="s">
        <v>424</v>
      </c>
      <c r="C46" s="40">
        <v>406.72039999999998</v>
      </c>
      <c r="D46" s="40">
        <v>531.55359999999996</v>
      </c>
    </row>
    <row r="47" spans="1:9" x14ac:dyDescent="0.2">
      <c r="A47" s="9" t="s">
        <v>459</v>
      </c>
      <c r="C47" s="40">
        <v>30.7956</v>
      </c>
      <c r="D47" s="40">
        <v>40.247199999999999</v>
      </c>
    </row>
    <row r="49" spans="1:4" ht="10.5" x14ac:dyDescent="0.25">
      <c r="A49" s="18" t="s">
        <v>197</v>
      </c>
      <c r="D49" s="41" t="s">
        <v>198</v>
      </c>
    </row>
    <row r="51" spans="1:4" ht="10.5" x14ac:dyDescent="0.25">
      <c r="A51" s="18" t="s">
        <v>1003</v>
      </c>
      <c r="D51" s="47">
        <v>0.1409</v>
      </c>
    </row>
  </sheetData>
  <mergeCells count="1">
    <mergeCell ref="A1:F1"/>
  </mergeCells>
  <conditionalFormatting sqref="F2:F3 F5:F65536">
    <cfRule type="cellIs" dxfId="1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I56"/>
  <sheetViews>
    <sheetView workbookViewId="0">
      <selection sqref="A1:F1"/>
    </sheetView>
  </sheetViews>
  <sheetFormatPr defaultColWidth="9.1796875" defaultRowHeight="10" x14ac:dyDescent="0.2"/>
  <cols>
    <col min="1" max="1" width="38.7265625" style="9" bestFit="1" customWidth="1"/>
    <col min="2" max="2" width="24.7265625" style="9" bestFit="1" customWidth="1"/>
    <col min="3" max="3" width="18.81640625" style="9" bestFit="1" customWidth="1"/>
    <col min="4" max="4" width="15.26953125" style="10" bestFit="1" customWidth="1"/>
    <col min="5" max="5" width="23" style="13" bestFit="1" customWidth="1"/>
    <col min="6" max="6" width="13.54296875" style="14" bestFit="1" customWidth="1"/>
    <col min="7" max="16384" width="9.1796875" style="9"/>
  </cols>
  <sheetData>
    <row r="1" spans="1:6" s="1" customFormat="1" ht="14" x14ac:dyDescent="0.25">
      <c r="A1" s="71" t="s">
        <v>57</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880</v>
      </c>
      <c r="B7" s="27" t="s">
        <v>879</v>
      </c>
      <c r="C7" s="27" t="s">
        <v>871</v>
      </c>
      <c r="D7" s="31">
        <v>1900000</v>
      </c>
      <c r="E7" s="29">
        <v>8993.65</v>
      </c>
      <c r="F7" s="30">
        <v>9.8751404476424494</v>
      </c>
    </row>
    <row r="8" spans="1:6" x14ac:dyDescent="0.2">
      <c r="A8" s="27" t="s">
        <v>920</v>
      </c>
      <c r="B8" s="27" t="s">
        <v>919</v>
      </c>
      <c r="C8" s="27" t="s">
        <v>871</v>
      </c>
      <c r="D8" s="31">
        <v>3500000</v>
      </c>
      <c r="E8" s="29">
        <v>8548.75</v>
      </c>
      <c r="F8" s="30">
        <v>9.3866346702154697</v>
      </c>
    </row>
    <row r="9" spans="1:6" x14ac:dyDescent="0.2">
      <c r="A9" s="27" t="s">
        <v>873</v>
      </c>
      <c r="B9" s="27" t="s">
        <v>872</v>
      </c>
      <c r="C9" s="27" t="s">
        <v>871</v>
      </c>
      <c r="D9" s="31">
        <v>1275000</v>
      </c>
      <c r="E9" s="29">
        <v>7670.4</v>
      </c>
      <c r="F9" s="30">
        <v>8.4221953589028509</v>
      </c>
    </row>
    <row r="10" spans="1:6" x14ac:dyDescent="0.2">
      <c r="A10" s="27" t="s">
        <v>882</v>
      </c>
      <c r="B10" s="27" t="s">
        <v>881</v>
      </c>
      <c r="C10" s="27" t="s">
        <v>883</v>
      </c>
      <c r="D10" s="31">
        <v>1175000</v>
      </c>
      <c r="E10" s="29">
        <v>5443.1875</v>
      </c>
      <c r="F10" s="30">
        <v>5.9766881127630898</v>
      </c>
    </row>
    <row r="11" spans="1:6" x14ac:dyDescent="0.2">
      <c r="A11" s="27" t="s">
        <v>922</v>
      </c>
      <c r="B11" s="27" t="s">
        <v>921</v>
      </c>
      <c r="C11" s="27" t="s">
        <v>918</v>
      </c>
      <c r="D11" s="31">
        <v>5000000</v>
      </c>
      <c r="E11" s="29">
        <v>4735</v>
      </c>
      <c r="F11" s="30">
        <v>5.1990893596689904</v>
      </c>
    </row>
    <row r="12" spans="1:6" x14ac:dyDescent="0.2">
      <c r="A12" s="27" t="s">
        <v>993</v>
      </c>
      <c r="B12" s="27" t="s">
        <v>992</v>
      </c>
      <c r="C12" s="27" t="s">
        <v>912</v>
      </c>
      <c r="D12" s="31">
        <v>5000000</v>
      </c>
      <c r="E12" s="29">
        <v>4230</v>
      </c>
      <c r="F12" s="30">
        <v>4.6445930288067201</v>
      </c>
    </row>
    <row r="13" spans="1:6" x14ac:dyDescent="0.2">
      <c r="A13" s="27" t="s">
        <v>929</v>
      </c>
      <c r="B13" s="27" t="s">
        <v>928</v>
      </c>
      <c r="C13" s="27" t="s">
        <v>912</v>
      </c>
      <c r="D13" s="31">
        <v>1000000</v>
      </c>
      <c r="E13" s="29">
        <v>3730</v>
      </c>
      <c r="F13" s="30">
        <v>4.0955867606262597</v>
      </c>
    </row>
    <row r="14" spans="1:6" x14ac:dyDescent="0.2">
      <c r="A14" s="27" t="s">
        <v>1294</v>
      </c>
      <c r="B14" s="27" t="s">
        <v>1293</v>
      </c>
      <c r="C14" s="27" t="s">
        <v>886</v>
      </c>
      <c r="D14" s="31">
        <v>75000</v>
      </c>
      <c r="E14" s="29">
        <v>3601.5</v>
      </c>
      <c r="F14" s="30">
        <v>3.9544921497038801</v>
      </c>
    </row>
    <row r="15" spans="1:6" x14ac:dyDescent="0.2">
      <c r="A15" s="27" t="s">
        <v>1041</v>
      </c>
      <c r="B15" s="27" t="s">
        <v>1040</v>
      </c>
      <c r="C15" s="27" t="s">
        <v>886</v>
      </c>
      <c r="D15" s="31">
        <v>200000</v>
      </c>
      <c r="E15" s="29">
        <v>3410.1</v>
      </c>
      <c r="F15" s="30">
        <v>3.7443325502443998</v>
      </c>
    </row>
    <row r="16" spans="1:6" x14ac:dyDescent="0.2">
      <c r="A16" s="27" t="s">
        <v>1298</v>
      </c>
      <c r="B16" s="27" t="s">
        <v>1297</v>
      </c>
      <c r="C16" s="27" t="s">
        <v>1037</v>
      </c>
      <c r="D16" s="31">
        <v>225000</v>
      </c>
      <c r="E16" s="29">
        <v>3406.8375000000001</v>
      </c>
      <c r="F16" s="30">
        <v>3.7407502843445202</v>
      </c>
    </row>
    <row r="17" spans="1:6" x14ac:dyDescent="0.2">
      <c r="A17" s="27" t="s">
        <v>1300</v>
      </c>
      <c r="B17" s="27" t="s">
        <v>1299</v>
      </c>
      <c r="C17" s="27" t="s">
        <v>925</v>
      </c>
      <c r="D17" s="31">
        <v>775000</v>
      </c>
      <c r="E17" s="29">
        <v>3292.9749999999999</v>
      </c>
      <c r="F17" s="30">
        <v>3.6157278319231199</v>
      </c>
    </row>
    <row r="18" spans="1:6" x14ac:dyDescent="0.2">
      <c r="A18" s="27" t="s">
        <v>1000</v>
      </c>
      <c r="B18" s="27" t="s">
        <v>999</v>
      </c>
      <c r="C18" s="27" t="s">
        <v>901</v>
      </c>
      <c r="D18" s="31">
        <v>3000000</v>
      </c>
      <c r="E18" s="29">
        <v>3079.5</v>
      </c>
      <c r="F18" s="30">
        <v>3.3813296057234701</v>
      </c>
    </row>
    <row r="19" spans="1:6" x14ac:dyDescent="0.2">
      <c r="A19" s="27" t="s">
        <v>983</v>
      </c>
      <c r="B19" s="27" t="s">
        <v>982</v>
      </c>
      <c r="C19" s="27" t="s">
        <v>984</v>
      </c>
      <c r="D19" s="31">
        <v>250000</v>
      </c>
      <c r="E19" s="29">
        <v>2806</v>
      </c>
      <c r="F19" s="30">
        <v>3.0810231770287602</v>
      </c>
    </row>
    <row r="20" spans="1:6" x14ac:dyDescent="0.2">
      <c r="A20" s="27" t="s">
        <v>1197</v>
      </c>
      <c r="B20" s="27" t="s">
        <v>1196</v>
      </c>
      <c r="C20" s="27" t="s">
        <v>886</v>
      </c>
      <c r="D20" s="31">
        <v>825000</v>
      </c>
      <c r="E20" s="29">
        <v>2730.75</v>
      </c>
      <c r="F20" s="30">
        <v>2.9983977336676002</v>
      </c>
    </row>
    <row r="21" spans="1:6" x14ac:dyDescent="0.2">
      <c r="A21" s="27" t="s">
        <v>1323</v>
      </c>
      <c r="B21" s="27" t="s">
        <v>1322</v>
      </c>
      <c r="C21" s="27" t="s">
        <v>1037</v>
      </c>
      <c r="D21" s="31">
        <v>2300000</v>
      </c>
      <c r="E21" s="29">
        <v>2224.1</v>
      </c>
      <c r="F21" s="30">
        <v>2.4420896821203399</v>
      </c>
    </row>
    <row r="22" spans="1:6" x14ac:dyDescent="0.2">
      <c r="A22" s="27" t="s">
        <v>1180</v>
      </c>
      <c r="B22" s="27" t="s">
        <v>1179</v>
      </c>
      <c r="C22" s="27" t="s">
        <v>1149</v>
      </c>
      <c r="D22" s="31">
        <v>700000</v>
      </c>
      <c r="E22" s="29">
        <v>2176.65</v>
      </c>
      <c r="F22" s="30">
        <v>2.38998898727001</v>
      </c>
    </row>
    <row r="23" spans="1:6" x14ac:dyDescent="0.2">
      <c r="A23" s="27" t="s">
        <v>1026</v>
      </c>
      <c r="B23" s="27" t="s">
        <v>1025</v>
      </c>
      <c r="C23" s="27" t="s">
        <v>1027</v>
      </c>
      <c r="D23" s="31">
        <v>2200000</v>
      </c>
      <c r="E23" s="29">
        <v>1727</v>
      </c>
      <c r="F23" s="30">
        <v>1.89626765029532</v>
      </c>
    </row>
    <row r="24" spans="1:6" x14ac:dyDescent="0.2">
      <c r="A24" s="27" t="s">
        <v>1338</v>
      </c>
      <c r="B24" s="27" t="s">
        <v>1337</v>
      </c>
      <c r="C24" s="27" t="s">
        <v>1149</v>
      </c>
      <c r="D24" s="31">
        <v>2233265</v>
      </c>
      <c r="E24" s="29">
        <v>1654.849365</v>
      </c>
      <c r="F24" s="30">
        <v>1.81704534855892</v>
      </c>
    </row>
    <row r="25" spans="1:6" x14ac:dyDescent="0.2">
      <c r="A25" s="27" t="s">
        <v>1032</v>
      </c>
      <c r="B25" s="27" t="s">
        <v>1031</v>
      </c>
      <c r="C25" s="27" t="s">
        <v>925</v>
      </c>
      <c r="D25" s="31">
        <v>525000</v>
      </c>
      <c r="E25" s="29">
        <v>1621.2</v>
      </c>
      <c r="F25" s="30">
        <v>1.7800979239483301</v>
      </c>
    </row>
    <row r="26" spans="1:6" x14ac:dyDescent="0.2">
      <c r="A26" s="27" t="s">
        <v>1340</v>
      </c>
      <c r="B26" s="27" t="s">
        <v>1339</v>
      </c>
      <c r="C26" s="27" t="s">
        <v>1037</v>
      </c>
      <c r="D26" s="31">
        <v>1492592</v>
      </c>
      <c r="E26" s="29">
        <v>1547.817904</v>
      </c>
      <c r="F26" s="30">
        <v>1.6995234625958899</v>
      </c>
    </row>
    <row r="27" spans="1:6" x14ac:dyDescent="0.2">
      <c r="A27" s="27" t="s">
        <v>1306</v>
      </c>
      <c r="B27" s="27" t="s">
        <v>1305</v>
      </c>
      <c r="C27" s="27" t="s">
        <v>1149</v>
      </c>
      <c r="D27" s="31">
        <v>550000</v>
      </c>
      <c r="E27" s="29">
        <v>1540.55</v>
      </c>
      <c r="F27" s="30">
        <v>1.6915432128908301</v>
      </c>
    </row>
    <row r="28" spans="1:6" x14ac:dyDescent="0.2">
      <c r="A28" s="27" t="s">
        <v>1304</v>
      </c>
      <c r="B28" s="27" t="s">
        <v>1303</v>
      </c>
      <c r="C28" s="27" t="s">
        <v>1037</v>
      </c>
      <c r="D28" s="31">
        <v>2000000</v>
      </c>
      <c r="E28" s="29">
        <v>1430</v>
      </c>
      <c r="F28" s="30">
        <v>1.5701579269961199</v>
      </c>
    </row>
    <row r="29" spans="1:6" x14ac:dyDescent="0.2">
      <c r="A29" s="27" t="s">
        <v>1066</v>
      </c>
      <c r="B29" s="27" t="s">
        <v>1065</v>
      </c>
      <c r="C29" s="27" t="s">
        <v>892</v>
      </c>
      <c r="D29" s="31">
        <v>3500000</v>
      </c>
      <c r="E29" s="29">
        <v>1372</v>
      </c>
      <c r="F29" s="30">
        <v>1.5064731998871901</v>
      </c>
    </row>
    <row r="30" spans="1:6" x14ac:dyDescent="0.2">
      <c r="A30" s="27" t="s">
        <v>1334</v>
      </c>
      <c r="B30" s="27" t="s">
        <v>1333</v>
      </c>
      <c r="C30" s="27" t="s">
        <v>925</v>
      </c>
      <c r="D30" s="31">
        <v>1600000</v>
      </c>
      <c r="E30" s="29">
        <v>1339.2</v>
      </c>
      <c r="F30" s="30">
        <v>1.4704583886945499</v>
      </c>
    </row>
    <row r="31" spans="1:6" x14ac:dyDescent="0.2">
      <c r="A31" s="27" t="s">
        <v>1308</v>
      </c>
      <c r="B31" s="27" t="s">
        <v>1307</v>
      </c>
      <c r="C31" s="27" t="s">
        <v>1149</v>
      </c>
      <c r="D31" s="31">
        <v>2100000</v>
      </c>
      <c r="E31" s="29">
        <v>1179.1500000000001</v>
      </c>
      <c r="F31" s="30">
        <v>1.29472148224999</v>
      </c>
    </row>
    <row r="32" spans="1:6" x14ac:dyDescent="0.2">
      <c r="A32" s="27" t="s">
        <v>1247</v>
      </c>
      <c r="B32" s="27" t="s">
        <v>1246</v>
      </c>
      <c r="C32" s="27" t="s">
        <v>1183</v>
      </c>
      <c r="D32" s="31">
        <v>50000</v>
      </c>
      <c r="E32" s="29">
        <v>1173.95</v>
      </c>
      <c r="F32" s="30">
        <v>1.2890118170609099</v>
      </c>
    </row>
    <row r="33" spans="1:9" x14ac:dyDescent="0.2">
      <c r="A33" s="27" t="s">
        <v>1219</v>
      </c>
      <c r="B33" s="27" t="s">
        <v>1218</v>
      </c>
      <c r="C33" s="27" t="s">
        <v>925</v>
      </c>
      <c r="D33" s="31">
        <v>250000</v>
      </c>
      <c r="E33" s="29">
        <v>939.875</v>
      </c>
      <c r="F33" s="30">
        <v>1.03199453261223</v>
      </c>
    </row>
    <row r="34" spans="1:9" x14ac:dyDescent="0.2">
      <c r="A34" s="27" t="s">
        <v>1036</v>
      </c>
      <c r="B34" s="27" t="s">
        <v>1035</v>
      </c>
      <c r="C34" s="27" t="s">
        <v>1037</v>
      </c>
      <c r="D34" s="31">
        <v>200000</v>
      </c>
      <c r="E34" s="29">
        <v>812.1</v>
      </c>
      <c r="F34" s="30">
        <v>0.89169598077870804</v>
      </c>
    </row>
    <row r="35" spans="1:9" x14ac:dyDescent="0.2">
      <c r="A35" s="27" t="s">
        <v>1342</v>
      </c>
      <c r="B35" s="27" t="s">
        <v>1341</v>
      </c>
      <c r="C35" s="27" t="s">
        <v>967</v>
      </c>
      <c r="D35" s="31">
        <v>600000</v>
      </c>
      <c r="E35" s="29">
        <v>705.3</v>
      </c>
      <c r="F35" s="30">
        <v>0.77442824189536197</v>
      </c>
    </row>
    <row r="36" spans="1:9" x14ac:dyDescent="0.2">
      <c r="A36" s="27" t="s">
        <v>1344</v>
      </c>
      <c r="B36" s="27" t="s">
        <v>1343</v>
      </c>
      <c r="C36" s="27" t="s">
        <v>947</v>
      </c>
      <c r="D36" s="31">
        <v>400000</v>
      </c>
      <c r="E36" s="29">
        <v>228</v>
      </c>
      <c r="F36" s="30">
        <v>0.25034685829029102</v>
      </c>
    </row>
    <row r="37" spans="1:9" ht="10.5" x14ac:dyDescent="0.25">
      <c r="A37" s="26" t="s">
        <v>164</v>
      </c>
      <c r="B37" s="26"/>
      <c r="C37" s="26"/>
      <c r="D37" s="32"/>
      <c r="E37" s="33">
        <f>SUM(E7:E36)</f>
        <v>87350.392268999989</v>
      </c>
      <c r="F37" s="34">
        <f>SUM(F7:F36)</f>
        <v>95.911825767406569</v>
      </c>
      <c r="G37" s="18"/>
      <c r="H37" s="18"/>
      <c r="I37" s="18"/>
    </row>
    <row r="38" spans="1:9" x14ac:dyDescent="0.2">
      <c r="A38" s="27"/>
      <c r="B38" s="27"/>
      <c r="C38" s="27"/>
      <c r="D38" s="28"/>
      <c r="E38" s="29"/>
      <c r="F38" s="30"/>
    </row>
    <row r="39" spans="1:9" ht="10.5" x14ac:dyDescent="0.25">
      <c r="A39" s="26" t="s">
        <v>176</v>
      </c>
      <c r="B39" s="26"/>
      <c r="C39" s="26"/>
      <c r="D39" s="32"/>
      <c r="E39" s="33">
        <f>E37</f>
        <v>87350.392268999989</v>
      </c>
      <c r="F39" s="34">
        <f>F37</f>
        <v>95.911825767406569</v>
      </c>
      <c r="G39" s="18"/>
      <c r="H39" s="18"/>
      <c r="I39" s="18"/>
    </row>
    <row r="40" spans="1:9" ht="10.5" x14ac:dyDescent="0.25">
      <c r="A40" s="26"/>
      <c r="B40" s="26"/>
      <c r="C40" s="26"/>
      <c r="D40" s="32"/>
      <c r="E40" s="33"/>
      <c r="F40" s="34"/>
      <c r="G40" s="18"/>
      <c r="H40" s="18"/>
      <c r="I40" s="18"/>
    </row>
    <row r="41" spans="1:9" ht="10.5" x14ac:dyDescent="0.25">
      <c r="A41" s="26" t="s">
        <v>178</v>
      </c>
      <c r="B41" s="26"/>
      <c r="C41" s="26"/>
      <c r="D41" s="32"/>
      <c r="E41" s="33">
        <f>E43-(E37)</f>
        <v>3723.249140800006</v>
      </c>
      <c r="F41" s="34">
        <f>F43-(F37)</f>
        <v>4.0881742325934312</v>
      </c>
      <c r="G41" s="18"/>
      <c r="H41" s="18"/>
      <c r="I41" s="18"/>
    </row>
    <row r="42" spans="1:9" ht="10.5" x14ac:dyDescent="0.25">
      <c r="A42" s="26"/>
      <c r="B42" s="26"/>
      <c r="C42" s="26"/>
      <c r="D42" s="32"/>
      <c r="E42" s="33"/>
      <c r="F42" s="34"/>
      <c r="G42" s="18"/>
      <c r="H42" s="18"/>
      <c r="I42" s="18"/>
    </row>
    <row r="43" spans="1:9" ht="10.5" x14ac:dyDescent="0.25">
      <c r="A43" s="35" t="s">
        <v>177</v>
      </c>
      <c r="B43" s="35"/>
      <c r="C43" s="35"/>
      <c r="D43" s="36"/>
      <c r="E43" s="37">
        <v>91073.641409799995</v>
      </c>
      <c r="F43" s="38">
        <v>100</v>
      </c>
      <c r="G43" s="18"/>
      <c r="H43" s="18"/>
      <c r="I43" s="18"/>
    </row>
    <row r="46" spans="1:9" ht="10.5" x14ac:dyDescent="0.25">
      <c r="A46" s="18" t="s">
        <v>181</v>
      </c>
    </row>
    <row r="47" spans="1:9" ht="10.5" x14ac:dyDescent="0.25">
      <c r="A47" s="18" t="s">
        <v>182</v>
      </c>
    </row>
    <row r="48" spans="1:9" ht="10.5" x14ac:dyDescent="0.25">
      <c r="A48" s="18" t="s">
        <v>183</v>
      </c>
      <c r="B48" s="18"/>
      <c r="C48" s="39" t="s">
        <v>185</v>
      </c>
      <c r="D48" s="19" t="s">
        <v>184</v>
      </c>
    </row>
    <row r="49" spans="1:4" x14ac:dyDescent="0.2">
      <c r="A49" s="9" t="s">
        <v>421</v>
      </c>
      <c r="C49" s="40">
        <v>30.4741</v>
      </c>
      <c r="D49" s="40">
        <v>40.086300000000001</v>
      </c>
    </row>
    <row r="50" spans="1:4" x14ac:dyDescent="0.2">
      <c r="A50" s="9" t="s">
        <v>458</v>
      </c>
      <c r="C50" s="40">
        <v>14.5646</v>
      </c>
      <c r="D50" s="40">
        <v>19.158899999999999</v>
      </c>
    </row>
    <row r="51" spans="1:4" x14ac:dyDescent="0.2">
      <c r="A51" s="9" t="s">
        <v>424</v>
      </c>
      <c r="C51" s="40">
        <v>33.231400000000001</v>
      </c>
      <c r="D51" s="40">
        <v>43.942599999999999</v>
      </c>
    </row>
    <row r="52" spans="1:4" x14ac:dyDescent="0.2">
      <c r="A52" s="9" t="s">
        <v>459</v>
      </c>
      <c r="C52" s="40">
        <v>16.402100000000001</v>
      </c>
      <c r="D52" s="40">
        <v>21.688300000000002</v>
      </c>
    </row>
    <row r="54" spans="1:4" ht="10.5" x14ac:dyDescent="0.25">
      <c r="A54" s="18" t="s">
        <v>197</v>
      </c>
      <c r="D54" s="41" t="s">
        <v>198</v>
      </c>
    </row>
    <row r="56" spans="1:4" ht="10.5" x14ac:dyDescent="0.25">
      <c r="A56" s="18" t="s">
        <v>1003</v>
      </c>
      <c r="D56" s="47">
        <v>6.0100000000000001E-2</v>
      </c>
    </row>
  </sheetData>
  <mergeCells count="1">
    <mergeCell ref="A1:F1"/>
  </mergeCells>
  <conditionalFormatting sqref="F2:F3 F5:F65536">
    <cfRule type="cellIs" dxfId="1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I85"/>
  <sheetViews>
    <sheetView workbookViewId="0">
      <selection sqref="A1:F1"/>
    </sheetView>
  </sheetViews>
  <sheetFormatPr defaultColWidth="9.1796875" defaultRowHeight="10" x14ac:dyDescent="0.2"/>
  <cols>
    <col min="1" max="1" width="38.7265625" style="9" bestFit="1" customWidth="1"/>
    <col min="2" max="2" width="49.1796875" style="9" bestFit="1" customWidth="1"/>
    <col min="3" max="3" width="35.7265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71" t="s">
        <v>58</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870</v>
      </c>
      <c r="B7" s="27" t="s">
        <v>869</v>
      </c>
      <c r="C7" s="27" t="s">
        <v>871</v>
      </c>
      <c r="D7" s="31">
        <v>30253</v>
      </c>
      <c r="E7" s="29">
        <v>435.9003505</v>
      </c>
      <c r="F7" s="30">
        <v>1.98831153887515</v>
      </c>
    </row>
    <row r="8" spans="1:6" x14ac:dyDescent="0.2">
      <c r="A8" s="27" t="s">
        <v>878</v>
      </c>
      <c r="B8" s="27" t="s">
        <v>877</v>
      </c>
      <c r="C8" s="27" t="s">
        <v>871</v>
      </c>
      <c r="D8" s="31">
        <v>19241</v>
      </c>
      <c r="E8" s="29">
        <v>366.945111</v>
      </c>
      <c r="F8" s="30">
        <v>1.6737797927857401</v>
      </c>
    </row>
    <row r="9" spans="1:6" x14ac:dyDescent="0.2">
      <c r="A9" s="27" t="s">
        <v>983</v>
      </c>
      <c r="B9" s="27" t="s">
        <v>982</v>
      </c>
      <c r="C9" s="27" t="s">
        <v>984</v>
      </c>
      <c r="D9" s="31">
        <v>27717</v>
      </c>
      <c r="E9" s="29">
        <v>311.09560800000003</v>
      </c>
      <c r="F9" s="30">
        <v>1.4190284232858901</v>
      </c>
    </row>
    <row r="10" spans="1:6" x14ac:dyDescent="0.2">
      <c r="A10" s="27" t="s">
        <v>880</v>
      </c>
      <c r="B10" s="27" t="s">
        <v>879</v>
      </c>
      <c r="C10" s="27" t="s">
        <v>871</v>
      </c>
      <c r="D10" s="31">
        <v>64814</v>
      </c>
      <c r="E10" s="29">
        <v>306.79706900000002</v>
      </c>
      <c r="F10" s="30">
        <v>1.3994211100910201</v>
      </c>
    </row>
    <row r="11" spans="1:6" x14ac:dyDescent="0.2">
      <c r="A11" s="27" t="s">
        <v>988</v>
      </c>
      <c r="B11" s="27" t="s">
        <v>987</v>
      </c>
      <c r="C11" s="27" t="s">
        <v>989</v>
      </c>
      <c r="D11" s="31">
        <v>235400</v>
      </c>
      <c r="E11" s="29">
        <v>278.24279999999999</v>
      </c>
      <c r="F11" s="30">
        <v>1.2691739504552899</v>
      </c>
    </row>
    <row r="12" spans="1:6" x14ac:dyDescent="0.2">
      <c r="A12" s="27" t="s">
        <v>1245</v>
      </c>
      <c r="B12" s="27" t="s">
        <v>1244</v>
      </c>
      <c r="C12" s="27" t="s">
        <v>944</v>
      </c>
      <c r="D12" s="31">
        <v>31095</v>
      </c>
      <c r="E12" s="29">
        <v>223.97728499999999</v>
      </c>
      <c r="F12" s="30">
        <v>1.02164776812087</v>
      </c>
    </row>
    <row r="13" spans="1:6" x14ac:dyDescent="0.2">
      <c r="A13" s="27" t="s">
        <v>1346</v>
      </c>
      <c r="B13" s="27" t="s">
        <v>1345</v>
      </c>
      <c r="C13" s="27" t="s">
        <v>1149</v>
      </c>
      <c r="D13" s="31">
        <v>19090</v>
      </c>
      <c r="E13" s="29">
        <v>222.48440500000001</v>
      </c>
      <c r="F13" s="30">
        <v>1.01483816008373</v>
      </c>
    </row>
    <row r="14" spans="1:6" x14ac:dyDescent="0.2">
      <c r="A14" s="27" t="s">
        <v>1058</v>
      </c>
      <c r="B14" s="27" t="s">
        <v>1057</v>
      </c>
      <c r="C14" s="27" t="s">
        <v>907</v>
      </c>
      <c r="D14" s="31">
        <v>40295</v>
      </c>
      <c r="E14" s="29">
        <v>216.78710000000001</v>
      </c>
      <c r="F14" s="30">
        <v>0.98885052951862995</v>
      </c>
    </row>
    <row r="15" spans="1:6" x14ac:dyDescent="0.2">
      <c r="A15" s="27" t="s">
        <v>1348</v>
      </c>
      <c r="B15" s="27" t="s">
        <v>1347</v>
      </c>
      <c r="C15" s="27" t="s">
        <v>967</v>
      </c>
      <c r="D15" s="31">
        <v>32972</v>
      </c>
      <c r="E15" s="29">
        <v>200.89839599999999</v>
      </c>
      <c r="F15" s="30">
        <v>0.91637595255457305</v>
      </c>
    </row>
    <row r="16" spans="1:6" x14ac:dyDescent="0.2">
      <c r="A16" s="27" t="s">
        <v>891</v>
      </c>
      <c r="B16" s="27" t="s">
        <v>890</v>
      </c>
      <c r="C16" s="27" t="s">
        <v>892</v>
      </c>
      <c r="D16" s="31">
        <v>83344</v>
      </c>
      <c r="E16" s="29">
        <v>188.64914400000001</v>
      </c>
      <c r="F16" s="30">
        <v>0.86050233587531899</v>
      </c>
    </row>
    <row r="17" spans="1:9" x14ac:dyDescent="0.2">
      <c r="A17" s="27" t="s">
        <v>1189</v>
      </c>
      <c r="B17" s="27" t="s">
        <v>1188</v>
      </c>
      <c r="C17" s="27" t="s">
        <v>1183</v>
      </c>
      <c r="D17" s="31">
        <v>36747</v>
      </c>
      <c r="E17" s="29">
        <v>142.0087815</v>
      </c>
      <c r="F17" s="30">
        <v>0.64775744858698003</v>
      </c>
    </row>
    <row r="18" spans="1:9" x14ac:dyDescent="0.2">
      <c r="A18" s="27" t="s">
        <v>1258</v>
      </c>
      <c r="B18" s="27" t="s">
        <v>1257</v>
      </c>
      <c r="C18" s="27" t="s">
        <v>1149</v>
      </c>
      <c r="D18" s="31">
        <v>27579</v>
      </c>
      <c r="E18" s="29">
        <v>127.801086</v>
      </c>
      <c r="F18" s="30">
        <v>0.58295060713555402</v>
      </c>
    </row>
    <row r="19" spans="1:9" ht="10.5" x14ac:dyDescent="0.25">
      <c r="A19" s="26" t="s">
        <v>164</v>
      </c>
      <c r="B19" s="26"/>
      <c r="C19" s="26"/>
      <c r="D19" s="32"/>
      <c r="E19" s="33">
        <f>SUM(E7:E18)</f>
        <v>3021.5871360000001</v>
      </c>
      <c r="F19" s="34">
        <f>SUM(F7:F18)</f>
        <v>13.782637617368746</v>
      </c>
      <c r="G19" s="18"/>
      <c r="H19" s="18"/>
      <c r="I19" s="18"/>
    </row>
    <row r="20" spans="1:9" x14ac:dyDescent="0.2">
      <c r="A20" s="27"/>
      <c r="B20" s="27"/>
      <c r="C20" s="27"/>
      <c r="D20" s="28"/>
      <c r="E20" s="29"/>
      <c r="F20" s="30"/>
    </row>
    <row r="21" spans="1:9" ht="10.5" x14ac:dyDescent="0.25">
      <c r="A21" s="26" t="s">
        <v>1084</v>
      </c>
      <c r="B21" s="27"/>
      <c r="C21" s="27"/>
      <c r="D21" s="28"/>
      <c r="E21" s="29"/>
      <c r="F21" s="30"/>
    </row>
    <row r="22" spans="1:9" x14ac:dyDescent="0.2">
      <c r="A22" s="27" t="s">
        <v>1350</v>
      </c>
      <c r="B22" s="27" t="s">
        <v>1349</v>
      </c>
      <c r="C22" s="27" t="s">
        <v>876</v>
      </c>
      <c r="D22" s="31">
        <v>36500</v>
      </c>
      <c r="E22" s="29">
        <v>2032.5435749999999</v>
      </c>
      <c r="F22" s="30">
        <v>9.2712241199242893</v>
      </c>
    </row>
    <row r="23" spans="1:9" x14ac:dyDescent="0.2">
      <c r="A23" s="27" t="s">
        <v>1120</v>
      </c>
      <c r="B23" s="27" t="s">
        <v>1119</v>
      </c>
      <c r="C23" s="27" t="s">
        <v>1099</v>
      </c>
      <c r="D23" s="31">
        <v>43675</v>
      </c>
      <c r="E23" s="29">
        <v>1995.636254</v>
      </c>
      <c r="F23" s="30">
        <v>9.1028754316768694</v>
      </c>
    </row>
    <row r="24" spans="1:9" x14ac:dyDescent="0.2">
      <c r="A24" s="27" t="s">
        <v>1118</v>
      </c>
      <c r="B24" s="27" t="s">
        <v>1117</v>
      </c>
      <c r="C24" s="27" t="s">
        <v>1099</v>
      </c>
      <c r="D24" s="31">
        <v>150714</v>
      </c>
      <c r="E24" s="29">
        <v>1912.393345</v>
      </c>
      <c r="F24" s="30">
        <v>8.7231720515249993</v>
      </c>
    </row>
    <row r="25" spans="1:9" x14ac:dyDescent="0.2">
      <c r="A25" s="27" t="s">
        <v>1352</v>
      </c>
      <c r="B25" s="27" t="s">
        <v>1351</v>
      </c>
      <c r="C25" s="27" t="s">
        <v>944</v>
      </c>
      <c r="D25" s="31">
        <v>8863</v>
      </c>
      <c r="E25" s="29">
        <v>1822.2352980000001</v>
      </c>
      <c r="F25" s="30">
        <v>8.3119260294309001</v>
      </c>
    </row>
    <row r="26" spans="1:9" x14ac:dyDescent="0.2">
      <c r="A26" s="27" t="s">
        <v>1354</v>
      </c>
      <c r="B26" s="27" t="s">
        <v>1353</v>
      </c>
      <c r="C26" s="27" t="s">
        <v>967</v>
      </c>
      <c r="D26" s="31">
        <v>110724</v>
      </c>
      <c r="E26" s="29">
        <v>935.97334969999997</v>
      </c>
      <c r="F26" s="30">
        <v>4.26933956156142</v>
      </c>
    </row>
    <row r="27" spans="1:9" x14ac:dyDescent="0.2">
      <c r="A27" s="27" t="s">
        <v>1356</v>
      </c>
      <c r="B27" s="27" t="s">
        <v>1355</v>
      </c>
      <c r="C27" s="27" t="s">
        <v>944</v>
      </c>
      <c r="D27" s="31">
        <v>28100</v>
      </c>
      <c r="E27" s="29">
        <v>837.41234650000001</v>
      </c>
      <c r="F27" s="30">
        <v>3.8197643783323101</v>
      </c>
    </row>
    <row r="28" spans="1:9" x14ac:dyDescent="0.2">
      <c r="A28" s="27" t="s">
        <v>1358</v>
      </c>
      <c r="B28" s="27" t="s">
        <v>1357</v>
      </c>
      <c r="C28" s="27" t="s">
        <v>967</v>
      </c>
      <c r="D28" s="31">
        <v>78810</v>
      </c>
      <c r="E28" s="29">
        <v>690.28606920000004</v>
      </c>
      <c r="F28" s="30">
        <v>3.1486640351190398</v>
      </c>
    </row>
    <row r="29" spans="1:9" x14ac:dyDescent="0.2">
      <c r="A29" s="27" t="s">
        <v>1360</v>
      </c>
      <c r="B29" s="27" t="s">
        <v>1359</v>
      </c>
      <c r="C29" s="27" t="s">
        <v>947</v>
      </c>
      <c r="D29" s="31">
        <v>2538</v>
      </c>
      <c r="E29" s="29">
        <v>483.76894429999999</v>
      </c>
      <c r="F29" s="30">
        <v>2.2066588682431898</v>
      </c>
    </row>
    <row r="30" spans="1:9" x14ac:dyDescent="0.2">
      <c r="A30" s="27" t="s">
        <v>1362</v>
      </c>
      <c r="B30" s="27" t="s">
        <v>1361</v>
      </c>
      <c r="C30" s="27" t="s">
        <v>907</v>
      </c>
      <c r="D30" s="31">
        <v>119000</v>
      </c>
      <c r="E30" s="29">
        <v>454.09026440000002</v>
      </c>
      <c r="F30" s="30">
        <v>2.07128283187143</v>
      </c>
    </row>
    <row r="31" spans="1:9" x14ac:dyDescent="0.2">
      <c r="A31" s="27" t="s">
        <v>1364</v>
      </c>
      <c r="B31" s="27" t="s">
        <v>1363</v>
      </c>
      <c r="C31" s="27" t="s">
        <v>1365</v>
      </c>
      <c r="D31" s="31">
        <v>3560</v>
      </c>
      <c r="E31" s="29">
        <v>444.87601230000001</v>
      </c>
      <c r="F31" s="30">
        <v>2.0292530336583301</v>
      </c>
    </row>
    <row r="32" spans="1:9" x14ac:dyDescent="0.2">
      <c r="A32" s="27" t="s">
        <v>1367</v>
      </c>
      <c r="B32" s="27" t="s">
        <v>1366</v>
      </c>
      <c r="C32" s="27" t="s">
        <v>886</v>
      </c>
      <c r="D32" s="31">
        <v>662300</v>
      </c>
      <c r="E32" s="29">
        <v>414.97190899999998</v>
      </c>
      <c r="F32" s="30">
        <v>1.8928487532238201</v>
      </c>
    </row>
    <row r="33" spans="1:6" x14ac:dyDescent="0.2">
      <c r="A33" s="27" t="s">
        <v>1369</v>
      </c>
      <c r="B33" s="27" t="s">
        <v>1368</v>
      </c>
      <c r="C33" s="27" t="s">
        <v>871</v>
      </c>
      <c r="D33" s="31">
        <v>77000</v>
      </c>
      <c r="E33" s="29">
        <v>377.29976620000002</v>
      </c>
      <c r="F33" s="30">
        <v>1.72101141439747</v>
      </c>
    </row>
    <row r="34" spans="1:6" x14ac:dyDescent="0.2">
      <c r="A34" s="27" t="s">
        <v>1371</v>
      </c>
      <c r="B34" s="27" t="s">
        <v>1370</v>
      </c>
      <c r="C34" s="27" t="s">
        <v>871</v>
      </c>
      <c r="D34" s="31">
        <v>211929</v>
      </c>
      <c r="E34" s="29">
        <v>355.48955979999999</v>
      </c>
      <c r="F34" s="30">
        <v>1.6215265550698099</v>
      </c>
    </row>
    <row r="35" spans="1:6" x14ac:dyDescent="0.2">
      <c r="A35" s="27" t="s">
        <v>1373</v>
      </c>
      <c r="B35" s="27" t="s">
        <v>1372</v>
      </c>
      <c r="C35" s="27" t="s">
        <v>944</v>
      </c>
      <c r="D35" s="31">
        <v>36521</v>
      </c>
      <c r="E35" s="29">
        <v>353.02187629999997</v>
      </c>
      <c r="F35" s="30">
        <v>1.61027048800835</v>
      </c>
    </row>
    <row r="36" spans="1:6" x14ac:dyDescent="0.2">
      <c r="A36" s="27" t="s">
        <v>1375</v>
      </c>
      <c r="B36" s="27" t="s">
        <v>1374</v>
      </c>
      <c r="C36" s="27" t="s">
        <v>907</v>
      </c>
      <c r="D36" s="31">
        <v>119600</v>
      </c>
      <c r="E36" s="29">
        <v>317.00974500000001</v>
      </c>
      <c r="F36" s="30">
        <v>1.4460051091869199</v>
      </c>
    </row>
    <row r="37" spans="1:6" x14ac:dyDescent="0.2">
      <c r="A37" s="27" t="s">
        <v>1377</v>
      </c>
      <c r="B37" s="27" t="s">
        <v>1376</v>
      </c>
      <c r="C37" s="27" t="s">
        <v>907</v>
      </c>
      <c r="D37" s="31">
        <v>1600</v>
      </c>
      <c r="E37" s="29">
        <v>312.92555099999998</v>
      </c>
      <c r="F37" s="30">
        <v>1.4273755071508401</v>
      </c>
    </row>
    <row r="38" spans="1:6" x14ac:dyDescent="0.2">
      <c r="A38" s="27" t="s">
        <v>1379</v>
      </c>
      <c r="B38" s="27" t="s">
        <v>1378</v>
      </c>
      <c r="C38" s="27" t="s">
        <v>895</v>
      </c>
      <c r="D38" s="31">
        <v>27400</v>
      </c>
      <c r="E38" s="29">
        <v>270.73308900000001</v>
      </c>
      <c r="F38" s="30">
        <v>1.23491922912325</v>
      </c>
    </row>
    <row r="39" spans="1:6" x14ac:dyDescent="0.2">
      <c r="A39" s="27" t="s">
        <v>1381</v>
      </c>
      <c r="B39" s="27" t="s">
        <v>1380</v>
      </c>
      <c r="C39" s="27" t="s">
        <v>1149</v>
      </c>
      <c r="D39" s="31">
        <v>82000</v>
      </c>
      <c r="E39" s="29">
        <v>267.47488299999998</v>
      </c>
      <c r="F39" s="30">
        <v>1.22005728056459</v>
      </c>
    </row>
    <row r="40" spans="1:6" x14ac:dyDescent="0.2">
      <c r="A40" s="27" t="s">
        <v>1127</v>
      </c>
      <c r="B40" s="27" t="s">
        <v>1126</v>
      </c>
      <c r="C40" s="27" t="s">
        <v>1099</v>
      </c>
      <c r="D40" s="31">
        <v>13000</v>
      </c>
      <c r="E40" s="29">
        <v>244.5660263</v>
      </c>
      <c r="F40" s="30">
        <v>1.11556104864645</v>
      </c>
    </row>
    <row r="41" spans="1:6" x14ac:dyDescent="0.2">
      <c r="A41" s="27" t="s">
        <v>1383</v>
      </c>
      <c r="B41" s="27" t="s">
        <v>1382</v>
      </c>
      <c r="C41" s="27" t="s">
        <v>1183</v>
      </c>
      <c r="D41" s="31">
        <v>112000</v>
      </c>
      <c r="E41" s="29">
        <v>240.70160519999999</v>
      </c>
      <c r="F41" s="30">
        <v>1.0979339165384101</v>
      </c>
    </row>
    <row r="42" spans="1:6" x14ac:dyDescent="0.2">
      <c r="A42" s="27" t="s">
        <v>1385</v>
      </c>
      <c r="B42" s="27" t="s">
        <v>1384</v>
      </c>
      <c r="C42" s="27" t="s">
        <v>886</v>
      </c>
      <c r="D42" s="31">
        <v>305600</v>
      </c>
      <c r="E42" s="29">
        <v>236.43632980000001</v>
      </c>
      <c r="F42" s="30">
        <v>1.0784783315989399</v>
      </c>
    </row>
    <row r="43" spans="1:6" x14ac:dyDescent="0.2">
      <c r="A43" s="27" t="s">
        <v>1387</v>
      </c>
      <c r="B43" s="27" t="s">
        <v>1386</v>
      </c>
      <c r="C43" s="27" t="s">
        <v>967</v>
      </c>
      <c r="D43" s="31">
        <v>15480</v>
      </c>
      <c r="E43" s="29">
        <v>230.7717533</v>
      </c>
      <c r="F43" s="30">
        <v>1.05263998848939</v>
      </c>
    </row>
    <row r="44" spans="1:6" x14ac:dyDescent="0.2">
      <c r="A44" s="27" t="s">
        <v>1389</v>
      </c>
      <c r="B44" s="27" t="s">
        <v>1388</v>
      </c>
      <c r="C44" s="27" t="s">
        <v>1162</v>
      </c>
      <c r="D44" s="31">
        <v>53000</v>
      </c>
      <c r="E44" s="29">
        <v>225.27568880000001</v>
      </c>
      <c r="F44" s="30">
        <v>1.02757029434664</v>
      </c>
    </row>
    <row r="45" spans="1:6" x14ac:dyDescent="0.2">
      <c r="A45" s="27" t="s">
        <v>1391</v>
      </c>
      <c r="B45" s="27" t="s">
        <v>1390</v>
      </c>
      <c r="C45" s="27" t="s">
        <v>1027</v>
      </c>
      <c r="D45" s="31">
        <v>238000</v>
      </c>
      <c r="E45" s="29">
        <v>214.82618260000001</v>
      </c>
      <c r="F45" s="30">
        <v>0.97990602032351504</v>
      </c>
    </row>
    <row r="46" spans="1:6" x14ac:dyDescent="0.2">
      <c r="A46" s="27" t="s">
        <v>1393</v>
      </c>
      <c r="B46" s="27" t="s">
        <v>1392</v>
      </c>
      <c r="C46" s="27" t="s">
        <v>886</v>
      </c>
      <c r="D46" s="31">
        <v>222000</v>
      </c>
      <c r="E46" s="29">
        <v>213.74302539999999</v>
      </c>
      <c r="F46" s="30">
        <v>0.97496531780582896</v>
      </c>
    </row>
    <row r="47" spans="1:6" x14ac:dyDescent="0.2">
      <c r="A47" s="27" t="s">
        <v>1395</v>
      </c>
      <c r="B47" s="27" t="s">
        <v>1394</v>
      </c>
      <c r="C47" s="27" t="s">
        <v>876</v>
      </c>
      <c r="D47" s="31">
        <v>6300</v>
      </c>
      <c r="E47" s="29">
        <v>206.28127570000001</v>
      </c>
      <c r="F47" s="30">
        <v>0.94092936667229499</v>
      </c>
    </row>
    <row r="48" spans="1:6" x14ac:dyDescent="0.2">
      <c r="A48" s="27" t="s">
        <v>1397</v>
      </c>
      <c r="B48" s="27" t="s">
        <v>1396</v>
      </c>
      <c r="C48" s="27" t="s">
        <v>944</v>
      </c>
      <c r="D48" s="31">
        <v>2265900</v>
      </c>
      <c r="E48" s="29">
        <v>197.6306884</v>
      </c>
      <c r="F48" s="30">
        <v>0.90147066349183802</v>
      </c>
    </row>
    <row r="49" spans="1:6" x14ac:dyDescent="0.2">
      <c r="A49" s="27" t="s">
        <v>1399</v>
      </c>
      <c r="B49" s="27" t="s">
        <v>1398</v>
      </c>
      <c r="C49" s="27" t="s">
        <v>907</v>
      </c>
      <c r="D49" s="31">
        <v>4500</v>
      </c>
      <c r="E49" s="29">
        <v>195.58752140000001</v>
      </c>
      <c r="F49" s="30">
        <v>0.89215098178639995</v>
      </c>
    </row>
    <row r="50" spans="1:6" x14ac:dyDescent="0.2">
      <c r="A50" s="27" t="s">
        <v>1401</v>
      </c>
      <c r="B50" s="27" t="s">
        <v>1400</v>
      </c>
      <c r="C50" s="27" t="s">
        <v>1037</v>
      </c>
      <c r="D50" s="31">
        <v>7538</v>
      </c>
      <c r="E50" s="29">
        <v>185.9978807</v>
      </c>
      <c r="F50" s="30">
        <v>0.84840888973346695</v>
      </c>
    </row>
    <row r="51" spans="1:6" x14ac:dyDescent="0.2">
      <c r="A51" s="27" t="s">
        <v>1403</v>
      </c>
      <c r="B51" s="27" t="s">
        <v>1402</v>
      </c>
      <c r="C51" s="27" t="s">
        <v>1099</v>
      </c>
      <c r="D51" s="31">
        <v>2530</v>
      </c>
      <c r="E51" s="29">
        <v>167.47175150000001</v>
      </c>
      <c r="F51" s="30">
        <v>0.76390398759975797</v>
      </c>
    </row>
    <row r="52" spans="1:6" x14ac:dyDescent="0.2">
      <c r="A52" s="27" t="s">
        <v>1405</v>
      </c>
      <c r="B52" s="27" t="s">
        <v>1404</v>
      </c>
      <c r="C52" s="27" t="s">
        <v>886</v>
      </c>
      <c r="D52" s="31">
        <v>17512</v>
      </c>
      <c r="E52" s="29">
        <v>161.30619609999999</v>
      </c>
      <c r="F52" s="30">
        <v>0.73578048430059295</v>
      </c>
    </row>
    <row r="53" spans="1:6" x14ac:dyDescent="0.2">
      <c r="A53" s="27" t="s">
        <v>1407</v>
      </c>
      <c r="B53" s="27" t="s">
        <v>1406</v>
      </c>
      <c r="C53" s="27" t="s">
        <v>876</v>
      </c>
      <c r="D53" s="31">
        <v>1200</v>
      </c>
      <c r="E53" s="29">
        <v>157.86477060000001</v>
      </c>
      <c r="F53" s="30">
        <v>0.72008280013039105</v>
      </c>
    </row>
    <row r="54" spans="1:6" x14ac:dyDescent="0.2">
      <c r="A54" s="27" t="s">
        <v>1409</v>
      </c>
      <c r="B54" s="27" t="s">
        <v>1408</v>
      </c>
      <c r="C54" s="27" t="s">
        <v>989</v>
      </c>
      <c r="D54" s="31">
        <v>217546</v>
      </c>
      <c r="E54" s="29">
        <v>135.5392986</v>
      </c>
      <c r="F54" s="30">
        <v>0.61824761340132195</v>
      </c>
    </row>
    <row r="55" spans="1:6" x14ac:dyDescent="0.2">
      <c r="A55" s="27" t="s">
        <v>1116</v>
      </c>
      <c r="B55" s="27" t="s">
        <v>1115</v>
      </c>
      <c r="C55" s="27" t="s">
        <v>876</v>
      </c>
      <c r="D55" s="31">
        <v>6700</v>
      </c>
      <c r="E55" s="29">
        <v>127.9708509</v>
      </c>
      <c r="F55" s="30">
        <v>0.58372497106799603</v>
      </c>
    </row>
    <row r="56" spans="1:6" x14ac:dyDescent="0.2">
      <c r="A56" s="27" t="s">
        <v>1411</v>
      </c>
      <c r="B56" s="27" t="s">
        <v>1410</v>
      </c>
      <c r="C56" s="27" t="s">
        <v>1412</v>
      </c>
      <c r="D56" s="31">
        <v>33150</v>
      </c>
      <c r="E56" s="29">
        <v>127.8106817</v>
      </c>
      <c r="F56" s="30">
        <v>0.58299437686643796</v>
      </c>
    </row>
    <row r="57" spans="1:6" x14ac:dyDescent="0.2">
      <c r="A57" s="27" t="s">
        <v>1414</v>
      </c>
      <c r="B57" s="27" t="s">
        <v>1413</v>
      </c>
      <c r="C57" s="27" t="s">
        <v>907</v>
      </c>
      <c r="D57" s="31">
        <v>101700</v>
      </c>
      <c r="E57" s="29">
        <v>124.5338526</v>
      </c>
      <c r="F57" s="30">
        <v>0.56804748108399905</v>
      </c>
    </row>
    <row r="58" spans="1:6" x14ac:dyDescent="0.2">
      <c r="A58" s="27" t="s">
        <v>1416</v>
      </c>
      <c r="B58" s="27" t="s">
        <v>1415</v>
      </c>
      <c r="C58" s="27" t="s">
        <v>895</v>
      </c>
      <c r="D58" s="31">
        <v>1000</v>
      </c>
      <c r="E58" s="29">
        <v>86.409004499999995</v>
      </c>
      <c r="F58" s="30">
        <v>0.39414517678866801</v>
      </c>
    </row>
    <row r="59" spans="1:6" x14ac:dyDescent="0.2">
      <c r="A59" s="27" t="s">
        <v>1418</v>
      </c>
      <c r="B59" s="27" t="s">
        <v>1417</v>
      </c>
      <c r="C59" s="27" t="s">
        <v>1022</v>
      </c>
      <c r="D59" s="31">
        <v>31200</v>
      </c>
      <c r="E59" s="29">
        <v>69.384097699999998</v>
      </c>
      <c r="F59" s="30">
        <v>0.31648793563278199</v>
      </c>
    </row>
    <row r="60" spans="1:6" x14ac:dyDescent="0.2">
      <c r="A60" s="27" t="s">
        <v>1420</v>
      </c>
      <c r="B60" s="27" t="s">
        <v>1419</v>
      </c>
      <c r="C60" s="27" t="s">
        <v>1022</v>
      </c>
      <c r="D60" s="31">
        <v>6415</v>
      </c>
      <c r="E60" s="29">
        <v>50.173884399999999</v>
      </c>
      <c r="F60" s="30">
        <v>0.228862659064799</v>
      </c>
    </row>
    <row r="61" spans="1:6" x14ac:dyDescent="0.2">
      <c r="A61" s="27" t="s">
        <v>1422</v>
      </c>
      <c r="B61" s="27" t="s">
        <v>1421</v>
      </c>
      <c r="C61" s="27" t="s">
        <v>907</v>
      </c>
      <c r="D61" s="31">
        <v>16000</v>
      </c>
      <c r="E61" s="29">
        <v>48.751626700000003</v>
      </c>
      <c r="F61" s="30">
        <v>0.22237518688699501</v>
      </c>
    </row>
    <row r="62" spans="1:6" x14ac:dyDescent="0.2">
      <c r="A62" s="27" t="s">
        <v>1424</v>
      </c>
      <c r="B62" s="27" t="s">
        <v>1423</v>
      </c>
      <c r="C62" s="27" t="s">
        <v>989</v>
      </c>
      <c r="D62" s="31">
        <v>8388</v>
      </c>
      <c r="E62" s="29">
        <v>1.690777</v>
      </c>
      <c r="F62" s="29">
        <v>7.7122934517225503E-3</v>
      </c>
    </row>
    <row r="63" spans="1:6" x14ac:dyDescent="0.2">
      <c r="A63" s="27"/>
      <c r="B63" s="27" t="s">
        <v>1535</v>
      </c>
      <c r="C63" s="27" t="s">
        <v>1012</v>
      </c>
      <c r="D63" s="31">
        <v>646</v>
      </c>
      <c r="E63" s="29">
        <v>1.3759916999999999</v>
      </c>
      <c r="F63" s="29">
        <v>6.2764349039137503E-3</v>
      </c>
    </row>
    <row r="64" spans="1:6" x14ac:dyDescent="0.2">
      <c r="A64" s="27" t="s">
        <v>1426</v>
      </c>
      <c r="B64" s="27" t="s">
        <v>1425</v>
      </c>
      <c r="C64" s="27" t="s">
        <v>989</v>
      </c>
      <c r="D64" s="31">
        <v>8195</v>
      </c>
      <c r="E64" s="29">
        <v>0.13214989999999999</v>
      </c>
      <c r="F64" s="30">
        <v>6.0278724421717895E-4</v>
      </c>
    </row>
    <row r="65" spans="1:9" ht="10.5" x14ac:dyDescent="0.25">
      <c r="A65" s="26" t="s">
        <v>164</v>
      </c>
      <c r="B65" s="26"/>
      <c r="C65" s="26"/>
      <c r="D65" s="32"/>
      <c r="E65" s="33">
        <f>SUM(E21:E64)</f>
        <v>17930.3747492</v>
      </c>
      <c r="F65" s="34">
        <f>SUM(F21:F64)</f>
        <v>81.787433685924569</v>
      </c>
      <c r="G65" s="18"/>
      <c r="H65" s="18"/>
      <c r="I65" s="18"/>
    </row>
    <row r="66" spans="1:9" x14ac:dyDescent="0.2">
      <c r="A66" s="27"/>
      <c r="B66" s="27"/>
      <c r="C66" s="27"/>
      <c r="D66" s="28"/>
      <c r="E66" s="29"/>
      <c r="F66" s="30"/>
    </row>
    <row r="67" spans="1:9" ht="10.5" x14ac:dyDescent="0.25">
      <c r="A67" s="26" t="s">
        <v>176</v>
      </c>
      <c r="B67" s="26"/>
      <c r="C67" s="26"/>
      <c r="D67" s="32"/>
      <c r="E67" s="33">
        <f>E19+E65</f>
        <v>20951.961885199999</v>
      </c>
      <c r="F67" s="34">
        <f>F19+F65</f>
        <v>95.570071303293318</v>
      </c>
      <c r="G67" s="18"/>
      <c r="H67" s="18"/>
      <c r="I67" s="18"/>
    </row>
    <row r="68" spans="1:9" ht="10.5" x14ac:dyDescent="0.25">
      <c r="A68" s="26"/>
      <c r="B68" s="26"/>
      <c r="C68" s="26"/>
      <c r="D68" s="32"/>
      <c r="E68" s="33"/>
      <c r="F68" s="34"/>
      <c r="G68" s="18"/>
      <c r="H68" s="18"/>
      <c r="I68" s="18"/>
    </row>
    <row r="69" spans="1:9" ht="10.5" x14ac:dyDescent="0.25">
      <c r="A69" s="26" t="s">
        <v>178</v>
      </c>
      <c r="B69" s="26"/>
      <c r="C69" s="26"/>
      <c r="D69" s="32"/>
      <c r="E69" s="33">
        <f>E71-(E19+E65)</f>
        <v>971.1795329000015</v>
      </c>
      <c r="F69" s="34">
        <f>F71-(F19+F65)</f>
        <v>4.429928696706682</v>
      </c>
      <c r="G69" s="18"/>
      <c r="H69" s="18"/>
      <c r="I69" s="18"/>
    </row>
    <row r="70" spans="1:9" ht="10.5" x14ac:dyDescent="0.25">
      <c r="A70" s="26"/>
      <c r="B70" s="26"/>
      <c r="C70" s="26"/>
      <c r="D70" s="32"/>
      <c r="E70" s="33"/>
      <c r="F70" s="34"/>
      <c r="G70" s="18"/>
      <c r="H70" s="18"/>
      <c r="I70" s="18"/>
    </row>
    <row r="71" spans="1:9" ht="10.5" x14ac:dyDescent="0.25">
      <c r="A71" s="35" t="s">
        <v>177</v>
      </c>
      <c r="B71" s="35"/>
      <c r="C71" s="35"/>
      <c r="D71" s="36"/>
      <c r="E71" s="37">
        <v>21923.1414181</v>
      </c>
      <c r="F71" s="38">
        <v>100</v>
      </c>
      <c r="G71" s="18"/>
      <c r="H71" s="18"/>
      <c r="I71" s="18"/>
    </row>
    <row r="72" spans="1:9" ht="10.5" x14ac:dyDescent="0.25">
      <c r="F72" s="20" t="s">
        <v>337</v>
      </c>
    </row>
    <row r="73" spans="1:9" ht="10.5" x14ac:dyDescent="0.25">
      <c r="A73" s="18" t="s">
        <v>1499</v>
      </c>
    </row>
    <row r="75" spans="1:9" ht="10.5" x14ac:dyDescent="0.25">
      <c r="A75" s="18" t="s">
        <v>181</v>
      </c>
    </row>
    <row r="76" spans="1:9" ht="10.5" x14ac:dyDescent="0.25">
      <c r="A76" s="18" t="s">
        <v>182</v>
      </c>
    </row>
    <row r="77" spans="1:9" ht="10.5" x14ac:dyDescent="0.25">
      <c r="A77" s="18" t="s">
        <v>183</v>
      </c>
      <c r="B77" s="18"/>
      <c r="C77" s="39" t="s">
        <v>185</v>
      </c>
      <c r="D77" s="19" t="s">
        <v>184</v>
      </c>
    </row>
    <row r="78" spans="1:9" x14ac:dyDescent="0.2">
      <c r="A78" s="9" t="s">
        <v>421</v>
      </c>
      <c r="C78" s="40">
        <v>21.946000000000002</v>
      </c>
      <c r="D78" s="40">
        <v>30.175899999999999</v>
      </c>
    </row>
    <row r="79" spans="1:9" x14ac:dyDescent="0.2">
      <c r="A79" s="9" t="s">
        <v>458</v>
      </c>
      <c r="C79" s="40">
        <v>12.0854</v>
      </c>
      <c r="D79" s="40">
        <v>16.6175</v>
      </c>
    </row>
    <row r="80" spans="1:9" x14ac:dyDescent="0.2">
      <c r="A80" s="9" t="s">
        <v>424</v>
      </c>
      <c r="C80" s="40">
        <v>22.996099999999998</v>
      </c>
      <c r="D80" s="40">
        <v>31.7121</v>
      </c>
    </row>
    <row r="81" spans="1:4" x14ac:dyDescent="0.2">
      <c r="A81" s="9" t="s">
        <v>459</v>
      </c>
      <c r="C81" s="40">
        <v>12.7591</v>
      </c>
      <c r="D81" s="40">
        <v>17.592300000000002</v>
      </c>
    </row>
    <row r="83" spans="1:4" ht="10.5" x14ac:dyDescent="0.25">
      <c r="A83" s="18" t="s">
        <v>197</v>
      </c>
      <c r="D83" s="41" t="s">
        <v>198</v>
      </c>
    </row>
    <row r="85" spans="1:4" ht="10.5" x14ac:dyDescent="0.25">
      <c r="A85" s="18" t="s">
        <v>1003</v>
      </c>
      <c r="D85" s="47">
        <v>0.2702</v>
      </c>
    </row>
  </sheetData>
  <mergeCells count="1">
    <mergeCell ref="A1:F1"/>
  </mergeCells>
  <conditionalFormatting sqref="F2:F3 F5:F61 F64:F65537">
    <cfRule type="cellIs" dxfId="1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I77"/>
  <sheetViews>
    <sheetView workbookViewId="0">
      <selection sqref="A1:F1"/>
    </sheetView>
  </sheetViews>
  <sheetFormatPr defaultColWidth="9.1796875" defaultRowHeight="10" x14ac:dyDescent="0.2"/>
  <cols>
    <col min="1" max="1" width="38.7265625" style="9" bestFit="1" customWidth="1"/>
    <col min="2" max="2" width="33.453125" style="9" bestFit="1" customWidth="1"/>
    <col min="3" max="3" width="18.81640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71" t="s">
        <v>59</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870</v>
      </c>
      <c r="B7" s="27" t="s">
        <v>869</v>
      </c>
      <c r="C7" s="27" t="s">
        <v>871</v>
      </c>
      <c r="D7" s="31">
        <v>276994</v>
      </c>
      <c r="E7" s="29">
        <v>3991.068049</v>
      </c>
      <c r="F7" s="30">
        <v>11.2873195089739</v>
      </c>
    </row>
    <row r="8" spans="1:6" x14ac:dyDescent="0.2">
      <c r="A8" s="27" t="s">
        <v>1428</v>
      </c>
      <c r="B8" s="27" t="s">
        <v>1427</v>
      </c>
      <c r="C8" s="27" t="s">
        <v>912</v>
      </c>
      <c r="D8" s="31">
        <v>205208</v>
      </c>
      <c r="E8" s="29">
        <v>3960.1039839999999</v>
      </c>
      <c r="F8" s="30">
        <v>11.1997486405596</v>
      </c>
    </row>
    <row r="9" spans="1:6" x14ac:dyDescent="0.2">
      <c r="A9" s="27" t="s">
        <v>966</v>
      </c>
      <c r="B9" s="27" t="s">
        <v>965</v>
      </c>
      <c r="C9" s="27" t="s">
        <v>967</v>
      </c>
      <c r="D9" s="31">
        <v>114798</v>
      </c>
      <c r="E9" s="29">
        <v>2590.1298750000001</v>
      </c>
      <c r="F9" s="30">
        <v>7.3252630899613198</v>
      </c>
    </row>
    <row r="10" spans="1:6" x14ac:dyDescent="0.2">
      <c r="A10" s="27" t="s">
        <v>875</v>
      </c>
      <c r="B10" s="27" t="s">
        <v>874</v>
      </c>
      <c r="C10" s="27" t="s">
        <v>876</v>
      </c>
      <c r="D10" s="31">
        <v>229504</v>
      </c>
      <c r="E10" s="29">
        <v>2524.5439999999999</v>
      </c>
      <c r="F10" s="30">
        <v>7.13977671956828</v>
      </c>
    </row>
    <row r="11" spans="1:6" x14ac:dyDescent="0.2">
      <c r="A11" s="27" t="s">
        <v>880</v>
      </c>
      <c r="B11" s="27" t="s">
        <v>879</v>
      </c>
      <c r="C11" s="27" t="s">
        <v>871</v>
      </c>
      <c r="D11" s="31">
        <v>439303</v>
      </c>
      <c r="E11" s="29">
        <v>2079.4407510000001</v>
      </c>
      <c r="F11" s="30">
        <v>5.8809601511050698</v>
      </c>
    </row>
    <row r="12" spans="1:6" x14ac:dyDescent="0.2">
      <c r="A12" s="27" t="s">
        <v>878</v>
      </c>
      <c r="B12" s="27" t="s">
        <v>877</v>
      </c>
      <c r="C12" s="27" t="s">
        <v>871</v>
      </c>
      <c r="D12" s="31">
        <v>93359</v>
      </c>
      <c r="E12" s="29">
        <v>1780.4494890000001</v>
      </c>
      <c r="F12" s="30">
        <v>5.0353694813516601</v>
      </c>
    </row>
    <row r="13" spans="1:6" x14ac:dyDescent="0.2">
      <c r="A13" s="27" t="s">
        <v>1007</v>
      </c>
      <c r="B13" s="27" t="s">
        <v>1006</v>
      </c>
      <c r="C13" s="27" t="s">
        <v>876</v>
      </c>
      <c r="D13" s="31">
        <v>65545</v>
      </c>
      <c r="E13" s="29">
        <v>1756.376593</v>
      </c>
      <c r="F13" s="30">
        <v>4.9672878387130703</v>
      </c>
    </row>
    <row r="14" spans="1:6" x14ac:dyDescent="0.2">
      <c r="A14" s="27" t="s">
        <v>1072</v>
      </c>
      <c r="B14" s="27" t="s">
        <v>1071</v>
      </c>
      <c r="C14" s="27" t="s">
        <v>907</v>
      </c>
      <c r="D14" s="31">
        <v>56970</v>
      </c>
      <c r="E14" s="29">
        <v>1218.1325400000001</v>
      </c>
      <c r="F14" s="30">
        <v>3.44505556268403</v>
      </c>
    </row>
    <row r="15" spans="1:6" x14ac:dyDescent="0.2">
      <c r="A15" s="27" t="s">
        <v>1019</v>
      </c>
      <c r="B15" s="27" t="s">
        <v>1018</v>
      </c>
      <c r="C15" s="27" t="s">
        <v>907</v>
      </c>
      <c r="D15" s="31">
        <v>549326</v>
      </c>
      <c r="E15" s="29">
        <v>1063.7697989999999</v>
      </c>
      <c r="F15" s="30">
        <v>3.0084953345554801</v>
      </c>
    </row>
    <row r="16" spans="1:6" x14ac:dyDescent="0.2">
      <c r="A16" s="27" t="s">
        <v>873</v>
      </c>
      <c r="B16" s="27" t="s">
        <v>872</v>
      </c>
      <c r="C16" s="27" t="s">
        <v>871</v>
      </c>
      <c r="D16" s="31">
        <v>154646</v>
      </c>
      <c r="E16" s="29">
        <v>930.35033599999997</v>
      </c>
      <c r="F16" s="30">
        <v>2.6311657352834099</v>
      </c>
    </row>
    <row r="17" spans="1:6" x14ac:dyDescent="0.2">
      <c r="A17" s="27" t="s">
        <v>983</v>
      </c>
      <c r="B17" s="27" t="s">
        <v>982</v>
      </c>
      <c r="C17" s="27" t="s">
        <v>984</v>
      </c>
      <c r="D17" s="31">
        <v>76708</v>
      </c>
      <c r="E17" s="29">
        <v>860.97059200000001</v>
      </c>
      <c r="F17" s="30">
        <v>2.4349497529036999</v>
      </c>
    </row>
    <row r="18" spans="1:6" x14ac:dyDescent="0.2">
      <c r="A18" s="27" t="s">
        <v>1430</v>
      </c>
      <c r="B18" s="27" t="s">
        <v>1429</v>
      </c>
      <c r="C18" s="27" t="s">
        <v>967</v>
      </c>
      <c r="D18" s="31">
        <v>16527</v>
      </c>
      <c r="E18" s="29">
        <v>811.277376</v>
      </c>
      <c r="F18" s="30">
        <v>2.2944101280378701</v>
      </c>
    </row>
    <row r="19" spans="1:6" x14ac:dyDescent="0.2">
      <c r="A19" s="27" t="s">
        <v>882</v>
      </c>
      <c r="B19" s="27" t="s">
        <v>881</v>
      </c>
      <c r="C19" s="27" t="s">
        <v>883</v>
      </c>
      <c r="D19" s="31">
        <v>149133</v>
      </c>
      <c r="E19" s="29">
        <v>690.85862250000002</v>
      </c>
      <c r="F19" s="30">
        <v>1.9538484215123699</v>
      </c>
    </row>
    <row r="20" spans="1:6" x14ac:dyDescent="0.2">
      <c r="A20" s="27" t="s">
        <v>1283</v>
      </c>
      <c r="B20" s="27" t="s">
        <v>1282</v>
      </c>
      <c r="C20" s="27" t="s">
        <v>907</v>
      </c>
      <c r="D20" s="31">
        <v>28457</v>
      </c>
      <c r="E20" s="29">
        <v>630.40792099999999</v>
      </c>
      <c r="F20" s="30">
        <v>1.7828850668426599</v>
      </c>
    </row>
    <row r="21" spans="1:6" x14ac:dyDescent="0.2">
      <c r="A21" s="27" t="s">
        <v>973</v>
      </c>
      <c r="B21" s="27" t="s">
        <v>972</v>
      </c>
      <c r="C21" s="27" t="s">
        <v>898</v>
      </c>
      <c r="D21" s="31">
        <v>8398</v>
      </c>
      <c r="E21" s="29">
        <v>590.86648400000001</v>
      </c>
      <c r="F21" s="30">
        <v>1.6710561459163999</v>
      </c>
    </row>
    <row r="22" spans="1:6" x14ac:dyDescent="0.2">
      <c r="A22" s="27" t="s">
        <v>920</v>
      </c>
      <c r="B22" s="27" t="s">
        <v>919</v>
      </c>
      <c r="C22" s="27" t="s">
        <v>871</v>
      </c>
      <c r="D22" s="31">
        <v>241658</v>
      </c>
      <c r="E22" s="29">
        <v>590.24966500000005</v>
      </c>
      <c r="F22" s="30">
        <v>1.6693116922897699</v>
      </c>
    </row>
    <row r="23" spans="1:6" x14ac:dyDescent="0.2">
      <c r="A23" s="27" t="s">
        <v>1024</v>
      </c>
      <c r="B23" s="27" t="s">
        <v>1023</v>
      </c>
      <c r="C23" s="27" t="s">
        <v>876</v>
      </c>
      <c r="D23" s="31">
        <v>68722</v>
      </c>
      <c r="E23" s="29">
        <v>564.96356200000002</v>
      </c>
      <c r="F23" s="30">
        <v>1.5977989242302699</v>
      </c>
    </row>
    <row r="24" spans="1:6" x14ac:dyDescent="0.2">
      <c r="A24" s="27" t="s">
        <v>897</v>
      </c>
      <c r="B24" s="27" t="s">
        <v>896</v>
      </c>
      <c r="C24" s="27" t="s">
        <v>898</v>
      </c>
      <c r="D24" s="31">
        <v>58902</v>
      </c>
      <c r="E24" s="29">
        <v>425.27244000000002</v>
      </c>
      <c r="F24" s="30">
        <v>1.2027321633475201</v>
      </c>
    </row>
    <row r="25" spans="1:6" x14ac:dyDescent="0.2">
      <c r="A25" s="27" t="s">
        <v>986</v>
      </c>
      <c r="B25" s="27" t="s">
        <v>985</v>
      </c>
      <c r="C25" s="27" t="s">
        <v>907</v>
      </c>
      <c r="D25" s="31">
        <v>2241</v>
      </c>
      <c r="E25" s="29">
        <v>400.8913695</v>
      </c>
      <c r="F25" s="30">
        <v>1.13377895850971</v>
      </c>
    </row>
    <row r="26" spans="1:6" x14ac:dyDescent="0.2">
      <c r="A26" s="27" t="s">
        <v>960</v>
      </c>
      <c r="B26" s="27" t="s">
        <v>959</v>
      </c>
      <c r="C26" s="27" t="s">
        <v>915</v>
      </c>
      <c r="D26" s="31">
        <v>7308</v>
      </c>
      <c r="E26" s="29">
        <v>352.89966600000002</v>
      </c>
      <c r="F26" s="30">
        <v>0.99805145786733096</v>
      </c>
    </row>
    <row r="27" spans="1:6" x14ac:dyDescent="0.2">
      <c r="A27" s="27" t="s">
        <v>1009</v>
      </c>
      <c r="B27" s="27" t="s">
        <v>1008</v>
      </c>
      <c r="C27" s="27" t="s">
        <v>895</v>
      </c>
      <c r="D27" s="31">
        <v>25864</v>
      </c>
      <c r="E27" s="29">
        <v>352.060768</v>
      </c>
      <c r="F27" s="30">
        <v>0.99567893260712803</v>
      </c>
    </row>
    <row r="28" spans="1:6" x14ac:dyDescent="0.2">
      <c r="A28" s="27" t="s">
        <v>1294</v>
      </c>
      <c r="B28" s="27" t="s">
        <v>1293</v>
      </c>
      <c r="C28" s="27" t="s">
        <v>886</v>
      </c>
      <c r="D28" s="31">
        <v>7327</v>
      </c>
      <c r="E28" s="29">
        <v>351.84253999999999</v>
      </c>
      <c r="F28" s="30">
        <v>0.99506175216030002</v>
      </c>
    </row>
    <row r="29" spans="1:6" x14ac:dyDescent="0.2">
      <c r="A29" s="27" t="s">
        <v>1319</v>
      </c>
      <c r="B29" s="27" t="s">
        <v>1318</v>
      </c>
      <c r="C29" s="27" t="s">
        <v>915</v>
      </c>
      <c r="D29" s="31">
        <v>67027</v>
      </c>
      <c r="E29" s="29">
        <v>342.9436455</v>
      </c>
      <c r="F29" s="30">
        <v>0.96989438736848299</v>
      </c>
    </row>
    <row r="30" spans="1:6" x14ac:dyDescent="0.2">
      <c r="A30" s="27" t="s">
        <v>979</v>
      </c>
      <c r="B30" s="27" t="s">
        <v>978</v>
      </c>
      <c r="C30" s="27" t="s">
        <v>876</v>
      </c>
      <c r="D30" s="31">
        <v>38892</v>
      </c>
      <c r="E30" s="29">
        <v>341.02450199999998</v>
      </c>
      <c r="F30" s="30">
        <v>0.96446677110082801</v>
      </c>
    </row>
    <row r="31" spans="1:6" x14ac:dyDescent="0.2">
      <c r="A31" s="27" t="s">
        <v>1432</v>
      </c>
      <c r="B31" s="27" t="s">
        <v>1431</v>
      </c>
      <c r="C31" s="27" t="s">
        <v>967</v>
      </c>
      <c r="D31" s="31">
        <v>3800</v>
      </c>
      <c r="E31" s="29">
        <v>332.83440000000002</v>
      </c>
      <c r="F31" s="30">
        <v>0.94130397433812896</v>
      </c>
    </row>
    <row r="32" spans="1:6" x14ac:dyDescent="0.2">
      <c r="A32" s="27" t="s">
        <v>1434</v>
      </c>
      <c r="B32" s="27" t="s">
        <v>1433</v>
      </c>
      <c r="C32" s="27" t="s">
        <v>876</v>
      </c>
      <c r="D32" s="31">
        <v>90979</v>
      </c>
      <c r="E32" s="29">
        <v>318.881395</v>
      </c>
      <c r="F32" s="30">
        <v>0.90184285174845802</v>
      </c>
    </row>
    <row r="33" spans="1:6" x14ac:dyDescent="0.2">
      <c r="A33" s="27" t="s">
        <v>1332</v>
      </c>
      <c r="B33" s="27" t="s">
        <v>1331</v>
      </c>
      <c r="C33" s="27" t="s">
        <v>871</v>
      </c>
      <c r="D33" s="31">
        <v>36090</v>
      </c>
      <c r="E33" s="29">
        <v>309.52588500000002</v>
      </c>
      <c r="F33" s="30">
        <v>0.87538411207203004</v>
      </c>
    </row>
    <row r="34" spans="1:6" x14ac:dyDescent="0.2">
      <c r="A34" s="27" t="s">
        <v>1436</v>
      </c>
      <c r="B34" s="27" t="s">
        <v>1435</v>
      </c>
      <c r="C34" s="27" t="s">
        <v>967</v>
      </c>
      <c r="D34" s="31">
        <v>47558</v>
      </c>
      <c r="E34" s="29">
        <v>307.605144</v>
      </c>
      <c r="F34" s="30">
        <v>0.86995197784259204</v>
      </c>
    </row>
    <row r="35" spans="1:6" x14ac:dyDescent="0.2">
      <c r="A35" s="27" t="s">
        <v>917</v>
      </c>
      <c r="B35" s="27" t="s">
        <v>916</v>
      </c>
      <c r="C35" s="27" t="s">
        <v>918</v>
      </c>
      <c r="D35" s="31">
        <v>158729</v>
      </c>
      <c r="E35" s="29">
        <v>305.39459599999998</v>
      </c>
      <c r="F35" s="30">
        <v>0.86370022736888796</v>
      </c>
    </row>
    <row r="36" spans="1:6" x14ac:dyDescent="0.2">
      <c r="A36" s="27" t="s">
        <v>922</v>
      </c>
      <c r="B36" s="27" t="s">
        <v>921</v>
      </c>
      <c r="C36" s="27" t="s">
        <v>918</v>
      </c>
      <c r="D36" s="31">
        <v>304914</v>
      </c>
      <c r="E36" s="29">
        <v>288.753558</v>
      </c>
      <c r="F36" s="30">
        <v>0.81663695744693299</v>
      </c>
    </row>
    <row r="37" spans="1:6" x14ac:dyDescent="0.2">
      <c r="A37" s="27" t="s">
        <v>1438</v>
      </c>
      <c r="B37" s="27" t="s">
        <v>1437</v>
      </c>
      <c r="C37" s="27" t="s">
        <v>915</v>
      </c>
      <c r="D37" s="31">
        <v>7906</v>
      </c>
      <c r="E37" s="29">
        <v>285.019206</v>
      </c>
      <c r="F37" s="30">
        <v>0.80607566817161302</v>
      </c>
    </row>
    <row r="38" spans="1:6" x14ac:dyDescent="0.2">
      <c r="A38" s="27" t="s">
        <v>903</v>
      </c>
      <c r="B38" s="27" t="s">
        <v>902</v>
      </c>
      <c r="C38" s="27" t="s">
        <v>904</v>
      </c>
      <c r="D38" s="31">
        <v>47220</v>
      </c>
      <c r="E38" s="29">
        <v>272.62466999999998</v>
      </c>
      <c r="F38" s="30">
        <v>0.77102212203312204</v>
      </c>
    </row>
    <row r="39" spans="1:6" x14ac:dyDescent="0.2">
      <c r="A39" s="27" t="s">
        <v>1440</v>
      </c>
      <c r="B39" s="27" t="s">
        <v>1439</v>
      </c>
      <c r="C39" s="27" t="s">
        <v>907</v>
      </c>
      <c r="D39" s="31">
        <v>7346</v>
      </c>
      <c r="E39" s="29">
        <v>267.243807</v>
      </c>
      <c r="F39" s="30">
        <v>0.75580426075655605</v>
      </c>
    </row>
    <row r="40" spans="1:6" x14ac:dyDescent="0.2">
      <c r="A40" s="27" t="s">
        <v>931</v>
      </c>
      <c r="B40" s="27" t="s">
        <v>930</v>
      </c>
      <c r="C40" s="27" t="s">
        <v>898</v>
      </c>
      <c r="D40" s="31">
        <v>8023</v>
      </c>
      <c r="E40" s="29">
        <v>254.61391649999999</v>
      </c>
      <c r="F40" s="30">
        <v>0.72008509794434294</v>
      </c>
    </row>
    <row r="41" spans="1:6" x14ac:dyDescent="0.2">
      <c r="A41" s="27" t="s">
        <v>1442</v>
      </c>
      <c r="B41" s="27" t="s">
        <v>1441</v>
      </c>
      <c r="C41" s="27" t="s">
        <v>898</v>
      </c>
      <c r="D41" s="31">
        <v>8110</v>
      </c>
      <c r="E41" s="29">
        <v>252.127735</v>
      </c>
      <c r="F41" s="30">
        <v>0.71305381594081196</v>
      </c>
    </row>
    <row r="42" spans="1:6" x14ac:dyDescent="0.2">
      <c r="A42" s="27" t="s">
        <v>1444</v>
      </c>
      <c r="B42" s="27" t="s">
        <v>1443</v>
      </c>
      <c r="C42" s="27" t="s">
        <v>915</v>
      </c>
      <c r="D42" s="31">
        <v>31734</v>
      </c>
      <c r="E42" s="29">
        <v>236.60870399999999</v>
      </c>
      <c r="F42" s="30">
        <v>0.66916374460751005</v>
      </c>
    </row>
    <row r="43" spans="1:6" x14ac:dyDescent="0.2">
      <c r="A43" s="27" t="s">
        <v>1446</v>
      </c>
      <c r="B43" s="27" t="s">
        <v>1445</v>
      </c>
      <c r="C43" s="27" t="s">
        <v>904</v>
      </c>
      <c r="D43" s="31">
        <v>61678</v>
      </c>
      <c r="E43" s="29">
        <v>215.99635599999999</v>
      </c>
      <c r="F43" s="30">
        <v>0.61086903380586099</v>
      </c>
    </row>
    <row r="44" spans="1:6" x14ac:dyDescent="0.2">
      <c r="A44" s="27" t="s">
        <v>885</v>
      </c>
      <c r="B44" s="27" t="s">
        <v>884</v>
      </c>
      <c r="C44" s="27" t="s">
        <v>886</v>
      </c>
      <c r="D44" s="31">
        <v>24227</v>
      </c>
      <c r="E44" s="29">
        <v>212.16795250000001</v>
      </c>
      <c r="F44" s="30">
        <v>0.60004175324255404</v>
      </c>
    </row>
    <row r="45" spans="1:6" x14ac:dyDescent="0.2">
      <c r="A45" s="27" t="s">
        <v>1448</v>
      </c>
      <c r="B45" s="27" t="s">
        <v>1447</v>
      </c>
      <c r="C45" s="27" t="s">
        <v>898</v>
      </c>
      <c r="D45" s="31">
        <v>8296</v>
      </c>
      <c r="E45" s="29">
        <v>210.274564</v>
      </c>
      <c r="F45" s="30">
        <v>0.59468697585170704</v>
      </c>
    </row>
    <row r="46" spans="1:6" x14ac:dyDescent="0.2">
      <c r="A46" s="27" t="s">
        <v>891</v>
      </c>
      <c r="B46" s="27" t="s">
        <v>890</v>
      </c>
      <c r="C46" s="27" t="s">
        <v>892</v>
      </c>
      <c r="D46" s="31">
        <v>90690</v>
      </c>
      <c r="E46" s="29">
        <v>205.276815</v>
      </c>
      <c r="F46" s="30">
        <v>0.58055261655337598</v>
      </c>
    </row>
    <row r="47" spans="1:6" x14ac:dyDescent="0.2">
      <c r="A47" s="27" t="s">
        <v>1450</v>
      </c>
      <c r="B47" s="27" t="s">
        <v>1449</v>
      </c>
      <c r="C47" s="27" t="s">
        <v>886</v>
      </c>
      <c r="D47" s="31">
        <v>841</v>
      </c>
      <c r="E47" s="29">
        <v>204.4164035</v>
      </c>
      <c r="F47" s="30">
        <v>0.57811924799376702</v>
      </c>
    </row>
    <row r="48" spans="1:6" x14ac:dyDescent="0.2">
      <c r="A48" s="27" t="s">
        <v>937</v>
      </c>
      <c r="B48" s="27" t="s">
        <v>936</v>
      </c>
      <c r="C48" s="27" t="s">
        <v>898</v>
      </c>
      <c r="D48" s="31">
        <v>111219</v>
      </c>
      <c r="E48" s="29">
        <v>200.58346649999999</v>
      </c>
      <c r="F48" s="30">
        <v>0.56727914603469198</v>
      </c>
    </row>
    <row r="49" spans="1:9" x14ac:dyDescent="0.2">
      <c r="A49" s="27" t="s">
        <v>1452</v>
      </c>
      <c r="B49" s="27" t="s">
        <v>1451</v>
      </c>
      <c r="C49" s="27" t="s">
        <v>967</v>
      </c>
      <c r="D49" s="31">
        <v>23408</v>
      </c>
      <c r="E49" s="29">
        <v>198.043384</v>
      </c>
      <c r="F49" s="30">
        <v>0.56009542418263303</v>
      </c>
    </row>
    <row r="50" spans="1:9" x14ac:dyDescent="0.2">
      <c r="A50" s="27" t="s">
        <v>1454</v>
      </c>
      <c r="B50" s="27" t="s">
        <v>1453</v>
      </c>
      <c r="C50" s="27" t="s">
        <v>1037</v>
      </c>
      <c r="D50" s="31">
        <v>45933</v>
      </c>
      <c r="E50" s="29">
        <v>189.0372615</v>
      </c>
      <c r="F50" s="30">
        <v>0.53462480304904203</v>
      </c>
    </row>
    <row r="51" spans="1:9" x14ac:dyDescent="0.2">
      <c r="A51" s="27" t="s">
        <v>929</v>
      </c>
      <c r="B51" s="27" t="s">
        <v>928</v>
      </c>
      <c r="C51" s="27" t="s">
        <v>912</v>
      </c>
      <c r="D51" s="31">
        <v>47078</v>
      </c>
      <c r="E51" s="29">
        <v>175.60094000000001</v>
      </c>
      <c r="F51" s="30">
        <v>0.49662493636328298</v>
      </c>
    </row>
    <row r="52" spans="1:9" x14ac:dyDescent="0.2">
      <c r="A52" s="27" t="s">
        <v>1026</v>
      </c>
      <c r="B52" s="27" t="s">
        <v>1025</v>
      </c>
      <c r="C52" s="27" t="s">
        <v>1027</v>
      </c>
      <c r="D52" s="31">
        <v>210784</v>
      </c>
      <c r="E52" s="29">
        <v>165.46544</v>
      </c>
      <c r="F52" s="30">
        <v>0.46796027179764899</v>
      </c>
    </row>
    <row r="53" spans="1:9" x14ac:dyDescent="0.2">
      <c r="A53" s="27" t="s">
        <v>951</v>
      </c>
      <c r="B53" s="27" t="s">
        <v>950</v>
      </c>
      <c r="C53" s="27" t="s">
        <v>952</v>
      </c>
      <c r="D53" s="31">
        <v>129456</v>
      </c>
      <c r="E53" s="29">
        <v>162.53200799999999</v>
      </c>
      <c r="F53" s="30">
        <v>0.45966410048828099</v>
      </c>
    </row>
    <row r="54" spans="1:9" x14ac:dyDescent="0.2">
      <c r="A54" s="27" t="s">
        <v>1456</v>
      </c>
      <c r="B54" s="27" t="s">
        <v>1455</v>
      </c>
      <c r="C54" s="27" t="s">
        <v>1254</v>
      </c>
      <c r="D54" s="31">
        <v>32142</v>
      </c>
      <c r="E54" s="29">
        <v>134.25713400000001</v>
      </c>
      <c r="F54" s="30">
        <v>0.37969865439824402</v>
      </c>
    </row>
    <row r="55" spans="1:9" x14ac:dyDescent="0.2">
      <c r="A55" s="27" t="s">
        <v>993</v>
      </c>
      <c r="B55" s="27" t="s">
        <v>992</v>
      </c>
      <c r="C55" s="27" t="s">
        <v>912</v>
      </c>
      <c r="D55" s="31">
        <v>151450</v>
      </c>
      <c r="E55" s="29">
        <v>128.1267</v>
      </c>
      <c r="F55" s="30">
        <v>0.36236089757798201</v>
      </c>
    </row>
    <row r="56" spans="1:9" x14ac:dyDescent="0.2">
      <c r="A56" s="27" t="s">
        <v>1000</v>
      </c>
      <c r="B56" s="27" t="s">
        <v>999</v>
      </c>
      <c r="C56" s="27" t="s">
        <v>901</v>
      </c>
      <c r="D56" s="31">
        <v>112478</v>
      </c>
      <c r="E56" s="29">
        <v>115.45866700000001</v>
      </c>
      <c r="F56" s="30">
        <v>0.32653386224165099</v>
      </c>
    </row>
    <row r="57" spans="1:9" x14ac:dyDescent="0.2">
      <c r="A57" s="27" t="s">
        <v>1458</v>
      </c>
      <c r="B57" s="27" t="s">
        <v>1457</v>
      </c>
      <c r="C57" s="27" t="s">
        <v>871</v>
      </c>
      <c r="D57" s="31">
        <v>92088</v>
      </c>
      <c r="E57" s="29">
        <v>0</v>
      </c>
      <c r="F57" s="29">
        <v>0</v>
      </c>
    </row>
    <row r="58" spans="1:9" ht="10.5" x14ac:dyDescent="0.25">
      <c r="A58" s="26" t="s">
        <v>164</v>
      </c>
      <c r="B58" s="26"/>
      <c r="C58" s="26"/>
      <c r="D58" s="32"/>
      <c r="E58" s="33">
        <f>SUM(E7:E57)</f>
        <v>35149.364677999998</v>
      </c>
      <c r="F58" s="34">
        <f>SUM(F7:F57)</f>
        <v>99.407503151301881</v>
      </c>
      <c r="G58" s="18"/>
      <c r="H58" s="18"/>
      <c r="I58" s="18"/>
    </row>
    <row r="59" spans="1:9" x14ac:dyDescent="0.2">
      <c r="A59" s="27"/>
      <c r="B59" s="27"/>
      <c r="C59" s="27"/>
      <c r="D59" s="28"/>
      <c r="E59" s="29"/>
      <c r="F59" s="30"/>
    </row>
    <row r="60" spans="1:9" ht="10.5" x14ac:dyDescent="0.25">
      <c r="A60" s="26" t="s">
        <v>176</v>
      </c>
      <c r="B60" s="26"/>
      <c r="C60" s="26"/>
      <c r="D60" s="32"/>
      <c r="E60" s="33">
        <f>E58</f>
        <v>35149.364677999998</v>
      </c>
      <c r="F60" s="34">
        <f>F58</f>
        <v>99.407503151301881</v>
      </c>
      <c r="G60" s="18"/>
      <c r="H60" s="18"/>
      <c r="I60" s="18"/>
    </row>
    <row r="61" spans="1:9" ht="10.5" x14ac:dyDescent="0.25">
      <c r="A61" s="26"/>
      <c r="B61" s="26"/>
      <c r="C61" s="26"/>
      <c r="D61" s="32"/>
      <c r="E61" s="33"/>
      <c r="F61" s="34"/>
      <c r="G61" s="18"/>
      <c r="H61" s="18"/>
      <c r="I61" s="18"/>
    </row>
    <row r="62" spans="1:9" ht="10.5" x14ac:dyDescent="0.25">
      <c r="A62" s="26" t="s">
        <v>178</v>
      </c>
      <c r="B62" s="26"/>
      <c r="C62" s="26"/>
      <c r="D62" s="32"/>
      <c r="E62" s="33">
        <f>E64-(E58)</f>
        <v>209.50015990000247</v>
      </c>
      <c r="F62" s="34">
        <f>F64-(F58)</f>
        <v>0.59249684869811858</v>
      </c>
      <c r="G62" s="18"/>
      <c r="H62" s="18"/>
      <c r="I62" s="18"/>
    </row>
    <row r="63" spans="1:9" ht="10.5" x14ac:dyDescent="0.25">
      <c r="A63" s="26"/>
      <c r="B63" s="26"/>
      <c r="C63" s="26"/>
      <c r="D63" s="32"/>
      <c r="E63" s="33"/>
      <c r="F63" s="34"/>
      <c r="G63" s="18"/>
      <c r="H63" s="18"/>
      <c r="I63" s="18"/>
    </row>
    <row r="64" spans="1:9" ht="10.5" x14ac:dyDescent="0.25">
      <c r="A64" s="35" t="s">
        <v>177</v>
      </c>
      <c r="B64" s="35"/>
      <c r="C64" s="35"/>
      <c r="D64" s="36"/>
      <c r="E64" s="37">
        <v>35358.864837900001</v>
      </c>
      <c r="F64" s="38">
        <v>100</v>
      </c>
      <c r="G64" s="18"/>
      <c r="H64" s="18"/>
      <c r="I64" s="18"/>
    </row>
    <row r="65" spans="1:6" ht="10.5" x14ac:dyDescent="0.25">
      <c r="F65" s="20"/>
    </row>
    <row r="67" spans="1:6" ht="10.5" x14ac:dyDescent="0.25">
      <c r="A67" s="18" t="s">
        <v>181</v>
      </c>
    </row>
    <row r="68" spans="1:6" ht="10.5" x14ac:dyDescent="0.25">
      <c r="A68" s="18" t="s">
        <v>182</v>
      </c>
    </row>
    <row r="69" spans="1:6" ht="10.5" x14ac:dyDescent="0.25">
      <c r="A69" s="18" t="s">
        <v>183</v>
      </c>
      <c r="B69" s="18"/>
      <c r="C69" s="39" t="s">
        <v>185</v>
      </c>
      <c r="D69" s="19" t="s">
        <v>184</v>
      </c>
    </row>
    <row r="70" spans="1:6" x14ac:dyDescent="0.2">
      <c r="A70" s="9" t="s">
        <v>421</v>
      </c>
      <c r="C70" s="40">
        <v>75.709100000000007</v>
      </c>
      <c r="D70" s="40">
        <v>102.5206</v>
      </c>
    </row>
    <row r="71" spans="1:6" x14ac:dyDescent="0.2">
      <c r="A71" s="9" t="s">
        <v>458</v>
      </c>
      <c r="C71" s="40">
        <v>75.709100000000007</v>
      </c>
      <c r="D71" s="40">
        <v>102.5206</v>
      </c>
    </row>
    <row r="72" spans="1:6" x14ac:dyDescent="0.2">
      <c r="A72" s="9" t="s">
        <v>424</v>
      </c>
      <c r="C72" s="40">
        <v>77.950900000000004</v>
      </c>
      <c r="D72" s="40">
        <v>105.7846</v>
      </c>
    </row>
    <row r="73" spans="1:6" x14ac:dyDescent="0.2">
      <c r="A73" s="9" t="s">
        <v>459</v>
      </c>
      <c r="C73" s="40">
        <v>77.950900000000004</v>
      </c>
      <c r="D73" s="40">
        <v>105.7846</v>
      </c>
    </row>
    <row r="75" spans="1:6" ht="10.5" x14ac:dyDescent="0.25">
      <c r="A75" s="18" t="s">
        <v>197</v>
      </c>
      <c r="D75" s="41" t="s">
        <v>198</v>
      </c>
    </row>
    <row r="77" spans="1:6" ht="10.5" x14ac:dyDescent="0.25">
      <c r="A77" s="18" t="s">
        <v>1003</v>
      </c>
      <c r="D77" s="47">
        <v>3.1300000000000001E-2</v>
      </c>
    </row>
  </sheetData>
  <mergeCells count="1">
    <mergeCell ref="A1:F1"/>
  </mergeCells>
  <conditionalFormatting sqref="F2:F3 F5:F56 F58:F65536">
    <cfRule type="cellIs" dxfId="1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I86"/>
  <sheetViews>
    <sheetView workbookViewId="0">
      <selection sqref="A1:F1"/>
    </sheetView>
  </sheetViews>
  <sheetFormatPr defaultColWidth="9.1796875" defaultRowHeight="10" x14ac:dyDescent="0.2"/>
  <cols>
    <col min="1" max="1" width="38.7265625" style="9" bestFit="1" customWidth="1"/>
    <col min="2" max="2" width="34.1796875" style="9" bestFit="1" customWidth="1"/>
    <col min="3" max="3" width="35.7265625" style="9" bestFit="1" customWidth="1"/>
    <col min="4" max="4" width="15.26953125" style="10" bestFit="1" customWidth="1"/>
    <col min="5" max="5" width="23" style="13" bestFit="1" customWidth="1"/>
    <col min="6" max="6" width="14.7265625" style="14" bestFit="1" customWidth="1"/>
    <col min="7" max="16384" width="9.1796875" style="9"/>
  </cols>
  <sheetData>
    <row r="1" spans="1:6" s="1" customFormat="1" ht="14" x14ac:dyDescent="0.25">
      <c r="A1" s="71" t="s">
        <v>60</v>
      </c>
      <c r="B1" s="72"/>
      <c r="C1" s="72"/>
      <c r="D1" s="72"/>
      <c r="E1" s="72"/>
      <c r="F1" s="72"/>
    </row>
    <row r="2" spans="1:6" s="1" customFormat="1" ht="11.5" x14ac:dyDescent="0.25">
      <c r="D2" s="6"/>
      <c r="E2" s="7"/>
      <c r="F2" s="12"/>
    </row>
    <row r="3" spans="1:6" s="1" customFormat="1" ht="11.5" x14ac:dyDescent="0.25">
      <c r="A3" s="11" t="s">
        <v>7</v>
      </c>
      <c r="B3" s="2"/>
      <c r="C3" s="3"/>
      <c r="D3" s="4"/>
      <c r="E3" s="5"/>
      <c r="F3" s="12"/>
    </row>
    <row r="4" spans="1:6" s="1" customFormat="1" ht="17.5" customHeight="1" x14ac:dyDescent="0.25">
      <c r="A4" s="8" t="s">
        <v>2</v>
      </c>
      <c r="B4" s="8" t="s">
        <v>0</v>
      </c>
      <c r="C4" s="17" t="s">
        <v>1052</v>
      </c>
      <c r="D4" s="16" t="s">
        <v>1</v>
      </c>
      <c r="E4" s="15" t="s">
        <v>3</v>
      </c>
      <c r="F4" s="15" t="s">
        <v>4</v>
      </c>
    </row>
    <row r="5" spans="1:6" ht="10.5" x14ac:dyDescent="0.25">
      <c r="A5" s="21" t="s">
        <v>868</v>
      </c>
      <c r="B5" s="22"/>
      <c r="C5" s="22"/>
      <c r="D5" s="23"/>
      <c r="E5" s="24"/>
      <c r="F5" s="25"/>
    </row>
    <row r="6" spans="1:6" ht="10.5" x14ac:dyDescent="0.25">
      <c r="A6" s="26" t="s">
        <v>70</v>
      </c>
      <c r="B6" s="27"/>
      <c r="C6" s="27"/>
      <c r="D6" s="28"/>
      <c r="E6" s="29"/>
      <c r="F6" s="30"/>
    </row>
    <row r="7" spans="1:6" x14ac:dyDescent="0.2">
      <c r="A7" s="27" t="s">
        <v>873</v>
      </c>
      <c r="B7" s="27" t="s">
        <v>872</v>
      </c>
      <c r="C7" s="27" t="s">
        <v>871</v>
      </c>
      <c r="D7" s="31">
        <v>6829842</v>
      </c>
      <c r="E7" s="29">
        <v>41088.329469999997</v>
      </c>
      <c r="F7" s="30">
        <v>10.1373844402016</v>
      </c>
    </row>
    <row r="8" spans="1:6" x14ac:dyDescent="0.2">
      <c r="A8" s="27" t="s">
        <v>870</v>
      </c>
      <c r="B8" s="27" t="s">
        <v>869</v>
      </c>
      <c r="C8" s="27" t="s">
        <v>871</v>
      </c>
      <c r="D8" s="31">
        <v>2630104</v>
      </c>
      <c r="E8" s="29">
        <v>37895.853479999998</v>
      </c>
      <c r="F8" s="30">
        <v>9.3497311857568803</v>
      </c>
    </row>
    <row r="9" spans="1:6" x14ac:dyDescent="0.2">
      <c r="A9" s="27" t="s">
        <v>875</v>
      </c>
      <c r="B9" s="27" t="s">
        <v>874</v>
      </c>
      <c r="C9" s="27" t="s">
        <v>876</v>
      </c>
      <c r="D9" s="31">
        <v>3370979</v>
      </c>
      <c r="E9" s="29">
        <v>37080.769</v>
      </c>
      <c r="F9" s="30">
        <v>9.14863211865962</v>
      </c>
    </row>
    <row r="10" spans="1:6" x14ac:dyDescent="0.2">
      <c r="A10" s="27" t="s">
        <v>880</v>
      </c>
      <c r="B10" s="27" t="s">
        <v>879</v>
      </c>
      <c r="C10" s="27" t="s">
        <v>871</v>
      </c>
      <c r="D10" s="31">
        <v>4383052</v>
      </c>
      <c r="E10" s="29">
        <v>20747.176640000001</v>
      </c>
      <c r="F10" s="30">
        <v>5.1187796720237602</v>
      </c>
    </row>
    <row r="11" spans="1:6" x14ac:dyDescent="0.2">
      <c r="A11" s="27" t="s">
        <v>917</v>
      </c>
      <c r="B11" s="27" t="s">
        <v>916</v>
      </c>
      <c r="C11" s="27" t="s">
        <v>918</v>
      </c>
      <c r="D11" s="31">
        <v>8119223</v>
      </c>
      <c r="E11" s="29">
        <v>15621.385050000001</v>
      </c>
      <c r="F11" s="30">
        <v>3.8541354146776001</v>
      </c>
    </row>
    <row r="12" spans="1:6" x14ac:dyDescent="0.2">
      <c r="A12" s="27" t="s">
        <v>882</v>
      </c>
      <c r="B12" s="27" t="s">
        <v>881</v>
      </c>
      <c r="C12" s="27" t="s">
        <v>883</v>
      </c>
      <c r="D12" s="31">
        <v>3044619</v>
      </c>
      <c r="E12" s="29">
        <v>14104.19752</v>
      </c>
      <c r="F12" s="30">
        <v>3.4798122563043798</v>
      </c>
    </row>
    <row r="13" spans="1:6" x14ac:dyDescent="0.2">
      <c r="A13" s="27" t="s">
        <v>971</v>
      </c>
      <c r="B13" s="27" t="s">
        <v>970</v>
      </c>
      <c r="C13" s="27" t="s">
        <v>918</v>
      </c>
      <c r="D13" s="31">
        <v>20624428</v>
      </c>
      <c r="E13" s="29">
        <v>13385.253769999999</v>
      </c>
      <c r="F13" s="30">
        <v>3.30243319809877</v>
      </c>
    </row>
    <row r="14" spans="1:6" x14ac:dyDescent="0.2">
      <c r="A14" s="27" t="s">
        <v>897</v>
      </c>
      <c r="B14" s="27" t="s">
        <v>896</v>
      </c>
      <c r="C14" s="27" t="s">
        <v>898</v>
      </c>
      <c r="D14" s="31">
        <v>1679699</v>
      </c>
      <c r="E14" s="29">
        <v>12127.42678</v>
      </c>
      <c r="F14" s="30">
        <v>2.9920999253332901</v>
      </c>
    </row>
    <row r="15" spans="1:6" x14ac:dyDescent="0.2">
      <c r="A15" s="27" t="s">
        <v>900</v>
      </c>
      <c r="B15" s="27" t="s">
        <v>899</v>
      </c>
      <c r="C15" s="27" t="s">
        <v>901</v>
      </c>
      <c r="D15" s="31">
        <v>4078627</v>
      </c>
      <c r="E15" s="29">
        <v>10247.55034</v>
      </c>
      <c r="F15" s="30">
        <v>2.5282935253609602</v>
      </c>
    </row>
    <row r="16" spans="1:6" x14ac:dyDescent="0.2">
      <c r="A16" s="27" t="s">
        <v>885</v>
      </c>
      <c r="B16" s="27" t="s">
        <v>884</v>
      </c>
      <c r="C16" s="27" t="s">
        <v>886</v>
      </c>
      <c r="D16" s="31">
        <v>1081440</v>
      </c>
      <c r="E16" s="29">
        <v>9470.7108000000007</v>
      </c>
      <c r="F16" s="30">
        <v>2.3366303166856301</v>
      </c>
    </row>
    <row r="17" spans="1:6" x14ac:dyDescent="0.2">
      <c r="A17" s="27" t="s">
        <v>891</v>
      </c>
      <c r="B17" s="27" t="s">
        <v>890</v>
      </c>
      <c r="C17" s="27" t="s">
        <v>892</v>
      </c>
      <c r="D17" s="31">
        <v>4049242</v>
      </c>
      <c r="E17" s="29">
        <v>9165.4592670000002</v>
      </c>
      <c r="F17" s="30">
        <v>2.2613181250999101</v>
      </c>
    </row>
    <row r="18" spans="1:6" x14ac:dyDescent="0.2">
      <c r="A18" s="27" t="s">
        <v>933</v>
      </c>
      <c r="B18" s="27" t="s">
        <v>932</v>
      </c>
      <c r="C18" s="27" t="s">
        <v>907</v>
      </c>
      <c r="D18" s="31">
        <v>871834</v>
      </c>
      <c r="E18" s="29">
        <v>9057.9193429999996</v>
      </c>
      <c r="F18" s="30">
        <v>2.2347856871468399</v>
      </c>
    </row>
    <row r="19" spans="1:6" x14ac:dyDescent="0.2">
      <c r="A19" s="27" t="s">
        <v>878</v>
      </c>
      <c r="B19" s="27" t="s">
        <v>877</v>
      </c>
      <c r="C19" s="27" t="s">
        <v>871</v>
      </c>
      <c r="D19" s="31">
        <v>474652</v>
      </c>
      <c r="E19" s="29">
        <v>9052.0882920000004</v>
      </c>
      <c r="F19" s="30">
        <v>2.23334704005556</v>
      </c>
    </row>
    <row r="20" spans="1:6" x14ac:dyDescent="0.2">
      <c r="A20" s="27" t="s">
        <v>909</v>
      </c>
      <c r="B20" s="27" t="s">
        <v>908</v>
      </c>
      <c r="C20" s="27" t="s">
        <v>901</v>
      </c>
      <c r="D20" s="31">
        <v>3995176</v>
      </c>
      <c r="E20" s="29">
        <v>8771.4089079999994</v>
      </c>
      <c r="F20" s="30">
        <v>2.1640973320058698</v>
      </c>
    </row>
    <row r="21" spans="1:6" x14ac:dyDescent="0.2">
      <c r="A21" s="27" t="s">
        <v>960</v>
      </c>
      <c r="B21" s="27" t="s">
        <v>959</v>
      </c>
      <c r="C21" s="27" t="s">
        <v>915</v>
      </c>
      <c r="D21" s="31">
        <v>177107</v>
      </c>
      <c r="E21" s="29">
        <v>8552.4084770000009</v>
      </c>
      <c r="F21" s="30">
        <v>2.1100651630115599</v>
      </c>
    </row>
    <row r="22" spans="1:6" x14ac:dyDescent="0.2">
      <c r="A22" s="27" t="s">
        <v>983</v>
      </c>
      <c r="B22" s="27" t="s">
        <v>982</v>
      </c>
      <c r="C22" s="27" t="s">
        <v>984</v>
      </c>
      <c r="D22" s="31">
        <v>757133</v>
      </c>
      <c r="E22" s="29">
        <v>8498.0607920000002</v>
      </c>
      <c r="F22" s="30">
        <v>2.0966564072070102</v>
      </c>
    </row>
    <row r="23" spans="1:6" x14ac:dyDescent="0.2">
      <c r="A23" s="27" t="s">
        <v>988</v>
      </c>
      <c r="B23" s="27" t="s">
        <v>987</v>
      </c>
      <c r="C23" s="27" t="s">
        <v>989</v>
      </c>
      <c r="D23" s="31">
        <v>6223868</v>
      </c>
      <c r="E23" s="29">
        <v>7356.6119760000001</v>
      </c>
      <c r="F23" s="30">
        <v>1.81503616087761</v>
      </c>
    </row>
    <row r="24" spans="1:6" x14ac:dyDescent="0.2">
      <c r="A24" s="27" t="s">
        <v>888</v>
      </c>
      <c r="B24" s="27" t="s">
        <v>887</v>
      </c>
      <c r="C24" s="27" t="s">
        <v>889</v>
      </c>
      <c r="D24" s="31">
        <v>402972</v>
      </c>
      <c r="E24" s="29">
        <v>6686.9173680000004</v>
      </c>
      <c r="F24" s="30">
        <v>1.64980793703895</v>
      </c>
    </row>
    <row r="25" spans="1:6" x14ac:dyDescent="0.2">
      <c r="A25" s="27" t="s">
        <v>979</v>
      </c>
      <c r="B25" s="27" t="s">
        <v>978</v>
      </c>
      <c r="C25" s="27" t="s">
        <v>876</v>
      </c>
      <c r="D25" s="31">
        <v>705548</v>
      </c>
      <c r="E25" s="29">
        <v>6186.5976380000002</v>
      </c>
      <c r="F25" s="30">
        <v>1.5263681790480299</v>
      </c>
    </row>
    <row r="26" spans="1:6" x14ac:dyDescent="0.2">
      <c r="A26" s="27" t="s">
        <v>975</v>
      </c>
      <c r="B26" s="27" t="s">
        <v>974</v>
      </c>
      <c r="C26" s="27" t="s">
        <v>967</v>
      </c>
      <c r="D26" s="31">
        <v>1115794</v>
      </c>
      <c r="E26" s="29">
        <v>6038.6771280000003</v>
      </c>
      <c r="F26" s="30">
        <v>1.4898729723603099</v>
      </c>
    </row>
    <row r="27" spans="1:6" x14ac:dyDescent="0.2">
      <c r="A27" s="27" t="s">
        <v>903</v>
      </c>
      <c r="B27" s="27" t="s">
        <v>902</v>
      </c>
      <c r="C27" s="27" t="s">
        <v>904</v>
      </c>
      <c r="D27" s="31">
        <v>960704</v>
      </c>
      <c r="E27" s="29">
        <v>5546.6245440000002</v>
      </c>
      <c r="F27" s="30">
        <v>1.3684728990756401</v>
      </c>
    </row>
    <row r="28" spans="1:6" x14ac:dyDescent="0.2">
      <c r="A28" s="27" t="s">
        <v>1193</v>
      </c>
      <c r="B28" s="27" t="s">
        <v>1192</v>
      </c>
      <c r="C28" s="27" t="s">
        <v>871</v>
      </c>
      <c r="D28" s="31">
        <v>2914508</v>
      </c>
      <c r="E28" s="29">
        <v>5422.4421339999999</v>
      </c>
      <c r="F28" s="30">
        <v>1.3378343978973499</v>
      </c>
    </row>
    <row r="29" spans="1:6" x14ac:dyDescent="0.2">
      <c r="A29" s="27" t="s">
        <v>911</v>
      </c>
      <c r="B29" s="27" t="s">
        <v>910</v>
      </c>
      <c r="C29" s="27" t="s">
        <v>912</v>
      </c>
      <c r="D29" s="31">
        <v>2520962</v>
      </c>
      <c r="E29" s="29">
        <v>5277.6339470000003</v>
      </c>
      <c r="F29" s="30">
        <v>1.3021070689783301</v>
      </c>
    </row>
    <row r="30" spans="1:6" x14ac:dyDescent="0.2">
      <c r="A30" s="27" t="s">
        <v>993</v>
      </c>
      <c r="B30" s="27" t="s">
        <v>992</v>
      </c>
      <c r="C30" s="27" t="s">
        <v>912</v>
      </c>
      <c r="D30" s="31">
        <v>5948967</v>
      </c>
      <c r="E30" s="29">
        <v>5032.8260819999996</v>
      </c>
      <c r="F30" s="30">
        <v>1.24170764477439</v>
      </c>
    </row>
    <row r="31" spans="1:6" x14ac:dyDescent="0.2">
      <c r="A31" s="27" t="s">
        <v>937</v>
      </c>
      <c r="B31" s="27" t="s">
        <v>936</v>
      </c>
      <c r="C31" s="27" t="s">
        <v>898</v>
      </c>
      <c r="D31" s="31">
        <v>2746634</v>
      </c>
      <c r="E31" s="29">
        <v>4953.5544190000001</v>
      </c>
      <c r="F31" s="30">
        <v>1.2221496015681801</v>
      </c>
    </row>
    <row r="32" spans="1:6" x14ac:dyDescent="0.2">
      <c r="A32" s="27" t="s">
        <v>1310</v>
      </c>
      <c r="B32" s="27" t="s">
        <v>1309</v>
      </c>
      <c r="C32" s="27" t="s">
        <v>907</v>
      </c>
      <c r="D32" s="31">
        <v>896279</v>
      </c>
      <c r="E32" s="29">
        <v>4915.1940359999999</v>
      </c>
      <c r="F32" s="30">
        <v>1.21268526084758</v>
      </c>
    </row>
    <row r="33" spans="1:6" x14ac:dyDescent="0.2">
      <c r="A33" s="27" t="s">
        <v>922</v>
      </c>
      <c r="B33" s="27" t="s">
        <v>921</v>
      </c>
      <c r="C33" s="27" t="s">
        <v>918</v>
      </c>
      <c r="D33" s="31">
        <v>5065496</v>
      </c>
      <c r="E33" s="29">
        <v>4797.0247120000004</v>
      </c>
      <c r="F33" s="30">
        <v>1.18353031875383</v>
      </c>
    </row>
    <row r="34" spans="1:6" x14ac:dyDescent="0.2">
      <c r="A34" s="27" t="s">
        <v>920</v>
      </c>
      <c r="B34" s="27" t="s">
        <v>919</v>
      </c>
      <c r="C34" s="27" t="s">
        <v>871</v>
      </c>
      <c r="D34" s="31">
        <v>1935519</v>
      </c>
      <c r="E34" s="29">
        <v>4727.5051579999999</v>
      </c>
      <c r="F34" s="30">
        <v>1.1663783329199</v>
      </c>
    </row>
    <row r="35" spans="1:6" x14ac:dyDescent="0.2">
      <c r="A35" s="27" t="s">
        <v>1296</v>
      </c>
      <c r="B35" s="27" t="s">
        <v>1295</v>
      </c>
      <c r="C35" s="27" t="s">
        <v>915</v>
      </c>
      <c r="D35" s="31">
        <v>503898</v>
      </c>
      <c r="E35" s="29">
        <v>4493.7623640000002</v>
      </c>
      <c r="F35" s="30">
        <v>1.108708902367</v>
      </c>
    </row>
    <row r="36" spans="1:6" x14ac:dyDescent="0.2">
      <c r="A36" s="27" t="s">
        <v>1021</v>
      </c>
      <c r="B36" s="27" t="s">
        <v>1020</v>
      </c>
      <c r="C36" s="27" t="s">
        <v>1022</v>
      </c>
      <c r="D36" s="31">
        <v>3970503</v>
      </c>
      <c r="E36" s="29">
        <v>4411.2288330000001</v>
      </c>
      <c r="F36" s="30">
        <v>1.0883460853883899</v>
      </c>
    </row>
    <row r="37" spans="1:6" x14ac:dyDescent="0.2">
      <c r="A37" s="27" t="s">
        <v>998</v>
      </c>
      <c r="B37" s="27" t="s">
        <v>997</v>
      </c>
      <c r="C37" s="27" t="s">
        <v>967</v>
      </c>
      <c r="D37" s="31">
        <v>1158898</v>
      </c>
      <c r="E37" s="29">
        <v>4385.8494810000002</v>
      </c>
      <c r="F37" s="30">
        <v>1.08208444731778</v>
      </c>
    </row>
    <row r="38" spans="1:6" x14ac:dyDescent="0.2">
      <c r="A38" s="27" t="s">
        <v>931</v>
      </c>
      <c r="B38" s="27" t="s">
        <v>930</v>
      </c>
      <c r="C38" s="27" t="s">
        <v>898</v>
      </c>
      <c r="D38" s="31">
        <v>137369</v>
      </c>
      <c r="E38" s="29">
        <v>4359.4739</v>
      </c>
      <c r="F38" s="30">
        <v>1.0755770178875801</v>
      </c>
    </row>
    <row r="39" spans="1:6" x14ac:dyDescent="0.2">
      <c r="A39" s="27" t="s">
        <v>991</v>
      </c>
      <c r="B39" s="27" t="s">
        <v>990</v>
      </c>
      <c r="C39" s="27" t="s">
        <v>925</v>
      </c>
      <c r="D39" s="31">
        <v>2627584</v>
      </c>
      <c r="E39" s="29">
        <v>4208.0757759999997</v>
      </c>
      <c r="F39" s="30">
        <v>1.03822380819737</v>
      </c>
    </row>
    <row r="40" spans="1:6" x14ac:dyDescent="0.2">
      <c r="A40" s="27" t="s">
        <v>914</v>
      </c>
      <c r="B40" s="27" t="s">
        <v>913</v>
      </c>
      <c r="C40" s="27" t="s">
        <v>915</v>
      </c>
      <c r="D40" s="31">
        <v>920735</v>
      </c>
      <c r="E40" s="29">
        <v>4144.2282349999996</v>
      </c>
      <c r="F40" s="30">
        <v>1.0224712313214701</v>
      </c>
    </row>
    <row r="41" spans="1:6" x14ac:dyDescent="0.2">
      <c r="A41" s="27" t="s">
        <v>935</v>
      </c>
      <c r="B41" s="27" t="s">
        <v>934</v>
      </c>
      <c r="C41" s="27" t="s">
        <v>907</v>
      </c>
      <c r="D41" s="31">
        <v>607174</v>
      </c>
      <c r="E41" s="29">
        <v>3290.5794930000002</v>
      </c>
      <c r="F41" s="30">
        <v>0.811857522120496</v>
      </c>
    </row>
    <row r="42" spans="1:6" x14ac:dyDescent="0.2">
      <c r="A42" s="27" t="s">
        <v>1032</v>
      </c>
      <c r="B42" s="27" t="s">
        <v>1031</v>
      </c>
      <c r="C42" s="27" t="s">
        <v>925</v>
      </c>
      <c r="D42" s="31">
        <v>990217</v>
      </c>
      <c r="E42" s="29">
        <v>3057.7900960000002</v>
      </c>
      <c r="F42" s="30">
        <v>0.75442331534130003</v>
      </c>
    </row>
    <row r="43" spans="1:6" x14ac:dyDescent="0.2">
      <c r="A43" s="27" t="s">
        <v>1000</v>
      </c>
      <c r="B43" s="27" t="s">
        <v>999</v>
      </c>
      <c r="C43" s="27" t="s">
        <v>901</v>
      </c>
      <c r="D43" s="31">
        <v>2792178</v>
      </c>
      <c r="E43" s="29">
        <v>2866.170717</v>
      </c>
      <c r="F43" s="30">
        <v>0.70714664733916099</v>
      </c>
    </row>
    <row r="44" spans="1:6" x14ac:dyDescent="0.2">
      <c r="A44" s="27" t="s">
        <v>1009</v>
      </c>
      <c r="B44" s="27" t="s">
        <v>1008</v>
      </c>
      <c r="C44" s="27" t="s">
        <v>895</v>
      </c>
      <c r="D44" s="31">
        <v>199808</v>
      </c>
      <c r="E44" s="29">
        <v>2719.7864960000002</v>
      </c>
      <c r="F44" s="30">
        <v>0.67103047655787096</v>
      </c>
    </row>
    <row r="45" spans="1:6" x14ac:dyDescent="0.2">
      <c r="A45" s="27" t="s">
        <v>1332</v>
      </c>
      <c r="B45" s="27" t="s">
        <v>1331</v>
      </c>
      <c r="C45" s="27" t="s">
        <v>871</v>
      </c>
      <c r="D45" s="31">
        <v>305270</v>
      </c>
      <c r="E45" s="29">
        <v>2618.1481549999999</v>
      </c>
      <c r="F45" s="30">
        <v>0.64595408747435701</v>
      </c>
    </row>
    <row r="46" spans="1:6" x14ac:dyDescent="0.2">
      <c r="A46" s="27" t="s">
        <v>894</v>
      </c>
      <c r="B46" s="27" t="s">
        <v>893</v>
      </c>
      <c r="C46" s="27" t="s">
        <v>895</v>
      </c>
      <c r="D46" s="31">
        <v>300000</v>
      </c>
      <c r="E46" s="29">
        <v>2419.8000000000002</v>
      </c>
      <c r="F46" s="30">
        <v>0.59701728410035304</v>
      </c>
    </row>
    <row r="47" spans="1:6" x14ac:dyDescent="0.2">
      <c r="A47" s="27" t="s">
        <v>1078</v>
      </c>
      <c r="B47" s="27" t="s">
        <v>1077</v>
      </c>
      <c r="C47" s="27" t="s">
        <v>876</v>
      </c>
      <c r="D47" s="31">
        <v>481063</v>
      </c>
      <c r="E47" s="29">
        <v>2353.1196650000002</v>
      </c>
      <c r="F47" s="30">
        <v>0.58056579533904995</v>
      </c>
    </row>
    <row r="48" spans="1:6" x14ac:dyDescent="0.2">
      <c r="A48" s="27" t="s">
        <v>1199</v>
      </c>
      <c r="B48" s="27" t="s">
        <v>1198</v>
      </c>
      <c r="C48" s="27" t="s">
        <v>989</v>
      </c>
      <c r="D48" s="31">
        <v>6320734</v>
      </c>
      <c r="E48" s="29">
        <v>2107.9647890000001</v>
      </c>
      <c r="F48" s="30">
        <v>0.52008075597485504</v>
      </c>
    </row>
    <row r="49" spans="1:9" x14ac:dyDescent="0.2">
      <c r="A49" s="27" t="s">
        <v>1002</v>
      </c>
      <c r="B49" s="27" t="s">
        <v>1001</v>
      </c>
      <c r="C49" s="27" t="s">
        <v>871</v>
      </c>
      <c r="D49" s="31">
        <v>3293517</v>
      </c>
      <c r="E49" s="29">
        <v>2068.3286760000001</v>
      </c>
      <c r="F49" s="30">
        <v>0.51030166491957996</v>
      </c>
    </row>
    <row r="50" spans="1:9" x14ac:dyDescent="0.2">
      <c r="A50" s="27" t="s">
        <v>1460</v>
      </c>
      <c r="B50" s="27" t="s">
        <v>1459</v>
      </c>
      <c r="C50" s="27" t="s">
        <v>1149</v>
      </c>
      <c r="D50" s="31">
        <v>771008</v>
      </c>
      <c r="E50" s="29">
        <v>2060.9043839999999</v>
      </c>
      <c r="F50" s="30">
        <v>0.50846993062492396</v>
      </c>
    </row>
    <row r="51" spans="1:9" x14ac:dyDescent="0.2">
      <c r="A51" s="27" t="s">
        <v>943</v>
      </c>
      <c r="B51" s="27" t="s">
        <v>942</v>
      </c>
      <c r="C51" s="27" t="s">
        <v>944</v>
      </c>
      <c r="D51" s="31">
        <v>1075124</v>
      </c>
      <c r="E51" s="29">
        <v>1748.6891860000001</v>
      </c>
      <c r="F51" s="30">
        <v>0.43143965144283702</v>
      </c>
    </row>
    <row r="52" spans="1:9" x14ac:dyDescent="0.2">
      <c r="A52" s="27" t="s">
        <v>995</v>
      </c>
      <c r="B52" s="27" t="s">
        <v>994</v>
      </c>
      <c r="C52" s="27" t="s">
        <v>996</v>
      </c>
      <c r="D52" s="31">
        <v>1278633</v>
      </c>
      <c r="E52" s="29">
        <v>1531.802334</v>
      </c>
      <c r="F52" s="30">
        <v>0.377928948352451</v>
      </c>
    </row>
    <row r="53" spans="1:9" x14ac:dyDescent="0.2">
      <c r="A53" s="27" t="s">
        <v>1017</v>
      </c>
      <c r="B53" s="27" t="s">
        <v>1016</v>
      </c>
      <c r="C53" s="27" t="s">
        <v>898</v>
      </c>
      <c r="D53" s="31">
        <v>1791828</v>
      </c>
      <c r="E53" s="29">
        <v>1400.313582</v>
      </c>
      <c r="F53" s="30">
        <v>0.34548781370959403</v>
      </c>
    </row>
    <row r="54" spans="1:9" x14ac:dyDescent="0.2">
      <c r="A54" s="27" t="s">
        <v>939</v>
      </c>
      <c r="B54" s="27" t="s">
        <v>938</v>
      </c>
      <c r="C54" s="27" t="s">
        <v>898</v>
      </c>
      <c r="D54" s="31">
        <v>265282</v>
      </c>
      <c r="E54" s="29">
        <v>1325.4815129999999</v>
      </c>
      <c r="F54" s="30">
        <v>0.32702511489234098</v>
      </c>
    </row>
    <row r="55" spans="1:9" x14ac:dyDescent="0.2">
      <c r="A55" s="27" t="s">
        <v>946</v>
      </c>
      <c r="B55" s="27" t="s">
        <v>945</v>
      </c>
      <c r="C55" s="27" t="s">
        <v>947</v>
      </c>
      <c r="D55" s="31">
        <v>3057159</v>
      </c>
      <c r="E55" s="29">
        <v>1215.220703</v>
      </c>
      <c r="F55" s="30">
        <v>0.29982137519116497</v>
      </c>
    </row>
    <row r="56" spans="1:9" x14ac:dyDescent="0.2">
      <c r="A56" s="27" t="s">
        <v>1039</v>
      </c>
      <c r="B56" s="27" t="s">
        <v>1038</v>
      </c>
      <c r="C56" s="27" t="s">
        <v>967</v>
      </c>
      <c r="D56" s="31">
        <v>1695647</v>
      </c>
      <c r="E56" s="29">
        <v>1192.039841</v>
      </c>
      <c r="F56" s="30">
        <v>0.29410215241476001</v>
      </c>
    </row>
    <row r="57" spans="1:9" x14ac:dyDescent="0.2">
      <c r="A57" s="27" t="s">
        <v>1336</v>
      </c>
      <c r="B57" s="27" t="s">
        <v>1335</v>
      </c>
      <c r="C57" s="27" t="s">
        <v>886</v>
      </c>
      <c r="D57" s="31">
        <v>311857</v>
      </c>
      <c r="E57" s="29">
        <v>814.10269849999997</v>
      </c>
      <c r="F57" s="30">
        <v>0.20085684025011899</v>
      </c>
    </row>
    <row r="58" spans="1:9" x14ac:dyDescent="0.2">
      <c r="A58" s="27" t="s">
        <v>1323</v>
      </c>
      <c r="B58" s="27" t="s">
        <v>1322</v>
      </c>
      <c r="C58" s="27" t="s">
        <v>1037</v>
      </c>
      <c r="D58" s="31">
        <v>774842</v>
      </c>
      <c r="E58" s="29">
        <v>749.27221399999996</v>
      </c>
      <c r="F58" s="30">
        <v>0.18486174983640699</v>
      </c>
    </row>
    <row r="59" spans="1:9" x14ac:dyDescent="0.2">
      <c r="A59" s="27" t="s">
        <v>949</v>
      </c>
      <c r="B59" s="27" t="s">
        <v>948</v>
      </c>
      <c r="C59" s="27" t="s">
        <v>944</v>
      </c>
      <c r="D59" s="31">
        <v>125663</v>
      </c>
      <c r="E59" s="29">
        <v>127.29661900000001</v>
      </c>
      <c r="F59" s="30">
        <v>3.1406844264210802E-2</v>
      </c>
    </row>
    <row r="60" spans="1:9" ht="10.5" x14ac:dyDescent="0.25">
      <c r="A60" s="26" t="s">
        <v>164</v>
      </c>
      <c r="B60" s="26"/>
      <c r="C60" s="26"/>
      <c r="D60" s="32"/>
      <c r="E60" s="33">
        <f>SUM(E7:E59)</f>
        <v>393477.03682149982</v>
      </c>
      <c r="F60" s="34">
        <f>SUM(F7:F59)</f>
        <v>97.079342044394807</v>
      </c>
      <c r="G60" s="18"/>
      <c r="H60" s="18"/>
      <c r="I60" s="18"/>
    </row>
    <row r="61" spans="1:9" x14ac:dyDescent="0.2">
      <c r="A61" s="27"/>
      <c r="B61" s="27"/>
      <c r="C61" s="27"/>
      <c r="D61" s="28"/>
      <c r="E61" s="29"/>
      <c r="F61" s="30"/>
    </row>
    <row r="62" spans="1:9" ht="10.5" x14ac:dyDescent="0.25">
      <c r="A62" s="26" t="s">
        <v>1528</v>
      </c>
      <c r="B62" s="27"/>
      <c r="C62" s="27"/>
      <c r="D62" s="28"/>
      <c r="E62" s="29"/>
      <c r="F62" s="30"/>
    </row>
    <row r="63" spans="1:9" x14ac:dyDescent="0.2">
      <c r="A63" s="27" t="s">
        <v>1011</v>
      </c>
      <c r="B63" s="27" t="s">
        <v>1010</v>
      </c>
      <c r="C63" s="27" t="s">
        <v>1012</v>
      </c>
      <c r="D63" s="31">
        <v>30000</v>
      </c>
      <c r="E63" s="29">
        <v>3.0000000000000001E-3</v>
      </c>
      <c r="F63" s="30">
        <v>7.4016524187993196E-7</v>
      </c>
    </row>
    <row r="64" spans="1:9" x14ac:dyDescent="0.2">
      <c r="A64" s="27" t="s">
        <v>1291</v>
      </c>
      <c r="B64" s="27" t="s">
        <v>1290</v>
      </c>
      <c r="C64" s="27" t="s">
        <v>967</v>
      </c>
      <c r="D64" s="31">
        <v>3500</v>
      </c>
      <c r="E64" s="29">
        <v>3.5E-4</v>
      </c>
      <c r="F64" s="30">
        <v>8.6352611552658701E-8</v>
      </c>
    </row>
    <row r="65" spans="1:9" x14ac:dyDescent="0.2">
      <c r="A65" s="27"/>
      <c r="B65" s="27" t="s">
        <v>1013</v>
      </c>
      <c r="C65" s="27" t="s">
        <v>967</v>
      </c>
      <c r="D65" s="31">
        <v>2900</v>
      </c>
      <c r="E65" s="29">
        <v>2.9E-4</v>
      </c>
      <c r="F65" s="30">
        <v>7.1549306715060105E-8</v>
      </c>
    </row>
    <row r="66" spans="1:9" ht="10.5" x14ac:dyDescent="0.25">
      <c r="A66" s="26" t="s">
        <v>164</v>
      </c>
      <c r="B66" s="26"/>
      <c r="C66" s="26"/>
      <c r="D66" s="32"/>
      <c r="E66" s="33">
        <f>SUM(E62:E65)</f>
        <v>3.64E-3</v>
      </c>
      <c r="F66" s="34">
        <f>SUM(F62:F65)</f>
        <v>8.9806716014765078E-7</v>
      </c>
      <c r="G66" s="18"/>
      <c r="H66" s="18"/>
      <c r="I66" s="18"/>
    </row>
    <row r="67" spans="1:9" x14ac:dyDescent="0.2">
      <c r="A67" s="27"/>
      <c r="B67" s="27"/>
      <c r="C67" s="27"/>
      <c r="D67" s="28"/>
      <c r="E67" s="29"/>
      <c r="F67" s="30"/>
    </row>
    <row r="68" spans="1:9" ht="10.5" x14ac:dyDescent="0.25">
      <c r="A68" s="26" t="s">
        <v>176</v>
      </c>
      <c r="B68" s="26"/>
      <c r="C68" s="26"/>
      <c r="D68" s="32"/>
      <c r="E68" s="33">
        <f>E60+E66</f>
        <v>393477.04046149983</v>
      </c>
      <c r="F68" s="34">
        <f>F60+F66</f>
        <v>97.079342942461963</v>
      </c>
      <c r="G68" s="18"/>
      <c r="H68" s="18"/>
      <c r="I68" s="18"/>
    </row>
    <row r="69" spans="1:9" ht="10.5" x14ac:dyDescent="0.25">
      <c r="A69" s="26"/>
      <c r="B69" s="26"/>
      <c r="C69" s="26"/>
      <c r="D69" s="32"/>
      <c r="E69" s="33"/>
      <c r="F69" s="34"/>
      <c r="G69" s="18"/>
      <c r="H69" s="18"/>
      <c r="I69" s="18"/>
    </row>
    <row r="70" spans="1:9" ht="10.5" x14ac:dyDescent="0.25">
      <c r="A70" s="26" t="s">
        <v>178</v>
      </c>
      <c r="B70" s="26"/>
      <c r="C70" s="26"/>
      <c r="D70" s="32"/>
      <c r="E70" s="33">
        <f>E72-(E60+E66)</f>
        <v>11837.858192800195</v>
      </c>
      <c r="F70" s="34">
        <f>F72-(F60+F66)</f>
        <v>2.9206570575380368</v>
      </c>
      <c r="G70" s="18"/>
      <c r="H70" s="18"/>
      <c r="I70" s="18"/>
    </row>
    <row r="71" spans="1:9" ht="10.5" x14ac:dyDescent="0.25">
      <c r="A71" s="26"/>
      <c r="B71" s="26"/>
      <c r="C71" s="26"/>
      <c r="D71" s="32"/>
      <c r="E71" s="33"/>
      <c r="F71" s="34"/>
      <c r="G71" s="18"/>
      <c r="H71" s="18"/>
      <c r="I71" s="18"/>
    </row>
    <row r="72" spans="1:9" ht="10.5" x14ac:dyDescent="0.25">
      <c r="A72" s="35" t="s">
        <v>177</v>
      </c>
      <c r="B72" s="35"/>
      <c r="C72" s="35"/>
      <c r="D72" s="36"/>
      <c r="E72" s="37">
        <v>405314.89865430002</v>
      </c>
      <c r="F72" s="38">
        <v>100</v>
      </c>
      <c r="G72" s="18"/>
      <c r="H72" s="18"/>
      <c r="I72" s="18"/>
    </row>
    <row r="73" spans="1:9" ht="10.5" x14ac:dyDescent="0.25">
      <c r="F73" s="20" t="s">
        <v>337</v>
      </c>
    </row>
    <row r="74" spans="1:9" ht="10.5" x14ac:dyDescent="0.25">
      <c r="A74" s="18" t="s">
        <v>180</v>
      </c>
    </row>
    <row r="76" spans="1:9" ht="10.5" x14ac:dyDescent="0.25">
      <c r="A76" s="18" t="s">
        <v>181</v>
      </c>
    </row>
    <row r="77" spans="1:9" ht="10.5" x14ac:dyDescent="0.25">
      <c r="A77" s="18" t="s">
        <v>182</v>
      </c>
    </row>
    <row r="78" spans="1:9" ht="10.5" x14ac:dyDescent="0.25">
      <c r="A78" s="18" t="s">
        <v>183</v>
      </c>
      <c r="B78" s="18"/>
      <c r="C78" s="39" t="s">
        <v>185</v>
      </c>
      <c r="D78" s="19" t="s">
        <v>184</v>
      </c>
    </row>
    <row r="79" spans="1:9" x14ac:dyDescent="0.2">
      <c r="A79" s="9" t="s">
        <v>421</v>
      </c>
      <c r="C79" s="40">
        <v>433.63229999999999</v>
      </c>
      <c r="D79" s="40">
        <v>597.22630000000004</v>
      </c>
    </row>
    <row r="80" spans="1:9" x14ac:dyDescent="0.2">
      <c r="A80" s="9" t="s">
        <v>458</v>
      </c>
      <c r="C80" s="40">
        <v>28.837800000000001</v>
      </c>
      <c r="D80" s="40">
        <v>39.717199999999998</v>
      </c>
    </row>
    <row r="81" spans="1:4" x14ac:dyDescent="0.2">
      <c r="A81" s="9" t="s">
        <v>424</v>
      </c>
      <c r="C81" s="40">
        <v>463.22359999999998</v>
      </c>
      <c r="D81" s="40">
        <v>640.8886</v>
      </c>
    </row>
    <row r="82" spans="1:4" x14ac:dyDescent="0.2">
      <c r="A82" s="9" t="s">
        <v>459</v>
      </c>
      <c r="C82" s="40">
        <v>31.570699999999999</v>
      </c>
      <c r="D82" s="40">
        <v>43.679099999999998</v>
      </c>
    </row>
    <row r="84" spans="1:4" ht="10.5" x14ac:dyDescent="0.25">
      <c r="A84" s="18" t="s">
        <v>197</v>
      </c>
      <c r="D84" s="41" t="s">
        <v>198</v>
      </c>
    </row>
    <row r="86" spans="1:4" ht="10.5" x14ac:dyDescent="0.25">
      <c r="A86" s="18" t="s">
        <v>1003</v>
      </c>
      <c r="D86" s="47">
        <v>6.8199999999999997E-2</v>
      </c>
    </row>
  </sheetData>
  <mergeCells count="1">
    <mergeCell ref="A1:F1"/>
  </mergeCells>
  <conditionalFormatting sqref="F2:F3 F5:F65537">
    <cfRule type="cellIs" dxfId="9"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26"/>
  <sheetViews>
    <sheetView workbookViewId="0">
      <selection sqref="A1:E1"/>
    </sheetView>
  </sheetViews>
  <sheetFormatPr defaultColWidth="9.1796875" defaultRowHeight="10" x14ac:dyDescent="0.2"/>
  <cols>
    <col min="1" max="1" width="36.81640625" style="9" bestFit="1" customWidth="1"/>
    <col min="2" max="2" width="33.54296875" style="9" bestFit="1" customWidth="1"/>
    <col min="3" max="3" width="18.81640625" style="9" bestFit="1" customWidth="1"/>
    <col min="4" max="4" width="23" style="10" bestFit="1" customWidth="1"/>
    <col min="5" max="5" width="13.54296875" style="13" bestFit="1" customWidth="1"/>
    <col min="6" max="16384" width="9.1796875" style="9"/>
  </cols>
  <sheetData>
    <row r="1" spans="1:8" s="1" customFormat="1" ht="15" customHeight="1" x14ac:dyDescent="0.25">
      <c r="A1" s="71" t="s">
        <v>61</v>
      </c>
      <c r="B1" s="72"/>
      <c r="C1" s="72"/>
      <c r="D1" s="72"/>
      <c r="E1" s="72"/>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1141</v>
      </c>
      <c r="B5" s="22"/>
      <c r="C5" s="23"/>
      <c r="D5" s="24"/>
      <c r="E5" s="25"/>
    </row>
    <row r="6" spans="1:8" x14ac:dyDescent="0.2">
      <c r="A6" s="27" t="s">
        <v>1462</v>
      </c>
      <c r="B6" s="27" t="s">
        <v>1461</v>
      </c>
      <c r="C6" s="31">
        <v>4881650.0199999996</v>
      </c>
      <c r="D6" s="29">
        <v>254097.43862999999</v>
      </c>
      <c r="E6" s="30">
        <v>99.836466582453596</v>
      </c>
    </row>
    <row r="7" spans="1:8" ht="10.5" x14ac:dyDescent="0.25">
      <c r="A7" s="26" t="s">
        <v>164</v>
      </c>
      <c r="B7" s="26"/>
      <c r="C7" s="32"/>
      <c r="D7" s="33">
        <f>SUM(D6:D6)</f>
        <v>254097.43862999999</v>
      </c>
      <c r="E7" s="34">
        <f>SUM(E6:E6)</f>
        <v>99.836466582453596</v>
      </c>
      <c r="F7" s="18"/>
      <c r="G7" s="18"/>
      <c r="H7" s="18"/>
    </row>
    <row r="8" spans="1:8" x14ac:dyDescent="0.2">
      <c r="A8" s="27"/>
      <c r="B8" s="27"/>
      <c r="C8" s="28"/>
      <c r="D8" s="29"/>
      <c r="E8" s="30"/>
    </row>
    <row r="9" spans="1:8" ht="10.5" x14ac:dyDescent="0.25">
      <c r="A9" s="26" t="s">
        <v>176</v>
      </c>
      <c r="B9" s="26"/>
      <c r="C9" s="32"/>
      <c r="D9" s="33">
        <f>D7</f>
        <v>254097.43862999999</v>
      </c>
      <c r="E9" s="34">
        <f>E7</f>
        <v>99.836466582453596</v>
      </c>
      <c r="F9" s="18"/>
      <c r="G9" s="18"/>
      <c r="H9" s="18"/>
    </row>
    <row r="10" spans="1:8" ht="10.5" x14ac:dyDescent="0.25">
      <c r="A10" s="26"/>
      <c r="B10" s="26"/>
      <c r="C10" s="32"/>
      <c r="D10" s="33"/>
      <c r="E10" s="34"/>
      <c r="F10" s="18"/>
      <c r="G10" s="18"/>
      <c r="H10" s="18"/>
    </row>
    <row r="11" spans="1:8" ht="10.5" x14ac:dyDescent="0.25">
      <c r="A11" s="26" t="s">
        <v>178</v>
      </c>
      <c r="B11" s="26"/>
      <c r="C11" s="32"/>
      <c r="D11" s="33">
        <f>D13-(D7)</f>
        <v>416.21487570001045</v>
      </c>
      <c r="E11" s="34">
        <f>E13-(E7)</f>
        <v>0.16353341754640383</v>
      </c>
      <c r="F11" s="18"/>
      <c r="G11" s="18"/>
      <c r="H11" s="18"/>
    </row>
    <row r="12" spans="1:8" ht="10.5" x14ac:dyDescent="0.25">
      <c r="A12" s="26"/>
      <c r="B12" s="26"/>
      <c r="C12" s="32"/>
      <c r="D12" s="33"/>
      <c r="E12" s="34"/>
      <c r="F12" s="18"/>
      <c r="G12" s="18"/>
      <c r="H12" s="18"/>
    </row>
    <row r="13" spans="1:8" ht="10.5" x14ac:dyDescent="0.25">
      <c r="A13" s="35" t="s">
        <v>177</v>
      </c>
      <c r="B13" s="35"/>
      <c r="C13" s="36"/>
      <c r="D13" s="37">
        <v>254513.6535057</v>
      </c>
      <c r="E13" s="38">
        <v>100</v>
      </c>
      <c r="F13" s="18"/>
      <c r="G13" s="18"/>
      <c r="H13" s="18"/>
    </row>
    <row r="14" spans="1:8" x14ac:dyDescent="0.2">
      <c r="C14" s="10"/>
      <c r="D14" s="13"/>
      <c r="E14" s="14"/>
    </row>
    <row r="16" spans="1:8" ht="10.5" x14ac:dyDescent="0.25">
      <c r="A16" s="18" t="s">
        <v>181</v>
      </c>
    </row>
    <row r="17" spans="1:4" ht="10.5" x14ac:dyDescent="0.25">
      <c r="A17" s="18" t="s">
        <v>182</v>
      </c>
    </row>
    <row r="18" spans="1:4" ht="10.5" x14ac:dyDescent="0.25">
      <c r="A18" s="18" t="s">
        <v>183</v>
      </c>
      <c r="B18" s="18"/>
      <c r="C18" s="39" t="s">
        <v>185</v>
      </c>
      <c r="D18" s="41" t="s">
        <v>184</v>
      </c>
    </row>
    <row r="19" spans="1:4" x14ac:dyDescent="0.2">
      <c r="A19" s="9" t="s">
        <v>421</v>
      </c>
      <c r="C19" s="40">
        <v>40.24</v>
      </c>
      <c r="D19" s="40">
        <v>48.867400000000004</v>
      </c>
    </row>
    <row r="20" spans="1:4" x14ac:dyDescent="0.2">
      <c r="A20" s="9" t="s">
        <v>458</v>
      </c>
      <c r="C20" s="40">
        <v>40.24</v>
      </c>
      <c r="D20" s="40">
        <v>48.867400000000004</v>
      </c>
    </row>
    <row r="21" spans="1:4" x14ac:dyDescent="0.2">
      <c r="A21" s="9" t="s">
        <v>424</v>
      </c>
      <c r="C21" s="40">
        <v>43.231400000000001</v>
      </c>
      <c r="D21" s="40">
        <v>52.751100000000001</v>
      </c>
    </row>
    <row r="22" spans="1:4" x14ac:dyDescent="0.2">
      <c r="A22" s="9" t="s">
        <v>459</v>
      </c>
      <c r="C22" s="40">
        <v>43.231400000000001</v>
      </c>
      <c r="D22" s="40">
        <v>52.751100000000001</v>
      </c>
    </row>
    <row r="24" spans="1:4" ht="10.5" x14ac:dyDescent="0.25">
      <c r="A24" s="18" t="s">
        <v>197</v>
      </c>
      <c r="D24" s="41" t="s">
        <v>198</v>
      </c>
    </row>
    <row r="26" spans="1:4" ht="10.5" x14ac:dyDescent="0.25">
      <c r="A26" s="18" t="s">
        <v>1003</v>
      </c>
      <c r="D26" s="47">
        <v>2.3400000000000001E-2</v>
      </c>
    </row>
  </sheetData>
  <mergeCells count="1">
    <mergeCell ref="A1:E1"/>
  </mergeCells>
  <conditionalFormatting sqref="E5:E14">
    <cfRule type="cellIs" dxfId="8"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I28"/>
  <sheetViews>
    <sheetView workbookViewId="0">
      <selection sqref="A1:E1"/>
    </sheetView>
  </sheetViews>
  <sheetFormatPr defaultColWidth="9.1796875" defaultRowHeight="10" x14ac:dyDescent="0.2"/>
  <cols>
    <col min="1" max="1" width="36.81640625" style="9" bestFit="1" customWidth="1"/>
    <col min="2" max="2" width="39.26953125" style="9" bestFit="1" customWidth="1"/>
    <col min="3" max="3" width="18.81640625" style="9" bestFit="1" customWidth="1"/>
    <col min="4" max="4" width="23" style="10" bestFit="1" customWidth="1"/>
    <col min="5" max="5" width="13.54296875" style="13" bestFit="1" customWidth="1"/>
    <col min="6" max="6" width="13.54296875" style="14" bestFit="1" customWidth="1"/>
    <col min="7" max="16384" width="9.1796875" style="9"/>
  </cols>
  <sheetData>
    <row r="1" spans="1:9" s="1" customFormat="1" ht="15" customHeight="1" x14ac:dyDescent="0.25">
      <c r="A1" s="71" t="s">
        <v>1496</v>
      </c>
      <c r="B1" s="72"/>
      <c r="C1" s="72"/>
      <c r="D1" s="72"/>
      <c r="E1" s="72"/>
    </row>
    <row r="2" spans="1:9" s="1" customFormat="1" ht="11.5" x14ac:dyDescent="0.25">
      <c r="D2" s="6"/>
      <c r="E2" s="7"/>
      <c r="F2" s="12"/>
    </row>
    <row r="3" spans="1:9" s="1" customFormat="1" ht="11.5" x14ac:dyDescent="0.25">
      <c r="A3" s="11" t="s">
        <v>7</v>
      </c>
      <c r="B3" s="2"/>
      <c r="C3" s="3"/>
      <c r="D3" s="4"/>
      <c r="E3" s="5"/>
      <c r="F3" s="12"/>
    </row>
    <row r="4" spans="1:9" s="1" customFormat="1" ht="17.5" customHeight="1" x14ac:dyDescent="0.25">
      <c r="A4" s="8" t="s">
        <v>2</v>
      </c>
      <c r="B4" s="8" t="s">
        <v>0</v>
      </c>
      <c r="C4" s="16" t="s">
        <v>1</v>
      </c>
      <c r="D4" s="15" t="s">
        <v>3</v>
      </c>
      <c r="E4" s="15" t="s">
        <v>4</v>
      </c>
    </row>
    <row r="5" spans="1:9" ht="10.5" x14ac:dyDescent="0.25">
      <c r="A5" s="21" t="s">
        <v>1141</v>
      </c>
      <c r="B5" s="22"/>
      <c r="C5" s="23"/>
      <c r="D5" s="24"/>
      <c r="E5" s="25"/>
    </row>
    <row r="6" spans="1:9" x14ac:dyDescent="0.2">
      <c r="A6" s="27" t="s">
        <v>1464</v>
      </c>
      <c r="B6" s="27" t="s">
        <v>1463</v>
      </c>
      <c r="C6" s="31">
        <v>83992.948000000004</v>
      </c>
      <c r="D6" s="29">
        <v>1940.0468249999999</v>
      </c>
      <c r="E6" s="30">
        <v>98.784088336144606</v>
      </c>
    </row>
    <row r="7" spans="1:9" ht="10.5" x14ac:dyDescent="0.25">
      <c r="A7" s="26" t="s">
        <v>164</v>
      </c>
      <c r="B7" s="26"/>
      <c r="C7" s="32"/>
      <c r="D7" s="33">
        <f>SUM(D6:D6)</f>
        <v>1940.0468249999999</v>
      </c>
      <c r="E7" s="34">
        <f>SUM(E6:E6)</f>
        <v>98.784088336144606</v>
      </c>
      <c r="G7" s="18"/>
      <c r="H7" s="18"/>
      <c r="I7" s="18"/>
    </row>
    <row r="8" spans="1:9" x14ac:dyDescent="0.2">
      <c r="A8" s="27"/>
      <c r="B8" s="27"/>
      <c r="C8" s="28"/>
      <c r="D8" s="29"/>
      <c r="E8" s="30"/>
    </row>
    <row r="9" spans="1:9" ht="10.5" x14ac:dyDescent="0.25">
      <c r="A9" s="26" t="s">
        <v>176</v>
      </c>
      <c r="B9" s="26"/>
      <c r="C9" s="32"/>
      <c r="D9" s="33">
        <f>D7</f>
        <v>1940.0468249999999</v>
      </c>
      <c r="E9" s="34">
        <f>E7</f>
        <v>98.784088336144606</v>
      </c>
      <c r="G9" s="18"/>
      <c r="H9" s="18"/>
      <c r="I9" s="18"/>
    </row>
    <row r="10" spans="1:9" ht="10.5" x14ac:dyDescent="0.25">
      <c r="A10" s="26"/>
      <c r="B10" s="26"/>
      <c r="C10" s="32"/>
      <c r="D10" s="33"/>
      <c r="E10" s="34"/>
      <c r="G10" s="18"/>
      <c r="H10" s="18"/>
      <c r="I10" s="18"/>
    </row>
    <row r="11" spans="1:9" ht="10.5" x14ac:dyDescent="0.25">
      <c r="A11" s="26" t="s">
        <v>178</v>
      </c>
      <c r="B11" s="26"/>
      <c r="C11" s="32"/>
      <c r="D11" s="33">
        <f>D13-(D7)</f>
        <v>23.879610600000206</v>
      </c>
      <c r="E11" s="34">
        <f>E13-(E7)</f>
        <v>1.215911663855394</v>
      </c>
      <c r="G11" s="18"/>
      <c r="H11" s="18"/>
      <c r="I11" s="18"/>
    </row>
    <row r="12" spans="1:9" ht="10.5" x14ac:dyDescent="0.25">
      <c r="A12" s="26"/>
      <c r="B12" s="26"/>
      <c r="C12" s="32"/>
      <c r="D12" s="33"/>
      <c r="E12" s="34"/>
      <c r="G12" s="18"/>
      <c r="H12" s="18"/>
      <c r="I12" s="18"/>
    </row>
    <row r="13" spans="1:9" ht="10.5" x14ac:dyDescent="0.25">
      <c r="A13" s="35" t="s">
        <v>177</v>
      </c>
      <c r="B13" s="35"/>
      <c r="C13" s="36"/>
      <c r="D13" s="37">
        <v>1963.9264356000001</v>
      </c>
      <c r="E13" s="38">
        <v>100</v>
      </c>
      <c r="G13" s="18"/>
      <c r="H13" s="18"/>
      <c r="I13" s="18"/>
    </row>
    <row r="14" spans="1:9" x14ac:dyDescent="0.2">
      <c r="C14" s="10"/>
      <c r="D14" s="13"/>
      <c r="E14" s="14"/>
    </row>
    <row r="16" spans="1:9" ht="10.5" x14ac:dyDescent="0.25">
      <c r="A16" s="18" t="s">
        <v>181</v>
      </c>
    </row>
    <row r="17" spans="1:4" ht="10.5" x14ac:dyDescent="0.25">
      <c r="A17" s="18" t="s">
        <v>182</v>
      </c>
    </row>
    <row r="18" spans="1:4" ht="10.5" x14ac:dyDescent="0.25">
      <c r="A18" s="18" t="s">
        <v>183</v>
      </c>
      <c r="B18" s="18"/>
      <c r="C18" s="39" t="s">
        <v>185</v>
      </c>
      <c r="D18" s="41" t="s">
        <v>184</v>
      </c>
    </row>
    <row r="19" spans="1:4" x14ac:dyDescent="0.2">
      <c r="A19" s="9" t="s">
        <v>421</v>
      </c>
      <c r="C19" s="40">
        <v>7.8175999999999997</v>
      </c>
      <c r="D19" s="40">
        <v>8.7335999999999991</v>
      </c>
    </row>
    <row r="20" spans="1:4" x14ac:dyDescent="0.2">
      <c r="A20" s="9" t="s">
        <v>458</v>
      </c>
      <c r="C20" s="40">
        <v>7.8175999999999997</v>
      </c>
      <c r="D20" s="40">
        <v>8.7335999999999991</v>
      </c>
    </row>
    <row r="21" spans="1:4" x14ac:dyDescent="0.2">
      <c r="A21" s="9" t="s">
        <v>424</v>
      </c>
      <c r="C21" s="40">
        <v>8.4222000000000001</v>
      </c>
      <c r="D21" s="40">
        <v>9.4487000000000005</v>
      </c>
    </row>
    <row r="22" spans="1:4" x14ac:dyDescent="0.2">
      <c r="A22" s="9" t="s">
        <v>459</v>
      </c>
      <c r="C22" s="40">
        <v>8.4222000000000001</v>
      </c>
      <c r="D22" s="40">
        <v>9.4487000000000005</v>
      </c>
    </row>
    <row r="24" spans="1:4" ht="10.5" x14ac:dyDescent="0.25">
      <c r="A24" s="18" t="s">
        <v>197</v>
      </c>
      <c r="D24" s="41" t="s">
        <v>198</v>
      </c>
    </row>
    <row r="26" spans="1:4" ht="10.5" x14ac:dyDescent="0.25">
      <c r="A26" s="18" t="s">
        <v>1003</v>
      </c>
      <c r="D26" s="47">
        <v>9.0399999999999994E-2</v>
      </c>
    </row>
    <row r="28" spans="1:4" ht="10.5" x14ac:dyDescent="0.25">
      <c r="A28" s="18" t="s">
        <v>1497</v>
      </c>
    </row>
  </sheetData>
  <mergeCells count="1">
    <mergeCell ref="A1:E1"/>
  </mergeCells>
  <conditionalFormatting sqref="F2:F3 F15:F65536 E5:E14">
    <cfRule type="cellIs" dxfId="7"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31"/>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15.54296875" style="9" bestFit="1" customWidth="1"/>
    <col min="4" max="4" width="23" style="10" bestFit="1" customWidth="1"/>
    <col min="5" max="5" width="13.54296875" style="13" customWidth="1"/>
    <col min="6" max="16384" width="9.1796875" style="9"/>
  </cols>
  <sheetData>
    <row r="1" spans="1:8" s="1" customFormat="1" ht="14" x14ac:dyDescent="0.25">
      <c r="A1" s="71" t="s">
        <v>62</v>
      </c>
      <c r="B1" s="72"/>
      <c r="C1" s="72"/>
      <c r="D1" s="72"/>
      <c r="E1" s="72"/>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1495</v>
      </c>
      <c r="B5" s="22"/>
      <c r="C5" s="23"/>
      <c r="D5" s="24"/>
      <c r="E5" s="25"/>
    </row>
    <row r="6" spans="1:8" x14ac:dyDescent="0.2">
      <c r="A6" s="27" t="s">
        <v>1467</v>
      </c>
      <c r="B6" s="27" t="s">
        <v>1466</v>
      </c>
      <c r="C6" s="31">
        <v>107671.39599999999</v>
      </c>
      <c r="D6" s="29">
        <v>572.33118160000004</v>
      </c>
      <c r="E6" s="30">
        <v>28.2226479177409</v>
      </c>
    </row>
    <row r="7" spans="1:8" ht="20" x14ac:dyDescent="0.2">
      <c r="A7" s="27" t="s">
        <v>1469</v>
      </c>
      <c r="B7" s="48" t="s">
        <v>1468</v>
      </c>
      <c r="C7" s="31">
        <v>27213.78</v>
      </c>
      <c r="D7" s="29">
        <v>545.22843609999995</v>
      </c>
      <c r="E7" s="30">
        <v>26.8861643074783</v>
      </c>
    </row>
    <row r="8" spans="1:8" x14ac:dyDescent="0.2">
      <c r="A8" s="27" t="s">
        <v>1471</v>
      </c>
      <c r="B8" s="27" t="s">
        <v>1470</v>
      </c>
      <c r="C8" s="31">
        <v>894954</v>
      </c>
      <c r="D8" s="29">
        <v>383.39829359999999</v>
      </c>
      <c r="E8" s="30">
        <v>18.906037973129099</v>
      </c>
    </row>
    <row r="9" spans="1:8" ht="20" x14ac:dyDescent="0.2">
      <c r="A9" s="27" t="s">
        <v>1473</v>
      </c>
      <c r="B9" s="48" t="s">
        <v>1472</v>
      </c>
      <c r="C9" s="31">
        <v>22876.138999999999</v>
      </c>
      <c r="D9" s="29">
        <v>0</v>
      </c>
      <c r="E9" s="29">
        <v>0</v>
      </c>
    </row>
    <row r="10" spans="1:8" ht="20" x14ac:dyDescent="0.2">
      <c r="A10" s="27" t="s">
        <v>1475</v>
      </c>
      <c r="B10" s="48" t="s">
        <v>1474</v>
      </c>
      <c r="C10" s="31">
        <v>23973.544999999998</v>
      </c>
      <c r="D10" s="29">
        <v>0</v>
      </c>
      <c r="E10" s="29">
        <v>0</v>
      </c>
    </row>
    <row r="11" spans="1:8" ht="10.5" x14ac:dyDescent="0.25">
      <c r="A11" s="26" t="s">
        <v>164</v>
      </c>
      <c r="B11" s="26"/>
      <c r="C11" s="32"/>
      <c r="D11" s="33">
        <f>SUM(D6:D10)</f>
        <v>1500.9579113</v>
      </c>
      <c r="E11" s="34">
        <f>SUM(E6:E10)</f>
        <v>74.014850198348299</v>
      </c>
      <c r="F11" s="18"/>
      <c r="G11" s="18"/>
      <c r="H11" s="18"/>
    </row>
    <row r="12" spans="1:8" x14ac:dyDescent="0.2">
      <c r="A12" s="27"/>
      <c r="B12" s="27"/>
      <c r="C12" s="28"/>
      <c r="D12" s="29"/>
      <c r="E12" s="30"/>
    </row>
    <row r="13" spans="1:8" ht="10.5" x14ac:dyDescent="0.25">
      <c r="A13" s="26" t="s">
        <v>176</v>
      </c>
      <c r="B13" s="26"/>
      <c r="C13" s="32"/>
      <c r="D13" s="33">
        <f>D11</f>
        <v>1500.9579113</v>
      </c>
      <c r="E13" s="34">
        <f>E11</f>
        <v>74.014850198348299</v>
      </c>
      <c r="F13" s="18"/>
      <c r="G13" s="18"/>
      <c r="H13" s="18"/>
    </row>
    <row r="14" spans="1:8" ht="10.5" x14ac:dyDescent="0.25">
      <c r="A14" s="26"/>
      <c r="B14" s="26"/>
      <c r="C14" s="32"/>
      <c r="D14" s="33"/>
      <c r="E14" s="34"/>
      <c r="F14" s="18"/>
      <c r="G14" s="18"/>
      <c r="H14" s="18"/>
    </row>
    <row r="15" spans="1:8" ht="10.5" x14ac:dyDescent="0.25">
      <c r="A15" s="26" t="s">
        <v>178</v>
      </c>
      <c r="B15" s="26"/>
      <c r="C15" s="32"/>
      <c r="D15" s="33">
        <f>D17-(D11)</f>
        <v>526.95663190000005</v>
      </c>
      <c r="E15" s="34">
        <f>E17-(E11)</f>
        <v>25.985149801651701</v>
      </c>
      <c r="F15" s="18"/>
      <c r="G15" s="18"/>
      <c r="H15" s="18"/>
    </row>
    <row r="16" spans="1:8" ht="10.5" x14ac:dyDescent="0.25">
      <c r="A16" s="26"/>
      <c r="B16" s="26"/>
      <c r="C16" s="32"/>
      <c r="D16" s="33"/>
      <c r="E16" s="34"/>
      <c r="F16" s="18"/>
      <c r="G16" s="18"/>
      <c r="H16" s="18"/>
    </row>
    <row r="17" spans="1:8" ht="10.5" x14ac:dyDescent="0.25">
      <c r="A17" s="35" t="s">
        <v>177</v>
      </c>
      <c r="B17" s="35"/>
      <c r="C17" s="36"/>
      <c r="D17" s="37">
        <v>2027.9145432</v>
      </c>
      <c r="E17" s="38">
        <v>100</v>
      </c>
      <c r="F17" s="18"/>
      <c r="G17" s="18"/>
      <c r="H17" s="18"/>
    </row>
    <row r="18" spans="1:8" ht="10.5" x14ac:dyDescent="0.25">
      <c r="C18" s="10"/>
      <c r="D18" s="13"/>
      <c r="E18" s="20"/>
    </row>
    <row r="19" spans="1:8" ht="10.5" x14ac:dyDescent="0.25">
      <c r="A19" s="18" t="s">
        <v>1494</v>
      </c>
    </row>
    <row r="21" spans="1:8" ht="10.5" x14ac:dyDescent="0.25">
      <c r="A21" s="18" t="s">
        <v>181</v>
      </c>
    </row>
    <row r="22" spans="1:8" ht="10.5" x14ac:dyDescent="0.25">
      <c r="A22" s="18" t="s">
        <v>182</v>
      </c>
    </row>
    <row r="23" spans="1:8" ht="10.5" x14ac:dyDescent="0.25">
      <c r="A23" s="18" t="s">
        <v>183</v>
      </c>
      <c r="B23" s="18"/>
      <c r="C23" s="39" t="s">
        <v>185</v>
      </c>
      <c r="D23" s="41" t="s">
        <v>184</v>
      </c>
    </row>
    <row r="24" spans="1:8" x14ac:dyDescent="0.2">
      <c r="A24" s="9" t="s">
        <v>421</v>
      </c>
      <c r="C24" s="40">
        <v>9.8219999999999992</v>
      </c>
      <c r="D24" s="40">
        <v>10.9437</v>
      </c>
    </row>
    <row r="25" spans="1:8" x14ac:dyDescent="0.2">
      <c r="A25" s="9" t="s">
        <v>458</v>
      </c>
      <c r="C25" s="40">
        <v>9.8219999999999992</v>
      </c>
      <c r="D25" s="40">
        <v>10.9437</v>
      </c>
    </row>
    <row r="26" spans="1:8" x14ac:dyDescent="0.2">
      <c r="A26" s="9" t="s">
        <v>424</v>
      </c>
      <c r="C26" s="40">
        <v>10.566700000000001</v>
      </c>
      <c r="D26" s="40">
        <v>11.81</v>
      </c>
    </row>
    <row r="27" spans="1:8" x14ac:dyDescent="0.2">
      <c r="A27" s="9" t="s">
        <v>459</v>
      </c>
      <c r="C27" s="40">
        <v>10.566700000000001</v>
      </c>
      <c r="D27" s="40">
        <v>11.81</v>
      </c>
    </row>
    <row r="29" spans="1:8" ht="10.5" x14ac:dyDescent="0.25">
      <c r="A29" s="18" t="s">
        <v>197</v>
      </c>
      <c r="D29" s="41" t="s">
        <v>198</v>
      </c>
    </row>
    <row r="31" spans="1:8" ht="10.5" x14ac:dyDescent="0.25">
      <c r="A31" s="18" t="s">
        <v>1003</v>
      </c>
      <c r="D31" s="47">
        <v>0.31659999999999999</v>
      </c>
    </row>
  </sheetData>
  <mergeCells count="1">
    <mergeCell ref="A1:E1"/>
  </mergeCells>
  <conditionalFormatting sqref="E5:E8 E11:E18">
    <cfRule type="cellIs" dxfId="6"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32"/>
  <sheetViews>
    <sheetView workbookViewId="0">
      <selection sqref="A1:E1"/>
    </sheetView>
  </sheetViews>
  <sheetFormatPr defaultColWidth="9.1796875" defaultRowHeight="10" x14ac:dyDescent="0.2"/>
  <cols>
    <col min="1" max="1" width="36.81640625" style="9" bestFit="1" customWidth="1"/>
    <col min="2" max="2" width="34.453125" style="9" bestFit="1" customWidth="1"/>
    <col min="3" max="3" width="21.1796875" style="9" bestFit="1" customWidth="1"/>
    <col min="4" max="4" width="23" style="10" bestFit="1" customWidth="1"/>
    <col min="5" max="5" width="13.54296875" style="13" customWidth="1"/>
    <col min="6" max="16384" width="9.1796875" style="9"/>
  </cols>
  <sheetData>
    <row r="1" spans="1:8" s="1" customFormat="1" ht="14" x14ac:dyDescent="0.25">
      <c r="A1" s="71" t="s">
        <v>63</v>
      </c>
      <c r="B1" s="72"/>
      <c r="C1" s="72"/>
      <c r="D1" s="72"/>
      <c r="E1" s="72"/>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1465</v>
      </c>
      <c r="B5" s="22"/>
      <c r="C5" s="23"/>
      <c r="D5" s="24"/>
      <c r="E5" s="25"/>
    </row>
    <row r="6" spans="1:8" x14ac:dyDescent="0.2">
      <c r="A6" s="27" t="s">
        <v>1477</v>
      </c>
      <c r="B6" s="27" t="s">
        <v>1476</v>
      </c>
      <c r="C6" s="31">
        <v>4161059.2340000002</v>
      </c>
      <c r="D6" s="29">
        <v>1643.19813</v>
      </c>
      <c r="E6" s="30">
        <v>79.024911043892004</v>
      </c>
    </row>
    <row r="7" spans="1:8" x14ac:dyDescent="0.2">
      <c r="A7" s="27" t="s">
        <v>1479</v>
      </c>
      <c r="B7" s="27" t="s">
        <v>1478</v>
      </c>
      <c r="C7" s="31">
        <v>75863.434999999998</v>
      </c>
      <c r="D7" s="29">
        <v>203.6805779</v>
      </c>
      <c r="E7" s="30">
        <v>9.7954344373042908</v>
      </c>
    </row>
    <row r="8" spans="1:8" x14ac:dyDescent="0.2">
      <c r="A8" s="27" t="s">
        <v>1467</v>
      </c>
      <c r="B8" s="27" t="s">
        <v>1466</v>
      </c>
      <c r="C8" s="31">
        <v>37730.163</v>
      </c>
      <c r="D8" s="29">
        <v>200.55603970000001</v>
      </c>
      <c r="E8" s="30">
        <v>9.6451687153561796</v>
      </c>
    </row>
    <row r="9" spans="1:8" ht="10.5" x14ac:dyDescent="0.25">
      <c r="A9" s="26" t="s">
        <v>164</v>
      </c>
      <c r="B9" s="26"/>
      <c r="C9" s="32"/>
      <c r="D9" s="33">
        <f>SUM(D6:D8)</f>
        <v>2047.4347475999998</v>
      </c>
      <c r="E9" s="34">
        <f>SUM(E6:E8)</f>
        <v>98.465514196552476</v>
      </c>
      <c r="F9" s="18"/>
      <c r="G9" s="18"/>
      <c r="H9" s="18"/>
    </row>
    <row r="10" spans="1:8" x14ac:dyDescent="0.2">
      <c r="A10" s="27"/>
      <c r="B10" s="27"/>
      <c r="C10" s="28"/>
      <c r="D10" s="29"/>
      <c r="E10" s="30"/>
    </row>
    <row r="11" spans="1:8" ht="10.5" x14ac:dyDescent="0.25">
      <c r="A11" s="26" t="s">
        <v>176</v>
      </c>
      <c r="B11" s="26"/>
      <c r="C11" s="32"/>
      <c r="D11" s="33">
        <f>D9</f>
        <v>2047.4347475999998</v>
      </c>
      <c r="E11" s="34">
        <f>E9</f>
        <v>98.465514196552476</v>
      </c>
      <c r="F11" s="18"/>
      <c r="G11" s="18"/>
      <c r="H11" s="18"/>
    </row>
    <row r="12" spans="1:8" ht="10.5" x14ac:dyDescent="0.25">
      <c r="A12" s="26"/>
      <c r="B12" s="26"/>
      <c r="C12" s="32"/>
      <c r="D12" s="33"/>
      <c r="E12" s="34"/>
      <c r="F12" s="18"/>
      <c r="G12" s="18"/>
      <c r="H12" s="18"/>
    </row>
    <row r="13" spans="1:8" ht="10.5" x14ac:dyDescent="0.25">
      <c r="A13" s="26" t="s">
        <v>178</v>
      </c>
      <c r="B13" s="26"/>
      <c r="C13" s="32"/>
      <c r="D13" s="33">
        <f>D15-(D9)</f>
        <v>31.907207100000051</v>
      </c>
      <c r="E13" s="34">
        <f>E15-(E9)</f>
        <v>1.5344858034475237</v>
      </c>
      <c r="F13" s="18"/>
      <c r="G13" s="18"/>
      <c r="H13" s="18"/>
    </row>
    <row r="14" spans="1:8" ht="10.5" x14ac:dyDescent="0.25">
      <c r="A14" s="26"/>
      <c r="B14" s="26"/>
      <c r="C14" s="32"/>
      <c r="D14" s="33"/>
      <c r="E14" s="34"/>
      <c r="F14" s="18"/>
      <c r="G14" s="18"/>
      <c r="H14" s="18"/>
    </row>
    <row r="15" spans="1:8" ht="10.5" x14ac:dyDescent="0.25">
      <c r="A15" s="35" t="s">
        <v>177</v>
      </c>
      <c r="B15" s="35"/>
      <c r="C15" s="36"/>
      <c r="D15" s="37">
        <v>2079.3419546999999</v>
      </c>
      <c r="E15" s="38">
        <v>100</v>
      </c>
      <c r="F15" s="18"/>
      <c r="G15" s="18"/>
      <c r="H15" s="18"/>
    </row>
    <row r="16" spans="1:8" x14ac:dyDescent="0.2">
      <c r="C16" s="10"/>
      <c r="D16" s="13"/>
      <c r="E16" s="14"/>
    </row>
    <row r="18" spans="1:4" ht="10.5" x14ac:dyDescent="0.25">
      <c r="A18" s="18" t="s">
        <v>181</v>
      </c>
    </row>
    <row r="19" spans="1:4" ht="10.5" x14ac:dyDescent="0.25">
      <c r="A19" s="18" t="s">
        <v>182</v>
      </c>
    </row>
    <row r="20" spans="1:4" ht="10.5" x14ac:dyDescent="0.25">
      <c r="A20" s="18" t="s">
        <v>183</v>
      </c>
      <c r="B20" s="18"/>
      <c r="C20" s="39" t="s">
        <v>185</v>
      </c>
      <c r="D20" s="41" t="s">
        <v>184</v>
      </c>
    </row>
    <row r="21" spans="1:4" x14ac:dyDescent="0.2">
      <c r="A21" s="9" t="s">
        <v>477</v>
      </c>
      <c r="C21" s="40">
        <v>38.7637</v>
      </c>
      <c r="D21" s="40">
        <v>41.806699999999999</v>
      </c>
    </row>
    <row r="22" spans="1:4" x14ac:dyDescent="0.2">
      <c r="A22" s="9" t="s">
        <v>1480</v>
      </c>
      <c r="C22" s="40">
        <v>13.537699999999999</v>
      </c>
      <c r="D22" s="40">
        <v>14.044</v>
      </c>
    </row>
    <row r="23" spans="1:4" x14ac:dyDescent="0.2">
      <c r="A23" s="9" t="s">
        <v>479</v>
      </c>
      <c r="C23" s="40">
        <v>39.979700000000001</v>
      </c>
      <c r="D23" s="40">
        <v>43.264400000000002</v>
      </c>
    </row>
    <row r="24" spans="1:4" x14ac:dyDescent="0.2">
      <c r="A24" s="9" t="s">
        <v>1481</v>
      </c>
      <c r="C24" s="40">
        <v>14.001799999999999</v>
      </c>
      <c r="D24" s="40">
        <v>14.578200000000001</v>
      </c>
    </row>
    <row r="26" spans="1:4" ht="10.5" x14ac:dyDescent="0.25">
      <c r="A26" s="18" t="s">
        <v>197</v>
      </c>
    </row>
    <row r="27" spans="1:4" ht="10.5" x14ac:dyDescent="0.25">
      <c r="A27" s="73" t="s">
        <v>403</v>
      </c>
      <c r="B27" s="74"/>
      <c r="C27" s="45" t="s">
        <v>404</v>
      </c>
    </row>
    <row r="28" spans="1:4" x14ac:dyDescent="0.2">
      <c r="A28" s="69" t="s">
        <v>1480</v>
      </c>
      <c r="B28" s="70"/>
      <c r="C28" s="46">
        <v>0.53</v>
      </c>
    </row>
    <row r="29" spans="1:4" x14ac:dyDescent="0.2">
      <c r="A29" s="69" t="s">
        <v>1481</v>
      </c>
      <c r="B29" s="70"/>
      <c r="C29" s="46">
        <v>0.53</v>
      </c>
    </row>
    <row r="30" spans="1:4" x14ac:dyDescent="0.2">
      <c r="A30" s="9" t="s">
        <v>405</v>
      </c>
    </row>
    <row r="32" spans="1:4" ht="10.5" x14ac:dyDescent="0.25">
      <c r="A32" s="18" t="s">
        <v>1003</v>
      </c>
      <c r="D32" s="47">
        <v>3.4599999999999999E-2</v>
      </c>
    </row>
  </sheetData>
  <mergeCells count="4">
    <mergeCell ref="A1:E1"/>
    <mergeCell ref="A27:B27"/>
    <mergeCell ref="A28:B28"/>
    <mergeCell ref="A29:B29"/>
  </mergeCells>
  <conditionalFormatting sqref="E5:E16">
    <cfRule type="cellIs" dxfId="5"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2"/>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15.54296875" style="9" bestFit="1" customWidth="1"/>
    <col min="4" max="4" width="23" style="10" bestFit="1" customWidth="1"/>
    <col min="5" max="5" width="13.54296875" style="13" customWidth="1"/>
    <col min="6" max="16384" width="9.1796875" style="9"/>
  </cols>
  <sheetData>
    <row r="1" spans="1:8" s="1" customFormat="1" ht="14" x14ac:dyDescent="0.25">
      <c r="A1" s="80" t="s">
        <v>64</v>
      </c>
      <c r="B1" s="81"/>
      <c r="C1" s="81"/>
      <c r="D1" s="81"/>
      <c r="E1" s="81"/>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1465</v>
      </c>
      <c r="B5" s="22"/>
      <c r="C5" s="23"/>
      <c r="D5" s="24"/>
      <c r="E5" s="25"/>
    </row>
    <row r="6" spans="1:8" x14ac:dyDescent="0.2">
      <c r="A6" s="27" t="s">
        <v>1483</v>
      </c>
      <c r="B6" s="27" t="s">
        <v>1482</v>
      </c>
      <c r="C6" s="31">
        <v>1182802.6850000001</v>
      </c>
      <c r="D6" s="29">
        <v>956.10672239999997</v>
      </c>
      <c r="E6" s="30">
        <v>67.276015690711205</v>
      </c>
    </row>
    <row r="7" spans="1:8" ht="20" x14ac:dyDescent="0.2">
      <c r="A7" s="27" t="s">
        <v>1485</v>
      </c>
      <c r="B7" s="48" t="s">
        <v>1484</v>
      </c>
      <c r="C7" s="31">
        <v>427573.21600000001</v>
      </c>
      <c r="D7" s="29">
        <v>153.0754871</v>
      </c>
      <c r="E7" s="30">
        <v>10.771087192183201</v>
      </c>
    </row>
    <row r="8" spans="1:8" x14ac:dyDescent="0.2">
      <c r="A8" s="27" t="s">
        <v>1479</v>
      </c>
      <c r="B8" s="27" t="s">
        <v>1478</v>
      </c>
      <c r="C8" s="31">
        <v>51008.790999999997</v>
      </c>
      <c r="D8" s="29">
        <v>136.95003439999999</v>
      </c>
      <c r="E8" s="30">
        <v>9.6364270298303207</v>
      </c>
    </row>
    <row r="9" spans="1:8" x14ac:dyDescent="0.2">
      <c r="A9" s="27" t="s">
        <v>1467</v>
      </c>
      <c r="B9" s="27" t="s">
        <v>1466</v>
      </c>
      <c r="C9" s="31">
        <v>25276.329000000002</v>
      </c>
      <c r="D9" s="29">
        <v>134.35723669999999</v>
      </c>
      <c r="E9" s="30">
        <v>9.4539859961451107</v>
      </c>
    </row>
    <row r="10" spans="1:8" ht="20" x14ac:dyDescent="0.2">
      <c r="A10" s="27" t="s">
        <v>1487</v>
      </c>
      <c r="B10" s="48" t="s">
        <v>1486</v>
      </c>
      <c r="C10" s="31">
        <v>371180.549</v>
      </c>
      <c r="D10" s="29">
        <v>0</v>
      </c>
      <c r="E10" s="29">
        <v>0</v>
      </c>
    </row>
    <row r="11" spans="1:8" ht="20" x14ac:dyDescent="0.2">
      <c r="A11" s="27" t="s">
        <v>1489</v>
      </c>
      <c r="B11" s="48" t="s">
        <v>1488</v>
      </c>
      <c r="C11" s="31">
        <v>489502.28</v>
      </c>
      <c r="D11" s="29">
        <v>0</v>
      </c>
      <c r="E11" s="29">
        <v>0</v>
      </c>
    </row>
    <row r="12" spans="1:8" ht="10.5" x14ac:dyDescent="0.25">
      <c r="A12" s="26" t="s">
        <v>164</v>
      </c>
      <c r="B12" s="26"/>
      <c r="C12" s="32"/>
      <c r="D12" s="33">
        <f>SUM(D6:D11)</f>
        <v>1380.4894806</v>
      </c>
      <c r="E12" s="34">
        <f>SUM(E6:E11)</f>
        <v>97.13751590886983</v>
      </c>
      <c r="F12" s="18"/>
      <c r="G12" s="18"/>
      <c r="H12" s="18"/>
    </row>
    <row r="13" spans="1:8" x14ac:dyDescent="0.2">
      <c r="A13" s="27"/>
      <c r="B13" s="27"/>
      <c r="C13" s="28"/>
      <c r="D13" s="29"/>
      <c r="E13" s="30"/>
    </row>
    <row r="14" spans="1:8" ht="10.5" x14ac:dyDescent="0.25">
      <c r="A14" s="26" t="s">
        <v>176</v>
      </c>
      <c r="B14" s="26"/>
      <c r="C14" s="32"/>
      <c r="D14" s="33">
        <f>D12</f>
        <v>1380.4894806</v>
      </c>
      <c r="E14" s="34">
        <f>E12</f>
        <v>97.13751590886983</v>
      </c>
      <c r="F14" s="18"/>
      <c r="G14" s="18"/>
      <c r="H14" s="18"/>
    </row>
    <row r="15" spans="1:8" ht="10.5" x14ac:dyDescent="0.25">
      <c r="A15" s="26"/>
      <c r="B15" s="26"/>
      <c r="C15" s="32"/>
      <c r="D15" s="33"/>
      <c r="E15" s="34"/>
      <c r="F15" s="18"/>
      <c r="G15" s="18"/>
      <c r="H15" s="18"/>
    </row>
    <row r="16" spans="1:8" ht="10.5" x14ac:dyDescent="0.25">
      <c r="A16" s="26" t="s">
        <v>178</v>
      </c>
      <c r="B16" s="26"/>
      <c r="C16" s="32"/>
      <c r="D16" s="33">
        <f>D18-(D12)</f>
        <v>40.680772400000023</v>
      </c>
      <c r="E16" s="34">
        <f>E18-(E12)</f>
        <v>2.8624840911301703</v>
      </c>
      <c r="F16" s="18"/>
      <c r="G16" s="18"/>
      <c r="H16" s="18"/>
    </row>
    <row r="17" spans="1:8" ht="10.5" x14ac:dyDescent="0.25">
      <c r="A17" s="26"/>
      <c r="B17" s="26"/>
      <c r="C17" s="32"/>
      <c r="D17" s="33"/>
      <c r="E17" s="34"/>
      <c r="F17" s="18"/>
      <c r="G17" s="18"/>
      <c r="H17" s="18"/>
    </row>
    <row r="18" spans="1:8" ht="10.5" x14ac:dyDescent="0.25">
      <c r="A18" s="35" t="s">
        <v>177</v>
      </c>
      <c r="B18" s="35"/>
      <c r="C18" s="36"/>
      <c r="D18" s="37">
        <v>1421.170253</v>
      </c>
      <c r="E18" s="38">
        <v>100</v>
      </c>
      <c r="F18" s="18"/>
      <c r="G18" s="18"/>
      <c r="H18" s="18"/>
    </row>
    <row r="19" spans="1:8" ht="10.5" x14ac:dyDescent="0.25">
      <c r="C19" s="10"/>
      <c r="D19" s="13"/>
      <c r="E19" s="20"/>
    </row>
    <row r="20" spans="1:8" ht="10.5" x14ac:dyDescent="0.25">
      <c r="A20" s="18" t="s">
        <v>1494</v>
      </c>
    </row>
    <row r="22" spans="1:8" ht="10.5" x14ac:dyDescent="0.25">
      <c r="A22" s="18" t="s">
        <v>181</v>
      </c>
    </row>
    <row r="23" spans="1:8" ht="10.5" x14ac:dyDescent="0.25">
      <c r="A23" s="18" t="s">
        <v>182</v>
      </c>
    </row>
    <row r="24" spans="1:8" ht="10.5" x14ac:dyDescent="0.25">
      <c r="A24" s="18" t="s">
        <v>183</v>
      </c>
      <c r="B24" s="18"/>
      <c r="C24" s="39" t="s">
        <v>185</v>
      </c>
      <c r="D24" s="41" t="s">
        <v>184</v>
      </c>
    </row>
    <row r="25" spans="1:8" x14ac:dyDescent="0.2">
      <c r="A25" s="9" t="s">
        <v>477</v>
      </c>
      <c r="C25" s="40">
        <v>26.3127</v>
      </c>
      <c r="D25" s="40">
        <v>29.319099999999999</v>
      </c>
    </row>
    <row r="26" spans="1:8" x14ac:dyDescent="0.2">
      <c r="A26" s="9" t="s">
        <v>1480</v>
      </c>
      <c r="C26" s="40">
        <v>9.0086999999999993</v>
      </c>
      <c r="D26" s="40">
        <v>10.0388</v>
      </c>
    </row>
    <row r="27" spans="1:8" x14ac:dyDescent="0.2">
      <c r="A27" s="9" t="s">
        <v>479</v>
      </c>
      <c r="C27" s="40">
        <v>27.658899999999999</v>
      </c>
      <c r="D27" s="40">
        <v>30.912500000000001</v>
      </c>
    </row>
    <row r="28" spans="1:8" x14ac:dyDescent="0.2">
      <c r="A28" s="9" t="s">
        <v>1481</v>
      </c>
      <c r="C28" s="40">
        <v>9.4873999999999992</v>
      </c>
      <c r="D28" s="40">
        <v>10.6022</v>
      </c>
    </row>
    <row r="30" spans="1:8" ht="10.5" x14ac:dyDescent="0.25">
      <c r="A30" s="18" t="s">
        <v>197</v>
      </c>
      <c r="D30" s="41" t="s">
        <v>198</v>
      </c>
    </row>
    <row r="32" spans="1:8" ht="10.5" x14ac:dyDescent="0.25">
      <c r="A32" s="18" t="s">
        <v>1003</v>
      </c>
      <c r="D32" s="47">
        <v>2.98E-2</v>
      </c>
    </row>
  </sheetData>
  <mergeCells count="1">
    <mergeCell ref="A1:E1"/>
  </mergeCells>
  <conditionalFormatting sqref="E5:E9 E12:E19">
    <cfRule type="cellIs" dxfId="4"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37"/>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13.54296875" style="13" customWidth="1"/>
    <col min="6" max="16384" width="9.1796875" style="9"/>
  </cols>
  <sheetData>
    <row r="1" spans="1:8" s="1" customFormat="1" ht="15" customHeight="1" x14ac:dyDescent="0.25">
      <c r="A1" s="71" t="s">
        <v>65</v>
      </c>
      <c r="B1" s="72"/>
      <c r="C1" s="72"/>
      <c r="D1" s="72"/>
      <c r="E1" s="72"/>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1465</v>
      </c>
      <c r="B5" s="22"/>
      <c r="C5" s="23"/>
      <c r="D5" s="24"/>
      <c r="E5" s="25"/>
    </row>
    <row r="6" spans="1:8" x14ac:dyDescent="0.2">
      <c r="A6" s="27" t="s">
        <v>1483</v>
      </c>
      <c r="B6" s="27" t="s">
        <v>1482</v>
      </c>
      <c r="C6" s="31">
        <v>848197.75600000005</v>
      </c>
      <c r="D6" s="29">
        <v>685.63217410000004</v>
      </c>
      <c r="E6" s="30">
        <v>49.120179790037199</v>
      </c>
    </row>
    <row r="7" spans="1:8" ht="20" x14ac:dyDescent="0.2">
      <c r="A7" s="27" t="s">
        <v>1485</v>
      </c>
      <c r="B7" s="48" t="s">
        <v>1484</v>
      </c>
      <c r="C7" s="31">
        <v>556579.71499999997</v>
      </c>
      <c r="D7" s="29">
        <v>199.2611038</v>
      </c>
      <c r="E7" s="30">
        <v>14.2754987492604</v>
      </c>
    </row>
    <row r="8" spans="1:8" x14ac:dyDescent="0.2">
      <c r="A8" s="27" t="s">
        <v>1467</v>
      </c>
      <c r="B8" s="27" t="s">
        <v>1466</v>
      </c>
      <c r="C8" s="31">
        <v>36821.671999999999</v>
      </c>
      <c r="D8" s="29">
        <v>195.72692309999999</v>
      </c>
      <c r="E8" s="30">
        <v>14.0223023591955</v>
      </c>
    </row>
    <row r="9" spans="1:8" x14ac:dyDescent="0.2">
      <c r="A9" s="27" t="s">
        <v>1491</v>
      </c>
      <c r="B9" s="27" t="s">
        <v>1490</v>
      </c>
      <c r="C9" s="31">
        <v>11606.565000000001</v>
      </c>
      <c r="D9" s="29">
        <v>135.9895607</v>
      </c>
      <c r="E9" s="30">
        <v>9.7425878240333503</v>
      </c>
    </row>
    <row r="10" spans="1:8" x14ac:dyDescent="0.2">
      <c r="A10" s="27" t="s">
        <v>1479</v>
      </c>
      <c r="B10" s="27" t="s">
        <v>1478</v>
      </c>
      <c r="C10" s="31">
        <v>50427.811999999998</v>
      </c>
      <c r="D10" s="29">
        <v>135.3902033</v>
      </c>
      <c r="E10" s="30">
        <v>9.6996485566555695</v>
      </c>
    </row>
    <row r="11" spans="1:8" ht="20" x14ac:dyDescent="0.2">
      <c r="A11" s="27" t="s">
        <v>1489</v>
      </c>
      <c r="B11" s="48" t="s">
        <v>1488</v>
      </c>
      <c r="C11" s="31">
        <v>631308.71</v>
      </c>
      <c r="D11" s="29">
        <v>0</v>
      </c>
      <c r="E11" s="29">
        <v>0</v>
      </c>
    </row>
    <row r="12" spans="1:8" ht="20" x14ac:dyDescent="0.2">
      <c r="A12" s="27" t="s">
        <v>1487</v>
      </c>
      <c r="B12" s="48" t="s">
        <v>1486</v>
      </c>
      <c r="C12" s="31">
        <v>584729.58299999998</v>
      </c>
      <c r="D12" s="29">
        <v>0</v>
      </c>
      <c r="E12" s="29">
        <v>0</v>
      </c>
    </row>
    <row r="13" spans="1:8" ht="10.5" x14ac:dyDescent="0.25">
      <c r="A13" s="26" t="s">
        <v>164</v>
      </c>
      <c r="B13" s="26"/>
      <c r="C13" s="32"/>
      <c r="D13" s="33">
        <f>SUM(D6:D12)</f>
        <v>1351.999965</v>
      </c>
      <c r="E13" s="34">
        <f>SUM(E6:E12)</f>
        <v>96.860217279182024</v>
      </c>
      <c r="F13" s="18"/>
      <c r="G13" s="18"/>
      <c r="H13" s="18"/>
    </row>
    <row r="14" spans="1:8" x14ac:dyDescent="0.2">
      <c r="A14" s="27"/>
      <c r="B14" s="27"/>
      <c r="C14" s="28"/>
      <c r="D14" s="29"/>
      <c r="E14" s="30"/>
    </row>
    <row r="15" spans="1:8" ht="10.5" x14ac:dyDescent="0.25">
      <c r="A15" s="26" t="s">
        <v>176</v>
      </c>
      <c r="B15" s="26"/>
      <c r="C15" s="32"/>
      <c r="D15" s="33">
        <f>D13</f>
        <v>1351.999965</v>
      </c>
      <c r="E15" s="34">
        <f>E13</f>
        <v>96.860217279182024</v>
      </c>
      <c r="F15" s="18"/>
      <c r="G15" s="18"/>
      <c r="H15" s="18"/>
    </row>
    <row r="16" spans="1:8" ht="10.5" x14ac:dyDescent="0.25">
      <c r="A16" s="26"/>
      <c r="B16" s="26"/>
      <c r="C16" s="32"/>
      <c r="D16" s="33"/>
      <c r="E16" s="34"/>
      <c r="F16" s="18"/>
      <c r="G16" s="18"/>
      <c r="H16" s="18"/>
    </row>
    <row r="17" spans="1:8" ht="10.5" x14ac:dyDescent="0.25">
      <c r="A17" s="26" t="s">
        <v>178</v>
      </c>
      <c r="B17" s="26"/>
      <c r="C17" s="32"/>
      <c r="D17" s="33">
        <f>D19-(D13)</f>
        <v>43.825899299999946</v>
      </c>
      <c r="E17" s="34">
        <f>E19-(E13)</f>
        <v>3.1397827208179763</v>
      </c>
      <c r="F17" s="18"/>
      <c r="G17" s="18"/>
      <c r="H17" s="18"/>
    </row>
    <row r="18" spans="1:8" ht="10.5" x14ac:dyDescent="0.25">
      <c r="A18" s="26"/>
      <c r="B18" s="26"/>
      <c r="C18" s="32"/>
      <c r="D18" s="33"/>
      <c r="E18" s="34"/>
      <c r="F18" s="18"/>
      <c r="G18" s="18"/>
      <c r="H18" s="18"/>
    </row>
    <row r="19" spans="1:8" ht="10.5" x14ac:dyDescent="0.25">
      <c r="A19" s="35" t="s">
        <v>177</v>
      </c>
      <c r="B19" s="35"/>
      <c r="C19" s="36"/>
      <c r="D19" s="37">
        <v>1395.8258642999999</v>
      </c>
      <c r="E19" s="38">
        <v>100</v>
      </c>
      <c r="F19" s="18"/>
      <c r="G19" s="18"/>
      <c r="H19" s="18"/>
    </row>
    <row r="20" spans="1:8" ht="10.5" x14ac:dyDescent="0.25">
      <c r="C20" s="10"/>
      <c r="D20" s="13"/>
      <c r="E20" s="20"/>
    </row>
    <row r="21" spans="1:8" ht="10.5" x14ac:dyDescent="0.25">
      <c r="A21" s="18" t="s">
        <v>1494</v>
      </c>
    </row>
    <row r="23" spans="1:8" ht="10.5" x14ac:dyDescent="0.25">
      <c r="A23" s="18" t="s">
        <v>181</v>
      </c>
    </row>
    <row r="24" spans="1:8" ht="10.5" x14ac:dyDescent="0.25">
      <c r="A24" s="18" t="s">
        <v>182</v>
      </c>
    </row>
    <row r="25" spans="1:8" ht="10.5" x14ac:dyDescent="0.25">
      <c r="A25" s="18" t="s">
        <v>183</v>
      </c>
      <c r="B25" s="18"/>
      <c r="C25" s="39" t="s">
        <v>185</v>
      </c>
      <c r="D25" s="41" t="s">
        <v>184</v>
      </c>
    </row>
    <row r="26" spans="1:8" x14ac:dyDescent="0.2">
      <c r="A26" s="9" t="s">
        <v>477</v>
      </c>
      <c r="C26" s="40">
        <v>37.904400000000003</v>
      </c>
      <c r="D26" s="40">
        <v>44.005400000000002</v>
      </c>
    </row>
    <row r="27" spans="1:8" x14ac:dyDescent="0.2">
      <c r="A27" s="9" t="s">
        <v>1480</v>
      </c>
      <c r="C27" s="40">
        <v>10.826700000000001</v>
      </c>
      <c r="D27" s="40">
        <v>11.5161</v>
      </c>
    </row>
    <row r="28" spans="1:8" x14ac:dyDescent="0.2">
      <c r="A28" s="9" t="s">
        <v>479</v>
      </c>
      <c r="C28" s="40">
        <v>39.816099999999999</v>
      </c>
      <c r="D28" s="40">
        <v>46.358800000000002</v>
      </c>
    </row>
    <row r="29" spans="1:8" x14ac:dyDescent="0.2">
      <c r="A29" s="9" t="s">
        <v>1481</v>
      </c>
      <c r="C29" s="40">
        <v>11.326700000000001</v>
      </c>
      <c r="D29" s="40">
        <v>12.1267</v>
      </c>
    </row>
    <row r="31" spans="1:8" ht="10.5" x14ac:dyDescent="0.25">
      <c r="A31" s="18" t="s">
        <v>197</v>
      </c>
    </row>
    <row r="32" spans="1:8" ht="10.5" x14ac:dyDescent="0.25">
      <c r="A32" s="73" t="s">
        <v>403</v>
      </c>
      <c r="B32" s="74"/>
      <c r="C32" s="45" t="s">
        <v>404</v>
      </c>
    </row>
    <row r="33" spans="1:4" x14ac:dyDescent="0.2">
      <c r="A33" s="69" t="s">
        <v>1480</v>
      </c>
      <c r="B33" s="70"/>
      <c r="C33" s="46">
        <v>1</v>
      </c>
    </row>
    <row r="34" spans="1:4" x14ac:dyDescent="0.2">
      <c r="A34" s="69" t="s">
        <v>1481</v>
      </c>
      <c r="B34" s="70"/>
      <c r="C34" s="46">
        <v>1</v>
      </c>
    </row>
    <row r="35" spans="1:4" x14ac:dyDescent="0.2">
      <c r="A35" s="9" t="s">
        <v>405</v>
      </c>
    </row>
    <row r="37" spans="1:4" ht="10.5" x14ac:dyDescent="0.25">
      <c r="A37" s="18" t="s">
        <v>1003</v>
      </c>
      <c r="D37" s="47">
        <v>6.4100000000000004E-2</v>
      </c>
    </row>
  </sheetData>
  <mergeCells count="4">
    <mergeCell ref="A32:B32"/>
    <mergeCell ref="A33:B33"/>
    <mergeCell ref="A34:B34"/>
    <mergeCell ref="A1:E1"/>
  </mergeCells>
  <conditionalFormatting sqref="E5:E10 E13:E20">
    <cfRule type="cellIs" dxfId="3"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I37"/>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13.54296875" style="13" customWidth="1"/>
    <col min="6" max="6" width="14.7265625" style="14" bestFit="1" customWidth="1"/>
    <col min="7" max="16384" width="9.1796875" style="9"/>
  </cols>
  <sheetData>
    <row r="1" spans="1:9" s="1" customFormat="1" ht="15" customHeight="1" x14ac:dyDescent="0.25">
      <c r="A1" s="71" t="s">
        <v>66</v>
      </c>
      <c r="B1" s="72"/>
      <c r="C1" s="72"/>
      <c r="D1" s="72"/>
      <c r="E1" s="72"/>
    </row>
    <row r="2" spans="1:9" s="1" customFormat="1" ht="11.5" x14ac:dyDescent="0.25">
      <c r="D2" s="6"/>
      <c r="E2" s="7"/>
      <c r="F2" s="12"/>
    </row>
    <row r="3" spans="1:9" s="1" customFormat="1" ht="11.5" x14ac:dyDescent="0.25">
      <c r="A3" s="11" t="s">
        <v>7</v>
      </c>
      <c r="B3" s="2"/>
      <c r="C3" s="3"/>
      <c r="D3" s="4"/>
      <c r="E3" s="5"/>
      <c r="F3" s="12"/>
    </row>
    <row r="4" spans="1:9" s="1" customFormat="1" ht="17.5" customHeight="1" x14ac:dyDescent="0.25">
      <c r="A4" s="8" t="s">
        <v>2</v>
      </c>
      <c r="B4" s="8" t="s">
        <v>0</v>
      </c>
      <c r="C4" s="16" t="s">
        <v>1</v>
      </c>
      <c r="D4" s="15" t="s">
        <v>3</v>
      </c>
      <c r="E4" s="15" t="s">
        <v>4</v>
      </c>
    </row>
    <row r="5" spans="1:9" ht="10.5" x14ac:dyDescent="0.25">
      <c r="A5" s="21" t="s">
        <v>1465</v>
      </c>
      <c r="B5" s="22"/>
      <c r="C5" s="23"/>
      <c r="D5" s="24"/>
      <c r="E5" s="25"/>
    </row>
    <row r="6" spans="1:9" x14ac:dyDescent="0.2">
      <c r="A6" s="27" t="s">
        <v>1467</v>
      </c>
      <c r="B6" s="27" t="s">
        <v>1466</v>
      </c>
      <c r="C6" s="31">
        <v>32093.954000000002</v>
      </c>
      <c r="D6" s="29">
        <v>170.5965679</v>
      </c>
      <c r="E6" s="30">
        <v>34.493685748394597</v>
      </c>
    </row>
    <row r="7" spans="1:9" x14ac:dyDescent="0.2">
      <c r="A7" s="27" t="s">
        <v>1483</v>
      </c>
      <c r="B7" s="27" t="s">
        <v>1482</v>
      </c>
      <c r="C7" s="31">
        <v>197198.81099999999</v>
      </c>
      <c r="D7" s="29">
        <v>159.4036869</v>
      </c>
      <c r="E7" s="30">
        <v>32.230546902251497</v>
      </c>
    </row>
    <row r="8" spans="1:9" ht="20" x14ac:dyDescent="0.2">
      <c r="A8" s="27" t="s">
        <v>1485</v>
      </c>
      <c r="B8" s="48" t="s">
        <v>1484</v>
      </c>
      <c r="C8" s="31">
        <v>165948.399</v>
      </c>
      <c r="D8" s="29">
        <v>59.411186299999997</v>
      </c>
      <c r="E8" s="30">
        <v>12.0126144118725</v>
      </c>
    </row>
    <row r="9" spans="1:9" x14ac:dyDescent="0.2">
      <c r="A9" s="27" t="s">
        <v>1491</v>
      </c>
      <c r="B9" s="27" t="s">
        <v>1490</v>
      </c>
      <c r="C9" s="31">
        <v>4157.9319999999998</v>
      </c>
      <c r="D9" s="29">
        <v>48.716855199999998</v>
      </c>
      <c r="E9" s="30">
        <v>9.8502796076405907</v>
      </c>
    </row>
    <row r="10" spans="1:9" x14ac:dyDescent="0.2">
      <c r="A10" s="27" t="s">
        <v>1479</v>
      </c>
      <c r="B10" s="27" t="s">
        <v>1478</v>
      </c>
      <c r="C10" s="31">
        <v>17845.542000000001</v>
      </c>
      <c r="D10" s="29">
        <v>47.9122822</v>
      </c>
      <c r="E10" s="30">
        <v>9.6875993816239099</v>
      </c>
    </row>
    <row r="11" spans="1:9" ht="20" x14ac:dyDescent="0.2">
      <c r="A11" s="27" t="s">
        <v>1487</v>
      </c>
      <c r="B11" s="48" t="s">
        <v>1486</v>
      </c>
      <c r="C11" s="31">
        <v>177292.25099999999</v>
      </c>
      <c r="D11" s="29">
        <v>0</v>
      </c>
      <c r="E11" s="29">
        <v>0</v>
      </c>
    </row>
    <row r="12" spans="1:9" ht="20" x14ac:dyDescent="0.2">
      <c r="A12" s="27" t="s">
        <v>1489</v>
      </c>
      <c r="B12" s="48" t="s">
        <v>1488</v>
      </c>
      <c r="C12" s="31">
        <v>196087.27</v>
      </c>
      <c r="D12" s="29">
        <v>0</v>
      </c>
      <c r="E12" s="29">
        <v>0</v>
      </c>
    </row>
    <row r="13" spans="1:9" ht="10.5" x14ac:dyDescent="0.25">
      <c r="A13" s="26" t="s">
        <v>164</v>
      </c>
      <c r="B13" s="26"/>
      <c r="C13" s="32"/>
      <c r="D13" s="33">
        <f>SUM(D6:D12)</f>
        <v>486.04057849999998</v>
      </c>
      <c r="E13" s="34">
        <f>SUM(E6:E12)</f>
        <v>98.274726051783091</v>
      </c>
      <c r="G13" s="18"/>
      <c r="H13" s="18"/>
      <c r="I13" s="18"/>
    </row>
    <row r="14" spans="1:9" x14ac:dyDescent="0.2">
      <c r="A14" s="27"/>
      <c r="B14" s="27"/>
      <c r="C14" s="28"/>
      <c r="D14" s="29"/>
      <c r="E14" s="30"/>
    </row>
    <row r="15" spans="1:9" ht="10.5" x14ac:dyDescent="0.25">
      <c r="A15" s="26" t="s">
        <v>176</v>
      </c>
      <c r="B15" s="26"/>
      <c r="C15" s="32"/>
      <c r="D15" s="33">
        <f>D13</f>
        <v>486.04057849999998</v>
      </c>
      <c r="E15" s="34">
        <f>E13</f>
        <v>98.274726051783091</v>
      </c>
      <c r="G15" s="18"/>
      <c r="H15" s="18"/>
      <c r="I15" s="18"/>
    </row>
    <row r="16" spans="1:9" ht="10.5" x14ac:dyDescent="0.25">
      <c r="A16" s="26"/>
      <c r="B16" s="26"/>
      <c r="C16" s="32"/>
      <c r="D16" s="33"/>
      <c r="E16" s="34"/>
      <c r="G16" s="18"/>
      <c r="H16" s="18"/>
      <c r="I16" s="18"/>
    </row>
    <row r="17" spans="1:9" ht="10.5" x14ac:dyDescent="0.25">
      <c r="A17" s="26" t="s">
        <v>178</v>
      </c>
      <c r="B17" s="26"/>
      <c r="C17" s="32"/>
      <c r="D17" s="33">
        <f>D19-(D13)</f>
        <v>8.5327447000000234</v>
      </c>
      <c r="E17" s="34">
        <f>E19-(E13)</f>
        <v>1.725273948216909</v>
      </c>
      <c r="G17" s="18"/>
      <c r="H17" s="18"/>
      <c r="I17" s="18"/>
    </row>
    <row r="18" spans="1:9" ht="10.5" x14ac:dyDescent="0.25">
      <c r="A18" s="26"/>
      <c r="B18" s="26"/>
      <c r="C18" s="32"/>
      <c r="D18" s="33"/>
      <c r="E18" s="34"/>
      <c r="G18" s="18"/>
      <c r="H18" s="18"/>
      <c r="I18" s="18"/>
    </row>
    <row r="19" spans="1:9" ht="10.5" x14ac:dyDescent="0.25">
      <c r="A19" s="35" t="s">
        <v>177</v>
      </c>
      <c r="B19" s="35"/>
      <c r="C19" s="36"/>
      <c r="D19" s="37">
        <v>494.5733232</v>
      </c>
      <c r="E19" s="38">
        <v>100</v>
      </c>
      <c r="G19" s="18"/>
      <c r="H19" s="18"/>
      <c r="I19" s="18"/>
    </row>
    <row r="20" spans="1:9" ht="10.5" x14ac:dyDescent="0.25">
      <c r="C20" s="10"/>
      <c r="D20" s="13"/>
      <c r="E20" s="20"/>
    </row>
    <row r="21" spans="1:9" ht="10.5" x14ac:dyDescent="0.25">
      <c r="A21" s="18" t="s">
        <v>1494</v>
      </c>
    </row>
    <row r="23" spans="1:9" ht="10.5" x14ac:dyDescent="0.25">
      <c r="A23" s="18" t="s">
        <v>181</v>
      </c>
    </row>
    <row r="24" spans="1:9" ht="10.5" x14ac:dyDescent="0.25">
      <c r="A24" s="18" t="s">
        <v>182</v>
      </c>
    </row>
    <row r="25" spans="1:9" ht="10.5" x14ac:dyDescent="0.25">
      <c r="A25" s="18" t="s">
        <v>183</v>
      </c>
      <c r="B25" s="18"/>
      <c r="C25" s="39" t="s">
        <v>185</v>
      </c>
      <c r="D25" s="41" t="s">
        <v>184</v>
      </c>
    </row>
    <row r="26" spans="1:9" x14ac:dyDescent="0.2">
      <c r="A26" s="9" t="s">
        <v>477</v>
      </c>
      <c r="C26" s="40">
        <v>47.352800000000002</v>
      </c>
      <c r="D26" s="40">
        <v>57.234000000000002</v>
      </c>
    </row>
    <row r="27" spans="1:9" x14ac:dyDescent="0.2">
      <c r="A27" s="9" t="s">
        <v>1480</v>
      </c>
      <c r="C27" s="40">
        <v>16.708100000000002</v>
      </c>
      <c r="D27" s="40">
        <v>18.580300000000001</v>
      </c>
    </row>
    <row r="28" spans="1:9" x14ac:dyDescent="0.2">
      <c r="A28" s="9" t="s">
        <v>479</v>
      </c>
      <c r="C28" s="40">
        <v>49.412100000000002</v>
      </c>
      <c r="D28" s="40">
        <v>59.947899999999997</v>
      </c>
    </row>
    <row r="29" spans="1:9" x14ac:dyDescent="0.2">
      <c r="A29" s="9" t="s">
        <v>1481</v>
      </c>
      <c r="C29" s="40">
        <v>17.636500000000002</v>
      </c>
      <c r="D29" s="40">
        <v>19.777000000000001</v>
      </c>
    </row>
    <row r="31" spans="1:9" ht="10.5" x14ac:dyDescent="0.25">
      <c r="A31" s="18" t="s">
        <v>197</v>
      </c>
    </row>
    <row r="32" spans="1:9" ht="10.5" x14ac:dyDescent="0.25">
      <c r="A32" s="73" t="s">
        <v>403</v>
      </c>
      <c r="B32" s="74"/>
      <c r="C32" s="45" t="s">
        <v>404</v>
      </c>
    </row>
    <row r="33" spans="1:4" x14ac:dyDescent="0.2">
      <c r="A33" s="69" t="s">
        <v>1480</v>
      </c>
      <c r="B33" s="70"/>
      <c r="C33" s="46">
        <v>1.5</v>
      </c>
    </row>
    <row r="34" spans="1:4" x14ac:dyDescent="0.2">
      <c r="A34" s="69" t="s">
        <v>1481</v>
      </c>
      <c r="B34" s="70"/>
      <c r="C34" s="46">
        <v>1.5</v>
      </c>
    </row>
    <row r="35" spans="1:4" x14ac:dyDescent="0.2">
      <c r="A35" s="9" t="s">
        <v>405</v>
      </c>
    </row>
    <row r="37" spans="1:4" ht="10.5" x14ac:dyDescent="0.25">
      <c r="A37" s="18" t="s">
        <v>1003</v>
      </c>
      <c r="D37" s="47">
        <v>0.1492</v>
      </c>
    </row>
  </sheetData>
  <mergeCells count="4">
    <mergeCell ref="A32:B32"/>
    <mergeCell ref="A33:B33"/>
    <mergeCell ref="A34:B34"/>
    <mergeCell ref="A1:E1"/>
  </mergeCells>
  <conditionalFormatting sqref="F2:F3 F21:F65536 E5:E10 E13:E20">
    <cfRule type="cellIs" dxfId="2"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37"/>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13.54296875" style="13" customWidth="1"/>
    <col min="6" max="16384" width="9.1796875" style="9"/>
  </cols>
  <sheetData>
    <row r="1" spans="1:8" s="1" customFormat="1" ht="15" customHeight="1" x14ac:dyDescent="0.25">
      <c r="A1" s="71" t="s">
        <v>67</v>
      </c>
      <c r="B1" s="72"/>
      <c r="C1" s="72"/>
      <c r="D1" s="72"/>
      <c r="E1" s="72"/>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1465</v>
      </c>
      <c r="B5" s="22"/>
      <c r="C5" s="23"/>
      <c r="D5" s="24"/>
      <c r="E5" s="25"/>
    </row>
    <row r="6" spans="1:8" x14ac:dyDescent="0.2">
      <c r="A6" s="27" t="s">
        <v>1467</v>
      </c>
      <c r="B6" s="27" t="s">
        <v>1466</v>
      </c>
      <c r="C6" s="31">
        <v>104688.57399999999</v>
      </c>
      <c r="D6" s="29">
        <v>556.47588389999999</v>
      </c>
      <c r="E6" s="30">
        <v>49.1745885682218</v>
      </c>
    </row>
    <row r="7" spans="1:8" x14ac:dyDescent="0.2">
      <c r="A7" s="27" t="s">
        <v>1483</v>
      </c>
      <c r="B7" s="27" t="s">
        <v>1482</v>
      </c>
      <c r="C7" s="31">
        <v>212026.158</v>
      </c>
      <c r="D7" s="29">
        <v>171.38922460000001</v>
      </c>
      <c r="E7" s="30">
        <v>15.145300719349899</v>
      </c>
    </row>
    <row r="8" spans="1:8" x14ac:dyDescent="0.2">
      <c r="A8" s="27" t="s">
        <v>1491</v>
      </c>
      <c r="B8" s="27" t="s">
        <v>1490</v>
      </c>
      <c r="C8" s="31">
        <v>14545.624</v>
      </c>
      <c r="D8" s="29">
        <v>170.42536000000001</v>
      </c>
      <c r="E8" s="30">
        <v>15.060126057676801</v>
      </c>
    </row>
    <row r="9" spans="1:8" x14ac:dyDescent="0.2">
      <c r="A9" s="27" t="s">
        <v>1479</v>
      </c>
      <c r="B9" s="27" t="s">
        <v>1478</v>
      </c>
      <c r="C9" s="31">
        <v>62913.722000000002</v>
      </c>
      <c r="D9" s="29">
        <v>168.91277410000001</v>
      </c>
      <c r="E9" s="30">
        <v>14.926462063497301</v>
      </c>
    </row>
    <row r="10" spans="1:8" ht="20" x14ac:dyDescent="0.2">
      <c r="A10" s="27" t="s">
        <v>1485</v>
      </c>
      <c r="B10" s="48" t="s">
        <v>1484</v>
      </c>
      <c r="C10" s="31">
        <v>127811.183</v>
      </c>
      <c r="D10" s="29">
        <v>45.757681599999998</v>
      </c>
      <c r="E10" s="30">
        <v>4.04350885926271</v>
      </c>
    </row>
    <row r="11" spans="1:8" ht="20" x14ac:dyDescent="0.2">
      <c r="A11" s="27" t="s">
        <v>1487</v>
      </c>
      <c r="B11" s="48" t="s">
        <v>1486</v>
      </c>
      <c r="C11" s="31">
        <v>147479.853</v>
      </c>
      <c r="D11" s="29">
        <v>0</v>
      </c>
      <c r="E11" s="29">
        <v>0</v>
      </c>
    </row>
    <row r="12" spans="1:8" ht="20" x14ac:dyDescent="0.2">
      <c r="A12" s="27" t="s">
        <v>1489</v>
      </c>
      <c r="B12" s="48" t="s">
        <v>1488</v>
      </c>
      <c r="C12" s="31">
        <v>167004.62</v>
      </c>
      <c r="D12" s="29">
        <v>0</v>
      </c>
      <c r="E12" s="29">
        <v>0</v>
      </c>
    </row>
    <row r="13" spans="1:8" ht="10.5" x14ac:dyDescent="0.25">
      <c r="A13" s="26" t="s">
        <v>164</v>
      </c>
      <c r="B13" s="26"/>
      <c r="C13" s="32"/>
      <c r="D13" s="33">
        <f>SUM(D6:D12)</f>
        <v>1112.9609242000001</v>
      </c>
      <c r="E13" s="34">
        <f>SUM(E6:E12)</f>
        <v>98.349986268008507</v>
      </c>
      <c r="F13" s="18"/>
      <c r="G13" s="18"/>
      <c r="H13" s="18"/>
    </row>
    <row r="14" spans="1:8" x14ac:dyDescent="0.2">
      <c r="A14" s="27"/>
      <c r="B14" s="27"/>
      <c r="C14" s="28"/>
      <c r="D14" s="29"/>
      <c r="E14" s="30"/>
    </row>
    <row r="15" spans="1:8" ht="10.5" x14ac:dyDescent="0.25">
      <c r="A15" s="26" t="s">
        <v>176</v>
      </c>
      <c r="B15" s="26"/>
      <c r="C15" s="32"/>
      <c r="D15" s="33">
        <f>D13</f>
        <v>1112.9609242000001</v>
      </c>
      <c r="E15" s="34">
        <f>E13</f>
        <v>98.349986268008507</v>
      </c>
      <c r="F15" s="18"/>
      <c r="G15" s="18"/>
      <c r="H15" s="18"/>
    </row>
    <row r="16" spans="1:8" ht="10.5" x14ac:dyDescent="0.25">
      <c r="A16" s="26"/>
      <c r="B16" s="26"/>
      <c r="C16" s="32"/>
      <c r="D16" s="33"/>
      <c r="E16" s="34"/>
      <c r="F16" s="18"/>
      <c r="G16" s="18"/>
      <c r="H16" s="18"/>
    </row>
    <row r="17" spans="1:8" ht="10.5" x14ac:dyDescent="0.25">
      <c r="A17" s="26" t="s">
        <v>178</v>
      </c>
      <c r="B17" s="26"/>
      <c r="C17" s="32"/>
      <c r="D17" s="33">
        <f>D19-(D13)</f>
        <v>18.672100299999784</v>
      </c>
      <c r="E17" s="34">
        <f>E19-(E13)</f>
        <v>1.6500137319914927</v>
      </c>
      <c r="F17" s="18"/>
      <c r="G17" s="18"/>
      <c r="H17" s="18"/>
    </row>
    <row r="18" spans="1:8" ht="10.5" x14ac:dyDescent="0.25">
      <c r="A18" s="26"/>
      <c r="B18" s="26"/>
      <c r="C18" s="32"/>
      <c r="D18" s="33"/>
      <c r="E18" s="34"/>
      <c r="F18" s="18"/>
      <c r="G18" s="18"/>
      <c r="H18" s="18"/>
    </row>
    <row r="19" spans="1:8" ht="10.5" x14ac:dyDescent="0.25">
      <c r="A19" s="35" t="s">
        <v>177</v>
      </c>
      <c r="B19" s="35"/>
      <c r="C19" s="36"/>
      <c r="D19" s="37">
        <v>1131.6330244999999</v>
      </c>
      <c r="E19" s="38">
        <v>100</v>
      </c>
      <c r="F19" s="18"/>
      <c r="G19" s="18"/>
      <c r="H19" s="18"/>
    </row>
    <row r="20" spans="1:8" ht="10.5" x14ac:dyDescent="0.25">
      <c r="C20" s="10"/>
      <c r="D20" s="13"/>
      <c r="E20" s="20"/>
    </row>
    <row r="21" spans="1:8" ht="10.5" x14ac:dyDescent="0.25">
      <c r="A21" s="18" t="s">
        <v>1494</v>
      </c>
    </row>
    <row r="22" spans="1:8" ht="10.5" x14ac:dyDescent="0.25">
      <c r="A22" s="18"/>
    </row>
    <row r="23" spans="1:8" ht="10.5" x14ac:dyDescent="0.25">
      <c r="A23" s="18" t="s">
        <v>181</v>
      </c>
    </row>
    <row r="24" spans="1:8" ht="10.5" x14ac:dyDescent="0.25">
      <c r="A24" s="18" t="s">
        <v>182</v>
      </c>
    </row>
    <row r="25" spans="1:8" ht="10.5" x14ac:dyDescent="0.25">
      <c r="A25" s="18" t="s">
        <v>183</v>
      </c>
      <c r="B25" s="18"/>
      <c r="C25" s="39" t="s">
        <v>185</v>
      </c>
      <c r="D25" s="41" t="s">
        <v>184</v>
      </c>
    </row>
    <row r="26" spans="1:8" x14ac:dyDescent="0.2">
      <c r="A26" s="9" t="s">
        <v>421</v>
      </c>
      <c r="C26" s="40">
        <v>66.213899999999995</v>
      </c>
      <c r="D26" s="40">
        <v>84.702500000000001</v>
      </c>
    </row>
    <row r="27" spans="1:8" x14ac:dyDescent="0.2">
      <c r="A27" s="9" t="s">
        <v>458</v>
      </c>
      <c r="C27" s="40">
        <v>21.648700000000002</v>
      </c>
      <c r="D27" s="40">
        <v>25.479199999999999</v>
      </c>
    </row>
    <row r="28" spans="1:8" x14ac:dyDescent="0.2">
      <c r="A28" s="9" t="s">
        <v>424</v>
      </c>
      <c r="C28" s="40">
        <v>68.452500000000001</v>
      </c>
      <c r="D28" s="40">
        <v>87.942400000000006</v>
      </c>
    </row>
    <row r="29" spans="1:8" x14ac:dyDescent="0.2">
      <c r="A29" s="9" t="s">
        <v>459</v>
      </c>
      <c r="C29" s="40">
        <v>22.5762</v>
      </c>
      <c r="D29" s="40">
        <v>26.785</v>
      </c>
    </row>
    <row r="31" spans="1:8" ht="10.5" x14ac:dyDescent="0.25">
      <c r="A31" s="18" t="s">
        <v>197</v>
      </c>
    </row>
    <row r="32" spans="1:8" ht="10.5" x14ac:dyDescent="0.25">
      <c r="A32" s="73" t="s">
        <v>403</v>
      </c>
      <c r="B32" s="74"/>
      <c r="C32" s="45" t="s">
        <v>404</v>
      </c>
    </row>
    <row r="33" spans="1:4" x14ac:dyDescent="0.2">
      <c r="A33" s="69" t="s">
        <v>458</v>
      </c>
      <c r="B33" s="70"/>
      <c r="C33" s="46">
        <v>2</v>
      </c>
    </row>
    <row r="34" spans="1:4" x14ac:dyDescent="0.2">
      <c r="A34" s="69" t="s">
        <v>459</v>
      </c>
      <c r="B34" s="70"/>
      <c r="C34" s="46">
        <v>2</v>
      </c>
    </row>
    <row r="35" spans="1:4" x14ac:dyDescent="0.2">
      <c r="A35" s="9" t="s">
        <v>405</v>
      </c>
    </row>
    <row r="37" spans="1:4" ht="10.5" x14ac:dyDescent="0.25">
      <c r="A37" s="18" t="s">
        <v>1003</v>
      </c>
      <c r="D37" s="47">
        <v>0.1086</v>
      </c>
    </row>
  </sheetData>
  <mergeCells count="4">
    <mergeCell ref="A32:B32"/>
    <mergeCell ref="A33:B33"/>
    <mergeCell ref="A34:B34"/>
    <mergeCell ref="A1:E1"/>
  </mergeCells>
  <conditionalFormatting sqref="E5:E10 E13:E20">
    <cfRule type="cellIs" dxfId="1"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34"/>
  <sheetViews>
    <sheetView workbookViewId="0">
      <selection sqref="A1:E1"/>
    </sheetView>
  </sheetViews>
  <sheetFormatPr defaultColWidth="9.1796875" defaultRowHeight="10" x14ac:dyDescent="0.2"/>
  <cols>
    <col min="1" max="1" width="36.81640625" style="9" bestFit="1" customWidth="1"/>
    <col min="2" max="2" width="50.7265625" style="9" customWidth="1"/>
    <col min="3" max="3" width="21.1796875" style="9" bestFit="1" customWidth="1"/>
    <col min="4" max="4" width="23" style="10" bestFit="1" customWidth="1"/>
    <col min="5" max="5" width="13.54296875" style="13" customWidth="1"/>
    <col min="6" max="16384" width="9.1796875" style="9"/>
  </cols>
  <sheetData>
    <row r="1" spans="1:8" s="1" customFormat="1" ht="15" customHeight="1" x14ac:dyDescent="0.25">
      <c r="A1" s="71" t="s">
        <v>68</v>
      </c>
      <c r="B1" s="72"/>
      <c r="C1" s="72"/>
      <c r="D1" s="72"/>
      <c r="E1" s="72"/>
    </row>
    <row r="2" spans="1:8" s="1" customFormat="1" ht="11.5" x14ac:dyDescent="0.25">
      <c r="D2" s="6"/>
      <c r="E2" s="7"/>
    </row>
    <row r="3" spans="1:8" s="1" customFormat="1" ht="11.5" x14ac:dyDescent="0.25">
      <c r="A3" s="11" t="s">
        <v>7</v>
      </c>
      <c r="B3" s="2"/>
      <c r="C3" s="3"/>
      <c r="D3" s="4"/>
      <c r="E3" s="5"/>
    </row>
    <row r="4" spans="1:8" s="1" customFormat="1" ht="17.5" customHeight="1" x14ac:dyDescent="0.25">
      <c r="A4" s="8" t="s">
        <v>2</v>
      </c>
      <c r="B4" s="8" t="s">
        <v>0</v>
      </c>
      <c r="C4" s="16" t="s">
        <v>1</v>
      </c>
      <c r="D4" s="15" t="s">
        <v>3</v>
      </c>
      <c r="E4" s="15" t="s">
        <v>4</v>
      </c>
    </row>
    <row r="5" spans="1:8" ht="10.5" x14ac:dyDescent="0.25">
      <c r="A5" s="21" t="s">
        <v>1465</v>
      </c>
      <c r="B5" s="22"/>
      <c r="C5" s="23"/>
      <c r="D5" s="24"/>
      <c r="E5" s="25"/>
    </row>
    <row r="6" spans="1:8" x14ac:dyDescent="0.2">
      <c r="A6" s="27" t="s">
        <v>1493</v>
      </c>
      <c r="B6" s="27" t="s">
        <v>1492</v>
      </c>
      <c r="C6" s="31">
        <v>5500055.0800000001</v>
      </c>
      <c r="D6" s="29">
        <v>37955.489600000001</v>
      </c>
      <c r="E6" s="30">
        <v>49.191878140251198</v>
      </c>
    </row>
    <row r="7" spans="1:8" ht="20" x14ac:dyDescent="0.2">
      <c r="A7" s="27" t="s">
        <v>1469</v>
      </c>
      <c r="B7" s="48" t="s">
        <v>1468</v>
      </c>
      <c r="C7" s="31">
        <v>674821.91899999999</v>
      </c>
      <c r="D7" s="29">
        <v>13520.065919999999</v>
      </c>
      <c r="E7" s="30">
        <v>17.5225624064879</v>
      </c>
    </row>
    <row r="8" spans="1:8" ht="20" x14ac:dyDescent="0.2">
      <c r="A8" s="27" t="s">
        <v>1473</v>
      </c>
      <c r="B8" s="48" t="s">
        <v>1472</v>
      </c>
      <c r="C8" s="31">
        <v>1235134.5419999999</v>
      </c>
      <c r="D8" s="29">
        <v>0</v>
      </c>
      <c r="E8" s="29">
        <v>0</v>
      </c>
    </row>
    <row r="9" spans="1:8" ht="20" x14ac:dyDescent="0.2">
      <c r="A9" s="27" t="s">
        <v>1475</v>
      </c>
      <c r="B9" s="48" t="s">
        <v>1474</v>
      </c>
      <c r="C9" s="31">
        <v>1370528.45</v>
      </c>
      <c r="D9" s="29">
        <v>0</v>
      </c>
      <c r="E9" s="29">
        <v>0</v>
      </c>
    </row>
    <row r="10" spans="1:8" ht="10.5" x14ac:dyDescent="0.25">
      <c r="A10" s="26" t="s">
        <v>164</v>
      </c>
      <c r="B10" s="26"/>
      <c r="C10" s="32"/>
      <c r="D10" s="33">
        <f>SUM(D6:D9)</f>
        <v>51475.555520000002</v>
      </c>
      <c r="E10" s="34">
        <f>SUM(E6:E9)</f>
        <v>66.714440546739098</v>
      </c>
      <c r="F10" s="18"/>
      <c r="G10" s="18"/>
      <c r="H10" s="18"/>
    </row>
    <row r="11" spans="1:8" x14ac:dyDescent="0.2">
      <c r="A11" s="27"/>
      <c r="B11" s="27"/>
      <c r="C11" s="28"/>
      <c r="D11" s="29"/>
      <c r="E11" s="30"/>
    </row>
    <row r="12" spans="1:8" ht="10.5" x14ac:dyDescent="0.25">
      <c r="A12" s="26" t="s">
        <v>176</v>
      </c>
      <c r="B12" s="26"/>
      <c r="C12" s="32"/>
      <c r="D12" s="33">
        <f>D10</f>
        <v>51475.555520000002</v>
      </c>
      <c r="E12" s="34">
        <f>E10</f>
        <v>66.714440546739098</v>
      </c>
      <c r="F12" s="18"/>
      <c r="G12" s="18"/>
      <c r="H12" s="18"/>
    </row>
    <row r="13" spans="1:8" ht="10.5" x14ac:dyDescent="0.25">
      <c r="A13" s="26"/>
      <c r="B13" s="26"/>
      <c r="C13" s="32"/>
      <c r="D13" s="33"/>
      <c r="E13" s="34"/>
      <c r="F13" s="18"/>
      <c r="G13" s="18"/>
      <c r="H13" s="18"/>
    </row>
    <row r="14" spans="1:8" ht="10.5" x14ac:dyDescent="0.25">
      <c r="A14" s="26" t="s">
        <v>178</v>
      </c>
      <c r="B14" s="26"/>
      <c r="C14" s="32"/>
      <c r="D14" s="33">
        <f>D16-(D10)</f>
        <v>25682.485674899996</v>
      </c>
      <c r="E14" s="34">
        <f>E16-(E10)</f>
        <v>33.285559453260902</v>
      </c>
      <c r="F14" s="18"/>
      <c r="G14" s="18"/>
      <c r="H14" s="18"/>
    </row>
    <row r="15" spans="1:8" ht="10.5" x14ac:dyDescent="0.25">
      <c r="A15" s="26"/>
      <c r="B15" s="26"/>
      <c r="C15" s="32"/>
      <c r="D15" s="33"/>
      <c r="E15" s="34"/>
      <c r="F15" s="18"/>
      <c r="G15" s="18"/>
      <c r="H15" s="18"/>
    </row>
    <row r="16" spans="1:8" ht="10.5" x14ac:dyDescent="0.25">
      <c r="A16" s="35" t="s">
        <v>177</v>
      </c>
      <c r="B16" s="35"/>
      <c r="C16" s="36"/>
      <c r="D16" s="37">
        <v>77158.041194899997</v>
      </c>
      <c r="E16" s="38">
        <v>100</v>
      </c>
      <c r="F16" s="18"/>
      <c r="G16" s="18"/>
      <c r="H16" s="18"/>
    </row>
    <row r="17" spans="1:5" ht="10.5" x14ac:dyDescent="0.25">
      <c r="C17" s="10"/>
      <c r="D17" s="13"/>
      <c r="E17" s="20"/>
    </row>
    <row r="18" spans="1:5" ht="10.5" x14ac:dyDescent="0.25">
      <c r="A18" s="18" t="s">
        <v>1494</v>
      </c>
      <c r="C18" s="10"/>
      <c r="D18" s="13"/>
      <c r="E18" s="20"/>
    </row>
    <row r="20" spans="1:5" ht="10.5" x14ac:dyDescent="0.25">
      <c r="A20" s="18" t="s">
        <v>181</v>
      </c>
    </row>
    <row r="21" spans="1:5" ht="10.5" x14ac:dyDescent="0.25">
      <c r="A21" s="18" t="s">
        <v>182</v>
      </c>
    </row>
    <row r="22" spans="1:5" ht="10.5" x14ac:dyDescent="0.25">
      <c r="A22" s="18" t="s">
        <v>183</v>
      </c>
      <c r="B22" s="18"/>
      <c r="C22" s="39" t="s">
        <v>185</v>
      </c>
      <c r="D22" s="41" t="s">
        <v>184</v>
      </c>
    </row>
    <row r="23" spans="1:5" x14ac:dyDescent="0.2">
      <c r="A23" s="9" t="s">
        <v>421</v>
      </c>
      <c r="C23" s="40">
        <v>63.972099999999998</v>
      </c>
      <c r="D23" s="40">
        <v>76.746600000000001</v>
      </c>
    </row>
    <row r="24" spans="1:5" x14ac:dyDescent="0.2">
      <c r="A24" s="9" t="s">
        <v>458</v>
      </c>
      <c r="C24" s="40">
        <v>25.751200000000001</v>
      </c>
      <c r="D24" s="40">
        <v>29.264099999999999</v>
      </c>
    </row>
    <row r="25" spans="1:5" x14ac:dyDescent="0.2">
      <c r="A25" s="9" t="s">
        <v>424</v>
      </c>
      <c r="C25" s="40">
        <v>68.844300000000004</v>
      </c>
      <c r="D25" s="40">
        <v>82.997699999999995</v>
      </c>
    </row>
    <row r="26" spans="1:5" x14ac:dyDescent="0.2">
      <c r="A26" s="9" t="s">
        <v>459</v>
      </c>
      <c r="C26" s="40">
        <v>28.4481</v>
      </c>
      <c r="D26" s="40">
        <v>32.6629</v>
      </c>
    </row>
    <row r="28" spans="1:5" ht="10.5" x14ac:dyDescent="0.25">
      <c r="A28" s="18" t="s">
        <v>197</v>
      </c>
    </row>
    <row r="29" spans="1:5" ht="10.5" x14ac:dyDescent="0.25">
      <c r="A29" s="73" t="s">
        <v>403</v>
      </c>
      <c r="B29" s="74"/>
      <c r="C29" s="45" t="s">
        <v>404</v>
      </c>
    </row>
    <row r="30" spans="1:5" x14ac:dyDescent="0.2">
      <c r="A30" s="69" t="s">
        <v>458</v>
      </c>
      <c r="B30" s="70"/>
      <c r="C30" s="46">
        <v>1.5</v>
      </c>
    </row>
    <row r="31" spans="1:5" x14ac:dyDescent="0.2">
      <c r="A31" s="69" t="s">
        <v>459</v>
      </c>
      <c r="B31" s="70"/>
      <c r="C31" s="46">
        <v>1.5</v>
      </c>
    </row>
    <row r="32" spans="1:5" x14ac:dyDescent="0.2">
      <c r="A32" s="9" t="s">
        <v>405</v>
      </c>
    </row>
    <row r="34" spans="1:4" ht="10.5" x14ac:dyDescent="0.25">
      <c r="A34" s="18" t="s">
        <v>1003</v>
      </c>
      <c r="D34" s="47">
        <v>1.5299999999999999E-2</v>
      </c>
    </row>
  </sheetData>
  <mergeCells count="4">
    <mergeCell ref="A29:B29"/>
    <mergeCell ref="A30:B30"/>
    <mergeCell ref="A31:B31"/>
    <mergeCell ref="A1:E1"/>
  </mergeCells>
  <conditionalFormatting sqref="E5:E7 E10:E18">
    <cfRule type="cellIs" dxfId="0" priority="1" stopIfTrue="1" operator="between">
      <formula>0.009</formula>
      <formula>-0.009</formula>
    </cfRule>
  </conditionalFormatting>
  <pageMargins left="0.7" right="0.7" top="0.75" bottom="0.75" header="0.3" footer="0.3"/>
  <pageSetup paperSize="9" orientation="portrait" r:id="rId1"/>
  <headerFooter>
    <oddFooter>&amp;LPUBLIC</oddFooter>
    <evenFooter>&amp;LPUBLIC</evenFooter>
    <firstFooter>&amp;LPUBLIC</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62</vt:i4>
      </vt:variant>
    </vt:vector>
  </HeadingPairs>
  <TitlesOfParts>
    <vt:vector size="62" baseType="lpstr">
      <vt:lpstr>FILF</vt:lpstr>
      <vt:lpstr>FIONF</vt:lpstr>
      <vt:lpstr>FISF</vt:lpstr>
      <vt:lpstr>FIFRF</vt:lpstr>
      <vt:lpstr>FICDF</vt:lpstr>
      <vt:lpstr>FBPF</vt:lpstr>
      <vt:lpstr>FIGSF</vt:lpstr>
      <vt:lpstr>FIDA</vt:lpstr>
      <vt:lpstr>FILDF</vt:lpstr>
      <vt:lpstr>FIUBF</vt:lpstr>
      <vt:lpstr>FISTIP</vt:lpstr>
      <vt:lpstr>FIIOF</vt:lpstr>
      <vt:lpstr>FICRF</vt:lpstr>
      <vt:lpstr>FMPS6C</vt:lpstr>
      <vt:lpstr>FMPS5F</vt:lpstr>
      <vt:lpstr>FMPS5E</vt:lpstr>
      <vt:lpstr>FMPS5D</vt:lpstr>
      <vt:lpstr>FMPS5C</vt:lpstr>
      <vt:lpstr>FMPS5B</vt:lpstr>
      <vt:lpstr>FMPS5A</vt:lpstr>
      <vt:lpstr>FMPS4F</vt:lpstr>
      <vt:lpstr>FMPS4E</vt:lpstr>
      <vt:lpstr>FMPS4D</vt:lpstr>
      <vt:lpstr>FMPS4C</vt:lpstr>
      <vt:lpstr>FMPS4B</vt:lpstr>
      <vt:lpstr>FMPS4A</vt:lpstr>
      <vt:lpstr>FMPS3F</vt:lpstr>
      <vt:lpstr>FMPS3E</vt:lpstr>
      <vt:lpstr>FMPS3D</vt:lpstr>
      <vt:lpstr>FMPS3C</vt:lpstr>
      <vt:lpstr>FMPS3B</vt:lpstr>
      <vt:lpstr>FMPS3A</vt:lpstr>
      <vt:lpstr>FMPS2C</vt:lpstr>
      <vt:lpstr>FMPS2B</vt:lpstr>
      <vt:lpstr>FMPS2A</vt:lpstr>
      <vt:lpstr>FIPP</vt:lpstr>
      <vt:lpstr>FIDHY</vt:lpstr>
      <vt:lpstr>FIESF</vt:lpstr>
      <vt:lpstr>FIEHF</vt:lpstr>
      <vt:lpstr>TIVF</vt:lpstr>
      <vt:lpstr>TIEIF</vt:lpstr>
      <vt:lpstr>FITF</vt:lpstr>
      <vt:lpstr>FISCF</vt:lpstr>
      <vt:lpstr>FIPF</vt:lpstr>
      <vt:lpstr>FIOF</vt:lpstr>
      <vt:lpstr>FIFEF</vt:lpstr>
      <vt:lpstr>FIEF</vt:lpstr>
      <vt:lpstr>FIEAF</vt:lpstr>
      <vt:lpstr>FIBF</vt:lpstr>
      <vt:lpstr>FBIF</vt:lpstr>
      <vt:lpstr>FAEF</vt:lpstr>
      <vt:lpstr>FIIF-NSE</vt:lpstr>
      <vt:lpstr>FITX</vt:lpstr>
      <vt:lpstr>FIUS</vt:lpstr>
      <vt:lpstr>FEGF</vt:lpstr>
      <vt:lpstr>FIMAS</vt:lpstr>
      <vt:lpstr>FIFOF-50's+</vt:lpstr>
      <vt:lpstr>FIFOF-50's</vt:lpstr>
      <vt:lpstr>FIFOF-40's</vt:lpstr>
      <vt:lpstr>FIFOF-30's</vt:lpstr>
      <vt:lpstr>FIFOF-20's</vt:lpstr>
      <vt:lpstr>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ISIN as on 27 November 2020</dc:title>
  <dc:creator/>
  <cp:keywords>Monthly ISIN, Monthly SEBI Portfolio, ISIN Report, SEBI Portfolio, ISIN Level Portfolio, Monthly portfolio, Debt portfolio, Equity portfolio, Fixed income portfolio, ISIN portfolio, portfolio disclosure</cp:keywords>
  <dc:description>PUBLIC</dc:description>
  <cp:lastModifiedBy/>
  <dcterms:created xsi:type="dcterms:W3CDTF">2006-09-16T00:00:00Z</dcterms:created>
  <dcterms:modified xsi:type="dcterms:W3CDTF">2020-12-08T08:23:31Z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PUBLIC</vt:lpwstr>
  </property>
  <property fmtid="{D5CDD505-2E9C-101B-9397-08002B2CF9AE}" pid="3" name="Source">
    <vt:lpwstr>Internal</vt:lpwstr>
  </property>
  <property fmtid="{D5CDD505-2E9C-101B-9397-08002B2CF9AE}" pid="4" name="Footers">
    <vt:lpwstr>Footers</vt:lpwstr>
  </property>
  <property fmtid="{D5CDD505-2E9C-101B-9397-08002B2CF9AE}" pid="5" name="DocClassification">
    <vt:lpwstr>CLAPUBLIC</vt:lpwstr>
  </property>
</Properties>
</file>