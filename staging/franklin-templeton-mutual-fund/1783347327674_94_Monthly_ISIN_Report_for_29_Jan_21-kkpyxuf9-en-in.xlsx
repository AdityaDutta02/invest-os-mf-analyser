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filterPrivacy="1" defaultThemeVersion="124226"/>
  <xr:revisionPtr revIDLastSave="1" documentId="13_ncr:8001_{68B19931-161D-4486-BD28-5C6BF650001F}" xr6:coauthVersionLast="46" xr6:coauthVersionMax="46" xr10:uidLastSave="{B91FBAA4-1F03-465D-B704-B123911C064C}"/>
  <bookViews>
    <workbookView xWindow="-110" yWindow="-110" windowWidth="19420" windowHeight="10420" xr2:uid="{00000000-000D-0000-FFFF-FFFF00000000}"/>
  </bookViews>
  <sheets>
    <sheet name="FILF" sheetId="64" r:id="rId1"/>
    <sheet name="FIONF" sheetId="65" r:id="rId2"/>
    <sheet name="FISF" sheetId="66" r:id="rId3"/>
    <sheet name="FIFRF" sheetId="67" r:id="rId4"/>
    <sheet name="FICDF" sheetId="68" r:id="rId5"/>
    <sheet name="FBPF" sheetId="69" r:id="rId6"/>
    <sheet name="FIGSF" sheetId="70" r:id="rId7"/>
    <sheet name="FIDA" sheetId="71" r:id="rId8"/>
    <sheet name="FILDF" sheetId="72" r:id="rId9"/>
    <sheet name="FIUBF" sheetId="73" r:id="rId10"/>
    <sheet name="FISTIP" sheetId="74" r:id="rId11"/>
    <sheet name="FIIOF" sheetId="75" r:id="rId12"/>
    <sheet name="FICRF" sheetId="76" r:id="rId13"/>
    <sheet name="FMPS6C" sheetId="77" r:id="rId14"/>
    <sheet name="FMPS5F" sheetId="78" r:id="rId15"/>
    <sheet name="FMPS5E" sheetId="79" r:id="rId16"/>
    <sheet name="FMPS5D" sheetId="80" r:id="rId17"/>
    <sheet name="FMPS5C" sheetId="81" r:id="rId18"/>
    <sheet name="FMPS5B" sheetId="82" r:id="rId19"/>
    <sheet name="FMPS5A" sheetId="83" r:id="rId20"/>
    <sheet name="FMPS4F" sheetId="84" r:id="rId21"/>
    <sheet name="FMPS4E" sheetId="85" r:id="rId22"/>
    <sheet name="FMPS4D" sheetId="86" r:id="rId23"/>
    <sheet name="FMPS4C" sheetId="87" r:id="rId24"/>
    <sheet name="FMPS4B" sheetId="88" r:id="rId25"/>
    <sheet name="FMPS4A" sheetId="89" r:id="rId26"/>
    <sheet name="FMPS3F" sheetId="90" r:id="rId27"/>
    <sheet name="FMPS3E" sheetId="91" r:id="rId28"/>
    <sheet name="FMPS3D" sheetId="92" r:id="rId29"/>
    <sheet name="FMPS3C" sheetId="93" r:id="rId30"/>
    <sheet name="FMPS3B" sheetId="94" r:id="rId31"/>
    <sheet name="FMPS3A" sheetId="95" r:id="rId32"/>
    <sheet name="FMPS2C" sheetId="96" r:id="rId33"/>
    <sheet name="FMPS2B" sheetId="97" r:id="rId34"/>
    <sheet name="FMPS2A" sheetId="98" r:id="rId35"/>
    <sheet name="FIPP" sheetId="99" r:id="rId36"/>
    <sheet name="FIDHY" sheetId="100" r:id="rId37"/>
    <sheet name="FIESF" sheetId="39" r:id="rId38"/>
    <sheet name="FIEHF" sheetId="40" r:id="rId39"/>
    <sheet name="TIVF" sheetId="41" r:id="rId40"/>
    <sheet name="TIEIF" sheetId="42" r:id="rId41"/>
    <sheet name="FITF" sheetId="43" r:id="rId42"/>
    <sheet name="FISCF" sheetId="44" r:id="rId43"/>
    <sheet name="FIPF" sheetId="45" r:id="rId44"/>
    <sheet name="FIOF" sheetId="46" r:id="rId45"/>
    <sheet name="FIFEF" sheetId="47" r:id="rId46"/>
    <sheet name="FIEF" sheetId="48" r:id="rId47"/>
    <sheet name="FIEAF" sheetId="49" r:id="rId48"/>
    <sheet name="FIBF" sheetId="50" r:id="rId49"/>
    <sheet name="FBIF" sheetId="51" r:id="rId50"/>
    <sheet name="FAEF" sheetId="52" r:id="rId51"/>
    <sheet name="FIIF-NSE" sheetId="53" r:id="rId52"/>
    <sheet name="FITX" sheetId="54" r:id="rId53"/>
    <sheet name="FIUS" sheetId="55" r:id="rId54"/>
    <sheet name="FEGF" sheetId="56" r:id="rId55"/>
    <sheet name="FIMAS" sheetId="57" r:id="rId56"/>
    <sheet name="FIFOF-50's+" sheetId="58" r:id="rId57"/>
    <sheet name="FIFOF-50's" sheetId="59" r:id="rId58"/>
    <sheet name="FIFOF-40's" sheetId="60" r:id="rId59"/>
    <sheet name="FIFOF-30's" sheetId="61" r:id="rId60"/>
    <sheet name="FIFOF-20's" sheetId="62" r:id="rId61"/>
    <sheet name="FF" sheetId="63" r:id="rId62"/>
  </sheets>
  <definedNames>
    <definedName name="_xlnm.Print_Area" localSheetId="50">FAEF!$A$1:$F$98</definedName>
    <definedName name="_xlnm.Print_Area" localSheetId="49">FBIF!$A$1:$F$61</definedName>
    <definedName name="_xlnm.Print_Area" localSheetId="54">FEGF!$A$1:$E$31</definedName>
    <definedName name="_xlnm.Print_Area" localSheetId="61">FF!$A$1:$E$37</definedName>
    <definedName name="_xlnm.Print_Area" localSheetId="48">FIBF!$A$1:$F$57</definedName>
    <definedName name="_xlnm.Print_Area" localSheetId="47">FIEAF!$A$1:$F$79</definedName>
    <definedName name="_xlnm.Print_Area" localSheetId="46">FIEF!$A$1:$F$85</definedName>
    <definedName name="_xlnm.Print_Area" localSheetId="38">FIEHF!$A$1:$G$113</definedName>
    <definedName name="_xlnm.Print_Area" localSheetId="37">FIESF!$A$1:$H$91</definedName>
    <definedName name="_xlnm.Print_Area" localSheetId="45">FIFEF!$A$1:$F$61</definedName>
    <definedName name="_xlnm.Print_Area" localSheetId="58">'FIFOF-40''s'!$A$1:$E$40</definedName>
    <definedName name="_xlnm.Print_Area" localSheetId="57">'FIFOF-50''s'!$A$1:$E$35</definedName>
    <definedName name="_xlnm.Print_Area" localSheetId="56">'FIFOF-50''s+'!$A$1:$E$36</definedName>
    <definedName name="_xlnm.Print_Area" localSheetId="51">'FIIF-NSE'!$A$1:$F$80</definedName>
    <definedName name="_xlnm.Print_Area" localSheetId="55">FIMAS!$A$1:$E$34</definedName>
    <definedName name="_xlnm.Print_Area" localSheetId="44">FIOF!$A$1:$F$76</definedName>
    <definedName name="_xlnm.Print_Area" localSheetId="43">FIPF!$A$1:$F$87</definedName>
    <definedName name="_xlnm.Print_Area" localSheetId="42">FISCF!$A$1:$F$88</definedName>
    <definedName name="_xlnm.Print_Area" localSheetId="41">FITF!$A$1:$F$72</definedName>
    <definedName name="_xlnm.Print_Area" localSheetId="52">FITX!$A$1:$F$88</definedName>
    <definedName name="_xlnm.Print_Area" localSheetId="53">FIUS!$A$1:$E$29</definedName>
    <definedName name="_xlnm.Print_Area" localSheetId="40">TIEIF!$A$1:$F$88</definedName>
    <definedName name="_xlnm.Print_Area" localSheetId="39">TIVF!$A$1:$F$65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4" i="100" l="1"/>
  <c r="E64" i="100"/>
  <c r="F55" i="100"/>
  <c r="E55" i="100"/>
  <c r="F51" i="100"/>
  <c r="E51" i="100"/>
  <c r="F47" i="100"/>
  <c r="E47" i="100"/>
  <c r="E68" i="100" s="1"/>
  <c r="F42" i="100"/>
  <c r="E42" i="100"/>
  <c r="F33" i="100"/>
  <c r="F68" i="100" s="1"/>
  <c r="E33" i="100"/>
  <c r="F78" i="99"/>
  <c r="E78" i="99"/>
  <c r="F68" i="99"/>
  <c r="E68" i="99"/>
  <c r="F64" i="99"/>
  <c r="E64" i="99"/>
  <c r="F60" i="99"/>
  <c r="E60" i="99"/>
  <c r="F54" i="99"/>
  <c r="E54" i="99"/>
  <c r="F50" i="99"/>
  <c r="F80" i="99" s="1"/>
  <c r="E50" i="99"/>
  <c r="F39" i="99"/>
  <c r="E39" i="99"/>
  <c r="F40" i="98"/>
  <c r="E40" i="98"/>
  <c r="F35" i="98"/>
  <c r="E35" i="98"/>
  <c r="F30" i="98"/>
  <c r="F44" i="98" s="1"/>
  <c r="E30" i="98"/>
  <c r="E44" i="98" s="1"/>
  <c r="F25" i="98"/>
  <c r="E25" i="98"/>
  <c r="F39" i="97"/>
  <c r="E39" i="97"/>
  <c r="F34" i="97"/>
  <c r="E34" i="97"/>
  <c r="F30" i="97"/>
  <c r="E30" i="97"/>
  <c r="F25" i="97"/>
  <c r="E25" i="97"/>
  <c r="F20" i="97"/>
  <c r="F41" i="97" s="1"/>
  <c r="E20" i="97"/>
  <c r="E41" i="97" s="1"/>
  <c r="F42" i="96"/>
  <c r="E42" i="96"/>
  <c r="F37" i="96"/>
  <c r="E37" i="96"/>
  <c r="F33" i="96"/>
  <c r="E33" i="96"/>
  <c r="F28" i="96"/>
  <c r="F44" i="96" s="1"/>
  <c r="E28" i="96"/>
  <c r="F22" i="96"/>
  <c r="E22" i="96"/>
  <c r="F39" i="95"/>
  <c r="E39" i="95"/>
  <c r="F35" i="95"/>
  <c r="E35" i="95"/>
  <c r="F31" i="95"/>
  <c r="E31" i="95"/>
  <c r="F26" i="95"/>
  <c r="E26" i="95"/>
  <c r="F20" i="95"/>
  <c r="F41" i="95" s="1"/>
  <c r="E20" i="95"/>
  <c r="E41" i="95" s="1"/>
  <c r="F36" i="94"/>
  <c r="E36" i="94"/>
  <c r="F32" i="94"/>
  <c r="E32" i="94"/>
  <c r="F27" i="94"/>
  <c r="E27" i="94"/>
  <c r="F22" i="94"/>
  <c r="F40" i="94" s="1"/>
  <c r="E22" i="94"/>
  <c r="E40" i="94" s="1"/>
  <c r="F38" i="93"/>
  <c r="E38" i="93"/>
  <c r="F34" i="93"/>
  <c r="E34" i="93"/>
  <c r="F29" i="93"/>
  <c r="E29" i="93"/>
  <c r="F24" i="93"/>
  <c r="F42" i="93" s="1"/>
  <c r="E24" i="93"/>
  <c r="E42" i="93" s="1"/>
  <c r="F34" i="92"/>
  <c r="E34" i="92"/>
  <c r="F30" i="92"/>
  <c r="E30" i="92"/>
  <c r="F25" i="92"/>
  <c r="E25" i="92"/>
  <c r="F20" i="92"/>
  <c r="F38" i="92" s="1"/>
  <c r="E20" i="92"/>
  <c r="E38" i="92" s="1"/>
  <c r="F37" i="91"/>
  <c r="E37" i="91"/>
  <c r="F33" i="91"/>
  <c r="E33" i="91"/>
  <c r="F28" i="91"/>
  <c r="E28" i="91"/>
  <c r="F22" i="91"/>
  <c r="F41" i="91" s="1"/>
  <c r="E22" i="91"/>
  <c r="E41" i="91" s="1"/>
  <c r="F35" i="90"/>
  <c r="E35" i="90"/>
  <c r="F30" i="90"/>
  <c r="E30" i="90"/>
  <c r="F25" i="90"/>
  <c r="F39" i="90" s="1"/>
  <c r="E25" i="90"/>
  <c r="E39" i="90" s="1"/>
  <c r="F33" i="89"/>
  <c r="E33" i="89"/>
  <c r="F28" i="89"/>
  <c r="E28" i="89"/>
  <c r="F24" i="89"/>
  <c r="E24" i="89"/>
  <c r="F34" i="88"/>
  <c r="E34" i="88"/>
  <c r="F29" i="88"/>
  <c r="E29" i="88"/>
  <c r="F25" i="88"/>
  <c r="F38" i="88" s="1"/>
  <c r="E25" i="88"/>
  <c r="E38" i="88" s="1"/>
  <c r="F28" i="87"/>
  <c r="E28" i="87"/>
  <c r="F23" i="87"/>
  <c r="E23" i="87"/>
  <c r="E32" i="87" s="1"/>
  <c r="F27" i="86"/>
  <c r="E27" i="86"/>
  <c r="F22" i="86"/>
  <c r="E22" i="86"/>
  <c r="F17" i="86"/>
  <c r="E17" i="86"/>
  <c r="F29" i="85"/>
  <c r="E29" i="85"/>
  <c r="F24" i="85"/>
  <c r="F31" i="85" s="1"/>
  <c r="E24" i="85"/>
  <c r="E31" i="85" s="1"/>
  <c r="F20" i="85"/>
  <c r="E20" i="85"/>
  <c r="F27" i="84"/>
  <c r="E27" i="84"/>
  <c r="F23" i="84"/>
  <c r="F29" i="84" s="1"/>
  <c r="E23" i="84"/>
  <c r="E29" i="84" s="1"/>
  <c r="F19" i="83"/>
  <c r="F21" i="83" s="1"/>
  <c r="E19" i="83"/>
  <c r="E21" i="83" s="1"/>
  <c r="F26" i="82"/>
  <c r="E26" i="82"/>
  <c r="F24" i="82"/>
  <c r="F28" i="82" s="1"/>
  <c r="E24" i="82"/>
  <c r="E28" i="82" s="1"/>
  <c r="F24" i="81"/>
  <c r="F26" i="81" s="1"/>
  <c r="E24" i="81"/>
  <c r="E26" i="81" s="1"/>
  <c r="F21" i="80"/>
  <c r="F25" i="80" s="1"/>
  <c r="E21" i="80"/>
  <c r="E25" i="80" s="1"/>
  <c r="F24" i="79"/>
  <c r="F20" i="79"/>
  <c r="F22" i="79" s="1"/>
  <c r="E20" i="79"/>
  <c r="E22" i="79" s="1"/>
  <c r="E23" i="78"/>
  <c r="F21" i="78"/>
  <c r="F23" i="78" s="1"/>
  <c r="E21" i="78"/>
  <c r="E25" i="78" s="1"/>
  <c r="F22" i="77"/>
  <c r="F26" i="77" s="1"/>
  <c r="E22" i="77"/>
  <c r="E24" i="77" s="1"/>
  <c r="F137" i="76"/>
  <c r="F139" i="76" s="1"/>
  <c r="E137" i="76"/>
  <c r="E141" i="76" s="1"/>
  <c r="F104" i="76"/>
  <c r="E104" i="76"/>
  <c r="F102" i="76"/>
  <c r="E102" i="76"/>
  <c r="E106" i="76" s="1"/>
  <c r="F57" i="76"/>
  <c r="E57" i="76"/>
  <c r="F45" i="76"/>
  <c r="E45" i="76"/>
  <c r="F87" i="75"/>
  <c r="E85" i="75"/>
  <c r="E87" i="75" s="1"/>
  <c r="F42" i="75"/>
  <c r="E42" i="75"/>
  <c r="F29" i="75"/>
  <c r="F46" i="75" s="1"/>
  <c r="E29" i="75"/>
  <c r="F167" i="74"/>
  <c r="F169" i="74" s="1"/>
  <c r="E167" i="74"/>
  <c r="E169" i="74" s="1"/>
  <c r="F129" i="74"/>
  <c r="F131" i="74" s="1"/>
  <c r="E129" i="74"/>
  <c r="E131" i="74" s="1"/>
  <c r="F76" i="74"/>
  <c r="E76" i="74"/>
  <c r="F53" i="74"/>
  <c r="E53" i="74"/>
  <c r="E80" i="74" s="1"/>
  <c r="F48" i="73"/>
  <c r="E48" i="73"/>
  <c r="F41" i="73"/>
  <c r="F52" i="73" s="1"/>
  <c r="E41" i="73"/>
  <c r="E52" i="73" s="1"/>
  <c r="F80" i="72"/>
  <c r="F82" i="72" s="1"/>
  <c r="E80" i="72"/>
  <c r="E84" i="72" s="1"/>
  <c r="F36" i="72"/>
  <c r="E36" i="72"/>
  <c r="F30" i="72"/>
  <c r="E30" i="72"/>
  <c r="F124" i="71"/>
  <c r="F126" i="71" s="1"/>
  <c r="E124" i="71"/>
  <c r="E126" i="71" s="1"/>
  <c r="F91" i="71"/>
  <c r="F93" i="71" s="1"/>
  <c r="E91" i="71"/>
  <c r="E93" i="71" s="1"/>
  <c r="F46" i="71"/>
  <c r="E46" i="71"/>
  <c r="F32" i="71"/>
  <c r="E32" i="71"/>
  <c r="F18" i="70"/>
  <c r="F22" i="70" s="1"/>
  <c r="E18" i="70"/>
  <c r="F8" i="70"/>
  <c r="E8" i="70"/>
  <c r="E22" i="70" s="1"/>
  <c r="F55" i="69"/>
  <c r="E55" i="69"/>
  <c r="F49" i="69"/>
  <c r="E49" i="69"/>
  <c r="F42" i="69"/>
  <c r="F57" i="69" s="1"/>
  <c r="E42" i="69"/>
  <c r="F66" i="68"/>
  <c r="E66" i="68"/>
  <c r="F60" i="68"/>
  <c r="E60" i="68"/>
  <c r="F55" i="68"/>
  <c r="E55" i="68"/>
  <c r="F51" i="68"/>
  <c r="F70" i="68" s="1"/>
  <c r="E51" i="68"/>
  <c r="F22" i="67"/>
  <c r="E22" i="67"/>
  <c r="F16" i="67"/>
  <c r="E16" i="67"/>
  <c r="F11" i="67"/>
  <c r="F26" i="67" s="1"/>
  <c r="E11" i="67"/>
  <c r="E26" i="67" s="1"/>
  <c r="F33" i="66"/>
  <c r="E33" i="66"/>
  <c r="F26" i="66"/>
  <c r="E26" i="66"/>
  <c r="F12" i="66"/>
  <c r="E12" i="66"/>
  <c r="E37" i="66" s="1"/>
  <c r="F34" i="64"/>
  <c r="E34" i="64"/>
  <c r="F29" i="64"/>
  <c r="E29" i="64"/>
  <c r="F23" i="64"/>
  <c r="E23" i="64"/>
  <c r="F8" i="64"/>
  <c r="E8" i="64"/>
  <c r="E38" i="64" s="1"/>
  <c r="E33" i="85" l="1"/>
  <c r="F25" i="78"/>
  <c r="E31" i="84"/>
  <c r="E43" i="95"/>
  <c r="F31" i="84"/>
  <c r="F43" i="95"/>
  <c r="F38" i="64"/>
  <c r="F35" i="66"/>
  <c r="F24" i="67"/>
  <c r="F20" i="70"/>
  <c r="E46" i="75"/>
  <c r="E61" i="76"/>
  <c r="E23" i="83"/>
  <c r="E31" i="86"/>
  <c r="E29" i="86"/>
  <c r="E30" i="87"/>
  <c r="E37" i="89"/>
  <c r="E37" i="90"/>
  <c r="E46" i="96"/>
  <c r="E42" i="98"/>
  <c r="E82" i="99"/>
  <c r="F37" i="66"/>
  <c r="E68" i="68"/>
  <c r="E59" i="69"/>
  <c r="F50" i="71"/>
  <c r="F40" i="72"/>
  <c r="E24" i="79"/>
  <c r="F23" i="80"/>
  <c r="F23" i="83"/>
  <c r="F33" i="85"/>
  <c r="F29" i="86"/>
  <c r="F30" i="87"/>
  <c r="F36" i="88"/>
  <c r="F37" i="89"/>
  <c r="F37" i="90"/>
  <c r="F46" i="96"/>
  <c r="F42" i="98"/>
  <c r="F82" i="99"/>
  <c r="F61" i="76"/>
  <c r="E59" i="76"/>
  <c r="E139" i="76"/>
  <c r="E44" i="75"/>
  <c r="F44" i="75"/>
  <c r="F80" i="74"/>
  <c r="E171" i="74"/>
  <c r="F38" i="72"/>
  <c r="E38" i="72"/>
  <c r="E82" i="72"/>
  <c r="E128" i="71"/>
  <c r="E50" i="71"/>
  <c r="F48" i="71"/>
  <c r="F59" i="76"/>
  <c r="F24" i="77"/>
  <c r="F36" i="64"/>
  <c r="F68" i="68"/>
  <c r="E50" i="73"/>
  <c r="E78" i="74"/>
  <c r="E133" i="74"/>
  <c r="E26" i="77"/>
  <c r="E23" i="80"/>
  <c r="E28" i="81"/>
  <c r="E36" i="88"/>
  <c r="E39" i="91"/>
  <c r="E40" i="93"/>
  <c r="E44" i="96"/>
  <c r="E43" i="97"/>
  <c r="F59" i="69"/>
  <c r="E35" i="66"/>
  <c r="E57" i="69"/>
  <c r="E48" i="71"/>
  <c r="F78" i="74"/>
  <c r="E89" i="75"/>
  <c r="F31" i="86"/>
  <c r="F32" i="87"/>
  <c r="F39" i="91"/>
  <c r="F40" i="93"/>
  <c r="F43" i="97"/>
  <c r="E40" i="72"/>
  <c r="E36" i="64"/>
  <c r="E70" i="68"/>
  <c r="E20" i="70"/>
  <c r="E95" i="71"/>
  <c r="F50" i="73"/>
  <c r="F28" i="81"/>
  <c r="E35" i="89"/>
  <c r="E24" i="67"/>
  <c r="F35" i="89"/>
  <c r="E36" i="92"/>
  <c r="E38" i="94"/>
  <c r="E80" i="99"/>
  <c r="E66" i="100"/>
  <c r="F36" i="92"/>
  <c r="F38" i="94"/>
  <c r="F66" i="100"/>
  <c r="E9" i="58"/>
  <c r="E13" i="58" s="1"/>
  <c r="D9" i="58"/>
  <c r="D13" i="58" s="1"/>
  <c r="D11" i="58" l="1"/>
  <c r="E11" i="58"/>
  <c r="G38" i="39" l="1"/>
  <c r="D82" i="39" s="1"/>
  <c r="E10" i="63" l="1"/>
  <c r="E12" i="63" s="1"/>
  <c r="D10" i="63"/>
  <c r="D14" i="63" s="1"/>
  <c r="E13" i="62"/>
  <c r="E17" i="62" s="1"/>
  <c r="D13" i="62"/>
  <c r="D15" i="62" s="1"/>
  <c r="E13" i="61"/>
  <c r="E15" i="61" s="1"/>
  <c r="D13" i="61"/>
  <c r="D15" i="61" s="1"/>
  <c r="E13" i="60"/>
  <c r="E17" i="60" s="1"/>
  <c r="D13" i="60"/>
  <c r="D17" i="60" s="1"/>
  <c r="E12" i="59"/>
  <c r="E14" i="59" s="1"/>
  <c r="D12" i="59"/>
  <c r="D16" i="59" s="1"/>
  <c r="E11" i="57"/>
  <c r="E15" i="57" s="1"/>
  <c r="D11" i="57"/>
  <c r="D13" i="57" s="1"/>
  <c r="E7" i="56"/>
  <c r="E11" i="56" s="1"/>
  <c r="D7" i="56"/>
  <c r="D11" i="56" s="1"/>
  <c r="D11" i="55"/>
  <c r="E7" i="55"/>
  <c r="E9" i="55" s="1"/>
  <c r="D7" i="55"/>
  <c r="D9" i="55" s="1"/>
  <c r="F64" i="54"/>
  <c r="E64" i="54"/>
  <c r="F58" i="54"/>
  <c r="E58" i="54"/>
  <c r="F58" i="53"/>
  <c r="F62" i="53" s="1"/>
  <c r="E58" i="53"/>
  <c r="E60" i="53" s="1"/>
  <c r="F72" i="52"/>
  <c r="E72" i="52"/>
  <c r="F21" i="52"/>
  <c r="E21" i="52"/>
  <c r="E74" i="52" s="1"/>
  <c r="F35" i="51"/>
  <c r="F37" i="51" s="1"/>
  <c r="E35" i="51"/>
  <c r="E37" i="51" s="1"/>
  <c r="F31" i="50"/>
  <c r="F35" i="50" s="1"/>
  <c r="E31" i="50"/>
  <c r="E35" i="50" s="1"/>
  <c r="E33" i="50"/>
  <c r="F56" i="49"/>
  <c r="F60" i="49" s="1"/>
  <c r="E56" i="49"/>
  <c r="E58" i="49" s="1"/>
  <c r="F58" i="48"/>
  <c r="E58" i="48"/>
  <c r="F52" i="48"/>
  <c r="F62" i="48" s="1"/>
  <c r="E52" i="48"/>
  <c r="E60" i="48" s="1"/>
  <c r="F35" i="47"/>
  <c r="F37" i="47" s="1"/>
  <c r="E35" i="47"/>
  <c r="E37" i="47" s="1"/>
  <c r="F48" i="46"/>
  <c r="E48" i="46"/>
  <c r="F41" i="46"/>
  <c r="F50" i="46" s="1"/>
  <c r="E41" i="46"/>
  <c r="E50" i="46" s="1"/>
  <c r="F63" i="45"/>
  <c r="F67" i="45" s="1"/>
  <c r="E63" i="45"/>
  <c r="E65" i="45" s="1"/>
  <c r="F59" i="45"/>
  <c r="E59" i="45"/>
  <c r="F66" i="44"/>
  <c r="F70" i="44" s="1"/>
  <c r="E66" i="44"/>
  <c r="E68" i="44" s="1"/>
  <c r="F45" i="43"/>
  <c r="E45" i="43"/>
  <c r="F41" i="43"/>
  <c r="E41" i="43"/>
  <c r="F23" i="43"/>
  <c r="E23" i="43"/>
  <c r="F19" i="43"/>
  <c r="F49" i="43" s="1"/>
  <c r="E19" i="43"/>
  <c r="F62" i="42"/>
  <c r="E62" i="42"/>
  <c r="F50" i="42"/>
  <c r="E50" i="42"/>
  <c r="F46" i="42"/>
  <c r="E46" i="42"/>
  <c r="E64" i="42" s="1"/>
  <c r="F39" i="41"/>
  <c r="F43" i="41" s="1"/>
  <c r="E39" i="41"/>
  <c r="E43" i="41"/>
  <c r="F84" i="40"/>
  <c r="E84" i="40"/>
  <c r="F76" i="40"/>
  <c r="E76" i="40"/>
  <c r="F72" i="40"/>
  <c r="E72" i="40"/>
  <c r="F68" i="40"/>
  <c r="E68" i="40"/>
  <c r="F63" i="40"/>
  <c r="E63" i="40"/>
  <c r="F59" i="40"/>
  <c r="E59" i="40"/>
  <c r="F50" i="40"/>
  <c r="F88" i="40" s="1"/>
  <c r="E50" i="40"/>
  <c r="F46" i="40"/>
  <c r="F86" i="40"/>
  <c r="E46" i="40"/>
  <c r="E86" i="40" s="1"/>
  <c r="F41" i="40"/>
  <c r="E41" i="40"/>
  <c r="E88" i="40" s="1"/>
  <c r="F60" i="39"/>
  <c r="F56" i="39"/>
  <c r="E56" i="39"/>
  <c r="F52" i="39"/>
  <c r="E52" i="39"/>
  <c r="F47" i="39"/>
  <c r="E47" i="39"/>
  <c r="F42" i="39"/>
  <c r="F58" i="39" s="1"/>
  <c r="E42" i="39"/>
  <c r="F38" i="39"/>
  <c r="E38" i="39"/>
  <c r="E58" i="39" s="1"/>
  <c r="E60" i="39"/>
  <c r="E41" i="41"/>
  <c r="F52" i="46" l="1"/>
  <c r="F66" i="42"/>
  <c r="F47" i="43"/>
  <c r="E52" i="46"/>
  <c r="E67" i="45"/>
  <c r="E66" i="54"/>
  <c r="E49" i="43"/>
  <c r="F65" i="45"/>
  <c r="F39" i="51"/>
  <c r="F74" i="52"/>
  <c r="F66" i="54"/>
  <c r="D15" i="60"/>
  <c r="F76" i="52"/>
  <c r="F60" i="53"/>
  <c r="E11" i="55"/>
  <c r="E17" i="61"/>
  <c r="E14" i="63"/>
  <c r="D12" i="63"/>
  <c r="E15" i="62"/>
  <c r="D17" i="62"/>
  <c r="D17" i="61"/>
  <c r="E15" i="60"/>
  <c r="E16" i="59"/>
  <c r="D14" i="59"/>
  <c r="E13" i="57"/>
  <c r="D15" i="57"/>
  <c r="D9" i="56"/>
  <c r="E9" i="56"/>
  <c r="E68" i="54"/>
  <c r="F68" i="54"/>
  <c r="E62" i="53"/>
  <c r="E76" i="52"/>
  <c r="E39" i="51"/>
  <c r="F33" i="50"/>
  <c r="F58" i="49"/>
  <c r="E60" i="49"/>
  <c r="F60" i="48"/>
  <c r="E62" i="48"/>
  <c r="E39" i="47"/>
  <c r="F39" i="47"/>
  <c r="F68" i="44"/>
  <c r="E70" i="44"/>
  <c r="E47" i="43"/>
  <c r="E66" i="42"/>
  <c r="F64" i="42"/>
  <c r="F41" i="41"/>
</calcChain>
</file>

<file path=xl/sharedStrings.xml><?xml version="1.0" encoding="utf-8"?>
<sst xmlns="http://schemas.openxmlformats.org/spreadsheetml/2006/main" count="7501" uniqueCount="1505">
  <si>
    <t>Name of the Instrument</t>
  </si>
  <si>
    <t>Quantity</t>
  </si>
  <si>
    <t>ISIN Number</t>
  </si>
  <si>
    <t xml:space="preserve">Market Value(Rs. in Lakhs) </t>
  </si>
  <si>
    <t>% to Net Assets</t>
  </si>
  <si>
    <t>Industry Classification / Rating</t>
  </si>
  <si>
    <t>YTM</t>
  </si>
  <si>
    <t>Portfolio Statement as on January 29, 2021</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</si>
  <si>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</si>
  <si>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</si>
  <si>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</si>
  <si>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</si>
  <si>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</si>
  <si>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</si>
  <si>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</si>
  <si>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</si>
  <si>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</si>
  <si>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</si>
  <si>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</si>
  <si>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</si>
  <si>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</si>
  <si>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</si>
  <si>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</si>
  <si>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</si>
  <si>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</si>
  <si>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</si>
  <si>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</si>
  <si>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</si>
  <si>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</si>
  <si>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</si>
  <si>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</si>
  <si>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</si>
  <si>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</si>
  <si>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Indostar Capital Finance Ltd (1Y SBI MCLR + 200 Bps) (02-May-2023) **</t>
  </si>
  <si>
    <t>INE896L07561</t>
  </si>
  <si>
    <t>CARE AA-</t>
  </si>
  <si>
    <t>Indostar Capital Finance Ltd (1Y SBI MCLR + 325 Bps) (02-Nov-2021) **</t>
  </si>
  <si>
    <t>INE896L07660</t>
  </si>
  <si>
    <t>CRISIL AA</t>
  </si>
  <si>
    <t>CRISIL AAA</t>
  </si>
  <si>
    <t>Sub Total</t>
  </si>
  <si>
    <t>(b) Privately Placed / Unlisted</t>
  </si>
  <si>
    <t>0.00% KKR India Financial Services Pvt Ltd (10-Mar-2021) **</t>
  </si>
  <si>
    <t>INE321N07244</t>
  </si>
  <si>
    <t>Total</t>
  </si>
  <si>
    <t>Net Assets</t>
  </si>
  <si>
    <t>Call, Cash &amp; Other Assets</t>
  </si>
  <si>
    <t>** Non- Traded Scrips</t>
  </si>
  <si>
    <t>Notes</t>
  </si>
  <si>
    <t>a) NAV at the beginning and at the end of the Half-year ended 29-Jan-2021</t>
  </si>
  <si>
    <t xml:space="preserve">      Plan/Option</t>
  </si>
  <si>
    <t>As on 29-Jan-2021</t>
  </si>
  <si>
    <t>b) Aggregate Dividends declared during the Half - year ended 29-Jan-2021</t>
  </si>
  <si>
    <t>Nil</t>
  </si>
  <si>
    <t>(In Years)</t>
  </si>
  <si>
    <t>https://www.franklintempletonindia.com/downloadsServlet/pdf/product-labels-jg9o5k7l</t>
  </si>
  <si>
    <t>* Less than 0.01%</t>
  </si>
  <si>
    <t>Money Market Instruments</t>
  </si>
  <si>
    <t>Certificate of Deposit</t>
  </si>
  <si>
    <t>Bank of Baroda (11-Feb-2021) **</t>
  </si>
  <si>
    <t>INE028A16BX1</t>
  </si>
  <si>
    <t>IND A1+</t>
  </si>
  <si>
    <t>CRISIL A1+</t>
  </si>
  <si>
    <t>Commercial Paper</t>
  </si>
  <si>
    <t>Bajaj Finance Ltd (15-Mar-2021) **@</t>
  </si>
  <si>
    <t>INE296A14RD7</t>
  </si>
  <si>
    <t>Treasury Bill</t>
  </si>
  <si>
    <t>@ Listed</t>
  </si>
  <si>
    <t>Plan Name</t>
  </si>
  <si>
    <t>Dividend per unit (Rs.)+++</t>
  </si>
  <si>
    <t>+++ Dividend payouts/ re-investments are subject to deduction of TDS at the applicable rates.</t>
  </si>
  <si>
    <t xml:space="preserve">      Growth Plan</t>
  </si>
  <si>
    <t xml:space="preserve">      Monthly Dividend Plan</t>
  </si>
  <si>
    <t xml:space="preserve">      Quarterly Dividend Plan</t>
  </si>
  <si>
    <t xml:space="preserve">      Direct Growth Plan</t>
  </si>
  <si>
    <t xml:space="preserve">      Direct Monthly Dividend Plan</t>
  </si>
  <si>
    <t xml:space="preserve">      Direct Quarterly Dividend Plan</t>
  </si>
  <si>
    <t xml:space="preserve">      Dividend Plan</t>
  </si>
  <si>
    <t xml:space="preserve">      Direct Dividend Plan</t>
  </si>
  <si>
    <t>Government Securities</t>
  </si>
  <si>
    <t>SOVEREIGN</t>
  </si>
  <si>
    <t>7.27% GOI 2026 (08-Apr-2026)</t>
  </si>
  <si>
    <t>IN0020190016</t>
  </si>
  <si>
    <t>7.32% GOI 2024 (28-Jan-2024)</t>
  </si>
  <si>
    <t>IN0020180488</t>
  </si>
  <si>
    <t>5.22% GOI 2025 (15-Jun-2025)</t>
  </si>
  <si>
    <t>IN0020200112</t>
  </si>
  <si>
    <t xml:space="preserve">      Growth Option</t>
  </si>
  <si>
    <t xml:space="preserve">      Direct Growth Option</t>
  </si>
  <si>
    <t>8.85% REC Ltd (16-Apr-2029) **</t>
  </si>
  <si>
    <t>INE020B08BQ7</t>
  </si>
  <si>
    <t>8.85% Power Finance Corporation Ltd (25-May-2029) **</t>
  </si>
  <si>
    <t>INE134E08KC1</t>
  </si>
  <si>
    <t>6.18% GOI 2024 (04-Nov-2024)</t>
  </si>
  <si>
    <t>IN0020190396</t>
  </si>
  <si>
    <t>91 DTB (01-Apr-2021)</t>
  </si>
  <si>
    <t>IN002020X415</t>
  </si>
  <si>
    <t>Equity &amp; Equity related</t>
  </si>
  <si>
    <t>HDFC Bank Ltd</t>
  </si>
  <si>
    <t>INE040A01034</t>
  </si>
  <si>
    <t>Banks</t>
  </si>
  <si>
    <t>Axis Bank Ltd</t>
  </si>
  <si>
    <t>INE238A01034</t>
  </si>
  <si>
    <t>Infosys Ltd</t>
  </si>
  <si>
    <t>INE009A01021</t>
  </si>
  <si>
    <t>Software</t>
  </si>
  <si>
    <t>Bharti Airtel Ltd</t>
  </si>
  <si>
    <t>INE397D01024</t>
  </si>
  <si>
    <t>Telecom - Services</t>
  </si>
  <si>
    <t>ICICI Bank Ltd</t>
  </si>
  <si>
    <t>INE090A01021</t>
  </si>
  <si>
    <t>Balkrishna Industries Ltd</t>
  </si>
  <si>
    <t>INE787D01026</t>
  </si>
  <si>
    <t>Auto Ancillaries</t>
  </si>
  <si>
    <t>Kotak Mahindra Bank Ltd</t>
  </si>
  <si>
    <t>INE237A01028</t>
  </si>
  <si>
    <t>Voltas Ltd</t>
  </si>
  <si>
    <t>INE226A01021</t>
  </si>
  <si>
    <t>Consumer Durables</t>
  </si>
  <si>
    <t>Petronet LNG Ltd</t>
  </si>
  <si>
    <t>INE347G01014</t>
  </si>
  <si>
    <t>Gas</t>
  </si>
  <si>
    <t>Tata Steel Ltd</t>
  </si>
  <si>
    <t>INE081A01012</t>
  </si>
  <si>
    <t>Ferrous Metals</t>
  </si>
  <si>
    <t>Colgate Palmolive (India) Ltd</t>
  </si>
  <si>
    <t>INE259A01022</t>
  </si>
  <si>
    <t>Consumer Non Durables</t>
  </si>
  <si>
    <t>Mahindra &amp; Mahindra Ltd</t>
  </si>
  <si>
    <t>INE101A01026</t>
  </si>
  <si>
    <t>Auto</t>
  </si>
  <si>
    <t>Hindustan Petroleum Corporation Ltd</t>
  </si>
  <si>
    <t>INE094A01015</t>
  </si>
  <si>
    <t>Petroleum Products</t>
  </si>
  <si>
    <t>Gujarat State Petronet Ltd</t>
  </si>
  <si>
    <t>INE246F01010</t>
  </si>
  <si>
    <t>Cadila Healthcare Ltd</t>
  </si>
  <si>
    <t>INE010B01027</t>
  </si>
  <si>
    <t>Pharmaceuticals</t>
  </si>
  <si>
    <t>Hindalco Industries Ltd</t>
  </si>
  <si>
    <t>INE038A01020</t>
  </si>
  <si>
    <t>Non - Ferrous Metals</t>
  </si>
  <si>
    <t>State Bank of India</t>
  </si>
  <si>
    <t>INE062A01020</t>
  </si>
  <si>
    <t>Power Grid Corporation of India Ltd</t>
  </si>
  <si>
    <t>INE752E01010</t>
  </si>
  <si>
    <t>Power</t>
  </si>
  <si>
    <t>Industrial Products</t>
  </si>
  <si>
    <t>Bajaj Auto Ltd</t>
  </si>
  <si>
    <t>INE917I01010</t>
  </si>
  <si>
    <t>United Breweries Ltd</t>
  </si>
  <si>
    <t>INE686F01025</t>
  </si>
  <si>
    <t>NTPC Ltd</t>
  </si>
  <si>
    <t>INE733E01010</t>
  </si>
  <si>
    <t>Bharat Petroleum Corporation Ltd</t>
  </si>
  <si>
    <t>INE029A01011</t>
  </si>
  <si>
    <t>Kansai Nerolac Paints Ltd</t>
  </si>
  <si>
    <t>INE531A01024</t>
  </si>
  <si>
    <t>TVS Motor Co Ltd</t>
  </si>
  <si>
    <t>INE494B01023</t>
  </si>
  <si>
    <t>Karur Vysya Bank Ltd</t>
  </si>
  <si>
    <t>INE036D01028</t>
  </si>
  <si>
    <t>Tata Motors Ltd</t>
  </si>
  <si>
    <t>INE155A01022</t>
  </si>
  <si>
    <t>Aditya Birla Fashion and Retail Ltd</t>
  </si>
  <si>
    <t>INE647O01011</t>
  </si>
  <si>
    <t>Retailing</t>
  </si>
  <si>
    <t>Jagran Prakashan Ltd</t>
  </si>
  <si>
    <t>INE199G01027</t>
  </si>
  <si>
    <t>Media &amp; Entertainment</t>
  </si>
  <si>
    <t>IN9647O01019</t>
  </si>
  <si>
    <t>Coal India Ltd</t>
  </si>
  <si>
    <t>INE522F01014</t>
  </si>
  <si>
    <t>Minerals/Mining</t>
  </si>
  <si>
    <t>6.95% Housing Development Finance Corporation Ltd (27-Apr-2023) **</t>
  </si>
  <si>
    <t>INE001A07SK8</t>
  </si>
  <si>
    <t>Dr. Reddy's Laboratories Ltd</t>
  </si>
  <si>
    <t>INE089A01023</t>
  </si>
  <si>
    <t>Grasim Industries Ltd</t>
  </si>
  <si>
    <t>INE047A01021</t>
  </si>
  <si>
    <t>Cement</t>
  </si>
  <si>
    <t>6.19% GOI 2034 (16-Sep-2034)</t>
  </si>
  <si>
    <t>IN0020200096</t>
  </si>
  <si>
    <t>Housing Development Finance Corporation Ltd</t>
  </si>
  <si>
    <t>INE001A01036</t>
  </si>
  <si>
    <t>Finance</t>
  </si>
  <si>
    <t>Sun TV Network Ltd</t>
  </si>
  <si>
    <t>INE424H01027</t>
  </si>
  <si>
    <t>Maruti Suzuki India Ltd</t>
  </si>
  <si>
    <t>INE585B01010</t>
  </si>
  <si>
    <t>Tata Power Co Ltd</t>
  </si>
  <si>
    <t>INE245A01021</t>
  </si>
  <si>
    <t>Tech Mahindra Ltd</t>
  </si>
  <si>
    <t>INE669C01036</t>
  </si>
  <si>
    <t>Larsen &amp; Toubro Ltd</t>
  </si>
  <si>
    <t>INE018A01030</t>
  </si>
  <si>
    <t>Construction Project</t>
  </si>
  <si>
    <t>Dabur India Ltd</t>
  </si>
  <si>
    <t>INE016A01026</t>
  </si>
  <si>
    <t>Cholamandalam Financial Holdings Ltd</t>
  </si>
  <si>
    <t>INE149A01033</t>
  </si>
  <si>
    <t>Indian Hotels Co Ltd</t>
  </si>
  <si>
    <t>INE053A01029</t>
  </si>
  <si>
    <t>Hotels/ Resorts And Other Recreational Activities</t>
  </si>
  <si>
    <t>Indian Oil Corporation Ltd</t>
  </si>
  <si>
    <t>INE242A01010</t>
  </si>
  <si>
    <t>Himatsingka Seide Ltd</t>
  </si>
  <si>
    <t>INE049A01027</t>
  </si>
  <si>
    <t>Textile Products</t>
  </si>
  <si>
    <t>Mahindra CIE Automotive Ltd</t>
  </si>
  <si>
    <t>INE536H01010</t>
  </si>
  <si>
    <t>PNB Housing Finance Ltd</t>
  </si>
  <si>
    <t>INE572E01012</t>
  </si>
  <si>
    <t>Nestle India Ltd</t>
  </si>
  <si>
    <t>INE239A01016</t>
  </si>
  <si>
    <t>GAIL (India) Ltd</t>
  </si>
  <si>
    <t>INE129A01019</t>
  </si>
  <si>
    <t>Federal Bank Ltd</t>
  </si>
  <si>
    <t>INE171A01029</t>
  </si>
  <si>
    <t>(b) Units of Real Estate Investment Trusts (REITs)</t>
  </si>
  <si>
    <t>Embassy Office Parks REIT</t>
  </si>
  <si>
    <t>INE041025011</t>
  </si>
  <si>
    <t>c) Portfolio Turnover Ratio during the Half - year 29-Jan-2021</t>
  </si>
  <si>
    <t>d) Average Maturity as on 29-Jan-2021</t>
  </si>
  <si>
    <t xml:space="preserve">e) During the month additional instances of fair valuation/deviation from valuation price provided by the valuation agencies </t>
  </si>
  <si>
    <t>Tata Consultancy Services Ltd</t>
  </si>
  <si>
    <t>INE467B01029</t>
  </si>
  <si>
    <t>NHPC Ltd</t>
  </si>
  <si>
    <t>INE848E01016</t>
  </si>
  <si>
    <t>Titan Co Ltd</t>
  </si>
  <si>
    <t>INE280A01028</t>
  </si>
  <si>
    <t xml:space="preserve">(b) Unlisted </t>
  </si>
  <si>
    <t>Globsyn Technologies Ltd **</t>
  </si>
  <si>
    <t>INE671B01018</t>
  </si>
  <si>
    <t>Commercial Services</t>
  </si>
  <si>
    <t>Numero Uno International Ltd **</t>
  </si>
  <si>
    <t>(c) Units of Real Estate Investment Trusts (REITs)</t>
  </si>
  <si>
    <t>National Bank For Agriculture &amp; Rural Development (18-Feb-2021)</t>
  </si>
  <si>
    <t>INE261F16504</t>
  </si>
  <si>
    <t>5.85% GOI 2030 (01-Dec-2030)</t>
  </si>
  <si>
    <t>IN0020200294</t>
  </si>
  <si>
    <t>Tata Motors Ltd DVR</t>
  </si>
  <si>
    <t>IN9155A01020</t>
  </si>
  <si>
    <t>Bharat Electronics Ltd</t>
  </si>
  <si>
    <t>INE263A01024</t>
  </si>
  <si>
    <t>Industrial Capital Goods</t>
  </si>
  <si>
    <t>ITC Ltd</t>
  </si>
  <si>
    <t>INE154A01025</t>
  </si>
  <si>
    <t>Tata Chemicals Ltd</t>
  </si>
  <si>
    <t>INE092A01019</t>
  </si>
  <si>
    <t>Chemicals</t>
  </si>
  <si>
    <t>Oil &amp; Natural Gas Corporation Ltd</t>
  </si>
  <si>
    <t>INE213A01029</t>
  </si>
  <si>
    <t>Oil</t>
  </si>
  <si>
    <t>Finolex Cables Ltd</t>
  </si>
  <si>
    <t>INE235A01022</t>
  </si>
  <si>
    <t>Bosch Ltd</t>
  </si>
  <si>
    <t>INE323A01026</t>
  </si>
  <si>
    <t>Sundaram Clayton Ltd</t>
  </si>
  <si>
    <t>INE105A01035</t>
  </si>
  <si>
    <t>Container Corporation Of India Ltd</t>
  </si>
  <si>
    <t>INE111A01025</t>
  </si>
  <si>
    <t>Transportation</t>
  </si>
  <si>
    <t>Equitas Holdings Ltd</t>
  </si>
  <si>
    <t>INE988K01017</t>
  </si>
  <si>
    <t>Century Textile &amp; Industries Ltd</t>
  </si>
  <si>
    <t>INE055A01016</t>
  </si>
  <si>
    <t>Paper</t>
  </si>
  <si>
    <t>ACC Ltd</t>
  </si>
  <si>
    <t>INE012A01025</t>
  </si>
  <si>
    <t>Gulf Oil Lubricants India Ltd</t>
  </si>
  <si>
    <t>INE635Q01029</t>
  </si>
  <si>
    <t>Industry Classification</t>
  </si>
  <si>
    <t>Tata Investment Corporation Ltd</t>
  </si>
  <si>
    <t>INE672A01018</t>
  </si>
  <si>
    <t>Finolex Industries Ltd</t>
  </si>
  <si>
    <t>INE183A01016</t>
  </si>
  <si>
    <t>Tata Consumer Products Ltd</t>
  </si>
  <si>
    <t>INE192A01025</t>
  </si>
  <si>
    <t>Redington (India) Ltd</t>
  </si>
  <si>
    <t>INE891D01026</t>
  </si>
  <si>
    <t>J.K. Cement Ltd</t>
  </si>
  <si>
    <t>INE823G01014</t>
  </si>
  <si>
    <t>K.P.R. Mill Ltd</t>
  </si>
  <si>
    <t>INE930H01023</t>
  </si>
  <si>
    <t>National Aluminium Co Ltd</t>
  </si>
  <si>
    <t>INE139A01034</t>
  </si>
  <si>
    <t>Vardhman Textiles Ltd</t>
  </si>
  <si>
    <t>INE825A01012</t>
  </si>
  <si>
    <t>Textiles - Cotton</t>
  </si>
  <si>
    <t>Ashok Leyland Ltd</t>
  </si>
  <si>
    <t>INE208A01029</t>
  </si>
  <si>
    <t>Hindustan Unilever Ltd</t>
  </si>
  <si>
    <t>INE030A01027</t>
  </si>
  <si>
    <t>Dalmia Bharat Ltd</t>
  </si>
  <si>
    <t>INE00R701025</t>
  </si>
  <si>
    <t>NMDC Ltd</t>
  </si>
  <si>
    <t>INE584A01023</t>
  </si>
  <si>
    <t>Cyient Ltd</t>
  </si>
  <si>
    <t>INE136B01020</t>
  </si>
  <si>
    <t>CESC Ltd</t>
  </si>
  <si>
    <t>INE486A01013</t>
  </si>
  <si>
    <t>Foreign Equity Securities</t>
  </si>
  <si>
    <t>Unilever PLC, (ADR)</t>
  </si>
  <si>
    <t>US9047677045</t>
  </si>
  <si>
    <t>Xinyi Solar Holdings Ltd</t>
  </si>
  <si>
    <t>KYG9829N1025</t>
  </si>
  <si>
    <t>Aramex PJSC</t>
  </si>
  <si>
    <t>AEA002301017</t>
  </si>
  <si>
    <t>Novatek Microelectronics Corp. Ltd</t>
  </si>
  <si>
    <t>TW0003034005</t>
  </si>
  <si>
    <t>Semiconductors</t>
  </si>
  <si>
    <t>Xtep International Holdings Ltd</t>
  </si>
  <si>
    <t>KYG982771092</t>
  </si>
  <si>
    <t>Travelsky Technology Ltd, H</t>
  </si>
  <si>
    <t>CNE1000004J3</t>
  </si>
  <si>
    <t>Primax Electronics Ltd</t>
  </si>
  <si>
    <t>TW0004915004</t>
  </si>
  <si>
    <t>Hardware</t>
  </si>
  <si>
    <t>Mahle-Metal Leve S A</t>
  </si>
  <si>
    <t>BRLEVEACNOR2</t>
  </si>
  <si>
    <t>Fanhua Inc, (ADR)</t>
  </si>
  <si>
    <t>US30712A1034</t>
  </si>
  <si>
    <t>HCL Technologies Ltd</t>
  </si>
  <si>
    <t>INE860A01027</t>
  </si>
  <si>
    <t>Info Edge (India) Ltd</t>
  </si>
  <si>
    <t>INE663F01024</t>
  </si>
  <si>
    <t>Larsen &amp; Toubro Infotech Ltd</t>
  </si>
  <si>
    <t>INE214T01019</t>
  </si>
  <si>
    <t>Happiest Minds Technologies Ltd</t>
  </si>
  <si>
    <t>INE419U01012</t>
  </si>
  <si>
    <t>JustDial Ltd</t>
  </si>
  <si>
    <t>INE599M01018</t>
  </si>
  <si>
    <t>Indiamart Intermesh Ltd</t>
  </si>
  <si>
    <t>INE933S01016</t>
  </si>
  <si>
    <t>Xelpmoc Design and Tech Ltd</t>
  </si>
  <si>
    <t>INE01P501012</t>
  </si>
  <si>
    <t>Brillio Technologies Pvt Ltd **</t>
  </si>
  <si>
    <t>Taiwan Semiconductor Manufacturing Co. Ltd</t>
  </si>
  <si>
    <t>TW0002330008</t>
  </si>
  <si>
    <t>Makemytrip Ltd</t>
  </si>
  <si>
    <t>MU0295S00016</t>
  </si>
  <si>
    <t>Samsung Electronics Co. Ltd</t>
  </si>
  <si>
    <t>KR7005930003</t>
  </si>
  <si>
    <t>Twitter Inc.</t>
  </si>
  <si>
    <t>US90184L1026</t>
  </si>
  <si>
    <t>Qualcomm Inc.</t>
  </si>
  <si>
    <t>US7475251036</t>
  </si>
  <si>
    <t>Telecom -  Equipment &amp; Accessories</t>
  </si>
  <si>
    <t>Intel Corp</t>
  </si>
  <si>
    <t>US4581401001</t>
  </si>
  <si>
    <t>Alibaba Group Holding Ltd</t>
  </si>
  <si>
    <t>KYG017191142</t>
  </si>
  <si>
    <t>Mediatek Inc</t>
  </si>
  <si>
    <t>TW0002454006</t>
  </si>
  <si>
    <t>Sunny Optical Technology Group Co. Ltd</t>
  </si>
  <si>
    <t>KYG8586D1097</t>
  </si>
  <si>
    <t>Nvidia Corp</t>
  </si>
  <si>
    <t>US67066G1040</t>
  </si>
  <si>
    <t>Salesforce.Com Inc</t>
  </si>
  <si>
    <t>US79466L3024</t>
  </si>
  <si>
    <t xml:space="preserve">Software                                </t>
  </si>
  <si>
    <t>Alphabet Inc</t>
  </si>
  <si>
    <t>US02079K3059</t>
  </si>
  <si>
    <t>Amazon.com INC</t>
  </si>
  <si>
    <t>US0231351067</t>
  </si>
  <si>
    <t>Wix.Com Ltd</t>
  </si>
  <si>
    <t>IL0011301780</t>
  </si>
  <si>
    <t>Microsoft Corp</t>
  </si>
  <si>
    <t>US5949181045</t>
  </si>
  <si>
    <t>Foreign Mutual Fund Units</t>
  </si>
  <si>
    <t>Franklin Technology Fund, Class I (Acc)</t>
  </si>
  <si>
    <t>LU0626261944</t>
  </si>
  <si>
    <t>Foreign Mutual Fund</t>
  </si>
  <si>
    <t>Deepak Nitrite Ltd</t>
  </si>
  <si>
    <t>INE288B01029</t>
  </si>
  <si>
    <t>Brigade Enterprises Ltd</t>
  </si>
  <si>
    <t>INE791I01019</t>
  </si>
  <si>
    <t>Construction</t>
  </si>
  <si>
    <t>Jyothy Labs Ltd</t>
  </si>
  <si>
    <t>INE668F01031</t>
  </si>
  <si>
    <t>Nesco Ltd</t>
  </si>
  <si>
    <t>INE317F01035</t>
  </si>
  <si>
    <t>J.B. Chemicals &amp; Pharmaceuticals Ltd</t>
  </si>
  <si>
    <t>INE572A01028</t>
  </si>
  <si>
    <t>Quess Corp Ltd</t>
  </si>
  <si>
    <t>INE615P01015</t>
  </si>
  <si>
    <t>Services</t>
  </si>
  <si>
    <t>CCL Products (India) Ltd</t>
  </si>
  <si>
    <t>INE421D01022</t>
  </si>
  <si>
    <t>Sobha Ltd</t>
  </si>
  <si>
    <t>INE671H01015</t>
  </si>
  <si>
    <t>Blue Star Ltd</t>
  </si>
  <si>
    <t>INE472A01039</t>
  </si>
  <si>
    <t>Eris Lifesciences Ltd</t>
  </si>
  <si>
    <t>INE406M01024</t>
  </si>
  <si>
    <t>Teamlease Services Ltd</t>
  </si>
  <si>
    <t>INE985S01024</t>
  </si>
  <si>
    <t>KNR Constructions Ltd</t>
  </si>
  <si>
    <t>INE634I01029</t>
  </si>
  <si>
    <t>DCB Bank Ltd</t>
  </si>
  <si>
    <t>INE503A01015</t>
  </si>
  <si>
    <t>Atul Ltd</t>
  </si>
  <si>
    <t>INE100A01010</t>
  </si>
  <si>
    <t>TTK Prestige Ltd</t>
  </si>
  <si>
    <t>INE690A01010</t>
  </si>
  <si>
    <t>Carborundum Universal Ltd</t>
  </si>
  <si>
    <t>INE120A01034</t>
  </si>
  <si>
    <t>Lemon Tree Hotels Ltd</t>
  </si>
  <si>
    <t>INE970X01018</t>
  </si>
  <si>
    <t>Ahluwalia Contracts (India) Ltd</t>
  </si>
  <si>
    <t>INE758C01029</t>
  </si>
  <si>
    <t>Navneet Education Ltd</t>
  </si>
  <si>
    <t>INE060A01024</t>
  </si>
  <si>
    <t>Metropolis Healthcare Ltd</t>
  </si>
  <si>
    <t>INE112L01020</t>
  </si>
  <si>
    <t>Healthcare Services</t>
  </si>
  <si>
    <t>GHCL Ltd</t>
  </si>
  <si>
    <t>INE539A01019</t>
  </si>
  <si>
    <t>Tube Investments of India Ltd</t>
  </si>
  <si>
    <t>INE974X01010</t>
  </si>
  <si>
    <t>Multi Commodity Exchange Of India Ltd</t>
  </si>
  <si>
    <t>INE745G01035</t>
  </si>
  <si>
    <t>City Union Bank Ltd</t>
  </si>
  <si>
    <t>INE491A01021</t>
  </si>
  <si>
    <t>KPIT Technologies Ltd</t>
  </si>
  <si>
    <t>INE04I401011</t>
  </si>
  <si>
    <t>TV Today Network Ltd</t>
  </si>
  <si>
    <t>INE038F01029</t>
  </si>
  <si>
    <t>V.I.P. Industries Ltd</t>
  </si>
  <si>
    <t>INE054A01027</t>
  </si>
  <si>
    <t>Ramkrishna Forgings Ltd</t>
  </si>
  <si>
    <t>INE399G01015</t>
  </si>
  <si>
    <t>Cholamandalam Investment and Finance Co Ltd</t>
  </si>
  <si>
    <t>INE121A01024</t>
  </si>
  <si>
    <t>M M Forgings Ltd</t>
  </si>
  <si>
    <t>INE227C01017</t>
  </si>
  <si>
    <t>Music Broadcast Ltd</t>
  </si>
  <si>
    <t>INE919I01024</t>
  </si>
  <si>
    <t>Ashoka Buildcon Ltd</t>
  </si>
  <si>
    <t>INE442H01029</t>
  </si>
  <si>
    <t>Equitas Small Finance Bank Ltd</t>
  </si>
  <si>
    <t>INE063P01018</t>
  </si>
  <si>
    <t>Borosil Renewables Ltd</t>
  </si>
  <si>
    <t>INE666D01022</t>
  </si>
  <si>
    <t>CARE Ratings Ltd</t>
  </si>
  <si>
    <t>INE752H01013</t>
  </si>
  <si>
    <t>Techno Electric &amp; Engineering Co Ltd</t>
  </si>
  <si>
    <t>INE285K01026</t>
  </si>
  <si>
    <t>Mrs Bectors Food Specialities Ltd</t>
  </si>
  <si>
    <t>INE495P01012</t>
  </si>
  <si>
    <t>JK Lakshmi Cement Ltd</t>
  </si>
  <si>
    <t>INE786A01032</t>
  </si>
  <si>
    <t>Narayana Hrudayalaya Ltd</t>
  </si>
  <si>
    <t>INE410P01011</t>
  </si>
  <si>
    <t>Shankara Building Products Ltd</t>
  </si>
  <si>
    <t>INE274V01019</t>
  </si>
  <si>
    <t>HT Media Ltd</t>
  </si>
  <si>
    <t>INE501G01024</t>
  </si>
  <si>
    <t>Pennar Industries Ltd</t>
  </si>
  <si>
    <t>INE932A01024</t>
  </si>
  <si>
    <t>Indoco Remedies Ltd</t>
  </si>
  <si>
    <t>INE873D01024</t>
  </si>
  <si>
    <t>Crompton Greaves Consumer Electricals Ltd</t>
  </si>
  <si>
    <t>INE299U01018</t>
  </si>
  <si>
    <t>The Ramco Cements Ltd</t>
  </si>
  <si>
    <t>INE331A01037</t>
  </si>
  <si>
    <t>Aarti Industries Ltd</t>
  </si>
  <si>
    <t>INE769A01020</t>
  </si>
  <si>
    <t>Emami Ltd</t>
  </si>
  <si>
    <t>INE548C01032</t>
  </si>
  <si>
    <t>Apollo Tyres Ltd</t>
  </si>
  <si>
    <t>INE438A01022</t>
  </si>
  <si>
    <t>Apollo Hospitals Enterprise Ltd</t>
  </si>
  <si>
    <t>INE437A01024</t>
  </si>
  <si>
    <t>Oberoi Realty Ltd</t>
  </si>
  <si>
    <t>INE093I01010</t>
  </si>
  <si>
    <t>Coromandel International Ltd</t>
  </si>
  <si>
    <t>INE169A01031</t>
  </si>
  <si>
    <t>Fertilisers</t>
  </si>
  <si>
    <t>Trent Ltd</t>
  </si>
  <si>
    <t>INE849A01020</t>
  </si>
  <si>
    <t>Mphasis Ltd</t>
  </si>
  <si>
    <t>INE356A01018</t>
  </si>
  <si>
    <t>Sundaram Finance Ltd</t>
  </si>
  <si>
    <t>INE660A01013</t>
  </si>
  <si>
    <t>Schaeffler India Ltd</t>
  </si>
  <si>
    <t>INE513A01014</t>
  </si>
  <si>
    <t>Sundram Fasteners Ltd</t>
  </si>
  <si>
    <t>INE387A01021</t>
  </si>
  <si>
    <t>PI Industries Ltd</t>
  </si>
  <si>
    <t>INE603J01030</t>
  </si>
  <si>
    <t>Pesticides</t>
  </si>
  <si>
    <t>RBL Bank Ltd</t>
  </si>
  <si>
    <t>INE976G01028</t>
  </si>
  <si>
    <t>Kajaria Ceramics Ltd</t>
  </si>
  <si>
    <t>INE217B01036</t>
  </si>
  <si>
    <t>IPCA Laboratories Ltd</t>
  </si>
  <si>
    <t>INE571A01020</t>
  </si>
  <si>
    <t>AIA Engineering Ltd</t>
  </si>
  <si>
    <t>INE212H01026</t>
  </si>
  <si>
    <t>EPL Ltd</t>
  </si>
  <si>
    <t>INE255A01020</t>
  </si>
  <si>
    <t>Phoenix Mills Ltd</t>
  </si>
  <si>
    <t>INE211B01039</t>
  </si>
  <si>
    <t>Bharat Forge Ltd</t>
  </si>
  <si>
    <t>INE465A01025</t>
  </si>
  <si>
    <t>SKF India Ltd</t>
  </si>
  <si>
    <t>INE640A01023</t>
  </si>
  <si>
    <t>Asian Paints Ltd</t>
  </si>
  <si>
    <t>INE021A01026</t>
  </si>
  <si>
    <t>GTPL Hathway Ltd</t>
  </si>
  <si>
    <t>INE869I01013</t>
  </si>
  <si>
    <t>Caplin Point Laboratories Ltd</t>
  </si>
  <si>
    <t>INE475E01026</t>
  </si>
  <si>
    <t>Kalyani Invest Co Ltd</t>
  </si>
  <si>
    <t>INE029L01018</t>
  </si>
  <si>
    <t>Majesco Ltd</t>
  </si>
  <si>
    <t>INE898S01029</t>
  </si>
  <si>
    <t>Quantum Information Services **</t>
  </si>
  <si>
    <t>INE696201123</t>
  </si>
  <si>
    <t>Chennai Interactive Business Services Pvt Ltd **</t>
  </si>
  <si>
    <t>Lupin Ltd</t>
  </si>
  <si>
    <t>INE326A01037</t>
  </si>
  <si>
    <t>Interglobe Aviation Ltd</t>
  </si>
  <si>
    <t>INE646L01027</t>
  </si>
  <si>
    <t>Ultratech Cement Ltd</t>
  </si>
  <si>
    <t>INE481G01011</t>
  </si>
  <si>
    <t>KEI Industries Ltd</t>
  </si>
  <si>
    <t>INE878B01027</t>
  </si>
  <si>
    <t>Orient Cement Ltd</t>
  </si>
  <si>
    <t>INE876N01018</t>
  </si>
  <si>
    <t>Somany Ceramics Ltd</t>
  </si>
  <si>
    <t>INE355A01028</t>
  </si>
  <si>
    <t>ITD Cementation India Ltd</t>
  </si>
  <si>
    <t>INE686A01026</t>
  </si>
  <si>
    <t>United Spirits Ltd</t>
  </si>
  <si>
    <t>INE854D01024</t>
  </si>
  <si>
    <t>Hindustan Aeronautics Ltd</t>
  </si>
  <si>
    <t>INE066F01012</t>
  </si>
  <si>
    <t>Aerospace &amp; Defense</t>
  </si>
  <si>
    <t>Spicejet Ltd</t>
  </si>
  <si>
    <t>INE285B01017</t>
  </si>
  <si>
    <t>Cipla Ltd</t>
  </si>
  <si>
    <t>INE059A01026</t>
  </si>
  <si>
    <t>Marico Ltd</t>
  </si>
  <si>
    <t>INE196A01026</t>
  </si>
  <si>
    <t>Sun Pharmaceutical Industries Ltd</t>
  </si>
  <si>
    <t>INE044A01036</t>
  </si>
  <si>
    <t>ICICI Prudential Life Insurance Co Ltd</t>
  </si>
  <si>
    <t>INE726G01019</t>
  </si>
  <si>
    <t>Aditya Birla Capital Ltd</t>
  </si>
  <si>
    <t>INE674K01013</t>
  </si>
  <si>
    <t>Gujarat Pipavav Port Ltd</t>
  </si>
  <si>
    <t>INE517F01014</t>
  </si>
  <si>
    <t>Bata India Ltd</t>
  </si>
  <si>
    <t>INE176A01028</t>
  </si>
  <si>
    <t>Arvind Fashions Ltd</t>
  </si>
  <si>
    <t>INE955V01021</t>
  </si>
  <si>
    <t>Quantum Information Systems **</t>
  </si>
  <si>
    <t>IndusInd Bank Ltd</t>
  </si>
  <si>
    <t>INE095A01012</t>
  </si>
  <si>
    <t>Ambuja Cements Ltd</t>
  </si>
  <si>
    <t>INE079A01024</t>
  </si>
  <si>
    <t>Gateway Distriparks Ltd</t>
  </si>
  <si>
    <t>INE852F01015</t>
  </si>
  <si>
    <t>Puravankara Ltd</t>
  </si>
  <si>
    <t>INE323I01011</t>
  </si>
  <si>
    <t>NRB Bearings Ltd</t>
  </si>
  <si>
    <t>INE349A01021</t>
  </si>
  <si>
    <t>The New India Assurance Co Ltd</t>
  </si>
  <si>
    <t>INE470Y01017</t>
  </si>
  <si>
    <t>Hindustan Media Vent Ltd</t>
  </si>
  <si>
    <t>INE871K01015</t>
  </si>
  <si>
    <t>Godrej Properties Ltd</t>
  </si>
  <si>
    <t>INE484J01027</t>
  </si>
  <si>
    <t>Motilal Oswal Financial Services Ltd</t>
  </si>
  <si>
    <t>INE338I01027</t>
  </si>
  <si>
    <t>Tencent Holdings Ltd</t>
  </si>
  <si>
    <t>KYG875721634</t>
  </si>
  <si>
    <t>AIA Group Ltd</t>
  </si>
  <si>
    <t>HK0000069689</t>
  </si>
  <si>
    <t>Meituan Dianping</t>
  </si>
  <si>
    <t>KYG596691041</t>
  </si>
  <si>
    <t>Ping An Insurance (Group) Co. Of China Ltd, H</t>
  </si>
  <si>
    <t>CNE1000003X6</t>
  </si>
  <si>
    <t>Naver Corp</t>
  </si>
  <si>
    <t>KR7035420009</t>
  </si>
  <si>
    <t>JD.Com Inc</t>
  </si>
  <si>
    <t>KYG8208B1014</t>
  </si>
  <si>
    <t>China Mengniu Dairy Co. Ltd</t>
  </si>
  <si>
    <t>KYG210961051</t>
  </si>
  <si>
    <t>New Oriental Education &amp; Technology Group Inc</t>
  </si>
  <si>
    <t>KYG6470A1085</t>
  </si>
  <si>
    <t>Diversified Consumer Service</t>
  </si>
  <si>
    <t>China Merchants Bank Co Ltd</t>
  </si>
  <si>
    <t>CNE1000002M1</t>
  </si>
  <si>
    <t>Techtronic Industries Co. Ltd</t>
  </si>
  <si>
    <t>HK0669013440</t>
  </si>
  <si>
    <t>Kweichow Moutai Co. Ltd, A</t>
  </si>
  <si>
    <t>CNE0000018R8</t>
  </si>
  <si>
    <t>Bank Central Asia Tbk Pt</t>
  </si>
  <si>
    <t>ID1000109507</t>
  </si>
  <si>
    <t>Semen Indonesia (Persero) Tbk PT</t>
  </si>
  <si>
    <t>ID1000106800</t>
  </si>
  <si>
    <t>China Resources Land Ltd</t>
  </si>
  <si>
    <t>KYG2108Y1052</t>
  </si>
  <si>
    <t>Budweiser Brewing Co APAC Ltd</t>
  </si>
  <si>
    <t>KYG1674K1013</t>
  </si>
  <si>
    <t>Country Garden Services Holdings Co Ltd</t>
  </si>
  <si>
    <t>KYG2453A1085</t>
  </si>
  <si>
    <t>China Resources Cement Holdings Ltd</t>
  </si>
  <si>
    <t>KYG2113L1068</t>
  </si>
  <si>
    <t>Midea Group Co Ltd</t>
  </si>
  <si>
    <t>CNE100001QQ5</t>
  </si>
  <si>
    <t>Indocement Tunggal Prakarsa Tbk Pt</t>
  </si>
  <si>
    <t>ID1000061302</t>
  </si>
  <si>
    <t>Yum China Holdings INC</t>
  </si>
  <si>
    <t>US98850P1093</t>
  </si>
  <si>
    <t>SM Investments Corp</t>
  </si>
  <si>
    <t>PHY806761029</t>
  </si>
  <si>
    <t>The Siam Cement PCL, Fgn.</t>
  </si>
  <si>
    <t>TH0003010Z12</t>
  </si>
  <si>
    <t>Alibaba Health Information Technology Ltd</t>
  </si>
  <si>
    <t>BMG0171K1018</t>
  </si>
  <si>
    <t>KR7051910008</t>
  </si>
  <si>
    <t>ACE Hardware Indonesia Tbk Pt</t>
  </si>
  <si>
    <t>ID1000125503</t>
  </si>
  <si>
    <t>Beijing Oriental Yuhong Waterproof Technology Co Ltd</t>
  </si>
  <si>
    <t>CNE100000CS3</t>
  </si>
  <si>
    <t>Engineering Services</t>
  </si>
  <si>
    <t>Trip.Com Group Ltd, (ADR)</t>
  </si>
  <si>
    <t>US89677Q1076</t>
  </si>
  <si>
    <t>SK Hynix Inc</t>
  </si>
  <si>
    <t>KR7000660001</t>
  </si>
  <si>
    <t>Sea Ltd (ADR)</t>
  </si>
  <si>
    <t>US81141R1005</t>
  </si>
  <si>
    <t>Minor International Pcl, Fgn.</t>
  </si>
  <si>
    <t>TH0128B10Z17</t>
  </si>
  <si>
    <t>Singapore Technologies Engineering Ltd</t>
  </si>
  <si>
    <t>SG1F60858221</t>
  </si>
  <si>
    <t>LU0633102719</t>
  </si>
  <si>
    <t>Health &amp; Happiness H&amp;H International Holdings Ltd</t>
  </si>
  <si>
    <t>KYG4387E1070</t>
  </si>
  <si>
    <t>Longi Green Energy Technology Co Ltd</t>
  </si>
  <si>
    <t>CNE100001FR6</t>
  </si>
  <si>
    <t>Largan Precision Co. Ltd</t>
  </si>
  <si>
    <t>TW0003008009</t>
  </si>
  <si>
    <t>Tal Education Group, (ADR)</t>
  </si>
  <si>
    <t>US8740801043</t>
  </si>
  <si>
    <t>Bangkok Dusit Medical Services Pcl</t>
  </si>
  <si>
    <t>TH0264A10Z12</t>
  </si>
  <si>
    <t>Laobaixing Pharmacy Chain Jsc</t>
  </si>
  <si>
    <t>CNE1000023Q8</t>
  </si>
  <si>
    <t>Shanghai International Airport Co Ltd</t>
  </si>
  <si>
    <t>CNE000000V89</t>
  </si>
  <si>
    <t>China Resources Mixc Lifestyle Services Ltd</t>
  </si>
  <si>
    <t>KYG2122G1064</t>
  </si>
  <si>
    <t>Minor International PCL- Warrants (31-July-2023)</t>
  </si>
  <si>
    <t>TH0128053707</t>
  </si>
  <si>
    <t>Minor International PCL- Warrants (30-Sep-2021)</t>
  </si>
  <si>
    <t>TH0128051909</t>
  </si>
  <si>
    <t>Reliance Industries Ltd</t>
  </si>
  <si>
    <t>INE002A01018</t>
  </si>
  <si>
    <t>Bajaj Finance Ltd</t>
  </si>
  <si>
    <t>INE296A01024</t>
  </si>
  <si>
    <t>Wipro Ltd</t>
  </si>
  <si>
    <t>INE075A01022</t>
  </si>
  <si>
    <t>Bajaj Finserv Ltd</t>
  </si>
  <si>
    <t>INE918I01018</t>
  </si>
  <si>
    <t>HDFC Life Insurance Co Ltd</t>
  </si>
  <si>
    <t>INE795G01014</t>
  </si>
  <si>
    <t>Divi's Laboratories Ltd</t>
  </si>
  <si>
    <t>INE361B01024</t>
  </si>
  <si>
    <t>Britannia Industries Ltd</t>
  </si>
  <si>
    <t>INE216A01030</t>
  </si>
  <si>
    <t>Hero MotoCorp Ltd</t>
  </si>
  <si>
    <t>INE158A01026</t>
  </si>
  <si>
    <t>Adani Ports and Special Economic Zone Ltd</t>
  </si>
  <si>
    <t>INE742F01042</t>
  </si>
  <si>
    <t>Eicher Motors Ltd</t>
  </si>
  <si>
    <t>INE066A01021</t>
  </si>
  <si>
    <t>JSW Steel Ltd</t>
  </si>
  <si>
    <t>INE019A01038</t>
  </si>
  <si>
    <t>SBI Life Insurance Co Ltd</t>
  </si>
  <si>
    <t>INE123W01016</t>
  </si>
  <si>
    <t>Shree Cement Ltd</t>
  </si>
  <si>
    <t>INE070A01015</t>
  </si>
  <si>
    <t>UPL Ltd</t>
  </si>
  <si>
    <t>INE628A01036</t>
  </si>
  <si>
    <t>Yes Bank Ltd</t>
  </si>
  <si>
    <t>INE528G01035</t>
  </si>
  <si>
    <t>Prestige Estates Projects Ltd</t>
  </si>
  <si>
    <t>INE811K01011</t>
  </si>
  <si>
    <t>Franklin U.S. Opportunities Fund, Class I (Acc)</t>
  </si>
  <si>
    <t>LU0195948665</t>
  </si>
  <si>
    <t>Templeton European Opportunities Fund, Class I (Acc)</t>
  </si>
  <si>
    <t>LU0195949390</t>
  </si>
  <si>
    <t>Mutual Fund Units</t>
  </si>
  <si>
    <t>Franklin India Bluechip Fund Direct-Growth Plan</t>
  </si>
  <si>
    <t>INF090I01FN7</t>
  </si>
  <si>
    <t>Franklin India Short-Term Income Plan (No. of Segregated Portfolios in the Scheme- 3) - (under winding up) Direct-Growth Plan ^^</t>
  </si>
  <si>
    <t>INF090I01GK1</t>
  </si>
  <si>
    <t>Nippon India ETF Gold Bees</t>
  </si>
  <si>
    <t>INF204KB17I5</t>
  </si>
  <si>
    <t>Franklin India Short Term Income Plan-Segregated Portfolio 3- 9.50% Yes Bank Ltd CO 23Dec21-Direct-Growth Plan</t>
  </si>
  <si>
    <t>INF090I01VS3</t>
  </si>
  <si>
    <t>Franklin India Short Term Income Plan- Segregated Portfolio 2- 10.90% Vodafone Idea Ltd 02Sep2023 (P/C 03Sep2021)-Direct-Growth Plan</t>
  </si>
  <si>
    <t>INF090I01UY3</t>
  </si>
  <si>
    <t>Franklin India Savings Fund Direct-Growth Plan</t>
  </si>
  <si>
    <t>INF090I01GV8</t>
  </si>
  <si>
    <t>Templeton India Value Fund Direct-Growth Plan</t>
  </si>
  <si>
    <t>INF090I01GY2</t>
  </si>
  <si>
    <t xml:space="preserve">      Dividend Option</t>
  </si>
  <si>
    <t xml:space="preserve">      Direct Dividend Option</t>
  </si>
  <si>
    <t>Franklin India Corporate Debt Fund Direct-Growth Plan</t>
  </si>
  <si>
    <t>INF090I01FW8</t>
  </si>
  <si>
    <t>Franklin India Dynamic Accrual Fund (No. of Segregated Portfolios in the Scheme- 3) - (under winding up) Direct-Growth Plan ^^</t>
  </si>
  <si>
    <t>INF090I01HB8</t>
  </si>
  <si>
    <t>Franklin India Dynamic Accrual Fund- Segregated Portfolio 3- 9.50% Yes Bank Ltd CO 23Dec21-Direct-Growth Plan</t>
  </si>
  <si>
    <t>INF090I01WD3</t>
  </si>
  <si>
    <t>Franklin India Dynamic Accrual Fund- Segregated Portfolio 2- 10.90% Vodafone Idea Ltd 02Sep2023 (P/C 03Sep2021)-Direct-Growth Plan</t>
  </si>
  <si>
    <t>INF090I01TX7</t>
  </si>
  <si>
    <t>Franklin India Prima Fund Direct-Growth Plan</t>
  </si>
  <si>
    <t>INF090I01FH9</t>
  </si>
  <si>
    <t>INF090I01FK3</t>
  </si>
  <si>
    <t>d) For product labeling and risk-o-meter refer the link below</t>
  </si>
  <si>
    <t>As on 31-Jul-2020</t>
  </si>
  <si>
    <t>Aditya Birla Fashion and Retail Ltd – Partly Paid ##</t>
  </si>
  <si>
    <t>## Suspended Security</t>
  </si>
  <si>
    <t>d) Outstanding derivative exposure as % to net assets</t>
  </si>
  <si>
    <t>e) Portfolio Turnover Ratio during the Half - year 29-Jan-2021</t>
  </si>
  <si>
    <t>f) Average Maturity as on 29-Jan-2021</t>
  </si>
  <si>
    <t xml:space="preserve">g) During the month additional instances of fair valuation/deviation from valuation price provided by the valuation agencies </t>
  </si>
  <si>
    <t>h) For product labeling and risk-o-meter refer the link below</t>
  </si>
  <si>
    <t>% to Net Assets(Hedged &amp; Unhedged)</t>
  </si>
  <si>
    <t>% to Net Assets Derivative</t>
  </si>
  <si>
    <t>Rs. 4,105.64 Lacs</t>
  </si>
  <si>
    <t xml:space="preserve">c) Total outstanding position (as at January 29, 2021) in Derivative Instruments (Gross Notional) </t>
  </si>
  <si>
    <t>Franklin India Flexi Cap Fund-Direct Growth Plan (Formerly known as Franklin India Equity Fund)</t>
  </si>
  <si>
    <t>^^ Securities are fair Valued</t>
  </si>
  <si>
    <t>Franklin India Feeder - Templeton European Opportunities Fund  ^</t>
  </si>
  <si>
    <t>^ Franklin India Feeder - Franklin European Growth Fund is renamed as Franklin India Feeder - Templeton European Opportunities Fund effective Aug 18, 2020.</t>
  </si>
  <si>
    <t>LG Chem Ltd</t>
  </si>
  <si>
    <t>Samsonite International S.A.</t>
  </si>
  <si>
    <t>Franklin India Flexi Cap Fund ^</t>
  </si>
  <si>
    <t>^ Franklin India Equity Fund is renamed as Franklin India Flexi Cap Fund effective Jan 29, 2021.</t>
  </si>
  <si>
    <t>f) For product labeling and risk-o-meter refer the link below</t>
  </si>
  <si>
    <t>Franklin India Liquid Fund</t>
  </si>
  <si>
    <t>Rating</t>
  </si>
  <si>
    <t>INE115A07JF5</t>
  </si>
  <si>
    <t>8.60% LIC Housing Finance Ltd (26-Feb-2021) **</t>
  </si>
  <si>
    <t>INE027E14JM6</t>
  </si>
  <si>
    <t>L&amp;T Finance Ltd (22-Feb-2021)@</t>
  </si>
  <si>
    <t>INE879F14DB3</t>
  </si>
  <si>
    <t>Infina Finance Pvt Ltd (01-Feb-2021) **@</t>
  </si>
  <si>
    <t>INE589A14165</t>
  </si>
  <si>
    <t>NLC India Ltd (03-Feb-2021) **@</t>
  </si>
  <si>
    <t>INE733E14948</t>
  </si>
  <si>
    <t>NTPC Ltd (01-Feb-2021)@</t>
  </si>
  <si>
    <t>INE763G14JE8</t>
  </si>
  <si>
    <t>ICICI Securities Ltd (16-Feb-2021) **@</t>
  </si>
  <si>
    <t>INE103A14207</t>
  </si>
  <si>
    <t>Mangalore Refinery &amp; Petrochemicals Ltd (17-Feb-2021) **@</t>
  </si>
  <si>
    <t>INE975F14TP5</t>
  </si>
  <si>
    <t>Kotak Mahindra Investments Ltd (18-Feb-2021) **@</t>
  </si>
  <si>
    <t>INE261F14GR3</t>
  </si>
  <si>
    <t>National Bank For Agriculture &amp; Rural Development (10-Mar-2021) **@</t>
  </si>
  <si>
    <t>ICRA A1+</t>
  </si>
  <si>
    <t>INE002A14GZ5</t>
  </si>
  <si>
    <t>Reliance Industries Ltd (18-Mar-2021) **@</t>
  </si>
  <si>
    <t>INE178A14GD0</t>
  </si>
  <si>
    <t>Chennai Petroleum Corporation Ltd (18-Feb-2021) **@</t>
  </si>
  <si>
    <t>INE178A14GH1</t>
  </si>
  <si>
    <t>Chennai Petroleum Corporation Ltd (31-Mar-2021) **@</t>
  </si>
  <si>
    <t>IN002020X324</t>
  </si>
  <si>
    <t>91 DTB (04-Feb-2021)</t>
  </si>
  <si>
    <t>IN002020X407</t>
  </si>
  <si>
    <t>91 DTB (25-Mar-2021)</t>
  </si>
  <si>
    <t>IN2220100084</t>
  </si>
  <si>
    <t>8.51% Maharashtra  SDL (17-Feb-2021)</t>
  </si>
  <si>
    <t>IN1520100133</t>
  </si>
  <si>
    <t>8.46% Gujarat SDL (03-Mar-2021)</t>
  </si>
  <si>
    <t xml:space="preserve">      Regular Plan Growth Option</t>
  </si>
  <si>
    <t xml:space="preserve">      Regular Plan Daily Dividend Reinvestment Option</t>
  </si>
  <si>
    <t xml:space="preserve">      Regular Plan Weekly Dividend Option</t>
  </si>
  <si>
    <t xml:space="preserve">      Institutional Plan Daily Dividend Reinvestment Option</t>
  </si>
  <si>
    <t xml:space="preserve">      Institutional Plan Weekly Dividend Option</t>
  </si>
  <si>
    <t xml:space="preserve">      Super Institutional Plan Growth Option</t>
  </si>
  <si>
    <t xml:space="preserve">      Super Institutional Plan Daily Dividend Reinvestment Option</t>
  </si>
  <si>
    <t xml:space="preserve">      Super Institutional Plan Weekly Dividend Option</t>
  </si>
  <si>
    <t xml:space="preserve">      Direct Super Institutional Growth Option</t>
  </si>
  <si>
    <t xml:space="preserve">      Direct Super Institutional Daily Dividend Reinvestment Option</t>
  </si>
  <si>
    <t xml:space="preserve">      Direct Super Institutional Weekly Dividend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</si>
  <si>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</si>
  <si>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</si>
  <si>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</si>
  <si>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</si>
  <si>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29-Jan-2021</t>
  </si>
  <si>
    <t xml:space="preserve">e) For product labeling and risk-o-meter refer the link below </t>
  </si>
  <si>
    <t>Franklin India Overnight Fund</t>
  </si>
  <si>
    <t xml:space="preserve">      Daily Dividend Plan</t>
  </si>
  <si>
    <t xml:space="preserve">      Weekly Dividend Plan</t>
  </si>
  <si>
    <t xml:space="preserve">      Direct Daily Dividend Plan</t>
  </si>
  <si>
    <t xml:space="preserve">      Direct Weekly Dividend Plan</t>
  </si>
  <si>
    <t>Franklin India Savings Fund</t>
  </si>
  <si>
    <t>INE238A164V6</t>
  </si>
  <si>
    <t>Axis Bank Ltd (MIBOR+30 Bps ) (23-Dec-2021) **</t>
  </si>
  <si>
    <t>INE028A16BY9</t>
  </si>
  <si>
    <t>Bank of Baroda (09-Mar-2021) **</t>
  </si>
  <si>
    <t>INE261F16488</t>
  </si>
  <si>
    <t>National Bank For Agriculture &amp; Rural Development (03-Feb-2021)</t>
  </si>
  <si>
    <t>INE261F16512</t>
  </si>
  <si>
    <t>National Bank For Agriculture &amp; Rural Development (05-Mar-2021)</t>
  </si>
  <si>
    <t>INE110L14NK1</t>
  </si>
  <si>
    <t>Reliance Jio Infocomm Ltd (09-Feb-2021) **@</t>
  </si>
  <si>
    <t>CARE A1+</t>
  </si>
  <si>
    <t>INE691I14JR9</t>
  </si>
  <si>
    <t>L&amp;T Infrastructure Finance Co Ltd (08-Feb-2021) **@</t>
  </si>
  <si>
    <t>INE002A14FM5</t>
  </si>
  <si>
    <t>Reliance Industries Ltd (05-Mar-2021)@</t>
  </si>
  <si>
    <t>INE002A14EY3</t>
  </si>
  <si>
    <t>Reliance Industries Ltd (15-Mar-2021) **@</t>
  </si>
  <si>
    <t>INE975F14SW3</t>
  </si>
  <si>
    <t>Kotak Mahindra Investments Ltd (23-Mar-2021) **@</t>
  </si>
  <si>
    <t>INE001A14WM2</t>
  </si>
  <si>
    <t>Housing Development Finance Corporation Ltd (10-Mar-2021)@</t>
  </si>
  <si>
    <t>INE261F14HE9</t>
  </si>
  <si>
    <t>National Bank For Agriculture &amp; Rural Development (28-May-2021)@</t>
  </si>
  <si>
    <t>INE134E14AR8</t>
  </si>
  <si>
    <t>Power Finance Corporation Ltd (30-Jul-2021) **@</t>
  </si>
  <si>
    <t>IN002020Y223</t>
  </si>
  <si>
    <t>182 DTB (04-Mar-2021)</t>
  </si>
  <si>
    <t>IN002019Z537</t>
  </si>
  <si>
    <t>364 DTB (25-Mar-2021)</t>
  </si>
  <si>
    <t>IN002019Z511</t>
  </si>
  <si>
    <t>364 DTB (11-Mar-2021)</t>
  </si>
  <si>
    <t>IN002020Y249</t>
  </si>
  <si>
    <t>182 DTB (18-Mar-2021)</t>
  </si>
  <si>
    <t xml:space="preserve">      Retail Plan Growth Option</t>
  </si>
  <si>
    <t xml:space="preserve">      Retail Plan Daily Dividend Option</t>
  </si>
  <si>
    <t xml:space="preserve">      Retail Plan Monthly Dividend Option</t>
  </si>
  <si>
    <t xml:space="preserve">      Retail Plan Quarterly Dividend Option</t>
  </si>
  <si>
    <t xml:space="preserve">      Direct Retail Plan Growth Option</t>
  </si>
  <si>
    <t xml:space="preserve">      Direct Retail Plan Daily Dividend Option</t>
  </si>
  <si>
    <t xml:space="preserve">      Direct Retail Plan Monthly Dividend Option</t>
  </si>
  <si>
    <t xml:space="preserve">      Direct Retail Plan Quarterly Dividend Option</t>
  </si>
  <si>
    <t>Franklin India Floating Rate Fund</t>
  </si>
  <si>
    <t>INE831R07268</t>
  </si>
  <si>
    <t>Aditya Birla Housing Finance Ltd (364DTB +250 Bps) (17-Feb-2023) **</t>
  </si>
  <si>
    <t>ICRA AAA</t>
  </si>
  <si>
    <t>INE756I07CA5</t>
  </si>
  <si>
    <t>HDB Financial Services Ltd (91DTB + 205 Bps) (12-Jul-2021) **</t>
  </si>
  <si>
    <t>INE651J07739</t>
  </si>
  <si>
    <t>JM Financial Credit Solutions Ltd (1Y SBI MCLR + 460 Bps) (23-Jul-2024) **</t>
  </si>
  <si>
    <t>ICRA AA</t>
  </si>
  <si>
    <t>IN0020160084</t>
  </si>
  <si>
    <t>GOI FRB 2024 (07-Nov-2024)</t>
  </si>
  <si>
    <t>IN0020180041</t>
  </si>
  <si>
    <t>GOI FRB 2031 (07-Dec-2031)</t>
  </si>
  <si>
    <t>IN0020160050</t>
  </si>
  <si>
    <t>6.84% GOI 2022 (19-Dec-2022)</t>
  </si>
  <si>
    <t>Franklin India Corporate Debt Fund</t>
  </si>
  <si>
    <t>INE861G08019</t>
  </si>
  <si>
    <t>8.62% Food Corporation Of India (22-Mar-2023) **</t>
  </si>
  <si>
    <t>ICRA AAA(CE)</t>
  </si>
  <si>
    <t>INE941D07133</t>
  </si>
  <si>
    <t>8.45% Sikka Ports &amp; Terminals Ltd (12-Jun-2023) **</t>
  </si>
  <si>
    <t>INE001A07SL6</t>
  </si>
  <si>
    <t>7.06% Housing Development Finance Corporation Ltd (13-Dec-2021)</t>
  </si>
  <si>
    <t>INE163N08065</t>
  </si>
  <si>
    <t>8.60% ONGC Petro Additions Ltd (11-Mar-2022) **</t>
  </si>
  <si>
    <t>CARE AAA(CE)</t>
  </si>
  <si>
    <t>INE295J08022</t>
  </si>
  <si>
    <t>9.90% Coastal Gujarat Power Ltd (25-Aug-2028) **</t>
  </si>
  <si>
    <t>CARE AA(CE)</t>
  </si>
  <si>
    <t>INE163N08073</t>
  </si>
  <si>
    <t>8.85% ONGC Petro Additions Ltd (19-Apr-2022) **</t>
  </si>
  <si>
    <t>INE134E08JC3</t>
  </si>
  <si>
    <t>7.44% Power Finance Corporation Ltd (11-Jun-2027) **</t>
  </si>
  <si>
    <t>INE020B08CM4</t>
  </si>
  <si>
    <t>6.99% REC Ltd (30-Sep-2024) **</t>
  </si>
  <si>
    <t>INE261F08BI5</t>
  </si>
  <si>
    <t>7.90% National Bank For Agriculture &amp; Rural Development (18-Apr-2022) **</t>
  </si>
  <si>
    <t>INE906B07FG1</t>
  </si>
  <si>
    <t>7.60% National Highways Authority Of India (18-Mar-2022)</t>
  </si>
  <si>
    <t>INE020B08AM8</t>
  </si>
  <si>
    <t>7.09% REC Ltd (17-Oct-2022)</t>
  </si>
  <si>
    <t>INE053F07CC9</t>
  </si>
  <si>
    <t>6.19% Indian Railway Finance Corporation Ltd (28-Apr-2023) **</t>
  </si>
  <si>
    <t>INE557F08FJ5</t>
  </si>
  <si>
    <t>5.80% National Housing Bank (15-May-2023) **</t>
  </si>
  <si>
    <t>INE848E07989</t>
  </si>
  <si>
    <t>7.52% NHPC Ltd (06-Jun-2023) **</t>
  </si>
  <si>
    <t>CARE AAA</t>
  </si>
  <si>
    <t>INE094A08036</t>
  </si>
  <si>
    <t>7.00% Hindustan Petroleum Corporation Ltd (14-Aug-2024) **</t>
  </si>
  <si>
    <t>INE115A07NM3</t>
  </si>
  <si>
    <t>0.00% LIC Housing Finance Ltd (25-Feb-2022) **</t>
  </si>
  <si>
    <t>INE941D08065</t>
  </si>
  <si>
    <t>10.25% Sikka Ports &amp; Terminals Ltd (22-Aug-2021) **</t>
  </si>
  <si>
    <t>INE906B07FE6</t>
  </si>
  <si>
    <t>7.17% National Highways Authority Of India (23-Dec-2021) **</t>
  </si>
  <si>
    <t>INE514E08EQ7</t>
  </si>
  <si>
    <t>8.02% Export-Import Bank of India (29-Oct-2025) **</t>
  </si>
  <si>
    <t>INE721A08DC8</t>
  </si>
  <si>
    <t>10.25% Shriram Transport Finance Co Ltd (26-Apr-2024)</t>
  </si>
  <si>
    <t>CRISIL AA+</t>
  </si>
  <si>
    <t>INE115A07PA3</t>
  </si>
  <si>
    <t>5.23% LIC Housing Finance Ltd (26-Jul-2023) **</t>
  </si>
  <si>
    <t>INE261F08AL1</t>
  </si>
  <si>
    <t>8.39% National Bank For Agriculture &amp; Rural Development (19-Jul-2021) **</t>
  </si>
  <si>
    <t>INE020B08930</t>
  </si>
  <si>
    <t>8.30% REC Ltd (10-Apr-2025) **</t>
  </si>
  <si>
    <t>INE134E08KH0</t>
  </si>
  <si>
    <t>7.42% Power Finance Corporation Ltd (19-Nov-2024) **</t>
  </si>
  <si>
    <t>INE134E08KN8</t>
  </si>
  <si>
    <t>6.98% Power Finance Corporation Ltd (20-Apr-2023) **</t>
  </si>
  <si>
    <t>INE261F08AI7</t>
  </si>
  <si>
    <t>8.60% National Bank For Agriculture &amp; Rural Development (31-Jan-2022) **</t>
  </si>
  <si>
    <t>INE134E08JW1</t>
  </si>
  <si>
    <t>8.18% Power Finance Corporation Ltd (19-Mar-2022)</t>
  </si>
  <si>
    <t>INE535H07AG6</t>
  </si>
  <si>
    <t>0.00% Fullerton India Credit Co Ltd (08-Apr-2021) **</t>
  </si>
  <si>
    <t>INE031A08699</t>
  </si>
  <si>
    <t>8.41% Housing &amp; Urban Development Corporation Ltd (15-Mar-2029) **</t>
  </si>
  <si>
    <t>INE941D07125</t>
  </si>
  <si>
    <t>10.40% Sikka Ports &amp; Terminals Ltd (18-Jul-2021) **</t>
  </si>
  <si>
    <t>INE134E08JY7</t>
  </si>
  <si>
    <t>9.25% Power Finance Corporation Ltd (25-Sep-2024) **</t>
  </si>
  <si>
    <t>INE115A07NW2</t>
  </si>
  <si>
    <t>0.00% LIC Housing Finance Ltd (04-May-2022) **</t>
  </si>
  <si>
    <t>INE556F08JI1</t>
  </si>
  <si>
    <t>8.81% Small Industries Development Bank Of India (25-Jan-2022) **</t>
  </si>
  <si>
    <t>INE134E08IH4</t>
  </si>
  <si>
    <t>7.50% Power Finance Corporation Ltd (16-Aug-2021) **</t>
  </si>
  <si>
    <t>INE752E07MZ9</t>
  </si>
  <si>
    <t>8.40% Power Grid Corporation of India Ltd (14-Sep-2021) **</t>
  </si>
  <si>
    <t>INE756I07CD9</t>
  </si>
  <si>
    <t>0.00% HDB Financial Services Ltd (29-Oct-2021) **</t>
  </si>
  <si>
    <t>INE848E07815</t>
  </si>
  <si>
    <t>8.50% NHPC Ltd (14-Jul-2021) **</t>
  </si>
  <si>
    <t>INE860H07GE0</t>
  </si>
  <si>
    <t>0.00% Aditya Birla Finance Ltd (08-Apr-2022) **</t>
  </si>
  <si>
    <t>INE029A07075</t>
  </si>
  <si>
    <t>7.35% Bharat Petroleum Corporation Ltd (10-Mar-2022) **</t>
  </si>
  <si>
    <t>INE053F07AK6</t>
  </si>
  <si>
    <t>7.65% Indian Railway Finance Corporation Ltd (15-Mar-2021) **</t>
  </si>
  <si>
    <t>INE053F07942</t>
  </si>
  <si>
    <t>6.70% Indian Railway Finance Corporation Ltd (24-Nov-2021) **</t>
  </si>
  <si>
    <t>INE053F09HR2</t>
  </si>
  <si>
    <t>9.57% Indian Railway Finance Corporation Ltd (31-May-2021) **</t>
  </si>
  <si>
    <t>INE801J08019</t>
  </si>
  <si>
    <t>7.48% Bennett Coleman and Co Ltd (26-Apr-2021) **</t>
  </si>
  <si>
    <t>IN0020180025</t>
  </si>
  <si>
    <t>7.37% GOI 2023 (16-APR-2023)</t>
  </si>
  <si>
    <t xml:space="preserve">      Half Yearly Dividend Plan</t>
  </si>
  <si>
    <t xml:space="preserve">      Annual Dividend Plan</t>
  </si>
  <si>
    <t xml:space="preserve">      Direct Half Yearly Dividend Plan</t>
  </si>
  <si>
    <t xml:space="preserve">      Direct Annual Dividend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</si>
  <si>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</si>
  <si>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</si>
  <si>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 xml:space="preserve">f) For product labeling and risk-o-meter refer the link below </t>
  </si>
  <si>
    <t>Franklin India Banking &amp; PSU Debt Fund</t>
  </si>
  <si>
    <t>INE557F08FG1</t>
  </si>
  <si>
    <t>7.05% National Housing Bank (18-Dec-2024) **</t>
  </si>
  <si>
    <t>INE020B08997</t>
  </si>
  <si>
    <t>7.24% REC Ltd (21-Oct-2021) **</t>
  </si>
  <si>
    <t>INE242A08460</t>
  </si>
  <si>
    <t>5.05% Indian Oil Corporation Ltd (25-Nov-2022) **</t>
  </si>
  <si>
    <t>INE514E08FG5</t>
  </si>
  <si>
    <t>7.62% Export-Import Bank of India (01-Sep-2026) **</t>
  </si>
  <si>
    <t>INE861G08076</t>
  </si>
  <si>
    <t>6.65% Food Corporation Of India (23-Oct-2030)</t>
  </si>
  <si>
    <t>ICRA AAA (CE)</t>
  </si>
  <si>
    <t>INE556F08JM3</t>
  </si>
  <si>
    <t>7.29% Small Industries Development Bank Of India (01-Aug-2022) **</t>
  </si>
  <si>
    <t>INE733E07JO9</t>
  </si>
  <si>
    <t>9.17% NTPC Ltd (21-Sep-2024) **</t>
  </si>
  <si>
    <t>INE906B07FT4</t>
  </si>
  <si>
    <t>7.27% National Highways Authority Of India (06-Jun-2022) **</t>
  </si>
  <si>
    <t>INE261F08BQ8</t>
  </si>
  <si>
    <t>6.70% National Bank For Agriculture &amp; Rural Development (11-Nov-2022) **</t>
  </si>
  <si>
    <t>INE094A08077</t>
  </si>
  <si>
    <t>5.36% Hindustan Petroleum Corporation Ltd (11-Apr-2025) **</t>
  </si>
  <si>
    <t>INE206D08261</t>
  </si>
  <si>
    <t>8.14% Nuclear Power Corporation of India Ltd (25-Mar-2026) **</t>
  </si>
  <si>
    <t>INE020B08906</t>
  </si>
  <si>
    <t>8.27% REC Ltd (06-Feb-2025) **</t>
  </si>
  <si>
    <t>INE848E07AZ0</t>
  </si>
  <si>
    <t>7.13% NHPC Ltd (11-Feb-2027) **</t>
  </si>
  <si>
    <t>INE848E07BK0</t>
  </si>
  <si>
    <t>6.80% NHPC Ltd (23-Apr-2027)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</si>
  <si>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</si>
  <si>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</si>
  <si>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</si>
  <si>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</si>
  <si>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</si>
  <si>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</si>
  <si>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</si>
  <si>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</si>
  <si>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</si>
  <si>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INE861G08035</t>
  </si>
  <si>
    <t>9.95% Food Corporation Of India (07-Mar-2022) **</t>
  </si>
  <si>
    <t>CRISIL AAA(CE)</t>
  </si>
  <si>
    <t>INE020B08BM6</t>
  </si>
  <si>
    <t>8.35% REC Ltd (11-Mar-2022) **</t>
  </si>
  <si>
    <t>INE752E07NN3</t>
  </si>
  <si>
    <t>8.13% Power Grid Corporation of India Ltd (23-Apr-2021) **</t>
  </si>
  <si>
    <t>INE261F16538</t>
  </si>
  <si>
    <t>National Bank For Agriculture &amp; Rural Development (10-Jun-2021) **</t>
  </si>
  <si>
    <t>Franklin India Government Securities Fund</t>
  </si>
  <si>
    <t>IN0020170026</t>
  </si>
  <si>
    <t>6.79% GOI 2027 (15-May-2027)</t>
  </si>
  <si>
    <t>IN0020170174</t>
  </si>
  <si>
    <t>7.17% GOI 2028 (08-Jan-2028)</t>
  </si>
  <si>
    <t>IN0020200278</t>
  </si>
  <si>
    <t>5.15% GOI 2025 (09-Nov-2025)</t>
  </si>
  <si>
    <t>IN0020200245</t>
  </si>
  <si>
    <t>6.22% GOI 2035 (16-Mar-2035)</t>
  </si>
  <si>
    <t xml:space="preserve">      Quarterly Dividend Option</t>
  </si>
  <si>
    <t xml:space="preserve">      Direct Quarterly Dividend Option</t>
  </si>
  <si>
    <t>Franklin India Dynamic Accrual Fund (No. of segregated Portfolios in the scheme - 3) - (under winding up)</t>
  </si>
  <si>
    <t>Main Portfolio</t>
  </si>
  <si>
    <t>INE540P07301</t>
  </si>
  <si>
    <t>10.15% Uttar Pradesh Power Corporation Ltd (20-Jan-2023) **</t>
  </si>
  <si>
    <t>CRISIL A+(CE)</t>
  </si>
  <si>
    <t>INE657N07605</t>
  </si>
  <si>
    <t>Edelweiss Rural &amp; Corporate Services Ltd (1Y SBI MCLR + 250 Bps) (29-Nov-2021) - Series II **</t>
  </si>
  <si>
    <t>CRISIL AA-</t>
  </si>
  <si>
    <t>INE01E708040</t>
  </si>
  <si>
    <t>10.32% Andhra Pradesh Capital Region Development Authority (16-Aug-2027) **</t>
  </si>
  <si>
    <t>INE641O08035</t>
  </si>
  <si>
    <t>9.55% Piramal Capital &amp; Housing Finance Ltd (08-Mar-2027) **</t>
  </si>
  <si>
    <t>CARE AA</t>
  </si>
  <si>
    <t>INE205A07162</t>
  </si>
  <si>
    <t>8.90% Vedanta Ltd (09-Dec-2021) **</t>
  </si>
  <si>
    <t>INE516Y07105</t>
  </si>
  <si>
    <t>9.50% Piramal Capital &amp; Housing Finance Ltd (15-Apr-2022) **</t>
  </si>
  <si>
    <t>INE155A08365</t>
  </si>
  <si>
    <t>7.40% Tata Motors Ltd (29-Jun-2021) **</t>
  </si>
  <si>
    <t>INE764L07181</t>
  </si>
  <si>
    <t>0.00% Sadbhav Infrastructure Project Ltd (06-Jun-2023) **</t>
  </si>
  <si>
    <t>CARE BBB+(CE)</t>
  </si>
  <si>
    <t>INE146O08100</t>
  </si>
  <si>
    <t>9.40% Hinduja Leyland Finance Ltd (28-Aug-2024) **</t>
  </si>
  <si>
    <t>INE657N07381</t>
  </si>
  <si>
    <t>8.70% Edelweiss Rural &amp; Corporate Services Ltd (30-Jun-2027) **</t>
  </si>
  <si>
    <t>ICRA A+</t>
  </si>
  <si>
    <t>INE516Y07089</t>
  </si>
  <si>
    <t>9.50% Piramal Capital &amp; Housing Finance Ltd (21-Apr-2022) **</t>
  </si>
  <si>
    <t>INE245A08042</t>
  </si>
  <si>
    <t>10.75% The Tata Power Co Ltd (21-Aug-2022) **</t>
  </si>
  <si>
    <t>INE540P07210</t>
  </si>
  <si>
    <t>9.75% Uttar Pradesh Power Corporation Ltd (20-Oct-2022) **</t>
  </si>
  <si>
    <t>INE540P07228</t>
  </si>
  <si>
    <t>9.75% Uttar Pradesh Power Corporation Ltd (20-Oct-2023) **</t>
  </si>
  <si>
    <t>INE205A07139</t>
  </si>
  <si>
    <t>8.50% Vedanta Ltd (05-Apr-2021) **</t>
  </si>
  <si>
    <t>INE616U07036</t>
  </si>
  <si>
    <t>INE764L07173</t>
  </si>
  <si>
    <t>0.00% Sadbhav Infrastructure Project Ltd (23-Apr-2023) **</t>
  </si>
  <si>
    <t>INE146O08159</t>
  </si>
  <si>
    <t>11.60% Hinduja Leyland Finance Ltd (29-Sep-2024) **</t>
  </si>
  <si>
    <t>INE540P07293</t>
  </si>
  <si>
    <t>10.15% Uttar Pradesh Power Corporation Ltd (20-Jan-2022) **</t>
  </si>
  <si>
    <t>INE146O08068</t>
  </si>
  <si>
    <t>11.50% Hinduja Leyland Finance Ltd (31-May-2021) **</t>
  </si>
  <si>
    <t>INE146O08092</t>
  </si>
  <si>
    <t>11.10% Hinduja Leyland Finance Ltd (08-Apr-2022) **</t>
  </si>
  <si>
    <t>INE245A08034</t>
  </si>
  <si>
    <t>11.40% Tata Power Co Ltd (02-Jun-2021) **</t>
  </si>
  <si>
    <t>INE575P08024</t>
  </si>
  <si>
    <t>10.20% Star Health &amp; Allied Insurance Co Ltd (31-Oct-2024) **</t>
  </si>
  <si>
    <t>IND A+</t>
  </si>
  <si>
    <t>INE659X07014</t>
  </si>
  <si>
    <t>9.95% Molagavalli Renewable Pvt Ltd (31-Mar-2023) **</t>
  </si>
  <si>
    <t>CARE A+(CE)</t>
  </si>
  <si>
    <t>INE964Q07012</t>
  </si>
  <si>
    <t>9.60% Renew Wind Energy (Rajasthan One) Pvt Ltd (31-Mar-2023)</t>
  </si>
  <si>
    <t>INE003S07189</t>
  </si>
  <si>
    <t>9.45% Renew Power Pvt Ltd (31-Jul-2025) **</t>
  </si>
  <si>
    <t>CARE A+</t>
  </si>
  <si>
    <t>INE458O07036</t>
  </si>
  <si>
    <t>9.41% Renew Wind Energy Delhi Pvt Ltd (30-Sep-2030) **</t>
  </si>
  <si>
    <t>CARE A+(SO)</t>
  </si>
  <si>
    <t>INE575P08016</t>
  </si>
  <si>
    <t>10.25% Star Health &amp; Allied Insurance Co Ltd (06-Sep-2024) **</t>
  </si>
  <si>
    <t>INE01EA07016</t>
  </si>
  <si>
    <t>11.90% Vishal Mega Mart Pvt Ltd (20-Oct-2023) **</t>
  </si>
  <si>
    <t>INE209W07028</t>
  </si>
  <si>
    <t>9.95% Narmada Wind Energy Pvt Ltd (31-Mar-2023)</t>
  </si>
  <si>
    <t>INE971Z07133</t>
  </si>
  <si>
    <t>12.25% Rivaaz Trade Ventures Pvt Ltd (30-Jun-2023) $$ @@@ **</t>
  </si>
  <si>
    <t>BWR D(CE)</t>
  </si>
  <si>
    <t>INE946S07189</t>
  </si>
  <si>
    <t>13.55% Nufuture Digital (India) Ltd (31-Dec-2023) $$ @@@ **</t>
  </si>
  <si>
    <t>INE971Z07190</t>
  </si>
  <si>
    <t>13.00% Rivaaz Trade Ventures Pvt Ltd (31-Dec-2023) $$ @@@ **</t>
  </si>
  <si>
    <t xml:space="preserve"> $$ Indicates securties below investment grade or default</t>
  </si>
  <si>
    <t>Refer below link for rationale of devation under Valuation policy</t>
  </si>
  <si>
    <t>https://www.franklintempletonindia.com/investor/reports?firstFilter-4</t>
  </si>
  <si>
    <t>e) Essel Infra Projects Ltd - Further to the favorable decision from the Delhi High Court, the Debenture Trustees have recovered Rs. 16,034.28 Lakhs (across 4 schemes) from sale of pledged shares. We continue efforts to recover the maximum value for the benefit of the unitholders. Recovery made by Franklin India Dynamic Accrual Fund is 637.78 Lakhs.</t>
  </si>
  <si>
    <t>f)  @@@ Coupons/ part payments/ maturity payments were due to be paid by Nufuture Digital (India) Ltd. &amp; Future Ideas Co Ltd. on July 31, 2020, by Rivaaz Trade Ventures Pvt. Ltd on August 31, 2020 , by Nufuture Digital (India) Ltd on September 02, 2020, by Future Ideas Co Ltd &amp; Rivaaz Trade Ventures Pvt. Ltd on September 30, 2020 , by Rivaaz Trade Ventures Pvt. Ltd on October 31, 2020 and by Rivaaz Trade Ventures Pvt. Ltd on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</si>
  <si>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below link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</si>
  <si>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</si>
  <si>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</si>
  <si>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For product labeling and risk-o-meter refer the link below </t>
  </si>
  <si>
    <t>Franklin India Dynamic Accrual Fund - Segregated Portfolio 2 - 10.90% Vodafone Idea Ltd (02-Sep-2023) P/C 03 Sep 2021</t>
  </si>
  <si>
    <t>INE669E08318</t>
  </si>
  <si>
    <t>10.90% Vodafone Idea Ltd (02-Sep-2023) $$ ^^ **</t>
  </si>
  <si>
    <t>CARE B+</t>
  </si>
  <si>
    <t>^^ Securities are fair valued. This amount only reflects the realizable value as on the date of disclosure and does not indicate any reduction or write-off of the amount repayable by the issuers.</t>
  </si>
  <si>
    <t>As on 01-Aug-2020</t>
  </si>
  <si>
    <t xml:space="preserve">c) For product labeling and risk-o-meter refer the link below </t>
  </si>
  <si>
    <t>Franklin India Dynamic Accrual Fund - Segregated Portfolio 3 - 9.50% Yes Bank Ltd CO 23 Dec 2021</t>
  </si>
  <si>
    <t>INE528G08352</t>
  </si>
  <si>
    <t>9.50% Yes Bank Ltd (23-Dec-2021)  $$ **</t>
  </si>
  <si>
    <t>CARE (withdrawn)/ ICRA D (hyb)</t>
  </si>
  <si>
    <t>Franklin India Low Duration Fund (No. of segregated Portfolio in the scheme -2) - (under winding up)</t>
  </si>
  <si>
    <t>INE265J07316</t>
  </si>
  <si>
    <t>11.50% JM Financial Asset Reconstruction Co Ltd (29-May-2022) **</t>
  </si>
  <si>
    <t>INE657N07597</t>
  </si>
  <si>
    <t>Edelweiss Rural &amp; Corporate Services Ltd (1Y SBI MCLR + 250 Bps) (29-Nov-2021) **</t>
  </si>
  <si>
    <t>INE694L07123</t>
  </si>
  <si>
    <t>9.23% Talwandi Sabo Power Ltd (30-Jul-2021) **</t>
  </si>
  <si>
    <t>CRISIL AA-(CE)</t>
  </si>
  <si>
    <t>INE157D08027</t>
  </si>
  <si>
    <t>11.25% Clix Capital Services Pvt Ltd (27-Jun-2023) **</t>
  </si>
  <si>
    <t>INE721A08DE4</t>
  </si>
  <si>
    <t>10.25% Shriram Transport Finance Co Ltd (27-Dec-2024) **</t>
  </si>
  <si>
    <t>INE721A07NQ9</t>
  </si>
  <si>
    <t>0.00% Shriram Transport Finance Co Ltd (31-May-2021) **</t>
  </si>
  <si>
    <t>INE945W07035</t>
  </si>
  <si>
    <t>10.25% Incred Financial Services Pvt Ltd (26-Apr-2021) **</t>
  </si>
  <si>
    <t>CARE A</t>
  </si>
  <si>
    <t>INE146O08084</t>
  </si>
  <si>
    <t>11.30% Hinduja Leyland Finance Ltd (21-Jul-2021) **</t>
  </si>
  <si>
    <t>INE721A08DF1</t>
  </si>
  <si>
    <t>9.90% Shriram Transport Finance Co Ltd (21-Jun-2024) **</t>
  </si>
  <si>
    <t>INE540P07202</t>
  </si>
  <si>
    <t>9.75% Uttar Pradesh Power Corporation Ltd (20-Oct-2021) **</t>
  </si>
  <si>
    <t>INE128S07333</t>
  </si>
  <si>
    <t>10.21% Five-Star Business Finance Ltd Series C (28-Mar-2023) **</t>
  </si>
  <si>
    <t>INE721A08DA2</t>
  </si>
  <si>
    <t>9.00% Shriram Transport Finance Co Ltd (28-Mar-2028)</t>
  </si>
  <si>
    <t>INE252T07040</t>
  </si>
  <si>
    <t>9.70% Xander Finance Pvt Ltd (15-Mar-2021) **</t>
  </si>
  <si>
    <t>INE540P07327</t>
  </si>
  <si>
    <t>10.15% Uttar Pradesh Power Corporation Ltd (20-Jan-2025) **</t>
  </si>
  <si>
    <t>INE540P07319</t>
  </si>
  <si>
    <t>10.15% Uttar Pradesh Power Corporation Ltd (19-Jan-2024)</t>
  </si>
  <si>
    <t>INE209W07010</t>
  </si>
  <si>
    <t>9.60% Narmada Wind Energy Pvt Ltd (31-Mar-2023)</t>
  </si>
  <si>
    <t>e) Essel Infra Projects Ltd - Further to the favorable decision from the Delhi High Court, the Debenture Trustees have recovered Rs. 16,034.28 Lakhs (across 4 schemes) from sale of pledged shares. We continue efforts to recover the maximum value for the benefit of the unitholders. Recovery made by Franklin India Low Duration Fund is 7,623.05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</si>
  <si>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below link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</si>
  <si>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</si>
  <si>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h) For product labeling and risk-o-meter refer the link below </t>
  </si>
  <si>
    <t>Franklin India Low Duration Fund-Segregated Portfolio 2 - 10.90% Vodafone Idea Ltd (02-Sep-2023) P/C 03 Sep 2021</t>
  </si>
  <si>
    <t>Franklin India Ultra Short Bond Fund - (No. of segregated Portfolio in the scheme -1) - (under winding up)</t>
  </si>
  <si>
    <t>INE371K08128</t>
  </si>
  <si>
    <t>0.00% Tata Realty &amp; Infrastructure Ltd (04-Jun-2021) **</t>
  </si>
  <si>
    <t>INE157D08019</t>
  </si>
  <si>
    <t>11.25% Clix Capital Services Pvt Ltd (25-May-2023) **</t>
  </si>
  <si>
    <t>INE572E09361</t>
  </si>
  <si>
    <t>8.47% PNB Housing Finance Ltd (01-Jul-2021) **</t>
  </si>
  <si>
    <t>INE157D08068</t>
  </si>
  <si>
    <t>13.65% Clix Capital Services Pvt Ltd (06-Jul-2021) **</t>
  </si>
  <si>
    <t>INE157D08050</t>
  </si>
  <si>
    <t>13.65% Clix Capital Services Pvt Ltd (06-May-2021) **</t>
  </si>
  <si>
    <t>INE157D08035</t>
  </si>
  <si>
    <t>13.65% Clix Capital Services Pvt Ltd (06-Sep-2021) **</t>
  </si>
  <si>
    <t>INE572E09429</t>
  </si>
  <si>
    <t>7.80% PNB Housing Finance Ltd (07-May-2021) **</t>
  </si>
  <si>
    <t>INE157D08043</t>
  </si>
  <si>
    <t>13.65% Clix Capital Services Pvt Ltd (12-Nov-2021) **</t>
  </si>
  <si>
    <t>INE850M08069</t>
  </si>
  <si>
    <t>Northern ARC Capital Ltd (6M SBI MCLR + 305 Bps) Series B (16-Jul-2021) **</t>
  </si>
  <si>
    <t>INE850M08077</t>
  </si>
  <si>
    <t>Northern ARC Capital Ltd (6M SBI MCLR + 305 Bps) Series C (16-Jul-2021) **</t>
  </si>
  <si>
    <t>INE949L08152</t>
  </si>
  <si>
    <t>11.75% AU Small Finance Bank Ltd (04-May-2021) **</t>
  </si>
  <si>
    <t>IND AA-</t>
  </si>
  <si>
    <t>INE081A08165</t>
  </si>
  <si>
    <t>11.80% Tata Steel Ltd (18-Mar-2021) **</t>
  </si>
  <si>
    <t>INE721A07NI6</t>
  </si>
  <si>
    <t>8.55% Shriram Transport Finance Co Ltd (21-May-2021) **</t>
  </si>
  <si>
    <t>INE572E09569</t>
  </si>
  <si>
    <t>7.58% PNB Housing Finance Ltd (15-Mar-2021) **</t>
  </si>
  <si>
    <t>INE850M08051</t>
  </si>
  <si>
    <t>Northern ARC Capital Ltd (6M SBI MCLR + 305 Bps) Series A (16-Jul-2021) **</t>
  </si>
  <si>
    <t>INE721A07NV9</t>
  </si>
  <si>
    <t>9.10% Shriram Transport Finance Co Ltd (12-Jul-2021) **</t>
  </si>
  <si>
    <t>INE252T07057</t>
  </si>
  <si>
    <t>9.70% Xander Finance Pvt Ltd (30-Apr-2021) **</t>
  </si>
  <si>
    <t>INE155A08316</t>
  </si>
  <si>
    <t>7.50% Tata Motors Ltd (20-Oct-2021) **</t>
  </si>
  <si>
    <t>INE403D08025</t>
  </si>
  <si>
    <t>0.00% Bharti Telecom Ltd (19-Feb-2021) **</t>
  </si>
  <si>
    <t>INE587B08037</t>
  </si>
  <si>
    <t>13.65% Clix Finance India Pvt Ltd (06-Jan-2022) **</t>
  </si>
  <si>
    <t>INE003S07155</t>
  </si>
  <si>
    <t>11.96% Renew Power Pvt Ltd (28-Sep-2022) **</t>
  </si>
  <si>
    <t xml:space="preserve">      Retail Plan Weekly Dividend Option</t>
  </si>
  <si>
    <t xml:space="preserve">      Institutional Plan Growth Option</t>
  </si>
  <si>
    <t xml:space="preserve">      Institutional Plan Daily Dividend Option</t>
  </si>
  <si>
    <t xml:space="preserve">      Super Institutional Plan Daily Dividend Option</t>
  </si>
  <si>
    <t xml:space="preserve">      Direct Super Institutional Plan Growth Option</t>
  </si>
  <si>
    <t xml:space="preserve">      Direct Super Institutional Plan Daily Dividend Option</t>
  </si>
  <si>
    <t xml:space="preserve">      Direct Super Institutional Plan Weekly Dividend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</si>
  <si>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</si>
  <si>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Short-Term Income Plan (No. of segregated Portfolios in the scheme - 3) - (under winding up)</t>
  </si>
  <si>
    <t>INE01E708024</t>
  </si>
  <si>
    <t>10.32% Andhra Pradesh Capital Region Development Authority (16-Aug-2025) **</t>
  </si>
  <si>
    <t>INE01E708016</t>
  </si>
  <si>
    <t>10.32% Andhra Pradesh Capital Region Development Authority (16-Aug-2024) **</t>
  </si>
  <si>
    <t>INE572E09403</t>
  </si>
  <si>
    <t>7.91% PNB Housing Finance Ltd (29-Mar-2022) **</t>
  </si>
  <si>
    <t>INE852O07097</t>
  </si>
  <si>
    <t>10.00% Aptus Value Housing Finance India Ltd (20-Aug-2025) **</t>
  </si>
  <si>
    <t>INE852O07089</t>
  </si>
  <si>
    <t>10.00% Aptus Value Housing Finance India Ltd (20-Jul-2025) **</t>
  </si>
  <si>
    <t>INE540P07335</t>
  </si>
  <si>
    <t>10.15% Uttar Pradesh Power Corporation Ltd (20-Jan-2026)</t>
  </si>
  <si>
    <t>INE016P07146</t>
  </si>
  <si>
    <t>10.50% Vistaar Financial Services Pvt Ltd (24-Aug-2025) **</t>
  </si>
  <si>
    <t>ICRA A-</t>
  </si>
  <si>
    <t>INE01E708032</t>
  </si>
  <si>
    <t>10.32% Andhra Pradesh Capital Region Development Authority (16-Aug-2026) **</t>
  </si>
  <si>
    <t>INE608A08025</t>
  </si>
  <si>
    <t>10.90% Punjab &amp; Sind Bank (07-May-2022) **</t>
  </si>
  <si>
    <t>INE205A07154</t>
  </si>
  <si>
    <t>9.18% Vedanta Ltd (02-Jul-2021) **</t>
  </si>
  <si>
    <t>INE503A08028</t>
  </si>
  <si>
    <t>9.85% DCB Bank Ltd (18-Nov-2026) **</t>
  </si>
  <si>
    <t>INE146O08027</t>
  </si>
  <si>
    <t>12.00% Hinduja Leyland Finance Ltd (28-Mar-2021) **</t>
  </si>
  <si>
    <t>INE540P07350</t>
  </si>
  <si>
    <t>10.15% Uttar Pradesh Power Corporation Ltd (20-Jan-2028) **</t>
  </si>
  <si>
    <t>INE540P07343</t>
  </si>
  <si>
    <t>10.15% Uttar Pradesh Power Corporation Ltd (20-Jan-2027) **</t>
  </si>
  <si>
    <t>INE028A08083</t>
  </si>
  <si>
    <t>8.50% Bank of Baroda (02-Dec-2021) **</t>
  </si>
  <si>
    <t>INE128S07317</t>
  </si>
  <si>
    <t>10.21% Five-Star Business Finance Ltd Series A (28-Mar-2023) **</t>
  </si>
  <si>
    <t>INE535H07AU7</t>
  </si>
  <si>
    <t>9.30% Fullerton India Credit Co Ltd (15-Mar-2021) **</t>
  </si>
  <si>
    <t>INE774D07RY7</t>
  </si>
  <si>
    <t>0.00% Mahindra &amp; Mahindra Financial Services Ltd (07-Apr-2021) **</t>
  </si>
  <si>
    <t>IND AAA</t>
  </si>
  <si>
    <t>INE110L07070</t>
  </si>
  <si>
    <t>8.32% Reliance Industries Ltd (08-Jul-2021) **</t>
  </si>
  <si>
    <t>INE00MX08011</t>
  </si>
  <si>
    <t>11.70% Svatantra Microfin Pvt Ltd (30-Nov-2023) **</t>
  </si>
  <si>
    <t>INE895D08634</t>
  </si>
  <si>
    <t>8.01% Tata Sons Pvt Ltd (02-Sep-2021) **</t>
  </si>
  <si>
    <t>INE971Z07125</t>
  </si>
  <si>
    <t>12.25% Rivaaz Trade Ventures Pvt Ltd (30-Jun-2022) $$ @@@ **</t>
  </si>
  <si>
    <t>INE971Z07117</t>
  </si>
  <si>
    <t>12.25% Rivaaz Trade Ventures Pvt Ltd (30-Jun-2021) $$ @@@ **</t>
  </si>
  <si>
    <t>INE946S07163</t>
  </si>
  <si>
    <t>13.55% Nufuture Digital (India) Ltd (31-Dec-2021) $$ @@@ **</t>
  </si>
  <si>
    <t>INE971Z07174</t>
  </si>
  <si>
    <t>13.00% Rivaaz Trade Ventures Pvt Ltd (30-Dec-2021) $$ @@@ **</t>
  </si>
  <si>
    <t>INE971Z07182</t>
  </si>
  <si>
    <t>13.00% Rivaaz Trade Ventures Pvt Ltd (30-Dec-2022) $$ @@@ **</t>
  </si>
  <si>
    <t>INE080T07110</t>
  </si>
  <si>
    <t>14.15% Future Ideas Co Ltd (31-Jan-2023) $$ @@@ **</t>
  </si>
  <si>
    <t>INE080T07102</t>
  </si>
  <si>
    <t>14.15% Future Ideas Co Ltd (31-Jan-2022) $$ @@@ **</t>
  </si>
  <si>
    <t>INE080T07094</t>
  </si>
  <si>
    <t>14.15% Future Ideas Co Ltd (31-Jan-2021) $$ @@@ **</t>
  </si>
  <si>
    <t xml:space="preserve">      Direct Retail Plan Weekly Dividend Option</t>
  </si>
  <si>
    <t>e) Essel Infra Projects Ltd - Further to the favorable decision from the Delhi High Court, the Debenture Trustees have recovered Rs. 16,034.28 Lakhs (across 4 schemes) from sale of pledged shares. We continue efforts to recover the maximum value for the benefit of the unitholders. Recovery made by Franklin India Short Term Income Plan is 5,078.18 Lakhs.</t>
  </si>
  <si>
    <t>f) For ISIN INE445K07106 - 9.50% Reliance Broadcast Network Ltd (20-Jul-2020), the amount due at maturity was not received. For further details refer below link</t>
  </si>
  <si>
    <t>g)  @@@ Coupons/ part payments/ maturity payments were due to be paid by Nufuture Digital (India) Ltd. &amp; Future Ideas Co Ltd. on July 31, 2020, by Rivaaz Trade Ventures Pvt. Ltd &amp; Nufuture Digital (India) Ltd on August 31, 2020, by Nufuture Digital (India) Ltd on September 02, 2020, by Rivaaz Trade Ventures Pvt. Ltd &amp; Nufuture Digital (India) Ltd on September 30, 2020, by Nufuture Digital (India) Ltd., Future Ideas Co Ltd. &amp; Rivaaz Trade Ventures Pvt. Ltd on October 31, 2020, by Rivaaz Trade Ventures Pvt. Ltd on November 7, 2020, by Nufuture Digital (India) Ltd. on November 30, 2020 , by Rivaaz Trade Ventures Pvt. Ltd. on December 30, 2020 and by Nufuture Digital (India) Ltd. on December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</si>
  <si>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below link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</si>
  <si>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</si>
  <si>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For product labeling and risk-o-meter refer the link below </t>
  </si>
  <si>
    <t>Franklin India Short Term Income Plan - Segregated Portfolio 2 - 10.90% Vodafone Idea Ltd (02-Sep-2023) P/C 03 Sep 2021</t>
  </si>
  <si>
    <t>Franklin India Short Term Income Plan - Segregated Portfolio 3 - 9.50% Yes Bank Ltd CO 23 Dec 2021</t>
  </si>
  <si>
    <t>Franklin India Income Opportunities Fund (No. of segregated Portfolio in the scheme - 2) - (under winding up)</t>
  </si>
  <si>
    <t>INE503A08044</t>
  </si>
  <si>
    <t>9.85% DCB Bank Ltd (12-Jan-2028) **</t>
  </si>
  <si>
    <t>INE01E708057</t>
  </si>
  <si>
    <t>10.32% Andhra Pradesh Capital Region Development Authority (16-Aug-2028) **</t>
  </si>
  <si>
    <t>INE146O08134</t>
  </si>
  <si>
    <t>10.15% Hinduja Leyland Finance Ltd (27-Mar-2025) **</t>
  </si>
  <si>
    <t>INE922K07039</t>
  </si>
  <si>
    <t>0.00% India Shelter Finance Corporation Ltd (02-May-2025) **</t>
  </si>
  <si>
    <t>ICRA A</t>
  </si>
  <si>
    <t>INE146O08118</t>
  </si>
  <si>
    <t>9.20% Hinduja Leyland Finance Ltd (13-Sep-2024) **</t>
  </si>
  <si>
    <t>INE080T07128</t>
  </si>
  <si>
    <t>14.15% Future Ideas Co Ltd (31-Dec-2023) $$ @@@ **</t>
  </si>
  <si>
    <t>e)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</si>
  <si>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below link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</si>
  <si>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Income Opportunities Fund-Segregated Portfolio 2 - 10.90% Vodafone Idea Ltd (02-Sep-2023) P/C 03 Sep 2021</t>
  </si>
  <si>
    <t>Franklin India Credit Risk Fund (No. of segregated Portfolios in the scheme -3) - (under winding up)</t>
  </si>
  <si>
    <t>INE128S07341</t>
  </si>
  <si>
    <t>10.21% Five-Star Business Finance Ltd Series D (28-Mar-2023) **</t>
  </si>
  <si>
    <t>INE128S07325</t>
  </si>
  <si>
    <t>10.21% Five-Star Business Finance Ltd Series B (28-Mar-2023) **</t>
  </si>
  <si>
    <t>INE852O07071</t>
  </si>
  <si>
    <t>10.00% Aptus Value Housing Finance India Ltd (20-Jun-2025) **</t>
  </si>
  <si>
    <t>INE027E07709</t>
  </si>
  <si>
    <t>8.9492% L&amp;T Finance Ltd (16-Aug-2021) **</t>
  </si>
  <si>
    <t>INE001A07OO9</t>
  </si>
  <si>
    <t>8.75% Housing Development Finance Corporation Ltd (04-Mar-2021) **</t>
  </si>
  <si>
    <t>INE946S07171</t>
  </si>
  <si>
    <t>13.55% Nufuture Digital (India) Ltd (31-Dec-2022) $$ @@@ **</t>
  </si>
  <si>
    <t>e) Essel Infra Projects Ltd - Further to the favorable decision from the Delhi High Court, the Debenture Trustees have recovered Rs. 16,034.28 Lakhs (across 4 schemes) from sale of pledged shares. We continue efforts to recover the maximum value for the benefit of the unitholders. Recovery made by Franklin India Credit Risk Fund is 2,695.27 Lakhs.</t>
  </si>
  <si>
    <t>f) @@@ Coupons/ part payments/ maturity payments were due to be paid by Nufuture Digital (India) Ltd. &amp; Future Ideas Co Ltd. on July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</si>
  <si>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below link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</si>
  <si>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Credit Risk Fund-Segregated Portfolio 2 - 10.90% Vodafone Idea Ltd (02-Sep-2023) P/C 03 Sep 2021</t>
  </si>
  <si>
    <t>Franklin India Credit Risk Fund - Segregated Portfolio 3 - 9.50% Yes Bank Ltd CO 23 Dec 2021</t>
  </si>
  <si>
    <t>Franklin India Fixed Maturity Plans-Series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</si>
  <si>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</si>
  <si>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</si>
  <si>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</si>
  <si>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</si>
  <si>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</si>
  <si>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</si>
  <si>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</si>
  <si>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</si>
  <si>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</si>
  <si>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</si>
  <si>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</si>
  <si>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</si>
  <si>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 xml:space="preserve">      Dividend Plan </t>
  </si>
  <si>
    <t>Franklin India Fixed Maturity Plans-Series 5 – Plan F (1203 days)</t>
  </si>
  <si>
    <t>INE020B08BF0</t>
  </si>
  <si>
    <t>8.45% REC Ltd (22-Mar-2022) **</t>
  </si>
  <si>
    <t>INE134E08GT3</t>
  </si>
  <si>
    <t>8.55% Power Finance Corporation Ltd (09-Dec-2021) **</t>
  </si>
  <si>
    <t>INE831R07235</t>
  </si>
  <si>
    <t>0.00% Aditya Birla Housing Finance Ltd (13-Apr-2022) **</t>
  </si>
  <si>
    <t>Franklin India Fixed Maturity Plans-Series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</si>
  <si>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</si>
  <si>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</si>
  <si>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</si>
  <si>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</si>
  <si>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</si>
  <si>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</si>
  <si>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</si>
  <si>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</si>
  <si>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</si>
  <si>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5 -Plan C (1259 Days)</t>
  </si>
  <si>
    <t>INE535H07AQ5</t>
  </si>
  <si>
    <t>0.00% Fullerton India Credit Co Ltd (19-Apr-2022) **</t>
  </si>
  <si>
    <t>INE476M07BR8</t>
  </si>
  <si>
    <t>9.3772% L&amp;T Housing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</si>
  <si>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</si>
  <si>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</si>
  <si>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</si>
  <si>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</si>
  <si>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</si>
  <si>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</si>
  <si>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</si>
  <si>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</si>
  <si>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</si>
  <si>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INE895D08790</t>
  </si>
  <si>
    <t>8.25% Tata Sons Pvt Ltd (23-Mar-2022) **</t>
  </si>
  <si>
    <t>Franklin India Fixed Maturity Plans - Series 4 - Plan E (1098 days)</t>
  </si>
  <si>
    <t>INE481G08057</t>
  </si>
  <si>
    <t>8.36% Ultratech Cement Ltd (07-Jun-2021) **</t>
  </si>
  <si>
    <t>INE660A07PT8</t>
  </si>
  <si>
    <t>0.00% Sundaram Finance Ltd (31-Aug-2021) **</t>
  </si>
  <si>
    <t>INE556F08JH3</t>
  </si>
  <si>
    <t>8.40% Small Industries Development Bank Of India (10-Aug-2021) **</t>
  </si>
  <si>
    <t>INE261F08AM9</t>
  </si>
  <si>
    <t>8.37% National Bank For Agriculture &amp; Rural Development (03-Aug-2021) **</t>
  </si>
  <si>
    <t>INE020B08AO4</t>
  </si>
  <si>
    <t>7.18% REC Ltd (21-May-2021) **</t>
  </si>
  <si>
    <t>INE860H07FW4</t>
  </si>
  <si>
    <t>0.00% Aditya Birla Finance Ltd (26-Jul-2021) **</t>
  </si>
  <si>
    <t>Franklin India Fixed Maturity Plans - Series 4 - Plan D (1098 Days)</t>
  </si>
  <si>
    <t>INE377Y07045</t>
  </si>
  <si>
    <t>8.1352% Bajaj Housing Finance Ltd (04-Jun-2021) **</t>
  </si>
  <si>
    <t>Franklin India Fixed Maturity Plans - Series 4 - Plan C (1098 Days)</t>
  </si>
  <si>
    <t>INE115A07MX2</t>
  </si>
  <si>
    <t>0.00% LIC Housing Finance Ltd (25-Mar-2021) **</t>
  </si>
  <si>
    <t>INE891K07440</t>
  </si>
  <si>
    <t>0.00% Axis Finance Ltd (31-Aug-2021) **</t>
  </si>
  <si>
    <t>INE831R07201</t>
  </si>
  <si>
    <t>0.00% Aditya Birla Housing Finance Ltd (26-Jul-2021) **</t>
  </si>
  <si>
    <t>Franklin India Fixed Maturity Plans - Series 4 - Plan B (1098 days)</t>
  </si>
  <si>
    <t>INE020B07IW2</t>
  </si>
  <si>
    <t>9.40% REC Ltd (17-Jul-2021) **</t>
  </si>
  <si>
    <t>INE535H07AK8</t>
  </si>
  <si>
    <t>0.00% Fullerton India Credit Co Ltd (15-Jul-2021) **</t>
  </si>
  <si>
    <t>INE134E08DN3</t>
  </si>
  <si>
    <t>9.70% Power Finance Corporation Ltd (09-Jun-2021) **</t>
  </si>
  <si>
    <t>INE027E07642</t>
  </si>
  <si>
    <t>8.25% L&amp;T Finance Ltd (21-Jun-2021) **</t>
  </si>
  <si>
    <t>INE134E08ID3</t>
  </si>
  <si>
    <t>8.05% Power Finance Corporation Ltd (27-Apr-2021) **</t>
  </si>
  <si>
    <t>INE752E07MN5</t>
  </si>
  <si>
    <t>8.40% Power Grid Corporation of India Ltd (27-May-2021) **</t>
  </si>
  <si>
    <t>INE660A07PN1</t>
  </si>
  <si>
    <t>0.00% Sundaram Finance Ltd (15-Jun-2021) **</t>
  </si>
  <si>
    <t>INE071G07314</t>
  </si>
  <si>
    <t>8.22% ICICI Home Finance Co Ltd (27-May-2021) **</t>
  </si>
  <si>
    <t>INE377Y07029</t>
  </si>
  <si>
    <t>0.00% Bajaj Housing Finance Ltd (06-Apr-2021) **</t>
  </si>
  <si>
    <t>Franklin India Fixed Maturity Plans-Series 4 - Plan A (1098 Days)</t>
  </si>
  <si>
    <t>INE891K07390</t>
  </si>
  <si>
    <t>0.00% Axis Finance Ltd (14-Jun-2021) **</t>
  </si>
  <si>
    <t>INE110L07112</t>
  </si>
  <si>
    <t>8.70% Reliance Industries Ltd (15-Jun-2021) **</t>
  </si>
  <si>
    <t>INE556F08JF7</t>
  </si>
  <si>
    <t>8.50% Small Industries Development Bank of India (21-Jun-2021) **</t>
  </si>
  <si>
    <t>INE476M07BM9</t>
  </si>
  <si>
    <t>8.80% L&amp;T Housing Finance Ltd (23-Jun-2021) **</t>
  </si>
  <si>
    <t>INE020B08AW7</t>
  </si>
  <si>
    <t>7.73% REC Ltd (15-Jun-2021) **</t>
  </si>
  <si>
    <t>Franklin India Fixed Maturity Plans - Series 3 - Plan F (1098 days)</t>
  </si>
  <si>
    <t>INE031A08566</t>
  </si>
  <si>
    <t>7.73% Housing &amp; Urban Development Corporation Ltd (15-Apr-2021) **</t>
  </si>
  <si>
    <t>INE774D07SB3</t>
  </si>
  <si>
    <t>8.10% Mahindra &amp; Mahindra Financial Services Ltd (19-Apr-2021) **</t>
  </si>
  <si>
    <t>INE556F08JD2</t>
  </si>
  <si>
    <t>7.65% Small Industries Development Bank Of India (15-Apr-2021) **</t>
  </si>
  <si>
    <t>INE883A07174</t>
  </si>
  <si>
    <t>10.09% MRF Ltd (27-May-2021) **</t>
  </si>
  <si>
    <t>INE756I07BW1</t>
  </si>
  <si>
    <t>0.00% HDB Financial Services Ltd (06-Apr-2021) **</t>
  </si>
  <si>
    <t>INE134E08DM5</t>
  </si>
  <si>
    <t>9.18% Power Finance Corporation Ltd (15-Apr-2021) **</t>
  </si>
  <si>
    <t>INE244N07065</t>
  </si>
  <si>
    <t>8.19% Mahindra Vehicle Manufacturers Ltd (23-Feb-2021) **</t>
  </si>
  <si>
    <t>Franklin India Fixed Maturity Plans - Series 3 - Plan E (1104 Days)</t>
  </si>
  <si>
    <t>INE134E08JM2</t>
  </si>
  <si>
    <t>7.75% Power Finance Corporation Ltd (15-Apr-2021) **</t>
  </si>
  <si>
    <t>INE020B08AS5</t>
  </si>
  <si>
    <t>7.70% REC Ltd (15-Mar-2021) **</t>
  </si>
  <si>
    <t>INE031A08590</t>
  </si>
  <si>
    <t>7.68% Housing &amp; Urban Development Corporation Ltd (05-Apr-2021) **</t>
  </si>
  <si>
    <t>INE916DA7PO3</t>
  </si>
  <si>
    <t>0.00% Kotak Mahindra Prime Ltd (27-May-2021) **</t>
  </si>
  <si>
    <t>INE261F08956</t>
  </si>
  <si>
    <t>7.40% National Bank For Agriculture &amp; Rural Development (01-Feb-2021) **</t>
  </si>
  <si>
    <t>INE895D08899</t>
  </si>
  <si>
    <t>8.25% Tata Sons Pvt Ltd (24-Mar-2021) **</t>
  </si>
  <si>
    <t>INE002A14EM8</t>
  </si>
  <si>
    <t>Reliance Industries Ltd (02-Mar-2021) **@</t>
  </si>
  <si>
    <t>Franklin India Fixed Maturity Plans - Series 3 - Plan D (1132 Days)</t>
  </si>
  <si>
    <t>INE916DA7PI5</t>
  </si>
  <si>
    <t>0.00% Kotak Mahindra Prime Ltd (26-Apr-2021) **</t>
  </si>
  <si>
    <t>Franklin India Fixed Maturity Plans - Series 3 - Plan C (1132 Days)</t>
  </si>
  <si>
    <t>INE134E08JK6</t>
  </si>
  <si>
    <t>7.73% Power Finance Corporation Ltd (05-Apr-2021) **</t>
  </si>
  <si>
    <t>INE556F08JA8</t>
  </si>
  <si>
    <t>7.52% Small Industries Development Bank of India (10-Feb-2021) **</t>
  </si>
  <si>
    <t>INE020B08AR7</t>
  </si>
  <si>
    <t>7.60% REC Ltd (17-Apr-2021) **</t>
  </si>
  <si>
    <t>INE752E07GX6</t>
  </si>
  <si>
    <t>8.84% Power Grid Corporation of India Ltd (29-Mar-2021) **</t>
  </si>
  <si>
    <t>INE895D08881</t>
  </si>
  <si>
    <t>8.25% Tata Sons Pvt Ltd (23-Mar-2021) **</t>
  </si>
  <si>
    <t>Franklin India Fixed Maturity Plans - Series 3 - Plan B (1139 Days)</t>
  </si>
  <si>
    <t>Franklin India Fixed Maturity Plans-Series 3-Plan A (1157 Days)</t>
  </si>
  <si>
    <t>INE115A07AL2</t>
  </si>
  <si>
    <t>9.60% LIC Housing Finance Ltd (07-Mar-2021) **</t>
  </si>
  <si>
    <t>Franklin India Fixed Maturity Plans- Series 2 - Plan C (1205 Days)</t>
  </si>
  <si>
    <t>INE756I07BU5</t>
  </si>
  <si>
    <t>7.9407% HDB Financial Services Ltd (15-Apr-2021) **</t>
  </si>
  <si>
    <t>Franklin India Fixed Maturity Plans - Series 2 - Plan B (1224 Days)</t>
  </si>
  <si>
    <t>INE477A07274</t>
  </si>
  <si>
    <t>7.64% Can Fin Homes Ltd (28-Feb-2021) **</t>
  </si>
  <si>
    <t>INE115A07JB4</t>
  </si>
  <si>
    <t>8.75% LIC Housing Finance Ltd (12-Feb-2021) **</t>
  </si>
  <si>
    <t>INE895D08725</t>
  </si>
  <si>
    <t>7.85% Tata Sons Pvt Ltd (01-Feb-2021) **</t>
  </si>
  <si>
    <t>Franklin India Fixed Maturity Plans - Series 2- Plan A (1224 Days)</t>
  </si>
  <si>
    <t>INE733E07JZ5</t>
  </si>
  <si>
    <t>8.33% NTPC Ltd (24-Feb-2021) **</t>
  </si>
  <si>
    <t>INE537P07117</t>
  </si>
  <si>
    <t>8.62% India Infradebt Ltd (08-Mar-2021) **</t>
  </si>
  <si>
    <t>INE235P07167</t>
  </si>
  <si>
    <t>8.70% L&amp;T Infrastructure Debt Fund Ltd (24-Feb-2021) **</t>
  </si>
  <si>
    <t>INE134E07505</t>
  </si>
  <si>
    <t>9.70% Power Finance Corporation Ltd (31-Jan-2021) **</t>
  </si>
  <si>
    <t>INE848E07419</t>
  </si>
  <si>
    <t>8.78% NHPC Ltd (11-Feb-2021) **</t>
  </si>
  <si>
    <t>INE752E07ER3</t>
  </si>
  <si>
    <t>9.47% Power Grid Corporation of India Ltd (31-Mar-2021) **</t>
  </si>
  <si>
    <t>INE514E08951</t>
  </si>
  <si>
    <t>9.15% Export-Import Bank of India (18-Mar-2021) **</t>
  </si>
  <si>
    <t>INE514E08928</t>
  </si>
  <si>
    <t>9.15% Export-Import Bank of India (25-Feb-2021) **</t>
  </si>
  <si>
    <t>Franklin India Pension Plan</t>
  </si>
  <si>
    <t>INE298A01020</t>
  </si>
  <si>
    <t>Cummins India Ltd</t>
  </si>
  <si>
    <t>INE685A01028</t>
  </si>
  <si>
    <t>Torrent Pharmaceuticals Ltd</t>
  </si>
  <si>
    <t>INE110L08037</t>
  </si>
  <si>
    <t>9.25% Reliance Industries Ltd (17-Jun-2024) **</t>
  </si>
  <si>
    <t>INE020B08BS3</t>
  </si>
  <si>
    <t>8.80% REC Ltd (14-May-2029) **</t>
  </si>
  <si>
    <t>Franklin India Debt Hybrid Fund (No. of segregated Portfolio in the scheme - 1)</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</si>
  <si>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</si>
  <si>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d) During the month additional instances of fair valuation/deviation from valuation price provided by the valuation agencies</t>
  </si>
  <si>
    <t xml:space="preserve">d) During the month additional instances of fair valuation/deviation from valuation price provided by the valuation agencies </t>
  </si>
  <si>
    <t xml:space="preserve">b) During the month additional instances of fair valuation/deviation from valuation price provided by the valuation agencies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</si>
</sst>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86">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9" fillId="2" borderId="0" xfId="1" applyFont="1" applyFill="1"/>
    <xf numFmtId="0" fontId="6" fillId="3" borderId="0" xfId="0" applyFont="1" applyFill="1"/>
    <xf numFmtId="2" fontId="6" fillId="0" borderId="1" xfId="0" applyNumberFormat="1" applyFont="1" applyBorder="1" applyAlignment="1">
      <alignment horizontal="center" vertical="center" wrapText="1"/>
    </xf>
    <xf numFmtId="0" fontId="10" fillId="3" borderId="0" xfId="0" applyFont="1" applyFill="1" applyAlignment="1">
      <alignment horizontal="right"/>
    </xf>
    <xf numFmtId="0" fontId="7" fillId="2" borderId="4" xfId="0" applyFont="1" applyFill="1" applyBorder="1" applyAlignment="1">
      <alignment wrapText="1"/>
    </xf>
    <xf numFmtId="14" fontId="7" fillId="2" borderId="0" xfId="0" applyNumberFormat="1" applyFont="1" applyFill="1"/>
    <xf numFmtId="39" fontId="6" fillId="2" borderId="3" xfId="0" applyNumberFormat="1" applyFont="1" applyFill="1" applyBorder="1"/>
    <xf numFmtId="39" fontId="6" fillId="3" borderId="3" xfId="0" applyNumberFormat="1" applyFont="1" applyFill="1" applyBorder="1"/>
    <xf numFmtId="164" fontId="7" fillId="2" borderId="0" xfId="0" applyNumberFormat="1" applyFont="1" applyFill="1" applyAlignment="1">
      <alignment horizontal="right"/>
    </xf>
    <xf numFmtId="0" fontId="9" fillId="0" borderId="0" xfId="1" applyFont="1" applyAlignment="1">
      <alignment vertical="center"/>
    </xf>
    <xf numFmtId="0" fontId="11" fillId="2" borderId="0" xfId="0" applyFont="1" applyFill="1"/>
    <xf numFmtId="0" fontId="6" fillId="2" borderId="0" xfId="0" quotePrefix="1" applyFont="1" applyFill="1" applyAlignment="1">
      <alignment horizontal="justify" vertical="top" wrapText="1"/>
    </xf>
    <xf numFmtId="0" fontId="6" fillId="2" borderId="0" xfId="0" applyFont="1" applyFill="1" applyAlignment="1">
      <alignment horizontal="justify" vertical="top" wrapText="1"/>
    </xf>
    <xf numFmtId="0" fontId="6" fillId="0" borderId="0" xfId="0" applyFont="1" applyFill="1" applyBorder="1" applyAlignment="1">
      <alignment horizontal="justify" vertical="top" wrapText="1"/>
    </xf>
    <xf numFmtId="0" fontId="6" fillId="2" borderId="0" xfId="0" quotePrefix="1" applyFont="1" applyFill="1" applyAlignment="1">
      <alignment horizontal="left" vertical="top" wrapText="1"/>
    </xf>
    <xf numFmtId="0" fontId="7" fillId="2" borderId="0" xfId="0" applyFont="1" applyFill="1" applyBorder="1"/>
    <xf numFmtId="0" fontId="7" fillId="2" borderId="0" xfId="0" applyNumberFormat="1" applyFont="1" applyFill="1" applyBorder="1"/>
    <xf numFmtId="39" fontId="7" fillId="2" borderId="0" xfId="0" applyNumberFormat="1" applyFont="1" applyFill="1" applyBorder="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3" borderId="0" xfId="0" applyFont="1" applyFill="1"/>
    <xf numFmtId="0" fontId="7" fillId="3" borderId="0" xfId="0" applyNumberFormat="1" applyFont="1" applyFill="1"/>
    <xf numFmtId="0" fontId="9" fillId="3" borderId="0" xfId="1" applyFont="1" applyFill="1"/>
    <xf numFmtId="0" fontId="7" fillId="2" borderId="6" xfId="0" applyFont="1" applyFill="1" applyBorder="1"/>
    <xf numFmtId="0" fontId="7" fillId="2" borderId="7" xfId="0" applyFont="1" applyFill="1" applyBorder="1"/>
    <xf numFmtId="0" fontId="6" fillId="2" borderId="0" xfId="0" applyFont="1" applyFill="1" applyAlignment="1">
      <alignment vertical="top" wrapText="1"/>
    </xf>
    <xf numFmtId="0" fontId="0" fillId="0" borderId="0" xfId="0" applyAlignment="1">
      <alignment vertical="top" wrapText="1"/>
    </xf>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vertical="top" wrapText="1"/>
    </xf>
    <xf numFmtId="0" fontId="6" fillId="0" borderId="0" xfId="0" applyFont="1" applyFill="1" applyAlignment="1">
      <alignment horizontal="justify" vertical="top" wrapText="1"/>
    </xf>
    <xf numFmtId="0" fontId="6" fillId="2" borderId="0" xfId="0" quotePrefix="1" applyFont="1" applyFill="1" applyAlignment="1">
      <alignment horizontal="justify" vertical="top" wrapText="1"/>
    </xf>
    <xf numFmtId="0" fontId="6" fillId="2" borderId="0" xfId="0" applyFont="1" applyFill="1" applyAlignment="1">
      <alignment horizontal="justify" vertical="top" wrapText="1"/>
    </xf>
    <xf numFmtId="0" fontId="6" fillId="0" borderId="0" xfId="0" applyFont="1" applyFill="1" applyBorder="1" applyAlignment="1">
      <alignment horizontal="justify" vertical="top" wrapText="1"/>
    </xf>
    <xf numFmtId="0" fontId="6" fillId="2" borderId="0" xfId="0" applyFont="1" applyFill="1" applyAlignment="1">
      <alignment horizontal="justify" vertical="top"/>
    </xf>
    <xf numFmtId="0" fontId="6" fillId="2" borderId="0" xfId="0" quotePrefix="1" applyFont="1" applyFill="1" applyAlignment="1">
      <alignment horizontal="left" vertical="top" wrapText="1"/>
    </xf>
  </cellXfs>
  <cellStyles count="2">
    <cellStyle name="Hyperlink" xfId="1" builtinId="8"/>
    <cellStyle name="Normal" xfId="0" builtinId="0"/>
  </cellStyles>
  <dxfs count="171">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ranklintempletonindia.com/downloadsServlet/pdf/product-labels-jg9o5k7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product-labels-jg9o5k7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ranklintempletonindia.com/downloadsServlet/pdf/product-labels-jg9o5k7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hyperlink" Target="https://www.franklintempletonindia.com/investor/reports?firstFilter-4"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fair-valuation-reliance-big-reliance-infra-november-4-2020-kgox4tfq"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9.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franklintempletonindia.com/downloadsServlet/pdf/product-labels-jg9o5k7l" TargetMode="External"/><Relationship Id="rId3" Type="http://schemas.openxmlformats.org/officeDocument/2006/relationships/hyperlink" Target="https://www.franklintempletonindia.com/investor/reports?firstFilter-4"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downloadsServlet/pdf/fair-valuation-reliance-big-reliance-infra-november-4-2020-kgox4tfq" TargetMode="External"/><Relationship Id="rId4" Type="http://schemas.openxmlformats.org/officeDocument/2006/relationships/hyperlink" Target="https://www.franklintempletonindia.com/investor/reports?firstFilter-4"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12.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13.bin"/><Relationship Id="rId3" Type="http://schemas.openxmlformats.org/officeDocument/2006/relationships/hyperlink" Target="https://www.franklintempletonindia.com/investor/reports?firstFilter-4"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fair-valuation-reliance-big-reliance-infra-november-4-2020-kgox4tfq"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franklintempletonindia.com/downloadsServlet/pdf/product-labels-jg9o5k7l"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franklintempletonindia.com/downloadsServlet/pdf/product-labels-jg9o5k7l"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franklintempletonindia.com/downloadsServlet/pdf/product-labels-jg9o5k7l"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franklintempletonindia.com/downloadsServlet/pdf/product-labels-jg9o5k7l"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franklintempletonindia.com/downloadsServlet/pdf/product-labels-jg9o5k7l"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www.franklintempletonindia.com/downloadsServlet/pdf/product-labels-jg9o5k7l"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www.franklintempletonindia.com/downloadsServlet/pdf/product-labels-jg9o5k7l"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www.franklintempletonindia.com/downloadsServlet/pdf/product-labels-jg9o5k7l"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www.franklintempletonindia.com/downloadsServlet/pdf/product-labels-jg9o5k7l"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www.franklintempletonindia.com/downloadsServlet/pdf/product-labels-jg9o5k7l" TargetMode="External"/></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https://www.franklintempletonindia.com/downloadsServlet/pdf/product-labels-jg9o5k7l" TargetMode="Externa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https://www.franklintempletonindia.com/downloadsServlet/pdf/product-labels-jg9o5k7l"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s://www.franklintempletonindia.com/downloadsServlet/pdf/product-labels-jg9o5k7l"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hyperlink" Target="https://www.franklintempletonindia.com/downloadsServlet/pdf/product-labels-jg9o5k7l" TargetMode="External"/></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hyperlink" Target="https://www.franklintempletonindia.com/downloadsServlet/pdf/product-labels-jg9o5k7l" TargetMode="External"/></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https://www.franklintempletonindia.com/downloadsServlet/pdf/product-labels-jg9o5k7l" TargetMode="External"/></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hyperlink" Target="https://www.franklintempletonindia.com/downloadsServlet/pdf/product-labels-jg9o5k7l" TargetMode="Externa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hyperlink" Target="https://www.franklintempletonindia.com/downloadsServlet/pdf/product-labels-jg9o5k7l" TargetMode="Externa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hyperlink" Target="https://www.franklintempletonindia.com/downloadsServlet/pdf/product-labels-jg9o5k7l"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hyperlink" Target="https://www.franklintempletonindia.com/downloadsServlet/pdf/product-labels-jg9o5k7l" TargetMode="External"/></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hyperlink" Target="https://www.franklintempletonindia.com/downloadsServlet/pdf/product-labels-jg9o5k7l" TargetMode="External"/></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hyperlink" Target="https://www.franklintempletonindia.com/downloadsServlet/pdf/product-labels-jg9o5k7l"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59.bin"/><Relationship Id="rId1" Type="http://schemas.openxmlformats.org/officeDocument/2006/relationships/hyperlink" Target="https://www.franklintempletonindia.com/downloadsServlet/pdf/product-labels-jg9o5k7l" TargetMode="External"/></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hyperlink" Target="https://www.franklintempletonindia.com/downloadsServlet/pdf/product-labels-jg9o5k7l" TargetMode="External"/></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61.bin"/><Relationship Id="rId1" Type="http://schemas.openxmlformats.org/officeDocument/2006/relationships/hyperlink" Target="https://www.franklintempletonindia.com/downloadsServlet/pdf/product-labels-jg9o5k7l" TargetMode="External"/></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hyperlink" Target="https://www.franklintempletonindia.com/downloadsServlet/pdf/product-labels-jg9o5k7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
  <sheetViews>
    <sheetView tabSelected="1" workbookViewId="0">
      <selection sqref="A1:G1"/>
    </sheetView>
  </sheetViews>
  <sheetFormatPr defaultColWidth="9.1796875" defaultRowHeight="10" x14ac:dyDescent="0.2"/>
  <cols>
    <col min="1" max="1" width="38.7265625" style="9" bestFit="1" customWidth="1"/>
    <col min="2" max="2" width="50.726562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5" t="s">
        <v>748</v>
      </c>
      <c r="B1" s="76"/>
      <c r="C1" s="76"/>
      <c r="D1" s="76"/>
      <c r="E1" s="76"/>
      <c r="F1" s="76"/>
      <c r="G1" s="76"/>
    </row>
    <row r="2" spans="1:9" s="1" customFormat="1" ht="11.5" x14ac:dyDescent="0.25">
      <c r="D2" s="6"/>
      <c r="E2" s="7"/>
      <c r="F2" s="12"/>
      <c r="G2" s="13"/>
    </row>
    <row r="3" spans="1:9" s="1" customFormat="1" ht="11.5" x14ac:dyDescent="0.25">
      <c r="A3" s="11" t="s">
        <v>7</v>
      </c>
      <c r="B3" s="2"/>
      <c r="C3" s="3"/>
      <c r="D3" s="4"/>
      <c r="E3" s="5"/>
      <c r="F3" s="12"/>
      <c r="G3" s="13"/>
    </row>
    <row r="4" spans="1:9" s="1" customFormat="1" ht="17.5" customHeight="1" x14ac:dyDescent="0.25">
      <c r="A4" s="8" t="s">
        <v>2</v>
      </c>
      <c r="B4" s="8" t="s">
        <v>0</v>
      </c>
      <c r="C4" s="17" t="s">
        <v>749</v>
      </c>
      <c r="D4" s="16" t="s">
        <v>1</v>
      </c>
      <c r="E4" s="15" t="s">
        <v>3</v>
      </c>
      <c r="F4" s="15" t="s">
        <v>4</v>
      </c>
      <c r="G4" s="15" t="s">
        <v>6</v>
      </c>
    </row>
    <row r="5" spans="1:9" ht="10.5" x14ac:dyDescent="0.25">
      <c r="A5" s="21" t="s">
        <v>31</v>
      </c>
      <c r="B5" s="22"/>
      <c r="C5" s="22"/>
      <c r="D5" s="23"/>
      <c r="E5" s="24"/>
      <c r="F5" s="25"/>
      <c r="G5" s="24"/>
    </row>
    <row r="6" spans="1:9" ht="10.5" x14ac:dyDescent="0.25">
      <c r="A6" s="26" t="s">
        <v>32</v>
      </c>
      <c r="B6" s="27"/>
      <c r="C6" s="27"/>
      <c r="D6" s="28"/>
      <c r="E6" s="29"/>
      <c r="F6" s="30"/>
      <c r="G6" s="29"/>
    </row>
    <row r="7" spans="1:9" x14ac:dyDescent="0.2">
      <c r="A7" s="27" t="s">
        <v>750</v>
      </c>
      <c r="B7" s="27" t="s">
        <v>751</v>
      </c>
      <c r="C7" s="27" t="s">
        <v>39</v>
      </c>
      <c r="D7" s="31">
        <v>100</v>
      </c>
      <c r="E7" s="29">
        <v>1003.5410000000001</v>
      </c>
      <c r="F7" s="30">
        <v>0.50088095295462898</v>
      </c>
      <c r="G7" s="29">
        <v>3.5449999999999999</v>
      </c>
    </row>
    <row r="8" spans="1:9" ht="10.5" x14ac:dyDescent="0.25">
      <c r="A8" s="26" t="s">
        <v>40</v>
      </c>
      <c r="B8" s="26"/>
      <c r="C8" s="26"/>
      <c r="D8" s="32"/>
      <c r="E8" s="33">
        <f>SUM(E6:E7)</f>
        <v>1003.5410000000001</v>
      </c>
      <c r="F8" s="34">
        <f>SUM(F6:F7)</f>
        <v>0.50088095295462898</v>
      </c>
      <c r="G8" s="33"/>
      <c r="H8" s="18"/>
      <c r="I8" s="18"/>
    </row>
    <row r="9" spans="1:9" x14ac:dyDescent="0.2">
      <c r="A9" s="27"/>
      <c r="B9" s="27"/>
      <c r="C9" s="27"/>
      <c r="D9" s="28"/>
      <c r="E9" s="29"/>
      <c r="F9" s="30"/>
      <c r="G9" s="29"/>
    </row>
    <row r="10" spans="1:9" ht="10.5" x14ac:dyDescent="0.25">
      <c r="A10" s="26" t="s">
        <v>57</v>
      </c>
      <c r="B10" s="27"/>
      <c r="C10" s="27"/>
      <c r="D10" s="28"/>
      <c r="E10" s="29"/>
      <c r="F10" s="30"/>
      <c r="G10" s="29"/>
    </row>
    <row r="11" spans="1:9" ht="10.5" x14ac:dyDescent="0.25">
      <c r="A11" s="26" t="s">
        <v>63</v>
      </c>
      <c r="B11" s="27"/>
      <c r="C11" s="27"/>
      <c r="D11" s="28"/>
      <c r="E11" s="29"/>
      <c r="F11" s="30"/>
      <c r="G11" s="29"/>
    </row>
    <row r="12" spans="1:9" x14ac:dyDescent="0.2">
      <c r="A12" s="27" t="s">
        <v>752</v>
      </c>
      <c r="B12" s="27" t="s">
        <v>753</v>
      </c>
      <c r="C12" s="27" t="s">
        <v>62</v>
      </c>
      <c r="D12" s="31">
        <v>2000</v>
      </c>
      <c r="E12" s="29">
        <v>9977.18</v>
      </c>
      <c r="F12" s="30">
        <v>4.9797461451000702</v>
      </c>
      <c r="G12" s="29">
        <v>3.6297000000000001</v>
      </c>
    </row>
    <row r="13" spans="1:9" x14ac:dyDescent="0.2">
      <c r="A13" s="27" t="s">
        <v>754</v>
      </c>
      <c r="B13" s="27" t="s">
        <v>755</v>
      </c>
      <c r="C13" s="27" t="s">
        <v>62</v>
      </c>
      <c r="D13" s="31">
        <v>1800</v>
      </c>
      <c r="E13" s="29">
        <v>8997.5609999999997</v>
      </c>
      <c r="F13" s="30">
        <v>4.4908049874867197</v>
      </c>
      <c r="G13" s="29">
        <v>4.9470999999999998</v>
      </c>
    </row>
    <row r="14" spans="1:9" x14ac:dyDescent="0.2">
      <c r="A14" s="27" t="s">
        <v>756</v>
      </c>
      <c r="B14" s="27" t="s">
        <v>757</v>
      </c>
      <c r="C14" s="27" t="s">
        <v>61</v>
      </c>
      <c r="D14" s="31">
        <v>1800</v>
      </c>
      <c r="E14" s="29">
        <v>8996.7330000000002</v>
      </c>
      <c r="F14" s="30">
        <v>4.4903917214327702</v>
      </c>
      <c r="G14" s="29">
        <v>3.3180999999999998</v>
      </c>
    </row>
    <row r="15" spans="1:9" x14ac:dyDescent="0.2">
      <c r="A15" s="27" t="s">
        <v>758</v>
      </c>
      <c r="B15" s="27" t="s">
        <v>759</v>
      </c>
      <c r="C15" s="27" t="s">
        <v>62</v>
      </c>
      <c r="D15" s="31">
        <v>1500</v>
      </c>
      <c r="E15" s="29">
        <v>7498.6125000000002</v>
      </c>
      <c r="F15" s="30">
        <v>3.7426594178389299</v>
      </c>
      <c r="G15" s="29">
        <v>3.3769</v>
      </c>
    </row>
    <row r="16" spans="1:9" x14ac:dyDescent="0.2">
      <c r="A16" s="27" t="s">
        <v>760</v>
      </c>
      <c r="B16" s="27" t="s">
        <v>761</v>
      </c>
      <c r="C16" s="27" t="s">
        <v>62</v>
      </c>
      <c r="D16" s="31">
        <v>1500</v>
      </c>
      <c r="E16" s="29">
        <v>7487.6175000000003</v>
      </c>
      <c r="F16" s="30">
        <v>3.7371716638978998</v>
      </c>
      <c r="G16" s="29">
        <v>3.5507</v>
      </c>
    </row>
    <row r="17" spans="1:9" x14ac:dyDescent="0.2">
      <c r="A17" s="27" t="s">
        <v>762</v>
      </c>
      <c r="B17" s="27" t="s">
        <v>763</v>
      </c>
      <c r="C17" s="27" t="s">
        <v>62</v>
      </c>
      <c r="D17" s="31">
        <v>1500</v>
      </c>
      <c r="E17" s="29">
        <v>7487.52</v>
      </c>
      <c r="F17" s="30">
        <v>3.7371230003227001</v>
      </c>
      <c r="G17" s="29">
        <v>3.3797999999999999</v>
      </c>
    </row>
    <row r="18" spans="1:9" x14ac:dyDescent="0.2">
      <c r="A18" s="27" t="s">
        <v>764</v>
      </c>
      <c r="B18" s="27" t="s">
        <v>765</v>
      </c>
      <c r="C18" s="27" t="s">
        <v>62</v>
      </c>
      <c r="D18" s="31">
        <v>1500</v>
      </c>
      <c r="E18" s="29">
        <v>7486.1625000000004</v>
      </c>
      <c r="F18" s="30">
        <v>3.73644545362193</v>
      </c>
      <c r="G18" s="29">
        <v>3.5508999999999999</v>
      </c>
    </row>
    <row r="19" spans="1:9" x14ac:dyDescent="0.2">
      <c r="A19" s="27" t="s">
        <v>766</v>
      </c>
      <c r="B19" s="27" t="s">
        <v>767</v>
      </c>
      <c r="C19" s="27" t="s">
        <v>768</v>
      </c>
      <c r="D19" s="31">
        <v>1500</v>
      </c>
      <c r="E19" s="29">
        <v>7473.2550000000001</v>
      </c>
      <c r="F19" s="30">
        <v>3.7300031449367301</v>
      </c>
      <c r="G19" s="29">
        <v>3.3498000000000001</v>
      </c>
    </row>
    <row r="20" spans="1:9" x14ac:dyDescent="0.2">
      <c r="A20" s="27" t="s">
        <v>769</v>
      </c>
      <c r="B20" s="27" t="s">
        <v>770</v>
      </c>
      <c r="C20" s="27" t="s">
        <v>62</v>
      </c>
      <c r="D20" s="31">
        <v>1500</v>
      </c>
      <c r="E20" s="29">
        <v>7467.3074999999999</v>
      </c>
      <c r="F20" s="30">
        <v>3.7270346668499399</v>
      </c>
      <c r="G20" s="29">
        <v>3.4</v>
      </c>
    </row>
    <row r="21" spans="1:9" x14ac:dyDescent="0.2">
      <c r="A21" s="27" t="s">
        <v>771</v>
      </c>
      <c r="B21" s="27" t="s">
        <v>772</v>
      </c>
      <c r="C21" s="27" t="s">
        <v>62</v>
      </c>
      <c r="D21" s="31">
        <v>1000</v>
      </c>
      <c r="E21" s="29">
        <v>4991.3100000000004</v>
      </c>
      <c r="F21" s="30">
        <v>2.4912306615195301</v>
      </c>
      <c r="G21" s="29">
        <v>3.3456000000000001</v>
      </c>
    </row>
    <row r="22" spans="1:9" x14ac:dyDescent="0.2">
      <c r="A22" s="27" t="s">
        <v>773</v>
      </c>
      <c r="B22" s="27" t="s">
        <v>774</v>
      </c>
      <c r="C22" s="27" t="s">
        <v>62</v>
      </c>
      <c r="D22" s="31">
        <v>1000</v>
      </c>
      <c r="E22" s="29">
        <v>4972.66</v>
      </c>
      <c r="F22" s="30">
        <v>2.4819221930338302</v>
      </c>
      <c r="G22" s="29">
        <v>3.3450000000000002</v>
      </c>
    </row>
    <row r="23" spans="1:9" ht="10.5" x14ac:dyDescent="0.25">
      <c r="A23" s="26" t="s">
        <v>40</v>
      </c>
      <c r="B23" s="26"/>
      <c r="C23" s="26"/>
      <c r="D23" s="32"/>
      <c r="E23" s="33">
        <f>SUM(E11:E22)</f>
        <v>82835.918999999994</v>
      </c>
      <c r="F23" s="34">
        <f>SUM(F11:F22)</f>
        <v>41.344533056041051</v>
      </c>
      <c r="G23" s="33"/>
      <c r="H23" s="18"/>
      <c r="I23" s="18"/>
    </row>
    <row r="24" spans="1:9" x14ac:dyDescent="0.2">
      <c r="A24" s="27"/>
      <c r="B24" s="27"/>
      <c r="C24" s="27"/>
      <c r="D24" s="28"/>
      <c r="E24" s="29"/>
      <c r="F24" s="30"/>
      <c r="G24" s="29"/>
    </row>
    <row r="25" spans="1:9" ht="10.5" x14ac:dyDescent="0.25">
      <c r="A25" s="26" t="s">
        <v>66</v>
      </c>
      <c r="B25" s="27"/>
      <c r="C25" s="27"/>
      <c r="D25" s="28"/>
      <c r="E25" s="29"/>
      <c r="F25" s="30"/>
      <c r="G25" s="29"/>
    </row>
    <row r="26" spans="1:9" x14ac:dyDescent="0.2">
      <c r="A26" s="27" t="s">
        <v>775</v>
      </c>
      <c r="B26" s="27" t="s">
        <v>776</v>
      </c>
      <c r="C26" s="27" t="s">
        <v>80</v>
      </c>
      <c r="D26" s="31">
        <v>15000000</v>
      </c>
      <c r="E26" s="29">
        <v>14993.355</v>
      </c>
      <c r="F26" s="30">
        <v>7.4833872660778704</v>
      </c>
      <c r="G26" s="29">
        <v>3.2353000000000001</v>
      </c>
    </row>
    <row r="27" spans="1:9" x14ac:dyDescent="0.2">
      <c r="A27" s="27" t="s">
        <v>777</v>
      </c>
      <c r="B27" s="27" t="s">
        <v>778</v>
      </c>
      <c r="C27" s="27" t="s">
        <v>80</v>
      </c>
      <c r="D27" s="31">
        <v>15000000</v>
      </c>
      <c r="E27" s="29">
        <v>14927.775</v>
      </c>
      <c r="F27" s="30">
        <v>7.4506553967324596</v>
      </c>
      <c r="G27" s="29">
        <v>3.2703000000000002</v>
      </c>
    </row>
    <row r="28" spans="1:9" x14ac:dyDescent="0.2">
      <c r="A28" s="27" t="s">
        <v>96</v>
      </c>
      <c r="B28" s="27" t="s">
        <v>95</v>
      </c>
      <c r="C28" s="27" t="s">
        <v>80</v>
      </c>
      <c r="D28" s="31">
        <v>10000000</v>
      </c>
      <c r="E28" s="29">
        <v>9945.6200000000008</v>
      </c>
      <c r="F28" s="30">
        <v>4.9639941201451903</v>
      </c>
      <c r="G28" s="29">
        <v>3.2719999999999998</v>
      </c>
    </row>
    <row r="29" spans="1:9" ht="10.5" x14ac:dyDescent="0.25">
      <c r="A29" s="26" t="s">
        <v>40</v>
      </c>
      <c r="B29" s="26"/>
      <c r="C29" s="26"/>
      <c r="D29" s="32"/>
      <c r="E29" s="33">
        <f>SUM(E25:E28)</f>
        <v>39866.75</v>
      </c>
      <c r="F29" s="34">
        <f>SUM(F25:F28)</f>
        <v>19.898036782955522</v>
      </c>
      <c r="G29" s="33"/>
      <c r="H29" s="18"/>
      <c r="I29" s="18"/>
    </row>
    <row r="30" spans="1:9" x14ac:dyDescent="0.2">
      <c r="A30" s="27"/>
      <c r="B30" s="27"/>
      <c r="C30" s="27"/>
      <c r="D30" s="28"/>
      <c r="E30" s="29"/>
      <c r="F30" s="30"/>
      <c r="G30" s="29"/>
    </row>
    <row r="31" spans="1:9" ht="10.5" x14ac:dyDescent="0.25">
      <c r="A31" s="26" t="s">
        <v>79</v>
      </c>
      <c r="B31" s="27"/>
      <c r="C31" s="27"/>
      <c r="D31" s="28"/>
      <c r="E31" s="29"/>
      <c r="F31" s="30"/>
      <c r="G31" s="29"/>
    </row>
    <row r="32" spans="1:9" x14ac:dyDescent="0.2">
      <c r="A32" s="27" t="s">
        <v>779</v>
      </c>
      <c r="B32" s="27" t="s">
        <v>780</v>
      </c>
      <c r="C32" s="27" t="s">
        <v>80</v>
      </c>
      <c r="D32" s="31">
        <v>5000000</v>
      </c>
      <c r="E32" s="29">
        <v>5011.47</v>
      </c>
      <c r="F32" s="30">
        <v>2.50129279152873</v>
      </c>
      <c r="G32" s="29">
        <v>3.3609</v>
      </c>
    </row>
    <row r="33" spans="1:9" x14ac:dyDescent="0.2">
      <c r="A33" s="27" t="s">
        <v>781</v>
      </c>
      <c r="B33" s="27" t="s">
        <v>782</v>
      </c>
      <c r="C33" s="27" t="s">
        <v>80</v>
      </c>
      <c r="D33" s="31">
        <v>3266000</v>
      </c>
      <c r="E33" s="29">
        <v>3281.2228260000002</v>
      </c>
      <c r="F33" s="30">
        <v>1.6377029099392699</v>
      </c>
      <c r="G33" s="29">
        <v>3.3959999999999999</v>
      </c>
    </row>
    <row r="34" spans="1:9" ht="10.5" x14ac:dyDescent="0.25">
      <c r="A34" s="26" t="s">
        <v>40</v>
      </c>
      <c r="B34" s="26"/>
      <c r="C34" s="26"/>
      <c r="D34" s="32"/>
      <c r="E34" s="33">
        <f>SUM(E32:E33)</f>
        <v>8292.6928260000004</v>
      </c>
      <c r="F34" s="34">
        <f>SUM(F32:F33)</f>
        <v>4.1389957014679997</v>
      </c>
      <c r="G34" s="33"/>
      <c r="H34" s="18"/>
      <c r="I34" s="18"/>
    </row>
    <row r="35" spans="1:9" x14ac:dyDescent="0.2">
      <c r="A35" s="27"/>
      <c r="B35" s="27"/>
      <c r="C35" s="27"/>
      <c r="D35" s="28"/>
      <c r="E35" s="29"/>
      <c r="F35" s="30"/>
      <c r="G35" s="29"/>
    </row>
    <row r="36" spans="1:9" ht="10.5" x14ac:dyDescent="0.25">
      <c r="A36" s="26" t="s">
        <v>44</v>
      </c>
      <c r="B36" s="26"/>
      <c r="C36" s="26"/>
      <c r="D36" s="32"/>
      <c r="E36" s="33">
        <f>E8+E23+E29+E34</f>
        <v>131998.90282600001</v>
      </c>
      <c r="F36" s="34">
        <f>F8+F23+F29+F34</f>
        <v>65.882446493419209</v>
      </c>
      <c r="G36" s="33"/>
      <c r="H36" s="18"/>
      <c r="I36" s="18"/>
    </row>
    <row r="37" spans="1:9" ht="10.5" x14ac:dyDescent="0.25">
      <c r="A37" s="26"/>
      <c r="B37" s="26"/>
      <c r="C37" s="26"/>
      <c r="D37" s="32"/>
      <c r="E37" s="33"/>
      <c r="F37" s="34"/>
      <c r="G37" s="33"/>
      <c r="H37" s="18"/>
      <c r="I37" s="18"/>
    </row>
    <row r="38" spans="1:9" ht="10.5" x14ac:dyDescent="0.25">
      <c r="A38" s="26" t="s">
        <v>46</v>
      </c>
      <c r="B38" s="26"/>
      <c r="C38" s="26"/>
      <c r="D38" s="32"/>
      <c r="E38" s="33">
        <f>E40-(E8+E23+E29+E34)</f>
        <v>68356.290175500006</v>
      </c>
      <c r="F38" s="34">
        <f>F40-(F8+F23+F29+F34)</f>
        <v>34.117553506580791</v>
      </c>
      <c r="G38" s="33"/>
      <c r="H38" s="18"/>
      <c r="I38" s="18"/>
    </row>
    <row r="39" spans="1:9" ht="10.5" x14ac:dyDescent="0.25">
      <c r="A39" s="26"/>
      <c r="B39" s="26"/>
      <c r="C39" s="26"/>
      <c r="D39" s="32"/>
      <c r="E39" s="33"/>
      <c r="F39" s="34"/>
      <c r="G39" s="33"/>
      <c r="H39" s="18"/>
      <c r="I39" s="18"/>
    </row>
    <row r="40" spans="1:9" ht="10.5" x14ac:dyDescent="0.25">
      <c r="A40" s="35" t="s">
        <v>45</v>
      </c>
      <c r="B40" s="35"/>
      <c r="C40" s="35"/>
      <c r="D40" s="36"/>
      <c r="E40" s="37">
        <v>200355.19300150001</v>
      </c>
      <c r="F40" s="38">
        <v>100</v>
      </c>
      <c r="G40" s="37"/>
      <c r="H40" s="18"/>
      <c r="I40" s="18"/>
    </row>
    <row r="42" spans="1:9" ht="10.5" x14ac:dyDescent="0.25">
      <c r="A42" s="18" t="s">
        <v>67</v>
      </c>
    </row>
    <row r="43" spans="1:9" ht="10.5" x14ac:dyDescent="0.25">
      <c r="A43" s="18" t="s">
        <v>47</v>
      </c>
    </row>
    <row r="45" spans="1:9" ht="10.5" x14ac:dyDescent="0.25">
      <c r="A45" s="18" t="s">
        <v>48</v>
      </c>
    </row>
    <row r="46" spans="1:9" ht="10.5" x14ac:dyDescent="0.25">
      <c r="A46" s="18" t="s">
        <v>49</v>
      </c>
    </row>
    <row r="47" spans="1:9" ht="10.5" x14ac:dyDescent="0.25">
      <c r="A47" s="18" t="s">
        <v>50</v>
      </c>
      <c r="B47" s="18"/>
      <c r="C47" s="41" t="s">
        <v>727</v>
      </c>
      <c r="D47" s="19" t="s">
        <v>51</v>
      </c>
      <c r="H47" s="51"/>
    </row>
    <row r="48" spans="1:9" x14ac:dyDescent="0.2">
      <c r="A48" s="9" t="s">
        <v>783</v>
      </c>
      <c r="C48" s="40">
        <v>4682.0965999999999</v>
      </c>
      <c r="D48" s="40">
        <v>4738.4022000000004</v>
      </c>
      <c r="H48" s="51"/>
    </row>
    <row r="49" spans="1:4" x14ac:dyDescent="0.2">
      <c r="A49" s="9" t="s">
        <v>784</v>
      </c>
      <c r="C49" s="40">
        <v>1510.5263</v>
      </c>
      <c r="D49" s="40">
        <v>1510.4899</v>
      </c>
    </row>
    <row r="50" spans="1:4" x14ac:dyDescent="0.2">
      <c r="A50" s="9" t="s">
        <v>785</v>
      </c>
      <c r="C50" s="40">
        <v>1244.6609000000001</v>
      </c>
      <c r="D50" s="40">
        <v>1244.7334000000001</v>
      </c>
    </row>
    <row r="51" spans="1:4" x14ac:dyDescent="0.2">
      <c r="A51" s="9" t="s">
        <v>786</v>
      </c>
      <c r="C51" s="40">
        <v>1000</v>
      </c>
      <c r="D51" s="40">
        <v>1000</v>
      </c>
    </row>
    <row r="52" spans="1:4" x14ac:dyDescent="0.2">
      <c r="A52" s="9" t="s">
        <v>787</v>
      </c>
      <c r="C52" s="40">
        <v>1055.0608999999999</v>
      </c>
      <c r="D52" s="40">
        <v>1055.1239</v>
      </c>
    </row>
    <row r="53" spans="1:4" x14ac:dyDescent="0.2">
      <c r="A53" s="9" t="s">
        <v>788</v>
      </c>
      <c r="C53" s="40">
        <v>3013.0223000000001</v>
      </c>
      <c r="D53" s="40">
        <v>3059.4789000000001</v>
      </c>
    </row>
    <row r="54" spans="1:4" x14ac:dyDescent="0.2">
      <c r="A54" s="9" t="s">
        <v>789</v>
      </c>
      <c r="C54" s="40">
        <v>1000</v>
      </c>
      <c r="D54" s="40">
        <v>1000</v>
      </c>
    </row>
    <row r="55" spans="1:4" x14ac:dyDescent="0.2">
      <c r="A55" s="9" t="s">
        <v>790</v>
      </c>
      <c r="C55" s="40">
        <v>1022.3172</v>
      </c>
      <c r="D55" s="40">
        <v>1022.3771</v>
      </c>
    </row>
    <row r="56" spans="1:4" x14ac:dyDescent="0.2">
      <c r="A56" s="9" t="s">
        <v>791</v>
      </c>
      <c r="C56" s="40">
        <v>3026.9566</v>
      </c>
      <c r="D56" s="40">
        <v>3074.8948</v>
      </c>
    </row>
    <row r="57" spans="1:4" x14ac:dyDescent="0.2">
      <c r="A57" s="9" t="s">
        <v>792</v>
      </c>
      <c r="C57" s="40">
        <v>1002.2243</v>
      </c>
      <c r="D57" s="40">
        <v>1002.2204</v>
      </c>
    </row>
    <row r="58" spans="1:4" x14ac:dyDescent="0.2">
      <c r="A58" s="9" t="s">
        <v>793</v>
      </c>
      <c r="C58" s="40">
        <v>1021.7917</v>
      </c>
      <c r="D58" s="40">
        <v>1021.8515</v>
      </c>
    </row>
    <row r="59" spans="1:4" x14ac:dyDescent="0.2">
      <c r="A59" s="9" t="s">
        <v>794</v>
      </c>
      <c r="C59" s="40">
        <v>12.778600000000001</v>
      </c>
      <c r="D59" s="40">
        <v>12.9801</v>
      </c>
    </row>
    <row r="60" spans="1:4" x14ac:dyDescent="0.2">
      <c r="A60" s="9" t="s">
        <v>795</v>
      </c>
      <c r="C60" s="40">
        <v>12.778600000000001</v>
      </c>
      <c r="D60" s="40">
        <v>12.9801</v>
      </c>
    </row>
    <row r="61" spans="1:4" x14ac:dyDescent="0.2">
      <c r="A61" s="9" t="s">
        <v>796</v>
      </c>
      <c r="C61" s="40">
        <v>10</v>
      </c>
      <c r="D61" s="40">
        <v>10</v>
      </c>
    </row>
    <row r="62" spans="1:4" x14ac:dyDescent="0.2">
      <c r="A62" s="9" t="s">
        <v>797</v>
      </c>
      <c r="C62" s="40">
        <v>10</v>
      </c>
      <c r="D62" s="40">
        <v>10</v>
      </c>
    </row>
    <row r="64" spans="1:4" ht="10.5" x14ac:dyDescent="0.25">
      <c r="A64" s="18" t="s">
        <v>52</v>
      </c>
    </row>
    <row r="65" spans="1:7" ht="10.5" x14ac:dyDescent="0.25">
      <c r="A65" s="77" t="s">
        <v>68</v>
      </c>
      <c r="B65" s="78"/>
      <c r="C65" s="43" t="s">
        <v>69</v>
      </c>
    </row>
    <row r="66" spans="1:7" x14ac:dyDescent="0.2">
      <c r="A66" s="71" t="s">
        <v>784</v>
      </c>
      <c r="B66" s="72"/>
      <c r="C66" s="44">
        <v>18.093948546</v>
      </c>
    </row>
    <row r="67" spans="1:7" x14ac:dyDescent="0.2">
      <c r="A67" s="71" t="s">
        <v>785</v>
      </c>
      <c r="B67" s="72"/>
      <c r="C67" s="44">
        <v>14.805241496000001</v>
      </c>
    </row>
    <row r="68" spans="1:7" x14ac:dyDescent="0.2">
      <c r="A68" s="71" t="s">
        <v>786</v>
      </c>
      <c r="B68" s="72"/>
      <c r="C68" s="44">
        <v>13.200095083000001</v>
      </c>
    </row>
    <row r="69" spans="1:7" x14ac:dyDescent="0.2">
      <c r="A69" s="71" t="s">
        <v>787</v>
      </c>
      <c r="B69" s="72"/>
      <c r="C69" s="44">
        <v>13.878283239</v>
      </c>
    </row>
    <row r="70" spans="1:7" x14ac:dyDescent="0.2">
      <c r="A70" s="71" t="s">
        <v>789</v>
      </c>
      <c r="B70" s="72"/>
      <c r="C70" s="44">
        <v>15.296472259</v>
      </c>
    </row>
    <row r="71" spans="1:7" x14ac:dyDescent="0.2">
      <c r="A71" s="71" t="s">
        <v>790</v>
      </c>
      <c r="B71" s="72"/>
      <c r="C71" s="44">
        <v>15.580473424999999</v>
      </c>
    </row>
    <row r="72" spans="1:7" x14ac:dyDescent="0.2">
      <c r="A72" s="71" t="s">
        <v>792</v>
      </c>
      <c r="B72" s="72"/>
      <c r="C72" s="44">
        <v>15.680748118</v>
      </c>
    </row>
    <row r="73" spans="1:7" x14ac:dyDescent="0.2">
      <c r="A73" s="71" t="s">
        <v>793</v>
      </c>
      <c r="B73" s="72"/>
      <c r="C73" s="44">
        <v>15.932999001000001</v>
      </c>
    </row>
    <row r="74" spans="1:7" x14ac:dyDescent="0.2">
      <c r="A74" s="9" t="s">
        <v>70</v>
      </c>
    </row>
    <row r="76" spans="1:7" ht="10.5" x14ac:dyDescent="0.25">
      <c r="A76" s="18" t="s">
        <v>798</v>
      </c>
      <c r="D76" s="42">
        <v>4.8959908493150697E-2</v>
      </c>
      <c r="E76" s="13" t="s">
        <v>54</v>
      </c>
    </row>
    <row r="78" spans="1:7" ht="10.5" x14ac:dyDescent="0.25">
      <c r="A78" s="18" t="s">
        <v>1502</v>
      </c>
      <c r="D78" s="41" t="s">
        <v>53</v>
      </c>
    </row>
    <row r="80" spans="1:7" ht="14.5" x14ac:dyDescent="0.2">
      <c r="A80" s="73" t="s">
        <v>799</v>
      </c>
      <c r="B80" s="74"/>
      <c r="C80" s="74"/>
      <c r="D80" s="74"/>
      <c r="E80" s="74"/>
      <c r="F80" s="74"/>
      <c r="G80" s="74"/>
    </row>
    <row r="81" spans="1:1" x14ac:dyDescent="0.2">
      <c r="A81" s="46" t="s">
        <v>55</v>
      </c>
    </row>
    <row r="83" spans="1:1" x14ac:dyDescent="0.2">
      <c r="A83" s="46"/>
    </row>
  </sheetData>
  <mergeCells count="11">
    <mergeCell ref="A69:B69"/>
    <mergeCell ref="A1:G1"/>
    <mergeCell ref="A65:B65"/>
    <mergeCell ref="A66:B66"/>
    <mergeCell ref="A67:B67"/>
    <mergeCell ref="A68:B68"/>
    <mergeCell ref="A70:B70"/>
    <mergeCell ref="A71:B71"/>
    <mergeCell ref="A72:B72"/>
    <mergeCell ref="A73:B73"/>
    <mergeCell ref="A80:G80"/>
  </mergeCells>
  <conditionalFormatting sqref="F2:F3 F82:F65536 F5:F79">
    <cfRule type="cellIs" dxfId="170" priority="2" stopIfTrue="1" operator="between">
      <formula>0.009</formula>
      <formula>-0.009</formula>
    </cfRule>
  </conditionalFormatting>
  <conditionalFormatting sqref="F81">
    <cfRule type="cellIs" dxfId="169" priority="1" stopIfTrue="1" operator="between">
      <formula>0.009</formula>
      <formula>-0.009</formula>
    </cfRule>
  </conditionalFormatting>
  <hyperlinks>
    <hyperlink ref="A81" r:id="rId1" xr:uid="{00000000-0004-0000-00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
  <sheetViews>
    <sheetView workbookViewId="0">
      <selection sqref="A1:G1"/>
    </sheetView>
  </sheetViews>
  <sheetFormatPr defaultColWidth="9.1796875" defaultRowHeight="10" x14ac:dyDescent="0.2"/>
  <cols>
    <col min="1" max="1" width="34.81640625" style="9" bestFit="1" customWidth="1"/>
    <col min="2" max="2" width="20"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5" t="s">
        <v>800</v>
      </c>
      <c r="B1" s="76"/>
      <c r="C1" s="76"/>
      <c r="D1" s="76"/>
      <c r="E1" s="76"/>
      <c r="F1" s="76"/>
      <c r="G1" s="76"/>
    </row>
    <row r="2" spans="1:9" s="1" customFormat="1" ht="11.5" x14ac:dyDescent="0.25">
      <c r="D2" s="6"/>
      <c r="E2" s="7"/>
      <c r="F2" s="12"/>
      <c r="G2" s="13"/>
    </row>
    <row r="3" spans="1:9" s="1" customFormat="1" ht="11.5" x14ac:dyDescent="0.25">
      <c r="A3" s="11" t="s">
        <v>7</v>
      </c>
      <c r="B3" s="2"/>
      <c r="C3" s="3"/>
      <c r="D3" s="4"/>
      <c r="E3" s="5"/>
      <c r="F3" s="12"/>
      <c r="G3" s="13"/>
    </row>
    <row r="4" spans="1:9" s="1" customFormat="1" ht="17.5" customHeight="1" x14ac:dyDescent="0.25">
      <c r="A4" s="8" t="s">
        <v>2</v>
      </c>
      <c r="B4" s="8" t="s">
        <v>0</v>
      </c>
      <c r="C4" s="17" t="s">
        <v>749</v>
      </c>
      <c r="D4" s="16" t="s">
        <v>1</v>
      </c>
      <c r="E4" s="15" t="s">
        <v>3</v>
      </c>
      <c r="F4" s="15" t="s">
        <v>4</v>
      </c>
      <c r="G4" s="15" t="s">
        <v>6</v>
      </c>
    </row>
    <row r="5" spans="1:9" ht="10.5" x14ac:dyDescent="0.25">
      <c r="A5" s="26" t="s">
        <v>46</v>
      </c>
      <c r="B5" s="26"/>
      <c r="C5" s="26"/>
      <c r="D5" s="32"/>
      <c r="E5" s="52">
        <v>26876.195020200001</v>
      </c>
      <c r="F5" s="53">
        <v>100</v>
      </c>
      <c r="G5" s="33"/>
      <c r="H5" s="18"/>
      <c r="I5" s="18"/>
    </row>
    <row r="6" spans="1:9" ht="10.5" x14ac:dyDescent="0.25">
      <c r="A6" s="26"/>
      <c r="B6" s="26"/>
      <c r="C6" s="26"/>
      <c r="D6" s="32"/>
      <c r="E6" s="33"/>
      <c r="F6" s="34"/>
      <c r="G6" s="33"/>
      <c r="H6" s="18"/>
      <c r="I6" s="18"/>
    </row>
    <row r="7" spans="1:9" ht="10.5" x14ac:dyDescent="0.25">
      <c r="A7" s="35" t="s">
        <v>45</v>
      </c>
      <c r="B7" s="35"/>
      <c r="C7" s="35"/>
      <c r="D7" s="36"/>
      <c r="E7" s="37">
        <v>26876.195020200001</v>
      </c>
      <c r="F7" s="38">
        <v>100</v>
      </c>
      <c r="G7" s="37"/>
      <c r="H7" s="18"/>
      <c r="I7" s="18"/>
    </row>
    <row r="10" spans="1:9" ht="10.5" x14ac:dyDescent="0.25">
      <c r="A10" s="18" t="s">
        <v>48</v>
      </c>
    </row>
    <row r="11" spans="1:9" ht="10.5" x14ac:dyDescent="0.25">
      <c r="A11" s="18" t="s">
        <v>49</v>
      </c>
    </row>
    <row r="12" spans="1:9" ht="10.5" x14ac:dyDescent="0.25">
      <c r="A12" s="18" t="s">
        <v>50</v>
      </c>
      <c r="B12" s="18"/>
      <c r="C12" s="41" t="s">
        <v>727</v>
      </c>
      <c r="D12" s="19" t="s">
        <v>51</v>
      </c>
    </row>
    <row r="13" spans="1:9" x14ac:dyDescent="0.2">
      <c r="A13" s="9" t="s">
        <v>71</v>
      </c>
      <c r="C13" s="40">
        <v>1053.7532000000001</v>
      </c>
      <c r="D13" s="40">
        <v>1069.106</v>
      </c>
    </row>
    <row r="14" spans="1:9" x14ac:dyDescent="0.2">
      <c r="A14" s="9" t="s">
        <v>801</v>
      </c>
      <c r="C14" s="40">
        <v>1000</v>
      </c>
      <c r="D14" s="40">
        <v>1000</v>
      </c>
    </row>
    <row r="15" spans="1:9" x14ac:dyDescent="0.2">
      <c r="A15" s="9" t="s">
        <v>802</v>
      </c>
      <c r="C15" s="40">
        <v>1000.4081</v>
      </c>
      <c r="D15" s="40">
        <v>1000.4186</v>
      </c>
    </row>
    <row r="16" spans="1:9" x14ac:dyDescent="0.2">
      <c r="A16" s="9" t="s">
        <v>74</v>
      </c>
      <c r="C16" s="40">
        <v>1054.5583999999999</v>
      </c>
      <c r="D16" s="40">
        <v>1070.1926000000001</v>
      </c>
    </row>
    <row r="17" spans="1:7" x14ac:dyDescent="0.2">
      <c r="A17" s="9" t="s">
        <v>803</v>
      </c>
      <c r="C17" s="40">
        <v>1000</v>
      </c>
      <c r="D17" s="40">
        <v>1000</v>
      </c>
    </row>
    <row r="18" spans="1:7" x14ac:dyDescent="0.2">
      <c r="A18" s="9" t="s">
        <v>804</v>
      </c>
      <c r="C18" s="40">
        <v>1000.414</v>
      </c>
      <c r="D18" s="40">
        <v>1000.4252</v>
      </c>
    </row>
    <row r="20" spans="1:7" ht="10.5" x14ac:dyDescent="0.25">
      <c r="A20" s="18" t="s">
        <v>52</v>
      </c>
    </row>
    <row r="21" spans="1:7" ht="10.5" x14ac:dyDescent="0.25">
      <c r="A21" s="77" t="s">
        <v>68</v>
      </c>
      <c r="B21" s="78"/>
      <c r="C21" s="43" t="s">
        <v>69</v>
      </c>
    </row>
    <row r="22" spans="1:7" x14ac:dyDescent="0.2">
      <c r="A22" s="71" t="s">
        <v>801</v>
      </c>
      <c r="B22" s="72"/>
      <c r="C22" s="44">
        <v>14.465808287</v>
      </c>
    </row>
    <row r="23" spans="1:7" x14ac:dyDescent="0.2">
      <c r="A23" s="71" t="s">
        <v>802</v>
      </c>
      <c r="B23" s="72"/>
      <c r="C23" s="44">
        <v>14.490581377</v>
      </c>
    </row>
    <row r="24" spans="1:7" x14ac:dyDescent="0.2">
      <c r="A24" s="71" t="s">
        <v>803</v>
      </c>
      <c r="B24" s="72"/>
      <c r="C24" s="44">
        <v>14.720840788</v>
      </c>
    </row>
    <row r="25" spans="1:7" x14ac:dyDescent="0.2">
      <c r="A25" s="71" t="s">
        <v>804</v>
      </c>
      <c r="B25" s="72"/>
      <c r="C25" s="44">
        <v>14.726839611999999</v>
      </c>
    </row>
    <row r="26" spans="1:7" x14ac:dyDescent="0.2">
      <c r="A26" s="9" t="s">
        <v>70</v>
      </c>
    </row>
    <row r="28" spans="1:7" ht="10.5" x14ac:dyDescent="0.25">
      <c r="A28" s="18" t="s">
        <v>798</v>
      </c>
      <c r="D28" s="42">
        <v>8.21917808219178E-3</v>
      </c>
      <c r="E28" s="13" t="s">
        <v>54</v>
      </c>
    </row>
    <row r="30" spans="1:7" ht="23.25" customHeight="1" x14ac:dyDescent="0.25">
      <c r="A30" s="79" t="s">
        <v>1503</v>
      </c>
      <c r="B30" s="79"/>
      <c r="C30" s="79"/>
      <c r="D30" s="41" t="s">
        <v>53</v>
      </c>
    </row>
    <row r="32" spans="1:7" ht="14.5" x14ac:dyDescent="0.2">
      <c r="A32" s="73" t="s">
        <v>799</v>
      </c>
      <c r="B32" s="74"/>
      <c r="C32" s="74"/>
      <c r="D32" s="74"/>
      <c r="E32" s="74"/>
      <c r="F32" s="74"/>
      <c r="G32" s="74"/>
    </row>
    <row r="33" spans="1:1" x14ac:dyDescent="0.2">
      <c r="A33" s="46" t="s">
        <v>55</v>
      </c>
    </row>
    <row r="35" spans="1:1" x14ac:dyDescent="0.2">
      <c r="A35" s="46"/>
    </row>
  </sheetData>
  <mergeCells count="8">
    <mergeCell ref="A30:C30"/>
    <mergeCell ref="A32:G32"/>
    <mergeCell ref="A1:G1"/>
    <mergeCell ref="A21:B21"/>
    <mergeCell ref="A22:B22"/>
    <mergeCell ref="A23:B23"/>
    <mergeCell ref="A24:B24"/>
    <mergeCell ref="A25:B25"/>
  </mergeCells>
  <conditionalFormatting sqref="F2:F3 F6:F31 F36:F65538">
    <cfRule type="cellIs" dxfId="168" priority="4" stopIfTrue="1" operator="between">
      <formula>0.009</formula>
      <formula>-0.009</formula>
    </cfRule>
  </conditionalFormatting>
  <conditionalFormatting sqref="F5">
    <cfRule type="cellIs" dxfId="167" priority="3" stopIfTrue="1" operator="between">
      <formula>0.009</formula>
      <formula>-0.009</formula>
    </cfRule>
  </conditionalFormatting>
  <conditionalFormatting sqref="F33">
    <cfRule type="cellIs" dxfId="166" priority="1" stopIfTrue="1" operator="between">
      <formula>0.009</formula>
      <formula>-0.009</formula>
    </cfRule>
  </conditionalFormatting>
  <conditionalFormatting sqref="F34:F35">
    <cfRule type="cellIs" dxfId="165" priority="2" stopIfTrue="1" operator="between">
      <formula>0.009</formula>
      <formula>-0.009</formula>
    </cfRule>
  </conditionalFormatting>
  <hyperlinks>
    <hyperlink ref="A33" r:id="rId1" xr:uid="{00000000-0004-0000-01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3"/>
  <sheetViews>
    <sheetView workbookViewId="0">
      <selection sqref="A1:G1"/>
    </sheetView>
  </sheetViews>
  <sheetFormatPr defaultColWidth="9.1796875" defaultRowHeight="10" x14ac:dyDescent="0.2"/>
  <cols>
    <col min="1" max="1" width="34.81640625" style="9" bestFit="1" customWidth="1"/>
    <col min="2" max="2" width="49.2695312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5" t="s">
        <v>805</v>
      </c>
      <c r="B1" s="76"/>
      <c r="C1" s="76"/>
      <c r="D1" s="76"/>
      <c r="E1" s="76"/>
      <c r="F1" s="76"/>
      <c r="G1" s="76"/>
    </row>
    <row r="2" spans="1:9" s="1" customFormat="1" ht="11.5" x14ac:dyDescent="0.25">
      <c r="D2" s="6"/>
      <c r="E2" s="7"/>
      <c r="F2" s="12"/>
      <c r="G2" s="13"/>
    </row>
    <row r="3" spans="1:9" s="1" customFormat="1" ht="11.5" x14ac:dyDescent="0.25">
      <c r="A3" s="11" t="s">
        <v>7</v>
      </c>
      <c r="B3" s="2"/>
      <c r="C3" s="3"/>
      <c r="D3" s="4"/>
      <c r="E3" s="5"/>
      <c r="F3" s="12"/>
      <c r="G3" s="13"/>
    </row>
    <row r="4" spans="1:9" s="1" customFormat="1" ht="17.5" customHeight="1" x14ac:dyDescent="0.25">
      <c r="A4" s="8" t="s">
        <v>2</v>
      </c>
      <c r="B4" s="8" t="s">
        <v>0</v>
      </c>
      <c r="C4" s="17" t="s">
        <v>749</v>
      </c>
      <c r="D4" s="16" t="s">
        <v>1</v>
      </c>
      <c r="E4" s="15" t="s">
        <v>3</v>
      </c>
      <c r="F4" s="15" t="s">
        <v>4</v>
      </c>
      <c r="G4" s="15" t="s">
        <v>6</v>
      </c>
    </row>
    <row r="5" spans="1:9" ht="10.5" x14ac:dyDescent="0.25">
      <c r="A5" s="21" t="s">
        <v>57</v>
      </c>
      <c r="B5" s="22"/>
      <c r="C5" s="22"/>
      <c r="D5" s="23"/>
      <c r="E5" s="24"/>
      <c r="F5" s="25"/>
      <c r="G5" s="24"/>
    </row>
    <row r="6" spans="1:9" ht="10.5" x14ac:dyDescent="0.25">
      <c r="A6" s="26" t="s">
        <v>58</v>
      </c>
      <c r="B6" s="27"/>
      <c r="C6" s="27"/>
      <c r="D6" s="28"/>
      <c r="E6" s="29"/>
      <c r="F6" s="30"/>
      <c r="G6" s="29"/>
    </row>
    <row r="7" spans="1:9" x14ac:dyDescent="0.2">
      <c r="A7" s="27" t="s">
        <v>60</v>
      </c>
      <c r="B7" s="27" t="s">
        <v>59</v>
      </c>
      <c r="C7" s="27" t="s">
        <v>61</v>
      </c>
      <c r="D7" s="31">
        <v>10000</v>
      </c>
      <c r="E7" s="29">
        <v>9989.2900000000009</v>
      </c>
      <c r="F7" s="30">
        <v>8.7356580375392703</v>
      </c>
      <c r="G7" s="29">
        <v>3.2610999999999999</v>
      </c>
    </row>
    <row r="8" spans="1:9" x14ac:dyDescent="0.2">
      <c r="A8" s="27" t="s">
        <v>806</v>
      </c>
      <c r="B8" s="27" t="s">
        <v>807</v>
      </c>
      <c r="C8" s="27" t="s">
        <v>62</v>
      </c>
      <c r="D8" s="31">
        <v>5000</v>
      </c>
      <c r="E8" s="29">
        <v>4999.8100000000004</v>
      </c>
      <c r="F8" s="30">
        <v>4.3723458236440402</v>
      </c>
      <c r="G8" s="29">
        <v>4.0233499999999998</v>
      </c>
    </row>
    <row r="9" spans="1:9" x14ac:dyDescent="0.2">
      <c r="A9" s="27" t="s">
        <v>808</v>
      </c>
      <c r="B9" s="27" t="s">
        <v>809</v>
      </c>
      <c r="C9" s="27" t="s">
        <v>62</v>
      </c>
      <c r="D9" s="31">
        <v>5000</v>
      </c>
      <c r="E9" s="29">
        <v>4982.9849999999997</v>
      </c>
      <c r="F9" s="30">
        <v>4.3576323208343704</v>
      </c>
      <c r="G9" s="29">
        <v>3.2797999999999998</v>
      </c>
    </row>
    <row r="10" spans="1:9" x14ac:dyDescent="0.2">
      <c r="A10" s="27" t="s">
        <v>810</v>
      </c>
      <c r="B10" s="27" t="s">
        <v>811</v>
      </c>
      <c r="C10" s="27" t="s">
        <v>61</v>
      </c>
      <c r="D10" s="31">
        <v>2500</v>
      </c>
      <c r="E10" s="29">
        <v>2499.0675000000001</v>
      </c>
      <c r="F10" s="30">
        <v>2.1854405160655199</v>
      </c>
      <c r="G10" s="29">
        <v>3.4049</v>
      </c>
    </row>
    <row r="11" spans="1:9" x14ac:dyDescent="0.2">
      <c r="A11" s="27" t="s">
        <v>812</v>
      </c>
      <c r="B11" s="27" t="s">
        <v>813</v>
      </c>
      <c r="C11" s="27" t="s">
        <v>62</v>
      </c>
      <c r="D11" s="31">
        <v>1022</v>
      </c>
      <c r="E11" s="29">
        <v>1018.820558</v>
      </c>
      <c r="F11" s="30">
        <v>0.89096101888151602</v>
      </c>
      <c r="G11" s="29">
        <v>3.3502000000000001</v>
      </c>
    </row>
    <row r="12" spans="1:9" ht="10.5" x14ac:dyDescent="0.25">
      <c r="A12" s="26" t="s">
        <v>40</v>
      </c>
      <c r="B12" s="26"/>
      <c r="C12" s="26"/>
      <c r="D12" s="32"/>
      <c r="E12" s="33">
        <f>SUM(E6:E11)</f>
        <v>23489.973058000003</v>
      </c>
      <c r="F12" s="34">
        <f>SUM(F6:F11)</f>
        <v>20.542037716964714</v>
      </c>
      <c r="G12" s="33"/>
      <c r="H12" s="18"/>
      <c r="I12" s="18"/>
    </row>
    <row r="13" spans="1:9" x14ac:dyDescent="0.2">
      <c r="A13" s="27"/>
      <c r="B13" s="27"/>
      <c r="C13" s="27"/>
      <c r="D13" s="28"/>
      <c r="E13" s="29"/>
      <c r="F13" s="30"/>
      <c r="G13" s="29"/>
    </row>
    <row r="14" spans="1:9" ht="10.5" x14ac:dyDescent="0.25">
      <c r="A14" s="26" t="s">
        <v>63</v>
      </c>
      <c r="B14" s="27"/>
      <c r="C14" s="27"/>
      <c r="D14" s="28"/>
      <c r="E14" s="29"/>
      <c r="F14" s="30"/>
      <c r="G14" s="29"/>
    </row>
    <row r="15" spans="1:9" x14ac:dyDescent="0.2">
      <c r="A15" s="27" t="s">
        <v>814</v>
      </c>
      <c r="B15" s="27" t="s">
        <v>815</v>
      </c>
      <c r="C15" s="27" t="s">
        <v>816</v>
      </c>
      <c r="D15" s="31">
        <v>2000</v>
      </c>
      <c r="E15" s="29">
        <v>9990.84</v>
      </c>
      <c r="F15" s="30">
        <v>8.7370135162527909</v>
      </c>
      <c r="G15" s="29">
        <v>3.3483000000000001</v>
      </c>
    </row>
    <row r="16" spans="1:9" x14ac:dyDescent="0.2">
      <c r="A16" s="27" t="s">
        <v>817</v>
      </c>
      <c r="B16" s="27" t="s">
        <v>818</v>
      </c>
      <c r="C16" s="27" t="s">
        <v>768</v>
      </c>
      <c r="D16" s="31">
        <v>1000</v>
      </c>
      <c r="E16" s="29">
        <v>4995.625</v>
      </c>
      <c r="F16" s="30">
        <v>4.3686860311175399</v>
      </c>
      <c r="G16" s="29">
        <v>3.5516999999999999</v>
      </c>
    </row>
    <row r="17" spans="1:9" x14ac:dyDescent="0.2">
      <c r="A17" s="27" t="s">
        <v>819</v>
      </c>
      <c r="B17" s="27" t="s">
        <v>820</v>
      </c>
      <c r="C17" s="27" t="s">
        <v>816</v>
      </c>
      <c r="D17" s="31">
        <v>1000</v>
      </c>
      <c r="E17" s="29">
        <v>4984.2150000000001</v>
      </c>
      <c r="F17" s="30">
        <v>4.3587079587812303</v>
      </c>
      <c r="G17" s="29">
        <v>3.3999000000000001</v>
      </c>
    </row>
    <row r="18" spans="1:9" x14ac:dyDescent="0.2">
      <c r="A18" s="27" t="s">
        <v>821</v>
      </c>
      <c r="B18" s="27" t="s">
        <v>822</v>
      </c>
      <c r="C18" s="27" t="s">
        <v>62</v>
      </c>
      <c r="D18" s="31">
        <v>1000</v>
      </c>
      <c r="E18" s="29">
        <v>4979.59</v>
      </c>
      <c r="F18" s="30">
        <v>4.3546633852005696</v>
      </c>
      <c r="G18" s="29">
        <v>3.4001000000000001</v>
      </c>
    </row>
    <row r="19" spans="1:9" x14ac:dyDescent="0.2">
      <c r="A19" s="27" t="s">
        <v>65</v>
      </c>
      <c r="B19" s="27" t="s">
        <v>64</v>
      </c>
      <c r="C19" s="27" t="s">
        <v>62</v>
      </c>
      <c r="D19" s="31">
        <v>1000</v>
      </c>
      <c r="E19" s="29">
        <v>4978.9799999999996</v>
      </c>
      <c r="F19" s="30">
        <v>4.3541299387391197</v>
      </c>
      <c r="G19" s="29">
        <v>3.5021</v>
      </c>
    </row>
    <row r="20" spans="1:9" x14ac:dyDescent="0.2">
      <c r="A20" s="27" t="s">
        <v>823</v>
      </c>
      <c r="B20" s="27" t="s">
        <v>824</v>
      </c>
      <c r="C20" s="27" t="s">
        <v>62</v>
      </c>
      <c r="D20" s="31">
        <v>1000</v>
      </c>
      <c r="E20" s="29">
        <v>4974.84</v>
      </c>
      <c r="F20" s="30">
        <v>4.3505094988204203</v>
      </c>
      <c r="G20" s="29">
        <v>3.5499000000000001</v>
      </c>
    </row>
    <row r="21" spans="1:9" x14ac:dyDescent="0.2">
      <c r="A21" s="27" t="s">
        <v>773</v>
      </c>
      <c r="B21" s="27" t="s">
        <v>774</v>
      </c>
      <c r="C21" s="27" t="s">
        <v>62</v>
      </c>
      <c r="D21" s="31">
        <v>1000</v>
      </c>
      <c r="E21" s="29">
        <v>4972.66</v>
      </c>
      <c r="F21" s="30">
        <v>4.3486030835975296</v>
      </c>
      <c r="G21" s="29">
        <v>3.3450000000000002</v>
      </c>
    </row>
    <row r="22" spans="1:9" x14ac:dyDescent="0.2">
      <c r="A22" s="27" t="s">
        <v>762</v>
      </c>
      <c r="B22" s="27" t="s">
        <v>763</v>
      </c>
      <c r="C22" s="27" t="s">
        <v>62</v>
      </c>
      <c r="D22" s="31">
        <v>500</v>
      </c>
      <c r="E22" s="29">
        <v>2495.84</v>
      </c>
      <c r="F22" s="30">
        <v>2.1826180595830098</v>
      </c>
      <c r="G22" s="29">
        <v>3.3797999999999999</v>
      </c>
    </row>
    <row r="23" spans="1:9" x14ac:dyDescent="0.2">
      <c r="A23" s="27" t="s">
        <v>825</v>
      </c>
      <c r="B23" s="27" t="s">
        <v>826</v>
      </c>
      <c r="C23" s="27" t="s">
        <v>62</v>
      </c>
      <c r="D23" s="31">
        <v>500</v>
      </c>
      <c r="E23" s="29">
        <v>2490.9499999999998</v>
      </c>
      <c r="F23" s="30">
        <v>2.1783417428674499</v>
      </c>
      <c r="G23" s="29">
        <v>3.4003000000000001</v>
      </c>
    </row>
    <row r="24" spans="1:9" x14ac:dyDescent="0.2">
      <c r="A24" s="27" t="s">
        <v>827</v>
      </c>
      <c r="B24" s="27" t="s">
        <v>828</v>
      </c>
      <c r="C24" s="27" t="s">
        <v>768</v>
      </c>
      <c r="D24" s="31">
        <v>500</v>
      </c>
      <c r="E24" s="29">
        <v>2471.3975</v>
      </c>
      <c r="F24" s="30">
        <v>2.1612430347731899</v>
      </c>
      <c r="G24" s="29">
        <v>3.5798999999999999</v>
      </c>
    </row>
    <row r="25" spans="1:9" x14ac:dyDescent="0.2">
      <c r="A25" s="27" t="s">
        <v>829</v>
      </c>
      <c r="B25" s="27" t="s">
        <v>830</v>
      </c>
      <c r="C25" s="27" t="s">
        <v>816</v>
      </c>
      <c r="D25" s="31">
        <v>500</v>
      </c>
      <c r="E25" s="29">
        <v>2454.1224999999999</v>
      </c>
      <c r="F25" s="30">
        <v>2.1461360058854</v>
      </c>
      <c r="G25" s="29">
        <v>3.7698999999999998</v>
      </c>
    </row>
    <row r="26" spans="1:9" ht="10.5" x14ac:dyDescent="0.25">
      <c r="A26" s="26" t="s">
        <v>40</v>
      </c>
      <c r="B26" s="26"/>
      <c r="C26" s="26"/>
      <c r="D26" s="32"/>
      <c r="E26" s="33">
        <f>SUM(E14:E25)</f>
        <v>49789.05999999999</v>
      </c>
      <c r="F26" s="34">
        <f>SUM(F14:F25)</f>
        <v>43.540652255618262</v>
      </c>
      <c r="G26" s="33"/>
      <c r="H26" s="18"/>
      <c r="I26" s="18"/>
    </row>
    <row r="27" spans="1:9" x14ac:dyDescent="0.2">
      <c r="A27" s="27"/>
      <c r="B27" s="27"/>
      <c r="C27" s="27"/>
      <c r="D27" s="28"/>
      <c r="E27" s="29"/>
      <c r="F27" s="30"/>
      <c r="G27" s="29"/>
    </row>
    <row r="28" spans="1:9" ht="10.5" x14ac:dyDescent="0.25">
      <c r="A28" s="26" t="s">
        <v>66</v>
      </c>
      <c r="B28" s="27"/>
      <c r="C28" s="27"/>
      <c r="D28" s="28"/>
      <c r="E28" s="29"/>
      <c r="F28" s="30"/>
      <c r="G28" s="29"/>
    </row>
    <row r="29" spans="1:9" x14ac:dyDescent="0.2">
      <c r="A29" s="27" t="s">
        <v>831</v>
      </c>
      <c r="B29" s="27" t="s">
        <v>832</v>
      </c>
      <c r="C29" s="27" t="s">
        <v>80</v>
      </c>
      <c r="D29" s="31">
        <v>10000000</v>
      </c>
      <c r="E29" s="29">
        <v>9970.7900000000009</v>
      </c>
      <c r="F29" s="30">
        <v>8.7194797432165991</v>
      </c>
      <c r="G29" s="29">
        <v>3.2403</v>
      </c>
    </row>
    <row r="30" spans="1:9" x14ac:dyDescent="0.2">
      <c r="A30" s="27" t="s">
        <v>833</v>
      </c>
      <c r="B30" s="27" t="s">
        <v>834</v>
      </c>
      <c r="C30" s="27" t="s">
        <v>80</v>
      </c>
      <c r="D30" s="31">
        <v>5200000</v>
      </c>
      <c r="E30" s="29">
        <v>5174.9620000000004</v>
      </c>
      <c r="F30" s="30">
        <v>4.5255166672766798</v>
      </c>
      <c r="G30" s="29">
        <v>3.2703000000000002</v>
      </c>
    </row>
    <row r="31" spans="1:9" x14ac:dyDescent="0.2">
      <c r="A31" s="27" t="s">
        <v>835</v>
      </c>
      <c r="B31" s="27" t="s">
        <v>836</v>
      </c>
      <c r="C31" s="27" t="s">
        <v>80</v>
      </c>
      <c r="D31" s="31">
        <v>5000000</v>
      </c>
      <c r="E31" s="29">
        <v>4982.3100000000004</v>
      </c>
      <c r="F31" s="30">
        <v>4.3570420317172003</v>
      </c>
      <c r="G31" s="29">
        <v>3.2399</v>
      </c>
    </row>
    <row r="32" spans="1:9" x14ac:dyDescent="0.2">
      <c r="A32" s="27" t="s">
        <v>837</v>
      </c>
      <c r="B32" s="27" t="s">
        <v>838</v>
      </c>
      <c r="C32" s="27" t="s">
        <v>80</v>
      </c>
      <c r="D32" s="31">
        <v>2500000</v>
      </c>
      <c r="E32" s="29">
        <v>2489.5174999999999</v>
      </c>
      <c r="F32" s="30">
        <v>2.1770890181854399</v>
      </c>
      <c r="G32" s="29">
        <v>3.27</v>
      </c>
    </row>
    <row r="33" spans="1:9" ht="10.5" x14ac:dyDescent="0.25">
      <c r="A33" s="26" t="s">
        <v>40</v>
      </c>
      <c r="B33" s="26"/>
      <c r="C33" s="26"/>
      <c r="D33" s="32"/>
      <c r="E33" s="33">
        <f>SUM(E28:E32)</f>
        <v>22617.5795</v>
      </c>
      <c r="F33" s="34">
        <f>SUM(F28:F32)</f>
        <v>19.77912746039592</v>
      </c>
      <c r="G33" s="33"/>
      <c r="H33" s="18"/>
      <c r="I33" s="18"/>
    </row>
    <row r="34" spans="1:9" x14ac:dyDescent="0.2">
      <c r="A34" s="27"/>
      <c r="B34" s="27"/>
      <c r="C34" s="27"/>
      <c r="D34" s="28"/>
      <c r="E34" s="29"/>
      <c r="F34" s="30"/>
      <c r="G34" s="29"/>
    </row>
    <row r="35" spans="1:9" ht="10.5" x14ac:dyDescent="0.25">
      <c r="A35" s="26" t="s">
        <v>44</v>
      </c>
      <c r="B35" s="26"/>
      <c r="C35" s="26"/>
      <c r="D35" s="32"/>
      <c r="E35" s="33">
        <f>E12+E26+E33</f>
        <v>95896.612557999993</v>
      </c>
      <c r="F35" s="34">
        <f>F12+F26+F33</f>
        <v>83.86181743297891</v>
      </c>
      <c r="G35" s="33"/>
      <c r="H35" s="18"/>
      <c r="I35" s="18"/>
    </row>
    <row r="36" spans="1:9" ht="10.5" x14ac:dyDescent="0.25">
      <c r="A36" s="26"/>
      <c r="B36" s="26"/>
      <c r="C36" s="26"/>
      <c r="D36" s="32"/>
      <c r="E36" s="33"/>
      <c r="F36" s="34"/>
      <c r="G36" s="33"/>
      <c r="H36" s="18"/>
      <c r="I36" s="18"/>
    </row>
    <row r="37" spans="1:9" ht="10.5" x14ac:dyDescent="0.25">
      <c r="A37" s="26" t="s">
        <v>46</v>
      </c>
      <c r="B37" s="26"/>
      <c r="C37" s="26"/>
      <c r="D37" s="32"/>
      <c r="E37" s="33">
        <f>E39-(E12+E26+E33)</f>
        <v>18454.131908800002</v>
      </c>
      <c r="F37" s="34">
        <f>F39-(F12+F26+F33)</f>
        <v>16.13818256702109</v>
      </c>
      <c r="G37" s="33"/>
      <c r="H37" s="18"/>
      <c r="I37" s="18"/>
    </row>
    <row r="38" spans="1:9" ht="10.5" x14ac:dyDescent="0.25">
      <c r="A38" s="26"/>
      <c r="B38" s="26"/>
      <c r="C38" s="26"/>
      <c r="D38" s="32"/>
      <c r="E38" s="33"/>
      <c r="F38" s="34"/>
      <c r="G38" s="33"/>
      <c r="H38" s="18"/>
      <c r="I38" s="18"/>
    </row>
    <row r="39" spans="1:9" ht="10.5" x14ac:dyDescent="0.25">
      <c r="A39" s="35" t="s">
        <v>45</v>
      </c>
      <c r="B39" s="35"/>
      <c r="C39" s="35"/>
      <c r="D39" s="36"/>
      <c r="E39" s="37">
        <v>114350.7444668</v>
      </c>
      <c r="F39" s="38">
        <v>100</v>
      </c>
      <c r="G39" s="37"/>
      <c r="H39" s="18"/>
      <c r="I39" s="18"/>
    </row>
    <row r="41" spans="1:9" ht="10.5" x14ac:dyDescent="0.25">
      <c r="A41" s="18" t="s">
        <v>67</v>
      </c>
    </row>
    <row r="42" spans="1:9" ht="10.5" x14ac:dyDescent="0.25">
      <c r="A42" s="18" t="s">
        <v>47</v>
      </c>
    </row>
    <row r="44" spans="1:9" ht="10.5" x14ac:dyDescent="0.25">
      <c r="A44" s="18" t="s">
        <v>48</v>
      </c>
    </row>
    <row r="45" spans="1:9" ht="10.5" x14ac:dyDescent="0.25">
      <c r="A45" s="18" t="s">
        <v>49</v>
      </c>
    </row>
    <row r="46" spans="1:9" ht="10.5" x14ac:dyDescent="0.25">
      <c r="A46" s="18" t="s">
        <v>50</v>
      </c>
      <c r="B46" s="18"/>
      <c r="C46" s="41" t="s">
        <v>727</v>
      </c>
      <c r="D46" s="19" t="s">
        <v>51</v>
      </c>
    </row>
    <row r="47" spans="1:9" x14ac:dyDescent="0.2">
      <c r="A47" s="9" t="s">
        <v>839</v>
      </c>
      <c r="C47" s="40">
        <v>38.027200000000001</v>
      </c>
      <c r="D47" s="40">
        <v>38.684899999999999</v>
      </c>
    </row>
    <row r="48" spans="1:9" x14ac:dyDescent="0.2">
      <c r="A48" s="9" t="s">
        <v>840</v>
      </c>
      <c r="C48" s="40">
        <v>10.1119</v>
      </c>
      <c r="D48" s="40">
        <v>10.1099</v>
      </c>
    </row>
    <row r="49" spans="1:4" x14ac:dyDescent="0.2">
      <c r="A49" s="9" t="s">
        <v>841</v>
      </c>
      <c r="C49" s="40">
        <v>10.2049</v>
      </c>
      <c r="D49" s="40">
        <v>10.134499999999999</v>
      </c>
    </row>
    <row r="50" spans="1:4" x14ac:dyDescent="0.2">
      <c r="A50" s="9" t="s">
        <v>842</v>
      </c>
      <c r="C50" s="40">
        <v>10.884399999999999</v>
      </c>
      <c r="D50" s="40">
        <v>10.629300000000001</v>
      </c>
    </row>
    <row r="51" spans="1:4" x14ac:dyDescent="0.2">
      <c r="A51" s="9" t="s">
        <v>843</v>
      </c>
      <c r="C51" s="40">
        <v>38.9848</v>
      </c>
      <c r="D51" s="40">
        <v>39.688800000000001</v>
      </c>
    </row>
    <row r="52" spans="1:4" x14ac:dyDescent="0.2">
      <c r="A52" s="9" t="s">
        <v>844</v>
      </c>
      <c r="C52" s="40">
        <v>10.121499999999999</v>
      </c>
      <c r="D52" s="40">
        <v>10.1198</v>
      </c>
    </row>
    <row r="53" spans="1:4" x14ac:dyDescent="0.2">
      <c r="A53" s="9" t="s">
        <v>845</v>
      </c>
      <c r="C53" s="40">
        <v>10.5327</v>
      </c>
      <c r="D53" s="40">
        <v>10.476000000000001</v>
      </c>
    </row>
    <row r="54" spans="1:4" x14ac:dyDescent="0.2">
      <c r="A54" s="9" t="s">
        <v>846</v>
      </c>
      <c r="C54" s="40">
        <v>11.260199999999999</v>
      </c>
      <c r="D54" s="40">
        <v>11.02</v>
      </c>
    </row>
    <row r="56" spans="1:4" ht="10.5" x14ac:dyDescent="0.25">
      <c r="A56" s="18" t="s">
        <v>52</v>
      </c>
    </row>
    <row r="57" spans="1:4" ht="10.5" x14ac:dyDescent="0.25">
      <c r="A57" s="77" t="s">
        <v>68</v>
      </c>
      <c r="B57" s="78"/>
      <c r="C57" s="43" t="s">
        <v>69</v>
      </c>
    </row>
    <row r="58" spans="1:4" x14ac:dyDescent="0.2">
      <c r="A58" s="71" t="s">
        <v>840</v>
      </c>
      <c r="B58" s="72"/>
      <c r="C58" s="44">
        <v>0.1753129165</v>
      </c>
    </row>
    <row r="59" spans="1:4" x14ac:dyDescent="0.2">
      <c r="A59" s="71" t="s">
        <v>841</v>
      </c>
      <c r="B59" s="72"/>
      <c r="C59" s="44">
        <v>0.245</v>
      </c>
    </row>
    <row r="60" spans="1:4" x14ac:dyDescent="0.2">
      <c r="A60" s="71" t="s">
        <v>842</v>
      </c>
      <c r="B60" s="72"/>
      <c r="C60" s="44">
        <v>0.44</v>
      </c>
    </row>
    <row r="61" spans="1:4" x14ac:dyDescent="0.2">
      <c r="A61" s="71" t="s">
        <v>844</v>
      </c>
      <c r="B61" s="72"/>
      <c r="C61" s="44">
        <v>0.18286536310000001</v>
      </c>
    </row>
    <row r="62" spans="1:4" x14ac:dyDescent="0.2">
      <c r="A62" s="71" t="s">
        <v>845</v>
      </c>
      <c r="B62" s="72"/>
      <c r="C62" s="44">
        <v>0.245</v>
      </c>
    </row>
    <row r="63" spans="1:4" x14ac:dyDescent="0.2">
      <c r="A63" s="71" t="s">
        <v>846</v>
      </c>
      <c r="B63" s="72"/>
      <c r="C63" s="44">
        <v>0.44</v>
      </c>
    </row>
    <row r="64" spans="1:4" x14ac:dyDescent="0.2">
      <c r="A64" s="9" t="s">
        <v>70</v>
      </c>
    </row>
    <row r="66" spans="1:7" ht="10.5" x14ac:dyDescent="0.25">
      <c r="A66" s="18" t="s">
        <v>798</v>
      </c>
      <c r="D66" s="42">
        <v>0.124513167369863</v>
      </c>
      <c r="E66" s="13" t="s">
        <v>54</v>
      </c>
    </row>
    <row r="68" spans="1:7" ht="10.5" x14ac:dyDescent="0.25">
      <c r="A68" s="18" t="s">
        <v>1502</v>
      </c>
      <c r="D68" s="41" t="s">
        <v>53</v>
      </c>
    </row>
    <row r="70" spans="1:7" ht="14.5" customHeight="1" x14ac:dyDescent="0.2">
      <c r="A70" s="73" t="s">
        <v>799</v>
      </c>
      <c r="B70" s="74"/>
      <c r="C70" s="74"/>
      <c r="D70" s="74"/>
      <c r="E70" s="74"/>
      <c r="F70" s="74"/>
      <c r="G70" s="74"/>
    </row>
    <row r="71" spans="1:7" x14ac:dyDescent="0.2">
      <c r="A71" s="46" t="s">
        <v>55</v>
      </c>
    </row>
    <row r="73" spans="1:7" x14ac:dyDescent="0.2">
      <c r="A73" s="46"/>
    </row>
  </sheetData>
  <mergeCells count="9">
    <mergeCell ref="A62:B62"/>
    <mergeCell ref="A63:B63"/>
    <mergeCell ref="A70:G70"/>
    <mergeCell ref="A1:G1"/>
    <mergeCell ref="A57:B57"/>
    <mergeCell ref="A58:B58"/>
    <mergeCell ref="A59:B59"/>
    <mergeCell ref="A60:B60"/>
    <mergeCell ref="A61:B61"/>
  </mergeCells>
  <conditionalFormatting sqref="F2:F3 F5:F69 F74:F65536">
    <cfRule type="cellIs" dxfId="164" priority="3" stopIfTrue="1" operator="between">
      <formula>0.009</formula>
      <formula>-0.009</formula>
    </cfRule>
  </conditionalFormatting>
  <conditionalFormatting sqref="F71">
    <cfRule type="cellIs" dxfId="163" priority="1" stopIfTrue="1" operator="between">
      <formula>0.009</formula>
      <formula>-0.009</formula>
    </cfRule>
  </conditionalFormatting>
  <conditionalFormatting sqref="F72:F73">
    <cfRule type="cellIs" dxfId="162" priority="2" stopIfTrue="1" operator="between">
      <formula>0.009</formula>
      <formula>-0.009</formula>
    </cfRule>
  </conditionalFormatting>
  <hyperlinks>
    <hyperlink ref="A71" r:id="rId1" xr:uid="{00000000-0004-0000-02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3"/>
  <sheetViews>
    <sheetView workbookViewId="0">
      <selection sqref="A1:G1"/>
    </sheetView>
  </sheetViews>
  <sheetFormatPr defaultColWidth="9.1796875" defaultRowHeight="10" x14ac:dyDescent="0.2"/>
  <cols>
    <col min="1" max="1" width="38.7265625" style="9" bestFit="1" customWidth="1"/>
    <col min="2" max="2" width="53.8164062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5" t="s">
        <v>847</v>
      </c>
      <c r="B1" s="76"/>
      <c r="C1" s="76"/>
      <c r="D1" s="76"/>
      <c r="E1" s="76"/>
      <c r="F1" s="76"/>
      <c r="G1" s="76"/>
    </row>
    <row r="2" spans="1:9" s="1" customFormat="1" ht="11.5" x14ac:dyDescent="0.25">
      <c r="D2" s="6"/>
      <c r="E2" s="7"/>
      <c r="F2" s="12"/>
      <c r="G2" s="13"/>
    </row>
    <row r="3" spans="1:9" s="1" customFormat="1" ht="11.5" x14ac:dyDescent="0.25">
      <c r="A3" s="11" t="s">
        <v>7</v>
      </c>
      <c r="B3" s="2"/>
      <c r="C3" s="3"/>
      <c r="D3" s="4"/>
      <c r="E3" s="5"/>
      <c r="F3" s="12"/>
      <c r="G3" s="13"/>
    </row>
    <row r="4" spans="1:9" s="1" customFormat="1" ht="17.5" customHeight="1" x14ac:dyDescent="0.25">
      <c r="A4" s="8" t="s">
        <v>2</v>
      </c>
      <c r="B4" s="8" t="s">
        <v>0</v>
      </c>
      <c r="C4" s="17" t="s">
        <v>749</v>
      </c>
      <c r="D4" s="16" t="s">
        <v>1</v>
      </c>
      <c r="E4" s="15" t="s">
        <v>3</v>
      </c>
      <c r="F4" s="15" t="s">
        <v>4</v>
      </c>
      <c r="G4" s="15" t="s">
        <v>6</v>
      </c>
    </row>
    <row r="5" spans="1:9" ht="10.5" x14ac:dyDescent="0.25">
      <c r="A5" s="21" t="s">
        <v>31</v>
      </c>
      <c r="B5" s="22"/>
      <c r="C5" s="22"/>
      <c r="D5" s="23"/>
      <c r="E5" s="24"/>
      <c r="F5" s="25"/>
      <c r="G5" s="24"/>
    </row>
    <row r="6" spans="1:9" ht="10.5" x14ac:dyDescent="0.25">
      <c r="A6" s="26" t="s">
        <v>32</v>
      </c>
      <c r="B6" s="27"/>
      <c r="C6" s="27"/>
      <c r="D6" s="28"/>
      <c r="E6" s="29"/>
      <c r="F6" s="30"/>
      <c r="G6" s="29"/>
    </row>
    <row r="7" spans="1:9" x14ac:dyDescent="0.2">
      <c r="A7" s="27" t="s">
        <v>848</v>
      </c>
      <c r="B7" s="27" t="s">
        <v>849</v>
      </c>
      <c r="C7" s="27" t="s">
        <v>850</v>
      </c>
      <c r="D7" s="31">
        <v>250</v>
      </c>
      <c r="E7" s="29">
        <v>2565.6875</v>
      </c>
      <c r="F7" s="30">
        <v>10.854890443573201</v>
      </c>
      <c r="G7" s="29">
        <v>6.165</v>
      </c>
    </row>
    <row r="8" spans="1:9" x14ac:dyDescent="0.2">
      <c r="A8" s="27" t="s">
        <v>851</v>
      </c>
      <c r="B8" s="27" t="s">
        <v>852</v>
      </c>
      <c r="C8" s="27" t="s">
        <v>39</v>
      </c>
      <c r="D8" s="31">
        <v>250</v>
      </c>
      <c r="E8" s="29">
        <v>2500.1950000000002</v>
      </c>
      <c r="F8" s="30">
        <v>10.5778052910066</v>
      </c>
      <c r="G8" s="29">
        <v>5.2249999999999996</v>
      </c>
    </row>
    <row r="9" spans="1:9" x14ac:dyDescent="0.2">
      <c r="A9" s="27" t="s">
        <v>34</v>
      </c>
      <c r="B9" s="27" t="s">
        <v>33</v>
      </c>
      <c r="C9" s="27" t="s">
        <v>35</v>
      </c>
      <c r="D9" s="31">
        <v>100</v>
      </c>
      <c r="E9" s="29">
        <v>1000.332</v>
      </c>
      <c r="F9" s="30">
        <v>4.23219673759976</v>
      </c>
      <c r="G9" s="29">
        <v>9.2353000000000005</v>
      </c>
    </row>
    <row r="10" spans="1:9" x14ac:dyDescent="0.2">
      <c r="A10" s="27" t="s">
        <v>853</v>
      </c>
      <c r="B10" s="27" t="s">
        <v>854</v>
      </c>
      <c r="C10" s="27" t="s">
        <v>855</v>
      </c>
      <c r="D10" s="31">
        <v>100</v>
      </c>
      <c r="E10" s="29">
        <v>986.42</v>
      </c>
      <c r="F10" s="30">
        <v>4.1733379577012002</v>
      </c>
      <c r="G10" s="29">
        <v>8.5749999999999993</v>
      </c>
    </row>
    <row r="11" spans="1:9" ht="10.5" x14ac:dyDescent="0.25">
      <c r="A11" s="26" t="s">
        <v>40</v>
      </c>
      <c r="B11" s="26"/>
      <c r="C11" s="26"/>
      <c r="D11" s="32"/>
      <c r="E11" s="33">
        <f>SUM(E6:E10)</f>
        <v>7052.6345000000001</v>
      </c>
      <c r="F11" s="34">
        <f>SUM(F6:F10)</f>
        <v>29.838230429880763</v>
      </c>
      <c r="G11" s="33"/>
      <c r="H11" s="18"/>
      <c r="I11" s="18"/>
    </row>
    <row r="12" spans="1:9" x14ac:dyDescent="0.2">
      <c r="A12" s="27"/>
      <c r="B12" s="27"/>
      <c r="C12" s="27"/>
      <c r="D12" s="28"/>
      <c r="E12" s="29"/>
      <c r="F12" s="30"/>
      <c r="G12" s="29"/>
    </row>
    <row r="13" spans="1:9" ht="10.5" x14ac:dyDescent="0.25">
      <c r="A13" s="26" t="s">
        <v>57</v>
      </c>
      <c r="B13" s="27"/>
      <c r="C13" s="27"/>
      <c r="D13" s="28"/>
      <c r="E13" s="29"/>
      <c r="F13" s="30"/>
      <c r="G13" s="29"/>
    </row>
    <row r="14" spans="1:9" ht="10.5" x14ac:dyDescent="0.25">
      <c r="A14" s="26" t="s">
        <v>58</v>
      </c>
      <c r="B14" s="27"/>
      <c r="C14" s="27"/>
      <c r="D14" s="28"/>
      <c r="E14" s="29"/>
      <c r="F14" s="30"/>
      <c r="G14" s="29"/>
    </row>
    <row r="15" spans="1:9" x14ac:dyDescent="0.2">
      <c r="A15" s="27" t="s">
        <v>806</v>
      </c>
      <c r="B15" s="27" t="s">
        <v>807</v>
      </c>
      <c r="C15" s="27" t="s">
        <v>62</v>
      </c>
      <c r="D15" s="31">
        <v>1000</v>
      </c>
      <c r="E15" s="29">
        <v>999.96199999999999</v>
      </c>
      <c r="F15" s="30">
        <v>4.2306313445173496</v>
      </c>
      <c r="G15" s="29">
        <v>4.0233499999999998</v>
      </c>
    </row>
    <row r="16" spans="1:9" ht="10.5" x14ac:dyDescent="0.25">
      <c r="A16" s="26" t="s">
        <v>40</v>
      </c>
      <c r="B16" s="26"/>
      <c r="C16" s="26"/>
      <c r="D16" s="32"/>
      <c r="E16" s="33">
        <f>SUM(E14:E15)</f>
        <v>999.96199999999999</v>
      </c>
      <c r="F16" s="34">
        <f>SUM(F14:F15)</f>
        <v>4.2306313445173496</v>
      </c>
      <c r="G16" s="33"/>
      <c r="H16" s="18"/>
      <c r="I16" s="18"/>
    </row>
    <row r="17" spans="1:9" x14ac:dyDescent="0.2">
      <c r="A17" s="27"/>
      <c r="B17" s="27"/>
      <c r="C17" s="27"/>
      <c r="D17" s="28"/>
      <c r="E17" s="29"/>
      <c r="F17" s="30"/>
      <c r="G17" s="29"/>
    </row>
    <row r="18" spans="1:9" ht="10.5" x14ac:dyDescent="0.25">
      <c r="A18" s="26" t="s">
        <v>79</v>
      </c>
      <c r="B18" s="27"/>
      <c r="C18" s="27"/>
      <c r="D18" s="28"/>
      <c r="E18" s="29"/>
      <c r="F18" s="30"/>
      <c r="G18" s="29"/>
    </row>
    <row r="19" spans="1:9" x14ac:dyDescent="0.2">
      <c r="A19" s="27" t="s">
        <v>856</v>
      </c>
      <c r="B19" s="27" t="s">
        <v>857</v>
      </c>
      <c r="C19" s="27" t="s">
        <v>80</v>
      </c>
      <c r="D19" s="31">
        <v>5500000</v>
      </c>
      <c r="E19" s="29">
        <v>5439.4560000000001</v>
      </c>
      <c r="F19" s="30">
        <v>23.013207552610002</v>
      </c>
      <c r="G19" s="29">
        <v>3.6743041831469001</v>
      </c>
    </row>
    <row r="20" spans="1:9" x14ac:dyDescent="0.2">
      <c r="A20" s="27" t="s">
        <v>858</v>
      </c>
      <c r="B20" s="27" t="s">
        <v>859</v>
      </c>
      <c r="C20" s="27" t="s">
        <v>80</v>
      </c>
      <c r="D20" s="31">
        <v>2000000</v>
      </c>
      <c r="E20" s="29">
        <v>2012.0039999999999</v>
      </c>
      <c r="F20" s="30">
        <v>8.5123706577792895</v>
      </c>
      <c r="G20" s="29">
        <v>4.2199593700506401</v>
      </c>
    </row>
    <row r="21" spans="1:9" x14ac:dyDescent="0.2">
      <c r="A21" s="27" t="s">
        <v>860</v>
      </c>
      <c r="B21" s="27" t="s">
        <v>861</v>
      </c>
      <c r="C21" s="27" t="s">
        <v>80</v>
      </c>
      <c r="D21" s="31">
        <v>500000</v>
      </c>
      <c r="E21" s="29">
        <v>523.78399999999999</v>
      </c>
      <c r="F21" s="30">
        <v>2.2160212169629201</v>
      </c>
      <c r="G21" s="29">
        <v>4.1872999999999996</v>
      </c>
    </row>
    <row r="22" spans="1:9" ht="10.5" x14ac:dyDescent="0.25">
      <c r="A22" s="26" t="s">
        <v>40</v>
      </c>
      <c r="B22" s="26"/>
      <c r="C22" s="26"/>
      <c r="D22" s="32"/>
      <c r="E22" s="33">
        <f>SUM(E19:E21)</f>
        <v>7975.2439999999997</v>
      </c>
      <c r="F22" s="34">
        <f>SUM(F19:F21)</f>
        <v>33.741599427352213</v>
      </c>
      <c r="G22" s="33"/>
      <c r="H22" s="18"/>
      <c r="I22" s="18"/>
    </row>
    <row r="23" spans="1:9" x14ac:dyDescent="0.2">
      <c r="A23" s="27"/>
      <c r="B23" s="27"/>
      <c r="C23" s="27"/>
      <c r="D23" s="28"/>
      <c r="E23" s="29"/>
      <c r="F23" s="30"/>
      <c r="G23" s="29"/>
    </row>
    <row r="24" spans="1:9" ht="10.5" x14ac:dyDescent="0.25">
      <c r="A24" s="26" t="s">
        <v>44</v>
      </c>
      <c r="B24" s="26"/>
      <c r="C24" s="26"/>
      <c r="D24" s="32"/>
      <c r="E24" s="33">
        <f>E11+E16+E22</f>
        <v>16027.840499999998</v>
      </c>
      <c r="F24" s="34">
        <f>F11+F16+F22</f>
        <v>67.810461201750329</v>
      </c>
      <c r="G24" s="33"/>
      <c r="H24" s="18"/>
      <c r="I24" s="18"/>
    </row>
    <row r="25" spans="1:9" ht="10.5" x14ac:dyDescent="0.25">
      <c r="A25" s="26"/>
      <c r="B25" s="26"/>
      <c r="C25" s="26"/>
      <c r="D25" s="32"/>
      <c r="E25" s="33"/>
      <c r="F25" s="34"/>
      <c r="G25" s="33"/>
      <c r="H25" s="18"/>
      <c r="I25" s="18"/>
    </row>
    <row r="26" spans="1:9" ht="10.5" x14ac:dyDescent="0.25">
      <c r="A26" s="26" t="s">
        <v>46</v>
      </c>
      <c r="B26" s="26"/>
      <c r="C26" s="26"/>
      <c r="D26" s="32"/>
      <c r="E26" s="33">
        <f>E28-(E11+E16+E22)</f>
        <v>7608.3952901000011</v>
      </c>
      <c r="F26" s="34">
        <f>F28-(F11+F16+F22)</f>
        <v>32.189538798249671</v>
      </c>
      <c r="G26" s="33"/>
      <c r="H26" s="18"/>
      <c r="I26" s="18"/>
    </row>
    <row r="27" spans="1:9" ht="10.5" x14ac:dyDescent="0.25">
      <c r="A27" s="26"/>
      <c r="B27" s="26"/>
      <c r="C27" s="26"/>
      <c r="D27" s="32"/>
      <c r="E27" s="33"/>
      <c r="F27" s="34"/>
      <c r="G27" s="33"/>
      <c r="H27" s="18"/>
      <c r="I27" s="18"/>
    </row>
    <row r="28" spans="1:9" ht="10.5" x14ac:dyDescent="0.25">
      <c r="A28" s="35" t="s">
        <v>45</v>
      </c>
      <c r="B28" s="35"/>
      <c r="C28" s="35"/>
      <c r="D28" s="36"/>
      <c r="E28" s="37">
        <v>23636.2357901</v>
      </c>
      <c r="F28" s="38">
        <v>100</v>
      </c>
      <c r="G28" s="37"/>
      <c r="H28" s="18"/>
      <c r="I28" s="18"/>
    </row>
    <row r="30" spans="1:9" ht="10.5" x14ac:dyDescent="0.25">
      <c r="A30" s="18" t="s">
        <v>47</v>
      </c>
    </row>
    <row r="32" spans="1:9" ht="10.5" x14ac:dyDescent="0.25">
      <c r="A32" s="18" t="s">
        <v>48</v>
      </c>
    </row>
    <row r="33" spans="1:5" ht="10.5" x14ac:dyDescent="0.25">
      <c r="A33" s="18" t="s">
        <v>49</v>
      </c>
    </row>
    <row r="34" spans="1:5" ht="10.5" x14ac:dyDescent="0.25">
      <c r="A34" s="18" t="s">
        <v>50</v>
      </c>
      <c r="B34" s="18"/>
      <c r="C34" s="41" t="s">
        <v>727</v>
      </c>
      <c r="D34" s="19" t="s">
        <v>51</v>
      </c>
    </row>
    <row r="35" spans="1:5" x14ac:dyDescent="0.2">
      <c r="A35" s="9" t="s">
        <v>71</v>
      </c>
      <c r="C35" s="54">
        <v>30.474599999999999</v>
      </c>
      <c r="D35" s="40">
        <v>31.227</v>
      </c>
    </row>
    <row r="36" spans="1:5" x14ac:dyDescent="0.2">
      <c r="A36" s="9" t="s">
        <v>801</v>
      </c>
      <c r="C36" s="54">
        <v>10.1349</v>
      </c>
      <c r="D36" s="40">
        <v>10.1629</v>
      </c>
    </row>
    <row r="37" spans="1:5" x14ac:dyDescent="0.2">
      <c r="A37" s="9" t="s">
        <v>74</v>
      </c>
      <c r="C37" s="54">
        <v>32.139299999999999</v>
      </c>
      <c r="D37" s="40">
        <v>33.046399999999998</v>
      </c>
    </row>
    <row r="38" spans="1:5" x14ac:dyDescent="0.2">
      <c r="A38" s="9" t="s">
        <v>803</v>
      </c>
      <c r="C38" s="54">
        <v>10.036799999999999</v>
      </c>
      <c r="D38" s="40">
        <v>10.065</v>
      </c>
    </row>
    <row r="40" spans="1:5" ht="10.5" x14ac:dyDescent="0.25">
      <c r="A40" s="18" t="s">
        <v>52</v>
      </c>
    </row>
    <row r="41" spans="1:5" ht="10.5" x14ac:dyDescent="0.25">
      <c r="A41" s="77" t="s">
        <v>68</v>
      </c>
      <c r="B41" s="78"/>
      <c r="C41" s="43" t="s">
        <v>69</v>
      </c>
    </row>
    <row r="42" spans="1:5" x14ac:dyDescent="0.2">
      <c r="A42" s="71" t="s">
        <v>801</v>
      </c>
      <c r="B42" s="72"/>
      <c r="C42" s="44">
        <v>0.2196262849</v>
      </c>
    </row>
    <row r="43" spans="1:5" x14ac:dyDescent="0.2">
      <c r="A43" s="71" t="s">
        <v>803</v>
      </c>
      <c r="B43" s="72"/>
      <c r="C43" s="44">
        <v>0.25147724030000002</v>
      </c>
    </row>
    <row r="44" spans="1:5" x14ac:dyDescent="0.2">
      <c r="A44" s="9" t="s">
        <v>70</v>
      </c>
    </row>
    <row r="46" spans="1:5" ht="10.5" x14ac:dyDescent="0.25">
      <c r="A46" s="18" t="s">
        <v>798</v>
      </c>
      <c r="D46" s="42">
        <v>2.3789523068219198</v>
      </c>
      <c r="E46" s="13" t="s">
        <v>54</v>
      </c>
    </row>
    <row r="48" spans="1:5" ht="10.5" x14ac:dyDescent="0.25">
      <c r="A48" s="18" t="s">
        <v>1502</v>
      </c>
      <c r="D48" s="41" t="s">
        <v>53</v>
      </c>
    </row>
    <row r="50" spans="1:7" ht="14.5" customHeight="1" x14ac:dyDescent="0.2">
      <c r="A50" s="73" t="s">
        <v>799</v>
      </c>
      <c r="B50" s="74"/>
      <c r="C50" s="74"/>
      <c r="D50" s="74"/>
      <c r="E50" s="74"/>
      <c r="F50" s="74"/>
      <c r="G50" s="74"/>
    </row>
    <row r="51" spans="1:7" x14ac:dyDescent="0.2">
      <c r="A51" s="46" t="s">
        <v>55</v>
      </c>
    </row>
    <row r="53" spans="1:7" x14ac:dyDescent="0.2">
      <c r="A53" s="46"/>
    </row>
  </sheetData>
  <mergeCells count="5">
    <mergeCell ref="A1:G1"/>
    <mergeCell ref="A41:B41"/>
    <mergeCell ref="A42:B42"/>
    <mergeCell ref="A43:B43"/>
    <mergeCell ref="A50:G50"/>
  </mergeCells>
  <conditionalFormatting sqref="F2:F3 F5:F49 F54:F65536">
    <cfRule type="cellIs" dxfId="161" priority="3" stopIfTrue="1" operator="between">
      <formula>0.009</formula>
      <formula>-0.009</formula>
    </cfRule>
  </conditionalFormatting>
  <conditionalFormatting sqref="F51">
    <cfRule type="cellIs" dxfId="160" priority="1" stopIfTrue="1" operator="between">
      <formula>0.009</formula>
      <formula>-0.009</formula>
    </cfRule>
  </conditionalFormatting>
  <conditionalFormatting sqref="F52:F53">
    <cfRule type="cellIs" dxfId="159" priority="2" stopIfTrue="1" operator="between">
      <formula>0.009</formula>
      <formula>-0.009</formula>
    </cfRule>
  </conditionalFormatting>
  <hyperlinks>
    <hyperlink ref="A51" r:id="rId1" xr:uid="{00000000-0004-0000-03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0"/>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862</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863</v>
      </c>
      <c r="B7" s="27" t="s">
        <v>864</v>
      </c>
      <c r="C7" s="27" t="s">
        <v>865</v>
      </c>
      <c r="D7" s="31">
        <v>550</v>
      </c>
      <c r="E7" s="29">
        <v>5926.3159999999998</v>
      </c>
      <c r="F7" s="30">
        <v>6.84065582547752</v>
      </c>
      <c r="G7" s="29">
        <v>4.7149999999999999</v>
      </c>
    </row>
    <row r="8" spans="1:7" x14ac:dyDescent="0.2">
      <c r="A8" s="27" t="s">
        <v>866</v>
      </c>
      <c r="B8" s="27" t="s">
        <v>867</v>
      </c>
      <c r="C8" s="27" t="s">
        <v>39</v>
      </c>
      <c r="D8" s="31">
        <v>500</v>
      </c>
      <c r="E8" s="29">
        <v>5353.94</v>
      </c>
      <c r="F8" s="30">
        <v>6.1799709718916596</v>
      </c>
      <c r="G8" s="29">
        <v>5.17</v>
      </c>
    </row>
    <row r="9" spans="1:7" x14ac:dyDescent="0.2">
      <c r="A9" s="27" t="s">
        <v>868</v>
      </c>
      <c r="B9" s="27" t="s">
        <v>869</v>
      </c>
      <c r="C9" s="27" t="s">
        <v>39</v>
      </c>
      <c r="D9" s="31">
        <v>500</v>
      </c>
      <c r="E9" s="29">
        <v>5110.8450000000003</v>
      </c>
      <c r="F9" s="30">
        <v>5.89937013523455</v>
      </c>
      <c r="G9" s="29">
        <v>4.37</v>
      </c>
    </row>
    <row r="10" spans="1:7" x14ac:dyDescent="0.2">
      <c r="A10" s="27" t="s">
        <v>870</v>
      </c>
      <c r="B10" s="27" t="s">
        <v>871</v>
      </c>
      <c r="C10" s="27" t="s">
        <v>872</v>
      </c>
      <c r="D10" s="31">
        <v>430</v>
      </c>
      <c r="E10" s="29">
        <v>4421.4706999999999</v>
      </c>
      <c r="F10" s="30">
        <v>5.1036359352307903</v>
      </c>
      <c r="G10" s="29">
        <v>5.9085000000000001</v>
      </c>
    </row>
    <row r="11" spans="1:7" x14ac:dyDescent="0.2">
      <c r="A11" s="27" t="s">
        <v>873</v>
      </c>
      <c r="B11" s="27" t="s">
        <v>874</v>
      </c>
      <c r="C11" s="27" t="s">
        <v>875</v>
      </c>
      <c r="D11" s="31">
        <v>310</v>
      </c>
      <c r="E11" s="29">
        <v>3478.7890000000002</v>
      </c>
      <c r="F11" s="30">
        <v>4.0155128816042103</v>
      </c>
      <c r="G11" s="29">
        <v>7.6942000000000004</v>
      </c>
    </row>
    <row r="12" spans="1:7" x14ac:dyDescent="0.2">
      <c r="A12" s="27" t="s">
        <v>876</v>
      </c>
      <c r="B12" s="27" t="s">
        <v>877</v>
      </c>
      <c r="C12" s="27" t="s">
        <v>865</v>
      </c>
      <c r="D12" s="31">
        <v>264</v>
      </c>
      <c r="E12" s="29">
        <v>2722.4498400000002</v>
      </c>
      <c r="F12" s="30">
        <v>3.1424821689505502</v>
      </c>
      <c r="G12" s="29">
        <v>6.0987</v>
      </c>
    </row>
    <row r="13" spans="1:7" x14ac:dyDescent="0.2">
      <c r="A13" s="27" t="s">
        <v>878</v>
      </c>
      <c r="B13" s="27" t="s">
        <v>879</v>
      </c>
      <c r="C13" s="27" t="s">
        <v>39</v>
      </c>
      <c r="D13" s="31">
        <v>250</v>
      </c>
      <c r="E13" s="29">
        <v>2626.5324999999998</v>
      </c>
      <c r="F13" s="30">
        <v>3.0317662519060802</v>
      </c>
      <c r="G13" s="29">
        <v>6.4349999999999996</v>
      </c>
    </row>
    <row r="14" spans="1:7" x14ac:dyDescent="0.2">
      <c r="A14" s="27" t="s">
        <v>880</v>
      </c>
      <c r="B14" s="27" t="s">
        <v>881</v>
      </c>
      <c r="C14" s="27" t="s">
        <v>39</v>
      </c>
      <c r="D14" s="31">
        <v>250</v>
      </c>
      <c r="E14" s="29">
        <v>2608.375</v>
      </c>
      <c r="F14" s="30">
        <v>3.0108073276517699</v>
      </c>
      <c r="G14" s="29">
        <v>5.6548999999999996</v>
      </c>
    </row>
    <row r="15" spans="1:7" x14ac:dyDescent="0.2">
      <c r="A15" s="27" t="s">
        <v>882</v>
      </c>
      <c r="B15" s="27" t="s">
        <v>883</v>
      </c>
      <c r="C15" s="27" t="s">
        <v>39</v>
      </c>
      <c r="D15" s="31">
        <v>250</v>
      </c>
      <c r="E15" s="29">
        <v>2601.145</v>
      </c>
      <c r="F15" s="30">
        <v>3.0024618493448099</v>
      </c>
      <c r="G15" s="29">
        <v>4.38</v>
      </c>
    </row>
    <row r="16" spans="1:7" x14ac:dyDescent="0.2">
      <c r="A16" s="27" t="s">
        <v>884</v>
      </c>
      <c r="B16" s="27" t="s">
        <v>885</v>
      </c>
      <c r="C16" s="27" t="s">
        <v>39</v>
      </c>
      <c r="D16" s="31">
        <v>250</v>
      </c>
      <c r="E16" s="29">
        <v>2592.8024999999998</v>
      </c>
      <c r="F16" s="30">
        <v>2.9928322293204901</v>
      </c>
      <c r="G16" s="29">
        <v>4.1500000000000004</v>
      </c>
    </row>
    <row r="17" spans="1:7" x14ac:dyDescent="0.2">
      <c r="A17" s="27" t="s">
        <v>886</v>
      </c>
      <c r="B17" s="27" t="s">
        <v>887</v>
      </c>
      <c r="C17" s="27" t="s">
        <v>39</v>
      </c>
      <c r="D17" s="31">
        <v>250</v>
      </c>
      <c r="E17" s="29">
        <v>2587.4250000000002</v>
      </c>
      <c r="F17" s="30">
        <v>2.9866250634013101</v>
      </c>
      <c r="G17" s="29">
        <v>4.8899999999999997</v>
      </c>
    </row>
    <row r="18" spans="1:7" x14ac:dyDescent="0.2">
      <c r="A18" s="27" t="s">
        <v>888</v>
      </c>
      <c r="B18" s="27" t="s">
        <v>889</v>
      </c>
      <c r="C18" s="27" t="s">
        <v>39</v>
      </c>
      <c r="D18" s="31">
        <v>250</v>
      </c>
      <c r="E18" s="29">
        <v>2574.4349999999999</v>
      </c>
      <c r="F18" s="30">
        <v>2.9716309052813301</v>
      </c>
      <c r="G18" s="29">
        <v>4.75</v>
      </c>
    </row>
    <row r="19" spans="1:7" x14ac:dyDescent="0.2">
      <c r="A19" s="27" t="s">
        <v>890</v>
      </c>
      <c r="B19" s="27" t="s">
        <v>891</v>
      </c>
      <c r="C19" s="27" t="s">
        <v>39</v>
      </c>
      <c r="D19" s="31">
        <v>250</v>
      </c>
      <c r="E19" s="29">
        <v>2551.4549999999999</v>
      </c>
      <c r="F19" s="30">
        <v>2.9451054431106498</v>
      </c>
      <c r="G19" s="29">
        <v>4.8150000000000004</v>
      </c>
    </row>
    <row r="20" spans="1:7" x14ac:dyDescent="0.2">
      <c r="A20" s="27" t="s">
        <v>892</v>
      </c>
      <c r="B20" s="27" t="s">
        <v>893</v>
      </c>
      <c r="C20" s="27" t="s">
        <v>894</v>
      </c>
      <c r="D20" s="31">
        <v>200</v>
      </c>
      <c r="E20" s="29">
        <v>2118.9299999999998</v>
      </c>
      <c r="F20" s="30">
        <v>2.44584845767237</v>
      </c>
      <c r="G20" s="29">
        <v>4.7648999999999999</v>
      </c>
    </row>
    <row r="21" spans="1:7" x14ac:dyDescent="0.2">
      <c r="A21" s="27" t="s">
        <v>895</v>
      </c>
      <c r="B21" s="27" t="s">
        <v>896</v>
      </c>
      <c r="C21" s="27" t="s">
        <v>39</v>
      </c>
      <c r="D21" s="31">
        <v>200</v>
      </c>
      <c r="E21" s="29">
        <v>2116.7060000000001</v>
      </c>
      <c r="F21" s="30">
        <v>2.4432813285223398</v>
      </c>
      <c r="G21" s="29">
        <v>5.14</v>
      </c>
    </row>
    <row r="22" spans="1:7" x14ac:dyDescent="0.2">
      <c r="A22" s="27" t="s">
        <v>897</v>
      </c>
      <c r="B22" s="27" t="s">
        <v>898</v>
      </c>
      <c r="C22" s="27" t="s">
        <v>39</v>
      </c>
      <c r="D22" s="31">
        <v>166</v>
      </c>
      <c r="E22" s="29">
        <v>2102.5045399999999</v>
      </c>
      <c r="F22" s="30">
        <v>2.4268888006721099</v>
      </c>
      <c r="G22" s="29">
        <v>4.4554</v>
      </c>
    </row>
    <row r="23" spans="1:7" x14ac:dyDescent="0.2">
      <c r="A23" s="27" t="s">
        <v>899</v>
      </c>
      <c r="B23" s="27" t="s">
        <v>900</v>
      </c>
      <c r="C23" s="27" t="s">
        <v>39</v>
      </c>
      <c r="D23" s="31">
        <v>187</v>
      </c>
      <c r="E23" s="29">
        <v>1932.15506</v>
      </c>
      <c r="F23" s="30">
        <v>2.2302570039996001</v>
      </c>
      <c r="G23" s="29">
        <v>3.99</v>
      </c>
    </row>
    <row r="24" spans="1:7" x14ac:dyDescent="0.2">
      <c r="A24" s="27" t="s">
        <v>901</v>
      </c>
      <c r="B24" s="27" t="s">
        <v>902</v>
      </c>
      <c r="C24" s="27" t="s">
        <v>39</v>
      </c>
      <c r="D24" s="31">
        <v>180</v>
      </c>
      <c r="E24" s="29">
        <v>1850.58</v>
      </c>
      <c r="F24" s="30">
        <v>2.1360961611753702</v>
      </c>
      <c r="G24" s="29">
        <v>3.895</v>
      </c>
    </row>
    <row r="25" spans="1:7" x14ac:dyDescent="0.2">
      <c r="A25" s="27" t="s">
        <v>903</v>
      </c>
      <c r="B25" s="27" t="s">
        <v>904</v>
      </c>
      <c r="C25" s="27" t="s">
        <v>39</v>
      </c>
      <c r="D25" s="31">
        <v>140</v>
      </c>
      <c r="E25" s="29">
        <v>1544.1342</v>
      </c>
      <c r="F25" s="30">
        <v>1.7823704659942301</v>
      </c>
      <c r="G25" s="29">
        <v>5.4870999999999999</v>
      </c>
    </row>
    <row r="26" spans="1:7" x14ac:dyDescent="0.2">
      <c r="A26" s="27" t="s">
        <v>905</v>
      </c>
      <c r="B26" s="27" t="s">
        <v>906</v>
      </c>
      <c r="C26" s="27" t="s">
        <v>907</v>
      </c>
      <c r="D26" s="31">
        <v>150</v>
      </c>
      <c r="E26" s="29">
        <v>1504.6980000000001</v>
      </c>
      <c r="F26" s="30">
        <v>1.7368498641119301</v>
      </c>
      <c r="G26" s="29">
        <v>10.62</v>
      </c>
    </row>
    <row r="27" spans="1:7" x14ac:dyDescent="0.2">
      <c r="A27" s="27" t="s">
        <v>908</v>
      </c>
      <c r="B27" s="27" t="s">
        <v>909</v>
      </c>
      <c r="C27" s="27" t="s">
        <v>894</v>
      </c>
      <c r="D27" s="31">
        <v>150</v>
      </c>
      <c r="E27" s="29">
        <v>1500.9570000000001</v>
      </c>
      <c r="F27" s="30">
        <v>1.7325316850875401</v>
      </c>
      <c r="G27" s="29">
        <v>5.2149999999999999</v>
      </c>
    </row>
    <row r="28" spans="1:7" x14ac:dyDescent="0.2">
      <c r="A28" s="27" t="s">
        <v>910</v>
      </c>
      <c r="B28" s="27" t="s">
        <v>911</v>
      </c>
      <c r="C28" s="27" t="s">
        <v>39</v>
      </c>
      <c r="D28" s="31">
        <v>118</v>
      </c>
      <c r="E28" s="29">
        <v>1203.5799400000001</v>
      </c>
      <c r="F28" s="30">
        <v>1.3892738976438099</v>
      </c>
      <c r="G28" s="29">
        <v>3.85</v>
      </c>
    </row>
    <row r="29" spans="1:7" x14ac:dyDescent="0.2">
      <c r="A29" s="27" t="s">
        <v>912</v>
      </c>
      <c r="B29" s="27" t="s">
        <v>913</v>
      </c>
      <c r="C29" s="27" t="s">
        <v>39</v>
      </c>
      <c r="D29" s="31">
        <v>100</v>
      </c>
      <c r="E29" s="29">
        <v>1083.7809999999999</v>
      </c>
      <c r="F29" s="30">
        <v>1.25099181535238</v>
      </c>
      <c r="G29" s="29">
        <v>5.9850000000000003</v>
      </c>
    </row>
    <row r="30" spans="1:7" x14ac:dyDescent="0.2">
      <c r="A30" s="27" t="s">
        <v>914</v>
      </c>
      <c r="B30" s="27" t="s">
        <v>915</v>
      </c>
      <c r="C30" s="27" t="s">
        <v>39</v>
      </c>
      <c r="D30" s="31">
        <v>100</v>
      </c>
      <c r="E30" s="29">
        <v>1058.07</v>
      </c>
      <c r="F30" s="30">
        <v>1.2213140016939701</v>
      </c>
      <c r="G30" s="29">
        <v>5.67</v>
      </c>
    </row>
    <row r="31" spans="1:7" x14ac:dyDescent="0.2">
      <c r="A31" s="27" t="s">
        <v>916</v>
      </c>
      <c r="B31" s="27" t="s">
        <v>917</v>
      </c>
      <c r="C31" s="27" t="s">
        <v>39</v>
      </c>
      <c r="D31" s="31">
        <v>100</v>
      </c>
      <c r="E31" s="29">
        <v>1038.4390000000001</v>
      </c>
      <c r="F31" s="30">
        <v>1.1986542389493</v>
      </c>
      <c r="G31" s="29">
        <v>5.09</v>
      </c>
    </row>
    <row r="32" spans="1:7" x14ac:dyDescent="0.2">
      <c r="A32" s="27" t="s">
        <v>918</v>
      </c>
      <c r="B32" s="27" t="s">
        <v>919</v>
      </c>
      <c r="C32" s="27" t="s">
        <v>39</v>
      </c>
      <c r="D32" s="31">
        <v>76</v>
      </c>
      <c r="E32" s="29">
        <v>792.63211999999999</v>
      </c>
      <c r="F32" s="30">
        <v>0.91492312072771598</v>
      </c>
      <c r="G32" s="29">
        <v>4.1399999999999997</v>
      </c>
    </row>
    <row r="33" spans="1:7" x14ac:dyDescent="0.2">
      <c r="A33" s="27" t="s">
        <v>920</v>
      </c>
      <c r="B33" s="27" t="s">
        <v>921</v>
      </c>
      <c r="C33" s="27" t="s">
        <v>850</v>
      </c>
      <c r="D33" s="31">
        <v>59</v>
      </c>
      <c r="E33" s="29">
        <v>614.98296000000005</v>
      </c>
      <c r="F33" s="30">
        <v>0.70986541519105795</v>
      </c>
      <c r="G33" s="29">
        <v>4.25</v>
      </c>
    </row>
    <row r="34" spans="1:7" x14ac:dyDescent="0.2">
      <c r="A34" s="27" t="s">
        <v>922</v>
      </c>
      <c r="B34" s="27" t="s">
        <v>923</v>
      </c>
      <c r="C34" s="27" t="s">
        <v>894</v>
      </c>
      <c r="D34" s="31">
        <v>44</v>
      </c>
      <c r="E34" s="29">
        <v>558.36703999999997</v>
      </c>
      <c r="F34" s="30">
        <v>0.64451452553840205</v>
      </c>
      <c r="G34" s="29">
        <v>5.0350000000000001</v>
      </c>
    </row>
    <row r="35" spans="1:7" x14ac:dyDescent="0.2">
      <c r="A35" s="27" t="s">
        <v>924</v>
      </c>
      <c r="B35" s="27" t="s">
        <v>925</v>
      </c>
      <c r="C35" s="27" t="s">
        <v>894</v>
      </c>
      <c r="D35" s="31">
        <v>50</v>
      </c>
      <c r="E35" s="29">
        <v>557.70600000000002</v>
      </c>
      <c r="F35" s="30">
        <v>0.64375149718708302</v>
      </c>
      <c r="G35" s="29">
        <v>6.66</v>
      </c>
    </row>
    <row r="36" spans="1:7" x14ac:dyDescent="0.2">
      <c r="A36" s="27" t="s">
        <v>926</v>
      </c>
      <c r="B36" s="27" t="s">
        <v>927</v>
      </c>
      <c r="C36" s="27" t="s">
        <v>894</v>
      </c>
      <c r="D36" s="31">
        <v>53</v>
      </c>
      <c r="E36" s="29">
        <v>545.05146999999999</v>
      </c>
      <c r="F36" s="30">
        <v>0.62914456695197896</v>
      </c>
      <c r="G36" s="29">
        <v>3.9350000000000001</v>
      </c>
    </row>
    <row r="37" spans="1:7" x14ac:dyDescent="0.2">
      <c r="A37" s="27" t="s">
        <v>928</v>
      </c>
      <c r="B37" s="27" t="s">
        <v>929</v>
      </c>
      <c r="C37" s="27" t="s">
        <v>39</v>
      </c>
      <c r="D37" s="31">
        <v>45</v>
      </c>
      <c r="E37" s="29">
        <v>497.51414999999997</v>
      </c>
      <c r="F37" s="30">
        <v>0.574272966283775</v>
      </c>
      <c r="G37" s="29">
        <v>5.9545000000000003</v>
      </c>
    </row>
    <row r="38" spans="1:7" x14ac:dyDescent="0.2">
      <c r="A38" s="27" t="s">
        <v>930</v>
      </c>
      <c r="B38" s="27" t="s">
        <v>931</v>
      </c>
      <c r="C38" s="27" t="s">
        <v>39</v>
      </c>
      <c r="D38" s="31">
        <v>31</v>
      </c>
      <c r="E38" s="29">
        <v>382.04369000000003</v>
      </c>
      <c r="F38" s="30">
        <v>0.44098718218627297</v>
      </c>
      <c r="G38" s="29">
        <v>4.7</v>
      </c>
    </row>
    <row r="39" spans="1:7" x14ac:dyDescent="0.2">
      <c r="A39" s="27" t="s">
        <v>932</v>
      </c>
      <c r="B39" s="27" t="s">
        <v>933</v>
      </c>
      <c r="C39" s="27" t="s">
        <v>894</v>
      </c>
      <c r="D39" s="31">
        <v>34</v>
      </c>
      <c r="E39" s="29">
        <v>355.11435999999998</v>
      </c>
      <c r="F39" s="30">
        <v>0.40990306886178901</v>
      </c>
      <c r="G39" s="29">
        <v>4.1150000000000002</v>
      </c>
    </row>
    <row r="40" spans="1:7" x14ac:dyDescent="0.2">
      <c r="A40" s="27" t="s">
        <v>934</v>
      </c>
      <c r="B40" s="27" t="s">
        <v>935</v>
      </c>
      <c r="C40" s="27" t="s">
        <v>39</v>
      </c>
      <c r="D40" s="31">
        <v>33</v>
      </c>
      <c r="E40" s="29">
        <v>335.91194999999999</v>
      </c>
      <c r="F40" s="30">
        <v>0.38773802099230198</v>
      </c>
      <c r="G40" s="29">
        <v>3.99</v>
      </c>
    </row>
    <row r="41" spans="1:7" x14ac:dyDescent="0.2">
      <c r="A41" s="27" t="s">
        <v>90</v>
      </c>
      <c r="B41" s="27" t="s">
        <v>89</v>
      </c>
      <c r="C41" s="27" t="s">
        <v>39</v>
      </c>
      <c r="D41" s="31">
        <v>25</v>
      </c>
      <c r="E41" s="29">
        <v>278.85000000000002</v>
      </c>
      <c r="F41" s="30">
        <v>0.32187228573947202</v>
      </c>
      <c r="G41" s="29">
        <v>6.95</v>
      </c>
    </row>
    <row r="42" spans="1:7" x14ac:dyDescent="0.2">
      <c r="A42" s="27" t="s">
        <v>92</v>
      </c>
      <c r="B42" s="27" t="s">
        <v>91</v>
      </c>
      <c r="C42" s="27" t="s">
        <v>39</v>
      </c>
      <c r="D42" s="31">
        <v>20</v>
      </c>
      <c r="E42" s="29">
        <v>224.00919999999999</v>
      </c>
      <c r="F42" s="30">
        <v>0.25857038992530201</v>
      </c>
      <c r="G42" s="29">
        <v>6.8948999999999998</v>
      </c>
    </row>
    <row r="43" spans="1:7" x14ac:dyDescent="0.2">
      <c r="A43" s="27" t="s">
        <v>936</v>
      </c>
      <c r="B43" s="27" t="s">
        <v>937</v>
      </c>
      <c r="C43" s="27" t="s">
        <v>894</v>
      </c>
      <c r="D43" s="31">
        <v>19</v>
      </c>
      <c r="E43" s="29">
        <v>195.18301</v>
      </c>
      <c r="F43" s="30">
        <v>0.2252967601442</v>
      </c>
      <c r="G43" s="29">
        <v>3.79</v>
      </c>
    </row>
    <row r="44" spans="1:7" x14ac:dyDescent="0.2">
      <c r="A44" s="27" t="s">
        <v>938</v>
      </c>
      <c r="B44" s="27" t="s">
        <v>939</v>
      </c>
      <c r="C44" s="27" t="s">
        <v>39</v>
      </c>
      <c r="D44" s="31">
        <v>15</v>
      </c>
      <c r="E44" s="29">
        <v>190.43145000000001</v>
      </c>
      <c r="F44" s="30">
        <v>0.21981210718372601</v>
      </c>
      <c r="G44" s="29">
        <v>4.6500000000000004</v>
      </c>
    </row>
    <row r="45" spans="1:7" x14ac:dyDescent="0.2">
      <c r="A45" s="27" t="s">
        <v>940</v>
      </c>
      <c r="B45" s="27" t="s">
        <v>941</v>
      </c>
      <c r="C45" s="27" t="s">
        <v>894</v>
      </c>
      <c r="D45" s="31">
        <v>70</v>
      </c>
      <c r="E45" s="29">
        <v>71.44032</v>
      </c>
      <c r="F45" s="30">
        <v>8.2462467607528497E-2</v>
      </c>
      <c r="G45" s="29">
        <v>3.7</v>
      </c>
    </row>
    <row r="46" spans="1:7" x14ac:dyDescent="0.2">
      <c r="A46" s="27" t="s">
        <v>942</v>
      </c>
      <c r="B46" s="27" t="s">
        <v>943</v>
      </c>
      <c r="C46" s="27" t="s">
        <v>850</v>
      </c>
      <c r="D46" s="31">
        <v>3</v>
      </c>
      <c r="E46" s="29">
        <v>38.372100000000003</v>
      </c>
      <c r="F46" s="30">
        <v>4.4292327543925397E-2</v>
      </c>
      <c r="G46" s="29">
        <v>5.8242000000000003</v>
      </c>
    </row>
    <row r="47" spans="1:7" x14ac:dyDescent="0.2">
      <c r="A47" s="27" t="s">
        <v>944</v>
      </c>
      <c r="B47" s="27" t="s">
        <v>945</v>
      </c>
      <c r="C47" s="27" t="s">
        <v>39</v>
      </c>
      <c r="D47" s="31">
        <v>3</v>
      </c>
      <c r="E47" s="29">
        <v>30.85539</v>
      </c>
      <c r="F47" s="30">
        <v>3.5615904273562302E-2</v>
      </c>
      <c r="G47" s="29">
        <v>4.7248000000000001</v>
      </c>
    </row>
    <row r="48" spans="1:7" x14ac:dyDescent="0.2">
      <c r="A48" s="27" t="s">
        <v>946</v>
      </c>
      <c r="B48" s="27" t="s">
        <v>947</v>
      </c>
      <c r="C48" s="27" t="s">
        <v>39</v>
      </c>
      <c r="D48" s="31">
        <v>3</v>
      </c>
      <c r="E48" s="29">
        <v>30.154769999999999</v>
      </c>
      <c r="F48" s="30">
        <v>3.4807189334222902E-2</v>
      </c>
      <c r="G48" s="29">
        <v>3.2799</v>
      </c>
    </row>
    <row r="49" spans="1:9" x14ac:dyDescent="0.2">
      <c r="A49" s="27" t="s">
        <v>948</v>
      </c>
      <c r="B49" s="27" t="s">
        <v>949</v>
      </c>
      <c r="C49" s="27" t="s">
        <v>39</v>
      </c>
      <c r="D49" s="31">
        <v>2</v>
      </c>
      <c r="E49" s="29">
        <v>20.429780000000001</v>
      </c>
      <c r="F49" s="30">
        <v>2.35817822691574E-2</v>
      </c>
      <c r="G49" s="29">
        <v>3.9550000000000001</v>
      </c>
    </row>
    <row r="50" spans="1:9" x14ac:dyDescent="0.2">
      <c r="A50" s="27" t="s">
        <v>950</v>
      </c>
      <c r="B50" s="27" t="s">
        <v>951</v>
      </c>
      <c r="C50" s="27" t="s">
        <v>39</v>
      </c>
      <c r="D50" s="31">
        <v>2</v>
      </c>
      <c r="E50" s="29">
        <v>20.395579999999999</v>
      </c>
      <c r="F50" s="30">
        <v>2.35423057327677E-2</v>
      </c>
      <c r="G50" s="29">
        <v>3.5800999999999998</v>
      </c>
    </row>
    <row r="51" spans="1:9" ht="10.5" x14ac:dyDescent="0.25">
      <c r="A51" s="26" t="s">
        <v>40</v>
      </c>
      <c r="B51" s="26"/>
      <c r="C51" s="26"/>
      <c r="D51" s="32"/>
      <c r="E51" s="33">
        <f>SUM(E6:E50)</f>
        <v>69949.960620000013</v>
      </c>
      <c r="F51" s="34">
        <f>SUM(F6:F50)</f>
        <v>80.742168592954897</v>
      </c>
      <c r="G51" s="33"/>
      <c r="H51" s="18"/>
      <c r="I51" s="18"/>
    </row>
    <row r="52" spans="1:9" x14ac:dyDescent="0.2">
      <c r="A52" s="27"/>
      <c r="B52" s="27"/>
      <c r="C52" s="27"/>
      <c r="D52" s="28"/>
      <c r="E52" s="29"/>
      <c r="F52" s="30"/>
      <c r="G52" s="29"/>
    </row>
    <row r="53" spans="1:9" ht="10.5" x14ac:dyDescent="0.25">
      <c r="A53" s="26" t="s">
        <v>41</v>
      </c>
      <c r="B53" s="27"/>
      <c r="C53" s="27"/>
      <c r="D53" s="28"/>
      <c r="E53" s="29"/>
      <c r="F53" s="30"/>
      <c r="G53" s="29"/>
    </row>
    <row r="54" spans="1:9" x14ac:dyDescent="0.2">
      <c r="A54" s="27" t="s">
        <v>952</v>
      </c>
      <c r="B54" s="27" t="s">
        <v>953</v>
      </c>
      <c r="C54" s="27" t="s">
        <v>39</v>
      </c>
      <c r="D54" s="31">
        <v>49</v>
      </c>
      <c r="E54" s="29">
        <v>494.07042999999999</v>
      </c>
      <c r="F54" s="30">
        <v>0.57029793301195597</v>
      </c>
      <c r="G54" s="29">
        <v>3.7120000000000002</v>
      </c>
    </row>
    <row r="55" spans="1:9" ht="10.5" x14ac:dyDescent="0.25">
      <c r="A55" s="26" t="s">
        <v>40</v>
      </c>
      <c r="B55" s="26"/>
      <c r="C55" s="26"/>
      <c r="D55" s="32"/>
      <c r="E55" s="33">
        <f>SUM(E53:E54)</f>
        <v>494.07042999999999</v>
      </c>
      <c r="F55" s="34">
        <f>SUM(F53:F54)</f>
        <v>0.57029793301195597</v>
      </c>
      <c r="G55" s="33"/>
      <c r="H55" s="18"/>
      <c r="I55" s="18"/>
    </row>
    <row r="56" spans="1:9" x14ac:dyDescent="0.2">
      <c r="A56" s="27"/>
      <c r="B56" s="27"/>
      <c r="C56" s="27"/>
      <c r="D56" s="28"/>
      <c r="E56" s="29"/>
      <c r="F56" s="30"/>
      <c r="G56" s="29"/>
    </row>
    <row r="57" spans="1:9" ht="10.5" x14ac:dyDescent="0.25">
      <c r="A57" s="26" t="s">
        <v>57</v>
      </c>
      <c r="B57" s="27"/>
      <c r="C57" s="27"/>
      <c r="D57" s="28"/>
      <c r="E57" s="29"/>
      <c r="F57" s="30"/>
      <c r="G57" s="29"/>
    </row>
    <row r="58" spans="1:9" ht="10.5" x14ac:dyDescent="0.25">
      <c r="A58" s="26" t="s">
        <v>58</v>
      </c>
      <c r="B58" s="27"/>
      <c r="C58" s="27"/>
      <c r="D58" s="28"/>
      <c r="E58" s="29"/>
      <c r="F58" s="30"/>
      <c r="G58" s="29"/>
    </row>
    <row r="59" spans="1:9" x14ac:dyDescent="0.2">
      <c r="A59" s="27" t="s">
        <v>808</v>
      </c>
      <c r="B59" s="27" t="s">
        <v>809</v>
      </c>
      <c r="C59" s="27" t="s">
        <v>62</v>
      </c>
      <c r="D59" s="31">
        <v>1000</v>
      </c>
      <c r="E59" s="29">
        <v>996.59699999999998</v>
      </c>
      <c r="F59" s="30">
        <v>1.15035665896038</v>
      </c>
      <c r="G59" s="29">
        <v>3.2797999999999998</v>
      </c>
    </row>
    <row r="60" spans="1:9" ht="10.5" x14ac:dyDescent="0.25">
      <c r="A60" s="26" t="s">
        <v>40</v>
      </c>
      <c r="B60" s="26"/>
      <c r="C60" s="26"/>
      <c r="D60" s="32"/>
      <c r="E60" s="33">
        <f>SUM(E58:E59)</f>
        <v>996.59699999999998</v>
      </c>
      <c r="F60" s="34">
        <f>SUM(F58:F59)</f>
        <v>1.15035665896038</v>
      </c>
      <c r="G60" s="33"/>
      <c r="H60" s="18"/>
      <c r="I60" s="18"/>
    </row>
    <row r="61" spans="1:9" x14ac:dyDescent="0.2">
      <c r="A61" s="27"/>
      <c r="B61" s="27"/>
      <c r="C61" s="27"/>
      <c r="D61" s="28"/>
      <c r="E61" s="29"/>
      <c r="F61" s="30"/>
      <c r="G61" s="29"/>
    </row>
    <row r="62" spans="1:9" ht="10.5" x14ac:dyDescent="0.25">
      <c r="A62" s="26" t="s">
        <v>79</v>
      </c>
      <c r="B62" s="27"/>
      <c r="C62" s="27"/>
      <c r="D62" s="28"/>
      <c r="E62" s="29"/>
      <c r="F62" s="30"/>
      <c r="G62" s="29"/>
    </row>
    <row r="63" spans="1:9" x14ac:dyDescent="0.2">
      <c r="A63" s="27" t="s">
        <v>94</v>
      </c>
      <c r="B63" s="27" t="s">
        <v>93</v>
      </c>
      <c r="C63" s="27" t="s">
        <v>80</v>
      </c>
      <c r="D63" s="31">
        <v>4500000</v>
      </c>
      <c r="E63" s="29">
        <v>4687.5735000000004</v>
      </c>
      <c r="F63" s="30">
        <v>5.4107943231729498</v>
      </c>
      <c r="G63" s="29">
        <v>4.9489999999999998</v>
      </c>
    </row>
    <row r="64" spans="1:9" x14ac:dyDescent="0.2">
      <c r="A64" s="27" t="s">
        <v>84</v>
      </c>
      <c r="B64" s="27" t="s">
        <v>83</v>
      </c>
      <c r="C64" s="27" t="s">
        <v>80</v>
      </c>
      <c r="D64" s="31">
        <v>2000000</v>
      </c>
      <c r="E64" s="29">
        <v>2144.33</v>
      </c>
      <c r="F64" s="30">
        <v>2.4751672887922598</v>
      </c>
      <c r="G64" s="29">
        <v>4.7077999999999998</v>
      </c>
    </row>
    <row r="65" spans="1:9" x14ac:dyDescent="0.2">
      <c r="A65" s="27" t="s">
        <v>954</v>
      </c>
      <c r="B65" s="27" t="s">
        <v>955</v>
      </c>
      <c r="C65" s="27" t="s">
        <v>80</v>
      </c>
      <c r="D65" s="31">
        <v>2000000</v>
      </c>
      <c r="E65" s="29">
        <v>2122.1480000000001</v>
      </c>
      <c r="F65" s="30">
        <v>2.44956294580401</v>
      </c>
      <c r="G65" s="29">
        <v>4.4349999999999996</v>
      </c>
    </row>
    <row r="66" spans="1:9" ht="10.5" x14ac:dyDescent="0.25">
      <c r="A66" s="26" t="s">
        <v>40</v>
      </c>
      <c r="B66" s="26"/>
      <c r="C66" s="26"/>
      <c r="D66" s="32"/>
      <c r="E66" s="33">
        <f>SUM(E63:E65)</f>
        <v>8954.0515000000014</v>
      </c>
      <c r="F66" s="34">
        <f>SUM(F63:F65)</f>
        <v>10.335524557769219</v>
      </c>
      <c r="G66" s="33"/>
      <c r="H66" s="18"/>
      <c r="I66" s="18"/>
    </row>
    <row r="67" spans="1:9" x14ac:dyDescent="0.2">
      <c r="A67" s="27"/>
      <c r="B67" s="27"/>
      <c r="C67" s="27"/>
      <c r="D67" s="28"/>
      <c r="E67" s="29"/>
      <c r="F67" s="30"/>
      <c r="G67" s="29"/>
    </row>
    <row r="68" spans="1:9" ht="10.5" x14ac:dyDescent="0.25">
      <c r="A68" s="26" t="s">
        <v>44</v>
      </c>
      <c r="B68" s="26"/>
      <c r="C68" s="26"/>
      <c r="D68" s="32"/>
      <c r="E68" s="33">
        <f>E51+E55+E60+E66</f>
        <v>80394.679550000015</v>
      </c>
      <c r="F68" s="34">
        <f>F51+F55+F60+F66</f>
        <v>92.79834774269645</v>
      </c>
      <c r="G68" s="33"/>
      <c r="H68" s="18"/>
      <c r="I68" s="18"/>
    </row>
    <row r="69" spans="1:9" ht="10.5" x14ac:dyDescent="0.25">
      <c r="A69" s="26"/>
      <c r="B69" s="26"/>
      <c r="C69" s="26"/>
      <c r="D69" s="32"/>
      <c r="E69" s="33"/>
      <c r="F69" s="34"/>
      <c r="G69" s="33"/>
      <c r="H69" s="18"/>
      <c r="I69" s="18"/>
    </row>
    <row r="70" spans="1:9" ht="10.5" x14ac:dyDescent="0.25">
      <c r="A70" s="26" t="s">
        <v>46</v>
      </c>
      <c r="B70" s="26"/>
      <c r="C70" s="26"/>
      <c r="D70" s="32"/>
      <c r="E70" s="33">
        <f>E72-(E51+E55+E60+E66)</f>
        <v>6239.0607110999845</v>
      </c>
      <c r="F70" s="34">
        <f>F72-(F51+F55+F60+F66)</f>
        <v>7.2016522573035502</v>
      </c>
      <c r="G70" s="33"/>
      <c r="H70" s="18"/>
      <c r="I70" s="18"/>
    </row>
    <row r="71" spans="1:9" ht="10.5" x14ac:dyDescent="0.25">
      <c r="A71" s="26"/>
      <c r="B71" s="26"/>
      <c r="C71" s="26"/>
      <c r="D71" s="32"/>
      <c r="E71" s="33"/>
      <c r="F71" s="34"/>
      <c r="G71" s="33"/>
      <c r="H71" s="18"/>
      <c r="I71" s="18"/>
    </row>
    <row r="72" spans="1:9" ht="10.5" x14ac:dyDescent="0.25">
      <c r="A72" s="35" t="s">
        <v>45</v>
      </c>
      <c r="B72" s="35"/>
      <c r="C72" s="35"/>
      <c r="D72" s="36"/>
      <c r="E72" s="37">
        <v>86633.7402611</v>
      </c>
      <c r="F72" s="38">
        <v>100</v>
      </c>
      <c r="G72" s="37"/>
      <c r="H72" s="18"/>
      <c r="I72" s="18"/>
    </row>
    <row r="74" spans="1:9" ht="10.5" x14ac:dyDescent="0.25">
      <c r="A74" s="18" t="s">
        <v>47</v>
      </c>
    </row>
    <row r="76" spans="1:9" ht="10.5" x14ac:dyDescent="0.25">
      <c r="A76" s="18" t="s">
        <v>48</v>
      </c>
    </row>
    <row r="77" spans="1:9" ht="10.5" x14ac:dyDescent="0.25">
      <c r="A77" s="18" t="s">
        <v>49</v>
      </c>
    </row>
    <row r="78" spans="1:9" ht="10.5" x14ac:dyDescent="0.25">
      <c r="A78" s="18" t="s">
        <v>50</v>
      </c>
      <c r="B78" s="18"/>
      <c r="C78" s="41" t="s">
        <v>727</v>
      </c>
      <c r="D78" s="19" t="s">
        <v>51</v>
      </c>
    </row>
    <row r="79" spans="1:9" x14ac:dyDescent="0.2">
      <c r="A79" s="9" t="s">
        <v>71</v>
      </c>
      <c r="C79" s="40">
        <v>74.084100000000007</v>
      </c>
      <c r="D79" s="40">
        <v>76.744399999999999</v>
      </c>
    </row>
    <row r="80" spans="1:9" x14ac:dyDescent="0.2">
      <c r="A80" s="9" t="s">
        <v>72</v>
      </c>
      <c r="C80" s="40">
        <v>16.1724</v>
      </c>
      <c r="D80" s="40">
        <v>16.139500000000002</v>
      </c>
    </row>
    <row r="81" spans="1:4" x14ac:dyDescent="0.2">
      <c r="A81" s="9" t="s">
        <v>73</v>
      </c>
      <c r="C81" s="40">
        <v>13.486499999999999</v>
      </c>
      <c r="D81" s="40">
        <v>13.4124</v>
      </c>
    </row>
    <row r="82" spans="1:4" x14ac:dyDescent="0.2">
      <c r="A82" s="9" t="s">
        <v>956</v>
      </c>
      <c r="C82" s="40">
        <v>14.264900000000001</v>
      </c>
      <c r="D82" s="40">
        <v>14.210800000000001</v>
      </c>
    </row>
    <row r="83" spans="1:4" x14ac:dyDescent="0.2">
      <c r="A83" s="9" t="s">
        <v>957</v>
      </c>
      <c r="C83" s="40">
        <v>17.8123</v>
      </c>
      <c r="D83" s="40">
        <v>18.451899999999998</v>
      </c>
    </row>
    <row r="84" spans="1:4" x14ac:dyDescent="0.2">
      <c r="A84" s="9" t="s">
        <v>74</v>
      </c>
      <c r="C84" s="40">
        <v>78.101500000000001</v>
      </c>
      <c r="D84" s="40">
        <v>81.1327</v>
      </c>
    </row>
    <row r="85" spans="1:4" x14ac:dyDescent="0.2">
      <c r="A85" s="9" t="s">
        <v>75</v>
      </c>
      <c r="C85" s="40">
        <v>17.413499999999999</v>
      </c>
      <c r="D85" s="40">
        <v>17.474799999999998</v>
      </c>
    </row>
    <row r="86" spans="1:4" x14ac:dyDescent="0.2">
      <c r="A86" s="9" t="s">
        <v>76</v>
      </c>
      <c r="C86" s="40">
        <v>14.5573</v>
      </c>
      <c r="D86" s="40">
        <v>14.5632</v>
      </c>
    </row>
    <row r="87" spans="1:4" x14ac:dyDescent="0.2">
      <c r="A87" s="9" t="s">
        <v>958</v>
      </c>
      <c r="C87" s="40">
        <v>15.6723</v>
      </c>
      <c r="D87" s="40">
        <v>15.714399999999999</v>
      </c>
    </row>
    <row r="88" spans="1:4" x14ac:dyDescent="0.2">
      <c r="A88" s="9" t="s">
        <v>959</v>
      </c>
      <c r="C88" s="40">
        <v>19.230899999999998</v>
      </c>
      <c r="D88" s="40">
        <v>19.977699999999999</v>
      </c>
    </row>
    <row r="90" spans="1:4" ht="10.5" x14ac:dyDescent="0.25">
      <c r="A90" s="18" t="s">
        <v>52</v>
      </c>
    </row>
    <row r="91" spans="1:4" ht="10.5" x14ac:dyDescent="0.25">
      <c r="A91" s="77" t="s">
        <v>68</v>
      </c>
      <c r="B91" s="78"/>
      <c r="C91" s="43" t="s">
        <v>69</v>
      </c>
    </row>
    <row r="92" spans="1:4" x14ac:dyDescent="0.2">
      <c r="A92" s="71" t="s">
        <v>72</v>
      </c>
      <c r="B92" s="72"/>
      <c r="C92" s="44">
        <v>0.60499999999999998</v>
      </c>
    </row>
    <row r="93" spans="1:4" x14ac:dyDescent="0.2">
      <c r="A93" s="71" t="s">
        <v>73</v>
      </c>
      <c r="B93" s="72"/>
      <c r="C93" s="44">
        <v>0.55000000000000004</v>
      </c>
    </row>
    <row r="94" spans="1:4" x14ac:dyDescent="0.2">
      <c r="A94" s="71" t="s">
        <v>956</v>
      </c>
      <c r="B94" s="72"/>
      <c r="C94" s="44">
        <v>0.55000000000000004</v>
      </c>
    </row>
    <row r="95" spans="1:4" x14ac:dyDescent="0.2">
      <c r="A95" s="71" t="s">
        <v>75</v>
      </c>
      <c r="B95" s="72"/>
      <c r="C95" s="44">
        <v>0.60499999999999998</v>
      </c>
    </row>
    <row r="96" spans="1:4" x14ac:dyDescent="0.2">
      <c r="A96" s="71" t="s">
        <v>76</v>
      </c>
      <c r="B96" s="72"/>
      <c r="C96" s="44">
        <v>0.55000000000000004</v>
      </c>
    </row>
    <row r="97" spans="1:7" x14ac:dyDescent="0.2">
      <c r="A97" s="71" t="s">
        <v>958</v>
      </c>
      <c r="B97" s="72"/>
      <c r="C97" s="44">
        <v>0.55000000000000004</v>
      </c>
    </row>
    <row r="98" spans="1:7" x14ac:dyDescent="0.2">
      <c r="A98" s="9" t="s">
        <v>70</v>
      </c>
    </row>
    <row r="100" spans="1:7" ht="10.5" x14ac:dyDescent="0.25">
      <c r="A100" s="18" t="s">
        <v>798</v>
      </c>
      <c r="D100" s="42">
        <v>2.3147421599452098</v>
      </c>
      <c r="E100" s="13" t="s">
        <v>54</v>
      </c>
    </row>
    <row r="102" spans="1:7" ht="10.5" x14ac:dyDescent="0.25">
      <c r="A102" s="18" t="s">
        <v>1502</v>
      </c>
      <c r="D102" s="41" t="s">
        <v>53</v>
      </c>
    </row>
    <row r="104" spans="1:7" ht="10.5" x14ac:dyDescent="0.25">
      <c r="A104" s="18" t="s">
        <v>960</v>
      </c>
    </row>
    <row r="105" spans="1:7" x14ac:dyDescent="0.2">
      <c r="A105" s="55" t="s">
        <v>961</v>
      </c>
    </row>
    <row r="106" spans="1:7" x14ac:dyDescent="0.2">
      <c r="A106" s="55"/>
    </row>
    <row r="107" spans="1:7" ht="14.5" customHeight="1" x14ac:dyDescent="0.2">
      <c r="A107" s="73" t="s">
        <v>962</v>
      </c>
      <c r="B107" s="74"/>
      <c r="C107" s="74"/>
      <c r="D107" s="74"/>
      <c r="E107" s="74"/>
      <c r="F107" s="74"/>
      <c r="G107" s="74"/>
    </row>
    <row r="108" spans="1:7" x14ac:dyDescent="0.2">
      <c r="A108" s="46" t="s">
        <v>55</v>
      </c>
    </row>
    <row r="110" spans="1:7" x14ac:dyDescent="0.2">
      <c r="A110" s="46"/>
    </row>
  </sheetData>
  <mergeCells count="9">
    <mergeCell ref="A96:B96"/>
    <mergeCell ref="A97:B97"/>
    <mergeCell ref="A107:G107"/>
    <mergeCell ref="A1:G1"/>
    <mergeCell ref="A91:B91"/>
    <mergeCell ref="A92:B92"/>
    <mergeCell ref="A93:B93"/>
    <mergeCell ref="A94:B94"/>
    <mergeCell ref="A95:B95"/>
  </mergeCells>
  <conditionalFormatting sqref="F2:F3 F5:F106 F111:F65539">
    <cfRule type="cellIs" dxfId="158" priority="3" stopIfTrue="1" operator="between">
      <formula>0.009</formula>
      <formula>-0.009</formula>
    </cfRule>
  </conditionalFormatting>
  <conditionalFormatting sqref="F108">
    <cfRule type="cellIs" dxfId="157" priority="1" stopIfTrue="1" operator="between">
      <formula>0.009</formula>
      <formula>-0.009</formula>
    </cfRule>
  </conditionalFormatting>
  <conditionalFormatting sqref="F109:F110">
    <cfRule type="cellIs" dxfId="156" priority="2" stopIfTrue="1" operator="between">
      <formula>0.009</formula>
      <formula>-0.009</formula>
    </cfRule>
  </conditionalFormatting>
  <hyperlinks>
    <hyperlink ref="A105" r:id="rId1" xr:uid="{00000000-0004-0000-0400-000000000000}"/>
    <hyperlink ref="A108" r:id="rId2" xr:uid="{00000000-0004-0000-0400-000001000000}"/>
  </hyperlinks>
  <pageMargins left="0.7" right="0.7" top="0.75" bottom="0.75" header="0.3" footer="0.3"/>
  <pageSetup paperSize="9" orientation="portrait" r:id="rId3"/>
  <headerFooter>
    <oddFooter>&amp;LPUBLIC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6"/>
  <sheetViews>
    <sheetView workbookViewId="0">
      <selection sqref="A1:G1"/>
    </sheetView>
  </sheetViews>
  <sheetFormatPr defaultColWidth="9.1796875" defaultRowHeight="10" x14ac:dyDescent="0.2"/>
  <cols>
    <col min="1" max="1" width="38.7265625" style="9" bestFit="1" customWidth="1"/>
    <col min="2" max="2" width="54.179687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963</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964</v>
      </c>
      <c r="B7" s="27" t="s">
        <v>965</v>
      </c>
      <c r="C7" s="27" t="s">
        <v>39</v>
      </c>
      <c r="D7" s="31">
        <v>750</v>
      </c>
      <c r="E7" s="29">
        <v>7927.125</v>
      </c>
      <c r="F7" s="30">
        <v>7.7524518594520497</v>
      </c>
      <c r="G7" s="29">
        <v>5.38</v>
      </c>
    </row>
    <row r="8" spans="1:7" x14ac:dyDescent="0.2">
      <c r="A8" s="27" t="s">
        <v>966</v>
      </c>
      <c r="B8" s="27" t="s">
        <v>967</v>
      </c>
      <c r="C8" s="27" t="s">
        <v>39</v>
      </c>
      <c r="D8" s="31">
        <v>500</v>
      </c>
      <c r="E8" s="29">
        <v>5104.6949999999997</v>
      </c>
      <c r="F8" s="30">
        <v>4.9922137275097302</v>
      </c>
      <c r="G8" s="29">
        <v>4.1820000000000004</v>
      </c>
    </row>
    <row r="9" spans="1:7" x14ac:dyDescent="0.2">
      <c r="A9" s="27" t="s">
        <v>968</v>
      </c>
      <c r="B9" s="27" t="s">
        <v>969</v>
      </c>
      <c r="C9" s="27" t="s">
        <v>39</v>
      </c>
      <c r="D9" s="31">
        <v>500</v>
      </c>
      <c r="E9" s="29">
        <v>5044.085</v>
      </c>
      <c r="F9" s="30">
        <v>4.9329392607640496</v>
      </c>
      <c r="G9" s="29">
        <v>4.5350000000000001</v>
      </c>
    </row>
    <row r="10" spans="1:7" x14ac:dyDescent="0.2">
      <c r="A10" s="27" t="s">
        <v>970</v>
      </c>
      <c r="B10" s="27" t="s">
        <v>971</v>
      </c>
      <c r="C10" s="27" t="s">
        <v>39</v>
      </c>
      <c r="D10" s="31">
        <v>400</v>
      </c>
      <c r="E10" s="29">
        <v>4332.3040000000001</v>
      </c>
      <c r="F10" s="30">
        <v>4.2368422600263704</v>
      </c>
      <c r="G10" s="29">
        <v>5.8240999999999996</v>
      </c>
    </row>
    <row r="11" spans="1:7" x14ac:dyDescent="0.2">
      <c r="A11" s="27" t="s">
        <v>914</v>
      </c>
      <c r="B11" s="27" t="s">
        <v>915</v>
      </c>
      <c r="C11" s="27" t="s">
        <v>39</v>
      </c>
      <c r="D11" s="31">
        <v>400</v>
      </c>
      <c r="E11" s="29">
        <v>4232.28</v>
      </c>
      <c r="F11" s="30">
        <v>4.1390222755061501</v>
      </c>
      <c r="G11" s="29">
        <v>5.67</v>
      </c>
    </row>
    <row r="12" spans="1:7" x14ac:dyDescent="0.2">
      <c r="A12" s="27" t="s">
        <v>972</v>
      </c>
      <c r="B12" s="27" t="s">
        <v>973</v>
      </c>
      <c r="C12" s="27" t="s">
        <v>974</v>
      </c>
      <c r="D12" s="31">
        <v>400</v>
      </c>
      <c r="E12" s="29">
        <v>3987.1280000000002</v>
      </c>
      <c r="F12" s="30">
        <v>3.8992721670811701</v>
      </c>
      <c r="G12" s="29">
        <v>6.69</v>
      </c>
    </row>
    <row r="13" spans="1:7" x14ac:dyDescent="0.2">
      <c r="A13" s="27" t="s">
        <v>892</v>
      </c>
      <c r="B13" s="27" t="s">
        <v>893</v>
      </c>
      <c r="C13" s="27" t="s">
        <v>894</v>
      </c>
      <c r="D13" s="31">
        <v>300</v>
      </c>
      <c r="E13" s="29">
        <v>3178.395</v>
      </c>
      <c r="F13" s="30">
        <v>3.1083594907136098</v>
      </c>
      <c r="G13" s="29">
        <v>4.7648999999999999</v>
      </c>
    </row>
    <row r="14" spans="1:7" x14ac:dyDescent="0.2">
      <c r="A14" s="27" t="s">
        <v>975</v>
      </c>
      <c r="B14" s="27" t="s">
        <v>976</v>
      </c>
      <c r="C14" s="27" t="s">
        <v>894</v>
      </c>
      <c r="D14" s="31">
        <v>300</v>
      </c>
      <c r="E14" s="29">
        <v>3121.0680000000002</v>
      </c>
      <c r="F14" s="30">
        <v>3.0522956835014301</v>
      </c>
      <c r="G14" s="29">
        <v>4.4249999999999998</v>
      </c>
    </row>
    <row r="15" spans="1:7" x14ac:dyDescent="0.2">
      <c r="A15" s="27" t="s">
        <v>870</v>
      </c>
      <c r="B15" s="27" t="s">
        <v>871</v>
      </c>
      <c r="C15" s="27" t="s">
        <v>872</v>
      </c>
      <c r="D15" s="31">
        <v>300</v>
      </c>
      <c r="E15" s="29">
        <v>3084.7469999999998</v>
      </c>
      <c r="F15" s="30">
        <v>3.0167750118850298</v>
      </c>
      <c r="G15" s="29">
        <v>5.9085000000000001</v>
      </c>
    </row>
    <row r="16" spans="1:7" x14ac:dyDescent="0.2">
      <c r="A16" s="27" t="s">
        <v>977</v>
      </c>
      <c r="B16" s="27" t="s">
        <v>978</v>
      </c>
      <c r="C16" s="27" t="s">
        <v>39</v>
      </c>
      <c r="D16" s="31">
        <v>250</v>
      </c>
      <c r="E16" s="29">
        <v>2819.06</v>
      </c>
      <c r="F16" s="30">
        <v>2.7569423894421901</v>
      </c>
      <c r="G16" s="29">
        <v>5.2149999999999999</v>
      </c>
    </row>
    <row r="17" spans="1:7" x14ac:dyDescent="0.2">
      <c r="A17" s="27" t="s">
        <v>979</v>
      </c>
      <c r="B17" s="27" t="s">
        <v>980</v>
      </c>
      <c r="C17" s="27" t="s">
        <v>894</v>
      </c>
      <c r="D17" s="31">
        <v>250</v>
      </c>
      <c r="E17" s="29">
        <v>2592.23</v>
      </c>
      <c r="F17" s="30">
        <v>2.5351105581944799</v>
      </c>
      <c r="G17" s="29">
        <v>4.3650000000000002</v>
      </c>
    </row>
    <row r="18" spans="1:7" x14ac:dyDescent="0.2">
      <c r="A18" s="27" t="s">
        <v>981</v>
      </c>
      <c r="B18" s="27" t="s">
        <v>982</v>
      </c>
      <c r="C18" s="27" t="s">
        <v>39</v>
      </c>
      <c r="D18" s="31">
        <v>250</v>
      </c>
      <c r="E18" s="29">
        <v>2588.2824999999998</v>
      </c>
      <c r="F18" s="30">
        <v>2.5312500408297098</v>
      </c>
      <c r="G18" s="29">
        <v>4.5749000000000004</v>
      </c>
    </row>
    <row r="19" spans="1:7" x14ac:dyDescent="0.2">
      <c r="A19" s="27" t="s">
        <v>983</v>
      </c>
      <c r="B19" s="27" t="s">
        <v>984</v>
      </c>
      <c r="C19" s="27" t="s">
        <v>39</v>
      </c>
      <c r="D19" s="31">
        <v>250</v>
      </c>
      <c r="E19" s="29">
        <v>2503.4324999999999</v>
      </c>
      <c r="F19" s="30">
        <v>2.4482696992462798</v>
      </c>
      <c r="G19" s="29">
        <v>5.3197999999999999</v>
      </c>
    </row>
    <row r="20" spans="1:7" x14ac:dyDescent="0.2">
      <c r="A20" s="27" t="s">
        <v>903</v>
      </c>
      <c r="B20" s="27" t="s">
        <v>904</v>
      </c>
      <c r="C20" s="27" t="s">
        <v>39</v>
      </c>
      <c r="D20" s="31">
        <v>210</v>
      </c>
      <c r="E20" s="29">
        <v>2316.2013000000002</v>
      </c>
      <c r="F20" s="30">
        <v>2.26516411372979</v>
      </c>
      <c r="G20" s="29">
        <v>5.4870999999999999</v>
      </c>
    </row>
    <row r="21" spans="1:7" x14ac:dyDescent="0.2">
      <c r="A21" s="27" t="s">
        <v>916</v>
      </c>
      <c r="B21" s="27" t="s">
        <v>917</v>
      </c>
      <c r="C21" s="27" t="s">
        <v>39</v>
      </c>
      <c r="D21" s="31">
        <v>150</v>
      </c>
      <c r="E21" s="29">
        <v>1557.6585</v>
      </c>
      <c r="F21" s="30">
        <v>1.5233357030091399</v>
      </c>
      <c r="G21" s="29">
        <v>5.09</v>
      </c>
    </row>
    <row r="22" spans="1:7" x14ac:dyDescent="0.2">
      <c r="A22" s="27" t="s">
        <v>926</v>
      </c>
      <c r="B22" s="27" t="s">
        <v>927</v>
      </c>
      <c r="C22" s="27" t="s">
        <v>894</v>
      </c>
      <c r="D22" s="31">
        <v>120</v>
      </c>
      <c r="E22" s="29">
        <v>1234.0788</v>
      </c>
      <c r="F22" s="30">
        <v>1.20688603847806</v>
      </c>
      <c r="G22" s="29">
        <v>3.9350000000000001</v>
      </c>
    </row>
    <row r="23" spans="1:7" x14ac:dyDescent="0.2">
      <c r="A23" s="27" t="s">
        <v>901</v>
      </c>
      <c r="B23" s="27" t="s">
        <v>902</v>
      </c>
      <c r="C23" s="27" t="s">
        <v>39</v>
      </c>
      <c r="D23" s="31">
        <v>120</v>
      </c>
      <c r="E23" s="29">
        <v>1233.72</v>
      </c>
      <c r="F23" s="30">
        <v>1.20653514458813</v>
      </c>
      <c r="G23" s="29">
        <v>3.895</v>
      </c>
    </row>
    <row r="24" spans="1:7" x14ac:dyDescent="0.2">
      <c r="A24" s="27" t="s">
        <v>928</v>
      </c>
      <c r="B24" s="27" t="s">
        <v>929</v>
      </c>
      <c r="C24" s="27" t="s">
        <v>39</v>
      </c>
      <c r="D24" s="31">
        <v>110</v>
      </c>
      <c r="E24" s="29">
        <v>1216.1457</v>
      </c>
      <c r="F24" s="30">
        <v>1.18934809194123</v>
      </c>
      <c r="G24" s="29">
        <v>5.9545000000000003</v>
      </c>
    </row>
    <row r="25" spans="1:7" x14ac:dyDescent="0.2">
      <c r="A25" s="27" t="s">
        <v>985</v>
      </c>
      <c r="B25" s="27" t="s">
        <v>986</v>
      </c>
      <c r="C25" s="27" t="s">
        <v>894</v>
      </c>
      <c r="D25" s="31">
        <v>100</v>
      </c>
      <c r="E25" s="29">
        <v>1111.414</v>
      </c>
      <c r="F25" s="30">
        <v>1.0869241409617001</v>
      </c>
      <c r="G25" s="29">
        <v>5.694</v>
      </c>
    </row>
    <row r="26" spans="1:7" x14ac:dyDescent="0.2">
      <c r="A26" s="27" t="s">
        <v>987</v>
      </c>
      <c r="B26" s="27" t="s">
        <v>988</v>
      </c>
      <c r="C26" s="27" t="s">
        <v>39</v>
      </c>
      <c r="D26" s="31">
        <v>100</v>
      </c>
      <c r="E26" s="29">
        <v>1081.078</v>
      </c>
      <c r="F26" s="30">
        <v>1.05725659066972</v>
      </c>
      <c r="G26" s="29">
        <v>5.9398999999999997</v>
      </c>
    </row>
    <row r="27" spans="1:7" x14ac:dyDescent="0.2">
      <c r="A27" s="27" t="s">
        <v>989</v>
      </c>
      <c r="B27" s="27" t="s">
        <v>990</v>
      </c>
      <c r="C27" s="27" t="s">
        <v>894</v>
      </c>
      <c r="D27" s="31">
        <v>500</v>
      </c>
      <c r="E27" s="29">
        <v>1053.4590000000001</v>
      </c>
      <c r="F27" s="30">
        <v>1.0302461716456499</v>
      </c>
      <c r="G27" s="29">
        <v>6.0449000000000002</v>
      </c>
    </row>
    <row r="28" spans="1:7" x14ac:dyDescent="0.2">
      <c r="A28" s="27" t="s">
        <v>991</v>
      </c>
      <c r="B28" s="27" t="s">
        <v>992</v>
      </c>
      <c r="C28" s="27" t="s">
        <v>894</v>
      </c>
      <c r="D28" s="31">
        <v>500</v>
      </c>
      <c r="E28" s="29">
        <v>1037.8920000000001</v>
      </c>
      <c r="F28" s="30">
        <v>1.0150221884113599</v>
      </c>
      <c r="G28" s="29">
        <v>6.0449000000000002</v>
      </c>
    </row>
    <row r="29" spans="1:7" x14ac:dyDescent="0.2">
      <c r="A29" s="27" t="s">
        <v>993</v>
      </c>
      <c r="B29" s="27" t="s">
        <v>994</v>
      </c>
      <c r="C29" s="27" t="s">
        <v>995</v>
      </c>
      <c r="D29" s="31">
        <v>100</v>
      </c>
      <c r="E29" s="29">
        <v>1028.904</v>
      </c>
      <c r="F29" s="30">
        <v>1.0062322377908299</v>
      </c>
      <c r="G29" s="29">
        <v>9.0332000000000008</v>
      </c>
    </row>
    <row r="30" spans="1:7" x14ac:dyDescent="0.2">
      <c r="A30" s="27" t="s">
        <v>996</v>
      </c>
      <c r="B30" s="27" t="s">
        <v>997</v>
      </c>
      <c r="C30" s="27" t="s">
        <v>39</v>
      </c>
      <c r="D30" s="31">
        <v>50</v>
      </c>
      <c r="E30" s="29">
        <v>555.60050000000001</v>
      </c>
      <c r="F30" s="30">
        <v>0.54335791719412596</v>
      </c>
      <c r="G30" s="29">
        <v>5.52</v>
      </c>
    </row>
    <row r="31" spans="1:7" x14ac:dyDescent="0.2">
      <c r="A31" s="27" t="s">
        <v>998</v>
      </c>
      <c r="B31" s="27" t="s">
        <v>999</v>
      </c>
      <c r="C31" s="27" t="s">
        <v>39</v>
      </c>
      <c r="D31" s="31">
        <v>50</v>
      </c>
      <c r="E31" s="29">
        <v>555.23649999999998</v>
      </c>
      <c r="F31" s="30">
        <v>0.54300193788550699</v>
      </c>
      <c r="G31" s="29">
        <v>5.4870999999999999</v>
      </c>
    </row>
    <row r="32" spans="1:7" x14ac:dyDescent="0.2">
      <c r="A32" s="27" t="s">
        <v>1000</v>
      </c>
      <c r="B32" s="27" t="s">
        <v>1001</v>
      </c>
      <c r="C32" s="27" t="s">
        <v>39</v>
      </c>
      <c r="D32" s="31">
        <v>50</v>
      </c>
      <c r="E32" s="29">
        <v>550.149</v>
      </c>
      <c r="F32" s="30">
        <v>0.53802654026846897</v>
      </c>
      <c r="G32" s="29">
        <v>5.03</v>
      </c>
    </row>
    <row r="33" spans="1:9" x14ac:dyDescent="0.2">
      <c r="A33" s="27" t="s">
        <v>912</v>
      </c>
      <c r="B33" s="27" t="s">
        <v>913</v>
      </c>
      <c r="C33" s="27" t="s">
        <v>39</v>
      </c>
      <c r="D33" s="31">
        <v>50</v>
      </c>
      <c r="E33" s="29">
        <v>541.89049999999997</v>
      </c>
      <c r="F33" s="30">
        <v>0.52995001521287999</v>
      </c>
      <c r="G33" s="29">
        <v>5.9850000000000003</v>
      </c>
    </row>
    <row r="34" spans="1:9" x14ac:dyDescent="0.2">
      <c r="A34" s="27" t="s">
        <v>876</v>
      </c>
      <c r="B34" s="27" t="s">
        <v>877</v>
      </c>
      <c r="C34" s="27" t="s">
        <v>865</v>
      </c>
      <c r="D34" s="31">
        <v>50</v>
      </c>
      <c r="E34" s="29">
        <v>515.6155</v>
      </c>
      <c r="F34" s="30">
        <v>0.504253981328325</v>
      </c>
      <c r="G34" s="29">
        <v>6.0987</v>
      </c>
    </row>
    <row r="35" spans="1:9" x14ac:dyDescent="0.2">
      <c r="A35" s="27" t="s">
        <v>90</v>
      </c>
      <c r="B35" s="27" t="s">
        <v>89</v>
      </c>
      <c r="C35" s="27" t="s">
        <v>39</v>
      </c>
      <c r="D35" s="31">
        <v>30</v>
      </c>
      <c r="E35" s="29">
        <v>334.62</v>
      </c>
      <c r="F35" s="30">
        <v>0.32724669299523401</v>
      </c>
      <c r="G35" s="29">
        <v>6.95</v>
      </c>
    </row>
    <row r="36" spans="1:9" x14ac:dyDescent="0.2">
      <c r="A36" s="27" t="s">
        <v>882</v>
      </c>
      <c r="B36" s="27" t="s">
        <v>883</v>
      </c>
      <c r="C36" s="27" t="s">
        <v>39</v>
      </c>
      <c r="D36" s="31">
        <v>32</v>
      </c>
      <c r="E36" s="29">
        <v>332.94655999999998</v>
      </c>
      <c r="F36" s="30">
        <v>0.32561012702211301</v>
      </c>
      <c r="G36" s="29">
        <v>4.38</v>
      </c>
    </row>
    <row r="37" spans="1:9" x14ac:dyDescent="0.2">
      <c r="A37" s="27" t="s">
        <v>1002</v>
      </c>
      <c r="B37" s="27" t="s">
        <v>1003</v>
      </c>
      <c r="C37" s="27" t="s">
        <v>1004</v>
      </c>
      <c r="D37" s="31">
        <v>27</v>
      </c>
      <c r="E37" s="29">
        <v>286.58852999999999</v>
      </c>
      <c r="F37" s="30">
        <v>0.28027359002111502</v>
      </c>
      <c r="G37" s="29">
        <v>4.0999999999999996</v>
      </c>
    </row>
    <row r="38" spans="1:9" x14ac:dyDescent="0.2">
      <c r="A38" s="27" t="s">
        <v>948</v>
      </c>
      <c r="B38" s="27" t="s">
        <v>949</v>
      </c>
      <c r="C38" s="27" t="s">
        <v>39</v>
      </c>
      <c r="D38" s="31">
        <v>23</v>
      </c>
      <c r="E38" s="29">
        <v>234.94246999999999</v>
      </c>
      <c r="F38" s="30">
        <v>0.22976554405484401</v>
      </c>
      <c r="G38" s="29">
        <v>3.9550000000000001</v>
      </c>
    </row>
    <row r="39" spans="1:9" x14ac:dyDescent="0.2">
      <c r="A39" s="27" t="s">
        <v>1005</v>
      </c>
      <c r="B39" s="27" t="s">
        <v>1006</v>
      </c>
      <c r="C39" s="27" t="s">
        <v>894</v>
      </c>
      <c r="D39" s="31">
        <v>5</v>
      </c>
      <c r="E39" s="29">
        <v>52.168550000000003</v>
      </c>
      <c r="F39" s="30">
        <v>5.1019022968909603E-2</v>
      </c>
      <c r="G39" s="29">
        <v>4.25</v>
      </c>
    </row>
    <row r="40" spans="1:9" x14ac:dyDescent="0.2">
      <c r="A40" s="27" t="s">
        <v>946</v>
      </c>
      <c r="B40" s="27" t="s">
        <v>947</v>
      </c>
      <c r="C40" s="27" t="s">
        <v>39</v>
      </c>
      <c r="D40" s="31">
        <v>2</v>
      </c>
      <c r="E40" s="29">
        <v>20.103179999999998</v>
      </c>
      <c r="F40" s="30">
        <v>1.9660209113884199E-2</v>
      </c>
      <c r="G40" s="29">
        <v>3.2799</v>
      </c>
    </row>
    <row r="41" spans="1:9" x14ac:dyDescent="0.2">
      <c r="A41" s="27" t="s">
        <v>1007</v>
      </c>
      <c r="B41" s="27" t="s">
        <v>1008</v>
      </c>
      <c r="C41" s="27" t="s">
        <v>39</v>
      </c>
      <c r="D41" s="31">
        <v>1</v>
      </c>
      <c r="E41" s="29">
        <v>10.10005</v>
      </c>
      <c r="F41" s="30">
        <v>9.8774967473149108E-3</v>
      </c>
      <c r="G41" s="29">
        <v>3.4801000000000002</v>
      </c>
    </row>
    <row r="42" spans="1:9" ht="10.5" x14ac:dyDescent="0.25">
      <c r="A42" s="26" t="s">
        <v>40</v>
      </c>
      <c r="B42" s="26"/>
      <c r="C42" s="26"/>
      <c r="D42" s="32"/>
      <c r="E42" s="33">
        <f>SUM(E6:E41)</f>
        <v>67375.344639999981</v>
      </c>
      <c r="F42" s="34">
        <f>SUM(F6:F41)</f>
        <v>65.890737920190574</v>
      </c>
      <c r="G42" s="33"/>
      <c r="H42" s="18"/>
      <c r="I42" s="18"/>
    </row>
    <row r="43" spans="1:9" x14ac:dyDescent="0.2">
      <c r="A43" s="27"/>
      <c r="B43" s="27"/>
      <c r="C43" s="27"/>
      <c r="D43" s="28"/>
      <c r="E43" s="29"/>
      <c r="F43" s="30"/>
      <c r="G43" s="29"/>
    </row>
    <row r="44" spans="1:9" ht="10.5" x14ac:dyDescent="0.25">
      <c r="A44" s="26" t="s">
        <v>57</v>
      </c>
      <c r="B44" s="27"/>
      <c r="C44" s="27"/>
      <c r="D44" s="28"/>
      <c r="E44" s="29"/>
      <c r="F44" s="30"/>
      <c r="G44" s="29"/>
    </row>
    <row r="45" spans="1:9" ht="10.5" x14ac:dyDescent="0.25">
      <c r="A45" s="26" t="s">
        <v>58</v>
      </c>
      <c r="B45" s="27"/>
      <c r="C45" s="27"/>
      <c r="D45" s="28"/>
      <c r="E45" s="29"/>
      <c r="F45" s="30"/>
      <c r="G45" s="29"/>
    </row>
    <row r="46" spans="1:9" x14ac:dyDescent="0.2">
      <c r="A46" s="27" t="s">
        <v>808</v>
      </c>
      <c r="B46" s="27" t="s">
        <v>809</v>
      </c>
      <c r="C46" s="27" t="s">
        <v>62</v>
      </c>
      <c r="D46" s="31">
        <v>9000</v>
      </c>
      <c r="E46" s="29">
        <v>8969.3729999999996</v>
      </c>
      <c r="F46" s="30">
        <v>8.7717340639852406</v>
      </c>
      <c r="G46" s="29">
        <v>3.2797999999999998</v>
      </c>
    </row>
    <row r="47" spans="1:9" x14ac:dyDescent="0.2">
      <c r="A47" s="27" t="s">
        <v>812</v>
      </c>
      <c r="B47" s="27" t="s">
        <v>813</v>
      </c>
      <c r="C47" s="27" t="s">
        <v>62</v>
      </c>
      <c r="D47" s="31">
        <v>2500</v>
      </c>
      <c r="E47" s="29">
        <v>2492.2224999999999</v>
      </c>
      <c r="F47" s="30">
        <v>2.43730671009896</v>
      </c>
      <c r="G47" s="29">
        <v>3.3502000000000001</v>
      </c>
    </row>
    <row r="48" spans="1:9" x14ac:dyDescent="0.2">
      <c r="A48" s="27" t="s">
        <v>1009</v>
      </c>
      <c r="B48" s="27" t="s">
        <v>1010</v>
      </c>
      <c r="C48" s="27" t="s">
        <v>62</v>
      </c>
      <c r="D48" s="31">
        <v>2500</v>
      </c>
      <c r="E48" s="29">
        <v>2468.4175</v>
      </c>
      <c r="F48" s="30">
        <v>2.4140262500943299</v>
      </c>
      <c r="G48" s="29">
        <v>3.5651000000000002</v>
      </c>
    </row>
    <row r="49" spans="1:9" ht="10.5" x14ac:dyDescent="0.25">
      <c r="A49" s="26" t="s">
        <v>40</v>
      </c>
      <c r="B49" s="26"/>
      <c r="C49" s="26"/>
      <c r="D49" s="32"/>
      <c r="E49" s="33">
        <f>SUM(E45:E48)</f>
        <v>13930.012999999999</v>
      </c>
      <c r="F49" s="34">
        <f>SUM(F45:F48)</f>
        <v>13.623067024178532</v>
      </c>
      <c r="G49" s="33"/>
      <c r="H49" s="18"/>
      <c r="I49" s="18"/>
    </row>
    <row r="50" spans="1:9" x14ac:dyDescent="0.2">
      <c r="A50" s="27"/>
      <c r="B50" s="27"/>
      <c r="C50" s="27"/>
      <c r="D50" s="28"/>
      <c r="E50" s="29"/>
      <c r="F50" s="30"/>
      <c r="G50" s="29"/>
    </row>
    <row r="51" spans="1:9" ht="10.5" x14ac:dyDescent="0.25">
      <c r="A51" s="26" t="s">
        <v>79</v>
      </c>
      <c r="B51" s="27"/>
      <c r="C51" s="27"/>
      <c r="D51" s="28"/>
      <c r="E51" s="29"/>
      <c r="F51" s="30"/>
      <c r="G51" s="29"/>
    </row>
    <row r="52" spans="1:9" x14ac:dyDescent="0.2">
      <c r="A52" s="27" t="s">
        <v>94</v>
      </c>
      <c r="B52" s="27" t="s">
        <v>93</v>
      </c>
      <c r="C52" s="27" t="s">
        <v>80</v>
      </c>
      <c r="D52" s="31">
        <v>5500000</v>
      </c>
      <c r="E52" s="29">
        <v>5729.2565000000004</v>
      </c>
      <c r="F52" s="30">
        <v>5.6030130982799902</v>
      </c>
      <c r="G52" s="29">
        <v>4.9489999999999998</v>
      </c>
    </row>
    <row r="53" spans="1:9" x14ac:dyDescent="0.2">
      <c r="A53" s="27" t="s">
        <v>84</v>
      </c>
      <c r="B53" s="27" t="s">
        <v>83</v>
      </c>
      <c r="C53" s="27" t="s">
        <v>80</v>
      </c>
      <c r="D53" s="31">
        <v>3000000</v>
      </c>
      <c r="E53" s="29">
        <v>3216.4949999999999</v>
      </c>
      <c r="F53" s="30">
        <v>3.14561996230263</v>
      </c>
      <c r="G53" s="29">
        <v>4.7077999999999998</v>
      </c>
    </row>
    <row r="54" spans="1:9" x14ac:dyDescent="0.2">
      <c r="A54" s="27" t="s">
        <v>954</v>
      </c>
      <c r="B54" s="27" t="s">
        <v>955</v>
      </c>
      <c r="C54" s="27" t="s">
        <v>80</v>
      </c>
      <c r="D54" s="31">
        <v>3000000</v>
      </c>
      <c r="E54" s="29">
        <v>3183.2220000000002</v>
      </c>
      <c r="F54" s="30">
        <v>3.1130801284133498</v>
      </c>
      <c r="G54" s="29">
        <v>4.4349999999999996</v>
      </c>
    </row>
    <row r="55" spans="1:9" ht="10.5" x14ac:dyDescent="0.25">
      <c r="A55" s="26" t="s">
        <v>40</v>
      </c>
      <c r="B55" s="26"/>
      <c r="C55" s="26"/>
      <c r="D55" s="32"/>
      <c r="E55" s="33">
        <f>SUM(E52:E54)</f>
        <v>12128.9735</v>
      </c>
      <c r="F55" s="34">
        <f>SUM(F52:F54)</f>
        <v>11.861713188995969</v>
      </c>
      <c r="G55" s="33"/>
      <c r="H55" s="18"/>
      <c r="I55" s="18"/>
    </row>
    <row r="56" spans="1:9" x14ac:dyDescent="0.2">
      <c r="A56" s="27"/>
      <c r="B56" s="27"/>
      <c r="C56" s="27"/>
      <c r="D56" s="28"/>
      <c r="E56" s="29"/>
      <c r="F56" s="30"/>
      <c r="G56" s="29"/>
    </row>
    <row r="57" spans="1:9" ht="10.5" x14ac:dyDescent="0.25">
      <c r="A57" s="26" t="s">
        <v>44</v>
      </c>
      <c r="B57" s="26"/>
      <c r="C57" s="26"/>
      <c r="D57" s="32"/>
      <c r="E57" s="33">
        <f>E42+E49+E55</f>
        <v>93434.331139999966</v>
      </c>
      <c r="F57" s="34">
        <f>F42+F49+F55</f>
        <v>91.375518133365063</v>
      </c>
      <c r="G57" s="33"/>
      <c r="H57" s="18"/>
      <c r="I57" s="18"/>
    </row>
    <row r="58" spans="1:9" ht="10.5" x14ac:dyDescent="0.25">
      <c r="A58" s="26"/>
      <c r="B58" s="26"/>
      <c r="C58" s="26"/>
      <c r="D58" s="32"/>
      <c r="E58" s="33"/>
      <c r="F58" s="34"/>
      <c r="G58" s="33"/>
      <c r="H58" s="18"/>
      <c r="I58" s="18"/>
    </row>
    <row r="59" spans="1:9" ht="10.5" x14ac:dyDescent="0.25">
      <c r="A59" s="26" t="s">
        <v>46</v>
      </c>
      <c r="B59" s="26"/>
      <c r="C59" s="26"/>
      <c r="D59" s="32"/>
      <c r="E59" s="33">
        <f>E61-(E42+E49+E55)</f>
        <v>8818.8030131000414</v>
      </c>
      <c r="F59" s="34">
        <f>F61-(F42+F49+F55)</f>
        <v>8.6244818666349374</v>
      </c>
      <c r="G59" s="33"/>
      <c r="H59" s="18"/>
      <c r="I59" s="18"/>
    </row>
    <row r="60" spans="1:9" ht="10.5" x14ac:dyDescent="0.25">
      <c r="A60" s="26"/>
      <c r="B60" s="26"/>
      <c r="C60" s="26"/>
      <c r="D60" s="32"/>
      <c r="E60" s="33"/>
      <c r="F60" s="34"/>
      <c r="G60" s="33"/>
      <c r="H60" s="18"/>
      <c r="I60" s="18"/>
    </row>
    <row r="61" spans="1:9" ht="10.5" x14ac:dyDescent="0.25">
      <c r="A61" s="35" t="s">
        <v>45</v>
      </c>
      <c r="B61" s="35"/>
      <c r="C61" s="35"/>
      <c r="D61" s="36"/>
      <c r="E61" s="37">
        <v>102253.13415310001</v>
      </c>
      <c r="F61" s="38">
        <v>100</v>
      </c>
      <c r="G61" s="37"/>
      <c r="H61" s="18"/>
      <c r="I61" s="18"/>
    </row>
    <row r="63" spans="1:9" ht="10.5" x14ac:dyDescent="0.25">
      <c r="A63" s="18" t="s">
        <v>47</v>
      </c>
    </row>
    <row r="65" spans="1:5" ht="10.5" x14ac:dyDescent="0.25">
      <c r="A65" s="18" t="s">
        <v>48</v>
      </c>
    </row>
    <row r="66" spans="1:5" ht="10.5" x14ac:dyDescent="0.25">
      <c r="A66" s="18" t="s">
        <v>49</v>
      </c>
    </row>
    <row r="67" spans="1:5" ht="10.5" x14ac:dyDescent="0.25">
      <c r="A67" s="18" t="s">
        <v>50</v>
      </c>
      <c r="B67" s="18"/>
      <c r="C67" s="41" t="s">
        <v>727</v>
      </c>
      <c r="D67" s="19" t="s">
        <v>51</v>
      </c>
    </row>
    <row r="68" spans="1:5" x14ac:dyDescent="0.2">
      <c r="A68" s="9" t="s">
        <v>71</v>
      </c>
      <c r="C68" s="40">
        <v>17.0869</v>
      </c>
      <c r="D68" s="40">
        <v>17.4405</v>
      </c>
    </row>
    <row r="69" spans="1:5" x14ac:dyDescent="0.2">
      <c r="A69" s="9" t="s">
        <v>77</v>
      </c>
      <c r="C69" s="40">
        <v>10.9503</v>
      </c>
      <c r="D69" s="40">
        <v>10.7719</v>
      </c>
    </row>
    <row r="70" spans="1:5" x14ac:dyDescent="0.2">
      <c r="A70" s="9" t="s">
        <v>74</v>
      </c>
      <c r="C70" s="40">
        <v>17.561499999999999</v>
      </c>
      <c r="D70" s="40">
        <v>17.9529</v>
      </c>
    </row>
    <row r="71" spans="1:5" x14ac:dyDescent="0.2">
      <c r="A71" s="9" t="s">
        <v>78</v>
      </c>
      <c r="C71" s="40">
        <v>11.3255</v>
      </c>
      <c r="D71" s="40">
        <v>11.1724</v>
      </c>
    </row>
    <row r="73" spans="1:5" ht="10.5" x14ac:dyDescent="0.25">
      <c r="A73" s="18" t="s">
        <v>52</v>
      </c>
    </row>
    <row r="74" spans="1:5" ht="10.5" x14ac:dyDescent="0.25">
      <c r="A74" s="77" t="s">
        <v>68</v>
      </c>
      <c r="B74" s="78"/>
      <c r="C74" s="43" t="s">
        <v>69</v>
      </c>
    </row>
    <row r="75" spans="1:5" x14ac:dyDescent="0.2">
      <c r="A75" s="71" t="s">
        <v>77</v>
      </c>
      <c r="B75" s="72"/>
      <c r="C75" s="44">
        <v>0.4</v>
      </c>
    </row>
    <row r="76" spans="1:5" x14ac:dyDescent="0.2">
      <c r="A76" s="71" t="s">
        <v>78</v>
      </c>
      <c r="B76" s="72"/>
      <c r="C76" s="44">
        <v>0.4</v>
      </c>
    </row>
    <row r="77" spans="1:5" x14ac:dyDescent="0.2">
      <c r="A77" s="9" t="s">
        <v>70</v>
      </c>
    </row>
    <row r="79" spans="1:5" ht="10.5" x14ac:dyDescent="0.25">
      <c r="A79" s="18" t="s">
        <v>798</v>
      </c>
      <c r="D79" s="42">
        <v>2.61384584641096</v>
      </c>
      <c r="E79" s="13" t="s">
        <v>54</v>
      </c>
    </row>
    <row r="81" spans="1:7" ht="10.5" x14ac:dyDescent="0.25">
      <c r="A81" s="18" t="s">
        <v>1502</v>
      </c>
      <c r="D81" s="41" t="s">
        <v>53</v>
      </c>
    </row>
    <row r="83" spans="1:7" ht="14.5" customHeight="1" x14ac:dyDescent="0.2">
      <c r="A83" s="73" t="s">
        <v>799</v>
      </c>
      <c r="B83" s="74"/>
      <c r="C83" s="74"/>
      <c r="D83" s="74"/>
      <c r="E83" s="74"/>
      <c r="F83" s="74"/>
      <c r="G83" s="74"/>
    </row>
    <row r="84" spans="1:7" x14ac:dyDescent="0.2">
      <c r="A84" s="46" t="s">
        <v>55</v>
      </c>
    </row>
    <row r="86" spans="1:7" x14ac:dyDescent="0.2">
      <c r="A86" s="46"/>
    </row>
  </sheetData>
  <mergeCells count="5">
    <mergeCell ref="A1:G1"/>
    <mergeCell ref="A74:B74"/>
    <mergeCell ref="A75:B75"/>
    <mergeCell ref="A76:B76"/>
    <mergeCell ref="A83:G83"/>
  </mergeCells>
  <conditionalFormatting sqref="F2:F3 F5:F82 F87:F65536">
    <cfRule type="cellIs" dxfId="155" priority="3" stopIfTrue="1" operator="between">
      <formula>0.009</formula>
      <formula>-0.009</formula>
    </cfRule>
  </conditionalFormatting>
  <conditionalFormatting sqref="F84">
    <cfRule type="cellIs" dxfId="154" priority="1" stopIfTrue="1" operator="between">
      <formula>0.009</formula>
      <formula>-0.009</formula>
    </cfRule>
  </conditionalFormatting>
  <conditionalFormatting sqref="F85:F86">
    <cfRule type="cellIs" dxfId="153" priority="2" stopIfTrue="1" operator="between">
      <formula>0.009</formula>
      <formula>-0.009</formula>
    </cfRule>
  </conditionalFormatting>
  <hyperlinks>
    <hyperlink ref="A84" r:id="rId1" xr:uid="{00000000-0004-0000-05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8"/>
  <sheetViews>
    <sheetView workbookViewId="0">
      <selection sqref="A1:G1"/>
    </sheetView>
  </sheetViews>
  <sheetFormatPr defaultColWidth="9.1796875" defaultRowHeight="10" x14ac:dyDescent="0.2"/>
  <cols>
    <col min="1" max="1" width="34.81640625" style="9" bestFit="1" customWidth="1"/>
    <col min="2" max="2" width="23.45312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5" t="s">
        <v>1011</v>
      </c>
      <c r="B1" s="76"/>
      <c r="C1" s="76"/>
      <c r="D1" s="76"/>
      <c r="E1" s="76"/>
      <c r="F1" s="76"/>
      <c r="G1" s="76"/>
    </row>
    <row r="2" spans="1:9" s="1" customFormat="1" ht="11.5" x14ac:dyDescent="0.25">
      <c r="D2" s="6"/>
      <c r="E2" s="7"/>
      <c r="F2" s="12"/>
      <c r="G2" s="13"/>
    </row>
    <row r="3" spans="1:9" s="1" customFormat="1" ht="11.5" x14ac:dyDescent="0.25">
      <c r="A3" s="11" t="s">
        <v>7</v>
      </c>
      <c r="B3" s="2"/>
      <c r="C3" s="3"/>
      <c r="D3" s="4"/>
      <c r="E3" s="5"/>
      <c r="F3" s="12"/>
      <c r="G3" s="13"/>
    </row>
    <row r="4" spans="1:9" s="1" customFormat="1" ht="17.5" customHeight="1" x14ac:dyDescent="0.25">
      <c r="A4" s="8" t="s">
        <v>2</v>
      </c>
      <c r="B4" s="8" t="s">
        <v>0</v>
      </c>
      <c r="C4" s="17" t="s">
        <v>749</v>
      </c>
      <c r="D4" s="16" t="s">
        <v>1</v>
      </c>
      <c r="E4" s="15" t="s">
        <v>3</v>
      </c>
      <c r="F4" s="15" t="s">
        <v>4</v>
      </c>
      <c r="G4" s="15" t="s">
        <v>6</v>
      </c>
    </row>
    <row r="5" spans="1:9" ht="10.5" x14ac:dyDescent="0.25">
      <c r="A5" s="21" t="s">
        <v>57</v>
      </c>
      <c r="B5" s="22"/>
      <c r="C5" s="22"/>
      <c r="D5" s="23"/>
      <c r="E5" s="24"/>
      <c r="F5" s="25"/>
      <c r="G5" s="24"/>
    </row>
    <row r="6" spans="1:9" ht="10.5" x14ac:dyDescent="0.25">
      <c r="A6" s="26" t="s">
        <v>66</v>
      </c>
      <c r="B6" s="27"/>
      <c r="C6" s="27"/>
      <c r="D6" s="28"/>
      <c r="E6" s="29"/>
      <c r="F6" s="30"/>
      <c r="G6" s="29"/>
    </row>
    <row r="7" spans="1:9" x14ac:dyDescent="0.2">
      <c r="A7" s="27" t="s">
        <v>833</v>
      </c>
      <c r="B7" s="27" t="s">
        <v>834</v>
      </c>
      <c r="C7" s="27" t="s">
        <v>80</v>
      </c>
      <c r="D7" s="31">
        <v>2500000</v>
      </c>
      <c r="E7" s="29">
        <v>2487.9625000000001</v>
      </c>
      <c r="F7" s="30">
        <v>10.434825602225599</v>
      </c>
      <c r="G7" s="29">
        <v>3.2703000000000002</v>
      </c>
    </row>
    <row r="8" spans="1:9" ht="10.5" x14ac:dyDescent="0.25">
      <c r="A8" s="26" t="s">
        <v>40</v>
      </c>
      <c r="B8" s="26"/>
      <c r="C8" s="26"/>
      <c r="D8" s="32"/>
      <c r="E8" s="33">
        <f>SUM(E6:E7)</f>
        <v>2487.9625000000001</v>
      </c>
      <c r="F8" s="34">
        <f>SUM(F6:F7)</f>
        <v>10.434825602225599</v>
      </c>
      <c r="G8" s="33"/>
      <c r="H8" s="18"/>
      <c r="I8" s="18"/>
    </row>
    <row r="9" spans="1:9" x14ac:dyDescent="0.2">
      <c r="A9" s="27"/>
      <c r="B9" s="27"/>
      <c r="C9" s="27"/>
      <c r="D9" s="28"/>
      <c r="E9" s="29"/>
      <c r="F9" s="30"/>
      <c r="G9" s="29"/>
    </row>
    <row r="10" spans="1:9" ht="10.5" x14ac:dyDescent="0.25">
      <c r="A10" s="26" t="s">
        <v>79</v>
      </c>
      <c r="B10" s="27"/>
      <c r="C10" s="27"/>
      <c r="D10" s="28"/>
      <c r="E10" s="29"/>
      <c r="F10" s="30"/>
      <c r="G10" s="29"/>
    </row>
    <row r="11" spans="1:9" x14ac:dyDescent="0.2">
      <c r="A11" s="27" t="s">
        <v>1012</v>
      </c>
      <c r="B11" s="27" t="s">
        <v>1013</v>
      </c>
      <c r="C11" s="27" t="s">
        <v>80</v>
      </c>
      <c r="D11" s="31">
        <v>5200000</v>
      </c>
      <c r="E11" s="29">
        <v>5484.6220000000003</v>
      </c>
      <c r="F11" s="30">
        <v>23.003189985431799</v>
      </c>
      <c r="G11" s="29">
        <v>5.7389999999999999</v>
      </c>
    </row>
    <row r="12" spans="1:9" x14ac:dyDescent="0.2">
      <c r="A12" s="27" t="s">
        <v>1014</v>
      </c>
      <c r="B12" s="27" t="s">
        <v>1015</v>
      </c>
      <c r="C12" s="27" t="s">
        <v>80</v>
      </c>
      <c r="D12" s="31">
        <v>3450000</v>
      </c>
      <c r="E12" s="29">
        <v>3704.5306500000002</v>
      </c>
      <c r="F12" s="30">
        <v>15.537264436601999</v>
      </c>
      <c r="G12" s="29">
        <v>5.8597000000000001</v>
      </c>
    </row>
    <row r="13" spans="1:9" x14ac:dyDescent="0.2">
      <c r="A13" s="27" t="s">
        <v>1016</v>
      </c>
      <c r="B13" s="27" t="s">
        <v>1017</v>
      </c>
      <c r="C13" s="27" t="s">
        <v>80</v>
      </c>
      <c r="D13" s="31">
        <v>3000000</v>
      </c>
      <c r="E13" s="29">
        <v>2982.018</v>
      </c>
      <c r="F13" s="30">
        <v>12.5069561027136</v>
      </c>
      <c r="G13" s="29">
        <v>5.2916999999999996</v>
      </c>
    </row>
    <row r="14" spans="1:9" x14ac:dyDescent="0.2">
      <c r="A14" s="27" t="s">
        <v>1018</v>
      </c>
      <c r="B14" s="27" t="s">
        <v>1019</v>
      </c>
      <c r="C14" s="27" t="s">
        <v>80</v>
      </c>
      <c r="D14" s="31">
        <v>3000000</v>
      </c>
      <c r="E14" s="29">
        <v>2959.77</v>
      </c>
      <c r="F14" s="30">
        <v>12.4136452107696</v>
      </c>
      <c r="G14" s="29">
        <v>6.3644999999999996</v>
      </c>
    </row>
    <row r="15" spans="1:9" x14ac:dyDescent="0.2">
      <c r="A15" s="27" t="s">
        <v>82</v>
      </c>
      <c r="B15" s="27" t="s">
        <v>81</v>
      </c>
      <c r="C15" s="27" t="s">
        <v>80</v>
      </c>
      <c r="D15" s="31">
        <v>1900000</v>
      </c>
      <c r="E15" s="29">
        <v>2050.1703000000002</v>
      </c>
      <c r="F15" s="30">
        <v>8.5986704121796596</v>
      </c>
      <c r="G15" s="29">
        <v>5.4960000000000004</v>
      </c>
    </row>
    <row r="16" spans="1:9" x14ac:dyDescent="0.2">
      <c r="A16" s="27" t="s">
        <v>84</v>
      </c>
      <c r="B16" s="27" t="s">
        <v>83</v>
      </c>
      <c r="C16" s="27" t="s">
        <v>80</v>
      </c>
      <c r="D16" s="31">
        <v>300000</v>
      </c>
      <c r="E16" s="29">
        <v>321.64949999999999</v>
      </c>
      <c r="F16" s="30">
        <v>1.3490381939209499</v>
      </c>
      <c r="G16" s="29">
        <v>4.7077999999999998</v>
      </c>
    </row>
    <row r="17" spans="1:9" x14ac:dyDescent="0.2">
      <c r="A17" s="27" t="s">
        <v>86</v>
      </c>
      <c r="B17" s="27" t="s">
        <v>85</v>
      </c>
      <c r="C17" s="27" t="s">
        <v>80</v>
      </c>
      <c r="D17" s="31">
        <v>200000</v>
      </c>
      <c r="E17" s="29">
        <v>200</v>
      </c>
      <c r="F17" s="30">
        <v>0.83882499050734105</v>
      </c>
      <c r="G17" s="29">
        <v>5.2183999999999999</v>
      </c>
    </row>
    <row r="18" spans="1:9" ht="10.5" x14ac:dyDescent="0.25">
      <c r="A18" s="26" t="s">
        <v>40</v>
      </c>
      <c r="B18" s="26"/>
      <c r="C18" s="26"/>
      <c r="D18" s="32"/>
      <c r="E18" s="33">
        <f>SUM(E11:E17)</f>
        <v>17702.760450000002</v>
      </c>
      <c r="F18" s="34">
        <f>SUM(F11:F17)</f>
        <v>74.24758933212496</v>
      </c>
      <c r="G18" s="33"/>
      <c r="H18" s="18"/>
      <c r="I18" s="18"/>
    </row>
    <row r="19" spans="1:9" x14ac:dyDescent="0.2">
      <c r="A19" s="27"/>
      <c r="B19" s="27"/>
      <c r="C19" s="27"/>
      <c r="D19" s="28"/>
      <c r="E19" s="29"/>
      <c r="F19" s="30"/>
      <c r="G19" s="29"/>
    </row>
    <row r="20" spans="1:9" ht="10.5" x14ac:dyDescent="0.25">
      <c r="A20" s="26" t="s">
        <v>44</v>
      </c>
      <c r="B20" s="26"/>
      <c r="C20" s="26"/>
      <c r="D20" s="32"/>
      <c r="E20" s="33">
        <f>E8+E18</f>
        <v>20190.722950000003</v>
      </c>
      <c r="F20" s="34">
        <f>F8+F18</f>
        <v>84.682414934350561</v>
      </c>
      <c r="G20" s="33"/>
      <c r="H20" s="18"/>
      <c r="I20" s="18"/>
    </row>
    <row r="21" spans="1:9" ht="10.5" x14ac:dyDescent="0.25">
      <c r="A21" s="26"/>
      <c r="B21" s="26"/>
      <c r="C21" s="26"/>
      <c r="D21" s="32"/>
      <c r="E21" s="33"/>
      <c r="F21" s="34"/>
      <c r="G21" s="33"/>
      <c r="H21" s="18"/>
      <c r="I21" s="18"/>
    </row>
    <row r="22" spans="1:9" ht="10.5" x14ac:dyDescent="0.25">
      <c r="A22" s="26" t="s">
        <v>46</v>
      </c>
      <c r="B22" s="26"/>
      <c r="C22" s="26"/>
      <c r="D22" s="32"/>
      <c r="E22" s="33">
        <f>E24-(E8+E18)</f>
        <v>3652.1527705999979</v>
      </c>
      <c r="F22" s="34">
        <f>F24-(F8+F18)</f>
        <v>15.317585065649439</v>
      </c>
      <c r="G22" s="33"/>
      <c r="H22" s="18"/>
      <c r="I22" s="18"/>
    </row>
    <row r="23" spans="1:9" ht="10.5" x14ac:dyDescent="0.25">
      <c r="A23" s="26"/>
      <c r="B23" s="26"/>
      <c r="C23" s="26"/>
      <c r="D23" s="32"/>
      <c r="E23" s="33"/>
      <c r="F23" s="34"/>
      <c r="G23" s="33"/>
      <c r="H23" s="18"/>
      <c r="I23" s="18"/>
    </row>
    <row r="24" spans="1:9" ht="10.5" x14ac:dyDescent="0.25">
      <c r="A24" s="35" t="s">
        <v>45</v>
      </c>
      <c r="B24" s="35"/>
      <c r="C24" s="35"/>
      <c r="D24" s="36"/>
      <c r="E24" s="37">
        <v>23842.875720600001</v>
      </c>
      <c r="F24" s="38">
        <v>100</v>
      </c>
      <c r="G24" s="37"/>
      <c r="H24" s="18"/>
      <c r="I24" s="18"/>
    </row>
    <row r="27" spans="1:9" ht="10.5" x14ac:dyDescent="0.25">
      <c r="A27" s="18" t="s">
        <v>48</v>
      </c>
    </row>
    <row r="28" spans="1:9" ht="10.5" x14ac:dyDescent="0.25">
      <c r="A28" s="18" t="s">
        <v>49</v>
      </c>
    </row>
    <row r="29" spans="1:9" ht="10.5" x14ac:dyDescent="0.25">
      <c r="A29" s="18" t="s">
        <v>50</v>
      </c>
      <c r="B29" s="18"/>
      <c r="C29" s="41" t="s">
        <v>727</v>
      </c>
      <c r="D29" s="19" t="s">
        <v>51</v>
      </c>
    </row>
    <row r="30" spans="1:9" x14ac:dyDescent="0.2">
      <c r="A30" s="9" t="s">
        <v>87</v>
      </c>
      <c r="C30" s="54">
        <v>47.099800000000002</v>
      </c>
      <c r="D30" s="40">
        <v>47.42</v>
      </c>
    </row>
    <row r="31" spans="1:9" x14ac:dyDescent="0.2">
      <c r="A31" s="9" t="s">
        <v>1020</v>
      </c>
      <c r="C31" s="54">
        <v>11.052300000000001</v>
      </c>
      <c r="D31" s="40">
        <v>10.684100000000001</v>
      </c>
    </row>
    <row r="32" spans="1:9" x14ac:dyDescent="0.2">
      <c r="A32" s="9" t="s">
        <v>88</v>
      </c>
      <c r="C32" s="54">
        <v>50.41</v>
      </c>
      <c r="D32" s="40">
        <v>50.868499999999997</v>
      </c>
    </row>
    <row r="33" spans="1:7" x14ac:dyDescent="0.2">
      <c r="A33" s="9" t="s">
        <v>1021</v>
      </c>
      <c r="C33" s="54">
        <v>12.12</v>
      </c>
      <c r="D33" s="40">
        <v>11.786099999999999</v>
      </c>
    </row>
    <row r="35" spans="1:7" ht="10.5" x14ac:dyDescent="0.25">
      <c r="A35" s="18" t="s">
        <v>52</v>
      </c>
    </row>
    <row r="36" spans="1:7" ht="10.5" x14ac:dyDescent="0.25">
      <c r="A36" s="77" t="s">
        <v>68</v>
      </c>
      <c r="B36" s="78"/>
      <c r="C36" s="43" t="s">
        <v>69</v>
      </c>
    </row>
    <row r="37" spans="1:7" x14ac:dyDescent="0.2">
      <c r="A37" s="71" t="s">
        <v>1020</v>
      </c>
      <c r="B37" s="72"/>
      <c r="C37" s="44">
        <v>0.44</v>
      </c>
    </row>
    <row r="38" spans="1:7" x14ac:dyDescent="0.2">
      <c r="A38" s="71" t="s">
        <v>1021</v>
      </c>
      <c r="B38" s="72"/>
      <c r="C38" s="44">
        <v>0.44</v>
      </c>
    </row>
    <row r="39" spans="1:7" x14ac:dyDescent="0.2">
      <c r="A39" s="9" t="s">
        <v>70</v>
      </c>
    </row>
    <row r="41" spans="1:7" ht="10.5" x14ac:dyDescent="0.25">
      <c r="A41" s="18" t="s">
        <v>798</v>
      </c>
      <c r="D41" s="42">
        <v>5.4185372451232903</v>
      </c>
      <c r="E41" s="13" t="s">
        <v>54</v>
      </c>
    </row>
    <row r="43" spans="1:7" ht="23.25" customHeight="1" x14ac:dyDescent="0.25">
      <c r="A43" s="79" t="s">
        <v>1502</v>
      </c>
      <c r="B43" s="79"/>
      <c r="C43" s="79"/>
      <c r="D43" s="41" t="s">
        <v>53</v>
      </c>
    </row>
    <row r="45" spans="1:7" ht="14.5" x14ac:dyDescent="0.2">
      <c r="A45" s="73" t="s">
        <v>799</v>
      </c>
      <c r="B45" s="74"/>
      <c r="C45" s="74"/>
      <c r="D45" s="74"/>
      <c r="E45" s="74"/>
      <c r="F45" s="74"/>
      <c r="G45" s="74"/>
    </row>
    <row r="46" spans="1:7" x14ac:dyDescent="0.2">
      <c r="A46" s="46" t="s">
        <v>55</v>
      </c>
    </row>
    <row r="48" spans="1:7" x14ac:dyDescent="0.2">
      <c r="A48" s="46"/>
    </row>
  </sheetData>
  <mergeCells count="6">
    <mergeCell ref="A45:G45"/>
    <mergeCell ref="A1:G1"/>
    <mergeCell ref="A36:B36"/>
    <mergeCell ref="A37:B37"/>
    <mergeCell ref="A38:B38"/>
    <mergeCell ref="A43:C43"/>
  </mergeCells>
  <conditionalFormatting sqref="F2:F3 F5:F44 F49:F65536">
    <cfRule type="cellIs" dxfId="152" priority="3" stopIfTrue="1" operator="between">
      <formula>0.009</formula>
      <formula>-0.009</formula>
    </cfRule>
  </conditionalFormatting>
  <conditionalFormatting sqref="F46">
    <cfRule type="cellIs" dxfId="151" priority="1" stopIfTrue="1" operator="between">
      <formula>0.009</formula>
      <formula>-0.009</formula>
    </cfRule>
  </conditionalFormatting>
  <conditionalFormatting sqref="F47:F48">
    <cfRule type="cellIs" dxfId="150" priority="2" stopIfTrue="1" operator="between">
      <formula>0.009</formula>
      <formula>-0.009</formula>
    </cfRule>
  </conditionalFormatting>
  <hyperlinks>
    <hyperlink ref="A46" r:id="rId1" xr:uid="{00000000-0004-0000-06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0"/>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54296875" style="9" bestFit="1" customWidth="1"/>
    <col min="4" max="4" width="15.179687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5" t="s">
        <v>1022</v>
      </c>
      <c r="B1" s="76"/>
      <c r="C1" s="76"/>
      <c r="D1" s="76"/>
      <c r="E1" s="76"/>
      <c r="F1" s="76"/>
      <c r="G1" s="76"/>
    </row>
    <row r="2" spans="1:7" s="1" customFormat="1" ht="11.5" x14ac:dyDescent="0.25">
      <c r="A2" s="56" t="s">
        <v>1023</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905</v>
      </c>
      <c r="B7" s="27" t="s">
        <v>906</v>
      </c>
      <c r="C7" s="27" t="s">
        <v>907</v>
      </c>
      <c r="D7" s="31">
        <v>2750</v>
      </c>
      <c r="E7" s="29">
        <v>27586.13</v>
      </c>
      <c r="F7" s="30">
        <v>10.6989377848535</v>
      </c>
      <c r="G7" s="29">
        <v>10.62</v>
      </c>
    </row>
    <row r="8" spans="1:7" x14ac:dyDescent="0.2">
      <c r="A8" s="27" t="s">
        <v>1024</v>
      </c>
      <c r="B8" s="27" t="s">
        <v>1025</v>
      </c>
      <c r="C8" s="27" t="s">
        <v>1026</v>
      </c>
      <c r="D8" s="31">
        <v>1112</v>
      </c>
      <c r="E8" s="29">
        <v>11168.33864</v>
      </c>
      <c r="F8" s="30">
        <v>4.3315013838307701</v>
      </c>
      <c r="G8" s="29">
        <v>10.2195</v>
      </c>
    </row>
    <row r="9" spans="1:7" x14ac:dyDescent="0.2">
      <c r="A9" s="27" t="s">
        <v>1027</v>
      </c>
      <c r="B9" s="27" t="s">
        <v>1028</v>
      </c>
      <c r="C9" s="27" t="s">
        <v>1029</v>
      </c>
      <c r="D9" s="31">
        <v>1000</v>
      </c>
      <c r="E9" s="29">
        <v>9900.81</v>
      </c>
      <c r="F9" s="30">
        <v>3.8399061488383999</v>
      </c>
      <c r="G9" s="29">
        <v>18.2819</v>
      </c>
    </row>
    <row r="10" spans="1:7" x14ac:dyDescent="0.2">
      <c r="A10" s="27" t="s">
        <v>1030</v>
      </c>
      <c r="B10" s="27" t="s">
        <v>1031</v>
      </c>
      <c r="C10" s="27" t="s">
        <v>1026</v>
      </c>
      <c r="D10" s="31">
        <v>4810</v>
      </c>
      <c r="E10" s="29">
        <v>9673.6795999999995</v>
      </c>
      <c r="F10" s="30">
        <v>3.7518164451123299</v>
      </c>
      <c r="G10" s="29">
        <v>10.592599999999999</v>
      </c>
    </row>
    <row r="11" spans="1:7" x14ac:dyDescent="0.2">
      <c r="A11" s="27" t="s">
        <v>1032</v>
      </c>
      <c r="B11" s="27" t="s">
        <v>1033</v>
      </c>
      <c r="C11" s="27" t="s">
        <v>1034</v>
      </c>
      <c r="D11" s="31">
        <v>990</v>
      </c>
      <c r="E11" s="29">
        <v>9015.3063000000002</v>
      </c>
      <c r="F11" s="30">
        <v>3.4964745404700799</v>
      </c>
      <c r="G11" s="29">
        <v>11.6662</v>
      </c>
    </row>
    <row r="12" spans="1:7" x14ac:dyDescent="0.2">
      <c r="A12" s="27" t="s">
        <v>1035</v>
      </c>
      <c r="B12" s="27" t="s">
        <v>1036</v>
      </c>
      <c r="C12" s="27" t="s">
        <v>1029</v>
      </c>
      <c r="D12" s="31">
        <v>800</v>
      </c>
      <c r="E12" s="29">
        <v>7911.7359999999999</v>
      </c>
      <c r="F12" s="30">
        <v>3.0684685105952099</v>
      </c>
      <c r="G12" s="29">
        <v>10.1699</v>
      </c>
    </row>
    <row r="13" spans="1:7" x14ac:dyDescent="0.2">
      <c r="A13" s="27" t="s">
        <v>1037</v>
      </c>
      <c r="B13" s="27" t="s">
        <v>1038</v>
      </c>
      <c r="C13" s="27" t="s">
        <v>1034</v>
      </c>
      <c r="D13" s="31">
        <v>937</v>
      </c>
      <c r="E13" s="29">
        <v>7485.5056000000004</v>
      </c>
      <c r="F13" s="30">
        <v>2.90316034552772</v>
      </c>
      <c r="G13" s="29">
        <v>10.059900000000001</v>
      </c>
    </row>
    <row r="14" spans="1:7" x14ac:dyDescent="0.2">
      <c r="A14" s="27" t="s">
        <v>1039</v>
      </c>
      <c r="B14" s="27" t="s">
        <v>1040</v>
      </c>
      <c r="C14" s="27" t="s">
        <v>35</v>
      </c>
      <c r="D14" s="31">
        <v>600</v>
      </c>
      <c r="E14" s="29">
        <v>6066.3779999999997</v>
      </c>
      <c r="F14" s="30">
        <v>2.3527693373954199</v>
      </c>
      <c r="G14" s="29">
        <v>4.49</v>
      </c>
    </row>
    <row r="15" spans="1:7" x14ac:dyDescent="0.2">
      <c r="A15" s="27" t="s">
        <v>1041</v>
      </c>
      <c r="B15" s="27" t="s">
        <v>1042</v>
      </c>
      <c r="C15" s="27" t="s">
        <v>1043</v>
      </c>
      <c r="D15" s="31">
        <v>385</v>
      </c>
      <c r="E15" s="29">
        <v>5382.0882499999998</v>
      </c>
      <c r="F15" s="30">
        <v>2.0873760596118802</v>
      </c>
      <c r="G15" s="29">
        <v>11.164999999999999</v>
      </c>
    </row>
    <row r="16" spans="1:7" x14ac:dyDescent="0.2">
      <c r="A16" s="27" t="s">
        <v>1044</v>
      </c>
      <c r="B16" s="27" t="s">
        <v>1045</v>
      </c>
      <c r="C16" s="27" t="s">
        <v>35</v>
      </c>
      <c r="D16" s="31">
        <v>450</v>
      </c>
      <c r="E16" s="29">
        <v>4171.3379999999997</v>
      </c>
      <c r="F16" s="30">
        <v>1.61780161775484</v>
      </c>
      <c r="G16" s="29">
        <v>11.982799999999999</v>
      </c>
    </row>
    <row r="17" spans="1:9" x14ac:dyDescent="0.2">
      <c r="A17" s="27" t="s">
        <v>1046</v>
      </c>
      <c r="B17" s="27" t="s">
        <v>1047</v>
      </c>
      <c r="C17" s="27" t="s">
        <v>1048</v>
      </c>
      <c r="D17" s="31">
        <v>450</v>
      </c>
      <c r="E17" s="29">
        <v>3861.7604999999999</v>
      </c>
      <c r="F17" s="30">
        <v>1.4977358306331801</v>
      </c>
      <c r="G17" s="29">
        <v>21.145700000000001</v>
      </c>
    </row>
    <row r="18" spans="1:9" x14ac:dyDescent="0.2">
      <c r="A18" s="27" t="s">
        <v>1049</v>
      </c>
      <c r="B18" s="27" t="s">
        <v>1050</v>
      </c>
      <c r="C18" s="27" t="s">
        <v>1034</v>
      </c>
      <c r="D18" s="31">
        <v>475</v>
      </c>
      <c r="E18" s="29">
        <v>3794.6343999999999</v>
      </c>
      <c r="F18" s="30">
        <v>1.4717018067363901</v>
      </c>
      <c r="G18" s="29">
        <v>10.06</v>
      </c>
    </row>
    <row r="19" spans="1:9" x14ac:dyDescent="0.2">
      <c r="A19" s="27" t="s">
        <v>1051</v>
      </c>
      <c r="B19" s="27" t="s">
        <v>1052</v>
      </c>
      <c r="C19" s="27" t="s">
        <v>38</v>
      </c>
      <c r="D19" s="31">
        <v>290</v>
      </c>
      <c r="E19" s="29">
        <v>3095.4078</v>
      </c>
      <c r="F19" s="30">
        <v>1.2005154572587799</v>
      </c>
      <c r="G19" s="29">
        <v>6.2365000000000004</v>
      </c>
    </row>
    <row r="20" spans="1:9" x14ac:dyDescent="0.2">
      <c r="A20" s="27" t="s">
        <v>1053</v>
      </c>
      <c r="B20" s="27" t="s">
        <v>1054</v>
      </c>
      <c r="C20" s="27" t="s">
        <v>1026</v>
      </c>
      <c r="D20" s="31">
        <v>300</v>
      </c>
      <c r="E20" s="29">
        <v>2997.4229999999998</v>
      </c>
      <c r="F20" s="30">
        <v>1.16251326996171</v>
      </c>
      <c r="G20" s="29">
        <v>10.1844</v>
      </c>
    </row>
    <row r="21" spans="1:9" x14ac:dyDescent="0.2">
      <c r="A21" s="27" t="s">
        <v>1055</v>
      </c>
      <c r="B21" s="27" t="s">
        <v>1056</v>
      </c>
      <c r="C21" s="27" t="s">
        <v>1026</v>
      </c>
      <c r="D21" s="31">
        <v>270</v>
      </c>
      <c r="E21" s="29">
        <v>2690.7336</v>
      </c>
      <c r="F21" s="30">
        <v>1.04356759654272</v>
      </c>
      <c r="G21" s="29">
        <v>10.2896</v>
      </c>
    </row>
    <row r="22" spans="1:9" x14ac:dyDescent="0.2">
      <c r="A22" s="27" t="s">
        <v>1057</v>
      </c>
      <c r="B22" s="27" t="s">
        <v>1058</v>
      </c>
      <c r="C22" s="27" t="s">
        <v>1029</v>
      </c>
      <c r="D22" s="31">
        <v>250</v>
      </c>
      <c r="E22" s="29">
        <v>2491.1999999999998</v>
      </c>
      <c r="F22" s="30">
        <v>0.96618096882843096</v>
      </c>
      <c r="G22" s="29">
        <v>9.8247999999999998</v>
      </c>
    </row>
    <row r="23" spans="1:9" x14ac:dyDescent="0.2">
      <c r="A23" s="27" t="s">
        <v>1059</v>
      </c>
      <c r="B23" s="27" t="s">
        <v>1047</v>
      </c>
      <c r="C23" s="27" t="s">
        <v>1048</v>
      </c>
      <c r="D23" s="31">
        <v>250</v>
      </c>
      <c r="E23" s="29">
        <v>2143.5949999999998</v>
      </c>
      <c r="F23" s="30">
        <v>0.83136668829310401</v>
      </c>
      <c r="G23" s="29">
        <v>21.219200000000001</v>
      </c>
    </row>
    <row r="24" spans="1:9" x14ac:dyDescent="0.2">
      <c r="A24" s="27" t="s">
        <v>1060</v>
      </c>
      <c r="B24" s="27" t="s">
        <v>1061</v>
      </c>
      <c r="C24" s="27" t="s">
        <v>1043</v>
      </c>
      <c r="D24" s="31">
        <v>150</v>
      </c>
      <c r="E24" s="29">
        <v>2081.1</v>
      </c>
      <c r="F24" s="30">
        <v>0.80712877899359703</v>
      </c>
      <c r="G24" s="29">
        <v>11.119899999999999</v>
      </c>
    </row>
    <row r="25" spans="1:9" x14ac:dyDescent="0.2">
      <c r="A25" s="27" t="s">
        <v>1062</v>
      </c>
      <c r="B25" s="27" t="s">
        <v>1063</v>
      </c>
      <c r="C25" s="27" t="s">
        <v>35</v>
      </c>
      <c r="D25" s="31">
        <v>200</v>
      </c>
      <c r="E25" s="29">
        <v>1974.318</v>
      </c>
      <c r="F25" s="30">
        <v>0.765714706974715</v>
      </c>
      <c r="G25" s="29">
        <v>12.061</v>
      </c>
    </row>
    <row r="26" spans="1:9" x14ac:dyDescent="0.2">
      <c r="A26" s="27" t="s">
        <v>873</v>
      </c>
      <c r="B26" s="27" t="s">
        <v>874</v>
      </c>
      <c r="C26" s="27" t="s">
        <v>875</v>
      </c>
      <c r="D26" s="31">
        <v>170</v>
      </c>
      <c r="E26" s="29">
        <v>1907.723</v>
      </c>
      <c r="F26" s="30">
        <v>0.739886663614435</v>
      </c>
      <c r="G26" s="29">
        <v>7.6942000000000004</v>
      </c>
    </row>
    <row r="27" spans="1:9" x14ac:dyDescent="0.2">
      <c r="A27" s="27" t="s">
        <v>1064</v>
      </c>
      <c r="B27" s="27" t="s">
        <v>1065</v>
      </c>
      <c r="C27" s="27" t="s">
        <v>1026</v>
      </c>
      <c r="D27" s="31">
        <v>160</v>
      </c>
      <c r="E27" s="29">
        <v>1604.5968</v>
      </c>
      <c r="F27" s="30">
        <v>0.622322933045521</v>
      </c>
      <c r="G27" s="29">
        <v>9.9939</v>
      </c>
    </row>
    <row r="28" spans="1:9" x14ac:dyDescent="0.2">
      <c r="A28" s="27" t="s">
        <v>1066</v>
      </c>
      <c r="B28" s="27" t="s">
        <v>1067</v>
      </c>
      <c r="C28" s="27" t="s">
        <v>995</v>
      </c>
      <c r="D28" s="31">
        <v>140</v>
      </c>
      <c r="E28" s="29">
        <v>1406.8432</v>
      </c>
      <c r="F28" s="30">
        <v>0.54562665621615702</v>
      </c>
      <c r="G28" s="29">
        <v>9.7895000000000003</v>
      </c>
    </row>
    <row r="29" spans="1:9" x14ac:dyDescent="0.2">
      <c r="A29" s="27" t="s">
        <v>1068</v>
      </c>
      <c r="B29" s="27" t="s">
        <v>1069</v>
      </c>
      <c r="C29" s="27" t="s">
        <v>35</v>
      </c>
      <c r="D29" s="31">
        <v>100</v>
      </c>
      <c r="E29" s="29">
        <v>1002.758</v>
      </c>
      <c r="F29" s="30">
        <v>0.38890723183223402</v>
      </c>
      <c r="G29" s="29">
        <v>10.7926</v>
      </c>
    </row>
    <row r="30" spans="1:9" x14ac:dyDescent="0.2">
      <c r="A30" s="27" t="s">
        <v>1070</v>
      </c>
      <c r="B30" s="27" t="s">
        <v>1071</v>
      </c>
      <c r="C30" s="27" t="s">
        <v>1034</v>
      </c>
      <c r="D30" s="31">
        <v>20</v>
      </c>
      <c r="E30" s="29">
        <v>204.0574</v>
      </c>
      <c r="F30" s="30">
        <v>7.9141127339679998E-2</v>
      </c>
      <c r="G30" s="29">
        <v>5.4349999999999996</v>
      </c>
    </row>
    <row r="31" spans="1:9" x14ac:dyDescent="0.2">
      <c r="A31" s="27" t="s">
        <v>90</v>
      </c>
      <c r="B31" s="27" t="s">
        <v>89</v>
      </c>
      <c r="C31" s="27" t="s">
        <v>39</v>
      </c>
      <c r="D31" s="31">
        <v>5</v>
      </c>
      <c r="E31" s="29">
        <v>55.77</v>
      </c>
      <c r="F31" s="30">
        <v>2.16297016022646E-2</v>
      </c>
      <c r="G31" s="29">
        <v>6.95</v>
      </c>
    </row>
    <row r="32" spans="1:9" ht="10.5" x14ac:dyDescent="0.25">
      <c r="A32" s="26" t="s">
        <v>40</v>
      </c>
      <c r="B32" s="26"/>
      <c r="C32" s="26"/>
      <c r="D32" s="32"/>
      <c r="E32" s="33">
        <f>SUM(E6:E31)</f>
        <v>129673.23109000002</v>
      </c>
      <c r="F32" s="34">
        <f>SUM(F6:F31)</f>
        <v>50.292151591863075</v>
      </c>
      <c r="G32" s="33"/>
      <c r="H32" s="18"/>
      <c r="I32" s="18"/>
    </row>
    <row r="33" spans="1:9" x14ac:dyDescent="0.2">
      <c r="A33" s="27"/>
      <c r="B33" s="27"/>
      <c r="C33" s="27"/>
      <c r="D33" s="28"/>
      <c r="E33" s="29"/>
      <c r="F33" s="30"/>
      <c r="G33" s="29"/>
    </row>
    <row r="34" spans="1:9" ht="10.5" x14ac:dyDescent="0.25">
      <c r="A34" s="26" t="s">
        <v>41</v>
      </c>
      <c r="B34" s="27"/>
      <c r="C34" s="27"/>
      <c r="D34" s="28"/>
      <c r="E34" s="29"/>
      <c r="F34" s="30"/>
      <c r="G34" s="29"/>
    </row>
    <row r="35" spans="1:9" x14ac:dyDescent="0.2">
      <c r="A35" s="27" t="s">
        <v>1072</v>
      </c>
      <c r="B35" s="27" t="s">
        <v>1073</v>
      </c>
      <c r="C35" s="27" t="s">
        <v>1074</v>
      </c>
      <c r="D35" s="31">
        <v>390</v>
      </c>
      <c r="E35" s="29">
        <v>4061.7993000000001</v>
      </c>
      <c r="F35" s="30">
        <v>1.57531839389075</v>
      </c>
      <c r="G35" s="29">
        <v>7.58</v>
      </c>
    </row>
    <row r="36" spans="1:9" x14ac:dyDescent="0.2">
      <c r="A36" s="27" t="s">
        <v>1075</v>
      </c>
      <c r="B36" s="27" t="s">
        <v>1076</v>
      </c>
      <c r="C36" s="27" t="s">
        <v>1077</v>
      </c>
      <c r="D36" s="31">
        <v>440</v>
      </c>
      <c r="E36" s="29">
        <v>3943.7650349999999</v>
      </c>
      <c r="F36" s="30">
        <v>1.52954027069203</v>
      </c>
      <c r="G36" s="29">
        <v>11.6874</v>
      </c>
    </row>
    <row r="37" spans="1:9" x14ac:dyDescent="0.2">
      <c r="A37" s="27" t="s">
        <v>1078</v>
      </c>
      <c r="B37" s="27" t="s">
        <v>1079</v>
      </c>
      <c r="C37" s="27" t="s">
        <v>1077</v>
      </c>
      <c r="D37" s="31">
        <v>450</v>
      </c>
      <c r="E37" s="29">
        <v>3829.3769550000002</v>
      </c>
      <c r="F37" s="30">
        <v>1.48517627504462</v>
      </c>
      <c r="G37" s="29">
        <v>11.6846</v>
      </c>
    </row>
    <row r="38" spans="1:9" x14ac:dyDescent="0.2">
      <c r="A38" s="27" t="s">
        <v>1080</v>
      </c>
      <c r="B38" s="27" t="s">
        <v>1081</v>
      </c>
      <c r="C38" s="27" t="s">
        <v>1082</v>
      </c>
      <c r="D38" s="31">
        <v>400</v>
      </c>
      <c r="E38" s="29">
        <v>3786.076</v>
      </c>
      <c r="F38" s="30">
        <v>1.46838253762768</v>
      </c>
      <c r="G38" s="29">
        <v>12.19</v>
      </c>
    </row>
    <row r="39" spans="1:9" x14ac:dyDescent="0.2">
      <c r="A39" s="27" t="s">
        <v>1083</v>
      </c>
      <c r="B39" s="27" t="s">
        <v>1084</v>
      </c>
      <c r="C39" s="27" t="s">
        <v>1085</v>
      </c>
      <c r="D39" s="31">
        <v>400</v>
      </c>
      <c r="E39" s="29">
        <v>2943.9386239999999</v>
      </c>
      <c r="F39" s="30">
        <v>1.1417700192308</v>
      </c>
      <c r="G39" s="29">
        <v>11.35</v>
      </c>
    </row>
    <row r="40" spans="1:9" x14ac:dyDescent="0.2">
      <c r="A40" s="27" t="s">
        <v>1086</v>
      </c>
      <c r="B40" s="27" t="s">
        <v>1087</v>
      </c>
      <c r="C40" s="27" t="s">
        <v>1074</v>
      </c>
      <c r="D40" s="31">
        <v>100</v>
      </c>
      <c r="E40" s="29">
        <v>1039.8309999999999</v>
      </c>
      <c r="F40" s="30">
        <v>0.40328553427980002</v>
      </c>
      <c r="G40" s="29">
        <v>7.5049999999999999</v>
      </c>
    </row>
    <row r="41" spans="1:9" x14ac:dyDescent="0.2">
      <c r="A41" s="27" t="s">
        <v>1088</v>
      </c>
      <c r="B41" s="27" t="s">
        <v>1089</v>
      </c>
      <c r="C41" s="27" t="s">
        <v>1074</v>
      </c>
      <c r="D41" s="31">
        <v>10</v>
      </c>
      <c r="E41" s="29">
        <v>980.44496000000004</v>
      </c>
      <c r="F41" s="30">
        <v>0.38025339648994599</v>
      </c>
      <c r="G41" s="29">
        <v>7.97</v>
      </c>
    </row>
    <row r="42" spans="1:9" x14ac:dyDescent="0.2">
      <c r="A42" s="27" t="s">
        <v>1090</v>
      </c>
      <c r="B42" s="27" t="s">
        <v>1091</v>
      </c>
      <c r="C42" s="27" t="s">
        <v>1077</v>
      </c>
      <c r="D42" s="31">
        <v>50</v>
      </c>
      <c r="E42" s="29">
        <v>438.70802200000003</v>
      </c>
      <c r="F42" s="30">
        <v>0.17014745573569601</v>
      </c>
      <c r="G42" s="29">
        <v>11.6874</v>
      </c>
    </row>
    <row r="43" spans="1:9" x14ac:dyDescent="0.2">
      <c r="A43" s="27" t="s">
        <v>1092</v>
      </c>
      <c r="B43" s="27" t="s">
        <v>1093</v>
      </c>
      <c r="C43" s="27" t="s">
        <v>1094</v>
      </c>
      <c r="D43" s="31">
        <v>600</v>
      </c>
      <c r="E43" s="29">
        <v>0</v>
      </c>
      <c r="F43" s="29">
        <v>0</v>
      </c>
      <c r="G43" s="29">
        <v>0</v>
      </c>
    </row>
    <row r="44" spans="1:9" x14ac:dyDescent="0.2">
      <c r="A44" s="27" t="s">
        <v>1095</v>
      </c>
      <c r="B44" s="27" t="s">
        <v>1096</v>
      </c>
      <c r="C44" s="27" t="s">
        <v>1094</v>
      </c>
      <c r="D44" s="31">
        <v>250</v>
      </c>
      <c r="E44" s="29">
        <v>0</v>
      </c>
      <c r="F44" s="29">
        <v>0</v>
      </c>
      <c r="G44" s="29">
        <v>0</v>
      </c>
    </row>
    <row r="45" spans="1:9" x14ac:dyDescent="0.2">
      <c r="A45" s="27" t="s">
        <v>1097</v>
      </c>
      <c r="B45" s="27" t="s">
        <v>1098</v>
      </c>
      <c r="C45" s="27" t="s">
        <v>1094</v>
      </c>
      <c r="D45" s="31">
        <v>250</v>
      </c>
      <c r="E45" s="29">
        <v>0</v>
      </c>
      <c r="F45" s="29">
        <v>0</v>
      </c>
      <c r="G45" s="29">
        <v>0</v>
      </c>
    </row>
    <row r="46" spans="1:9" ht="10.5" x14ac:dyDescent="0.25">
      <c r="A46" s="26" t="s">
        <v>40</v>
      </c>
      <c r="B46" s="26"/>
      <c r="C46" s="26"/>
      <c r="D46" s="32"/>
      <c r="E46" s="33">
        <f>SUM(E34:E45)</f>
        <v>21023.939895999996</v>
      </c>
      <c r="F46" s="34">
        <f>SUM(F34:F45)</f>
        <v>8.1538738829913235</v>
      </c>
      <c r="G46" s="33"/>
      <c r="H46" s="18"/>
      <c r="I46" s="18"/>
    </row>
    <row r="47" spans="1:9" x14ac:dyDescent="0.2">
      <c r="A47" s="27"/>
      <c r="B47" s="27"/>
      <c r="C47" s="27"/>
      <c r="D47" s="28"/>
      <c r="E47" s="29"/>
      <c r="F47" s="30"/>
      <c r="G47" s="29"/>
    </row>
    <row r="48" spans="1:9" ht="10.5" x14ac:dyDescent="0.25">
      <c r="A48" s="26" t="s">
        <v>44</v>
      </c>
      <c r="B48" s="26"/>
      <c r="C48" s="26"/>
      <c r="D48" s="32"/>
      <c r="E48" s="33">
        <f>E32+E46</f>
        <v>150697.17098600001</v>
      </c>
      <c r="F48" s="34">
        <f>F32+F46</f>
        <v>58.446025474854395</v>
      </c>
      <c r="G48" s="33"/>
      <c r="H48" s="18"/>
      <c r="I48" s="18"/>
    </row>
    <row r="49" spans="1:9" ht="10.5" x14ac:dyDescent="0.25">
      <c r="A49" s="26"/>
      <c r="B49" s="26"/>
      <c r="C49" s="26"/>
      <c r="D49" s="32"/>
      <c r="E49" s="33"/>
      <c r="F49" s="34"/>
      <c r="G49" s="33"/>
      <c r="H49" s="18"/>
      <c r="I49" s="18"/>
    </row>
    <row r="50" spans="1:9" ht="10.5" x14ac:dyDescent="0.25">
      <c r="A50" s="26" t="s">
        <v>46</v>
      </c>
      <c r="B50" s="26"/>
      <c r="C50" s="26"/>
      <c r="D50" s="32"/>
      <c r="E50" s="33">
        <f>E52-(E32+E46)</f>
        <v>107142.7244759</v>
      </c>
      <c r="F50" s="34">
        <f>F52-(F32+F46)</f>
        <v>41.553974525145605</v>
      </c>
      <c r="G50" s="33"/>
      <c r="H50" s="18"/>
      <c r="I50" s="18"/>
    </row>
    <row r="51" spans="1:9" ht="10.5" x14ac:dyDescent="0.25">
      <c r="A51" s="26"/>
      <c r="B51" s="26"/>
      <c r="C51" s="26"/>
      <c r="D51" s="32"/>
      <c r="E51" s="33"/>
      <c r="F51" s="34"/>
      <c r="G51" s="33"/>
      <c r="H51" s="18"/>
      <c r="I51" s="18"/>
    </row>
    <row r="52" spans="1:9" ht="10.5" x14ac:dyDescent="0.25">
      <c r="A52" s="35" t="s">
        <v>45</v>
      </c>
      <c r="B52" s="35"/>
      <c r="C52" s="35"/>
      <c r="D52" s="36"/>
      <c r="E52" s="37">
        <v>257839.89546190001</v>
      </c>
      <c r="F52" s="38">
        <v>100</v>
      </c>
      <c r="G52" s="37"/>
      <c r="H52" s="18"/>
      <c r="I52" s="18"/>
    </row>
    <row r="53" spans="1:9" ht="10.5" x14ac:dyDescent="0.25">
      <c r="F53" s="20"/>
    </row>
    <row r="54" spans="1:9" ht="10.5" x14ac:dyDescent="0.25">
      <c r="A54" s="18" t="s">
        <v>47</v>
      </c>
    </row>
    <row r="55" spans="1:9" ht="10.5" x14ac:dyDescent="0.25">
      <c r="A55" s="18" t="s">
        <v>1099</v>
      </c>
    </row>
    <row r="57" spans="1:9" ht="10.5" x14ac:dyDescent="0.25">
      <c r="A57" s="18" t="s">
        <v>48</v>
      </c>
    </row>
    <row r="58" spans="1:9" ht="10.5" x14ac:dyDescent="0.25">
      <c r="A58" s="18" t="s">
        <v>49</v>
      </c>
    </row>
    <row r="59" spans="1:9" ht="10.5" x14ac:dyDescent="0.25">
      <c r="A59" s="18" t="s">
        <v>50</v>
      </c>
      <c r="B59" s="18"/>
      <c r="C59" s="41" t="s">
        <v>727</v>
      </c>
      <c r="D59" s="19" t="s">
        <v>51</v>
      </c>
    </row>
    <row r="60" spans="1:9" x14ac:dyDescent="0.2">
      <c r="A60" s="9" t="s">
        <v>71</v>
      </c>
      <c r="C60" s="40">
        <v>65.701400000000007</v>
      </c>
      <c r="D60" s="40">
        <v>68.704800000000006</v>
      </c>
    </row>
    <row r="61" spans="1:9" x14ac:dyDescent="0.2">
      <c r="A61" s="9" t="s">
        <v>77</v>
      </c>
      <c r="C61" s="40">
        <v>10.8597</v>
      </c>
      <c r="D61" s="40">
        <v>11.3561</v>
      </c>
    </row>
    <row r="62" spans="1:9" x14ac:dyDescent="0.2">
      <c r="A62" s="9" t="s">
        <v>74</v>
      </c>
      <c r="C62" s="40">
        <v>69.889499999999998</v>
      </c>
      <c r="D62" s="40">
        <v>73.376499999999993</v>
      </c>
    </row>
    <row r="63" spans="1:9" x14ac:dyDescent="0.2">
      <c r="A63" s="9" t="s">
        <v>78</v>
      </c>
      <c r="C63" s="40">
        <v>11.7796</v>
      </c>
      <c r="D63" s="40">
        <v>12.3674</v>
      </c>
    </row>
    <row r="65" spans="1:7" ht="10.5" x14ac:dyDescent="0.25">
      <c r="A65" s="18" t="s">
        <v>52</v>
      </c>
      <c r="D65" s="41" t="s">
        <v>53</v>
      </c>
    </row>
    <row r="67" spans="1:7" ht="10.5" x14ac:dyDescent="0.25">
      <c r="A67" s="18" t="s">
        <v>798</v>
      </c>
      <c r="D67" s="42">
        <v>1.5820172320547901</v>
      </c>
      <c r="E67" s="13" t="s">
        <v>54</v>
      </c>
    </row>
    <row r="69" spans="1:7" ht="10.5" x14ac:dyDescent="0.25">
      <c r="A69" s="18" t="s">
        <v>1503</v>
      </c>
      <c r="D69" s="41" t="s">
        <v>53</v>
      </c>
    </row>
    <row r="70" spans="1:7" x14ac:dyDescent="0.2">
      <c r="A70" s="9" t="s">
        <v>1100</v>
      </c>
    </row>
    <row r="71" spans="1:7" x14ac:dyDescent="0.2">
      <c r="A71" s="46" t="s">
        <v>1101</v>
      </c>
    </row>
    <row r="73" spans="1:7" ht="26.25" customHeight="1" x14ac:dyDescent="0.2">
      <c r="A73" s="80" t="s">
        <v>1102</v>
      </c>
      <c r="B73" s="80"/>
      <c r="C73" s="80"/>
      <c r="D73" s="80"/>
      <c r="E73" s="80"/>
      <c r="F73" s="80"/>
      <c r="G73" s="80"/>
    </row>
    <row r="75" spans="1:7" ht="51" customHeight="1" x14ac:dyDescent="0.2">
      <c r="A75" s="81" t="s">
        <v>1103</v>
      </c>
      <c r="B75" s="81"/>
      <c r="C75" s="81"/>
      <c r="D75" s="81"/>
      <c r="E75" s="81"/>
      <c r="F75" s="81"/>
      <c r="G75" s="81"/>
    </row>
    <row r="76" spans="1:7" ht="10.5" x14ac:dyDescent="0.2">
      <c r="A76" s="57"/>
      <c r="B76" s="57"/>
      <c r="C76" s="57"/>
      <c r="D76" s="57"/>
      <c r="E76" s="57"/>
      <c r="F76" s="57"/>
      <c r="G76" s="57"/>
    </row>
    <row r="77" spans="1:7" ht="36.75" customHeight="1" x14ac:dyDescent="0.2">
      <c r="A77" s="81" t="s">
        <v>1104</v>
      </c>
      <c r="B77" s="81"/>
      <c r="C77" s="81"/>
      <c r="D77" s="81"/>
      <c r="E77" s="81"/>
      <c r="F77" s="81"/>
      <c r="G77" s="81"/>
    </row>
    <row r="78" spans="1:7" ht="10.5" x14ac:dyDescent="0.2">
      <c r="A78" s="46" t="s">
        <v>1105</v>
      </c>
      <c r="B78" s="57"/>
      <c r="C78" s="57"/>
      <c r="D78" s="57"/>
      <c r="E78" s="57"/>
      <c r="F78" s="57"/>
      <c r="G78" s="57"/>
    </row>
    <row r="80" spans="1:7" ht="27" customHeight="1" x14ac:dyDescent="0.2">
      <c r="A80" s="82" t="s">
        <v>1106</v>
      </c>
      <c r="B80" s="82"/>
      <c r="C80" s="82"/>
      <c r="D80" s="82"/>
      <c r="E80" s="82"/>
      <c r="F80" s="82"/>
      <c r="G80" s="82"/>
    </row>
    <row r="81" spans="1:9" ht="10.5" x14ac:dyDescent="0.2">
      <c r="A81" s="58"/>
      <c r="B81" s="58"/>
      <c r="C81" s="58"/>
      <c r="D81" s="58"/>
      <c r="E81" s="58"/>
      <c r="F81" s="58"/>
      <c r="G81" s="58"/>
    </row>
    <row r="82" spans="1:9" ht="14.5" customHeight="1" x14ac:dyDescent="0.2">
      <c r="A82" s="73" t="s">
        <v>1107</v>
      </c>
      <c r="B82" s="74"/>
      <c r="C82" s="74"/>
      <c r="D82" s="74"/>
      <c r="E82" s="74"/>
      <c r="F82" s="74"/>
      <c r="G82" s="74"/>
    </row>
    <row r="83" spans="1:9" x14ac:dyDescent="0.2">
      <c r="A83" s="46" t="s">
        <v>55</v>
      </c>
    </row>
    <row r="85" spans="1:9" s="1" customFormat="1" ht="14" x14ac:dyDescent="0.25">
      <c r="A85" s="75" t="s">
        <v>1108</v>
      </c>
      <c r="B85" s="76"/>
      <c r="C85" s="76"/>
      <c r="D85" s="76"/>
      <c r="E85" s="76"/>
      <c r="F85" s="76"/>
      <c r="G85" s="76"/>
    </row>
    <row r="86" spans="1:9" ht="10.5" x14ac:dyDescent="0.25">
      <c r="A86" s="18" t="s">
        <v>7</v>
      </c>
    </row>
    <row r="87" spans="1:9" s="1" customFormat="1" ht="17.5" customHeight="1" x14ac:dyDescent="0.25">
      <c r="A87" s="8" t="s">
        <v>2</v>
      </c>
      <c r="B87" s="8" t="s">
        <v>0</v>
      </c>
      <c r="C87" s="17" t="s">
        <v>749</v>
      </c>
      <c r="D87" s="16" t="s">
        <v>1</v>
      </c>
      <c r="E87" s="15" t="s">
        <v>3</v>
      </c>
      <c r="F87" s="15" t="s">
        <v>4</v>
      </c>
      <c r="G87" s="15" t="s">
        <v>6</v>
      </c>
    </row>
    <row r="88" spans="1:9" ht="10.5" x14ac:dyDescent="0.25">
      <c r="A88" s="21" t="s">
        <v>31</v>
      </c>
      <c r="B88" s="22"/>
      <c r="C88" s="22"/>
      <c r="D88" s="23"/>
      <c r="E88" s="24"/>
      <c r="F88" s="25"/>
      <c r="G88" s="24"/>
    </row>
    <row r="89" spans="1:9" ht="10.5" x14ac:dyDescent="0.25">
      <c r="A89" s="26" t="s">
        <v>32</v>
      </c>
      <c r="B89" s="27"/>
      <c r="C89" s="27"/>
      <c r="D89" s="28"/>
      <c r="E89" s="29"/>
      <c r="F89" s="30"/>
      <c r="G89" s="29"/>
    </row>
    <row r="90" spans="1:9" x14ac:dyDescent="0.2">
      <c r="A90" s="27" t="s">
        <v>1109</v>
      </c>
      <c r="B90" s="27" t="s">
        <v>1110</v>
      </c>
      <c r="C90" s="27" t="s">
        <v>1111</v>
      </c>
      <c r="D90" s="31">
        <v>940</v>
      </c>
      <c r="E90" s="29">
        <v>0</v>
      </c>
      <c r="F90" s="30">
        <v>100</v>
      </c>
      <c r="G90" s="29">
        <v>0</v>
      </c>
    </row>
    <row r="91" spans="1:9" ht="10.5" x14ac:dyDescent="0.25">
      <c r="A91" s="26" t="s">
        <v>40</v>
      </c>
      <c r="B91" s="26"/>
      <c r="C91" s="26"/>
      <c r="D91" s="32"/>
      <c r="E91" s="33">
        <f>SUM(E89:E90)</f>
        <v>0</v>
      </c>
      <c r="F91" s="34">
        <f>SUM(F89:F90)</f>
        <v>100</v>
      </c>
      <c r="G91" s="33"/>
      <c r="H91" s="18"/>
      <c r="I91" s="18"/>
    </row>
    <row r="92" spans="1:9" x14ac:dyDescent="0.2">
      <c r="A92" s="27"/>
      <c r="B92" s="27"/>
      <c r="C92" s="27"/>
      <c r="D92" s="28"/>
      <c r="E92" s="29"/>
      <c r="F92" s="30"/>
      <c r="G92" s="29"/>
    </row>
    <row r="93" spans="1:9" ht="10.5" x14ac:dyDescent="0.25">
      <c r="A93" s="26" t="s">
        <v>44</v>
      </c>
      <c r="B93" s="26"/>
      <c r="C93" s="26"/>
      <c r="D93" s="32"/>
      <c r="E93" s="33">
        <f>E91</f>
        <v>0</v>
      </c>
      <c r="F93" s="34">
        <f>F91</f>
        <v>100</v>
      </c>
      <c r="G93" s="33"/>
      <c r="H93" s="18"/>
      <c r="I93" s="18"/>
    </row>
    <row r="94" spans="1:9" ht="10.5" x14ac:dyDescent="0.25">
      <c r="A94" s="26"/>
      <c r="B94" s="26"/>
      <c r="C94" s="26"/>
      <c r="D94" s="32"/>
      <c r="E94" s="33"/>
      <c r="F94" s="34"/>
      <c r="G94" s="33"/>
      <c r="H94" s="18"/>
      <c r="I94" s="18"/>
    </row>
    <row r="95" spans="1:9" ht="10.5" x14ac:dyDescent="0.25">
      <c r="A95" s="26" t="s">
        <v>46</v>
      </c>
      <c r="B95" s="26"/>
      <c r="C95" s="26"/>
      <c r="D95" s="32"/>
      <c r="E95" s="33">
        <f>E97-(E91)</f>
        <v>3.9999999999999998E-7</v>
      </c>
      <c r="F95" s="34">
        <v>0</v>
      </c>
      <c r="G95" s="33"/>
      <c r="H95" s="18"/>
      <c r="I95" s="18"/>
    </row>
    <row r="96" spans="1:9" ht="10.5" x14ac:dyDescent="0.25">
      <c r="A96" s="26"/>
      <c r="B96" s="26"/>
      <c r="C96" s="26"/>
      <c r="D96" s="32"/>
      <c r="E96" s="33"/>
      <c r="F96" s="34"/>
      <c r="G96" s="33"/>
      <c r="H96" s="18"/>
      <c r="I96" s="18"/>
    </row>
    <row r="97" spans="1:9" ht="10.5" x14ac:dyDescent="0.25">
      <c r="A97" s="35" t="s">
        <v>45</v>
      </c>
      <c r="B97" s="35"/>
      <c r="C97" s="35"/>
      <c r="D97" s="36"/>
      <c r="E97" s="37">
        <v>3.9999999999999998E-7</v>
      </c>
      <c r="F97" s="38">
        <v>100</v>
      </c>
      <c r="G97" s="37"/>
      <c r="H97" s="18"/>
      <c r="I97" s="18"/>
    </row>
    <row r="99" spans="1:9" ht="10.5" x14ac:dyDescent="0.25">
      <c r="A99" s="18" t="s">
        <v>47</v>
      </c>
    </row>
    <row r="100" spans="1:9" ht="10.5" x14ac:dyDescent="0.25">
      <c r="A100" s="18" t="s">
        <v>1099</v>
      </c>
    </row>
    <row r="101" spans="1:9" ht="10.5" x14ac:dyDescent="0.25">
      <c r="A101" s="18" t="s">
        <v>1112</v>
      </c>
    </row>
    <row r="103" spans="1:9" ht="10.5" x14ac:dyDescent="0.25">
      <c r="A103" s="18" t="s">
        <v>48</v>
      </c>
    </row>
    <row r="104" spans="1:9" ht="10.5" x14ac:dyDescent="0.25">
      <c r="A104" s="18" t="s">
        <v>49</v>
      </c>
    </row>
    <row r="105" spans="1:9" ht="10.5" x14ac:dyDescent="0.25">
      <c r="A105" s="18" t="s">
        <v>50</v>
      </c>
      <c r="B105" s="18"/>
      <c r="C105" s="39" t="s">
        <v>1113</v>
      </c>
      <c r="D105" s="19" t="s">
        <v>51</v>
      </c>
    </row>
    <row r="106" spans="1:9" x14ac:dyDescent="0.2">
      <c r="A106" s="9" t="s">
        <v>71</v>
      </c>
      <c r="C106" s="40">
        <v>0</v>
      </c>
      <c r="D106" s="40">
        <v>0</v>
      </c>
    </row>
    <row r="107" spans="1:9" x14ac:dyDescent="0.2">
      <c r="A107" s="9" t="s">
        <v>77</v>
      </c>
      <c r="C107" s="40">
        <v>0</v>
      </c>
      <c r="D107" s="40">
        <v>0</v>
      </c>
    </row>
    <row r="108" spans="1:9" x14ac:dyDescent="0.2">
      <c r="A108" s="9" t="s">
        <v>74</v>
      </c>
      <c r="C108" s="40">
        <v>0</v>
      </c>
      <c r="D108" s="40">
        <v>0</v>
      </c>
    </row>
    <row r="109" spans="1:9" x14ac:dyDescent="0.2">
      <c r="A109" s="9" t="s">
        <v>78</v>
      </c>
      <c r="C109" s="40">
        <v>0</v>
      </c>
      <c r="D109" s="40">
        <v>0</v>
      </c>
    </row>
    <row r="111" spans="1:9" ht="10.5" x14ac:dyDescent="0.25">
      <c r="A111" s="18" t="s">
        <v>1504</v>
      </c>
      <c r="D111" s="41" t="s">
        <v>53</v>
      </c>
    </row>
    <row r="112" spans="1:9" x14ac:dyDescent="0.2">
      <c r="A112" s="9" t="s">
        <v>1100</v>
      </c>
    </row>
    <row r="113" spans="1:9" x14ac:dyDescent="0.2">
      <c r="A113" s="46" t="s">
        <v>1101</v>
      </c>
    </row>
    <row r="115" spans="1:9" ht="14.5" customHeight="1" x14ac:dyDescent="0.2">
      <c r="A115" s="73" t="s">
        <v>1114</v>
      </c>
      <c r="B115" s="74"/>
      <c r="C115" s="74"/>
      <c r="D115" s="74"/>
      <c r="E115" s="74"/>
      <c r="F115" s="74"/>
      <c r="G115" s="74"/>
    </row>
    <row r="116" spans="1:9" x14ac:dyDescent="0.2">
      <c r="A116" s="46" t="s">
        <v>55</v>
      </c>
    </row>
    <row r="118" spans="1:9" s="1" customFormat="1" ht="14" x14ac:dyDescent="0.25">
      <c r="A118" s="75" t="s">
        <v>1115</v>
      </c>
      <c r="B118" s="76"/>
      <c r="C118" s="76"/>
      <c r="D118" s="76"/>
      <c r="E118" s="76"/>
      <c r="F118" s="76"/>
      <c r="G118" s="76"/>
    </row>
    <row r="119" spans="1:9" ht="10.5" x14ac:dyDescent="0.25">
      <c r="A119" s="18" t="s">
        <v>7</v>
      </c>
    </row>
    <row r="120" spans="1:9" s="1" customFormat="1" ht="17.5" customHeight="1" x14ac:dyDescent="0.25">
      <c r="A120" s="8" t="s">
        <v>2</v>
      </c>
      <c r="B120" s="8" t="s">
        <v>0</v>
      </c>
      <c r="C120" s="17" t="s">
        <v>749</v>
      </c>
      <c r="D120" s="16" t="s">
        <v>1</v>
      </c>
      <c r="E120" s="15" t="s">
        <v>3</v>
      </c>
      <c r="F120" s="15" t="s">
        <v>4</v>
      </c>
      <c r="G120" s="15" t="s">
        <v>6</v>
      </c>
    </row>
    <row r="121" spans="1:9" ht="10.5" x14ac:dyDescent="0.25">
      <c r="A121" s="21" t="s">
        <v>31</v>
      </c>
      <c r="B121" s="22"/>
      <c r="C121" s="22"/>
      <c r="D121" s="23"/>
      <c r="E121" s="24"/>
      <c r="F121" s="25"/>
      <c r="G121" s="24"/>
    </row>
    <row r="122" spans="1:9" ht="10.5" x14ac:dyDescent="0.25">
      <c r="A122" s="26" t="s">
        <v>32</v>
      </c>
      <c r="B122" s="27"/>
      <c r="C122" s="27"/>
      <c r="D122" s="28"/>
      <c r="E122" s="29"/>
      <c r="F122" s="30"/>
      <c r="G122" s="29"/>
    </row>
    <row r="123" spans="1:9" ht="20" x14ac:dyDescent="0.2">
      <c r="A123" s="27" t="s">
        <v>1116</v>
      </c>
      <c r="B123" s="27" t="s">
        <v>1117</v>
      </c>
      <c r="C123" s="50" t="s">
        <v>1118</v>
      </c>
      <c r="D123" s="31">
        <v>682</v>
      </c>
      <c r="E123" s="29">
        <v>0</v>
      </c>
      <c r="F123" s="30">
        <v>100</v>
      </c>
      <c r="G123" s="29">
        <v>0</v>
      </c>
    </row>
    <row r="124" spans="1:9" ht="10.5" x14ac:dyDescent="0.25">
      <c r="A124" s="26" t="s">
        <v>40</v>
      </c>
      <c r="B124" s="26"/>
      <c r="C124" s="26"/>
      <c r="D124" s="32"/>
      <c r="E124" s="33">
        <f>SUM(E122:E123)</f>
        <v>0</v>
      </c>
      <c r="F124" s="34">
        <f>SUM(F122:F123)</f>
        <v>100</v>
      </c>
      <c r="G124" s="33"/>
      <c r="H124" s="18"/>
      <c r="I124" s="18"/>
    </row>
    <row r="125" spans="1:9" x14ac:dyDescent="0.2">
      <c r="A125" s="27"/>
      <c r="B125" s="27"/>
      <c r="C125" s="27"/>
      <c r="D125" s="28"/>
      <c r="E125" s="29"/>
      <c r="F125" s="30"/>
      <c r="G125" s="29"/>
    </row>
    <row r="126" spans="1:9" ht="10.5" x14ac:dyDescent="0.25">
      <c r="A126" s="26" t="s">
        <v>44</v>
      </c>
      <c r="B126" s="26"/>
      <c r="C126" s="26"/>
      <c r="D126" s="32"/>
      <c r="E126" s="33">
        <f>E124</f>
        <v>0</v>
      </c>
      <c r="F126" s="34">
        <f>F124</f>
        <v>100</v>
      </c>
      <c r="G126" s="33"/>
      <c r="H126" s="18"/>
      <c r="I126" s="18"/>
    </row>
    <row r="127" spans="1:9" ht="10.5" x14ac:dyDescent="0.25">
      <c r="A127" s="26"/>
      <c r="B127" s="26"/>
      <c r="C127" s="26"/>
      <c r="D127" s="32"/>
      <c r="E127" s="33"/>
      <c r="F127" s="34"/>
      <c r="G127" s="33"/>
      <c r="H127" s="18"/>
      <c r="I127" s="18"/>
    </row>
    <row r="128" spans="1:9" ht="10.5" x14ac:dyDescent="0.25">
      <c r="A128" s="26" t="s">
        <v>46</v>
      </c>
      <c r="B128" s="26"/>
      <c r="C128" s="26"/>
      <c r="D128" s="32"/>
      <c r="E128" s="33">
        <f>E130-(E124)</f>
        <v>3.9999999999999998E-7</v>
      </c>
      <c r="F128" s="34">
        <v>0</v>
      </c>
      <c r="G128" s="33"/>
      <c r="H128" s="18"/>
      <c r="I128" s="18"/>
    </row>
    <row r="129" spans="1:9" ht="10.5" x14ac:dyDescent="0.25">
      <c r="A129" s="26"/>
      <c r="B129" s="26"/>
      <c r="C129" s="26"/>
      <c r="D129" s="32"/>
      <c r="E129" s="33"/>
      <c r="F129" s="34"/>
      <c r="G129" s="33"/>
      <c r="H129" s="18"/>
      <c r="I129" s="18"/>
    </row>
    <row r="130" spans="1:9" ht="10.5" x14ac:dyDescent="0.25">
      <c r="A130" s="35" t="s">
        <v>45</v>
      </c>
      <c r="B130" s="35"/>
      <c r="C130" s="35"/>
      <c r="D130" s="36"/>
      <c r="E130" s="37">
        <v>3.9999999999999998E-7</v>
      </c>
      <c r="F130" s="38">
        <v>100</v>
      </c>
      <c r="G130" s="37"/>
      <c r="H130" s="18"/>
      <c r="I130" s="18"/>
    </row>
    <row r="132" spans="1:9" ht="10.5" x14ac:dyDescent="0.25">
      <c r="A132" s="18" t="s">
        <v>47</v>
      </c>
    </row>
    <row r="133" spans="1:9" ht="10.5" x14ac:dyDescent="0.25">
      <c r="A133" s="47" t="s">
        <v>1099</v>
      </c>
    </row>
    <row r="135" spans="1:9" ht="10.5" x14ac:dyDescent="0.25">
      <c r="A135" s="18" t="s">
        <v>48</v>
      </c>
    </row>
    <row r="136" spans="1:9" ht="10.5" x14ac:dyDescent="0.25">
      <c r="A136" s="18" t="s">
        <v>49</v>
      </c>
    </row>
    <row r="137" spans="1:9" ht="10.5" x14ac:dyDescent="0.25">
      <c r="A137" s="18" t="s">
        <v>50</v>
      </c>
      <c r="B137" s="18"/>
      <c r="C137" s="39" t="s">
        <v>1113</v>
      </c>
      <c r="D137" s="19" t="s">
        <v>51</v>
      </c>
    </row>
    <row r="138" spans="1:9" x14ac:dyDescent="0.2">
      <c r="A138" s="9" t="s">
        <v>71</v>
      </c>
      <c r="C138" s="40">
        <v>0</v>
      </c>
      <c r="D138" s="40">
        <v>0</v>
      </c>
    </row>
    <row r="139" spans="1:9" x14ac:dyDescent="0.2">
      <c r="A139" s="9" t="s">
        <v>77</v>
      </c>
      <c r="C139" s="40">
        <v>0</v>
      </c>
      <c r="D139" s="40">
        <v>0</v>
      </c>
    </row>
    <row r="140" spans="1:9" x14ac:dyDescent="0.2">
      <c r="A140" s="9" t="s">
        <v>74</v>
      </c>
      <c r="C140" s="40">
        <v>0</v>
      </c>
      <c r="D140" s="40">
        <v>0</v>
      </c>
    </row>
    <row r="141" spans="1:9" x14ac:dyDescent="0.2">
      <c r="A141" s="9" t="s">
        <v>78</v>
      </c>
      <c r="C141" s="40">
        <v>0</v>
      </c>
      <c r="D141" s="40">
        <v>0</v>
      </c>
    </row>
    <row r="143" spans="1:9" ht="10.5" x14ac:dyDescent="0.25">
      <c r="A143" s="18" t="s">
        <v>1504</v>
      </c>
      <c r="D143" s="41" t="s">
        <v>53</v>
      </c>
    </row>
    <row r="144" spans="1:9" x14ac:dyDescent="0.2">
      <c r="A144" s="9" t="s">
        <v>1100</v>
      </c>
    </row>
    <row r="145" spans="1:7" x14ac:dyDescent="0.2">
      <c r="A145" s="46" t="s">
        <v>1101</v>
      </c>
    </row>
    <row r="147" spans="1:7" ht="14.5" customHeight="1" x14ac:dyDescent="0.2">
      <c r="A147" s="73" t="s">
        <v>1114</v>
      </c>
      <c r="B147" s="74"/>
      <c r="C147" s="74"/>
      <c r="D147" s="74"/>
      <c r="E147" s="74"/>
      <c r="F147" s="74"/>
      <c r="G147" s="74"/>
    </row>
    <row r="148" spans="1:7" x14ac:dyDescent="0.2">
      <c r="A148" s="46" t="s">
        <v>55</v>
      </c>
    </row>
    <row r="150" spans="1:7" x14ac:dyDescent="0.2">
      <c r="A150" s="46"/>
    </row>
  </sheetData>
  <mergeCells count="10">
    <mergeCell ref="A85:G85"/>
    <mergeCell ref="A115:G115"/>
    <mergeCell ref="A118:G118"/>
    <mergeCell ref="A147:G147"/>
    <mergeCell ref="A1:G1"/>
    <mergeCell ref="A73:G73"/>
    <mergeCell ref="A75:G75"/>
    <mergeCell ref="A77:G77"/>
    <mergeCell ref="A80:G80"/>
    <mergeCell ref="A82:G82"/>
  </mergeCells>
  <conditionalFormatting sqref="F2:F3 F5:F42 F88:F89 F121:F122 F84 F98:F114 F131:F146 F86 F119 F117 F151:F65538 F46:F72">
    <cfRule type="cellIs" dxfId="149" priority="14" stopIfTrue="1" operator="between">
      <formula>0.009</formula>
      <formula>-0.009</formula>
    </cfRule>
  </conditionalFormatting>
  <conditionalFormatting sqref="F74 F79">
    <cfRule type="cellIs" dxfId="148" priority="13" stopIfTrue="1" operator="between">
      <formula>0.009</formula>
      <formula>-0.009</formula>
    </cfRule>
  </conditionalFormatting>
  <conditionalFormatting sqref="F91:F92">
    <cfRule type="cellIs" dxfId="147" priority="12" stopIfTrue="1" operator="between">
      <formula>0.009</formula>
      <formula>-0.009</formula>
    </cfRule>
  </conditionalFormatting>
  <conditionalFormatting sqref="F90">
    <cfRule type="cellIs" dxfId="146" priority="11" stopIfTrue="1" operator="between">
      <formula>0.009</formula>
      <formula>-0.009</formula>
    </cfRule>
  </conditionalFormatting>
  <conditionalFormatting sqref="F93:F94 F96:F97">
    <cfRule type="cellIs" dxfId="145" priority="10" stopIfTrue="1" operator="between">
      <formula>0.009</formula>
      <formula>-0.009</formula>
    </cfRule>
  </conditionalFormatting>
  <conditionalFormatting sqref="F124:F125">
    <cfRule type="cellIs" dxfId="144" priority="9" stopIfTrue="1" operator="between">
      <formula>0.009</formula>
      <formula>-0.009</formula>
    </cfRule>
  </conditionalFormatting>
  <conditionalFormatting sqref="F123">
    <cfRule type="cellIs" dxfId="143" priority="8" stopIfTrue="1" operator="between">
      <formula>0.009</formula>
      <formula>-0.009</formula>
    </cfRule>
  </conditionalFormatting>
  <conditionalFormatting sqref="F126:F127 F129:F130">
    <cfRule type="cellIs" dxfId="142" priority="7" stopIfTrue="1" operator="between">
      <formula>0.009</formula>
      <formula>-0.009</formula>
    </cfRule>
  </conditionalFormatting>
  <conditionalFormatting sqref="F83">
    <cfRule type="cellIs" dxfId="141" priority="5" stopIfTrue="1" operator="between">
      <formula>0.009</formula>
      <formula>-0.009</formula>
    </cfRule>
  </conditionalFormatting>
  <conditionalFormatting sqref="F148">
    <cfRule type="cellIs" dxfId="140" priority="1" stopIfTrue="1" operator="between">
      <formula>0.009</formula>
      <formula>-0.009</formula>
    </cfRule>
  </conditionalFormatting>
  <conditionalFormatting sqref="F116">
    <cfRule type="cellIs" dxfId="139" priority="3" stopIfTrue="1" operator="between">
      <formula>0.009</formula>
      <formula>-0.009</formula>
    </cfRule>
  </conditionalFormatting>
  <conditionalFormatting sqref="F149:F150">
    <cfRule type="cellIs" dxfId="138" priority="2" stopIfTrue="1" operator="between">
      <formula>0.009</formula>
      <formula>-0.009</formula>
    </cfRule>
  </conditionalFormatting>
  <hyperlinks>
    <hyperlink ref="A71" r:id="rId1" xr:uid="{00000000-0004-0000-0700-000000000000}"/>
    <hyperlink ref="A113" r:id="rId2" xr:uid="{00000000-0004-0000-0700-000001000000}"/>
    <hyperlink ref="A145" r:id="rId3" xr:uid="{00000000-0004-0000-0700-000002000000}"/>
    <hyperlink ref="A78" r:id="rId4" xr:uid="{00000000-0004-0000-0700-000003000000}"/>
    <hyperlink ref="A83" r:id="rId5" xr:uid="{00000000-0004-0000-0700-000004000000}"/>
    <hyperlink ref="A116" r:id="rId6" xr:uid="{00000000-0004-0000-0700-000005000000}"/>
    <hyperlink ref="A148" r:id="rId7" xr:uid="{00000000-0004-0000-0700-000006000000}"/>
  </hyperlinks>
  <pageMargins left="0.7" right="0.7" top="0.75" bottom="0.75" header="0.3" footer="0.3"/>
  <pageSetup paperSize="9" orientation="portrait" r:id="rId8"/>
  <headerFooter>
    <oddFooter>&amp;LPUBLIC</oddFooter>
    <evenFooter>&amp;LPUBLIC</evenFooter>
    <firstFooter>&amp;LPUBLIC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9"/>
  <sheetViews>
    <sheetView showGridLines="0" workbookViewId="0">
      <selection sqref="A1:G1"/>
    </sheetView>
  </sheetViews>
  <sheetFormatPr defaultColWidth="9.1796875" defaultRowHeight="10" x14ac:dyDescent="0.2"/>
  <cols>
    <col min="1" max="1" width="38.7265625" style="9" bestFit="1" customWidth="1"/>
    <col min="2" max="2" width="62" style="9" bestFit="1" customWidth="1"/>
    <col min="3" max="3" width="15.542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1119</v>
      </c>
      <c r="B1" s="76"/>
      <c r="C1" s="76"/>
      <c r="D1" s="76"/>
      <c r="E1" s="76"/>
      <c r="F1" s="76"/>
      <c r="G1" s="76"/>
    </row>
    <row r="2" spans="1:7" s="1" customFormat="1" ht="11.5" x14ac:dyDescent="0.25">
      <c r="A2" s="56" t="s">
        <v>1023</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1120</v>
      </c>
      <c r="B7" s="27" t="s">
        <v>1121</v>
      </c>
      <c r="C7" s="27" t="s">
        <v>995</v>
      </c>
      <c r="D7" s="31">
        <v>1283</v>
      </c>
      <c r="E7" s="29">
        <v>12982.638510000001</v>
      </c>
      <c r="F7" s="30">
        <v>5.0029032695383604</v>
      </c>
      <c r="G7" s="29">
        <v>10.4857</v>
      </c>
    </row>
    <row r="8" spans="1:7" x14ac:dyDescent="0.2">
      <c r="A8" s="27" t="s">
        <v>1122</v>
      </c>
      <c r="B8" s="27" t="s">
        <v>1123</v>
      </c>
      <c r="C8" s="27" t="s">
        <v>1048</v>
      </c>
      <c r="D8" s="31">
        <v>2000</v>
      </c>
      <c r="E8" s="29">
        <v>9931.5400000000009</v>
      </c>
      <c r="F8" s="30">
        <v>3.82715223097982</v>
      </c>
      <c r="G8" s="29">
        <v>18.283100000000001</v>
      </c>
    </row>
    <row r="9" spans="1:7" x14ac:dyDescent="0.2">
      <c r="A9" s="27" t="s">
        <v>1124</v>
      </c>
      <c r="B9" s="27" t="s">
        <v>1125</v>
      </c>
      <c r="C9" s="27" t="s">
        <v>1126</v>
      </c>
      <c r="D9" s="31">
        <v>1000</v>
      </c>
      <c r="E9" s="29">
        <v>9922.2800000000007</v>
      </c>
      <c r="F9" s="30">
        <v>3.8235838589389401</v>
      </c>
      <c r="G9" s="29">
        <v>10.394500000000001</v>
      </c>
    </row>
    <row r="10" spans="1:7" x14ac:dyDescent="0.2">
      <c r="A10" s="27" t="s">
        <v>1051</v>
      </c>
      <c r="B10" s="27" t="s">
        <v>1052</v>
      </c>
      <c r="C10" s="27" t="s">
        <v>38</v>
      </c>
      <c r="D10" s="31">
        <v>780</v>
      </c>
      <c r="E10" s="29">
        <v>8325.5795999999991</v>
      </c>
      <c r="F10" s="30">
        <v>3.2082900074248402</v>
      </c>
      <c r="G10" s="29">
        <v>6.2365000000000004</v>
      </c>
    </row>
    <row r="11" spans="1:7" x14ac:dyDescent="0.2">
      <c r="A11" s="27" t="s">
        <v>1127</v>
      </c>
      <c r="B11" s="27" t="s">
        <v>1128</v>
      </c>
      <c r="C11" s="27" t="s">
        <v>1082</v>
      </c>
      <c r="D11" s="31">
        <v>650</v>
      </c>
      <c r="E11" s="29">
        <v>6472.2579999999998</v>
      </c>
      <c r="F11" s="30">
        <v>2.4941063162588102</v>
      </c>
      <c r="G11" s="29">
        <v>13.058400000000001</v>
      </c>
    </row>
    <row r="12" spans="1:7" x14ac:dyDescent="0.2">
      <c r="A12" s="27" t="s">
        <v>1129</v>
      </c>
      <c r="B12" s="27" t="s">
        <v>1130</v>
      </c>
      <c r="C12" s="27" t="s">
        <v>907</v>
      </c>
      <c r="D12" s="31">
        <v>500</v>
      </c>
      <c r="E12" s="29">
        <v>5010.9849999999997</v>
      </c>
      <c r="F12" s="30">
        <v>1.9309998673072299</v>
      </c>
      <c r="G12" s="29">
        <v>10.67</v>
      </c>
    </row>
    <row r="13" spans="1:7" x14ac:dyDescent="0.2">
      <c r="A13" s="27" t="s">
        <v>853</v>
      </c>
      <c r="B13" s="27" t="s">
        <v>854</v>
      </c>
      <c r="C13" s="27" t="s">
        <v>855</v>
      </c>
      <c r="D13" s="31">
        <v>500</v>
      </c>
      <c r="E13" s="29">
        <v>4932.1000000000004</v>
      </c>
      <c r="F13" s="30">
        <v>1.9006012681231299</v>
      </c>
      <c r="G13" s="29">
        <v>8.5749999999999993</v>
      </c>
    </row>
    <row r="14" spans="1:7" x14ac:dyDescent="0.2">
      <c r="A14" s="27" t="s">
        <v>1060</v>
      </c>
      <c r="B14" s="27" t="s">
        <v>1061</v>
      </c>
      <c r="C14" s="27" t="s">
        <v>1043</v>
      </c>
      <c r="D14" s="31">
        <v>232</v>
      </c>
      <c r="E14" s="29">
        <v>3218.768</v>
      </c>
      <c r="F14" s="30">
        <v>1.24036303858278</v>
      </c>
      <c r="G14" s="29">
        <v>11.119899999999999</v>
      </c>
    </row>
    <row r="15" spans="1:7" x14ac:dyDescent="0.2">
      <c r="A15" s="27" t="s">
        <v>1131</v>
      </c>
      <c r="B15" s="27" t="s">
        <v>1132</v>
      </c>
      <c r="C15" s="27" t="s">
        <v>907</v>
      </c>
      <c r="D15" s="31">
        <v>250</v>
      </c>
      <c r="E15" s="29">
        <v>3165.1574999999998</v>
      </c>
      <c r="F15" s="30">
        <v>1.21970405269752</v>
      </c>
      <c r="G15" s="29">
        <v>7.65</v>
      </c>
    </row>
    <row r="16" spans="1:7" x14ac:dyDescent="0.2">
      <c r="A16" s="27" t="s">
        <v>1133</v>
      </c>
      <c r="B16" s="27" t="s">
        <v>1134</v>
      </c>
      <c r="C16" s="27" t="s">
        <v>1135</v>
      </c>
      <c r="D16" s="31">
        <v>300</v>
      </c>
      <c r="E16" s="29">
        <v>2998.2150000000001</v>
      </c>
      <c r="F16" s="30">
        <v>1.15537220070675</v>
      </c>
      <c r="G16" s="29">
        <v>9.7474000000000007</v>
      </c>
    </row>
    <row r="17" spans="1:9" x14ac:dyDescent="0.2">
      <c r="A17" s="27" t="s">
        <v>1136</v>
      </c>
      <c r="B17" s="27" t="s">
        <v>1137</v>
      </c>
      <c r="C17" s="27" t="s">
        <v>995</v>
      </c>
      <c r="D17" s="31">
        <v>250</v>
      </c>
      <c r="E17" s="29">
        <v>2511.2824999999998</v>
      </c>
      <c r="F17" s="30">
        <v>0.96773112956254304</v>
      </c>
      <c r="G17" s="29">
        <v>10.264200000000001</v>
      </c>
    </row>
    <row r="18" spans="1:9" x14ac:dyDescent="0.2">
      <c r="A18" s="27" t="s">
        <v>1138</v>
      </c>
      <c r="B18" s="27" t="s">
        <v>1139</v>
      </c>
      <c r="C18" s="27" t="s">
        <v>907</v>
      </c>
      <c r="D18" s="31">
        <v>250</v>
      </c>
      <c r="E18" s="29">
        <v>2472.3775000000001</v>
      </c>
      <c r="F18" s="30">
        <v>0.95273895739727299</v>
      </c>
      <c r="G18" s="29">
        <v>10.329599999999999</v>
      </c>
    </row>
    <row r="19" spans="1:9" x14ac:dyDescent="0.2">
      <c r="A19" s="27" t="s">
        <v>1140</v>
      </c>
      <c r="B19" s="27" t="s">
        <v>1141</v>
      </c>
      <c r="C19" s="27" t="s">
        <v>1026</v>
      </c>
      <c r="D19" s="31">
        <v>300</v>
      </c>
      <c r="E19" s="29">
        <v>2254.8892500000002</v>
      </c>
      <c r="F19" s="30">
        <v>0.86892913120723603</v>
      </c>
      <c r="G19" s="29">
        <v>9.5912000000000006</v>
      </c>
    </row>
    <row r="20" spans="1:9" x14ac:dyDescent="0.2">
      <c r="A20" s="27" t="s">
        <v>37</v>
      </c>
      <c r="B20" s="27" t="s">
        <v>36</v>
      </c>
      <c r="C20" s="27" t="s">
        <v>35</v>
      </c>
      <c r="D20" s="31">
        <v>194</v>
      </c>
      <c r="E20" s="29">
        <v>1940.5005200000001</v>
      </c>
      <c r="F20" s="30">
        <v>0.747778380224568</v>
      </c>
      <c r="G20" s="29">
        <v>7.0730000000000004</v>
      </c>
    </row>
    <row r="21" spans="1:9" x14ac:dyDescent="0.2">
      <c r="A21" s="27" t="s">
        <v>1064</v>
      </c>
      <c r="B21" s="27" t="s">
        <v>1065</v>
      </c>
      <c r="C21" s="27" t="s">
        <v>1026</v>
      </c>
      <c r="D21" s="31">
        <v>176</v>
      </c>
      <c r="E21" s="29">
        <v>1765.05648</v>
      </c>
      <c r="F21" s="30">
        <v>0.68017043129639398</v>
      </c>
      <c r="G21" s="29">
        <v>9.9939</v>
      </c>
    </row>
    <row r="22" spans="1:9" x14ac:dyDescent="0.2">
      <c r="A22" s="27" t="s">
        <v>1059</v>
      </c>
      <c r="B22" s="27" t="s">
        <v>1047</v>
      </c>
      <c r="C22" s="27" t="s">
        <v>1048</v>
      </c>
      <c r="D22" s="31">
        <v>200</v>
      </c>
      <c r="E22" s="29">
        <v>1714.876</v>
      </c>
      <c r="F22" s="30">
        <v>0.66083321511605997</v>
      </c>
      <c r="G22" s="29">
        <v>21.219200000000001</v>
      </c>
    </row>
    <row r="23" spans="1:9" x14ac:dyDescent="0.2">
      <c r="A23" s="27" t="s">
        <v>1142</v>
      </c>
      <c r="B23" s="27" t="s">
        <v>1143</v>
      </c>
      <c r="C23" s="27" t="s">
        <v>1135</v>
      </c>
      <c r="D23" s="31">
        <v>150</v>
      </c>
      <c r="E23" s="29">
        <v>1429.5645</v>
      </c>
      <c r="F23" s="30">
        <v>0.55088747218503398</v>
      </c>
      <c r="G23" s="29">
        <v>13.984999999999999</v>
      </c>
    </row>
    <row r="24" spans="1:9" x14ac:dyDescent="0.2">
      <c r="A24" s="27" t="s">
        <v>1049</v>
      </c>
      <c r="B24" s="27" t="s">
        <v>1050</v>
      </c>
      <c r="C24" s="27" t="s">
        <v>1034</v>
      </c>
      <c r="D24" s="31">
        <v>150</v>
      </c>
      <c r="E24" s="29">
        <v>1198.3055999999999</v>
      </c>
      <c r="F24" s="30">
        <v>0.46177107985625698</v>
      </c>
      <c r="G24" s="29">
        <v>10.06</v>
      </c>
    </row>
    <row r="25" spans="1:9" x14ac:dyDescent="0.2">
      <c r="A25" s="27" t="s">
        <v>1144</v>
      </c>
      <c r="B25" s="27" t="s">
        <v>1145</v>
      </c>
      <c r="C25" s="27" t="s">
        <v>907</v>
      </c>
      <c r="D25" s="31">
        <v>115</v>
      </c>
      <c r="E25" s="29">
        <v>1012.6969</v>
      </c>
      <c r="F25" s="30">
        <v>0.39024614512365102</v>
      </c>
      <c r="G25" s="29">
        <v>11.525499999999999</v>
      </c>
    </row>
    <row r="26" spans="1:9" x14ac:dyDescent="0.2">
      <c r="A26" s="27" t="s">
        <v>1146</v>
      </c>
      <c r="B26" s="27" t="s">
        <v>1147</v>
      </c>
      <c r="C26" s="27" t="s">
        <v>1048</v>
      </c>
      <c r="D26" s="31">
        <v>400</v>
      </c>
      <c r="E26" s="29">
        <v>1001.304</v>
      </c>
      <c r="F26" s="30">
        <v>0.38585585291797803</v>
      </c>
      <c r="G26" s="29">
        <v>8.5390999999999995</v>
      </c>
    </row>
    <row r="27" spans="1:9" x14ac:dyDescent="0.2">
      <c r="A27" s="27" t="s">
        <v>1148</v>
      </c>
      <c r="B27" s="27" t="s">
        <v>1149</v>
      </c>
      <c r="C27" s="27" t="s">
        <v>1026</v>
      </c>
      <c r="D27" s="31">
        <v>62</v>
      </c>
      <c r="E27" s="29">
        <v>624.23274000000004</v>
      </c>
      <c r="F27" s="30">
        <v>0.24055017887876901</v>
      </c>
      <c r="G27" s="29">
        <v>10.294600000000001</v>
      </c>
    </row>
    <row r="28" spans="1:9" x14ac:dyDescent="0.2">
      <c r="A28" s="27" t="s">
        <v>1150</v>
      </c>
      <c r="B28" s="27" t="s">
        <v>1151</v>
      </c>
      <c r="C28" s="27" t="s">
        <v>1026</v>
      </c>
      <c r="D28" s="31">
        <v>62</v>
      </c>
      <c r="E28" s="29">
        <v>623.27174000000002</v>
      </c>
      <c r="F28" s="30">
        <v>0.240179854307356</v>
      </c>
      <c r="G28" s="29">
        <v>10.2896</v>
      </c>
    </row>
    <row r="29" spans="1:9" x14ac:dyDescent="0.2">
      <c r="A29" s="27" t="s">
        <v>1024</v>
      </c>
      <c r="B29" s="27" t="s">
        <v>1025</v>
      </c>
      <c r="C29" s="27" t="s">
        <v>1026</v>
      </c>
      <c r="D29" s="31">
        <v>55</v>
      </c>
      <c r="E29" s="29">
        <v>552.39085</v>
      </c>
      <c r="F29" s="30">
        <v>0.21286566574270899</v>
      </c>
      <c r="G29" s="29">
        <v>10.2195</v>
      </c>
    </row>
    <row r="30" spans="1:9" ht="10.5" x14ac:dyDescent="0.25">
      <c r="A30" s="26" t="s">
        <v>40</v>
      </c>
      <c r="B30" s="26"/>
      <c r="C30" s="26"/>
      <c r="D30" s="32"/>
      <c r="E30" s="33">
        <f>SUM(E6:E29)</f>
        <v>86060.27019000001</v>
      </c>
      <c r="F30" s="34">
        <f>SUM(F6:F29)</f>
        <v>33.163613604374014</v>
      </c>
      <c r="G30" s="33"/>
      <c r="H30" s="18"/>
      <c r="I30" s="18"/>
    </row>
    <row r="31" spans="1:9" x14ac:dyDescent="0.2">
      <c r="A31" s="27"/>
      <c r="B31" s="27"/>
      <c r="C31" s="27"/>
      <c r="D31" s="28"/>
      <c r="E31" s="29"/>
      <c r="F31" s="30"/>
      <c r="G31" s="29"/>
    </row>
    <row r="32" spans="1:9" ht="10.5" x14ac:dyDescent="0.25">
      <c r="A32" s="26" t="s">
        <v>41</v>
      </c>
      <c r="B32" s="27"/>
      <c r="C32" s="27"/>
      <c r="D32" s="28"/>
      <c r="E32" s="29"/>
      <c r="F32" s="30"/>
      <c r="G32" s="29"/>
    </row>
    <row r="33" spans="1:9" x14ac:dyDescent="0.2">
      <c r="A33" s="27" t="s">
        <v>1078</v>
      </c>
      <c r="B33" s="27" t="s">
        <v>1079</v>
      </c>
      <c r="C33" s="27" t="s">
        <v>1077</v>
      </c>
      <c r="D33" s="31">
        <v>180</v>
      </c>
      <c r="E33" s="29">
        <v>1531.7507820000001</v>
      </c>
      <c r="F33" s="30">
        <v>0.59026529849715004</v>
      </c>
      <c r="G33" s="29">
        <v>11.6846</v>
      </c>
    </row>
    <row r="34" spans="1:9" x14ac:dyDescent="0.2">
      <c r="A34" s="27" t="s">
        <v>1090</v>
      </c>
      <c r="B34" s="27" t="s">
        <v>1091</v>
      </c>
      <c r="C34" s="27" t="s">
        <v>1077</v>
      </c>
      <c r="D34" s="31">
        <v>120</v>
      </c>
      <c r="E34" s="29">
        <v>1052.899253</v>
      </c>
      <c r="F34" s="30">
        <v>0.40573825661638901</v>
      </c>
      <c r="G34" s="29">
        <v>11.6874</v>
      </c>
    </row>
    <row r="35" spans="1:9" x14ac:dyDescent="0.2">
      <c r="A35" s="27" t="s">
        <v>1152</v>
      </c>
      <c r="B35" s="27" t="s">
        <v>1153</v>
      </c>
      <c r="C35" s="27" t="s">
        <v>1077</v>
      </c>
      <c r="D35" s="31">
        <v>40</v>
      </c>
      <c r="E35" s="29">
        <v>332.1385654</v>
      </c>
      <c r="F35" s="30">
        <v>0.12799070955411199</v>
      </c>
      <c r="G35" s="29">
        <v>11.6874</v>
      </c>
    </row>
    <row r="36" spans="1:9" ht="10.5" x14ac:dyDescent="0.25">
      <c r="A36" s="26" t="s">
        <v>40</v>
      </c>
      <c r="B36" s="26"/>
      <c r="C36" s="26"/>
      <c r="D36" s="32"/>
      <c r="E36" s="33">
        <f>SUM(E32:E35)</f>
        <v>2916.7886004000002</v>
      </c>
      <c r="F36" s="34">
        <f>SUM(F32:F35)</f>
        <v>1.1239942646676511</v>
      </c>
      <c r="G36" s="33"/>
      <c r="H36" s="18"/>
      <c r="I36" s="18"/>
    </row>
    <row r="37" spans="1:9" x14ac:dyDescent="0.2">
      <c r="A37" s="27"/>
      <c r="B37" s="27"/>
      <c r="C37" s="27"/>
      <c r="D37" s="28"/>
      <c r="E37" s="29"/>
      <c r="F37" s="30"/>
      <c r="G37" s="29"/>
    </row>
    <row r="38" spans="1:9" ht="10.5" x14ac:dyDescent="0.25">
      <c r="A38" s="26" t="s">
        <v>44</v>
      </c>
      <c r="B38" s="26"/>
      <c r="C38" s="26"/>
      <c r="D38" s="32"/>
      <c r="E38" s="33">
        <f>E30+E36</f>
        <v>88977.058790400013</v>
      </c>
      <c r="F38" s="34">
        <f>F30+F36</f>
        <v>34.287607869041665</v>
      </c>
      <c r="G38" s="33"/>
      <c r="H38" s="18"/>
      <c r="I38" s="18"/>
    </row>
    <row r="39" spans="1:9" ht="10.5" x14ac:dyDescent="0.25">
      <c r="A39" s="26"/>
      <c r="B39" s="26"/>
      <c r="C39" s="26"/>
      <c r="D39" s="32"/>
      <c r="E39" s="33"/>
      <c r="F39" s="34"/>
      <c r="G39" s="33"/>
      <c r="H39" s="18"/>
      <c r="I39" s="18"/>
    </row>
    <row r="40" spans="1:9" ht="10.5" x14ac:dyDescent="0.25">
      <c r="A40" s="26" t="s">
        <v>46</v>
      </c>
      <c r="B40" s="26"/>
      <c r="C40" s="26"/>
      <c r="D40" s="32"/>
      <c r="E40" s="33">
        <f>E42-(E30+E36)</f>
        <v>170525.03050739999</v>
      </c>
      <c r="F40" s="34">
        <f>F42-(F30+F36)</f>
        <v>65.712392130958335</v>
      </c>
      <c r="G40" s="33"/>
      <c r="H40" s="18"/>
      <c r="I40" s="18"/>
    </row>
    <row r="41" spans="1:9" ht="10.5" x14ac:dyDescent="0.25">
      <c r="A41" s="26"/>
      <c r="B41" s="26"/>
      <c r="C41" s="26"/>
      <c r="D41" s="32"/>
      <c r="E41" s="33"/>
      <c r="F41" s="34"/>
      <c r="G41" s="33"/>
      <c r="H41" s="18"/>
      <c r="I41" s="18"/>
    </row>
    <row r="42" spans="1:9" ht="10.5" x14ac:dyDescent="0.25">
      <c r="A42" s="35" t="s">
        <v>45</v>
      </c>
      <c r="B42" s="35"/>
      <c r="C42" s="35"/>
      <c r="D42" s="36"/>
      <c r="E42" s="37">
        <v>259502.0892978</v>
      </c>
      <c r="F42" s="38">
        <v>100</v>
      </c>
      <c r="G42" s="37"/>
      <c r="H42" s="18"/>
      <c r="I42" s="18"/>
    </row>
    <row r="44" spans="1:9" ht="10.5" x14ac:dyDescent="0.25">
      <c r="A44" s="18" t="s">
        <v>47</v>
      </c>
    </row>
    <row r="46" spans="1:9" ht="10.5" x14ac:dyDescent="0.25">
      <c r="A46" s="18" t="s">
        <v>48</v>
      </c>
    </row>
    <row r="47" spans="1:9" ht="10.5" x14ac:dyDescent="0.25">
      <c r="A47" s="18" t="s">
        <v>49</v>
      </c>
    </row>
    <row r="48" spans="1:9" ht="10.5" x14ac:dyDescent="0.25">
      <c r="A48" s="18" t="s">
        <v>50</v>
      </c>
      <c r="B48" s="18"/>
      <c r="C48" s="41" t="s">
        <v>727</v>
      </c>
      <c r="D48" s="19" t="s">
        <v>51</v>
      </c>
    </row>
    <row r="49" spans="1:7" x14ac:dyDescent="0.2">
      <c r="A49" s="9" t="s">
        <v>71</v>
      </c>
      <c r="C49" s="40">
        <v>21.220500000000001</v>
      </c>
      <c r="D49" s="40">
        <v>22.803999999999998</v>
      </c>
    </row>
    <row r="50" spans="1:7" x14ac:dyDescent="0.2">
      <c r="A50" s="9" t="s">
        <v>72</v>
      </c>
      <c r="C50" s="40">
        <v>9.7848000000000006</v>
      </c>
      <c r="D50" s="40">
        <v>10.514900000000001</v>
      </c>
    </row>
    <row r="51" spans="1:7" x14ac:dyDescent="0.2">
      <c r="A51" s="9" t="s">
        <v>73</v>
      </c>
      <c r="C51" s="40">
        <v>9.61</v>
      </c>
      <c r="D51" s="40">
        <v>10.3271</v>
      </c>
    </row>
    <row r="52" spans="1:7" x14ac:dyDescent="0.2">
      <c r="A52" s="9" t="s">
        <v>74</v>
      </c>
      <c r="C52" s="40">
        <v>21.745999999999999</v>
      </c>
      <c r="D52" s="40">
        <v>23.410699999999999</v>
      </c>
    </row>
    <row r="53" spans="1:7" x14ac:dyDescent="0.2">
      <c r="A53" s="9" t="s">
        <v>75</v>
      </c>
      <c r="C53" s="40">
        <v>10.106400000000001</v>
      </c>
      <c r="D53" s="40">
        <v>10.880100000000001</v>
      </c>
    </row>
    <row r="54" spans="1:7" x14ac:dyDescent="0.2">
      <c r="A54" s="9" t="s">
        <v>76</v>
      </c>
      <c r="C54" s="40">
        <v>9.9314</v>
      </c>
      <c r="D54" s="40">
        <v>10.691700000000001</v>
      </c>
    </row>
    <row r="56" spans="1:7" ht="10.5" x14ac:dyDescent="0.25">
      <c r="A56" s="18" t="s">
        <v>52</v>
      </c>
      <c r="D56" s="41" t="s">
        <v>53</v>
      </c>
    </row>
    <row r="58" spans="1:7" ht="10.5" x14ac:dyDescent="0.25">
      <c r="A58" s="18" t="s">
        <v>798</v>
      </c>
      <c r="D58" s="42">
        <v>0.557479090520548</v>
      </c>
      <c r="E58" s="13" t="s">
        <v>54</v>
      </c>
    </row>
    <row r="60" spans="1:7" ht="10.5" x14ac:dyDescent="0.25">
      <c r="A60" s="18" t="s">
        <v>1503</v>
      </c>
      <c r="D60" s="41" t="s">
        <v>53</v>
      </c>
    </row>
    <row r="61" spans="1:7" x14ac:dyDescent="0.2">
      <c r="A61" s="9" t="s">
        <v>1100</v>
      </c>
    </row>
    <row r="62" spans="1:7" x14ac:dyDescent="0.2">
      <c r="A62" s="46" t="s">
        <v>1101</v>
      </c>
    </row>
    <row r="63" spans="1:7" x14ac:dyDescent="0.2">
      <c r="A63" s="46"/>
    </row>
    <row r="64" spans="1:7" ht="27.75" customHeight="1" x14ac:dyDescent="0.2">
      <c r="A64" s="80" t="s">
        <v>1154</v>
      </c>
      <c r="B64" s="80"/>
      <c r="C64" s="80"/>
      <c r="D64" s="80"/>
      <c r="E64" s="80"/>
      <c r="F64" s="80"/>
      <c r="G64" s="80"/>
    </row>
    <row r="65" spans="1:9" ht="10.5" x14ac:dyDescent="0.2">
      <c r="A65" s="59"/>
      <c r="B65" s="59"/>
      <c r="C65" s="59"/>
      <c r="D65" s="59"/>
      <c r="E65" s="59"/>
      <c r="F65" s="59"/>
      <c r="G65" s="59"/>
    </row>
    <row r="66" spans="1:9" ht="37.5" customHeight="1" x14ac:dyDescent="0.2">
      <c r="A66" s="83" t="s">
        <v>1155</v>
      </c>
      <c r="B66" s="83"/>
      <c r="C66" s="83"/>
      <c r="D66" s="83"/>
      <c r="E66" s="83"/>
      <c r="F66" s="83"/>
      <c r="G66" s="83"/>
    </row>
    <row r="67" spans="1:9" ht="10.5" x14ac:dyDescent="0.2">
      <c r="A67" s="46" t="s">
        <v>1105</v>
      </c>
      <c r="B67" s="59"/>
      <c r="C67" s="59"/>
      <c r="D67" s="59"/>
      <c r="E67" s="59"/>
      <c r="F67" s="59"/>
      <c r="G67" s="59"/>
    </row>
    <row r="69" spans="1:9" ht="27" customHeight="1" x14ac:dyDescent="0.2">
      <c r="A69" s="82" t="s">
        <v>1156</v>
      </c>
      <c r="B69" s="82"/>
      <c r="C69" s="82"/>
      <c r="D69" s="82"/>
      <c r="E69" s="82"/>
      <c r="F69" s="82"/>
      <c r="G69" s="82"/>
    </row>
    <row r="70" spans="1:9" ht="10.5" x14ac:dyDescent="0.2">
      <c r="A70" s="58"/>
      <c r="B70" s="58"/>
      <c r="C70" s="58"/>
      <c r="D70" s="58"/>
      <c r="E70" s="58"/>
      <c r="F70" s="58"/>
      <c r="G70" s="58"/>
    </row>
    <row r="71" spans="1:9" ht="14.5" customHeight="1" x14ac:dyDescent="0.2">
      <c r="A71" s="73" t="s">
        <v>1157</v>
      </c>
      <c r="B71" s="74"/>
      <c r="C71" s="74"/>
      <c r="D71" s="74"/>
      <c r="E71" s="74"/>
      <c r="F71" s="74"/>
      <c r="G71" s="74"/>
    </row>
    <row r="72" spans="1:9" x14ac:dyDescent="0.2">
      <c r="A72" s="46" t="s">
        <v>55</v>
      </c>
    </row>
    <row r="73" spans="1:9" x14ac:dyDescent="0.2">
      <c r="A73" s="46"/>
    </row>
    <row r="74" spans="1:9" s="1" customFormat="1" ht="14" x14ac:dyDescent="0.25">
      <c r="A74" s="75" t="s">
        <v>1158</v>
      </c>
      <c r="B74" s="76"/>
      <c r="C74" s="76"/>
      <c r="D74" s="76"/>
      <c r="E74" s="76"/>
      <c r="F74" s="76"/>
      <c r="G74" s="76"/>
    </row>
    <row r="75" spans="1:9" ht="10.5" x14ac:dyDescent="0.25">
      <c r="A75" s="18" t="s">
        <v>7</v>
      </c>
    </row>
    <row r="76" spans="1:9" s="1" customFormat="1" ht="17.5" customHeight="1" x14ac:dyDescent="0.25">
      <c r="A76" s="8" t="s">
        <v>2</v>
      </c>
      <c r="B76" s="8" t="s">
        <v>0</v>
      </c>
      <c r="C76" s="17" t="s">
        <v>749</v>
      </c>
      <c r="D76" s="16" t="s">
        <v>1</v>
      </c>
      <c r="E76" s="15" t="s">
        <v>3</v>
      </c>
      <c r="F76" s="15" t="s">
        <v>4</v>
      </c>
      <c r="G76" s="15" t="s">
        <v>6</v>
      </c>
    </row>
    <row r="77" spans="1:9" ht="10.5" x14ac:dyDescent="0.25">
      <c r="A77" s="21" t="s">
        <v>31</v>
      </c>
      <c r="B77" s="22"/>
      <c r="C77" s="22"/>
      <c r="D77" s="23"/>
      <c r="E77" s="24"/>
      <c r="F77" s="25"/>
      <c r="G77" s="24"/>
    </row>
    <row r="78" spans="1:9" ht="10.5" x14ac:dyDescent="0.25">
      <c r="A78" s="26" t="s">
        <v>32</v>
      </c>
      <c r="B78" s="27"/>
      <c r="C78" s="27"/>
      <c r="D78" s="28"/>
      <c r="E78" s="29"/>
      <c r="F78" s="30"/>
      <c r="G78" s="29"/>
    </row>
    <row r="79" spans="1:9" x14ac:dyDescent="0.2">
      <c r="A79" s="27" t="s">
        <v>1109</v>
      </c>
      <c r="B79" s="27" t="s">
        <v>1110</v>
      </c>
      <c r="C79" s="27" t="s">
        <v>1111</v>
      </c>
      <c r="D79" s="31">
        <v>1510</v>
      </c>
      <c r="E79" s="29">
        <v>0</v>
      </c>
      <c r="F79" s="30">
        <v>100</v>
      </c>
      <c r="G79" s="29">
        <v>0</v>
      </c>
    </row>
    <row r="80" spans="1:9" ht="10.5" x14ac:dyDescent="0.25">
      <c r="A80" s="26" t="s">
        <v>40</v>
      </c>
      <c r="B80" s="26"/>
      <c r="C80" s="26"/>
      <c r="D80" s="32"/>
      <c r="E80" s="33">
        <f>SUM(E78:E79)</f>
        <v>0</v>
      </c>
      <c r="F80" s="34">
        <f>SUM(F78:F79)</f>
        <v>100</v>
      </c>
      <c r="G80" s="33"/>
      <c r="H80" s="18"/>
      <c r="I80" s="18"/>
    </row>
    <row r="81" spans="1:9" x14ac:dyDescent="0.2">
      <c r="A81" s="27"/>
      <c r="B81" s="27"/>
      <c r="C81" s="27"/>
      <c r="D81" s="28"/>
      <c r="E81" s="29"/>
      <c r="F81" s="30"/>
      <c r="G81" s="29"/>
    </row>
    <row r="82" spans="1:9" ht="10.5" x14ac:dyDescent="0.25">
      <c r="A82" s="26" t="s">
        <v>44</v>
      </c>
      <c r="B82" s="26"/>
      <c r="C82" s="26"/>
      <c r="D82" s="32"/>
      <c r="E82" s="33">
        <f>E80</f>
        <v>0</v>
      </c>
      <c r="F82" s="34">
        <f>F80</f>
        <v>100</v>
      </c>
      <c r="G82" s="33"/>
      <c r="H82" s="18"/>
      <c r="I82" s="18"/>
    </row>
    <row r="83" spans="1:9" ht="10.5" x14ac:dyDescent="0.25">
      <c r="A83" s="26"/>
      <c r="B83" s="26"/>
      <c r="C83" s="26"/>
      <c r="D83" s="32"/>
      <c r="E83" s="33"/>
      <c r="F83" s="34"/>
      <c r="G83" s="33"/>
      <c r="H83" s="18"/>
      <c r="I83" s="18"/>
    </row>
    <row r="84" spans="1:9" ht="10.5" x14ac:dyDescent="0.25">
      <c r="A84" s="26" t="s">
        <v>46</v>
      </c>
      <c r="B84" s="26"/>
      <c r="C84" s="26"/>
      <c r="D84" s="32"/>
      <c r="E84" s="33">
        <f>E86-(E80)</f>
        <v>5.9999999999999997E-7</v>
      </c>
      <c r="F84" s="34">
        <v>0</v>
      </c>
      <c r="G84" s="33"/>
      <c r="H84" s="18"/>
      <c r="I84" s="18"/>
    </row>
    <row r="85" spans="1:9" ht="10.5" x14ac:dyDescent="0.25">
      <c r="A85" s="26"/>
      <c r="B85" s="26"/>
      <c r="C85" s="26"/>
      <c r="D85" s="32"/>
      <c r="E85" s="33"/>
      <c r="F85" s="34"/>
      <c r="G85" s="33"/>
      <c r="H85" s="18"/>
      <c r="I85" s="18"/>
    </row>
    <row r="86" spans="1:9" ht="10.5" x14ac:dyDescent="0.25">
      <c r="A86" s="35" t="s">
        <v>45</v>
      </c>
      <c r="B86" s="35"/>
      <c r="C86" s="35"/>
      <c r="D86" s="36"/>
      <c r="E86" s="37">
        <v>5.9999999999999997E-7</v>
      </c>
      <c r="F86" s="38">
        <v>100</v>
      </c>
      <c r="G86" s="37"/>
      <c r="H86" s="18"/>
      <c r="I86" s="18"/>
    </row>
    <row r="88" spans="1:9" ht="10.5" x14ac:dyDescent="0.25">
      <c r="A88" s="18" t="s">
        <v>47</v>
      </c>
    </row>
    <row r="89" spans="1:9" ht="10.5" x14ac:dyDescent="0.25">
      <c r="A89" s="47" t="s">
        <v>1099</v>
      </c>
    </row>
    <row r="90" spans="1:9" ht="10.5" x14ac:dyDescent="0.25">
      <c r="A90" s="18" t="s">
        <v>1112</v>
      </c>
    </row>
    <row r="92" spans="1:9" ht="10.5" x14ac:dyDescent="0.25">
      <c r="A92" s="18" t="s">
        <v>48</v>
      </c>
    </row>
    <row r="93" spans="1:9" ht="10.5" x14ac:dyDescent="0.25">
      <c r="A93" s="18" t="s">
        <v>49</v>
      </c>
    </row>
    <row r="94" spans="1:9" ht="10.5" x14ac:dyDescent="0.25">
      <c r="A94" s="18" t="s">
        <v>50</v>
      </c>
      <c r="B94" s="18"/>
      <c r="C94" s="39" t="s">
        <v>1113</v>
      </c>
      <c r="D94" s="19" t="s">
        <v>51</v>
      </c>
    </row>
    <row r="95" spans="1:9" x14ac:dyDescent="0.2">
      <c r="A95" s="9" t="s">
        <v>71</v>
      </c>
      <c r="C95" s="40">
        <v>0</v>
      </c>
      <c r="D95" s="40">
        <v>0</v>
      </c>
    </row>
    <row r="96" spans="1:9" x14ac:dyDescent="0.2">
      <c r="A96" s="9" t="s">
        <v>72</v>
      </c>
      <c r="C96" s="40">
        <v>0</v>
      </c>
      <c r="D96" s="40">
        <v>0</v>
      </c>
    </row>
    <row r="97" spans="1:7" x14ac:dyDescent="0.2">
      <c r="A97" s="9" t="s">
        <v>73</v>
      </c>
      <c r="C97" s="40">
        <v>0</v>
      </c>
      <c r="D97" s="40">
        <v>0</v>
      </c>
    </row>
    <row r="98" spans="1:7" x14ac:dyDescent="0.2">
      <c r="A98" s="9" t="s">
        <v>74</v>
      </c>
      <c r="C98" s="40">
        <v>0</v>
      </c>
      <c r="D98" s="40">
        <v>0</v>
      </c>
    </row>
    <row r="99" spans="1:7" x14ac:dyDescent="0.2">
      <c r="A99" s="9" t="s">
        <v>75</v>
      </c>
      <c r="C99" s="40">
        <v>0</v>
      </c>
      <c r="D99" s="40">
        <v>0</v>
      </c>
    </row>
    <row r="100" spans="1:7" x14ac:dyDescent="0.2">
      <c r="A100" s="9" t="s">
        <v>76</v>
      </c>
      <c r="C100" s="40">
        <v>0</v>
      </c>
      <c r="D100" s="40">
        <v>0</v>
      </c>
    </row>
    <row r="102" spans="1:7" ht="10.5" x14ac:dyDescent="0.25">
      <c r="A102" s="18" t="s">
        <v>1504</v>
      </c>
      <c r="D102" s="41" t="s">
        <v>53</v>
      </c>
    </row>
    <row r="103" spans="1:7" x14ac:dyDescent="0.2">
      <c r="A103" s="9" t="s">
        <v>1100</v>
      </c>
    </row>
    <row r="104" spans="1:7" x14ac:dyDescent="0.2">
      <c r="A104" s="46" t="s">
        <v>1101</v>
      </c>
    </row>
    <row r="106" spans="1:7" ht="14.5" customHeight="1" x14ac:dyDescent="0.2">
      <c r="A106" s="73" t="s">
        <v>1114</v>
      </c>
      <c r="B106" s="74"/>
      <c r="C106" s="74"/>
      <c r="D106" s="74"/>
      <c r="E106" s="74"/>
      <c r="F106" s="74"/>
      <c r="G106" s="74"/>
    </row>
    <row r="107" spans="1:7" x14ac:dyDescent="0.2">
      <c r="A107" s="46" t="s">
        <v>55</v>
      </c>
    </row>
    <row r="109" spans="1:7" x14ac:dyDescent="0.2">
      <c r="A109" s="46"/>
    </row>
  </sheetData>
  <mergeCells count="7">
    <mergeCell ref="A106:G106"/>
    <mergeCell ref="A1:G1"/>
    <mergeCell ref="A64:G64"/>
    <mergeCell ref="A66:G66"/>
    <mergeCell ref="A69:G69"/>
    <mergeCell ref="A71:G71"/>
    <mergeCell ref="A74:G74"/>
  </mergeCells>
  <conditionalFormatting sqref="F2:F3 F5:F63 F77:F78 F73 F87:F105 F75 F110:F65535">
    <cfRule type="cellIs" dxfId="137" priority="9" stopIfTrue="1" operator="between">
      <formula>0.009</formula>
      <formula>-0.009</formula>
    </cfRule>
  </conditionalFormatting>
  <conditionalFormatting sqref="F68">
    <cfRule type="cellIs" dxfId="136" priority="8" stopIfTrue="1" operator="between">
      <formula>0.009</formula>
      <formula>-0.009</formula>
    </cfRule>
  </conditionalFormatting>
  <conditionalFormatting sqref="F80:F81">
    <cfRule type="cellIs" dxfId="135" priority="7" stopIfTrue="1" operator="between">
      <formula>0.009</formula>
      <formula>-0.009</formula>
    </cfRule>
  </conditionalFormatting>
  <conditionalFormatting sqref="F79">
    <cfRule type="cellIs" dxfId="134" priority="6" stopIfTrue="1" operator="between">
      <formula>0.009</formula>
      <formula>-0.009</formula>
    </cfRule>
  </conditionalFormatting>
  <conditionalFormatting sqref="F82:F83 F85:F86">
    <cfRule type="cellIs" dxfId="133" priority="5" stopIfTrue="1" operator="between">
      <formula>0.009</formula>
      <formula>-0.009</formula>
    </cfRule>
  </conditionalFormatting>
  <conditionalFormatting sqref="F108:F109">
    <cfRule type="cellIs" dxfId="132" priority="2" stopIfTrue="1" operator="between">
      <formula>0.009</formula>
      <formula>-0.009</formula>
    </cfRule>
  </conditionalFormatting>
  <conditionalFormatting sqref="F72">
    <cfRule type="cellIs" dxfId="131" priority="3" stopIfTrue="1" operator="between">
      <formula>0.009</formula>
      <formula>-0.009</formula>
    </cfRule>
  </conditionalFormatting>
  <conditionalFormatting sqref="F107">
    <cfRule type="cellIs" dxfId="130" priority="1" stopIfTrue="1" operator="between">
      <formula>0.009</formula>
      <formula>-0.009</formula>
    </cfRule>
  </conditionalFormatting>
  <hyperlinks>
    <hyperlink ref="A62" r:id="rId1" xr:uid="{00000000-0004-0000-0800-000000000000}"/>
    <hyperlink ref="A104" r:id="rId2" xr:uid="{00000000-0004-0000-0800-000001000000}"/>
    <hyperlink ref="A67" r:id="rId3" xr:uid="{00000000-0004-0000-0800-000002000000}"/>
    <hyperlink ref="A72" r:id="rId4" xr:uid="{00000000-0004-0000-0800-000003000000}"/>
    <hyperlink ref="A107" r:id="rId5" xr:uid="{00000000-0004-0000-0800-000004000000}"/>
  </hyperlinks>
  <pageMargins left="0.7" right="0.7" top="0.75" bottom="0.75" header="0.3" footer="0.3"/>
  <pageSetup paperSize="9" orientation="portrait" r:id="rId6"/>
  <headerFooter>
    <oddFooter>&amp;LPUBLIC</oddFooter>
    <evenFooter>&amp;LPUBLIC</evenFooter>
    <firstFooter>&amp;LPUBLIC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4"/>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542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1159</v>
      </c>
      <c r="B1" s="76"/>
      <c r="C1" s="76"/>
      <c r="D1" s="76"/>
      <c r="E1" s="76"/>
      <c r="F1" s="76"/>
      <c r="G1" s="76"/>
    </row>
    <row r="2" spans="1:7" s="1" customFormat="1" ht="11.5" x14ac:dyDescent="0.25">
      <c r="A2" s="56" t="s">
        <v>1023</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853</v>
      </c>
      <c r="B7" s="27" t="s">
        <v>854</v>
      </c>
      <c r="C7" s="27" t="s">
        <v>855</v>
      </c>
      <c r="D7" s="31">
        <v>5400</v>
      </c>
      <c r="E7" s="29">
        <v>53266.68</v>
      </c>
      <c r="F7" s="30">
        <v>5.21193731642175</v>
      </c>
      <c r="G7" s="29">
        <v>8.5749999999999993</v>
      </c>
    </row>
    <row r="8" spans="1:7" x14ac:dyDescent="0.2">
      <c r="A8" s="27" t="s">
        <v>34</v>
      </c>
      <c r="B8" s="27" t="s">
        <v>33</v>
      </c>
      <c r="C8" s="27" t="s">
        <v>35</v>
      </c>
      <c r="D8" s="31">
        <v>4400</v>
      </c>
      <c r="E8" s="29">
        <v>44014.608</v>
      </c>
      <c r="F8" s="30">
        <v>4.3066580816164102</v>
      </c>
      <c r="G8" s="29">
        <v>9.2353000000000005</v>
      </c>
    </row>
    <row r="9" spans="1:7" x14ac:dyDescent="0.2">
      <c r="A9" s="27" t="s">
        <v>1122</v>
      </c>
      <c r="B9" s="27" t="s">
        <v>1123</v>
      </c>
      <c r="C9" s="27" t="s">
        <v>1048</v>
      </c>
      <c r="D9" s="31">
        <v>7500</v>
      </c>
      <c r="E9" s="29">
        <v>37243.275000000001</v>
      </c>
      <c r="F9" s="30">
        <v>3.6441095025681598</v>
      </c>
      <c r="G9" s="29">
        <v>18.283100000000001</v>
      </c>
    </row>
    <row r="10" spans="1:7" x14ac:dyDescent="0.2">
      <c r="A10" s="27" t="s">
        <v>1027</v>
      </c>
      <c r="B10" s="27" t="s">
        <v>1028</v>
      </c>
      <c r="C10" s="27" t="s">
        <v>1029</v>
      </c>
      <c r="D10" s="31">
        <v>3650</v>
      </c>
      <c r="E10" s="29">
        <v>36137.9565</v>
      </c>
      <c r="F10" s="30">
        <v>3.5359583894017002</v>
      </c>
      <c r="G10" s="29">
        <v>18.2819</v>
      </c>
    </row>
    <row r="11" spans="1:7" x14ac:dyDescent="0.2">
      <c r="A11" s="27" t="s">
        <v>1160</v>
      </c>
      <c r="B11" s="27" t="s">
        <v>1161</v>
      </c>
      <c r="C11" s="27" t="s">
        <v>855</v>
      </c>
      <c r="D11" s="31">
        <v>2000</v>
      </c>
      <c r="E11" s="29">
        <v>23589.200000000001</v>
      </c>
      <c r="F11" s="30">
        <v>2.3081114074414999</v>
      </c>
      <c r="G11" s="29">
        <v>4.7701000000000002</v>
      </c>
    </row>
    <row r="12" spans="1:7" x14ac:dyDescent="0.2">
      <c r="A12" s="27" t="s">
        <v>1127</v>
      </c>
      <c r="B12" s="27" t="s">
        <v>1128</v>
      </c>
      <c r="C12" s="27" t="s">
        <v>1082</v>
      </c>
      <c r="D12" s="31">
        <v>2350</v>
      </c>
      <c r="E12" s="29">
        <v>23399.702000000001</v>
      </c>
      <c r="F12" s="30">
        <v>2.2895697656949698</v>
      </c>
      <c r="G12" s="29">
        <v>13.058400000000001</v>
      </c>
    </row>
    <row r="13" spans="1:7" x14ac:dyDescent="0.2">
      <c r="A13" s="27" t="s">
        <v>37</v>
      </c>
      <c r="B13" s="27" t="s">
        <v>36</v>
      </c>
      <c r="C13" s="27" t="s">
        <v>35</v>
      </c>
      <c r="D13" s="31">
        <v>2167</v>
      </c>
      <c r="E13" s="29">
        <v>21675.59086</v>
      </c>
      <c r="F13" s="30">
        <v>2.1208722011344499</v>
      </c>
      <c r="G13" s="29">
        <v>7.0730000000000004</v>
      </c>
    </row>
    <row r="14" spans="1:7" x14ac:dyDescent="0.2">
      <c r="A14" s="27" t="s">
        <v>1162</v>
      </c>
      <c r="B14" s="27" t="s">
        <v>1163</v>
      </c>
      <c r="C14" s="27" t="s">
        <v>1082</v>
      </c>
      <c r="D14" s="31">
        <v>2000</v>
      </c>
      <c r="E14" s="29">
        <v>19934.759999999998</v>
      </c>
      <c r="F14" s="30">
        <v>1.95053867704748</v>
      </c>
      <c r="G14" s="29">
        <v>13.0336</v>
      </c>
    </row>
    <row r="15" spans="1:7" x14ac:dyDescent="0.2">
      <c r="A15" s="27" t="s">
        <v>1164</v>
      </c>
      <c r="B15" s="27" t="s">
        <v>1165</v>
      </c>
      <c r="C15" s="27" t="s">
        <v>1034</v>
      </c>
      <c r="D15" s="31">
        <v>1910</v>
      </c>
      <c r="E15" s="29">
        <v>19056.910400000001</v>
      </c>
      <c r="F15" s="30">
        <v>1.8646445104043601</v>
      </c>
      <c r="G15" s="29">
        <v>9.2436000000000007</v>
      </c>
    </row>
    <row r="16" spans="1:7" x14ac:dyDescent="0.2">
      <c r="A16" s="27" t="s">
        <v>1166</v>
      </c>
      <c r="B16" s="27" t="s">
        <v>1167</v>
      </c>
      <c r="C16" s="27" t="s">
        <v>1082</v>
      </c>
      <c r="D16" s="31">
        <v>1000</v>
      </c>
      <c r="E16" s="29">
        <v>10044.77</v>
      </c>
      <c r="F16" s="30">
        <v>0.98284164881073399</v>
      </c>
      <c r="G16" s="29">
        <v>13.053699999999999</v>
      </c>
    </row>
    <row r="17" spans="1:7" x14ac:dyDescent="0.2">
      <c r="A17" s="27" t="s">
        <v>1168</v>
      </c>
      <c r="B17" s="27" t="s">
        <v>1169</v>
      </c>
      <c r="C17" s="27" t="s">
        <v>1082</v>
      </c>
      <c r="D17" s="31">
        <v>1000</v>
      </c>
      <c r="E17" s="29">
        <v>10034.19</v>
      </c>
      <c r="F17" s="30">
        <v>0.98180643698961501</v>
      </c>
      <c r="G17" s="29">
        <v>13.048</v>
      </c>
    </row>
    <row r="18" spans="1:7" x14ac:dyDescent="0.2">
      <c r="A18" s="27" t="s">
        <v>1170</v>
      </c>
      <c r="B18" s="27" t="s">
        <v>1171</v>
      </c>
      <c r="C18" s="27" t="s">
        <v>1082</v>
      </c>
      <c r="D18" s="31">
        <v>1000</v>
      </c>
      <c r="E18" s="29">
        <v>10025.48</v>
      </c>
      <c r="F18" s="30">
        <v>0.98095419739018697</v>
      </c>
      <c r="G18" s="29">
        <v>13.8492</v>
      </c>
    </row>
    <row r="19" spans="1:7" x14ac:dyDescent="0.2">
      <c r="A19" s="27" t="s">
        <v>1172</v>
      </c>
      <c r="B19" s="27" t="s">
        <v>1173</v>
      </c>
      <c r="C19" s="27" t="s">
        <v>1034</v>
      </c>
      <c r="D19" s="31">
        <v>1000</v>
      </c>
      <c r="E19" s="29">
        <v>9969.64</v>
      </c>
      <c r="F19" s="30">
        <v>0.97549047072749695</v>
      </c>
      <c r="G19" s="29">
        <v>8.9391999999999996</v>
      </c>
    </row>
    <row r="20" spans="1:7" x14ac:dyDescent="0.2">
      <c r="A20" s="27" t="s">
        <v>1064</v>
      </c>
      <c r="B20" s="27" t="s">
        <v>1065</v>
      </c>
      <c r="C20" s="27" t="s">
        <v>1026</v>
      </c>
      <c r="D20" s="31">
        <v>938</v>
      </c>
      <c r="E20" s="29">
        <v>9406.9487399999998</v>
      </c>
      <c r="F20" s="30">
        <v>0.92043332101179498</v>
      </c>
      <c r="G20" s="29">
        <v>9.9939</v>
      </c>
    </row>
    <row r="21" spans="1:7" x14ac:dyDescent="0.2">
      <c r="A21" s="27" t="s">
        <v>1174</v>
      </c>
      <c r="B21" s="27" t="s">
        <v>1175</v>
      </c>
      <c r="C21" s="27" t="s">
        <v>1082</v>
      </c>
      <c r="D21" s="31">
        <v>900</v>
      </c>
      <c r="E21" s="29">
        <v>9023.5439999999999</v>
      </c>
      <c r="F21" s="30">
        <v>0.88291865946917703</v>
      </c>
      <c r="G21" s="29">
        <v>13.960900000000001</v>
      </c>
    </row>
    <row r="22" spans="1:7" x14ac:dyDescent="0.2">
      <c r="A22" s="27" t="s">
        <v>1176</v>
      </c>
      <c r="B22" s="27" t="s">
        <v>1177</v>
      </c>
      <c r="C22" s="27" t="s">
        <v>1048</v>
      </c>
      <c r="D22" s="31">
        <v>800</v>
      </c>
      <c r="E22" s="29">
        <v>7974.0159999999996</v>
      </c>
      <c r="F22" s="30">
        <v>0.78022642958307398</v>
      </c>
      <c r="G22" s="29">
        <v>11.2759</v>
      </c>
    </row>
    <row r="23" spans="1:7" x14ac:dyDescent="0.2">
      <c r="A23" s="27" t="s">
        <v>1178</v>
      </c>
      <c r="B23" s="27" t="s">
        <v>1179</v>
      </c>
      <c r="C23" s="27" t="s">
        <v>1048</v>
      </c>
      <c r="D23" s="31">
        <v>780</v>
      </c>
      <c r="E23" s="29">
        <v>7774.6656000000003</v>
      </c>
      <c r="F23" s="30">
        <v>0.76072076884349704</v>
      </c>
      <c r="G23" s="29">
        <v>11.2759</v>
      </c>
    </row>
    <row r="24" spans="1:7" x14ac:dyDescent="0.2">
      <c r="A24" s="27" t="s">
        <v>1180</v>
      </c>
      <c r="B24" s="27" t="s">
        <v>1181</v>
      </c>
      <c r="C24" s="27" t="s">
        <v>1182</v>
      </c>
      <c r="D24" s="31">
        <v>750</v>
      </c>
      <c r="E24" s="29">
        <v>7582.4849999999997</v>
      </c>
      <c r="F24" s="30">
        <v>0.74191664512802702</v>
      </c>
      <c r="G24" s="29">
        <v>7.1986999999999997</v>
      </c>
    </row>
    <row r="25" spans="1:7" x14ac:dyDescent="0.2">
      <c r="A25" s="27" t="s">
        <v>1183</v>
      </c>
      <c r="B25" s="27" t="s">
        <v>1184</v>
      </c>
      <c r="C25" s="27" t="s">
        <v>35</v>
      </c>
      <c r="D25" s="31">
        <v>750</v>
      </c>
      <c r="E25" s="29">
        <v>7561.59</v>
      </c>
      <c r="F25" s="30">
        <v>0.73987215070437196</v>
      </c>
      <c r="G25" s="29">
        <v>5.5149999999999997</v>
      </c>
    </row>
    <row r="26" spans="1:7" x14ac:dyDescent="0.2">
      <c r="A26" s="27" t="s">
        <v>1124</v>
      </c>
      <c r="B26" s="27" t="s">
        <v>1125</v>
      </c>
      <c r="C26" s="27" t="s">
        <v>1126</v>
      </c>
      <c r="D26" s="31">
        <v>750</v>
      </c>
      <c r="E26" s="29">
        <v>7441.71</v>
      </c>
      <c r="F26" s="30">
        <v>0.72814235929457105</v>
      </c>
      <c r="G26" s="29">
        <v>10.394500000000001</v>
      </c>
    </row>
    <row r="27" spans="1:7" x14ac:dyDescent="0.2">
      <c r="A27" s="27" t="s">
        <v>1070</v>
      </c>
      <c r="B27" s="27" t="s">
        <v>1071</v>
      </c>
      <c r="C27" s="27" t="s">
        <v>1034</v>
      </c>
      <c r="D27" s="31">
        <v>670</v>
      </c>
      <c r="E27" s="29">
        <v>6835.9228999999996</v>
      </c>
      <c r="F27" s="30">
        <v>0.66886844937007495</v>
      </c>
      <c r="G27" s="29">
        <v>5.4349999999999996</v>
      </c>
    </row>
    <row r="28" spans="1:7" x14ac:dyDescent="0.2">
      <c r="A28" s="27" t="s">
        <v>1185</v>
      </c>
      <c r="B28" s="27" t="s">
        <v>1186</v>
      </c>
      <c r="C28" s="27" t="s">
        <v>907</v>
      </c>
      <c r="D28" s="31">
        <v>550</v>
      </c>
      <c r="E28" s="29">
        <v>5507.2709999999997</v>
      </c>
      <c r="F28" s="30">
        <v>0.53886503225932902</v>
      </c>
      <c r="G28" s="29">
        <v>7.65</v>
      </c>
    </row>
    <row r="29" spans="1:7" x14ac:dyDescent="0.2">
      <c r="A29" s="27" t="s">
        <v>1187</v>
      </c>
      <c r="B29" s="27" t="s">
        <v>1188</v>
      </c>
      <c r="C29" s="27" t="s">
        <v>1034</v>
      </c>
      <c r="D29" s="31">
        <v>550</v>
      </c>
      <c r="E29" s="29">
        <v>5493.0810000000001</v>
      </c>
      <c r="F29" s="30">
        <v>0.537476595988849</v>
      </c>
      <c r="G29" s="29">
        <v>8.0945999999999998</v>
      </c>
    </row>
    <row r="30" spans="1:7" x14ac:dyDescent="0.2">
      <c r="A30" s="27" t="s">
        <v>1189</v>
      </c>
      <c r="B30" s="27" t="s">
        <v>1190</v>
      </c>
      <c r="C30" s="27" t="s">
        <v>1048</v>
      </c>
      <c r="D30" s="31">
        <v>550</v>
      </c>
      <c r="E30" s="29">
        <v>5482.1360000000004</v>
      </c>
      <c r="F30" s="30">
        <v>0.53640567033836295</v>
      </c>
      <c r="G30" s="29">
        <v>11.2759</v>
      </c>
    </row>
    <row r="31" spans="1:7" x14ac:dyDescent="0.2">
      <c r="A31" s="27" t="s">
        <v>1051</v>
      </c>
      <c r="B31" s="27" t="s">
        <v>1052</v>
      </c>
      <c r="C31" s="27" t="s">
        <v>38</v>
      </c>
      <c r="D31" s="31">
        <v>500</v>
      </c>
      <c r="E31" s="29">
        <v>5336.91</v>
      </c>
      <c r="F31" s="30">
        <v>0.52219587147883795</v>
      </c>
      <c r="G31" s="29">
        <v>6.2365000000000004</v>
      </c>
    </row>
    <row r="32" spans="1:7" x14ac:dyDescent="0.2">
      <c r="A32" s="27" t="s">
        <v>1039</v>
      </c>
      <c r="B32" s="27" t="s">
        <v>1040</v>
      </c>
      <c r="C32" s="27" t="s">
        <v>35</v>
      </c>
      <c r="D32" s="31">
        <v>502</v>
      </c>
      <c r="E32" s="29">
        <v>5075.5362599999999</v>
      </c>
      <c r="F32" s="30">
        <v>0.49662146832401999</v>
      </c>
      <c r="G32" s="29">
        <v>4.49</v>
      </c>
    </row>
    <row r="33" spans="1:9" x14ac:dyDescent="0.2">
      <c r="A33" s="27" t="s">
        <v>1146</v>
      </c>
      <c r="B33" s="27" t="s">
        <v>1147</v>
      </c>
      <c r="C33" s="27" t="s">
        <v>1048</v>
      </c>
      <c r="D33" s="31">
        <v>1600</v>
      </c>
      <c r="E33" s="29">
        <v>4005.2159999999999</v>
      </c>
      <c r="F33" s="30">
        <v>0.39189479672338301</v>
      </c>
      <c r="G33" s="29">
        <v>8.5390999999999995</v>
      </c>
    </row>
    <row r="34" spans="1:9" x14ac:dyDescent="0.2">
      <c r="A34" s="27" t="s">
        <v>1191</v>
      </c>
      <c r="B34" s="27" t="s">
        <v>1192</v>
      </c>
      <c r="C34" s="27" t="s">
        <v>907</v>
      </c>
      <c r="D34" s="31">
        <v>300000</v>
      </c>
      <c r="E34" s="29">
        <v>3007.317</v>
      </c>
      <c r="F34" s="30">
        <v>0.29425426353978701</v>
      </c>
      <c r="G34" s="29">
        <v>8.125</v>
      </c>
    </row>
    <row r="35" spans="1:9" x14ac:dyDescent="0.2">
      <c r="A35" s="27" t="s">
        <v>1136</v>
      </c>
      <c r="B35" s="27" t="s">
        <v>1137</v>
      </c>
      <c r="C35" s="27" t="s">
        <v>995</v>
      </c>
      <c r="D35" s="31">
        <v>280</v>
      </c>
      <c r="E35" s="29">
        <v>2812.6363999999999</v>
      </c>
      <c r="F35" s="30">
        <v>0.27520552455467701</v>
      </c>
      <c r="G35" s="29">
        <v>10.264200000000001</v>
      </c>
    </row>
    <row r="36" spans="1:9" x14ac:dyDescent="0.2">
      <c r="A36" s="27" t="s">
        <v>1193</v>
      </c>
      <c r="B36" s="27" t="s">
        <v>1194</v>
      </c>
      <c r="C36" s="27" t="s">
        <v>1048</v>
      </c>
      <c r="D36" s="31">
        <v>500</v>
      </c>
      <c r="E36" s="29">
        <v>1252.3</v>
      </c>
      <c r="F36" s="30">
        <v>0.122532680868321</v>
      </c>
      <c r="G36" s="29">
        <v>9.2439</v>
      </c>
    </row>
    <row r="37" spans="1:9" x14ac:dyDescent="0.2">
      <c r="A37" s="27" t="s">
        <v>1024</v>
      </c>
      <c r="B37" s="27" t="s">
        <v>1025</v>
      </c>
      <c r="C37" s="27" t="s">
        <v>1026</v>
      </c>
      <c r="D37" s="31">
        <v>61</v>
      </c>
      <c r="E37" s="29">
        <v>612.65166999999997</v>
      </c>
      <c r="F37" s="30">
        <v>5.9945581381101801E-2</v>
      </c>
      <c r="G37" s="29">
        <v>10.2195</v>
      </c>
    </row>
    <row r="38" spans="1:9" x14ac:dyDescent="0.2">
      <c r="A38" s="27" t="s">
        <v>1059</v>
      </c>
      <c r="B38" s="27" t="s">
        <v>1047</v>
      </c>
      <c r="C38" s="27" t="s">
        <v>1048</v>
      </c>
      <c r="D38" s="31">
        <v>70</v>
      </c>
      <c r="E38" s="29">
        <v>600.20659999999998</v>
      </c>
      <c r="F38" s="30">
        <v>5.8727879719603797E-2</v>
      </c>
      <c r="G38" s="29">
        <v>21.219200000000001</v>
      </c>
    </row>
    <row r="39" spans="1:9" x14ac:dyDescent="0.2">
      <c r="A39" s="27" t="s">
        <v>1195</v>
      </c>
      <c r="B39" s="27" t="s">
        <v>1196</v>
      </c>
      <c r="C39" s="27" t="s">
        <v>35</v>
      </c>
      <c r="D39" s="31">
        <v>34</v>
      </c>
      <c r="E39" s="29">
        <v>344.85996</v>
      </c>
      <c r="F39" s="30">
        <v>3.3743204841445197E-2</v>
      </c>
      <c r="G39" s="29">
        <v>5.3284000000000002</v>
      </c>
    </row>
    <row r="40" spans="1:9" x14ac:dyDescent="0.2">
      <c r="A40" s="27" t="s">
        <v>899</v>
      </c>
      <c r="B40" s="27" t="s">
        <v>900</v>
      </c>
      <c r="C40" s="27" t="s">
        <v>39</v>
      </c>
      <c r="D40" s="31">
        <v>22</v>
      </c>
      <c r="E40" s="29">
        <v>227.31236000000001</v>
      </c>
      <c r="F40" s="30">
        <v>2.2241629693607601E-2</v>
      </c>
      <c r="G40" s="29">
        <v>3.99</v>
      </c>
    </row>
    <row r="41" spans="1:9" ht="10.5" x14ac:dyDescent="0.25">
      <c r="A41" s="26" t="s">
        <v>40</v>
      </c>
      <c r="B41" s="26"/>
      <c r="C41" s="26"/>
      <c r="D41" s="32"/>
      <c r="E41" s="33">
        <f>SUM(E6:E40)</f>
        <v>421751.07925000001</v>
      </c>
      <c r="F41" s="34">
        <f>SUM(F6:F40)</f>
        <v>41.266701588764725</v>
      </c>
      <c r="G41" s="33"/>
      <c r="H41" s="18"/>
      <c r="I41" s="18"/>
    </row>
    <row r="42" spans="1:9" x14ac:dyDescent="0.2">
      <c r="A42" s="27"/>
      <c r="B42" s="27"/>
      <c r="C42" s="27"/>
      <c r="D42" s="28"/>
      <c r="E42" s="29"/>
      <c r="F42" s="30"/>
      <c r="G42" s="29"/>
    </row>
    <row r="43" spans="1:9" ht="10.5" x14ac:dyDescent="0.25">
      <c r="A43" s="26" t="s">
        <v>41</v>
      </c>
      <c r="B43" s="27"/>
      <c r="C43" s="27"/>
      <c r="D43" s="28"/>
      <c r="E43" s="29"/>
      <c r="F43" s="30"/>
      <c r="G43" s="29"/>
    </row>
    <row r="44" spans="1:9" x14ac:dyDescent="0.2">
      <c r="A44" s="27" t="s">
        <v>1197</v>
      </c>
      <c r="B44" s="27" t="s">
        <v>1198</v>
      </c>
      <c r="C44" s="27" t="s">
        <v>907</v>
      </c>
      <c r="D44" s="31">
        <v>2400</v>
      </c>
      <c r="E44" s="29">
        <v>30677.664000000001</v>
      </c>
      <c r="F44" s="30">
        <v>3.0016900205203001</v>
      </c>
      <c r="G44" s="29">
        <v>3.6951000000000001</v>
      </c>
    </row>
    <row r="45" spans="1:9" x14ac:dyDescent="0.2">
      <c r="A45" s="27" t="s">
        <v>1199</v>
      </c>
      <c r="B45" s="27" t="s">
        <v>1200</v>
      </c>
      <c r="C45" s="27" t="s">
        <v>1082</v>
      </c>
      <c r="D45" s="31">
        <v>1000</v>
      </c>
      <c r="E45" s="29">
        <v>10022.75</v>
      </c>
      <c r="F45" s="30">
        <v>0.98068707751574002</v>
      </c>
      <c r="G45" s="29">
        <v>14.0906</v>
      </c>
    </row>
    <row r="46" spans="1:9" x14ac:dyDescent="0.2">
      <c r="A46" s="27" t="s">
        <v>1201</v>
      </c>
      <c r="B46" s="27" t="s">
        <v>1202</v>
      </c>
      <c r="C46" s="27" t="s">
        <v>1082</v>
      </c>
      <c r="D46" s="31">
        <v>850</v>
      </c>
      <c r="E46" s="29">
        <v>8544.5825000000004</v>
      </c>
      <c r="F46" s="30">
        <v>0.836054140881209</v>
      </c>
      <c r="G46" s="29">
        <v>12.324999999999999</v>
      </c>
    </row>
    <row r="47" spans="1:9" x14ac:dyDescent="0.2">
      <c r="A47" s="27" t="s">
        <v>43</v>
      </c>
      <c r="B47" s="27" t="s">
        <v>42</v>
      </c>
      <c r="C47" s="27" t="s">
        <v>38</v>
      </c>
      <c r="D47" s="31">
        <v>7</v>
      </c>
      <c r="E47" s="29">
        <v>991.44569999999999</v>
      </c>
      <c r="F47" s="30">
        <v>9.7009102895766794E-2</v>
      </c>
      <c r="G47" s="29">
        <v>10.4</v>
      </c>
    </row>
    <row r="48" spans="1:9" ht="10.5" x14ac:dyDescent="0.25">
      <c r="A48" s="26" t="s">
        <v>40</v>
      </c>
      <c r="B48" s="26"/>
      <c r="C48" s="26"/>
      <c r="D48" s="32"/>
      <c r="E48" s="33">
        <f>SUM(E43:E47)</f>
        <v>50236.442200000005</v>
      </c>
      <c r="F48" s="34">
        <f>SUM(F43:F47)</f>
        <v>4.9154403418130155</v>
      </c>
      <c r="G48" s="33"/>
      <c r="H48" s="18"/>
      <c r="I48" s="18"/>
    </row>
    <row r="49" spans="1:9" x14ac:dyDescent="0.2">
      <c r="A49" s="27"/>
      <c r="B49" s="27"/>
      <c r="C49" s="27"/>
      <c r="D49" s="28"/>
      <c r="E49" s="29"/>
      <c r="F49" s="30"/>
      <c r="G49" s="29"/>
    </row>
    <row r="50" spans="1:9" ht="10.5" x14ac:dyDescent="0.25">
      <c r="A50" s="26" t="s">
        <v>44</v>
      </c>
      <c r="B50" s="26"/>
      <c r="C50" s="26"/>
      <c r="D50" s="32"/>
      <c r="E50" s="33">
        <f>E41+E48</f>
        <v>471987.52145</v>
      </c>
      <c r="F50" s="34">
        <f>F41+F48</f>
        <v>46.182141930577743</v>
      </c>
      <c r="G50" s="33"/>
      <c r="H50" s="18"/>
      <c r="I50" s="18"/>
    </row>
    <row r="51" spans="1:9" ht="10.5" x14ac:dyDescent="0.25">
      <c r="A51" s="26"/>
      <c r="B51" s="26"/>
      <c r="C51" s="26"/>
      <c r="D51" s="32"/>
      <c r="E51" s="33"/>
      <c r="F51" s="34"/>
      <c r="G51" s="33"/>
      <c r="H51" s="18"/>
      <c r="I51" s="18"/>
    </row>
    <row r="52" spans="1:9" ht="10.5" x14ac:dyDescent="0.25">
      <c r="A52" s="26" t="s">
        <v>46</v>
      </c>
      <c r="B52" s="26"/>
      <c r="C52" s="26"/>
      <c r="D52" s="32"/>
      <c r="E52" s="33">
        <f>E54-(E41+E48)</f>
        <v>550025.53753610002</v>
      </c>
      <c r="F52" s="34">
        <f>F54-(F41+F48)</f>
        <v>53.817858069422257</v>
      </c>
      <c r="G52" s="33"/>
      <c r="H52" s="18"/>
      <c r="I52" s="18"/>
    </row>
    <row r="53" spans="1:9" ht="10.5" x14ac:dyDescent="0.25">
      <c r="A53" s="26"/>
      <c r="B53" s="26"/>
      <c r="C53" s="26"/>
      <c r="D53" s="32"/>
      <c r="E53" s="33"/>
      <c r="F53" s="34"/>
      <c r="G53" s="33"/>
      <c r="H53" s="18"/>
      <c r="I53" s="18"/>
    </row>
    <row r="54" spans="1:9" ht="10.5" x14ac:dyDescent="0.25">
      <c r="A54" s="35" t="s">
        <v>45</v>
      </c>
      <c r="B54" s="35"/>
      <c r="C54" s="35"/>
      <c r="D54" s="36"/>
      <c r="E54" s="37">
        <v>1022013.0589861</v>
      </c>
      <c r="F54" s="38">
        <v>100</v>
      </c>
      <c r="G54" s="37"/>
      <c r="H54" s="18"/>
      <c r="I54" s="18"/>
    </row>
    <row r="56" spans="1:9" ht="10.5" x14ac:dyDescent="0.25">
      <c r="A56" s="18" t="s">
        <v>47</v>
      </c>
    </row>
    <row r="58" spans="1:9" ht="10.5" x14ac:dyDescent="0.25">
      <c r="A58" s="18" t="s">
        <v>48</v>
      </c>
    </row>
    <row r="59" spans="1:9" ht="10.5" x14ac:dyDescent="0.25">
      <c r="A59" s="18" t="s">
        <v>49</v>
      </c>
    </row>
    <row r="60" spans="1:9" ht="10.5" x14ac:dyDescent="0.25">
      <c r="A60" s="18" t="s">
        <v>50</v>
      </c>
      <c r="B60" s="18"/>
      <c r="C60" s="41" t="s">
        <v>727</v>
      </c>
      <c r="D60" s="19" t="s">
        <v>51</v>
      </c>
    </row>
    <row r="61" spans="1:9" x14ac:dyDescent="0.2">
      <c r="A61" s="9" t="s">
        <v>839</v>
      </c>
      <c r="C61" s="40">
        <v>26.717700000000001</v>
      </c>
      <c r="D61" s="40">
        <v>27.668500000000002</v>
      </c>
    </row>
    <row r="62" spans="1:9" x14ac:dyDescent="0.2">
      <c r="A62" s="9" t="s">
        <v>840</v>
      </c>
      <c r="C62" s="40">
        <v>10.073</v>
      </c>
      <c r="D62" s="40">
        <v>10.4315</v>
      </c>
    </row>
    <row r="63" spans="1:9" x14ac:dyDescent="0.2">
      <c r="A63" s="9" t="s">
        <v>1203</v>
      </c>
      <c r="C63" s="40">
        <v>10.1563</v>
      </c>
      <c r="D63" s="40">
        <v>10.517799999999999</v>
      </c>
    </row>
    <row r="64" spans="1:9" x14ac:dyDescent="0.2">
      <c r="A64" s="9" t="s">
        <v>1204</v>
      </c>
      <c r="C64" s="40">
        <v>27.3916</v>
      </c>
      <c r="D64" s="40">
        <v>28.379100000000001</v>
      </c>
    </row>
    <row r="65" spans="1:7" x14ac:dyDescent="0.2">
      <c r="A65" s="9" t="s">
        <v>1205</v>
      </c>
      <c r="C65" s="40">
        <v>10.031700000000001</v>
      </c>
      <c r="D65" s="40">
        <v>10.3932</v>
      </c>
    </row>
    <row r="66" spans="1:7" x14ac:dyDescent="0.2">
      <c r="A66" s="9" t="s">
        <v>788</v>
      </c>
      <c r="C66" s="40">
        <v>28.3034</v>
      </c>
      <c r="D66" s="40">
        <v>29.3325</v>
      </c>
    </row>
    <row r="67" spans="1:7" x14ac:dyDescent="0.2">
      <c r="A67" s="9" t="s">
        <v>1206</v>
      </c>
      <c r="C67" s="40">
        <v>10.116300000000001</v>
      </c>
      <c r="D67" s="40">
        <v>10.4841</v>
      </c>
    </row>
    <row r="68" spans="1:7" x14ac:dyDescent="0.2">
      <c r="A68" s="9" t="s">
        <v>790</v>
      </c>
      <c r="C68" s="40">
        <v>10.1425</v>
      </c>
      <c r="D68" s="40">
        <v>10.5113</v>
      </c>
    </row>
    <row r="69" spans="1:7" x14ac:dyDescent="0.2">
      <c r="A69" s="9" t="s">
        <v>1207</v>
      </c>
      <c r="C69" s="40">
        <v>28.464099999999998</v>
      </c>
      <c r="D69" s="40">
        <v>29.5123</v>
      </c>
    </row>
    <row r="70" spans="1:7" x14ac:dyDescent="0.2">
      <c r="A70" s="9" t="s">
        <v>1208</v>
      </c>
      <c r="C70" s="40">
        <v>10.1027</v>
      </c>
      <c r="D70" s="40">
        <v>10.4748</v>
      </c>
    </row>
    <row r="71" spans="1:7" x14ac:dyDescent="0.2">
      <c r="A71" s="9" t="s">
        <v>1209</v>
      </c>
      <c r="C71" s="40">
        <v>10.14</v>
      </c>
      <c r="D71" s="40">
        <v>10.513400000000001</v>
      </c>
    </row>
    <row r="73" spans="1:7" ht="10.5" x14ac:dyDescent="0.25">
      <c r="A73" s="18" t="s">
        <v>52</v>
      </c>
      <c r="D73" s="41" t="s">
        <v>53</v>
      </c>
    </row>
    <row r="75" spans="1:7" ht="10.5" x14ac:dyDescent="0.25">
      <c r="A75" s="18" t="s">
        <v>798</v>
      </c>
      <c r="D75" s="42">
        <v>0.55749360095890399</v>
      </c>
      <c r="E75" s="13" t="s">
        <v>54</v>
      </c>
    </row>
    <row r="77" spans="1:7" ht="11.25" customHeight="1" x14ac:dyDescent="0.25">
      <c r="A77" s="18" t="s">
        <v>1502</v>
      </c>
      <c r="D77" s="41" t="s">
        <v>53</v>
      </c>
    </row>
    <row r="79" spans="1:7" ht="25.5" customHeight="1" x14ac:dyDescent="0.2">
      <c r="A79" s="84" t="s">
        <v>1210</v>
      </c>
      <c r="B79" s="84"/>
      <c r="C79" s="84"/>
      <c r="D79" s="84"/>
      <c r="E79" s="84"/>
      <c r="F79" s="84"/>
      <c r="G79" s="84"/>
    </row>
    <row r="81" spans="1:7" ht="14.5" customHeight="1" x14ac:dyDescent="0.2">
      <c r="A81" s="73" t="s">
        <v>962</v>
      </c>
      <c r="B81" s="74"/>
      <c r="C81" s="74"/>
      <c r="D81" s="74"/>
      <c r="E81" s="74"/>
      <c r="F81" s="74"/>
      <c r="G81" s="74"/>
    </row>
    <row r="82" spans="1:7" x14ac:dyDescent="0.2">
      <c r="A82" s="46" t="s">
        <v>55</v>
      </c>
    </row>
    <row r="84" spans="1:7" x14ac:dyDescent="0.2">
      <c r="A84" s="46"/>
    </row>
  </sheetData>
  <mergeCells count="3">
    <mergeCell ref="A1:G1"/>
    <mergeCell ref="A79:G79"/>
    <mergeCell ref="A81:G81"/>
  </mergeCells>
  <conditionalFormatting sqref="F2:F3 F5:F78 F85:F65536">
    <cfRule type="cellIs" dxfId="129" priority="4" stopIfTrue="1" operator="between">
      <formula>0.009</formula>
      <formula>-0.009</formula>
    </cfRule>
  </conditionalFormatting>
  <conditionalFormatting sqref="F80">
    <cfRule type="cellIs" dxfId="128" priority="3" stopIfTrue="1" operator="between">
      <formula>0.009</formula>
      <formula>-0.009</formula>
    </cfRule>
  </conditionalFormatting>
  <conditionalFormatting sqref="F82">
    <cfRule type="cellIs" dxfId="127" priority="1" stopIfTrue="1" operator="between">
      <formula>0.009</formula>
      <formula>-0.009</formula>
    </cfRule>
  </conditionalFormatting>
  <conditionalFormatting sqref="F83:F84">
    <cfRule type="cellIs" dxfId="126" priority="2" stopIfTrue="1" operator="between">
      <formula>0.009</formula>
      <formula>-0.009</formula>
    </cfRule>
  </conditionalFormatting>
  <hyperlinks>
    <hyperlink ref="A82" r:id="rId1" xr:uid="{00000000-0004-0000-09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98"/>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54296875" style="9" bestFit="1" customWidth="1"/>
    <col min="4" max="4" width="15.179687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5" t="s">
        <v>1211</v>
      </c>
      <c r="B1" s="76"/>
      <c r="C1" s="76"/>
      <c r="D1" s="76"/>
      <c r="E1" s="76"/>
      <c r="F1" s="76"/>
      <c r="G1" s="76"/>
    </row>
    <row r="2" spans="1:7" s="1" customFormat="1" ht="11.5" x14ac:dyDescent="0.25">
      <c r="A2" s="56" t="s">
        <v>1023</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905</v>
      </c>
      <c r="B7" s="27" t="s">
        <v>906</v>
      </c>
      <c r="C7" s="27" t="s">
        <v>907</v>
      </c>
      <c r="D7" s="31">
        <v>7200</v>
      </c>
      <c r="E7" s="29">
        <v>72225.504000000001</v>
      </c>
      <c r="F7" s="30">
        <v>12.8757187188094</v>
      </c>
      <c r="G7" s="29">
        <v>10.62</v>
      </c>
    </row>
    <row r="8" spans="1:7" x14ac:dyDescent="0.2">
      <c r="A8" s="27" t="s">
        <v>1037</v>
      </c>
      <c r="B8" s="27" t="s">
        <v>1038</v>
      </c>
      <c r="C8" s="27" t="s">
        <v>1034</v>
      </c>
      <c r="D8" s="31">
        <v>4813</v>
      </c>
      <c r="E8" s="29">
        <v>38450.094400000002</v>
      </c>
      <c r="F8" s="30">
        <v>6.8545399171748302</v>
      </c>
      <c r="G8" s="29">
        <v>10.059900000000001</v>
      </c>
    </row>
    <row r="9" spans="1:7" x14ac:dyDescent="0.2">
      <c r="A9" s="27" t="s">
        <v>1059</v>
      </c>
      <c r="B9" s="27" t="s">
        <v>1047</v>
      </c>
      <c r="C9" s="27" t="s">
        <v>1048</v>
      </c>
      <c r="D9" s="31">
        <v>3100</v>
      </c>
      <c r="E9" s="29">
        <v>26580.578000000001</v>
      </c>
      <c r="F9" s="30">
        <v>4.7385483902109504</v>
      </c>
      <c r="G9" s="29">
        <v>21.219200000000001</v>
      </c>
    </row>
    <row r="10" spans="1:7" x14ac:dyDescent="0.2">
      <c r="A10" s="27" t="s">
        <v>1212</v>
      </c>
      <c r="B10" s="27" t="s">
        <v>1213</v>
      </c>
      <c r="C10" s="27" t="s">
        <v>1026</v>
      </c>
      <c r="D10" s="31">
        <v>11135</v>
      </c>
      <c r="E10" s="29">
        <v>22815.726350000001</v>
      </c>
      <c r="F10" s="30">
        <v>4.0673842144172401</v>
      </c>
      <c r="G10" s="29">
        <v>9.9474</v>
      </c>
    </row>
    <row r="11" spans="1:7" x14ac:dyDescent="0.2">
      <c r="A11" s="27" t="s">
        <v>1214</v>
      </c>
      <c r="B11" s="27" t="s">
        <v>1215</v>
      </c>
      <c r="C11" s="27" t="s">
        <v>1026</v>
      </c>
      <c r="D11" s="31">
        <v>10675</v>
      </c>
      <c r="E11" s="29">
        <v>21889.108850000001</v>
      </c>
      <c r="F11" s="30">
        <v>3.9021951104419101</v>
      </c>
      <c r="G11" s="29">
        <v>9.7217000000000002</v>
      </c>
    </row>
    <row r="12" spans="1:7" x14ac:dyDescent="0.2">
      <c r="A12" s="27" t="s">
        <v>1027</v>
      </c>
      <c r="B12" s="27" t="s">
        <v>1028</v>
      </c>
      <c r="C12" s="27" t="s">
        <v>1029</v>
      </c>
      <c r="D12" s="31">
        <v>2020</v>
      </c>
      <c r="E12" s="29">
        <v>19999.636200000001</v>
      </c>
      <c r="F12" s="30">
        <v>3.5653567774303001</v>
      </c>
      <c r="G12" s="29">
        <v>18.2819</v>
      </c>
    </row>
    <row r="13" spans="1:7" x14ac:dyDescent="0.2">
      <c r="A13" s="27" t="s">
        <v>1064</v>
      </c>
      <c r="B13" s="27" t="s">
        <v>1065</v>
      </c>
      <c r="C13" s="27" t="s">
        <v>1026</v>
      </c>
      <c r="D13" s="31">
        <v>1349</v>
      </c>
      <c r="E13" s="29">
        <v>13528.75677</v>
      </c>
      <c r="F13" s="30">
        <v>2.4117861023954799</v>
      </c>
      <c r="G13" s="29">
        <v>9.9939</v>
      </c>
    </row>
    <row r="14" spans="1:7" x14ac:dyDescent="0.2">
      <c r="A14" s="27" t="s">
        <v>1138</v>
      </c>
      <c r="B14" s="27" t="s">
        <v>1139</v>
      </c>
      <c r="C14" s="27" t="s">
        <v>907</v>
      </c>
      <c r="D14" s="31">
        <v>1300</v>
      </c>
      <c r="E14" s="29">
        <v>12856.362999999999</v>
      </c>
      <c r="F14" s="30">
        <v>2.29191773774135</v>
      </c>
      <c r="G14" s="29">
        <v>10.329599999999999</v>
      </c>
    </row>
    <row r="15" spans="1:7" x14ac:dyDescent="0.2">
      <c r="A15" s="27" t="s">
        <v>1216</v>
      </c>
      <c r="B15" s="27" t="s">
        <v>1217</v>
      </c>
      <c r="C15" s="27" t="s">
        <v>1034</v>
      </c>
      <c r="D15" s="31">
        <v>1250</v>
      </c>
      <c r="E15" s="29">
        <v>12314.8</v>
      </c>
      <c r="F15" s="30">
        <v>2.1953727159646301</v>
      </c>
      <c r="G15" s="29">
        <v>9.4850999999999992</v>
      </c>
    </row>
    <row r="16" spans="1:7" x14ac:dyDescent="0.2">
      <c r="A16" s="27" t="s">
        <v>1218</v>
      </c>
      <c r="B16" s="27" t="s">
        <v>1219</v>
      </c>
      <c r="C16" s="27" t="s">
        <v>1048</v>
      </c>
      <c r="D16" s="31">
        <v>12500</v>
      </c>
      <c r="E16" s="29">
        <v>12279.4</v>
      </c>
      <c r="F16" s="30">
        <v>2.1890619196752001</v>
      </c>
      <c r="G16" s="29">
        <v>11.3444</v>
      </c>
    </row>
    <row r="17" spans="1:7" x14ac:dyDescent="0.2">
      <c r="A17" s="27" t="s">
        <v>1057</v>
      </c>
      <c r="B17" s="27" t="s">
        <v>1058</v>
      </c>
      <c r="C17" s="27" t="s">
        <v>1029</v>
      </c>
      <c r="D17" s="31">
        <v>1000</v>
      </c>
      <c r="E17" s="29">
        <v>9964.7999999999993</v>
      </c>
      <c r="F17" s="30">
        <v>1.7764356741517799</v>
      </c>
      <c r="G17" s="29">
        <v>9.8247999999999998</v>
      </c>
    </row>
    <row r="18" spans="1:7" x14ac:dyDescent="0.2">
      <c r="A18" s="27" t="s">
        <v>1024</v>
      </c>
      <c r="B18" s="27" t="s">
        <v>1025</v>
      </c>
      <c r="C18" s="27" t="s">
        <v>1026</v>
      </c>
      <c r="D18" s="31">
        <v>879</v>
      </c>
      <c r="E18" s="29">
        <v>8828.2101299999995</v>
      </c>
      <c r="F18" s="30">
        <v>1.5738145686657199</v>
      </c>
      <c r="G18" s="29">
        <v>10.2195</v>
      </c>
    </row>
    <row r="19" spans="1:7" x14ac:dyDescent="0.2">
      <c r="A19" s="27" t="s">
        <v>1046</v>
      </c>
      <c r="B19" s="27" t="s">
        <v>1047</v>
      </c>
      <c r="C19" s="27" t="s">
        <v>1048</v>
      </c>
      <c r="D19" s="31">
        <v>1000</v>
      </c>
      <c r="E19" s="29">
        <v>8581.69</v>
      </c>
      <c r="F19" s="30">
        <v>1.5298671584489001</v>
      </c>
      <c r="G19" s="29">
        <v>21.145700000000001</v>
      </c>
    </row>
    <row r="20" spans="1:7" x14ac:dyDescent="0.2">
      <c r="A20" s="27" t="s">
        <v>1220</v>
      </c>
      <c r="B20" s="27" t="s">
        <v>1221</v>
      </c>
      <c r="C20" s="27" t="s">
        <v>1048</v>
      </c>
      <c r="D20" s="31">
        <v>8500</v>
      </c>
      <c r="E20" s="29">
        <v>8354.3525000000009</v>
      </c>
      <c r="F20" s="30">
        <v>1.48933945643055</v>
      </c>
      <c r="G20" s="29">
        <v>11.3445</v>
      </c>
    </row>
    <row r="21" spans="1:7" x14ac:dyDescent="0.2">
      <c r="A21" s="27" t="s">
        <v>1148</v>
      </c>
      <c r="B21" s="27" t="s">
        <v>1149</v>
      </c>
      <c r="C21" s="27" t="s">
        <v>1026</v>
      </c>
      <c r="D21" s="31">
        <v>822</v>
      </c>
      <c r="E21" s="29">
        <v>8276.1179400000001</v>
      </c>
      <c r="F21" s="30">
        <v>1.4753924967990899</v>
      </c>
      <c r="G21" s="29">
        <v>10.294600000000001</v>
      </c>
    </row>
    <row r="22" spans="1:7" x14ac:dyDescent="0.2">
      <c r="A22" s="27" t="s">
        <v>1150</v>
      </c>
      <c r="B22" s="27" t="s">
        <v>1151</v>
      </c>
      <c r="C22" s="27" t="s">
        <v>1026</v>
      </c>
      <c r="D22" s="31">
        <v>822</v>
      </c>
      <c r="E22" s="29">
        <v>8263.3769400000001</v>
      </c>
      <c r="F22" s="30">
        <v>1.4731211449481401</v>
      </c>
      <c r="G22" s="29">
        <v>10.2896</v>
      </c>
    </row>
    <row r="23" spans="1:7" x14ac:dyDescent="0.2">
      <c r="A23" s="27" t="s">
        <v>1222</v>
      </c>
      <c r="B23" s="27" t="s">
        <v>1223</v>
      </c>
      <c r="C23" s="27" t="s">
        <v>1026</v>
      </c>
      <c r="D23" s="31">
        <v>754</v>
      </c>
      <c r="E23" s="29">
        <v>7581.10808</v>
      </c>
      <c r="F23" s="30">
        <v>1.3514923373186001</v>
      </c>
      <c r="G23" s="29">
        <v>10.3809</v>
      </c>
    </row>
    <row r="24" spans="1:7" x14ac:dyDescent="0.2">
      <c r="A24" s="27" t="s">
        <v>1224</v>
      </c>
      <c r="B24" s="27" t="s">
        <v>1225</v>
      </c>
      <c r="C24" s="27" t="s">
        <v>1226</v>
      </c>
      <c r="D24" s="31">
        <v>690</v>
      </c>
      <c r="E24" s="29">
        <v>6801.3714</v>
      </c>
      <c r="F24" s="30">
        <v>1.2124878359942699</v>
      </c>
      <c r="G24" s="29">
        <v>11.7308</v>
      </c>
    </row>
    <row r="25" spans="1:7" x14ac:dyDescent="0.2">
      <c r="A25" s="27" t="s">
        <v>1062</v>
      </c>
      <c r="B25" s="27" t="s">
        <v>1063</v>
      </c>
      <c r="C25" s="27" t="s">
        <v>35</v>
      </c>
      <c r="D25" s="31">
        <v>550</v>
      </c>
      <c r="E25" s="29">
        <v>5429.3744999999999</v>
      </c>
      <c r="F25" s="30">
        <v>0.96790046464856405</v>
      </c>
      <c r="G25" s="29">
        <v>12.061</v>
      </c>
    </row>
    <row r="26" spans="1:7" x14ac:dyDescent="0.2">
      <c r="A26" s="27" t="s">
        <v>873</v>
      </c>
      <c r="B26" s="27" t="s">
        <v>874</v>
      </c>
      <c r="C26" s="27" t="s">
        <v>875</v>
      </c>
      <c r="D26" s="31">
        <v>460</v>
      </c>
      <c r="E26" s="29">
        <v>5162.0739999999996</v>
      </c>
      <c r="F26" s="30">
        <v>0.92024851539533103</v>
      </c>
      <c r="G26" s="29">
        <v>7.6942000000000004</v>
      </c>
    </row>
    <row r="27" spans="1:7" x14ac:dyDescent="0.2">
      <c r="A27" s="27" t="s">
        <v>1172</v>
      </c>
      <c r="B27" s="27" t="s">
        <v>1173</v>
      </c>
      <c r="C27" s="27" t="s">
        <v>1034</v>
      </c>
      <c r="D27" s="31">
        <v>500</v>
      </c>
      <c r="E27" s="29">
        <v>4984.82</v>
      </c>
      <c r="F27" s="30">
        <v>0.88864925309341902</v>
      </c>
      <c r="G27" s="29">
        <v>8.9391999999999996</v>
      </c>
    </row>
    <row r="28" spans="1:7" x14ac:dyDescent="0.2">
      <c r="A28" s="27" t="s">
        <v>1227</v>
      </c>
      <c r="B28" s="27" t="s">
        <v>1228</v>
      </c>
      <c r="C28" s="27" t="s">
        <v>1026</v>
      </c>
      <c r="D28" s="31">
        <v>2125</v>
      </c>
      <c r="E28" s="29">
        <v>4311.9352500000005</v>
      </c>
      <c r="F28" s="30">
        <v>0.76869336090364004</v>
      </c>
      <c r="G28" s="29">
        <v>10.3324</v>
      </c>
    </row>
    <row r="29" spans="1:7" x14ac:dyDescent="0.2">
      <c r="A29" s="27" t="s">
        <v>1066</v>
      </c>
      <c r="B29" s="27" t="s">
        <v>1067</v>
      </c>
      <c r="C29" s="27" t="s">
        <v>995</v>
      </c>
      <c r="D29" s="31">
        <v>370</v>
      </c>
      <c r="E29" s="29">
        <v>3718.0855999999999</v>
      </c>
      <c r="F29" s="30">
        <v>0.66282714147700295</v>
      </c>
      <c r="G29" s="29">
        <v>9.7895000000000003</v>
      </c>
    </row>
    <row r="30" spans="1:7" x14ac:dyDescent="0.2">
      <c r="A30" s="27" t="s">
        <v>1229</v>
      </c>
      <c r="B30" s="27" t="s">
        <v>1230</v>
      </c>
      <c r="C30" s="27" t="s">
        <v>1135</v>
      </c>
      <c r="D30" s="31">
        <v>272</v>
      </c>
      <c r="E30" s="29">
        <v>2727.2624000000001</v>
      </c>
      <c r="F30" s="30">
        <v>0.48619201791634697</v>
      </c>
      <c r="G30" s="29">
        <v>10.569000000000001</v>
      </c>
    </row>
    <row r="31" spans="1:7" x14ac:dyDescent="0.2">
      <c r="A31" s="27" t="s">
        <v>1140</v>
      </c>
      <c r="B31" s="27" t="s">
        <v>1141</v>
      </c>
      <c r="C31" s="27" t="s">
        <v>1026</v>
      </c>
      <c r="D31" s="31">
        <v>350</v>
      </c>
      <c r="E31" s="29">
        <v>2630.7041250000002</v>
      </c>
      <c r="F31" s="30">
        <v>0.46897846979249502</v>
      </c>
      <c r="G31" s="29">
        <v>9.5912000000000006</v>
      </c>
    </row>
    <row r="32" spans="1:7" x14ac:dyDescent="0.2">
      <c r="A32" s="27" t="s">
        <v>1164</v>
      </c>
      <c r="B32" s="27" t="s">
        <v>1165</v>
      </c>
      <c r="C32" s="27" t="s">
        <v>1034</v>
      </c>
      <c r="D32" s="31">
        <v>250</v>
      </c>
      <c r="E32" s="29">
        <v>2494.36</v>
      </c>
      <c r="F32" s="30">
        <v>0.444672255155873</v>
      </c>
      <c r="G32" s="29">
        <v>9.2436000000000007</v>
      </c>
    </row>
    <row r="33" spans="1:7" x14ac:dyDescent="0.2">
      <c r="A33" s="27" t="s">
        <v>1142</v>
      </c>
      <c r="B33" s="27" t="s">
        <v>1143</v>
      </c>
      <c r="C33" s="27" t="s">
        <v>1135</v>
      </c>
      <c r="D33" s="31">
        <v>240</v>
      </c>
      <c r="E33" s="29">
        <v>2287.3031999999998</v>
      </c>
      <c r="F33" s="30">
        <v>0.407760015462582</v>
      </c>
      <c r="G33" s="29">
        <v>13.984999999999999</v>
      </c>
    </row>
    <row r="34" spans="1:7" x14ac:dyDescent="0.2">
      <c r="A34" s="27" t="s">
        <v>1120</v>
      </c>
      <c r="B34" s="27" t="s">
        <v>1121</v>
      </c>
      <c r="C34" s="27" t="s">
        <v>995</v>
      </c>
      <c r="D34" s="31">
        <v>197</v>
      </c>
      <c r="E34" s="29">
        <v>1993.4370899999999</v>
      </c>
      <c r="F34" s="30">
        <v>0.355372186180688</v>
      </c>
      <c r="G34" s="29">
        <v>10.4857</v>
      </c>
    </row>
    <row r="35" spans="1:7" x14ac:dyDescent="0.2">
      <c r="A35" s="27" t="s">
        <v>1231</v>
      </c>
      <c r="B35" s="27" t="s">
        <v>1232</v>
      </c>
      <c r="C35" s="27" t="s">
        <v>1029</v>
      </c>
      <c r="D35" s="31">
        <v>200</v>
      </c>
      <c r="E35" s="29">
        <v>1988.944</v>
      </c>
      <c r="F35" s="30">
        <v>0.35457119816656102</v>
      </c>
      <c r="G35" s="29">
        <v>10.024800000000001</v>
      </c>
    </row>
    <row r="36" spans="1:7" x14ac:dyDescent="0.2">
      <c r="A36" s="27" t="s">
        <v>1068</v>
      </c>
      <c r="B36" s="27" t="s">
        <v>1069</v>
      </c>
      <c r="C36" s="27" t="s">
        <v>35</v>
      </c>
      <c r="D36" s="31">
        <v>150</v>
      </c>
      <c r="E36" s="29">
        <v>1504.1369999999999</v>
      </c>
      <c r="F36" s="30">
        <v>0.26814412989840702</v>
      </c>
      <c r="G36" s="29">
        <v>10.7926</v>
      </c>
    </row>
    <row r="37" spans="1:7" x14ac:dyDescent="0.2">
      <c r="A37" s="27" t="s">
        <v>1233</v>
      </c>
      <c r="B37" s="27" t="s">
        <v>1234</v>
      </c>
      <c r="C37" s="27" t="s">
        <v>1048</v>
      </c>
      <c r="D37" s="31">
        <v>1400</v>
      </c>
      <c r="E37" s="29">
        <v>1411.6998000000001</v>
      </c>
      <c r="F37" s="30">
        <v>0.25166525027225201</v>
      </c>
      <c r="G37" s="29">
        <v>8.9024999999999999</v>
      </c>
    </row>
    <row r="38" spans="1:7" x14ac:dyDescent="0.2">
      <c r="A38" s="27" t="s">
        <v>1193</v>
      </c>
      <c r="B38" s="27" t="s">
        <v>1194</v>
      </c>
      <c r="C38" s="27" t="s">
        <v>1048</v>
      </c>
      <c r="D38" s="31">
        <v>500</v>
      </c>
      <c r="E38" s="29">
        <v>1252.3</v>
      </c>
      <c r="F38" s="30">
        <v>0.22324887551584399</v>
      </c>
      <c r="G38" s="29">
        <v>9.2439</v>
      </c>
    </row>
    <row r="39" spans="1:7" x14ac:dyDescent="0.2">
      <c r="A39" s="27" t="s">
        <v>1235</v>
      </c>
      <c r="B39" s="27" t="s">
        <v>1236</v>
      </c>
      <c r="C39" s="27" t="s">
        <v>1182</v>
      </c>
      <c r="D39" s="31">
        <v>100</v>
      </c>
      <c r="E39" s="29">
        <v>1002.829</v>
      </c>
      <c r="F39" s="30">
        <v>0.17877541051240001</v>
      </c>
      <c r="G39" s="29">
        <v>9.31</v>
      </c>
    </row>
    <row r="40" spans="1:7" x14ac:dyDescent="0.2">
      <c r="A40" s="27" t="s">
        <v>1174</v>
      </c>
      <c r="B40" s="27" t="s">
        <v>1175</v>
      </c>
      <c r="C40" s="27" t="s">
        <v>1082</v>
      </c>
      <c r="D40" s="31">
        <v>100</v>
      </c>
      <c r="E40" s="29">
        <v>1002.616</v>
      </c>
      <c r="F40" s="30">
        <v>0.17873743877201401</v>
      </c>
      <c r="G40" s="29">
        <v>13.960900000000001</v>
      </c>
    </row>
    <row r="41" spans="1:7" x14ac:dyDescent="0.2">
      <c r="A41" s="27" t="s">
        <v>1035</v>
      </c>
      <c r="B41" s="27" t="s">
        <v>1036</v>
      </c>
      <c r="C41" s="27" t="s">
        <v>1029</v>
      </c>
      <c r="D41" s="31">
        <v>100</v>
      </c>
      <c r="E41" s="29">
        <v>988.96699999999998</v>
      </c>
      <c r="F41" s="30">
        <v>0.176304216778949</v>
      </c>
      <c r="G41" s="29">
        <v>10.1699</v>
      </c>
    </row>
    <row r="42" spans="1:7" x14ac:dyDescent="0.2">
      <c r="A42" s="27" t="s">
        <v>1237</v>
      </c>
      <c r="B42" s="27" t="s">
        <v>1238</v>
      </c>
      <c r="C42" s="27" t="s">
        <v>1026</v>
      </c>
      <c r="D42" s="31">
        <v>62</v>
      </c>
      <c r="E42" s="29">
        <v>624.43733999999995</v>
      </c>
      <c r="F42" s="30">
        <v>0.11131912000727</v>
      </c>
      <c r="G42" s="29">
        <v>10.380800000000001</v>
      </c>
    </row>
    <row r="43" spans="1:7" x14ac:dyDescent="0.2">
      <c r="A43" s="27" t="s">
        <v>1239</v>
      </c>
      <c r="B43" s="27" t="s">
        <v>1240</v>
      </c>
      <c r="C43" s="27" t="s">
        <v>1026</v>
      </c>
      <c r="D43" s="31">
        <v>62</v>
      </c>
      <c r="E43" s="29">
        <v>623.93823999999995</v>
      </c>
      <c r="F43" s="30">
        <v>0.111230144910433</v>
      </c>
      <c r="G43" s="29">
        <v>10.380800000000001</v>
      </c>
    </row>
    <row r="44" spans="1:7" x14ac:dyDescent="0.2">
      <c r="A44" s="27" t="s">
        <v>1241</v>
      </c>
      <c r="B44" s="27" t="s">
        <v>1242</v>
      </c>
      <c r="C44" s="27" t="s">
        <v>1034</v>
      </c>
      <c r="D44" s="31">
        <v>55</v>
      </c>
      <c r="E44" s="29">
        <v>562.95854999999995</v>
      </c>
      <c r="F44" s="30">
        <v>0.100359229617128</v>
      </c>
      <c r="G44" s="29">
        <v>5.4850000000000003</v>
      </c>
    </row>
    <row r="45" spans="1:7" x14ac:dyDescent="0.2">
      <c r="A45" s="27" t="s">
        <v>1136</v>
      </c>
      <c r="B45" s="27" t="s">
        <v>1137</v>
      </c>
      <c r="C45" s="27" t="s">
        <v>995</v>
      </c>
      <c r="D45" s="31">
        <v>50</v>
      </c>
      <c r="E45" s="29">
        <v>502.25650000000002</v>
      </c>
      <c r="F45" s="30">
        <v>8.9537809506925997E-2</v>
      </c>
      <c r="G45" s="29">
        <v>10.264200000000001</v>
      </c>
    </row>
    <row r="46" spans="1:7" x14ac:dyDescent="0.2">
      <c r="A46" s="27" t="s">
        <v>1243</v>
      </c>
      <c r="B46" s="27" t="s">
        <v>1244</v>
      </c>
      <c r="C46" s="27" t="s">
        <v>1135</v>
      </c>
      <c r="D46" s="31">
        <v>50</v>
      </c>
      <c r="E46" s="29">
        <v>476.51049999999998</v>
      </c>
      <c r="F46" s="30">
        <v>8.4948042239473304E-2</v>
      </c>
      <c r="G46" s="29">
        <v>13.984999999999999</v>
      </c>
    </row>
    <row r="47" spans="1:7" x14ac:dyDescent="0.2">
      <c r="A47" s="27" t="s">
        <v>1245</v>
      </c>
      <c r="B47" s="27" t="s">
        <v>1246</v>
      </c>
      <c r="C47" s="27" t="s">
        <v>39</v>
      </c>
      <c r="D47" s="31">
        <v>28</v>
      </c>
      <c r="E47" s="29">
        <v>281.58535999999998</v>
      </c>
      <c r="F47" s="30">
        <v>5.01985266962581E-2</v>
      </c>
      <c r="G47" s="29">
        <v>4.5350999999999999</v>
      </c>
    </row>
    <row r="48" spans="1:7" x14ac:dyDescent="0.2">
      <c r="A48" s="27" t="s">
        <v>1247</v>
      </c>
      <c r="B48" s="27" t="s">
        <v>1248</v>
      </c>
      <c r="C48" s="27" t="s">
        <v>1249</v>
      </c>
      <c r="D48" s="31">
        <v>18</v>
      </c>
      <c r="E48" s="29">
        <v>226.75031999999999</v>
      </c>
      <c r="F48" s="30">
        <v>4.0423024804645602E-2</v>
      </c>
      <c r="G48" s="29">
        <v>4.1501000000000001</v>
      </c>
    </row>
    <row r="49" spans="1:9" x14ac:dyDescent="0.2">
      <c r="A49" s="27" t="s">
        <v>910</v>
      </c>
      <c r="B49" s="27" t="s">
        <v>911</v>
      </c>
      <c r="C49" s="27" t="s">
        <v>39</v>
      </c>
      <c r="D49" s="31">
        <v>12</v>
      </c>
      <c r="E49" s="29">
        <v>122.39796</v>
      </c>
      <c r="F49" s="30">
        <v>2.18200167175862E-2</v>
      </c>
      <c r="G49" s="29">
        <v>3.85</v>
      </c>
    </row>
    <row r="50" spans="1:9" x14ac:dyDescent="0.2">
      <c r="A50" s="27" t="s">
        <v>1250</v>
      </c>
      <c r="B50" s="27" t="s">
        <v>1251</v>
      </c>
      <c r="C50" s="27" t="s">
        <v>39</v>
      </c>
      <c r="D50" s="31">
        <v>12</v>
      </c>
      <c r="E50" s="29">
        <v>122.19156</v>
      </c>
      <c r="F50" s="30">
        <v>2.17832215663393E-2</v>
      </c>
      <c r="G50" s="29">
        <v>3.8748999999999998</v>
      </c>
    </row>
    <row r="51" spans="1:9" x14ac:dyDescent="0.2">
      <c r="A51" s="27" t="s">
        <v>1191</v>
      </c>
      <c r="B51" s="27" t="s">
        <v>1192</v>
      </c>
      <c r="C51" s="27" t="s">
        <v>907</v>
      </c>
      <c r="D51" s="31">
        <v>4000</v>
      </c>
      <c r="E51" s="29">
        <v>40.097560000000001</v>
      </c>
      <c r="F51" s="29">
        <v>7.1482353916226702E-3</v>
      </c>
      <c r="G51" s="29">
        <v>8.125</v>
      </c>
    </row>
    <row r="52" spans="1:9" x14ac:dyDescent="0.2">
      <c r="A52" s="27" t="s">
        <v>1039</v>
      </c>
      <c r="B52" s="27" t="s">
        <v>1040</v>
      </c>
      <c r="C52" s="27" t="s">
        <v>35</v>
      </c>
      <c r="D52" s="31">
        <v>3</v>
      </c>
      <c r="E52" s="29">
        <v>30.331890000000001</v>
      </c>
      <c r="F52" s="29">
        <v>5.40729883795438E-3</v>
      </c>
      <c r="G52" s="29">
        <v>4.49</v>
      </c>
      <c r="I52" s="13"/>
    </row>
    <row r="53" spans="1:9" ht="10.5" x14ac:dyDescent="0.25">
      <c r="A53" s="26" t="s">
        <v>40</v>
      </c>
      <c r="B53" s="26"/>
      <c r="C53" s="26"/>
      <c r="D53" s="32"/>
      <c r="E53" s="33">
        <f>SUM(E6:E52)</f>
        <v>368095.29930499999</v>
      </c>
      <c r="F53" s="34">
        <f>SUM(F6:F52)</f>
        <v>65.620747147256338</v>
      </c>
      <c r="G53" s="33"/>
      <c r="H53" s="18"/>
      <c r="I53" s="18"/>
    </row>
    <row r="54" spans="1:9" x14ac:dyDescent="0.2">
      <c r="A54" s="27"/>
      <c r="B54" s="27"/>
      <c r="C54" s="27"/>
      <c r="D54" s="28"/>
      <c r="E54" s="29"/>
      <c r="F54" s="30"/>
      <c r="G54" s="29"/>
    </row>
    <row r="55" spans="1:9" ht="10.5" x14ac:dyDescent="0.25">
      <c r="A55" s="26" t="s">
        <v>41</v>
      </c>
      <c r="B55" s="27"/>
      <c r="C55" s="27"/>
      <c r="D55" s="28"/>
      <c r="E55" s="29"/>
      <c r="F55" s="30"/>
      <c r="G55" s="29"/>
    </row>
    <row r="56" spans="1:9" x14ac:dyDescent="0.2">
      <c r="A56" s="27" t="s">
        <v>1088</v>
      </c>
      <c r="B56" s="27" t="s">
        <v>1089</v>
      </c>
      <c r="C56" s="27" t="s">
        <v>1074</v>
      </c>
      <c r="D56" s="31">
        <v>350</v>
      </c>
      <c r="E56" s="29">
        <v>34315.573600000003</v>
      </c>
      <c r="F56" s="30">
        <v>6.1174744221681499</v>
      </c>
      <c r="G56" s="29">
        <v>7.97</v>
      </c>
    </row>
    <row r="57" spans="1:9" x14ac:dyDescent="0.2">
      <c r="A57" s="27" t="s">
        <v>1080</v>
      </c>
      <c r="B57" s="27" t="s">
        <v>1081</v>
      </c>
      <c r="C57" s="27" t="s">
        <v>1082</v>
      </c>
      <c r="D57" s="31">
        <v>2560</v>
      </c>
      <c r="E57" s="29">
        <v>24230.886399999999</v>
      </c>
      <c r="F57" s="30">
        <v>4.3196663271996698</v>
      </c>
      <c r="G57" s="29">
        <v>12.19</v>
      </c>
    </row>
    <row r="58" spans="1:9" x14ac:dyDescent="0.2">
      <c r="A58" s="27" t="s">
        <v>1086</v>
      </c>
      <c r="B58" s="27" t="s">
        <v>1087</v>
      </c>
      <c r="C58" s="27" t="s">
        <v>1074</v>
      </c>
      <c r="D58" s="31">
        <v>1480</v>
      </c>
      <c r="E58" s="29">
        <v>15389.498799999999</v>
      </c>
      <c r="F58" s="30">
        <v>2.7435025967040101</v>
      </c>
      <c r="G58" s="29">
        <v>7.5049999999999999</v>
      </c>
    </row>
    <row r="59" spans="1:9" x14ac:dyDescent="0.2">
      <c r="A59" s="27" t="s">
        <v>1152</v>
      </c>
      <c r="B59" s="27" t="s">
        <v>1153</v>
      </c>
      <c r="C59" s="27" t="s">
        <v>1077</v>
      </c>
      <c r="D59" s="31">
        <v>1660</v>
      </c>
      <c r="E59" s="29">
        <v>13783.750459999999</v>
      </c>
      <c r="F59" s="30">
        <v>2.4572441033186898</v>
      </c>
      <c r="G59" s="29">
        <v>11.6874</v>
      </c>
    </row>
    <row r="60" spans="1:9" x14ac:dyDescent="0.2">
      <c r="A60" s="27" t="s">
        <v>1201</v>
      </c>
      <c r="B60" s="27" t="s">
        <v>1202</v>
      </c>
      <c r="C60" s="27" t="s">
        <v>1082</v>
      </c>
      <c r="D60" s="31">
        <v>1150</v>
      </c>
      <c r="E60" s="29">
        <v>11560.317499999999</v>
      </c>
      <c r="F60" s="30">
        <v>2.0608703046243999</v>
      </c>
      <c r="G60" s="29">
        <v>12.324999999999999</v>
      </c>
    </row>
    <row r="61" spans="1:9" x14ac:dyDescent="0.2">
      <c r="A61" s="27" t="s">
        <v>1078</v>
      </c>
      <c r="B61" s="27" t="s">
        <v>1079</v>
      </c>
      <c r="C61" s="27" t="s">
        <v>1077</v>
      </c>
      <c r="D61" s="31">
        <v>1280</v>
      </c>
      <c r="E61" s="29">
        <v>10892.45001</v>
      </c>
      <c r="F61" s="30">
        <v>1.9418088448016</v>
      </c>
      <c r="G61" s="29">
        <v>11.6846</v>
      </c>
    </row>
    <row r="62" spans="1:9" x14ac:dyDescent="0.2">
      <c r="A62" s="27" t="s">
        <v>1075</v>
      </c>
      <c r="B62" s="27" t="s">
        <v>1076</v>
      </c>
      <c r="C62" s="27" t="s">
        <v>1077</v>
      </c>
      <c r="D62" s="31">
        <v>385</v>
      </c>
      <c r="E62" s="29">
        <v>3450.794406</v>
      </c>
      <c r="F62" s="30">
        <v>0.61517685121445698</v>
      </c>
      <c r="G62" s="29">
        <v>11.6874</v>
      </c>
    </row>
    <row r="63" spans="1:9" x14ac:dyDescent="0.2">
      <c r="A63" s="27" t="s">
        <v>1252</v>
      </c>
      <c r="B63" s="27" t="s">
        <v>1253</v>
      </c>
      <c r="C63" s="27" t="s">
        <v>1226</v>
      </c>
      <c r="D63" s="31">
        <v>300</v>
      </c>
      <c r="E63" s="29">
        <v>2922.51</v>
      </c>
      <c r="F63" s="30">
        <v>0.52099901875254195</v>
      </c>
      <c r="G63" s="29">
        <v>12.8249</v>
      </c>
    </row>
    <row r="64" spans="1:9" x14ac:dyDescent="0.2">
      <c r="A64" s="27" t="s">
        <v>43</v>
      </c>
      <c r="B64" s="27" t="s">
        <v>42</v>
      </c>
      <c r="C64" s="27" t="s">
        <v>38</v>
      </c>
      <c r="D64" s="31">
        <v>15</v>
      </c>
      <c r="E64" s="29">
        <v>2124.5264999999999</v>
      </c>
      <c r="F64" s="30">
        <v>0.37874163709064201</v>
      </c>
      <c r="G64" s="29">
        <v>10.4</v>
      </c>
    </row>
    <row r="65" spans="1:9" x14ac:dyDescent="0.2">
      <c r="A65" s="27" t="s">
        <v>1090</v>
      </c>
      <c r="B65" s="27" t="s">
        <v>1091</v>
      </c>
      <c r="C65" s="27" t="s">
        <v>1077</v>
      </c>
      <c r="D65" s="31">
        <v>150</v>
      </c>
      <c r="E65" s="29">
        <v>1316.1240660000001</v>
      </c>
      <c r="F65" s="30">
        <v>0.234626860795209</v>
      </c>
      <c r="G65" s="29">
        <v>11.6874</v>
      </c>
    </row>
    <row r="66" spans="1:9" x14ac:dyDescent="0.2">
      <c r="A66" s="27" t="s">
        <v>1254</v>
      </c>
      <c r="B66" s="27" t="s">
        <v>1255</v>
      </c>
      <c r="C66" s="27" t="s">
        <v>39</v>
      </c>
      <c r="D66" s="31">
        <v>13</v>
      </c>
      <c r="E66" s="29">
        <v>132.25537</v>
      </c>
      <c r="F66" s="30">
        <v>2.3577307860282601E-2</v>
      </c>
      <c r="G66" s="29">
        <v>4.9950000000000001</v>
      </c>
    </row>
    <row r="67" spans="1:9" x14ac:dyDescent="0.2">
      <c r="A67" s="27" t="s">
        <v>1097</v>
      </c>
      <c r="B67" s="27" t="s">
        <v>1098</v>
      </c>
      <c r="C67" s="27" t="s">
        <v>1094</v>
      </c>
      <c r="D67" s="31">
        <v>1000</v>
      </c>
      <c r="E67" s="29">
        <v>0</v>
      </c>
      <c r="F67" s="29">
        <v>0</v>
      </c>
      <c r="G67" s="29">
        <v>0</v>
      </c>
    </row>
    <row r="68" spans="1:9" x14ac:dyDescent="0.2">
      <c r="A68" s="27" t="s">
        <v>1256</v>
      </c>
      <c r="B68" s="27" t="s">
        <v>1257</v>
      </c>
      <c r="C68" s="27" t="s">
        <v>1094</v>
      </c>
      <c r="D68" s="31">
        <v>800</v>
      </c>
      <c r="E68" s="29">
        <v>0</v>
      </c>
      <c r="F68" s="29">
        <v>0</v>
      </c>
      <c r="G68" s="29">
        <v>0</v>
      </c>
    </row>
    <row r="69" spans="1:9" x14ac:dyDescent="0.2">
      <c r="A69" s="27" t="s">
        <v>1258</v>
      </c>
      <c r="B69" s="27" t="s">
        <v>1259</v>
      </c>
      <c r="C69" s="27" t="s">
        <v>1094</v>
      </c>
      <c r="D69" s="31">
        <v>600</v>
      </c>
      <c r="E69" s="29">
        <v>0</v>
      </c>
      <c r="F69" s="29">
        <v>0</v>
      </c>
      <c r="G69" s="29">
        <v>0</v>
      </c>
    </row>
    <row r="70" spans="1:9" x14ac:dyDescent="0.2">
      <c r="A70" s="27" t="s">
        <v>1260</v>
      </c>
      <c r="B70" s="27" t="s">
        <v>1261</v>
      </c>
      <c r="C70" s="27" t="s">
        <v>1094</v>
      </c>
      <c r="D70" s="31">
        <v>500</v>
      </c>
      <c r="E70" s="29">
        <v>0</v>
      </c>
      <c r="F70" s="29">
        <v>0</v>
      </c>
      <c r="G70" s="29">
        <v>0</v>
      </c>
    </row>
    <row r="71" spans="1:9" x14ac:dyDescent="0.2">
      <c r="A71" s="27" t="s">
        <v>1262</v>
      </c>
      <c r="B71" s="27" t="s">
        <v>1263</v>
      </c>
      <c r="C71" s="27" t="s">
        <v>1094</v>
      </c>
      <c r="D71" s="31">
        <v>375</v>
      </c>
      <c r="E71" s="29">
        <v>0</v>
      </c>
      <c r="F71" s="29">
        <v>0</v>
      </c>
      <c r="G71" s="29">
        <v>0</v>
      </c>
    </row>
    <row r="72" spans="1:9" x14ac:dyDescent="0.2">
      <c r="A72" s="27" t="s">
        <v>1264</v>
      </c>
      <c r="B72" s="27" t="s">
        <v>1265</v>
      </c>
      <c r="C72" s="27" t="s">
        <v>1094</v>
      </c>
      <c r="D72" s="31">
        <v>350</v>
      </c>
      <c r="E72" s="29">
        <v>0</v>
      </c>
      <c r="F72" s="29">
        <v>0</v>
      </c>
      <c r="G72" s="29">
        <v>0</v>
      </c>
    </row>
    <row r="73" spans="1:9" x14ac:dyDescent="0.2">
      <c r="A73" s="27" t="s">
        <v>1266</v>
      </c>
      <c r="B73" s="27" t="s">
        <v>1267</v>
      </c>
      <c r="C73" s="27" t="s">
        <v>1094</v>
      </c>
      <c r="D73" s="31">
        <v>300</v>
      </c>
      <c r="E73" s="29">
        <v>0</v>
      </c>
      <c r="F73" s="29">
        <v>0</v>
      </c>
      <c r="G73" s="29">
        <v>0</v>
      </c>
    </row>
    <row r="74" spans="1:9" x14ac:dyDescent="0.2">
      <c r="A74" s="27" t="s">
        <v>1268</v>
      </c>
      <c r="B74" s="27" t="s">
        <v>1269</v>
      </c>
      <c r="C74" s="27" t="s">
        <v>1094</v>
      </c>
      <c r="D74" s="31">
        <v>200</v>
      </c>
      <c r="E74" s="29">
        <v>0</v>
      </c>
      <c r="F74" s="29">
        <v>0</v>
      </c>
      <c r="G74" s="29">
        <v>0</v>
      </c>
    </row>
    <row r="75" spans="1:9" x14ac:dyDescent="0.2">
      <c r="A75" s="27" t="s">
        <v>1270</v>
      </c>
      <c r="B75" s="27" t="s">
        <v>1271</v>
      </c>
      <c r="C75" s="27" t="s">
        <v>1094</v>
      </c>
      <c r="D75" s="31">
        <v>100</v>
      </c>
      <c r="E75" s="29">
        <v>0</v>
      </c>
      <c r="F75" s="29">
        <v>0</v>
      </c>
      <c r="G75" s="29">
        <v>0</v>
      </c>
    </row>
    <row r="76" spans="1:9" ht="10.5" x14ac:dyDescent="0.25">
      <c r="A76" s="26" t="s">
        <v>40</v>
      </c>
      <c r="B76" s="26"/>
      <c r="C76" s="26"/>
      <c r="D76" s="32"/>
      <c r="E76" s="33">
        <f>SUM(E55:E75)</f>
        <v>120118.687112</v>
      </c>
      <c r="F76" s="34">
        <f>SUM(F55:F75)</f>
        <v>21.413688274529651</v>
      </c>
      <c r="G76" s="33"/>
      <c r="H76" s="18"/>
      <c r="I76" s="18"/>
    </row>
    <row r="77" spans="1:9" x14ac:dyDescent="0.2">
      <c r="A77" s="27"/>
      <c r="B77" s="27"/>
      <c r="C77" s="27"/>
      <c r="D77" s="28"/>
      <c r="E77" s="29"/>
      <c r="F77" s="30"/>
      <c r="G77" s="29"/>
    </row>
    <row r="78" spans="1:9" ht="10.5" x14ac:dyDescent="0.25">
      <c r="A78" s="26" t="s">
        <v>44</v>
      </c>
      <c r="B78" s="26"/>
      <c r="C78" s="26"/>
      <c r="D78" s="32"/>
      <c r="E78" s="33">
        <f>E53+E76</f>
        <v>488213.98641700001</v>
      </c>
      <c r="F78" s="34">
        <f>F53+F76</f>
        <v>87.034435421785986</v>
      </c>
      <c r="G78" s="33"/>
      <c r="H78" s="18"/>
      <c r="I78" s="18"/>
    </row>
    <row r="79" spans="1:9" ht="10.5" x14ac:dyDescent="0.25">
      <c r="A79" s="26"/>
      <c r="B79" s="26"/>
      <c r="C79" s="26"/>
      <c r="D79" s="32"/>
      <c r="E79" s="33"/>
      <c r="F79" s="34"/>
      <c r="G79" s="33"/>
      <c r="H79" s="18"/>
      <c r="I79" s="18"/>
    </row>
    <row r="80" spans="1:9" ht="10.5" x14ac:dyDescent="0.25">
      <c r="A80" s="26" t="s">
        <v>46</v>
      </c>
      <c r="B80" s="26"/>
      <c r="C80" s="26"/>
      <c r="D80" s="32"/>
      <c r="E80" s="33">
        <f>E82-(E53+E76)</f>
        <v>72729.488485800044</v>
      </c>
      <c r="F80" s="34">
        <f>F82-(F53+F76)</f>
        <v>12.965564578214014</v>
      </c>
      <c r="G80" s="33"/>
      <c r="H80" s="18"/>
      <c r="I80" s="18"/>
    </row>
    <row r="81" spans="1:9" ht="10.5" x14ac:dyDescent="0.25">
      <c r="A81" s="26"/>
      <c r="B81" s="26"/>
      <c r="C81" s="26"/>
      <c r="D81" s="32"/>
      <c r="E81" s="33"/>
      <c r="F81" s="34"/>
      <c r="G81" s="33"/>
      <c r="H81" s="18"/>
      <c r="I81" s="18"/>
    </row>
    <row r="82" spans="1:9" ht="10.5" x14ac:dyDescent="0.25">
      <c r="A82" s="35" t="s">
        <v>45</v>
      </c>
      <c r="B82" s="35"/>
      <c r="C82" s="35"/>
      <c r="D82" s="36"/>
      <c r="E82" s="37">
        <v>560943.47490280005</v>
      </c>
      <c r="F82" s="38">
        <v>100</v>
      </c>
      <c r="G82" s="37"/>
      <c r="H82" s="18"/>
      <c r="I82" s="18"/>
    </row>
    <row r="83" spans="1:9" ht="10.5" x14ac:dyDescent="0.25">
      <c r="F83" s="20"/>
    </row>
    <row r="84" spans="1:9" ht="10.5" x14ac:dyDescent="0.25">
      <c r="A84" s="18" t="s">
        <v>47</v>
      </c>
    </row>
    <row r="85" spans="1:9" ht="10.5" x14ac:dyDescent="0.25">
      <c r="A85" s="18" t="s">
        <v>1099</v>
      </c>
    </row>
    <row r="87" spans="1:9" ht="10.5" x14ac:dyDescent="0.25">
      <c r="A87" s="18" t="s">
        <v>48</v>
      </c>
    </row>
    <row r="88" spans="1:9" ht="10.5" x14ac:dyDescent="0.25">
      <c r="A88" s="18" t="s">
        <v>49</v>
      </c>
    </row>
    <row r="89" spans="1:9" ht="10.5" x14ac:dyDescent="0.25">
      <c r="A89" s="18" t="s">
        <v>50</v>
      </c>
      <c r="B89" s="18"/>
      <c r="C89" s="41" t="s">
        <v>727</v>
      </c>
      <c r="D89" s="19" t="s">
        <v>51</v>
      </c>
    </row>
    <row r="90" spans="1:9" x14ac:dyDescent="0.2">
      <c r="A90" s="9" t="s">
        <v>839</v>
      </c>
      <c r="C90" s="40">
        <v>3710.8757999999998</v>
      </c>
      <c r="D90" s="40">
        <v>3889.2986999999998</v>
      </c>
    </row>
    <row r="91" spans="1:9" x14ac:dyDescent="0.2">
      <c r="A91" s="9" t="s">
        <v>1203</v>
      </c>
      <c r="C91" s="40">
        <v>937.90380000000005</v>
      </c>
      <c r="D91" s="40">
        <v>982.99919999999997</v>
      </c>
    </row>
    <row r="92" spans="1:9" x14ac:dyDescent="0.2">
      <c r="A92" s="9" t="s">
        <v>841</v>
      </c>
      <c r="C92" s="40">
        <v>1035.4919</v>
      </c>
      <c r="D92" s="40">
        <v>1085.2795000000001</v>
      </c>
    </row>
    <row r="93" spans="1:9" x14ac:dyDescent="0.2">
      <c r="A93" s="9" t="s">
        <v>842</v>
      </c>
      <c r="C93" s="40">
        <v>1077.2316000000001</v>
      </c>
      <c r="D93" s="40">
        <v>1129.0260000000001</v>
      </c>
    </row>
    <row r="94" spans="1:9" x14ac:dyDescent="0.2">
      <c r="A94" s="9" t="s">
        <v>1204</v>
      </c>
      <c r="C94" s="40">
        <v>3074.4340000000002</v>
      </c>
      <c r="D94" s="40">
        <v>3222.0324999999998</v>
      </c>
    </row>
    <row r="95" spans="1:9" x14ac:dyDescent="0.2">
      <c r="A95" s="9" t="s">
        <v>843</v>
      </c>
      <c r="C95" s="40">
        <v>3934.4011999999998</v>
      </c>
      <c r="D95" s="40">
        <v>4139.0212000000001</v>
      </c>
    </row>
    <row r="96" spans="1:9" x14ac:dyDescent="0.2">
      <c r="A96" s="9" t="s">
        <v>1272</v>
      </c>
      <c r="C96" s="40">
        <v>944.14549999999997</v>
      </c>
      <c r="D96" s="40">
        <v>993.24850000000004</v>
      </c>
    </row>
    <row r="97" spans="1:7" x14ac:dyDescent="0.2">
      <c r="A97" s="9" t="s">
        <v>845</v>
      </c>
      <c r="C97" s="40">
        <v>1115.7326</v>
      </c>
      <c r="D97" s="40">
        <v>1173.7594999999999</v>
      </c>
    </row>
    <row r="98" spans="1:7" x14ac:dyDescent="0.2">
      <c r="A98" s="9" t="s">
        <v>846</v>
      </c>
      <c r="C98" s="40">
        <v>1162.2827</v>
      </c>
      <c r="D98" s="40">
        <v>1222.7306000000001</v>
      </c>
    </row>
    <row r="100" spans="1:7" ht="10.5" x14ac:dyDescent="0.25">
      <c r="A100" s="18" t="s">
        <v>52</v>
      </c>
      <c r="D100" s="41" t="s">
        <v>53</v>
      </c>
    </row>
    <row r="102" spans="1:7" ht="10.5" x14ac:dyDescent="0.25">
      <c r="A102" s="18" t="s">
        <v>798</v>
      </c>
      <c r="D102" s="42">
        <v>2.4647573619452099</v>
      </c>
      <c r="E102" s="13" t="s">
        <v>54</v>
      </c>
    </row>
    <row r="104" spans="1:7" ht="10.5" x14ac:dyDescent="0.25">
      <c r="A104" s="18" t="s">
        <v>1503</v>
      </c>
      <c r="D104" s="41" t="s">
        <v>53</v>
      </c>
    </row>
    <row r="105" spans="1:7" x14ac:dyDescent="0.2">
      <c r="A105" s="9" t="s">
        <v>1100</v>
      </c>
    </row>
    <row r="106" spans="1:7" x14ac:dyDescent="0.2">
      <c r="A106" s="46" t="s">
        <v>1101</v>
      </c>
    </row>
    <row r="107" spans="1:7" x14ac:dyDescent="0.2">
      <c r="A107" s="46"/>
    </row>
    <row r="108" spans="1:7" ht="25.5" customHeight="1" x14ac:dyDescent="0.2">
      <c r="A108" s="80" t="s">
        <v>1273</v>
      </c>
      <c r="B108" s="80"/>
      <c r="C108" s="80"/>
      <c r="D108" s="80"/>
      <c r="E108" s="80"/>
      <c r="F108" s="80"/>
      <c r="G108" s="80"/>
    </row>
    <row r="110" spans="1:7" ht="10.5" x14ac:dyDescent="0.25">
      <c r="A110" s="18" t="s">
        <v>1274</v>
      </c>
    </row>
    <row r="111" spans="1:7" x14ac:dyDescent="0.2">
      <c r="A111" s="55" t="s">
        <v>961</v>
      </c>
    </row>
    <row r="113" spans="1:7" ht="62.25" customHeight="1" x14ac:dyDescent="0.2">
      <c r="A113" s="85" t="s">
        <v>1275</v>
      </c>
      <c r="B113" s="85"/>
      <c r="C113" s="85"/>
      <c r="D113" s="85"/>
      <c r="E113" s="85"/>
      <c r="F113" s="85"/>
      <c r="G113" s="85"/>
    </row>
    <row r="114" spans="1:7" ht="10.5" x14ac:dyDescent="0.2">
      <c r="A114" s="60"/>
      <c r="B114" s="60"/>
      <c r="C114" s="60"/>
      <c r="D114" s="60"/>
      <c r="E114" s="60"/>
      <c r="F114" s="60"/>
      <c r="G114" s="60"/>
    </row>
    <row r="115" spans="1:7" ht="36.75" customHeight="1" x14ac:dyDescent="0.2">
      <c r="A115" s="81" t="s">
        <v>1276</v>
      </c>
      <c r="B115" s="81"/>
      <c r="C115" s="81"/>
      <c r="D115" s="81"/>
      <c r="E115" s="81"/>
      <c r="F115" s="81"/>
      <c r="G115" s="81"/>
    </row>
    <row r="116" spans="1:7" ht="10.5" x14ac:dyDescent="0.2">
      <c r="A116" s="55" t="s">
        <v>1105</v>
      </c>
      <c r="B116" s="57"/>
      <c r="C116" s="57"/>
      <c r="D116" s="57"/>
      <c r="E116" s="57"/>
      <c r="F116" s="57"/>
      <c r="G116" s="57"/>
    </row>
    <row r="118" spans="1:7" ht="27.75" customHeight="1" x14ac:dyDescent="0.2">
      <c r="A118" s="82" t="s">
        <v>1277</v>
      </c>
      <c r="B118" s="82"/>
      <c r="C118" s="82"/>
      <c r="D118" s="82"/>
      <c r="E118" s="82"/>
      <c r="F118" s="82"/>
      <c r="G118" s="82"/>
    </row>
    <row r="119" spans="1:7" ht="10.5" x14ac:dyDescent="0.2">
      <c r="A119" s="58"/>
      <c r="B119" s="58"/>
      <c r="C119" s="58"/>
      <c r="D119" s="58"/>
      <c r="E119" s="58"/>
      <c r="F119" s="58"/>
      <c r="G119" s="58"/>
    </row>
    <row r="120" spans="1:7" ht="14.5" customHeight="1" x14ac:dyDescent="0.2">
      <c r="A120" s="73" t="s">
        <v>1278</v>
      </c>
      <c r="B120" s="74"/>
      <c r="C120" s="74"/>
      <c r="D120" s="74"/>
      <c r="E120" s="74"/>
      <c r="F120" s="74"/>
      <c r="G120" s="74"/>
    </row>
    <row r="121" spans="1:7" x14ac:dyDescent="0.2">
      <c r="A121" s="46" t="s">
        <v>55</v>
      </c>
    </row>
    <row r="123" spans="1:7" s="1" customFormat="1" ht="14" x14ac:dyDescent="0.25">
      <c r="A123" s="75" t="s">
        <v>1279</v>
      </c>
      <c r="B123" s="76"/>
      <c r="C123" s="76"/>
      <c r="D123" s="76"/>
      <c r="E123" s="76"/>
      <c r="F123" s="76"/>
      <c r="G123" s="76"/>
    </row>
    <row r="124" spans="1:7" ht="10.5" x14ac:dyDescent="0.25">
      <c r="A124" s="18" t="s">
        <v>7</v>
      </c>
    </row>
    <row r="125" spans="1:7" s="1" customFormat="1" ht="17.5" customHeight="1" x14ac:dyDescent="0.25">
      <c r="A125" s="8" t="s">
        <v>2</v>
      </c>
      <c r="B125" s="8" t="s">
        <v>0</v>
      </c>
      <c r="C125" s="17" t="s">
        <v>749</v>
      </c>
      <c r="D125" s="16" t="s">
        <v>1</v>
      </c>
      <c r="E125" s="15" t="s">
        <v>3</v>
      </c>
      <c r="F125" s="15" t="s">
        <v>4</v>
      </c>
      <c r="G125" s="15" t="s">
        <v>6</v>
      </c>
    </row>
    <row r="126" spans="1:7" ht="10.5" x14ac:dyDescent="0.25">
      <c r="A126" s="21" t="s">
        <v>31</v>
      </c>
      <c r="B126" s="22"/>
      <c r="C126" s="22"/>
      <c r="D126" s="23"/>
      <c r="E126" s="24"/>
      <c r="F126" s="25"/>
      <c r="G126" s="24"/>
    </row>
    <row r="127" spans="1:7" ht="10.5" x14ac:dyDescent="0.25">
      <c r="A127" s="26" t="s">
        <v>32</v>
      </c>
      <c r="B127" s="27"/>
      <c r="C127" s="27"/>
      <c r="D127" s="28"/>
      <c r="E127" s="29"/>
      <c r="F127" s="30"/>
      <c r="G127" s="29"/>
    </row>
    <row r="128" spans="1:7" x14ac:dyDescent="0.2">
      <c r="A128" s="27" t="s">
        <v>1109</v>
      </c>
      <c r="B128" s="27" t="s">
        <v>1110</v>
      </c>
      <c r="C128" s="27" t="s">
        <v>1111</v>
      </c>
      <c r="D128" s="31">
        <v>5230</v>
      </c>
      <c r="E128" s="29">
        <v>0</v>
      </c>
      <c r="F128" s="30">
        <v>100</v>
      </c>
      <c r="G128" s="29">
        <v>0</v>
      </c>
    </row>
    <row r="129" spans="1:9" ht="10.5" x14ac:dyDescent="0.25">
      <c r="A129" s="26" t="s">
        <v>40</v>
      </c>
      <c r="B129" s="26"/>
      <c r="C129" s="26"/>
      <c r="D129" s="32"/>
      <c r="E129" s="33">
        <f>SUM(E127:E128)</f>
        <v>0</v>
      </c>
      <c r="F129" s="34">
        <f>SUM(F127:F128)</f>
        <v>100</v>
      </c>
      <c r="G129" s="33"/>
      <c r="H129" s="18"/>
      <c r="I129" s="18"/>
    </row>
    <row r="130" spans="1:9" x14ac:dyDescent="0.2">
      <c r="A130" s="27"/>
      <c r="B130" s="27"/>
      <c r="C130" s="27"/>
      <c r="D130" s="28"/>
      <c r="E130" s="29"/>
      <c r="F130" s="30"/>
      <c r="G130" s="29"/>
    </row>
    <row r="131" spans="1:9" ht="10.5" x14ac:dyDescent="0.25">
      <c r="A131" s="26" t="s">
        <v>44</v>
      </c>
      <c r="B131" s="26"/>
      <c r="C131" s="26"/>
      <c r="D131" s="32"/>
      <c r="E131" s="33">
        <f>E129</f>
        <v>0</v>
      </c>
      <c r="F131" s="34">
        <f>F129</f>
        <v>100</v>
      </c>
      <c r="G131" s="33"/>
      <c r="H131" s="18"/>
      <c r="I131" s="18"/>
    </row>
    <row r="132" spans="1:9" ht="10.5" x14ac:dyDescent="0.25">
      <c r="A132" s="26"/>
      <c r="B132" s="26"/>
      <c r="C132" s="26"/>
      <c r="D132" s="32"/>
      <c r="E132" s="33"/>
      <c r="F132" s="34"/>
      <c r="G132" s="33"/>
      <c r="H132" s="18"/>
      <c r="I132" s="18"/>
    </row>
    <row r="133" spans="1:9" ht="10.5" x14ac:dyDescent="0.25">
      <c r="A133" s="26" t="s">
        <v>46</v>
      </c>
      <c r="B133" s="26"/>
      <c r="C133" s="26"/>
      <c r="D133" s="32"/>
      <c r="E133" s="33">
        <f>E135-(E129)</f>
        <v>8.9999999999999996E-7</v>
      </c>
      <c r="F133" s="34">
        <v>0</v>
      </c>
      <c r="G133" s="33"/>
      <c r="H133" s="18"/>
      <c r="I133" s="18"/>
    </row>
    <row r="134" spans="1:9" ht="10.5" x14ac:dyDescent="0.25">
      <c r="A134" s="26"/>
      <c r="B134" s="26"/>
      <c r="C134" s="26"/>
      <c r="D134" s="32"/>
      <c r="E134" s="33"/>
      <c r="F134" s="34"/>
      <c r="G134" s="33"/>
      <c r="H134" s="18"/>
      <c r="I134" s="18"/>
    </row>
    <row r="135" spans="1:9" ht="10.5" x14ac:dyDescent="0.25">
      <c r="A135" s="35" t="s">
        <v>45</v>
      </c>
      <c r="B135" s="35"/>
      <c r="C135" s="35"/>
      <c r="D135" s="36"/>
      <c r="E135" s="37">
        <v>8.9999999999999996E-7</v>
      </c>
      <c r="F135" s="38">
        <v>100</v>
      </c>
      <c r="G135" s="37"/>
      <c r="H135" s="18"/>
      <c r="I135" s="18"/>
    </row>
    <row r="137" spans="1:9" ht="10.5" x14ac:dyDescent="0.25">
      <c r="A137" s="18" t="s">
        <v>47</v>
      </c>
    </row>
    <row r="138" spans="1:9" ht="10.5" x14ac:dyDescent="0.25">
      <c r="A138" s="47" t="s">
        <v>1099</v>
      </c>
    </row>
    <row r="139" spans="1:9" ht="10.5" x14ac:dyDescent="0.25">
      <c r="A139" s="18" t="s">
        <v>1112</v>
      </c>
    </row>
    <row r="140" spans="1:9" s="61" customFormat="1" x14ac:dyDescent="0.2">
      <c r="D140" s="62"/>
      <c r="E140" s="63"/>
      <c r="F140" s="14"/>
      <c r="G140" s="63"/>
    </row>
    <row r="141" spans="1:9" ht="10.5" x14ac:dyDescent="0.25">
      <c r="A141" s="18" t="s">
        <v>48</v>
      </c>
    </row>
    <row r="142" spans="1:9" ht="10.5" x14ac:dyDescent="0.25">
      <c r="A142" s="18" t="s">
        <v>49</v>
      </c>
    </row>
    <row r="143" spans="1:9" ht="10.5" x14ac:dyDescent="0.25">
      <c r="A143" s="18" t="s">
        <v>50</v>
      </c>
      <c r="B143" s="18"/>
      <c r="C143" s="39" t="s">
        <v>1113</v>
      </c>
      <c r="D143" s="19" t="s">
        <v>51</v>
      </c>
    </row>
    <row r="144" spans="1:9" x14ac:dyDescent="0.2">
      <c r="A144" s="9" t="s">
        <v>839</v>
      </c>
      <c r="C144" s="40">
        <v>0</v>
      </c>
      <c r="D144" s="40">
        <v>0</v>
      </c>
    </row>
    <row r="145" spans="1:7" x14ac:dyDescent="0.2">
      <c r="A145" s="9" t="s">
        <v>1203</v>
      </c>
      <c r="C145" s="40">
        <v>0</v>
      </c>
      <c r="D145" s="40">
        <v>0</v>
      </c>
    </row>
    <row r="146" spans="1:7" x14ac:dyDescent="0.2">
      <c r="A146" s="9" t="s">
        <v>841</v>
      </c>
      <c r="C146" s="40">
        <v>0</v>
      </c>
      <c r="D146" s="40">
        <v>0</v>
      </c>
    </row>
    <row r="147" spans="1:7" x14ac:dyDescent="0.2">
      <c r="A147" s="9" t="s">
        <v>842</v>
      </c>
      <c r="C147" s="40">
        <v>0</v>
      </c>
      <c r="D147" s="40">
        <v>0</v>
      </c>
    </row>
    <row r="148" spans="1:7" x14ac:dyDescent="0.2">
      <c r="A148" s="9" t="s">
        <v>1204</v>
      </c>
      <c r="C148" s="40">
        <v>0</v>
      </c>
      <c r="D148" s="40">
        <v>0</v>
      </c>
    </row>
    <row r="149" spans="1:7" x14ac:dyDescent="0.2">
      <c r="A149" s="9" t="s">
        <v>843</v>
      </c>
      <c r="C149" s="40">
        <v>0</v>
      </c>
      <c r="D149" s="40">
        <v>0</v>
      </c>
    </row>
    <row r="150" spans="1:7" x14ac:dyDescent="0.2">
      <c r="A150" s="9" t="s">
        <v>1272</v>
      </c>
      <c r="C150" s="40">
        <v>0</v>
      </c>
      <c r="D150" s="40">
        <v>0</v>
      </c>
    </row>
    <row r="151" spans="1:7" x14ac:dyDescent="0.2">
      <c r="A151" s="9" t="s">
        <v>845</v>
      </c>
      <c r="C151" s="40">
        <v>0</v>
      </c>
      <c r="D151" s="40">
        <v>0</v>
      </c>
    </row>
    <row r="152" spans="1:7" x14ac:dyDescent="0.2">
      <c r="A152" s="9" t="s">
        <v>846</v>
      </c>
      <c r="C152" s="40">
        <v>0</v>
      </c>
      <c r="D152" s="40">
        <v>0</v>
      </c>
    </row>
    <row r="154" spans="1:7" ht="10.5" x14ac:dyDescent="0.25">
      <c r="A154" s="18" t="s">
        <v>1504</v>
      </c>
      <c r="D154" s="41" t="s">
        <v>53</v>
      </c>
    </row>
    <row r="155" spans="1:7" x14ac:dyDescent="0.2">
      <c r="A155" s="9" t="s">
        <v>1100</v>
      </c>
    </row>
    <row r="156" spans="1:7" x14ac:dyDescent="0.2">
      <c r="A156" s="46" t="s">
        <v>1101</v>
      </c>
    </row>
    <row r="157" spans="1:7" x14ac:dyDescent="0.2">
      <c r="A157" s="46"/>
    </row>
    <row r="158" spans="1:7" ht="14.5" customHeight="1" x14ac:dyDescent="0.2">
      <c r="A158" s="73" t="s">
        <v>1114</v>
      </c>
      <c r="B158" s="74"/>
      <c r="C158" s="74"/>
      <c r="D158" s="74"/>
      <c r="E158" s="74"/>
      <c r="F158" s="74"/>
      <c r="G158" s="74"/>
    </row>
    <row r="159" spans="1:7" x14ac:dyDescent="0.2">
      <c r="A159" s="46" t="s">
        <v>55</v>
      </c>
    </row>
    <row r="161" spans="1:9" s="1" customFormat="1" ht="14" x14ac:dyDescent="0.25">
      <c r="A161" s="75" t="s">
        <v>1280</v>
      </c>
      <c r="B161" s="76"/>
      <c r="C161" s="76"/>
      <c r="D161" s="76"/>
      <c r="E161" s="76"/>
      <c r="F161" s="76"/>
      <c r="G161" s="76"/>
    </row>
    <row r="162" spans="1:9" ht="10.5" x14ac:dyDescent="0.25">
      <c r="A162" s="18" t="s">
        <v>7</v>
      </c>
    </row>
    <row r="163" spans="1:9" s="1" customFormat="1" ht="17.5" customHeight="1" x14ac:dyDescent="0.25">
      <c r="A163" s="8" t="s">
        <v>2</v>
      </c>
      <c r="B163" s="8" t="s">
        <v>0</v>
      </c>
      <c r="C163" s="17" t="s">
        <v>749</v>
      </c>
      <c r="D163" s="16" t="s">
        <v>1</v>
      </c>
      <c r="E163" s="15" t="s">
        <v>3</v>
      </c>
      <c r="F163" s="15" t="s">
        <v>4</v>
      </c>
      <c r="G163" s="15" t="s">
        <v>6</v>
      </c>
    </row>
    <row r="164" spans="1:9" ht="10.5" x14ac:dyDescent="0.25">
      <c r="A164" s="21" t="s">
        <v>31</v>
      </c>
      <c r="B164" s="22"/>
      <c r="C164" s="22"/>
      <c r="D164" s="23"/>
      <c r="E164" s="24"/>
      <c r="F164" s="25"/>
      <c r="G164" s="24"/>
    </row>
    <row r="165" spans="1:9" ht="10.5" x14ac:dyDescent="0.25">
      <c r="A165" s="26" t="s">
        <v>32</v>
      </c>
      <c r="B165" s="27"/>
      <c r="C165" s="27"/>
      <c r="D165" s="28"/>
      <c r="E165" s="29"/>
      <c r="F165" s="30"/>
      <c r="G165" s="29"/>
    </row>
    <row r="166" spans="1:9" ht="20" x14ac:dyDescent="0.2">
      <c r="A166" s="27" t="s">
        <v>1116</v>
      </c>
      <c r="B166" s="27" t="s">
        <v>1117</v>
      </c>
      <c r="C166" s="50" t="s">
        <v>1118</v>
      </c>
      <c r="D166" s="31">
        <v>3523</v>
      </c>
      <c r="E166" s="29">
        <v>0</v>
      </c>
      <c r="F166" s="30">
        <v>100</v>
      </c>
      <c r="G166" s="29">
        <v>0</v>
      </c>
    </row>
    <row r="167" spans="1:9" ht="10.5" x14ac:dyDescent="0.25">
      <c r="A167" s="26" t="s">
        <v>40</v>
      </c>
      <c r="B167" s="26"/>
      <c r="C167" s="26"/>
      <c r="D167" s="32"/>
      <c r="E167" s="33">
        <f>SUM(E165:E166)</f>
        <v>0</v>
      </c>
      <c r="F167" s="34">
        <f>SUM(F165:F166)</f>
        <v>100</v>
      </c>
      <c r="G167" s="33"/>
      <c r="H167" s="18"/>
      <c r="I167" s="18"/>
    </row>
    <row r="168" spans="1:9" x14ac:dyDescent="0.2">
      <c r="A168" s="27"/>
      <c r="B168" s="27"/>
      <c r="C168" s="27"/>
      <c r="D168" s="28"/>
      <c r="E168" s="29"/>
      <c r="F168" s="30"/>
      <c r="G168" s="29"/>
    </row>
    <row r="169" spans="1:9" ht="10.5" x14ac:dyDescent="0.25">
      <c r="A169" s="26" t="s">
        <v>44</v>
      </c>
      <c r="B169" s="26"/>
      <c r="C169" s="26"/>
      <c r="D169" s="32"/>
      <c r="E169" s="33">
        <f>E167</f>
        <v>0</v>
      </c>
      <c r="F169" s="34">
        <f>F167</f>
        <v>100</v>
      </c>
      <c r="G169" s="33"/>
      <c r="H169" s="18"/>
      <c r="I169" s="18"/>
    </row>
    <row r="170" spans="1:9" ht="10.5" x14ac:dyDescent="0.25">
      <c r="A170" s="26"/>
      <c r="B170" s="26"/>
      <c r="C170" s="26"/>
      <c r="D170" s="32"/>
      <c r="E170" s="33"/>
      <c r="F170" s="34"/>
      <c r="G170" s="33"/>
      <c r="H170" s="18"/>
      <c r="I170" s="18"/>
    </row>
    <row r="171" spans="1:9" ht="10.5" x14ac:dyDescent="0.25">
      <c r="A171" s="26" t="s">
        <v>46</v>
      </c>
      <c r="B171" s="26"/>
      <c r="C171" s="26"/>
      <c r="D171" s="32"/>
      <c r="E171" s="33">
        <f>E173-(E167)</f>
        <v>8.9999999999999996E-7</v>
      </c>
      <c r="F171" s="34">
        <v>0</v>
      </c>
      <c r="G171" s="33"/>
      <c r="H171" s="18"/>
      <c r="I171" s="18"/>
    </row>
    <row r="172" spans="1:9" ht="10.5" x14ac:dyDescent="0.25">
      <c r="A172" s="26"/>
      <c r="B172" s="26"/>
      <c r="C172" s="26"/>
      <c r="D172" s="32"/>
      <c r="E172" s="33"/>
      <c r="F172" s="34"/>
      <c r="G172" s="33"/>
      <c r="H172" s="18"/>
      <c r="I172" s="18"/>
    </row>
    <row r="173" spans="1:9" ht="10.5" x14ac:dyDescent="0.25">
      <c r="A173" s="35" t="s">
        <v>45</v>
      </c>
      <c r="B173" s="35"/>
      <c r="C173" s="35"/>
      <c r="D173" s="36"/>
      <c r="E173" s="37">
        <v>8.9999999999999996E-7</v>
      </c>
      <c r="F173" s="38">
        <v>100</v>
      </c>
      <c r="G173" s="37"/>
      <c r="H173" s="18"/>
      <c r="I173" s="18"/>
    </row>
    <row r="175" spans="1:9" ht="10.5" x14ac:dyDescent="0.25">
      <c r="A175" s="18" t="s">
        <v>47</v>
      </c>
    </row>
    <row r="176" spans="1:9" ht="10.5" x14ac:dyDescent="0.25">
      <c r="A176" s="18" t="s">
        <v>1099</v>
      </c>
    </row>
    <row r="178" spans="1:4" ht="10.5" x14ac:dyDescent="0.25">
      <c r="A178" s="18" t="s">
        <v>48</v>
      </c>
    </row>
    <row r="179" spans="1:4" ht="10.5" x14ac:dyDescent="0.25">
      <c r="A179" s="18" t="s">
        <v>49</v>
      </c>
    </row>
    <row r="180" spans="1:4" ht="10.5" x14ac:dyDescent="0.25">
      <c r="A180" s="18" t="s">
        <v>50</v>
      </c>
      <c r="B180" s="18"/>
      <c r="C180" s="39" t="s">
        <v>1113</v>
      </c>
      <c r="D180" s="19" t="s">
        <v>51</v>
      </c>
    </row>
    <row r="181" spans="1:4" x14ac:dyDescent="0.2">
      <c r="A181" s="9" t="s">
        <v>839</v>
      </c>
      <c r="C181" s="40">
        <v>0</v>
      </c>
      <c r="D181" s="40">
        <v>0</v>
      </c>
    </row>
    <row r="182" spans="1:4" x14ac:dyDescent="0.2">
      <c r="A182" s="9" t="s">
        <v>1203</v>
      </c>
      <c r="C182" s="40">
        <v>0</v>
      </c>
      <c r="D182" s="40">
        <v>0</v>
      </c>
    </row>
    <row r="183" spans="1:4" x14ac:dyDescent="0.2">
      <c r="A183" s="9" t="s">
        <v>841</v>
      </c>
      <c r="C183" s="40">
        <v>0</v>
      </c>
      <c r="D183" s="40">
        <v>0</v>
      </c>
    </row>
    <row r="184" spans="1:4" x14ac:dyDescent="0.2">
      <c r="A184" s="9" t="s">
        <v>842</v>
      </c>
      <c r="C184" s="40">
        <v>0</v>
      </c>
      <c r="D184" s="40">
        <v>0</v>
      </c>
    </row>
    <row r="185" spans="1:4" x14ac:dyDescent="0.2">
      <c r="A185" s="9" t="s">
        <v>1204</v>
      </c>
      <c r="C185" s="40">
        <v>0</v>
      </c>
      <c r="D185" s="40">
        <v>0</v>
      </c>
    </row>
    <row r="186" spans="1:4" x14ac:dyDescent="0.2">
      <c r="A186" s="9" t="s">
        <v>843</v>
      </c>
      <c r="C186" s="40">
        <v>0</v>
      </c>
      <c r="D186" s="40">
        <v>0</v>
      </c>
    </row>
    <row r="187" spans="1:4" x14ac:dyDescent="0.2">
      <c r="A187" s="9" t="s">
        <v>1272</v>
      </c>
      <c r="C187" s="40">
        <v>0</v>
      </c>
      <c r="D187" s="40">
        <v>0</v>
      </c>
    </row>
    <row r="188" spans="1:4" x14ac:dyDescent="0.2">
      <c r="A188" s="9" t="s">
        <v>845</v>
      </c>
      <c r="C188" s="40">
        <v>0</v>
      </c>
      <c r="D188" s="40">
        <v>0</v>
      </c>
    </row>
    <row r="189" spans="1:4" x14ac:dyDescent="0.2">
      <c r="A189" s="9" t="s">
        <v>846</v>
      </c>
      <c r="C189" s="40">
        <v>0</v>
      </c>
      <c r="D189" s="40">
        <v>0</v>
      </c>
    </row>
    <row r="191" spans="1:4" ht="10.5" x14ac:dyDescent="0.25">
      <c r="A191" s="18" t="s">
        <v>1504</v>
      </c>
      <c r="D191" s="41" t="s">
        <v>53</v>
      </c>
    </row>
    <row r="192" spans="1:4" x14ac:dyDescent="0.2">
      <c r="A192" s="9" t="s">
        <v>1100</v>
      </c>
    </row>
    <row r="193" spans="1:7" x14ac:dyDescent="0.2">
      <c r="A193" s="46" t="s">
        <v>1101</v>
      </c>
    </row>
    <row r="195" spans="1:7" ht="14.5" customHeight="1" x14ac:dyDescent="0.2">
      <c r="A195" s="73" t="s">
        <v>1114</v>
      </c>
      <c r="B195" s="74"/>
      <c r="C195" s="74"/>
      <c r="D195" s="74"/>
      <c r="E195" s="74"/>
      <c r="F195" s="74"/>
      <c r="G195" s="74"/>
    </row>
    <row r="196" spans="1:7" x14ac:dyDescent="0.2">
      <c r="A196" s="46" t="s">
        <v>55</v>
      </c>
    </row>
    <row r="198" spans="1:7" x14ac:dyDescent="0.2">
      <c r="A198" s="46"/>
    </row>
  </sheetData>
  <mergeCells count="10">
    <mergeCell ref="A123:G123"/>
    <mergeCell ref="A158:G158"/>
    <mergeCell ref="A161:G161"/>
    <mergeCell ref="A195:G195"/>
    <mergeCell ref="A1:G1"/>
    <mergeCell ref="A108:G108"/>
    <mergeCell ref="A113:G113"/>
    <mergeCell ref="A115:G115"/>
    <mergeCell ref="A118:G118"/>
    <mergeCell ref="A120:G120"/>
  </mergeCells>
  <conditionalFormatting sqref="F2:F3 F5:F50 F126:F127 F164:F165 F76:F107 F53:F66 F136:F157 F124 F174:F194 F199:F65535 F160 F122 F162">
    <cfRule type="cellIs" dxfId="125" priority="12" stopIfTrue="1" operator="between">
      <formula>0.009</formula>
      <formula>-0.009</formula>
    </cfRule>
  </conditionalFormatting>
  <conditionalFormatting sqref="F109:F112 F117">
    <cfRule type="cellIs" dxfId="124" priority="11" stopIfTrue="1" operator="between">
      <formula>0.009</formula>
      <formula>-0.009</formula>
    </cfRule>
  </conditionalFormatting>
  <conditionalFormatting sqref="F130:F132 F134:F135">
    <cfRule type="cellIs" dxfId="123" priority="10" stopIfTrue="1" operator="between">
      <formula>0.009</formula>
      <formula>-0.009</formula>
    </cfRule>
  </conditionalFormatting>
  <conditionalFormatting sqref="F128:F129">
    <cfRule type="cellIs" dxfId="122" priority="9" stopIfTrue="1" operator="between">
      <formula>0.009</formula>
      <formula>-0.009</formula>
    </cfRule>
  </conditionalFormatting>
  <conditionalFormatting sqref="F168:F170 F172:F173">
    <cfRule type="cellIs" dxfId="121" priority="8" stopIfTrue="1" operator="between">
      <formula>0.009</formula>
      <formula>-0.009</formula>
    </cfRule>
  </conditionalFormatting>
  <conditionalFormatting sqref="F166:F167">
    <cfRule type="cellIs" dxfId="120" priority="7" stopIfTrue="1" operator="between">
      <formula>0.009</formula>
      <formula>-0.009</formula>
    </cfRule>
  </conditionalFormatting>
  <conditionalFormatting sqref="F121">
    <cfRule type="cellIs" dxfId="119" priority="5" stopIfTrue="1" operator="between">
      <formula>0.009</formula>
      <formula>-0.009</formula>
    </cfRule>
  </conditionalFormatting>
  <conditionalFormatting sqref="F196">
    <cfRule type="cellIs" dxfId="118" priority="1" stopIfTrue="1" operator="between">
      <formula>0.009</formula>
      <formula>-0.009</formula>
    </cfRule>
  </conditionalFormatting>
  <conditionalFormatting sqref="F159">
    <cfRule type="cellIs" dxfId="117" priority="3" stopIfTrue="1" operator="between">
      <formula>0.009</formula>
      <formula>-0.009</formula>
    </cfRule>
  </conditionalFormatting>
  <conditionalFormatting sqref="F197:F198">
    <cfRule type="cellIs" dxfId="116" priority="2" stopIfTrue="1" operator="between">
      <formula>0.009</formula>
      <formula>-0.009</formula>
    </cfRule>
  </conditionalFormatting>
  <hyperlinks>
    <hyperlink ref="A106" r:id="rId1" xr:uid="{00000000-0004-0000-0A00-000000000000}"/>
    <hyperlink ref="A111" r:id="rId2" xr:uid="{00000000-0004-0000-0A00-000001000000}"/>
    <hyperlink ref="A156" r:id="rId3" xr:uid="{00000000-0004-0000-0A00-000002000000}"/>
    <hyperlink ref="A193" r:id="rId4" xr:uid="{00000000-0004-0000-0A00-000003000000}"/>
    <hyperlink ref="A116" r:id="rId5" xr:uid="{00000000-0004-0000-0A00-000004000000}"/>
    <hyperlink ref="A121" r:id="rId6" xr:uid="{00000000-0004-0000-0A00-000005000000}"/>
    <hyperlink ref="A159" r:id="rId7" xr:uid="{00000000-0004-0000-0A00-000006000000}"/>
    <hyperlink ref="A196" r:id="rId8" xr:uid="{00000000-0004-0000-0A00-000007000000}"/>
  </hyperlinks>
  <pageMargins left="0.7" right="0.7" top="0.75" bottom="0.75" header="0.3" footer="0.3"/>
  <pageSetup paperSize="9" orientation="portrait" r:id="rId9"/>
  <headerFooter>
    <oddFooter>&amp;LPUBLIC</oddFooter>
    <evenFooter>&amp;LPUBLIC</evenFooter>
    <firstFooter>&amp;LPUBLIC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12"/>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54296875" style="9" bestFit="1" customWidth="1"/>
    <col min="4" max="4" width="15.179687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5" t="s">
        <v>1281</v>
      </c>
      <c r="B1" s="76"/>
      <c r="C1" s="76"/>
      <c r="D1" s="76"/>
      <c r="E1" s="76"/>
      <c r="F1" s="76"/>
      <c r="G1" s="76"/>
    </row>
    <row r="2" spans="1:7" s="1" customFormat="1" ht="11.5" x14ac:dyDescent="0.25">
      <c r="A2" s="56" t="s">
        <v>1023</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1032</v>
      </c>
      <c r="B7" s="27" t="s">
        <v>1033</v>
      </c>
      <c r="C7" s="27" t="s">
        <v>1034</v>
      </c>
      <c r="D7" s="31">
        <v>2797</v>
      </c>
      <c r="E7" s="29">
        <v>25470.516889999999</v>
      </c>
      <c r="F7" s="30">
        <v>14.619630389599999</v>
      </c>
      <c r="G7" s="29">
        <v>11.6662</v>
      </c>
    </row>
    <row r="8" spans="1:7" x14ac:dyDescent="0.2">
      <c r="A8" s="27" t="s">
        <v>873</v>
      </c>
      <c r="B8" s="27" t="s">
        <v>874</v>
      </c>
      <c r="C8" s="27" t="s">
        <v>875</v>
      </c>
      <c r="D8" s="31">
        <v>1910</v>
      </c>
      <c r="E8" s="29">
        <v>21433.829000000002</v>
      </c>
      <c r="F8" s="30">
        <v>12.3026422733068</v>
      </c>
      <c r="G8" s="29">
        <v>7.6942000000000004</v>
      </c>
    </row>
    <row r="9" spans="1:7" x14ac:dyDescent="0.2">
      <c r="A9" s="27" t="s">
        <v>1138</v>
      </c>
      <c r="B9" s="27" t="s">
        <v>1139</v>
      </c>
      <c r="C9" s="27" t="s">
        <v>907</v>
      </c>
      <c r="D9" s="31">
        <v>1550</v>
      </c>
      <c r="E9" s="29">
        <v>15328.7405</v>
      </c>
      <c r="F9" s="30">
        <v>8.7984284502713201</v>
      </c>
      <c r="G9" s="29">
        <v>10.329599999999999</v>
      </c>
    </row>
    <row r="10" spans="1:7" x14ac:dyDescent="0.2">
      <c r="A10" s="27" t="s">
        <v>1282</v>
      </c>
      <c r="B10" s="27" t="s">
        <v>1283</v>
      </c>
      <c r="C10" s="27" t="s">
        <v>1029</v>
      </c>
      <c r="D10" s="31">
        <v>12100</v>
      </c>
      <c r="E10" s="29">
        <v>12174.5844</v>
      </c>
      <c r="F10" s="30">
        <v>6.9879981173397399</v>
      </c>
      <c r="G10" s="29">
        <v>9.7158999999999995</v>
      </c>
    </row>
    <row r="11" spans="1:7" x14ac:dyDescent="0.2">
      <c r="A11" s="27" t="s">
        <v>1284</v>
      </c>
      <c r="B11" s="27" t="s">
        <v>1285</v>
      </c>
      <c r="C11" s="27" t="s">
        <v>1026</v>
      </c>
      <c r="D11" s="31">
        <v>5858</v>
      </c>
      <c r="E11" s="29">
        <v>11608.07221</v>
      </c>
      <c r="F11" s="30">
        <v>6.66283004694795</v>
      </c>
      <c r="G11" s="29">
        <v>10.924200000000001</v>
      </c>
    </row>
    <row r="12" spans="1:7" x14ac:dyDescent="0.2">
      <c r="A12" s="27" t="s">
        <v>1041</v>
      </c>
      <c r="B12" s="27" t="s">
        <v>1042</v>
      </c>
      <c r="C12" s="27" t="s">
        <v>1043</v>
      </c>
      <c r="D12" s="31">
        <v>723</v>
      </c>
      <c r="E12" s="29">
        <v>10107.14235</v>
      </c>
      <c r="F12" s="30">
        <v>5.8013226072410902</v>
      </c>
      <c r="G12" s="29">
        <v>11.164999999999999</v>
      </c>
    </row>
    <row r="13" spans="1:7" x14ac:dyDescent="0.2">
      <c r="A13" s="27" t="s">
        <v>1286</v>
      </c>
      <c r="B13" s="27" t="s">
        <v>1287</v>
      </c>
      <c r="C13" s="27" t="s">
        <v>35</v>
      </c>
      <c r="D13" s="31">
        <v>1000</v>
      </c>
      <c r="E13" s="29">
        <v>9357.4599999999991</v>
      </c>
      <c r="F13" s="30">
        <v>5.3710180745949696</v>
      </c>
      <c r="G13" s="29">
        <v>12.193899999999999</v>
      </c>
    </row>
    <row r="14" spans="1:7" x14ac:dyDescent="0.2">
      <c r="A14" s="27" t="s">
        <v>1027</v>
      </c>
      <c r="B14" s="27" t="s">
        <v>1028</v>
      </c>
      <c r="C14" s="27" t="s">
        <v>1029</v>
      </c>
      <c r="D14" s="31">
        <v>780</v>
      </c>
      <c r="E14" s="29">
        <v>7722.6318000000001</v>
      </c>
      <c r="F14" s="30">
        <v>4.4326553339519297</v>
      </c>
      <c r="G14" s="29">
        <v>18.2819</v>
      </c>
    </row>
    <row r="15" spans="1:7" x14ac:dyDescent="0.2">
      <c r="A15" s="27" t="s">
        <v>1237</v>
      </c>
      <c r="B15" s="27" t="s">
        <v>1238</v>
      </c>
      <c r="C15" s="27" t="s">
        <v>1026</v>
      </c>
      <c r="D15" s="31">
        <v>646</v>
      </c>
      <c r="E15" s="29">
        <v>6506.2342200000003</v>
      </c>
      <c r="F15" s="30">
        <v>3.73446443726912</v>
      </c>
      <c r="G15" s="29">
        <v>10.380800000000001</v>
      </c>
    </row>
    <row r="16" spans="1:7" x14ac:dyDescent="0.2">
      <c r="A16" s="27" t="s">
        <v>1035</v>
      </c>
      <c r="B16" s="27" t="s">
        <v>1036</v>
      </c>
      <c r="C16" s="27" t="s">
        <v>1029</v>
      </c>
      <c r="D16" s="31">
        <v>650</v>
      </c>
      <c r="E16" s="29">
        <v>6428.2855</v>
      </c>
      <c r="F16" s="30">
        <v>3.6897232378398299</v>
      </c>
      <c r="G16" s="29">
        <v>10.1699</v>
      </c>
    </row>
    <row r="17" spans="1:9" x14ac:dyDescent="0.2">
      <c r="A17" s="27" t="s">
        <v>905</v>
      </c>
      <c r="B17" s="27" t="s">
        <v>906</v>
      </c>
      <c r="C17" s="27" t="s">
        <v>907</v>
      </c>
      <c r="D17" s="31">
        <v>620</v>
      </c>
      <c r="E17" s="29">
        <v>6219.4183999999996</v>
      </c>
      <c r="F17" s="30">
        <v>3.5698371822982402</v>
      </c>
      <c r="G17" s="29">
        <v>10.62</v>
      </c>
    </row>
    <row r="18" spans="1:9" x14ac:dyDescent="0.2">
      <c r="A18" s="27" t="s">
        <v>1024</v>
      </c>
      <c r="B18" s="27" t="s">
        <v>1025</v>
      </c>
      <c r="C18" s="27" t="s">
        <v>1026</v>
      </c>
      <c r="D18" s="31">
        <v>501</v>
      </c>
      <c r="E18" s="29">
        <v>5031.7784700000002</v>
      </c>
      <c r="F18" s="30">
        <v>2.88815267281162</v>
      </c>
      <c r="G18" s="29">
        <v>10.2195</v>
      </c>
    </row>
    <row r="19" spans="1:9" x14ac:dyDescent="0.2">
      <c r="A19" s="27" t="s">
        <v>1220</v>
      </c>
      <c r="B19" s="27" t="s">
        <v>1221</v>
      </c>
      <c r="C19" s="27" t="s">
        <v>1048</v>
      </c>
      <c r="D19" s="31">
        <v>4000</v>
      </c>
      <c r="E19" s="29">
        <v>3931.46</v>
      </c>
      <c r="F19" s="30">
        <v>2.2565891512811298</v>
      </c>
      <c r="G19" s="29">
        <v>11.3445</v>
      </c>
    </row>
    <row r="20" spans="1:9" x14ac:dyDescent="0.2">
      <c r="A20" s="27" t="s">
        <v>1239</v>
      </c>
      <c r="B20" s="27" t="s">
        <v>1240</v>
      </c>
      <c r="C20" s="27" t="s">
        <v>1026</v>
      </c>
      <c r="D20" s="31">
        <v>350</v>
      </c>
      <c r="E20" s="29">
        <v>3522.232</v>
      </c>
      <c r="F20" s="30">
        <v>2.02169944994868</v>
      </c>
      <c r="G20" s="29">
        <v>10.380800000000001</v>
      </c>
    </row>
    <row r="21" spans="1:9" x14ac:dyDescent="0.2">
      <c r="A21" s="27" t="s">
        <v>1064</v>
      </c>
      <c r="B21" s="27" t="s">
        <v>1065</v>
      </c>
      <c r="C21" s="27" t="s">
        <v>1026</v>
      </c>
      <c r="D21" s="31">
        <v>240</v>
      </c>
      <c r="E21" s="29">
        <v>2406.8951999999999</v>
      </c>
      <c r="F21" s="30">
        <v>1.38151567015578</v>
      </c>
      <c r="G21" s="29">
        <v>9.9939</v>
      </c>
    </row>
    <row r="22" spans="1:9" x14ac:dyDescent="0.2">
      <c r="A22" s="27" t="s">
        <v>1051</v>
      </c>
      <c r="B22" s="27" t="s">
        <v>1052</v>
      </c>
      <c r="C22" s="27" t="s">
        <v>38</v>
      </c>
      <c r="D22" s="31">
        <v>204</v>
      </c>
      <c r="E22" s="29">
        <v>2177.45928</v>
      </c>
      <c r="F22" s="30">
        <v>1.2498234723498201</v>
      </c>
      <c r="G22" s="29">
        <v>6.2365000000000004</v>
      </c>
    </row>
    <row r="23" spans="1:9" x14ac:dyDescent="0.2">
      <c r="A23" s="27" t="s">
        <v>1068</v>
      </c>
      <c r="B23" s="27" t="s">
        <v>1069</v>
      </c>
      <c r="C23" s="27" t="s">
        <v>35</v>
      </c>
      <c r="D23" s="31">
        <v>200</v>
      </c>
      <c r="E23" s="29">
        <v>2005.5160000000001</v>
      </c>
      <c r="F23" s="30">
        <v>1.1511310424932999</v>
      </c>
      <c r="G23" s="29">
        <v>10.7926</v>
      </c>
    </row>
    <row r="24" spans="1:9" x14ac:dyDescent="0.2">
      <c r="A24" s="27" t="s">
        <v>1037</v>
      </c>
      <c r="B24" s="27" t="s">
        <v>1038</v>
      </c>
      <c r="C24" s="27" t="s">
        <v>1034</v>
      </c>
      <c r="D24" s="31">
        <v>250</v>
      </c>
      <c r="E24" s="29">
        <v>1997.2</v>
      </c>
      <c r="F24" s="30">
        <v>1.1463578042097999</v>
      </c>
      <c r="G24" s="29">
        <v>10.059900000000001</v>
      </c>
    </row>
    <row r="25" spans="1:9" x14ac:dyDescent="0.2">
      <c r="A25" s="27" t="s">
        <v>1288</v>
      </c>
      <c r="B25" s="27" t="s">
        <v>1289</v>
      </c>
      <c r="C25" s="27" t="s">
        <v>1290</v>
      </c>
      <c r="D25" s="31">
        <v>150</v>
      </c>
      <c r="E25" s="29">
        <v>1904.8215</v>
      </c>
      <c r="F25" s="30">
        <v>1.09333416390528</v>
      </c>
      <c r="G25" s="29">
        <v>11.254899999999999</v>
      </c>
    </row>
    <row r="26" spans="1:9" x14ac:dyDescent="0.2">
      <c r="A26" s="27" t="s">
        <v>1053</v>
      </c>
      <c r="B26" s="27" t="s">
        <v>1054</v>
      </c>
      <c r="C26" s="27" t="s">
        <v>1026</v>
      </c>
      <c r="D26" s="31">
        <v>150</v>
      </c>
      <c r="E26" s="29">
        <v>1498.7114999999999</v>
      </c>
      <c r="F26" s="30">
        <v>0.86023413993790299</v>
      </c>
      <c r="G26" s="29">
        <v>10.1844</v>
      </c>
    </row>
    <row r="27" spans="1:9" x14ac:dyDescent="0.2">
      <c r="A27" s="27" t="s">
        <v>1291</v>
      </c>
      <c r="B27" s="27" t="s">
        <v>1292</v>
      </c>
      <c r="C27" s="27" t="s">
        <v>35</v>
      </c>
      <c r="D27" s="31">
        <v>150</v>
      </c>
      <c r="E27" s="29">
        <v>1378.23</v>
      </c>
      <c r="F27" s="30">
        <v>0.79107987006613101</v>
      </c>
      <c r="G27" s="29">
        <v>12.0609</v>
      </c>
    </row>
    <row r="28" spans="1:9" x14ac:dyDescent="0.2">
      <c r="A28" s="27" t="s">
        <v>1070</v>
      </c>
      <c r="B28" s="27" t="s">
        <v>1071</v>
      </c>
      <c r="C28" s="27" t="s">
        <v>1034</v>
      </c>
      <c r="D28" s="31">
        <v>30</v>
      </c>
      <c r="E28" s="29">
        <v>306.08609999999999</v>
      </c>
      <c r="F28" s="30">
        <v>0.17568805802881099</v>
      </c>
      <c r="G28" s="29">
        <v>5.4349999999999996</v>
      </c>
    </row>
    <row r="29" spans="1:9" ht="10.5" x14ac:dyDescent="0.25">
      <c r="A29" s="26" t="s">
        <v>40</v>
      </c>
      <c r="B29" s="26"/>
      <c r="C29" s="26"/>
      <c r="D29" s="32"/>
      <c r="E29" s="33">
        <f>SUM(E6:E28)</f>
        <v>158517.30531999998</v>
      </c>
      <c r="F29" s="34">
        <f>SUM(F6:F28)</f>
        <v>90.986155645849266</v>
      </c>
      <c r="G29" s="33"/>
      <c r="H29" s="18"/>
      <c r="I29" s="18"/>
    </row>
    <row r="30" spans="1:9" x14ac:dyDescent="0.2">
      <c r="A30" s="27"/>
      <c r="B30" s="27"/>
      <c r="C30" s="27"/>
      <c r="D30" s="28"/>
      <c r="E30" s="29"/>
      <c r="F30" s="30"/>
      <c r="G30" s="29"/>
    </row>
    <row r="31" spans="1:9" ht="10.5" x14ac:dyDescent="0.25">
      <c r="A31" s="26" t="s">
        <v>41</v>
      </c>
      <c r="B31" s="27"/>
      <c r="C31" s="27"/>
      <c r="D31" s="28"/>
      <c r="E31" s="29"/>
      <c r="F31" s="30"/>
      <c r="G31" s="29"/>
    </row>
    <row r="32" spans="1:9" x14ac:dyDescent="0.2">
      <c r="A32" s="27" t="s">
        <v>1078</v>
      </c>
      <c r="B32" s="27" t="s">
        <v>1079</v>
      </c>
      <c r="C32" s="27" t="s">
        <v>1077</v>
      </c>
      <c r="D32" s="31">
        <v>770</v>
      </c>
      <c r="E32" s="29">
        <v>6552.4894569999997</v>
      </c>
      <c r="F32" s="30">
        <v>3.7610141328031301</v>
      </c>
      <c r="G32" s="29">
        <v>11.6846</v>
      </c>
    </row>
    <row r="33" spans="1:9" x14ac:dyDescent="0.2">
      <c r="A33" s="27" t="s">
        <v>1086</v>
      </c>
      <c r="B33" s="27" t="s">
        <v>1087</v>
      </c>
      <c r="C33" s="27" t="s">
        <v>1074</v>
      </c>
      <c r="D33" s="31">
        <v>370</v>
      </c>
      <c r="E33" s="29">
        <v>3847.3746999999998</v>
      </c>
      <c r="F33" s="30">
        <v>2.2083256624596199</v>
      </c>
      <c r="G33" s="29">
        <v>7.5049999999999999</v>
      </c>
    </row>
    <row r="34" spans="1:9" x14ac:dyDescent="0.2">
      <c r="A34" s="27" t="s">
        <v>1252</v>
      </c>
      <c r="B34" s="27" t="s">
        <v>1253</v>
      </c>
      <c r="C34" s="27" t="s">
        <v>1226</v>
      </c>
      <c r="D34" s="31">
        <v>300</v>
      </c>
      <c r="E34" s="29">
        <v>2922.51</v>
      </c>
      <c r="F34" s="30">
        <v>1.67746953053334</v>
      </c>
      <c r="G34" s="29">
        <v>12.8249</v>
      </c>
    </row>
    <row r="35" spans="1:9" x14ac:dyDescent="0.2">
      <c r="A35" s="27" t="s">
        <v>1090</v>
      </c>
      <c r="B35" s="27" t="s">
        <v>1091</v>
      </c>
      <c r="C35" s="27" t="s">
        <v>1077</v>
      </c>
      <c r="D35" s="31">
        <v>250</v>
      </c>
      <c r="E35" s="29">
        <v>2193.5401099999999</v>
      </c>
      <c r="F35" s="30">
        <v>1.25905358699466</v>
      </c>
      <c r="G35" s="29">
        <v>11.6874</v>
      </c>
    </row>
    <row r="36" spans="1:9" x14ac:dyDescent="0.2">
      <c r="A36" s="27" t="s">
        <v>1075</v>
      </c>
      <c r="B36" s="27" t="s">
        <v>1076</v>
      </c>
      <c r="C36" s="27" t="s">
        <v>1077</v>
      </c>
      <c r="D36" s="31">
        <v>110</v>
      </c>
      <c r="E36" s="29">
        <v>985.94125880000001</v>
      </c>
      <c r="F36" s="30">
        <v>0.56591300646796405</v>
      </c>
      <c r="G36" s="29">
        <v>11.6874</v>
      </c>
    </row>
    <row r="37" spans="1:9" x14ac:dyDescent="0.2">
      <c r="A37" s="27" t="s">
        <v>1088</v>
      </c>
      <c r="B37" s="27" t="s">
        <v>1089</v>
      </c>
      <c r="C37" s="27" t="s">
        <v>1074</v>
      </c>
      <c r="D37" s="31">
        <v>10</v>
      </c>
      <c r="E37" s="29">
        <v>980.44496000000004</v>
      </c>
      <c r="F37" s="30">
        <v>0.56275822726525604</v>
      </c>
      <c r="G37" s="29">
        <v>7.97</v>
      </c>
    </row>
    <row r="38" spans="1:9" x14ac:dyDescent="0.2">
      <c r="A38" s="27" t="s">
        <v>1080</v>
      </c>
      <c r="B38" s="27" t="s">
        <v>1081</v>
      </c>
      <c r="C38" s="27" t="s">
        <v>1082</v>
      </c>
      <c r="D38" s="31">
        <v>50</v>
      </c>
      <c r="E38" s="29">
        <v>473.2595</v>
      </c>
      <c r="F38" s="30">
        <v>0.27164266034519802</v>
      </c>
      <c r="G38" s="29">
        <v>12.19</v>
      </c>
    </row>
    <row r="39" spans="1:9" x14ac:dyDescent="0.2">
      <c r="A39" s="27" t="s">
        <v>1092</v>
      </c>
      <c r="B39" s="27" t="s">
        <v>1093</v>
      </c>
      <c r="C39" s="27" t="s">
        <v>1094</v>
      </c>
      <c r="D39" s="31">
        <v>1400</v>
      </c>
      <c r="E39" s="29">
        <v>0</v>
      </c>
      <c r="F39" s="29">
        <v>0</v>
      </c>
      <c r="G39" s="29">
        <v>0</v>
      </c>
    </row>
    <row r="40" spans="1:9" x14ac:dyDescent="0.2">
      <c r="A40" s="27" t="s">
        <v>1095</v>
      </c>
      <c r="B40" s="27" t="s">
        <v>1096</v>
      </c>
      <c r="C40" s="27" t="s">
        <v>1094</v>
      </c>
      <c r="D40" s="31">
        <v>688</v>
      </c>
      <c r="E40" s="29">
        <v>0</v>
      </c>
      <c r="F40" s="29">
        <v>0</v>
      </c>
      <c r="G40" s="29">
        <v>0</v>
      </c>
    </row>
    <row r="41" spans="1:9" x14ac:dyDescent="0.2">
      <c r="A41" s="27" t="s">
        <v>1293</v>
      </c>
      <c r="B41" s="27" t="s">
        <v>1294</v>
      </c>
      <c r="C41" s="27" t="s">
        <v>1094</v>
      </c>
      <c r="D41" s="31">
        <v>400</v>
      </c>
      <c r="E41" s="29">
        <v>0</v>
      </c>
      <c r="F41" s="29">
        <v>0</v>
      </c>
      <c r="G41" s="29">
        <v>0</v>
      </c>
    </row>
    <row r="42" spans="1:9" ht="10.5" x14ac:dyDescent="0.25">
      <c r="A42" s="26" t="s">
        <v>40</v>
      </c>
      <c r="B42" s="26"/>
      <c r="C42" s="26"/>
      <c r="D42" s="32"/>
      <c r="E42" s="33">
        <f>SUM(E31:E41)</f>
        <v>17955.559985800002</v>
      </c>
      <c r="F42" s="34">
        <f>SUM(F31:F41)</f>
        <v>10.306176806869168</v>
      </c>
      <c r="G42" s="33"/>
      <c r="H42" s="18"/>
      <c r="I42" s="18"/>
    </row>
    <row r="43" spans="1:9" x14ac:dyDescent="0.2">
      <c r="A43" s="27"/>
      <c r="B43" s="27"/>
      <c r="C43" s="27"/>
      <c r="D43" s="28"/>
      <c r="E43" s="29"/>
      <c r="F43" s="30"/>
      <c r="G43" s="29"/>
    </row>
    <row r="44" spans="1:9" ht="10.5" x14ac:dyDescent="0.25">
      <c r="A44" s="26" t="s">
        <v>44</v>
      </c>
      <c r="B44" s="26"/>
      <c r="C44" s="26"/>
      <c r="D44" s="32"/>
      <c r="E44" s="33">
        <f>E29+E42</f>
        <v>176472.86530579999</v>
      </c>
      <c r="F44" s="34">
        <f>F29+F42</f>
        <v>101.29233245271843</v>
      </c>
      <c r="G44" s="33"/>
      <c r="H44" s="18"/>
      <c r="I44" s="18"/>
    </row>
    <row r="45" spans="1:9" ht="10.5" x14ac:dyDescent="0.25">
      <c r="A45" s="26"/>
      <c r="B45" s="26"/>
      <c r="C45" s="26"/>
      <c r="D45" s="32"/>
      <c r="E45" s="33"/>
      <c r="F45" s="34"/>
      <c r="G45" s="33"/>
      <c r="H45" s="18"/>
      <c r="I45" s="18"/>
    </row>
    <row r="46" spans="1:9" ht="10.5" x14ac:dyDescent="0.25">
      <c r="A46" s="26" t="s">
        <v>46</v>
      </c>
      <c r="B46" s="26"/>
      <c r="C46" s="26"/>
      <c r="D46" s="32"/>
      <c r="E46" s="33">
        <f>E48-(E29+E42)</f>
        <v>-2251.5189978999842</v>
      </c>
      <c r="F46" s="34">
        <f>F48-(F29+F42)</f>
        <v>-1.2923324527184263</v>
      </c>
      <c r="G46" s="33"/>
      <c r="H46" s="18"/>
      <c r="I46" s="18"/>
    </row>
    <row r="47" spans="1:9" ht="10.5" x14ac:dyDescent="0.25">
      <c r="A47" s="26"/>
      <c r="B47" s="26"/>
      <c r="C47" s="26"/>
      <c r="D47" s="32"/>
      <c r="E47" s="33"/>
      <c r="F47" s="34"/>
      <c r="G47" s="33"/>
      <c r="H47" s="18"/>
      <c r="I47" s="18"/>
    </row>
    <row r="48" spans="1:9" ht="10.5" x14ac:dyDescent="0.25">
      <c r="A48" s="35" t="s">
        <v>45</v>
      </c>
      <c r="B48" s="35"/>
      <c r="C48" s="35"/>
      <c r="D48" s="36"/>
      <c r="E48" s="37">
        <v>174221.34630790001</v>
      </c>
      <c r="F48" s="38">
        <v>100</v>
      </c>
      <c r="G48" s="37"/>
      <c r="H48" s="18"/>
      <c r="I48" s="18"/>
    </row>
    <row r="49" spans="1:6" ht="10.5" x14ac:dyDescent="0.25">
      <c r="F49" s="20"/>
    </row>
    <row r="50" spans="1:6" ht="10.5" x14ac:dyDescent="0.25">
      <c r="A50" s="18" t="s">
        <v>47</v>
      </c>
    </row>
    <row r="51" spans="1:6" ht="10.5" x14ac:dyDescent="0.25">
      <c r="A51" s="18" t="s">
        <v>1099</v>
      </c>
    </row>
    <row r="52" spans="1:6" ht="10.5" x14ac:dyDescent="0.25">
      <c r="A52" s="18"/>
    </row>
    <row r="53" spans="1:6" ht="10.5" x14ac:dyDescent="0.25">
      <c r="A53" s="18" t="s">
        <v>48</v>
      </c>
    </row>
    <row r="54" spans="1:6" ht="10.5" x14ac:dyDescent="0.25">
      <c r="A54" s="18" t="s">
        <v>49</v>
      </c>
    </row>
    <row r="55" spans="1:6" ht="10.5" x14ac:dyDescent="0.25">
      <c r="A55" s="18" t="s">
        <v>50</v>
      </c>
      <c r="B55" s="18"/>
      <c r="C55" s="41" t="s">
        <v>727</v>
      </c>
      <c r="D55" s="19" t="s">
        <v>51</v>
      </c>
    </row>
    <row r="56" spans="1:6" x14ac:dyDescent="0.2">
      <c r="A56" s="9" t="s">
        <v>71</v>
      </c>
      <c r="C56" s="40">
        <v>20.903600000000001</v>
      </c>
      <c r="D56" s="40">
        <v>22.1845</v>
      </c>
    </row>
    <row r="57" spans="1:6" x14ac:dyDescent="0.2">
      <c r="A57" s="9" t="s">
        <v>77</v>
      </c>
      <c r="C57" s="40">
        <v>9.6908999999999992</v>
      </c>
      <c r="D57" s="40">
        <v>10.284800000000001</v>
      </c>
    </row>
    <row r="58" spans="1:6" x14ac:dyDescent="0.2">
      <c r="A58" s="9" t="s">
        <v>74</v>
      </c>
      <c r="C58" s="40">
        <v>22.185400000000001</v>
      </c>
      <c r="D58" s="40">
        <v>23.6249</v>
      </c>
    </row>
    <row r="59" spans="1:6" x14ac:dyDescent="0.2">
      <c r="A59" s="9" t="s">
        <v>78</v>
      </c>
      <c r="C59" s="40">
        <v>10.418799999999999</v>
      </c>
      <c r="D59" s="40">
        <v>11.094799999999999</v>
      </c>
    </row>
    <row r="61" spans="1:6" ht="10.5" x14ac:dyDescent="0.25">
      <c r="A61" s="18" t="s">
        <v>52</v>
      </c>
      <c r="D61" s="41" t="s">
        <v>53</v>
      </c>
    </row>
    <row r="63" spans="1:6" ht="10.5" x14ac:dyDescent="0.25">
      <c r="A63" s="18" t="s">
        <v>798</v>
      </c>
      <c r="D63" s="42">
        <v>4.0176272910137003</v>
      </c>
      <c r="E63" s="13" t="s">
        <v>54</v>
      </c>
    </row>
    <row r="65" spans="1:7" ht="10.5" x14ac:dyDescent="0.25">
      <c r="A65" s="18" t="s">
        <v>1503</v>
      </c>
      <c r="D65" s="41" t="s">
        <v>53</v>
      </c>
    </row>
    <row r="66" spans="1:7" x14ac:dyDescent="0.2">
      <c r="A66" s="9" t="s">
        <v>1100</v>
      </c>
    </row>
    <row r="67" spans="1:7" x14ac:dyDescent="0.2">
      <c r="A67" s="46" t="s">
        <v>1101</v>
      </c>
    </row>
    <row r="68" spans="1:7" x14ac:dyDescent="0.2">
      <c r="A68" s="46"/>
    </row>
    <row r="69" spans="1:7" ht="36" customHeight="1" x14ac:dyDescent="0.2">
      <c r="A69" s="81" t="s">
        <v>1295</v>
      </c>
      <c r="B69" s="81"/>
      <c r="C69" s="81"/>
      <c r="D69" s="81"/>
      <c r="E69" s="81"/>
      <c r="F69" s="81"/>
      <c r="G69" s="81"/>
    </row>
    <row r="70" spans="1:7" ht="10.5" x14ac:dyDescent="0.2">
      <c r="A70" s="57"/>
      <c r="B70" s="57"/>
      <c r="C70" s="57"/>
      <c r="D70" s="57"/>
      <c r="E70" s="57"/>
      <c r="F70" s="57"/>
      <c r="G70" s="57"/>
    </row>
    <row r="71" spans="1:7" ht="36" customHeight="1" x14ac:dyDescent="0.2">
      <c r="A71" s="81" t="s">
        <v>1296</v>
      </c>
      <c r="B71" s="81"/>
      <c r="C71" s="81"/>
      <c r="D71" s="81"/>
      <c r="E71" s="81"/>
      <c r="F71" s="81"/>
      <c r="G71" s="81"/>
    </row>
    <row r="72" spans="1:7" ht="10.5" x14ac:dyDescent="0.2">
      <c r="A72" s="55" t="s">
        <v>1105</v>
      </c>
      <c r="B72" s="57"/>
      <c r="C72" s="57"/>
      <c r="D72" s="57"/>
      <c r="E72" s="57"/>
      <c r="F72" s="57"/>
      <c r="G72" s="57"/>
    </row>
    <row r="74" spans="1:7" ht="27" customHeight="1" x14ac:dyDescent="0.2">
      <c r="A74" s="82" t="s">
        <v>1156</v>
      </c>
      <c r="B74" s="82"/>
      <c r="C74" s="82"/>
      <c r="D74" s="82"/>
      <c r="E74" s="82"/>
      <c r="F74" s="82"/>
      <c r="G74" s="82"/>
    </row>
    <row r="75" spans="1:7" ht="10.5" x14ac:dyDescent="0.2">
      <c r="A75" s="58"/>
      <c r="B75" s="58"/>
      <c r="C75" s="58"/>
      <c r="D75" s="58"/>
      <c r="E75" s="58"/>
      <c r="F75" s="58"/>
      <c r="G75" s="58"/>
    </row>
    <row r="76" spans="1:7" ht="15" customHeight="1" x14ac:dyDescent="0.2">
      <c r="A76" s="73" t="s">
        <v>1157</v>
      </c>
      <c r="B76" s="74"/>
      <c r="C76" s="74"/>
      <c r="D76" s="74"/>
      <c r="E76" s="74"/>
      <c r="F76" s="74"/>
      <c r="G76" s="74"/>
    </row>
    <row r="77" spans="1:7" x14ac:dyDescent="0.2">
      <c r="A77" s="46" t="s">
        <v>55</v>
      </c>
    </row>
    <row r="79" spans="1:7" s="1" customFormat="1" ht="14" x14ac:dyDescent="0.25">
      <c r="A79" s="75" t="s">
        <v>1297</v>
      </c>
      <c r="B79" s="76"/>
      <c r="C79" s="76"/>
      <c r="D79" s="76"/>
      <c r="E79" s="76"/>
      <c r="F79" s="76"/>
      <c r="G79" s="76"/>
    </row>
    <row r="80" spans="1:7" ht="10.5" x14ac:dyDescent="0.25">
      <c r="A80" s="18" t="s">
        <v>7</v>
      </c>
    </row>
    <row r="81" spans="1:9" s="1" customFormat="1" ht="17.5" customHeight="1" x14ac:dyDescent="0.25">
      <c r="A81" s="8" t="s">
        <v>2</v>
      </c>
      <c r="B81" s="8" t="s">
        <v>0</v>
      </c>
      <c r="C81" s="17" t="s">
        <v>749</v>
      </c>
      <c r="D81" s="16" t="s">
        <v>1</v>
      </c>
      <c r="E81" s="15" t="s">
        <v>3</v>
      </c>
      <c r="F81" s="15" t="s">
        <v>4</v>
      </c>
      <c r="G81" s="15" t="s">
        <v>6</v>
      </c>
    </row>
    <row r="82" spans="1:9" ht="10.5" x14ac:dyDescent="0.25">
      <c r="A82" s="21" t="s">
        <v>31</v>
      </c>
      <c r="B82" s="22"/>
      <c r="C82" s="22"/>
      <c r="D82" s="23"/>
      <c r="E82" s="24"/>
      <c r="F82" s="25"/>
      <c r="G82" s="24"/>
    </row>
    <row r="83" spans="1:9" ht="10.5" x14ac:dyDescent="0.25">
      <c r="A83" s="26" t="s">
        <v>32</v>
      </c>
      <c r="B83" s="27"/>
      <c r="C83" s="27"/>
      <c r="D83" s="28"/>
      <c r="E83" s="29"/>
      <c r="F83" s="30"/>
      <c r="G83" s="29"/>
    </row>
    <row r="84" spans="1:9" x14ac:dyDescent="0.2">
      <c r="A84" s="27" t="s">
        <v>1109</v>
      </c>
      <c r="B84" s="27" t="s">
        <v>1110</v>
      </c>
      <c r="C84" s="27" t="s">
        <v>1111</v>
      </c>
      <c r="D84" s="31">
        <v>1450</v>
      </c>
      <c r="E84" s="29">
        <v>0</v>
      </c>
      <c r="F84" s="30">
        <v>100</v>
      </c>
      <c r="G84" s="29">
        <v>0</v>
      </c>
    </row>
    <row r="85" spans="1:9" ht="10.5" x14ac:dyDescent="0.25">
      <c r="A85" s="26" t="s">
        <v>40</v>
      </c>
      <c r="B85" s="26"/>
      <c r="C85" s="26"/>
      <c r="D85" s="32"/>
      <c r="E85" s="33">
        <f>SUM(E83:E84)</f>
        <v>0</v>
      </c>
      <c r="F85" s="34">
        <v>100</v>
      </c>
      <c r="G85" s="33"/>
      <c r="H85" s="18"/>
      <c r="I85" s="18"/>
    </row>
    <row r="86" spans="1:9" x14ac:dyDescent="0.2">
      <c r="A86" s="27"/>
      <c r="B86" s="27"/>
      <c r="C86" s="27"/>
      <c r="D86" s="28"/>
      <c r="E86" s="29"/>
      <c r="F86" s="30"/>
      <c r="G86" s="29"/>
    </row>
    <row r="87" spans="1:9" ht="10.5" x14ac:dyDescent="0.25">
      <c r="A87" s="26" t="s">
        <v>44</v>
      </c>
      <c r="B87" s="26"/>
      <c r="C87" s="26"/>
      <c r="D87" s="32"/>
      <c r="E87" s="33">
        <f>E85</f>
        <v>0</v>
      </c>
      <c r="F87" s="34">
        <f>F85</f>
        <v>100</v>
      </c>
      <c r="G87" s="33"/>
      <c r="H87" s="18"/>
      <c r="I87" s="18"/>
    </row>
    <row r="88" spans="1:9" ht="10.5" x14ac:dyDescent="0.25">
      <c r="A88" s="26"/>
      <c r="B88" s="26"/>
      <c r="C88" s="26"/>
      <c r="D88" s="32"/>
      <c r="E88" s="33"/>
      <c r="F88" s="34"/>
      <c r="G88" s="33"/>
      <c r="H88" s="18"/>
      <c r="I88" s="18"/>
    </row>
    <row r="89" spans="1:9" ht="10.5" x14ac:dyDescent="0.25">
      <c r="A89" s="26" t="s">
        <v>46</v>
      </c>
      <c r="B89" s="26"/>
      <c r="C89" s="26"/>
      <c r="D89" s="32"/>
      <c r="E89" s="33">
        <f>E91-(E85)</f>
        <v>3.9999999999999998E-7</v>
      </c>
      <c r="F89" s="34">
        <v>0</v>
      </c>
      <c r="G89" s="33"/>
      <c r="H89" s="18"/>
      <c r="I89" s="18"/>
    </row>
    <row r="90" spans="1:9" ht="10.5" x14ac:dyDescent="0.25">
      <c r="A90" s="26"/>
      <c r="B90" s="26"/>
      <c r="C90" s="26"/>
      <c r="D90" s="32"/>
      <c r="E90" s="33"/>
      <c r="F90" s="34"/>
      <c r="G90" s="33"/>
      <c r="H90" s="18"/>
      <c r="I90" s="18"/>
    </row>
    <row r="91" spans="1:9" ht="10.5" x14ac:dyDescent="0.25">
      <c r="A91" s="35" t="s">
        <v>45</v>
      </c>
      <c r="B91" s="35"/>
      <c r="C91" s="35"/>
      <c r="D91" s="36"/>
      <c r="E91" s="37">
        <v>3.9999999999999998E-7</v>
      </c>
      <c r="F91" s="38">
        <v>100</v>
      </c>
      <c r="G91" s="37"/>
      <c r="H91" s="18"/>
      <c r="I91" s="18"/>
    </row>
    <row r="93" spans="1:9" ht="10.5" x14ac:dyDescent="0.25">
      <c r="A93" s="18" t="s">
        <v>47</v>
      </c>
    </row>
    <row r="94" spans="1:9" ht="10.5" x14ac:dyDescent="0.25">
      <c r="A94" s="47" t="s">
        <v>1099</v>
      </c>
    </row>
    <row r="95" spans="1:9" ht="10.5" x14ac:dyDescent="0.25">
      <c r="A95" s="18" t="s">
        <v>1112</v>
      </c>
    </row>
    <row r="97" spans="1:7" ht="10.5" x14ac:dyDescent="0.25">
      <c r="A97" s="18" t="s">
        <v>48</v>
      </c>
    </row>
    <row r="98" spans="1:7" ht="10.5" x14ac:dyDescent="0.25">
      <c r="A98" s="18" t="s">
        <v>49</v>
      </c>
    </row>
    <row r="99" spans="1:7" ht="10.5" x14ac:dyDescent="0.25">
      <c r="A99" s="18" t="s">
        <v>50</v>
      </c>
      <c r="B99" s="18"/>
      <c r="C99" s="39" t="s">
        <v>1113</v>
      </c>
      <c r="D99" s="19" t="s">
        <v>51</v>
      </c>
    </row>
    <row r="100" spans="1:7" x14ac:dyDescent="0.2">
      <c r="A100" s="9" t="s">
        <v>71</v>
      </c>
      <c r="C100" s="40">
        <v>0</v>
      </c>
      <c r="D100" s="40">
        <v>0</v>
      </c>
    </row>
    <row r="101" spans="1:7" x14ac:dyDescent="0.2">
      <c r="A101" s="9" t="s">
        <v>77</v>
      </c>
      <c r="C101" s="40">
        <v>0</v>
      </c>
      <c r="D101" s="40">
        <v>0</v>
      </c>
    </row>
    <row r="102" spans="1:7" x14ac:dyDescent="0.2">
      <c r="A102" s="9" t="s">
        <v>74</v>
      </c>
      <c r="C102" s="40">
        <v>0</v>
      </c>
      <c r="D102" s="40">
        <v>0</v>
      </c>
    </row>
    <row r="103" spans="1:7" x14ac:dyDescent="0.2">
      <c r="A103" s="9" t="s">
        <v>78</v>
      </c>
      <c r="C103" s="40">
        <v>0</v>
      </c>
      <c r="D103" s="40">
        <v>0</v>
      </c>
    </row>
    <row r="105" spans="1:7" ht="10.5" x14ac:dyDescent="0.25">
      <c r="A105" s="18" t="s">
        <v>1504</v>
      </c>
      <c r="D105" s="41" t="s">
        <v>53</v>
      </c>
    </row>
    <row r="106" spans="1:7" x14ac:dyDescent="0.2">
      <c r="A106" s="9" t="s">
        <v>1100</v>
      </c>
    </row>
    <row r="107" spans="1:7" x14ac:dyDescent="0.2">
      <c r="A107" s="46" t="s">
        <v>1101</v>
      </c>
    </row>
    <row r="109" spans="1:7" ht="15" customHeight="1" x14ac:dyDescent="0.2">
      <c r="A109" s="73" t="s">
        <v>1114</v>
      </c>
      <c r="B109" s="74"/>
      <c r="C109" s="74"/>
      <c r="D109" s="74"/>
      <c r="E109" s="74"/>
      <c r="F109" s="74"/>
      <c r="G109" s="74"/>
    </row>
    <row r="110" spans="1:7" x14ac:dyDescent="0.2">
      <c r="A110" s="46" t="s">
        <v>55</v>
      </c>
    </row>
    <row r="112" spans="1:7" x14ac:dyDescent="0.2">
      <c r="A112" s="46"/>
    </row>
  </sheetData>
  <mergeCells count="7">
    <mergeCell ref="A109:G109"/>
    <mergeCell ref="A1:G1"/>
    <mergeCell ref="A69:G69"/>
    <mergeCell ref="A71:G71"/>
    <mergeCell ref="A74:G74"/>
    <mergeCell ref="A76:G76"/>
    <mergeCell ref="A79:G79"/>
  </mergeCells>
  <conditionalFormatting sqref="F2:F3 F5:F38 F82:F83 F42:F68 F78 F80 F92:F108 F113:F65535">
    <cfRule type="cellIs" dxfId="115" priority="7" stopIfTrue="1" operator="between">
      <formula>0.009</formula>
      <formula>-0.009</formula>
    </cfRule>
  </conditionalFormatting>
  <conditionalFormatting sqref="F73">
    <cfRule type="cellIs" dxfId="114" priority="6" stopIfTrue="1" operator="between">
      <formula>0.009</formula>
      <formula>-0.009</formula>
    </cfRule>
  </conditionalFormatting>
  <conditionalFormatting sqref="F84:F88 F90:F91">
    <cfRule type="cellIs" dxfId="113" priority="5" stopIfTrue="1" operator="between">
      <formula>0.009</formula>
      <formula>-0.009</formula>
    </cfRule>
  </conditionalFormatting>
  <conditionalFormatting sqref="F77">
    <cfRule type="cellIs" dxfId="112" priority="3" stopIfTrue="1" operator="between">
      <formula>0.009</formula>
      <formula>-0.009</formula>
    </cfRule>
  </conditionalFormatting>
  <conditionalFormatting sqref="F110">
    <cfRule type="cellIs" dxfId="111" priority="1" stopIfTrue="1" operator="between">
      <formula>0.009</formula>
      <formula>-0.009</formula>
    </cfRule>
  </conditionalFormatting>
  <conditionalFormatting sqref="F111:F112">
    <cfRule type="cellIs" dxfId="110" priority="2" stopIfTrue="1" operator="between">
      <formula>0.009</formula>
      <formula>-0.009</formula>
    </cfRule>
  </conditionalFormatting>
  <hyperlinks>
    <hyperlink ref="A67" r:id="rId1" xr:uid="{00000000-0004-0000-0B00-000000000000}"/>
    <hyperlink ref="A107" r:id="rId2" xr:uid="{00000000-0004-0000-0B00-000001000000}"/>
    <hyperlink ref="A72" r:id="rId3" xr:uid="{00000000-0004-0000-0B00-000002000000}"/>
    <hyperlink ref="A77" r:id="rId4" xr:uid="{00000000-0004-0000-0B00-000003000000}"/>
    <hyperlink ref="A110" r:id="rId5" xr:uid="{00000000-0004-0000-0B00-000004000000}"/>
  </hyperlinks>
  <pageMargins left="0.7" right="0.7" top="0.75" bottom="0.75" header="0.3" footer="0.3"/>
  <pageSetup paperSize="9" orientation="portrait" r:id="rId6"/>
  <headerFooter>
    <oddFooter>&amp;LPUBLIC</oddFooter>
    <evenFooter>&amp;LPUBLIC</evenFooter>
    <firstFooter>&amp;LPUBLIC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63"/>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54296875" style="9" bestFit="1" customWidth="1"/>
    <col min="4" max="4" width="15.179687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5" t="s">
        <v>1298</v>
      </c>
      <c r="B1" s="76"/>
      <c r="C1" s="76"/>
      <c r="D1" s="76"/>
      <c r="E1" s="76"/>
      <c r="F1" s="76"/>
      <c r="G1" s="76"/>
    </row>
    <row r="2" spans="1:7" s="1" customFormat="1" ht="11.5" x14ac:dyDescent="0.25">
      <c r="A2" s="56" t="s">
        <v>1023</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905</v>
      </c>
      <c r="B7" s="27" t="s">
        <v>906</v>
      </c>
      <c r="C7" s="27" t="s">
        <v>907</v>
      </c>
      <c r="D7" s="31">
        <v>3930</v>
      </c>
      <c r="E7" s="29">
        <v>39423.087599999999</v>
      </c>
      <c r="F7" s="30">
        <v>10.746944343780701</v>
      </c>
      <c r="G7" s="29">
        <v>10.62</v>
      </c>
    </row>
    <row r="8" spans="1:7" x14ac:dyDescent="0.2">
      <c r="A8" s="27" t="s">
        <v>1227</v>
      </c>
      <c r="B8" s="27" t="s">
        <v>1228</v>
      </c>
      <c r="C8" s="27" t="s">
        <v>1026</v>
      </c>
      <c r="D8" s="31">
        <v>10140</v>
      </c>
      <c r="E8" s="29">
        <v>20575.540440000001</v>
      </c>
      <c r="F8" s="30">
        <v>5.6090022728683797</v>
      </c>
      <c r="G8" s="29">
        <v>10.3324</v>
      </c>
    </row>
    <row r="9" spans="1:7" x14ac:dyDescent="0.2">
      <c r="A9" s="27" t="s">
        <v>1037</v>
      </c>
      <c r="B9" s="27" t="s">
        <v>1038</v>
      </c>
      <c r="C9" s="27" t="s">
        <v>1034</v>
      </c>
      <c r="D9" s="31">
        <v>2125</v>
      </c>
      <c r="E9" s="29">
        <v>16976.2</v>
      </c>
      <c r="F9" s="30">
        <v>4.6278028352322602</v>
      </c>
      <c r="G9" s="29">
        <v>10.059900000000001</v>
      </c>
    </row>
    <row r="10" spans="1:7" x14ac:dyDescent="0.2">
      <c r="A10" s="27" t="s">
        <v>873</v>
      </c>
      <c r="B10" s="27" t="s">
        <v>874</v>
      </c>
      <c r="C10" s="27" t="s">
        <v>875</v>
      </c>
      <c r="D10" s="31">
        <v>1150</v>
      </c>
      <c r="E10" s="29">
        <v>12905.184999999999</v>
      </c>
      <c r="F10" s="30">
        <v>3.51802239206636</v>
      </c>
      <c r="G10" s="29">
        <v>7.6942000000000004</v>
      </c>
    </row>
    <row r="11" spans="1:7" x14ac:dyDescent="0.2">
      <c r="A11" s="27" t="s">
        <v>1030</v>
      </c>
      <c r="B11" s="27" t="s">
        <v>1031</v>
      </c>
      <c r="C11" s="27" t="s">
        <v>1026</v>
      </c>
      <c r="D11" s="31">
        <v>5580</v>
      </c>
      <c r="E11" s="29">
        <v>11222.272800000001</v>
      </c>
      <c r="F11" s="30">
        <v>3.0592515334167798</v>
      </c>
      <c r="G11" s="29">
        <v>10.592599999999999</v>
      </c>
    </row>
    <row r="12" spans="1:7" x14ac:dyDescent="0.2">
      <c r="A12" s="27" t="s">
        <v>1138</v>
      </c>
      <c r="B12" s="27" t="s">
        <v>1139</v>
      </c>
      <c r="C12" s="27" t="s">
        <v>907</v>
      </c>
      <c r="D12" s="31">
        <v>1000</v>
      </c>
      <c r="E12" s="29">
        <v>9889.51</v>
      </c>
      <c r="F12" s="30">
        <v>2.6959332722904898</v>
      </c>
      <c r="G12" s="29">
        <v>10.329599999999999</v>
      </c>
    </row>
    <row r="13" spans="1:7" x14ac:dyDescent="0.2">
      <c r="A13" s="27" t="s">
        <v>1291</v>
      </c>
      <c r="B13" s="27" t="s">
        <v>1292</v>
      </c>
      <c r="C13" s="27" t="s">
        <v>35</v>
      </c>
      <c r="D13" s="31">
        <v>850</v>
      </c>
      <c r="E13" s="29">
        <v>7809.97</v>
      </c>
      <c r="F13" s="30">
        <v>2.1290395559123301</v>
      </c>
      <c r="G13" s="29">
        <v>12.0609</v>
      </c>
    </row>
    <row r="14" spans="1:7" x14ac:dyDescent="0.2">
      <c r="A14" s="27" t="s">
        <v>1060</v>
      </c>
      <c r="B14" s="27" t="s">
        <v>1061</v>
      </c>
      <c r="C14" s="27" t="s">
        <v>1043</v>
      </c>
      <c r="D14" s="31">
        <v>510</v>
      </c>
      <c r="E14" s="29">
        <v>7075.74</v>
      </c>
      <c r="F14" s="30">
        <v>1.9288845344285701</v>
      </c>
      <c r="G14" s="29">
        <v>11.119899999999999</v>
      </c>
    </row>
    <row r="15" spans="1:7" x14ac:dyDescent="0.2">
      <c r="A15" s="27" t="s">
        <v>1239</v>
      </c>
      <c r="B15" s="27" t="s">
        <v>1240</v>
      </c>
      <c r="C15" s="27" t="s">
        <v>1026</v>
      </c>
      <c r="D15" s="31">
        <v>648</v>
      </c>
      <c r="E15" s="29">
        <v>6521.1609600000002</v>
      </c>
      <c r="F15" s="30">
        <v>1.7777033246364899</v>
      </c>
      <c r="G15" s="29">
        <v>10.380800000000001</v>
      </c>
    </row>
    <row r="16" spans="1:7" x14ac:dyDescent="0.2">
      <c r="A16" s="27" t="s">
        <v>1299</v>
      </c>
      <c r="B16" s="27" t="s">
        <v>1300</v>
      </c>
      <c r="C16" s="27" t="s">
        <v>1135</v>
      </c>
      <c r="D16" s="31">
        <v>650</v>
      </c>
      <c r="E16" s="29">
        <v>6425.7635</v>
      </c>
      <c r="F16" s="30">
        <v>1.7516974672678201</v>
      </c>
      <c r="G16" s="29">
        <v>12.324999999999999</v>
      </c>
    </row>
    <row r="17" spans="1:7" x14ac:dyDescent="0.2">
      <c r="A17" s="27" t="s">
        <v>1301</v>
      </c>
      <c r="B17" s="27" t="s">
        <v>1302</v>
      </c>
      <c r="C17" s="27" t="s">
        <v>1135</v>
      </c>
      <c r="D17" s="31">
        <v>650</v>
      </c>
      <c r="E17" s="29">
        <v>6224.79</v>
      </c>
      <c r="F17" s="30">
        <v>1.6969110172315001</v>
      </c>
      <c r="G17" s="29">
        <v>13.984999999999999</v>
      </c>
    </row>
    <row r="18" spans="1:7" x14ac:dyDescent="0.2">
      <c r="A18" s="27" t="s">
        <v>1024</v>
      </c>
      <c r="B18" s="27" t="s">
        <v>1025</v>
      </c>
      <c r="C18" s="27" t="s">
        <v>1026</v>
      </c>
      <c r="D18" s="31">
        <v>606</v>
      </c>
      <c r="E18" s="29">
        <v>6086.3428199999998</v>
      </c>
      <c r="F18" s="30">
        <v>1.65916957614728</v>
      </c>
      <c r="G18" s="29">
        <v>10.2195</v>
      </c>
    </row>
    <row r="19" spans="1:7" x14ac:dyDescent="0.2">
      <c r="A19" s="27" t="s">
        <v>1053</v>
      </c>
      <c r="B19" s="27" t="s">
        <v>1054</v>
      </c>
      <c r="C19" s="27" t="s">
        <v>1026</v>
      </c>
      <c r="D19" s="31">
        <v>550</v>
      </c>
      <c r="E19" s="29">
        <v>5495.2754999999997</v>
      </c>
      <c r="F19" s="30">
        <v>1.4980414662458299</v>
      </c>
      <c r="G19" s="29">
        <v>10.1844</v>
      </c>
    </row>
    <row r="20" spans="1:7" x14ac:dyDescent="0.2">
      <c r="A20" s="27" t="s">
        <v>1027</v>
      </c>
      <c r="B20" s="27" t="s">
        <v>1028</v>
      </c>
      <c r="C20" s="27" t="s">
        <v>1029</v>
      </c>
      <c r="D20" s="31">
        <v>550</v>
      </c>
      <c r="E20" s="29">
        <v>5445.4454999999998</v>
      </c>
      <c r="F20" s="30">
        <v>1.48445754197069</v>
      </c>
      <c r="G20" s="29">
        <v>18.2819</v>
      </c>
    </row>
    <row r="21" spans="1:7" x14ac:dyDescent="0.2">
      <c r="A21" s="27" t="s">
        <v>1044</v>
      </c>
      <c r="B21" s="27" t="s">
        <v>1045</v>
      </c>
      <c r="C21" s="27" t="s">
        <v>35</v>
      </c>
      <c r="D21" s="31">
        <v>550</v>
      </c>
      <c r="E21" s="29">
        <v>5098.3019999999997</v>
      </c>
      <c r="F21" s="30">
        <v>1.3898243688499401</v>
      </c>
      <c r="G21" s="29">
        <v>11.982799999999999</v>
      </c>
    </row>
    <row r="22" spans="1:7" x14ac:dyDescent="0.2">
      <c r="A22" s="27" t="s">
        <v>1303</v>
      </c>
      <c r="B22" s="27" t="s">
        <v>1304</v>
      </c>
      <c r="C22" s="27" t="s">
        <v>1048</v>
      </c>
      <c r="D22" s="31">
        <v>5000</v>
      </c>
      <c r="E22" s="29">
        <v>4924.7950000000001</v>
      </c>
      <c r="F22" s="30">
        <v>1.3425254334855701</v>
      </c>
      <c r="G22" s="29">
        <v>11.2599</v>
      </c>
    </row>
    <row r="23" spans="1:7" x14ac:dyDescent="0.2">
      <c r="A23" s="27" t="s">
        <v>1046</v>
      </c>
      <c r="B23" s="27" t="s">
        <v>1047</v>
      </c>
      <c r="C23" s="27" t="s">
        <v>1048</v>
      </c>
      <c r="D23" s="31">
        <v>550</v>
      </c>
      <c r="E23" s="29">
        <v>4719.9295000000002</v>
      </c>
      <c r="F23" s="30">
        <v>1.28667800345168</v>
      </c>
      <c r="G23" s="29">
        <v>21.145700000000001</v>
      </c>
    </row>
    <row r="24" spans="1:7" x14ac:dyDescent="0.2">
      <c r="A24" s="27" t="s">
        <v>1133</v>
      </c>
      <c r="B24" s="27" t="s">
        <v>1134</v>
      </c>
      <c r="C24" s="27" t="s">
        <v>1135</v>
      </c>
      <c r="D24" s="31">
        <v>450</v>
      </c>
      <c r="E24" s="29">
        <v>4497.3225000000002</v>
      </c>
      <c r="F24" s="30">
        <v>1.2259941457130501</v>
      </c>
      <c r="G24" s="29">
        <v>9.7474000000000007</v>
      </c>
    </row>
    <row r="25" spans="1:7" x14ac:dyDescent="0.2">
      <c r="A25" s="27" t="s">
        <v>1288</v>
      </c>
      <c r="B25" s="27" t="s">
        <v>1289</v>
      </c>
      <c r="C25" s="27" t="s">
        <v>1290</v>
      </c>
      <c r="D25" s="31">
        <v>350</v>
      </c>
      <c r="E25" s="29">
        <v>4444.5834999999997</v>
      </c>
      <c r="F25" s="30">
        <v>1.2116172124931699</v>
      </c>
      <c r="G25" s="29">
        <v>11.254899999999999</v>
      </c>
    </row>
    <row r="26" spans="1:7" x14ac:dyDescent="0.2">
      <c r="A26" s="27" t="s">
        <v>1237</v>
      </c>
      <c r="B26" s="27" t="s">
        <v>1238</v>
      </c>
      <c r="C26" s="27" t="s">
        <v>1026</v>
      </c>
      <c r="D26" s="31">
        <v>352</v>
      </c>
      <c r="E26" s="29">
        <v>3545.1926400000002</v>
      </c>
      <c r="F26" s="30">
        <v>0.96643845800806705</v>
      </c>
      <c r="G26" s="29">
        <v>10.380800000000001</v>
      </c>
    </row>
    <row r="27" spans="1:7" x14ac:dyDescent="0.2">
      <c r="A27" s="27" t="s">
        <v>1064</v>
      </c>
      <c r="B27" s="27" t="s">
        <v>1065</v>
      </c>
      <c r="C27" s="27" t="s">
        <v>1026</v>
      </c>
      <c r="D27" s="31">
        <v>351</v>
      </c>
      <c r="E27" s="29">
        <v>3520.0842299999999</v>
      </c>
      <c r="F27" s="30">
        <v>0.959593771270978</v>
      </c>
      <c r="G27" s="29">
        <v>9.9939</v>
      </c>
    </row>
    <row r="28" spans="1:7" x14ac:dyDescent="0.2">
      <c r="A28" s="27" t="s">
        <v>1051</v>
      </c>
      <c r="B28" s="27" t="s">
        <v>1052</v>
      </c>
      <c r="C28" s="27" t="s">
        <v>38</v>
      </c>
      <c r="D28" s="31">
        <v>310</v>
      </c>
      <c r="E28" s="29">
        <v>3308.8842</v>
      </c>
      <c r="F28" s="30">
        <v>0.90201951450944495</v>
      </c>
      <c r="G28" s="29">
        <v>6.2365000000000004</v>
      </c>
    </row>
    <row r="29" spans="1:7" x14ac:dyDescent="0.2">
      <c r="A29" s="27" t="s">
        <v>1059</v>
      </c>
      <c r="B29" s="27" t="s">
        <v>1047</v>
      </c>
      <c r="C29" s="27" t="s">
        <v>1048</v>
      </c>
      <c r="D29" s="31">
        <v>380</v>
      </c>
      <c r="E29" s="29">
        <v>3258.2644</v>
      </c>
      <c r="F29" s="30">
        <v>0.88822028653387397</v>
      </c>
      <c r="G29" s="29">
        <v>21.219200000000001</v>
      </c>
    </row>
    <row r="30" spans="1:7" x14ac:dyDescent="0.2">
      <c r="A30" s="27" t="s">
        <v>1222</v>
      </c>
      <c r="B30" s="27" t="s">
        <v>1223</v>
      </c>
      <c r="C30" s="27" t="s">
        <v>1026</v>
      </c>
      <c r="D30" s="31">
        <v>306</v>
      </c>
      <c r="E30" s="29">
        <v>3076.6831200000001</v>
      </c>
      <c r="F30" s="30">
        <v>0.838720259295204</v>
      </c>
      <c r="G30" s="29">
        <v>10.3809</v>
      </c>
    </row>
    <row r="31" spans="1:7" x14ac:dyDescent="0.2">
      <c r="A31" s="27" t="s">
        <v>1057</v>
      </c>
      <c r="B31" s="27" t="s">
        <v>1058</v>
      </c>
      <c r="C31" s="27" t="s">
        <v>1029</v>
      </c>
      <c r="D31" s="31">
        <v>300</v>
      </c>
      <c r="E31" s="29">
        <v>2989.44</v>
      </c>
      <c r="F31" s="30">
        <v>0.81493731858465002</v>
      </c>
      <c r="G31" s="29">
        <v>9.8247999999999998</v>
      </c>
    </row>
    <row r="32" spans="1:7" x14ac:dyDescent="0.2">
      <c r="A32" s="27" t="s">
        <v>1136</v>
      </c>
      <c r="B32" s="27" t="s">
        <v>1137</v>
      </c>
      <c r="C32" s="27" t="s">
        <v>995</v>
      </c>
      <c r="D32" s="31">
        <v>270</v>
      </c>
      <c r="E32" s="29">
        <v>2712.1851000000001</v>
      </c>
      <c r="F32" s="30">
        <v>0.73935615128560594</v>
      </c>
      <c r="G32" s="29">
        <v>10.264200000000001</v>
      </c>
    </row>
    <row r="33" spans="1:9" x14ac:dyDescent="0.2">
      <c r="A33" s="27" t="s">
        <v>1140</v>
      </c>
      <c r="B33" s="27" t="s">
        <v>1141</v>
      </c>
      <c r="C33" s="27" t="s">
        <v>1026</v>
      </c>
      <c r="D33" s="31">
        <v>350</v>
      </c>
      <c r="E33" s="29">
        <v>2630.7041250000002</v>
      </c>
      <c r="F33" s="30">
        <v>0.71714400209305995</v>
      </c>
      <c r="G33" s="29">
        <v>9.5912000000000006</v>
      </c>
    </row>
    <row r="34" spans="1:9" x14ac:dyDescent="0.2">
      <c r="A34" s="27" t="s">
        <v>1142</v>
      </c>
      <c r="B34" s="27" t="s">
        <v>1143</v>
      </c>
      <c r="C34" s="27" t="s">
        <v>1135</v>
      </c>
      <c r="D34" s="31">
        <v>260</v>
      </c>
      <c r="E34" s="29">
        <v>2477.9117999999999</v>
      </c>
      <c r="F34" s="30">
        <v>0.67549199782610303</v>
      </c>
      <c r="G34" s="29">
        <v>13.984999999999999</v>
      </c>
    </row>
    <row r="35" spans="1:9" x14ac:dyDescent="0.2">
      <c r="A35" s="27" t="s">
        <v>1062</v>
      </c>
      <c r="B35" s="27" t="s">
        <v>1063</v>
      </c>
      <c r="C35" s="27" t="s">
        <v>35</v>
      </c>
      <c r="D35" s="31">
        <v>250</v>
      </c>
      <c r="E35" s="29">
        <v>2467.8975</v>
      </c>
      <c r="F35" s="30">
        <v>0.67276204613297497</v>
      </c>
      <c r="G35" s="29">
        <v>12.061</v>
      </c>
    </row>
    <row r="36" spans="1:9" x14ac:dyDescent="0.2">
      <c r="A36" s="27" t="s">
        <v>1148</v>
      </c>
      <c r="B36" s="27" t="s">
        <v>1149</v>
      </c>
      <c r="C36" s="27" t="s">
        <v>1026</v>
      </c>
      <c r="D36" s="31">
        <v>176</v>
      </c>
      <c r="E36" s="29">
        <v>1772.0155199999999</v>
      </c>
      <c r="F36" s="30">
        <v>0.48306089982042899</v>
      </c>
      <c r="G36" s="29">
        <v>10.294600000000001</v>
      </c>
    </row>
    <row r="37" spans="1:9" x14ac:dyDescent="0.2">
      <c r="A37" s="27" t="s">
        <v>1150</v>
      </c>
      <c r="B37" s="27" t="s">
        <v>1151</v>
      </c>
      <c r="C37" s="27" t="s">
        <v>1026</v>
      </c>
      <c r="D37" s="31">
        <v>176</v>
      </c>
      <c r="E37" s="29">
        <v>1769.2875200000001</v>
      </c>
      <c r="F37" s="30">
        <v>0.48231723244289398</v>
      </c>
      <c r="G37" s="29">
        <v>10.2896</v>
      </c>
    </row>
    <row r="38" spans="1:9" x14ac:dyDescent="0.2">
      <c r="A38" s="27" t="s">
        <v>1068</v>
      </c>
      <c r="B38" s="27" t="s">
        <v>1069</v>
      </c>
      <c r="C38" s="27" t="s">
        <v>35</v>
      </c>
      <c r="D38" s="31">
        <v>150</v>
      </c>
      <c r="E38" s="29">
        <v>1504.1369999999999</v>
      </c>
      <c r="F38" s="30">
        <v>0.410035783813678</v>
      </c>
      <c r="G38" s="29">
        <v>10.7926</v>
      </c>
    </row>
    <row r="39" spans="1:9" x14ac:dyDescent="0.2">
      <c r="A39" s="27" t="s">
        <v>1066</v>
      </c>
      <c r="B39" s="27" t="s">
        <v>1067</v>
      </c>
      <c r="C39" s="27" t="s">
        <v>995</v>
      </c>
      <c r="D39" s="31">
        <v>90</v>
      </c>
      <c r="E39" s="29">
        <v>904.39919999999995</v>
      </c>
      <c r="F39" s="30">
        <v>0.24654405473202401</v>
      </c>
      <c r="G39" s="29">
        <v>9.7895000000000003</v>
      </c>
    </row>
    <row r="40" spans="1:9" x14ac:dyDescent="0.2">
      <c r="A40" s="27" t="s">
        <v>1032</v>
      </c>
      <c r="B40" s="27" t="s">
        <v>1033</v>
      </c>
      <c r="C40" s="27" t="s">
        <v>1034</v>
      </c>
      <c r="D40" s="31">
        <v>95</v>
      </c>
      <c r="E40" s="29">
        <v>865.10514999999998</v>
      </c>
      <c r="F40" s="30">
        <v>0.235832286727538</v>
      </c>
      <c r="G40" s="29">
        <v>11.6662</v>
      </c>
    </row>
    <row r="41" spans="1:9" x14ac:dyDescent="0.2">
      <c r="A41" s="27" t="s">
        <v>1305</v>
      </c>
      <c r="B41" s="27" t="s">
        <v>1306</v>
      </c>
      <c r="C41" s="27" t="s">
        <v>894</v>
      </c>
      <c r="D41" s="31">
        <v>74</v>
      </c>
      <c r="E41" s="29">
        <v>757.04441999999995</v>
      </c>
      <c r="F41" s="30">
        <v>0.206374354288519</v>
      </c>
      <c r="G41" s="29">
        <v>5.1374000000000004</v>
      </c>
    </row>
    <row r="42" spans="1:9" x14ac:dyDescent="0.2">
      <c r="A42" s="27" t="s">
        <v>1070</v>
      </c>
      <c r="B42" s="27" t="s">
        <v>1071</v>
      </c>
      <c r="C42" s="27" t="s">
        <v>1034</v>
      </c>
      <c r="D42" s="31">
        <v>40</v>
      </c>
      <c r="E42" s="29">
        <v>408.1148</v>
      </c>
      <c r="F42" s="30">
        <v>0.111254275311333</v>
      </c>
      <c r="G42" s="29">
        <v>5.4349999999999996</v>
      </c>
    </row>
    <row r="43" spans="1:9" x14ac:dyDescent="0.2">
      <c r="A43" s="27" t="s">
        <v>1282</v>
      </c>
      <c r="B43" s="27" t="s">
        <v>1283</v>
      </c>
      <c r="C43" s="27" t="s">
        <v>1029</v>
      </c>
      <c r="D43" s="31">
        <v>400</v>
      </c>
      <c r="E43" s="29">
        <v>402.46559999999999</v>
      </c>
      <c r="F43" s="30">
        <v>0.109714273203865</v>
      </c>
      <c r="G43" s="29">
        <v>9.7158999999999995</v>
      </c>
    </row>
    <row r="44" spans="1:9" x14ac:dyDescent="0.2">
      <c r="A44" s="27" t="s">
        <v>1307</v>
      </c>
      <c r="B44" s="27" t="s">
        <v>1308</v>
      </c>
      <c r="C44" s="27" t="s">
        <v>39</v>
      </c>
      <c r="D44" s="31">
        <v>3</v>
      </c>
      <c r="E44" s="29">
        <v>301.35300000000001</v>
      </c>
      <c r="F44" s="30">
        <v>8.2150438131369102E-2</v>
      </c>
      <c r="G44" s="29">
        <v>3.4704000000000002</v>
      </c>
    </row>
    <row r="45" spans="1:9" ht="10.5" x14ac:dyDescent="0.25">
      <c r="A45" s="26" t="s">
        <v>40</v>
      </c>
      <c r="B45" s="26"/>
      <c r="C45" s="26"/>
      <c r="D45" s="32"/>
      <c r="E45" s="33">
        <f>SUM(E6:E44)</f>
        <v>224432.38594500002</v>
      </c>
      <c r="F45" s="34">
        <f>SUM(F6:F44)</f>
        <v>61.181467701500488</v>
      </c>
      <c r="G45" s="33"/>
      <c r="H45" s="18"/>
      <c r="I45" s="18"/>
    </row>
    <row r="46" spans="1:9" x14ac:dyDescent="0.2">
      <c r="A46" s="27"/>
      <c r="B46" s="27"/>
      <c r="C46" s="27"/>
      <c r="D46" s="28"/>
      <c r="E46" s="29"/>
      <c r="F46" s="30"/>
      <c r="G46" s="29"/>
    </row>
    <row r="47" spans="1:9" ht="10.5" x14ac:dyDescent="0.25">
      <c r="A47" s="26" t="s">
        <v>41</v>
      </c>
      <c r="B47" s="27"/>
      <c r="C47" s="27"/>
      <c r="D47" s="28"/>
      <c r="E47" s="29"/>
      <c r="F47" s="30"/>
      <c r="G47" s="29"/>
    </row>
    <row r="48" spans="1:9" x14ac:dyDescent="0.2">
      <c r="A48" s="27" t="s">
        <v>1088</v>
      </c>
      <c r="B48" s="27" t="s">
        <v>1089</v>
      </c>
      <c r="C48" s="27" t="s">
        <v>1074</v>
      </c>
      <c r="D48" s="31">
        <v>230</v>
      </c>
      <c r="E48" s="29">
        <v>22550.234079999998</v>
      </c>
      <c r="F48" s="30">
        <v>6.14731431124605</v>
      </c>
      <c r="G48" s="29">
        <v>7.97</v>
      </c>
    </row>
    <row r="49" spans="1:9" x14ac:dyDescent="0.2">
      <c r="A49" s="27" t="s">
        <v>1083</v>
      </c>
      <c r="B49" s="27" t="s">
        <v>1084</v>
      </c>
      <c r="C49" s="27" t="s">
        <v>1085</v>
      </c>
      <c r="D49" s="31">
        <v>1000</v>
      </c>
      <c r="E49" s="29">
        <v>7359.84656</v>
      </c>
      <c r="F49" s="30">
        <v>2.0063335008566399</v>
      </c>
      <c r="G49" s="29">
        <v>11.35</v>
      </c>
    </row>
    <row r="50" spans="1:9" x14ac:dyDescent="0.2">
      <c r="A50" s="27" t="s">
        <v>1075</v>
      </c>
      <c r="B50" s="27" t="s">
        <v>1076</v>
      </c>
      <c r="C50" s="27" t="s">
        <v>1077</v>
      </c>
      <c r="D50" s="31">
        <v>580</v>
      </c>
      <c r="E50" s="29">
        <v>5198.599365</v>
      </c>
      <c r="F50" s="30">
        <v>1.41716596650509</v>
      </c>
      <c r="G50" s="29">
        <v>11.6874</v>
      </c>
    </row>
    <row r="51" spans="1:9" x14ac:dyDescent="0.2">
      <c r="A51" s="27" t="s">
        <v>1080</v>
      </c>
      <c r="B51" s="27" t="s">
        <v>1081</v>
      </c>
      <c r="C51" s="27" t="s">
        <v>1082</v>
      </c>
      <c r="D51" s="31">
        <v>200</v>
      </c>
      <c r="E51" s="29">
        <v>1893.038</v>
      </c>
      <c r="F51" s="30">
        <v>0.51605227457277902</v>
      </c>
      <c r="G51" s="29">
        <v>12.19</v>
      </c>
    </row>
    <row r="52" spans="1:9" x14ac:dyDescent="0.2">
      <c r="A52" s="27" t="s">
        <v>1072</v>
      </c>
      <c r="B52" s="27" t="s">
        <v>1073</v>
      </c>
      <c r="C52" s="27" t="s">
        <v>1074</v>
      </c>
      <c r="D52" s="31">
        <v>110</v>
      </c>
      <c r="E52" s="29">
        <v>1145.6357</v>
      </c>
      <c r="F52" s="30">
        <v>0.31230641372057899</v>
      </c>
      <c r="G52" s="29">
        <v>7.58</v>
      </c>
    </row>
    <row r="53" spans="1:9" x14ac:dyDescent="0.2">
      <c r="A53" s="27" t="s">
        <v>1090</v>
      </c>
      <c r="B53" s="27" t="s">
        <v>1091</v>
      </c>
      <c r="C53" s="27" t="s">
        <v>1077</v>
      </c>
      <c r="D53" s="31">
        <v>130</v>
      </c>
      <c r="E53" s="29">
        <v>1140.6408570000001</v>
      </c>
      <c r="F53" s="30">
        <v>0.31094479282797999</v>
      </c>
      <c r="G53" s="29">
        <v>11.6874</v>
      </c>
    </row>
    <row r="54" spans="1:9" x14ac:dyDescent="0.2">
      <c r="A54" s="27" t="s">
        <v>1086</v>
      </c>
      <c r="B54" s="27" t="s">
        <v>1087</v>
      </c>
      <c r="C54" s="27" t="s">
        <v>1074</v>
      </c>
      <c r="D54" s="31">
        <v>50</v>
      </c>
      <c r="E54" s="29">
        <v>519.91549999999995</v>
      </c>
      <c r="F54" s="30">
        <v>0.14173174355752199</v>
      </c>
      <c r="G54" s="29">
        <v>7.5049999999999999</v>
      </c>
    </row>
    <row r="55" spans="1:9" x14ac:dyDescent="0.2">
      <c r="A55" s="27" t="s">
        <v>1309</v>
      </c>
      <c r="B55" s="27" t="s">
        <v>1310</v>
      </c>
      <c r="C55" s="27" t="s">
        <v>1094</v>
      </c>
      <c r="D55" s="31">
        <v>750</v>
      </c>
      <c r="E55" s="29">
        <v>0</v>
      </c>
      <c r="F55" s="29">
        <v>0</v>
      </c>
      <c r="G55" s="29">
        <v>0</v>
      </c>
    </row>
    <row r="56" spans="1:9" x14ac:dyDescent="0.2">
      <c r="A56" s="27" t="s">
        <v>1264</v>
      </c>
      <c r="B56" s="27" t="s">
        <v>1265</v>
      </c>
      <c r="C56" s="27" t="s">
        <v>1094</v>
      </c>
      <c r="D56" s="31">
        <v>150</v>
      </c>
      <c r="E56" s="29">
        <v>0</v>
      </c>
      <c r="F56" s="29">
        <v>0</v>
      </c>
      <c r="G56" s="29">
        <v>0</v>
      </c>
    </row>
    <row r="57" spans="1:9" ht="10.5" x14ac:dyDescent="0.25">
      <c r="A57" s="26" t="s">
        <v>40</v>
      </c>
      <c r="B57" s="26"/>
      <c r="C57" s="26"/>
      <c r="D57" s="32"/>
      <c r="E57" s="33">
        <f>SUM(E47:E56)</f>
        <v>39807.910062000003</v>
      </c>
      <c r="F57" s="34">
        <f>SUM(F47:F56)</f>
        <v>10.85184900328664</v>
      </c>
      <c r="G57" s="33"/>
      <c r="H57" s="18"/>
      <c r="I57" s="18"/>
    </row>
    <row r="58" spans="1:9" x14ac:dyDescent="0.2">
      <c r="A58" s="27"/>
      <c r="B58" s="27"/>
      <c r="C58" s="27"/>
      <c r="D58" s="28"/>
      <c r="E58" s="29"/>
      <c r="F58" s="30"/>
      <c r="G58" s="29"/>
    </row>
    <row r="59" spans="1:9" ht="10.5" x14ac:dyDescent="0.25">
      <c r="A59" s="26" t="s">
        <v>44</v>
      </c>
      <c r="B59" s="26"/>
      <c r="C59" s="26"/>
      <c r="D59" s="32"/>
      <c r="E59" s="33">
        <f>E45+E57</f>
        <v>264240.29600700003</v>
      </c>
      <c r="F59" s="34">
        <f>F45+F57</f>
        <v>72.033316704787126</v>
      </c>
      <c r="G59" s="33"/>
      <c r="H59" s="18"/>
      <c r="I59" s="18"/>
    </row>
    <row r="60" spans="1:9" ht="10.5" x14ac:dyDescent="0.25">
      <c r="A60" s="26"/>
      <c r="B60" s="26"/>
      <c r="C60" s="26"/>
      <c r="D60" s="32"/>
      <c r="E60" s="33"/>
      <c r="F60" s="34"/>
      <c r="G60" s="33"/>
      <c r="H60" s="18"/>
      <c r="I60" s="18"/>
    </row>
    <row r="61" spans="1:9" ht="10.5" x14ac:dyDescent="0.25">
      <c r="A61" s="26" t="s">
        <v>46</v>
      </c>
      <c r="B61" s="26"/>
      <c r="C61" s="26"/>
      <c r="D61" s="32"/>
      <c r="E61" s="33">
        <f>E63-(E45+E57)</f>
        <v>102590.37082169997</v>
      </c>
      <c r="F61" s="34">
        <f>F63-(F45+F57)</f>
        <v>27.966683295212874</v>
      </c>
      <c r="G61" s="33"/>
      <c r="H61" s="18"/>
      <c r="I61" s="18"/>
    </row>
    <row r="62" spans="1:9" ht="10.5" x14ac:dyDescent="0.25">
      <c r="A62" s="26"/>
      <c r="B62" s="26"/>
      <c r="C62" s="26"/>
      <c r="D62" s="32"/>
      <c r="E62" s="33"/>
      <c r="F62" s="34"/>
      <c r="G62" s="33"/>
      <c r="H62" s="18"/>
      <c r="I62" s="18"/>
    </row>
    <row r="63" spans="1:9" ht="10.5" x14ac:dyDescent="0.25">
      <c r="A63" s="35" t="s">
        <v>45</v>
      </c>
      <c r="B63" s="35"/>
      <c r="C63" s="35"/>
      <c r="D63" s="36"/>
      <c r="E63" s="37">
        <v>366830.66682869999</v>
      </c>
      <c r="F63" s="38">
        <v>100</v>
      </c>
      <c r="G63" s="37"/>
      <c r="H63" s="18"/>
      <c r="I63" s="18"/>
    </row>
    <row r="64" spans="1:9" ht="10.5" x14ac:dyDescent="0.25">
      <c r="F64" s="20"/>
    </row>
    <row r="65" spans="1:5" ht="10.5" x14ac:dyDescent="0.25">
      <c r="A65" s="18" t="s">
        <v>47</v>
      </c>
    </row>
    <row r="66" spans="1:5" ht="10.5" x14ac:dyDescent="0.25">
      <c r="A66" s="47" t="s">
        <v>1099</v>
      </c>
    </row>
    <row r="68" spans="1:5" ht="10.5" x14ac:dyDescent="0.25">
      <c r="A68" s="18" t="s">
        <v>48</v>
      </c>
    </row>
    <row r="69" spans="1:5" ht="10.5" x14ac:dyDescent="0.25">
      <c r="A69" s="18" t="s">
        <v>49</v>
      </c>
    </row>
    <row r="70" spans="1:5" ht="10.5" x14ac:dyDescent="0.25">
      <c r="A70" s="18" t="s">
        <v>50</v>
      </c>
      <c r="B70" s="18"/>
      <c r="C70" s="41" t="s">
        <v>727</v>
      </c>
      <c r="D70" s="19" t="s">
        <v>51</v>
      </c>
    </row>
    <row r="71" spans="1:5" x14ac:dyDescent="0.2">
      <c r="A71" s="9" t="s">
        <v>71</v>
      </c>
      <c r="C71" s="40">
        <v>18.295999999999999</v>
      </c>
      <c r="D71" s="40">
        <v>20.069600000000001</v>
      </c>
    </row>
    <row r="72" spans="1:5" x14ac:dyDescent="0.2">
      <c r="A72" s="9" t="s">
        <v>77</v>
      </c>
      <c r="C72" s="40">
        <v>9.8112999999999992</v>
      </c>
      <c r="D72" s="40">
        <v>10.7624</v>
      </c>
    </row>
    <row r="73" spans="1:5" x14ac:dyDescent="0.2">
      <c r="A73" s="9" t="s">
        <v>74</v>
      </c>
      <c r="C73" s="40">
        <v>19.418199999999999</v>
      </c>
      <c r="D73" s="40">
        <v>21.362400000000001</v>
      </c>
    </row>
    <row r="74" spans="1:5" x14ac:dyDescent="0.2">
      <c r="A74" s="9" t="s">
        <v>78</v>
      </c>
      <c r="C74" s="40">
        <v>10.6419</v>
      </c>
      <c r="D74" s="40">
        <v>11.7073</v>
      </c>
    </row>
    <row r="76" spans="1:5" ht="10.5" x14ac:dyDescent="0.25">
      <c r="A76" s="18" t="s">
        <v>52</v>
      </c>
      <c r="D76" s="41" t="s">
        <v>53</v>
      </c>
    </row>
    <row r="78" spans="1:5" ht="10.5" x14ac:dyDescent="0.25">
      <c r="A78" s="18" t="s">
        <v>798</v>
      </c>
      <c r="D78" s="42">
        <v>2.3469084347671201</v>
      </c>
      <c r="E78" s="13" t="s">
        <v>54</v>
      </c>
    </row>
    <row r="80" spans="1:5" ht="10.5" x14ac:dyDescent="0.25">
      <c r="A80" s="18" t="s">
        <v>1503</v>
      </c>
      <c r="D80" s="41" t="s">
        <v>53</v>
      </c>
    </row>
    <row r="81" spans="1:7" x14ac:dyDescent="0.2">
      <c r="A81" s="9" t="s">
        <v>1100</v>
      </c>
    </row>
    <row r="82" spans="1:7" x14ac:dyDescent="0.2">
      <c r="A82" s="46" t="s">
        <v>1101</v>
      </c>
    </row>
    <row r="83" spans="1:7" x14ac:dyDescent="0.2">
      <c r="A83" s="46"/>
    </row>
    <row r="84" spans="1:7" ht="25.5" customHeight="1" x14ac:dyDescent="0.2">
      <c r="A84" s="80" t="s">
        <v>1311</v>
      </c>
      <c r="B84" s="80"/>
      <c r="C84" s="80"/>
      <c r="D84" s="80"/>
      <c r="E84" s="80"/>
      <c r="F84" s="80"/>
      <c r="G84" s="80"/>
    </row>
    <row r="86" spans="1:7" ht="39.75" customHeight="1" x14ac:dyDescent="0.2">
      <c r="A86" s="81" t="s">
        <v>1312</v>
      </c>
      <c r="B86" s="81"/>
      <c r="C86" s="81"/>
      <c r="D86" s="81"/>
      <c r="E86" s="81"/>
      <c r="F86" s="81"/>
      <c r="G86" s="81"/>
    </row>
    <row r="87" spans="1:7" ht="10.5" x14ac:dyDescent="0.2">
      <c r="A87" s="57"/>
      <c r="B87" s="57"/>
      <c r="C87" s="57"/>
      <c r="D87" s="57"/>
      <c r="E87" s="57"/>
      <c r="F87" s="57"/>
      <c r="G87" s="57"/>
    </row>
    <row r="88" spans="1:7" ht="37.5" customHeight="1" x14ac:dyDescent="0.2">
      <c r="A88" s="81" t="s">
        <v>1313</v>
      </c>
      <c r="B88" s="81"/>
      <c r="C88" s="81"/>
      <c r="D88" s="81"/>
      <c r="E88" s="81"/>
      <c r="F88" s="81"/>
      <c r="G88" s="81"/>
    </row>
    <row r="89" spans="1:7" ht="10.5" x14ac:dyDescent="0.2">
      <c r="A89" s="55" t="s">
        <v>1105</v>
      </c>
      <c r="B89" s="57"/>
      <c r="C89" s="57"/>
      <c r="D89" s="57"/>
      <c r="E89" s="57"/>
      <c r="F89" s="57"/>
      <c r="G89" s="57"/>
    </row>
    <row r="91" spans="1:7" ht="26.25" customHeight="1" x14ac:dyDescent="0.2">
      <c r="A91" s="82" t="s">
        <v>1106</v>
      </c>
      <c r="B91" s="82"/>
      <c r="C91" s="82"/>
      <c r="D91" s="82"/>
      <c r="E91" s="82"/>
      <c r="F91" s="82"/>
      <c r="G91" s="82"/>
    </row>
    <row r="92" spans="1:7" ht="10.5" x14ac:dyDescent="0.2">
      <c r="A92" s="58"/>
      <c r="B92" s="58"/>
      <c r="C92" s="58"/>
      <c r="D92" s="58"/>
      <c r="E92" s="58"/>
      <c r="F92" s="58"/>
      <c r="G92" s="58"/>
    </row>
    <row r="93" spans="1:7" ht="14.5" customHeight="1" x14ac:dyDescent="0.2">
      <c r="A93" s="73" t="s">
        <v>1107</v>
      </c>
      <c r="B93" s="74"/>
      <c r="C93" s="74"/>
      <c r="D93" s="74"/>
      <c r="E93" s="74"/>
      <c r="F93" s="74"/>
      <c r="G93" s="74"/>
    </row>
    <row r="94" spans="1:7" x14ac:dyDescent="0.2">
      <c r="A94" s="46" t="s">
        <v>55</v>
      </c>
    </row>
    <row r="96" spans="1:7" s="1" customFormat="1" ht="14" x14ac:dyDescent="0.25">
      <c r="A96" s="75" t="s">
        <v>1314</v>
      </c>
      <c r="B96" s="76"/>
      <c r="C96" s="76"/>
      <c r="D96" s="76"/>
      <c r="E96" s="76"/>
      <c r="F96" s="76"/>
      <c r="G96" s="76"/>
    </row>
    <row r="97" spans="1:9" ht="10.5" x14ac:dyDescent="0.25">
      <c r="A97" s="18" t="s">
        <v>7</v>
      </c>
    </row>
    <row r="98" spans="1:9" s="1" customFormat="1" ht="17.5" customHeight="1" x14ac:dyDescent="0.25">
      <c r="A98" s="8" t="s">
        <v>2</v>
      </c>
      <c r="B98" s="8" t="s">
        <v>0</v>
      </c>
      <c r="C98" s="17" t="s">
        <v>749</v>
      </c>
      <c r="D98" s="16" t="s">
        <v>1</v>
      </c>
      <c r="E98" s="15" t="s">
        <v>3</v>
      </c>
      <c r="F98" s="15" t="s">
        <v>4</v>
      </c>
      <c r="G98" s="15" t="s">
        <v>6</v>
      </c>
    </row>
    <row r="99" spans="1:9" ht="10.5" x14ac:dyDescent="0.25">
      <c r="A99" s="21" t="s">
        <v>31</v>
      </c>
      <c r="B99" s="22"/>
      <c r="C99" s="22"/>
      <c r="D99" s="23"/>
      <c r="E99" s="24"/>
      <c r="F99" s="25"/>
      <c r="G99" s="24"/>
    </row>
    <row r="100" spans="1:9" ht="10.5" x14ac:dyDescent="0.25">
      <c r="A100" s="26" t="s">
        <v>32</v>
      </c>
      <c r="B100" s="27"/>
      <c r="C100" s="27"/>
      <c r="D100" s="28"/>
      <c r="E100" s="29"/>
      <c r="F100" s="30"/>
      <c r="G100" s="29"/>
    </row>
    <row r="101" spans="1:9" x14ac:dyDescent="0.2">
      <c r="A101" s="27" t="s">
        <v>1109</v>
      </c>
      <c r="B101" s="27" t="s">
        <v>1110</v>
      </c>
      <c r="C101" s="27" t="s">
        <v>1111</v>
      </c>
      <c r="D101" s="31">
        <v>3370</v>
      </c>
      <c r="E101" s="29">
        <v>0</v>
      </c>
      <c r="F101" s="64">
        <v>100</v>
      </c>
      <c r="G101" s="29">
        <v>0</v>
      </c>
    </row>
    <row r="102" spans="1:9" ht="10.5" x14ac:dyDescent="0.25">
      <c r="A102" s="26" t="s">
        <v>40</v>
      </c>
      <c r="B102" s="26"/>
      <c r="C102" s="26"/>
      <c r="D102" s="32"/>
      <c r="E102" s="33">
        <f>SUM(E100:E101)</f>
        <v>0</v>
      </c>
      <c r="F102" s="65">
        <f>SUM(F100:F101)</f>
        <v>100</v>
      </c>
      <c r="G102" s="33"/>
      <c r="H102" s="18"/>
      <c r="I102" s="18"/>
    </row>
    <row r="103" spans="1:9" x14ac:dyDescent="0.2">
      <c r="A103" s="27"/>
      <c r="B103" s="27"/>
      <c r="C103" s="27"/>
      <c r="D103" s="28"/>
      <c r="E103" s="29"/>
      <c r="F103" s="66"/>
      <c r="G103" s="29"/>
    </row>
    <row r="104" spans="1:9" ht="10.5" x14ac:dyDescent="0.25">
      <c r="A104" s="26" t="s">
        <v>44</v>
      </c>
      <c r="B104" s="26"/>
      <c r="C104" s="26"/>
      <c r="D104" s="32"/>
      <c r="E104" s="33">
        <f>E102</f>
        <v>0</v>
      </c>
      <c r="F104" s="65">
        <f>F102</f>
        <v>100</v>
      </c>
      <c r="G104" s="33"/>
      <c r="H104" s="18"/>
      <c r="I104" s="18"/>
    </row>
    <row r="105" spans="1:9" ht="10.5" x14ac:dyDescent="0.25">
      <c r="A105" s="26"/>
      <c r="B105" s="26"/>
      <c r="C105" s="26"/>
      <c r="D105" s="32"/>
      <c r="E105" s="33"/>
      <c r="F105" s="65"/>
      <c r="G105" s="33"/>
      <c r="H105" s="18"/>
      <c r="I105" s="18"/>
    </row>
    <row r="106" spans="1:9" ht="10.5" x14ac:dyDescent="0.25">
      <c r="A106" s="26" t="s">
        <v>46</v>
      </c>
      <c r="B106" s="26"/>
      <c r="C106" s="26"/>
      <c r="D106" s="32"/>
      <c r="E106" s="33">
        <f>E108-(E102)</f>
        <v>3.9999999999999998E-7</v>
      </c>
      <c r="F106" s="34">
        <v>0</v>
      </c>
      <c r="G106" s="33"/>
      <c r="H106" s="18"/>
      <c r="I106" s="18"/>
    </row>
    <row r="107" spans="1:9" ht="10.5" x14ac:dyDescent="0.25">
      <c r="A107" s="26"/>
      <c r="B107" s="26"/>
      <c r="C107" s="26"/>
      <c r="D107" s="32"/>
      <c r="E107" s="33"/>
      <c r="F107" s="65"/>
      <c r="G107" s="33"/>
      <c r="H107" s="18"/>
      <c r="I107" s="18"/>
    </row>
    <row r="108" spans="1:9" ht="10.5" x14ac:dyDescent="0.25">
      <c r="A108" s="35" t="s">
        <v>45</v>
      </c>
      <c r="B108" s="35"/>
      <c r="C108" s="35"/>
      <c r="D108" s="36"/>
      <c r="E108" s="37">
        <v>3.9999999999999998E-7</v>
      </c>
      <c r="F108" s="67">
        <v>100</v>
      </c>
      <c r="G108" s="37"/>
      <c r="H108" s="18"/>
      <c r="I108" s="18"/>
    </row>
    <row r="110" spans="1:9" ht="10.5" x14ac:dyDescent="0.25">
      <c r="A110" s="18" t="s">
        <v>47</v>
      </c>
    </row>
    <row r="111" spans="1:9" ht="10.5" x14ac:dyDescent="0.25">
      <c r="A111" s="47" t="s">
        <v>1099</v>
      </c>
    </row>
    <row r="112" spans="1:9" ht="10.5" x14ac:dyDescent="0.25">
      <c r="A112" s="18" t="s">
        <v>1112</v>
      </c>
    </row>
    <row r="114" spans="1:7" ht="10.5" x14ac:dyDescent="0.25">
      <c r="A114" s="18" t="s">
        <v>48</v>
      </c>
    </row>
    <row r="115" spans="1:7" ht="10.5" x14ac:dyDescent="0.25">
      <c r="A115" s="18" t="s">
        <v>49</v>
      </c>
    </row>
    <row r="116" spans="1:7" ht="10.5" x14ac:dyDescent="0.25">
      <c r="A116" s="18" t="s">
        <v>50</v>
      </c>
      <c r="B116" s="18"/>
      <c r="C116" s="39" t="s">
        <v>1113</v>
      </c>
      <c r="D116" s="19" t="s">
        <v>51</v>
      </c>
    </row>
    <row r="117" spans="1:7" x14ac:dyDescent="0.2">
      <c r="A117" s="9" t="s">
        <v>71</v>
      </c>
      <c r="C117" s="40">
        <v>0</v>
      </c>
      <c r="D117" s="40">
        <v>0</v>
      </c>
    </row>
    <row r="118" spans="1:7" x14ac:dyDescent="0.2">
      <c r="A118" s="9" t="s">
        <v>77</v>
      </c>
      <c r="C118" s="40">
        <v>0</v>
      </c>
      <c r="D118" s="40">
        <v>0</v>
      </c>
    </row>
    <row r="119" spans="1:7" x14ac:dyDescent="0.2">
      <c r="A119" s="9" t="s">
        <v>74</v>
      </c>
      <c r="C119" s="40">
        <v>0</v>
      </c>
      <c r="D119" s="40">
        <v>0</v>
      </c>
    </row>
    <row r="120" spans="1:7" x14ac:dyDescent="0.2">
      <c r="A120" s="9" t="s">
        <v>78</v>
      </c>
      <c r="C120" s="40">
        <v>0</v>
      </c>
      <c r="D120" s="40">
        <v>0</v>
      </c>
    </row>
    <row r="122" spans="1:7" ht="10.5" x14ac:dyDescent="0.25">
      <c r="A122" s="18" t="s">
        <v>1504</v>
      </c>
      <c r="D122" s="41" t="s">
        <v>53</v>
      </c>
    </row>
    <row r="123" spans="1:7" x14ac:dyDescent="0.2">
      <c r="A123" s="9" t="s">
        <v>1100</v>
      </c>
    </row>
    <row r="124" spans="1:7" x14ac:dyDescent="0.2">
      <c r="A124" s="46" t="s">
        <v>1101</v>
      </c>
    </row>
    <row r="125" spans="1:7" x14ac:dyDescent="0.2">
      <c r="A125" s="46"/>
    </row>
    <row r="126" spans="1:7" ht="14.5" customHeight="1" x14ac:dyDescent="0.2">
      <c r="A126" s="73" t="s">
        <v>1114</v>
      </c>
      <c r="B126" s="74"/>
      <c r="C126" s="74"/>
      <c r="D126" s="74"/>
      <c r="E126" s="74"/>
      <c r="F126" s="74"/>
      <c r="G126" s="74"/>
    </row>
    <row r="127" spans="1:7" x14ac:dyDescent="0.2">
      <c r="A127" s="46" t="s">
        <v>55</v>
      </c>
    </row>
    <row r="129" spans="1:9" x14ac:dyDescent="0.2">
      <c r="A129" s="46"/>
    </row>
    <row r="131" spans="1:9" s="1" customFormat="1" ht="14" x14ac:dyDescent="0.25">
      <c r="A131" s="75" t="s">
        <v>1315</v>
      </c>
      <c r="B131" s="76"/>
      <c r="C131" s="76"/>
      <c r="D131" s="76"/>
      <c r="E131" s="76"/>
      <c r="F131" s="76"/>
      <c r="G131" s="76"/>
    </row>
    <row r="132" spans="1:9" ht="10.5" x14ac:dyDescent="0.25">
      <c r="A132" s="18" t="s">
        <v>7</v>
      </c>
    </row>
    <row r="133" spans="1:9" s="1" customFormat="1" ht="17.5" customHeight="1" x14ac:dyDescent="0.25">
      <c r="A133" s="8" t="s">
        <v>2</v>
      </c>
      <c r="B133" s="8" t="s">
        <v>0</v>
      </c>
      <c r="C133" s="17" t="s">
        <v>749</v>
      </c>
      <c r="D133" s="16" t="s">
        <v>1</v>
      </c>
      <c r="E133" s="15" t="s">
        <v>3</v>
      </c>
      <c r="F133" s="15" t="s">
        <v>4</v>
      </c>
      <c r="G133" s="15" t="s">
        <v>6</v>
      </c>
    </row>
    <row r="134" spans="1:9" ht="10.5" x14ac:dyDescent="0.25">
      <c r="A134" s="21" t="s">
        <v>31</v>
      </c>
      <c r="B134" s="22"/>
      <c r="C134" s="22"/>
      <c r="D134" s="23"/>
      <c r="E134" s="24"/>
      <c r="F134" s="25"/>
      <c r="G134" s="24"/>
    </row>
    <row r="135" spans="1:9" ht="10.5" x14ac:dyDescent="0.25">
      <c r="A135" s="26" t="s">
        <v>32</v>
      </c>
      <c r="B135" s="27"/>
      <c r="C135" s="27"/>
      <c r="D135" s="28"/>
      <c r="E135" s="29"/>
      <c r="F135" s="30"/>
      <c r="G135" s="29"/>
    </row>
    <row r="136" spans="1:9" ht="20" x14ac:dyDescent="0.2">
      <c r="A136" s="27" t="s">
        <v>1116</v>
      </c>
      <c r="B136" s="27" t="s">
        <v>1117</v>
      </c>
      <c r="C136" s="50" t="s">
        <v>1118</v>
      </c>
      <c r="D136" s="31">
        <v>1695</v>
      </c>
      <c r="E136" s="29">
        <v>0</v>
      </c>
      <c r="F136" s="64">
        <v>100</v>
      </c>
      <c r="G136" s="29">
        <v>0</v>
      </c>
    </row>
    <row r="137" spans="1:9" ht="10.5" x14ac:dyDescent="0.25">
      <c r="A137" s="26" t="s">
        <v>40</v>
      </c>
      <c r="B137" s="26"/>
      <c r="C137" s="26"/>
      <c r="D137" s="32"/>
      <c r="E137" s="33">
        <f>SUM(E135:E136)</f>
        <v>0</v>
      </c>
      <c r="F137" s="65">
        <f>SUM(F135:F136)</f>
        <v>100</v>
      </c>
      <c r="G137" s="33"/>
      <c r="H137" s="18"/>
      <c r="I137" s="18"/>
    </row>
    <row r="138" spans="1:9" x14ac:dyDescent="0.2">
      <c r="A138" s="27"/>
      <c r="B138" s="27"/>
      <c r="C138" s="27"/>
      <c r="D138" s="28"/>
      <c r="E138" s="29"/>
      <c r="F138" s="66"/>
      <c r="G138" s="29"/>
    </row>
    <row r="139" spans="1:9" ht="10.5" x14ac:dyDescent="0.25">
      <c r="A139" s="26" t="s">
        <v>44</v>
      </c>
      <c r="B139" s="26"/>
      <c r="C139" s="26"/>
      <c r="D139" s="32"/>
      <c r="E139" s="33">
        <f>E137</f>
        <v>0</v>
      </c>
      <c r="F139" s="65">
        <f>F137</f>
        <v>100</v>
      </c>
      <c r="G139" s="33"/>
      <c r="H139" s="18"/>
      <c r="I139" s="18"/>
    </row>
    <row r="140" spans="1:9" ht="10.5" x14ac:dyDescent="0.25">
      <c r="A140" s="26"/>
      <c r="B140" s="26"/>
      <c r="C140" s="26"/>
      <c r="D140" s="32"/>
      <c r="E140" s="33"/>
      <c r="F140" s="65"/>
      <c r="G140" s="33"/>
      <c r="H140" s="18"/>
      <c r="I140" s="18"/>
    </row>
    <row r="141" spans="1:9" ht="10.5" x14ac:dyDescent="0.25">
      <c r="A141" s="26" t="s">
        <v>46</v>
      </c>
      <c r="B141" s="26"/>
      <c r="C141" s="26"/>
      <c r="D141" s="32"/>
      <c r="E141" s="33">
        <f>E143-(E137)</f>
        <v>3.9999999999999998E-7</v>
      </c>
      <c r="F141" s="34">
        <v>0</v>
      </c>
      <c r="G141" s="33"/>
      <c r="H141" s="18"/>
      <c r="I141" s="18"/>
    </row>
    <row r="142" spans="1:9" ht="10.5" x14ac:dyDescent="0.25">
      <c r="A142" s="26"/>
      <c r="B142" s="26"/>
      <c r="C142" s="26"/>
      <c r="D142" s="32"/>
      <c r="E142" s="33"/>
      <c r="F142" s="65"/>
      <c r="G142" s="33"/>
      <c r="H142" s="18"/>
      <c r="I142" s="18"/>
    </row>
    <row r="143" spans="1:9" ht="10.5" x14ac:dyDescent="0.25">
      <c r="A143" s="35" t="s">
        <v>45</v>
      </c>
      <c r="B143" s="35"/>
      <c r="C143" s="35"/>
      <c r="D143" s="36"/>
      <c r="E143" s="37">
        <v>3.9999999999999998E-7</v>
      </c>
      <c r="F143" s="67">
        <v>100</v>
      </c>
      <c r="G143" s="37"/>
      <c r="H143" s="18"/>
      <c r="I143" s="18"/>
    </row>
    <row r="145" spans="1:7" ht="10.5" x14ac:dyDescent="0.25">
      <c r="A145" s="18" t="s">
        <v>47</v>
      </c>
    </row>
    <row r="146" spans="1:7" ht="10.5" x14ac:dyDescent="0.25">
      <c r="A146" s="18" t="s">
        <v>1099</v>
      </c>
    </row>
    <row r="148" spans="1:7" ht="10.5" x14ac:dyDescent="0.25">
      <c r="A148" s="18" t="s">
        <v>48</v>
      </c>
    </row>
    <row r="149" spans="1:7" ht="10.5" x14ac:dyDescent="0.25">
      <c r="A149" s="18" t="s">
        <v>49</v>
      </c>
    </row>
    <row r="150" spans="1:7" ht="10.5" x14ac:dyDescent="0.25">
      <c r="A150" s="18" t="s">
        <v>50</v>
      </c>
      <c r="B150" s="18"/>
      <c r="C150" s="39" t="s">
        <v>1113</v>
      </c>
      <c r="D150" s="19" t="s">
        <v>51</v>
      </c>
    </row>
    <row r="151" spans="1:7" x14ac:dyDescent="0.2">
      <c r="A151" s="9" t="s">
        <v>71</v>
      </c>
      <c r="C151" s="40">
        <v>0</v>
      </c>
      <c r="D151" s="40">
        <v>0</v>
      </c>
    </row>
    <row r="152" spans="1:7" x14ac:dyDescent="0.2">
      <c r="A152" s="9" t="s">
        <v>77</v>
      </c>
      <c r="C152" s="40">
        <v>0</v>
      </c>
      <c r="D152" s="40">
        <v>0</v>
      </c>
    </row>
    <row r="153" spans="1:7" x14ac:dyDescent="0.2">
      <c r="A153" s="9" t="s">
        <v>74</v>
      </c>
      <c r="C153" s="40">
        <v>0</v>
      </c>
      <c r="D153" s="40">
        <v>0</v>
      </c>
    </row>
    <row r="154" spans="1:7" x14ac:dyDescent="0.2">
      <c r="A154" s="9" t="s">
        <v>78</v>
      </c>
      <c r="C154" s="40">
        <v>0</v>
      </c>
      <c r="D154" s="40">
        <v>0</v>
      </c>
    </row>
    <row r="156" spans="1:7" ht="10.5" x14ac:dyDescent="0.25">
      <c r="A156" s="18" t="s">
        <v>1504</v>
      </c>
      <c r="D156" s="41" t="s">
        <v>53</v>
      </c>
    </row>
    <row r="157" spans="1:7" x14ac:dyDescent="0.2">
      <c r="A157" s="68" t="s">
        <v>1100</v>
      </c>
      <c r="B157" s="68"/>
      <c r="C157" s="68"/>
      <c r="D157" s="69"/>
    </row>
    <row r="158" spans="1:7" x14ac:dyDescent="0.2">
      <c r="A158" s="70" t="s">
        <v>1101</v>
      </c>
      <c r="B158" s="68"/>
      <c r="C158" s="68"/>
      <c r="D158" s="69"/>
    </row>
    <row r="160" spans="1:7" ht="14.5" customHeight="1" x14ac:dyDescent="0.2">
      <c r="A160" s="73" t="s">
        <v>1114</v>
      </c>
      <c r="B160" s="74"/>
      <c r="C160" s="74"/>
      <c r="D160" s="74"/>
      <c r="E160" s="74"/>
      <c r="F160" s="74"/>
      <c r="G160" s="74"/>
    </row>
    <row r="161" spans="1:1" x14ac:dyDescent="0.2">
      <c r="A161" s="46" t="s">
        <v>55</v>
      </c>
    </row>
    <row r="163" spans="1:1" x14ac:dyDescent="0.2">
      <c r="A163" s="46"/>
    </row>
  </sheetData>
  <mergeCells count="10">
    <mergeCell ref="A96:G96"/>
    <mergeCell ref="A126:G126"/>
    <mergeCell ref="A131:G131"/>
    <mergeCell ref="A160:G160"/>
    <mergeCell ref="A1:G1"/>
    <mergeCell ref="A84:G84"/>
    <mergeCell ref="A86:G86"/>
    <mergeCell ref="A88:G88"/>
    <mergeCell ref="A91:G91"/>
    <mergeCell ref="A93:G93"/>
  </mergeCells>
  <conditionalFormatting sqref="F2:F3 F5:F54 F99:F100 F134:F135 F57:F83 F95 F97 F109:F125 F132 F144:F159 F130 F164:F65537">
    <cfRule type="cellIs" dxfId="109" priority="10" stopIfTrue="1" operator="between">
      <formula>0.009</formula>
      <formula>-0.009</formula>
    </cfRule>
  </conditionalFormatting>
  <conditionalFormatting sqref="F85 F90">
    <cfRule type="cellIs" dxfId="108" priority="9" stopIfTrue="1" operator="between">
      <formula>0.009</formula>
      <formula>-0.009</formula>
    </cfRule>
  </conditionalFormatting>
  <conditionalFormatting sqref="F102:F105 F107:F108">
    <cfRule type="cellIs" dxfId="107" priority="8" stopIfTrue="1" operator="between">
      <formula>0.009</formula>
      <formula>-0.009</formula>
    </cfRule>
  </conditionalFormatting>
  <conditionalFormatting sqref="F137:F140 F142:F143">
    <cfRule type="cellIs" dxfId="106" priority="7" stopIfTrue="1" operator="between">
      <formula>0.009</formula>
      <formula>-0.009</formula>
    </cfRule>
  </conditionalFormatting>
  <conditionalFormatting sqref="F94">
    <cfRule type="cellIs" dxfId="105" priority="5" stopIfTrue="1" operator="between">
      <formula>0.009</formula>
      <formula>-0.009</formula>
    </cfRule>
  </conditionalFormatting>
  <conditionalFormatting sqref="F127">
    <cfRule type="cellIs" dxfId="104" priority="3" stopIfTrue="1" operator="between">
      <formula>0.009</formula>
      <formula>-0.009</formula>
    </cfRule>
  </conditionalFormatting>
  <conditionalFormatting sqref="F128:F129">
    <cfRule type="cellIs" dxfId="103" priority="4" stopIfTrue="1" operator="between">
      <formula>0.009</formula>
      <formula>-0.009</formula>
    </cfRule>
  </conditionalFormatting>
  <conditionalFormatting sqref="F161">
    <cfRule type="cellIs" dxfId="102" priority="1" stopIfTrue="1" operator="between">
      <formula>0.009</formula>
      <formula>-0.009</formula>
    </cfRule>
  </conditionalFormatting>
  <conditionalFormatting sqref="F162:F163">
    <cfRule type="cellIs" dxfId="101" priority="2" stopIfTrue="1" operator="between">
      <formula>0.009</formula>
      <formula>-0.009</formula>
    </cfRule>
  </conditionalFormatting>
  <hyperlinks>
    <hyperlink ref="A82" r:id="rId1" xr:uid="{00000000-0004-0000-0C00-000000000000}"/>
    <hyperlink ref="A124" r:id="rId2" xr:uid="{00000000-0004-0000-0C00-000001000000}"/>
    <hyperlink ref="A158" r:id="rId3" xr:uid="{00000000-0004-0000-0C00-000002000000}"/>
    <hyperlink ref="A89" r:id="rId4" xr:uid="{00000000-0004-0000-0C00-000003000000}"/>
    <hyperlink ref="A94" r:id="rId5" xr:uid="{00000000-0004-0000-0C00-000004000000}"/>
    <hyperlink ref="A127" r:id="rId6" xr:uid="{00000000-0004-0000-0C00-000005000000}"/>
    <hyperlink ref="A161" r:id="rId7" xr:uid="{00000000-0004-0000-0C00-000006000000}"/>
  </hyperlinks>
  <pageMargins left="0.7" right="0.7" top="0.75" bottom="0.75" header="0.3" footer="0.3"/>
  <pageSetup paperSize="9" orientation="portrait" r:id="rId8"/>
  <headerFooter>
    <oddFooter>&amp;LPUBLIC</oddFooter>
    <evenFooter>&amp;LPUBLIC</evenFooter>
    <firstFooter>&amp;LPUBLIC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2"/>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1316</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1317</v>
      </c>
      <c r="B7" s="27" t="s">
        <v>1318</v>
      </c>
      <c r="C7" s="27" t="s">
        <v>1249</v>
      </c>
      <c r="D7" s="31">
        <v>40</v>
      </c>
      <c r="E7" s="29">
        <v>519.05920000000003</v>
      </c>
      <c r="F7" s="30">
        <v>10.1238246244876</v>
      </c>
      <c r="G7" s="29">
        <v>5.0998999999999999</v>
      </c>
    </row>
    <row r="8" spans="1:7" x14ac:dyDescent="0.2">
      <c r="A8" s="27" t="s">
        <v>1319</v>
      </c>
      <c r="B8" s="27" t="s">
        <v>1320</v>
      </c>
      <c r="C8" s="27" t="s">
        <v>39</v>
      </c>
      <c r="D8" s="31">
        <v>40</v>
      </c>
      <c r="E8" s="29">
        <v>515.16840000000002</v>
      </c>
      <c r="F8" s="30">
        <v>10.047937756768199</v>
      </c>
      <c r="G8" s="29">
        <v>4.9848999999999997</v>
      </c>
    </row>
    <row r="9" spans="1:7" x14ac:dyDescent="0.2">
      <c r="A9" s="27" t="s">
        <v>1005</v>
      </c>
      <c r="B9" s="27" t="s">
        <v>1006</v>
      </c>
      <c r="C9" s="27" t="s">
        <v>894</v>
      </c>
      <c r="D9" s="31">
        <v>42</v>
      </c>
      <c r="E9" s="29">
        <v>438.21582000000001</v>
      </c>
      <c r="F9" s="30">
        <v>8.5470407024016399</v>
      </c>
      <c r="G9" s="29">
        <v>4.25</v>
      </c>
    </row>
    <row r="10" spans="1:7" x14ac:dyDescent="0.2">
      <c r="A10" s="27" t="s">
        <v>920</v>
      </c>
      <c r="B10" s="27" t="s">
        <v>921</v>
      </c>
      <c r="C10" s="27" t="s">
        <v>850</v>
      </c>
      <c r="D10" s="31">
        <v>41</v>
      </c>
      <c r="E10" s="29">
        <v>427.36104</v>
      </c>
      <c r="F10" s="30">
        <v>8.3353271077723594</v>
      </c>
      <c r="G10" s="29">
        <v>4.25</v>
      </c>
    </row>
    <row r="11" spans="1:7" x14ac:dyDescent="0.2">
      <c r="A11" s="27" t="s">
        <v>899</v>
      </c>
      <c r="B11" s="27" t="s">
        <v>900</v>
      </c>
      <c r="C11" s="27" t="s">
        <v>39</v>
      </c>
      <c r="D11" s="31">
        <v>41</v>
      </c>
      <c r="E11" s="29">
        <v>423.62758000000002</v>
      </c>
      <c r="F11" s="30">
        <v>8.2625090279029791</v>
      </c>
      <c r="G11" s="29">
        <v>3.99</v>
      </c>
    </row>
    <row r="12" spans="1:7" x14ac:dyDescent="0.2">
      <c r="A12" s="27" t="s">
        <v>876</v>
      </c>
      <c r="B12" s="27" t="s">
        <v>877</v>
      </c>
      <c r="C12" s="27" t="s">
        <v>865</v>
      </c>
      <c r="D12" s="31">
        <v>40</v>
      </c>
      <c r="E12" s="29">
        <v>412.49239999999998</v>
      </c>
      <c r="F12" s="30">
        <v>8.0453264609007906</v>
      </c>
      <c r="G12" s="29">
        <v>6.0987</v>
      </c>
    </row>
    <row r="13" spans="1:7" x14ac:dyDescent="0.2">
      <c r="A13" s="27" t="s">
        <v>1002</v>
      </c>
      <c r="B13" s="27" t="s">
        <v>1003</v>
      </c>
      <c r="C13" s="27" t="s">
        <v>1004</v>
      </c>
      <c r="D13" s="31">
        <v>37</v>
      </c>
      <c r="E13" s="29">
        <v>392.73243000000002</v>
      </c>
      <c r="F13" s="30">
        <v>7.6599244280206502</v>
      </c>
      <c r="G13" s="29">
        <v>4.0999999999999996</v>
      </c>
    </row>
    <row r="14" spans="1:7" x14ac:dyDescent="0.2">
      <c r="A14" s="27" t="s">
        <v>930</v>
      </c>
      <c r="B14" s="27" t="s">
        <v>931</v>
      </c>
      <c r="C14" s="27" t="s">
        <v>39</v>
      </c>
      <c r="D14" s="31">
        <v>30</v>
      </c>
      <c r="E14" s="29">
        <v>369.71969999999999</v>
      </c>
      <c r="F14" s="30">
        <v>7.2110799751129999</v>
      </c>
      <c r="G14" s="29">
        <v>4.7</v>
      </c>
    </row>
    <row r="15" spans="1:7" x14ac:dyDescent="0.2">
      <c r="A15" s="27" t="s">
        <v>918</v>
      </c>
      <c r="B15" s="27" t="s">
        <v>919</v>
      </c>
      <c r="C15" s="27" t="s">
        <v>39</v>
      </c>
      <c r="D15" s="31">
        <v>30</v>
      </c>
      <c r="E15" s="29">
        <v>312.8811</v>
      </c>
      <c r="F15" s="30">
        <v>6.1024896287682999</v>
      </c>
      <c r="G15" s="29">
        <v>4.1399999999999997</v>
      </c>
    </row>
    <row r="16" spans="1:7" x14ac:dyDescent="0.2">
      <c r="A16" s="27" t="s">
        <v>1321</v>
      </c>
      <c r="B16" s="27" t="s">
        <v>1322</v>
      </c>
      <c r="C16" s="27" t="s">
        <v>1249</v>
      </c>
      <c r="D16" s="31">
        <v>21</v>
      </c>
      <c r="E16" s="29">
        <v>265.63718999999998</v>
      </c>
      <c r="F16" s="30">
        <v>5.1810358535244001</v>
      </c>
      <c r="G16" s="29">
        <v>5.2750000000000004</v>
      </c>
    </row>
    <row r="17" spans="1:9" x14ac:dyDescent="0.2">
      <c r="A17" s="27" t="s">
        <v>1323</v>
      </c>
      <c r="B17" s="27" t="s">
        <v>1324</v>
      </c>
      <c r="C17" s="27" t="s">
        <v>39</v>
      </c>
      <c r="D17" s="31">
        <v>19</v>
      </c>
      <c r="E17" s="29">
        <v>241.01861</v>
      </c>
      <c r="F17" s="30">
        <v>4.7008706114404202</v>
      </c>
      <c r="G17" s="29">
        <v>4.9398999999999997</v>
      </c>
    </row>
    <row r="18" spans="1:9" x14ac:dyDescent="0.2">
      <c r="A18" s="27" t="s">
        <v>1325</v>
      </c>
      <c r="B18" s="27" t="s">
        <v>1326</v>
      </c>
      <c r="C18" s="27" t="s">
        <v>850</v>
      </c>
      <c r="D18" s="31">
        <v>18</v>
      </c>
      <c r="E18" s="29">
        <v>188.02673999999999</v>
      </c>
      <c r="F18" s="30">
        <v>3.66730758355527</v>
      </c>
      <c r="G18" s="29">
        <v>4.37</v>
      </c>
    </row>
    <row r="19" spans="1:9" x14ac:dyDescent="0.2">
      <c r="A19" s="27" t="s">
        <v>1327</v>
      </c>
      <c r="B19" s="27" t="s">
        <v>1328</v>
      </c>
      <c r="C19" s="27" t="s">
        <v>39</v>
      </c>
      <c r="D19" s="31">
        <v>12</v>
      </c>
      <c r="E19" s="29">
        <v>150.6678</v>
      </c>
      <c r="F19" s="30">
        <v>2.9386520530940898</v>
      </c>
      <c r="G19" s="29">
        <v>6.0499000000000001</v>
      </c>
    </row>
    <row r="20" spans="1:9" x14ac:dyDescent="0.2">
      <c r="A20" s="27" t="s">
        <v>882</v>
      </c>
      <c r="B20" s="27" t="s">
        <v>883</v>
      </c>
      <c r="C20" s="27" t="s">
        <v>39</v>
      </c>
      <c r="D20" s="31">
        <v>10</v>
      </c>
      <c r="E20" s="29">
        <v>104.0458</v>
      </c>
      <c r="F20" s="30">
        <v>2.0293281231014002</v>
      </c>
      <c r="G20" s="29">
        <v>4.38</v>
      </c>
    </row>
    <row r="21" spans="1:9" x14ac:dyDescent="0.2">
      <c r="A21" s="27" t="s">
        <v>870</v>
      </c>
      <c r="B21" s="27" t="s">
        <v>871</v>
      </c>
      <c r="C21" s="27" t="s">
        <v>872</v>
      </c>
      <c r="D21" s="31">
        <v>5</v>
      </c>
      <c r="E21" s="29">
        <v>51.41245</v>
      </c>
      <c r="F21" s="30">
        <v>1.0027577342145899</v>
      </c>
      <c r="G21" s="29">
        <v>5.9085000000000001</v>
      </c>
    </row>
    <row r="22" spans="1:9" ht="10.5" x14ac:dyDescent="0.25">
      <c r="A22" s="26" t="s">
        <v>40</v>
      </c>
      <c r="B22" s="26"/>
      <c r="C22" s="26"/>
      <c r="D22" s="32"/>
      <c r="E22" s="33">
        <f>SUM(E6:E21)</f>
        <v>4812.0662600000005</v>
      </c>
      <c r="F22" s="34">
        <f>SUM(F6:F21)</f>
        <v>93.855411671065681</v>
      </c>
      <c r="G22" s="33"/>
      <c r="H22" s="18"/>
      <c r="I22" s="18"/>
    </row>
    <row r="23" spans="1:9" x14ac:dyDescent="0.2">
      <c r="A23" s="27"/>
      <c r="B23" s="27"/>
      <c r="C23" s="27"/>
      <c r="D23" s="28"/>
      <c r="E23" s="29"/>
      <c r="F23" s="30"/>
      <c r="G23" s="29"/>
    </row>
    <row r="24" spans="1:9" ht="10.5" x14ac:dyDescent="0.25">
      <c r="A24" s="26" t="s">
        <v>44</v>
      </c>
      <c r="B24" s="26"/>
      <c r="C24" s="26"/>
      <c r="D24" s="32"/>
      <c r="E24" s="33">
        <f>E22</f>
        <v>4812.0662600000005</v>
      </c>
      <c r="F24" s="34">
        <f>F22</f>
        <v>93.855411671065681</v>
      </c>
      <c r="G24" s="33"/>
      <c r="H24" s="18"/>
      <c r="I24" s="18"/>
    </row>
    <row r="25" spans="1:9" ht="10.5" x14ac:dyDescent="0.25">
      <c r="A25" s="26"/>
      <c r="B25" s="26"/>
      <c r="C25" s="26"/>
      <c r="D25" s="32"/>
      <c r="E25" s="33"/>
      <c r="F25" s="34"/>
      <c r="G25" s="33"/>
      <c r="H25" s="18"/>
      <c r="I25" s="18"/>
    </row>
    <row r="26" spans="1:9" ht="10.5" x14ac:dyDescent="0.25">
      <c r="A26" s="26" t="s">
        <v>46</v>
      </c>
      <c r="B26" s="26"/>
      <c r="C26" s="26"/>
      <c r="D26" s="32"/>
      <c r="E26" s="33">
        <f>E28-(E22)</f>
        <v>315.03954489999978</v>
      </c>
      <c r="F26" s="34">
        <f>F28-(F22)</f>
        <v>6.1445883289343186</v>
      </c>
      <c r="G26" s="33"/>
      <c r="H26" s="18"/>
      <c r="I26" s="18"/>
    </row>
    <row r="27" spans="1:9" ht="10.5" x14ac:dyDescent="0.25">
      <c r="A27" s="26"/>
      <c r="B27" s="26"/>
      <c r="C27" s="26"/>
      <c r="D27" s="32"/>
      <c r="E27" s="33"/>
      <c r="F27" s="34"/>
      <c r="G27" s="33"/>
      <c r="H27" s="18"/>
      <c r="I27" s="18"/>
    </row>
    <row r="28" spans="1:9" ht="10.5" x14ac:dyDescent="0.25">
      <c r="A28" s="35" t="s">
        <v>45</v>
      </c>
      <c r="B28" s="35"/>
      <c r="C28" s="35"/>
      <c r="D28" s="36"/>
      <c r="E28" s="37">
        <v>5127.1058049000003</v>
      </c>
      <c r="F28" s="38">
        <v>100</v>
      </c>
      <c r="G28" s="37"/>
      <c r="H28" s="18"/>
      <c r="I28" s="18"/>
    </row>
    <row r="30" spans="1:9" ht="10.5" x14ac:dyDescent="0.25">
      <c r="A30" s="18" t="s">
        <v>47</v>
      </c>
    </row>
    <row r="32" spans="1:9" ht="10.5" x14ac:dyDescent="0.25">
      <c r="A32" s="18" t="s">
        <v>48</v>
      </c>
    </row>
    <row r="33" spans="1:5" ht="10.5" x14ac:dyDescent="0.25">
      <c r="A33" s="18" t="s">
        <v>49</v>
      </c>
    </row>
    <row r="34" spans="1:5" ht="10.5" x14ac:dyDescent="0.25">
      <c r="A34" s="18" t="s">
        <v>50</v>
      </c>
      <c r="B34" s="18"/>
      <c r="C34" s="41" t="s">
        <v>727</v>
      </c>
      <c r="D34" s="19" t="s">
        <v>51</v>
      </c>
    </row>
    <row r="35" spans="1:5" x14ac:dyDescent="0.2">
      <c r="A35" s="9" t="s">
        <v>71</v>
      </c>
      <c r="C35" s="40">
        <v>11.6114</v>
      </c>
      <c r="D35" s="40">
        <v>11.945399999999999</v>
      </c>
    </row>
    <row r="36" spans="1:5" x14ac:dyDescent="0.2">
      <c r="A36" s="9" t="s">
        <v>1329</v>
      </c>
      <c r="C36" s="40">
        <v>10.795500000000001</v>
      </c>
      <c r="D36" s="40">
        <v>11.106</v>
      </c>
    </row>
    <row r="37" spans="1:5" x14ac:dyDescent="0.2">
      <c r="A37" s="9" t="s">
        <v>73</v>
      </c>
      <c r="C37" s="40">
        <v>10.5886</v>
      </c>
      <c r="D37" s="40">
        <v>10.518700000000001</v>
      </c>
    </row>
    <row r="38" spans="1:5" x14ac:dyDescent="0.2">
      <c r="A38" s="9" t="s">
        <v>74</v>
      </c>
      <c r="C38" s="40">
        <v>11.6432</v>
      </c>
      <c r="D38" s="40">
        <v>11.99</v>
      </c>
    </row>
    <row r="40" spans="1:5" ht="10.5" x14ac:dyDescent="0.25">
      <c r="A40" s="18" t="s">
        <v>52</v>
      </c>
    </row>
    <row r="41" spans="1:5" ht="10.5" x14ac:dyDescent="0.25">
      <c r="A41" s="77" t="s">
        <v>68</v>
      </c>
      <c r="B41" s="78"/>
      <c r="C41" s="43" t="s">
        <v>69</v>
      </c>
    </row>
    <row r="42" spans="1:5" x14ac:dyDescent="0.2">
      <c r="A42" s="71" t="s">
        <v>73</v>
      </c>
      <c r="B42" s="72"/>
      <c r="C42" s="44">
        <v>0.37</v>
      </c>
    </row>
    <row r="43" spans="1:5" x14ac:dyDescent="0.2">
      <c r="A43" s="9" t="s">
        <v>70</v>
      </c>
    </row>
    <row r="45" spans="1:5" ht="10.5" x14ac:dyDescent="0.25">
      <c r="A45" s="18" t="s">
        <v>798</v>
      </c>
      <c r="D45" s="42">
        <v>1.04397257591781</v>
      </c>
      <c r="E45" s="13" t="s">
        <v>54</v>
      </c>
    </row>
    <row r="47" spans="1:5" ht="10.5" x14ac:dyDescent="0.25">
      <c r="A47" s="18" t="s">
        <v>1502</v>
      </c>
      <c r="D47" s="41" t="s">
        <v>53</v>
      </c>
    </row>
    <row r="49" spans="1:7" ht="14.5" customHeight="1" x14ac:dyDescent="0.2">
      <c r="A49" s="73" t="s">
        <v>799</v>
      </c>
      <c r="B49" s="74"/>
      <c r="C49" s="74"/>
      <c r="D49" s="74"/>
      <c r="E49" s="74"/>
      <c r="F49" s="74"/>
      <c r="G49" s="74"/>
    </row>
    <row r="50" spans="1:7" x14ac:dyDescent="0.2">
      <c r="A50" s="46" t="s">
        <v>55</v>
      </c>
    </row>
    <row r="52" spans="1:7" x14ac:dyDescent="0.2">
      <c r="A52" s="46"/>
    </row>
  </sheetData>
  <mergeCells count="4">
    <mergeCell ref="A1:G1"/>
    <mergeCell ref="A41:B41"/>
    <mergeCell ref="A42:B42"/>
    <mergeCell ref="A49:G49"/>
  </mergeCells>
  <conditionalFormatting sqref="F2:F3 F5:F48 F53:F65536">
    <cfRule type="cellIs" dxfId="100" priority="3" stopIfTrue="1" operator="between">
      <formula>0.009</formula>
      <formula>-0.009</formula>
    </cfRule>
  </conditionalFormatting>
  <conditionalFormatting sqref="F50">
    <cfRule type="cellIs" dxfId="99" priority="1" stopIfTrue="1" operator="between">
      <formula>0.009</formula>
      <formula>-0.009</formula>
    </cfRule>
  </conditionalFormatting>
  <conditionalFormatting sqref="F51:F52">
    <cfRule type="cellIs" dxfId="98" priority="2" stopIfTrue="1" operator="between">
      <formula>0.009</formula>
      <formula>-0.009</formula>
    </cfRule>
  </conditionalFormatting>
  <hyperlinks>
    <hyperlink ref="A50" r:id="rId1" xr:uid="{00000000-0004-0000-0D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4"/>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1330</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930</v>
      </c>
      <c r="B7" s="27" t="s">
        <v>931</v>
      </c>
      <c r="C7" s="27" t="s">
        <v>39</v>
      </c>
      <c r="D7" s="31">
        <v>39</v>
      </c>
      <c r="E7" s="29">
        <v>480.63560999999999</v>
      </c>
      <c r="F7" s="30">
        <v>12.0000664242101</v>
      </c>
      <c r="G7" s="29">
        <v>4.7</v>
      </c>
    </row>
    <row r="8" spans="1:7" x14ac:dyDescent="0.2">
      <c r="A8" s="27" t="s">
        <v>1331</v>
      </c>
      <c r="B8" s="27" t="s">
        <v>1332</v>
      </c>
      <c r="C8" s="27" t="s">
        <v>39</v>
      </c>
      <c r="D8" s="31">
        <v>39</v>
      </c>
      <c r="E8" s="29">
        <v>408.19974000000002</v>
      </c>
      <c r="F8" s="30">
        <v>10.191554459198899</v>
      </c>
      <c r="G8" s="29">
        <v>4.25</v>
      </c>
    </row>
    <row r="9" spans="1:7" x14ac:dyDescent="0.2">
      <c r="A9" s="27" t="s">
        <v>1333</v>
      </c>
      <c r="B9" s="27" t="s">
        <v>1334</v>
      </c>
      <c r="C9" s="27" t="s">
        <v>39</v>
      </c>
      <c r="D9" s="31">
        <v>39</v>
      </c>
      <c r="E9" s="29">
        <v>404.09733</v>
      </c>
      <c r="F9" s="30">
        <v>10.089129271645</v>
      </c>
      <c r="G9" s="29">
        <v>4.1349999999999998</v>
      </c>
    </row>
    <row r="10" spans="1:7" x14ac:dyDescent="0.2">
      <c r="A10" s="27" t="s">
        <v>899</v>
      </c>
      <c r="B10" s="27" t="s">
        <v>900</v>
      </c>
      <c r="C10" s="27" t="s">
        <v>39</v>
      </c>
      <c r="D10" s="31">
        <v>38</v>
      </c>
      <c r="E10" s="29">
        <v>392.63044000000002</v>
      </c>
      <c r="F10" s="30">
        <v>9.8028345427148498</v>
      </c>
      <c r="G10" s="29">
        <v>3.99</v>
      </c>
    </row>
    <row r="11" spans="1:7" x14ac:dyDescent="0.2">
      <c r="A11" s="27" t="s">
        <v>1325</v>
      </c>
      <c r="B11" s="27" t="s">
        <v>1326</v>
      </c>
      <c r="C11" s="27" t="s">
        <v>850</v>
      </c>
      <c r="D11" s="31">
        <v>37</v>
      </c>
      <c r="E11" s="29">
        <v>386.49941000000001</v>
      </c>
      <c r="F11" s="30">
        <v>9.6497606428246101</v>
      </c>
      <c r="G11" s="29">
        <v>4.37</v>
      </c>
    </row>
    <row r="12" spans="1:7" x14ac:dyDescent="0.2">
      <c r="A12" s="27" t="s">
        <v>1321</v>
      </c>
      <c r="B12" s="27" t="s">
        <v>1322</v>
      </c>
      <c r="C12" s="27" t="s">
        <v>1249</v>
      </c>
      <c r="D12" s="31">
        <v>29</v>
      </c>
      <c r="E12" s="29">
        <v>366.83231000000001</v>
      </c>
      <c r="F12" s="30">
        <v>9.1587306370129706</v>
      </c>
      <c r="G12" s="29">
        <v>5.2750000000000004</v>
      </c>
    </row>
    <row r="13" spans="1:7" x14ac:dyDescent="0.2">
      <c r="A13" s="27" t="s">
        <v>870</v>
      </c>
      <c r="B13" s="27" t="s">
        <v>871</v>
      </c>
      <c r="C13" s="27" t="s">
        <v>872</v>
      </c>
      <c r="D13" s="31">
        <v>34</v>
      </c>
      <c r="E13" s="29">
        <v>349.60466000000002</v>
      </c>
      <c r="F13" s="30">
        <v>8.7286065679015596</v>
      </c>
      <c r="G13" s="29">
        <v>5.9085000000000001</v>
      </c>
    </row>
    <row r="14" spans="1:7" x14ac:dyDescent="0.2">
      <c r="A14" s="27" t="s">
        <v>938</v>
      </c>
      <c r="B14" s="27" t="s">
        <v>939</v>
      </c>
      <c r="C14" s="27" t="s">
        <v>39</v>
      </c>
      <c r="D14" s="31">
        <v>27</v>
      </c>
      <c r="E14" s="29">
        <v>342.77661000000001</v>
      </c>
      <c r="F14" s="30">
        <v>8.5581301157971694</v>
      </c>
      <c r="G14" s="29">
        <v>4.6500000000000004</v>
      </c>
    </row>
    <row r="15" spans="1:7" x14ac:dyDescent="0.2">
      <c r="A15" s="27" t="s">
        <v>1327</v>
      </c>
      <c r="B15" s="27" t="s">
        <v>1328</v>
      </c>
      <c r="C15" s="27" t="s">
        <v>39</v>
      </c>
      <c r="D15" s="31">
        <v>24</v>
      </c>
      <c r="E15" s="29">
        <v>301.3356</v>
      </c>
      <c r="F15" s="30">
        <v>7.5234692160641004</v>
      </c>
      <c r="G15" s="29">
        <v>6.0499000000000001</v>
      </c>
    </row>
    <row r="16" spans="1:7" x14ac:dyDescent="0.2">
      <c r="A16" s="27" t="s">
        <v>918</v>
      </c>
      <c r="B16" s="27" t="s">
        <v>919</v>
      </c>
      <c r="C16" s="27" t="s">
        <v>39</v>
      </c>
      <c r="D16" s="31">
        <v>13</v>
      </c>
      <c r="E16" s="29">
        <v>135.58180999999999</v>
      </c>
      <c r="F16" s="30">
        <v>3.3850815296740699</v>
      </c>
      <c r="G16" s="29">
        <v>4.1399999999999997</v>
      </c>
    </row>
    <row r="17" spans="1:9" x14ac:dyDescent="0.2">
      <c r="A17" s="27" t="s">
        <v>882</v>
      </c>
      <c r="B17" s="27" t="s">
        <v>883</v>
      </c>
      <c r="C17" s="27" t="s">
        <v>39</v>
      </c>
      <c r="D17" s="31">
        <v>12</v>
      </c>
      <c r="E17" s="29">
        <v>124.85496000000001</v>
      </c>
      <c r="F17" s="30">
        <v>3.1172634366232002</v>
      </c>
      <c r="G17" s="29">
        <v>4.38</v>
      </c>
    </row>
    <row r="18" spans="1:9" x14ac:dyDescent="0.2">
      <c r="A18" s="27" t="s">
        <v>1319</v>
      </c>
      <c r="B18" s="27" t="s">
        <v>1320</v>
      </c>
      <c r="C18" s="27" t="s">
        <v>39</v>
      </c>
      <c r="D18" s="31">
        <v>4</v>
      </c>
      <c r="E18" s="29">
        <v>51.516840000000002</v>
      </c>
      <c r="F18" s="30">
        <v>1.2862249261252201</v>
      </c>
      <c r="G18" s="29">
        <v>4.9848999999999997</v>
      </c>
    </row>
    <row r="19" spans="1:9" x14ac:dyDescent="0.2">
      <c r="A19" s="27" t="s">
        <v>1335</v>
      </c>
      <c r="B19" s="27" t="s">
        <v>1336</v>
      </c>
      <c r="C19" s="27" t="s">
        <v>1249</v>
      </c>
      <c r="D19" s="31">
        <v>1</v>
      </c>
      <c r="E19" s="29">
        <v>12.59263</v>
      </c>
      <c r="F19" s="30">
        <v>0.31440116652093297</v>
      </c>
      <c r="G19" s="29">
        <v>5.6947999999999999</v>
      </c>
    </row>
    <row r="20" spans="1:9" x14ac:dyDescent="0.2">
      <c r="A20" s="27" t="s">
        <v>876</v>
      </c>
      <c r="B20" s="27" t="s">
        <v>877</v>
      </c>
      <c r="C20" s="27" t="s">
        <v>865</v>
      </c>
      <c r="D20" s="31">
        <v>1</v>
      </c>
      <c r="E20" s="29">
        <v>10.31231</v>
      </c>
      <c r="F20" s="30">
        <v>0.25746824083019099</v>
      </c>
      <c r="G20" s="29">
        <v>6.0987</v>
      </c>
    </row>
    <row r="21" spans="1:9" ht="10.5" x14ac:dyDescent="0.25">
      <c r="A21" s="26" t="s">
        <v>40</v>
      </c>
      <c r="B21" s="26"/>
      <c r="C21" s="26"/>
      <c r="D21" s="32"/>
      <c r="E21" s="33">
        <f>SUM(E6:E20)</f>
        <v>3767.4702599999996</v>
      </c>
      <c r="F21" s="34">
        <f>SUM(F6:F20)</f>
        <v>94.062721177142876</v>
      </c>
      <c r="G21" s="33"/>
      <c r="H21" s="18"/>
      <c r="I21" s="18"/>
    </row>
    <row r="22" spans="1:9" x14ac:dyDescent="0.2">
      <c r="A22" s="27"/>
      <c r="B22" s="27"/>
      <c r="C22" s="27"/>
      <c r="D22" s="28"/>
      <c r="E22" s="29"/>
      <c r="F22" s="30"/>
      <c r="G22" s="29"/>
    </row>
    <row r="23" spans="1:9" ht="10.5" x14ac:dyDescent="0.25">
      <c r="A23" s="26" t="s">
        <v>44</v>
      </c>
      <c r="B23" s="26"/>
      <c r="C23" s="26"/>
      <c r="D23" s="32"/>
      <c r="E23" s="33">
        <f>E21</f>
        <v>3767.4702599999996</v>
      </c>
      <c r="F23" s="34">
        <f>F21</f>
        <v>94.062721177142876</v>
      </c>
      <c r="G23" s="33"/>
      <c r="H23" s="18"/>
      <c r="I23" s="18"/>
    </row>
    <row r="24" spans="1:9" ht="10.5" x14ac:dyDescent="0.25">
      <c r="A24" s="26"/>
      <c r="B24" s="26"/>
      <c r="C24" s="26"/>
      <c r="D24" s="32"/>
      <c r="E24" s="33"/>
      <c r="F24" s="34"/>
      <c r="G24" s="33"/>
      <c r="H24" s="18"/>
      <c r="I24" s="18"/>
    </row>
    <row r="25" spans="1:9" ht="10.5" x14ac:dyDescent="0.25">
      <c r="A25" s="26" t="s">
        <v>46</v>
      </c>
      <c r="B25" s="26"/>
      <c r="C25" s="26"/>
      <c r="D25" s="32"/>
      <c r="E25" s="33">
        <f>E27-(E21)</f>
        <v>237.80431940000062</v>
      </c>
      <c r="F25" s="34">
        <f>F27-(F21)</f>
        <v>5.9372788228571238</v>
      </c>
      <c r="G25" s="33"/>
      <c r="H25" s="18"/>
      <c r="I25" s="18"/>
    </row>
    <row r="26" spans="1:9" ht="10.5" x14ac:dyDescent="0.25">
      <c r="A26" s="26"/>
      <c r="B26" s="26"/>
      <c r="C26" s="26"/>
      <c r="D26" s="32"/>
      <c r="E26" s="33"/>
      <c r="F26" s="34"/>
      <c r="G26" s="33"/>
      <c r="H26" s="18"/>
      <c r="I26" s="18"/>
    </row>
    <row r="27" spans="1:9" ht="10.5" x14ac:dyDescent="0.25">
      <c r="A27" s="35" t="s">
        <v>45</v>
      </c>
      <c r="B27" s="35"/>
      <c r="C27" s="35"/>
      <c r="D27" s="36"/>
      <c r="E27" s="37">
        <v>4005.2745794000002</v>
      </c>
      <c r="F27" s="38">
        <v>100</v>
      </c>
      <c r="G27" s="37"/>
      <c r="H27" s="18"/>
      <c r="I27" s="18"/>
    </row>
    <row r="29" spans="1:9" ht="10.5" x14ac:dyDescent="0.25">
      <c r="A29" s="18" t="s">
        <v>47</v>
      </c>
    </row>
    <row r="31" spans="1:9" ht="10.5" x14ac:dyDescent="0.25">
      <c r="A31" s="18" t="s">
        <v>48</v>
      </c>
    </row>
    <row r="32" spans="1:9" ht="10.5" x14ac:dyDescent="0.25">
      <c r="A32" s="18" t="s">
        <v>49</v>
      </c>
    </row>
    <row r="33" spans="1:5" ht="10.5" x14ac:dyDescent="0.25">
      <c r="A33" s="18" t="s">
        <v>50</v>
      </c>
      <c r="B33" s="18"/>
      <c r="C33" s="41" t="s">
        <v>727</v>
      </c>
      <c r="D33" s="19" t="s">
        <v>51</v>
      </c>
    </row>
    <row r="34" spans="1:5" x14ac:dyDescent="0.2">
      <c r="A34" s="9" t="s">
        <v>71</v>
      </c>
      <c r="C34" s="40">
        <v>11.757899999999999</v>
      </c>
      <c r="D34" s="40">
        <v>12.076499999999999</v>
      </c>
    </row>
    <row r="35" spans="1:5" x14ac:dyDescent="0.2">
      <c r="A35" s="9" t="s">
        <v>1329</v>
      </c>
      <c r="C35" s="40">
        <v>10.914999999999999</v>
      </c>
      <c r="D35" s="40">
        <v>11.211600000000001</v>
      </c>
    </row>
    <row r="36" spans="1:5" x14ac:dyDescent="0.2">
      <c r="A36" s="9" t="s">
        <v>73</v>
      </c>
      <c r="C36" s="40">
        <v>10.719200000000001</v>
      </c>
      <c r="D36" s="40">
        <v>10.5831</v>
      </c>
    </row>
    <row r="37" spans="1:5" x14ac:dyDescent="0.2">
      <c r="A37" s="9" t="s">
        <v>74</v>
      </c>
      <c r="C37" s="40">
        <v>11.792299999999999</v>
      </c>
      <c r="D37" s="40">
        <v>12.123900000000001</v>
      </c>
    </row>
    <row r="38" spans="1:5" x14ac:dyDescent="0.2">
      <c r="A38" s="9" t="s">
        <v>78</v>
      </c>
      <c r="C38" s="40">
        <v>10.9483</v>
      </c>
      <c r="D38" s="40">
        <v>11.255800000000001</v>
      </c>
    </row>
    <row r="39" spans="1:5" x14ac:dyDescent="0.2">
      <c r="A39" s="9" t="s">
        <v>76</v>
      </c>
      <c r="C39" s="40">
        <v>10.7521</v>
      </c>
      <c r="D39" s="40">
        <v>10.6282</v>
      </c>
    </row>
    <row r="41" spans="1:5" ht="10.5" x14ac:dyDescent="0.25">
      <c r="A41" s="18" t="s">
        <v>52</v>
      </c>
    </row>
    <row r="42" spans="1:5" ht="10.5" x14ac:dyDescent="0.25">
      <c r="A42" s="77" t="s">
        <v>68</v>
      </c>
      <c r="B42" s="78"/>
      <c r="C42" s="43" t="s">
        <v>69</v>
      </c>
    </row>
    <row r="43" spans="1:5" x14ac:dyDescent="0.2">
      <c r="A43" s="71" t="s">
        <v>73</v>
      </c>
      <c r="B43" s="72"/>
      <c r="C43" s="44">
        <v>0.42</v>
      </c>
    </row>
    <row r="44" spans="1:5" x14ac:dyDescent="0.2">
      <c r="A44" s="71" t="s">
        <v>76</v>
      </c>
      <c r="B44" s="72"/>
      <c r="C44" s="44">
        <v>0.42</v>
      </c>
    </row>
    <row r="45" spans="1:5" x14ac:dyDescent="0.2">
      <c r="A45" s="9" t="s">
        <v>70</v>
      </c>
    </row>
    <row r="47" spans="1:5" ht="10.5" x14ac:dyDescent="0.25">
      <c r="A47" s="18" t="s">
        <v>798</v>
      </c>
      <c r="D47" s="42">
        <v>0.97815500183561599</v>
      </c>
      <c r="E47" s="13" t="s">
        <v>54</v>
      </c>
    </row>
    <row r="49" spans="1:7" ht="10.5" x14ac:dyDescent="0.25">
      <c r="A49" s="18" t="s">
        <v>1502</v>
      </c>
      <c r="D49" s="41" t="s">
        <v>53</v>
      </c>
    </row>
    <row r="51" spans="1:7" ht="15" customHeight="1" x14ac:dyDescent="0.2">
      <c r="A51" s="73" t="s">
        <v>799</v>
      </c>
      <c r="B51" s="74"/>
      <c r="C51" s="74"/>
      <c r="D51" s="74"/>
      <c r="E51" s="74"/>
      <c r="F51" s="74"/>
      <c r="G51" s="74"/>
    </row>
    <row r="52" spans="1:7" x14ac:dyDescent="0.2">
      <c r="A52" s="46" t="s">
        <v>55</v>
      </c>
    </row>
    <row r="54" spans="1:7" x14ac:dyDescent="0.2">
      <c r="A54" s="46"/>
    </row>
  </sheetData>
  <mergeCells count="5">
    <mergeCell ref="A1:G1"/>
    <mergeCell ref="A42:B42"/>
    <mergeCell ref="A43:B43"/>
    <mergeCell ref="A44:B44"/>
    <mergeCell ref="A51:G51"/>
  </mergeCells>
  <conditionalFormatting sqref="F2:F3 F5:F50 F55:F65536">
    <cfRule type="cellIs" dxfId="97" priority="3" stopIfTrue="1" operator="between">
      <formula>0.009</formula>
      <formula>-0.009</formula>
    </cfRule>
  </conditionalFormatting>
  <conditionalFormatting sqref="F52">
    <cfRule type="cellIs" dxfId="96" priority="1" stopIfTrue="1" operator="between">
      <formula>0.009</formula>
      <formula>-0.009</formula>
    </cfRule>
  </conditionalFormatting>
  <conditionalFormatting sqref="F53:F54">
    <cfRule type="cellIs" dxfId="95" priority="2" stopIfTrue="1" operator="between">
      <formula>0.009</formula>
      <formula>-0.009</formula>
    </cfRule>
  </conditionalFormatting>
  <hyperlinks>
    <hyperlink ref="A52" r:id="rId1" xr:uid="{00000000-0004-0000-0E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5"/>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1337</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1338</v>
      </c>
      <c r="B7" s="27" t="s">
        <v>1339</v>
      </c>
      <c r="C7" s="27" t="s">
        <v>39</v>
      </c>
      <c r="D7" s="31">
        <v>23</v>
      </c>
      <c r="E7" s="29">
        <v>293.63938999999999</v>
      </c>
      <c r="F7" s="30">
        <v>11.989721772591199</v>
      </c>
      <c r="G7" s="29">
        <v>4.9848999999999997</v>
      </c>
    </row>
    <row r="8" spans="1:7" x14ac:dyDescent="0.2">
      <c r="A8" s="27" t="s">
        <v>1340</v>
      </c>
      <c r="B8" s="27" t="s">
        <v>1341</v>
      </c>
      <c r="C8" s="27" t="s">
        <v>39</v>
      </c>
      <c r="D8" s="31">
        <v>23</v>
      </c>
      <c r="E8" s="29">
        <v>291.55513000000002</v>
      </c>
      <c r="F8" s="30">
        <v>11.904618416730999</v>
      </c>
      <c r="G8" s="29">
        <v>4.9649999999999999</v>
      </c>
    </row>
    <row r="9" spans="1:7" x14ac:dyDescent="0.2">
      <c r="A9" s="27" t="s">
        <v>1325</v>
      </c>
      <c r="B9" s="27" t="s">
        <v>1326</v>
      </c>
      <c r="C9" s="27" t="s">
        <v>850</v>
      </c>
      <c r="D9" s="31">
        <v>24</v>
      </c>
      <c r="E9" s="29">
        <v>250.70231999999999</v>
      </c>
      <c r="F9" s="30">
        <v>10.236538989347199</v>
      </c>
      <c r="G9" s="29">
        <v>4.37</v>
      </c>
    </row>
    <row r="10" spans="1:7" x14ac:dyDescent="0.2">
      <c r="A10" s="27" t="s">
        <v>1333</v>
      </c>
      <c r="B10" s="27" t="s">
        <v>1334</v>
      </c>
      <c r="C10" s="27" t="s">
        <v>39</v>
      </c>
      <c r="D10" s="31">
        <v>24</v>
      </c>
      <c r="E10" s="29">
        <v>248.67527999999999</v>
      </c>
      <c r="F10" s="30">
        <v>10.153772008997899</v>
      </c>
      <c r="G10" s="29">
        <v>4.1349999999999998</v>
      </c>
    </row>
    <row r="11" spans="1:7" x14ac:dyDescent="0.2">
      <c r="A11" s="27" t="s">
        <v>1331</v>
      </c>
      <c r="B11" s="27" t="s">
        <v>1332</v>
      </c>
      <c r="C11" s="27" t="s">
        <v>39</v>
      </c>
      <c r="D11" s="31">
        <v>23</v>
      </c>
      <c r="E11" s="29">
        <v>240.73318</v>
      </c>
      <c r="F11" s="30">
        <v>9.8294845580190096</v>
      </c>
      <c r="G11" s="29">
        <v>4.25</v>
      </c>
    </row>
    <row r="12" spans="1:7" x14ac:dyDescent="0.2">
      <c r="A12" s="27" t="s">
        <v>899</v>
      </c>
      <c r="B12" s="27" t="s">
        <v>900</v>
      </c>
      <c r="C12" s="27" t="s">
        <v>39</v>
      </c>
      <c r="D12" s="31">
        <v>23</v>
      </c>
      <c r="E12" s="29">
        <v>237.64474000000001</v>
      </c>
      <c r="F12" s="30">
        <v>9.7033790777176705</v>
      </c>
      <c r="G12" s="29">
        <v>3.99</v>
      </c>
    </row>
    <row r="13" spans="1:7" x14ac:dyDescent="0.2">
      <c r="A13" s="27" t="s">
        <v>1335</v>
      </c>
      <c r="B13" s="27" t="s">
        <v>1336</v>
      </c>
      <c r="C13" s="27" t="s">
        <v>1249</v>
      </c>
      <c r="D13" s="31">
        <v>18</v>
      </c>
      <c r="E13" s="29">
        <v>226.66734</v>
      </c>
      <c r="F13" s="30">
        <v>9.2551559296364694</v>
      </c>
      <c r="G13" s="29">
        <v>5.6947999999999999</v>
      </c>
    </row>
    <row r="14" spans="1:7" x14ac:dyDescent="0.2">
      <c r="A14" s="27" t="s">
        <v>870</v>
      </c>
      <c r="B14" s="27" t="s">
        <v>871</v>
      </c>
      <c r="C14" s="27" t="s">
        <v>872</v>
      </c>
      <c r="D14" s="31">
        <v>21</v>
      </c>
      <c r="E14" s="29">
        <v>215.93228999999999</v>
      </c>
      <c r="F14" s="30">
        <v>8.8168282832166405</v>
      </c>
      <c r="G14" s="29">
        <v>5.9085000000000001</v>
      </c>
    </row>
    <row r="15" spans="1:7" x14ac:dyDescent="0.2">
      <c r="A15" s="27" t="s">
        <v>1327</v>
      </c>
      <c r="B15" s="27" t="s">
        <v>1328</v>
      </c>
      <c r="C15" s="27" t="s">
        <v>39</v>
      </c>
      <c r="D15" s="31">
        <v>14</v>
      </c>
      <c r="E15" s="29">
        <v>175.7791</v>
      </c>
      <c r="F15" s="30">
        <v>7.17731535417128</v>
      </c>
      <c r="G15" s="29">
        <v>6.0499000000000001</v>
      </c>
    </row>
    <row r="16" spans="1:7" x14ac:dyDescent="0.2">
      <c r="A16" s="27" t="s">
        <v>882</v>
      </c>
      <c r="B16" s="27" t="s">
        <v>883</v>
      </c>
      <c r="C16" s="27" t="s">
        <v>39</v>
      </c>
      <c r="D16" s="31">
        <v>6</v>
      </c>
      <c r="E16" s="29">
        <v>62.427480000000003</v>
      </c>
      <c r="F16" s="30">
        <v>2.54900446484378</v>
      </c>
      <c r="G16" s="29">
        <v>4.38</v>
      </c>
    </row>
    <row r="17" spans="1:9" x14ac:dyDescent="0.2">
      <c r="A17" s="27" t="s">
        <v>918</v>
      </c>
      <c r="B17" s="27" t="s">
        <v>919</v>
      </c>
      <c r="C17" s="27" t="s">
        <v>39</v>
      </c>
      <c r="D17" s="31">
        <v>3</v>
      </c>
      <c r="E17" s="29">
        <v>31.28811</v>
      </c>
      <c r="F17" s="30">
        <v>1.27753886728286</v>
      </c>
      <c r="G17" s="29">
        <v>4.1399999999999997</v>
      </c>
    </row>
    <row r="18" spans="1:9" x14ac:dyDescent="0.2">
      <c r="A18" s="27" t="s">
        <v>884</v>
      </c>
      <c r="B18" s="27" t="s">
        <v>885</v>
      </c>
      <c r="C18" s="27" t="s">
        <v>39</v>
      </c>
      <c r="D18" s="31">
        <v>2</v>
      </c>
      <c r="E18" s="29">
        <v>20.742419999999999</v>
      </c>
      <c r="F18" s="30">
        <v>0.84694306404270703</v>
      </c>
      <c r="G18" s="29">
        <v>4.1500000000000004</v>
      </c>
    </row>
    <row r="19" spans="1:9" x14ac:dyDescent="0.2">
      <c r="A19" s="27" t="s">
        <v>1342</v>
      </c>
      <c r="B19" s="27" t="s">
        <v>1343</v>
      </c>
      <c r="C19" s="27" t="s">
        <v>850</v>
      </c>
      <c r="D19" s="31">
        <v>1</v>
      </c>
      <c r="E19" s="29">
        <v>10.60121</v>
      </c>
      <c r="F19" s="30">
        <v>0.43286276528776202</v>
      </c>
      <c r="G19" s="29">
        <v>5.1749000000000001</v>
      </c>
    </row>
    <row r="20" spans="1:9" ht="10.5" x14ac:dyDescent="0.25">
      <c r="A20" s="26" t="s">
        <v>40</v>
      </c>
      <c r="B20" s="26"/>
      <c r="C20" s="26"/>
      <c r="D20" s="32"/>
      <c r="E20" s="33">
        <f>SUM(E6:E19)</f>
        <v>2306.3879899999997</v>
      </c>
      <c r="F20" s="34">
        <f>SUM(F6:F19)</f>
        <v>94.17316355188548</v>
      </c>
      <c r="G20" s="33"/>
      <c r="H20" s="18"/>
      <c r="I20" s="18"/>
    </row>
    <row r="21" spans="1:9" x14ac:dyDescent="0.2">
      <c r="A21" s="27"/>
      <c r="B21" s="27"/>
      <c r="C21" s="27"/>
      <c r="D21" s="28"/>
      <c r="E21" s="29"/>
      <c r="F21" s="30"/>
      <c r="G21" s="29"/>
    </row>
    <row r="22" spans="1:9" ht="10.5" x14ac:dyDescent="0.25">
      <c r="A22" s="26" t="s">
        <v>44</v>
      </c>
      <c r="B22" s="26"/>
      <c r="C22" s="26"/>
      <c r="D22" s="32"/>
      <c r="E22" s="33">
        <f>E20</f>
        <v>2306.3879899999997</v>
      </c>
      <c r="F22" s="34">
        <f>F20</f>
        <v>94.17316355188548</v>
      </c>
      <c r="G22" s="33"/>
      <c r="H22" s="18"/>
      <c r="I22" s="18"/>
    </row>
    <row r="23" spans="1:9" ht="10.5" x14ac:dyDescent="0.25">
      <c r="A23" s="26"/>
      <c r="B23" s="26"/>
      <c r="C23" s="26"/>
      <c r="D23" s="32"/>
      <c r="E23" s="33"/>
      <c r="F23" s="34"/>
      <c r="G23" s="33"/>
      <c r="H23" s="18"/>
      <c r="I23" s="18"/>
    </row>
    <row r="24" spans="1:9" ht="10.5" x14ac:dyDescent="0.25">
      <c r="A24" s="26" t="s">
        <v>46</v>
      </c>
      <c r="B24" s="26"/>
      <c r="C24" s="26"/>
      <c r="D24" s="32"/>
      <c r="E24" s="33">
        <f>E26-(E20)</f>
        <v>142.70462090000046</v>
      </c>
      <c r="F24" s="34">
        <f>F26-(F20)</f>
        <v>5.8268364481145198</v>
      </c>
      <c r="G24" s="33"/>
      <c r="H24" s="18"/>
      <c r="I24" s="18"/>
    </row>
    <row r="25" spans="1:9" ht="10.5" x14ac:dyDescent="0.25">
      <c r="A25" s="26"/>
      <c r="B25" s="26"/>
      <c r="C25" s="26"/>
      <c r="D25" s="32"/>
      <c r="E25" s="33"/>
      <c r="F25" s="34"/>
      <c r="G25" s="33"/>
      <c r="H25" s="18"/>
      <c r="I25" s="18"/>
    </row>
    <row r="26" spans="1:9" ht="10.5" x14ac:dyDescent="0.25">
      <c r="A26" s="35" t="s">
        <v>45</v>
      </c>
      <c r="B26" s="35"/>
      <c r="C26" s="35"/>
      <c r="D26" s="36"/>
      <c r="E26" s="37">
        <v>2449.0926109000002</v>
      </c>
      <c r="F26" s="38">
        <v>100</v>
      </c>
      <c r="G26" s="37"/>
      <c r="H26" s="18"/>
      <c r="I26" s="18"/>
    </row>
    <row r="28" spans="1:9" ht="10.5" x14ac:dyDescent="0.25">
      <c r="A28" s="18" t="s">
        <v>47</v>
      </c>
    </row>
    <row r="30" spans="1:9" ht="10.5" x14ac:dyDescent="0.25">
      <c r="A30" s="18" t="s">
        <v>48</v>
      </c>
    </row>
    <row r="31" spans="1:9" ht="10.5" x14ac:dyDescent="0.25">
      <c r="A31" s="18" t="s">
        <v>49</v>
      </c>
    </row>
    <row r="32" spans="1:9" ht="10.5" x14ac:dyDescent="0.25">
      <c r="A32" s="18" t="s">
        <v>50</v>
      </c>
      <c r="B32" s="18"/>
      <c r="C32" s="41" t="s">
        <v>727</v>
      </c>
      <c r="D32" s="19" t="s">
        <v>51</v>
      </c>
    </row>
    <row r="33" spans="1:5" x14ac:dyDescent="0.2">
      <c r="A33" s="9" t="s">
        <v>71</v>
      </c>
      <c r="C33" s="40">
        <v>11.794600000000001</v>
      </c>
      <c r="D33" s="40">
        <v>12.1493</v>
      </c>
    </row>
    <row r="34" spans="1:5" x14ac:dyDescent="0.2">
      <c r="A34" s="9" t="s">
        <v>1329</v>
      </c>
      <c r="C34" s="40">
        <v>11.002700000000001</v>
      </c>
      <c r="D34" s="40">
        <v>10.4529</v>
      </c>
    </row>
    <row r="35" spans="1:5" x14ac:dyDescent="0.2">
      <c r="A35" s="9" t="s">
        <v>73</v>
      </c>
      <c r="C35" s="40">
        <v>10.5373</v>
      </c>
      <c r="D35" s="40">
        <v>10.4468</v>
      </c>
    </row>
    <row r="36" spans="1:5" x14ac:dyDescent="0.2">
      <c r="A36" s="9" t="s">
        <v>74</v>
      </c>
      <c r="C36" s="40">
        <v>11.839399999999999</v>
      </c>
      <c r="D36" s="40">
        <v>12.210699999999999</v>
      </c>
    </row>
    <row r="37" spans="1:5" x14ac:dyDescent="0.2">
      <c r="A37" s="9" t="s">
        <v>78</v>
      </c>
      <c r="C37" s="40">
        <v>11.0466</v>
      </c>
      <c r="D37" s="40">
        <v>10.5124</v>
      </c>
    </row>
    <row r="38" spans="1:5" x14ac:dyDescent="0.2">
      <c r="A38" s="9" t="s">
        <v>76</v>
      </c>
      <c r="C38" s="40">
        <v>10.5801</v>
      </c>
      <c r="D38" s="40">
        <v>10.5044</v>
      </c>
    </row>
    <row r="40" spans="1:5" ht="10.5" x14ac:dyDescent="0.25">
      <c r="A40" s="18" t="s">
        <v>52</v>
      </c>
    </row>
    <row r="41" spans="1:5" ht="10.5" x14ac:dyDescent="0.25">
      <c r="A41" s="77" t="s">
        <v>68</v>
      </c>
      <c r="B41" s="78"/>
      <c r="C41" s="43" t="s">
        <v>69</v>
      </c>
    </row>
    <row r="42" spans="1:5" x14ac:dyDescent="0.2">
      <c r="A42" s="71" t="s">
        <v>1329</v>
      </c>
      <c r="B42" s="72"/>
      <c r="C42" s="44">
        <v>0.88</v>
      </c>
    </row>
    <row r="43" spans="1:5" x14ac:dyDescent="0.2">
      <c r="A43" s="71" t="s">
        <v>73</v>
      </c>
      <c r="B43" s="72"/>
      <c r="C43" s="44">
        <v>0.40500000000000003</v>
      </c>
    </row>
    <row r="44" spans="1:5" x14ac:dyDescent="0.2">
      <c r="A44" s="71" t="s">
        <v>78</v>
      </c>
      <c r="B44" s="72"/>
      <c r="C44" s="44">
        <v>0.88</v>
      </c>
    </row>
    <row r="45" spans="1:5" x14ac:dyDescent="0.2">
      <c r="A45" s="71" t="s">
        <v>76</v>
      </c>
      <c r="B45" s="72"/>
      <c r="C45" s="44">
        <v>0.40500000000000003</v>
      </c>
    </row>
    <row r="46" spans="1:5" x14ac:dyDescent="0.2">
      <c r="A46" s="9" t="s">
        <v>70</v>
      </c>
    </row>
    <row r="48" spans="1:5" ht="10.5" x14ac:dyDescent="0.25">
      <c r="A48" s="18" t="s">
        <v>798</v>
      </c>
      <c r="D48" s="42">
        <v>1.02412574723288</v>
      </c>
      <c r="E48" s="13" t="s">
        <v>54</v>
      </c>
    </row>
    <row r="50" spans="1:7" ht="10.5" x14ac:dyDescent="0.25">
      <c r="A50" s="18" t="s">
        <v>1502</v>
      </c>
      <c r="D50" s="41" t="s">
        <v>53</v>
      </c>
    </row>
    <row r="52" spans="1:7" ht="15" customHeight="1" x14ac:dyDescent="0.2">
      <c r="A52" s="73" t="s">
        <v>799</v>
      </c>
      <c r="B52" s="74"/>
      <c r="C52" s="74"/>
      <c r="D52" s="74"/>
      <c r="E52" s="74"/>
      <c r="F52" s="74"/>
      <c r="G52" s="74"/>
    </row>
    <row r="53" spans="1:7" x14ac:dyDescent="0.2">
      <c r="A53" s="46" t="s">
        <v>55</v>
      </c>
    </row>
    <row r="55" spans="1:7" x14ac:dyDescent="0.2">
      <c r="A55" s="46"/>
    </row>
  </sheetData>
  <mergeCells count="7">
    <mergeCell ref="A52:G52"/>
    <mergeCell ref="A1:G1"/>
    <mergeCell ref="A41:B41"/>
    <mergeCell ref="A42:B42"/>
    <mergeCell ref="A43:B43"/>
    <mergeCell ref="A44:B44"/>
    <mergeCell ref="A45:B45"/>
  </mergeCells>
  <conditionalFormatting sqref="F2:F3 F5:F51 F56:F65536">
    <cfRule type="cellIs" dxfId="94" priority="3" stopIfTrue="1" operator="between">
      <formula>0.009</formula>
      <formula>-0.009</formula>
    </cfRule>
  </conditionalFormatting>
  <conditionalFormatting sqref="F53">
    <cfRule type="cellIs" dxfId="93" priority="1" stopIfTrue="1" operator="between">
      <formula>0.009</formula>
      <formula>-0.009</formula>
    </cfRule>
  </conditionalFormatting>
  <conditionalFormatting sqref="F54:F55">
    <cfRule type="cellIs" dxfId="92" priority="2" stopIfTrue="1" operator="between">
      <formula>0.009</formula>
      <formula>-0.009</formula>
    </cfRule>
  </conditionalFormatting>
  <hyperlinks>
    <hyperlink ref="A53" r:id="rId1" xr:uid="{00000000-0004-0000-0F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4"/>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1344</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1338</v>
      </c>
      <c r="B7" s="27" t="s">
        <v>1339</v>
      </c>
      <c r="C7" s="27" t="s">
        <v>39</v>
      </c>
      <c r="D7" s="31">
        <v>68</v>
      </c>
      <c r="E7" s="29">
        <v>868.15124000000003</v>
      </c>
      <c r="F7" s="30">
        <v>11.875865556533</v>
      </c>
      <c r="G7" s="29">
        <v>4.9848999999999997</v>
      </c>
    </row>
    <row r="8" spans="1:7" x14ac:dyDescent="0.2">
      <c r="A8" s="27" t="s">
        <v>1325</v>
      </c>
      <c r="B8" s="27" t="s">
        <v>1326</v>
      </c>
      <c r="C8" s="27" t="s">
        <v>850</v>
      </c>
      <c r="D8" s="31">
        <v>71</v>
      </c>
      <c r="E8" s="29">
        <v>741.66102999999998</v>
      </c>
      <c r="F8" s="30">
        <v>10.145544088377701</v>
      </c>
      <c r="G8" s="29">
        <v>4.37</v>
      </c>
    </row>
    <row r="9" spans="1:7" x14ac:dyDescent="0.2">
      <c r="A9" s="27" t="s">
        <v>1333</v>
      </c>
      <c r="B9" s="27" t="s">
        <v>1334</v>
      </c>
      <c r="C9" s="27" t="s">
        <v>39</v>
      </c>
      <c r="D9" s="31">
        <v>71</v>
      </c>
      <c r="E9" s="29">
        <v>735.66436999999996</v>
      </c>
      <c r="F9" s="30">
        <v>10.0635128423609</v>
      </c>
      <c r="G9" s="29">
        <v>4.1349999999999998</v>
      </c>
    </row>
    <row r="10" spans="1:7" x14ac:dyDescent="0.2">
      <c r="A10" s="27" t="s">
        <v>1331</v>
      </c>
      <c r="B10" s="27" t="s">
        <v>1332</v>
      </c>
      <c r="C10" s="27" t="s">
        <v>39</v>
      </c>
      <c r="D10" s="31">
        <v>70</v>
      </c>
      <c r="E10" s="29">
        <v>732.6662</v>
      </c>
      <c r="F10" s="30">
        <v>10.0224994080708</v>
      </c>
      <c r="G10" s="29">
        <v>4.25</v>
      </c>
    </row>
    <row r="11" spans="1:7" x14ac:dyDescent="0.2">
      <c r="A11" s="27" t="s">
        <v>1345</v>
      </c>
      <c r="B11" s="27" t="s">
        <v>1346</v>
      </c>
      <c r="C11" s="27" t="s">
        <v>894</v>
      </c>
      <c r="D11" s="31">
        <v>70000</v>
      </c>
      <c r="E11" s="29">
        <v>729.92989999999998</v>
      </c>
      <c r="F11" s="30">
        <v>9.98506822163103</v>
      </c>
      <c r="G11" s="29">
        <v>5.3</v>
      </c>
    </row>
    <row r="12" spans="1:7" x14ac:dyDescent="0.2">
      <c r="A12" s="27" t="s">
        <v>870</v>
      </c>
      <c r="B12" s="27" t="s">
        <v>871</v>
      </c>
      <c r="C12" s="27" t="s">
        <v>872</v>
      </c>
      <c r="D12" s="31">
        <v>70</v>
      </c>
      <c r="E12" s="29">
        <v>719.77430000000004</v>
      </c>
      <c r="F12" s="30">
        <v>9.8461448005852592</v>
      </c>
      <c r="G12" s="29">
        <v>5.9085000000000001</v>
      </c>
    </row>
    <row r="13" spans="1:7" x14ac:dyDescent="0.2">
      <c r="A13" s="27" t="s">
        <v>899</v>
      </c>
      <c r="B13" s="27" t="s">
        <v>900</v>
      </c>
      <c r="C13" s="27" t="s">
        <v>39</v>
      </c>
      <c r="D13" s="31">
        <v>69</v>
      </c>
      <c r="E13" s="29">
        <v>712.93421999999998</v>
      </c>
      <c r="F13" s="30">
        <v>9.7525759997436907</v>
      </c>
      <c r="G13" s="29">
        <v>3.99</v>
      </c>
    </row>
    <row r="14" spans="1:7" x14ac:dyDescent="0.2">
      <c r="A14" s="27" t="s">
        <v>942</v>
      </c>
      <c r="B14" s="27" t="s">
        <v>943</v>
      </c>
      <c r="C14" s="27" t="s">
        <v>850</v>
      </c>
      <c r="D14" s="31">
        <v>47</v>
      </c>
      <c r="E14" s="29">
        <v>601.16290000000004</v>
      </c>
      <c r="F14" s="30">
        <v>8.2236014291421107</v>
      </c>
      <c r="G14" s="29">
        <v>5.8242000000000003</v>
      </c>
    </row>
    <row r="15" spans="1:7" x14ac:dyDescent="0.2">
      <c r="A15" s="27" t="s">
        <v>1342</v>
      </c>
      <c r="B15" s="27" t="s">
        <v>1343</v>
      </c>
      <c r="C15" s="27" t="s">
        <v>850</v>
      </c>
      <c r="D15" s="31">
        <v>31</v>
      </c>
      <c r="E15" s="29">
        <v>328.63751000000002</v>
      </c>
      <c r="F15" s="30">
        <v>4.4955932857894298</v>
      </c>
      <c r="G15" s="29">
        <v>5.1749000000000001</v>
      </c>
    </row>
    <row r="16" spans="1:7" x14ac:dyDescent="0.2">
      <c r="A16" s="27" t="s">
        <v>1335</v>
      </c>
      <c r="B16" s="27" t="s">
        <v>1336</v>
      </c>
      <c r="C16" s="27" t="s">
        <v>1249</v>
      </c>
      <c r="D16" s="31">
        <v>20</v>
      </c>
      <c r="E16" s="29">
        <v>251.8526</v>
      </c>
      <c r="F16" s="30">
        <v>3.44521493474257</v>
      </c>
      <c r="G16" s="29">
        <v>5.6947999999999999</v>
      </c>
    </row>
    <row r="17" spans="1:9" x14ac:dyDescent="0.2">
      <c r="A17" s="27" t="s">
        <v>882</v>
      </c>
      <c r="B17" s="27" t="s">
        <v>883</v>
      </c>
      <c r="C17" s="27" t="s">
        <v>39</v>
      </c>
      <c r="D17" s="31">
        <v>22</v>
      </c>
      <c r="E17" s="29">
        <v>228.90075999999999</v>
      </c>
      <c r="F17" s="30">
        <v>3.13124548615311</v>
      </c>
      <c r="G17" s="29">
        <v>4.38</v>
      </c>
    </row>
    <row r="18" spans="1:9" x14ac:dyDescent="0.2">
      <c r="A18" s="27" t="s">
        <v>1002</v>
      </c>
      <c r="B18" s="27" t="s">
        <v>1003</v>
      </c>
      <c r="C18" s="27" t="s">
        <v>1004</v>
      </c>
      <c r="D18" s="31">
        <v>11</v>
      </c>
      <c r="E18" s="29">
        <v>116.75829</v>
      </c>
      <c r="F18" s="30">
        <v>1.59719377311572</v>
      </c>
      <c r="G18" s="29">
        <v>4.0999999999999996</v>
      </c>
    </row>
    <row r="19" spans="1:9" x14ac:dyDescent="0.2">
      <c r="A19" s="27" t="s">
        <v>1323</v>
      </c>
      <c r="B19" s="27" t="s">
        <v>1324</v>
      </c>
      <c r="C19" s="27" t="s">
        <v>39</v>
      </c>
      <c r="D19" s="31">
        <v>2</v>
      </c>
      <c r="E19" s="29">
        <v>25.370380000000001</v>
      </c>
      <c r="F19" s="30">
        <v>0.34705384052455401</v>
      </c>
      <c r="G19" s="29">
        <v>4.9398999999999997</v>
      </c>
    </row>
    <row r="20" spans="1:9" x14ac:dyDescent="0.2">
      <c r="A20" s="27" t="s">
        <v>918</v>
      </c>
      <c r="B20" s="27" t="s">
        <v>919</v>
      </c>
      <c r="C20" s="27" t="s">
        <v>39</v>
      </c>
      <c r="D20" s="31">
        <v>1</v>
      </c>
      <c r="E20" s="29">
        <v>10.42937</v>
      </c>
      <c r="F20" s="30">
        <v>0.142668454818239</v>
      </c>
      <c r="G20" s="29">
        <v>4.1399999999999997</v>
      </c>
    </row>
    <row r="21" spans="1:9" ht="10.5" x14ac:dyDescent="0.25">
      <c r="A21" s="26" t="s">
        <v>40</v>
      </c>
      <c r="B21" s="26"/>
      <c r="C21" s="26"/>
      <c r="D21" s="32"/>
      <c r="E21" s="33">
        <f>SUM(E6:E20)</f>
        <v>6803.8930700000019</v>
      </c>
      <c r="F21" s="34">
        <f>SUM(F6:F20)</f>
        <v>93.073782121588096</v>
      </c>
      <c r="G21" s="33"/>
      <c r="H21" s="18"/>
      <c r="I21" s="18"/>
    </row>
    <row r="22" spans="1:9" x14ac:dyDescent="0.2">
      <c r="A22" s="27"/>
      <c r="B22" s="27"/>
      <c r="C22" s="27"/>
      <c r="D22" s="28"/>
      <c r="E22" s="29"/>
      <c r="F22" s="30"/>
      <c r="G22" s="29"/>
    </row>
    <row r="23" spans="1:9" ht="10.5" x14ac:dyDescent="0.25">
      <c r="A23" s="26" t="s">
        <v>44</v>
      </c>
      <c r="B23" s="26"/>
      <c r="C23" s="26"/>
      <c r="D23" s="32"/>
      <c r="E23" s="33">
        <f>E21</f>
        <v>6803.8930700000019</v>
      </c>
      <c r="F23" s="34">
        <f>F21</f>
        <v>93.073782121588096</v>
      </c>
      <c r="G23" s="33"/>
      <c r="H23" s="18"/>
      <c r="I23" s="18"/>
    </row>
    <row r="24" spans="1:9" ht="10.5" x14ac:dyDescent="0.25">
      <c r="A24" s="26"/>
      <c r="B24" s="26"/>
      <c r="C24" s="26"/>
      <c r="D24" s="32"/>
      <c r="E24" s="33"/>
      <c r="F24" s="34"/>
      <c r="G24" s="33"/>
      <c r="H24" s="18"/>
      <c r="I24" s="18"/>
    </row>
    <row r="25" spans="1:9" ht="10.5" x14ac:dyDescent="0.25">
      <c r="A25" s="26" t="s">
        <v>46</v>
      </c>
      <c r="B25" s="26"/>
      <c r="C25" s="26"/>
      <c r="D25" s="32"/>
      <c r="E25" s="33">
        <f>E27-(E21)</f>
        <v>506.3213801999982</v>
      </c>
      <c r="F25" s="34">
        <f>F27-(F21)</f>
        <v>6.9262178784119044</v>
      </c>
      <c r="G25" s="33"/>
      <c r="H25" s="18"/>
      <c r="I25" s="18"/>
    </row>
    <row r="26" spans="1:9" ht="10.5" x14ac:dyDescent="0.25">
      <c r="A26" s="26"/>
      <c r="B26" s="26"/>
      <c r="C26" s="26"/>
      <c r="D26" s="32"/>
      <c r="E26" s="33"/>
      <c r="F26" s="34"/>
      <c r="G26" s="33"/>
      <c r="H26" s="18"/>
      <c r="I26" s="18"/>
    </row>
    <row r="27" spans="1:9" ht="10.5" x14ac:dyDescent="0.25">
      <c r="A27" s="35" t="s">
        <v>45</v>
      </c>
      <c r="B27" s="35"/>
      <c r="C27" s="35"/>
      <c r="D27" s="36"/>
      <c r="E27" s="37">
        <v>7310.2144502000001</v>
      </c>
      <c r="F27" s="38">
        <v>100</v>
      </c>
      <c r="G27" s="37"/>
      <c r="H27" s="18"/>
      <c r="I27" s="18"/>
    </row>
    <row r="29" spans="1:9" ht="10.5" x14ac:dyDescent="0.25">
      <c r="A29" s="18" t="s">
        <v>47</v>
      </c>
    </row>
    <row r="31" spans="1:9" ht="10.5" x14ac:dyDescent="0.25">
      <c r="A31" s="18" t="s">
        <v>48</v>
      </c>
    </row>
    <row r="32" spans="1:9" ht="10.5" x14ac:dyDescent="0.25">
      <c r="A32" s="18" t="s">
        <v>49</v>
      </c>
    </row>
    <row r="33" spans="1:5" ht="10.5" x14ac:dyDescent="0.25">
      <c r="A33" s="18" t="s">
        <v>50</v>
      </c>
      <c r="B33" s="18"/>
      <c r="C33" s="41" t="s">
        <v>727</v>
      </c>
      <c r="D33" s="19" t="s">
        <v>51</v>
      </c>
    </row>
    <row r="34" spans="1:5" x14ac:dyDescent="0.2">
      <c r="A34" s="9" t="s">
        <v>71</v>
      </c>
      <c r="C34" s="40">
        <v>11.81</v>
      </c>
      <c r="D34" s="40">
        <v>12.1722</v>
      </c>
    </row>
    <row r="35" spans="1:5" x14ac:dyDescent="0.2">
      <c r="A35" s="9" t="s">
        <v>1329</v>
      </c>
      <c r="C35" s="40">
        <v>10.988</v>
      </c>
      <c r="D35" s="40">
        <v>10.4543</v>
      </c>
    </row>
    <row r="36" spans="1:5" x14ac:dyDescent="0.2">
      <c r="A36" s="9" t="s">
        <v>73</v>
      </c>
      <c r="C36" s="40">
        <v>10.5314</v>
      </c>
      <c r="D36" s="40">
        <v>10.447100000000001</v>
      </c>
    </row>
    <row r="37" spans="1:5" x14ac:dyDescent="0.2">
      <c r="A37" s="9" t="s">
        <v>74</v>
      </c>
      <c r="C37" s="40">
        <v>11.856</v>
      </c>
      <c r="D37" s="40">
        <v>12.2349</v>
      </c>
    </row>
    <row r="38" spans="1:5" x14ac:dyDescent="0.2">
      <c r="A38" s="9" t="s">
        <v>78</v>
      </c>
      <c r="C38" s="40">
        <v>11.0329</v>
      </c>
      <c r="D38" s="40">
        <v>10.514900000000001</v>
      </c>
    </row>
    <row r="40" spans="1:5" ht="10.5" x14ac:dyDescent="0.25">
      <c r="A40" s="18" t="s">
        <v>52</v>
      </c>
    </row>
    <row r="41" spans="1:5" ht="10.5" x14ac:dyDescent="0.25">
      <c r="A41" s="77" t="s">
        <v>68</v>
      </c>
      <c r="B41" s="78"/>
      <c r="C41" s="43" t="s">
        <v>69</v>
      </c>
    </row>
    <row r="42" spans="1:5" x14ac:dyDescent="0.2">
      <c r="A42" s="71" t="s">
        <v>1329</v>
      </c>
      <c r="B42" s="72"/>
      <c r="C42" s="44">
        <v>0.87</v>
      </c>
    </row>
    <row r="43" spans="1:5" x14ac:dyDescent="0.2">
      <c r="A43" s="71" t="s">
        <v>73</v>
      </c>
      <c r="B43" s="72"/>
      <c r="C43" s="44">
        <v>0.40500000000000003</v>
      </c>
    </row>
    <row r="44" spans="1:5" x14ac:dyDescent="0.2">
      <c r="A44" s="71" t="s">
        <v>78</v>
      </c>
      <c r="B44" s="72"/>
      <c r="C44" s="44">
        <v>0.87</v>
      </c>
    </row>
    <row r="45" spans="1:5" x14ac:dyDescent="0.2">
      <c r="A45" s="9" t="s">
        <v>70</v>
      </c>
    </row>
    <row r="47" spans="1:5" ht="10.5" x14ac:dyDescent="0.25">
      <c r="A47" s="18" t="s">
        <v>798</v>
      </c>
      <c r="D47" s="42">
        <v>1.01329674564384</v>
      </c>
      <c r="E47" s="13" t="s">
        <v>54</v>
      </c>
    </row>
    <row r="49" spans="1:7" ht="10.5" x14ac:dyDescent="0.25">
      <c r="A49" s="18" t="s">
        <v>1502</v>
      </c>
      <c r="D49" s="41" t="s">
        <v>53</v>
      </c>
    </row>
    <row r="51" spans="1:7" ht="15" customHeight="1" x14ac:dyDescent="0.2">
      <c r="A51" s="73" t="s">
        <v>799</v>
      </c>
      <c r="B51" s="74"/>
      <c r="C51" s="74"/>
      <c r="D51" s="74"/>
      <c r="E51" s="74"/>
      <c r="F51" s="74"/>
      <c r="G51" s="74"/>
    </row>
    <row r="52" spans="1:7" x14ac:dyDescent="0.2">
      <c r="A52" s="46" t="s">
        <v>55</v>
      </c>
    </row>
    <row r="54" spans="1:7" x14ac:dyDescent="0.2">
      <c r="A54" s="46"/>
    </row>
  </sheetData>
  <mergeCells count="6">
    <mergeCell ref="A51:G51"/>
    <mergeCell ref="A1:G1"/>
    <mergeCell ref="A41:B41"/>
    <mergeCell ref="A42:B42"/>
    <mergeCell ref="A43:B43"/>
    <mergeCell ref="A44:B44"/>
  </mergeCells>
  <conditionalFormatting sqref="F2:F3 F5:F50 F55:F65536">
    <cfRule type="cellIs" dxfId="91" priority="3" stopIfTrue="1" operator="between">
      <formula>0.009</formula>
      <formula>-0.009</formula>
    </cfRule>
  </conditionalFormatting>
  <conditionalFormatting sqref="F52">
    <cfRule type="cellIs" dxfId="90" priority="1" stopIfTrue="1" operator="between">
      <formula>0.009</formula>
      <formula>-0.009</formula>
    </cfRule>
  </conditionalFormatting>
  <conditionalFormatting sqref="F53:F54">
    <cfRule type="cellIs" dxfId="89" priority="2" stopIfTrue="1" operator="between">
      <formula>0.009</formula>
      <formula>-0.009</formula>
    </cfRule>
  </conditionalFormatting>
  <hyperlinks>
    <hyperlink ref="A52" r:id="rId1" xr:uid="{00000000-0004-0000-10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9"/>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1347</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897</v>
      </c>
      <c r="B7" s="27" t="s">
        <v>898</v>
      </c>
      <c r="C7" s="27" t="s">
        <v>39</v>
      </c>
      <c r="D7" s="31">
        <v>37</v>
      </c>
      <c r="E7" s="29">
        <v>468.63053000000002</v>
      </c>
      <c r="F7" s="30">
        <v>12.023146562341299</v>
      </c>
      <c r="G7" s="29">
        <v>4.4554</v>
      </c>
    </row>
    <row r="8" spans="1:7" x14ac:dyDescent="0.2">
      <c r="A8" s="27" t="s">
        <v>1005</v>
      </c>
      <c r="B8" s="27" t="s">
        <v>1006</v>
      </c>
      <c r="C8" s="27" t="s">
        <v>894</v>
      </c>
      <c r="D8" s="31">
        <v>37</v>
      </c>
      <c r="E8" s="29">
        <v>386.04727000000003</v>
      </c>
      <c r="F8" s="30">
        <v>9.9043971958074604</v>
      </c>
      <c r="G8" s="29">
        <v>4.25</v>
      </c>
    </row>
    <row r="9" spans="1:7" x14ac:dyDescent="0.2">
      <c r="A9" s="27" t="s">
        <v>1342</v>
      </c>
      <c r="B9" s="27" t="s">
        <v>1343</v>
      </c>
      <c r="C9" s="27" t="s">
        <v>850</v>
      </c>
      <c r="D9" s="31">
        <v>36</v>
      </c>
      <c r="E9" s="29">
        <v>381.64355999999998</v>
      </c>
      <c r="F9" s="30">
        <v>9.7914159720957894</v>
      </c>
      <c r="G9" s="29">
        <v>5.1749000000000001</v>
      </c>
    </row>
    <row r="10" spans="1:7" x14ac:dyDescent="0.2">
      <c r="A10" s="27" t="s">
        <v>944</v>
      </c>
      <c r="B10" s="27" t="s">
        <v>945</v>
      </c>
      <c r="C10" s="27" t="s">
        <v>39</v>
      </c>
      <c r="D10" s="31">
        <v>37</v>
      </c>
      <c r="E10" s="29">
        <v>380.54980999999998</v>
      </c>
      <c r="F10" s="30">
        <v>9.7633548115210402</v>
      </c>
      <c r="G10" s="29">
        <v>4.7248000000000001</v>
      </c>
    </row>
    <row r="11" spans="1:7" x14ac:dyDescent="0.2">
      <c r="A11" s="27" t="s">
        <v>899</v>
      </c>
      <c r="B11" s="27" t="s">
        <v>900</v>
      </c>
      <c r="C11" s="27" t="s">
        <v>39</v>
      </c>
      <c r="D11" s="31">
        <v>36</v>
      </c>
      <c r="E11" s="29">
        <v>371.96568000000002</v>
      </c>
      <c r="F11" s="30">
        <v>9.5431210740814603</v>
      </c>
      <c r="G11" s="29">
        <v>3.99</v>
      </c>
    </row>
    <row r="12" spans="1:7" x14ac:dyDescent="0.2">
      <c r="A12" s="27" t="s">
        <v>870</v>
      </c>
      <c r="B12" s="27" t="s">
        <v>871</v>
      </c>
      <c r="C12" s="27" t="s">
        <v>872</v>
      </c>
      <c r="D12" s="31">
        <v>33</v>
      </c>
      <c r="E12" s="29">
        <v>339.32217000000003</v>
      </c>
      <c r="F12" s="30">
        <v>8.7056218504622507</v>
      </c>
      <c r="G12" s="29">
        <v>5.9085000000000001</v>
      </c>
    </row>
    <row r="13" spans="1:7" x14ac:dyDescent="0.2">
      <c r="A13" s="27" t="s">
        <v>918</v>
      </c>
      <c r="B13" s="27" t="s">
        <v>919</v>
      </c>
      <c r="C13" s="27" t="s">
        <v>39</v>
      </c>
      <c r="D13" s="31">
        <v>27</v>
      </c>
      <c r="E13" s="29">
        <v>281.59298999999999</v>
      </c>
      <c r="F13" s="30">
        <v>7.2245267283331298</v>
      </c>
      <c r="G13" s="29">
        <v>4.1399999999999997</v>
      </c>
    </row>
    <row r="14" spans="1:7" x14ac:dyDescent="0.2">
      <c r="A14" s="27" t="s">
        <v>1348</v>
      </c>
      <c r="B14" s="27" t="s">
        <v>1349</v>
      </c>
      <c r="C14" s="27" t="s">
        <v>39</v>
      </c>
      <c r="D14" s="31">
        <v>21</v>
      </c>
      <c r="E14" s="29">
        <v>267.33</v>
      </c>
      <c r="F14" s="30">
        <v>6.8585966230384399</v>
      </c>
      <c r="G14" s="29">
        <v>6.0749000000000004</v>
      </c>
    </row>
    <row r="15" spans="1:7" x14ac:dyDescent="0.2">
      <c r="A15" s="27" t="s">
        <v>932</v>
      </c>
      <c r="B15" s="27" t="s">
        <v>933</v>
      </c>
      <c r="C15" s="27" t="s">
        <v>894</v>
      </c>
      <c r="D15" s="31">
        <v>20</v>
      </c>
      <c r="E15" s="29">
        <v>208.89080000000001</v>
      </c>
      <c r="F15" s="30">
        <v>5.3592852858407101</v>
      </c>
      <c r="G15" s="29">
        <v>4.1150000000000002</v>
      </c>
    </row>
    <row r="16" spans="1:7" x14ac:dyDescent="0.2">
      <c r="A16" s="27" t="s">
        <v>942</v>
      </c>
      <c r="B16" s="27" t="s">
        <v>943</v>
      </c>
      <c r="C16" s="27" t="s">
        <v>850</v>
      </c>
      <c r="D16" s="31">
        <v>12</v>
      </c>
      <c r="E16" s="29">
        <v>153.48840000000001</v>
      </c>
      <c r="F16" s="30">
        <v>3.93788584115353</v>
      </c>
      <c r="G16" s="29">
        <v>5.8242000000000003</v>
      </c>
    </row>
    <row r="17" spans="1:9" x14ac:dyDescent="0.2">
      <c r="A17" s="27" t="s">
        <v>882</v>
      </c>
      <c r="B17" s="27" t="s">
        <v>883</v>
      </c>
      <c r="C17" s="27" t="s">
        <v>39</v>
      </c>
      <c r="D17" s="31">
        <v>10</v>
      </c>
      <c r="E17" s="29">
        <v>104.0458</v>
      </c>
      <c r="F17" s="30">
        <v>2.66939053799174</v>
      </c>
      <c r="G17" s="29">
        <v>4.38</v>
      </c>
    </row>
    <row r="18" spans="1:9" x14ac:dyDescent="0.2">
      <c r="A18" s="27" t="s">
        <v>938</v>
      </c>
      <c r="B18" s="27" t="s">
        <v>939</v>
      </c>
      <c r="C18" s="27" t="s">
        <v>39</v>
      </c>
      <c r="D18" s="31">
        <v>8</v>
      </c>
      <c r="E18" s="29">
        <v>101.56344</v>
      </c>
      <c r="F18" s="30">
        <v>2.6057033127900602</v>
      </c>
      <c r="G18" s="29">
        <v>4.6500000000000004</v>
      </c>
    </row>
    <row r="19" spans="1:9" x14ac:dyDescent="0.2">
      <c r="A19" s="27" t="s">
        <v>1319</v>
      </c>
      <c r="B19" s="27" t="s">
        <v>1320</v>
      </c>
      <c r="C19" s="27" t="s">
        <v>39</v>
      </c>
      <c r="D19" s="31">
        <v>3</v>
      </c>
      <c r="E19" s="29">
        <v>38.637630000000001</v>
      </c>
      <c r="F19" s="30">
        <v>0.99128387625858905</v>
      </c>
      <c r="G19" s="29">
        <v>4.9848999999999997</v>
      </c>
    </row>
    <row r="20" spans="1:9" x14ac:dyDescent="0.2">
      <c r="A20" s="27" t="s">
        <v>1335</v>
      </c>
      <c r="B20" s="27" t="s">
        <v>1336</v>
      </c>
      <c r="C20" s="27" t="s">
        <v>1249</v>
      </c>
      <c r="D20" s="31">
        <v>3</v>
      </c>
      <c r="E20" s="29">
        <v>37.777889999999999</v>
      </c>
      <c r="F20" s="30">
        <v>0.96922645711112698</v>
      </c>
      <c r="G20" s="29">
        <v>5.6947999999999999</v>
      </c>
    </row>
    <row r="21" spans="1:9" x14ac:dyDescent="0.2">
      <c r="A21" s="27" t="s">
        <v>1350</v>
      </c>
      <c r="B21" s="27" t="s">
        <v>1351</v>
      </c>
      <c r="C21" s="27" t="s">
        <v>850</v>
      </c>
      <c r="D21" s="31">
        <v>3</v>
      </c>
      <c r="E21" s="29">
        <v>31.533660000000001</v>
      </c>
      <c r="F21" s="30">
        <v>0.80902500276079103</v>
      </c>
      <c r="G21" s="29">
        <v>5.4391999999999996</v>
      </c>
    </row>
    <row r="22" spans="1:9" x14ac:dyDescent="0.2">
      <c r="A22" s="27" t="s">
        <v>884</v>
      </c>
      <c r="B22" s="27" t="s">
        <v>885</v>
      </c>
      <c r="C22" s="27" t="s">
        <v>39</v>
      </c>
      <c r="D22" s="31">
        <v>3</v>
      </c>
      <c r="E22" s="29">
        <v>31.113630000000001</v>
      </c>
      <c r="F22" s="30">
        <v>0.79824874742253904</v>
      </c>
      <c r="G22" s="29">
        <v>4.1500000000000004</v>
      </c>
    </row>
    <row r="23" spans="1:9" x14ac:dyDescent="0.2">
      <c r="A23" s="27" t="s">
        <v>1323</v>
      </c>
      <c r="B23" s="27" t="s">
        <v>1324</v>
      </c>
      <c r="C23" s="27" t="s">
        <v>39</v>
      </c>
      <c r="D23" s="31">
        <v>2</v>
      </c>
      <c r="E23" s="29">
        <v>25.370380000000001</v>
      </c>
      <c r="F23" s="30">
        <v>0.65090039499196495</v>
      </c>
      <c r="G23" s="29">
        <v>4.9398999999999997</v>
      </c>
    </row>
    <row r="24" spans="1:9" ht="10.5" x14ac:dyDescent="0.25">
      <c r="A24" s="26" t="s">
        <v>40</v>
      </c>
      <c r="B24" s="26"/>
      <c r="C24" s="26"/>
      <c r="D24" s="32"/>
      <c r="E24" s="33">
        <f>SUM(E6:E23)</f>
        <v>3609.5036399999999</v>
      </c>
      <c r="F24" s="34">
        <f>SUM(F6:F23)</f>
        <v>92.605130274001922</v>
      </c>
      <c r="G24" s="33"/>
      <c r="H24" s="18"/>
      <c r="I24" s="18"/>
    </row>
    <row r="25" spans="1:9" x14ac:dyDescent="0.2">
      <c r="A25" s="27"/>
      <c r="B25" s="27"/>
      <c r="C25" s="27"/>
      <c r="D25" s="28"/>
      <c r="E25" s="29"/>
      <c r="F25" s="30"/>
      <c r="G25" s="29"/>
    </row>
    <row r="26" spans="1:9" ht="10.5" x14ac:dyDescent="0.25">
      <c r="A26" s="26" t="s">
        <v>44</v>
      </c>
      <c r="B26" s="26"/>
      <c r="C26" s="26"/>
      <c r="D26" s="32"/>
      <c r="E26" s="33">
        <f>E24</f>
        <v>3609.5036399999999</v>
      </c>
      <c r="F26" s="34">
        <f>F24</f>
        <v>92.605130274001922</v>
      </c>
      <c r="G26" s="33"/>
      <c r="H26" s="18"/>
      <c r="I26" s="18"/>
    </row>
    <row r="27" spans="1:9" ht="10.5" x14ac:dyDescent="0.25">
      <c r="A27" s="26"/>
      <c r="B27" s="26"/>
      <c r="C27" s="26"/>
      <c r="D27" s="32"/>
      <c r="E27" s="33"/>
      <c r="F27" s="34"/>
      <c r="G27" s="33"/>
      <c r="H27" s="18"/>
      <c r="I27" s="18"/>
    </row>
    <row r="28" spans="1:9" ht="10.5" x14ac:dyDescent="0.25">
      <c r="A28" s="26" t="s">
        <v>46</v>
      </c>
      <c r="B28" s="26"/>
      <c r="C28" s="26"/>
      <c r="D28" s="32"/>
      <c r="E28" s="33">
        <f>E30-(E24)</f>
        <v>288.2325106000003</v>
      </c>
      <c r="F28" s="34">
        <f>F30-(F24)</f>
        <v>7.3948697259980776</v>
      </c>
      <c r="G28" s="33"/>
      <c r="H28" s="18"/>
      <c r="I28" s="18"/>
    </row>
    <row r="29" spans="1:9" ht="10.5" x14ac:dyDescent="0.25">
      <c r="A29" s="26"/>
      <c r="B29" s="26"/>
      <c r="C29" s="26"/>
      <c r="D29" s="32"/>
      <c r="E29" s="33"/>
      <c r="F29" s="34"/>
      <c r="G29" s="33"/>
      <c r="H29" s="18"/>
      <c r="I29" s="18"/>
    </row>
    <row r="30" spans="1:9" ht="10.5" x14ac:dyDescent="0.25">
      <c r="A30" s="35" t="s">
        <v>45</v>
      </c>
      <c r="B30" s="35"/>
      <c r="C30" s="35"/>
      <c r="D30" s="36"/>
      <c r="E30" s="37">
        <v>3897.7361506000002</v>
      </c>
      <c r="F30" s="38">
        <v>100</v>
      </c>
      <c r="G30" s="37"/>
      <c r="H30" s="18"/>
      <c r="I30" s="18"/>
    </row>
    <row r="32" spans="1:9" ht="10.5" x14ac:dyDescent="0.25">
      <c r="A32" s="18" t="s">
        <v>47</v>
      </c>
    </row>
    <row r="34" spans="1:4" ht="10.5" x14ac:dyDescent="0.25">
      <c r="A34" s="18" t="s">
        <v>48</v>
      </c>
    </row>
    <row r="35" spans="1:4" ht="10.5" x14ac:dyDescent="0.25">
      <c r="A35" s="18" t="s">
        <v>49</v>
      </c>
    </row>
    <row r="36" spans="1:4" ht="10.5" x14ac:dyDescent="0.25">
      <c r="A36" s="18" t="s">
        <v>50</v>
      </c>
      <c r="B36" s="18"/>
      <c r="C36" s="41" t="s">
        <v>727</v>
      </c>
      <c r="D36" s="19" t="s">
        <v>51</v>
      </c>
    </row>
    <row r="37" spans="1:4" x14ac:dyDescent="0.2">
      <c r="A37" s="9" t="s">
        <v>71</v>
      </c>
      <c r="C37" s="40">
        <v>11.9232</v>
      </c>
      <c r="D37" s="40">
        <v>12.2613</v>
      </c>
    </row>
    <row r="38" spans="1:4" x14ac:dyDescent="0.2">
      <c r="A38" s="9" t="s">
        <v>1329</v>
      </c>
      <c r="C38" s="40">
        <v>11.0627</v>
      </c>
      <c r="D38" s="40">
        <v>10.554399999999999</v>
      </c>
    </row>
    <row r="39" spans="1:4" x14ac:dyDescent="0.2">
      <c r="A39" s="9" t="s">
        <v>73</v>
      </c>
      <c r="C39" s="40">
        <v>10.6267</v>
      </c>
      <c r="D39" s="40">
        <v>10.5389</v>
      </c>
    </row>
    <row r="40" spans="1:4" x14ac:dyDescent="0.2">
      <c r="A40" s="9" t="s">
        <v>74</v>
      </c>
      <c r="C40" s="40">
        <v>11.971399999999999</v>
      </c>
      <c r="D40" s="40">
        <v>12.3262</v>
      </c>
    </row>
    <row r="41" spans="1:4" x14ac:dyDescent="0.2">
      <c r="A41" s="9" t="s">
        <v>78</v>
      </c>
      <c r="C41" s="40">
        <v>11.1099</v>
      </c>
      <c r="D41" s="40">
        <v>10.617100000000001</v>
      </c>
    </row>
    <row r="42" spans="1:4" x14ac:dyDescent="0.2">
      <c r="A42" s="9" t="s">
        <v>76</v>
      </c>
      <c r="C42" s="40">
        <v>10.674799999999999</v>
      </c>
      <c r="D42" s="40">
        <v>10.603199999999999</v>
      </c>
    </row>
    <row r="44" spans="1:4" ht="10.5" x14ac:dyDescent="0.25">
      <c r="A44" s="18" t="s">
        <v>52</v>
      </c>
    </row>
    <row r="45" spans="1:4" ht="10.5" x14ac:dyDescent="0.25">
      <c r="A45" s="77" t="s">
        <v>68</v>
      </c>
      <c r="B45" s="78"/>
      <c r="C45" s="43" t="s">
        <v>69</v>
      </c>
    </row>
    <row r="46" spans="1:4" x14ac:dyDescent="0.2">
      <c r="A46" s="71" t="s">
        <v>1329</v>
      </c>
      <c r="B46" s="72"/>
      <c r="C46" s="44">
        <v>0.82</v>
      </c>
    </row>
    <row r="47" spans="1:4" x14ac:dyDescent="0.2">
      <c r="A47" s="71" t="s">
        <v>73</v>
      </c>
      <c r="B47" s="72"/>
      <c r="C47" s="44">
        <v>0.38500000000000001</v>
      </c>
    </row>
    <row r="48" spans="1:4" x14ac:dyDescent="0.2">
      <c r="A48" s="71" t="s">
        <v>78</v>
      </c>
      <c r="B48" s="72"/>
      <c r="C48" s="44">
        <v>0.82</v>
      </c>
    </row>
    <row r="49" spans="1:7" x14ac:dyDescent="0.2">
      <c r="A49" s="71" t="s">
        <v>76</v>
      </c>
      <c r="B49" s="72"/>
      <c r="C49" s="44">
        <v>0.38500000000000001</v>
      </c>
    </row>
    <row r="50" spans="1:7" x14ac:dyDescent="0.2">
      <c r="A50" s="9" t="s">
        <v>70</v>
      </c>
    </row>
    <row r="52" spans="1:7" ht="10.5" x14ac:dyDescent="0.25">
      <c r="A52" s="18" t="s">
        <v>798</v>
      </c>
      <c r="D52" s="42">
        <v>0.97161410884931498</v>
      </c>
      <c r="E52" s="13" t="s">
        <v>54</v>
      </c>
    </row>
    <row r="54" spans="1:7" ht="10.5" x14ac:dyDescent="0.25">
      <c r="A54" s="18" t="s">
        <v>1502</v>
      </c>
      <c r="D54" s="41" t="s">
        <v>53</v>
      </c>
    </row>
    <row r="56" spans="1:7" ht="15" customHeight="1" x14ac:dyDescent="0.2">
      <c r="A56" s="73" t="s">
        <v>799</v>
      </c>
      <c r="B56" s="74"/>
      <c r="C56" s="74"/>
      <c r="D56" s="74"/>
      <c r="E56" s="74"/>
      <c r="F56" s="74"/>
      <c r="G56" s="74"/>
    </row>
    <row r="57" spans="1:7" x14ac:dyDescent="0.2">
      <c r="A57" s="46" t="s">
        <v>55</v>
      </c>
    </row>
    <row r="59" spans="1:7" x14ac:dyDescent="0.2">
      <c r="A59" s="46"/>
    </row>
  </sheetData>
  <mergeCells count="7">
    <mergeCell ref="A56:G56"/>
    <mergeCell ref="A1:G1"/>
    <mergeCell ref="A45:B45"/>
    <mergeCell ref="A46:B46"/>
    <mergeCell ref="A47:B47"/>
    <mergeCell ref="A48:B48"/>
    <mergeCell ref="A49:B49"/>
  </mergeCells>
  <conditionalFormatting sqref="F2:F3 F5:F55 F60:F65536">
    <cfRule type="cellIs" dxfId="88" priority="3" stopIfTrue="1" operator="between">
      <formula>0.009</formula>
      <formula>-0.009</formula>
    </cfRule>
  </conditionalFormatting>
  <conditionalFormatting sqref="F57">
    <cfRule type="cellIs" dxfId="87" priority="1" stopIfTrue="1" operator="between">
      <formula>0.009</formula>
      <formula>-0.009</formula>
    </cfRule>
  </conditionalFormatting>
  <conditionalFormatting sqref="F58:F59">
    <cfRule type="cellIs" dxfId="86" priority="2" stopIfTrue="1" operator="between">
      <formula>0.009</formula>
      <formula>-0.009</formula>
    </cfRule>
  </conditionalFormatting>
  <hyperlinks>
    <hyperlink ref="A57" r:id="rId1" xr:uid="{00000000-0004-0000-11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5"/>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1352</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897</v>
      </c>
      <c r="B7" s="27" t="s">
        <v>898</v>
      </c>
      <c r="C7" s="27" t="s">
        <v>39</v>
      </c>
      <c r="D7" s="31">
        <v>47</v>
      </c>
      <c r="E7" s="29">
        <v>595.28742999999997</v>
      </c>
      <c r="F7" s="30">
        <v>12.046753853369699</v>
      </c>
      <c r="G7" s="29">
        <v>4.4554</v>
      </c>
    </row>
    <row r="8" spans="1:7" x14ac:dyDescent="0.2">
      <c r="A8" s="27" t="s">
        <v>1005</v>
      </c>
      <c r="B8" s="27" t="s">
        <v>1006</v>
      </c>
      <c r="C8" s="27" t="s">
        <v>894</v>
      </c>
      <c r="D8" s="31">
        <v>47</v>
      </c>
      <c r="E8" s="29">
        <v>490.38436999999999</v>
      </c>
      <c r="F8" s="30">
        <v>9.9238443501650906</v>
      </c>
      <c r="G8" s="29">
        <v>4.25</v>
      </c>
    </row>
    <row r="9" spans="1:7" x14ac:dyDescent="0.2">
      <c r="A9" s="27" t="s">
        <v>942</v>
      </c>
      <c r="B9" s="27" t="s">
        <v>943</v>
      </c>
      <c r="C9" s="27" t="s">
        <v>850</v>
      </c>
      <c r="D9" s="31">
        <v>38</v>
      </c>
      <c r="E9" s="29">
        <v>486.04660000000001</v>
      </c>
      <c r="F9" s="30">
        <v>9.8360614660841499</v>
      </c>
      <c r="G9" s="29">
        <v>5.8242000000000003</v>
      </c>
    </row>
    <row r="10" spans="1:7" x14ac:dyDescent="0.2">
      <c r="A10" s="27" t="s">
        <v>948</v>
      </c>
      <c r="B10" s="27" t="s">
        <v>949</v>
      </c>
      <c r="C10" s="27" t="s">
        <v>39</v>
      </c>
      <c r="D10" s="31">
        <v>47</v>
      </c>
      <c r="E10" s="29">
        <v>480.09983</v>
      </c>
      <c r="F10" s="30">
        <v>9.7157174594710707</v>
      </c>
      <c r="G10" s="29">
        <v>3.9550000000000001</v>
      </c>
    </row>
    <row r="11" spans="1:7" x14ac:dyDescent="0.2">
      <c r="A11" s="27" t="s">
        <v>899</v>
      </c>
      <c r="B11" s="27" t="s">
        <v>900</v>
      </c>
      <c r="C11" s="27" t="s">
        <v>39</v>
      </c>
      <c r="D11" s="31">
        <v>46</v>
      </c>
      <c r="E11" s="29">
        <v>475.28948000000003</v>
      </c>
      <c r="F11" s="30">
        <v>9.6183710357467191</v>
      </c>
      <c r="G11" s="29">
        <v>3.99</v>
      </c>
    </row>
    <row r="12" spans="1:7" x14ac:dyDescent="0.2">
      <c r="A12" s="27" t="s">
        <v>884</v>
      </c>
      <c r="B12" s="27" t="s">
        <v>885</v>
      </c>
      <c r="C12" s="27" t="s">
        <v>39</v>
      </c>
      <c r="D12" s="31">
        <v>45</v>
      </c>
      <c r="E12" s="29">
        <v>466.70445000000001</v>
      </c>
      <c r="F12" s="30">
        <v>9.4446369066155302</v>
      </c>
      <c r="G12" s="29">
        <v>4.1500000000000004</v>
      </c>
    </row>
    <row r="13" spans="1:7" x14ac:dyDescent="0.2">
      <c r="A13" s="27" t="s">
        <v>1353</v>
      </c>
      <c r="B13" s="27" t="s">
        <v>1354</v>
      </c>
      <c r="C13" s="27" t="s">
        <v>39</v>
      </c>
      <c r="D13" s="31">
        <v>35</v>
      </c>
      <c r="E13" s="29">
        <v>370.03575000000001</v>
      </c>
      <c r="F13" s="30">
        <v>7.4883650696220201</v>
      </c>
      <c r="G13" s="29">
        <v>5.04</v>
      </c>
    </row>
    <row r="14" spans="1:7" x14ac:dyDescent="0.2">
      <c r="A14" s="27" t="s">
        <v>1348</v>
      </c>
      <c r="B14" s="27" t="s">
        <v>1349</v>
      </c>
      <c r="C14" s="27" t="s">
        <v>39</v>
      </c>
      <c r="D14" s="31">
        <v>29</v>
      </c>
      <c r="E14" s="29">
        <v>369.17</v>
      </c>
      <c r="F14" s="30">
        <v>7.4708450001178601</v>
      </c>
      <c r="G14" s="29">
        <v>6.0749000000000004</v>
      </c>
    </row>
    <row r="15" spans="1:7" x14ac:dyDescent="0.2">
      <c r="A15" s="27" t="s">
        <v>918</v>
      </c>
      <c r="B15" s="27" t="s">
        <v>919</v>
      </c>
      <c r="C15" s="27" t="s">
        <v>39</v>
      </c>
      <c r="D15" s="31">
        <v>24</v>
      </c>
      <c r="E15" s="29">
        <v>250.30488</v>
      </c>
      <c r="F15" s="30">
        <v>5.0653871150231602</v>
      </c>
      <c r="G15" s="29">
        <v>4.1399999999999997</v>
      </c>
    </row>
    <row r="16" spans="1:7" x14ac:dyDescent="0.2">
      <c r="A16" s="27" t="s">
        <v>1002</v>
      </c>
      <c r="B16" s="27" t="s">
        <v>1003</v>
      </c>
      <c r="C16" s="27" t="s">
        <v>1004</v>
      </c>
      <c r="D16" s="31">
        <v>22</v>
      </c>
      <c r="E16" s="29">
        <v>233.51658</v>
      </c>
      <c r="F16" s="30">
        <v>4.7256444839440404</v>
      </c>
      <c r="G16" s="29">
        <v>4.0999999999999996</v>
      </c>
    </row>
    <row r="17" spans="1:9" x14ac:dyDescent="0.2">
      <c r="A17" s="27" t="s">
        <v>944</v>
      </c>
      <c r="B17" s="27" t="s">
        <v>945</v>
      </c>
      <c r="C17" s="27" t="s">
        <v>39</v>
      </c>
      <c r="D17" s="31">
        <v>10</v>
      </c>
      <c r="E17" s="29">
        <v>102.85129999999999</v>
      </c>
      <c r="F17" s="30">
        <v>2.0813883044684598</v>
      </c>
      <c r="G17" s="29">
        <v>4.7248000000000001</v>
      </c>
    </row>
    <row r="18" spans="1:9" x14ac:dyDescent="0.2">
      <c r="A18" s="27" t="s">
        <v>882</v>
      </c>
      <c r="B18" s="27" t="s">
        <v>883</v>
      </c>
      <c r="C18" s="27" t="s">
        <v>39</v>
      </c>
      <c r="D18" s="31">
        <v>8</v>
      </c>
      <c r="E18" s="29">
        <v>83.236639999999994</v>
      </c>
      <c r="F18" s="30">
        <v>1.6844489957759601</v>
      </c>
      <c r="G18" s="29">
        <v>4.38</v>
      </c>
    </row>
    <row r="19" spans="1:9" x14ac:dyDescent="0.2">
      <c r="A19" s="27" t="s">
        <v>1335</v>
      </c>
      <c r="B19" s="27" t="s">
        <v>1336</v>
      </c>
      <c r="C19" s="27" t="s">
        <v>1249</v>
      </c>
      <c r="D19" s="31">
        <v>5</v>
      </c>
      <c r="E19" s="29">
        <v>62.963149999999999</v>
      </c>
      <c r="F19" s="30">
        <v>1.27417703055278</v>
      </c>
      <c r="G19" s="29">
        <v>5.6947999999999999</v>
      </c>
    </row>
    <row r="20" spans="1:9" x14ac:dyDescent="0.2">
      <c r="A20" s="27" t="s">
        <v>870</v>
      </c>
      <c r="B20" s="27" t="s">
        <v>871</v>
      </c>
      <c r="C20" s="27" t="s">
        <v>872</v>
      </c>
      <c r="D20" s="31">
        <v>6</v>
      </c>
      <c r="E20" s="29">
        <v>61.694940000000003</v>
      </c>
      <c r="F20" s="30">
        <v>1.24851243067305</v>
      </c>
      <c r="G20" s="29">
        <v>5.9085000000000001</v>
      </c>
    </row>
    <row r="21" spans="1:9" x14ac:dyDescent="0.2">
      <c r="A21" s="27" t="s">
        <v>1342</v>
      </c>
      <c r="B21" s="27" t="s">
        <v>1343</v>
      </c>
      <c r="C21" s="27" t="s">
        <v>850</v>
      </c>
      <c r="D21" s="31">
        <v>4</v>
      </c>
      <c r="E21" s="29">
        <v>42.40484</v>
      </c>
      <c r="F21" s="30">
        <v>0.85814120024595097</v>
      </c>
      <c r="G21" s="29">
        <v>5.1749000000000001</v>
      </c>
    </row>
    <row r="22" spans="1:9" x14ac:dyDescent="0.2">
      <c r="A22" s="27" t="s">
        <v>1323</v>
      </c>
      <c r="B22" s="27" t="s">
        <v>1324</v>
      </c>
      <c r="C22" s="27" t="s">
        <v>39</v>
      </c>
      <c r="D22" s="31">
        <v>1</v>
      </c>
      <c r="E22" s="29">
        <v>12.68519</v>
      </c>
      <c r="F22" s="30">
        <v>0.25670853072309502</v>
      </c>
      <c r="G22" s="29">
        <v>4.9398999999999997</v>
      </c>
    </row>
    <row r="23" spans="1:9" x14ac:dyDescent="0.2">
      <c r="A23" s="27" t="s">
        <v>876</v>
      </c>
      <c r="B23" s="27" t="s">
        <v>877</v>
      </c>
      <c r="C23" s="27" t="s">
        <v>865</v>
      </c>
      <c r="D23" s="31">
        <v>1</v>
      </c>
      <c r="E23" s="29">
        <v>10.31231</v>
      </c>
      <c r="F23" s="30">
        <v>0.20868886855152199</v>
      </c>
      <c r="G23" s="29">
        <v>6.0987</v>
      </c>
    </row>
    <row r="24" spans="1:9" ht="10.5" x14ac:dyDescent="0.25">
      <c r="A24" s="26" t="s">
        <v>40</v>
      </c>
      <c r="B24" s="26"/>
      <c r="C24" s="26"/>
      <c r="D24" s="32"/>
      <c r="E24" s="33">
        <f>SUM(E6:E23)</f>
        <v>4592.9877400000014</v>
      </c>
      <c r="F24" s="34">
        <f>SUM(F6:F23)</f>
        <v>92.947692101150139</v>
      </c>
      <c r="G24" s="33"/>
      <c r="H24" s="18"/>
      <c r="I24" s="18"/>
    </row>
    <row r="25" spans="1:9" x14ac:dyDescent="0.2">
      <c r="A25" s="27"/>
      <c r="B25" s="27"/>
      <c r="C25" s="27"/>
      <c r="D25" s="28"/>
      <c r="E25" s="29"/>
      <c r="F25" s="30"/>
      <c r="G25" s="29"/>
    </row>
    <row r="26" spans="1:9" ht="10.5" x14ac:dyDescent="0.25">
      <c r="A26" s="26" t="s">
        <v>44</v>
      </c>
      <c r="B26" s="26"/>
      <c r="C26" s="26"/>
      <c r="D26" s="32"/>
      <c r="E26" s="33">
        <f>E24</f>
        <v>4592.9877400000014</v>
      </c>
      <c r="F26" s="34">
        <f>F24</f>
        <v>92.947692101150139</v>
      </c>
      <c r="G26" s="33"/>
      <c r="H26" s="18"/>
      <c r="I26" s="18"/>
    </row>
    <row r="27" spans="1:9" ht="10.5" x14ac:dyDescent="0.25">
      <c r="A27" s="26"/>
      <c r="B27" s="26"/>
      <c r="C27" s="26"/>
      <c r="D27" s="32"/>
      <c r="E27" s="33"/>
      <c r="F27" s="34"/>
      <c r="G27" s="33"/>
      <c r="H27" s="18"/>
      <c r="I27" s="18"/>
    </row>
    <row r="28" spans="1:9" ht="10.5" x14ac:dyDescent="0.25">
      <c r="A28" s="26" t="s">
        <v>46</v>
      </c>
      <c r="B28" s="26"/>
      <c r="C28" s="26"/>
      <c r="D28" s="32"/>
      <c r="E28" s="33">
        <f>E30-(E24)</f>
        <v>348.48809029999848</v>
      </c>
      <c r="F28" s="34">
        <f>F30-(F24)</f>
        <v>7.0523078988498611</v>
      </c>
      <c r="G28" s="33"/>
      <c r="H28" s="18"/>
      <c r="I28" s="18"/>
    </row>
    <row r="29" spans="1:9" ht="10.5" x14ac:dyDescent="0.25">
      <c r="A29" s="26"/>
      <c r="B29" s="26"/>
      <c r="C29" s="26"/>
      <c r="D29" s="32"/>
      <c r="E29" s="33"/>
      <c r="F29" s="34"/>
      <c r="G29" s="33"/>
      <c r="H29" s="18"/>
      <c r="I29" s="18"/>
    </row>
    <row r="30" spans="1:9" ht="10.5" x14ac:dyDescent="0.25">
      <c r="A30" s="35" t="s">
        <v>45</v>
      </c>
      <c r="B30" s="35"/>
      <c r="C30" s="35"/>
      <c r="D30" s="36"/>
      <c r="E30" s="37">
        <v>4941.4758302999999</v>
      </c>
      <c r="F30" s="38">
        <v>100</v>
      </c>
      <c r="G30" s="37"/>
      <c r="H30" s="18"/>
      <c r="I30" s="18"/>
    </row>
    <row r="32" spans="1:9" ht="10.5" x14ac:dyDescent="0.25">
      <c r="A32" s="18" t="s">
        <v>47</v>
      </c>
    </row>
    <row r="34" spans="1:5" ht="10.5" x14ac:dyDescent="0.25">
      <c r="A34" s="18" t="s">
        <v>48</v>
      </c>
    </row>
    <row r="35" spans="1:5" ht="10.5" x14ac:dyDescent="0.25">
      <c r="A35" s="18" t="s">
        <v>49</v>
      </c>
    </row>
    <row r="36" spans="1:5" ht="10.5" x14ac:dyDescent="0.25">
      <c r="A36" s="18" t="s">
        <v>50</v>
      </c>
      <c r="B36" s="18"/>
      <c r="C36" s="41" t="s">
        <v>727</v>
      </c>
      <c r="D36" s="19" t="s">
        <v>51</v>
      </c>
    </row>
    <row r="37" spans="1:5" x14ac:dyDescent="0.2">
      <c r="A37" s="9" t="s">
        <v>71</v>
      </c>
      <c r="C37" s="40">
        <v>12.0161</v>
      </c>
      <c r="D37" s="40">
        <v>12.348599999999999</v>
      </c>
    </row>
    <row r="38" spans="1:5" x14ac:dyDescent="0.2">
      <c r="A38" s="9" t="s">
        <v>1329</v>
      </c>
      <c r="C38" s="40">
        <v>11.1799</v>
      </c>
      <c r="D38" s="40">
        <v>10.645</v>
      </c>
    </row>
    <row r="39" spans="1:5" x14ac:dyDescent="0.2">
      <c r="A39" s="9" t="s">
        <v>73</v>
      </c>
      <c r="C39" s="40">
        <v>10.7606</v>
      </c>
      <c r="D39" s="40">
        <v>10.632099999999999</v>
      </c>
    </row>
    <row r="40" spans="1:5" x14ac:dyDescent="0.2">
      <c r="A40" s="9" t="s">
        <v>74</v>
      </c>
      <c r="C40" s="40">
        <v>12.0761</v>
      </c>
      <c r="D40" s="40">
        <v>12.428800000000001</v>
      </c>
    </row>
    <row r="42" spans="1:5" ht="10.5" x14ac:dyDescent="0.25">
      <c r="A42" s="18" t="s">
        <v>52</v>
      </c>
    </row>
    <row r="43" spans="1:5" ht="10.5" x14ac:dyDescent="0.25">
      <c r="A43" s="77" t="s">
        <v>68</v>
      </c>
      <c r="B43" s="78"/>
      <c r="C43" s="43" t="s">
        <v>69</v>
      </c>
    </row>
    <row r="44" spans="1:5" x14ac:dyDescent="0.2">
      <c r="A44" s="71" t="s">
        <v>1329</v>
      </c>
      <c r="B44" s="72"/>
      <c r="C44" s="44">
        <v>0.84</v>
      </c>
    </row>
    <row r="45" spans="1:5" x14ac:dyDescent="0.2">
      <c r="A45" s="71" t="s">
        <v>73</v>
      </c>
      <c r="B45" s="72"/>
      <c r="C45" s="44">
        <v>0.42</v>
      </c>
    </row>
    <row r="46" spans="1:5" x14ac:dyDescent="0.2">
      <c r="A46" s="9" t="s">
        <v>70</v>
      </c>
    </row>
    <row r="48" spans="1:5" ht="10.5" x14ac:dyDescent="0.25">
      <c r="A48" s="18" t="s">
        <v>798</v>
      </c>
      <c r="D48" s="42">
        <v>0.96989977673972605</v>
      </c>
      <c r="E48" s="13" t="s">
        <v>54</v>
      </c>
    </row>
    <row r="50" spans="1:7" ht="10.5" x14ac:dyDescent="0.25">
      <c r="A50" s="18" t="s">
        <v>1502</v>
      </c>
      <c r="D50" s="41" t="s">
        <v>53</v>
      </c>
    </row>
    <row r="52" spans="1:7" ht="15" customHeight="1" x14ac:dyDescent="0.2">
      <c r="A52" s="73" t="s">
        <v>799</v>
      </c>
      <c r="B52" s="74"/>
      <c r="C52" s="74"/>
      <c r="D52" s="74"/>
      <c r="E52" s="74"/>
      <c r="F52" s="74"/>
      <c r="G52" s="74"/>
    </row>
    <row r="53" spans="1:7" x14ac:dyDescent="0.2">
      <c r="A53" s="46" t="s">
        <v>55</v>
      </c>
    </row>
    <row r="55" spans="1:7" x14ac:dyDescent="0.2">
      <c r="A55" s="46"/>
    </row>
  </sheetData>
  <mergeCells count="5">
    <mergeCell ref="A1:G1"/>
    <mergeCell ref="A43:B43"/>
    <mergeCell ref="A44:B44"/>
    <mergeCell ref="A45:B45"/>
    <mergeCell ref="A52:G52"/>
  </mergeCells>
  <conditionalFormatting sqref="F2:F3 F5:F51 F56:F65536">
    <cfRule type="cellIs" dxfId="85" priority="3" stopIfTrue="1" operator="between">
      <formula>0.009</formula>
      <formula>-0.009</formula>
    </cfRule>
  </conditionalFormatting>
  <conditionalFormatting sqref="F53">
    <cfRule type="cellIs" dxfId="84" priority="1" stopIfTrue="1" operator="between">
      <formula>0.009</formula>
      <formula>-0.009</formula>
    </cfRule>
  </conditionalFormatting>
  <conditionalFormatting sqref="F54:F55">
    <cfRule type="cellIs" dxfId="83" priority="2" stopIfTrue="1" operator="between">
      <formula>0.009</formula>
      <formula>-0.009</formula>
    </cfRule>
  </conditionalFormatting>
  <hyperlinks>
    <hyperlink ref="A53" r:id="rId1" xr:uid="{00000000-0004-0000-12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54"/>
  <sheetViews>
    <sheetView workbookViewId="0">
      <selection sqref="A1:G1"/>
    </sheetView>
  </sheetViews>
  <sheetFormatPr defaultColWidth="9.1796875" defaultRowHeight="10" x14ac:dyDescent="0.2"/>
  <cols>
    <col min="1" max="1" width="38.7265625" style="9" bestFit="1" customWidth="1"/>
    <col min="2" max="2" width="53.8164062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1355</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942</v>
      </c>
      <c r="B7" s="27" t="s">
        <v>943</v>
      </c>
      <c r="C7" s="27" t="s">
        <v>850</v>
      </c>
      <c r="D7" s="31">
        <v>26</v>
      </c>
      <c r="E7" s="29">
        <v>332.5582</v>
      </c>
      <c r="F7" s="30">
        <v>11.9212318859687</v>
      </c>
      <c r="G7" s="29">
        <v>5.8242000000000003</v>
      </c>
    </row>
    <row r="8" spans="1:7" x14ac:dyDescent="0.2">
      <c r="A8" s="27" t="s">
        <v>948</v>
      </c>
      <c r="B8" s="27" t="s">
        <v>949</v>
      </c>
      <c r="C8" s="27" t="s">
        <v>39</v>
      </c>
      <c r="D8" s="31">
        <v>28</v>
      </c>
      <c r="E8" s="29">
        <v>286.01692000000003</v>
      </c>
      <c r="F8" s="30">
        <v>10.2528640900467</v>
      </c>
      <c r="G8" s="29">
        <v>3.9550000000000001</v>
      </c>
    </row>
    <row r="9" spans="1:7" x14ac:dyDescent="0.2">
      <c r="A9" s="27" t="s">
        <v>1005</v>
      </c>
      <c r="B9" s="27" t="s">
        <v>1006</v>
      </c>
      <c r="C9" s="27" t="s">
        <v>894</v>
      </c>
      <c r="D9" s="31">
        <v>27</v>
      </c>
      <c r="E9" s="29">
        <v>281.71017000000001</v>
      </c>
      <c r="F9" s="30">
        <v>10.098479788517199</v>
      </c>
      <c r="G9" s="29">
        <v>4.25</v>
      </c>
    </row>
    <row r="10" spans="1:7" x14ac:dyDescent="0.2">
      <c r="A10" s="27" t="s">
        <v>1350</v>
      </c>
      <c r="B10" s="27" t="s">
        <v>1351</v>
      </c>
      <c r="C10" s="27" t="s">
        <v>850</v>
      </c>
      <c r="D10" s="31">
        <v>26</v>
      </c>
      <c r="E10" s="29">
        <v>273.29172</v>
      </c>
      <c r="F10" s="30">
        <v>9.7967031534186795</v>
      </c>
      <c r="G10" s="29">
        <v>5.4391999999999996</v>
      </c>
    </row>
    <row r="11" spans="1:7" x14ac:dyDescent="0.2">
      <c r="A11" s="27" t="s">
        <v>932</v>
      </c>
      <c r="B11" s="27" t="s">
        <v>933</v>
      </c>
      <c r="C11" s="27" t="s">
        <v>894</v>
      </c>
      <c r="D11" s="31">
        <v>26</v>
      </c>
      <c r="E11" s="29">
        <v>271.55804000000001</v>
      </c>
      <c r="F11" s="30">
        <v>9.7345558321495993</v>
      </c>
      <c r="G11" s="29">
        <v>4.1150000000000002</v>
      </c>
    </row>
    <row r="12" spans="1:7" x14ac:dyDescent="0.2">
      <c r="A12" s="27" t="s">
        <v>918</v>
      </c>
      <c r="B12" s="27" t="s">
        <v>919</v>
      </c>
      <c r="C12" s="27" t="s">
        <v>39</v>
      </c>
      <c r="D12" s="31">
        <v>26</v>
      </c>
      <c r="E12" s="29">
        <v>271.16361999999998</v>
      </c>
      <c r="F12" s="30">
        <v>9.7204170369538598</v>
      </c>
      <c r="G12" s="29">
        <v>4.1399999999999997</v>
      </c>
    </row>
    <row r="13" spans="1:7" x14ac:dyDescent="0.2">
      <c r="A13" s="27" t="s">
        <v>899</v>
      </c>
      <c r="B13" s="27" t="s">
        <v>900</v>
      </c>
      <c r="C13" s="27" t="s">
        <v>39</v>
      </c>
      <c r="D13" s="31">
        <v>26</v>
      </c>
      <c r="E13" s="29">
        <v>268.64188000000001</v>
      </c>
      <c r="F13" s="30">
        <v>9.6300200859957403</v>
      </c>
      <c r="G13" s="29">
        <v>3.99</v>
      </c>
    </row>
    <row r="14" spans="1:7" x14ac:dyDescent="0.2">
      <c r="A14" s="27" t="s">
        <v>876</v>
      </c>
      <c r="B14" s="27" t="s">
        <v>877</v>
      </c>
      <c r="C14" s="27" t="s">
        <v>865</v>
      </c>
      <c r="D14" s="31">
        <v>24</v>
      </c>
      <c r="E14" s="29">
        <v>247.49544</v>
      </c>
      <c r="F14" s="30">
        <v>8.8719825009873894</v>
      </c>
      <c r="G14" s="29">
        <v>6.0987</v>
      </c>
    </row>
    <row r="15" spans="1:7" x14ac:dyDescent="0.2">
      <c r="A15" s="27" t="s">
        <v>1348</v>
      </c>
      <c r="B15" s="27" t="s">
        <v>1349</v>
      </c>
      <c r="C15" s="27" t="s">
        <v>39</v>
      </c>
      <c r="D15" s="31">
        <v>10</v>
      </c>
      <c r="E15" s="29">
        <v>127.3</v>
      </c>
      <c r="F15" s="30">
        <v>4.5633300248913402</v>
      </c>
      <c r="G15" s="29">
        <v>6.0749000000000004</v>
      </c>
    </row>
    <row r="16" spans="1:7" x14ac:dyDescent="0.2">
      <c r="A16" s="27" t="s">
        <v>1333</v>
      </c>
      <c r="B16" s="27" t="s">
        <v>1334</v>
      </c>
      <c r="C16" s="27" t="s">
        <v>39</v>
      </c>
      <c r="D16" s="31">
        <v>12</v>
      </c>
      <c r="E16" s="29">
        <v>124.33763999999999</v>
      </c>
      <c r="F16" s="30">
        <v>4.4571381448242802</v>
      </c>
      <c r="G16" s="29">
        <v>4.1349999999999998</v>
      </c>
    </row>
    <row r="17" spans="1:9" x14ac:dyDescent="0.2">
      <c r="A17" s="27" t="s">
        <v>1323</v>
      </c>
      <c r="B17" s="27" t="s">
        <v>1324</v>
      </c>
      <c r="C17" s="27" t="s">
        <v>39</v>
      </c>
      <c r="D17" s="31">
        <v>2</v>
      </c>
      <c r="E17" s="29">
        <v>25.370380000000001</v>
      </c>
      <c r="F17" s="30">
        <v>0.90945339196310204</v>
      </c>
      <c r="G17" s="29">
        <v>4.9398999999999997</v>
      </c>
    </row>
    <row r="18" spans="1:9" x14ac:dyDescent="0.2">
      <c r="A18" s="27" t="s">
        <v>1342</v>
      </c>
      <c r="B18" s="27" t="s">
        <v>1343</v>
      </c>
      <c r="C18" s="27" t="s">
        <v>850</v>
      </c>
      <c r="D18" s="31">
        <v>2</v>
      </c>
      <c r="E18" s="29">
        <v>21.20242</v>
      </c>
      <c r="F18" s="30">
        <v>0.76004430311356397</v>
      </c>
      <c r="G18" s="29">
        <v>5.1749000000000001</v>
      </c>
    </row>
    <row r="19" spans="1:9" ht="10.5" x14ac:dyDescent="0.25">
      <c r="A19" s="26" t="s">
        <v>40</v>
      </c>
      <c r="B19" s="26"/>
      <c r="C19" s="26"/>
      <c r="D19" s="32"/>
      <c r="E19" s="33">
        <f>SUM(E6:E18)</f>
        <v>2530.6464300000002</v>
      </c>
      <c r="F19" s="34">
        <f>SUM(F6:F18)</f>
        <v>90.716220238830147</v>
      </c>
      <c r="G19" s="33"/>
      <c r="H19" s="18"/>
      <c r="I19" s="18"/>
    </row>
    <row r="20" spans="1:9" x14ac:dyDescent="0.2">
      <c r="A20" s="27"/>
      <c r="B20" s="27"/>
      <c r="C20" s="27"/>
      <c r="D20" s="28"/>
      <c r="E20" s="29"/>
      <c r="F20" s="30"/>
      <c r="G20" s="29"/>
    </row>
    <row r="21" spans="1:9" ht="10.5" x14ac:dyDescent="0.25">
      <c r="A21" s="26" t="s">
        <v>44</v>
      </c>
      <c r="B21" s="26"/>
      <c r="C21" s="26"/>
      <c r="D21" s="32"/>
      <c r="E21" s="33">
        <f>E19</f>
        <v>2530.6464300000002</v>
      </c>
      <c r="F21" s="34">
        <f>F19</f>
        <v>90.716220238830147</v>
      </c>
      <c r="G21" s="33"/>
      <c r="H21" s="18"/>
      <c r="I21" s="18"/>
    </row>
    <row r="22" spans="1:9" ht="10.5" x14ac:dyDescent="0.25">
      <c r="A22" s="26"/>
      <c r="B22" s="26"/>
      <c r="C22" s="26"/>
      <c r="D22" s="32"/>
      <c r="E22" s="33"/>
      <c r="F22" s="34"/>
      <c r="G22" s="33"/>
      <c r="H22" s="18"/>
      <c r="I22" s="18"/>
    </row>
    <row r="23" spans="1:9" ht="10.5" x14ac:dyDescent="0.25">
      <c r="A23" s="26" t="s">
        <v>46</v>
      </c>
      <c r="B23" s="26"/>
      <c r="C23" s="26"/>
      <c r="D23" s="32"/>
      <c r="E23" s="33">
        <f>E25-(E19)</f>
        <v>258.98305779999964</v>
      </c>
      <c r="F23" s="34">
        <f>F25-(F19)</f>
        <v>9.2837797611698534</v>
      </c>
      <c r="G23" s="33"/>
      <c r="H23" s="18"/>
      <c r="I23" s="18"/>
    </row>
    <row r="24" spans="1:9" ht="10.5" x14ac:dyDescent="0.25">
      <c r="A24" s="26"/>
      <c r="B24" s="26"/>
      <c r="C24" s="26"/>
      <c r="D24" s="32"/>
      <c r="E24" s="33"/>
      <c r="F24" s="34"/>
      <c r="G24" s="33"/>
      <c r="H24" s="18"/>
      <c r="I24" s="18"/>
    </row>
    <row r="25" spans="1:9" ht="10.5" x14ac:dyDescent="0.25">
      <c r="A25" s="35" t="s">
        <v>45</v>
      </c>
      <c r="B25" s="35"/>
      <c r="C25" s="35"/>
      <c r="D25" s="36"/>
      <c r="E25" s="37">
        <v>2789.6294877999999</v>
      </c>
      <c r="F25" s="38">
        <v>100</v>
      </c>
      <c r="G25" s="37"/>
      <c r="H25" s="18"/>
      <c r="I25" s="18"/>
    </row>
    <row r="27" spans="1:9" ht="10.5" x14ac:dyDescent="0.25">
      <c r="A27" s="18" t="s">
        <v>47</v>
      </c>
    </row>
    <row r="29" spans="1:9" ht="10.5" x14ac:dyDescent="0.25">
      <c r="A29" s="18" t="s">
        <v>48</v>
      </c>
    </row>
    <row r="30" spans="1:9" ht="10.5" x14ac:dyDescent="0.25">
      <c r="A30" s="18" t="s">
        <v>49</v>
      </c>
    </row>
    <row r="31" spans="1:9" ht="10.5" x14ac:dyDescent="0.25">
      <c r="A31" s="18" t="s">
        <v>50</v>
      </c>
      <c r="B31" s="18"/>
      <c r="C31" s="41" t="s">
        <v>727</v>
      </c>
      <c r="D31" s="19" t="s">
        <v>51</v>
      </c>
    </row>
    <row r="32" spans="1:9" x14ac:dyDescent="0.2">
      <c r="A32" s="9" t="s">
        <v>71</v>
      </c>
      <c r="C32" s="40">
        <v>12.1348</v>
      </c>
      <c r="D32" s="40">
        <v>12.4983</v>
      </c>
    </row>
    <row r="33" spans="1:5" x14ac:dyDescent="0.2">
      <c r="A33" s="9" t="s">
        <v>1329</v>
      </c>
      <c r="C33" s="40">
        <v>11.2775</v>
      </c>
      <c r="D33" s="40">
        <v>10.686</v>
      </c>
    </row>
    <row r="34" spans="1:5" x14ac:dyDescent="0.2">
      <c r="A34" s="9" t="s">
        <v>73</v>
      </c>
      <c r="C34" s="40">
        <v>10.5494</v>
      </c>
      <c r="D34" s="40">
        <v>10.457800000000001</v>
      </c>
    </row>
    <row r="35" spans="1:5" x14ac:dyDescent="0.2">
      <c r="A35" s="9" t="s">
        <v>74</v>
      </c>
      <c r="C35" s="40">
        <v>12.198700000000001</v>
      </c>
      <c r="D35" s="40">
        <v>12.5829</v>
      </c>
    </row>
    <row r="36" spans="1:5" x14ac:dyDescent="0.2">
      <c r="A36" s="9" t="s">
        <v>78</v>
      </c>
      <c r="C36" s="40">
        <v>11.3368</v>
      </c>
      <c r="D36" s="40">
        <v>10.7614</v>
      </c>
    </row>
    <row r="37" spans="1:5" x14ac:dyDescent="0.2">
      <c r="A37" s="9" t="s">
        <v>76</v>
      </c>
      <c r="C37" s="40">
        <v>10.6098</v>
      </c>
      <c r="D37" s="40">
        <v>10.536199999999999</v>
      </c>
    </row>
    <row r="39" spans="1:5" ht="10.5" x14ac:dyDescent="0.25">
      <c r="A39" s="18" t="s">
        <v>52</v>
      </c>
    </row>
    <row r="40" spans="1:5" ht="10.5" x14ac:dyDescent="0.25">
      <c r="A40" s="77" t="s">
        <v>68</v>
      </c>
      <c r="B40" s="78"/>
      <c r="C40" s="43" t="s">
        <v>69</v>
      </c>
    </row>
    <row r="41" spans="1:5" x14ac:dyDescent="0.2">
      <c r="A41" s="71" t="s">
        <v>1329</v>
      </c>
      <c r="B41" s="72"/>
      <c r="C41" s="44">
        <v>0.92</v>
      </c>
    </row>
    <row r="42" spans="1:5" x14ac:dyDescent="0.2">
      <c r="A42" s="71" t="s">
        <v>73</v>
      </c>
      <c r="B42" s="72"/>
      <c r="C42" s="44">
        <v>0.40500000000000003</v>
      </c>
    </row>
    <row r="43" spans="1:5" x14ac:dyDescent="0.2">
      <c r="A43" s="71" t="s">
        <v>78</v>
      </c>
      <c r="B43" s="72"/>
      <c r="C43" s="44">
        <v>0.92</v>
      </c>
    </row>
    <row r="44" spans="1:5" x14ac:dyDescent="0.2">
      <c r="A44" s="71" t="s">
        <v>76</v>
      </c>
      <c r="B44" s="72"/>
      <c r="C44" s="44">
        <v>0.40500000000000003</v>
      </c>
    </row>
    <row r="45" spans="1:5" x14ac:dyDescent="0.2">
      <c r="A45" s="9" t="s">
        <v>70</v>
      </c>
    </row>
    <row r="47" spans="1:5" ht="10.5" x14ac:dyDescent="0.25">
      <c r="A47" s="18" t="s">
        <v>798</v>
      </c>
      <c r="D47" s="42">
        <v>0.917059620082192</v>
      </c>
      <c r="E47" s="13" t="s">
        <v>54</v>
      </c>
    </row>
    <row r="49" spans="1:7" ht="10.5" x14ac:dyDescent="0.25">
      <c r="A49" s="18" t="s">
        <v>1502</v>
      </c>
      <c r="D49" s="41" t="s">
        <v>53</v>
      </c>
    </row>
    <row r="51" spans="1:7" ht="15" customHeight="1" x14ac:dyDescent="0.2">
      <c r="A51" s="73" t="s">
        <v>799</v>
      </c>
      <c r="B51" s="74"/>
      <c r="C51" s="74"/>
      <c r="D51" s="74"/>
      <c r="E51" s="74"/>
      <c r="F51" s="74"/>
      <c r="G51" s="74"/>
    </row>
    <row r="52" spans="1:7" x14ac:dyDescent="0.2">
      <c r="A52" s="46" t="s">
        <v>55</v>
      </c>
    </row>
    <row r="54" spans="1:7" x14ac:dyDescent="0.2">
      <c r="A54" s="46"/>
    </row>
  </sheetData>
  <mergeCells count="7">
    <mergeCell ref="A51:G51"/>
    <mergeCell ref="A1:G1"/>
    <mergeCell ref="A40:B40"/>
    <mergeCell ref="A41:B41"/>
    <mergeCell ref="A42:B42"/>
    <mergeCell ref="A43:B43"/>
    <mergeCell ref="A44:B44"/>
  </mergeCells>
  <conditionalFormatting sqref="F2:F3 F5:F50 F55:F65536">
    <cfRule type="cellIs" dxfId="82" priority="3" stopIfTrue="1" operator="between">
      <formula>0.009</formula>
      <formula>-0.009</formula>
    </cfRule>
  </conditionalFormatting>
  <conditionalFormatting sqref="F52">
    <cfRule type="cellIs" dxfId="81" priority="1" stopIfTrue="1" operator="between">
      <formula>0.009</formula>
      <formula>-0.009</formula>
    </cfRule>
  </conditionalFormatting>
  <conditionalFormatting sqref="F53:F54">
    <cfRule type="cellIs" dxfId="80" priority="2" stopIfTrue="1" operator="between">
      <formula>0.009</formula>
      <formula>-0.009</formula>
    </cfRule>
  </conditionalFormatting>
  <hyperlinks>
    <hyperlink ref="A52" r:id="rId1" xr:uid="{00000000-0004-0000-13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62"/>
  <sheetViews>
    <sheetView workbookViewId="0">
      <selection sqref="A1:G1"/>
    </sheetView>
  </sheetViews>
  <sheetFormatPr defaultColWidth="9.1796875" defaultRowHeight="10" x14ac:dyDescent="0.2"/>
  <cols>
    <col min="1" max="1" width="38.7265625" style="9" bestFit="1" customWidth="1"/>
    <col min="2" max="2" width="53.8164062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1356</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942</v>
      </c>
      <c r="B7" s="27" t="s">
        <v>943</v>
      </c>
      <c r="C7" s="27" t="s">
        <v>850</v>
      </c>
      <c r="D7" s="31">
        <v>50</v>
      </c>
      <c r="E7" s="29">
        <v>639.53499999999997</v>
      </c>
      <c r="F7" s="30">
        <v>11.986630057187099</v>
      </c>
      <c r="G7" s="29">
        <v>5.8242000000000003</v>
      </c>
    </row>
    <row r="8" spans="1:7" x14ac:dyDescent="0.2">
      <c r="A8" s="27" t="s">
        <v>1005</v>
      </c>
      <c r="B8" s="27" t="s">
        <v>1006</v>
      </c>
      <c r="C8" s="27" t="s">
        <v>894</v>
      </c>
      <c r="D8" s="31">
        <v>50</v>
      </c>
      <c r="E8" s="29">
        <v>521.68550000000005</v>
      </c>
      <c r="F8" s="30">
        <v>9.7778090248362606</v>
      </c>
      <c r="G8" s="29">
        <v>4.25</v>
      </c>
    </row>
    <row r="9" spans="1:7" x14ac:dyDescent="0.2">
      <c r="A9" s="27" t="s">
        <v>918</v>
      </c>
      <c r="B9" s="27" t="s">
        <v>919</v>
      </c>
      <c r="C9" s="27" t="s">
        <v>39</v>
      </c>
      <c r="D9" s="31">
        <v>50</v>
      </c>
      <c r="E9" s="29">
        <v>521.46849999999995</v>
      </c>
      <c r="F9" s="30">
        <v>9.77374185302798</v>
      </c>
      <c r="G9" s="29">
        <v>4.1399999999999997</v>
      </c>
    </row>
    <row r="10" spans="1:7" x14ac:dyDescent="0.2">
      <c r="A10" s="27" t="s">
        <v>1357</v>
      </c>
      <c r="B10" s="27" t="s">
        <v>1358</v>
      </c>
      <c r="C10" s="27" t="s">
        <v>39</v>
      </c>
      <c r="D10" s="31">
        <v>50</v>
      </c>
      <c r="E10" s="29">
        <v>518.99099999999999</v>
      </c>
      <c r="F10" s="30">
        <v>9.7273067463228298</v>
      </c>
      <c r="G10" s="29">
        <v>4.4550000000000001</v>
      </c>
    </row>
    <row r="11" spans="1:7" x14ac:dyDescent="0.2">
      <c r="A11" s="27" t="s">
        <v>1359</v>
      </c>
      <c r="B11" s="27" t="s">
        <v>1360</v>
      </c>
      <c r="C11" s="27" t="s">
        <v>39</v>
      </c>
      <c r="D11" s="31">
        <v>50</v>
      </c>
      <c r="E11" s="29">
        <v>513.36350000000004</v>
      </c>
      <c r="F11" s="30">
        <v>9.6218320488522906</v>
      </c>
      <c r="G11" s="29">
        <v>4.1349999999999998</v>
      </c>
    </row>
    <row r="12" spans="1:7" x14ac:dyDescent="0.2">
      <c r="A12" s="27" t="s">
        <v>1002</v>
      </c>
      <c r="B12" s="27" t="s">
        <v>1003</v>
      </c>
      <c r="C12" s="27" t="s">
        <v>1004</v>
      </c>
      <c r="D12" s="31">
        <v>48</v>
      </c>
      <c r="E12" s="29">
        <v>509.49072000000001</v>
      </c>
      <c r="F12" s="30">
        <v>9.5492455897016999</v>
      </c>
      <c r="G12" s="29">
        <v>4.0999999999999996</v>
      </c>
    </row>
    <row r="13" spans="1:7" x14ac:dyDescent="0.2">
      <c r="A13" s="27" t="s">
        <v>899</v>
      </c>
      <c r="B13" s="27" t="s">
        <v>900</v>
      </c>
      <c r="C13" s="27" t="s">
        <v>39</v>
      </c>
      <c r="D13" s="31">
        <v>49</v>
      </c>
      <c r="E13" s="29">
        <v>506.28662000000003</v>
      </c>
      <c r="F13" s="30">
        <v>9.4891920173933304</v>
      </c>
      <c r="G13" s="29">
        <v>3.99</v>
      </c>
    </row>
    <row r="14" spans="1:7" x14ac:dyDescent="0.2">
      <c r="A14" s="27" t="s">
        <v>932</v>
      </c>
      <c r="B14" s="27" t="s">
        <v>933</v>
      </c>
      <c r="C14" s="27" t="s">
        <v>894</v>
      </c>
      <c r="D14" s="31">
        <v>20</v>
      </c>
      <c r="E14" s="29">
        <v>208.89080000000001</v>
      </c>
      <c r="F14" s="30">
        <v>3.9151832846519001</v>
      </c>
      <c r="G14" s="29">
        <v>4.1150000000000002</v>
      </c>
    </row>
    <row r="15" spans="1:7" x14ac:dyDescent="0.2">
      <c r="A15" s="27" t="s">
        <v>1350</v>
      </c>
      <c r="B15" s="27" t="s">
        <v>1351</v>
      </c>
      <c r="C15" s="27" t="s">
        <v>850</v>
      </c>
      <c r="D15" s="31">
        <v>15</v>
      </c>
      <c r="E15" s="29">
        <v>157.66829999999999</v>
      </c>
      <c r="F15" s="30">
        <v>2.9551339392614699</v>
      </c>
      <c r="G15" s="29">
        <v>5.4391999999999996</v>
      </c>
    </row>
    <row r="16" spans="1:7" x14ac:dyDescent="0.2">
      <c r="A16" s="27" t="s">
        <v>1342</v>
      </c>
      <c r="B16" s="27" t="s">
        <v>1343</v>
      </c>
      <c r="C16" s="27" t="s">
        <v>850</v>
      </c>
      <c r="D16" s="31">
        <v>6</v>
      </c>
      <c r="E16" s="29">
        <v>63.607259999999997</v>
      </c>
      <c r="F16" s="30">
        <v>1.19217352384359</v>
      </c>
      <c r="G16" s="29">
        <v>5.1749000000000001</v>
      </c>
    </row>
    <row r="17" spans="1:9" x14ac:dyDescent="0.2">
      <c r="A17" s="27" t="s">
        <v>1333</v>
      </c>
      <c r="B17" s="27" t="s">
        <v>1334</v>
      </c>
      <c r="C17" s="27" t="s">
        <v>39</v>
      </c>
      <c r="D17" s="31">
        <v>4</v>
      </c>
      <c r="E17" s="29">
        <v>41.445880000000002</v>
      </c>
      <c r="F17" s="30">
        <v>0.77680882352735703</v>
      </c>
      <c r="G17" s="29">
        <v>4.1349999999999998</v>
      </c>
    </row>
    <row r="18" spans="1:9" x14ac:dyDescent="0.2">
      <c r="A18" s="27" t="s">
        <v>1319</v>
      </c>
      <c r="B18" s="27" t="s">
        <v>1320</v>
      </c>
      <c r="C18" s="27" t="s">
        <v>39</v>
      </c>
      <c r="D18" s="31">
        <v>3</v>
      </c>
      <c r="E18" s="29">
        <v>38.637630000000001</v>
      </c>
      <c r="F18" s="30">
        <v>0.72417455979183698</v>
      </c>
      <c r="G18" s="29">
        <v>4.9848999999999997</v>
      </c>
    </row>
    <row r="19" spans="1:9" x14ac:dyDescent="0.2">
      <c r="A19" s="27" t="s">
        <v>1323</v>
      </c>
      <c r="B19" s="27" t="s">
        <v>1324</v>
      </c>
      <c r="C19" s="27" t="s">
        <v>39</v>
      </c>
      <c r="D19" s="31">
        <v>3</v>
      </c>
      <c r="E19" s="29">
        <v>38.055570000000003</v>
      </c>
      <c r="F19" s="30">
        <v>0.71326516798202799</v>
      </c>
      <c r="G19" s="29">
        <v>4.9398999999999997</v>
      </c>
    </row>
    <row r="20" spans="1:9" x14ac:dyDescent="0.2">
      <c r="A20" s="27" t="s">
        <v>1335</v>
      </c>
      <c r="B20" s="27" t="s">
        <v>1336</v>
      </c>
      <c r="C20" s="27" t="s">
        <v>1249</v>
      </c>
      <c r="D20" s="31">
        <v>3</v>
      </c>
      <c r="E20" s="29">
        <v>37.777889999999999</v>
      </c>
      <c r="F20" s="30">
        <v>0.70806068748560502</v>
      </c>
      <c r="G20" s="29">
        <v>5.6947999999999999</v>
      </c>
    </row>
    <row r="21" spans="1:9" x14ac:dyDescent="0.2">
      <c r="A21" s="27" t="s">
        <v>926</v>
      </c>
      <c r="B21" s="27" t="s">
        <v>927</v>
      </c>
      <c r="C21" s="27" t="s">
        <v>894</v>
      </c>
      <c r="D21" s="31">
        <v>2</v>
      </c>
      <c r="E21" s="29">
        <v>20.567979999999999</v>
      </c>
      <c r="F21" s="30">
        <v>0.385500038752566</v>
      </c>
      <c r="G21" s="29">
        <v>3.9350000000000001</v>
      </c>
    </row>
    <row r="22" spans="1:9" x14ac:dyDescent="0.2">
      <c r="A22" s="27" t="s">
        <v>870</v>
      </c>
      <c r="B22" s="27" t="s">
        <v>871</v>
      </c>
      <c r="C22" s="27" t="s">
        <v>872</v>
      </c>
      <c r="D22" s="31">
        <v>1</v>
      </c>
      <c r="E22" s="29">
        <v>10.282489999999999</v>
      </c>
      <c r="F22" s="30">
        <v>0.192721905285442</v>
      </c>
      <c r="G22" s="29">
        <v>5.9085000000000001</v>
      </c>
    </row>
    <row r="23" spans="1:9" ht="10.5" x14ac:dyDescent="0.25">
      <c r="A23" s="26" t="s">
        <v>40</v>
      </c>
      <c r="B23" s="26"/>
      <c r="C23" s="26"/>
      <c r="D23" s="32"/>
      <c r="E23" s="33">
        <f>SUM(E6:E22)</f>
        <v>4347.7546400000001</v>
      </c>
      <c r="F23" s="34">
        <f>SUM(F6:F22)</f>
        <v>81.488779267903283</v>
      </c>
      <c r="G23" s="33"/>
      <c r="H23" s="18"/>
      <c r="I23" s="18"/>
    </row>
    <row r="24" spans="1:9" x14ac:dyDescent="0.2">
      <c r="A24" s="27"/>
      <c r="B24" s="27"/>
      <c r="C24" s="27"/>
      <c r="D24" s="28"/>
      <c r="E24" s="29"/>
      <c r="F24" s="30"/>
      <c r="G24" s="29"/>
    </row>
    <row r="25" spans="1:9" ht="10.5" x14ac:dyDescent="0.25">
      <c r="A25" s="26" t="s">
        <v>41</v>
      </c>
      <c r="B25" s="27"/>
      <c r="C25" s="27"/>
      <c r="D25" s="28"/>
      <c r="E25" s="29"/>
      <c r="F25" s="30"/>
      <c r="G25" s="29"/>
    </row>
    <row r="26" spans="1:9" x14ac:dyDescent="0.2">
      <c r="A26" s="27" t="s">
        <v>1361</v>
      </c>
      <c r="B26" s="27" t="s">
        <v>1362</v>
      </c>
      <c r="C26" s="27" t="s">
        <v>39</v>
      </c>
      <c r="D26" s="31">
        <v>50</v>
      </c>
      <c r="E26" s="29">
        <v>516.721</v>
      </c>
      <c r="F26" s="30">
        <v>9.6847607555172992</v>
      </c>
      <c r="G26" s="29">
        <v>5.1448999999999998</v>
      </c>
    </row>
    <row r="27" spans="1:9" ht="10.5" x14ac:dyDescent="0.25">
      <c r="A27" s="26" t="s">
        <v>40</v>
      </c>
      <c r="B27" s="26"/>
      <c r="C27" s="26"/>
      <c r="D27" s="32"/>
      <c r="E27" s="33">
        <f>SUM(E25:E26)</f>
        <v>516.721</v>
      </c>
      <c r="F27" s="34">
        <f>SUM(F25:F26)</f>
        <v>9.6847607555172992</v>
      </c>
      <c r="G27" s="33"/>
      <c r="H27" s="18"/>
      <c r="I27" s="18"/>
    </row>
    <row r="28" spans="1:9" x14ac:dyDescent="0.2">
      <c r="A28" s="27"/>
      <c r="B28" s="27"/>
      <c r="C28" s="27"/>
      <c r="D28" s="28"/>
      <c r="E28" s="29"/>
      <c r="F28" s="30"/>
      <c r="G28" s="29"/>
    </row>
    <row r="29" spans="1:9" ht="10.5" x14ac:dyDescent="0.25">
      <c r="A29" s="26" t="s">
        <v>44</v>
      </c>
      <c r="B29" s="26"/>
      <c r="C29" s="26"/>
      <c r="D29" s="32"/>
      <c r="E29" s="33">
        <f>E23+E27</f>
        <v>4864.4756400000006</v>
      </c>
      <c r="F29" s="34">
        <f>F23+F27</f>
        <v>91.173540023420585</v>
      </c>
      <c r="G29" s="33"/>
      <c r="H29" s="18"/>
      <c r="I29" s="18"/>
    </row>
    <row r="30" spans="1:9" ht="10.5" x14ac:dyDescent="0.25">
      <c r="A30" s="26"/>
      <c r="B30" s="26"/>
      <c r="C30" s="26"/>
      <c r="D30" s="32"/>
      <c r="E30" s="33"/>
      <c r="F30" s="34"/>
      <c r="G30" s="33"/>
      <c r="H30" s="18"/>
      <c r="I30" s="18"/>
    </row>
    <row r="31" spans="1:9" ht="10.5" x14ac:dyDescent="0.25">
      <c r="A31" s="26" t="s">
        <v>46</v>
      </c>
      <c r="B31" s="26"/>
      <c r="C31" s="26"/>
      <c r="D31" s="32"/>
      <c r="E31" s="33">
        <f>E33-(E23+E27)</f>
        <v>470.92719589999979</v>
      </c>
      <c r="F31" s="34">
        <f>F33-(F23+F27)</f>
        <v>8.8264599765794145</v>
      </c>
      <c r="G31" s="33"/>
      <c r="H31" s="18"/>
      <c r="I31" s="18"/>
    </row>
    <row r="32" spans="1:9" ht="10.5" x14ac:dyDescent="0.25">
      <c r="A32" s="26"/>
      <c r="B32" s="26"/>
      <c r="C32" s="26"/>
      <c r="D32" s="32"/>
      <c r="E32" s="33"/>
      <c r="F32" s="34"/>
      <c r="G32" s="33"/>
      <c r="H32" s="18"/>
      <c r="I32" s="18"/>
    </row>
    <row r="33" spans="1:9" ht="10.5" x14ac:dyDescent="0.25">
      <c r="A33" s="35" t="s">
        <v>45</v>
      </c>
      <c r="B33" s="35"/>
      <c r="C33" s="35"/>
      <c r="D33" s="36"/>
      <c r="E33" s="37">
        <v>5335.4028359000004</v>
      </c>
      <c r="F33" s="38">
        <v>100</v>
      </c>
      <c r="G33" s="37"/>
      <c r="H33" s="18"/>
      <c r="I33" s="18"/>
    </row>
    <row r="35" spans="1:9" ht="10.5" x14ac:dyDescent="0.25">
      <c r="A35" s="18" t="s">
        <v>47</v>
      </c>
    </row>
    <row r="37" spans="1:9" ht="10.5" x14ac:dyDescent="0.25">
      <c r="A37" s="18" t="s">
        <v>48</v>
      </c>
    </row>
    <row r="38" spans="1:9" ht="10.5" x14ac:dyDescent="0.25">
      <c r="A38" s="18" t="s">
        <v>49</v>
      </c>
    </row>
    <row r="39" spans="1:9" ht="10.5" x14ac:dyDescent="0.25">
      <c r="A39" s="18" t="s">
        <v>50</v>
      </c>
      <c r="B39" s="18"/>
      <c r="C39" s="41" t="s">
        <v>727</v>
      </c>
      <c r="D39" s="19" t="s">
        <v>51</v>
      </c>
    </row>
    <row r="40" spans="1:9" x14ac:dyDescent="0.2">
      <c r="A40" s="9" t="s">
        <v>71</v>
      </c>
      <c r="C40" s="40">
        <v>12.104200000000001</v>
      </c>
      <c r="D40" s="40">
        <v>12.4863</v>
      </c>
    </row>
    <row r="41" spans="1:9" x14ac:dyDescent="0.2">
      <c r="A41" s="9" t="s">
        <v>1329</v>
      </c>
      <c r="C41" s="40">
        <v>11.2798</v>
      </c>
      <c r="D41" s="40">
        <v>10.738</v>
      </c>
    </row>
    <row r="42" spans="1:9" x14ac:dyDescent="0.2">
      <c r="A42" s="9" t="s">
        <v>73</v>
      </c>
      <c r="C42" s="40">
        <v>10.5922</v>
      </c>
      <c r="D42" s="40">
        <v>10.4961</v>
      </c>
    </row>
    <row r="43" spans="1:9" x14ac:dyDescent="0.2">
      <c r="A43" s="9" t="s">
        <v>74</v>
      </c>
      <c r="C43" s="40">
        <v>12.232100000000001</v>
      </c>
      <c r="D43" s="40">
        <v>12.6183</v>
      </c>
    </row>
    <row r="44" spans="1:9" x14ac:dyDescent="0.2">
      <c r="A44" s="9" t="s">
        <v>78</v>
      </c>
      <c r="C44" s="40">
        <v>11.2959</v>
      </c>
      <c r="D44" s="40">
        <v>10.7525</v>
      </c>
    </row>
    <row r="45" spans="1:9" x14ac:dyDescent="0.2">
      <c r="A45" s="9" t="s">
        <v>76</v>
      </c>
      <c r="C45" s="40">
        <v>10.619199999999999</v>
      </c>
      <c r="D45" s="40">
        <v>10.523099999999999</v>
      </c>
    </row>
    <row r="47" spans="1:9" ht="10.5" x14ac:dyDescent="0.25">
      <c r="A47" s="18" t="s">
        <v>52</v>
      </c>
    </row>
    <row r="48" spans="1:9" ht="10.5" x14ac:dyDescent="0.25">
      <c r="A48" s="77" t="s">
        <v>68</v>
      </c>
      <c r="B48" s="78"/>
      <c r="C48" s="43" t="s">
        <v>69</v>
      </c>
    </row>
    <row r="49" spans="1:7" x14ac:dyDescent="0.2">
      <c r="A49" s="71" t="s">
        <v>1329</v>
      </c>
      <c r="B49" s="72"/>
      <c r="C49" s="44">
        <v>0.89</v>
      </c>
    </row>
    <row r="50" spans="1:7" x14ac:dyDescent="0.2">
      <c r="A50" s="71" t="s">
        <v>73</v>
      </c>
      <c r="B50" s="72"/>
      <c r="C50" s="44">
        <v>0.43</v>
      </c>
    </row>
    <row r="51" spans="1:7" x14ac:dyDescent="0.2">
      <c r="A51" s="71" t="s">
        <v>78</v>
      </c>
      <c r="B51" s="72"/>
      <c r="C51" s="44">
        <v>0.89</v>
      </c>
    </row>
    <row r="52" spans="1:7" x14ac:dyDescent="0.2">
      <c r="A52" s="71" t="s">
        <v>76</v>
      </c>
      <c r="B52" s="72"/>
      <c r="C52" s="44">
        <v>0.43</v>
      </c>
    </row>
    <row r="53" spans="1:7" x14ac:dyDescent="0.2">
      <c r="A53" s="9" t="s">
        <v>70</v>
      </c>
    </row>
    <row r="55" spans="1:7" ht="10.5" x14ac:dyDescent="0.25">
      <c r="A55" s="18" t="s">
        <v>798</v>
      </c>
      <c r="D55" s="42">
        <v>0.93868454232876697</v>
      </c>
      <c r="E55" s="13" t="s">
        <v>54</v>
      </c>
    </row>
    <row r="57" spans="1:7" ht="10.5" x14ac:dyDescent="0.25">
      <c r="A57" s="18" t="s">
        <v>1502</v>
      </c>
      <c r="D57" s="41" t="s">
        <v>53</v>
      </c>
    </row>
    <row r="59" spans="1:7" ht="15" customHeight="1" x14ac:dyDescent="0.2">
      <c r="A59" s="73" t="s">
        <v>799</v>
      </c>
      <c r="B59" s="74"/>
      <c r="C59" s="74"/>
      <c r="D59" s="74"/>
      <c r="E59" s="74"/>
      <c r="F59" s="74"/>
      <c r="G59" s="74"/>
    </row>
    <row r="60" spans="1:7" x14ac:dyDescent="0.2">
      <c r="A60" s="46" t="s">
        <v>55</v>
      </c>
    </row>
    <row r="62" spans="1:7" x14ac:dyDescent="0.2">
      <c r="A62" s="46"/>
    </row>
  </sheetData>
  <mergeCells count="7">
    <mergeCell ref="A59:G59"/>
    <mergeCell ref="A1:G1"/>
    <mergeCell ref="A48:B48"/>
    <mergeCell ref="A49:B49"/>
    <mergeCell ref="A50:B50"/>
    <mergeCell ref="A51:B51"/>
    <mergeCell ref="A52:B52"/>
  </mergeCells>
  <conditionalFormatting sqref="F2:F3 F5:F58 F63:F65536">
    <cfRule type="cellIs" dxfId="79" priority="3" stopIfTrue="1" operator="between">
      <formula>0.009</formula>
      <formula>-0.009</formula>
    </cfRule>
  </conditionalFormatting>
  <conditionalFormatting sqref="F60">
    <cfRule type="cellIs" dxfId="78" priority="1" stopIfTrue="1" operator="between">
      <formula>0.009</formula>
      <formula>-0.009</formula>
    </cfRule>
  </conditionalFormatting>
  <conditionalFormatting sqref="F61:F62">
    <cfRule type="cellIs" dxfId="77" priority="2" stopIfTrue="1" operator="between">
      <formula>0.009</formula>
      <formula>-0.009</formula>
    </cfRule>
  </conditionalFormatting>
  <hyperlinks>
    <hyperlink ref="A60" r:id="rId1" xr:uid="{00000000-0004-0000-14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62"/>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1363</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936</v>
      </c>
      <c r="B7" s="27" t="s">
        <v>937</v>
      </c>
      <c r="C7" s="27" t="s">
        <v>894</v>
      </c>
      <c r="D7" s="31">
        <v>31</v>
      </c>
      <c r="E7" s="29">
        <v>318.45648999999997</v>
      </c>
      <c r="F7" s="30">
        <v>9.7787495504746005</v>
      </c>
      <c r="G7" s="29">
        <v>3.79</v>
      </c>
    </row>
    <row r="8" spans="1:7" x14ac:dyDescent="0.2">
      <c r="A8" s="27" t="s">
        <v>934</v>
      </c>
      <c r="B8" s="27" t="s">
        <v>935</v>
      </c>
      <c r="C8" s="27" t="s">
        <v>39</v>
      </c>
      <c r="D8" s="31">
        <v>31</v>
      </c>
      <c r="E8" s="29">
        <v>315.55365</v>
      </c>
      <c r="F8" s="30">
        <v>9.6896128984154792</v>
      </c>
      <c r="G8" s="29">
        <v>3.99</v>
      </c>
    </row>
    <row r="9" spans="1:7" x14ac:dyDescent="0.2">
      <c r="A9" s="27" t="s">
        <v>1364</v>
      </c>
      <c r="B9" s="27" t="s">
        <v>1365</v>
      </c>
      <c r="C9" s="27" t="s">
        <v>39</v>
      </c>
      <c r="D9" s="31">
        <v>31</v>
      </c>
      <c r="E9" s="29">
        <v>314.79786999999999</v>
      </c>
      <c r="F9" s="30">
        <v>9.6664053847759899</v>
      </c>
      <c r="G9" s="29">
        <v>3.7349999999999999</v>
      </c>
    </row>
    <row r="10" spans="1:7" x14ac:dyDescent="0.2">
      <c r="A10" s="27" t="s">
        <v>899</v>
      </c>
      <c r="B10" s="27" t="s">
        <v>900</v>
      </c>
      <c r="C10" s="27" t="s">
        <v>39</v>
      </c>
      <c r="D10" s="31">
        <v>30</v>
      </c>
      <c r="E10" s="29">
        <v>309.97140000000002</v>
      </c>
      <c r="F10" s="30">
        <v>9.5182003934351709</v>
      </c>
      <c r="G10" s="29">
        <v>3.99</v>
      </c>
    </row>
    <row r="11" spans="1:7" x14ac:dyDescent="0.2">
      <c r="A11" s="27" t="s">
        <v>1305</v>
      </c>
      <c r="B11" s="27" t="s">
        <v>1306</v>
      </c>
      <c r="C11" s="27" t="s">
        <v>894</v>
      </c>
      <c r="D11" s="31">
        <v>26</v>
      </c>
      <c r="E11" s="29">
        <v>265.98858000000001</v>
      </c>
      <c r="F11" s="30">
        <v>8.1676329067948306</v>
      </c>
      <c r="G11" s="29">
        <v>5.1374000000000004</v>
      </c>
    </row>
    <row r="12" spans="1:7" x14ac:dyDescent="0.2">
      <c r="A12" s="27" t="s">
        <v>1250</v>
      </c>
      <c r="B12" s="27" t="s">
        <v>1251</v>
      </c>
      <c r="C12" s="27" t="s">
        <v>39</v>
      </c>
      <c r="D12" s="31">
        <v>22</v>
      </c>
      <c r="E12" s="29">
        <v>224.01786000000001</v>
      </c>
      <c r="F12" s="30">
        <v>6.8788503816432902</v>
      </c>
      <c r="G12" s="29">
        <v>3.8748999999999998</v>
      </c>
    </row>
    <row r="13" spans="1:7" x14ac:dyDescent="0.2">
      <c r="A13" s="27" t="s">
        <v>922</v>
      </c>
      <c r="B13" s="27" t="s">
        <v>923</v>
      </c>
      <c r="C13" s="27" t="s">
        <v>894</v>
      </c>
      <c r="D13" s="31">
        <v>16</v>
      </c>
      <c r="E13" s="29">
        <v>203.04256000000001</v>
      </c>
      <c r="F13" s="30">
        <v>6.2347680285216098</v>
      </c>
      <c r="G13" s="29">
        <v>5.0350000000000001</v>
      </c>
    </row>
    <row r="14" spans="1:7" x14ac:dyDescent="0.2">
      <c r="A14" s="27" t="s">
        <v>1366</v>
      </c>
      <c r="B14" s="27" t="s">
        <v>1367</v>
      </c>
      <c r="C14" s="27" t="s">
        <v>39</v>
      </c>
      <c r="D14" s="31">
        <v>20</v>
      </c>
      <c r="E14" s="29">
        <v>194.81780000000001</v>
      </c>
      <c r="F14" s="30">
        <v>5.9822127480411904</v>
      </c>
      <c r="G14" s="29">
        <v>4.5583</v>
      </c>
    </row>
    <row r="15" spans="1:7" x14ac:dyDescent="0.2">
      <c r="A15" s="27" t="s">
        <v>1368</v>
      </c>
      <c r="B15" s="27" t="s">
        <v>1369</v>
      </c>
      <c r="C15" s="27" t="s">
        <v>894</v>
      </c>
      <c r="D15" s="31">
        <v>19</v>
      </c>
      <c r="E15" s="29">
        <v>194.39166</v>
      </c>
      <c r="F15" s="30">
        <v>5.9691273926966</v>
      </c>
      <c r="G15" s="29">
        <v>3.7688000000000001</v>
      </c>
    </row>
    <row r="16" spans="1:7" x14ac:dyDescent="0.2">
      <c r="A16" s="27" t="s">
        <v>1370</v>
      </c>
      <c r="B16" s="27" t="s">
        <v>1371</v>
      </c>
      <c r="C16" s="27" t="s">
        <v>39</v>
      </c>
      <c r="D16" s="31">
        <v>19</v>
      </c>
      <c r="E16" s="29">
        <v>194.11939000000001</v>
      </c>
      <c r="F16" s="30">
        <v>5.9607668780777701</v>
      </c>
      <c r="G16" s="29">
        <v>3.85</v>
      </c>
    </row>
    <row r="17" spans="1:9" x14ac:dyDescent="0.2">
      <c r="A17" s="27" t="s">
        <v>1372</v>
      </c>
      <c r="B17" s="27" t="s">
        <v>1373</v>
      </c>
      <c r="C17" s="27" t="s">
        <v>39</v>
      </c>
      <c r="D17" s="31">
        <v>16</v>
      </c>
      <c r="E17" s="29">
        <v>161.60847999999999</v>
      </c>
      <c r="F17" s="30">
        <v>4.9624639496368399</v>
      </c>
      <c r="G17" s="29">
        <v>3.6551</v>
      </c>
    </row>
    <row r="18" spans="1:9" x14ac:dyDescent="0.2">
      <c r="A18" s="27" t="s">
        <v>1307</v>
      </c>
      <c r="B18" s="27" t="s">
        <v>1308</v>
      </c>
      <c r="C18" s="27" t="s">
        <v>39</v>
      </c>
      <c r="D18" s="31">
        <v>1</v>
      </c>
      <c r="E18" s="29">
        <v>100.45099999999999</v>
      </c>
      <c r="F18" s="30">
        <v>3.0845192418428198</v>
      </c>
      <c r="G18" s="29">
        <v>3.4704000000000002</v>
      </c>
    </row>
    <row r="19" spans="1:9" x14ac:dyDescent="0.2">
      <c r="A19" s="27" t="s">
        <v>1374</v>
      </c>
      <c r="B19" s="27" t="s">
        <v>1375</v>
      </c>
      <c r="C19" s="27" t="s">
        <v>1249</v>
      </c>
      <c r="D19" s="31">
        <v>7</v>
      </c>
      <c r="E19" s="29">
        <v>87.752070000000003</v>
      </c>
      <c r="F19" s="30">
        <v>2.6945769422558001</v>
      </c>
      <c r="G19" s="29">
        <v>5.3598999999999997</v>
      </c>
    </row>
    <row r="20" spans="1:9" ht="10.5" x14ac:dyDescent="0.25">
      <c r="A20" s="26" t="s">
        <v>40</v>
      </c>
      <c r="B20" s="26"/>
      <c r="C20" s="26"/>
      <c r="D20" s="32"/>
      <c r="E20" s="33">
        <f>SUM(E6:E19)</f>
        <v>2884.9688099999998</v>
      </c>
      <c r="F20" s="34">
        <f>SUM(F6:F19)</f>
        <v>88.587886696611974</v>
      </c>
      <c r="G20" s="33"/>
      <c r="H20" s="18"/>
      <c r="I20" s="18"/>
    </row>
    <row r="21" spans="1:9" x14ac:dyDescent="0.2">
      <c r="A21" s="27"/>
      <c r="B21" s="27"/>
      <c r="C21" s="27"/>
      <c r="D21" s="28"/>
      <c r="E21" s="29"/>
      <c r="F21" s="30"/>
      <c r="G21" s="29"/>
    </row>
    <row r="22" spans="1:9" ht="10.5" x14ac:dyDescent="0.25">
      <c r="A22" s="26" t="s">
        <v>41</v>
      </c>
      <c r="B22" s="27"/>
      <c r="C22" s="27"/>
      <c r="D22" s="28"/>
      <c r="E22" s="29"/>
      <c r="F22" s="30"/>
      <c r="G22" s="29"/>
    </row>
    <row r="23" spans="1:9" x14ac:dyDescent="0.2">
      <c r="A23" s="27" t="s">
        <v>1254</v>
      </c>
      <c r="B23" s="27" t="s">
        <v>1255</v>
      </c>
      <c r="C23" s="27" t="s">
        <v>39</v>
      </c>
      <c r="D23" s="31">
        <v>3</v>
      </c>
      <c r="E23" s="29">
        <v>30.52047</v>
      </c>
      <c r="F23" s="30">
        <v>0.93718307418628399</v>
      </c>
      <c r="G23" s="29">
        <v>4.9950000000000001</v>
      </c>
    </row>
    <row r="24" spans="1:9" ht="10.5" x14ac:dyDescent="0.25">
      <c r="A24" s="26" t="s">
        <v>40</v>
      </c>
      <c r="B24" s="26"/>
      <c r="C24" s="26"/>
      <c r="D24" s="32"/>
      <c r="E24" s="33">
        <f>SUM(E22:E23)</f>
        <v>30.52047</v>
      </c>
      <c r="F24" s="34">
        <f>SUM(F22:F23)</f>
        <v>0.93718307418628399</v>
      </c>
      <c r="G24" s="33"/>
      <c r="H24" s="18"/>
      <c r="I24" s="18"/>
    </row>
    <row r="25" spans="1:9" x14ac:dyDescent="0.2">
      <c r="A25" s="27"/>
      <c r="B25" s="27"/>
      <c r="C25" s="27"/>
      <c r="D25" s="28"/>
      <c r="E25" s="29"/>
      <c r="F25" s="30"/>
      <c r="G25" s="29"/>
    </row>
    <row r="26" spans="1:9" ht="10.5" x14ac:dyDescent="0.25">
      <c r="A26" s="26" t="s">
        <v>57</v>
      </c>
      <c r="B26" s="27"/>
      <c r="C26" s="27"/>
      <c r="D26" s="28"/>
      <c r="E26" s="29"/>
      <c r="F26" s="30"/>
      <c r="G26" s="29"/>
    </row>
    <row r="27" spans="1:9" ht="10.5" x14ac:dyDescent="0.25">
      <c r="A27" s="26" t="s">
        <v>58</v>
      </c>
      <c r="B27" s="27"/>
      <c r="C27" s="27"/>
      <c r="D27" s="28"/>
      <c r="E27" s="29"/>
      <c r="F27" s="30"/>
      <c r="G27" s="29"/>
    </row>
    <row r="28" spans="1:9" x14ac:dyDescent="0.2">
      <c r="A28" s="27" t="s">
        <v>812</v>
      </c>
      <c r="B28" s="27" t="s">
        <v>813</v>
      </c>
      <c r="C28" s="27" t="s">
        <v>62</v>
      </c>
      <c r="D28" s="31">
        <v>16</v>
      </c>
      <c r="E28" s="29">
        <v>15.950224</v>
      </c>
      <c r="F28" s="30">
        <v>0.48977882589225702</v>
      </c>
      <c r="G28" s="29">
        <v>3.3502000000000001</v>
      </c>
    </row>
    <row r="29" spans="1:9" ht="10.5" x14ac:dyDescent="0.25">
      <c r="A29" s="26" t="s">
        <v>40</v>
      </c>
      <c r="B29" s="26"/>
      <c r="C29" s="26"/>
      <c r="D29" s="32"/>
      <c r="E29" s="33">
        <f>SUM(E27:E28)</f>
        <v>15.950224</v>
      </c>
      <c r="F29" s="34">
        <f>SUM(F27:F28)</f>
        <v>0.48977882589225702</v>
      </c>
      <c r="G29" s="33"/>
      <c r="H29" s="18"/>
      <c r="I29" s="18"/>
    </row>
    <row r="30" spans="1:9" x14ac:dyDescent="0.2">
      <c r="A30" s="27"/>
      <c r="B30" s="27"/>
      <c r="C30" s="27"/>
      <c r="D30" s="28"/>
      <c r="E30" s="29"/>
      <c r="F30" s="30"/>
      <c r="G30" s="29"/>
    </row>
    <row r="31" spans="1:9" ht="10.5" x14ac:dyDescent="0.25">
      <c r="A31" s="26" t="s">
        <v>44</v>
      </c>
      <c r="B31" s="26"/>
      <c r="C31" s="26"/>
      <c r="D31" s="32"/>
      <c r="E31" s="33">
        <f>E20+E24+E29</f>
        <v>2931.4395039999999</v>
      </c>
      <c r="F31" s="34">
        <f>F20+F24+F29</f>
        <v>90.014848596690513</v>
      </c>
      <c r="G31" s="33"/>
      <c r="H31" s="18"/>
      <c r="I31" s="18"/>
    </row>
    <row r="32" spans="1:9" ht="10.5" x14ac:dyDescent="0.25">
      <c r="A32" s="26"/>
      <c r="B32" s="26"/>
      <c r="C32" s="26"/>
      <c r="D32" s="32"/>
      <c r="E32" s="33"/>
      <c r="F32" s="34"/>
      <c r="G32" s="33"/>
      <c r="H32" s="18"/>
      <c r="I32" s="18"/>
    </row>
    <row r="33" spans="1:9" ht="10.5" x14ac:dyDescent="0.25">
      <c r="A33" s="26" t="s">
        <v>46</v>
      </c>
      <c r="B33" s="26"/>
      <c r="C33" s="26"/>
      <c r="D33" s="32"/>
      <c r="E33" s="33">
        <f>E35-(E20+E24+E29)</f>
        <v>325.17820930000016</v>
      </c>
      <c r="F33" s="34">
        <f>F35-(F20+F24+F29)</f>
        <v>9.9851514033094873</v>
      </c>
      <c r="G33" s="33"/>
      <c r="H33" s="18"/>
      <c r="I33" s="18"/>
    </row>
    <row r="34" spans="1:9" ht="10.5" x14ac:dyDescent="0.25">
      <c r="A34" s="26"/>
      <c r="B34" s="26"/>
      <c r="C34" s="26"/>
      <c r="D34" s="32"/>
      <c r="E34" s="33"/>
      <c r="F34" s="34"/>
      <c r="G34" s="33"/>
      <c r="H34" s="18"/>
      <c r="I34" s="18"/>
    </row>
    <row r="35" spans="1:9" ht="10.5" x14ac:dyDescent="0.25">
      <c r="A35" s="35" t="s">
        <v>45</v>
      </c>
      <c r="B35" s="35"/>
      <c r="C35" s="35"/>
      <c r="D35" s="36"/>
      <c r="E35" s="37">
        <v>3256.6177133000001</v>
      </c>
      <c r="F35" s="38">
        <v>100</v>
      </c>
      <c r="G35" s="37"/>
      <c r="H35" s="18"/>
      <c r="I35" s="18"/>
    </row>
    <row r="37" spans="1:9" ht="10.5" x14ac:dyDescent="0.25">
      <c r="A37" s="18" t="s">
        <v>47</v>
      </c>
    </row>
    <row r="39" spans="1:9" ht="10.5" x14ac:dyDescent="0.25">
      <c r="A39" s="18" t="s">
        <v>48</v>
      </c>
    </row>
    <row r="40" spans="1:9" ht="10.5" x14ac:dyDescent="0.25">
      <c r="A40" s="18" t="s">
        <v>49</v>
      </c>
    </row>
    <row r="41" spans="1:9" ht="10.5" x14ac:dyDescent="0.25">
      <c r="A41" s="18" t="s">
        <v>50</v>
      </c>
      <c r="B41" s="18"/>
      <c r="C41" s="41" t="s">
        <v>727</v>
      </c>
      <c r="D41" s="19" t="s">
        <v>51</v>
      </c>
    </row>
    <row r="42" spans="1:9" x14ac:dyDescent="0.2">
      <c r="A42" s="9" t="s">
        <v>71</v>
      </c>
      <c r="C42" s="54">
        <v>12.057600000000001</v>
      </c>
      <c r="D42" s="40">
        <v>12.349299999999999</v>
      </c>
    </row>
    <row r="43" spans="1:9" x14ac:dyDescent="0.2">
      <c r="A43" s="9" t="s">
        <v>1329</v>
      </c>
      <c r="C43" s="54">
        <v>11.2654</v>
      </c>
      <c r="D43" s="40">
        <v>10.627800000000001</v>
      </c>
    </row>
    <row r="44" spans="1:9" x14ac:dyDescent="0.2">
      <c r="A44" s="9" t="s">
        <v>73</v>
      </c>
      <c r="C44" s="54">
        <v>10.561500000000001</v>
      </c>
      <c r="D44" s="40">
        <v>10.4031</v>
      </c>
    </row>
    <row r="45" spans="1:9" x14ac:dyDescent="0.2">
      <c r="A45" s="9" t="s">
        <v>74</v>
      </c>
      <c r="C45" s="54">
        <v>12.1784</v>
      </c>
      <c r="D45" s="40">
        <v>12.473000000000001</v>
      </c>
    </row>
    <row r="46" spans="1:9" x14ac:dyDescent="0.2">
      <c r="A46" s="9" t="s">
        <v>76</v>
      </c>
      <c r="C46" s="54">
        <v>10.6793</v>
      </c>
      <c r="D46" s="40">
        <v>10.5238</v>
      </c>
    </row>
    <row r="48" spans="1:9" ht="10.5" x14ac:dyDescent="0.25">
      <c r="A48" s="18" t="s">
        <v>52</v>
      </c>
    </row>
    <row r="49" spans="1:7" ht="10.5" x14ac:dyDescent="0.25">
      <c r="A49" s="77" t="s">
        <v>68</v>
      </c>
      <c r="B49" s="78"/>
      <c r="C49" s="43" t="s">
        <v>69</v>
      </c>
    </row>
    <row r="50" spans="1:7" x14ac:dyDescent="0.2">
      <c r="A50" s="71" t="s">
        <v>1329</v>
      </c>
      <c r="B50" s="72"/>
      <c r="C50" s="44">
        <v>0.89500000000000002</v>
      </c>
    </row>
    <row r="51" spans="1:7" x14ac:dyDescent="0.2">
      <c r="A51" s="71" t="s">
        <v>73</v>
      </c>
      <c r="B51" s="72"/>
      <c r="C51" s="44">
        <v>0.41</v>
      </c>
    </row>
    <row r="52" spans="1:7" x14ac:dyDescent="0.2">
      <c r="A52" s="71" t="s">
        <v>76</v>
      </c>
      <c r="B52" s="72"/>
      <c r="C52" s="44">
        <v>0.41</v>
      </c>
    </row>
    <row r="53" spans="1:7" x14ac:dyDescent="0.2">
      <c r="A53" s="9" t="s">
        <v>70</v>
      </c>
    </row>
    <row r="55" spans="1:7" ht="10.5" x14ac:dyDescent="0.25">
      <c r="A55" s="18" t="s">
        <v>798</v>
      </c>
      <c r="D55" s="42">
        <v>0.42227328928767099</v>
      </c>
      <c r="E55" s="13" t="s">
        <v>54</v>
      </c>
    </row>
    <row r="57" spans="1:7" ht="10.5" x14ac:dyDescent="0.25">
      <c r="A57" s="18" t="s">
        <v>1502</v>
      </c>
      <c r="D57" s="41" t="s">
        <v>53</v>
      </c>
    </row>
    <row r="59" spans="1:7" ht="15" customHeight="1" x14ac:dyDescent="0.2">
      <c r="A59" s="73" t="s">
        <v>799</v>
      </c>
      <c r="B59" s="74"/>
      <c r="C59" s="74"/>
      <c r="D59" s="74"/>
      <c r="E59" s="74"/>
      <c r="F59" s="74"/>
      <c r="G59" s="74"/>
    </row>
    <row r="60" spans="1:7" x14ac:dyDescent="0.2">
      <c r="A60" s="46" t="s">
        <v>55</v>
      </c>
    </row>
    <row r="62" spans="1:7" x14ac:dyDescent="0.2">
      <c r="A62" s="46"/>
    </row>
  </sheetData>
  <mergeCells count="6">
    <mergeCell ref="A59:G59"/>
    <mergeCell ref="A1:G1"/>
    <mergeCell ref="A49:B49"/>
    <mergeCell ref="A50:B50"/>
    <mergeCell ref="A51:B51"/>
    <mergeCell ref="A52:B52"/>
  </mergeCells>
  <conditionalFormatting sqref="F2:F3 F5:F58 F63:F65536">
    <cfRule type="cellIs" dxfId="76" priority="3" stopIfTrue="1" operator="between">
      <formula>0.009</formula>
      <formula>-0.009</formula>
    </cfRule>
  </conditionalFormatting>
  <conditionalFormatting sqref="F60">
    <cfRule type="cellIs" dxfId="75" priority="1" stopIfTrue="1" operator="between">
      <formula>0.009</formula>
      <formula>-0.009</formula>
    </cfRule>
  </conditionalFormatting>
  <conditionalFormatting sqref="F61:F62">
    <cfRule type="cellIs" dxfId="74" priority="2" stopIfTrue="1" operator="between">
      <formula>0.009</formula>
      <formula>-0.009</formula>
    </cfRule>
  </conditionalFormatting>
  <hyperlinks>
    <hyperlink ref="A60" r:id="rId1" xr:uid="{00000000-0004-0000-15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58"/>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1376</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934</v>
      </c>
      <c r="B7" s="27" t="s">
        <v>935</v>
      </c>
      <c r="C7" s="27" t="s">
        <v>39</v>
      </c>
      <c r="D7" s="31">
        <v>44</v>
      </c>
      <c r="E7" s="29">
        <v>447.88260000000002</v>
      </c>
      <c r="F7" s="30">
        <v>11.031110068196799</v>
      </c>
      <c r="G7" s="29">
        <v>3.99</v>
      </c>
    </row>
    <row r="8" spans="1:7" x14ac:dyDescent="0.2">
      <c r="A8" s="27" t="s">
        <v>1368</v>
      </c>
      <c r="B8" s="27" t="s">
        <v>1369</v>
      </c>
      <c r="C8" s="27" t="s">
        <v>894</v>
      </c>
      <c r="D8" s="31">
        <v>41</v>
      </c>
      <c r="E8" s="29">
        <v>419.47674000000001</v>
      </c>
      <c r="F8" s="30">
        <v>10.3314888544193</v>
      </c>
      <c r="G8" s="29">
        <v>3.7688000000000001</v>
      </c>
    </row>
    <row r="9" spans="1:7" x14ac:dyDescent="0.2">
      <c r="A9" s="27" t="s">
        <v>1370</v>
      </c>
      <c r="B9" s="27" t="s">
        <v>1371</v>
      </c>
      <c r="C9" s="27" t="s">
        <v>39</v>
      </c>
      <c r="D9" s="31">
        <v>41</v>
      </c>
      <c r="E9" s="29">
        <v>418.88920999999999</v>
      </c>
      <c r="F9" s="30">
        <v>10.317018303211601</v>
      </c>
      <c r="G9" s="29">
        <v>3.85</v>
      </c>
    </row>
    <row r="10" spans="1:7" x14ac:dyDescent="0.2">
      <c r="A10" s="27" t="s">
        <v>899</v>
      </c>
      <c r="B10" s="27" t="s">
        <v>900</v>
      </c>
      <c r="C10" s="27" t="s">
        <v>39</v>
      </c>
      <c r="D10" s="31">
        <v>40</v>
      </c>
      <c r="E10" s="29">
        <v>413.29520000000002</v>
      </c>
      <c r="F10" s="30">
        <v>10.179240814127199</v>
      </c>
      <c r="G10" s="29">
        <v>3.99</v>
      </c>
    </row>
    <row r="11" spans="1:7" x14ac:dyDescent="0.2">
      <c r="A11" s="27" t="s">
        <v>1366</v>
      </c>
      <c r="B11" s="27" t="s">
        <v>1367</v>
      </c>
      <c r="C11" s="27" t="s">
        <v>39</v>
      </c>
      <c r="D11" s="31">
        <v>33</v>
      </c>
      <c r="E11" s="29">
        <v>321.44936999999999</v>
      </c>
      <c r="F11" s="30">
        <v>7.9171269029484703</v>
      </c>
      <c r="G11" s="29">
        <v>4.5583</v>
      </c>
    </row>
    <row r="12" spans="1:7" x14ac:dyDescent="0.2">
      <c r="A12" s="27" t="s">
        <v>1250</v>
      </c>
      <c r="B12" s="27" t="s">
        <v>1251</v>
      </c>
      <c r="C12" s="27" t="s">
        <v>39</v>
      </c>
      <c r="D12" s="31">
        <v>30</v>
      </c>
      <c r="E12" s="29">
        <v>305.47890000000001</v>
      </c>
      <c r="F12" s="30">
        <v>7.5237827265709196</v>
      </c>
      <c r="G12" s="29">
        <v>3.8748999999999998</v>
      </c>
    </row>
    <row r="13" spans="1:7" x14ac:dyDescent="0.2">
      <c r="A13" s="27" t="s">
        <v>1377</v>
      </c>
      <c r="B13" s="27" t="s">
        <v>1378</v>
      </c>
      <c r="C13" s="27" t="s">
        <v>39</v>
      </c>
      <c r="D13" s="31">
        <v>26</v>
      </c>
      <c r="E13" s="29">
        <v>263.36934000000002</v>
      </c>
      <c r="F13" s="30">
        <v>6.4866466751071297</v>
      </c>
      <c r="G13" s="29">
        <v>4.08</v>
      </c>
    </row>
    <row r="14" spans="1:7" x14ac:dyDescent="0.2">
      <c r="A14" s="27" t="s">
        <v>1191</v>
      </c>
      <c r="B14" s="27" t="s">
        <v>1192</v>
      </c>
      <c r="C14" s="27" t="s">
        <v>907</v>
      </c>
      <c r="D14" s="31">
        <v>26000</v>
      </c>
      <c r="E14" s="29">
        <v>260.63414</v>
      </c>
      <c r="F14" s="30">
        <v>6.41928015482139</v>
      </c>
      <c r="G14" s="29">
        <v>8.125</v>
      </c>
    </row>
    <row r="15" spans="1:7" x14ac:dyDescent="0.2">
      <c r="A15" s="27" t="s">
        <v>1307</v>
      </c>
      <c r="B15" s="27" t="s">
        <v>1308</v>
      </c>
      <c r="C15" s="27" t="s">
        <v>39</v>
      </c>
      <c r="D15" s="31">
        <v>2</v>
      </c>
      <c r="E15" s="29">
        <v>200.90199999999999</v>
      </c>
      <c r="F15" s="30">
        <v>4.9481093369576499</v>
      </c>
      <c r="G15" s="29">
        <v>3.4704000000000002</v>
      </c>
    </row>
    <row r="16" spans="1:7" x14ac:dyDescent="0.2">
      <c r="A16" s="27" t="s">
        <v>940</v>
      </c>
      <c r="B16" s="27" t="s">
        <v>941</v>
      </c>
      <c r="C16" s="27" t="s">
        <v>894</v>
      </c>
      <c r="D16" s="31">
        <v>150</v>
      </c>
      <c r="E16" s="29">
        <v>153.0864</v>
      </c>
      <c r="F16" s="30">
        <v>3.7704365571334901</v>
      </c>
      <c r="G16" s="29">
        <v>3.7</v>
      </c>
    </row>
    <row r="17" spans="1:9" ht="10.5" x14ac:dyDescent="0.25">
      <c r="A17" s="26" t="s">
        <v>40</v>
      </c>
      <c r="B17" s="26"/>
      <c r="C17" s="26"/>
      <c r="D17" s="32"/>
      <c r="E17" s="33">
        <f>SUM(E6:E16)</f>
        <v>3204.4639000000006</v>
      </c>
      <c r="F17" s="34">
        <f>SUM(F6:F16)</f>
        <v>78.924240393493946</v>
      </c>
      <c r="G17" s="33"/>
      <c r="H17" s="18"/>
      <c r="I17" s="18"/>
    </row>
    <row r="18" spans="1:9" x14ac:dyDescent="0.2">
      <c r="A18" s="27"/>
      <c r="B18" s="27"/>
      <c r="C18" s="27"/>
      <c r="D18" s="28"/>
      <c r="E18" s="29"/>
      <c r="F18" s="30"/>
      <c r="G18" s="29"/>
    </row>
    <row r="19" spans="1:9" ht="10.5" x14ac:dyDescent="0.25">
      <c r="A19" s="26" t="s">
        <v>41</v>
      </c>
      <c r="B19" s="27"/>
      <c r="C19" s="27"/>
      <c r="D19" s="28"/>
      <c r="E19" s="29"/>
      <c r="F19" s="30"/>
      <c r="G19" s="29"/>
    </row>
    <row r="20" spans="1:9" x14ac:dyDescent="0.2">
      <c r="A20" s="27" t="s">
        <v>1254</v>
      </c>
      <c r="B20" s="27" t="s">
        <v>1255</v>
      </c>
      <c r="C20" s="27" t="s">
        <v>39</v>
      </c>
      <c r="D20" s="31">
        <v>34</v>
      </c>
      <c r="E20" s="29">
        <v>345.89866000000001</v>
      </c>
      <c r="F20" s="30">
        <v>8.5192999033714898</v>
      </c>
      <c r="G20" s="29">
        <v>4.9950000000000001</v>
      </c>
    </row>
    <row r="21" spans="1:9" x14ac:dyDescent="0.2">
      <c r="A21" s="27" t="s">
        <v>952</v>
      </c>
      <c r="B21" s="27" t="s">
        <v>953</v>
      </c>
      <c r="C21" s="27" t="s">
        <v>39</v>
      </c>
      <c r="D21" s="31">
        <v>7</v>
      </c>
      <c r="E21" s="29">
        <v>70.581490000000002</v>
      </c>
      <c r="F21" s="30">
        <v>1.7383845341777699</v>
      </c>
      <c r="G21" s="29">
        <v>3.7120000000000002</v>
      </c>
    </row>
    <row r="22" spans="1:9" ht="10.5" x14ac:dyDescent="0.25">
      <c r="A22" s="26" t="s">
        <v>40</v>
      </c>
      <c r="B22" s="26"/>
      <c r="C22" s="26"/>
      <c r="D22" s="32"/>
      <c r="E22" s="33">
        <f>SUM(E19:E21)</f>
        <v>416.48014999999998</v>
      </c>
      <c r="F22" s="34">
        <f>SUM(F19:F21)</f>
        <v>10.25768443754926</v>
      </c>
      <c r="G22" s="33"/>
      <c r="H22" s="18"/>
      <c r="I22" s="18"/>
    </row>
    <row r="23" spans="1:9" x14ac:dyDescent="0.2">
      <c r="A23" s="27"/>
      <c r="B23" s="27"/>
      <c r="C23" s="27"/>
      <c r="D23" s="28"/>
      <c r="E23" s="29"/>
      <c r="F23" s="30"/>
      <c r="G23" s="29"/>
    </row>
    <row r="24" spans="1:9" ht="10.5" x14ac:dyDescent="0.25">
      <c r="A24" s="26" t="s">
        <v>57</v>
      </c>
      <c r="B24" s="27"/>
      <c r="C24" s="27"/>
      <c r="D24" s="28"/>
      <c r="E24" s="29"/>
      <c r="F24" s="30"/>
      <c r="G24" s="29"/>
    </row>
    <row r="25" spans="1:9" ht="10.5" x14ac:dyDescent="0.25">
      <c r="A25" s="26" t="s">
        <v>58</v>
      </c>
      <c r="B25" s="27"/>
      <c r="C25" s="27"/>
      <c r="D25" s="28"/>
      <c r="E25" s="29"/>
      <c r="F25" s="30"/>
      <c r="G25" s="29"/>
    </row>
    <row r="26" spans="1:9" x14ac:dyDescent="0.2">
      <c r="A26" s="27" t="s">
        <v>812</v>
      </c>
      <c r="B26" s="27" t="s">
        <v>813</v>
      </c>
      <c r="C26" s="27" t="s">
        <v>62</v>
      </c>
      <c r="D26" s="31">
        <v>33</v>
      </c>
      <c r="E26" s="29">
        <v>32.897337</v>
      </c>
      <c r="F26" s="30">
        <v>0.81024390185633899</v>
      </c>
      <c r="G26" s="29">
        <v>3.3502000000000001</v>
      </c>
    </row>
    <row r="27" spans="1:9" ht="10.5" x14ac:dyDescent="0.25">
      <c r="A27" s="26" t="s">
        <v>40</v>
      </c>
      <c r="B27" s="26"/>
      <c r="C27" s="26"/>
      <c r="D27" s="32"/>
      <c r="E27" s="33">
        <f>SUM(E25:E26)</f>
        <v>32.897337</v>
      </c>
      <c r="F27" s="34">
        <f>SUM(F25:F26)</f>
        <v>0.81024390185633899</v>
      </c>
      <c r="G27" s="33"/>
      <c r="H27" s="18"/>
      <c r="I27" s="18"/>
    </row>
    <row r="28" spans="1:9" x14ac:dyDescent="0.2">
      <c r="A28" s="27"/>
      <c r="B28" s="27"/>
      <c r="C28" s="27"/>
      <c r="D28" s="28"/>
      <c r="E28" s="29"/>
      <c r="F28" s="30"/>
      <c r="G28" s="29"/>
    </row>
    <row r="29" spans="1:9" ht="10.5" x14ac:dyDescent="0.25">
      <c r="A29" s="26" t="s">
        <v>44</v>
      </c>
      <c r="B29" s="26"/>
      <c r="C29" s="26"/>
      <c r="D29" s="32"/>
      <c r="E29" s="33">
        <f>E17+E22+E27</f>
        <v>3653.8413870000004</v>
      </c>
      <c r="F29" s="34">
        <f>F17+F22+F27</f>
        <v>89.992168732899543</v>
      </c>
      <c r="G29" s="33"/>
      <c r="H29" s="18"/>
      <c r="I29" s="18"/>
    </row>
    <row r="30" spans="1:9" ht="10.5" x14ac:dyDescent="0.25">
      <c r="A30" s="26"/>
      <c r="B30" s="26"/>
      <c r="C30" s="26"/>
      <c r="D30" s="32"/>
      <c r="E30" s="33"/>
      <c r="F30" s="34"/>
      <c r="G30" s="33"/>
      <c r="H30" s="18"/>
      <c r="I30" s="18"/>
    </row>
    <row r="31" spans="1:9" ht="10.5" x14ac:dyDescent="0.25">
      <c r="A31" s="26" t="s">
        <v>46</v>
      </c>
      <c r="B31" s="26"/>
      <c r="C31" s="26"/>
      <c r="D31" s="32"/>
      <c r="E31" s="33">
        <f>E33-(E17+E22+E27)</f>
        <v>406.33566889999975</v>
      </c>
      <c r="F31" s="34">
        <f>F33-(F17+F22+F27)</f>
        <v>10.007831267100457</v>
      </c>
      <c r="G31" s="33"/>
      <c r="H31" s="18"/>
      <c r="I31" s="18"/>
    </row>
    <row r="32" spans="1:9" ht="10.5" x14ac:dyDescent="0.25">
      <c r="A32" s="26"/>
      <c r="B32" s="26"/>
      <c r="C32" s="26"/>
      <c r="D32" s="32"/>
      <c r="E32" s="33"/>
      <c r="F32" s="34"/>
      <c r="G32" s="33"/>
      <c r="H32" s="18"/>
      <c r="I32" s="18"/>
    </row>
    <row r="33" spans="1:9" ht="10.5" x14ac:dyDescent="0.25">
      <c r="A33" s="35" t="s">
        <v>45</v>
      </c>
      <c r="B33" s="35"/>
      <c r="C33" s="35"/>
      <c r="D33" s="36"/>
      <c r="E33" s="37">
        <v>4060.1770559000001</v>
      </c>
      <c r="F33" s="38">
        <v>100</v>
      </c>
      <c r="G33" s="37"/>
      <c r="H33" s="18"/>
      <c r="I33" s="18"/>
    </row>
    <row r="35" spans="1:9" ht="10.5" x14ac:dyDescent="0.25">
      <c r="A35" s="18" t="s">
        <v>47</v>
      </c>
    </row>
    <row r="37" spans="1:9" ht="10.5" x14ac:dyDescent="0.25">
      <c r="A37" s="18" t="s">
        <v>48</v>
      </c>
    </row>
    <row r="38" spans="1:9" ht="10.5" x14ac:dyDescent="0.25">
      <c r="A38" s="18" t="s">
        <v>49</v>
      </c>
    </row>
    <row r="39" spans="1:9" ht="10.5" x14ac:dyDescent="0.25">
      <c r="A39" s="18" t="s">
        <v>50</v>
      </c>
      <c r="B39" s="18"/>
      <c r="C39" s="41" t="s">
        <v>727</v>
      </c>
      <c r="D39" s="19" t="s">
        <v>51</v>
      </c>
    </row>
    <row r="40" spans="1:9" x14ac:dyDescent="0.2">
      <c r="A40" s="9" t="s">
        <v>71</v>
      </c>
      <c r="C40" s="40">
        <v>11.4064</v>
      </c>
      <c r="D40" s="40">
        <v>11.735900000000001</v>
      </c>
    </row>
    <row r="41" spans="1:9" x14ac:dyDescent="0.2">
      <c r="A41" s="9" t="s">
        <v>1329</v>
      </c>
      <c r="C41" s="40">
        <v>11.150700000000001</v>
      </c>
      <c r="D41" s="40">
        <v>10.592000000000001</v>
      </c>
    </row>
    <row r="42" spans="1:9" x14ac:dyDescent="0.2">
      <c r="A42" s="9" t="s">
        <v>73</v>
      </c>
      <c r="C42" s="40">
        <v>10.4682</v>
      </c>
      <c r="D42" s="40">
        <v>10.366400000000001</v>
      </c>
    </row>
    <row r="43" spans="1:9" x14ac:dyDescent="0.2">
      <c r="A43" s="9" t="s">
        <v>74</v>
      </c>
      <c r="C43" s="40">
        <v>11.5204</v>
      </c>
      <c r="D43" s="40">
        <v>11.853199999999999</v>
      </c>
    </row>
    <row r="45" spans="1:9" ht="10.5" x14ac:dyDescent="0.25">
      <c r="A45" s="18" t="s">
        <v>52</v>
      </c>
    </row>
    <row r="46" spans="1:9" ht="10.5" x14ac:dyDescent="0.25">
      <c r="A46" s="77" t="s">
        <v>68</v>
      </c>
      <c r="B46" s="78"/>
      <c r="C46" s="43" t="s">
        <v>69</v>
      </c>
    </row>
    <row r="47" spans="1:9" x14ac:dyDescent="0.2">
      <c r="A47" s="71" t="s">
        <v>1329</v>
      </c>
      <c r="B47" s="72"/>
      <c r="C47" s="44">
        <v>0.86499999999999999</v>
      </c>
    </row>
    <row r="48" spans="1:9" x14ac:dyDescent="0.2">
      <c r="A48" s="71" t="s">
        <v>73</v>
      </c>
      <c r="B48" s="72"/>
      <c r="C48" s="44">
        <v>0.4</v>
      </c>
    </row>
    <row r="49" spans="1:7" x14ac:dyDescent="0.2">
      <c r="A49" s="9" t="s">
        <v>70</v>
      </c>
    </row>
    <row r="51" spans="1:7" ht="10.5" x14ac:dyDescent="0.25">
      <c r="A51" s="18" t="s">
        <v>798</v>
      </c>
      <c r="D51" s="42">
        <v>0.43224446583561599</v>
      </c>
      <c r="E51" s="13" t="s">
        <v>54</v>
      </c>
    </row>
    <row r="53" spans="1:7" ht="10.5" x14ac:dyDescent="0.25">
      <c r="A53" s="18" t="s">
        <v>1502</v>
      </c>
      <c r="D53" s="41" t="s">
        <v>53</v>
      </c>
    </row>
    <row r="55" spans="1:7" ht="15" customHeight="1" x14ac:dyDescent="0.2">
      <c r="A55" s="73" t="s">
        <v>799</v>
      </c>
      <c r="B55" s="74"/>
      <c r="C55" s="74"/>
      <c r="D55" s="74"/>
      <c r="E55" s="74"/>
      <c r="F55" s="74"/>
      <c r="G55" s="74"/>
    </row>
    <row r="56" spans="1:7" x14ac:dyDescent="0.2">
      <c r="A56" s="46" t="s">
        <v>55</v>
      </c>
    </row>
    <row r="58" spans="1:7" x14ac:dyDescent="0.2">
      <c r="A58" s="46"/>
    </row>
  </sheetData>
  <mergeCells count="5">
    <mergeCell ref="A1:G1"/>
    <mergeCell ref="A46:B46"/>
    <mergeCell ref="A47:B47"/>
    <mergeCell ref="A48:B48"/>
    <mergeCell ref="A55:G55"/>
  </mergeCells>
  <conditionalFormatting sqref="F2:F3 F5:F54 F59:F65536">
    <cfRule type="cellIs" dxfId="73" priority="3" stopIfTrue="1" operator="between">
      <formula>0.009</formula>
      <formula>-0.009</formula>
    </cfRule>
  </conditionalFormatting>
  <conditionalFormatting sqref="F56">
    <cfRule type="cellIs" dxfId="72" priority="1" stopIfTrue="1" operator="between">
      <formula>0.009</formula>
      <formula>-0.009</formula>
    </cfRule>
  </conditionalFormatting>
  <conditionalFormatting sqref="F57:F58">
    <cfRule type="cellIs" dxfId="71" priority="2" stopIfTrue="1" operator="between">
      <formula>0.009</formula>
      <formula>-0.009</formula>
    </cfRule>
  </conditionalFormatting>
  <hyperlinks>
    <hyperlink ref="A56" r:id="rId1" xr:uid="{00000000-0004-0000-16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61"/>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1379</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1380</v>
      </c>
      <c r="B7" s="27" t="s">
        <v>1381</v>
      </c>
      <c r="C7" s="27" t="s">
        <v>39</v>
      </c>
      <c r="D7" s="31">
        <v>90</v>
      </c>
      <c r="E7" s="29">
        <v>1137.1823999999999</v>
      </c>
      <c r="F7" s="30">
        <v>11.874291897727099</v>
      </c>
      <c r="G7" s="29">
        <v>3.5649000000000002</v>
      </c>
    </row>
    <row r="8" spans="1:7" x14ac:dyDescent="0.2">
      <c r="A8" s="27" t="s">
        <v>899</v>
      </c>
      <c r="B8" s="27" t="s">
        <v>900</v>
      </c>
      <c r="C8" s="27" t="s">
        <v>39</v>
      </c>
      <c r="D8" s="31">
        <v>98</v>
      </c>
      <c r="E8" s="29">
        <v>1012.5732400000001</v>
      </c>
      <c r="F8" s="30">
        <v>10.573141318039401</v>
      </c>
      <c r="G8" s="29">
        <v>3.99</v>
      </c>
    </row>
    <row r="9" spans="1:7" x14ac:dyDescent="0.2">
      <c r="A9" s="27" t="s">
        <v>934</v>
      </c>
      <c r="B9" s="27" t="s">
        <v>935</v>
      </c>
      <c r="C9" s="27" t="s">
        <v>39</v>
      </c>
      <c r="D9" s="31">
        <v>92</v>
      </c>
      <c r="E9" s="29">
        <v>936.48180000000002</v>
      </c>
      <c r="F9" s="30">
        <v>9.7786056573763798</v>
      </c>
      <c r="G9" s="29">
        <v>3.99</v>
      </c>
    </row>
    <row r="10" spans="1:7" x14ac:dyDescent="0.2">
      <c r="A10" s="27" t="s">
        <v>1368</v>
      </c>
      <c r="B10" s="27" t="s">
        <v>1369</v>
      </c>
      <c r="C10" s="27" t="s">
        <v>894</v>
      </c>
      <c r="D10" s="31">
        <v>90</v>
      </c>
      <c r="E10" s="29">
        <v>920.80259999999998</v>
      </c>
      <c r="F10" s="30">
        <v>9.6148857497143894</v>
      </c>
      <c r="G10" s="29">
        <v>3.7688000000000001</v>
      </c>
    </row>
    <row r="11" spans="1:7" x14ac:dyDescent="0.2">
      <c r="A11" s="27" t="s">
        <v>1370</v>
      </c>
      <c r="B11" s="27" t="s">
        <v>1371</v>
      </c>
      <c r="C11" s="27" t="s">
        <v>39</v>
      </c>
      <c r="D11" s="31">
        <v>90</v>
      </c>
      <c r="E11" s="29">
        <v>919.51289999999995</v>
      </c>
      <c r="F11" s="30">
        <v>9.6014188913981702</v>
      </c>
      <c r="G11" s="29">
        <v>3.85</v>
      </c>
    </row>
    <row r="12" spans="1:7" x14ac:dyDescent="0.2">
      <c r="A12" s="27" t="s">
        <v>1382</v>
      </c>
      <c r="B12" s="27" t="s">
        <v>1383</v>
      </c>
      <c r="C12" s="27" t="s">
        <v>39</v>
      </c>
      <c r="D12" s="31">
        <v>60</v>
      </c>
      <c r="E12" s="29">
        <v>749.39520000000005</v>
      </c>
      <c r="F12" s="30">
        <v>7.8250748090680498</v>
      </c>
      <c r="G12" s="29">
        <v>4.9748999999999999</v>
      </c>
    </row>
    <row r="13" spans="1:7" x14ac:dyDescent="0.2">
      <c r="A13" s="27" t="s">
        <v>1366</v>
      </c>
      <c r="B13" s="27" t="s">
        <v>1367</v>
      </c>
      <c r="C13" s="27" t="s">
        <v>39</v>
      </c>
      <c r="D13" s="31">
        <v>75</v>
      </c>
      <c r="E13" s="29">
        <v>730.56674999999996</v>
      </c>
      <c r="F13" s="30">
        <v>7.62847089461971</v>
      </c>
      <c r="G13" s="29">
        <v>4.5583</v>
      </c>
    </row>
    <row r="14" spans="1:7" x14ac:dyDescent="0.2">
      <c r="A14" s="27" t="s">
        <v>1374</v>
      </c>
      <c r="B14" s="27" t="s">
        <v>1375</v>
      </c>
      <c r="C14" s="27" t="s">
        <v>1249</v>
      </c>
      <c r="D14" s="31">
        <v>58</v>
      </c>
      <c r="E14" s="29">
        <v>727.08857999999998</v>
      </c>
      <c r="F14" s="30">
        <v>7.59215235341654</v>
      </c>
      <c r="G14" s="29">
        <v>5.3598999999999997</v>
      </c>
    </row>
    <row r="15" spans="1:7" x14ac:dyDescent="0.2">
      <c r="A15" s="27" t="s">
        <v>1250</v>
      </c>
      <c r="B15" s="27" t="s">
        <v>1251</v>
      </c>
      <c r="C15" s="27" t="s">
        <v>39</v>
      </c>
      <c r="D15" s="31">
        <v>71</v>
      </c>
      <c r="E15" s="29">
        <v>722.96672999999998</v>
      </c>
      <c r="F15" s="30">
        <v>7.5491126000237303</v>
      </c>
      <c r="G15" s="29">
        <v>3.8748999999999998</v>
      </c>
    </row>
    <row r="16" spans="1:7" x14ac:dyDescent="0.2">
      <c r="A16" s="27" t="s">
        <v>940</v>
      </c>
      <c r="B16" s="27" t="s">
        <v>941</v>
      </c>
      <c r="C16" s="27" t="s">
        <v>894</v>
      </c>
      <c r="D16" s="31">
        <v>470</v>
      </c>
      <c r="E16" s="29">
        <v>479.67072000000002</v>
      </c>
      <c r="F16" s="30">
        <v>5.0086513333946296</v>
      </c>
      <c r="G16" s="29">
        <v>3.7</v>
      </c>
    </row>
    <row r="17" spans="1:9" x14ac:dyDescent="0.2">
      <c r="A17" s="27" t="s">
        <v>1307</v>
      </c>
      <c r="B17" s="27" t="s">
        <v>1308</v>
      </c>
      <c r="C17" s="27" t="s">
        <v>39</v>
      </c>
      <c r="D17" s="31">
        <v>2</v>
      </c>
      <c r="E17" s="29">
        <v>200.90199999999999</v>
      </c>
      <c r="F17" s="30">
        <v>2.0977892296232898</v>
      </c>
      <c r="G17" s="29">
        <v>3.4704000000000002</v>
      </c>
    </row>
    <row r="18" spans="1:9" x14ac:dyDescent="0.2">
      <c r="A18" s="27" t="s">
        <v>1384</v>
      </c>
      <c r="B18" s="27" t="s">
        <v>1385</v>
      </c>
      <c r="C18" s="27" t="s">
        <v>1249</v>
      </c>
      <c r="D18" s="31">
        <v>10</v>
      </c>
      <c r="E18" s="29">
        <v>125.5741</v>
      </c>
      <c r="F18" s="30">
        <v>1.3112263416971299</v>
      </c>
      <c r="G18" s="29">
        <v>5.4</v>
      </c>
    </row>
    <row r="19" spans="1:9" x14ac:dyDescent="0.2">
      <c r="A19" s="27" t="s">
        <v>910</v>
      </c>
      <c r="B19" s="27" t="s">
        <v>911</v>
      </c>
      <c r="C19" s="27" t="s">
        <v>39</v>
      </c>
      <c r="D19" s="31">
        <v>8</v>
      </c>
      <c r="E19" s="29">
        <v>81.598640000000003</v>
      </c>
      <c r="F19" s="30">
        <v>0.85204103564876399</v>
      </c>
      <c r="G19" s="29">
        <v>3.85</v>
      </c>
    </row>
    <row r="20" spans="1:9" x14ac:dyDescent="0.2">
      <c r="A20" s="27" t="s">
        <v>922</v>
      </c>
      <c r="B20" s="27" t="s">
        <v>923</v>
      </c>
      <c r="C20" s="27" t="s">
        <v>894</v>
      </c>
      <c r="D20" s="31">
        <v>6</v>
      </c>
      <c r="E20" s="29">
        <v>76.140960000000007</v>
      </c>
      <c r="F20" s="30">
        <v>0.79505274124288206</v>
      </c>
      <c r="G20" s="29">
        <v>5.0350000000000001</v>
      </c>
    </row>
    <row r="21" spans="1:9" x14ac:dyDescent="0.2">
      <c r="A21" s="27" t="s">
        <v>1377</v>
      </c>
      <c r="B21" s="27" t="s">
        <v>1378</v>
      </c>
      <c r="C21" s="27" t="s">
        <v>39</v>
      </c>
      <c r="D21" s="31">
        <v>4</v>
      </c>
      <c r="E21" s="29">
        <v>40.518360000000001</v>
      </c>
      <c r="F21" s="30">
        <v>0.423086774696116</v>
      </c>
      <c r="G21" s="29">
        <v>4.08</v>
      </c>
    </row>
    <row r="22" spans="1:9" x14ac:dyDescent="0.2">
      <c r="A22" s="27" t="s">
        <v>1245</v>
      </c>
      <c r="B22" s="27" t="s">
        <v>1246</v>
      </c>
      <c r="C22" s="27" t="s">
        <v>39</v>
      </c>
      <c r="D22" s="31">
        <v>1</v>
      </c>
      <c r="E22" s="29">
        <v>10.056620000000001</v>
      </c>
      <c r="F22" s="30">
        <v>0.10500975163220901</v>
      </c>
      <c r="G22" s="29">
        <v>4.5350999999999999</v>
      </c>
    </row>
    <row r="23" spans="1:9" ht="10.5" x14ac:dyDescent="0.25">
      <c r="A23" s="26" t="s">
        <v>40</v>
      </c>
      <c r="B23" s="26"/>
      <c r="C23" s="26"/>
      <c r="D23" s="32"/>
      <c r="E23" s="33">
        <f>SUM(E6:E22)</f>
        <v>8871.0315999999984</v>
      </c>
      <c r="F23" s="34">
        <f>SUM(F6:F22)</f>
        <v>92.630011379318489</v>
      </c>
      <c r="G23" s="33"/>
      <c r="H23" s="18"/>
      <c r="I23" s="18"/>
    </row>
    <row r="24" spans="1:9" x14ac:dyDescent="0.2">
      <c r="A24" s="27"/>
      <c r="B24" s="27"/>
      <c r="C24" s="27"/>
      <c r="D24" s="28"/>
      <c r="E24" s="29"/>
      <c r="F24" s="30"/>
      <c r="G24" s="29"/>
    </row>
    <row r="25" spans="1:9" ht="10.5" x14ac:dyDescent="0.25">
      <c r="A25" s="26" t="s">
        <v>57</v>
      </c>
      <c r="B25" s="27"/>
      <c r="C25" s="27"/>
      <c r="D25" s="28"/>
      <c r="E25" s="29"/>
      <c r="F25" s="30"/>
      <c r="G25" s="29"/>
    </row>
    <row r="26" spans="1:9" ht="10.5" x14ac:dyDescent="0.25">
      <c r="A26" s="26" t="s">
        <v>58</v>
      </c>
      <c r="B26" s="27"/>
      <c r="C26" s="27"/>
      <c r="D26" s="28"/>
      <c r="E26" s="29"/>
      <c r="F26" s="30"/>
      <c r="G26" s="29"/>
    </row>
    <row r="27" spans="1:9" x14ac:dyDescent="0.2">
      <c r="A27" s="27" t="s">
        <v>812</v>
      </c>
      <c r="B27" s="27" t="s">
        <v>813</v>
      </c>
      <c r="C27" s="27" t="s">
        <v>62</v>
      </c>
      <c r="D27" s="31">
        <v>48</v>
      </c>
      <c r="E27" s="29">
        <v>47.850672000000003</v>
      </c>
      <c r="F27" s="30">
        <v>0.49964970160494498</v>
      </c>
      <c r="G27" s="29">
        <v>3.3502000000000001</v>
      </c>
    </row>
    <row r="28" spans="1:9" ht="10.5" x14ac:dyDescent="0.25">
      <c r="A28" s="26" t="s">
        <v>40</v>
      </c>
      <c r="B28" s="26"/>
      <c r="C28" s="26"/>
      <c r="D28" s="32"/>
      <c r="E28" s="33">
        <f>SUM(E26:E27)</f>
        <v>47.850672000000003</v>
      </c>
      <c r="F28" s="34">
        <f>SUM(F26:F27)</f>
        <v>0.49964970160494498</v>
      </c>
      <c r="G28" s="33"/>
      <c r="H28" s="18"/>
      <c r="I28" s="18"/>
    </row>
    <row r="29" spans="1:9" x14ac:dyDescent="0.2">
      <c r="A29" s="27"/>
      <c r="B29" s="27"/>
      <c r="C29" s="27"/>
      <c r="D29" s="28"/>
      <c r="E29" s="29"/>
      <c r="F29" s="30"/>
      <c r="G29" s="29"/>
    </row>
    <row r="30" spans="1:9" ht="10.5" x14ac:dyDescent="0.25">
      <c r="A30" s="26" t="s">
        <v>44</v>
      </c>
      <c r="B30" s="26"/>
      <c r="C30" s="26"/>
      <c r="D30" s="32"/>
      <c r="E30" s="33">
        <f>E23+E28</f>
        <v>8918.8822719999989</v>
      </c>
      <c r="F30" s="34">
        <f>F23+F28</f>
        <v>93.129661080923441</v>
      </c>
      <c r="G30" s="33"/>
      <c r="H30" s="18"/>
      <c r="I30" s="18"/>
    </row>
    <row r="31" spans="1:9" ht="10.5" x14ac:dyDescent="0.25">
      <c r="A31" s="26"/>
      <c r="B31" s="26"/>
      <c r="C31" s="26"/>
      <c r="D31" s="32"/>
      <c r="E31" s="33"/>
      <c r="F31" s="34"/>
      <c r="G31" s="33"/>
      <c r="H31" s="18"/>
      <c r="I31" s="18"/>
    </row>
    <row r="32" spans="1:9" ht="10.5" x14ac:dyDescent="0.25">
      <c r="A32" s="26" t="s">
        <v>46</v>
      </c>
      <c r="B32" s="26"/>
      <c r="C32" s="26"/>
      <c r="D32" s="32"/>
      <c r="E32" s="33">
        <f>E34-(E23+E28)</f>
        <v>657.9616341000019</v>
      </c>
      <c r="F32" s="34">
        <f>F34-(F23+F28)</f>
        <v>6.8703389190765591</v>
      </c>
      <c r="G32" s="33"/>
      <c r="H32" s="18"/>
      <c r="I32" s="18"/>
    </row>
    <row r="33" spans="1:9" ht="10.5" x14ac:dyDescent="0.25">
      <c r="A33" s="26"/>
      <c r="B33" s="26"/>
      <c r="C33" s="26"/>
      <c r="D33" s="32"/>
      <c r="E33" s="33"/>
      <c r="F33" s="34"/>
      <c r="G33" s="33"/>
      <c r="H33" s="18"/>
      <c r="I33" s="18"/>
    </row>
    <row r="34" spans="1:9" ht="10.5" x14ac:dyDescent="0.25">
      <c r="A34" s="35" t="s">
        <v>45</v>
      </c>
      <c r="B34" s="35"/>
      <c r="C34" s="35"/>
      <c r="D34" s="36"/>
      <c r="E34" s="37">
        <v>9576.8439061000008</v>
      </c>
      <c r="F34" s="38">
        <v>100</v>
      </c>
      <c r="G34" s="37"/>
      <c r="H34" s="18"/>
      <c r="I34" s="18"/>
    </row>
    <row r="36" spans="1:9" ht="10.5" x14ac:dyDescent="0.25">
      <c r="A36" s="18" t="s">
        <v>47</v>
      </c>
    </row>
    <row r="38" spans="1:9" ht="10.5" x14ac:dyDescent="0.25">
      <c r="A38" s="18" t="s">
        <v>48</v>
      </c>
    </row>
    <row r="39" spans="1:9" ht="10.5" x14ac:dyDescent="0.25">
      <c r="A39" s="18" t="s">
        <v>49</v>
      </c>
    </row>
    <row r="40" spans="1:9" ht="10.5" x14ac:dyDescent="0.25">
      <c r="A40" s="18" t="s">
        <v>50</v>
      </c>
      <c r="B40" s="18"/>
      <c r="C40" s="41" t="s">
        <v>727</v>
      </c>
      <c r="D40" s="19" t="s">
        <v>51</v>
      </c>
    </row>
    <row r="41" spans="1:9" x14ac:dyDescent="0.2">
      <c r="A41" s="9" t="s">
        <v>71</v>
      </c>
      <c r="C41" s="40">
        <v>12.0168</v>
      </c>
      <c r="D41" s="40">
        <v>12.3024</v>
      </c>
    </row>
    <row r="42" spans="1:9" x14ac:dyDescent="0.2">
      <c r="A42" s="9" t="s">
        <v>1329</v>
      </c>
      <c r="C42" s="40">
        <v>11.260999999999999</v>
      </c>
      <c r="D42" s="40">
        <v>10.636799999999999</v>
      </c>
    </row>
    <row r="43" spans="1:9" x14ac:dyDescent="0.2">
      <c r="A43" s="9" t="s">
        <v>73</v>
      </c>
      <c r="C43" s="40">
        <v>10.6075</v>
      </c>
      <c r="D43" s="40">
        <v>10.4291</v>
      </c>
    </row>
    <row r="44" spans="1:9" x14ac:dyDescent="0.2">
      <c r="A44" s="9" t="s">
        <v>74</v>
      </c>
      <c r="C44" s="40">
        <v>12.125299999999999</v>
      </c>
      <c r="D44" s="40">
        <v>12.413500000000001</v>
      </c>
    </row>
    <row r="45" spans="1:9" x14ac:dyDescent="0.2">
      <c r="A45" s="9" t="s">
        <v>76</v>
      </c>
      <c r="C45" s="40">
        <v>10.616</v>
      </c>
      <c r="D45" s="40">
        <v>10.4374</v>
      </c>
    </row>
    <row r="47" spans="1:9" ht="10.5" x14ac:dyDescent="0.25">
      <c r="A47" s="18" t="s">
        <v>52</v>
      </c>
    </row>
    <row r="48" spans="1:9" ht="10.5" x14ac:dyDescent="0.25">
      <c r="A48" s="77" t="s">
        <v>68</v>
      </c>
      <c r="B48" s="78"/>
      <c r="C48" s="43" t="s">
        <v>69</v>
      </c>
    </row>
    <row r="49" spans="1:7" x14ac:dyDescent="0.2">
      <c r="A49" s="71" t="s">
        <v>1329</v>
      </c>
      <c r="B49" s="72"/>
      <c r="C49" s="44">
        <v>0.875</v>
      </c>
    </row>
    <row r="50" spans="1:7" x14ac:dyDescent="0.2">
      <c r="A50" s="71" t="s">
        <v>73</v>
      </c>
      <c r="B50" s="72"/>
      <c r="C50" s="44">
        <v>0.42499999999999999</v>
      </c>
    </row>
    <row r="51" spans="1:7" x14ac:dyDescent="0.2">
      <c r="A51" s="71" t="s">
        <v>76</v>
      </c>
      <c r="B51" s="72"/>
      <c r="C51" s="44">
        <v>0.42499999999999999</v>
      </c>
    </row>
    <row r="52" spans="1:7" x14ac:dyDescent="0.2">
      <c r="A52" s="9" t="s">
        <v>70</v>
      </c>
    </row>
    <row r="54" spans="1:7" ht="10.5" x14ac:dyDescent="0.25">
      <c r="A54" s="18" t="s">
        <v>798</v>
      </c>
      <c r="D54" s="42">
        <v>0.42977036769862997</v>
      </c>
      <c r="E54" s="13" t="s">
        <v>54</v>
      </c>
    </row>
    <row r="56" spans="1:7" ht="10.5" x14ac:dyDescent="0.25">
      <c r="A56" s="18" t="s">
        <v>1502</v>
      </c>
      <c r="D56" s="41" t="s">
        <v>53</v>
      </c>
    </row>
    <row r="58" spans="1:7" ht="15" customHeight="1" x14ac:dyDescent="0.2">
      <c r="A58" s="73" t="s">
        <v>799</v>
      </c>
      <c r="B58" s="74"/>
      <c r="C58" s="74"/>
      <c r="D58" s="74"/>
      <c r="E58" s="74"/>
      <c r="F58" s="74"/>
      <c r="G58" s="74"/>
    </row>
    <row r="59" spans="1:7" x14ac:dyDescent="0.2">
      <c r="A59" s="46" t="s">
        <v>55</v>
      </c>
    </row>
    <row r="61" spans="1:7" x14ac:dyDescent="0.2">
      <c r="A61" s="46"/>
    </row>
  </sheetData>
  <mergeCells count="6">
    <mergeCell ref="A58:G58"/>
    <mergeCell ref="A1:G1"/>
    <mergeCell ref="A48:B48"/>
    <mergeCell ref="A49:B49"/>
    <mergeCell ref="A50:B50"/>
    <mergeCell ref="A51:B51"/>
  </mergeCells>
  <conditionalFormatting sqref="F2:F3 F5:F57 F62:F65536">
    <cfRule type="cellIs" dxfId="70" priority="3" stopIfTrue="1" operator="between">
      <formula>0.009</formula>
      <formula>-0.009</formula>
    </cfRule>
  </conditionalFormatting>
  <conditionalFormatting sqref="F59">
    <cfRule type="cellIs" dxfId="69" priority="1" stopIfTrue="1" operator="between">
      <formula>0.009</formula>
      <formula>-0.009</formula>
    </cfRule>
  </conditionalFormatting>
  <conditionalFormatting sqref="F60:F61">
    <cfRule type="cellIs" dxfId="68" priority="2" stopIfTrue="1" operator="between">
      <formula>0.009</formula>
      <formula>-0.009</formula>
    </cfRule>
  </conditionalFormatting>
  <hyperlinks>
    <hyperlink ref="A59" r:id="rId1" xr:uid="{00000000-0004-0000-17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65"/>
  <sheetViews>
    <sheetView workbookViewId="0">
      <selection sqref="A1:G1"/>
    </sheetView>
  </sheetViews>
  <sheetFormatPr defaultColWidth="9.1796875" defaultRowHeight="10" x14ac:dyDescent="0.2"/>
  <cols>
    <col min="1" max="1" width="38.7265625" style="9" bestFit="1" customWidth="1"/>
    <col min="2" max="2" width="53.2695312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1386</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1384</v>
      </c>
      <c r="B7" s="27" t="s">
        <v>1385</v>
      </c>
      <c r="C7" s="27" t="s">
        <v>1249</v>
      </c>
      <c r="D7" s="31">
        <v>103</v>
      </c>
      <c r="E7" s="29">
        <v>1293.4132300000001</v>
      </c>
      <c r="F7" s="30">
        <v>11.071950318546101</v>
      </c>
      <c r="G7" s="29">
        <v>5.4</v>
      </c>
    </row>
    <row r="8" spans="1:7" x14ac:dyDescent="0.2">
      <c r="A8" s="27" t="s">
        <v>1250</v>
      </c>
      <c r="B8" s="27" t="s">
        <v>1251</v>
      </c>
      <c r="C8" s="27" t="s">
        <v>39</v>
      </c>
      <c r="D8" s="31">
        <v>115</v>
      </c>
      <c r="E8" s="29">
        <v>1171.00245</v>
      </c>
      <c r="F8" s="30">
        <v>10.0240825194712</v>
      </c>
      <c r="G8" s="29">
        <v>3.8748999999999998</v>
      </c>
    </row>
    <row r="9" spans="1:7" x14ac:dyDescent="0.2">
      <c r="A9" s="27" t="s">
        <v>910</v>
      </c>
      <c r="B9" s="27" t="s">
        <v>911</v>
      </c>
      <c r="C9" s="27" t="s">
        <v>39</v>
      </c>
      <c r="D9" s="31">
        <v>112</v>
      </c>
      <c r="E9" s="29">
        <v>1142.38096</v>
      </c>
      <c r="F9" s="30">
        <v>9.7790751946870298</v>
      </c>
      <c r="G9" s="29">
        <v>3.85</v>
      </c>
    </row>
    <row r="10" spans="1:7" x14ac:dyDescent="0.2">
      <c r="A10" s="27" t="s">
        <v>1374</v>
      </c>
      <c r="B10" s="27" t="s">
        <v>1375</v>
      </c>
      <c r="C10" s="27" t="s">
        <v>1249</v>
      </c>
      <c r="D10" s="31">
        <v>85</v>
      </c>
      <c r="E10" s="29">
        <v>1065.5608500000001</v>
      </c>
      <c r="F10" s="30">
        <v>9.1214752709679505</v>
      </c>
      <c r="G10" s="29">
        <v>5.3598999999999997</v>
      </c>
    </row>
    <row r="11" spans="1:7" x14ac:dyDescent="0.2">
      <c r="A11" s="27" t="s">
        <v>1387</v>
      </c>
      <c r="B11" s="27" t="s">
        <v>1388</v>
      </c>
      <c r="C11" s="27" t="s">
        <v>39</v>
      </c>
      <c r="D11" s="31">
        <v>100</v>
      </c>
      <c r="E11" s="29">
        <v>1023.4640000000001</v>
      </c>
      <c r="F11" s="30">
        <v>8.7611153945135491</v>
      </c>
      <c r="G11" s="29">
        <v>4.0049999999999999</v>
      </c>
    </row>
    <row r="12" spans="1:7" x14ac:dyDescent="0.2">
      <c r="A12" s="27" t="s">
        <v>1389</v>
      </c>
      <c r="B12" s="27" t="s">
        <v>1390</v>
      </c>
      <c r="C12" s="27" t="s">
        <v>39</v>
      </c>
      <c r="D12" s="31">
        <v>70</v>
      </c>
      <c r="E12" s="29">
        <v>886.68650000000002</v>
      </c>
      <c r="F12" s="30">
        <v>7.59026477263229</v>
      </c>
      <c r="G12" s="29">
        <v>5.6098999999999997</v>
      </c>
    </row>
    <row r="13" spans="1:7" x14ac:dyDescent="0.2">
      <c r="A13" s="27" t="s">
        <v>1391</v>
      </c>
      <c r="B13" s="27" t="s">
        <v>1392</v>
      </c>
      <c r="C13" s="27" t="s">
        <v>39</v>
      </c>
      <c r="D13" s="31">
        <v>77</v>
      </c>
      <c r="E13" s="29">
        <v>785.67412000000002</v>
      </c>
      <c r="F13" s="30">
        <v>6.7255727879074199</v>
      </c>
      <c r="G13" s="29">
        <v>3.6798999999999999</v>
      </c>
    </row>
    <row r="14" spans="1:7" x14ac:dyDescent="0.2">
      <c r="A14" s="27" t="s">
        <v>926</v>
      </c>
      <c r="B14" s="27" t="s">
        <v>927</v>
      </c>
      <c r="C14" s="27" t="s">
        <v>894</v>
      </c>
      <c r="D14" s="31">
        <v>75</v>
      </c>
      <c r="E14" s="29">
        <v>771.29925000000003</v>
      </c>
      <c r="F14" s="30">
        <v>6.6025201990023596</v>
      </c>
      <c r="G14" s="29">
        <v>3.9350000000000001</v>
      </c>
    </row>
    <row r="15" spans="1:7" x14ac:dyDescent="0.2">
      <c r="A15" s="27" t="s">
        <v>1393</v>
      </c>
      <c r="B15" s="27" t="s">
        <v>1394</v>
      </c>
      <c r="C15" s="27" t="s">
        <v>894</v>
      </c>
      <c r="D15" s="31">
        <v>21</v>
      </c>
      <c r="E15" s="29">
        <v>532.266525</v>
      </c>
      <c r="F15" s="30">
        <v>4.5563385191484302</v>
      </c>
      <c r="G15" s="29">
        <v>4.5999999999999996</v>
      </c>
    </row>
    <row r="16" spans="1:7" x14ac:dyDescent="0.2">
      <c r="A16" s="27" t="s">
        <v>1395</v>
      </c>
      <c r="B16" s="27" t="s">
        <v>1396</v>
      </c>
      <c r="C16" s="27" t="s">
        <v>39</v>
      </c>
      <c r="D16" s="31">
        <v>33</v>
      </c>
      <c r="E16" s="29">
        <v>333.32342999999997</v>
      </c>
      <c r="F16" s="30">
        <v>2.8533343956651702</v>
      </c>
      <c r="G16" s="29">
        <v>3.57</v>
      </c>
    </row>
    <row r="17" spans="1:9" x14ac:dyDescent="0.2">
      <c r="A17" s="27" t="s">
        <v>1397</v>
      </c>
      <c r="B17" s="27" t="s">
        <v>1398</v>
      </c>
      <c r="C17" s="27" t="s">
        <v>39</v>
      </c>
      <c r="D17" s="31">
        <v>32</v>
      </c>
      <c r="E17" s="29">
        <v>324.69727999999998</v>
      </c>
      <c r="F17" s="30">
        <v>2.77949233032591</v>
      </c>
      <c r="G17" s="29">
        <v>3.5649999999999999</v>
      </c>
    </row>
    <row r="18" spans="1:9" x14ac:dyDescent="0.2">
      <c r="A18" s="27" t="s">
        <v>940</v>
      </c>
      <c r="B18" s="27" t="s">
        <v>941</v>
      </c>
      <c r="C18" s="27" t="s">
        <v>894</v>
      </c>
      <c r="D18" s="31">
        <v>310</v>
      </c>
      <c r="E18" s="29">
        <v>316.37855999999999</v>
      </c>
      <c r="F18" s="30">
        <v>2.7082819449536402</v>
      </c>
      <c r="G18" s="29">
        <v>3.7</v>
      </c>
    </row>
    <row r="19" spans="1:9" x14ac:dyDescent="0.2">
      <c r="A19" s="27" t="s">
        <v>1399</v>
      </c>
      <c r="B19" s="27" t="s">
        <v>1400</v>
      </c>
      <c r="C19" s="27" t="s">
        <v>850</v>
      </c>
      <c r="D19" s="31">
        <v>32</v>
      </c>
      <c r="E19" s="29">
        <v>315.17536000000001</v>
      </c>
      <c r="F19" s="30">
        <v>2.6979822431148999</v>
      </c>
      <c r="G19" s="29">
        <v>4.1082999999999998</v>
      </c>
    </row>
    <row r="20" spans="1:9" x14ac:dyDescent="0.2">
      <c r="A20" s="27" t="s">
        <v>1307</v>
      </c>
      <c r="B20" s="27" t="s">
        <v>1308</v>
      </c>
      <c r="C20" s="27" t="s">
        <v>39</v>
      </c>
      <c r="D20" s="31">
        <v>2</v>
      </c>
      <c r="E20" s="29">
        <v>200.90199999999999</v>
      </c>
      <c r="F20" s="30">
        <v>1.71977285472529</v>
      </c>
      <c r="G20" s="29">
        <v>3.4704000000000002</v>
      </c>
    </row>
    <row r="21" spans="1:9" x14ac:dyDescent="0.2">
      <c r="A21" s="27" t="s">
        <v>1401</v>
      </c>
      <c r="B21" s="27" t="s">
        <v>1402</v>
      </c>
      <c r="C21" s="27" t="s">
        <v>850</v>
      </c>
      <c r="D21" s="31">
        <v>26</v>
      </c>
      <c r="E21" s="29">
        <v>131.52359999999999</v>
      </c>
      <c r="F21" s="30">
        <v>1.12587588493766</v>
      </c>
      <c r="G21" s="29">
        <v>4.4748999999999999</v>
      </c>
    </row>
    <row r="22" spans="1:9" x14ac:dyDescent="0.2">
      <c r="A22" s="27" t="s">
        <v>1245</v>
      </c>
      <c r="B22" s="27" t="s">
        <v>1246</v>
      </c>
      <c r="C22" s="27" t="s">
        <v>39</v>
      </c>
      <c r="D22" s="31">
        <v>4</v>
      </c>
      <c r="E22" s="29">
        <v>40.226480000000002</v>
      </c>
      <c r="F22" s="30">
        <v>0.34434902761122199</v>
      </c>
      <c r="G22" s="29">
        <v>4.5350999999999999</v>
      </c>
    </row>
    <row r="23" spans="1:9" x14ac:dyDescent="0.2">
      <c r="A23" s="27" t="s">
        <v>1403</v>
      </c>
      <c r="B23" s="27" t="s">
        <v>1404</v>
      </c>
      <c r="C23" s="27" t="s">
        <v>39</v>
      </c>
      <c r="D23" s="31">
        <v>2</v>
      </c>
      <c r="E23" s="29">
        <v>25.44622</v>
      </c>
      <c r="F23" s="30">
        <v>0.21782619591326999</v>
      </c>
      <c r="G23" s="29">
        <v>3.9550000000000001</v>
      </c>
    </row>
    <row r="24" spans="1:9" x14ac:dyDescent="0.2">
      <c r="A24" s="27" t="s">
        <v>1247</v>
      </c>
      <c r="B24" s="27" t="s">
        <v>1248</v>
      </c>
      <c r="C24" s="27" t="s">
        <v>1249</v>
      </c>
      <c r="D24" s="31">
        <v>2</v>
      </c>
      <c r="E24" s="29">
        <v>25.194479999999999</v>
      </c>
      <c r="F24" s="30">
        <v>0.215671236687137</v>
      </c>
      <c r="G24" s="29">
        <v>4.1501000000000001</v>
      </c>
    </row>
    <row r="25" spans="1:9" ht="10.5" x14ac:dyDescent="0.25">
      <c r="A25" s="26" t="s">
        <v>40</v>
      </c>
      <c r="B25" s="26"/>
      <c r="C25" s="26"/>
      <c r="D25" s="32"/>
      <c r="E25" s="33">
        <f>SUM(E6:E24)</f>
        <v>10384.615295</v>
      </c>
      <c r="F25" s="34">
        <f>SUM(F6:F24)</f>
        <v>88.894981090810518</v>
      </c>
      <c r="G25" s="33"/>
      <c r="H25" s="18"/>
      <c r="I25" s="18"/>
    </row>
    <row r="26" spans="1:9" x14ac:dyDescent="0.2">
      <c r="A26" s="27"/>
      <c r="B26" s="27"/>
      <c r="C26" s="27"/>
      <c r="D26" s="28"/>
      <c r="E26" s="29"/>
      <c r="F26" s="30"/>
      <c r="G26" s="29"/>
    </row>
    <row r="27" spans="1:9" ht="10.5" x14ac:dyDescent="0.25">
      <c r="A27" s="26" t="s">
        <v>41</v>
      </c>
      <c r="B27" s="27"/>
      <c r="C27" s="27"/>
      <c r="D27" s="28"/>
      <c r="E27" s="29"/>
      <c r="F27" s="30"/>
      <c r="G27" s="29"/>
    </row>
    <row r="28" spans="1:9" x14ac:dyDescent="0.2">
      <c r="A28" s="27" t="s">
        <v>952</v>
      </c>
      <c r="B28" s="27" t="s">
        <v>953</v>
      </c>
      <c r="C28" s="27" t="s">
        <v>39</v>
      </c>
      <c r="D28" s="31">
        <v>29</v>
      </c>
      <c r="E28" s="29">
        <v>292.40902999999997</v>
      </c>
      <c r="F28" s="30">
        <v>2.50309659570613</v>
      </c>
      <c r="G28" s="29">
        <v>3.7120000000000002</v>
      </c>
    </row>
    <row r="29" spans="1:9" ht="10.5" x14ac:dyDescent="0.25">
      <c r="A29" s="26" t="s">
        <v>40</v>
      </c>
      <c r="B29" s="26"/>
      <c r="C29" s="26"/>
      <c r="D29" s="32"/>
      <c r="E29" s="33">
        <f>SUM(E27:E28)</f>
        <v>292.40902999999997</v>
      </c>
      <c r="F29" s="34">
        <f>SUM(F27:F28)</f>
        <v>2.50309659570613</v>
      </c>
      <c r="G29" s="33"/>
      <c r="H29" s="18"/>
      <c r="I29" s="18"/>
    </row>
    <row r="30" spans="1:9" x14ac:dyDescent="0.2">
      <c r="A30" s="27"/>
      <c r="B30" s="27"/>
      <c r="C30" s="27"/>
      <c r="D30" s="28"/>
      <c r="E30" s="29"/>
      <c r="F30" s="30"/>
      <c r="G30" s="29"/>
    </row>
    <row r="31" spans="1:9" ht="10.5" x14ac:dyDescent="0.25">
      <c r="A31" s="26" t="s">
        <v>57</v>
      </c>
      <c r="B31" s="27"/>
      <c r="C31" s="27"/>
      <c r="D31" s="28"/>
      <c r="E31" s="29"/>
      <c r="F31" s="30"/>
      <c r="G31" s="29"/>
    </row>
    <row r="32" spans="1:9" ht="10.5" x14ac:dyDescent="0.25">
      <c r="A32" s="26" t="s">
        <v>58</v>
      </c>
      <c r="B32" s="27"/>
      <c r="C32" s="27"/>
      <c r="D32" s="28"/>
      <c r="E32" s="29"/>
      <c r="F32" s="30"/>
      <c r="G32" s="29"/>
    </row>
    <row r="33" spans="1:9" x14ac:dyDescent="0.2">
      <c r="A33" s="27" t="s">
        <v>812</v>
      </c>
      <c r="B33" s="27" t="s">
        <v>813</v>
      </c>
      <c r="C33" s="27" t="s">
        <v>62</v>
      </c>
      <c r="D33" s="31">
        <v>16</v>
      </c>
      <c r="E33" s="29">
        <v>15.950224</v>
      </c>
      <c r="F33" s="30">
        <v>0.13653802481801</v>
      </c>
      <c r="G33" s="29">
        <v>3.3502000000000001</v>
      </c>
    </row>
    <row r="34" spans="1:9" ht="10.5" x14ac:dyDescent="0.25">
      <c r="A34" s="26" t="s">
        <v>40</v>
      </c>
      <c r="B34" s="26"/>
      <c r="C34" s="26"/>
      <c r="D34" s="32"/>
      <c r="E34" s="33">
        <f>SUM(E32:E33)</f>
        <v>15.950224</v>
      </c>
      <c r="F34" s="34">
        <f>SUM(F32:F33)</f>
        <v>0.13653802481801</v>
      </c>
      <c r="G34" s="33"/>
      <c r="H34" s="18"/>
      <c r="I34" s="18"/>
    </row>
    <row r="35" spans="1:9" x14ac:dyDescent="0.2">
      <c r="A35" s="27"/>
      <c r="B35" s="27"/>
      <c r="C35" s="27"/>
      <c r="D35" s="28"/>
      <c r="E35" s="29"/>
      <c r="F35" s="30"/>
      <c r="G35" s="29"/>
    </row>
    <row r="36" spans="1:9" ht="10.5" x14ac:dyDescent="0.25">
      <c r="A36" s="26" t="s">
        <v>44</v>
      </c>
      <c r="B36" s="26"/>
      <c r="C36" s="26"/>
      <c r="D36" s="32"/>
      <c r="E36" s="33">
        <f>E25+E29+E34</f>
        <v>10692.974549</v>
      </c>
      <c r="F36" s="34">
        <f>F25+F29+F34</f>
        <v>91.534615711334652</v>
      </c>
      <c r="G36" s="33"/>
      <c r="H36" s="18"/>
      <c r="I36" s="18"/>
    </row>
    <row r="37" spans="1:9" ht="10.5" x14ac:dyDescent="0.25">
      <c r="A37" s="26"/>
      <c r="B37" s="26"/>
      <c r="C37" s="26"/>
      <c r="D37" s="32"/>
      <c r="E37" s="33"/>
      <c r="F37" s="34"/>
      <c r="G37" s="33"/>
      <c r="H37" s="18"/>
      <c r="I37" s="18"/>
    </row>
    <row r="38" spans="1:9" ht="10.5" x14ac:dyDescent="0.25">
      <c r="A38" s="26" t="s">
        <v>46</v>
      </c>
      <c r="B38" s="26"/>
      <c r="C38" s="26"/>
      <c r="D38" s="32"/>
      <c r="E38" s="33">
        <f>E40-(E25+E29+E34)</f>
        <v>988.91701289999946</v>
      </c>
      <c r="F38" s="34">
        <f>F40-(F25+F29+F34)</f>
        <v>8.4653842886653479</v>
      </c>
      <c r="G38" s="33"/>
      <c r="H38" s="18"/>
      <c r="I38" s="18"/>
    </row>
    <row r="39" spans="1:9" ht="10.5" x14ac:dyDescent="0.25">
      <c r="A39" s="26"/>
      <c r="B39" s="26"/>
      <c r="C39" s="26"/>
      <c r="D39" s="32"/>
      <c r="E39" s="33"/>
      <c r="F39" s="34"/>
      <c r="G39" s="33"/>
      <c r="H39" s="18"/>
      <c r="I39" s="18"/>
    </row>
    <row r="40" spans="1:9" ht="10.5" x14ac:dyDescent="0.25">
      <c r="A40" s="35" t="s">
        <v>45</v>
      </c>
      <c r="B40" s="35"/>
      <c r="C40" s="35"/>
      <c r="D40" s="36"/>
      <c r="E40" s="37">
        <v>11681.8915619</v>
      </c>
      <c r="F40" s="38">
        <v>100</v>
      </c>
      <c r="G40" s="37"/>
      <c r="H40" s="18"/>
      <c r="I40" s="18"/>
    </row>
    <row r="42" spans="1:9" ht="10.5" x14ac:dyDescent="0.25">
      <c r="A42" s="18" t="s">
        <v>47</v>
      </c>
    </row>
    <row r="44" spans="1:9" ht="10.5" x14ac:dyDescent="0.25">
      <c r="A44" s="18" t="s">
        <v>48</v>
      </c>
    </row>
    <row r="45" spans="1:9" ht="10.5" x14ac:dyDescent="0.25">
      <c r="A45" s="18" t="s">
        <v>49</v>
      </c>
    </row>
    <row r="46" spans="1:9" ht="10.5" x14ac:dyDescent="0.25">
      <c r="A46" s="18" t="s">
        <v>50</v>
      </c>
      <c r="B46" s="18"/>
      <c r="C46" s="41" t="s">
        <v>727</v>
      </c>
      <c r="D46" s="19" t="s">
        <v>51</v>
      </c>
    </row>
    <row r="47" spans="1:9" x14ac:dyDescent="0.2">
      <c r="A47" s="9" t="s">
        <v>71</v>
      </c>
      <c r="C47" s="40">
        <v>12.016</v>
      </c>
      <c r="D47" s="40">
        <v>12.3247</v>
      </c>
    </row>
    <row r="48" spans="1:9" x14ac:dyDescent="0.2">
      <c r="A48" s="9" t="s">
        <v>1329</v>
      </c>
      <c r="C48" s="40">
        <v>10.3805</v>
      </c>
      <c r="D48" s="40">
        <v>10.6472</v>
      </c>
    </row>
    <row r="49" spans="1:7" x14ac:dyDescent="0.2">
      <c r="A49" s="9" t="s">
        <v>73</v>
      </c>
      <c r="C49" s="40">
        <v>10.3636</v>
      </c>
      <c r="D49" s="40">
        <v>10.2227</v>
      </c>
    </row>
    <row r="50" spans="1:7" x14ac:dyDescent="0.2">
      <c r="A50" s="9" t="s">
        <v>74</v>
      </c>
      <c r="C50" s="40">
        <v>12.136799999999999</v>
      </c>
      <c r="D50" s="40">
        <v>12.448600000000001</v>
      </c>
    </row>
    <row r="51" spans="1:7" x14ac:dyDescent="0.2">
      <c r="A51" s="9" t="s">
        <v>78</v>
      </c>
      <c r="C51" s="40">
        <v>10.502700000000001</v>
      </c>
      <c r="D51" s="40">
        <v>10.7742</v>
      </c>
    </row>
    <row r="53" spans="1:7" ht="10.5" x14ac:dyDescent="0.25">
      <c r="A53" s="18" t="s">
        <v>52</v>
      </c>
    </row>
    <row r="54" spans="1:7" ht="10.5" x14ac:dyDescent="0.25">
      <c r="A54" s="77" t="s">
        <v>68</v>
      </c>
      <c r="B54" s="78"/>
      <c r="C54" s="43" t="s">
        <v>69</v>
      </c>
    </row>
    <row r="55" spans="1:7" x14ac:dyDescent="0.2">
      <c r="A55" s="71" t="s">
        <v>73</v>
      </c>
      <c r="B55" s="72"/>
      <c r="C55" s="44">
        <v>0.40500000000000003</v>
      </c>
    </row>
    <row r="56" spans="1:7" x14ac:dyDescent="0.2">
      <c r="A56" s="9" t="s">
        <v>70</v>
      </c>
    </row>
    <row r="58" spans="1:7" ht="10.5" x14ac:dyDescent="0.25">
      <c r="A58" s="18" t="s">
        <v>798</v>
      </c>
      <c r="D58" s="42">
        <v>0.38714092528767102</v>
      </c>
      <c r="E58" s="13" t="s">
        <v>54</v>
      </c>
    </row>
    <row r="60" spans="1:7" ht="10.5" x14ac:dyDescent="0.25">
      <c r="A60" s="18" t="s">
        <v>1502</v>
      </c>
      <c r="D60" s="41" t="s">
        <v>53</v>
      </c>
    </row>
    <row r="62" spans="1:7" ht="15" customHeight="1" x14ac:dyDescent="0.2">
      <c r="A62" s="73" t="s">
        <v>799</v>
      </c>
      <c r="B62" s="74"/>
      <c r="C62" s="74"/>
      <c r="D62" s="74"/>
      <c r="E62" s="74"/>
      <c r="F62" s="74"/>
      <c r="G62" s="74"/>
    </row>
    <row r="63" spans="1:7" x14ac:dyDescent="0.2">
      <c r="A63" s="46" t="s">
        <v>55</v>
      </c>
    </row>
    <row r="65" spans="1:1" x14ac:dyDescent="0.2">
      <c r="A65" s="46"/>
    </row>
  </sheetData>
  <mergeCells count="4">
    <mergeCell ref="A1:G1"/>
    <mergeCell ref="A54:B54"/>
    <mergeCell ref="A55:B55"/>
    <mergeCell ref="A62:G62"/>
  </mergeCells>
  <conditionalFormatting sqref="F2:F3 F5:F61 F66:F65536">
    <cfRule type="cellIs" dxfId="67" priority="3" stopIfTrue="1" operator="between">
      <formula>0.009</formula>
      <formula>-0.009</formula>
    </cfRule>
  </conditionalFormatting>
  <conditionalFormatting sqref="F63">
    <cfRule type="cellIs" dxfId="66" priority="1" stopIfTrue="1" operator="between">
      <formula>0.009</formula>
      <formula>-0.009</formula>
    </cfRule>
  </conditionalFormatting>
  <conditionalFormatting sqref="F64:F65">
    <cfRule type="cellIs" dxfId="65" priority="2" stopIfTrue="1" operator="between">
      <formula>0.009</formula>
      <formula>-0.009</formula>
    </cfRule>
  </conditionalFormatting>
  <hyperlinks>
    <hyperlink ref="A63" r:id="rId1" xr:uid="{00000000-0004-0000-18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66"/>
  <sheetViews>
    <sheetView workbookViewId="0">
      <selection sqref="A1:G1"/>
    </sheetView>
  </sheetViews>
  <sheetFormatPr defaultColWidth="9.1796875" defaultRowHeight="10" x14ac:dyDescent="0.2"/>
  <cols>
    <col min="1" max="1" width="38.7265625" style="9" bestFit="1" customWidth="1"/>
    <col min="2" max="2" width="51"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1405</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1406</v>
      </c>
      <c r="B7" s="27" t="s">
        <v>1407</v>
      </c>
      <c r="C7" s="27" t="s">
        <v>39</v>
      </c>
      <c r="D7" s="31">
        <v>99</v>
      </c>
      <c r="E7" s="29">
        <v>1253.9201399999999</v>
      </c>
      <c r="F7" s="30">
        <v>10.063661522897499</v>
      </c>
      <c r="G7" s="29">
        <v>4.5250000000000004</v>
      </c>
    </row>
    <row r="8" spans="1:7" x14ac:dyDescent="0.2">
      <c r="A8" s="27" t="s">
        <v>1408</v>
      </c>
      <c r="B8" s="27" t="s">
        <v>1409</v>
      </c>
      <c r="C8" s="27" t="s">
        <v>39</v>
      </c>
      <c r="D8" s="31">
        <v>119</v>
      </c>
      <c r="E8" s="29">
        <v>1210.8452299999999</v>
      </c>
      <c r="F8" s="30">
        <v>9.7179526531370701</v>
      </c>
      <c r="G8" s="29">
        <v>3.73</v>
      </c>
    </row>
    <row r="9" spans="1:7" x14ac:dyDescent="0.2">
      <c r="A9" s="27" t="s">
        <v>1364</v>
      </c>
      <c r="B9" s="27" t="s">
        <v>1365</v>
      </c>
      <c r="C9" s="27" t="s">
        <v>39</v>
      </c>
      <c r="D9" s="31">
        <v>119</v>
      </c>
      <c r="E9" s="29">
        <v>1208.4176299999999</v>
      </c>
      <c r="F9" s="30">
        <v>9.6984693192837792</v>
      </c>
      <c r="G9" s="29">
        <v>3.7349999999999999</v>
      </c>
    </row>
    <row r="10" spans="1:7" x14ac:dyDescent="0.2">
      <c r="A10" s="27" t="s">
        <v>1410</v>
      </c>
      <c r="B10" s="27" t="s">
        <v>1411</v>
      </c>
      <c r="C10" s="27" t="s">
        <v>894</v>
      </c>
      <c r="D10" s="31">
        <v>100</v>
      </c>
      <c r="E10" s="29">
        <v>1017.816</v>
      </c>
      <c r="F10" s="30">
        <v>8.1687464694437999</v>
      </c>
      <c r="G10" s="29">
        <v>3.665</v>
      </c>
    </row>
    <row r="11" spans="1:7" x14ac:dyDescent="0.2">
      <c r="A11" s="27" t="s">
        <v>1412</v>
      </c>
      <c r="B11" s="27" t="s">
        <v>1413</v>
      </c>
      <c r="C11" s="27" t="s">
        <v>894</v>
      </c>
      <c r="D11" s="31">
        <v>100</v>
      </c>
      <c r="E11" s="29">
        <v>1014.866</v>
      </c>
      <c r="F11" s="30">
        <v>8.1450704788080994</v>
      </c>
      <c r="G11" s="29">
        <v>4.7248000000000001</v>
      </c>
    </row>
    <row r="12" spans="1:7" x14ac:dyDescent="0.2">
      <c r="A12" s="27" t="s">
        <v>1414</v>
      </c>
      <c r="B12" s="27" t="s">
        <v>1415</v>
      </c>
      <c r="C12" s="27" t="s">
        <v>39</v>
      </c>
      <c r="D12" s="31">
        <v>100</v>
      </c>
      <c r="E12" s="29">
        <v>1014.23</v>
      </c>
      <c r="F12" s="30">
        <v>8.1399660957422402</v>
      </c>
      <c r="G12" s="29">
        <v>3.6800999999999999</v>
      </c>
    </row>
    <row r="13" spans="1:7" x14ac:dyDescent="0.2">
      <c r="A13" s="27" t="s">
        <v>1399</v>
      </c>
      <c r="B13" s="27" t="s">
        <v>1400</v>
      </c>
      <c r="C13" s="27" t="s">
        <v>850</v>
      </c>
      <c r="D13" s="31">
        <v>96</v>
      </c>
      <c r="E13" s="29">
        <v>945.52607999999998</v>
      </c>
      <c r="F13" s="30">
        <v>7.5885649545370004</v>
      </c>
      <c r="G13" s="29">
        <v>4.1082999999999998</v>
      </c>
    </row>
    <row r="14" spans="1:7" x14ac:dyDescent="0.2">
      <c r="A14" s="27" t="s">
        <v>922</v>
      </c>
      <c r="B14" s="27" t="s">
        <v>923</v>
      </c>
      <c r="C14" s="27" t="s">
        <v>894</v>
      </c>
      <c r="D14" s="31">
        <v>74</v>
      </c>
      <c r="E14" s="29">
        <v>939.07183999999995</v>
      </c>
      <c r="F14" s="30">
        <v>7.53676477629954</v>
      </c>
      <c r="G14" s="29">
        <v>5.0350000000000001</v>
      </c>
    </row>
    <row r="15" spans="1:7" x14ac:dyDescent="0.2">
      <c r="A15" s="27" t="s">
        <v>1397</v>
      </c>
      <c r="B15" s="27" t="s">
        <v>1398</v>
      </c>
      <c r="C15" s="27" t="s">
        <v>39</v>
      </c>
      <c r="D15" s="31">
        <v>67</v>
      </c>
      <c r="E15" s="29">
        <v>679.83492999999999</v>
      </c>
      <c r="F15" s="30">
        <v>5.4561916733889699</v>
      </c>
      <c r="G15" s="29">
        <v>3.5649999999999999</v>
      </c>
    </row>
    <row r="16" spans="1:7" x14ac:dyDescent="0.2">
      <c r="A16" s="27" t="s">
        <v>1307</v>
      </c>
      <c r="B16" s="27" t="s">
        <v>1308</v>
      </c>
      <c r="C16" s="27" t="s">
        <v>39</v>
      </c>
      <c r="D16" s="31">
        <v>5</v>
      </c>
      <c r="E16" s="29">
        <v>502.255</v>
      </c>
      <c r="F16" s="30">
        <v>4.0309778565187599</v>
      </c>
      <c r="G16" s="29">
        <v>3.4704000000000002</v>
      </c>
    </row>
    <row r="17" spans="1:9" x14ac:dyDescent="0.2">
      <c r="A17" s="27" t="s">
        <v>950</v>
      </c>
      <c r="B17" s="27" t="s">
        <v>951</v>
      </c>
      <c r="C17" s="27" t="s">
        <v>39</v>
      </c>
      <c r="D17" s="31">
        <v>46</v>
      </c>
      <c r="E17" s="29">
        <v>469.09834000000001</v>
      </c>
      <c r="F17" s="30">
        <v>3.7648704762913399</v>
      </c>
      <c r="G17" s="29">
        <v>3.5800999999999998</v>
      </c>
    </row>
    <row r="18" spans="1:9" x14ac:dyDescent="0.2">
      <c r="A18" s="27" t="s">
        <v>1391</v>
      </c>
      <c r="B18" s="27" t="s">
        <v>1392</v>
      </c>
      <c r="C18" s="27" t="s">
        <v>39</v>
      </c>
      <c r="D18" s="31">
        <v>23</v>
      </c>
      <c r="E18" s="29">
        <v>234.68188000000001</v>
      </c>
      <c r="F18" s="30">
        <v>1.8835003366938901</v>
      </c>
      <c r="G18" s="29">
        <v>3.6798999999999999</v>
      </c>
    </row>
    <row r="19" spans="1:9" x14ac:dyDescent="0.2">
      <c r="A19" s="27" t="s">
        <v>1372</v>
      </c>
      <c r="B19" s="27" t="s">
        <v>1373</v>
      </c>
      <c r="C19" s="27" t="s">
        <v>39</v>
      </c>
      <c r="D19" s="31">
        <v>20</v>
      </c>
      <c r="E19" s="29">
        <v>202.01060000000001</v>
      </c>
      <c r="F19" s="30">
        <v>1.6212884996307999</v>
      </c>
      <c r="G19" s="29">
        <v>3.6551</v>
      </c>
    </row>
    <row r="20" spans="1:9" x14ac:dyDescent="0.2">
      <c r="A20" s="27" t="s">
        <v>1395</v>
      </c>
      <c r="B20" s="27" t="s">
        <v>1396</v>
      </c>
      <c r="C20" s="27" t="s">
        <v>39</v>
      </c>
      <c r="D20" s="31">
        <v>17</v>
      </c>
      <c r="E20" s="29">
        <v>171.71207000000001</v>
      </c>
      <c r="F20" s="30">
        <v>1.37811978351037</v>
      </c>
      <c r="G20" s="29">
        <v>3.57</v>
      </c>
    </row>
    <row r="21" spans="1:9" x14ac:dyDescent="0.2">
      <c r="A21" s="27" t="s">
        <v>1247</v>
      </c>
      <c r="B21" s="27" t="s">
        <v>1248</v>
      </c>
      <c r="C21" s="27" t="s">
        <v>1249</v>
      </c>
      <c r="D21" s="31">
        <v>2</v>
      </c>
      <c r="E21" s="29">
        <v>25.194479999999999</v>
      </c>
      <c r="F21" s="30">
        <v>0.20220483815293999</v>
      </c>
      <c r="G21" s="29">
        <v>4.1501000000000001</v>
      </c>
    </row>
    <row r="22" spans="1:9" x14ac:dyDescent="0.2">
      <c r="A22" s="27" t="s">
        <v>1401</v>
      </c>
      <c r="B22" s="27" t="s">
        <v>1402</v>
      </c>
      <c r="C22" s="27" t="s">
        <v>850</v>
      </c>
      <c r="D22" s="31">
        <v>4</v>
      </c>
      <c r="E22" s="29">
        <v>20.234400000000001</v>
      </c>
      <c r="F22" s="30">
        <v>0.162396428786061</v>
      </c>
      <c r="G22" s="29">
        <v>4.4748999999999999</v>
      </c>
    </row>
    <row r="23" spans="1:9" x14ac:dyDescent="0.2">
      <c r="A23" s="27" t="s">
        <v>1403</v>
      </c>
      <c r="B23" s="27" t="s">
        <v>1404</v>
      </c>
      <c r="C23" s="27" t="s">
        <v>39</v>
      </c>
      <c r="D23" s="31">
        <v>1</v>
      </c>
      <c r="E23" s="29">
        <v>12.72311</v>
      </c>
      <c r="F23" s="30">
        <v>0.102112621429458</v>
      </c>
      <c r="G23" s="29">
        <v>3.9550000000000001</v>
      </c>
    </row>
    <row r="24" spans="1:9" ht="10.5" x14ac:dyDescent="0.25">
      <c r="A24" s="26" t="s">
        <v>40</v>
      </c>
      <c r="B24" s="26"/>
      <c r="C24" s="26"/>
      <c r="D24" s="32"/>
      <c r="E24" s="33">
        <f>SUM(E6:E23)</f>
        <v>10922.437729999998</v>
      </c>
      <c r="F24" s="34">
        <f>SUM(F6:F23)</f>
        <v>87.660858784551593</v>
      </c>
      <c r="G24" s="33"/>
      <c r="H24" s="18"/>
      <c r="I24" s="18"/>
    </row>
    <row r="25" spans="1:9" x14ac:dyDescent="0.2">
      <c r="A25" s="27"/>
      <c r="B25" s="27"/>
      <c r="C25" s="27"/>
      <c r="D25" s="28"/>
      <c r="E25" s="29"/>
      <c r="F25" s="30"/>
      <c r="G25" s="29"/>
    </row>
    <row r="26" spans="1:9" ht="10.5" x14ac:dyDescent="0.25">
      <c r="A26" s="26" t="s">
        <v>41</v>
      </c>
      <c r="B26" s="27"/>
      <c r="C26" s="27"/>
      <c r="D26" s="28"/>
      <c r="E26" s="29"/>
      <c r="F26" s="30"/>
      <c r="G26" s="29"/>
    </row>
    <row r="27" spans="1:9" x14ac:dyDescent="0.2">
      <c r="A27" s="27" t="s">
        <v>952</v>
      </c>
      <c r="B27" s="27" t="s">
        <v>953</v>
      </c>
      <c r="C27" s="27" t="s">
        <v>39</v>
      </c>
      <c r="D27" s="31">
        <v>37</v>
      </c>
      <c r="E27" s="29">
        <v>373.07359000000002</v>
      </c>
      <c r="F27" s="30">
        <v>2.9941989231405501</v>
      </c>
      <c r="G27" s="29">
        <v>3.7120000000000002</v>
      </c>
    </row>
    <row r="28" spans="1:9" ht="10.5" x14ac:dyDescent="0.25">
      <c r="A28" s="26" t="s">
        <v>40</v>
      </c>
      <c r="B28" s="26"/>
      <c r="C28" s="26"/>
      <c r="D28" s="32"/>
      <c r="E28" s="33">
        <f>SUM(E26:E27)</f>
        <v>373.07359000000002</v>
      </c>
      <c r="F28" s="34">
        <f>SUM(F26:F27)</f>
        <v>2.9941989231405501</v>
      </c>
      <c r="G28" s="33"/>
      <c r="H28" s="18"/>
      <c r="I28" s="18"/>
    </row>
    <row r="29" spans="1:9" x14ac:dyDescent="0.2">
      <c r="A29" s="27"/>
      <c r="B29" s="27"/>
      <c r="C29" s="27"/>
      <c r="D29" s="28"/>
      <c r="E29" s="29"/>
      <c r="F29" s="30"/>
      <c r="G29" s="29"/>
    </row>
    <row r="30" spans="1:9" ht="10.5" x14ac:dyDescent="0.25">
      <c r="A30" s="26" t="s">
        <v>57</v>
      </c>
      <c r="B30" s="27"/>
      <c r="C30" s="27"/>
      <c r="D30" s="28"/>
      <c r="E30" s="29"/>
      <c r="F30" s="30"/>
      <c r="G30" s="29"/>
    </row>
    <row r="31" spans="1:9" ht="10.5" x14ac:dyDescent="0.25">
      <c r="A31" s="26" t="s">
        <v>58</v>
      </c>
      <c r="B31" s="27"/>
      <c r="C31" s="27"/>
      <c r="D31" s="28"/>
      <c r="E31" s="29"/>
      <c r="F31" s="30"/>
      <c r="G31" s="29"/>
    </row>
    <row r="32" spans="1:9" x14ac:dyDescent="0.2">
      <c r="A32" s="27" t="s">
        <v>812</v>
      </c>
      <c r="B32" s="27" t="s">
        <v>813</v>
      </c>
      <c r="C32" s="27" t="s">
        <v>62</v>
      </c>
      <c r="D32" s="31">
        <v>112</v>
      </c>
      <c r="E32" s="29">
        <v>111.651568</v>
      </c>
      <c r="F32" s="30">
        <v>0.89608863675543005</v>
      </c>
      <c r="G32" s="29">
        <v>3.3502000000000001</v>
      </c>
    </row>
    <row r="33" spans="1:9" ht="10.5" x14ac:dyDescent="0.25">
      <c r="A33" s="26" t="s">
        <v>40</v>
      </c>
      <c r="B33" s="26"/>
      <c r="C33" s="26"/>
      <c r="D33" s="32"/>
      <c r="E33" s="33">
        <f>SUM(E31:E32)</f>
        <v>111.651568</v>
      </c>
      <c r="F33" s="34">
        <f>SUM(F31:F32)</f>
        <v>0.89608863675543005</v>
      </c>
      <c r="G33" s="33"/>
      <c r="H33" s="18"/>
      <c r="I33" s="18"/>
    </row>
    <row r="34" spans="1:9" x14ac:dyDescent="0.2">
      <c r="A34" s="27"/>
      <c r="B34" s="27"/>
      <c r="C34" s="27"/>
      <c r="D34" s="28"/>
      <c r="E34" s="29"/>
      <c r="F34" s="30"/>
      <c r="G34" s="29"/>
    </row>
    <row r="35" spans="1:9" ht="10.5" x14ac:dyDescent="0.25">
      <c r="A35" s="26" t="s">
        <v>44</v>
      </c>
      <c r="B35" s="26"/>
      <c r="C35" s="26"/>
      <c r="D35" s="32"/>
      <c r="E35" s="33">
        <f>E24+E28+E33</f>
        <v>11407.162887999997</v>
      </c>
      <c r="F35" s="34">
        <f>F24+F28+F33</f>
        <v>91.551146344447574</v>
      </c>
      <c r="G35" s="33"/>
      <c r="H35" s="18"/>
      <c r="I35" s="18"/>
    </row>
    <row r="36" spans="1:9" ht="10.5" x14ac:dyDescent="0.25">
      <c r="A36" s="26"/>
      <c r="B36" s="26"/>
      <c r="C36" s="26"/>
      <c r="D36" s="32"/>
      <c r="E36" s="33"/>
      <c r="F36" s="34"/>
      <c r="G36" s="33"/>
      <c r="H36" s="18"/>
      <c r="I36" s="18"/>
    </row>
    <row r="37" spans="1:9" ht="10.5" x14ac:dyDescent="0.25">
      <c r="A37" s="26" t="s">
        <v>46</v>
      </c>
      <c r="B37" s="26"/>
      <c r="C37" s="26"/>
      <c r="D37" s="32"/>
      <c r="E37" s="33">
        <f>E39-(E24+E28+E33)</f>
        <v>1052.7170190000033</v>
      </c>
      <c r="F37" s="34">
        <f>F39-(F24+F28+F33)</f>
        <v>8.4488536555524263</v>
      </c>
      <c r="G37" s="33"/>
      <c r="H37" s="18"/>
      <c r="I37" s="18"/>
    </row>
    <row r="38" spans="1:9" ht="10.5" x14ac:dyDescent="0.25">
      <c r="A38" s="26"/>
      <c r="B38" s="26"/>
      <c r="C38" s="26"/>
      <c r="D38" s="32"/>
      <c r="E38" s="33"/>
      <c r="F38" s="34"/>
      <c r="G38" s="33"/>
      <c r="H38" s="18"/>
      <c r="I38" s="18"/>
    </row>
    <row r="39" spans="1:9" ht="10.5" x14ac:dyDescent="0.25">
      <c r="A39" s="35" t="s">
        <v>45</v>
      </c>
      <c r="B39" s="35"/>
      <c r="C39" s="35"/>
      <c r="D39" s="36"/>
      <c r="E39" s="37">
        <v>12459.879907</v>
      </c>
      <c r="F39" s="38">
        <v>100</v>
      </c>
      <c r="G39" s="37"/>
      <c r="H39" s="18"/>
      <c r="I39" s="18"/>
    </row>
    <row r="41" spans="1:9" ht="10.5" x14ac:dyDescent="0.25">
      <c r="A41" s="18" t="s">
        <v>47</v>
      </c>
    </row>
    <row r="43" spans="1:9" ht="10.5" x14ac:dyDescent="0.25">
      <c r="A43" s="18" t="s">
        <v>48</v>
      </c>
    </row>
    <row r="44" spans="1:9" ht="10.5" x14ac:dyDescent="0.25">
      <c r="A44" s="18" t="s">
        <v>49</v>
      </c>
    </row>
    <row r="45" spans="1:9" ht="10.5" x14ac:dyDescent="0.25">
      <c r="A45" s="18" t="s">
        <v>50</v>
      </c>
      <c r="B45" s="18"/>
      <c r="C45" s="41" t="s">
        <v>727</v>
      </c>
      <c r="D45" s="19" t="s">
        <v>51</v>
      </c>
    </row>
    <row r="46" spans="1:9" x14ac:dyDescent="0.2">
      <c r="A46" s="9" t="s">
        <v>71</v>
      </c>
      <c r="C46" s="40">
        <v>12.0844</v>
      </c>
      <c r="D46" s="40">
        <v>12.3574</v>
      </c>
    </row>
    <row r="47" spans="1:9" x14ac:dyDescent="0.2">
      <c r="A47" s="9" t="s">
        <v>1329</v>
      </c>
      <c r="C47" s="40">
        <v>10.473000000000001</v>
      </c>
      <c r="D47" s="40">
        <v>10.7097</v>
      </c>
    </row>
    <row r="48" spans="1:9" x14ac:dyDescent="0.2">
      <c r="A48" s="9" t="s">
        <v>73</v>
      </c>
      <c r="C48" s="40">
        <v>10.4499</v>
      </c>
      <c r="D48" s="40">
        <v>10.302300000000001</v>
      </c>
    </row>
    <row r="49" spans="1:7" x14ac:dyDescent="0.2">
      <c r="A49" s="9" t="s">
        <v>74</v>
      </c>
      <c r="C49" s="40">
        <v>12.2056</v>
      </c>
      <c r="D49" s="40">
        <v>12.481299999999999</v>
      </c>
    </row>
    <row r="50" spans="1:7" x14ac:dyDescent="0.2">
      <c r="A50" s="9" t="s">
        <v>78</v>
      </c>
      <c r="C50" s="40">
        <v>10.5946</v>
      </c>
      <c r="D50" s="40">
        <v>10.835100000000001</v>
      </c>
    </row>
    <row r="51" spans="1:7" x14ac:dyDescent="0.2">
      <c r="A51" s="9" t="s">
        <v>76</v>
      </c>
      <c r="C51" s="40">
        <v>10.5206</v>
      </c>
      <c r="D51" s="40">
        <v>10.3736</v>
      </c>
    </row>
    <row r="53" spans="1:7" ht="10.5" x14ac:dyDescent="0.25">
      <c r="A53" s="18" t="s">
        <v>52</v>
      </c>
    </row>
    <row r="54" spans="1:7" ht="10.5" x14ac:dyDescent="0.25">
      <c r="A54" s="77" t="s">
        <v>68</v>
      </c>
      <c r="B54" s="78"/>
      <c r="C54" s="43" t="s">
        <v>69</v>
      </c>
    </row>
    <row r="55" spans="1:7" x14ac:dyDescent="0.2">
      <c r="A55" s="71" t="s">
        <v>73</v>
      </c>
      <c r="B55" s="72"/>
      <c r="C55" s="44">
        <v>0.38</v>
      </c>
    </row>
    <row r="56" spans="1:7" x14ac:dyDescent="0.2">
      <c r="A56" s="71" t="s">
        <v>76</v>
      </c>
      <c r="B56" s="72"/>
      <c r="C56" s="44">
        <v>0.38</v>
      </c>
    </row>
    <row r="57" spans="1:7" x14ac:dyDescent="0.2">
      <c r="A57" s="9" t="s">
        <v>70</v>
      </c>
    </row>
    <row r="59" spans="1:7" ht="10.5" x14ac:dyDescent="0.25">
      <c r="A59" s="18" t="s">
        <v>798</v>
      </c>
      <c r="D59" s="42">
        <v>0.30401478041095897</v>
      </c>
      <c r="E59" s="13" t="s">
        <v>54</v>
      </c>
    </row>
    <row r="61" spans="1:7" ht="10.5" x14ac:dyDescent="0.25">
      <c r="A61" s="18" t="s">
        <v>1502</v>
      </c>
      <c r="D61" s="41" t="s">
        <v>53</v>
      </c>
    </row>
    <row r="63" spans="1:7" ht="15" customHeight="1" x14ac:dyDescent="0.2">
      <c r="A63" s="73" t="s">
        <v>799</v>
      </c>
      <c r="B63" s="74"/>
      <c r="C63" s="74"/>
      <c r="D63" s="74"/>
      <c r="E63" s="74"/>
      <c r="F63" s="74"/>
      <c r="G63" s="74"/>
    </row>
    <row r="64" spans="1:7" x14ac:dyDescent="0.2">
      <c r="A64" s="46" t="s">
        <v>55</v>
      </c>
    </row>
    <row r="66" spans="1:1" x14ac:dyDescent="0.2">
      <c r="A66" s="46"/>
    </row>
  </sheetData>
  <mergeCells count="5">
    <mergeCell ref="A1:G1"/>
    <mergeCell ref="A54:B54"/>
    <mergeCell ref="A55:B55"/>
    <mergeCell ref="A56:B56"/>
    <mergeCell ref="A63:G63"/>
  </mergeCells>
  <conditionalFormatting sqref="F2:F3 F5:F62 F67:F65536">
    <cfRule type="cellIs" dxfId="64" priority="3" stopIfTrue="1" operator="between">
      <formula>0.009</formula>
      <formula>-0.009</formula>
    </cfRule>
  </conditionalFormatting>
  <conditionalFormatting sqref="F64">
    <cfRule type="cellIs" dxfId="63" priority="1" stopIfTrue="1" operator="between">
      <formula>0.009</formula>
      <formula>-0.009</formula>
    </cfRule>
  </conditionalFormatting>
  <conditionalFormatting sqref="F65:F66">
    <cfRule type="cellIs" dxfId="62" priority="2" stopIfTrue="1" operator="between">
      <formula>0.009</formula>
      <formula>-0.009</formula>
    </cfRule>
  </conditionalFormatting>
  <hyperlinks>
    <hyperlink ref="A64" r:id="rId1" xr:uid="{00000000-0004-0000-19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61"/>
  <sheetViews>
    <sheetView workbookViewId="0">
      <selection sqref="A1:G1"/>
    </sheetView>
  </sheetViews>
  <sheetFormatPr defaultColWidth="9.1796875" defaultRowHeight="10" x14ac:dyDescent="0.2"/>
  <cols>
    <col min="1" max="1" width="38.7265625" style="9" bestFit="1" customWidth="1"/>
    <col min="2" max="2" width="51.1796875" style="9" bestFit="1" customWidth="1"/>
    <col min="3" max="3" width="15.542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1416</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1372</v>
      </c>
      <c r="B7" s="27" t="s">
        <v>1373</v>
      </c>
      <c r="C7" s="27" t="s">
        <v>39</v>
      </c>
      <c r="D7" s="31">
        <v>105</v>
      </c>
      <c r="E7" s="29">
        <v>1060.55565</v>
      </c>
      <c r="F7" s="30">
        <v>9.9584777647239893</v>
      </c>
      <c r="G7" s="29">
        <v>3.6551</v>
      </c>
    </row>
    <row r="8" spans="1:7" x14ac:dyDescent="0.2">
      <c r="A8" s="27" t="s">
        <v>1417</v>
      </c>
      <c r="B8" s="27" t="s">
        <v>1418</v>
      </c>
      <c r="C8" s="27" t="s">
        <v>894</v>
      </c>
      <c r="D8" s="31">
        <v>100</v>
      </c>
      <c r="E8" s="29">
        <v>1010.159</v>
      </c>
      <c r="F8" s="30">
        <v>9.4852598638608203</v>
      </c>
      <c r="G8" s="29">
        <v>3.5935000000000001</v>
      </c>
    </row>
    <row r="9" spans="1:7" x14ac:dyDescent="0.2">
      <c r="A9" s="27" t="s">
        <v>1401</v>
      </c>
      <c r="B9" s="27" t="s">
        <v>1402</v>
      </c>
      <c r="C9" s="27" t="s">
        <v>850</v>
      </c>
      <c r="D9" s="31">
        <v>170</v>
      </c>
      <c r="E9" s="29">
        <v>859.96199999999999</v>
      </c>
      <c r="F9" s="30">
        <v>8.0749298308934296</v>
      </c>
      <c r="G9" s="29">
        <v>4.4748999999999999</v>
      </c>
    </row>
    <row r="10" spans="1:7" x14ac:dyDescent="0.2">
      <c r="A10" s="27" t="s">
        <v>922</v>
      </c>
      <c r="B10" s="27" t="s">
        <v>923</v>
      </c>
      <c r="C10" s="27" t="s">
        <v>894</v>
      </c>
      <c r="D10" s="31">
        <v>63</v>
      </c>
      <c r="E10" s="29">
        <v>799.48008000000004</v>
      </c>
      <c r="F10" s="30">
        <v>7.5070125740405604</v>
      </c>
      <c r="G10" s="29">
        <v>5.0350000000000001</v>
      </c>
    </row>
    <row r="11" spans="1:7" x14ac:dyDescent="0.2">
      <c r="A11" s="27" t="s">
        <v>1419</v>
      </c>
      <c r="B11" s="27" t="s">
        <v>1420</v>
      </c>
      <c r="C11" s="27" t="s">
        <v>850</v>
      </c>
      <c r="D11" s="31">
        <v>78</v>
      </c>
      <c r="E11" s="29">
        <v>786.12378000000001</v>
      </c>
      <c r="F11" s="30">
        <v>7.3815986774958704</v>
      </c>
      <c r="G11" s="29">
        <v>4.1750999999999996</v>
      </c>
    </row>
    <row r="12" spans="1:7" x14ac:dyDescent="0.2">
      <c r="A12" s="27" t="s">
        <v>1406</v>
      </c>
      <c r="B12" s="27" t="s">
        <v>1407</v>
      </c>
      <c r="C12" s="27" t="s">
        <v>39</v>
      </c>
      <c r="D12" s="31">
        <v>50</v>
      </c>
      <c r="E12" s="29">
        <v>633.29300000000001</v>
      </c>
      <c r="F12" s="30">
        <v>5.9465377974794098</v>
      </c>
      <c r="G12" s="29">
        <v>4.5250000000000004</v>
      </c>
    </row>
    <row r="13" spans="1:7" x14ac:dyDescent="0.2">
      <c r="A13" s="27" t="s">
        <v>1421</v>
      </c>
      <c r="B13" s="27" t="s">
        <v>1422</v>
      </c>
      <c r="C13" s="27" t="s">
        <v>894</v>
      </c>
      <c r="D13" s="31">
        <v>52</v>
      </c>
      <c r="E13" s="29">
        <v>524.14283999999998</v>
      </c>
      <c r="F13" s="30">
        <v>4.9216321818466398</v>
      </c>
      <c r="G13" s="29">
        <v>3.53</v>
      </c>
    </row>
    <row r="14" spans="1:7" x14ac:dyDescent="0.2">
      <c r="A14" s="27" t="s">
        <v>1423</v>
      </c>
      <c r="B14" s="27" t="s">
        <v>1424</v>
      </c>
      <c r="C14" s="27" t="s">
        <v>894</v>
      </c>
      <c r="D14" s="31">
        <v>50</v>
      </c>
      <c r="E14" s="29">
        <v>508.98</v>
      </c>
      <c r="F14" s="30">
        <v>4.7792551128167702</v>
      </c>
      <c r="G14" s="29">
        <v>4.1299000000000001</v>
      </c>
    </row>
    <row r="15" spans="1:7" x14ac:dyDescent="0.2">
      <c r="A15" s="27" t="s">
        <v>1395</v>
      </c>
      <c r="B15" s="27" t="s">
        <v>1396</v>
      </c>
      <c r="C15" s="27" t="s">
        <v>39</v>
      </c>
      <c r="D15" s="31">
        <v>50</v>
      </c>
      <c r="E15" s="29">
        <v>505.03550000000001</v>
      </c>
      <c r="F15" s="30">
        <v>4.7422167777299196</v>
      </c>
      <c r="G15" s="29">
        <v>3.57</v>
      </c>
    </row>
    <row r="16" spans="1:7" x14ac:dyDescent="0.2">
      <c r="A16" s="27" t="s">
        <v>1403</v>
      </c>
      <c r="B16" s="27" t="s">
        <v>1404</v>
      </c>
      <c r="C16" s="27" t="s">
        <v>39</v>
      </c>
      <c r="D16" s="31">
        <v>39</v>
      </c>
      <c r="E16" s="29">
        <v>496.20128999999997</v>
      </c>
      <c r="F16" s="30">
        <v>4.6592647102416196</v>
      </c>
      <c r="G16" s="29">
        <v>3.9550000000000001</v>
      </c>
    </row>
    <row r="17" spans="1:9" x14ac:dyDescent="0.2">
      <c r="A17" s="27" t="s">
        <v>1408</v>
      </c>
      <c r="B17" s="27" t="s">
        <v>1409</v>
      </c>
      <c r="C17" s="27" t="s">
        <v>39</v>
      </c>
      <c r="D17" s="31">
        <v>31</v>
      </c>
      <c r="E17" s="29">
        <v>315.43027000000001</v>
      </c>
      <c r="F17" s="30">
        <v>2.9618486593474702</v>
      </c>
      <c r="G17" s="29">
        <v>3.73</v>
      </c>
    </row>
    <row r="18" spans="1:9" x14ac:dyDescent="0.2">
      <c r="A18" s="27" t="s">
        <v>946</v>
      </c>
      <c r="B18" s="27" t="s">
        <v>947</v>
      </c>
      <c r="C18" s="27" t="s">
        <v>39</v>
      </c>
      <c r="D18" s="31">
        <v>28</v>
      </c>
      <c r="E18" s="29">
        <v>281.44452000000001</v>
      </c>
      <c r="F18" s="30">
        <v>2.6427269464109799</v>
      </c>
      <c r="G18" s="29">
        <v>3.2799</v>
      </c>
    </row>
    <row r="19" spans="1:9" x14ac:dyDescent="0.2">
      <c r="A19" s="27" t="s">
        <v>1425</v>
      </c>
      <c r="B19" s="27" t="s">
        <v>1426</v>
      </c>
      <c r="C19" s="27" t="s">
        <v>39</v>
      </c>
      <c r="D19" s="31">
        <v>21</v>
      </c>
      <c r="E19" s="29">
        <v>265.28417999999999</v>
      </c>
      <c r="F19" s="30">
        <v>2.4909834838587099</v>
      </c>
      <c r="G19" s="29">
        <v>4</v>
      </c>
    </row>
    <row r="20" spans="1:9" x14ac:dyDescent="0.2">
      <c r="A20" s="27" t="s">
        <v>1427</v>
      </c>
      <c r="B20" s="27" t="s">
        <v>1428</v>
      </c>
      <c r="C20" s="27" t="s">
        <v>39</v>
      </c>
      <c r="D20" s="31">
        <v>26</v>
      </c>
      <c r="E20" s="29">
        <v>262.83712000000003</v>
      </c>
      <c r="F20" s="30">
        <v>2.46800591299862</v>
      </c>
      <c r="G20" s="29">
        <v>3.5701000000000001</v>
      </c>
    </row>
    <row r="21" spans="1:9" x14ac:dyDescent="0.2">
      <c r="A21" s="27" t="s">
        <v>1307</v>
      </c>
      <c r="B21" s="27" t="s">
        <v>1308</v>
      </c>
      <c r="C21" s="27" t="s">
        <v>39</v>
      </c>
      <c r="D21" s="31">
        <v>1</v>
      </c>
      <c r="E21" s="29">
        <v>100.45099999999999</v>
      </c>
      <c r="F21" s="30">
        <v>0.94322164984391799</v>
      </c>
      <c r="G21" s="29">
        <v>3.4704000000000002</v>
      </c>
    </row>
    <row r="22" spans="1:9" x14ac:dyDescent="0.2">
      <c r="A22" s="27" t="s">
        <v>1247</v>
      </c>
      <c r="B22" s="27" t="s">
        <v>1248</v>
      </c>
      <c r="C22" s="27" t="s">
        <v>1249</v>
      </c>
      <c r="D22" s="31">
        <v>6</v>
      </c>
      <c r="E22" s="29">
        <v>75.583439999999996</v>
      </c>
      <c r="F22" s="30">
        <v>0.70971853916515304</v>
      </c>
      <c r="G22" s="29">
        <v>4.1501000000000001</v>
      </c>
    </row>
    <row r="23" spans="1:9" x14ac:dyDescent="0.2">
      <c r="A23" s="27" t="s">
        <v>950</v>
      </c>
      <c r="B23" s="27" t="s">
        <v>951</v>
      </c>
      <c r="C23" s="27" t="s">
        <v>39</v>
      </c>
      <c r="D23" s="31">
        <v>2</v>
      </c>
      <c r="E23" s="29">
        <v>20.395579999999999</v>
      </c>
      <c r="F23" s="30">
        <v>0.191511807917528</v>
      </c>
      <c r="G23" s="29">
        <v>3.5800999999999998</v>
      </c>
    </row>
    <row r="24" spans="1:9" x14ac:dyDescent="0.2">
      <c r="A24" s="27" t="s">
        <v>1245</v>
      </c>
      <c r="B24" s="27" t="s">
        <v>1246</v>
      </c>
      <c r="C24" s="27" t="s">
        <v>39</v>
      </c>
      <c r="D24" s="31">
        <v>1</v>
      </c>
      <c r="E24" s="29">
        <v>10.056620000000001</v>
      </c>
      <c r="F24" s="30">
        <v>9.4430336265973899E-2</v>
      </c>
      <c r="G24" s="29">
        <v>4.5350999999999999</v>
      </c>
    </row>
    <row r="25" spans="1:9" ht="10.5" x14ac:dyDescent="0.25">
      <c r="A25" s="26" t="s">
        <v>40</v>
      </c>
      <c r="B25" s="26"/>
      <c r="C25" s="26"/>
      <c r="D25" s="32"/>
      <c r="E25" s="33">
        <f>SUM(E6:E24)</f>
        <v>8515.4158699999971</v>
      </c>
      <c r="F25" s="34">
        <f>SUM(F6:F24)</f>
        <v>79.958632626937373</v>
      </c>
      <c r="G25" s="33"/>
      <c r="H25" s="18"/>
      <c r="I25" s="18"/>
    </row>
    <row r="26" spans="1:9" x14ac:dyDescent="0.2">
      <c r="A26" s="27"/>
      <c r="B26" s="27"/>
      <c r="C26" s="27"/>
      <c r="D26" s="28"/>
      <c r="E26" s="29"/>
      <c r="F26" s="30"/>
      <c r="G26" s="29"/>
    </row>
    <row r="27" spans="1:9" ht="10.5" x14ac:dyDescent="0.25">
      <c r="A27" s="26" t="s">
        <v>41</v>
      </c>
      <c r="B27" s="27"/>
      <c r="C27" s="27"/>
      <c r="D27" s="28"/>
      <c r="E27" s="29"/>
      <c r="F27" s="30"/>
      <c r="G27" s="29"/>
    </row>
    <row r="28" spans="1:9" x14ac:dyDescent="0.2">
      <c r="A28" s="27" t="s">
        <v>1429</v>
      </c>
      <c r="B28" s="27" t="s">
        <v>1430</v>
      </c>
      <c r="C28" s="27" t="s">
        <v>850</v>
      </c>
      <c r="D28" s="31">
        <v>95</v>
      </c>
      <c r="E28" s="29">
        <v>952.40445</v>
      </c>
      <c r="F28" s="30">
        <v>8.9429522518211808</v>
      </c>
      <c r="G28" s="29">
        <v>4.0145</v>
      </c>
    </row>
    <row r="29" spans="1:9" x14ac:dyDescent="0.2">
      <c r="A29" s="27" t="s">
        <v>952</v>
      </c>
      <c r="B29" s="27" t="s">
        <v>953</v>
      </c>
      <c r="C29" s="27" t="s">
        <v>39</v>
      </c>
      <c r="D29" s="31">
        <v>3</v>
      </c>
      <c r="E29" s="29">
        <v>30.249210000000001</v>
      </c>
      <c r="F29" s="30">
        <v>0.28403609483902797</v>
      </c>
      <c r="G29" s="29">
        <v>3.7120000000000002</v>
      </c>
    </row>
    <row r="30" spans="1:9" ht="10.5" x14ac:dyDescent="0.25">
      <c r="A30" s="26" t="s">
        <v>40</v>
      </c>
      <c r="B30" s="26"/>
      <c r="C30" s="26"/>
      <c r="D30" s="32"/>
      <c r="E30" s="33">
        <f>SUM(E27:E29)</f>
        <v>982.65365999999995</v>
      </c>
      <c r="F30" s="34">
        <f>SUM(F27:F29)</f>
        <v>9.2269883466602085</v>
      </c>
      <c r="G30" s="33"/>
      <c r="H30" s="18"/>
      <c r="I30" s="18"/>
    </row>
    <row r="31" spans="1:9" x14ac:dyDescent="0.2">
      <c r="A31" s="27"/>
      <c r="B31" s="27"/>
      <c r="C31" s="27"/>
      <c r="D31" s="28"/>
      <c r="E31" s="29"/>
      <c r="F31" s="30"/>
      <c r="G31" s="29"/>
    </row>
    <row r="32" spans="1:9" ht="10.5" x14ac:dyDescent="0.25">
      <c r="A32" s="26" t="s">
        <v>57</v>
      </c>
      <c r="B32" s="27"/>
      <c r="C32" s="27"/>
      <c r="D32" s="28"/>
      <c r="E32" s="29"/>
      <c r="F32" s="30"/>
      <c r="G32" s="29"/>
    </row>
    <row r="33" spans="1:9" ht="10.5" x14ac:dyDescent="0.25">
      <c r="A33" s="26" t="s">
        <v>58</v>
      </c>
      <c r="B33" s="27"/>
      <c r="C33" s="27"/>
      <c r="D33" s="28"/>
      <c r="E33" s="29"/>
      <c r="F33" s="30"/>
      <c r="G33" s="29"/>
    </row>
    <row r="34" spans="1:9" x14ac:dyDescent="0.2">
      <c r="A34" s="27" t="s">
        <v>812</v>
      </c>
      <c r="B34" s="27" t="s">
        <v>813</v>
      </c>
      <c r="C34" s="27" t="s">
        <v>62</v>
      </c>
      <c r="D34" s="31">
        <v>91</v>
      </c>
      <c r="E34" s="29">
        <v>90.716898999999998</v>
      </c>
      <c r="F34" s="30">
        <v>0.85181972447764698</v>
      </c>
      <c r="G34" s="29">
        <v>3.3502000000000001</v>
      </c>
    </row>
    <row r="35" spans="1:9" ht="10.5" x14ac:dyDescent="0.25">
      <c r="A35" s="26" t="s">
        <v>40</v>
      </c>
      <c r="B35" s="26"/>
      <c r="C35" s="26"/>
      <c r="D35" s="32"/>
      <c r="E35" s="33">
        <f>SUM(E33:E34)</f>
        <v>90.716898999999998</v>
      </c>
      <c r="F35" s="34">
        <f>SUM(F33:F34)</f>
        <v>0.85181972447764698</v>
      </c>
      <c r="G35" s="33"/>
      <c r="H35" s="18"/>
      <c r="I35" s="18"/>
    </row>
    <row r="36" spans="1:9" x14ac:dyDescent="0.2">
      <c r="A36" s="27"/>
      <c r="B36" s="27"/>
      <c r="C36" s="27"/>
      <c r="D36" s="28"/>
      <c r="E36" s="29"/>
      <c r="F36" s="30"/>
      <c r="G36" s="29"/>
    </row>
    <row r="37" spans="1:9" ht="10.5" x14ac:dyDescent="0.25">
      <c r="A37" s="26" t="s">
        <v>44</v>
      </c>
      <c r="B37" s="26"/>
      <c r="C37" s="26"/>
      <c r="D37" s="32"/>
      <c r="E37" s="33">
        <f>E25+E30+E35</f>
        <v>9588.7864289999961</v>
      </c>
      <c r="F37" s="34">
        <f>F25+F30+F35</f>
        <v>90.03744069807523</v>
      </c>
      <c r="G37" s="33"/>
      <c r="H37" s="18"/>
      <c r="I37" s="18"/>
    </row>
    <row r="38" spans="1:9" ht="10.5" x14ac:dyDescent="0.25">
      <c r="A38" s="26"/>
      <c r="B38" s="26"/>
      <c r="C38" s="26"/>
      <c r="D38" s="32"/>
      <c r="E38" s="33"/>
      <c r="F38" s="34"/>
      <c r="G38" s="33"/>
      <c r="H38" s="18"/>
      <c r="I38" s="18"/>
    </row>
    <row r="39" spans="1:9" ht="10.5" x14ac:dyDescent="0.25">
      <c r="A39" s="26" t="s">
        <v>46</v>
      </c>
      <c r="B39" s="26"/>
      <c r="C39" s="26"/>
      <c r="D39" s="32"/>
      <c r="E39" s="33">
        <f>E41-(E25+E30+E35)</f>
        <v>1060.9903246000031</v>
      </c>
      <c r="F39" s="34">
        <f>F41-(F25+F30+F35)</f>
        <v>9.9625593019247702</v>
      </c>
      <c r="G39" s="33"/>
      <c r="H39" s="18"/>
      <c r="I39" s="18"/>
    </row>
    <row r="40" spans="1:9" ht="10.5" x14ac:dyDescent="0.25">
      <c r="A40" s="26"/>
      <c r="B40" s="26"/>
      <c r="C40" s="26"/>
      <c r="D40" s="32"/>
      <c r="E40" s="33"/>
      <c r="F40" s="34"/>
      <c r="G40" s="33"/>
      <c r="H40" s="18"/>
      <c r="I40" s="18"/>
    </row>
    <row r="41" spans="1:9" ht="10.5" x14ac:dyDescent="0.25">
      <c r="A41" s="35" t="s">
        <v>45</v>
      </c>
      <c r="B41" s="35"/>
      <c r="C41" s="35"/>
      <c r="D41" s="36"/>
      <c r="E41" s="37">
        <v>10649.776753599999</v>
      </c>
      <c r="F41" s="38">
        <v>100</v>
      </c>
      <c r="G41" s="37"/>
      <c r="H41" s="18"/>
      <c r="I41" s="18"/>
    </row>
    <row r="43" spans="1:9" ht="10.5" x14ac:dyDescent="0.25">
      <c r="A43" s="18" t="s">
        <v>47</v>
      </c>
    </row>
    <row r="45" spans="1:9" ht="10.5" x14ac:dyDescent="0.25">
      <c r="A45" s="18" t="s">
        <v>48</v>
      </c>
    </row>
    <row r="46" spans="1:9" ht="10.5" x14ac:dyDescent="0.25">
      <c r="A46" s="18" t="s">
        <v>49</v>
      </c>
    </row>
    <row r="47" spans="1:9" ht="10.5" x14ac:dyDescent="0.25">
      <c r="A47" s="18" t="s">
        <v>50</v>
      </c>
      <c r="B47" s="18"/>
      <c r="C47" s="41" t="s">
        <v>727</v>
      </c>
      <c r="D47" s="19" t="s">
        <v>51</v>
      </c>
    </row>
    <row r="48" spans="1:9" x14ac:dyDescent="0.2">
      <c r="A48" s="9" t="s">
        <v>71</v>
      </c>
      <c r="C48" s="40">
        <v>12.162800000000001</v>
      </c>
      <c r="D48" s="40">
        <v>12.4331</v>
      </c>
    </row>
    <row r="49" spans="1:7" x14ac:dyDescent="0.2">
      <c r="A49" s="9" t="s">
        <v>1329</v>
      </c>
      <c r="C49" s="40">
        <v>10.4499</v>
      </c>
      <c r="D49" s="40">
        <v>10.6823</v>
      </c>
    </row>
    <row r="50" spans="1:7" x14ac:dyDescent="0.2">
      <c r="A50" s="9" t="s">
        <v>74</v>
      </c>
      <c r="C50" s="40">
        <v>12.254300000000001</v>
      </c>
      <c r="D50" s="40">
        <v>12.5267</v>
      </c>
    </row>
    <row r="52" spans="1:7" ht="10.5" x14ac:dyDescent="0.25">
      <c r="A52" s="18" t="s">
        <v>52</v>
      </c>
      <c r="D52" s="41" t="s">
        <v>53</v>
      </c>
    </row>
    <row r="54" spans="1:7" ht="10.5" x14ac:dyDescent="0.25">
      <c r="A54" s="18" t="s">
        <v>798</v>
      </c>
      <c r="D54" s="42">
        <v>0.20928759520547899</v>
      </c>
      <c r="E54" s="13" t="s">
        <v>54</v>
      </c>
    </row>
    <row r="56" spans="1:7" ht="10.5" x14ac:dyDescent="0.25">
      <c r="A56" s="18" t="s">
        <v>1502</v>
      </c>
      <c r="D56" s="41" t="s">
        <v>53</v>
      </c>
    </row>
    <row r="58" spans="1:7" ht="13" customHeight="1" x14ac:dyDescent="0.2">
      <c r="A58" s="73" t="s">
        <v>799</v>
      </c>
      <c r="B58" s="74"/>
      <c r="C58" s="74"/>
      <c r="D58" s="74"/>
      <c r="E58" s="74"/>
      <c r="F58" s="74"/>
      <c r="G58" s="74"/>
    </row>
    <row r="59" spans="1:7" x14ac:dyDescent="0.2">
      <c r="A59" s="46" t="s">
        <v>55</v>
      </c>
    </row>
    <row r="61" spans="1:7" x14ac:dyDescent="0.2">
      <c r="A61" s="46"/>
    </row>
  </sheetData>
  <mergeCells count="2">
    <mergeCell ref="A1:G1"/>
    <mergeCell ref="A58:G58"/>
  </mergeCells>
  <conditionalFormatting sqref="F2:F3 F5:F57 F62:F65536">
    <cfRule type="cellIs" dxfId="61" priority="3" stopIfTrue="1" operator="between">
      <formula>0.009</formula>
      <formula>-0.009</formula>
    </cfRule>
  </conditionalFormatting>
  <conditionalFormatting sqref="F59">
    <cfRule type="cellIs" dxfId="60" priority="1" stopIfTrue="1" operator="between">
      <formula>0.009</formula>
      <formula>-0.009</formula>
    </cfRule>
  </conditionalFormatting>
  <conditionalFormatting sqref="F60:F61">
    <cfRule type="cellIs" dxfId="59" priority="2" stopIfTrue="1" operator="between">
      <formula>0.009</formula>
      <formula>-0.009</formula>
    </cfRule>
  </conditionalFormatting>
  <hyperlinks>
    <hyperlink ref="A59" r:id="rId1" xr:uid="{00000000-0004-0000-1A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71"/>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1431</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1432</v>
      </c>
      <c r="B7" s="27" t="s">
        <v>1433</v>
      </c>
      <c r="C7" s="27" t="s">
        <v>39</v>
      </c>
      <c r="D7" s="31">
        <v>173</v>
      </c>
      <c r="E7" s="29">
        <v>1744.47837</v>
      </c>
      <c r="F7" s="30">
        <v>9.2279389861674996</v>
      </c>
      <c r="G7" s="29">
        <v>3.57</v>
      </c>
    </row>
    <row r="8" spans="1:7" x14ac:dyDescent="0.2">
      <c r="A8" s="27" t="s">
        <v>1434</v>
      </c>
      <c r="B8" s="27" t="s">
        <v>1435</v>
      </c>
      <c r="C8" s="27" t="s">
        <v>39</v>
      </c>
      <c r="D8" s="31">
        <v>161</v>
      </c>
      <c r="E8" s="29">
        <v>1617.86646</v>
      </c>
      <c r="F8" s="30">
        <v>8.5581875002822798</v>
      </c>
      <c r="G8" s="29">
        <v>3.4</v>
      </c>
    </row>
    <row r="9" spans="1:7" x14ac:dyDescent="0.2">
      <c r="A9" s="27" t="s">
        <v>1401</v>
      </c>
      <c r="B9" s="27" t="s">
        <v>1402</v>
      </c>
      <c r="C9" s="27" t="s">
        <v>850</v>
      </c>
      <c r="D9" s="31">
        <v>300</v>
      </c>
      <c r="E9" s="29">
        <v>1517.58</v>
      </c>
      <c r="F9" s="30">
        <v>8.0276923391306205</v>
      </c>
      <c r="G9" s="29">
        <v>4.4748999999999999</v>
      </c>
    </row>
    <row r="10" spans="1:7" x14ac:dyDescent="0.2">
      <c r="A10" s="27" t="s">
        <v>1421</v>
      </c>
      <c r="B10" s="27" t="s">
        <v>1422</v>
      </c>
      <c r="C10" s="27" t="s">
        <v>894</v>
      </c>
      <c r="D10" s="31">
        <v>150</v>
      </c>
      <c r="E10" s="29">
        <v>1511.9504999999999</v>
      </c>
      <c r="F10" s="30">
        <v>7.9979134187289702</v>
      </c>
      <c r="G10" s="29">
        <v>3.53</v>
      </c>
    </row>
    <row r="11" spans="1:7" x14ac:dyDescent="0.2">
      <c r="A11" s="27" t="s">
        <v>1436</v>
      </c>
      <c r="B11" s="27" t="s">
        <v>1437</v>
      </c>
      <c r="C11" s="27" t="s">
        <v>850</v>
      </c>
      <c r="D11" s="31">
        <v>149</v>
      </c>
      <c r="E11" s="29">
        <v>1500.4002</v>
      </c>
      <c r="F11" s="30">
        <v>7.93681465963577</v>
      </c>
      <c r="G11" s="29">
        <v>3.5949</v>
      </c>
    </row>
    <row r="12" spans="1:7" x14ac:dyDescent="0.2">
      <c r="A12" s="27" t="s">
        <v>1438</v>
      </c>
      <c r="B12" s="27" t="s">
        <v>1439</v>
      </c>
      <c r="C12" s="27" t="s">
        <v>39</v>
      </c>
      <c r="D12" s="31">
        <v>128</v>
      </c>
      <c r="E12" s="29">
        <v>1263.47648</v>
      </c>
      <c r="F12" s="30">
        <v>6.6835359316594296</v>
      </c>
      <c r="G12" s="29">
        <v>4.08</v>
      </c>
    </row>
    <row r="13" spans="1:7" x14ac:dyDescent="0.2">
      <c r="A13" s="27" t="s">
        <v>1425</v>
      </c>
      <c r="B13" s="27" t="s">
        <v>1426</v>
      </c>
      <c r="C13" s="27" t="s">
        <v>39</v>
      </c>
      <c r="D13" s="31">
        <v>89</v>
      </c>
      <c r="E13" s="29">
        <v>1124.29962</v>
      </c>
      <c r="F13" s="30">
        <v>5.9473183926787803</v>
      </c>
      <c r="G13" s="29">
        <v>4</v>
      </c>
    </row>
    <row r="14" spans="1:7" x14ac:dyDescent="0.2">
      <c r="A14" s="27" t="s">
        <v>1403</v>
      </c>
      <c r="B14" s="27" t="s">
        <v>1404</v>
      </c>
      <c r="C14" s="27" t="s">
        <v>39</v>
      </c>
      <c r="D14" s="31">
        <v>84</v>
      </c>
      <c r="E14" s="29">
        <v>1068.7412400000001</v>
      </c>
      <c r="F14" s="30">
        <v>5.6534257600001103</v>
      </c>
      <c r="G14" s="29">
        <v>3.9550000000000001</v>
      </c>
    </row>
    <row r="15" spans="1:7" x14ac:dyDescent="0.2">
      <c r="A15" s="27" t="s">
        <v>1397</v>
      </c>
      <c r="B15" s="27" t="s">
        <v>1398</v>
      </c>
      <c r="C15" s="27" t="s">
        <v>39</v>
      </c>
      <c r="D15" s="31">
        <v>101</v>
      </c>
      <c r="E15" s="29">
        <v>1024.8257900000001</v>
      </c>
      <c r="F15" s="30">
        <v>5.4211218804454999</v>
      </c>
      <c r="G15" s="29">
        <v>3.5649999999999999</v>
      </c>
    </row>
    <row r="16" spans="1:7" x14ac:dyDescent="0.2">
      <c r="A16" s="27" t="s">
        <v>1440</v>
      </c>
      <c r="B16" s="27" t="s">
        <v>1441</v>
      </c>
      <c r="C16" s="27" t="s">
        <v>39</v>
      </c>
      <c r="D16" s="31">
        <v>50</v>
      </c>
      <c r="E16" s="29">
        <v>500.1105</v>
      </c>
      <c r="F16" s="30">
        <v>2.6454837501606399</v>
      </c>
      <c r="G16" s="29">
        <v>3.3433000000000002</v>
      </c>
    </row>
    <row r="17" spans="1:9" x14ac:dyDescent="0.2">
      <c r="A17" s="27" t="s">
        <v>946</v>
      </c>
      <c r="B17" s="27" t="s">
        <v>947</v>
      </c>
      <c r="C17" s="27" t="s">
        <v>39</v>
      </c>
      <c r="D17" s="31">
        <v>29</v>
      </c>
      <c r="E17" s="29">
        <v>291.49610999999999</v>
      </c>
      <c r="F17" s="30">
        <v>1.5419556722765</v>
      </c>
      <c r="G17" s="29">
        <v>3.2799</v>
      </c>
    </row>
    <row r="18" spans="1:9" x14ac:dyDescent="0.2">
      <c r="A18" s="27" t="s">
        <v>1245</v>
      </c>
      <c r="B18" s="27" t="s">
        <v>1246</v>
      </c>
      <c r="C18" s="27" t="s">
        <v>39</v>
      </c>
      <c r="D18" s="31">
        <v>24</v>
      </c>
      <c r="E18" s="29">
        <v>241.35888</v>
      </c>
      <c r="F18" s="30">
        <v>1.2767398304914099</v>
      </c>
      <c r="G18" s="29">
        <v>4.5350999999999999</v>
      </c>
    </row>
    <row r="19" spans="1:9" x14ac:dyDescent="0.2">
      <c r="A19" s="27" t="s">
        <v>1419</v>
      </c>
      <c r="B19" s="27" t="s">
        <v>1420</v>
      </c>
      <c r="C19" s="27" t="s">
        <v>850</v>
      </c>
      <c r="D19" s="31">
        <v>22</v>
      </c>
      <c r="E19" s="29">
        <v>221.72721999999999</v>
      </c>
      <c r="F19" s="30">
        <v>1.17289230575701</v>
      </c>
      <c r="G19" s="29">
        <v>4.1750999999999996</v>
      </c>
    </row>
    <row r="20" spans="1:9" x14ac:dyDescent="0.2">
      <c r="A20" s="27" t="s">
        <v>1380</v>
      </c>
      <c r="B20" s="27" t="s">
        <v>1381</v>
      </c>
      <c r="C20" s="27" t="s">
        <v>39</v>
      </c>
      <c r="D20" s="31">
        <v>15</v>
      </c>
      <c r="E20" s="29">
        <v>189.53039999999999</v>
      </c>
      <c r="F20" s="30">
        <v>1.00257761706952</v>
      </c>
      <c r="G20" s="29">
        <v>3.5649000000000002</v>
      </c>
    </row>
    <row r="21" spans="1:9" x14ac:dyDescent="0.2">
      <c r="A21" s="27" t="s">
        <v>1372</v>
      </c>
      <c r="B21" s="27" t="s">
        <v>1373</v>
      </c>
      <c r="C21" s="27" t="s">
        <v>39</v>
      </c>
      <c r="D21" s="31">
        <v>9</v>
      </c>
      <c r="E21" s="29">
        <v>90.904769999999999</v>
      </c>
      <c r="F21" s="30">
        <v>0.48086791188565398</v>
      </c>
      <c r="G21" s="29">
        <v>3.6551</v>
      </c>
    </row>
    <row r="22" spans="1:9" ht="10.5" x14ac:dyDescent="0.25">
      <c r="A22" s="26" t="s">
        <v>40</v>
      </c>
      <c r="B22" s="26"/>
      <c r="C22" s="26"/>
      <c r="D22" s="32"/>
      <c r="E22" s="33">
        <f>SUM(E6:E21)</f>
        <v>13908.74654</v>
      </c>
      <c r="F22" s="34">
        <f>SUM(F6:F21)</f>
        <v>73.574465956369693</v>
      </c>
      <c r="G22" s="33"/>
      <c r="H22" s="18"/>
      <c r="I22" s="18"/>
    </row>
    <row r="23" spans="1:9" x14ac:dyDescent="0.2">
      <c r="A23" s="27"/>
      <c r="B23" s="27"/>
      <c r="C23" s="27"/>
      <c r="D23" s="28"/>
      <c r="E23" s="29"/>
      <c r="F23" s="30"/>
      <c r="G23" s="29"/>
    </row>
    <row r="24" spans="1:9" ht="10.5" x14ac:dyDescent="0.25">
      <c r="A24" s="26" t="s">
        <v>41</v>
      </c>
      <c r="B24" s="27"/>
      <c r="C24" s="27"/>
      <c r="D24" s="28"/>
      <c r="E24" s="29"/>
      <c r="F24" s="30"/>
      <c r="G24" s="29"/>
    </row>
    <row r="25" spans="1:9" x14ac:dyDescent="0.2">
      <c r="A25" s="27" t="s">
        <v>1442</v>
      </c>
      <c r="B25" s="27" t="s">
        <v>1443</v>
      </c>
      <c r="C25" s="27" t="s">
        <v>39</v>
      </c>
      <c r="D25" s="31">
        <v>150</v>
      </c>
      <c r="E25" s="29">
        <v>1508.5229999999999</v>
      </c>
      <c r="F25" s="30">
        <v>7.9797826345249296</v>
      </c>
      <c r="G25" s="29">
        <v>4.0301999999999998</v>
      </c>
    </row>
    <row r="26" spans="1:9" x14ac:dyDescent="0.2">
      <c r="A26" s="27" t="s">
        <v>1429</v>
      </c>
      <c r="B26" s="27" t="s">
        <v>1430</v>
      </c>
      <c r="C26" s="27" t="s">
        <v>850</v>
      </c>
      <c r="D26" s="31">
        <v>150</v>
      </c>
      <c r="E26" s="29">
        <v>1503.7964999999999</v>
      </c>
      <c r="F26" s="30">
        <v>7.9547804021280202</v>
      </c>
      <c r="G26" s="29">
        <v>4.0145</v>
      </c>
    </row>
    <row r="27" spans="1:9" x14ac:dyDescent="0.2">
      <c r="A27" s="27" t="s">
        <v>952</v>
      </c>
      <c r="B27" s="27" t="s">
        <v>953</v>
      </c>
      <c r="C27" s="27" t="s">
        <v>39</v>
      </c>
      <c r="D27" s="31">
        <v>2</v>
      </c>
      <c r="E27" s="29">
        <v>20.166139999999999</v>
      </c>
      <c r="F27" s="30">
        <v>0.106674816212546</v>
      </c>
      <c r="G27" s="29">
        <v>3.7120000000000002</v>
      </c>
    </row>
    <row r="28" spans="1:9" ht="10.5" x14ac:dyDescent="0.25">
      <c r="A28" s="26" t="s">
        <v>40</v>
      </c>
      <c r="B28" s="26"/>
      <c r="C28" s="26"/>
      <c r="D28" s="32"/>
      <c r="E28" s="33">
        <f>SUM(E24:E27)</f>
        <v>3032.4856399999994</v>
      </c>
      <c r="F28" s="34">
        <f>SUM(F24:F27)</f>
        <v>16.041237852865496</v>
      </c>
      <c r="G28" s="33"/>
      <c r="H28" s="18"/>
      <c r="I28" s="18"/>
    </row>
    <row r="29" spans="1:9" x14ac:dyDescent="0.2">
      <c r="A29" s="27"/>
      <c r="B29" s="27"/>
      <c r="C29" s="27"/>
      <c r="D29" s="28"/>
      <c r="E29" s="29"/>
      <c r="F29" s="30"/>
      <c r="G29" s="29"/>
    </row>
    <row r="30" spans="1:9" ht="10.5" x14ac:dyDescent="0.25">
      <c r="A30" s="26" t="s">
        <v>57</v>
      </c>
      <c r="B30" s="27"/>
      <c r="C30" s="27"/>
      <c r="D30" s="28"/>
      <c r="E30" s="29"/>
      <c r="F30" s="30"/>
      <c r="G30" s="29"/>
    </row>
    <row r="31" spans="1:9" ht="10.5" x14ac:dyDescent="0.25">
      <c r="A31" s="26" t="s">
        <v>58</v>
      </c>
      <c r="B31" s="27"/>
      <c r="C31" s="27"/>
      <c r="D31" s="28"/>
      <c r="E31" s="29"/>
      <c r="F31" s="30"/>
      <c r="G31" s="29"/>
    </row>
    <row r="32" spans="1:9" x14ac:dyDescent="0.2">
      <c r="A32" s="27" t="s">
        <v>812</v>
      </c>
      <c r="B32" s="27" t="s">
        <v>813</v>
      </c>
      <c r="C32" s="27" t="s">
        <v>62</v>
      </c>
      <c r="D32" s="31">
        <v>292</v>
      </c>
      <c r="E32" s="29">
        <v>291.091588</v>
      </c>
      <c r="F32" s="30">
        <v>1.5398158324259501</v>
      </c>
      <c r="G32" s="29">
        <v>3.3502000000000001</v>
      </c>
    </row>
    <row r="33" spans="1:9" ht="10.5" x14ac:dyDescent="0.25">
      <c r="A33" s="26" t="s">
        <v>40</v>
      </c>
      <c r="B33" s="26"/>
      <c r="C33" s="26"/>
      <c r="D33" s="32"/>
      <c r="E33" s="33">
        <f>SUM(E31:E32)</f>
        <v>291.091588</v>
      </c>
      <c r="F33" s="34">
        <f>SUM(F31:F32)</f>
        <v>1.5398158324259501</v>
      </c>
      <c r="G33" s="33"/>
      <c r="H33" s="18"/>
      <c r="I33" s="18"/>
    </row>
    <row r="34" spans="1:9" x14ac:dyDescent="0.2">
      <c r="A34" s="27"/>
      <c r="B34" s="27"/>
      <c r="C34" s="27"/>
      <c r="D34" s="28"/>
      <c r="E34" s="29"/>
      <c r="F34" s="30"/>
      <c r="G34" s="29"/>
    </row>
    <row r="35" spans="1:9" ht="10.5" x14ac:dyDescent="0.25">
      <c r="A35" s="26" t="s">
        <v>63</v>
      </c>
      <c r="B35" s="27"/>
      <c r="C35" s="27"/>
      <c r="D35" s="28"/>
      <c r="E35" s="29"/>
      <c r="F35" s="30"/>
      <c r="G35" s="29"/>
    </row>
    <row r="36" spans="1:9" x14ac:dyDescent="0.2">
      <c r="A36" s="27" t="s">
        <v>1444</v>
      </c>
      <c r="B36" s="27" t="s">
        <v>1445</v>
      </c>
      <c r="C36" s="27" t="s">
        <v>816</v>
      </c>
      <c r="D36" s="31">
        <v>33</v>
      </c>
      <c r="E36" s="29">
        <v>164.52496500000001</v>
      </c>
      <c r="F36" s="30">
        <v>0.87030390564334903</v>
      </c>
      <c r="G36" s="29">
        <v>3.4001999999999999</v>
      </c>
    </row>
    <row r="37" spans="1:9" ht="10.5" x14ac:dyDescent="0.25">
      <c r="A37" s="26" t="s">
        <v>40</v>
      </c>
      <c r="B37" s="26"/>
      <c r="C37" s="26"/>
      <c r="D37" s="32"/>
      <c r="E37" s="33">
        <f>SUM(E35:E36)</f>
        <v>164.52496500000001</v>
      </c>
      <c r="F37" s="34">
        <f>SUM(F35:F36)</f>
        <v>0.87030390564334903</v>
      </c>
      <c r="G37" s="33"/>
      <c r="H37" s="18"/>
      <c r="I37" s="18"/>
    </row>
    <row r="38" spans="1:9" x14ac:dyDescent="0.2">
      <c r="A38" s="27"/>
      <c r="B38" s="27"/>
      <c r="C38" s="27"/>
      <c r="D38" s="28"/>
      <c r="E38" s="29"/>
      <c r="F38" s="30"/>
      <c r="G38" s="29"/>
    </row>
    <row r="39" spans="1:9" ht="10.5" x14ac:dyDescent="0.25">
      <c r="A39" s="26" t="s">
        <v>44</v>
      </c>
      <c r="B39" s="26"/>
      <c r="C39" s="26"/>
      <c r="D39" s="32"/>
      <c r="E39" s="33">
        <f>E22+E28+E33+E37</f>
        <v>17396.848732999999</v>
      </c>
      <c r="F39" s="34">
        <f>F22+F28+F33+F37</f>
        <v>92.025823547304483</v>
      </c>
      <c r="G39" s="33"/>
      <c r="H39" s="18"/>
      <c r="I39" s="18"/>
    </row>
    <row r="40" spans="1:9" ht="10.5" x14ac:dyDescent="0.25">
      <c r="A40" s="26"/>
      <c r="B40" s="26"/>
      <c r="C40" s="26"/>
      <c r="D40" s="32"/>
      <c r="E40" s="33"/>
      <c r="F40" s="34"/>
      <c r="G40" s="33"/>
      <c r="H40" s="18"/>
      <c r="I40" s="18"/>
    </row>
    <row r="41" spans="1:9" ht="10.5" x14ac:dyDescent="0.25">
      <c r="A41" s="26" t="s">
        <v>46</v>
      </c>
      <c r="B41" s="26"/>
      <c r="C41" s="26"/>
      <c r="D41" s="32"/>
      <c r="E41" s="33">
        <f>E43-(E22+E28+E33+E37)</f>
        <v>1507.4631899000015</v>
      </c>
      <c r="F41" s="34">
        <f>F43-(F22+F28+F33+F37)</f>
        <v>7.9741764526955166</v>
      </c>
      <c r="G41" s="33"/>
      <c r="H41" s="18"/>
      <c r="I41" s="18"/>
    </row>
    <row r="42" spans="1:9" ht="10.5" x14ac:dyDescent="0.25">
      <c r="A42" s="26"/>
      <c r="B42" s="26"/>
      <c r="C42" s="26"/>
      <c r="D42" s="32"/>
      <c r="E42" s="33"/>
      <c r="F42" s="34"/>
      <c r="G42" s="33"/>
      <c r="H42" s="18"/>
      <c r="I42" s="18"/>
    </row>
    <row r="43" spans="1:9" ht="10.5" x14ac:dyDescent="0.25">
      <c r="A43" s="35" t="s">
        <v>45</v>
      </c>
      <c r="B43" s="35"/>
      <c r="C43" s="35"/>
      <c r="D43" s="36"/>
      <c r="E43" s="37">
        <v>18904.3119229</v>
      </c>
      <c r="F43" s="38">
        <v>100</v>
      </c>
      <c r="G43" s="37"/>
      <c r="H43" s="18"/>
      <c r="I43" s="18"/>
    </row>
    <row r="45" spans="1:9" ht="10.5" x14ac:dyDescent="0.25">
      <c r="A45" s="18" t="s">
        <v>67</v>
      </c>
    </row>
    <row r="46" spans="1:9" ht="10.5" x14ac:dyDescent="0.25">
      <c r="A46" s="18" t="s">
        <v>47</v>
      </c>
    </row>
    <row r="48" spans="1:9" ht="10.5" x14ac:dyDescent="0.25">
      <c r="A48" s="18" t="s">
        <v>48</v>
      </c>
    </row>
    <row r="49" spans="1:5" ht="10.5" x14ac:dyDescent="0.25">
      <c r="A49" s="18" t="s">
        <v>49</v>
      </c>
    </row>
    <row r="50" spans="1:5" ht="10.5" x14ac:dyDescent="0.25">
      <c r="A50" s="18" t="s">
        <v>50</v>
      </c>
      <c r="B50" s="18"/>
      <c r="C50" s="41" t="s">
        <v>727</v>
      </c>
      <c r="D50" s="19" t="s">
        <v>51</v>
      </c>
    </row>
    <row r="51" spans="1:5" x14ac:dyDescent="0.2">
      <c r="A51" s="9" t="s">
        <v>71</v>
      </c>
      <c r="C51" s="40">
        <v>12.197100000000001</v>
      </c>
      <c r="D51" s="40">
        <v>12.4564</v>
      </c>
    </row>
    <row r="52" spans="1:5" x14ac:dyDescent="0.2">
      <c r="A52" s="9" t="s">
        <v>1329</v>
      </c>
      <c r="C52" s="40">
        <v>10.4415</v>
      </c>
      <c r="D52" s="40">
        <v>10.663399999999999</v>
      </c>
    </row>
    <row r="53" spans="1:5" x14ac:dyDescent="0.2">
      <c r="A53" s="9" t="s">
        <v>73</v>
      </c>
      <c r="C53" s="40">
        <v>10.419499999999999</v>
      </c>
      <c r="D53" s="40">
        <v>10.2524</v>
      </c>
    </row>
    <row r="54" spans="1:5" x14ac:dyDescent="0.2">
      <c r="A54" s="9" t="s">
        <v>74</v>
      </c>
      <c r="C54" s="40">
        <v>12.2705</v>
      </c>
      <c r="D54" s="40">
        <v>12.5313</v>
      </c>
    </row>
    <row r="55" spans="1:5" x14ac:dyDescent="0.2">
      <c r="A55" s="9" t="s">
        <v>78</v>
      </c>
      <c r="C55" s="40">
        <v>10.5166</v>
      </c>
      <c r="D55" s="40">
        <v>10.7417</v>
      </c>
    </row>
    <row r="56" spans="1:5" x14ac:dyDescent="0.2">
      <c r="A56" s="9" t="s">
        <v>76</v>
      </c>
      <c r="C56" s="40">
        <v>10.4819</v>
      </c>
      <c r="D56" s="40">
        <v>10.317</v>
      </c>
    </row>
    <row r="58" spans="1:5" ht="10.5" x14ac:dyDescent="0.25">
      <c r="A58" s="18" t="s">
        <v>52</v>
      </c>
    </row>
    <row r="59" spans="1:5" ht="10.5" x14ac:dyDescent="0.25">
      <c r="A59" s="77" t="s">
        <v>68</v>
      </c>
      <c r="B59" s="78"/>
      <c r="C59" s="43" t="s">
        <v>69</v>
      </c>
    </row>
    <row r="60" spans="1:5" x14ac:dyDescent="0.2">
      <c r="A60" s="71" t="s">
        <v>73</v>
      </c>
      <c r="B60" s="72"/>
      <c r="C60" s="44">
        <v>0.38500000000000001</v>
      </c>
    </row>
    <row r="61" spans="1:5" x14ac:dyDescent="0.2">
      <c r="A61" s="71" t="s">
        <v>76</v>
      </c>
      <c r="B61" s="72"/>
      <c r="C61" s="44">
        <v>0.38500000000000001</v>
      </c>
    </row>
    <row r="62" spans="1:5" x14ac:dyDescent="0.2">
      <c r="A62" s="9" t="s">
        <v>70</v>
      </c>
    </row>
    <row r="64" spans="1:5" ht="10.5" x14ac:dyDescent="0.25">
      <c r="A64" s="18" t="s">
        <v>798</v>
      </c>
      <c r="D64" s="42">
        <v>0.17614767350684901</v>
      </c>
      <c r="E64" s="13" t="s">
        <v>54</v>
      </c>
    </row>
    <row r="66" spans="1:7" ht="10.5" x14ac:dyDescent="0.25">
      <c r="A66" s="18" t="s">
        <v>1502</v>
      </c>
      <c r="D66" s="41" t="s">
        <v>53</v>
      </c>
    </row>
    <row r="68" spans="1:7" ht="15" customHeight="1" x14ac:dyDescent="0.2">
      <c r="A68" s="73" t="s">
        <v>799</v>
      </c>
      <c r="B68" s="74"/>
      <c r="C68" s="74"/>
      <c r="D68" s="74"/>
      <c r="E68" s="74"/>
      <c r="F68" s="74"/>
      <c r="G68" s="74"/>
    </row>
    <row r="69" spans="1:7" x14ac:dyDescent="0.2">
      <c r="A69" s="46" t="s">
        <v>55</v>
      </c>
    </row>
    <row r="71" spans="1:7" x14ac:dyDescent="0.2">
      <c r="A71" s="46"/>
    </row>
  </sheetData>
  <mergeCells count="5">
    <mergeCell ref="A1:G1"/>
    <mergeCell ref="A59:B59"/>
    <mergeCell ref="A60:B60"/>
    <mergeCell ref="A61:B61"/>
    <mergeCell ref="A68:G68"/>
  </mergeCells>
  <conditionalFormatting sqref="F2:F3 F5:F67 F72:F65536">
    <cfRule type="cellIs" dxfId="58" priority="3" stopIfTrue="1" operator="between">
      <formula>0.009</formula>
      <formula>-0.009</formula>
    </cfRule>
  </conditionalFormatting>
  <conditionalFormatting sqref="F69">
    <cfRule type="cellIs" dxfId="57" priority="1" stopIfTrue="1" operator="between">
      <formula>0.009</formula>
      <formula>-0.009</formula>
    </cfRule>
  </conditionalFormatting>
  <conditionalFormatting sqref="F70:F71">
    <cfRule type="cellIs" dxfId="56" priority="2" stopIfTrue="1" operator="between">
      <formula>0.009</formula>
      <formula>-0.009</formula>
    </cfRule>
  </conditionalFormatting>
  <hyperlinks>
    <hyperlink ref="A69" r:id="rId1" xr:uid="{00000000-0004-0000-1B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66"/>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1446</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1434</v>
      </c>
      <c r="B7" s="27" t="s">
        <v>1435</v>
      </c>
      <c r="C7" s="27" t="s">
        <v>39</v>
      </c>
      <c r="D7" s="31">
        <v>61</v>
      </c>
      <c r="E7" s="29">
        <v>612.98045999999999</v>
      </c>
      <c r="F7" s="30">
        <v>10.503552403410399</v>
      </c>
      <c r="G7" s="29">
        <v>3.4</v>
      </c>
    </row>
    <row r="8" spans="1:7" x14ac:dyDescent="0.2">
      <c r="A8" s="27" t="s">
        <v>1403</v>
      </c>
      <c r="B8" s="27" t="s">
        <v>1404</v>
      </c>
      <c r="C8" s="27" t="s">
        <v>39</v>
      </c>
      <c r="D8" s="31">
        <v>45</v>
      </c>
      <c r="E8" s="29">
        <v>572.53994999999998</v>
      </c>
      <c r="F8" s="30">
        <v>9.8105955414483699</v>
      </c>
      <c r="G8" s="29">
        <v>3.9550000000000001</v>
      </c>
    </row>
    <row r="9" spans="1:7" x14ac:dyDescent="0.2">
      <c r="A9" s="27" t="s">
        <v>1425</v>
      </c>
      <c r="B9" s="27" t="s">
        <v>1426</v>
      </c>
      <c r="C9" s="27" t="s">
        <v>39</v>
      </c>
      <c r="D9" s="31">
        <v>45</v>
      </c>
      <c r="E9" s="29">
        <v>568.46609999999998</v>
      </c>
      <c r="F9" s="30">
        <v>9.74078924295946</v>
      </c>
      <c r="G9" s="29">
        <v>4</v>
      </c>
    </row>
    <row r="10" spans="1:7" x14ac:dyDescent="0.2">
      <c r="A10" s="27" t="s">
        <v>1421</v>
      </c>
      <c r="B10" s="27" t="s">
        <v>1422</v>
      </c>
      <c r="C10" s="27" t="s">
        <v>894</v>
      </c>
      <c r="D10" s="31">
        <v>46</v>
      </c>
      <c r="E10" s="29">
        <v>463.66482000000002</v>
      </c>
      <c r="F10" s="30">
        <v>7.9449967042797001</v>
      </c>
      <c r="G10" s="29">
        <v>3.53</v>
      </c>
    </row>
    <row r="11" spans="1:7" x14ac:dyDescent="0.2">
      <c r="A11" s="27" t="s">
        <v>1440</v>
      </c>
      <c r="B11" s="27" t="s">
        <v>1441</v>
      </c>
      <c r="C11" s="27" t="s">
        <v>39</v>
      </c>
      <c r="D11" s="31">
        <v>46</v>
      </c>
      <c r="E11" s="29">
        <v>460.10165999999998</v>
      </c>
      <c r="F11" s="30">
        <v>7.8839411890977997</v>
      </c>
      <c r="G11" s="29">
        <v>3.3433000000000002</v>
      </c>
    </row>
    <row r="12" spans="1:7" x14ac:dyDescent="0.2">
      <c r="A12" s="27" t="s">
        <v>1432</v>
      </c>
      <c r="B12" s="27" t="s">
        <v>1433</v>
      </c>
      <c r="C12" s="27" t="s">
        <v>39</v>
      </c>
      <c r="D12" s="31">
        <v>45</v>
      </c>
      <c r="E12" s="29">
        <v>453.76605000000001</v>
      </c>
      <c r="F12" s="30">
        <v>7.77537914514199</v>
      </c>
      <c r="G12" s="29">
        <v>3.57</v>
      </c>
    </row>
    <row r="13" spans="1:7" x14ac:dyDescent="0.2">
      <c r="A13" s="27" t="s">
        <v>922</v>
      </c>
      <c r="B13" s="27" t="s">
        <v>923</v>
      </c>
      <c r="C13" s="27" t="s">
        <v>894</v>
      </c>
      <c r="D13" s="31">
        <v>34</v>
      </c>
      <c r="E13" s="29">
        <v>431.46544</v>
      </c>
      <c r="F13" s="30">
        <v>7.3932533824985702</v>
      </c>
      <c r="G13" s="29">
        <v>5.0350000000000001</v>
      </c>
    </row>
    <row r="14" spans="1:7" x14ac:dyDescent="0.2">
      <c r="A14" s="27" t="s">
        <v>946</v>
      </c>
      <c r="B14" s="27" t="s">
        <v>947</v>
      </c>
      <c r="C14" s="27" t="s">
        <v>39</v>
      </c>
      <c r="D14" s="31">
        <v>38</v>
      </c>
      <c r="E14" s="29">
        <v>381.96042</v>
      </c>
      <c r="F14" s="30">
        <v>6.5449741864506503</v>
      </c>
      <c r="G14" s="29">
        <v>3.2799</v>
      </c>
    </row>
    <row r="15" spans="1:7" x14ac:dyDescent="0.2">
      <c r="A15" s="27" t="s">
        <v>1380</v>
      </c>
      <c r="B15" s="27" t="s">
        <v>1381</v>
      </c>
      <c r="C15" s="27" t="s">
        <v>39</v>
      </c>
      <c r="D15" s="31">
        <v>28</v>
      </c>
      <c r="E15" s="29">
        <v>353.79007999999999</v>
      </c>
      <c r="F15" s="30">
        <v>6.0622693341428198</v>
      </c>
      <c r="G15" s="29">
        <v>3.5649000000000002</v>
      </c>
    </row>
    <row r="16" spans="1:7" x14ac:dyDescent="0.2">
      <c r="A16" s="27" t="s">
        <v>1247</v>
      </c>
      <c r="B16" s="27" t="s">
        <v>1248</v>
      </c>
      <c r="C16" s="27" t="s">
        <v>1249</v>
      </c>
      <c r="D16" s="31">
        <v>20</v>
      </c>
      <c r="E16" s="29">
        <v>251.94479999999999</v>
      </c>
      <c r="F16" s="30">
        <v>4.3171284930791298</v>
      </c>
      <c r="G16" s="29">
        <v>4.1501000000000001</v>
      </c>
    </row>
    <row r="17" spans="1:9" x14ac:dyDescent="0.2">
      <c r="A17" s="27" t="s">
        <v>1417</v>
      </c>
      <c r="B17" s="27" t="s">
        <v>1418</v>
      </c>
      <c r="C17" s="27" t="s">
        <v>894</v>
      </c>
      <c r="D17" s="31">
        <v>20</v>
      </c>
      <c r="E17" s="29">
        <v>202.0318</v>
      </c>
      <c r="F17" s="30">
        <v>3.4618584717289802</v>
      </c>
      <c r="G17" s="29">
        <v>3.5935000000000001</v>
      </c>
    </row>
    <row r="18" spans="1:9" x14ac:dyDescent="0.2">
      <c r="A18" s="27" t="s">
        <v>1447</v>
      </c>
      <c r="B18" s="27" t="s">
        <v>1448</v>
      </c>
      <c r="C18" s="27" t="s">
        <v>39</v>
      </c>
      <c r="D18" s="31">
        <v>17</v>
      </c>
      <c r="E18" s="29">
        <v>168.41271</v>
      </c>
      <c r="F18" s="30">
        <v>2.8857881128631102</v>
      </c>
      <c r="G18" s="29">
        <v>4.0000999999999998</v>
      </c>
    </row>
    <row r="19" spans="1:9" x14ac:dyDescent="0.2">
      <c r="A19" s="27" t="s">
        <v>1245</v>
      </c>
      <c r="B19" s="27" t="s">
        <v>1246</v>
      </c>
      <c r="C19" s="27" t="s">
        <v>39</v>
      </c>
      <c r="D19" s="31">
        <v>1</v>
      </c>
      <c r="E19" s="29">
        <v>10.056620000000001</v>
      </c>
      <c r="F19" s="30">
        <v>0.17232235293631601</v>
      </c>
      <c r="G19" s="29">
        <v>4.5350999999999999</v>
      </c>
    </row>
    <row r="20" spans="1:9" ht="10.5" x14ac:dyDescent="0.25">
      <c r="A20" s="26" t="s">
        <v>40</v>
      </c>
      <c r="B20" s="26"/>
      <c r="C20" s="26"/>
      <c r="D20" s="32"/>
      <c r="E20" s="33">
        <f>SUM(E6:E19)</f>
        <v>4931.18091</v>
      </c>
      <c r="F20" s="34">
        <f>SUM(F6:F19)</f>
        <v>84.496848560037293</v>
      </c>
      <c r="G20" s="33"/>
      <c r="H20" s="18"/>
      <c r="I20" s="18"/>
    </row>
    <row r="21" spans="1:9" x14ac:dyDescent="0.2">
      <c r="A21" s="27"/>
      <c r="B21" s="27"/>
      <c r="C21" s="27"/>
      <c r="D21" s="28"/>
      <c r="E21" s="29"/>
      <c r="F21" s="30"/>
      <c r="G21" s="29"/>
    </row>
    <row r="22" spans="1:9" ht="10.5" x14ac:dyDescent="0.25">
      <c r="A22" s="26" t="s">
        <v>41</v>
      </c>
      <c r="B22" s="27"/>
      <c r="C22" s="27"/>
      <c r="D22" s="28"/>
      <c r="E22" s="29"/>
      <c r="F22" s="30"/>
      <c r="G22" s="29"/>
    </row>
    <row r="23" spans="1:9" x14ac:dyDescent="0.2">
      <c r="A23" s="27" t="s">
        <v>1429</v>
      </c>
      <c r="B23" s="27" t="s">
        <v>1430</v>
      </c>
      <c r="C23" s="27" t="s">
        <v>850</v>
      </c>
      <c r="D23" s="31">
        <v>45</v>
      </c>
      <c r="E23" s="29">
        <v>451.13895000000002</v>
      </c>
      <c r="F23" s="30">
        <v>7.7303632199704202</v>
      </c>
      <c r="G23" s="29">
        <v>4.0145</v>
      </c>
    </row>
    <row r="24" spans="1:9" x14ac:dyDescent="0.2">
      <c r="A24" s="27" t="s">
        <v>952</v>
      </c>
      <c r="B24" s="27" t="s">
        <v>953</v>
      </c>
      <c r="C24" s="27" t="s">
        <v>39</v>
      </c>
      <c r="D24" s="31">
        <v>6</v>
      </c>
      <c r="E24" s="29">
        <v>60.498420000000003</v>
      </c>
      <c r="F24" s="30">
        <v>1.0366534763498501</v>
      </c>
      <c r="G24" s="29">
        <v>3.7120000000000002</v>
      </c>
    </row>
    <row r="25" spans="1:9" ht="10.5" x14ac:dyDescent="0.25">
      <c r="A25" s="26" t="s">
        <v>40</v>
      </c>
      <c r="B25" s="26"/>
      <c r="C25" s="26"/>
      <c r="D25" s="32"/>
      <c r="E25" s="33">
        <f>SUM(E22:E24)</f>
        <v>511.63737000000003</v>
      </c>
      <c r="F25" s="34">
        <f>SUM(F22:F24)</f>
        <v>8.7670166963202707</v>
      </c>
      <c r="G25" s="33"/>
      <c r="H25" s="18"/>
      <c r="I25" s="18"/>
    </row>
    <row r="26" spans="1:9" x14ac:dyDescent="0.2">
      <c r="A26" s="27"/>
      <c r="B26" s="27"/>
      <c r="C26" s="27"/>
      <c r="D26" s="28"/>
      <c r="E26" s="29"/>
      <c r="F26" s="30"/>
      <c r="G26" s="29"/>
    </row>
    <row r="27" spans="1:9" ht="10.5" x14ac:dyDescent="0.25">
      <c r="A27" s="26" t="s">
        <v>57</v>
      </c>
      <c r="B27" s="27"/>
      <c r="C27" s="27"/>
      <c r="D27" s="28"/>
      <c r="E27" s="29"/>
      <c r="F27" s="30"/>
      <c r="G27" s="29"/>
    </row>
    <row r="28" spans="1:9" ht="10.5" x14ac:dyDescent="0.25">
      <c r="A28" s="26" t="s">
        <v>58</v>
      </c>
      <c r="B28" s="27"/>
      <c r="C28" s="27"/>
      <c r="D28" s="28"/>
      <c r="E28" s="29"/>
      <c r="F28" s="30"/>
      <c r="G28" s="29"/>
    </row>
    <row r="29" spans="1:9" x14ac:dyDescent="0.2">
      <c r="A29" s="27" t="s">
        <v>812</v>
      </c>
      <c r="B29" s="27" t="s">
        <v>813</v>
      </c>
      <c r="C29" s="27" t="s">
        <v>62</v>
      </c>
      <c r="D29" s="31">
        <v>87</v>
      </c>
      <c r="E29" s="29">
        <v>86.729343</v>
      </c>
      <c r="F29" s="30">
        <v>1.48612600002593</v>
      </c>
      <c r="G29" s="29">
        <v>3.3502000000000001</v>
      </c>
    </row>
    <row r="30" spans="1:9" ht="10.5" x14ac:dyDescent="0.25">
      <c r="A30" s="26" t="s">
        <v>40</v>
      </c>
      <c r="B30" s="26"/>
      <c r="C30" s="26"/>
      <c r="D30" s="32"/>
      <c r="E30" s="33">
        <f>SUM(E28:E29)</f>
        <v>86.729343</v>
      </c>
      <c r="F30" s="34">
        <f>SUM(F28:F29)</f>
        <v>1.48612600002593</v>
      </c>
      <c r="G30" s="33"/>
      <c r="H30" s="18"/>
      <c r="I30" s="18"/>
    </row>
    <row r="31" spans="1:9" x14ac:dyDescent="0.2">
      <c r="A31" s="27"/>
      <c r="B31" s="27"/>
      <c r="C31" s="27"/>
      <c r="D31" s="28"/>
      <c r="E31" s="29"/>
      <c r="F31" s="30"/>
      <c r="G31" s="29"/>
    </row>
    <row r="32" spans="1:9" ht="10.5" x14ac:dyDescent="0.25">
      <c r="A32" s="26" t="s">
        <v>66</v>
      </c>
      <c r="B32" s="27"/>
      <c r="C32" s="27"/>
      <c r="D32" s="28"/>
      <c r="E32" s="29"/>
      <c r="F32" s="30"/>
      <c r="G32" s="29"/>
    </row>
    <row r="33" spans="1:9" x14ac:dyDescent="0.2">
      <c r="A33" s="27" t="s">
        <v>833</v>
      </c>
      <c r="B33" s="27" t="s">
        <v>834</v>
      </c>
      <c r="C33" s="27" t="s">
        <v>80</v>
      </c>
      <c r="D33" s="31">
        <v>40000</v>
      </c>
      <c r="E33" s="29">
        <v>39.807400000000001</v>
      </c>
      <c r="F33" s="30">
        <v>0.68210838554873199</v>
      </c>
      <c r="G33" s="29">
        <v>3.2703000000000002</v>
      </c>
    </row>
    <row r="34" spans="1:9" ht="10.5" x14ac:dyDescent="0.25">
      <c r="A34" s="26" t="s">
        <v>40</v>
      </c>
      <c r="B34" s="26"/>
      <c r="C34" s="26"/>
      <c r="D34" s="32"/>
      <c r="E34" s="33">
        <f>SUM(E32:E33)</f>
        <v>39.807400000000001</v>
      </c>
      <c r="F34" s="34">
        <f>SUM(F32:F33)</f>
        <v>0.68210838554873199</v>
      </c>
      <c r="G34" s="33"/>
      <c r="H34" s="18"/>
      <c r="I34" s="18"/>
    </row>
    <row r="35" spans="1:9" x14ac:dyDescent="0.2">
      <c r="A35" s="27"/>
      <c r="B35" s="27"/>
      <c r="C35" s="27"/>
      <c r="D35" s="28"/>
      <c r="E35" s="29"/>
      <c r="F35" s="30"/>
      <c r="G35" s="29"/>
    </row>
    <row r="36" spans="1:9" ht="10.5" x14ac:dyDescent="0.25">
      <c r="A36" s="26" t="s">
        <v>44</v>
      </c>
      <c r="B36" s="26"/>
      <c r="C36" s="26"/>
      <c r="D36" s="32"/>
      <c r="E36" s="33">
        <f>E20+E25+E30+E34</f>
        <v>5569.3550230000001</v>
      </c>
      <c r="F36" s="34">
        <f>F20+F25+F30+F34</f>
        <v>95.432099641932226</v>
      </c>
      <c r="G36" s="33"/>
      <c r="H36" s="18"/>
      <c r="I36" s="18"/>
    </row>
    <row r="37" spans="1:9" ht="10.5" x14ac:dyDescent="0.25">
      <c r="A37" s="26"/>
      <c r="B37" s="26"/>
      <c r="C37" s="26"/>
      <c r="D37" s="32"/>
      <c r="E37" s="33"/>
      <c r="F37" s="34"/>
      <c r="G37" s="33"/>
      <c r="H37" s="18"/>
      <c r="I37" s="18"/>
    </row>
    <row r="38" spans="1:9" ht="10.5" x14ac:dyDescent="0.25">
      <c r="A38" s="26" t="s">
        <v>46</v>
      </c>
      <c r="B38" s="26"/>
      <c r="C38" s="26"/>
      <c r="D38" s="32"/>
      <c r="E38" s="33">
        <f>E40-(E20+E25+E30+E34)</f>
        <v>266.57968230000006</v>
      </c>
      <c r="F38" s="34">
        <f>F40-(F20+F25+F30+F34)</f>
        <v>4.5679003580677744</v>
      </c>
      <c r="G38" s="33"/>
      <c r="H38" s="18"/>
      <c r="I38" s="18"/>
    </row>
    <row r="39" spans="1:9" ht="10.5" x14ac:dyDescent="0.25">
      <c r="A39" s="26"/>
      <c r="B39" s="26"/>
      <c r="C39" s="26"/>
      <c r="D39" s="32"/>
      <c r="E39" s="33"/>
      <c r="F39" s="34"/>
      <c r="G39" s="33"/>
      <c r="H39" s="18"/>
      <c r="I39" s="18"/>
    </row>
    <row r="40" spans="1:9" ht="10.5" x14ac:dyDescent="0.25">
      <c r="A40" s="35" t="s">
        <v>45</v>
      </c>
      <c r="B40" s="35"/>
      <c r="C40" s="35"/>
      <c r="D40" s="36"/>
      <c r="E40" s="37">
        <v>5835.9347053000001</v>
      </c>
      <c r="F40" s="38">
        <v>100</v>
      </c>
      <c r="G40" s="37"/>
      <c r="H40" s="18"/>
      <c r="I40" s="18"/>
    </row>
    <row r="42" spans="1:9" ht="10.5" x14ac:dyDescent="0.25">
      <c r="A42" s="18" t="s">
        <v>47</v>
      </c>
    </row>
    <row r="44" spans="1:9" ht="10.5" x14ac:dyDescent="0.25">
      <c r="A44" s="18" t="s">
        <v>48</v>
      </c>
    </row>
    <row r="45" spans="1:9" ht="10.5" x14ac:dyDescent="0.25">
      <c r="A45" s="18" t="s">
        <v>49</v>
      </c>
    </row>
    <row r="46" spans="1:9" ht="10.5" x14ac:dyDescent="0.25">
      <c r="A46" s="18" t="s">
        <v>50</v>
      </c>
      <c r="B46" s="18"/>
      <c r="C46" s="41" t="s">
        <v>727</v>
      </c>
      <c r="D46" s="19" t="s">
        <v>51</v>
      </c>
    </row>
    <row r="47" spans="1:9" x14ac:dyDescent="0.2">
      <c r="A47" s="9" t="s">
        <v>71</v>
      </c>
      <c r="C47" s="40">
        <v>12.125500000000001</v>
      </c>
      <c r="D47" s="40">
        <v>12.3866</v>
      </c>
    </row>
    <row r="48" spans="1:9" x14ac:dyDescent="0.2">
      <c r="A48" s="9" t="s">
        <v>1329</v>
      </c>
      <c r="C48" s="40">
        <v>10.5427</v>
      </c>
      <c r="D48" s="40">
        <v>10.769500000000001</v>
      </c>
    </row>
    <row r="49" spans="1:7" x14ac:dyDescent="0.2">
      <c r="A49" s="9" t="s">
        <v>73</v>
      </c>
      <c r="C49" s="40">
        <v>10.338100000000001</v>
      </c>
      <c r="D49" s="40">
        <v>10.1973</v>
      </c>
    </row>
    <row r="50" spans="1:7" x14ac:dyDescent="0.2">
      <c r="A50" s="9" t="s">
        <v>74</v>
      </c>
      <c r="C50" s="40">
        <v>12.198399999999999</v>
      </c>
      <c r="D50" s="40">
        <v>12.4611</v>
      </c>
    </row>
    <row r="51" spans="1:7" x14ac:dyDescent="0.2">
      <c r="A51" s="9" t="s">
        <v>76</v>
      </c>
      <c r="C51" s="40">
        <v>10.398899999999999</v>
      </c>
      <c r="D51" s="40">
        <v>10.2593</v>
      </c>
    </row>
    <row r="53" spans="1:7" ht="10.5" x14ac:dyDescent="0.25">
      <c r="A53" s="18" t="s">
        <v>52</v>
      </c>
    </row>
    <row r="54" spans="1:7" ht="10.5" x14ac:dyDescent="0.25">
      <c r="A54" s="77" t="s">
        <v>68</v>
      </c>
      <c r="B54" s="78"/>
      <c r="C54" s="43" t="s">
        <v>69</v>
      </c>
    </row>
    <row r="55" spans="1:7" x14ac:dyDescent="0.2">
      <c r="A55" s="71" t="s">
        <v>73</v>
      </c>
      <c r="B55" s="72"/>
      <c r="C55" s="44">
        <v>0.36</v>
      </c>
    </row>
    <row r="56" spans="1:7" x14ac:dyDescent="0.2">
      <c r="A56" s="71" t="s">
        <v>76</v>
      </c>
      <c r="B56" s="72"/>
      <c r="C56" s="44">
        <v>0.36</v>
      </c>
    </row>
    <row r="57" spans="1:7" x14ac:dyDescent="0.2">
      <c r="A57" s="9" t="s">
        <v>70</v>
      </c>
    </row>
    <row r="59" spans="1:7" ht="10.5" x14ac:dyDescent="0.25">
      <c r="A59" s="18" t="s">
        <v>798</v>
      </c>
      <c r="D59" s="42">
        <v>0.14596022767123301</v>
      </c>
      <c r="E59" s="13" t="s">
        <v>54</v>
      </c>
    </row>
    <row r="61" spans="1:7" ht="10.5" x14ac:dyDescent="0.25">
      <c r="A61" s="18" t="s">
        <v>1502</v>
      </c>
      <c r="D61" s="41" t="s">
        <v>53</v>
      </c>
    </row>
    <row r="63" spans="1:7" ht="15" customHeight="1" x14ac:dyDescent="0.2">
      <c r="A63" s="73" t="s">
        <v>799</v>
      </c>
      <c r="B63" s="74"/>
      <c r="C63" s="74"/>
      <c r="D63" s="74"/>
      <c r="E63" s="74"/>
      <c r="F63" s="74"/>
      <c r="G63" s="74"/>
    </row>
    <row r="64" spans="1:7" x14ac:dyDescent="0.2">
      <c r="A64" s="46" t="s">
        <v>55</v>
      </c>
    </row>
    <row r="66" spans="1:1" x14ac:dyDescent="0.2">
      <c r="A66" s="46"/>
    </row>
  </sheetData>
  <mergeCells count="5">
    <mergeCell ref="A1:G1"/>
    <mergeCell ref="A54:B54"/>
    <mergeCell ref="A55:B55"/>
    <mergeCell ref="A56:B56"/>
    <mergeCell ref="A63:G63"/>
  </mergeCells>
  <conditionalFormatting sqref="F2:F3 F5:F62 F67:F65536">
    <cfRule type="cellIs" dxfId="55" priority="3" stopIfTrue="1" operator="between">
      <formula>0.009</formula>
      <formula>-0.009</formula>
    </cfRule>
  </conditionalFormatting>
  <conditionalFormatting sqref="F64">
    <cfRule type="cellIs" dxfId="54" priority="1" stopIfTrue="1" operator="between">
      <formula>0.009</formula>
      <formula>-0.009</formula>
    </cfRule>
  </conditionalFormatting>
  <conditionalFormatting sqref="F65:F66">
    <cfRule type="cellIs" dxfId="53" priority="2" stopIfTrue="1" operator="between">
      <formula>0.009</formula>
      <formula>-0.009</formula>
    </cfRule>
  </conditionalFormatting>
  <hyperlinks>
    <hyperlink ref="A64" r:id="rId1" xr:uid="{00000000-0004-0000-1C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71"/>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1449</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1434</v>
      </c>
      <c r="B7" s="27" t="s">
        <v>1435</v>
      </c>
      <c r="C7" s="27" t="s">
        <v>39</v>
      </c>
      <c r="D7" s="31">
        <v>132</v>
      </c>
      <c r="E7" s="29">
        <v>1326.4495199999999</v>
      </c>
      <c r="F7" s="30">
        <v>10.3980655143096</v>
      </c>
      <c r="G7" s="29">
        <v>3.4</v>
      </c>
    </row>
    <row r="8" spans="1:7" x14ac:dyDescent="0.2">
      <c r="A8" s="27" t="s">
        <v>1403</v>
      </c>
      <c r="B8" s="27" t="s">
        <v>1404</v>
      </c>
      <c r="C8" s="27" t="s">
        <v>39</v>
      </c>
      <c r="D8" s="31">
        <v>100</v>
      </c>
      <c r="E8" s="29">
        <v>1272.3109999999999</v>
      </c>
      <c r="F8" s="30">
        <v>9.9736725243616995</v>
      </c>
      <c r="G8" s="29">
        <v>3.9550000000000001</v>
      </c>
    </row>
    <row r="9" spans="1:7" x14ac:dyDescent="0.2">
      <c r="A9" s="27" t="s">
        <v>946</v>
      </c>
      <c r="B9" s="27" t="s">
        <v>947</v>
      </c>
      <c r="C9" s="27" t="s">
        <v>39</v>
      </c>
      <c r="D9" s="31">
        <v>110</v>
      </c>
      <c r="E9" s="29">
        <v>1105.6749</v>
      </c>
      <c r="F9" s="30">
        <v>8.6674086532352401</v>
      </c>
      <c r="G9" s="29">
        <v>3.2799</v>
      </c>
    </row>
    <row r="10" spans="1:7" x14ac:dyDescent="0.2">
      <c r="A10" s="27" t="s">
        <v>1425</v>
      </c>
      <c r="B10" s="27" t="s">
        <v>1426</v>
      </c>
      <c r="C10" s="27" t="s">
        <v>39</v>
      </c>
      <c r="D10" s="31">
        <v>84</v>
      </c>
      <c r="E10" s="29">
        <v>1061.13672</v>
      </c>
      <c r="F10" s="30">
        <v>8.3182729292250901</v>
      </c>
      <c r="G10" s="29">
        <v>4</v>
      </c>
    </row>
    <row r="11" spans="1:7" x14ac:dyDescent="0.2">
      <c r="A11" s="27" t="s">
        <v>1417</v>
      </c>
      <c r="B11" s="27" t="s">
        <v>1418</v>
      </c>
      <c r="C11" s="27" t="s">
        <v>894</v>
      </c>
      <c r="D11" s="31">
        <v>101</v>
      </c>
      <c r="E11" s="29">
        <v>1020.26059</v>
      </c>
      <c r="F11" s="30">
        <v>7.9978440917134801</v>
      </c>
      <c r="G11" s="29">
        <v>3.5935000000000001</v>
      </c>
    </row>
    <row r="12" spans="1:7" x14ac:dyDescent="0.2">
      <c r="A12" s="27" t="s">
        <v>1380</v>
      </c>
      <c r="B12" s="27" t="s">
        <v>1381</v>
      </c>
      <c r="C12" s="27" t="s">
        <v>39</v>
      </c>
      <c r="D12" s="31">
        <v>77</v>
      </c>
      <c r="E12" s="29">
        <v>972.92272000000003</v>
      </c>
      <c r="F12" s="30">
        <v>7.6267615392708699</v>
      </c>
      <c r="G12" s="29">
        <v>3.5649000000000002</v>
      </c>
    </row>
    <row r="13" spans="1:7" x14ac:dyDescent="0.2">
      <c r="A13" s="27" t="s">
        <v>922</v>
      </c>
      <c r="B13" s="27" t="s">
        <v>923</v>
      </c>
      <c r="C13" s="27" t="s">
        <v>894</v>
      </c>
      <c r="D13" s="31">
        <v>70</v>
      </c>
      <c r="E13" s="29">
        <v>888.31119999999999</v>
      </c>
      <c r="F13" s="30">
        <v>6.9634900653399798</v>
      </c>
      <c r="G13" s="29">
        <v>5.0350000000000001</v>
      </c>
    </row>
    <row r="14" spans="1:7" x14ac:dyDescent="0.2">
      <c r="A14" s="27" t="s">
        <v>1450</v>
      </c>
      <c r="B14" s="27" t="s">
        <v>1451</v>
      </c>
      <c r="C14" s="27" t="s">
        <v>39</v>
      </c>
      <c r="D14" s="31">
        <v>75</v>
      </c>
      <c r="E14" s="29">
        <v>755.52750000000003</v>
      </c>
      <c r="F14" s="30">
        <v>5.9225958654367403</v>
      </c>
      <c r="G14" s="29">
        <v>3.5701000000000001</v>
      </c>
    </row>
    <row r="15" spans="1:7" x14ac:dyDescent="0.2">
      <c r="A15" s="27" t="s">
        <v>1452</v>
      </c>
      <c r="B15" s="27" t="s">
        <v>1453</v>
      </c>
      <c r="C15" s="27" t="s">
        <v>894</v>
      </c>
      <c r="D15" s="31">
        <v>56</v>
      </c>
      <c r="E15" s="29">
        <v>560.70168000000001</v>
      </c>
      <c r="F15" s="30">
        <v>4.3953521899751298</v>
      </c>
      <c r="G15" s="29">
        <v>3.3460000000000001</v>
      </c>
    </row>
    <row r="16" spans="1:7" x14ac:dyDescent="0.2">
      <c r="A16" s="27" t="s">
        <v>1432</v>
      </c>
      <c r="B16" s="27" t="s">
        <v>1433</v>
      </c>
      <c r="C16" s="27" t="s">
        <v>39</v>
      </c>
      <c r="D16" s="31">
        <v>27</v>
      </c>
      <c r="E16" s="29">
        <v>272.25963000000002</v>
      </c>
      <c r="F16" s="30">
        <v>2.13424893066545</v>
      </c>
      <c r="G16" s="29">
        <v>3.57</v>
      </c>
    </row>
    <row r="17" spans="1:9" x14ac:dyDescent="0.2">
      <c r="A17" s="27" t="s">
        <v>1247</v>
      </c>
      <c r="B17" s="27" t="s">
        <v>1248</v>
      </c>
      <c r="C17" s="27" t="s">
        <v>1249</v>
      </c>
      <c r="D17" s="31">
        <v>9</v>
      </c>
      <c r="E17" s="29">
        <v>113.37515999999999</v>
      </c>
      <c r="F17" s="30">
        <v>0.88875024914278999</v>
      </c>
      <c r="G17" s="29">
        <v>4.1501000000000001</v>
      </c>
    </row>
    <row r="18" spans="1:9" x14ac:dyDescent="0.2">
      <c r="A18" s="27" t="s">
        <v>1427</v>
      </c>
      <c r="B18" s="27" t="s">
        <v>1428</v>
      </c>
      <c r="C18" s="27" t="s">
        <v>39</v>
      </c>
      <c r="D18" s="31">
        <v>11</v>
      </c>
      <c r="E18" s="29">
        <v>111.20032</v>
      </c>
      <c r="F18" s="30">
        <v>0.87170163292169101</v>
      </c>
      <c r="G18" s="29">
        <v>3.5701000000000001</v>
      </c>
    </row>
    <row r="19" spans="1:9" x14ac:dyDescent="0.2">
      <c r="A19" s="27" t="s">
        <v>1454</v>
      </c>
      <c r="B19" s="27" t="s">
        <v>1455</v>
      </c>
      <c r="C19" s="27" t="s">
        <v>39</v>
      </c>
      <c r="D19" s="31">
        <v>8</v>
      </c>
      <c r="E19" s="29">
        <v>80.639200000000002</v>
      </c>
      <c r="F19" s="30">
        <v>0.63213237441671799</v>
      </c>
      <c r="G19" s="29">
        <v>3.5701999999999998</v>
      </c>
    </row>
    <row r="20" spans="1:9" x14ac:dyDescent="0.2">
      <c r="A20" s="27" t="s">
        <v>1440</v>
      </c>
      <c r="B20" s="27" t="s">
        <v>1441</v>
      </c>
      <c r="C20" s="27" t="s">
        <v>39</v>
      </c>
      <c r="D20" s="31">
        <v>4</v>
      </c>
      <c r="E20" s="29">
        <v>40.008839999999999</v>
      </c>
      <c r="F20" s="30">
        <v>0.313630133072483</v>
      </c>
      <c r="G20" s="29">
        <v>3.3433000000000002</v>
      </c>
    </row>
    <row r="21" spans="1:9" x14ac:dyDescent="0.2">
      <c r="A21" s="27" t="s">
        <v>1456</v>
      </c>
      <c r="B21" s="27" t="s">
        <v>1457</v>
      </c>
      <c r="C21" s="27" t="s">
        <v>39</v>
      </c>
      <c r="D21" s="31">
        <v>3</v>
      </c>
      <c r="E21" s="29">
        <v>37.81035</v>
      </c>
      <c r="F21" s="30">
        <v>0.29639612400702298</v>
      </c>
      <c r="G21" s="29">
        <v>3.3549000000000002</v>
      </c>
    </row>
    <row r="22" spans="1:9" x14ac:dyDescent="0.2">
      <c r="A22" s="27" t="s">
        <v>1421</v>
      </c>
      <c r="B22" s="27" t="s">
        <v>1422</v>
      </c>
      <c r="C22" s="27" t="s">
        <v>894</v>
      </c>
      <c r="D22" s="31">
        <v>1</v>
      </c>
      <c r="E22" s="29">
        <v>10.07967</v>
      </c>
      <c r="F22" s="30">
        <v>7.9014743827282005E-2</v>
      </c>
      <c r="G22" s="29">
        <v>3.53</v>
      </c>
    </row>
    <row r="23" spans="1:9" x14ac:dyDescent="0.2">
      <c r="A23" s="27" t="s">
        <v>1245</v>
      </c>
      <c r="B23" s="27" t="s">
        <v>1246</v>
      </c>
      <c r="C23" s="27" t="s">
        <v>39</v>
      </c>
      <c r="D23" s="31">
        <v>1</v>
      </c>
      <c r="E23" s="29">
        <v>10.056620000000001</v>
      </c>
      <c r="F23" s="30">
        <v>7.8834054395463399E-2</v>
      </c>
      <c r="G23" s="29">
        <v>4.5350999999999999</v>
      </c>
    </row>
    <row r="24" spans="1:9" ht="10.5" x14ac:dyDescent="0.25">
      <c r="A24" s="26" t="s">
        <v>40</v>
      </c>
      <c r="B24" s="26"/>
      <c r="C24" s="26"/>
      <c r="D24" s="32"/>
      <c r="E24" s="33">
        <f>SUM(E6:E23)</f>
        <v>9638.7256199999993</v>
      </c>
      <c r="F24" s="34">
        <f>SUM(F6:F23)</f>
        <v>75.558171615316709</v>
      </c>
      <c r="G24" s="33"/>
      <c r="H24" s="18"/>
      <c r="I24" s="18"/>
    </row>
    <row r="25" spans="1:9" x14ac:dyDescent="0.2">
      <c r="A25" s="27"/>
      <c r="B25" s="27"/>
      <c r="C25" s="27"/>
      <c r="D25" s="28"/>
      <c r="E25" s="29"/>
      <c r="F25" s="30"/>
      <c r="G25" s="29"/>
    </row>
    <row r="26" spans="1:9" ht="10.5" x14ac:dyDescent="0.25">
      <c r="A26" s="26" t="s">
        <v>41</v>
      </c>
      <c r="B26" s="27"/>
      <c r="C26" s="27"/>
      <c r="D26" s="28"/>
      <c r="E26" s="29"/>
      <c r="F26" s="30"/>
      <c r="G26" s="29"/>
    </row>
    <row r="27" spans="1:9" x14ac:dyDescent="0.2">
      <c r="A27" s="27" t="s">
        <v>1429</v>
      </c>
      <c r="B27" s="27" t="s">
        <v>1430</v>
      </c>
      <c r="C27" s="27" t="s">
        <v>850</v>
      </c>
      <c r="D27" s="31">
        <v>100</v>
      </c>
      <c r="E27" s="29">
        <v>1002.5309999999999</v>
      </c>
      <c r="F27" s="30">
        <v>7.8588614650984399</v>
      </c>
      <c r="G27" s="29">
        <v>4.0145</v>
      </c>
    </row>
    <row r="28" spans="1:9" x14ac:dyDescent="0.2">
      <c r="A28" s="27" t="s">
        <v>1458</v>
      </c>
      <c r="B28" s="27" t="s">
        <v>1459</v>
      </c>
      <c r="C28" s="27" t="s">
        <v>39</v>
      </c>
      <c r="D28" s="31">
        <v>72</v>
      </c>
      <c r="E28" s="29">
        <v>724.01328000000001</v>
      </c>
      <c r="F28" s="30">
        <v>5.6755552361089396</v>
      </c>
      <c r="G28" s="29">
        <v>4.0298999999999996</v>
      </c>
    </row>
    <row r="29" spans="1:9" ht="10.5" x14ac:dyDescent="0.25">
      <c r="A29" s="26" t="s">
        <v>40</v>
      </c>
      <c r="B29" s="26"/>
      <c r="C29" s="26"/>
      <c r="D29" s="32"/>
      <c r="E29" s="33">
        <f>SUM(E26:E28)</f>
        <v>1726.5442800000001</v>
      </c>
      <c r="F29" s="34">
        <f>SUM(F26:F28)</f>
        <v>13.53441670120738</v>
      </c>
      <c r="G29" s="33"/>
      <c r="H29" s="18"/>
      <c r="I29" s="18"/>
    </row>
    <row r="30" spans="1:9" x14ac:dyDescent="0.2">
      <c r="A30" s="27"/>
      <c r="B30" s="27"/>
      <c r="C30" s="27"/>
      <c r="D30" s="28"/>
      <c r="E30" s="29"/>
      <c r="F30" s="30"/>
      <c r="G30" s="29"/>
    </row>
    <row r="31" spans="1:9" ht="10.5" x14ac:dyDescent="0.25">
      <c r="A31" s="26" t="s">
        <v>57</v>
      </c>
      <c r="B31" s="27"/>
      <c r="C31" s="27"/>
      <c r="D31" s="28"/>
      <c r="E31" s="29"/>
      <c r="F31" s="30"/>
      <c r="G31" s="29"/>
    </row>
    <row r="32" spans="1:9" ht="10.5" x14ac:dyDescent="0.25">
      <c r="A32" s="26" t="s">
        <v>58</v>
      </c>
      <c r="B32" s="27"/>
      <c r="C32" s="27"/>
      <c r="D32" s="28"/>
      <c r="E32" s="29"/>
      <c r="F32" s="30"/>
      <c r="G32" s="29"/>
    </row>
    <row r="33" spans="1:9" x14ac:dyDescent="0.2">
      <c r="A33" s="27" t="s">
        <v>812</v>
      </c>
      <c r="B33" s="27" t="s">
        <v>813</v>
      </c>
      <c r="C33" s="27" t="s">
        <v>62</v>
      </c>
      <c r="D33" s="31">
        <v>117</v>
      </c>
      <c r="E33" s="29">
        <v>116.63601300000001</v>
      </c>
      <c r="F33" s="30">
        <v>0.91431214397202798</v>
      </c>
      <c r="G33" s="29">
        <v>3.3502000000000001</v>
      </c>
    </row>
    <row r="34" spans="1:9" ht="10.5" x14ac:dyDescent="0.25">
      <c r="A34" s="26" t="s">
        <v>40</v>
      </c>
      <c r="B34" s="26"/>
      <c r="C34" s="26"/>
      <c r="D34" s="32"/>
      <c r="E34" s="33">
        <f>SUM(E32:E33)</f>
        <v>116.63601300000001</v>
      </c>
      <c r="F34" s="34">
        <f>SUM(F32:F33)</f>
        <v>0.91431214397202798</v>
      </c>
      <c r="G34" s="33"/>
      <c r="H34" s="18"/>
      <c r="I34" s="18"/>
    </row>
    <row r="35" spans="1:9" x14ac:dyDescent="0.2">
      <c r="A35" s="27"/>
      <c r="B35" s="27"/>
      <c r="C35" s="27"/>
      <c r="D35" s="28"/>
      <c r="E35" s="29"/>
      <c r="F35" s="30"/>
      <c r="G35" s="29"/>
    </row>
    <row r="36" spans="1:9" ht="10.5" x14ac:dyDescent="0.25">
      <c r="A36" s="26" t="s">
        <v>66</v>
      </c>
      <c r="B36" s="27"/>
      <c r="C36" s="27"/>
      <c r="D36" s="28"/>
      <c r="E36" s="29"/>
      <c r="F36" s="30"/>
      <c r="G36" s="29"/>
    </row>
    <row r="37" spans="1:9" x14ac:dyDescent="0.2">
      <c r="A37" s="27" t="s">
        <v>833</v>
      </c>
      <c r="B37" s="27" t="s">
        <v>834</v>
      </c>
      <c r="C37" s="27" t="s">
        <v>80</v>
      </c>
      <c r="D37" s="31">
        <v>77000</v>
      </c>
      <c r="E37" s="29">
        <v>76.629244999999997</v>
      </c>
      <c r="F37" s="30">
        <v>0.60069825335085703</v>
      </c>
      <c r="G37" s="29">
        <v>3.2703000000000002</v>
      </c>
    </row>
    <row r="38" spans="1:9" ht="10.5" x14ac:dyDescent="0.25">
      <c r="A38" s="26" t="s">
        <v>40</v>
      </c>
      <c r="B38" s="26"/>
      <c r="C38" s="26"/>
      <c r="D38" s="32"/>
      <c r="E38" s="33">
        <f>SUM(E36:E37)</f>
        <v>76.629244999999997</v>
      </c>
      <c r="F38" s="34">
        <f>SUM(F36:F37)</f>
        <v>0.60069825335085703</v>
      </c>
      <c r="G38" s="33"/>
      <c r="H38" s="18"/>
      <c r="I38" s="18"/>
    </row>
    <row r="39" spans="1:9" x14ac:dyDescent="0.2">
      <c r="A39" s="27"/>
      <c r="B39" s="27"/>
      <c r="C39" s="27"/>
      <c r="D39" s="28"/>
      <c r="E39" s="29"/>
      <c r="F39" s="30"/>
      <c r="G39" s="29"/>
    </row>
    <row r="40" spans="1:9" ht="10.5" x14ac:dyDescent="0.25">
      <c r="A40" s="26" t="s">
        <v>44</v>
      </c>
      <c r="B40" s="26"/>
      <c r="C40" s="26"/>
      <c r="D40" s="32"/>
      <c r="E40" s="33">
        <f>E24+E29+E34+E38</f>
        <v>11558.535157999999</v>
      </c>
      <c r="F40" s="34">
        <f>F24+F29+F34+F38</f>
        <v>90.607598713846969</v>
      </c>
      <c r="G40" s="33"/>
      <c r="H40" s="18"/>
      <c r="I40" s="18"/>
    </row>
    <row r="41" spans="1:9" ht="10.5" x14ac:dyDescent="0.25">
      <c r="A41" s="26"/>
      <c r="B41" s="26"/>
      <c r="C41" s="26"/>
      <c r="D41" s="32"/>
      <c r="E41" s="33"/>
      <c r="F41" s="34"/>
      <c r="G41" s="33"/>
      <c r="H41" s="18"/>
      <c r="I41" s="18"/>
    </row>
    <row r="42" spans="1:9" ht="10.5" x14ac:dyDescent="0.25">
      <c r="A42" s="26" t="s">
        <v>46</v>
      </c>
      <c r="B42" s="26"/>
      <c r="C42" s="26"/>
      <c r="D42" s="32"/>
      <c r="E42" s="33">
        <f>E44-(E24+E29+E34+E38)</f>
        <v>1198.1600001000006</v>
      </c>
      <c r="F42" s="34">
        <f>F44-(F24+F29+F34+F38)</f>
        <v>9.3924012861530315</v>
      </c>
      <c r="G42" s="33"/>
      <c r="H42" s="18"/>
      <c r="I42" s="18"/>
    </row>
    <row r="43" spans="1:9" ht="10.5" x14ac:dyDescent="0.25">
      <c r="A43" s="26"/>
      <c r="B43" s="26"/>
      <c r="C43" s="26"/>
      <c r="D43" s="32"/>
      <c r="E43" s="33"/>
      <c r="F43" s="34"/>
      <c r="G43" s="33"/>
      <c r="H43" s="18"/>
      <c r="I43" s="18"/>
    </row>
    <row r="44" spans="1:9" ht="10.5" x14ac:dyDescent="0.25">
      <c r="A44" s="35" t="s">
        <v>45</v>
      </c>
      <c r="B44" s="35"/>
      <c r="C44" s="35"/>
      <c r="D44" s="36"/>
      <c r="E44" s="37">
        <v>12756.695158099999</v>
      </c>
      <c r="F44" s="38">
        <v>100</v>
      </c>
      <c r="G44" s="37"/>
      <c r="H44" s="18"/>
      <c r="I44" s="18"/>
    </row>
    <row r="46" spans="1:9" ht="10.5" x14ac:dyDescent="0.25">
      <c r="A46" s="18" t="s">
        <v>47</v>
      </c>
    </row>
    <row r="48" spans="1:9" ht="10.5" x14ac:dyDescent="0.25">
      <c r="A48" s="18" t="s">
        <v>48</v>
      </c>
    </row>
    <row r="49" spans="1:5" ht="10.5" x14ac:dyDescent="0.25">
      <c r="A49" s="18" t="s">
        <v>49</v>
      </c>
    </row>
    <row r="50" spans="1:5" ht="10.5" x14ac:dyDescent="0.25">
      <c r="A50" s="18" t="s">
        <v>50</v>
      </c>
      <c r="B50" s="18"/>
      <c r="C50" s="41" t="s">
        <v>727</v>
      </c>
      <c r="D50" s="19" t="s">
        <v>51</v>
      </c>
    </row>
    <row r="51" spans="1:5" x14ac:dyDescent="0.2">
      <c r="A51" s="9" t="s">
        <v>71</v>
      </c>
      <c r="C51" s="40">
        <v>12.1462</v>
      </c>
      <c r="D51" s="40">
        <v>12.407</v>
      </c>
    </row>
    <row r="52" spans="1:5" x14ac:dyDescent="0.2">
      <c r="A52" s="9" t="s">
        <v>1329</v>
      </c>
      <c r="C52" s="40">
        <v>10.5375</v>
      </c>
      <c r="D52" s="40">
        <v>10.7638</v>
      </c>
    </row>
    <row r="53" spans="1:5" x14ac:dyDescent="0.2">
      <c r="A53" s="9" t="s">
        <v>73</v>
      </c>
      <c r="C53" s="40">
        <v>10.335699999999999</v>
      </c>
      <c r="D53" s="40">
        <v>10.1942</v>
      </c>
    </row>
    <row r="54" spans="1:5" x14ac:dyDescent="0.2">
      <c r="A54" s="9" t="s">
        <v>74</v>
      </c>
      <c r="C54" s="40">
        <v>12.2193</v>
      </c>
      <c r="D54" s="40">
        <v>12.4817</v>
      </c>
    </row>
    <row r="55" spans="1:5" x14ac:dyDescent="0.2">
      <c r="A55" s="9" t="s">
        <v>78</v>
      </c>
      <c r="C55" s="40">
        <v>10.611000000000001</v>
      </c>
      <c r="D55" s="40">
        <v>10.8391</v>
      </c>
    </row>
    <row r="56" spans="1:5" x14ac:dyDescent="0.2">
      <c r="A56" s="9" t="s">
        <v>76</v>
      </c>
      <c r="C56" s="40">
        <v>10.372400000000001</v>
      </c>
      <c r="D56" s="40">
        <v>10.2319</v>
      </c>
    </row>
    <row r="58" spans="1:5" ht="10.5" x14ac:dyDescent="0.25">
      <c r="A58" s="18" t="s">
        <v>52</v>
      </c>
    </row>
    <row r="59" spans="1:5" ht="10.5" x14ac:dyDescent="0.25">
      <c r="A59" s="77" t="s">
        <v>68</v>
      </c>
      <c r="B59" s="78"/>
      <c r="C59" s="43" t="s">
        <v>69</v>
      </c>
    </row>
    <row r="60" spans="1:5" x14ac:dyDescent="0.2">
      <c r="A60" s="71" t="s">
        <v>73</v>
      </c>
      <c r="B60" s="72"/>
      <c r="C60" s="44">
        <v>0.36</v>
      </c>
    </row>
    <row r="61" spans="1:5" x14ac:dyDescent="0.2">
      <c r="A61" s="71" t="s">
        <v>76</v>
      </c>
      <c r="B61" s="72"/>
      <c r="C61" s="44">
        <v>0.36</v>
      </c>
    </row>
    <row r="62" spans="1:5" x14ac:dyDescent="0.2">
      <c r="A62" s="9" t="s">
        <v>70</v>
      </c>
    </row>
    <row r="64" spans="1:5" ht="10.5" x14ac:dyDescent="0.25">
      <c r="A64" s="18" t="s">
        <v>798</v>
      </c>
      <c r="D64" s="42">
        <v>0.13598413498630099</v>
      </c>
      <c r="E64" s="13" t="s">
        <v>54</v>
      </c>
    </row>
    <row r="66" spans="1:7" ht="10.5" x14ac:dyDescent="0.25">
      <c r="A66" s="18" t="s">
        <v>1502</v>
      </c>
      <c r="D66" s="41" t="s">
        <v>53</v>
      </c>
    </row>
    <row r="68" spans="1:7" ht="15" customHeight="1" x14ac:dyDescent="0.2">
      <c r="A68" s="73" t="s">
        <v>799</v>
      </c>
      <c r="B68" s="74"/>
      <c r="C68" s="74"/>
      <c r="D68" s="74"/>
      <c r="E68" s="74"/>
      <c r="F68" s="74"/>
      <c r="G68" s="74"/>
    </row>
    <row r="69" spans="1:7" x14ac:dyDescent="0.2">
      <c r="A69" s="46" t="s">
        <v>55</v>
      </c>
    </row>
    <row r="71" spans="1:7" x14ac:dyDescent="0.2">
      <c r="A71" s="46"/>
    </row>
  </sheetData>
  <mergeCells count="5">
    <mergeCell ref="A1:G1"/>
    <mergeCell ref="A59:B59"/>
    <mergeCell ref="A60:B60"/>
    <mergeCell ref="A61:B61"/>
    <mergeCell ref="A68:G68"/>
  </mergeCells>
  <conditionalFormatting sqref="F2:F3 F5:F67 F72:F65536">
    <cfRule type="cellIs" dxfId="52" priority="3" stopIfTrue="1" operator="between">
      <formula>0.009</formula>
      <formula>-0.009</formula>
    </cfRule>
  </conditionalFormatting>
  <conditionalFormatting sqref="F69">
    <cfRule type="cellIs" dxfId="51" priority="1" stopIfTrue="1" operator="between">
      <formula>0.009</formula>
      <formula>-0.009</formula>
    </cfRule>
  </conditionalFormatting>
  <conditionalFormatting sqref="F70:F71">
    <cfRule type="cellIs" dxfId="50" priority="2" stopIfTrue="1" operator="between">
      <formula>0.009</formula>
      <formula>-0.009</formula>
    </cfRule>
  </conditionalFormatting>
  <hyperlinks>
    <hyperlink ref="A69" r:id="rId1" xr:uid="{00000000-0004-0000-1D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66"/>
  <sheetViews>
    <sheetView workbookViewId="0">
      <selection sqref="A1:G1"/>
    </sheetView>
  </sheetViews>
  <sheetFormatPr defaultColWidth="9.1796875" defaultRowHeight="10" x14ac:dyDescent="0.2"/>
  <cols>
    <col min="1" max="1" width="38.7265625" style="9" bestFit="1" customWidth="1"/>
    <col min="2" max="2" width="51.1796875"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1460</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1403</v>
      </c>
      <c r="B7" s="27" t="s">
        <v>1404</v>
      </c>
      <c r="C7" s="27" t="s">
        <v>39</v>
      </c>
      <c r="D7" s="31">
        <v>61</v>
      </c>
      <c r="E7" s="29">
        <v>776.10970999999995</v>
      </c>
      <c r="F7" s="30">
        <v>10.0190776940274</v>
      </c>
      <c r="G7" s="29">
        <v>3.9550000000000001</v>
      </c>
    </row>
    <row r="8" spans="1:7" x14ac:dyDescent="0.2">
      <c r="A8" s="27" t="s">
        <v>1417</v>
      </c>
      <c r="B8" s="27" t="s">
        <v>1418</v>
      </c>
      <c r="C8" s="27" t="s">
        <v>894</v>
      </c>
      <c r="D8" s="31">
        <v>61</v>
      </c>
      <c r="E8" s="29">
        <v>616.19699000000003</v>
      </c>
      <c r="F8" s="30">
        <v>7.9547072251368203</v>
      </c>
      <c r="G8" s="29">
        <v>3.5935000000000001</v>
      </c>
    </row>
    <row r="9" spans="1:7" x14ac:dyDescent="0.2">
      <c r="A9" s="27" t="s">
        <v>1454</v>
      </c>
      <c r="B9" s="27" t="s">
        <v>1455</v>
      </c>
      <c r="C9" s="27" t="s">
        <v>39</v>
      </c>
      <c r="D9" s="31">
        <v>61</v>
      </c>
      <c r="E9" s="29">
        <v>614.87390000000005</v>
      </c>
      <c r="F9" s="30">
        <v>7.9376269833418904</v>
      </c>
      <c r="G9" s="29">
        <v>3.5701999999999998</v>
      </c>
    </row>
    <row r="10" spans="1:7" x14ac:dyDescent="0.2">
      <c r="A10" s="27" t="s">
        <v>1450</v>
      </c>
      <c r="B10" s="27" t="s">
        <v>1451</v>
      </c>
      <c r="C10" s="27" t="s">
        <v>39</v>
      </c>
      <c r="D10" s="31">
        <v>61</v>
      </c>
      <c r="E10" s="29">
        <v>614.49570000000006</v>
      </c>
      <c r="F10" s="30">
        <v>7.9327446643410298</v>
      </c>
      <c r="G10" s="29">
        <v>3.5701000000000001</v>
      </c>
    </row>
    <row r="11" spans="1:7" x14ac:dyDescent="0.2">
      <c r="A11" s="27" t="s">
        <v>1452</v>
      </c>
      <c r="B11" s="27" t="s">
        <v>1453</v>
      </c>
      <c r="C11" s="27" t="s">
        <v>894</v>
      </c>
      <c r="D11" s="31">
        <v>61</v>
      </c>
      <c r="E11" s="29">
        <v>610.76432999999997</v>
      </c>
      <c r="F11" s="30">
        <v>7.8845750751019503</v>
      </c>
      <c r="G11" s="29">
        <v>3.3460000000000001</v>
      </c>
    </row>
    <row r="12" spans="1:7" x14ac:dyDescent="0.2">
      <c r="A12" s="27" t="s">
        <v>922</v>
      </c>
      <c r="B12" s="27" t="s">
        <v>923</v>
      </c>
      <c r="C12" s="27" t="s">
        <v>894</v>
      </c>
      <c r="D12" s="31">
        <v>40</v>
      </c>
      <c r="E12" s="29">
        <v>507.60640000000001</v>
      </c>
      <c r="F12" s="30">
        <v>6.5528724793116702</v>
      </c>
      <c r="G12" s="29">
        <v>5.0350000000000001</v>
      </c>
    </row>
    <row r="13" spans="1:7" x14ac:dyDescent="0.2">
      <c r="A13" s="27" t="s">
        <v>1307</v>
      </c>
      <c r="B13" s="27" t="s">
        <v>1308</v>
      </c>
      <c r="C13" s="27" t="s">
        <v>39</v>
      </c>
      <c r="D13" s="31">
        <v>5</v>
      </c>
      <c r="E13" s="29">
        <v>502.255</v>
      </c>
      <c r="F13" s="30">
        <v>6.4837893436660403</v>
      </c>
      <c r="G13" s="29">
        <v>3.4704000000000002</v>
      </c>
    </row>
    <row r="14" spans="1:7" x14ac:dyDescent="0.2">
      <c r="A14" s="27" t="s">
        <v>946</v>
      </c>
      <c r="B14" s="27" t="s">
        <v>947</v>
      </c>
      <c r="C14" s="27" t="s">
        <v>39</v>
      </c>
      <c r="D14" s="31">
        <v>38</v>
      </c>
      <c r="E14" s="29">
        <v>381.96042</v>
      </c>
      <c r="F14" s="30">
        <v>4.9308636069291598</v>
      </c>
      <c r="G14" s="29">
        <v>3.2799</v>
      </c>
    </row>
    <row r="15" spans="1:7" x14ac:dyDescent="0.2">
      <c r="A15" s="27" t="s">
        <v>1380</v>
      </c>
      <c r="B15" s="27" t="s">
        <v>1381</v>
      </c>
      <c r="C15" s="27" t="s">
        <v>39</v>
      </c>
      <c r="D15" s="31">
        <v>30</v>
      </c>
      <c r="E15" s="29">
        <v>379.06079999999997</v>
      </c>
      <c r="F15" s="30">
        <v>4.8934313757782899</v>
      </c>
      <c r="G15" s="29">
        <v>3.5649000000000002</v>
      </c>
    </row>
    <row r="16" spans="1:7" x14ac:dyDescent="0.2">
      <c r="A16" s="27" t="s">
        <v>1434</v>
      </c>
      <c r="B16" s="27" t="s">
        <v>1435</v>
      </c>
      <c r="C16" s="27" t="s">
        <v>39</v>
      </c>
      <c r="D16" s="31">
        <v>21</v>
      </c>
      <c r="E16" s="29">
        <v>211.02606</v>
      </c>
      <c r="F16" s="30">
        <v>2.7242108472067601</v>
      </c>
      <c r="G16" s="29">
        <v>3.4</v>
      </c>
    </row>
    <row r="17" spans="1:9" x14ac:dyDescent="0.2">
      <c r="A17" s="27" t="s">
        <v>1247</v>
      </c>
      <c r="B17" s="27" t="s">
        <v>1248</v>
      </c>
      <c r="C17" s="27" t="s">
        <v>1249</v>
      </c>
      <c r="D17" s="31">
        <v>10</v>
      </c>
      <c r="E17" s="29">
        <v>125.97239999999999</v>
      </c>
      <c r="F17" s="30">
        <v>1.6262227448527899</v>
      </c>
      <c r="G17" s="29">
        <v>4.1501000000000001</v>
      </c>
    </row>
    <row r="18" spans="1:9" x14ac:dyDescent="0.2">
      <c r="A18" s="27" t="s">
        <v>1427</v>
      </c>
      <c r="B18" s="27" t="s">
        <v>1428</v>
      </c>
      <c r="C18" s="27" t="s">
        <v>39</v>
      </c>
      <c r="D18" s="31">
        <v>10</v>
      </c>
      <c r="E18" s="29">
        <v>101.0912</v>
      </c>
      <c r="F18" s="30">
        <v>1.3050224393951499</v>
      </c>
      <c r="G18" s="29">
        <v>3.5701000000000001</v>
      </c>
    </row>
    <row r="19" spans="1:9" x14ac:dyDescent="0.2">
      <c r="A19" s="27" t="s">
        <v>1245</v>
      </c>
      <c r="B19" s="27" t="s">
        <v>1246</v>
      </c>
      <c r="C19" s="27" t="s">
        <v>39</v>
      </c>
      <c r="D19" s="31">
        <v>2</v>
      </c>
      <c r="E19" s="29">
        <v>20.113240000000001</v>
      </c>
      <c r="F19" s="30">
        <v>0.25964900534309798</v>
      </c>
      <c r="G19" s="29">
        <v>4.5350999999999999</v>
      </c>
    </row>
    <row r="20" spans="1:9" x14ac:dyDescent="0.2">
      <c r="A20" s="27" t="s">
        <v>1425</v>
      </c>
      <c r="B20" s="27" t="s">
        <v>1426</v>
      </c>
      <c r="C20" s="27" t="s">
        <v>39</v>
      </c>
      <c r="D20" s="31">
        <v>1</v>
      </c>
      <c r="E20" s="29">
        <v>12.632580000000001</v>
      </c>
      <c r="F20" s="30">
        <v>0.16307849117880099</v>
      </c>
      <c r="G20" s="29">
        <v>4</v>
      </c>
    </row>
    <row r="21" spans="1:9" x14ac:dyDescent="0.2">
      <c r="A21" s="27" t="s">
        <v>1421</v>
      </c>
      <c r="B21" s="27" t="s">
        <v>1422</v>
      </c>
      <c r="C21" s="27" t="s">
        <v>894</v>
      </c>
      <c r="D21" s="31">
        <v>1</v>
      </c>
      <c r="E21" s="29">
        <v>10.07967</v>
      </c>
      <c r="F21" s="30">
        <v>0.13012206336158</v>
      </c>
      <c r="G21" s="29">
        <v>3.53</v>
      </c>
    </row>
    <row r="22" spans="1:9" ht="10.5" x14ac:dyDescent="0.25">
      <c r="A22" s="26" t="s">
        <v>40</v>
      </c>
      <c r="B22" s="26"/>
      <c r="C22" s="26"/>
      <c r="D22" s="32"/>
      <c r="E22" s="33">
        <f>SUM(E6:E21)</f>
        <v>5484.2384000000002</v>
      </c>
      <c r="F22" s="34">
        <f>SUM(F6:F21)</f>
        <v>70.797994038972419</v>
      </c>
      <c r="G22" s="33"/>
      <c r="H22" s="18"/>
      <c r="I22" s="18"/>
    </row>
    <row r="23" spans="1:9" x14ac:dyDescent="0.2">
      <c r="A23" s="27"/>
      <c r="B23" s="27"/>
      <c r="C23" s="27"/>
      <c r="D23" s="28"/>
      <c r="E23" s="29"/>
      <c r="F23" s="30"/>
      <c r="G23" s="29"/>
    </row>
    <row r="24" spans="1:9" ht="10.5" x14ac:dyDescent="0.25">
      <c r="A24" s="26" t="s">
        <v>41</v>
      </c>
      <c r="B24" s="27"/>
      <c r="C24" s="27"/>
      <c r="D24" s="28"/>
      <c r="E24" s="29"/>
      <c r="F24" s="30"/>
      <c r="G24" s="29"/>
    </row>
    <row r="25" spans="1:9" x14ac:dyDescent="0.2">
      <c r="A25" s="27" t="s">
        <v>1458</v>
      </c>
      <c r="B25" s="27" t="s">
        <v>1459</v>
      </c>
      <c r="C25" s="27" t="s">
        <v>39</v>
      </c>
      <c r="D25" s="31">
        <v>61</v>
      </c>
      <c r="E25" s="29">
        <v>613.40013999999996</v>
      </c>
      <c r="F25" s="30">
        <v>7.9186016886546904</v>
      </c>
      <c r="G25" s="29">
        <v>4.0298999999999996</v>
      </c>
    </row>
    <row r="26" spans="1:9" x14ac:dyDescent="0.2">
      <c r="A26" s="27" t="s">
        <v>1429</v>
      </c>
      <c r="B26" s="27" t="s">
        <v>1430</v>
      </c>
      <c r="C26" s="27" t="s">
        <v>850</v>
      </c>
      <c r="D26" s="31">
        <v>61</v>
      </c>
      <c r="E26" s="29">
        <v>611.54390999999998</v>
      </c>
      <c r="F26" s="30">
        <v>7.8946389520101601</v>
      </c>
      <c r="G26" s="29">
        <v>4.0145</v>
      </c>
    </row>
    <row r="27" spans="1:9" ht="10.5" x14ac:dyDescent="0.25">
      <c r="A27" s="26" t="s">
        <v>40</v>
      </c>
      <c r="B27" s="26"/>
      <c r="C27" s="26"/>
      <c r="D27" s="32"/>
      <c r="E27" s="33">
        <f>SUM(E24:E26)</f>
        <v>1224.9440500000001</v>
      </c>
      <c r="F27" s="34">
        <f>SUM(F24:F26)</f>
        <v>15.813240640664851</v>
      </c>
      <c r="G27" s="33"/>
      <c r="H27" s="18"/>
      <c r="I27" s="18"/>
    </row>
    <row r="28" spans="1:9" x14ac:dyDescent="0.2">
      <c r="A28" s="27"/>
      <c r="B28" s="27"/>
      <c r="C28" s="27"/>
      <c r="D28" s="28"/>
      <c r="E28" s="29"/>
      <c r="F28" s="30"/>
      <c r="G28" s="29"/>
    </row>
    <row r="29" spans="1:9" ht="10.5" x14ac:dyDescent="0.25">
      <c r="A29" s="26" t="s">
        <v>57</v>
      </c>
      <c r="B29" s="27"/>
      <c r="C29" s="27"/>
      <c r="D29" s="28"/>
      <c r="E29" s="29"/>
      <c r="F29" s="30"/>
      <c r="G29" s="29"/>
    </row>
    <row r="30" spans="1:9" ht="10.5" x14ac:dyDescent="0.25">
      <c r="A30" s="26" t="s">
        <v>58</v>
      </c>
      <c r="B30" s="27"/>
      <c r="C30" s="27"/>
      <c r="D30" s="28"/>
      <c r="E30" s="29"/>
      <c r="F30" s="30"/>
      <c r="G30" s="29"/>
    </row>
    <row r="31" spans="1:9" x14ac:dyDescent="0.2">
      <c r="A31" s="27" t="s">
        <v>812</v>
      </c>
      <c r="B31" s="27" t="s">
        <v>813</v>
      </c>
      <c r="C31" s="27" t="s">
        <v>62</v>
      </c>
      <c r="D31" s="31">
        <v>56</v>
      </c>
      <c r="E31" s="29">
        <v>55.825783999999999</v>
      </c>
      <c r="F31" s="30">
        <v>0.72067500254054695</v>
      </c>
      <c r="G31" s="29">
        <v>3.3502000000000001</v>
      </c>
    </row>
    <row r="32" spans="1:9" ht="10.5" x14ac:dyDescent="0.25">
      <c r="A32" s="26" t="s">
        <v>40</v>
      </c>
      <c r="B32" s="26"/>
      <c r="C32" s="26"/>
      <c r="D32" s="32"/>
      <c r="E32" s="33">
        <f>SUM(E30:E31)</f>
        <v>55.825783999999999</v>
      </c>
      <c r="F32" s="34">
        <f>SUM(F30:F31)</f>
        <v>0.72067500254054695</v>
      </c>
      <c r="G32" s="33"/>
      <c r="H32" s="18"/>
      <c r="I32" s="18"/>
    </row>
    <row r="33" spans="1:9" x14ac:dyDescent="0.2">
      <c r="A33" s="27"/>
      <c r="B33" s="27"/>
      <c r="C33" s="27"/>
      <c r="D33" s="28"/>
      <c r="E33" s="29"/>
      <c r="F33" s="30"/>
      <c r="G33" s="29"/>
    </row>
    <row r="34" spans="1:9" ht="10.5" x14ac:dyDescent="0.25">
      <c r="A34" s="26" t="s">
        <v>66</v>
      </c>
      <c r="B34" s="27"/>
      <c r="C34" s="27"/>
      <c r="D34" s="28"/>
      <c r="E34" s="29"/>
      <c r="F34" s="30"/>
      <c r="G34" s="29"/>
    </row>
    <row r="35" spans="1:9" x14ac:dyDescent="0.2">
      <c r="A35" s="27" t="s">
        <v>833</v>
      </c>
      <c r="B35" s="27" t="s">
        <v>834</v>
      </c>
      <c r="C35" s="27" t="s">
        <v>80</v>
      </c>
      <c r="D35" s="31">
        <v>120000</v>
      </c>
      <c r="E35" s="29">
        <v>119.4222</v>
      </c>
      <c r="F35" s="30">
        <v>1.54166387145405</v>
      </c>
      <c r="G35" s="29">
        <v>3.2703000000000002</v>
      </c>
    </row>
    <row r="36" spans="1:9" ht="10.5" x14ac:dyDescent="0.25">
      <c r="A36" s="26" t="s">
        <v>40</v>
      </c>
      <c r="B36" s="26"/>
      <c r="C36" s="26"/>
      <c r="D36" s="32"/>
      <c r="E36" s="33">
        <f>SUM(E34:E35)</f>
        <v>119.4222</v>
      </c>
      <c r="F36" s="34">
        <f>SUM(F34:F35)</f>
        <v>1.54166387145405</v>
      </c>
      <c r="G36" s="33"/>
      <c r="H36" s="18"/>
      <c r="I36" s="18"/>
    </row>
    <row r="37" spans="1:9" x14ac:dyDescent="0.2">
      <c r="A37" s="27"/>
      <c r="B37" s="27"/>
      <c r="C37" s="27"/>
      <c r="D37" s="28"/>
      <c r="E37" s="29"/>
      <c r="F37" s="30"/>
      <c r="G37" s="29"/>
    </row>
    <row r="38" spans="1:9" ht="10.5" x14ac:dyDescent="0.25">
      <c r="A38" s="26" t="s">
        <v>44</v>
      </c>
      <c r="B38" s="26"/>
      <c r="C38" s="26"/>
      <c r="D38" s="32"/>
      <c r="E38" s="33">
        <f>E22+E27+E32+E36</f>
        <v>6884.4304339999999</v>
      </c>
      <c r="F38" s="34">
        <f>F22+F27+F32+F36</f>
        <v>88.873573553631871</v>
      </c>
      <c r="G38" s="33"/>
      <c r="H38" s="18"/>
      <c r="I38" s="18"/>
    </row>
    <row r="39" spans="1:9" ht="10.5" x14ac:dyDescent="0.25">
      <c r="A39" s="26"/>
      <c r="B39" s="26"/>
      <c r="C39" s="26"/>
      <c r="D39" s="32"/>
      <c r="E39" s="33"/>
      <c r="F39" s="34"/>
      <c r="G39" s="33"/>
      <c r="H39" s="18"/>
      <c r="I39" s="18"/>
    </row>
    <row r="40" spans="1:9" ht="10.5" x14ac:dyDescent="0.25">
      <c r="A40" s="26" t="s">
        <v>46</v>
      </c>
      <c r="B40" s="26"/>
      <c r="C40" s="26"/>
      <c r="D40" s="32"/>
      <c r="E40" s="33">
        <f>E42-(E22+E27+E32+E36)</f>
        <v>861.88847580000038</v>
      </c>
      <c r="F40" s="34">
        <f>F42-(F22+F27+F32+F36)</f>
        <v>11.126426446368129</v>
      </c>
      <c r="G40" s="33"/>
      <c r="H40" s="18"/>
      <c r="I40" s="18"/>
    </row>
    <row r="41" spans="1:9" ht="10.5" x14ac:dyDescent="0.25">
      <c r="A41" s="26"/>
      <c r="B41" s="26"/>
      <c r="C41" s="26"/>
      <c r="D41" s="32"/>
      <c r="E41" s="33"/>
      <c r="F41" s="34"/>
      <c r="G41" s="33"/>
      <c r="H41" s="18"/>
      <c r="I41" s="18"/>
    </row>
    <row r="42" spans="1:9" ht="10.5" x14ac:dyDescent="0.25">
      <c r="A42" s="35" t="s">
        <v>45</v>
      </c>
      <c r="B42" s="35"/>
      <c r="C42" s="35"/>
      <c r="D42" s="36"/>
      <c r="E42" s="37">
        <v>7746.3189098000003</v>
      </c>
      <c r="F42" s="38">
        <v>100</v>
      </c>
      <c r="G42" s="37"/>
      <c r="H42" s="18"/>
      <c r="I42" s="18"/>
    </row>
    <row r="44" spans="1:9" ht="10.5" x14ac:dyDescent="0.25">
      <c r="A44" s="18" t="s">
        <v>47</v>
      </c>
    </row>
    <row r="46" spans="1:9" ht="10.5" x14ac:dyDescent="0.25">
      <c r="A46" s="18" t="s">
        <v>48</v>
      </c>
    </row>
    <row r="47" spans="1:9" ht="10.5" x14ac:dyDescent="0.25">
      <c r="A47" s="18" t="s">
        <v>49</v>
      </c>
    </row>
    <row r="48" spans="1:9" ht="10.5" x14ac:dyDescent="0.25">
      <c r="A48" s="18" t="s">
        <v>50</v>
      </c>
      <c r="B48" s="18"/>
      <c r="C48" s="41" t="s">
        <v>727</v>
      </c>
      <c r="D48" s="19" t="s">
        <v>51</v>
      </c>
    </row>
    <row r="49" spans="1:7" x14ac:dyDescent="0.2">
      <c r="A49" s="9" t="s">
        <v>71</v>
      </c>
      <c r="C49" s="40">
        <v>12.2193</v>
      </c>
      <c r="D49" s="40">
        <v>12.482200000000001</v>
      </c>
    </row>
    <row r="50" spans="1:7" x14ac:dyDescent="0.2">
      <c r="A50" s="9" t="s">
        <v>1329</v>
      </c>
      <c r="C50" s="40">
        <v>10.547700000000001</v>
      </c>
      <c r="D50" s="40">
        <v>10.7753</v>
      </c>
    </row>
    <row r="51" spans="1:7" x14ac:dyDescent="0.2">
      <c r="A51" s="9" t="s">
        <v>73</v>
      </c>
      <c r="C51" s="40">
        <v>10.3438</v>
      </c>
      <c r="D51" s="40">
        <v>10.208600000000001</v>
      </c>
    </row>
    <row r="52" spans="1:7" x14ac:dyDescent="0.2">
      <c r="A52" s="9" t="s">
        <v>74</v>
      </c>
      <c r="C52" s="40">
        <v>12.2805</v>
      </c>
      <c r="D52" s="40">
        <v>12.544700000000001</v>
      </c>
    </row>
    <row r="54" spans="1:7" ht="10.5" x14ac:dyDescent="0.25">
      <c r="A54" s="18" t="s">
        <v>52</v>
      </c>
    </row>
    <row r="55" spans="1:7" ht="10.5" x14ac:dyDescent="0.25">
      <c r="A55" s="77" t="s">
        <v>68</v>
      </c>
      <c r="B55" s="78"/>
      <c r="C55" s="43" t="s">
        <v>69</v>
      </c>
    </row>
    <row r="56" spans="1:7" x14ac:dyDescent="0.2">
      <c r="A56" s="71" t="s">
        <v>73</v>
      </c>
      <c r="B56" s="72"/>
      <c r="C56" s="44">
        <v>0.35499999999999998</v>
      </c>
    </row>
    <row r="57" spans="1:7" x14ac:dyDescent="0.2">
      <c r="A57" s="9" t="s">
        <v>70</v>
      </c>
    </row>
    <row r="59" spans="1:7" ht="10.5" x14ac:dyDescent="0.25">
      <c r="A59" s="18" t="s">
        <v>798</v>
      </c>
      <c r="D59" s="42">
        <v>0.13064911158904099</v>
      </c>
      <c r="E59" s="13" t="s">
        <v>54</v>
      </c>
    </row>
    <row r="61" spans="1:7" ht="10.5" x14ac:dyDescent="0.25">
      <c r="A61" s="18" t="s">
        <v>1502</v>
      </c>
      <c r="D61" s="41" t="s">
        <v>53</v>
      </c>
    </row>
    <row r="63" spans="1:7" ht="15" customHeight="1" x14ac:dyDescent="0.2">
      <c r="A63" s="73" t="s">
        <v>799</v>
      </c>
      <c r="B63" s="74"/>
      <c r="C63" s="74"/>
      <c r="D63" s="74"/>
      <c r="E63" s="74"/>
      <c r="F63" s="74"/>
      <c r="G63" s="74"/>
    </row>
    <row r="64" spans="1:7" x14ac:dyDescent="0.2">
      <c r="A64" s="46" t="s">
        <v>55</v>
      </c>
    </row>
    <row r="66" spans="1:1" x14ac:dyDescent="0.2">
      <c r="A66" s="46"/>
    </row>
  </sheetData>
  <mergeCells count="4">
    <mergeCell ref="A1:G1"/>
    <mergeCell ref="A55:B55"/>
    <mergeCell ref="A56:B56"/>
    <mergeCell ref="A63:G63"/>
  </mergeCells>
  <conditionalFormatting sqref="F2:F3 F5:F62 F67:F65536">
    <cfRule type="cellIs" dxfId="49" priority="3" stopIfTrue="1" operator="between">
      <formula>0.009</formula>
      <formula>-0.009</formula>
    </cfRule>
  </conditionalFormatting>
  <conditionalFormatting sqref="F64">
    <cfRule type="cellIs" dxfId="48" priority="1" stopIfTrue="1" operator="between">
      <formula>0.009</formula>
      <formula>-0.009</formula>
    </cfRule>
  </conditionalFormatting>
  <conditionalFormatting sqref="F65:F66">
    <cfRule type="cellIs" dxfId="47" priority="2" stopIfTrue="1" operator="between">
      <formula>0.009</formula>
      <formula>-0.009</formula>
    </cfRule>
  </conditionalFormatting>
  <hyperlinks>
    <hyperlink ref="A64" r:id="rId1" xr:uid="{00000000-0004-0000-1E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66"/>
  <sheetViews>
    <sheetView workbookViewId="0">
      <selection sqref="A1:G1"/>
    </sheetView>
  </sheetViews>
  <sheetFormatPr defaultColWidth="9.1796875" defaultRowHeight="10" x14ac:dyDescent="0.2"/>
  <cols>
    <col min="1" max="1" width="38.7265625" style="9" bestFit="1" customWidth="1"/>
    <col min="2" max="2" width="51.1796875" style="9" bestFit="1" customWidth="1"/>
    <col min="3" max="3" width="15.542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1461</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1403</v>
      </c>
      <c r="B7" s="27" t="s">
        <v>1404</v>
      </c>
      <c r="C7" s="27" t="s">
        <v>39</v>
      </c>
      <c r="D7" s="31">
        <v>67</v>
      </c>
      <c r="E7" s="29">
        <v>852.44836999999995</v>
      </c>
      <c r="F7" s="30">
        <v>9.97516928394076</v>
      </c>
      <c r="G7" s="29">
        <v>3.9550000000000001</v>
      </c>
    </row>
    <row r="8" spans="1:7" x14ac:dyDescent="0.2">
      <c r="A8" s="27" t="s">
        <v>1447</v>
      </c>
      <c r="B8" s="27" t="s">
        <v>1448</v>
      </c>
      <c r="C8" s="27" t="s">
        <v>39</v>
      </c>
      <c r="D8" s="31">
        <v>86</v>
      </c>
      <c r="E8" s="29">
        <v>851.97018000000003</v>
      </c>
      <c r="F8" s="30">
        <v>9.9695736063985603</v>
      </c>
      <c r="G8" s="29">
        <v>4.0000999999999998</v>
      </c>
    </row>
    <row r="9" spans="1:7" x14ac:dyDescent="0.2">
      <c r="A9" s="27" t="s">
        <v>946</v>
      </c>
      <c r="B9" s="27" t="s">
        <v>947</v>
      </c>
      <c r="C9" s="27" t="s">
        <v>39</v>
      </c>
      <c r="D9" s="31">
        <v>72</v>
      </c>
      <c r="E9" s="29">
        <v>723.71447999999998</v>
      </c>
      <c r="F9" s="30">
        <v>8.4687527189935903</v>
      </c>
      <c r="G9" s="29">
        <v>3.2799</v>
      </c>
    </row>
    <row r="10" spans="1:7" x14ac:dyDescent="0.2">
      <c r="A10" s="27" t="s">
        <v>1417</v>
      </c>
      <c r="B10" s="27" t="s">
        <v>1418</v>
      </c>
      <c r="C10" s="27" t="s">
        <v>894</v>
      </c>
      <c r="D10" s="31">
        <v>68</v>
      </c>
      <c r="E10" s="29">
        <v>686.90812000000005</v>
      </c>
      <c r="F10" s="30">
        <v>8.0380525327457608</v>
      </c>
      <c r="G10" s="29">
        <v>3.5935000000000001</v>
      </c>
    </row>
    <row r="11" spans="1:7" x14ac:dyDescent="0.2">
      <c r="A11" s="27" t="s">
        <v>1454</v>
      </c>
      <c r="B11" s="27" t="s">
        <v>1455</v>
      </c>
      <c r="C11" s="27" t="s">
        <v>39</v>
      </c>
      <c r="D11" s="31">
        <v>68</v>
      </c>
      <c r="E11" s="29">
        <v>685.43320000000006</v>
      </c>
      <c r="F11" s="30">
        <v>8.0207933330123193</v>
      </c>
      <c r="G11" s="29">
        <v>3.5701999999999998</v>
      </c>
    </row>
    <row r="12" spans="1:7" x14ac:dyDescent="0.2">
      <c r="A12" s="27" t="s">
        <v>1450</v>
      </c>
      <c r="B12" s="27" t="s">
        <v>1451</v>
      </c>
      <c r="C12" s="27" t="s">
        <v>39</v>
      </c>
      <c r="D12" s="31">
        <v>68</v>
      </c>
      <c r="E12" s="29">
        <v>685.01160000000004</v>
      </c>
      <c r="F12" s="30">
        <v>8.0158598595984305</v>
      </c>
      <c r="G12" s="29">
        <v>3.5701000000000001</v>
      </c>
    </row>
    <row r="13" spans="1:7" x14ac:dyDescent="0.2">
      <c r="A13" s="27" t="s">
        <v>1452</v>
      </c>
      <c r="B13" s="27" t="s">
        <v>1453</v>
      </c>
      <c r="C13" s="27" t="s">
        <v>894</v>
      </c>
      <c r="D13" s="31">
        <v>68</v>
      </c>
      <c r="E13" s="29">
        <v>680.85203999999999</v>
      </c>
      <c r="F13" s="30">
        <v>7.9671855743197701</v>
      </c>
      <c r="G13" s="29">
        <v>3.3460000000000001</v>
      </c>
    </row>
    <row r="14" spans="1:7" x14ac:dyDescent="0.2">
      <c r="A14" s="27" t="s">
        <v>1462</v>
      </c>
      <c r="B14" s="27" t="s">
        <v>1463</v>
      </c>
      <c r="C14" s="27" t="s">
        <v>39</v>
      </c>
      <c r="D14" s="31">
        <v>50</v>
      </c>
      <c r="E14" s="29">
        <v>502.81450000000001</v>
      </c>
      <c r="F14" s="30">
        <v>5.8838281970320701</v>
      </c>
      <c r="G14" s="29">
        <v>3.5648</v>
      </c>
    </row>
    <row r="15" spans="1:7" x14ac:dyDescent="0.2">
      <c r="A15" s="27" t="s">
        <v>1245</v>
      </c>
      <c r="B15" s="27" t="s">
        <v>1246</v>
      </c>
      <c r="C15" s="27" t="s">
        <v>39</v>
      </c>
      <c r="D15" s="31">
        <v>7</v>
      </c>
      <c r="E15" s="29">
        <v>70.396339999999995</v>
      </c>
      <c r="F15" s="30">
        <v>0.82376297871254101</v>
      </c>
      <c r="G15" s="29">
        <v>4.5350999999999999</v>
      </c>
    </row>
    <row r="16" spans="1:7" x14ac:dyDescent="0.2">
      <c r="A16" s="27" t="s">
        <v>1434</v>
      </c>
      <c r="B16" s="27" t="s">
        <v>1435</v>
      </c>
      <c r="C16" s="27" t="s">
        <v>39</v>
      </c>
      <c r="D16" s="31">
        <v>6</v>
      </c>
      <c r="E16" s="29">
        <v>60.29316</v>
      </c>
      <c r="F16" s="30">
        <v>0.70553771797783504</v>
      </c>
      <c r="G16" s="29">
        <v>3.4</v>
      </c>
    </row>
    <row r="17" spans="1:9" x14ac:dyDescent="0.2">
      <c r="A17" s="27" t="s">
        <v>1425</v>
      </c>
      <c r="B17" s="27" t="s">
        <v>1426</v>
      </c>
      <c r="C17" s="27" t="s">
        <v>39</v>
      </c>
      <c r="D17" s="31">
        <v>4</v>
      </c>
      <c r="E17" s="29">
        <v>50.530320000000003</v>
      </c>
      <c r="F17" s="30">
        <v>0.591295043442569</v>
      </c>
      <c r="G17" s="29">
        <v>4</v>
      </c>
    </row>
    <row r="18" spans="1:9" x14ac:dyDescent="0.2">
      <c r="A18" s="27" t="s">
        <v>1247</v>
      </c>
      <c r="B18" s="27" t="s">
        <v>1248</v>
      </c>
      <c r="C18" s="27" t="s">
        <v>1249</v>
      </c>
      <c r="D18" s="31">
        <v>3</v>
      </c>
      <c r="E18" s="29">
        <v>37.791719999999998</v>
      </c>
      <c r="F18" s="30">
        <v>0.44223065912049297</v>
      </c>
      <c r="G18" s="29">
        <v>4.1501000000000001</v>
      </c>
    </row>
    <row r="19" spans="1:9" x14ac:dyDescent="0.2">
      <c r="A19" s="27" t="s">
        <v>1427</v>
      </c>
      <c r="B19" s="27" t="s">
        <v>1428</v>
      </c>
      <c r="C19" s="27" t="s">
        <v>39</v>
      </c>
      <c r="D19" s="31">
        <v>3</v>
      </c>
      <c r="E19" s="29">
        <v>30.327359999999999</v>
      </c>
      <c r="F19" s="30">
        <v>0.354884308049077</v>
      </c>
      <c r="G19" s="29">
        <v>3.5701000000000001</v>
      </c>
    </row>
    <row r="20" spans="1:9" ht="10.5" x14ac:dyDescent="0.25">
      <c r="A20" s="26" t="s">
        <v>40</v>
      </c>
      <c r="B20" s="26"/>
      <c r="C20" s="26"/>
      <c r="D20" s="32"/>
      <c r="E20" s="33">
        <f>SUM(E6:E19)</f>
        <v>5918.491390000001</v>
      </c>
      <c r="F20" s="34">
        <f>SUM(F6:F19)</f>
        <v>69.256925813343784</v>
      </c>
      <c r="G20" s="33"/>
      <c r="H20" s="18"/>
      <c r="I20" s="18"/>
    </row>
    <row r="21" spans="1:9" x14ac:dyDescent="0.2">
      <c r="A21" s="27"/>
      <c r="B21" s="27"/>
      <c r="C21" s="27"/>
      <c r="D21" s="28"/>
      <c r="E21" s="29"/>
      <c r="F21" s="30"/>
      <c r="G21" s="29"/>
    </row>
    <row r="22" spans="1:9" ht="10.5" x14ac:dyDescent="0.25">
      <c r="A22" s="26" t="s">
        <v>41</v>
      </c>
      <c r="B22" s="27"/>
      <c r="C22" s="27"/>
      <c r="D22" s="28"/>
      <c r="E22" s="29"/>
      <c r="F22" s="30"/>
      <c r="G22" s="29"/>
    </row>
    <row r="23" spans="1:9" x14ac:dyDescent="0.2">
      <c r="A23" s="27" t="s">
        <v>1458</v>
      </c>
      <c r="B23" s="27" t="s">
        <v>1459</v>
      </c>
      <c r="C23" s="27" t="s">
        <v>39</v>
      </c>
      <c r="D23" s="31">
        <v>68</v>
      </c>
      <c r="E23" s="29">
        <v>683.79031999999995</v>
      </c>
      <c r="F23" s="30">
        <v>8.0015687011285195</v>
      </c>
      <c r="G23" s="29">
        <v>4.0298999999999996</v>
      </c>
    </row>
    <row r="24" spans="1:9" x14ac:dyDescent="0.2">
      <c r="A24" s="27" t="s">
        <v>1429</v>
      </c>
      <c r="B24" s="27" t="s">
        <v>1430</v>
      </c>
      <c r="C24" s="27" t="s">
        <v>850</v>
      </c>
      <c r="D24" s="31">
        <v>67</v>
      </c>
      <c r="E24" s="29">
        <v>671.69577000000004</v>
      </c>
      <c r="F24" s="30">
        <v>7.8600408527462298</v>
      </c>
      <c r="G24" s="29">
        <v>4.0145</v>
      </c>
    </row>
    <row r="25" spans="1:9" x14ac:dyDescent="0.2">
      <c r="A25" s="27" t="s">
        <v>952</v>
      </c>
      <c r="B25" s="27" t="s">
        <v>953</v>
      </c>
      <c r="C25" s="27" t="s">
        <v>39</v>
      </c>
      <c r="D25" s="31">
        <v>12</v>
      </c>
      <c r="E25" s="29">
        <v>120.99684000000001</v>
      </c>
      <c r="F25" s="30">
        <v>1.41587925356922</v>
      </c>
      <c r="G25" s="29">
        <v>3.7120000000000002</v>
      </c>
    </row>
    <row r="26" spans="1:9" ht="10.5" x14ac:dyDescent="0.25">
      <c r="A26" s="26" t="s">
        <v>40</v>
      </c>
      <c r="B26" s="26"/>
      <c r="C26" s="26"/>
      <c r="D26" s="32"/>
      <c r="E26" s="33">
        <f>SUM(E22:E25)</f>
        <v>1476.4829299999999</v>
      </c>
      <c r="F26" s="34">
        <f>SUM(F22:F25)</f>
        <v>17.277488807443969</v>
      </c>
      <c r="G26" s="33"/>
      <c r="H26" s="18"/>
      <c r="I26" s="18"/>
    </row>
    <row r="27" spans="1:9" x14ac:dyDescent="0.2">
      <c r="A27" s="27"/>
      <c r="B27" s="27"/>
      <c r="C27" s="27"/>
      <c r="D27" s="28"/>
      <c r="E27" s="29"/>
      <c r="F27" s="30"/>
      <c r="G27" s="29"/>
    </row>
    <row r="28" spans="1:9" ht="10.5" x14ac:dyDescent="0.25">
      <c r="A28" s="26" t="s">
        <v>57</v>
      </c>
      <c r="B28" s="27"/>
      <c r="C28" s="27"/>
      <c r="D28" s="28"/>
      <c r="E28" s="29"/>
      <c r="F28" s="30"/>
      <c r="G28" s="29"/>
    </row>
    <row r="29" spans="1:9" ht="10.5" x14ac:dyDescent="0.25">
      <c r="A29" s="26" t="s">
        <v>58</v>
      </c>
      <c r="B29" s="27"/>
      <c r="C29" s="27"/>
      <c r="D29" s="28"/>
      <c r="E29" s="29"/>
      <c r="F29" s="30"/>
      <c r="G29" s="29"/>
    </row>
    <row r="30" spans="1:9" x14ac:dyDescent="0.2">
      <c r="A30" s="27" t="s">
        <v>812</v>
      </c>
      <c r="B30" s="27" t="s">
        <v>813</v>
      </c>
      <c r="C30" s="27" t="s">
        <v>62</v>
      </c>
      <c r="D30" s="31">
        <v>36</v>
      </c>
      <c r="E30" s="29">
        <v>35.888004000000002</v>
      </c>
      <c r="F30" s="30">
        <v>0.419953779913666</v>
      </c>
      <c r="G30" s="29">
        <v>3.3502000000000001</v>
      </c>
    </row>
    <row r="31" spans="1:9" ht="10.5" x14ac:dyDescent="0.25">
      <c r="A31" s="26" t="s">
        <v>40</v>
      </c>
      <c r="B31" s="26"/>
      <c r="C31" s="26"/>
      <c r="D31" s="32"/>
      <c r="E31" s="33">
        <f>SUM(E29:E30)</f>
        <v>35.888004000000002</v>
      </c>
      <c r="F31" s="34">
        <f>SUM(F29:F30)</f>
        <v>0.419953779913666</v>
      </c>
      <c r="G31" s="33"/>
      <c r="H31" s="18"/>
      <c r="I31" s="18"/>
    </row>
    <row r="32" spans="1:9" x14ac:dyDescent="0.2">
      <c r="A32" s="27"/>
      <c r="B32" s="27"/>
      <c r="C32" s="27"/>
      <c r="D32" s="28"/>
      <c r="E32" s="29"/>
      <c r="F32" s="30"/>
      <c r="G32" s="29"/>
    </row>
    <row r="33" spans="1:9" ht="10.5" x14ac:dyDescent="0.25">
      <c r="A33" s="26" t="s">
        <v>63</v>
      </c>
      <c r="B33" s="27"/>
      <c r="C33" s="27"/>
      <c r="D33" s="28"/>
      <c r="E33" s="29"/>
      <c r="F33" s="30"/>
      <c r="G33" s="29"/>
    </row>
    <row r="34" spans="1:9" x14ac:dyDescent="0.2">
      <c r="A34" s="27" t="s">
        <v>1444</v>
      </c>
      <c r="B34" s="27" t="s">
        <v>1445</v>
      </c>
      <c r="C34" s="27" t="s">
        <v>816</v>
      </c>
      <c r="D34" s="31">
        <v>53</v>
      </c>
      <c r="E34" s="29">
        <v>264.23706499999997</v>
      </c>
      <c r="F34" s="30">
        <v>3.0920458613425001</v>
      </c>
      <c r="G34" s="29">
        <v>3.4001999999999999</v>
      </c>
    </row>
    <row r="35" spans="1:9" ht="10.5" x14ac:dyDescent="0.25">
      <c r="A35" s="26" t="s">
        <v>40</v>
      </c>
      <c r="B35" s="26"/>
      <c r="C35" s="26"/>
      <c r="D35" s="32"/>
      <c r="E35" s="33">
        <f>SUM(E33:E34)</f>
        <v>264.23706499999997</v>
      </c>
      <c r="F35" s="34">
        <f>SUM(F33:F34)</f>
        <v>3.0920458613425001</v>
      </c>
      <c r="G35" s="33"/>
      <c r="H35" s="18"/>
      <c r="I35" s="18"/>
    </row>
    <row r="36" spans="1:9" x14ac:dyDescent="0.2">
      <c r="A36" s="27"/>
      <c r="B36" s="27"/>
      <c r="C36" s="27"/>
      <c r="D36" s="28"/>
      <c r="E36" s="29"/>
      <c r="F36" s="30"/>
      <c r="G36" s="29"/>
    </row>
    <row r="37" spans="1:9" ht="10.5" x14ac:dyDescent="0.25">
      <c r="A37" s="26" t="s">
        <v>66</v>
      </c>
      <c r="B37" s="27"/>
      <c r="C37" s="27"/>
      <c r="D37" s="28"/>
      <c r="E37" s="29"/>
      <c r="F37" s="30"/>
      <c r="G37" s="29"/>
    </row>
    <row r="38" spans="1:9" x14ac:dyDescent="0.2">
      <c r="A38" s="27" t="s">
        <v>833</v>
      </c>
      <c r="B38" s="27" t="s">
        <v>834</v>
      </c>
      <c r="C38" s="27" t="s">
        <v>80</v>
      </c>
      <c r="D38" s="31">
        <v>118000</v>
      </c>
      <c r="E38" s="29">
        <v>117.43183000000001</v>
      </c>
      <c r="F38" s="30">
        <v>1.37416226577212</v>
      </c>
      <c r="G38" s="29">
        <v>3.2703000000000002</v>
      </c>
    </row>
    <row r="39" spans="1:9" ht="10.5" x14ac:dyDescent="0.25">
      <c r="A39" s="26" t="s">
        <v>40</v>
      </c>
      <c r="B39" s="26"/>
      <c r="C39" s="26"/>
      <c r="D39" s="32"/>
      <c r="E39" s="33">
        <f>SUM(E37:E38)</f>
        <v>117.43183000000001</v>
      </c>
      <c r="F39" s="34">
        <f>SUM(F37:F38)</f>
        <v>1.37416226577212</v>
      </c>
      <c r="G39" s="33"/>
      <c r="H39" s="18"/>
      <c r="I39" s="18"/>
    </row>
    <row r="40" spans="1:9" x14ac:dyDescent="0.2">
      <c r="A40" s="27"/>
      <c r="B40" s="27"/>
      <c r="C40" s="27"/>
      <c r="D40" s="28"/>
      <c r="E40" s="29"/>
      <c r="F40" s="30"/>
      <c r="G40" s="29"/>
    </row>
    <row r="41" spans="1:9" ht="10.5" x14ac:dyDescent="0.25">
      <c r="A41" s="26" t="s">
        <v>44</v>
      </c>
      <c r="B41" s="26"/>
      <c r="C41" s="26"/>
      <c r="D41" s="32"/>
      <c r="E41" s="33">
        <f>E20+E26+E31+E35+E39</f>
        <v>7812.5312190000022</v>
      </c>
      <c r="F41" s="34">
        <f>F20+F26+F31+F35+F39</f>
        <v>91.420576527816038</v>
      </c>
      <c r="G41" s="33"/>
      <c r="H41" s="18"/>
      <c r="I41" s="18"/>
    </row>
    <row r="42" spans="1:9" ht="10.5" x14ac:dyDescent="0.25">
      <c r="A42" s="26"/>
      <c r="B42" s="26"/>
      <c r="C42" s="26"/>
      <c r="D42" s="32"/>
      <c r="E42" s="33"/>
      <c r="F42" s="34"/>
      <c r="G42" s="33"/>
      <c r="H42" s="18"/>
      <c r="I42" s="18"/>
    </row>
    <row r="43" spans="1:9" ht="10.5" x14ac:dyDescent="0.25">
      <c r="A43" s="26" t="s">
        <v>46</v>
      </c>
      <c r="B43" s="26"/>
      <c r="C43" s="26"/>
      <c r="D43" s="32"/>
      <c r="E43" s="33">
        <f>E45-(E20+E26+E31+E35+E39)</f>
        <v>733.17207419999795</v>
      </c>
      <c r="F43" s="34">
        <f>F45-(F20+F26+F31+F35+F39)</f>
        <v>8.5794234721839615</v>
      </c>
      <c r="G43" s="33"/>
      <c r="H43" s="18"/>
      <c r="I43" s="18"/>
    </row>
    <row r="44" spans="1:9" ht="10.5" x14ac:dyDescent="0.25">
      <c r="A44" s="26"/>
      <c r="B44" s="26"/>
      <c r="C44" s="26"/>
      <c r="D44" s="32"/>
      <c r="E44" s="33"/>
      <c r="F44" s="34"/>
      <c r="G44" s="33"/>
      <c r="H44" s="18"/>
      <c r="I44" s="18"/>
    </row>
    <row r="45" spans="1:9" ht="10.5" x14ac:dyDescent="0.25">
      <c r="A45" s="35" t="s">
        <v>45</v>
      </c>
      <c r="B45" s="35"/>
      <c r="C45" s="35"/>
      <c r="D45" s="36"/>
      <c r="E45" s="37">
        <v>8545.7032932000002</v>
      </c>
      <c r="F45" s="38">
        <v>100</v>
      </c>
      <c r="G45" s="37"/>
      <c r="H45" s="18"/>
      <c r="I45" s="18"/>
    </row>
    <row r="47" spans="1:9" ht="10.5" x14ac:dyDescent="0.25">
      <c r="A47" s="18" t="s">
        <v>67</v>
      </c>
    </row>
    <row r="48" spans="1:9" ht="10.5" x14ac:dyDescent="0.25">
      <c r="A48" s="18" t="s">
        <v>47</v>
      </c>
    </row>
    <row r="50" spans="1:7" ht="10.5" x14ac:dyDescent="0.25">
      <c r="A50" s="18" t="s">
        <v>48</v>
      </c>
    </row>
    <row r="51" spans="1:7" ht="10.5" x14ac:dyDescent="0.25">
      <c r="A51" s="18" t="s">
        <v>49</v>
      </c>
    </row>
    <row r="52" spans="1:7" ht="10.5" x14ac:dyDescent="0.25">
      <c r="A52" s="18" t="s">
        <v>50</v>
      </c>
      <c r="B52" s="18"/>
      <c r="C52" s="41" t="s">
        <v>727</v>
      </c>
      <c r="D52" s="19" t="s">
        <v>51</v>
      </c>
    </row>
    <row r="53" spans="1:7" x14ac:dyDescent="0.2">
      <c r="A53" s="9" t="s">
        <v>71</v>
      </c>
      <c r="C53" s="40">
        <v>12.2342</v>
      </c>
      <c r="D53" s="40">
        <v>12.493600000000001</v>
      </c>
    </row>
    <row r="54" spans="1:7" x14ac:dyDescent="0.2">
      <c r="A54" s="9" t="s">
        <v>1329</v>
      </c>
      <c r="C54" s="40">
        <v>10.6326</v>
      </c>
      <c r="D54" s="40">
        <v>10.858599999999999</v>
      </c>
    </row>
    <row r="55" spans="1:7" x14ac:dyDescent="0.2">
      <c r="A55" s="9" t="s">
        <v>74</v>
      </c>
      <c r="C55" s="40">
        <v>12.299200000000001</v>
      </c>
      <c r="D55" s="40">
        <v>12.56</v>
      </c>
    </row>
    <row r="57" spans="1:7" ht="10.5" x14ac:dyDescent="0.25">
      <c r="A57" s="18" t="s">
        <v>52</v>
      </c>
      <c r="D57" s="41" t="s">
        <v>53</v>
      </c>
    </row>
    <row r="59" spans="1:7" ht="10.5" x14ac:dyDescent="0.25">
      <c r="A59" s="18" t="s">
        <v>798</v>
      </c>
      <c r="D59" s="42">
        <v>0.13956488452054799</v>
      </c>
      <c r="E59" s="13" t="s">
        <v>54</v>
      </c>
    </row>
    <row r="61" spans="1:7" ht="10.5" x14ac:dyDescent="0.25">
      <c r="A61" s="18" t="s">
        <v>1502</v>
      </c>
      <c r="D61" s="41" t="s">
        <v>53</v>
      </c>
    </row>
    <row r="63" spans="1:7" ht="16.5" customHeight="1" x14ac:dyDescent="0.2">
      <c r="A63" s="73" t="s">
        <v>799</v>
      </c>
      <c r="B63" s="74"/>
      <c r="C63" s="74"/>
      <c r="D63" s="74"/>
      <c r="E63" s="74"/>
      <c r="F63" s="74"/>
      <c r="G63" s="74"/>
    </row>
    <row r="64" spans="1:7" x14ac:dyDescent="0.2">
      <c r="A64" s="46" t="s">
        <v>55</v>
      </c>
    </row>
    <row r="66" spans="1:1" x14ac:dyDescent="0.2">
      <c r="A66" s="46"/>
    </row>
  </sheetData>
  <mergeCells count="2">
    <mergeCell ref="A1:G1"/>
    <mergeCell ref="A63:G63"/>
  </mergeCells>
  <conditionalFormatting sqref="F2:F3 F5:F62 F67:F65536">
    <cfRule type="cellIs" dxfId="46" priority="3" stopIfTrue="1" operator="between">
      <formula>0.009</formula>
      <formula>-0.009</formula>
    </cfRule>
  </conditionalFormatting>
  <conditionalFormatting sqref="F64">
    <cfRule type="cellIs" dxfId="45" priority="1" stopIfTrue="1" operator="between">
      <formula>0.009</formula>
      <formula>-0.009</formula>
    </cfRule>
  </conditionalFormatting>
  <conditionalFormatting sqref="F65:F66">
    <cfRule type="cellIs" dxfId="44" priority="2" stopIfTrue="1" operator="between">
      <formula>0.009</formula>
      <formula>-0.009</formula>
    </cfRule>
  </conditionalFormatting>
  <hyperlinks>
    <hyperlink ref="A64" r:id="rId1" xr:uid="{00000000-0004-0000-1F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6"/>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1464</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1447</v>
      </c>
      <c r="B7" s="27" t="s">
        <v>1448</v>
      </c>
      <c r="C7" s="27" t="s">
        <v>39</v>
      </c>
      <c r="D7" s="31">
        <v>107</v>
      </c>
      <c r="E7" s="29">
        <v>1060.0094099999999</v>
      </c>
      <c r="F7" s="30">
        <v>9.9851306815768499</v>
      </c>
      <c r="G7" s="29">
        <v>4.0000999999999998</v>
      </c>
    </row>
    <row r="8" spans="1:7" x14ac:dyDescent="0.2">
      <c r="A8" s="27" t="s">
        <v>1440</v>
      </c>
      <c r="B8" s="27" t="s">
        <v>1441</v>
      </c>
      <c r="C8" s="27" t="s">
        <v>39</v>
      </c>
      <c r="D8" s="31">
        <v>83</v>
      </c>
      <c r="E8" s="29">
        <v>830.18343000000004</v>
      </c>
      <c r="F8" s="30">
        <v>7.8202041982152801</v>
      </c>
      <c r="G8" s="29">
        <v>3.3433000000000002</v>
      </c>
    </row>
    <row r="9" spans="1:7" x14ac:dyDescent="0.2">
      <c r="A9" s="27" t="s">
        <v>1465</v>
      </c>
      <c r="B9" s="27" t="s">
        <v>1466</v>
      </c>
      <c r="C9" s="27" t="s">
        <v>39</v>
      </c>
      <c r="D9" s="31">
        <v>80</v>
      </c>
      <c r="E9" s="29">
        <v>806.404</v>
      </c>
      <c r="F9" s="30">
        <v>7.5962055111815401</v>
      </c>
      <c r="G9" s="29">
        <v>3.9998999999999998</v>
      </c>
    </row>
    <row r="10" spans="1:7" x14ac:dyDescent="0.2">
      <c r="A10" s="27" t="s">
        <v>1456</v>
      </c>
      <c r="B10" s="27" t="s">
        <v>1457</v>
      </c>
      <c r="C10" s="27" t="s">
        <v>39</v>
      </c>
      <c r="D10" s="31">
        <v>62</v>
      </c>
      <c r="E10" s="29">
        <v>781.41390000000001</v>
      </c>
      <c r="F10" s="30">
        <v>7.3608024931595901</v>
      </c>
      <c r="G10" s="29">
        <v>3.3549000000000002</v>
      </c>
    </row>
    <row r="11" spans="1:7" x14ac:dyDescent="0.2">
      <c r="A11" s="27" t="s">
        <v>1452</v>
      </c>
      <c r="B11" s="27" t="s">
        <v>1453</v>
      </c>
      <c r="C11" s="27" t="s">
        <v>894</v>
      </c>
      <c r="D11" s="31">
        <v>65</v>
      </c>
      <c r="E11" s="29">
        <v>650.81444999999997</v>
      </c>
      <c r="F11" s="30">
        <v>6.1305751358457803</v>
      </c>
      <c r="G11" s="29">
        <v>3.3460000000000001</v>
      </c>
    </row>
    <row r="12" spans="1:7" x14ac:dyDescent="0.2">
      <c r="A12" s="27" t="s">
        <v>1307</v>
      </c>
      <c r="B12" s="27" t="s">
        <v>1308</v>
      </c>
      <c r="C12" s="27" t="s">
        <v>39</v>
      </c>
      <c r="D12" s="31">
        <v>5</v>
      </c>
      <c r="E12" s="29">
        <v>502.255</v>
      </c>
      <c r="F12" s="30">
        <v>4.7311672548976498</v>
      </c>
      <c r="G12" s="29">
        <v>3.4704000000000002</v>
      </c>
    </row>
    <row r="13" spans="1:7" x14ac:dyDescent="0.2">
      <c r="A13" s="27" t="s">
        <v>1434</v>
      </c>
      <c r="B13" s="27" t="s">
        <v>1435</v>
      </c>
      <c r="C13" s="27" t="s">
        <v>39</v>
      </c>
      <c r="D13" s="31">
        <v>40</v>
      </c>
      <c r="E13" s="29">
        <v>401.95440000000002</v>
      </c>
      <c r="F13" s="30">
        <v>3.7863505495057899</v>
      </c>
      <c r="G13" s="29">
        <v>3.4</v>
      </c>
    </row>
    <row r="14" spans="1:7" x14ac:dyDescent="0.2">
      <c r="A14" s="27" t="s">
        <v>1454</v>
      </c>
      <c r="B14" s="27" t="s">
        <v>1455</v>
      </c>
      <c r="C14" s="27" t="s">
        <v>39</v>
      </c>
      <c r="D14" s="31">
        <v>13</v>
      </c>
      <c r="E14" s="29">
        <v>131.03870000000001</v>
      </c>
      <c r="F14" s="30">
        <v>1.2343650268575901</v>
      </c>
      <c r="G14" s="29">
        <v>3.5701999999999998</v>
      </c>
    </row>
    <row r="15" spans="1:7" x14ac:dyDescent="0.2">
      <c r="A15" s="27" t="s">
        <v>1450</v>
      </c>
      <c r="B15" s="27" t="s">
        <v>1451</v>
      </c>
      <c r="C15" s="27" t="s">
        <v>39</v>
      </c>
      <c r="D15" s="31">
        <v>8</v>
      </c>
      <c r="E15" s="29">
        <v>80.589600000000004</v>
      </c>
      <c r="F15" s="30">
        <v>0.75914202268827502</v>
      </c>
      <c r="G15" s="29">
        <v>3.5701000000000001</v>
      </c>
    </row>
    <row r="16" spans="1:7" x14ac:dyDescent="0.2">
      <c r="A16" s="27" t="s">
        <v>1247</v>
      </c>
      <c r="B16" s="27" t="s">
        <v>1248</v>
      </c>
      <c r="C16" s="27" t="s">
        <v>1249</v>
      </c>
      <c r="D16" s="31">
        <v>6</v>
      </c>
      <c r="E16" s="29">
        <v>75.583439999999996</v>
      </c>
      <c r="F16" s="30">
        <v>0.71198474149689195</v>
      </c>
      <c r="G16" s="29">
        <v>4.1501000000000001</v>
      </c>
    </row>
    <row r="17" spans="1:9" x14ac:dyDescent="0.2">
      <c r="A17" s="27" t="s">
        <v>1432</v>
      </c>
      <c r="B17" s="27" t="s">
        <v>1433</v>
      </c>
      <c r="C17" s="27" t="s">
        <v>39</v>
      </c>
      <c r="D17" s="31">
        <v>5</v>
      </c>
      <c r="E17" s="29">
        <v>50.41845</v>
      </c>
      <c r="F17" s="30">
        <v>0.47493428573671598</v>
      </c>
      <c r="G17" s="29">
        <v>3.57</v>
      </c>
    </row>
    <row r="18" spans="1:9" x14ac:dyDescent="0.2">
      <c r="A18" s="27" t="s">
        <v>1427</v>
      </c>
      <c r="B18" s="27" t="s">
        <v>1428</v>
      </c>
      <c r="C18" s="27" t="s">
        <v>39</v>
      </c>
      <c r="D18" s="31">
        <v>3</v>
      </c>
      <c r="E18" s="29">
        <v>30.327359999999999</v>
      </c>
      <c r="F18" s="30">
        <v>0.28567921187343598</v>
      </c>
      <c r="G18" s="29">
        <v>3.5701000000000001</v>
      </c>
    </row>
    <row r="19" spans="1:9" x14ac:dyDescent="0.2">
      <c r="A19" s="27" t="s">
        <v>1245</v>
      </c>
      <c r="B19" s="27" t="s">
        <v>1246</v>
      </c>
      <c r="C19" s="27" t="s">
        <v>39</v>
      </c>
      <c r="D19" s="31">
        <v>3</v>
      </c>
      <c r="E19" s="29">
        <v>30.16986</v>
      </c>
      <c r="F19" s="30">
        <v>0.28419558534379202</v>
      </c>
      <c r="G19" s="29">
        <v>4.5350999999999999</v>
      </c>
    </row>
    <row r="20" spans="1:9" x14ac:dyDescent="0.2">
      <c r="A20" s="27" t="s">
        <v>1403</v>
      </c>
      <c r="B20" s="27" t="s">
        <v>1404</v>
      </c>
      <c r="C20" s="27" t="s">
        <v>39</v>
      </c>
      <c r="D20" s="31">
        <v>1</v>
      </c>
      <c r="E20" s="29">
        <v>12.72311</v>
      </c>
      <c r="F20" s="30">
        <v>0.119849800225903</v>
      </c>
      <c r="G20" s="29">
        <v>3.9550000000000001</v>
      </c>
    </row>
    <row r="21" spans="1:9" x14ac:dyDescent="0.2">
      <c r="A21" s="27" t="s">
        <v>946</v>
      </c>
      <c r="B21" s="27" t="s">
        <v>947</v>
      </c>
      <c r="C21" s="27" t="s">
        <v>39</v>
      </c>
      <c r="D21" s="31">
        <v>1</v>
      </c>
      <c r="E21" s="29">
        <v>10.051589999999999</v>
      </c>
      <c r="F21" s="30">
        <v>9.4684479930825294E-2</v>
      </c>
      <c r="G21" s="29">
        <v>3.2799</v>
      </c>
    </row>
    <row r="22" spans="1:9" ht="10.5" x14ac:dyDescent="0.25">
      <c r="A22" s="26" t="s">
        <v>40</v>
      </c>
      <c r="B22" s="26"/>
      <c r="C22" s="26"/>
      <c r="D22" s="32"/>
      <c r="E22" s="33">
        <f>SUM(E6:E21)</f>
        <v>5453.9367000000011</v>
      </c>
      <c r="F22" s="34">
        <f>SUM(F6:F21)</f>
        <v>51.375270978535909</v>
      </c>
      <c r="G22" s="33"/>
      <c r="H22" s="18"/>
      <c r="I22" s="18"/>
    </row>
    <row r="23" spans="1:9" x14ac:dyDescent="0.2">
      <c r="A23" s="27"/>
      <c r="B23" s="27"/>
      <c r="C23" s="27"/>
      <c r="D23" s="28"/>
      <c r="E23" s="29"/>
      <c r="F23" s="30"/>
      <c r="G23" s="29"/>
    </row>
    <row r="24" spans="1:9" ht="10.5" x14ac:dyDescent="0.25">
      <c r="A24" s="26" t="s">
        <v>41</v>
      </c>
      <c r="B24" s="27"/>
      <c r="C24" s="27"/>
      <c r="D24" s="28"/>
      <c r="E24" s="29"/>
      <c r="F24" s="30"/>
      <c r="G24" s="29"/>
    </row>
    <row r="25" spans="1:9" x14ac:dyDescent="0.2">
      <c r="A25" s="27" t="s">
        <v>1429</v>
      </c>
      <c r="B25" s="27" t="s">
        <v>1430</v>
      </c>
      <c r="C25" s="27" t="s">
        <v>850</v>
      </c>
      <c r="D25" s="31">
        <v>82</v>
      </c>
      <c r="E25" s="29">
        <v>822.07542000000001</v>
      </c>
      <c r="F25" s="30">
        <v>7.7438279522557902</v>
      </c>
      <c r="G25" s="29">
        <v>4.0145</v>
      </c>
    </row>
    <row r="26" spans="1:9" x14ac:dyDescent="0.2">
      <c r="A26" s="27" t="s">
        <v>1458</v>
      </c>
      <c r="B26" s="27" t="s">
        <v>1459</v>
      </c>
      <c r="C26" s="27" t="s">
        <v>39</v>
      </c>
      <c r="D26" s="31">
        <v>49</v>
      </c>
      <c r="E26" s="29">
        <v>492.73126000000002</v>
      </c>
      <c r="F26" s="30">
        <v>4.6414550433075998</v>
      </c>
      <c r="G26" s="29">
        <v>4.0298999999999996</v>
      </c>
    </row>
    <row r="27" spans="1:9" x14ac:dyDescent="0.2">
      <c r="A27" s="27" t="s">
        <v>952</v>
      </c>
      <c r="B27" s="27" t="s">
        <v>953</v>
      </c>
      <c r="C27" s="27" t="s">
        <v>39</v>
      </c>
      <c r="D27" s="31">
        <v>27</v>
      </c>
      <c r="E27" s="29">
        <v>272.24288999999999</v>
      </c>
      <c r="F27" s="30">
        <v>2.5644874546728298</v>
      </c>
      <c r="G27" s="29">
        <v>3.7120000000000002</v>
      </c>
    </row>
    <row r="28" spans="1:9" ht="10.5" x14ac:dyDescent="0.25">
      <c r="A28" s="26" t="s">
        <v>40</v>
      </c>
      <c r="B28" s="26"/>
      <c r="C28" s="26"/>
      <c r="D28" s="32"/>
      <c r="E28" s="33">
        <f>SUM(E24:E27)</f>
        <v>1587.0495700000001</v>
      </c>
      <c r="F28" s="34">
        <f>SUM(F24:F27)</f>
        <v>14.949770450236219</v>
      </c>
      <c r="G28" s="33"/>
      <c r="H28" s="18"/>
      <c r="I28" s="18"/>
    </row>
    <row r="29" spans="1:9" x14ac:dyDescent="0.2">
      <c r="A29" s="27"/>
      <c r="B29" s="27"/>
      <c r="C29" s="27"/>
      <c r="D29" s="28"/>
      <c r="E29" s="29"/>
      <c r="F29" s="30"/>
      <c r="G29" s="29"/>
    </row>
    <row r="30" spans="1:9" ht="10.5" x14ac:dyDescent="0.25">
      <c r="A30" s="26" t="s">
        <v>57</v>
      </c>
      <c r="B30" s="27"/>
      <c r="C30" s="27"/>
      <c r="D30" s="28"/>
      <c r="E30" s="29"/>
      <c r="F30" s="30"/>
      <c r="G30" s="29"/>
    </row>
    <row r="31" spans="1:9" ht="10.5" x14ac:dyDescent="0.25">
      <c r="A31" s="26" t="s">
        <v>58</v>
      </c>
      <c r="B31" s="27"/>
      <c r="C31" s="27"/>
      <c r="D31" s="28"/>
      <c r="E31" s="29"/>
      <c r="F31" s="30"/>
      <c r="G31" s="29"/>
    </row>
    <row r="32" spans="1:9" x14ac:dyDescent="0.2">
      <c r="A32" s="27" t="s">
        <v>812</v>
      </c>
      <c r="B32" s="27" t="s">
        <v>813</v>
      </c>
      <c r="C32" s="27" t="s">
        <v>62</v>
      </c>
      <c r="D32" s="31">
        <v>30</v>
      </c>
      <c r="E32" s="29">
        <v>29.906669999999998</v>
      </c>
      <c r="F32" s="30">
        <v>0.28171637476387501</v>
      </c>
      <c r="G32" s="29">
        <v>3.3502000000000001</v>
      </c>
    </row>
    <row r="33" spans="1:9" ht="10.5" x14ac:dyDescent="0.25">
      <c r="A33" s="26" t="s">
        <v>40</v>
      </c>
      <c r="B33" s="26"/>
      <c r="C33" s="26"/>
      <c r="D33" s="32"/>
      <c r="E33" s="33">
        <f>SUM(E31:E32)</f>
        <v>29.906669999999998</v>
      </c>
      <c r="F33" s="34">
        <f>SUM(F31:F32)</f>
        <v>0.28171637476387501</v>
      </c>
      <c r="G33" s="33"/>
      <c r="H33" s="18"/>
      <c r="I33" s="18"/>
    </row>
    <row r="34" spans="1:9" x14ac:dyDescent="0.2">
      <c r="A34" s="27"/>
      <c r="B34" s="27"/>
      <c r="C34" s="27"/>
      <c r="D34" s="28"/>
      <c r="E34" s="29"/>
      <c r="F34" s="30"/>
      <c r="G34" s="29"/>
    </row>
    <row r="35" spans="1:9" ht="10.5" x14ac:dyDescent="0.25">
      <c r="A35" s="26" t="s">
        <v>63</v>
      </c>
      <c r="B35" s="27"/>
      <c r="C35" s="27"/>
      <c r="D35" s="28"/>
      <c r="E35" s="29"/>
      <c r="F35" s="30"/>
      <c r="G35" s="29"/>
    </row>
    <row r="36" spans="1:9" x14ac:dyDescent="0.2">
      <c r="A36" s="27" t="s">
        <v>1444</v>
      </c>
      <c r="B36" s="27" t="s">
        <v>1445</v>
      </c>
      <c r="C36" s="27" t="s">
        <v>816</v>
      </c>
      <c r="D36" s="31">
        <v>37</v>
      </c>
      <c r="E36" s="29">
        <v>184.46738500000001</v>
      </c>
      <c r="F36" s="30">
        <v>1.7376552777147001</v>
      </c>
      <c r="G36" s="29">
        <v>3.4001999999999999</v>
      </c>
    </row>
    <row r="37" spans="1:9" ht="10.5" x14ac:dyDescent="0.25">
      <c r="A37" s="26" t="s">
        <v>40</v>
      </c>
      <c r="B37" s="26"/>
      <c r="C37" s="26"/>
      <c r="D37" s="32"/>
      <c r="E37" s="33">
        <f>SUM(E35:E36)</f>
        <v>184.46738500000001</v>
      </c>
      <c r="F37" s="34">
        <f>SUM(F35:F36)</f>
        <v>1.7376552777147001</v>
      </c>
      <c r="G37" s="33"/>
      <c r="H37" s="18"/>
      <c r="I37" s="18"/>
    </row>
    <row r="38" spans="1:9" x14ac:dyDescent="0.2">
      <c r="A38" s="27"/>
      <c r="B38" s="27"/>
      <c r="C38" s="27"/>
      <c r="D38" s="28"/>
      <c r="E38" s="29"/>
      <c r="F38" s="30"/>
      <c r="G38" s="29"/>
    </row>
    <row r="39" spans="1:9" ht="10.5" x14ac:dyDescent="0.25">
      <c r="A39" s="26" t="s">
        <v>66</v>
      </c>
      <c r="B39" s="27"/>
      <c r="C39" s="27"/>
      <c r="D39" s="28"/>
      <c r="E39" s="29"/>
      <c r="F39" s="30"/>
      <c r="G39" s="29"/>
    </row>
    <row r="40" spans="1:9" x14ac:dyDescent="0.2">
      <c r="A40" s="27" t="s">
        <v>96</v>
      </c>
      <c r="B40" s="27" t="s">
        <v>95</v>
      </c>
      <c r="C40" s="27" t="s">
        <v>80</v>
      </c>
      <c r="D40" s="31">
        <v>1800000</v>
      </c>
      <c r="E40" s="29">
        <v>1790.2116000000001</v>
      </c>
      <c r="F40" s="30">
        <v>16.863526498009801</v>
      </c>
      <c r="G40" s="29">
        <v>3.2719999999999998</v>
      </c>
    </row>
    <row r="41" spans="1:9" x14ac:dyDescent="0.2">
      <c r="A41" s="27" t="s">
        <v>833</v>
      </c>
      <c r="B41" s="27" t="s">
        <v>834</v>
      </c>
      <c r="C41" s="27" t="s">
        <v>80</v>
      </c>
      <c r="D41" s="31">
        <v>170000</v>
      </c>
      <c r="E41" s="29">
        <v>169.18145000000001</v>
      </c>
      <c r="F41" s="30">
        <v>1.5936640478962001</v>
      </c>
      <c r="G41" s="29">
        <v>3.2703000000000002</v>
      </c>
    </row>
    <row r="42" spans="1:9" ht="10.5" x14ac:dyDescent="0.25">
      <c r="A42" s="26" t="s">
        <v>40</v>
      </c>
      <c r="B42" s="26"/>
      <c r="C42" s="26"/>
      <c r="D42" s="32"/>
      <c r="E42" s="33">
        <f>SUM(E39:E41)</f>
        <v>1959.3930500000001</v>
      </c>
      <c r="F42" s="34">
        <f>SUM(F39:F41)</f>
        <v>18.457190545906002</v>
      </c>
      <c r="G42" s="33"/>
      <c r="H42" s="18"/>
      <c r="I42" s="18"/>
    </row>
    <row r="43" spans="1:9" x14ac:dyDescent="0.2">
      <c r="A43" s="27"/>
      <c r="B43" s="27"/>
      <c r="C43" s="27"/>
      <c r="D43" s="28"/>
      <c r="E43" s="29"/>
      <c r="F43" s="30"/>
      <c r="G43" s="29"/>
    </row>
    <row r="44" spans="1:9" ht="10.5" x14ac:dyDescent="0.25">
      <c r="A44" s="26" t="s">
        <v>44</v>
      </c>
      <c r="B44" s="26"/>
      <c r="C44" s="26"/>
      <c r="D44" s="32"/>
      <c r="E44" s="33">
        <f>E22+E28+E33+E37+E42</f>
        <v>9214.7533750000021</v>
      </c>
      <c r="F44" s="34">
        <f>F22+F28+F33+F37+F42</f>
        <v>86.801603627156695</v>
      </c>
      <c r="G44" s="33"/>
      <c r="H44" s="18"/>
      <c r="I44" s="18"/>
    </row>
    <row r="45" spans="1:9" ht="10.5" x14ac:dyDescent="0.25">
      <c r="A45" s="26"/>
      <c r="B45" s="26"/>
      <c r="C45" s="26"/>
      <c r="D45" s="32"/>
      <c r="E45" s="33"/>
      <c r="F45" s="34"/>
      <c r="G45" s="33"/>
      <c r="H45" s="18"/>
      <c r="I45" s="18"/>
    </row>
    <row r="46" spans="1:9" ht="10.5" x14ac:dyDescent="0.25">
      <c r="A46" s="26" t="s">
        <v>46</v>
      </c>
      <c r="B46" s="26"/>
      <c r="C46" s="26"/>
      <c r="D46" s="32"/>
      <c r="E46" s="33">
        <f>E48-(E22+E28+E33+E37+E42)</f>
        <v>1401.1258137999976</v>
      </c>
      <c r="F46" s="34">
        <f>F48-(F22+F28+F33+F37+F42)</f>
        <v>13.198396372843305</v>
      </c>
      <c r="G46" s="33"/>
      <c r="H46" s="18"/>
      <c r="I46" s="18"/>
    </row>
    <row r="47" spans="1:9" ht="10.5" x14ac:dyDescent="0.25">
      <c r="A47" s="26"/>
      <c r="B47" s="26"/>
      <c r="C47" s="26"/>
      <c r="D47" s="32"/>
      <c r="E47" s="33"/>
      <c r="F47" s="34"/>
      <c r="G47" s="33"/>
      <c r="H47" s="18"/>
      <c r="I47" s="18"/>
    </row>
    <row r="48" spans="1:9" ht="10.5" x14ac:dyDescent="0.25">
      <c r="A48" s="35" t="s">
        <v>45</v>
      </c>
      <c r="B48" s="35"/>
      <c r="C48" s="35"/>
      <c r="D48" s="36"/>
      <c r="E48" s="37">
        <v>10615.8791888</v>
      </c>
      <c r="F48" s="38">
        <v>100</v>
      </c>
      <c r="G48" s="37"/>
      <c r="H48" s="18"/>
      <c r="I48" s="18"/>
    </row>
    <row r="50" spans="1:4" ht="10.5" x14ac:dyDescent="0.25">
      <c r="A50" s="18" t="s">
        <v>67</v>
      </c>
    </row>
    <row r="51" spans="1:4" ht="10.5" x14ac:dyDescent="0.25">
      <c r="A51" s="18" t="s">
        <v>47</v>
      </c>
    </row>
    <row r="53" spans="1:4" ht="10.5" x14ac:dyDescent="0.25">
      <c r="A53" s="18" t="s">
        <v>48</v>
      </c>
    </row>
    <row r="54" spans="1:4" ht="10.5" x14ac:dyDescent="0.25">
      <c r="A54" s="18" t="s">
        <v>49</v>
      </c>
    </row>
    <row r="55" spans="1:4" ht="10.5" x14ac:dyDescent="0.25">
      <c r="A55" s="18" t="s">
        <v>50</v>
      </c>
      <c r="B55" s="18"/>
      <c r="C55" s="41" t="s">
        <v>727</v>
      </c>
      <c r="D55" s="19" t="s">
        <v>51</v>
      </c>
    </row>
    <row r="56" spans="1:4" x14ac:dyDescent="0.2">
      <c r="A56" s="9" t="s">
        <v>71</v>
      </c>
      <c r="C56" s="40">
        <v>12.2559</v>
      </c>
      <c r="D56" s="40">
        <v>12.498699999999999</v>
      </c>
    </row>
    <row r="57" spans="1:4" x14ac:dyDescent="0.2">
      <c r="A57" s="9" t="s">
        <v>1329</v>
      </c>
      <c r="C57" s="40">
        <v>10.6761</v>
      </c>
      <c r="D57" s="40">
        <v>10.097300000000001</v>
      </c>
    </row>
    <row r="58" spans="1:4" x14ac:dyDescent="0.2">
      <c r="A58" s="9" t="s">
        <v>73</v>
      </c>
      <c r="C58" s="40">
        <v>10.2567</v>
      </c>
      <c r="D58" s="40">
        <v>10.0932</v>
      </c>
    </row>
    <row r="59" spans="1:4" x14ac:dyDescent="0.2">
      <c r="A59" s="9" t="s">
        <v>74</v>
      </c>
      <c r="C59" s="40">
        <v>12.317399999999999</v>
      </c>
      <c r="D59" s="40">
        <v>12.561400000000001</v>
      </c>
    </row>
    <row r="60" spans="1:4" x14ac:dyDescent="0.2">
      <c r="A60" s="9" t="s">
        <v>78</v>
      </c>
      <c r="C60" s="40">
        <v>10.7378</v>
      </c>
      <c r="D60" s="40">
        <v>10.1601</v>
      </c>
    </row>
    <row r="62" spans="1:4" ht="10.5" x14ac:dyDescent="0.25">
      <c r="A62" s="18" t="s">
        <v>52</v>
      </c>
    </row>
    <row r="63" spans="1:4" ht="10.5" x14ac:dyDescent="0.25">
      <c r="A63" s="77" t="s">
        <v>68</v>
      </c>
      <c r="B63" s="78"/>
      <c r="C63" s="43" t="s">
        <v>69</v>
      </c>
    </row>
    <row r="64" spans="1:4" x14ac:dyDescent="0.2">
      <c r="A64" s="71" t="s">
        <v>1329</v>
      </c>
      <c r="B64" s="72"/>
      <c r="C64" s="44">
        <v>0.79</v>
      </c>
    </row>
    <row r="65" spans="1:7" x14ac:dyDescent="0.2">
      <c r="A65" s="71" t="s">
        <v>73</v>
      </c>
      <c r="B65" s="72"/>
      <c r="C65" s="44">
        <v>0.36499999999999999</v>
      </c>
    </row>
    <row r="66" spans="1:7" x14ac:dyDescent="0.2">
      <c r="A66" s="71" t="s">
        <v>78</v>
      </c>
      <c r="B66" s="72"/>
      <c r="C66" s="44">
        <v>0.79</v>
      </c>
    </row>
    <row r="67" spans="1:7" x14ac:dyDescent="0.2">
      <c r="A67" s="9" t="s">
        <v>70</v>
      </c>
    </row>
    <row r="69" spans="1:7" ht="10.5" x14ac:dyDescent="0.25">
      <c r="A69" s="18" t="s">
        <v>798</v>
      </c>
      <c r="D69" s="42">
        <v>0.12185264799999999</v>
      </c>
      <c r="E69" s="13" t="s">
        <v>54</v>
      </c>
    </row>
    <row r="71" spans="1:7" ht="10.5" x14ac:dyDescent="0.25">
      <c r="A71" s="18" t="s">
        <v>1502</v>
      </c>
      <c r="D71" s="41" t="s">
        <v>53</v>
      </c>
    </row>
    <row r="73" spans="1:7" ht="15" customHeight="1" x14ac:dyDescent="0.2">
      <c r="A73" s="73" t="s">
        <v>799</v>
      </c>
      <c r="B73" s="74"/>
      <c r="C73" s="74"/>
      <c r="D73" s="74"/>
      <c r="E73" s="74"/>
      <c r="F73" s="74"/>
      <c r="G73" s="74"/>
    </row>
    <row r="74" spans="1:7" x14ac:dyDescent="0.2">
      <c r="A74" s="46" t="s">
        <v>55</v>
      </c>
    </row>
    <row r="76" spans="1:7" x14ac:dyDescent="0.2">
      <c r="A76" s="46"/>
    </row>
  </sheetData>
  <mergeCells count="6">
    <mergeCell ref="A73:G73"/>
    <mergeCell ref="A1:G1"/>
    <mergeCell ref="A63:B63"/>
    <mergeCell ref="A64:B64"/>
    <mergeCell ref="A65:B65"/>
    <mergeCell ref="A66:B66"/>
  </mergeCells>
  <conditionalFormatting sqref="F2:F3 F5:F72 F77:F65536">
    <cfRule type="cellIs" dxfId="43" priority="3" stopIfTrue="1" operator="between">
      <formula>0.009</formula>
      <formula>-0.009</formula>
    </cfRule>
  </conditionalFormatting>
  <conditionalFormatting sqref="F74">
    <cfRule type="cellIs" dxfId="42" priority="1" stopIfTrue="1" operator="between">
      <formula>0.009</formula>
      <formula>-0.009</formula>
    </cfRule>
  </conditionalFormatting>
  <conditionalFormatting sqref="F75:F76">
    <cfRule type="cellIs" dxfId="41" priority="2" stopIfTrue="1" operator="between">
      <formula>0.009</formula>
      <formula>-0.009</formula>
    </cfRule>
  </conditionalFormatting>
  <hyperlinks>
    <hyperlink ref="A74" r:id="rId1" xr:uid="{00000000-0004-0000-20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1"/>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1467</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1434</v>
      </c>
      <c r="B7" s="27" t="s">
        <v>1435</v>
      </c>
      <c r="C7" s="27" t="s">
        <v>39</v>
      </c>
      <c r="D7" s="31">
        <v>113</v>
      </c>
      <c r="E7" s="29">
        <v>1135.52118</v>
      </c>
      <c r="F7" s="30">
        <v>8.8923906620679301</v>
      </c>
      <c r="G7" s="29">
        <v>3.4</v>
      </c>
    </row>
    <row r="8" spans="1:7" x14ac:dyDescent="0.2">
      <c r="A8" s="27" t="s">
        <v>1468</v>
      </c>
      <c r="B8" s="27" t="s">
        <v>1469</v>
      </c>
      <c r="C8" s="27" t="s">
        <v>894</v>
      </c>
      <c r="D8" s="31">
        <v>100</v>
      </c>
      <c r="E8" s="29">
        <v>1003.131</v>
      </c>
      <c r="F8" s="30">
        <v>7.8556286702031102</v>
      </c>
      <c r="G8" s="29">
        <v>3.6406000000000001</v>
      </c>
    </row>
    <row r="9" spans="1:7" x14ac:dyDescent="0.2">
      <c r="A9" s="27" t="s">
        <v>1007</v>
      </c>
      <c r="B9" s="27" t="s">
        <v>1008</v>
      </c>
      <c r="C9" s="27" t="s">
        <v>39</v>
      </c>
      <c r="D9" s="31">
        <v>99</v>
      </c>
      <c r="E9" s="29">
        <v>999.90494999999999</v>
      </c>
      <c r="F9" s="30">
        <v>7.83036511950883</v>
      </c>
      <c r="G9" s="29">
        <v>3.4801000000000002</v>
      </c>
    </row>
    <row r="10" spans="1:7" x14ac:dyDescent="0.2">
      <c r="A10" s="27" t="s">
        <v>1427</v>
      </c>
      <c r="B10" s="27" t="s">
        <v>1428</v>
      </c>
      <c r="C10" s="27" t="s">
        <v>39</v>
      </c>
      <c r="D10" s="31">
        <v>97</v>
      </c>
      <c r="E10" s="29">
        <v>980.58464000000004</v>
      </c>
      <c r="F10" s="30">
        <v>7.6790656569728197</v>
      </c>
      <c r="G10" s="29">
        <v>3.5701000000000001</v>
      </c>
    </row>
    <row r="11" spans="1:7" x14ac:dyDescent="0.2">
      <c r="A11" s="27" t="s">
        <v>1440</v>
      </c>
      <c r="B11" s="27" t="s">
        <v>1441</v>
      </c>
      <c r="C11" s="27" t="s">
        <v>39</v>
      </c>
      <c r="D11" s="31">
        <v>73</v>
      </c>
      <c r="E11" s="29">
        <v>730.16133000000002</v>
      </c>
      <c r="F11" s="30">
        <v>5.7179733034086597</v>
      </c>
      <c r="G11" s="29">
        <v>3.3433000000000002</v>
      </c>
    </row>
    <row r="12" spans="1:7" x14ac:dyDescent="0.2">
      <c r="A12" s="27" t="s">
        <v>1307</v>
      </c>
      <c r="B12" s="27" t="s">
        <v>1308</v>
      </c>
      <c r="C12" s="27" t="s">
        <v>39</v>
      </c>
      <c r="D12" s="31">
        <v>5</v>
      </c>
      <c r="E12" s="29">
        <v>502.255</v>
      </c>
      <c r="F12" s="30">
        <v>3.93321388507868</v>
      </c>
      <c r="G12" s="29">
        <v>3.4704000000000002</v>
      </c>
    </row>
    <row r="13" spans="1:7" x14ac:dyDescent="0.2">
      <c r="A13" s="27" t="s">
        <v>1470</v>
      </c>
      <c r="B13" s="27" t="s">
        <v>1471</v>
      </c>
      <c r="C13" s="27" t="s">
        <v>894</v>
      </c>
      <c r="D13" s="31">
        <v>50</v>
      </c>
      <c r="E13" s="29">
        <v>500.8775</v>
      </c>
      <c r="F13" s="30">
        <v>3.9224265317886302</v>
      </c>
      <c r="G13" s="29">
        <v>3.5457000000000001</v>
      </c>
    </row>
    <row r="14" spans="1:7" x14ac:dyDescent="0.2">
      <c r="A14" s="27" t="s">
        <v>1247</v>
      </c>
      <c r="B14" s="27" t="s">
        <v>1248</v>
      </c>
      <c r="C14" s="27" t="s">
        <v>1249</v>
      </c>
      <c r="D14" s="31">
        <v>24</v>
      </c>
      <c r="E14" s="29">
        <v>302.33375999999998</v>
      </c>
      <c r="F14" s="30">
        <v>2.3676087699675401</v>
      </c>
      <c r="G14" s="29">
        <v>4.1501000000000001</v>
      </c>
    </row>
    <row r="15" spans="1:7" x14ac:dyDescent="0.2">
      <c r="A15" s="27" t="s">
        <v>1447</v>
      </c>
      <c r="B15" s="27" t="s">
        <v>1448</v>
      </c>
      <c r="C15" s="27" t="s">
        <v>39</v>
      </c>
      <c r="D15" s="31">
        <v>18</v>
      </c>
      <c r="E15" s="29">
        <v>178.31934000000001</v>
      </c>
      <c r="F15" s="30">
        <v>1.3964382715275401</v>
      </c>
      <c r="G15" s="29">
        <v>4.0000999999999998</v>
      </c>
    </row>
    <row r="16" spans="1:7" x14ac:dyDescent="0.2">
      <c r="A16" s="27" t="s">
        <v>946</v>
      </c>
      <c r="B16" s="27" t="s">
        <v>947</v>
      </c>
      <c r="C16" s="27" t="s">
        <v>39</v>
      </c>
      <c r="D16" s="31">
        <v>9</v>
      </c>
      <c r="E16" s="29">
        <v>90.464309999999998</v>
      </c>
      <c r="F16" s="30">
        <v>0.70843591441809906</v>
      </c>
      <c r="G16" s="29">
        <v>3.2799</v>
      </c>
    </row>
    <row r="17" spans="1:9" x14ac:dyDescent="0.2">
      <c r="A17" s="27" t="s">
        <v>1425</v>
      </c>
      <c r="B17" s="27" t="s">
        <v>1426</v>
      </c>
      <c r="C17" s="27" t="s">
        <v>39</v>
      </c>
      <c r="D17" s="31">
        <v>6</v>
      </c>
      <c r="E17" s="29">
        <v>75.795479999999998</v>
      </c>
      <c r="F17" s="30">
        <v>0.593562700943154</v>
      </c>
      <c r="G17" s="29">
        <v>4</v>
      </c>
    </row>
    <row r="18" spans="1:9" x14ac:dyDescent="0.2">
      <c r="A18" s="27" t="s">
        <v>922</v>
      </c>
      <c r="B18" s="27" t="s">
        <v>923</v>
      </c>
      <c r="C18" s="27" t="s">
        <v>894</v>
      </c>
      <c r="D18" s="31">
        <v>3</v>
      </c>
      <c r="E18" s="29">
        <v>38.070480000000003</v>
      </c>
      <c r="F18" s="30">
        <v>0.298134096320814</v>
      </c>
      <c r="G18" s="29">
        <v>5.0350000000000001</v>
      </c>
    </row>
    <row r="19" spans="1:9" x14ac:dyDescent="0.2">
      <c r="A19" s="27" t="s">
        <v>1245</v>
      </c>
      <c r="B19" s="27" t="s">
        <v>1246</v>
      </c>
      <c r="C19" s="27" t="s">
        <v>39</v>
      </c>
      <c r="D19" s="31">
        <v>3</v>
      </c>
      <c r="E19" s="29">
        <v>30.16986</v>
      </c>
      <c r="F19" s="30">
        <v>0.23626347624788199</v>
      </c>
      <c r="G19" s="29">
        <v>4.5350999999999999</v>
      </c>
    </row>
    <row r="20" spans="1:9" ht="10.5" x14ac:dyDescent="0.25">
      <c r="A20" s="26" t="s">
        <v>40</v>
      </c>
      <c r="B20" s="26"/>
      <c r="C20" s="26"/>
      <c r="D20" s="32"/>
      <c r="E20" s="33">
        <f>SUM(E6:E19)</f>
        <v>6567.5888300000006</v>
      </c>
      <c r="F20" s="34">
        <f>SUM(F6:F19)</f>
        <v>51.431507058453697</v>
      </c>
      <c r="G20" s="33"/>
      <c r="H20" s="18"/>
      <c r="I20" s="18"/>
    </row>
    <row r="21" spans="1:9" x14ac:dyDescent="0.2">
      <c r="A21" s="27"/>
      <c r="B21" s="27"/>
      <c r="C21" s="27"/>
      <c r="D21" s="28"/>
      <c r="E21" s="29"/>
      <c r="F21" s="30"/>
      <c r="G21" s="29"/>
    </row>
    <row r="22" spans="1:9" ht="10.5" x14ac:dyDescent="0.25">
      <c r="A22" s="26" t="s">
        <v>41</v>
      </c>
      <c r="B22" s="27"/>
      <c r="C22" s="27"/>
      <c r="D22" s="28"/>
      <c r="E22" s="29"/>
      <c r="F22" s="30"/>
      <c r="G22" s="29"/>
    </row>
    <row r="23" spans="1:9" x14ac:dyDescent="0.2">
      <c r="A23" s="27" t="s">
        <v>1472</v>
      </c>
      <c r="B23" s="27" t="s">
        <v>1473</v>
      </c>
      <c r="C23" s="27" t="s">
        <v>39</v>
      </c>
      <c r="D23" s="31">
        <v>100</v>
      </c>
      <c r="E23" s="29">
        <v>1000.2089999999999</v>
      </c>
      <c r="F23" s="30">
        <v>7.8327461683421102</v>
      </c>
      <c r="G23" s="29">
        <v>4.03</v>
      </c>
    </row>
    <row r="24" spans="1:9" x14ac:dyDescent="0.2">
      <c r="A24" s="27" t="s">
        <v>952</v>
      </c>
      <c r="B24" s="27" t="s">
        <v>953</v>
      </c>
      <c r="C24" s="27" t="s">
        <v>39</v>
      </c>
      <c r="D24" s="31">
        <v>56</v>
      </c>
      <c r="E24" s="29">
        <v>564.65192000000002</v>
      </c>
      <c r="F24" s="30">
        <v>4.4218509959688603</v>
      </c>
      <c r="G24" s="29">
        <v>3.7120000000000002</v>
      </c>
    </row>
    <row r="25" spans="1:9" ht="10.5" x14ac:dyDescent="0.25">
      <c r="A25" s="26" t="s">
        <v>40</v>
      </c>
      <c r="B25" s="26"/>
      <c r="C25" s="26"/>
      <c r="D25" s="32"/>
      <c r="E25" s="33">
        <f>SUM(E22:E24)</f>
        <v>1564.8609200000001</v>
      </c>
      <c r="F25" s="34">
        <f>SUM(F22:F24)</f>
        <v>12.254597164310971</v>
      </c>
      <c r="G25" s="33"/>
      <c r="H25" s="18"/>
      <c r="I25" s="18"/>
    </row>
    <row r="26" spans="1:9" x14ac:dyDescent="0.2">
      <c r="A26" s="27"/>
      <c r="B26" s="27"/>
      <c r="C26" s="27"/>
      <c r="D26" s="28"/>
      <c r="E26" s="29"/>
      <c r="F26" s="30"/>
      <c r="G26" s="29"/>
    </row>
    <row r="27" spans="1:9" ht="10.5" x14ac:dyDescent="0.25">
      <c r="A27" s="26" t="s">
        <v>57</v>
      </c>
      <c r="B27" s="27"/>
      <c r="C27" s="27"/>
      <c r="D27" s="28"/>
      <c r="E27" s="29"/>
      <c r="F27" s="30"/>
      <c r="G27" s="29"/>
    </row>
    <row r="28" spans="1:9" ht="10.5" x14ac:dyDescent="0.25">
      <c r="A28" s="26" t="s">
        <v>58</v>
      </c>
      <c r="B28" s="27"/>
      <c r="C28" s="27"/>
      <c r="D28" s="28"/>
      <c r="E28" s="29"/>
      <c r="F28" s="30"/>
      <c r="G28" s="29"/>
    </row>
    <row r="29" spans="1:9" x14ac:dyDescent="0.2">
      <c r="A29" s="27" t="s">
        <v>812</v>
      </c>
      <c r="B29" s="27" t="s">
        <v>813</v>
      </c>
      <c r="C29" s="27" t="s">
        <v>62</v>
      </c>
      <c r="D29" s="31">
        <v>222</v>
      </c>
      <c r="E29" s="29">
        <v>221.309358</v>
      </c>
      <c r="F29" s="30">
        <v>1.73309780845079</v>
      </c>
      <c r="G29" s="29">
        <v>3.3502000000000001</v>
      </c>
    </row>
    <row r="30" spans="1:9" ht="10.5" x14ac:dyDescent="0.25">
      <c r="A30" s="26" t="s">
        <v>40</v>
      </c>
      <c r="B30" s="26"/>
      <c r="C30" s="26"/>
      <c r="D30" s="32"/>
      <c r="E30" s="33">
        <f>SUM(E28:E29)</f>
        <v>221.309358</v>
      </c>
      <c r="F30" s="34">
        <f>SUM(F28:F29)</f>
        <v>1.73309780845079</v>
      </c>
      <c r="G30" s="33"/>
      <c r="H30" s="18"/>
      <c r="I30" s="18"/>
    </row>
    <row r="31" spans="1:9" x14ac:dyDescent="0.2">
      <c r="A31" s="27"/>
      <c r="B31" s="27"/>
      <c r="C31" s="27"/>
      <c r="D31" s="28"/>
      <c r="E31" s="29"/>
      <c r="F31" s="30"/>
      <c r="G31" s="29"/>
    </row>
    <row r="32" spans="1:9" ht="10.5" x14ac:dyDescent="0.25">
      <c r="A32" s="26" t="s">
        <v>63</v>
      </c>
      <c r="B32" s="27"/>
      <c r="C32" s="27"/>
      <c r="D32" s="28"/>
      <c r="E32" s="29"/>
      <c r="F32" s="30"/>
      <c r="G32" s="29"/>
    </row>
    <row r="33" spans="1:9" x14ac:dyDescent="0.2">
      <c r="A33" s="27" t="s">
        <v>1444</v>
      </c>
      <c r="B33" s="27" t="s">
        <v>1445</v>
      </c>
      <c r="C33" s="27" t="s">
        <v>816</v>
      </c>
      <c r="D33" s="31">
        <v>77</v>
      </c>
      <c r="E33" s="29">
        <v>383.89158500000002</v>
      </c>
      <c r="F33" s="30">
        <v>3.0062970253892201</v>
      </c>
      <c r="G33" s="29">
        <v>3.4001999999999999</v>
      </c>
    </row>
    <row r="34" spans="1:9" ht="10.5" x14ac:dyDescent="0.25">
      <c r="A34" s="26" t="s">
        <v>40</v>
      </c>
      <c r="B34" s="26"/>
      <c r="C34" s="26"/>
      <c r="D34" s="32"/>
      <c r="E34" s="33">
        <f>SUM(E32:E33)</f>
        <v>383.89158500000002</v>
      </c>
      <c r="F34" s="34">
        <f>SUM(F32:F33)</f>
        <v>3.0062970253892201</v>
      </c>
      <c r="G34" s="33"/>
      <c r="H34" s="18"/>
      <c r="I34" s="18"/>
    </row>
    <row r="35" spans="1:9" x14ac:dyDescent="0.2">
      <c r="A35" s="27"/>
      <c r="B35" s="27"/>
      <c r="C35" s="27"/>
      <c r="D35" s="28"/>
      <c r="E35" s="29"/>
      <c r="F35" s="30"/>
      <c r="G35" s="29"/>
    </row>
    <row r="36" spans="1:9" ht="10.5" x14ac:dyDescent="0.25">
      <c r="A36" s="26" t="s">
        <v>66</v>
      </c>
      <c r="B36" s="27"/>
      <c r="C36" s="27"/>
      <c r="D36" s="28"/>
      <c r="E36" s="29"/>
      <c r="F36" s="30"/>
      <c r="G36" s="29"/>
    </row>
    <row r="37" spans="1:9" x14ac:dyDescent="0.2">
      <c r="A37" s="27" t="s">
        <v>96</v>
      </c>
      <c r="B37" s="27" t="s">
        <v>95</v>
      </c>
      <c r="C37" s="27" t="s">
        <v>80</v>
      </c>
      <c r="D37" s="31">
        <v>2700000</v>
      </c>
      <c r="E37" s="29">
        <v>2685.3173999999999</v>
      </c>
      <c r="F37" s="30">
        <v>21.029014511599499</v>
      </c>
      <c r="G37" s="29">
        <v>3.2719999999999998</v>
      </c>
    </row>
    <row r="38" spans="1:9" x14ac:dyDescent="0.2">
      <c r="A38" s="27" t="s">
        <v>833</v>
      </c>
      <c r="B38" s="27" t="s">
        <v>834</v>
      </c>
      <c r="C38" s="27" t="s">
        <v>80</v>
      </c>
      <c r="D38" s="31">
        <v>710000</v>
      </c>
      <c r="E38" s="29">
        <v>706.58135000000004</v>
      </c>
      <c r="F38" s="30">
        <v>5.5333158988116402</v>
      </c>
      <c r="G38" s="29">
        <v>3.2703000000000002</v>
      </c>
    </row>
    <row r="39" spans="1:9" ht="10.5" x14ac:dyDescent="0.25">
      <c r="A39" s="26" t="s">
        <v>40</v>
      </c>
      <c r="B39" s="26"/>
      <c r="C39" s="26"/>
      <c r="D39" s="32"/>
      <c r="E39" s="33">
        <f>SUM(E36:E38)</f>
        <v>3391.8987499999998</v>
      </c>
      <c r="F39" s="34">
        <f>SUM(F36:F38)</f>
        <v>26.562330410411139</v>
      </c>
      <c r="G39" s="33"/>
      <c r="H39" s="18"/>
      <c r="I39" s="18"/>
    </row>
    <row r="40" spans="1:9" x14ac:dyDescent="0.2">
      <c r="A40" s="27"/>
      <c r="B40" s="27"/>
      <c r="C40" s="27"/>
      <c r="D40" s="28"/>
      <c r="E40" s="29"/>
      <c r="F40" s="30"/>
      <c r="G40" s="29"/>
    </row>
    <row r="41" spans="1:9" ht="10.5" x14ac:dyDescent="0.25">
      <c r="A41" s="26" t="s">
        <v>44</v>
      </c>
      <c r="B41" s="26"/>
      <c r="C41" s="26"/>
      <c r="D41" s="32"/>
      <c r="E41" s="33">
        <f>E20+E25+E30+E34+E39</f>
        <v>12129.549443</v>
      </c>
      <c r="F41" s="34">
        <f>F20+F25+F30+F34+F39</f>
        <v>94.987829467015814</v>
      </c>
      <c r="G41" s="33"/>
      <c r="H41" s="18"/>
      <c r="I41" s="18"/>
    </row>
    <row r="42" spans="1:9" ht="10.5" x14ac:dyDescent="0.25">
      <c r="A42" s="26"/>
      <c r="B42" s="26"/>
      <c r="C42" s="26"/>
      <c r="D42" s="32"/>
      <c r="E42" s="33"/>
      <c r="F42" s="34"/>
      <c r="G42" s="33"/>
      <c r="H42" s="18"/>
      <c r="I42" s="18"/>
    </row>
    <row r="43" spans="1:9" ht="10.5" x14ac:dyDescent="0.25">
      <c r="A43" s="26" t="s">
        <v>46</v>
      </c>
      <c r="B43" s="26"/>
      <c r="C43" s="26"/>
      <c r="D43" s="32"/>
      <c r="E43" s="33">
        <f>E45-(E20+E25+E30+E34+E39)</f>
        <v>640.03326150000066</v>
      </c>
      <c r="F43" s="34">
        <f>F45-(F20+F25+F30+F34+F39)</f>
        <v>5.0121705329841859</v>
      </c>
      <c r="G43" s="33"/>
      <c r="H43" s="18"/>
      <c r="I43" s="18"/>
    </row>
    <row r="44" spans="1:9" ht="10.5" x14ac:dyDescent="0.25">
      <c r="A44" s="26"/>
      <c r="B44" s="26"/>
      <c r="C44" s="26"/>
      <c r="D44" s="32"/>
      <c r="E44" s="33"/>
      <c r="F44" s="34"/>
      <c r="G44" s="33"/>
      <c r="H44" s="18"/>
      <c r="I44" s="18"/>
    </row>
    <row r="45" spans="1:9" ht="10.5" x14ac:dyDescent="0.25">
      <c r="A45" s="35" t="s">
        <v>45</v>
      </c>
      <c r="B45" s="35"/>
      <c r="C45" s="35"/>
      <c r="D45" s="36"/>
      <c r="E45" s="37">
        <v>12769.582704500001</v>
      </c>
      <c r="F45" s="38">
        <v>100</v>
      </c>
      <c r="G45" s="37"/>
      <c r="H45" s="18"/>
      <c r="I45" s="18"/>
    </row>
    <row r="47" spans="1:9" ht="10.5" x14ac:dyDescent="0.25">
      <c r="A47" s="18" t="s">
        <v>67</v>
      </c>
    </row>
    <row r="48" spans="1:9" ht="10.5" x14ac:dyDescent="0.25">
      <c r="A48" s="18" t="s">
        <v>47</v>
      </c>
    </row>
    <row r="50" spans="1:5" ht="10.5" x14ac:dyDescent="0.25">
      <c r="A50" s="18" t="s">
        <v>48</v>
      </c>
    </row>
    <row r="51" spans="1:5" ht="10.5" x14ac:dyDescent="0.25">
      <c r="A51" s="18" t="s">
        <v>49</v>
      </c>
    </row>
    <row r="52" spans="1:5" ht="10.5" x14ac:dyDescent="0.25">
      <c r="A52" s="18" t="s">
        <v>50</v>
      </c>
      <c r="B52" s="18"/>
      <c r="C52" s="41" t="s">
        <v>727</v>
      </c>
      <c r="D52" s="19" t="s">
        <v>51</v>
      </c>
    </row>
    <row r="53" spans="1:5" x14ac:dyDescent="0.2">
      <c r="A53" s="9" t="s">
        <v>71</v>
      </c>
      <c r="C53" s="40">
        <v>12.261900000000001</v>
      </c>
      <c r="D53" s="40">
        <v>12.5016</v>
      </c>
    </row>
    <row r="54" spans="1:5" x14ac:dyDescent="0.2">
      <c r="A54" s="9" t="s">
        <v>1329</v>
      </c>
      <c r="C54" s="40">
        <v>10.7041</v>
      </c>
      <c r="D54" s="40">
        <v>10.166399999999999</v>
      </c>
    </row>
    <row r="55" spans="1:5" x14ac:dyDescent="0.2">
      <c r="A55" s="9" t="s">
        <v>73</v>
      </c>
      <c r="C55" s="40">
        <v>10.301399999999999</v>
      </c>
      <c r="D55" s="40">
        <v>10.1599</v>
      </c>
    </row>
    <row r="56" spans="1:5" x14ac:dyDescent="0.2">
      <c r="A56" s="9" t="s">
        <v>74</v>
      </c>
      <c r="C56" s="40">
        <v>12.323399999999999</v>
      </c>
      <c r="D56" s="40">
        <v>12.5642</v>
      </c>
    </row>
    <row r="58" spans="1:5" ht="10.5" x14ac:dyDescent="0.25">
      <c r="A58" s="18" t="s">
        <v>52</v>
      </c>
    </row>
    <row r="59" spans="1:5" ht="10.5" x14ac:dyDescent="0.25">
      <c r="A59" s="77" t="s">
        <v>68</v>
      </c>
      <c r="B59" s="78"/>
      <c r="C59" s="43" t="s">
        <v>69</v>
      </c>
    </row>
    <row r="60" spans="1:5" x14ac:dyDescent="0.2">
      <c r="A60" s="71" t="s">
        <v>1329</v>
      </c>
      <c r="B60" s="72"/>
      <c r="C60" s="44">
        <v>0.745</v>
      </c>
    </row>
    <row r="61" spans="1:5" x14ac:dyDescent="0.2">
      <c r="A61" s="71" t="s">
        <v>73</v>
      </c>
      <c r="B61" s="72"/>
      <c r="C61" s="44">
        <v>0.34</v>
      </c>
    </row>
    <row r="62" spans="1:5" x14ac:dyDescent="0.2">
      <c r="A62" s="9" t="s">
        <v>70</v>
      </c>
    </row>
    <row r="64" spans="1:5" ht="10.5" x14ac:dyDescent="0.25">
      <c r="A64" s="18" t="s">
        <v>798</v>
      </c>
      <c r="D64" s="42">
        <v>0.12716473350684901</v>
      </c>
      <c r="E64" s="13" t="s">
        <v>54</v>
      </c>
    </row>
    <row r="66" spans="1:7" ht="10.5" x14ac:dyDescent="0.25">
      <c r="A66" s="18" t="s">
        <v>1502</v>
      </c>
      <c r="D66" s="41" t="s">
        <v>53</v>
      </c>
    </row>
    <row r="68" spans="1:7" ht="15" customHeight="1" x14ac:dyDescent="0.2">
      <c r="A68" s="73" t="s">
        <v>799</v>
      </c>
      <c r="B68" s="74"/>
      <c r="C68" s="74"/>
      <c r="D68" s="74"/>
      <c r="E68" s="74"/>
      <c r="F68" s="74"/>
      <c r="G68" s="74"/>
    </row>
    <row r="69" spans="1:7" x14ac:dyDescent="0.2">
      <c r="A69" s="46" t="s">
        <v>55</v>
      </c>
    </row>
    <row r="71" spans="1:7" x14ac:dyDescent="0.2">
      <c r="A71" s="46"/>
    </row>
  </sheetData>
  <mergeCells count="5">
    <mergeCell ref="A1:G1"/>
    <mergeCell ref="A59:B59"/>
    <mergeCell ref="A60:B60"/>
    <mergeCell ref="A61:B61"/>
    <mergeCell ref="A68:G68"/>
  </mergeCells>
  <conditionalFormatting sqref="F2:F3 F5:F67 F72:F65536">
    <cfRule type="cellIs" dxfId="40" priority="3" stopIfTrue="1" operator="between">
      <formula>0.009</formula>
      <formula>-0.009</formula>
    </cfRule>
  </conditionalFormatting>
  <conditionalFormatting sqref="F69">
    <cfRule type="cellIs" dxfId="39" priority="1" stopIfTrue="1" operator="between">
      <formula>0.009</formula>
      <formula>-0.009</formula>
    </cfRule>
  </conditionalFormatting>
  <conditionalFormatting sqref="F70:F71">
    <cfRule type="cellIs" dxfId="38" priority="2" stopIfTrue="1" operator="between">
      <formula>0.009</formula>
      <formula>-0.009</formula>
    </cfRule>
  </conditionalFormatting>
  <hyperlinks>
    <hyperlink ref="A69" r:id="rId1" xr:uid="{00000000-0004-0000-21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75"/>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1474</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749</v>
      </c>
      <c r="D4" s="16" t="s">
        <v>1</v>
      </c>
      <c r="E4" s="15" t="s">
        <v>3</v>
      </c>
      <c r="F4" s="15" t="s">
        <v>4</v>
      </c>
      <c r="G4" s="15" t="s">
        <v>6</v>
      </c>
    </row>
    <row r="5" spans="1:7" ht="10.5" x14ac:dyDescent="0.25">
      <c r="A5" s="21" t="s">
        <v>31</v>
      </c>
      <c r="B5" s="22"/>
      <c r="C5" s="22"/>
      <c r="D5" s="23"/>
      <c r="E5" s="24"/>
      <c r="F5" s="25"/>
      <c r="G5" s="24"/>
    </row>
    <row r="6" spans="1:7" ht="10.5" x14ac:dyDescent="0.25">
      <c r="A6" s="26" t="s">
        <v>32</v>
      </c>
      <c r="B6" s="27"/>
      <c r="C6" s="27"/>
      <c r="D6" s="28"/>
      <c r="E6" s="29"/>
      <c r="F6" s="30"/>
      <c r="G6" s="29"/>
    </row>
    <row r="7" spans="1:7" x14ac:dyDescent="0.2">
      <c r="A7" s="27" t="s">
        <v>1475</v>
      </c>
      <c r="B7" s="27" t="s">
        <v>1476</v>
      </c>
      <c r="C7" s="27" t="s">
        <v>39</v>
      </c>
      <c r="D7" s="31">
        <v>150</v>
      </c>
      <c r="E7" s="29">
        <v>1504.8195000000001</v>
      </c>
      <c r="F7" s="30">
        <v>7.7247379934866096</v>
      </c>
      <c r="G7" s="29">
        <v>3.355</v>
      </c>
    </row>
    <row r="8" spans="1:7" x14ac:dyDescent="0.2">
      <c r="A8" s="27" t="s">
        <v>1468</v>
      </c>
      <c r="B8" s="27" t="s">
        <v>1469</v>
      </c>
      <c r="C8" s="27" t="s">
        <v>894</v>
      </c>
      <c r="D8" s="31">
        <v>150</v>
      </c>
      <c r="E8" s="29">
        <v>1504.6965</v>
      </c>
      <c r="F8" s="30">
        <v>7.7241065936587896</v>
      </c>
      <c r="G8" s="29">
        <v>3.6406000000000001</v>
      </c>
    </row>
    <row r="9" spans="1:7" x14ac:dyDescent="0.2">
      <c r="A9" s="27" t="s">
        <v>1307</v>
      </c>
      <c r="B9" s="27" t="s">
        <v>1308</v>
      </c>
      <c r="C9" s="27" t="s">
        <v>39</v>
      </c>
      <c r="D9" s="31">
        <v>14</v>
      </c>
      <c r="E9" s="29">
        <v>1406.3140000000001</v>
      </c>
      <c r="F9" s="30">
        <v>7.2190765647123296</v>
      </c>
      <c r="G9" s="29">
        <v>3.4704000000000002</v>
      </c>
    </row>
    <row r="10" spans="1:7" x14ac:dyDescent="0.2">
      <c r="A10" s="27" t="s">
        <v>1434</v>
      </c>
      <c r="B10" s="27" t="s">
        <v>1435</v>
      </c>
      <c r="C10" s="27" t="s">
        <v>39</v>
      </c>
      <c r="D10" s="31">
        <v>116</v>
      </c>
      <c r="E10" s="29">
        <v>1165.66776</v>
      </c>
      <c r="F10" s="30">
        <v>5.9837595362463301</v>
      </c>
      <c r="G10" s="29">
        <v>3.4</v>
      </c>
    </row>
    <row r="11" spans="1:7" x14ac:dyDescent="0.2">
      <c r="A11" s="27" t="s">
        <v>1477</v>
      </c>
      <c r="B11" s="27" t="s">
        <v>1478</v>
      </c>
      <c r="C11" s="27" t="s">
        <v>39</v>
      </c>
      <c r="D11" s="31">
        <v>100</v>
      </c>
      <c r="E11" s="29">
        <v>1003.428</v>
      </c>
      <c r="F11" s="30">
        <v>5.1509289953567698</v>
      </c>
      <c r="G11" s="29">
        <v>5.0498000000000003</v>
      </c>
    </row>
    <row r="12" spans="1:7" x14ac:dyDescent="0.2">
      <c r="A12" s="27" t="s">
        <v>1479</v>
      </c>
      <c r="B12" s="27" t="s">
        <v>1480</v>
      </c>
      <c r="C12" s="27" t="s">
        <v>39</v>
      </c>
      <c r="D12" s="31">
        <v>40</v>
      </c>
      <c r="E12" s="29">
        <v>1002.125</v>
      </c>
      <c r="F12" s="30">
        <v>5.1442402638474398</v>
      </c>
      <c r="G12" s="29">
        <v>5.1597999999999997</v>
      </c>
    </row>
    <row r="13" spans="1:7" x14ac:dyDescent="0.2">
      <c r="A13" s="27" t="s">
        <v>1481</v>
      </c>
      <c r="B13" s="27" t="s">
        <v>1482</v>
      </c>
      <c r="C13" s="27" t="s">
        <v>39</v>
      </c>
      <c r="D13" s="31">
        <v>100</v>
      </c>
      <c r="E13" s="29">
        <v>1000</v>
      </c>
      <c r="F13" s="30">
        <v>5.1333319334887699</v>
      </c>
      <c r="G13" s="29">
        <v>3.35</v>
      </c>
    </row>
    <row r="14" spans="1:7" x14ac:dyDescent="0.2">
      <c r="A14" s="27" t="s">
        <v>1483</v>
      </c>
      <c r="B14" s="27" t="s">
        <v>1484</v>
      </c>
      <c r="C14" s="27" t="s">
        <v>850</v>
      </c>
      <c r="D14" s="31">
        <v>800</v>
      </c>
      <c r="E14" s="29">
        <v>801.33680000000004</v>
      </c>
      <c r="F14" s="30">
        <v>4.1135277849197101</v>
      </c>
      <c r="G14" s="29">
        <v>3.3898999999999999</v>
      </c>
    </row>
    <row r="15" spans="1:7" x14ac:dyDescent="0.2">
      <c r="A15" s="27" t="s">
        <v>1485</v>
      </c>
      <c r="B15" s="27" t="s">
        <v>1486</v>
      </c>
      <c r="C15" s="27" t="s">
        <v>39</v>
      </c>
      <c r="D15" s="31">
        <v>40</v>
      </c>
      <c r="E15" s="29">
        <v>504.78149999999999</v>
      </c>
      <c r="F15" s="30">
        <v>2.5912109933843599</v>
      </c>
      <c r="G15" s="29">
        <v>3.3549000000000002</v>
      </c>
    </row>
    <row r="16" spans="1:7" x14ac:dyDescent="0.2">
      <c r="A16" s="27" t="s">
        <v>1487</v>
      </c>
      <c r="B16" s="27" t="s">
        <v>1488</v>
      </c>
      <c r="C16" s="27" t="s">
        <v>39</v>
      </c>
      <c r="D16" s="31">
        <v>50</v>
      </c>
      <c r="E16" s="29">
        <v>503.53300000000002</v>
      </c>
      <c r="F16" s="30">
        <v>2.5848020284654001</v>
      </c>
      <c r="G16" s="29">
        <v>3.3700999999999999</v>
      </c>
    </row>
    <row r="17" spans="1:9" x14ac:dyDescent="0.2">
      <c r="A17" s="27" t="s">
        <v>1489</v>
      </c>
      <c r="B17" s="27" t="s">
        <v>1490</v>
      </c>
      <c r="C17" s="27" t="s">
        <v>39</v>
      </c>
      <c r="D17" s="31">
        <v>50</v>
      </c>
      <c r="E17" s="29">
        <v>501.94650000000001</v>
      </c>
      <c r="F17" s="30">
        <v>2.5766579973529198</v>
      </c>
      <c r="G17" s="29">
        <v>3.3702999999999999</v>
      </c>
    </row>
    <row r="18" spans="1:9" x14ac:dyDescent="0.2">
      <c r="A18" s="27" t="s">
        <v>1440</v>
      </c>
      <c r="B18" s="27" t="s">
        <v>1441</v>
      </c>
      <c r="C18" s="27" t="s">
        <v>39</v>
      </c>
      <c r="D18" s="31">
        <v>44</v>
      </c>
      <c r="E18" s="29">
        <v>440.09724</v>
      </c>
      <c r="F18" s="30">
        <v>2.2591652159322702</v>
      </c>
      <c r="G18" s="29">
        <v>3.3433000000000002</v>
      </c>
    </row>
    <row r="19" spans="1:9" x14ac:dyDescent="0.2">
      <c r="A19" s="27" t="s">
        <v>1450</v>
      </c>
      <c r="B19" s="27" t="s">
        <v>1451</v>
      </c>
      <c r="C19" s="27" t="s">
        <v>39</v>
      </c>
      <c r="D19" s="31">
        <v>38</v>
      </c>
      <c r="E19" s="29">
        <v>382.80059999999997</v>
      </c>
      <c r="F19" s="30">
        <v>1.9650425441386601</v>
      </c>
      <c r="G19" s="29">
        <v>3.5701000000000001</v>
      </c>
    </row>
    <row r="20" spans="1:9" x14ac:dyDescent="0.2">
      <c r="A20" s="27" t="s">
        <v>1245</v>
      </c>
      <c r="B20" s="27" t="s">
        <v>1246</v>
      </c>
      <c r="C20" s="27" t="s">
        <v>39</v>
      </c>
      <c r="D20" s="31">
        <v>25</v>
      </c>
      <c r="E20" s="29">
        <v>251.41550000000001</v>
      </c>
      <c r="F20" s="30">
        <v>1.2905992147240499</v>
      </c>
      <c r="G20" s="29">
        <v>4.5350999999999999</v>
      </c>
    </row>
    <row r="21" spans="1:9" x14ac:dyDescent="0.2">
      <c r="A21" s="27" t="s">
        <v>946</v>
      </c>
      <c r="B21" s="27" t="s">
        <v>947</v>
      </c>
      <c r="C21" s="27" t="s">
        <v>39</v>
      </c>
      <c r="D21" s="31">
        <v>20</v>
      </c>
      <c r="E21" s="29">
        <v>201.0318</v>
      </c>
      <c r="F21" s="30">
        <v>1.03196295858673</v>
      </c>
      <c r="G21" s="29">
        <v>3.2799</v>
      </c>
    </row>
    <row r="22" spans="1:9" x14ac:dyDescent="0.2">
      <c r="A22" s="27" t="s">
        <v>1456</v>
      </c>
      <c r="B22" s="27" t="s">
        <v>1457</v>
      </c>
      <c r="C22" s="27" t="s">
        <v>39</v>
      </c>
      <c r="D22" s="31">
        <v>15</v>
      </c>
      <c r="E22" s="29">
        <v>189.05175</v>
      </c>
      <c r="F22" s="30">
        <v>0.97046538535693605</v>
      </c>
      <c r="G22" s="29">
        <v>3.3549000000000002</v>
      </c>
    </row>
    <row r="23" spans="1:9" x14ac:dyDescent="0.2">
      <c r="A23" s="27" t="s">
        <v>1380</v>
      </c>
      <c r="B23" s="27" t="s">
        <v>1381</v>
      </c>
      <c r="C23" s="27" t="s">
        <v>39</v>
      </c>
      <c r="D23" s="31">
        <v>10</v>
      </c>
      <c r="E23" s="29">
        <v>126.3536</v>
      </c>
      <c r="F23" s="30">
        <v>0.64861496979126698</v>
      </c>
      <c r="G23" s="29">
        <v>3.5649000000000002</v>
      </c>
    </row>
    <row r="24" spans="1:9" x14ac:dyDescent="0.2">
      <c r="A24" s="27" t="s">
        <v>1436</v>
      </c>
      <c r="B24" s="27" t="s">
        <v>1437</v>
      </c>
      <c r="C24" s="27" t="s">
        <v>850</v>
      </c>
      <c r="D24" s="31">
        <v>1</v>
      </c>
      <c r="E24" s="29">
        <v>10.069800000000001</v>
      </c>
      <c r="F24" s="30">
        <v>5.1691625903845198E-2</v>
      </c>
      <c r="G24" s="29">
        <v>3.5949</v>
      </c>
    </row>
    <row r="25" spans="1:9" ht="10.5" x14ac:dyDescent="0.25">
      <c r="A25" s="26" t="s">
        <v>40</v>
      </c>
      <c r="B25" s="26"/>
      <c r="C25" s="26"/>
      <c r="D25" s="32"/>
      <c r="E25" s="33">
        <f>SUM(E6:E24)</f>
        <v>12499.468849999997</v>
      </c>
      <c r="F25" s="34">
        <f>SUM(F6:F24)</f>
        <v>64.163922599353171</v>
      </c>
      <c r="G25" s="33"/>
      <c r="H25" s="18"/>
      <c r="I25" s="18"/>
    </row>
    <row r="26" spans="1:9" x14ac:dyDescent="0.2">
      <c r="A26" s="27"/>
      <c r="B26" s="27"/>
      <c r="C26" s="27"/>
      <c r="D26" s="28"/>
      <c r="E26" s="29"/>
      <c r="F26" s="30"/>
      <c r="G26" s="29"/>
    </row>
    <row r="27" spans="1:9" ht="10.5" x14ac:dyDescent="0.25">
      <c r="A27" s="26" t="s">
        <v>41</v>
      </c>
      <c r="B27" s="27"/>
      <c r="C27" s="27"/>
      <c r="D27" s="28"/>
      <c r="E27" s="29"/>
      <c r="F27" s="30"/>
      <c r="G27" s="29"/>
    </row>
    <row r="28" spans="1:9" x14ac:dyDescent="0.2">
      <c r="A28" s="27" t="s">
        <v>1429</v>
      </c>
      <c r="B28" s="27" t="s">
        <v>1430</v>
      </c>
      <c r="C28" s="27" t="s">
        <v>850</v>
      </c>
      <c r="D28" s="31">
        <v>150</v>
      </c>
      <c r="E28" s="29">
        <v>1503.7964999999999</v>
      </c>
      <c r="F28" s="30">
        <v>7.7194865949186502</v>
      </c>
      <c r="G28" s="29">
        <v>4.0145</v>
      </c>
    </row>
    <row r="29" spans="1:9" x14ac:dyDescent="0.2">
      <c r="A29" s="27" t="s">
        <v>1472</v>
      </c>
      <c r="B29" s="27" t="s">
        <v>1473</v>
      </c>
      <c r="C29" s="27" t="s">
        <v>39</v>
      </c>
      <c r="D29" s="31">
        <v>150</v>
      </c>
      <c r="E29" s="29">
        <v>1500.3135</v>
      </c>
      <c r="F29" s="30">
        <v>7.7016071997943101</v>
      </c>
      <c r="G29" s="29">
        <v>4.03</v>
      </c>
    </row>
    <row r="30" spans="1:9" ht="10.5" x14ac:dyDescent="0.25">
      <c r="A30" s="26" t="s">
        <v>40</v>
      </c>
      <c r="B30" s="26"/>
      <c r="C30" s="26"/>
      <c r="D30" s="32"/>
      <c r="E30" s="33">
        <f>SUM(E27:E29)</f>
        <v>3004.1099999999997</v>
      </c>
      <c r="F30" s="34">
        <f>SUM(F27:F29)</f>
        <v>15.421093794712959</v>
      </c>
      <c r="G30" s="33"/>
      <c r="H30" s="18"/>
      <c r="I30" s="18"/>
    </row>
    <row r="31" spans="1:9" x14ac:dyDescent="0.2">
      <c r="A31" s="27"/>
      <c r="B31" s="27"/>
      <c r="C31" s="27"/>
      <c r="D31" s="28"/>
      <c r="E31" s="29"/>
      <c r="F31" s="30"/>
      <c r="G31" s="29"/>
    </row>
    <row r="32" spans="1:9" ht="10.5" x14ac:dyDescent="0.25">
      <c r="A32" s="26" t="s">
        <v>57</v>
      </c>
      <c r="B32" s="27"/>
      <c r="C32" s="27"/>
      <c r="D32" s="28"/>
      <c r="E32" s="29"/>
      <c r="F32" s="30"/>
      <c r="G32" s="29"/>
    </row>
    <row r="33" spans="1:9" ht="10.5" x14ac:dyDescent="0.25">
      <c r="A33" s="26" t="s">
        <v>58</v>
      </c>
      <c r="B33" s="27"/>
      <c r="C33" s="27"/>
      <c r="D33" s="28"/>
      <c r="E33" s="29"/>
      <c r="F33" s="30"/>
      <c r="G33" s="29"/>
    </row>
    <row r="34" spans="1:9" x14ac:dyDescent="0.2">
      <c r="A34" s="27" t="s">
        <v>812</v>
      </c>
      <c r="B34" s="27" t="s">
        <v>813</v>
      </c>
      <c r="C34" s="27" t="s">
        <v>62</v>
      </c>
      <c r="D34" s="31">
        <v>322</v>
      </c>
      <c r="E34" s="29">
        <v>320.99825800000002</v>
      </c>
      <c r="F34" s="30">
        <v>1.6477906083856699</v>
      </c>
      <c r="G34" s="29">
        <v>3.3502000000000001</v>
      </c>
    </row>
    <row r="35" spans="1:9" ht="10.5" x14ac:dyDescent="0.25">
      <c r="A35" s="26" t="s">
        <v>40</v>
      </c>
      <c r="B35" s="26"/>
      <c r="C35" s="26"/>
      <c r="D35" s="32"/>
      <c r="E35" s="33">
        <f>SUM(E33:E34)</f>
        <v>320.99825800000002</v>
      </c>
      <c r="F35" s="34">
        <f>SUM(F33:F34)</f>
        <v>1.6477906083856699</v>
      </c>
      <c r="G35" s="33"/>
      <c r="H35" s="18"/>
      <c r="I35" s="18"/>
    </row>
    <row r="36" spans="1:9" x14ac:dyDescent="0.2">
      <c r="A36" s="27"/>
      <c r="B36" s="27"/>
      <c r="C36" s="27"/>
      <c r="D36" s="28"/>
      <c r="E36" s="29"/>
      <c r="F36" s="30"/>
      <c r="G36" s="29"/>
    </row>
    <row r="37" spans="1:9" ht="10.5" x14ac:dyDescent="0.25">
      <c r="A37" s="26" t="s">
        <v>66</v>
      </c>
      <c r="B37" s="27"/>
      <c r="C37" s="27"/>
      <c r="D37" s="28"/>
      <c r="E37" s="29"/>
      <c r="F37" s="30"/>
      <c r="G37" s="29"/>
    </row>
    <row r="38" spans="1:9" x14ac:dyDescent="0.2">
      <c r="A38" s="27" t="s">
        <v>96</v>
      </c>
      <c r="B38" s="27" t="s">
        <v>95</v>
      </c>
      <c r="C38" s="27" t="s">
        <v>80</v>
      </c>
      <c r="D38" s="31">
        <v>2500000</v>
      </c>
      <c r="E38" s="29">
        <v>2486.4050000000002</v>
      </c>
      <c r="F38" s="30">
        <v>12.7635421860862</v>
      </c>
      <c r="G38" s="29">
        <v>3.2719999999999998</v>
      </c>
    </row>
    <row r="39" spans="1:9" x14ac:dyDescent="0.2">
      <c r="A39" s="27" t="s">
        <v>833</v>
      </c>
      <c r="B39" s="27" t="s">
        <v>834</v>
      </c>
      <c r="C39" s="27" t="s">
        <v>80</v>
      </c>
      <c r="D39" s="31">
        <v>65000</v>
      </c>
      <c r="E39" s="29">
        <v>64.687025000000006</v>
      </c>
      <c r="F39" s="30">
        <v>0.332059971114887</v>
      </c>
      <c r="G39" s="29">
        <v>3.2703000000000002</v>
      </c>
    </row>
    <row r="40" spans="1:9" ht="10.5" x14ac:dyDescent="0.25">
      <c r="A40" s="26" t="s">
        <v>40</v>
      </c>
      <c r="B40" s="26"/>
      <c r="C40" s="26"/>
      <c r="D40" s="32"/>
      <c r="E40" s="33">
        <f>SUM(E37:E39)</f>
        <v>2551.0920250000004</v>
      </c>
      <c r="F40" s="34">
        <f>SUM(F37:F39)</f>
        <v>13.095602157201087</v>
      </c>
      <c r="G40" s="33"/>
      <c r="H40" s="18"/>
      <c r="I40" s="18"/>
    </row>
    <row r="41" spans="1:9" x14ac:dyDescent="0.2">
      <c r="A41" s="27"/>
      <c r="B41" s="27"/>
      <c r="C41" s="27"/>
      <c r="D41" s="28"/>
      <c r="E41" s="29"/>
      <c r="F41" s="30"/>
      <c r="G41" s="29"/>
    </row>
    <row r="42" spans="1:9" ht="10.5" x14ac:dyDescent="0.25">
      <c r="A42" s="26" t="s">
        <v>44</v>
      </c>
      <c r="B42" s="26"/>
      <c r="C42" s="26"/>
      <c r="D42" s="32"/>
      <c r="E42" s="33">
        <f>E25+E30+E35+E40</f>
        <v>18375.669132999999</v>
      </c>
      <c r="F42" s="34">
        <f>F25+F30+F35+F40</f>
        <v>94.328409159652892</v>
      </c>
      <c r="G42" s="33"/>
      <c r="H42" s="18"/>
      <c r="I42" s="18"/>
    </row>
    <row r="43" spans="1:9" ht="10.5" x14ac:dyDescent="0.25">
      <c r="A43" s="26"/>
      <c r="B43" s="26"/>
      <c r="C43" s="26"/>
      <c r="D43" s="32"/>
      <c r="E43" s="33"/>
      <c r="F43" s="34"/>
      <c r="G43" s="33"/>
      <c r="H43" s="18"/>
      <c r="I43" s="18"/>
    </row>
    <row r="44" spans="1:9" ht="10.5" x14ac:dyDescent="0.25">
      <c r="A44" s="26" t="s">
        <v>46</v>
      </c>
      <c r="B44" s="26"/>
      <c r="C44" s="26"/>
      <c r="D44" s="32"/>
      <c r="E44" s="33">
        <f>E46-(E25+E30+E35+E40)</f>
        <v>1104.8556597999996</v>
      </c>
      <c r="F44" s="34">
        <f>F46-(F25+F30+F35+F40)</f>
        <v>5.6715908403471076</v>
      </c>
      <c r="G44" s="33"/>
      <c r="H44" s="18"/>
      <c r="I44" s="18"/>
    </row>
    <row r="45" spans="1:9" ht="10.5" x14ac:dyDescent="0.25">
      <c r="A45" s="26"/>
      <c r="B45" s="26"/>
      <c r="C45" s="26"/>
      <c r="D45" s="32"/>
      <c r="E45" s="33"/>
      <c r="F45" s="34"/>
      <c r="G45" s="33"/>
      <c r="H45" s="18"/>
      <c r="I45" s="18"/>
    </row>
    <row r="46" spans="1:9" ht="10.5" x14ac:dyDescent="0.25">
      <c r="A46" s="35" t="s">
        <v>45</v>
      </c>
      <c r="B46" s="35"/>
      <c r="C46" s="35"/>
      <c r="D46" s="36"/>
      <c r="E46" s="37">
        <v>19480.524792799999</v>
      </c>
      <c r="F46" s="38">
        <v>100</v>
      </c>
      <c r="G46" s="37"/>
      <c r="H46" s="18"/>
      <c r="I46" s="18"/>
    </row>
    <row r="48" spans="1:9" ht="10.5" x14ac:dyDescent="0.25">
      <c r="A48" s="18" t="s">
        <v>47</v>
      </c>
    </row>
    <row r="50" spans="1:4" ht="10.5" x14ac:dyDescent="0.25">
      <c r="A50" s="18" t="s">
        <v>48</v>
      </c>
    </row>
    <row r="51" spans="1:4" ht="10.5" x14ac:dyDescent="0.25">
      <c r="A51" s="18" t="s">
        <v>49</v>
      </c>
    </row>
    <row r="52" spans="1:4" ht="10.5" x14ac:dyDescent="0.25">
      <c r="A52" s="18" t="s">
        <v>50</v>
      </c>
      <c r="B52" s="18"/>
      <c r="C52" s="41" t="s">
        <v>727</v>
      </c>
      <c r="D52" s="19" t="s">
        <v>51</v>
      </c>
    </row>
    <row r="53" spans="1:4" x14ac:dyDescent="0.2">
      <c r="A53" s="9" t="s">
        <v>71</v>
      </c>
      <c r="C53" s="40">
        <v>12.240399999999999</v>
      </c>
      <c r="D53" s="40">
        <v>12.4847</v>
      </c>
    </row>
    <row r="54" spans="1:4" x14ac:dyDescent="0.2">
      <c r="A54" s="9" t="s">
        <v>1329</v>
      </c>
      <c r="C54" s="40">
        <v>10.7415</v>
      </c>
      <c r="D54" s="40">
        <v>10.211399999999999</v>
      </c>
    </row>
    <row r="55" spans="1:4" x14ac:dyDescent="0.2">
      <c r="A55" s="9" t="s">
        <v>73</v>
      </c>
      <c r="C55" s="40">
        <v>10.3736</v>
      </c>
      <c r="D55" s="40">
        <v>10.2012</v>
      </c>
    </row>
    <row r="56" spans="1:4" x14ac:dyDescent="0.2">
      <c r="A56" s="9" t="s">
        <v>74</v>
      </c>
      <c r="C56" s="40">
        <v>12.3018</v>
      </c>
      <c r="D56" s="40">
        <v>12.5473</v>
      </c>
    </row>
    <row r="57" spans="1:4" x14ac:dyDescent="0.2">
      <c r="A57" s="9" t="s">
        <v>78</v>
      </c>
      <c r="C57" s="40">
        <v>10.7677</v>
      </c>
      <c r="D57" s="40">
        <v>10.238</v>
      </c>
    </row>
    <row r="58" spans="1:4" x14ac:dyDescent="0.2">
      <c r="A58" s="9" t="s">
        <v>76</v>
      </c>
      <c r="C58" s="40">
        <v>10.398</v>
      </c>
      <c r="D58" s="40">
        <v>10.226100000000001</v>
      </c>
    </row>
    <row r="60" spans="1:4" ht="10.5" x14ac:dyDescent="0.25">
      <c r="A60" s="18" t="s">
        <v>52</v>
      </c>
    </row>
    <row r="61" spans="1:4" ht="10.5" x14ac:dyDescent="0.25">
      <c r="A61" s="77" t="s">
        <v>68</v>
      </c>
      <c r="B61" s="78"/>
      <c r="C61" s="43" t="s">
        <v>69</v>
      </c>
    </row>
    <row r="62" spans="1:4" x14ac:dyDescent="0.2">
      <c r="A62" s="71" t="s">
        <v>1329</v>
      </c>
      <c r="B62" s="72"/>
      <c r="C62" s="44">
        <v>0.74</v>
      </c>
    </row>
    <row r="63" spans="1:4" x14ac:dyDescent="0.2">
      <c r="A63" s="71" t="s">
        <v>73</v>
      </c>
      <c r="B63" s="72"/>
      <c r="C63" s="44">
        <v>0.375</v>
      </c>
    </row>
    <row r="64" spans="1:4" x14ac:dyDescent="0.2">
      <c r="A64" s="71" t="s">
        <v>78</v>
      </c>
      <c r="B64" s="72"/>
      <c r="C64" s="44">
        <v>0.74</v>
      </c>
    </row>
    <row r="65" spans="1:7" x14ac:dyDescent="0.2">
      <c r="A65" s="71" t="s">
        <v>76</v>
      </c>
      <c r="B65" s="72"/>
      <c r="C65" s="44">
        <v>0.375</v>
      </c>
    </row>
    <row r="66" spans="1:7" x14ac:dyDescent="0.2">
      <c r="A66" s="9" t="s">
        <v>70</v>
      </c>
    </row>
    <row r="68" spans="1:7" ht="10.5" x14ac:dyDescent="0.25">
      <c r="A68" s="18" t="s">
        <v>798</v>
      </c>
      <c r="D68" s="42">
        <v>8.5144636356164399E-2</v>
      </c>
      <c r="E68" s="13" t="s">
        <v>54</v>
      </c>
    </row>
    <row r="70" spans="1:7" ht="10.5" x14ac:dyDescent="0.25">
      <c r="A70" s="18" t="s">
        <v>1502</v>
      </c>
      <c r="D70" s="41" t="s">
        <v>53</v>
      </c>
    </row>
    <row r="72" spans="1:7" ht="15" customHeight="1" x14ac:dyDescent="0.2">
      <c r="A72" s="73" t="s">
        <v>799</v>
      </c>
      <c r="B72" s="74"/>
      <c r="C72" s="74"/>
      <c r="D72" s="74"/>
      <c r="E72" s="74"/>
      <c r="F72" s="74"/>
      <c r="G72" s="74"/>
    </row>
    <row r="73" spans="1:7" x14ac:dyDescent="0.2">
      <c r="A73" s="46" t="s">
        <v>55</v>
      </c>
    </row>
    <row r="75" spans="1:7" x14ac:dyDescent="0.2">
      <c r="A75" s="46"/>
    </row>
  </sheetData>
  <mergeCells count="7">
    <mergeCell ref="A72:G72"/>
    <mergeCell ref="A1:G1"/>
    <mergeCell ref="A61:B61"/>
    <mergeCell ref="A62:B62"/>
    <mergeCell ref="A63:B63"/>
    <mergeCell ref="A64:B64"/>
    <mergeCell ref="A65:B65"/>
  </mergeCells>
  <conditionalFormatting sqref="F2:F3 F5:F71 F76:F65536">
    <cfRule type="cellIs" dxfId="37" priority="3" stopIfTrue="1" operator="between">
      <formula>0.009</formula>
      <formula>-0.009</formula>
    </cfRule>
  </conditionalFormatting>
  <conditionalFormatting sqref="F73">
    <cfRule type="cellIs" dxfId="36" priority="1" stopIfTrue="1" operator="between">
      <formula>0.009</formula>
      <formula>-0.009</formula>
    </cfRule>
  </conditionalFormatting>
  <conditionalFormatting sqref="F74:F75">
    <cfRule type="cellIs" dxfId="35" priority="2" stopIfTrue="1" operator="between">
      <formula>0.009</formula>
      <formula>-0.009</formula>
    </cfRule>
  </conditionalFormatting>
  <hyperlinks>
    <hyperlink ref="A73" r:id="rId1" xr:uid="{00000000-0004-0000-22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11"/>
  <sheetViews>
    <sheetView workbookViewId="0">
      <selection sqref="A1:G1"/>
    </sheetView>
  </sheetViews>
  <sheetFormatPr defaultColWidth="9.1796875" defaultRowHeight="10" x14ac:dyDescent="0.2"/>
  <cols>
    <col min="1" max="1" width="38.7265625" style="9" bestFit="1" customWidth="1"/>
    <col min="2" max="2" width="51.81640625" style="9" bestFit="1" customWidth="1"/>
    <col min="3" max="3" width="25.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1491</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5</v>
      </c>
      <c r="D4" s="16" t="s">
        <v>1</v>
      </c>
      <c r="E4" s="15" t="s">
        <v>3</v>
      </c>
      <c r="F4" s="15" t="s">
        <v>4</v>
      </c>
      <c r="G4" s="15" t="s">
        <v>6</v>
      </c>
    </row>
    <row r="5" spans="1:7" ht="10.5" x14ac:dyDescent="0.25">
      <c r="A5" s="21" t="s">
        <v>97</v>
      </c>
      <c r="B5" s="22"/>
      <c r="C5" s="22"/>
      <c r="D5" s="23"/>
      <c r="E5" s="24"/>
      <c r="F5" s="25"/>
      <c r="G5" s="24"/>
    </row>
    <row r="6" spans="1:7" ht="10.5" x14ac:dyDescent="0.25">
      <c r="A6" s="26" t="s">
        <v>32</v>
      </c>
      <c r="B6" s="27"/>
      <c r="C6" s="27"/>
      <c r="D6" s="28"/>
      <c r="E6" s="29"/>
      <c r="F6" s="30"/>
      <c r="G6" s="29"/>
    </row>
    <row r="7" spans="1:7" x14ac:dyDescent="0.2">
      <c r="A7" s="27" t="s">
        <v>99</v>
      </c>
      <c r="B7" s="27" t="s">
        <v>98</v>
      </c>
      <c r="C7" s="27" t="s">
        <v>100</v>
      </c>
      <c r="D7" s="31">
        <v>108000</v>
      </c>
      <c r="E7" s="29">
        <v>1501.74</v>
      </c>
      <c r="F7" s="30">
        <v>3.3685661034927499</v>
      </c>
      <c r="G7" s="29"/>
    </row>
    <row r="8" spans="1:7" x14ac:dyDescent="0.2">
      <c r="A8" s="27" t="s">
        <v>102</v>
      </c>
      <c r="B8" s="27" t="s">
        <v>101</v>
      </c>
      <c r="C8" s="27" t="s">
        <v>100</v>
      </c>
      <c r="D8" s="31">
        <v>206475</v>
      </c>
      <c r="E8" s="29">
        <v>1368.722775</v>
      </c>
      <c r="F8" s="30">
        <v>3.0701940049166501</v>
      </c>
      <c r="G8" s="29"/>
    </row>
    <row r="9" spans="1:7" x14ac:dyDescent="0.2">
      <c r="A9" s="27" t="s">
        <v>104</v>
      </c>
      <c r="B9" s="27" t="s">
        <v>103</v>
      </c>
      <c r="C9" s="27" t="s">
        <v>105</v>
      </c>
      <c r="D9" s="31">
        <v>109904</v>
      </c>
      <c r="E9" s="29">
        <v>1361.7655119999999</v>
      </c>
      <c r="F9" s="30">
        <v>3.0545881075476702</v>
      </c>
      <c r="G9" s="29"/>
    </row>
    <row r="10" spans="1:7" x14ac:dyDescent="0.2">
      <c r="A10" s="27" t="s">
        <v>107</v>
      </c>
      <c r="B10" s="27" t="s">
        <v>106</v>
      </c>
      <c r="C10" s="27" t="s">
        <v>108</v>
      </c>
      <c r="D10" s="31">
        <v>145373</v>
      </c>
      <c r="E10" s="29">
        <v>804.78492800000004</v>
      </c>
      <c r="F10" s="30">
        <v>1.80522009739546</v>
      </c>
      <c r="G10" s="29"/>
    </row>
    <row r="11" spans="1:7" x14ac:dyDescent="0.2">
      <c r="A11" s="27" t="s">
        <v>110</v>
      </c>
      <c r="B11" s="27" t="s">
        <v>109</v>
      </c>
      <c r="C11" s="27" t="s">
        <v>100</v>
      </c>
      <c r="D11" s="31">
        <v>146474</v>
      </c>
      <c r="E11" s="29">
        <v>786.56538</v>
      </c>
      <c r="F11" s="30">
        <v>1.7643516702284601</v>
      </c>
      <c r="G11" s="29"/>
    </row>
    <row r="12" spans="1:7" x14ac:dyDescent="0.2">
      <c r="A12" s="27" t="s">
        <v>112</v>
      </c>
      <c r="B12" s="27" t="s">
        <v>111</v>
      </c>
      <c r="C12" s="27" t="s">
        <v>113</v>
      </c>
      <c r="D12" s="31">
        <v>40000</v>
      </c>
      <c r="E12" s="29">
        <v>635.34</v>
      </c>
      <c r="F12" s="30">
        <v>1.4251367002231301</v>
      </c>
      <c r="G12" s="29"/>
    </row>
    <row r="13" spans="1:7" x14ac:dyDescent="0.2">
      <c r="A13" s="27" t="s">
        <v>115</v>
      </c>
      <c r="B13" s="27" t="s">
        <v>114</v>
      </c>
      <c r="C13" s="27" t="s">
        <v>100</v>
      </c>
      <c r="D13" s="31">
        <v>33853</v>
      </c>
      <c r="E13" s="29">
        <v>579.88496350000003</v>
      </c>
      <c r="F13" s="30">
        <v>1.3007450237532701</v>
      </c>
      <c r="G13" s="29"/>
    </row>
    <row r="14" spans="1:7" x14ac:dyDescent="0.2">
      <c r="A14" s="27" t="s">
        <v>117</v>
      </c>
      <c r="B14" s="27" t="s">
        <v>116</v>
      </c>
      <c r="C14" s="27" t="s">
        <v>118</v>
      </c>
      <c r="D14" s="31">
        <v>60000</v>
      </c>
      <c r="E14" s="29">
        <v>544.86</v>
      </c>
      <c r="F14" s="30">
        <v>1.22218022237475</v>
      </c>
      <c r="G14" s="29"/>
    </row>
    <row r="15" spans="1:7" x14ac:dyDescent="0.2">
      <c r="A15" s="27" t="s">
        <v>120</v>
      </c>
      <c r="B15" s="27" t="s">
        <v>119</v>
      </c>
      <c r="C15" s="27" t="s">
        <v>121</v>
      </c>
      <c r="D15" s="31">
        <v>190244</v>
      </c>
      <c r="E15" s="29">
        <v>450.87828000000002</v>
      </c>
      <c r="F15" s="30">
        <v>1.0113690058259801</v>
      </c>
      <c r="G15" s="29"/>
    </row>
    <row r="16" spans="1:7" x14ac:dyDescent="0.2">
      <c r="A16" s="27" t="s">
        <v>123</v>
      </c>
      <c r="B16" s="27" t="s">
        <v>122</v>
      </c>
      <c r="C16" s="27" t="s">
        <v>124</v>
      </c>
      <c r="D16" s="31">
        <v>74355</v>
      </c>
      <c r="E16" s="29">
        <v>446.87355000000002</v>
      </c>
      <c r="F16" s="30">
        <v>1.0023859610035499</v>
      </c>
      <c r="G16" s="29"/>
    </row>
    <row r="17" spans="1:7" x14ac:dyDescent="0.2">
      <c r="A17" s="27" t="s">
        <v>126</v>
      </c>
      <c r="B17" s="27" t="s">
        <v>125</v>
      </c>
      <c r="C17" s="27" t="s">
        <v>127</v>
      </c>
      <c r="D17" s="31">
        <v>26468</v>
      </c>
      <c r="E17" s="29">
        <v>424.36144400000001</v>
      </c>
      <c r="F17" s="30">
        <v>0.95188885951472002</v>
      </c>
      <c r="G17" s="29"/>
    </row>
    <row r="18" spans="1:7" x14ac:dyDescent="0.2">
      <c r="A18" s="27" t="s">
        <v>129</v>
      </c>
      <c r="B18" s="27" t="s">
        <v>128</v>
      </c>
      <c r="C18" s="27" t="s">
        <v>130</v>
      </c>
      <c r="D18" s="31">
        <v>51526</v>
      </c>
      <c r="E18" s="29">
        <v>386.23889600000001</v>
      </c>
      <c r="F18" s="30">
        <v>0.86637583930378104</v>
      </c>
      <c r="G18" s="29"/>
    </row>
    <row r="19" spans="1:7" x14ac:dyDescent="0.2">
      <c r="A19" s="27" t="s">
        <v>132</v>
      </c>
      <c r="B19" s="27" t="s">
        <v>131</v>
      </c>
      <c r="C19" s="27" t="s">
        <v>133</v>
      </c>
      <c r="D19" s="31">
        <v>156244</v>
      </c>
      <c r="E19" s="29">
        <v>341.54938399999998</v>
      </c>
      <c r="F19" s="30">
        <v>0.76613240481789602</v>
      </c>
      <c r="G19" s="29"/>
    </row>
    <row r="20" spans="1:7" x14ac:dyDescent="0.2">
      <c r="A20" s="27" t="s">
        <v>135</v>
      </c>
      <c r="B20" s="27" t="s">
        <v>134</v>
      </c>
      <c r="C20" s="27" t="s">
        <v>121</v>
      </c>
      <c r="D20" s="31">
        <v>168573</v>
      </c>
      <c r="E20" s="29">
        <v>333.77454</v>
      </c>
      <c r="F20" s="30">
        <v>0.74869258437071895</v>
      </c>
      <c r="G20" s="29"/>
    </row>
    <row r="21" spans="1:7" x14ac:dyDescent="0.2">
      <c r="A21" s="27" t="s">
        <v>137</v>
      </c>
      <c r="B21" s="27" t="s">
        <v>136</v>
      </c>
      <c r="C21" s="27" t="s">
        <v>138</v>
      </c>
      <c r="D21" s="31">
        <v>72000</v>
      </c>
      <c r="E21" s="29">
        <v>325.08</v>
      </c>
      <c r="F21" s="30">
        <v>0.729189785797423</v>
      </c>
      <c r="G21" s="29"/>
    </row>
    <row r="22" spans="1:7" x14ac:dyDescent="0.2">
      <c r="A22" s="27" t="s">
        <v>140</v>
      </c>
      <c r="B22" s="27" t="s">
        <v>139</v>
      </c>
      <c r="C22" s="27" t="s">
        <v>141</v>
      </c>
      <c r="D22" s="31">
        <v>129936</v>
      </c>
      <c r="E22" s="29">
        <v>294.04516799999999</v>
      </c>
      <c r="F22" s="30">
        <v>0.65957528321855297</v>
      </c>
      <c r="G22" s="29"/>
    </row>
    <row r="23" spans="1:7" x14ac:dyDescent="0.2">
      <c r="A23" s="27" t="s">
        <v>143</v>
      </c>
      <c r="B23" s="27" t="s">
        <v>142</v>
      </c>
      <c r="C23" s="27" t="s">
        <v>100</v>
      </c>
      <c r="D23" s="31">
        <v>88509</v>
      </c>
      <c r="E23" s="29">
        <v>249.68388899999999</v>
      </c>
      <c r="F23" s="30">
        <v>0.56006811104028997</v>
      </c>
      <c r="G23" s="29"/>
    </row>
    <row r="24" spans="1:7" x14ac:dyDescent="0.2">
      <c r="A24" s="27" t="s">
        <v>145</v>
      </c>
      <c r="B24" s="27" t="s">
        <v>144</v>
      </c>
      <c r="C24" s="27" t="s">
        <v>146</v>
      </c>
      <c r="D24" s="31">
        <v>130625</v>
      </c>
      <c r="E24" s="29">
        <v>240.93781250000001</v>
      </c>
      <c r="F24" s="30">
        <v>0.54044971049395396</v>
      </c>
      <c r="G24" s="29"/>
    </row>
    <row r="25" spans="1:7" x14ac:dyDescent="0.2">
      <c r="A25" s="27" t="s">
        <v>1492</v>
      </c>
      <c r="B25" s="27" t="s">
        <v>1493</v>
      </c>
      <c r="C25" s="27" t="s">
        <v>147</v>
      </c>
      <c r="D25" s="31">
        <v>32100</v>
      </c>
      <c r="E25" s="29">
        <v>213.89834999999999</v>
      </c>
      <c r="F25" s="30">
        <v>0.47979725611825502</v>
      </c>
      <c r="G25" s="29"/>
    </row>
    <row r="26" spans="1:7" x14ac:dyDescent="0.2">
      <c r="A26" s="27" t="s">
        <v>149</v>
      </c>
      <c r="B26" s="27" t="s">
        <v>148</v>
      </c>
      <c r="C26" s="27" t="s">
        <v>130</v>
      </c>
      <c r="D26" s="31">
        <v>4923</v>
      </c>
      <c r="E26" s="29">
        <v>197.205534</v>
      </c>
      <c r="F26" s="30">
        <v>0.44235345482812399</v>
      </c>
      <c r="G26" s="29"/>
    </row>
    <row r="27" spans="1:7" x14ac:dyDescent="0.2">
      <c r="A27" s="27" t="s">
        <v>151</v>
      </c>
      <c r="B27" s="27" t="s">
        <v>150</v>
      </c>
      <c r="C27" s="27" t="s">
        <v>127</v>
      </c>
      <c r="D27" s="31">
        <v>15000</v>
      </c>
      <c r="E27" s="29">
        <v>194.95500000000001</v>
      </c>
      <c r="F27" s="30">
        <v>0.43730526236660699</v>
      </c>
      <c r="G27" s="29"/>
    </row>
    <row r="28" spans="1:7" x14ac:dyDescent="0.2">
      <c r="A28" s="27" t="s">
        <v>153</v>
      </c>
      <c r="B28" s="27" t="s">
        <v>152</v>
      </c>
      <c r="C28" s="27" t="s">
        <v>146</v>
      </c>
      <c r="D28" s="31">
        <v>217407</v>
      </c>
      <c r="E28" s="29">
        <v>193.38352649999999</v>
      </c>
      <c r="F28" s="30">
        <v>0.43378027644052303</v>
      </c>
      <c r="G28" s="29"/>
    </row>
    <row r="29" spans="1:7" x14ac:dyDescent="0.2">
      <c r="A29" s="27" t="s">
        <v>1494</v>
      </c>
      <c r="B29" s="27" t="s">
        <v>1495</v>
      </c>
      <c r="C29" s="27" t="s">
        <v>138</v>
      </c>
      <c r="D29" s="31">
        <v>7072</v>
      </c>
      <c r="E29" s="29">
        <v>184.44836799999999</v>
      </c>
      <c r="F29" s="30">
        <v>0.41373774440938899</v>
      </c>
      <c r="G29" s="29"/>
    </row>
    <row r="30" spans="1:7" x14ac:dyDescent="0.2">
      <c r="A30" s="27" t="s">
        <v>155</v>
      </c>
      <c r="B30" s="27" t="s">
        <v>154</v>
      </c>
      <c r="C30" s="27" t="s">
        <v>133</v>
      </c>
      <c r="D30" s="31">
        <v>43000</v>
      </c>
      <c r="E30" s="29">
        <v>164.94800000000001</v>
      </c>
      <c r="F30" s="30">
        <v>0.36999629871943301</v>
      </c>
      <c r="G30" s="29"/>
    </row>
    <row r="31" spans="1:7" x14ac:dyDescent="0.2">
      <c r="A31" s="27" t="s">
        <v>157</v>
      </c>
      <c r="B31" s="27" t="s">
        <v>156</v>
      </c>
      <c r="C31" s="27" t="s">
        <v>127</v>
      </c>
      <c r="D31" s="31">
        <v>27182</v>
      </c>
      <c r="E31" s="29">
        <v>149.14763400000001</v>
      </c>
      <c r="F31" s="30">
        <v>0.334554359814976</v>
      </c>
      <c r="G31" s="29"/>
    </row>
    <row r="32" spans="1:7" x14ac:dyDescent="0.2">
      <c r="A32" s="27" t="s">
        <v>159</v>
      </c>
      <c r="B32" s="27" t="s">
        <v>158</v>
      </c>
      <c r="C32" s="27" t="s">
        <v>130</v>
      </c>
      <c r="D32" s="31">
        <v>23121</v>
      </c>
      <c r="E32" s="29">
        <v>129.63944699999999</v>
      </c>
      <c r="F32" s="30">
        <v>0.29079537525786398</v>
      </c>
      <c r="G32" s="29"/>
    </row>
    <row r="33" spans="1:9" x14ac:dyDescent="0.2">
      <c r="A33" s="27" t="s">
        <v>161</v>
      </c>
      <c r="B33" s="27" t="s">
        <v>160</v>
      </c>
      <c r="C33" s="27" t="s">
        <v>100</v>
      </c>
      <c r="D33" s="31">
        <v>301582</v>
      </c>
      <c r="E33" s="29">
        <v>128.021559</v>
      </c>
      <c r="F33" s="30">
        <v>0.287166276561653</v>
      </c>
      <c r="G33" s="29"/>
    </row>
    <row r="34" spans="1:9" x14ac:dyDescent="0.2">
      <c r="A34" s="27" t="s">
        <v>163</v>
      </c>
      <c r="B34" s="27" t="s">
        <v>162</v>
      </c>
      <c r="C34" s="27" t="s">
        <v>130</v>
      </c>
      <c r="D34" s="31">
        <v>39940</v>
      </c>
      <c r="E34" s="29">
        <v>104.92238</v>
      </c>
      <c r="F34" s="30">
        <v>0.23535230650164801</v>
      </c>
      <c r="G34" s="29"/>
    </row>
    <row r="35" spans="1:9" x14ac:dyDescent="0.2">
      <c r="A35" s="27" t="s">
        <v>165</v>
      </c>
      <c r="B35" s="27" t="s">
        <v>164</v>
      </c>
      <c r="C35" s="27" t="s">
        <v>166</v>
      </c>
      <c r="D35" s="31">
        <v>65910</v>
      </c>
      <c r="E35" s="29">
        <v>98.930909999999997</v>
      </c>
      <c r="F35" s="30">
        <v>0.221912787841898</v>
      </c>
      <c r="G35" s="29"/>
    </row>
    <row r="36" spans="1:9" x14ac:dyDescent="0.2">
      <c r="A36" s="27" t="s">
        <v>168</v>
      </c>
      <c r="B36" s="27" t="s">
        <v>167</v>
      </c>
      <c r="C36" s="27" t="s">
        <v>169</v>
      </c>
      <c r="D36" s="31">
        <v>153047</v>
      </c>
      <c r="E36" s="29">
        <v>62.978840499999997</v>
      </c>
      <c r="F36" s="30">
        <v>0.141268386901578</v>
      </c>
      <c r="G36" s="29"/>
    </row>
    <row r="37" spans="1:9" x14ac:dyDescent="0.2">
      <c r="A37" s="27" t="s">
        <v>170</v>
      </c>
      <c r="B37" s="27" t="s">
        <v>728</v>
      </c>
      <c r="C37" s="27" t="s">
        <v>166</v>
      </c>
      <c r="D37" s="31">
        <v>7703</v>
      </c>
      <c r="E37" s="29">
        <v>9.8752460000000006</v>
      </c>
      <c r="F37" s="30">
        <v>2.2151250508911199E-2</v>
      </c>
      <c r="G37" s="29"/>
    </row>
    <row r="38" spans="1:9" x14ac:dyDescent="0.2">
      <c r="A38" s="27" t="s">
        <v>172</v>
      </c>
      <c r="B38" s="27" t="s">
        <v>171</v>
      </c>
      <c r="C38" s="27" t="s">
        <v>173</v>
      </c>
      <c r="D38" s="31">
        <v>984</v>
      </c>
      <c r="E38" s="29">
        <v>1.238856</v>
      </c>
      <c r="F38" s="30">
        <v>2.77888870823752E-3</v>
      </c>
      <c r="G38" s="29"/>
    </row>
    <row r="39" spans="1:9" ht="10.5" x14ac:dyDescent="0.25">
      <c r="A39" s="26" t="s">
        <v>40</v>
      </c>
      <c r="B39" s="26"/>
      <c r="C39" s="26"/>
      <c r="D39" s="32"/>
      <c r="E39" s="33">
        <f>SUM(E7:E38)</f>
        <v>12910.680173000001</v>
      </c>
      <c r="F39" s="34">
        <f>SUM(F7:F38)</f>
        <v>28.960059400298107</v>
      </c>
      <c r="G39" s="33"/>
      <c r="H39" s="18"/>
      <c r="I39" s="18"/>
    </row>
    <row r="40" spans="1:9" x14ac:dyDescent="0.2">
      <c r="A40" s="27"/>
      <c r="B40" s="27"/>
      <c r="C40" s="27"/>
      <c r="D40" s="28"/>
      <c r="E40" s="29"/>
      <c r="F40" s="30"/>
      <c r="G40" s="29"/>
    </row>
    <row r="41" spans="1:9" ht="10.5" x14ac:dyDescent="0.25">
      <c r="A41" s="26" t="s">
        <v>31</v>
      </c>
      <c r="B41" s="27"/>
      <c r="C41" s="27"/>
      <c r="D41" s="28"/>
      <c r="E41" s="29"/>
      <c r="F41" s="30"/>
      <c r="G41" s="29"/>
    </row>
    <row r="42" spans="1:9" ht="10.5" x14ac:dyDescent="0.25">
      <c r="A42" s="26" t="s">
        <v>32</v>
      </c>
      <c r="B42" s="27"/>
      <c r="C42" s="27"/>
      <c r="D42" s="28"/>
      <c r="E42" s="29"/>
      <c r="F42" s="30"/>
      <c r="G42" s="29"/>
    </row>
    <row r="43" spans="1:9" x14ac:dyDescent="0.2">
      <c r="A43" s="27" t="s">
        <v>175</v>
      </c>
      <c r="B43" s="27" t="s">
        <v>174</v>
      </c>
      <c r="C43" s="27" t="s">
        <v>39</v>
      </c>
      <c r="D43" s="31">
        <v>200</v>
      </c>
      <c r="E43" s="29">
        <v>2078.5839999999998</v>
      </c>
      <c r="F43" s="30">
        <v>4.6624899154729604</v>
      </c>
      <c r="G43" s="29">
        <v>5.0350000000000001</v>
      </c>
    </row>
    <row r="44" spans="1:9" x14ac:dyDescent="0.2">
      <c r="A44" s="27" t="s">
        <v>1496</v>
      </c>
      <c r="B44" s="27" t="s">
        <v>1497</v>
      </c>
      <c r="C44" s="27" t="s">
        <v>39</v>
      </c>
      <c r="D44" s="31">
        <v>150</v>
      </c>
      <c r="E44" s="29">
        <v>1673.9475</v>
      </c>
      <c r="F44" s="30">
        <v>3.7548462500342401</v>
      </c>
      <c r="G44" s="29">
        <v>5.3849999999999998</v>
      </c>
    </row>
    <row r="45" spans="1:9" x14ac:dyDescent="0.2">
      <c r="A45" s="27" t="s">
        <v>1498</v>
      </c>
      <c r="B45" s="27" t="s">
        <v>1499</v>
      </c>
      <c r="C45" s="27" t="s">
        <v>39</v>
      </c>
      <c r="D45" s="31">
        <v>65</v>
      </c>
      <c r="E45" s="29">
        <v>723.46754999999996</v>
      </c>
      <c r="F45" s="30">
        <v>1.62281637694071</v>
      </c>
      <c r="G45" s="29">
        <v>6.95</v>
      </c>
    </row>
    <row r="46" spans="1:9" x14ac:dyDescent="0.2">
      <c r="A46" s="27" t="s">
        <v>34</v>
      </c>
      <c r="B46" s="27" t="s">
        <v>33</v>
      </c>
      <c r="C46" s="27" t="s">
        <v>35</v>
      </c>
      <c r="D46" s="31">
        <v>50</v>
      </c>
      <c r="E46" s="29">
        <v>500.166</v>
      </c>
      <c r="F46" s="30">
        <v>1.1219267208168899</v>
      </c>
      <c r="G46" s="29">
        <v>9.2353000000000005</v>
      </c>
    </row>
    <row r="47" spans="1:9" x14ac:dyDescent="0.2">
      <c r="A47" s="27" t="s">
        <v>928</v>
      </c>
      <c r="B47" s="27" t="s">
        <v>929</v>
      </c>
      <c r="C47" s="27" t="s">
        <v>39</v>
      </c>
      <c r="D47" s="31">
        <v>45</v>
      </c>
      <c r="E47" s="29">
        <v>497.51414999999997</v>
      </c>
      <c r="F47" s="30">
        <v>1.11597833293247</v>
      </c>
      <c r="G47" s="29">
        <v>5.9545000000000003</v>
      </c>
    </row>
    <row r="48" spans="1:9" x14ac:dyDescent="0.2">
      <c r="A48" s="27" t="s">
        <v>90</v>
      </c>
      <c r="B48" s="27" t="s">
        <v>89</v>
      </c>
      <c r="C48" s="27" t="s">
        <v>39</v>
      </c>
      <c r="D48" s="31">
        <v>30</v>
      </c>
      <c r="E48" s="29">
        <v>334.62</v>
      </c>
      <c r="F48" s="30">
        <v>0.75058904307719199</v>
      </c>
      <c r="G48" s="29">
        <v>6.95</v>
      </c>
    </row>
    <row r="49" spans="1:9" x14ac:dyDescent="0.2">
      <c r="A49" s="27" t="s">
        <v>92</v>
      </c>
      <c r="B49" s="27" t="s">
        <v>91</v>
      </c>
      <c r="C49" s="27" t="s">
        <v>39</v>
      </c>
      <c r="D49" s="31">
        <v>5</v>
      </c>
      <c r="E49" s="29">
        <v>56.002299999999998</v>
      </c>
      <c r="F49" s="30">
        <v>0.12561924800407001</v>
      </c>
      <c r="G49" s="29">
        <v>6.8948999999999998</v>
      </c>
    </row>
    <row r="50" spans="1:9" ht="10.5" x14ac:dyDescent="0.25">
      <c r="A50" s="26" t="s">
        <v>40</v>
      </c>
      <c r="B50" s="26"/>
      <c r="C50" s="26"/>
      <c r="D50" s="32"/>
      <c r="E50" s="33">
        <f>SUM(E42:E49)</f>
        <v>5864.3015000000005</v>
      </c>
      <c r="F50" s="34">
        <f>SUM(F42:F49)</f>
        <v>13.15426588727853</v>
      </c>
      <c r="G50" s="33"/>
      <c r="H50" s="18"/>
      <c r="I50" s="18"/>
    </row>
    <row r="51" spans="1:9" x14ac:dyDescent="0.2">
      <c r="A51" s="27"/>
      <c r="B51" s="27"/>
      <c r="C51" s="27"/>
      <c r="D51" s="28"/>
      <c r="E51" s="29"/>
      <c r="F51" s="30"/>
      <c r="G51" s="29"/>
    </row>
    <row r="52" spans="1:9" ht="10.5" x14ac:dyDescent="0.25">
      <c r="A52" s="26" t="s">
        <v>41</v>
      </c>
      <c r="B52" s="27"/>
      <c r="C52" s="27"/>
      <c r="D52" s="28"/>
      <c r="E52" s="29"/>
      <c r="F52" s="30"/>
      <c r="G52" s="29"/>
    </row>
    <row r="53" spans="1:9" x14ac:dyDescent="0.2">
      <c r="A53" s="27" t="s">
        <v>43</v>
      </c>
      <c r="B53" s="27" t="s">
        <v>42</v>
      </c>
      <c r="C53" s="27" t="s">
        <v>38</v>
      </c>
      <c r="D53" s="31">
        <v>14</v>
      </c>
      <c r="E53" s="29">
        <v>1982.8914</v>
      </c>
      <c r="F53" s="30">
        <v>4.4478410090610101</v>
      </c>
      <c r="G53" s="29">
        <v>10.4</v>
      </c>
    </row>
    <row r="54" spans="1:9" ht="10.5" x14ac:dyDescent="0.25">
      <c r="A54" s="26" t="s">
        <v>40</v>
      </c>
      <c r="B54" s="26"/>
      <c r="C54" s="26"/>
      <c r="D54" s="32"/>
      <c r="E54" s="33">
        <f>SUM(E52:E53)</f>
        <v>1982.8914</v>
      </c>
      <c r="F54" s="34">
        <f>SUM(F52:F53)</f>
        <v>4.4478410090610101</v>
      </c>
      <c r="G54" s="33"/>
      <c r="H54" s="18"/>
      <c r="I54" s="18"/>
    </row>
    <row r="55" spans="1:9" x14ac:dyDescent="0.2">
      <c r="A55" s="27"/>
      <c r="B55" s="27"/>
      <c r="C55" s="27"/>
      <c r="D55" s="28"/>
      <c r="E55" s="29"/>
      <c r="F55" s="30"/>
      <c r="G55" s="29"/>
    </row>
    <row r="56" spans="1:9" ht="10.5" x14ac:dyDescent="0.25">
      <c r="A56" s="26" t="s">
        <v>57</v>
      </c>
      <c r="B56" s="27"/>
      <c r="C56" s="27"/>
      <c r="D56" s="28"/>
      <c r="E56" s="29"/>
      <c r="F56" s="30"/>
      <c r="G56" s="29"/>
    </row>
    <row r="57" spans="1:9" ht="10.5" x14ac:dyDescent="0.25">
      <c r="A57" s="26" t="s">
        <v>58</v>
      </c>
      <c r="B57" s="27"/>
      <c r="C57" s="27"/>
      <c r="D57" s="28"/>
      <c r="E57" s="29"/>
      <c r="F57" s="30"/>
      <c r="G57" s="29"/>
    </row>
    <row r="58" spans="1:9" x14ac:dyDescent="0.2">
      <c r="A58" s="27" t="s">
        <v>60</v>
      </c>
      <c r="B58" s="27" t="s">
        <v>59</v>
      </c>
      <c r="C58" s="27" t="s">
        <v>61</v>
      </c>
      <c r="D58" s="31">
        <v>2000</v>
      </c>
      <c r="E58" s="29">
        <v>1997.8579999999999</v>
      </c>
      <c r="F58" s="30">
        <v>4.4814127201724698</v>
      </c>
      <c r="G58" s="29">
        <v>3.2610999999999999</v>
      </c>
    </row>
    <row r="59" spans="1:9" x14ac:dyDescent="0.2">
      <c r="A59" s="27" t="s">
        <v>808</v>
      </c>
      <c r="B59" s="27" t="s">
        <v>809</v>
      </c>
      <c r="C59" s="27" t="s">
        <v>62</v>
      </c>
      <c r="D59" s="31">
        <v>500</v>
      </c>
      <c r="E59" s="29">
        <v>498.29849999999999</v>
      </c>
      <c r="F59" s="30">
        <v>1.1177377152644801</v>
      </c>
      <c r="G59" s="29">
        <v>3.2797999999999998</v>
      </c>
    </row>
    <row r="60" spans="1:9" ht="10.5" x14ac:dyDescent="0.25">
      <c r="A60" s="26" t="s">
        <v>40</v>
      </c>
      <c r="B60" s="26"/>
      <c r="C60" s="26"/>
      <c r="D60" s="32"/>
      <c r="E60" s="33">
        <f>SUM(E57:E59)</f>
        <v>2496.1565000000001</v>
      </c>
      <c r="F60" s="34">
        <f>SUM(F57:F59)</f>
        <v>5.5991504354369503</v>
      </c>
      <c r="G60" s="33"/>
      <c r="H60" s="18"/>
      <c r="I60" s="18"/>
    </row>
    <row r="61" spans="1:9" x14ac:dyDescent="0.2">
      <c r="A61" s="27"/>
      <c r="B61" s="27"/>
      <c r="C61" s="27"/>
      <c r="D61" s="28"/>
      <c r="E61" s="29"/>
      <c r="F61" s="30"/>
      <c r="G61" s="29"/>
    </row>
    <row r="62" spans="1:9" ht="10.5" x14ac:dyDescent="0.25">
      <c r="A62" s="26" t="s">
        <v>63</v>
      </c>
      <c r="B62" s="27"/>
      <c r="C62" s="27"/>
      <c r="D62" s="28"/>
      <c r="E62" s="29"/>
      <c r="F62" s="30"/>
      <c r="G62" s="29"/>
    </row>
    <row r="63" spans="1:9" x14ac:dyDescent="0.2">
      <c r="A63" s="27" t="s">
        <v>756</v>
      </c>
      <c r="B63" s="27" t="s">
        <v>757</v>
      </c>
      <c r="C63" s="27" t="s">
        <v>61</v>
      </c>
      <c r="D63" s="31">
        <v>400</v>
      </c>
      <c r="E63" s="29">
        <v>1999.2739999999999</v>
      </c>
      <c r="F63" s="30">
        <v>4.4845889621334996</v>
      </c>
      <c r="G63" s="29">
        <v>3.3180999999999998</v>
      </c>
    </row>
    <row r="64" spans="1:9" ht="10.5" x14ac:dyDescent="0.25">
      <c r="A64" s="26" t="s">
        <v>40</v>
      </c>
      <c r="B64" s="26"/>
      <c r="C64" s="26"/>
      <c r="D64" s="32"/>
      <c r="E64" s="33">
        <f>SUM(E62:E63)</f>
        <v>1999.2739999999999</v>
      </c>
      <c r="F64" s="34">
        <f>SUM(F62:F63)</f>
        <v>4.4845889621334996</v>
      </c>
      <c r="G64" s="33"/>
      <c r="H64" s="18"/>
      <c r="I64" s="18"/>
    </row>
    <row r="65" spans="1:9" x14ac:dyDescent="0.2">
      <c r="A65" s="27"/>
      <c r="B65" s="27"/>
      <c r="C65" s="27"/>
      <c r="D65" s="28"/>
      <c r="E65" s="29"/>
      <c r="F65" s="30"/>
      <c r="G65" s="29"/>
    </row>
    <row r="66" spans="1:9" ht="10.5" x14ac:dyDescent="0.25">
      <c r="A66" s="26" t="s">
        <v>66</v>
      </c>
      <c r="B66" s="27"/>
      <c r="C66" s="27"/>
      <c r="D66" s="28"/>
      <c r="E66" s="29"/>
      <c r="F66" s="30"/>
      <c r="G66" s="29"/>
    </row>
    <row r="67" spans="1:9" x14ac:dyDescent="0.2">
      <c r="A67" s="27" t="s">
        <v>96</v>
      </c>
      <c r="B67" s="27" t="s">
        <v>95</v>
      </c>
      <c r="C67" s="27" t="s">
        <v>80</v>
      </c>
      <c r="D67" s="31">
        <v>4000000</v>
      </c>
      <c r="E67" s="29">
        <v>3978.248</v>
      </c>
      <c r="F67" s="30">
        <v>8.92364281705742</v>
      </c>
      <c r="G67" s="29">
        <v>3.2719999999999998</v>
      </c>
    </row>
    <row r="68" spans="1:9" ht="10.5" x14ac:dyDescent="0.25">
      <c r="A68" s="26" t="s">
        <v>40</v>
      </c>
      <c r="B68" s="26"/>
      <c r="C68" s="26"/>
      <c r="D68" s="32"/>
      <c r="E68" s="33">
        <f>SUM(E66:E67)</f>
        <v>3978.248</v>
      </c>
      <c r="F68" s="34">
        <f>SUM(F66:F67)</f>
        <v>8.92364281705742</v>
      </c>
      <c r="G68" s="33"/>
      <c r="H68" s="18"/>
      <c r="I68" s="18"/>
    </row>
    <row r="69" spans="1:9" x14ac:dyDescent="0.2">
      <c r="A69" s="27"/>
      <c r="B69" s="27"/>
      <c r="C69" s="27"/>
      <c r="D69" s="28"/>
      <c r="E69" s="29"/>
      <c r="F69" s="30"/>
      <c r="G69" s="29"/>
    </row>
    <row r="70" spans="1:9" ht="10.5" x14ac:dyDescent="0.25">
      <c r="A70" s="26" t="s">
        <v>79</v>
      </c>
      <c r="B70" s="27"/>
      <c r="C70" s="27"/>
      <c r="D70" s="28"/>
      <c r="E70" s="29"/>
      <c r="F70" s="30"/>
      <c r="G70" s="29"/>
    </row>
    <row r="71" spans="1:9" x14ac:dyDescent="0.2">
      <c r="A71" s="27" t="s">
        <v>82</v>
      </c>
      <c r="B71" s="27" t="s">
        <v>81</v>
      </c>
      <c r="C71" s="27" t="s">
        <v>80</v>
      </c>
      <c r="D71" s="31">
        <v>2600000</v>
      </c>
      <c r="E71" s="29">
        <v>2805.4962</v>
      </c>
      <c r="F71" s="30">
        <v>6.2930330168988702</v>
      </c>
      <c r="G71" s="29">
        <v>5.4960000000000004</v>
      </c>
    </row>
    <row r="72" spans="1:9" x14ac:dyDescent="0.2">
      <c r="A72" s="27" t="s">
        <v>1012</v>
      </c>
      <c r="B72" s="27" t="s">
        <v>1013</v>
      </c>
      <c r="C72" s="27" t="s">
        <v>80</v>
      </c>
      <c r="D72" s="31">
        <v>2600000</v>
      </c>
      <c r="E72" s="29">
        <v>2742.3110000000001</v>
      </c>
      <c r="F72" s="30">
        <v>6.1513017432014196</v>
      </c>
      <c r="G72" s="29">
        <v>5.7389999999999999</v>
      </c>
    </row>
    <row r="73" spans="1:9" x14ac:dyDescent="0.2">
      <c r="A73" s="27" t="s">
        <v>1016</v>
      </c>
      <c r="B73" s="27" t="s">
        <v>1017</v>
      </c>
      <c r="C73" s="27" t="s">
        <v>80</v>
      </c>
      <c r="D73" s="31">
        <v>2500000</v>
      </c>
      <c r="E73" s="29">
        <v>2485.0149999999999</v>
      </c>
      <c r="F73" s="30">
        <v>5.57415883952683</v>
      </c>
      <c r="G73" s="29">
        <v>5.2916999999999996</v>
      </c>
    </row>
    <row r="74" spans="1:9" x14ac:dyDescent="0.2">
      <c r="A74" s="27" t="s">
        <v>1014</v>
      </c>
      <c r="B74" s="27" t="s">
        <v>1015</v>
      </c>
      <c r="C74" s="27" t="s">
        <v>80</v>
      </c>
      <c r="D74" s="31">
        <v>2125000</v>
      </c>
      <c r="E74" s="29">
        <v>2281.7761249999999</v>
      </c>
      <c r="F74" s="30">
        <v>5.1182719448333502</v>
      </c>
      <c r="G74" s="29">
        <v>5.8597000000000001</v>
      </c>
    </row>
    <row r="75" spans="1:9" x14ac:dyDescent="0.2">
      <c r="A75" s="27" t="s">
        <v>94</v>
      </c>
      <c r="B75" s="27" t="s">
        <v>93</v>
      </c>
      <c r="C75" s="27" t="s">
        <v>80</v>
      </c>
      <c r="D75" s="31">
        <v>900000</v>
      </c>
      <c r="E75" s="29">
        <v>937.51469999999995</v>
      </c>
      <c r="F75" s="30">
        <v>2.1029474076379202</v>
      </c>
      <c r="G75" s="29">
        <v>4.9489999999999998</v>
      </c>
    </row>
    <row r="76" spans="1:9" x14ac:dyDescent="0.2">
      <c r="A76" s="27" t="s">
        <v>84</v>
      </c>
      <c r="B76" s="27" t="s">
        <v>83</v>
      </c>
      <c r="C76" s="27" t="s">
        <v>80</v>
      </c>
      <c r="D76" s="31">
        <v>400000</v>
      </c>
      <c r="E76" s="29">
        <v>428.86599999999999</v>
      </c>
      <c r="F76" s="30">
        <v>0.96199306840100196</v>
      </c>
      <c r="G76" s="29">
        <v>4.7077999999999998</v>
      </c>
    </row>
    <row r="77" spans="1:9" x14ac:dyDescent="0.2">
      <c r="A77" s="27" t="s">
        <v>86</v>
      </c>
      <c r="B77" s="27" t="s">
        <v>85</v>
      </c>
      <c r="C77" s="27" t="s">
        <v>80</v>
      </c>
      <c r="D77" s="31">
        <v>100000</v>
      </c>
      <c r="E77" s="29">
        <v>100</v>
      </c>
      <c r="F77" s="30">
        <v>0.22431087295355701</v>
      </c>
      <c r="G77" s="29">
        <v>5.2183999999999999</v>
      </c>
    </row>
    <row r="78" spans="1:9" ht="10.5" x14ac:dyDescent="0.25">
      <c r="A78" s="26" t="s">
        <v>40</v>
      </c>
      <c r="B78" s="26"/>
      <c r="C78" s="26"/>
      <c r="D78" s="32"/>
      <c r="E78" s="33">
        <f>SUM(E71:E77)</f>
        <v>11780.979025000001</v>
      </c>
      <c r="F78" s="34">
        <f>SUM(F71:F77)</f>
        <v>26.42601689345295</v>
      </c>
      <c r="G78" s="33"/>
      <c r="H78" s="18"/>
      <c r="I78" s="18"/>
    </row>
    <row r="79" spans="1:9" x14ac:dyDescent="0.2">
      <c r="A79" s="27"/>
      <c r="B79" s="27"/>
      <c r="C79" s="27"/>
      <c r="D79" s="28"/>
      <c r="E79" s="29"/>
      <c r="F79" s="30"/>
      <c r="G79" s="29"/>
    </row>
    <row r="80" spans="1:9" ht="10.5" x14ac:dyDescent="0.25">
      <c r="A80" s="26" t="s">
        <v>44</v>
      </c>
      <c r="B80" s="26"/>
      <c r="C80" s="26"/>
      <c r="D80" s="32"/>
      <c r="E80" s="33">
        <f>E39+E50+E54+E60+E64+E68+E78</f>
        <v>41012.530598000005</v>
      </c>
      <c r="F80" s="34">
        <f>F39+F50+F54+F60+F64+F68+F78</f>
        <v>91.995565404718462</v>
      </c>
      <c r="G80" s="33"/>
      <c r="H80" s="18"/>
      <c r="I80" s="18"/>
    </row>
    <row r="81" spans="1:9" ht="10.5" x14ac:dyDescent="0.25">
      <c r="A81" s="26"/>
      <c r="B81" s="26"/>
      <c r="C81" s="26"/>
      <c r="D81" s="32"/>
      <c r="E81" s="33"/>
      <c r="F81" s="34"/>
      <c r="G81" s="33"/>
      <c r="H81" s="18"/>
      <c r="I81" s="18"/>
    </row>
    <row r="82" spans="1:9" ht="10.5" x14ac:dyDescent="0.25">
      <c r="A82" s="26" t="s">
        <v>46</v>
      </c>
      <c r="B82" s="26"/>
      <c r="C82" s="26"/>
      <c r="D82" s="32"/>
      <c r="E82" s="33">
        <f>E84-(E39+E50+E54+E60+E64+E68+E78)</f>
        <v>3568.4559066999936</v>
      </c>
      <c r="F82" s="34">
        <f>F84-(F39+F50+F54+F60+F64+F68+F78)</f>
        <v>8.0044345952815377</v>
      </c>
      <c r="G82" s="33"/>
      <c r="H82" s="18"/>
      <c r="I82" s="18"/>
    </row>
    <row r="83" spans="1:9" ht="10.5" x14ac:dyDescent="0.25">
      <c r="A83" s="26"/>
      <c r="B83" s="26"/>
      <c r="C83" s="26"/>
      <c r="D83" s="32"/>
      <c r="E83" s="33"/>
      <c r="F83" s="34"/>
      <c r="G83" s="33"/>
      <c r="H83" s="18"/>
      <c r="I83" s="18"/>
    </row>
    <row r="84" spans="1:9" ht="10.5" x14ac:dyDescent="0.25">
      <c r="A84" s="35" t="s">
        <v>45</v>
      </c>
      <c r="B84" s="35"/>
      <c r="C84" s="35"/>
      <c r="D84" s="36"/>
      <c r="E84" s="37">
        <v>44580.986504699998</v>
      </c>
      <c r="F84" s="38">
        <v>100</v>
      </c>
      <c r="G84" s="37"/>
      <c r="H84" s="18"/>
      <c r="I84" s="18"/>
    </row>
    <row r="85" spans="1:9" ht="10.5" x14ac:dyDescent="0.25">
      <c r="F85" s="20" t="s">
        <v>56</v>
      </c>
    </row>
    <row r="86" spans="1:9" ht="10.5" x14ac:dyDescent="0.25">
      <c r="A86" s="18" t="s">
        <v>67</v>
      </c>
    </row>
    <row r="87" spans="1:9" ht="10.5" x14ac:dyDescent="0.25">
      <c r="A87" s="18" t="s">
        <v>47</v>
      </c>
    </row>
    <row r="88" spans="1:9" ht="10.5" x14ac:dyDescent="0.25">
      <c r="A88" s="18" t="s">
        <v>729</v>
      </c>
    </row>
    <row r="90" spans="1:9" ht="10.5" x14ac:dyDescent="0.25">
      <c r="A90" s="18" t="s">
        <v>48</v>
      </c>
    </row>
    <row r="91" spans="1:9" ht="10.5" x14ac:dyDescent="0.25">
      <c r="A91" s="18" t="s">
        <v>49</v>
      </c>
    </row>
    <row r="92" spans="1:9" ht="10.5" x14ac:dyDescent="0.25">
      <c r="A92" s="18" t="s">
        <v>50</v>
      </c>
      <c r="B92" s="18"/>
      <c r="C92" s="41" t="s">
        <v>727</v>
      </c>
      <c r="D92" s="19" t="s">
        <v>51</v>
      </c>
    </row>
    <row r="93" spans="1:9" x14ac:dyDescent="0.2">
      <c r="A93" s="9" t="s">
        <v>71</v>
      </c>
      <c r="C93" s="54">
        <v>133.3032</v>
      </c>
      <c r="D93" s="40">
        <v>145.27369999999999</v>
      </c>
    </row>
    <row r="94" spans="1:9" x14ac:dyDescent="0.2">
      <c r="A94" s="9" t="s">
        <v>77</v>
      </c>
      <c r="C94" s="54">
        <v>16.443999999999999</v>
      </c>
      <c r="D94" s="40">
        <v>16.669699999999999</v>
      </c>
    </row>
    <row r="95" spans="1:9" x14ac:dyDescent="0.2">
      <c r="A95" s="9" t="s">
        <v>74</v>
      </c>
      <c r="C95" s="54">
        <v>140.62039999999999</v>
      </c>
      <c r="D95" s="40">
        <v>153.8252</v>
      </c>
    </row>
    <row r="96" spans="1:9" x14ac:dyDescent="0.2">
      <c r="A96" s="9" t="s">
        <v>78</v>
      </c>
      <c r="C96" s="54">
        <v>17.5778</v>
      </c>
      <c r="D96" s="40">
        <v>17.973199999999999</v>
      </c>
    </row>
    <row r="98" spans="1:7" ht="10.5" x14ac:dyDescent="0.25">
      <c r="A98" s="18" t="s">
        <v>52</v>
      </c>
    </row>
    <row r="99" spans="1:7" ht="10.5" x14ac:dyDescent="0.25">
      <c r="A99" s="77" t="s">
        <v>68</v>
      </c>
      <c r="B99" s="78"/>
      <c r="C99" s="43" t="s">
        <v>69</v>
      </c>
    </row>
    <row r="100" spans="1:7" x14ac:dyDescent="0.2">
      <c r="A100" s="71" t="s">
        <v>77</v>
      </c>
      <c r="B100" s="72"/>
      <c r="C100" s="44">
        <v>1.25</v>
      </c>
    </row>
    <row r="101" spans="1:7" x14ac:dyDescent="0.2">
      <c r="A101" s="71" t="s">
        <v>78</v>
      </c>
      <c r="B101" s="72"/>
      <c r="C101" s="44">
        <v>1.25</v>
      </c>
    </row>
    <row r="102" spans="1:7" x14ac:dyDescent="0.2">
      <c r="A102" s="9" t="s">
        <v>70</v>
      </c>
    </row>
    <row r="104" spans="1:7" ht="10.5" x14ac:dyDescent="0.25">
      <c r="A104" s="18" t="s">
        <v>798</v>
      </c>
      <c r="D104" s="42">
        <v>2.6133624002056601</v>
      </c>
      <c r="E104" s="13" t="s">
        <v>54</v>
      </c>
    </row>
    <row r="106" spans="1:7" ht="10.5" x14ac:dyDescent="0.25">
      <c r="A106" s="18" t="s">
        <v>1502</v>
      </c>
      <c r="D106" s="41" t="s">
        <v>53</v>
      </c>
    </row>
    <row r="108" spans="1:7" ht="15" customHeight="1" x14ac:dyDescent="0.2">
      <c r="A108" s="73" t="s">
        <v>799</v>
      </c>
      <c r="B108" s="74"/>
      <c r="C108" s="74"/>
      <c r="D108" s="74"/>
      <c r="E108" s="74"/>
      <c r="F108" s="74"/>
      <c r="G108" s="74"/>
    </row>
    <row r="109" spans="1:7" x14ac:dyDescent="0.2">
      <c r="A109" s="46" t="s">
        <v>55</v>
      </c>
    </row>
    <row r="111" spans="1:7" x14ac:dyDescent="0.2">
      <c r="A111" s="46"/>
    </row>
  </sheetData>
  <mergeCells count="5">
    <mergeCell ref="A1:G1"/>
    <mergeCell ref="A99:B99"/>
    <mergeCell ref="A100:B100"/>
    <mergeCell ref="A101:B101"/>
    <mergeCell ref="A108:G108"/>
  </mergeCells>
  <conditionalFormatting sqref="F2:F3 F5:F84 F112:F65537 F86:F107">
    <cfRule type="cellIs" dxfId="34" priority="4" stopIfTrue="1" operator="between">
      <formula>0.009</formula>
      <formula>-0.009</formula>
    </cfRule>
  </conditionalFormatting>
  <conditionalFormatting sqref="F85">
    <cfRule type="cellIs" dxfId="33" priority="3" stopIfTrue="1" operator="between">
      <formula>0.009</formula>
      <formula>-0.009</formula>
    </cfRule>
  </conditionalFormatting>
  <conditionalFormatting sqref="F109">
    <cfRule type="cellIs" dxfId="32" priority="1" stopIfTrue="1" operator="between">
      <formula>0.009</formula>
      <formula>-0.009</formula>
    </cfRule>
  </conditionalFormatting>
  <conditionalFormatting sqref="F110:F111">
    <cfRule type="cellIs" dxfId="31" priority="2" stopIfTrue="1" operator="between">
      <formula>0.009</formula>
      <formula>-0.009</formula>
    </cfRule>
  </conditionalFormatting>
  <hyperlinks>
    <hyperlink ref="A109" r:id="rId1" xr:uid="{00000000-0004-0000-23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103"/>
  <sheetViews>
    <sheetView workbookViewId="0">
      <selection sqref="A1:G1"/>
    </sheetView>
  </sheetViews>
  <sheetFormatPr defaultColWidth="9.1796875" defaultRowHeight="10" x14ac:dyDescent="0.2"/>
  <cols>
    <col min="1" max="1" width="38.7265625" style="9" bestFit="1" customWidth="1"/>
    <col min="2" max="2" width="51" style="9" bestFit="1" customWidth="1"/>
    <col min="3" max="3" width="25.179687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1500</v>
      </c>
      <c r="B1" s="76"/>
      <c r="C1" s="76"/>
      <c r="D1" s="76"/>
      <c r="E1" s="76"/>
      <c r="F1" s="76"/>
      <c r="G1" s="76"/>
    </row>
    <row r="2" spans="1:7" s="1" customFormat="1" ht="11.5" x14ac:dyDescent="0.25">
      <c r="A2" s="56" t="s">
        <v>1023</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5</v>
      </c>
      <c r="D4" s="16" t="s">
        <v>1</v>
      </c>
      <c r="E4" s="15" t="s">
        <v>3</v>
      </c>
      <c r="F4" s="15" t="s">
        <v>4</v>
      </c>
      <c r="G4" s="15" t="s">
        <v>6</v>
      </c>
    </row>
    <row r="5" spans="1:7" ht="10.5" x14ac:dyDescent="0.25">
      <c r="A5" s="21" t="s">
        <v>97</v>
      </c>
      <c r="B5" s="22"/>
      <c r="C5" s="22"/>
      <c r="D5" s="23"/>
      <c r="E5" s="24"/>
      <c r="F5" s="25"/>
      <c r="G5" s="24"/>
    </row>
    <row r="6" spans="1:7" ht="10.5" x14ac:dyDescent="0.25">
      <c r="A6" s="26" t="s">
        <v>32</v>
      </c>
      <c r="B6" s="27"/>
      <c r="C6" s="27"/>
      <c r="D6" s="28"/>
      <c r="E6" s="29"/>
      <c r="F6" s="30"/>
      <c r="G6" s="29"/>
    </row>
    <row r="7" spans="1:7" x14ac:dyDescent="0.2">
      <c r="A7" s="27" t="s">
        <v>102</v>
      </c>
      <c r="B7" s="27" t="s">
        <v>101</v>
      </c>
      <c r="C7" s="27" t="s">
        <v>100</v>
      </c>
      <c r="D7" s="31">
        <v>70488</v>
      </c>
      <c r="E7" s="29">
        <v>467.26495199999999</v>
      </c>
      <c r="F7" s="30">
        <v>2.4648985225372799</v>
      </c>
      <c r="G7" s="29"/>
    </row>
    <row r="8" spans="1:7" x14ac:dyDescent="0.2">
      <c r="A8" s="27" t="s">
        <v>104</v>
      </c>
      <c r="B8" s="27" t="s">
        <v>103</v>
      </c>
      <c r="C8" s="27" t="s">
        <v>105</v>
      </c>
      <c r="D8" s="31">
        <v>34838</v>
      </c>
      <c r="E8" s="29">
        <v>431.66023899999999</v>
      </c>
      <c r="F8" s="30">
        <v>2.2770778779684502</v>
      </c>
      <c r="G8" s="29"/>
    </row>
    <row r="9" spans="1:7" x14ac:dyDescent="0.2">
      <c r="A9" s="27" t="s">
        <v>99</v>
      </c>
      <c r="B9" s="27" t="s">
        <v>98</v>
      </c>
      <c r="C9" s="27" t="s">
        <v>100</v>
      </c>
      <c r="D9" s="31">
        <v>18986</v>
      </c>
      <c r="E9" s="29">
        <v>264.00033000000002</v>
      </c>
      <c r="F9" s="30">
        <v>1.39264462395706</v>
      </c>
      <c r="G9" s="29"/>
    </row>
    <row r="10" spans="1:7" x14ac:dyDescent="0.2">
      <c r="A10" s="27" t="s">
        <v>110</v>
      </c>
      <c r="B10" s="27" t="s">
        <v>109</v>
      </c>
      <c r="C10" s="27" t="s">
        <v>100</v>
      </c>
      <c r="D10" s="31">
        <v>45874</v>
      </c>
      <c r="E10" s="29">
        <v>246.34338</v>
      </c>
      <c r="F10" s="30">
        <v>1.2995013445794199</v>
      </c>
      <c r="G10" s="29"/>
    </row>
    <row r="11" spans="1:7" x14ac:dyDescent="0.2">
      <c r="A11" s="27" t="s">
        <v>117</v>
      </c>
      <c r="B11" s="27" t="s">
        <v>116</v>
      </c>
      <c r="C11" s="27" t="s">
        <v>118</v>
      </c>
      <c r="D11" s="31">
        <v>24500</v>
      </c>
      <c r="E11" s="29">
        <v>222.4845</v>
      </c>
      <c r="F11" s="30">
        <v>1.1736418770339201</v>
      </c>
      <c r="G11" s="29"/>
    </row>
    <row r="12" spans="1:7" x14ac:dyDescent="0.2">
      <c r="A12" s="27" t="s">
        <v>135</v>
      </c>
      <c r="B12" s="27" t="s">
        <v>134</v>
      </c>
      <c r="C12" s="27" t="s">
        <v>121</v>
      </c>
      <c r="D12" s="31">
        <v>105586</v>
      </c>
      <c r="E12" s="29">
        <v>209.06028000000001</v>
      </c>
      <c r="F12" s="30">
        <v>1.10282693595481</v>
      </c>
      <c r="G12" s="29"/>
    </row>
    <row r="13" spans="1:7" x14ac:dyDescent="0.2">
      <c r="A13" s="27" t="s">
        <v>107</v>
      </c>
      <c r="B13" s="27" t="s">
        <v>106</v>
      </c>
      <c r="C13" s="27" t="s">
        <v>108</v>
      </c>
      <c r="D13" s="31">
        <v>36903</v>
      </c>
      <c r="E13" s="29">
        <v>204.295008</v>
      </c>
      <c r="F13" s="30">
        <v>1.07768935210219</v>
      </c>
      <c r="G13" s="29"/>
    </row>
    <row r="14" spans="1:7" x14ac:dyDescent="0.2">
      <c r="A14" s="27" t="s">
        <v>177</v>
      </c>
      <c r="B14" s="27" t="s">
        <v>176</v>
      </c>
      <c r="C14" s="27" t="s">
        <v>138</v>
      </c>
      <c r="D14" s="31">
        <v>4300</v>
      </c>
      <c r="E14" s="29">
        <v>197.9161</v>
      </c>
      <c r="F14" s="30">
        <v>1.0440395762367001</v>
      </c>
      <c r="G14" s="29"/>
    </row>
    <row r="15" spans="1:7" x14ac:dyDescent="0.2">
      <c r="A15" s="27" t="s">
        <v>145</v>
      </c>
      <c r="B15" s="27" t="s">
        <v>144</v>
      </c>
      <c r="C15" s="27" t="s">
        <v>146</v>
      </c>
      <c r="D15" s="31">
        <v>103926</v>
      </c>
      <c r="E15" s="29">
        <v>191.691507</v>
      </c>
      <c r="F15" s="30">
        <v>1.01120383706254</v>
      </c>
      <c r="G15" s="29"/>
    </row>
    <row r="16" spans="1:7" x14ac:dyDescent="0.2">
      <c r="A16" s="27" t="s">
        <v>157</v>
      </c>
      <c r="B16" s="27" t="s">
        <v>156</v>
      </c>
      <c r="C16" s="27" t="s">
        <v>127</v>
      </c>
      <c r="D16" s="31">
        <v>33697</v>
      </c>
      <c r="E16" s="29">
        <v>184.89543900000001</v>
      </c>
      <c r="F16" s="30">
        <v>0.97535347443516696</v>
      </c>
      <c r="G16" s="29"/>
    </row>
    <row r="17" spans="1:7" x14ac:dyDescent="0.2">
      <c r="A17" s="27" t="s">
        <v>137</v>
      </c>
      <c r="B17" s="27" t="s">
        <v>136</v>
      </c>
      <c r="C17" s="27" t="s">
        <v>138</v>
      </c>
      <c r="D17" s="31">
        <v>35000</v>
      </c>
      <c r="E17" s="29">
        <v>158.02500000000001</v>
      </c>
      <c r="F17" s="30">
        <v>0.83360754397850301</v>
      </c>
      <c r="G17" s="29"/>
    </row>
    <row r="18" spans="1:7" x14ac:dyDescent="0.2">
      <c r="A18" s="27" t="s">
        <v>126</v>
      </c>
      <c r="B18" s="27" t="s">
        <v>125</v>
      </c>
      <c r="C18" s="27" t="s">
        <v>127</v>
      </c>
      <c r="D18" s="31">
        <v>9526</v>
      </c>
      <c r="E18" s="29">
        <v>152.730358</v>
      </c>
      <c r="F18" s="30">
        <v>0.80567744738704405</v>
      </c>
      <c r="G18" s="29"/>
    </row>
    <row r="19" spans="1:7" x14ac:dyDescent="0.2">
      <c r="A19" s="27" t="s">
        <v>1492</v>
      </c>
      <c r="B19" s="27" t="s">
        <v>1493</v>
      </c>
      <c r="C19" s="27" t="s">
        <v>147</v>
      </c>
      <c r="D19" s="31">
        <v>20015</v>
      </c>
      <c r="E19" s="29">
        <v>133.36995250000001</v>
      </c>
      <c r="F19" s="30">
        <v>0.703548163544089</v>
      </c>
      <c r="G19" s="29"/>
    </row>
    <row r="20" spans="1:7" x14ac:dyDescent="0.2">
      <c r="A20" s="27" t="s">
        <v>129</v>
      </c>
      <c r="B20" s="27" t="s">
        <v>128</v>
      </c>
      <c r="C20" s="27" t="s">
        <v>130</v>
      </c>
      <c r="D20" s="31">
        <v>17341</v>
      </c>
      <c r="E20" s="29">
        <v>129.988136</v>
      </c>
      <c r="F20" s="30">
        <v>0.68570853217721095</v>
      </c>
      <c r="G20" s="29"/>
    </row>
    <row r="21" spans="1:7" x14ac:dyDescent="0.2">
      <c r="A21" s="27" t="s">
        <v>151</v>
      </c>
      <c r="B21" s="27" t="s">
        <v>150</v>
      </c>
      <c r="C21" s="27" t="s">
        <v>127</v>
      </c>
      <c r="D21" s="31">
        <v>10000</v>
      </c>
      <c r="E21" s="29">
        <v>129.97</v>
      </c>
      <c r="F21" s="30">
        <v>0.68561286183126802</v>
      </c>
      <c r="G21" s="29"/>
    </row>
    <row r="22" spans="1:7" x14ac:dyDescent="0.2">
      <c r="A22" s="27" t="s">
        <v>112</v>
      </c>
      <c r="B22" s="27" t="s">
        <v>111</v>
      </c>
      <c r="C22" s="27" t="s">
        <v>113</v>
      </c>
      <c r="D22" s="31">
        <v>7500</v>
      </c>
      <c r="E22" s="29">
        <v>119.12625</v>
      </c>
      <c r="F22" s="30">
        <v>0.62841031916386103</v>
      </c>
      <c r="G22" s="29"/>
    </row>
    <row r="23" spans="1:7" x14ac:dyDescent="0.2">
      <c r="A23" s="27" t="s">
        <v>155</v>
      </c>
      <c r="B23" s="27" t="s">
        <v>154</v>
      </c>
      <c r="C23" s="27" t="s">
        <v>133</v>
      </c>
      <c r="D23" s="31">
        <v>30000</v>
      </c>
      <c r="E23" s="29">
        <v>115.08</v>
      </c>
      <c r="F23" s="30">
        <v>0.60706569315643799</v>
      </c>
      <c r="G23" s="29"/>
    </row>
    <row r="24" spans="1:7" x14ac:dyDescent="0.2">
      <c r="A24" s="27" t="s">
        <v>140</v>
      </c>
      <c r="B24" s="27" t="s">
        <v>139</v>
      </c>
      <c r="C24" s="27" t="s">
        <v>141</v>
      </c>
      <c r="D24" s="31">
        <v>41457</v>
      </c>
      <c r="E24" s="29">
        <v>93.817190999999994</v>
      </c>
      <c r="F24" s="30">
        <v>0.494900921831812</v>
      </c>
      <c r="G24" s="29"/>
    </row>
    <row r="25" spans="1:7" x14ac:dyDescent="0.2">
      <c r="A25" s="27" t="s">
        <v>115</v>
      </c>
      <c r="B25" s="27" t="s">
        <v>114</v>
      </c>
      <c r="C25" s="27" t="s">
        <v>100</v>
      </c>
      <c r="D25" s="31">
        <v>5409</v>
      </c>
      <c r="E25" s="29">
        <v>92.653465499999996</v>
      </c>
      <c r="F25" s="30">
        <v>0.48876208078817901</v>
      </c>
      <c r="G25" s="29"/>
    </row>
    <row r="26" spans="1:7" x14ac:dyDescent="0.2">
      <c r="A26" s="27" t="s">
        <v>143</v>
      </c>
      <c r="B26" s="27" t="s">
        <v>142</v>
      </c>
      <c r="C26" s="27" t="s">
        <v>100</v>
      </c>
      <c r="D26" s="31">
        <v>29755</v>
      </c>
      <c r="E26" s="29">
        <v>83.938855000000004</v>
      </c>
      <c r="F26" s="30">
        <v>0.44279109483257501</v>
      </c>
      <c r="G26" s="29"/>
    </row>
    <row r="27" spans="1:7" x14ac:dyDescent="0.2">
      <c r="A27" s="27" t="s">
        <v>165</v>
      </c>
      <c r="B27" s="27" t="s">
        <v>164</v>
      </c>
      <c r="C27" s="27" t="s">
        <v>166</v>
      </c>
      <c r="D27" s="31">
        <v>35367</v>
      </c>
      <c r="E27" s="29">
        <v>53.085867</v>
      </c>
      <c r="F27" s="30">
        <v>0.28003657149083699</v>
      </c>
      <c r="G27" s="29"/>
    </row>
    <row r="28" spans="1:7" x14ac:dyDescent="0.2">
      <c r="A28" s="27" t="s">
        <v>163</v>
      </c>
      <c r="B28" s="27" t="s">
        <v>162</v>
      </c>
      <c r="C28" s="27" t="s">
        <v>130</v>
      </c>
      <c r="D28" s="31">
        <v>20000</v>
      </c>
      <c r="E28" s="29">
        <v>52.54</v>
      </c>
      <c r="F28" s="30">
        <v>0.27715703439728301</v>
      </c>
      <c r="G28" s="29"/>
    </row>
    <row r="29" spans="1:7" x14ac:dyDescent="0.2">
      <c r="A29" s="27" t="s">
        <v>168</v>
      </c>
      <c r="B29" s="27" t="s">
        <v>167</v>
      </c>
      <c r="C29" s="27" t="s">
        <v>169</v>
      </c>
      <c r="D29" s="31">
        <v>97694</v>
      </c>
      <c r="E29" s="29">
        <v>40.201081000000002</v>
      </c>
      <c r="F29" s="30">
        <v>0.21206723238532399</v>
      </c>
      <c r="G29" s="29"/>
    </row>
    <row r="30" spans="1:7" x14ac:dyDescent="0.2">
      <c r="A30" s="27" t="s">
        <v>179</v>
      </c>
      <c r="B30" s="27" t="s">
        <v>178</v>
      </c>
      <c r="C30" s="27" t="s">
        <v>180</v>
      </c>
      <c r="D30" s="31">
        <v>3254</v>
      </c>
      <c r="E30" s="29">
        <v>34.350850999999999</v>
      </c>
      <c r="F30" s="30">
        <v>0.18120631884626801</v>
      </c>
      <c r="G30" s="29"/>
    </row>
    <row r="31" spans="1:7" x14ac:dyDescent="0.2">
      <c r="A31" s="27" t="s">
        <v>170</v>
      </c>
      <c r="B31" s="27" t="s">
        <v>728</v>
      </c>
      <c r="C31" s="27" t="s">
        <v>166</v>
      </c>
      <c r="D31" s="31">
        <v>4133</v>
      </c>
      <c r="E31" s="29">
        <v>5.2985059999999997</v>
      </c>
      <c r="F31" s="30">
        <v>2.7950479819113201E-2</v>
      </c>
      <c r="G31" s="29"/>
    </row>
    <row r="32" spans="1:7" x14ac:dyDescent="0.2">
      <c r="A32" s="27" t="s">
        <v>172</v>
      </c>
      <c r="B32" s="27" t="s">
        <v>171</v>
      </c>
      <c r="C32" s="27" t="s">
        <v>173</v>
      </c>
      <c r="D32" s="31">
        <v>581</v>
      </c>
      <c r="E32" s="29">
        <v>0.73147899999999999</v>
      </c>
      <c r="F32" s="30">
        <v>3.8586705436598799E-3</v>
      </c>
      <c r="G32" s="29"/>
    </row>
    <row r="33" spans="1:9" ht="10.5" x14ac:dyDescent="0.25">
      <c r="A33" s="26" t="s">
        <v>40</v>
      </c>
      <c r="B33" s="26"/>
      <c r="C33" s="26"/>
      <c r="D33" s="32"/>
      <c r="E33" s="33">
        <f>SUM(E7:E32)</f>
        <v>4014.5187269999997</v>
      </c>
      <c r="F33" s="34">
        <f>SUM(F7:F32)</f>
        <v>21.177238388041005</v>
      </c>
      <c r="G33" s="33"/>
      <c r="H33" s="18"/>
      <c r="I33" s="18"/>
    </row>
    <row r="34" spans="1:9" x14ac:dyDescent="0.2">
      <c r="A34" s="27"/>
      <c r="B34" s="27"/>
      <c r="C34" s="27"/>
      <c r="D34" s="28"/>
      <c r="E34" s="29"/>
      <c r="F34" s="30"/>
      <c r="G34" s="29"/>
    </row>
    <row r="35" spans="1:9" ht="10.5" x14ac:dyDescent="0.25">
      <c r="A35" s="26" t="s">
        <v>31</v>
      </c>
      <c r="B35" s="27"/>
      <c r="C35" s="27"/>
      <c r="D35" s="28"/>
      <c r="E35" s="29"/>
      <c r="F35" s="30"/>
      <c r="G35" s="29"/>
    </row>
    <row r="36" spans="1:9" ht="10.5" x14ac:dyDescent="0.25">
      <c r="A36" s="26" t="s">
        <v>32</v>
      </c>
      <c r="B36" s="27"/>
      <c r="C36" s="27"/>
      <c r="D36" s="28"/>
      <c r="E36" s="29"/>
      <c r="F36" s="30"/>
      <c r="G36" s="29"/>
    </row>
    <row r="37" spans="1:9" x14ac:dyDescent="0.2">
      <c r="A37" s="27" t="s">
        <v>175</v>
      </c>
      <c r="B37" s="27" t="s">
        <v>174</v>
      </c>
      <c r="C37" s="27" t="s">
        <v>39</v>
      </c>
      <c r="D37" s="31">
        <v>200</v>
      </c>
      <c r="E37" s="29">
        <v>2078.5839999999998</v>
      </c>
      <c r="F37" s="30">
        <v>10.964868237259999</v>
      </c>
      <c r="G37" s="29">
        <v>5.0350000000000001</v>
      </c>
    </row>
    <row r="38" spans="1:9" x14ac:dyDescent="0.2">
      <c r="A38" s="27" t="s">
        <v>92</v>
      </c>
      <c r="B38" s="27" t="s">
        <v>91</v>
      </c>
      <c r="C38" s="27" t="s">
        <v>39</v>
      </c>
      <c r="D38" s="31">
        <v>65</v>
      </c>
      <c r="E38" s="29">
        <v>728.0299</v>
      </c>
      <c r="F38" s="30">
        <v>3.8404759809012199</v>
      </c>
      <c r="G38" s="29">
        <v>6.8948999999999998</v>
      </c>
    </row>
    <row r="39" spans="1:9" x14ac:dyDescent="0.2">
      <c r="A39" s="27" t="s">
        <v>928</v>
      </c>
      <c r="B39" s="27" t="s">
        <v>929</v>
      </c>
      <c r="C39" s="27" t="s">
        <v>39</v>
      </c>
      <c r="D39" s="31">
        <v>50</v>
      </c>
      <c r="E39" s="29">
        <v>552.79349999999999</v>
      </c>
      <c r="F39" s="30">
        <v>2.9160755061685202</v>
      </c>
      <c r="G39" s="29">
        <v>5.9545000000000003</v>
      </c>
    </row>
    <row r="40" spans="1:9" x14ac:dyDescent="0.2">
      <c r="A40" s="27" t="s">
        <v>1498</v>
      </c>
      <c r="B40" s="27" t="s">
        <v>1499</v>
      </c>
      <c r="C40" s="27" t="s">
        <v>39</v>
      </c>
      <c r="D40" s="31">
        <v>35</v>
      </c>
      <c r="E40" s="29">
        <v>389.55945000000003</v>
      </c>
      <c r="F40" s="30">
        <v>2.0549893773018</v>
      </c>
      <c r="G40" s="29">
        <v>6.95</v>
      </c>
    </row>
    <row r="41" spans="1:9" x14ac:dyDescent="0.2">
      <c r="A41" s="27" t="s">
        <v>90</v>
      </c>
      <c r="B41" s="27" t="s">
        <v>89</v>
      </c>
      <c r="C41" s="27" t="s">
        <v>39</v>
      </c>
      <c r="D41" s="31">
        <v>30</v>
      </c>
      <c r="E41" s="29">
        <v>334.62</v>
      </c>
      <c r="F41" s="30">
        <v>1.7651748543970101</v>
      </c>
      <c r="G41" s="29">
        <v>6.95</v>
      </c>
    </row>
    <row r="42" spans="1:9" ht="10.5" x14ac:dyDescent="0.25">
      <c r="A42" s="26" t="s">
        <v>40</v>
      </c>
      <c r="B42" s="26"/>
      <c r="C42" s="26"/>
      <c r="D42" s="32"/>
      <c r="E42" s="33">
        <f>SUM(E36:E41)</f>
        <v>4083.5868500000001</v>
      </c>
      <c r="F42" s="34">
        <f>SUM(F36:F41)</f>
        <v>21.54158395602855</v>
      </c>
      <c r="G42" s="33"/>
      <c r="H42" s="18"/>
      <c r="I42" s="18"/>
    </row>
    <row r="43" spans="1:9" x14ac:dyDescent="0.2">
      <c r="A43" s="27"/>
      <c r="B43" s="27"/>
      <c r="C43" s="27"/>
      <c r="D43" s="28"/>
      <c r="E43" s="29"/>
      <c r="F43" s="30"/>
      <c r="G43" s="29"/>
    </row>
    <row r="44" spans="1:9" ht="10.5" x14ac:dyDescent="0.25">
      <c r="A44" s="26" t="s">
        <v>57</v>
      </c>
      <c r="B44" s="27"/>
      <c r="C44" s="27"/>
      <c r="D44" s="28"/>
      <c r="E44" s="29"/>
      <c r="F44" s="30"/>
      <c r="G44" s="29"/>
    </row>
    <row r="45" spans="1:9" ht="10.5" x14ac:dyDescent="0.25">
      <c r="A45" s="26" t="s">
        <v>58</v>
      </c>
      <c r="B45" s="27"/>
      <c r="C45" s="27"/>
      <c r="D45" s="28"/>
      <c r="E45" s="29"/>
      <c r="F45" s="30"/>
      <c r="G45" s="29"/>
    </row>
    <row r="46" spans="1:9" x14ac:dyDescent="0.2">
      <c r="A46" s="27" t="s">
        <v>808</v>
      </c>
      <c r="B46" s="27" t="s">
        <v>809</v>
      </c>
      <c r="C46" s="27" t="s">
        <v>62</v>
      </c>
      <c r="D46" s="31">
        <v>2000</v>
      </c>
      <c r="E46" s="29">
        <v>1993.194</v>
      </c>
      <c r="F46" s="30">
        <v>10.514422116834</v>
      </c>
      <c r="G46" s="29">
        <v>3.2797999999999998</v>
      </c>
    </row>
    <row r="47" spans="1:9" ht="10.5" x14ac:dyDescent="0.25">
      <c r="A47" s="26" t="s">
        <v>40</v>
      </c>
      <c r="B47" s="26"/>
      <c r="C47" s="26"/>
      <c r="D47" s="32"/>
      <c r="E47" s="33">
        <f>SUM(E45:E46)</f>
        <v>1993.194</v>
      </c>
      <c r="F47" s="34">
        <f>SUM(F45:F46)</f>
        <v>10.514422116834</v>
      </c>
      <c r="G47" s="33"/>
      <c r="H47" s="18"/>
      <c r="I47" s="18"/>
    </row>
    <row r="48" spans="1:9" x14ac:dyDescent="0.2">
      <c r="A48" s="27"/>
      <c r="B48" s="27"/>
      <c r="C48" s="27"/>
      <c r="D48" s="28"/>
      <c r="E48" s="29"/>
      <c r="F48" s="30"/>
      <c r="G48" s="29"/>
    </row>
    <row r="49" spans="1:9" ht="10.5" x14ac:dyDescent="0.25">
      <c r="A49" s="26" t="s">
        <v>63</v>
      </c>
      <c r="B49" s="27"/>
      <c r="C49" s="27"/>
      <c r="D49" s="28"/>
      <c r="E49" s="29"/>
      <c r="F49" s="30"/>
      <c r="G49" s="29"/>
    </row>
    <row r="50" spans="1:9" x14ac:dyDescent="0.2">
      <c r="A50" s="27" t="s">
        <v>756</v>
      </c>
      <c r="B50" s="27" t="s">
        <v>757</v>
      </c>
      <c r="C50" s="27" t="s">
        <v>61</v>
      </c>
      <c r="D50" s="31">
        <v>100</v>
      </c>
      <c r="E50" s="29">
        <v>499.81849999999997</v>
      </c>
      <c r="F50" s="30">
        <v>2.6366237761115001</v>
      </c>
      <c r="G50" s="29">
        <v>3.3180999999999998</v>
      </c>
    </row>
    <row r="51" spans="1:9" ht="10.5" x14ac:dyDescent="0.25">
      <c r="A51" s="26" t="s">
        <v>40</v>
      </c>
      <c r="B51" s="26"/>
      <c r="C51" s="26"/>
      <c r="D51" s="32"/>
      <c r="E51" s="33">
        <f>SUM(E49:E50)</f>
        <v>499.81849999999997</v>
      </c>
      <c r="F51" s="34">
        <f>SUM(F49:F50)</f>
        <v>2.6366237761115001</v>
      </c>
      <c r="G51" s="33"/>
      <c r="H51" s="18"/>
      <c r="I51" s="18"/>
    </row>
    <row r="52" spans="1:9" x14ac:dyDescent="0.2">
      <c r="A52" s="27"/>
      <c r="B52" s="27"/>
      <c r="C52" s="27"/>
      <c r="D52" s="28"/>
      <c r="E52" s="29"/>
      <c r="F52" s="30"/>
      <c r="G52" s="29"/>
    </row>
    <row r="53" spans="1:9" ht="10.5" x14ac:dyDescent="0.25">
      <c r="A53" s="26" t="s">
        <v>66</v>
      </c>
      <c r="B53" s="27"/>
      <c r="C53" s="27"/>
      <c r="D53" s="28"/>
      <c r="E53" s="29"/>
      <c r="F53" s="30"/>
      <c r="G53" s="29"/>
    </row>
    <row r="54" spans="1:9" x14ac:dyDescent="0.2">
      <c r="A54" s="27" t="s">
        <v>96</v>
      </c>
      <c r="B54" s="27" t="s">
        <v>95</v>
      </c>
      <c r="C54" s="27" t="s">
        <v>80</v>
      </c>
      <c r="D54" s="31">
        <v>2000000</v>
      </c>
      <c r="E54" s="29">
        <v>1989.124</v>
      </c>
      <c r="F54" s="30">
        <v>10.4929522057187</v>
      </c>
      <c r="G54" s="29">
        <v>3.2719999999999998</v>
      </c>
    </row>
    <row r="55" spans="1:9" ht="10.5" x14ac:dyDescent="0.25">
      <c r="A55" s="26" t="s">
        <v>40</v>
      </c>
      <c r="B55" s="26"/>
      <c r="C55" s="26"/>
      <c r="D55" s="32"/>
      <c r="E55" s="33">
        <f>SUM(E53:E54)</f>
        <v>1989.124</v>
      </c>
      <c r="F55" s="34">
        <f>SUM(F53:F54)</f>
        <v>10.4929522057187</v>
      </c>
      <c r="G55" s="33"/>
      <c r="H55" s="18"/>
      <c r="I55" s="18"/>
    </row>
    <row r="56" spans="1:9" x14ac:dyDescent="0.2">
      <c r="A56" s="27"/>
      <c r="B56" s="27"/>
      <c r="C56" s="27"/>
      <c r="D56" s="28"/>
      <c r="E56" s="29"/>
      <c r="F56" s="30"/>
      <c r="G56" s="29"/>
    </row>
    <row r="57" spans="1:9" ht="10.5" x14ac:dyDescent="0.25">
      <c r="A57" s="26" t="s">
        <v>79</v>
      </c>
      <c r="B57" s="27"/>
      <c r="C57" s="27"/>
      <c r="D57" s="28"/>
      <c r="E57" s="29"/>
      <c r="F57" s="30"/>
      <c r="G57" s="29"/>
    </row>
    <row r="58" spans="1:9" x14ac:dyDescent="0.2">
      <c r="A58" s="27" t="s">
        <v>182</v>
      </c>
      <c r="B58" s="27" t="s">
        <v>181</v>
      </c>
      <c r="C58" s="27" t="s">
        <v>80</v>
      </c>
      <c r="D58" s="31">
        <v>1500000</v>
      </c>
      <c r="E58" s="29">
        <v>1479.9345000000001</v>
      </c>
      <c r="F58" s="30">
        <v>7.8068948824176898</v>
      </c>
      <c r="G58" s="29">
        <v>6.3369999999999997</v>
      </c>
    </row>
    <row r="59" spans="1:9" x14ac:dyDescent="0.2">
      <c r="A59" s="27" t="s">
        <v>1014</v>
      </c>
      <c r="B59" s="27" t="s">
        <v>1015</v>
      </c>
      <c r="C59" s="27" t="s">
        <v>80</v>
      </c>
      <c r="D59" s="31">
        <v>925000</v>
      </c>
      <c r="E59" s="29">
        <v>993.24372500000004</v>
      </c>
      <c r="F59" s="30">
        <v>5.2395219880987796</v>
      </c>
      <c r="G59" s="29">
        <v>5.8597000000000001</v>
      </c>
    </row>
    <row r="60" spans="1:9" x14ac:dyDescent="0.2">
      <c r="A60" s="27" t="s">
        <v>94</v>
      </c>
      <c r="B60" s="27" t="s">
        <v>93</v>
      </c>
      <c r="C60" s="27" t="s">
        <v>80</v>
      </c>
      <c r="D60" s="31">
        <v>800000</v>
      </c>
      <c r="E60" s="29">
        <v>833.34640000000002</v>
      </c>
      <c r="F60" s="30">
        <v>4.3960376256119504</v>
      </c>
      <c r="G60" s="29">
        <v>4.9489999999999998</v>
      </c>
    </row>
    <row r="61" spans="1:9" x14ac:dyDescent="0.2">
      <c r="A61" s="27" t="s">
        <v>1012</v>
      </c>
      <c r="B61" s="27" t="s">
        <v>1013</v>
      </c>
      <c r="C61" s="27" t="s">
        <v>80</v>
      </c>
      <c r="D61" s="31">
        <v>700000</v>
      </c>
      <c r="E61" s="29">
        <v>738.31449999999995</v>
      </c>
      <c r="F61" s="30">
        <v>3.8947289164924301</v>
      </c>
      <c r="G61" s="29">
        <v>5.7389999999999999</v>
      </c>
    </row>
    <row r="62" spans="1:9" x14ac:dyDescent="0.2">
      <c r="A62" s="27" t="s">
        <v>84</v>
      </c>
      <c r="B62" s="27" t="s">
        <v>83</v>
      </c>
      <c r="C62" s="27" t="s">
        <v>80</v>
      </c>
      <c r="D62" s="31">
        <v>200000</v>
      </c>
      <c r="E62" s="29">
        <v>214.43299999999999</v>
      </c>
      <c r="F62" s="30">
        <v>1.1311689066789601</v>
      </c>
      <c r="G62" s="29">
        <v>4.7077999999999998</v>
      </c>
    </row>
    <row r="63" spans="1:9" x14ac:dyDescent="0.2">
      <c r="A63" s="27" t="s">
        <v>86</v>
      </c>
      <c r="B63" s="27" t="s">
        <v>85</v>
      </c>
      <c r="C63" s="27" t="s">
        <v>80</v>
      </c>
      <c r="D63" s="31">
        <v>100000</v>
      </c>
      <c r="E63" s="29">
        <v>100</v>
      </c>
      <c r="F63" s="30">
        <v>0.52751624361873295</v>
      </c>
      <c r="G63" s="29">
        <v>5.2183999999999999</v>
      </c>
    </row>
    <row r="64" spans="1:9" ht="10.5" x14ac:dyDescent="0.25">
      <c r="A64" s="26" t="s">
        <v>40</v>
      </c>
      <c r="B64" s="26"/>
      <c r="C64" s="26"/>
      <c r="D64" s="32"/>
      <c r="E64" s="33">
        <f>SUM(E58:E63)</f>
        <v>4359.2721249999995</v>
      </c>
      <c r="F64" s="34">
        <f>SUM(F58:F63)</f>
        <v>22.995868562918545</v>
      </c>
      <c r="G64" s="33"/>
      <c r="H64" s="18"/>
      <c r="I64" s="18"/>
    </row>
    <row r="65" spans="1:9" x14ac:dyDescent="0.2">
      <c r="A65" s="27"/>
      <c r="B65" s="27"/>
      <c r="C65" s="27"/>
      <c r="D65" s="28"/>
      <c r="E65" s="29"/>
      <c r="F65" s="30"/>
      <c r="G65" s="29"/>
    </row>
    <row r="66" spans="1:9" ht="10.5" x14ac:dyDescent="0.25">
      <c r="A66" s="26" t="s">
        <v>44</v>
      </c>
      <c r="B66" s="26"/>
      <c r="C66" s="26"/>
      <c r="D66" s="32"/>
      <c r="E66" s="33">
        <f>E33+E42+E47+E51+E55+E64</f>
        <v>16939.514201999998</v>
      </c>
      <c r="F66" s="34">
        <f>F33+F42+F47+F51+F55+F64</f>
        <v>89.358689005652295</v>
      </c>
      <c r="G66" s="33"/>
      <c r="H66" s="18"/>
      <c r="I66" s="18"/>
    </row>
    <row r="67" spans="1:9" ht="10.5" x14ac:dyDescent="0.25">
      <c r="A67" s="26"/>
      <c r="B67" s="26"/>
      <c r="C67" s="26"/>
      <c r="D67" s="32"/>
      <c r="E67" s="33"/>
      <c r="F67" s="34"/>
      <c r="G67" s="33"/>
      <c r="H67" s="18"/>
      <c r="I67" s="18"/>
    </row>
    <row r="68" spans="1:9" ht="10.5" x14ac:dyDescent="0.25">
      <c r="A68" s="26" t="s">
        <v>46</v>
      </c>
      <c r="B68" s="26"/>
      <c r="C68" s="26"/>
      <c r="D68" s="32"/>
      <c r="E68" s="33">
        <f>E70-(E33+E42+E47+E51+E55+E64)</f>
        <v>2017.2480228000022</v>
      </c>
      <c r="F68" s="34">
        <f>F70-(F33+F42+F47+F51+F55+F64)</f>
        <v>10.641310994347705</v>
      </c>
      <c r="G68" s="33"/>
      <c r="H68" s="18"/>
      <c r="I68" s="18"/>
    </row>
    <row r="69" spans="1:9" ht="10.5" x14ac:dyDescent="0.25">
      <c r="A69" s="26"/>
      <c r="B69" s="26"/>
      <c r="C69" s="26"/>
      <c r="D69" s="32"/>
      <c r="E69" s="33"/>
      <c r="F69" s="34"/>
      <c r="G69" s="33"/>
      <c r="H69" s="18"/>
      <c r="I69" s="18"/>
    </row>
    <row r="70" spans="1:9" ht="10.5" x14ac:dyDescent="0.25">
      <c r="A70" s="35" t="s">
        <v>45</v>
      </c>
      <c r="B70" s="35"/>
      <c r="C70" s="35"/>
      <c r="D70" s="36"/>
      <c r="E70" s="37">
        <v>18956.762224800001</v>
      </c>
      <c r="F70" s="38">
        <v>100</v>
      </c>
      <c r="G70" s="37"/>
      <c r="H70" s="18"/>
      <c r="I70" s="18"/>
    </row>
    <row r="71" spans="1:9" ht="10.5" x14ac:dyDescent="0.25">
      <c r="F71" s="20" t="s">
        <v>56</v>
      </c>
    </row>
    <row r="72" spans="1:9" ht="10.5" x14ac:dyDescent="0.25">
      <c r="A72" s="18" t="s">
        <v>67</v>
      </c>
    </row>
    <row r="73" spans="1:9" ht="10.5" x14ac:dyDescent="0.25">
      <c r="A73" s="18" t="s">
        <v>47</v>
      </c>
    </row>
    <row r="74" spans="1:9" ht="10.5" x14ac:dyDescent="0.25">
      <c r="A74" s="18" t="s">
        <v>729</v>
      </c>
    </row>
    <row r="76" spans="1:9" ht="10.5" x14ac:dyDescent="0.25">
      <c r="A76" s="18" t="s">
        <v>48</v>
      </c>
    </row>
    <row r="77" spans="1:9" ht="10.5" x14ac:dyDescent="0.25">
      <c r="A77" s="18" t="s">
        <v>49</v>
      </c>
    </row>
    <row r="78" spans="1:9" ht="10.5" x14ac:dyDescent="0.25">
      <c r="A78" s="18" t="s">
        <v>50</v>
      </c>
      <c r="B78" s="18"/>
      <c r="C78" s="41" t="s">
        <v>727</v>
      </c>
      <c r="D78" s="19" t="s">
        <v>51</v>
      </c>
    </row>
    <row r="79" spans="1:9" x14ac:dyDescent="0.2">
      <c r="A79" s="9" t="s">
        <v>71</v>
      </c>
      <c r="C79" s="40">
        <v>58.859000000000002</v>
      </c>
      <c r="D79" s="40">
        <v>62.877499999999998</v>
      </c>
    </row>
    <row r="80" spans="1:9" x14ac:dyDescent="0.2">
      <c r="A80" s="9" t="s">
        <v>72</v>
      </c>
      <c r="C80" s="40">
        <v>12.724</v>
      </c>
      <c r="D80" s="40">
        <v>13.070600000000001</v>
      </c>
    </row>
    <row r="81" spans="1:5" x14ac:dyDescent="0.2">
      <c r="A81" s="9" t="s">
        <v>73</v>
      </c>
      <c r="C81" s="40">
        <v>12.174799999999999</v>
      </c>
      <c r="D81" s="40">
        <v>12.4651</v>
      </c>
    </row>
    <row r="82" spans="1:5" x14ac:dyDescent="0.2">
      <c r="A82" s="9" t="s">
        <v>74</v>
      </c>
      <c r="C82" s="40">
        <v>62.302</v>
      </c>
      <c r="D82" s="40">
        <v>66.820999999999998</v>
      </c>
    </row>
    <row r="83" spans="1:5" x14ac:dyDescent="0.2">
      <c r="A83" s="9" t="s">
        <v>75</v>
      </c>
      <c r="C83" s="40">
        <v>13.6907</v>
      </c>
      <c r="D83" s="40">
        <v>14.154299999999999</v>
      </c>
    </row>
    <row r="84" spans="1:5" x14ac:dyDescent="0.2">
      <c r="A84" s="9" t="s">
        <v>76</v>
      </c>
      <c r="C84" s="40">
        <v>13.1073</v>
      </c>
      <c r="D84" s="40">
        <v>13.511100000000001</v>
      </c>
    </row>
    <row r="86" spans="1:5" ht="10.5" x14ac:dyDescent="0.25">
      <c r="A86" s="18" t="s">
        <v>52</v>
      </c>
    </row>
    <row r="87" spans="1:5" ht="10.5" x14ac:dyDescent="0.25">
      <c r="A87" s="77" t="s">
        <v>68</v>
      </c>
      <c r="B87" s="78"/>
      <c r="C87" s="43" t="s">
        <v>69</v>
      </c>
    </row>
    <row r="88" spans="1:5" x14ac:dyDescent="0.2">
      <c r="A88" s="71" t="s">
        <v>72</v>
      </c>
      <c r="B88" s="72"/>
      <c r="C88" s="44">
        <v>0.505</v>
      </c>
    </row>
    <row r="89" spans="1:5" x14ac:dyDescent="0.2">
      <c r="A89" s="71" t="s">
        <v>73</v>
      </c>
      <c r="B89" s="72"/>
      <c r="C89" s="44">
        <v>0.52</v>
      </c>
    </row>
    <row r="90" spans="1:5" x14ac:dyDescent="0.2">
      <c r="A90" s="71" t="s">
        <v>75</v>
      </c>
      <c r="B90" s="72"/>
      <c r="C90" s="44">
        <v>0.505</v>
      </c>
    </row>
    <row r="91" spans="1:5" x14ac:dyDescent="0.2">
      <c r="A91" s="71" t="s">
        <v>76</v>
      </c>
      <c r="B91" s="72"/>
      <c r="C91" s="44">
        <v>0.52</v>
      </c>
    </row>
    <row r="92" spans="1:5" x14ac:dyDescent="0.2">
      <c r="A92" s="9" t="s">
        <v>70</v>
      </c>
    </row>
    <row r="94" spans="1:5" ht="10.5" x14ac:dyDescent="0.25">
      <c r="A94" s="18" t="s">
        <v>798</v>
      </c>
      <c r="D94" s="42">
        <v>3.7651766087882299</v>
      </c>
      <c r="E94" s="13" t="s">
        <v>54</v>
      </c>
    </row>
    <row r="96" spans="1:5" ht="10.5" x14ac:dyDescent="0.25">
      <c r="A96" s="18" t="s">
        <v>1502</v>
      </c>
      <c r="D96" s="41" t="s">
        <v>53</v>
      </c>
    </row>
    <row r="98" spans="1:7" ht="27.75" customHeight="1" x14ac:dyDescent="0.2">
      <c r="A98" s="79" t="s">
        <v>1501</v>
      </c>
      <c r="B98" s="79"/>
      <c r="C98" s="79"/>
      <c r="D98" s="79"/>
      <c r="E98" s="79"/>
      <c r="F98" s="79"/>
      <c r="G98" s="79"/>
    </row>
    <row r="100" spans="1:7" ht="15" customHeight="1" x14ac:dyDescent="0.2">
      <c r="A100" s="73" t="s">
        <v>962</v>
      </c>
      <c r="B100" s="74"/>
      <c r="C100" s="74"/>
      <c r="D100" s="74"/>
      <c r="E100" s="74"/>
      <c r="F100" s="74"/>
      <c r="G100" s="74"/>
    </row>
    <row r="101" spans="1:7" x14ac:dyDescent="0.2">
      <c r="A101" s="46" t="s">
        <v>55</v>
      </c>
    </row>
    <row r="103" spans="1:7" x14ac:dyDescent="0.2">
      <c r="A103" s="46"/>
    </row>
  </sheetData>
  <mergeCells count="8">
    <mergeCell ref="A98:G98"/>
    <mergeCell ref="A100:G100"/>
    <mergeCell ref="A1:G1"/>
    <mergeCell ref="A87:B87"/>
    <mergeCell ref="A88:B88"/>
    <mergeCell ref="A89:B89"/>
    <mergeCell ref="A90:B90"/>
    <mergeCell ref="A91:B91"/>
  </mergeCells>
  <conditionalFormatting sqref="F2:F3 F5:F70 F99 F104:F65537 F72:F97">
    <cfRule type="cellIs" dxfId="30" priority="4" stopIfTrue="1" operator="between">
      <formula>0.009</formula>
      <formula>-0.009</formula>
    </cfRule>
  </conditionalFormatting>
  <conditionalFormatting sqref="F71">
    <cfRule type="cellIs" dxfId="29" priority="3" stopIfTrue="1" operator="between">
      <formula>0.009</formula>
      <formula>-0.009</formula>
    </cfRule>
  </conditionalFormatting>
  <conditionalFormatting sqref="F101">
    <cfRule type="cellIs" dxfId="28" priority="1" stopIfTrue="1" operator="between">
      <formula>0.009</formula>
      <formula>-0.009</formula>
    </cfRule>
  </conditionalFormatting>
  <conditionalFormatting sqref="F102:F103">
    <cfRule type="cellIs" dxfId="27" priority="2" stopIfTrue="1" operator="between">
      <formula>0.009</formula>
      <formula>-0.009</formula>
    </cfRule>
  </conditionalFormatting>
  <hyperlinks>
    <hyperlink ref="A101" r:id="rId1" xr:uid="{00000000-0004-0000-24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91"/>
  <sheetViews>
    <sheetView zoomScaleNormal="100" workbookViewId="0">
      <selection sqref="A1:H1"/>
    </sheetView>
  </sheetViews>
  <sheetFormatPr defaultColWidth="9.1796875" defaultRowHeight="10" x14ac:dyDescent="0.2"/>
  <cols>
    <col min="1" max="1" width="40.54296875" style="9" bestFit="1" customWidth="1"/>
    <col min="2" max="2" width="51" style="9" bestFit="1" customWidth="1"/>
    <col min="3" max="3" width="35.7265625" style="9" bestFit="1" customWidth="1"/>
    <col min="4" max="4" width="15.1796875" style="10" bestFit="1" customWidth="1"/>
    <col min="5" max="5" width="23" style="13" bestFit="1" customWidth="1"/>
    <col min="6" max="6" width="13.54296875" style="14" bestFit="1" customWidth="1"/>
    <col min="7" max="7" width="13.54296875" style="14" customWidth="1"/>
    <col min="8" max="8" width="14.26953125" style="13" customWidth="1"/>
    <col min="9" max="16384" width="9.1796875" style="9"/>
  </cols>
  <sheetData>
    <row r="1" spans="1:8" s="1" customFormat="1" ht="14" x14ac:dyDescent="0.25">
      <c r="A1" s="75" t="s">
        <v>8</v>
      </c>
      <c r="B1" s="76"/>
      <c r="C1" s="76"/>
      <c r="D1" s="76"/>
      <c r="E1" s="76"/>
      <c r="F1" s="76"/>
      <c r="G1" s="76"/>
      <c r="H1" s="76"/>
    </row>
    <row r="2" spans="1:8" s="1" customFormat="1" ht="11.5" x14ac:dyDescent="0.25">
      <c r="D2" s="6"/>
      <c r="E2" s="7"/>
      <c r="F2" s="12"/>
      <c r="G2" s="12"/>
      <c r="H2" s="13"/>
    </row>
    <row r="3" spans="1:8" s="1" customFormat="1" ht="11.5" x14ac:dyDescent="0.25">
      <c r="A3" s="11" t="s">
        <v>7</v>
      </c>
      <c r="B3" s="2"/>
      <c r="C3" s="3"/>
      <c r="D3" s="4"/>
      <c r="E3" s="5"/>
      <c r="F3" s="12"/>
      <c r="G3" s="12"/>
      <c r="H3" s="13"/>
    </row>
    <row r="4" spans="1:8" s="1" customFormat="1" ht="45" customHeight="1" x14ac:dyDescent="0.25">
      <c r="A4" s="8" t="s">
        <v>2</v>
      </c>
      <c r="B4" s="8" t="s">
        <v>0</v>
      </c>
      <c r="C4" s="17" t="s">
        <v>5</v>
      </c>
      <c r="D4" s="16" t="s">
        <v>1</v>
      </c>
      <c r="E4" s="15" t="s">
        <v>3</v>
      </c>
      <c r="F4" s="48" t="s">
        <v>735</v>
      </c>
      <c r="G4" s="48" t="s">
        <v>736</v>
      </c>
      <c r="H4" s="15" t="s">
        <v>6</v>
      </c>
    </row>
    <row r="5" spans="1:8" ht="10.5" x14ac:dyDescent="0.25">
      <c r="A5" s="21" t="s">
        <v>97</v>
      </c>
      <c r="B5" s="22"/>
      <c r="C5" s="22"/>
      <c r="D5" s="23"/>
      <c r="E5" s="24"/>
      <c r="F5" s="25"/>
      <c r="G5" s="25"/>
      <c r="H5" s="24"/>
    </row>
    <row r="6" spans="1:8" ht="10.5" x14ac:dyDescent="0.25">
      <c r="A6" s="26" t="s">
        <v>32</v>
      </c>
      <c r="B6" s="27"/>
      <c r="C6" s="27"/>
      <c r="D6" s="28"/>
      <c r="E6" s="29"/>
      <c r="F6" s="30"/>
      <c r="G6" s="30"/>
      <c r="H6" s="29"/>
    </row>
    <row r="7" spans="1:8" x14ac:dyDescent="0.2">
      <c r="A7" s="27" t="s">
        <v>184</v>
      </c>
      <c r="B7" s="27" t="s">
        <v>183</v>
      </c>
      <c r="C7" s="27" t="s">
        <v>185</v>
      </c>
      <c r="D7" s="31">
        <v>51500</v>
      </c>
      <c r="E7" s="29">
        <v>1224.567</v>
      </c>
      <c r="F7" s="30">
        <v>9.4834848216582497</v>
      </c>
      <c r="G7" s="30">
        <v>-9.0032999999999994</v>
      </c>
      <c r="H7" s="29"/>
    </row>
    <row r="8" spans="1:8" x14ac:dyDescent="0.2">
      <c r="A8" s="27" t="s">
        <v>102</v>
      </c>
      <c r="B8" s="27" t="s">
        <v>101</v>
      </c>
      <c r="C8" s="27" t="s">
        <v>100</v>
      </c>
      <c r="D8" s="31">
        <v>156500</v>
      </c>
      <c r="E8" s="29">
        <v>1037.4385</v>
      </c>
      <c r="F8" s="30">
        <v>8.0342947900391799</v>
      </c>
      <c r="G8" s="30">
        <v>-4.3380000000000001</v>
      </c>
      <c r="H8" s="29"/>
    </row>
    <row r="9" spans="1:8" x14ac:dyDescent="0.2">
      <c r="A9" s="27" t="s">
        <v>132</v>
      </c>
      <c r="B9" s="27" t="s">
        <v>131</v>
      </c>
      <c r="C9" s="27" t="s">
        <v>133</v>
      </c>
      <c r="D9" s="31">
        <v>329400</v>
      </c>
      <c r="E9" s="29">
        <v>720.0684</v>
      </c>
      <c r="F9" s="30">
        <v>5.5764672263385702</v>
      </c>
      <c r="G9" s="30">
        <v>-5.6096000000000004</v>
      </c>
      <c r="H9" s="29"/>
    </row>
    <row r="10" spans="1:8" x14ac:dyDescent="0.2">
      <c r="A10" s="27" t="s">
        <v>187</v>
      </c>
      <c r="B10" s="27" t="s">
        <v>186</v>
      </c>
      <c r="C10" s="27" t="s">
        <v>169</v>
      </c>
      <c r="D10" s="31">
        <v>123000</v>
      </c>
      <c r="E10" s="29">
        <v>587.63250000000005</v>
      </c>
      <c r="F10" s="30">
        <v>4.5508362502526101</v>
      </c>
      <c r="G10" s="30">
        <v>-4.5766</v>
      </c>
      <c r="H10" s="29"/>
    </row>
    <row r="11" spans="1:8" x14ac:dyDescent="0.2">
      <c r="A11" s="27" t="s">
        <v>110</v>
      </c>
      <c r="B11" s="27" t="s">
        <v>109</v>
      </c>
      <c r="C11" s="27" t="s">
        <v>100</v>
      </c>
      <c r="D11" s="31">
        <v>93061</v>
      </c>
      <c r="E11" s="29">
        <v>499.73757000000001</v>
      </c>
      <c r="F11" s="30">
        <v>3.8701464761890398</v>
      </c>
      <c r="G11" s="30">
        <v>-2.3008999999999999</v>
      </c>
      <c r="H11" s="29"/>
    </row>
    <row r="12" spans="1:8" x14ac:dyDescent="0.2">
      <c r="A12" s="27" t="s">
        <v>104</v>
      </c>
      <c r="B12" s="27" t="s">
        <v>103</v>
      </c>
      <c r="C12" s="27" t="s">
        <v>105</v>
      </c>
      <c r="D12" s="31">
        <v>34245</v>
      </c>
      <c r="E12" s="29">
        <v>424.31267250000002</v>
      </c>
      <c r="F12" s="30">
        <v>3.2860290937866199</v>
      </c>
      <c r="G12" s="30"/>
      <c r="H12" s="29"/>
    </row>
    <row r="13" spans="1:8" x14ac:dyDescent="0.2">
      <c r="A13" s="27" t="s">
        <v>189</v>
      </c>
      <c r="B13" s="27" t="s">
        <v>188</v>
      </c>
      <c r="C13" s="27" t="s">
        <v>130</v>
      </c>
      <c r="D13" s="31">
        <v>4600</v>
      </c>
      <c r="E13" s="29">
        <v>331.5059</v>
      </c>
      <c r="F13" s="30">
        <v>2.5673002546534098</v>
      </c>
      <c r="G13" s="30">
        <v>-2.5832000000000002</v>
      </c>
      <c r="H13" s="29"/>
    </row>
    <row r="14" spans="1:8" x14ac:dyDescent="0.2">
      <c r="A14" s="27" t="s">
        <v>191</v>
      </c>
      <c r="B14" s="27" t="s">
        <v>190</v>
      </c>
      <c r="C14" s="27" t="s">
        <v>146</v>
      </c>
      <c r="D14" s="31">
        <v>372938</v>
      </c>
      <c r="E14" s="29">
        <v>281.19525199999998</v>
      </c>
      <c r="F14" s="30">
        <v>2.1776766026394401</v>
      </c>
      <c r="G14" s="30"/>
      <c r="H14" s="29"/>
    </row>
    <row r="15" spans="1:8" x14ac:dyDescent="0.2">
      <c r="A15" s="27" t="s">
        <v>151</v>
      </c>
      <c r="B15" s="27" t="s">
        <v>150</v>
      </c>
      <c r="C15" s="27" t="s">
        <v>127</v>
      </c>
      <c r="D15" s="31">
        <v>18456</v>
      </c>
      <c r="E15" s="29">
        <v>239.87263200000001</v>
      </c>
      <c r="F15" s="30">
        <v>1.8576594540790501</v>
      </c>
      <c r="G15" s="30"/>
      <c r="H15" s="29"/>
    </row>
    <row r="16" spans="1:8" x14ac:dyDescent="0.2">
      <c r="A16" s="27" t="s">
        <v>143</v>
      </c>
      <c r="B16" s="27" t="s">
        <v>142</v>
      </c>
      <c r="C16" s="27" t="s">
        <v>100</v>
      </c>
      <c r="D16" s="31">
        <v>83462</v>
      </c>
      <c r="E16" s="29">
        <v>235.446302</v>
      </c>
      <c r="F16" s="30">
        <v>1.8233803714558401</v>
      </c>
      <c r="G16" s="30"/>
      <c r="H16" s="29"/>
    </row>
    <row r="17" spans="1:8" x14ac:dyDescent="0.2">
      <c r="A17" s="27" t="s">
        <v>193</v>
      </c>
      <c r="B17" s="27" t="s">
        <v>192</v>
      </c>
      <c r="C17" s="27" t="s">
        <v>105</v>
      </c>
      <c r="D17" s="31">
        <v>22733</v>
      </c>
      <c r="E17" s="29">
        <v>218.55506199999999</v>
      </c>
      <c r="F17" s="30">
        <v>1.69256856764357</v>
      </c>
      <c r="G17" s="30"/>
      <c r="H17" s="29"/>
    </row>
    <row r="18" spans="1:8" x14ac:dyDescent="0.2">
      <c r="A18" s="27" t="s">
        <v>195</v>
      </c>
      <c r="B18" s="27" t="s">
        <v>194</v>
      </c>
      <c r="C18" s="27" t="s">
        <v>196</v>
      </c>
      <c r="D18" s="31">
        <v>16100</v>
      </c>
      <c r="E18" s="29">
        <v>214.88669999999999</v>
      </c>
      <c r="F18" s="30">
        <v>1.6641594603041201</v>
      </c>
      <c r="G18" s="30">
        <v>-1.6731</v>
      </c>
      <c r="H18" s="29"/>
    </row>
    <row r="19" spans="1:8" x14ac:dyDescent="0.2">
      <c r="A19" s="27" t="s">
        <v>99</v>
      </c>
      <c r="B19" s="27" t="s">
        <v>98</v>
      </c>
      <c r="C19" s="27" t="s">
        <v>100</v>
      </c>
      <c r="D19" s="31">
        <v>15378</v>
      </c>
      <c r="E19" s="29">
        <v>213.83108999999999</v>
      </c>
      <c r="F19" s="30">
        <v>1.65598443891893</v>
      </c>
      <c r="G19" s="30"/>
      <c r="H19" s="29"/>
    </row>
    <row r="20" spans="1:8" x14ac:dyDescent="0.2">
      <c r="A20" s="27" t="s">
        <v>198</v>
      </c>
      <c r="B20" s="27" t="s">
        <v>197</v>
      </c>
      <c r="C20" s="27" t="s">
        <v>127</v>
      </c>
      <c r="D20" s="31">
        <v>41250</v>
      </c>
      <c r="E20" s="29">
        <v>212.25187500000001</v>
      </c>
      <c r="F20" s="30">
        <v>1.64375443314331</v>
      </c>
      <c r="G20" s="30">
        <v>-1.6545000000000001</v>
      </c>
      <c r="H20" s="29"/>
    </row>
    <row r="21" spans="1:8" x14ac:dyDescent="0.2">
      <c r="A21" s="27" t="s">
        <v>107</v>
      </c>
      <c r="B21" s="27" t="s">
        <v>106</v>
      </c>
      <c r="C21" s="27" t="s">
        <v>108</v>
      </c>
      <c r="D21" s="31">
        <v>32951</v>
      </c>
      <c r="E21" s="29">
        <v>182.41673599999999</v>
      </c>
      <c r="F21" s="30">
        <v>1.4127004460127099</v>
      </c>
      <c r="G21" s="30"/>
      <c r="H21" s="29"/>
    </row>
    <row r="22" spans="1:8" x14ac:dyDescent="0.2">
      <c r="A22" s="27" t="s">
        <v>126</v>
      </c>
      <c r="B22" s="27" t="s">
        <v>125</v>
      </c>
      <c r="C22" s="27" t="s">
        <v>127</v>
      </c>
      <c r="D22" s="31">
        <v>10287</v>
      </c>
      <c r="E22" s="29">
        <v>164.93147099999999</v>
      </c>
      <c r="F22" s="30">
        <v>1.27728830014386</v>
      </c>
      <c r="G22" s="30"/>
      <c r="H22" s="29"/>
    </row>
    <row r="23" spans="1:8" x14ac:dyDescent="0.2">
      <c r="A23" s="27" t="s">
        <v>145</v>
      </c>
      <c r="B23" s="27" t="s">
        <v>144</v>
      </c>
      <c r="C23" s="27" t="s">
        <v>146</v>
      </c>
      <c r="D23" s="31">
        <v>85523</v>
      </c>
      <c r="E23" s="29">
        <v>157.7471735</v>
      </c>
      <c r="F23" s="30">
        <v>1.2216505307972001</v>
      </c>
      <c r="G23" s="30"/>
      <c r="H23" s="29"/>
    </row>
    <row r="24" spans="1:8" x14ac:dyDescent="0.2">
      <c r="A24" s="27" t="s">
        <v>200</v>
      </c>
      <c r="B24" s="27" t="s">
        <v>199</v>
      </c>
      <c r="C24" s="27" t="s">
        <v>185</v>
      </c>
      <c r="D24" s="31">
        <v>29811</v>
      </c>
      <c r="E24" s="29">
        <v>149.01028350000001</v>
      </c>
      <c r="F24" s="30">
        <v>1.1539889298366199</v>
      </c>
      <c r="G24" s="30"/>
      <c r="H24" s="29"/>
    </row>
    <row r="25" spans="1:8" x14ac:dyDescent="0.2">
      <c r="A25" s="27" t="s">
        <v>202</v>
      </c>
      <c r="B25" s="27" t="s">
        <v>201</v>
      </c>
      <c r="C25" s="27" t="s">
        <v>203</v>
      </c>
      <c r="D25" s="31">
        <v>122059</v>
      </c>
      <c r="E25" s="29">
        <v>148.423744</v>
      </c>
      <c r="F25" s="30">
        <v>1.1494465581692901</v>
      </c>
      <c r="G25" s="30"/>
      <c r="H25" s="29"/>
    </row>
    <row r="26" spans="1:8" x14ac:dyDescent="0.2">
      <c r="A26" s="27" t="s">
        <v>153</v>
      </c>
      <c r="B26" s="27" t="s">
        <v>152</v>
      </c>
      <c r="C26" s="27" t="s">
        <v>146</v>
      </c>
      <c r="D26" s="31">
        <v>150349</v>
      </c>
      <c r="E26" s="29">
        <v>133.73543549999999</v>
      </c>
      <c r="F26" s="30">
        <v>1.03569504378454</v>
      </c>
      <c r="G26" s="30"/>
      <c r="H26" s="29"/>
    </row>
    <row r="27" spans="1:8" x14ac:dyDescent="0.2">
      <c r="A27" s="27" t="s">
        <v>205</v>
      </c>
      <c r="B27" s="27" t="s">
        <v>204</v>
      </c>
      <c r="C27" s="27" t="s">
        <v>133</v>
      </c>
      <c r="D27" s="31">
        <v>121901</v>
      </c>
      <c r="E27" s="29">
        <v>113.67268249999999</v>
      </c>
      <c r="F27" s="30">
        <v>0.880321908989812</v>
      </c>
      <c r="G27" s="30"/>
      <c r="H27" s="29"/>
    </row>
    <row r="28" spans="1:8" x14ac:dyDescent="0.2">
      <c r="A28" s="27" t="s">
        <v>207</v>
      </c>
      <c r="B28" s="27" t="s">
        <v>206</v>
      </c>
      <c r="C28" s="27" t="s">
        <v>208</v>
      </c>
      <c r="D28" s="31">
        <v>76471</v>
      </c>
      <c r="E28" s="29">
        <v>112.41237</v>
      </c>
      <c r="F28" s="30">
        <v>0.87056159823156398</v>
      </c>
      <c r="G28" s="30"/>
      <c r="H28" s="29"/>
    </row>
    <row r="29" spans="1:8" x14ac:dyDescent="0.2">
      <c r="A29" s="27" t="s">
        <v>177</v>
      </c>
      <c r="B29" s="27" t="s">
        <v>176</v>
      </c>
      <c r="C29" s="27" t="s">
        <v>138</v>
      </c>
      <c r="D29" s="31">
        <v>2392</v>
      </c>
      <c r="E29" s="29">
        <v>110.09658400000001</v>
      </c>
      <c r="F29" s="30">
        <v>0.85262732319295098</v>
      </c>
      <c r="G29" s="30"/>
      <c r="H29" s="29"/>
    </row>
    <row r="30" spans="1:8" x14ac:dyDescent="0.2">
      <c r="A30" s="27" t="s">
        <v>210</v>
      </c>
      <c r="B30" s="27" t="s">
        <v>209</v>
      </c>
      <c r="C30" s="27" t="s">
        <v>147</v>
      </c>
      <c r="D30" s="31">
        <v>64953</v>
      </c>
      <c r="E30" s="29">
        <v>105.288813</v>
      </c>
      <c r="F30" s="30">
        <v>0.81539422504110803</v>
      </c>
      <c r="G30" s="30"/>
      <c r="H30" s="29"/>
    </row>
    <row r="31" spans="1:8" x14ac:dyDescent="0.2">
      <c r="A31" s="27" t="s">
        <v>120</v>
      </c>
      <c r="B31" s="27" t="s">
        <v>119</v>
      </c>
      <c r="C31" s="27" t="s">
        <v>121</v>
      </c>
      <c r="D31" s="31">
        <v>43156</v>
      </c>
      <c r="E31" s="29">
        <v>102.27972</v>
      </c>
      <c r="F31" s="30">
        <v>0.79209073262912999</v>
      </c>
      <c r="G31" s="30"/>
      <c r="H31" s="29"/>
    </row>
    <row r="32" spans="1:8" x14ac:dyDescent="0.2">
      <c r="A32" s="27" t="s">
        <v>115</v>
      </c>
      <c r="B32" s="27" t="s">
        <v>114</v>
      </c>
      <c r="C32" s="27" t="s">
        <v>100</v>
      </c>
      <c r="D32" s="31">
        <v>5528</v>
      </c>
      <c r="E32" s="29">
        <v>94.691875999999993</v>
      </c>
      <c r="F32" s="30">
        <v>0.73332775485567203</v>
      </c>
      <c r="G32" s="30"/>
      <c r="H32" s="29"/>
    </row>
    <row r="33" spans="1:10" x14ac:dyDescent="0.2">
      <c r="A33" s="27" t="s">
        <v>135</v>
      </c>
      <c r="B33" s="27" t="s">
        <v>134</v>
      </c>
      <c r="C33" s="27" t="s">
        <v>121</v>
      </c>
      <c r="D33" s="31">
        <v>42933</v>
      </c>
      <c r="E33" s="29">
        <v>85.007339999999999</v>
      </c>
      <c r="F33" s="30">
        <v>0.658327244339871</v>
      </c>
      <c r="G33" s="30"/>
      <c r="H33" s="29"/>
    </row>
    <row r="34" spans="1:10" x14ac:dyDescent="0.2">
      <c r="A34" s="27" t="s">
        <v>212</v>
      </c>
      <c r="B34" s="27" t="s">
        <v>211</v>
      </c>
      <c r="C34" s="27" t="s">
        <v>185</v>
      </c>
      <c r="D34" s="31">
        <v>21957</v>
      </c>
      <c r="E34" s="29">
        <v>73.632799500000004</v>
      </c>
      <c r="F34" s="30">
        <v>0.570238734535926</v>
      </c>
      <c r="G34" s="30"/>
      <c r="H34" s="29"/>
    </row>
    <row r="35" spans="1:10" x14ac:dyDescent="0.2">
      <c r="A35" s="27" t="s">
        <v>214</v>
      </c>
      <c r="B35" s="27" t="s">
        <v>213</v>
      </c>
      <c r="C35" s="27" t="s">
        <v>127</v>
      </c>
      <c r="D35" s="31">
        <v>402</v>
      </c>
      <c r="E35" s="29">
        <v>68.581199999999995</v>
      </c>
      <c r="F35" s="30">
        <v>0.53111734127337196</v>
      </c>
      <c r="G35" s="30"/>
      <c r="H35" s="29"/>
    </row>
    <row r="36" spans="1:10" x14ac:dyDescent="0.2">
      <c r="A36" s="27" t="s">
        <v>216</v>
      </c>
      <c r="B36" s="27" t="s">
        <v>215</v>
      </c>
      <c r="C36" s="27" t="s">
        <v>121</v>
      </c>
      <c r="D36" s="31">
        <v>47372</v>
      </c>
      <c r="E36" s="29">
        <v>59.357115999999998</v>
      </c>
      <c r="F36" s="30">
        <v>0.45968273572896201</v>
      </c>
      <c r="G36" s="30"/>
      <c r="H36" s="29"/>
    </row>
    <row r="37" spans="1:10" x14ac:dyDescent="0.2">
      <c r="A37" s="27" t="s">
        <v>218</v>
      </c>
      <c r="B37" s="27" t="s">
        <v>217</v>
      </c>
      <c r="C37" s="27" t="s">
        <v>100</v>
      </c>
      <c r="D37" s="31">
        <v>10000</v>
      </c>
      <c r="E37" s="29">
        <v>7.23</v>
      </c>
      <c r="F37" s="30">
        <v>5.5991705852427201E-2</v>
      </c>
      <c r="G37" s="30">
        <v>-5.6300000000000003E-2</v>
      </c>
      <c r="H37" s="29"/>
    </row>
    <row r="38" spans="1:10" ht="10.5" x14ac:dyDescent="0.25">
      <c r="A38" s="26" t="s">
        <v>40</v>
      </c>
      <c r="B38" s="26"/>
      <c r="C38" s="26"/>
      <c r="D38" s="32"/>
      <c r="E38" s="33">
        <f>SUM(E7:E37)</f>
        <v>8309.8167999999987</v>
      </c>
      <c r="F38" s="34">
        <f>SUM(F7:F37)</f>
        <v>64.354193354516937</v>
      </c>
      <c r="G38" s="34">
        <f>SUM(G7:G37)</f>
        <v>-31.795500000000001</v>
      </c>
      <c r="H38" s="33"/>
      <c r="I38" s="18"/>
      <c r="J38" s="18"/>
    </row>
    <row r="39" spans="1:10" x14ac:dyDescent="0.2">
      <c r="A39" s="27"/>
      <c r="B39" s="27"/>
      <c r="C39" s="27"/>
      <c r="D39" s="28"/>
      <c r="E39" s="29"/>
      <c r="F39" s="30"/>
      <c r="G39" s="30"/>
      <c r="H39" s="29"/>
    </row>
    <row r="40" spans="1:10" ht="10.5" x14ac:dyDescent="0.25">
      <c r="A40" s="26" t="s">
        <v>219</v>
      </c>
      <c r="B40" s="27"/>
      <c r="C40" s="27"/>
      <c r="D40" s="28"/>
      <c r="E40" s="29"/>
      <c r="F40" s="30"/>
      <c r="G40" s="30"/>
      <c r="H40" s="29"/>
    </row>
    <row r="41" spans="1:10" x14ac:dyDescent="0.2">
      <c r="A41" s="27" t="s">
        <v>221</v>
      </c>
      <c r="B41" s="27" t="s">
        <v>220</v>
      </c>
      <c r="C41" s="27" t="s">
        <v>378</v>
      </c>
      <c r="D41" s="31">
        <v>44600</v>
      </c>
      <c r="E41" s="29">
        <v>156.7021</v>
      </c>
      <c r="F41" s="30">
        <v>1.21355710783646</v>
      </c>
      <c r="G41" s="30"/>
      <c r="H41" s="29"/>
    </row>
    <row r="42" spans="1:10" ht="10.5" x14ac:dyDescent="0.25">
      <c r="A42" s="26" t="s">
        <v>40</v>
      </c>
      <c r="B42" s="26"/>
      <c r="C42" s="26"/>
      <c r="D42" s="32"/>
      <c r="E42" s="33">
        <f>SUM(E40:E41)</f>
        <v>156.7021</v>
      </c>
      <c r="F42" s="34">
        <f>SUM(F40:F41)</f>
        <v>1.21355710783646</v>
      </c>
      <c r="G42" s="34"/>
      <c r="H42" s="33"/>
      <c r="I42" s="18"/>
      <c r="J42" s="18"/>
    </row>
    <row r="43" spans="1:10" x14ac:dyDescent="0.2">
      <c r="A43" s="27"/>
      <c r="B43" s="27"/>
      <c r="C43" s="27"/>
      <c r="D43" s="28"/>
      <c r="E43" s="29"/>
      <c r="F43" s="30"/>
      <c r="G43" s="30"/>
      <c r="H43" s="29"/>
    </row>
    <row r="44" spans="1:10" ht="10.5" x14ac:dyDescent="0.25">
      <c r="A44" s="26" t="s">
        <v>31</v>
      </c>
      <c r="B44" s="27"/>
      <c r="C44" s="27"/>
      <c r="D44" s="28"/>
      <c r="E44" s="29"/>
      <c r="F44" s="30"/>
      <c r="G44" s="30"/>
      <c r="H44" s="29"/>
    </row>
    <row r="45" spans="1:10" ht="10.5" x14ac:dyDescent="0.25">
      <c r="A45" s="26" t="s">
        <v>32</v>
      </c>
      <c r="B45" s="27"/>
      <c r="C45" s="27"/>
      <c r="D45" s="28"/>
      <c r="E45" s="29"/>
      <c r="F45" s="30"/>
      <c r="G45" s="30"/>
      <c r="H45" s="29"/>
    </row>
    <row r="46" spans="1:10" x14ac:dyDescent="0.2">
      <c r="A46" s="27" t="s">
        <v>175</v>
      </c>
      <c r="B46" s="27" t="s">
        <v>174</v>
      </c>
      <c r="C46" s="27" t="s">
        <v>39</v>
      </c>
      <c r="D46" s="31">
        <v>50</v>
      </c>
      <c r="E46" s="29">
        <v>519.64599999999996</v>
      </c>
      <c r="F46" s="30">
        <v>4.0243244784772303</v>
      </c>
      <c r="G46" s="30"/>
      <c r="H46" s="29">
        <v>5.0350000000000001</v>
      </c>
    </row>
    <row r="47" spans="1:10" ht="10.5" x14ac:dyDescent="0.25">
      <c r="A47" s="26" t="s">
        <v>40</v>
      </c>
      <c r="B47" s="26"/>
      <c r="C47" s="26"/>
      <c r="D47" s="32"/>
      <c r="E47" s="33">
        <f>SUM(E45:E46)</f>
        <v>519.64599999999996</v>
      </c>
      <c r="F47" s="34">
        <f>SUM(F45:F46)</f>
        <v>4.0243244784772303</v>
      </c>
      <c r="G47" s="34"/>
      <c r="H47" s="33"/>
      <c r="I47" s="18"/>
      <c r="J47" s="18"/>
    </row>
    <row r="48" spans="1:10" x14ac:dyDescent="0.2">
      <c r="A48" s="27"/>
      <c r="B48" s="27"/>
      <c r="C48" s="27"/>
      <c r="D48" s="28"/>
      <c r="E48" s="29"/>
      <c r="F48" s="30"/>
      <c r="G48" s="30"/>
      <c r="H48" s="29"/>
    </row>
    <row r="49" spans="1:10" ht="10.5" x14ac:dyDescent="0.25">
      <c r="A49" s="26" t="s">
        <v>57</v>
      </c>
      <c r="B49" s="27"/>
      <c r="C49" s="27"/>
      <c r="D49" s="28"/>
      <c r="E49" s="29"/>
      <c r="F49" s="30"/>
      <c r="G49" s="30"/>
      <c r="H49" s="29"/>
    </row>
    <row r="50" spans="1:10" ht="10.5" x14ac:dyDescent="0.25">
      <c r="A50" s="26" t="s">
        <v>58</v>
      </c>
      <c r="B50" s="27"/>
      <c r="C50" s="27"/>
      <c r="D50" s="28"/>
      <c r="E50" s="29"/>
      <c r="F50" s="30"/>
      <c r="G50" s="30"/>
      <c r="H50" s="29"/>
    </row>
    <row r="51" spans="1:10" x14ac:dyDescent="0.2">
      <c r="A51" s="27" t="s">
        <v>60</v>
      </c>
      <c r="B51" s="27" t="s">
        <v>59</v>
      </c>
      <c r="C51" s="27" t="s">
        <v>61</v>
      </c>
      <c r="D51" s="31">
        <v>500</v>
      </c>
      <c r="E51" s="29">
        <v>499.46449999999999</v>
      </c>
      <c r="F51" s="30">
        <v>3.86803172444393</v>
      </c>
      <c r="G51" s="30"/>
      <c r="H51" s="29">
        <v>3.2610999999999999</v>
      </c>
    </row>
    <row r="52" spans="1:10" ht="10.5" x14ac:dyDescent="0.25">
      <c r="A52" s="26" t="s">
        <v>40</v>
      </c>
      <c r="B52" s="26"/>
      <c r="C52" s="26"/>
      <c r="D52" s="32"/>
      <c r="E52" s="33">
        <f>SUM(E50:E51)</f>
        <v>499.46449999999999</v>
      </c>
      <c r="F52" s="34">
        <f>SUM(F50:F51)</f>
        <v>3.86803172444393</v>
      </c>
      <c r="G52" s="34"/>
      <c r="H52" s="33"/>
      <c r="I52" s="18"/>
      <c r="J52" s="18"/>
    </row>
    <row r="53" spans="1:10" x14ac:dyDescent="0.2">
      <c r="A53" s="27"/>
      <c r="B53" s="27"/>
      <c r="C53" s="27"/>
      <c r="D53" s="28"/>
      <c r="E53" s="29"/>
      <c r="F53" s="30"/>
      <c r="G53" s="30"/>
      <c r="H53" s="29"/>
    </row>
    <row r="54" spans="1:10" ht="10.5" x14ac:dyDescent="0.25">
      <c r="A54" s="26" t="s">
        <v>79</v>
      </c>
      <c r="B54" s="27"/>
      <c r="C54" s="27"/>
      <c r="D54" s="28"/>
      <c r="E54" s="29"/>
      <c r="F54" s="30"/>
      <c r="G54" s="30"/>
      <c r="H54" s="29"/>
    </row>
    <row r="55" spans="1:10" x14ac:dyDescent="0.2">
      <c r="A55" s="27" t="s">
        <v>182</v>
      </c>
      <c r="B55" s="27" t="s">
        <v>181</v>
      </c>
      <c r="C55" s="27" t="s">
        <v>80</v>
      </c>
      <c r="D55" s="31">
        <v>500000</v>
      </c>
      <c r="E55" s="29">
        <v>493.31150000000002</v>
      </c>
      <c r="F55" s="30">
        <v>3.8203806917869501</v>
      </c>
      <c r="G55" s="30"/>
      <c r="H55" s="29">
        <v>6.3369999999999997</v>
      </c>
    </row>
    <row r="56" spans="1:10" ht="10.5" x14ac:dyDescent="0.25">
      <c r="A56" s="26" t="s">
        <v>40</v>
      </c>
      <c r="B56" s="26"/>
      <c r="C56" s="26"/>
      <c r="D56" s="32"/>
      <c r="E56" s="33">
        <f>SUM(E55:E55)</f>
        <v>493.31150000000002</v>
      </c>
      <c r="F56" s="34">
        <f>SUM(F55:F55)</f>
        <v>3.8203806917869501</v>
      </c>
      <c r="G56" s="34"/>
      <c r="H56" s="33"/>
      <c r="I56" s="18"/>
      <c r="J56" s="18"/>
    </row>
    <row r="57" spans="1:10" x14ac:dyDescent="0.2">
      <c r="A57" s="27"/>
      <c r="B57" s="27"/>
      <c r="C57" s="27"/>
      <c r="D57" s="28"/>
      <c r="E57" s="29"/>
      <c r="F57" s="30"/>
      <c r="G57" s="30"/>
      <c r="H57" s="29"/>
    </row>
    <row r="58" spans="1:10" ht="10.5" x14ac:dyDescent="0.25">
      <c r="A58" s="26" t="s">
        <v>44</v>
      </c>
      <c r="B58" s="26"/>
      <c r="C58" s="26"/>
      <c r="D58" s="32"/>
      <c r="E58" s="33">
        <f>E38+E42+E47+E52+E56</f>
        <v>9978.9408999999996</v>
      </c>
      <c r="F58" s="34">
        <f>F38+F42+F47+F52+F56</f>
        <v>77.280487357061503</v>
      </c>
      <c r="G58" s="34"/>
      <c r="H58" s="33"/>
      <c r="I58" s="18"/>
      <c r="J58" s="18"/>
    </row>
    <row r="59" spans="1:10" ht="10.5" x14ac:dyDescent="0.25">
      <c r="A59" s="26"/>
      <c r="B59" s="26"/>
      <c r="C59" s="26"/>
      <c r="D59" s="32"/>
      <c r="E59" s="33"/>
      <c r="F59" s="34"/>
      <c r="G59" s="34"/>
      <c r="H59" s="33"/>
      <c r="I59" s="18"/>
      <c r="J59" s="18"/>
    </row>
    <row r="60" spans="1:10" ht="10.5" x14ac:dyDescent="0.25">
      <c r="A60" s="26" t="s">
        <v>46</v>
      </c>
      <c r="B60" s="26"/>
      <c r="C60" s="26"/>
      <c r="D60" s="32"/>
      <c r="E60" s="33">
        <f>E62-(E38+E42+E47+E52+E56)</f>
        <v>2933.685872</v>
      </c>
      <c r="F60" s="34">
        <f>F62-(F38+F42+F47+F52+F56)</f>
        <v>22.719512642938497</v>
      </c>
      <c r="G60" s="34"/>
      <c r="H60" s="33"/>
      <c r="I60" s="18"/>
      <c r="J60" s="18"/>
    </row>
    <row r="61" spans="1:10" ht="10.5" x14ac:dyDescent="0.25">
      <c r="A61" s="26"/>
      <c r="B61" s="26"/>
      <c r="C61" s="26"/>
      <c r="D61" s="32"/>
      <c r="E61" s="33"/>
      <c r="F61" s="34"/>
      <c r="G61" s="34"/>
      <c r="H61" s="33"/>
      <c r="I61" s="18"/>
      <c r="J61" s="18"/>
    </row>
    <row r="62" spans="1:10" ht="10.5" x14ac:dyDescent="0.25">
      <c r="A62" s="35" t="s">
        <v>45</v>
      </c>
      <c r="B62" s="35"/>
      <c r="C62" s="35"/>
      <c r="D62" s="36"/>
      <c r="E62" s="37">
        <v>12912.626772</v>
      </c>
      <c r="F62" s="38">
        <v>100</v>
      </c>
      <c r="G62" s="38"/>
      <c r="H62" s="37"/>
      <c r="I62" s="18"/>
      <c r="J62" s="18"/>
    </row>
    <row r="64" spans="1:10" ht="10.5" x14ac:dyDescent="0.25">
      <c r="A64" s="18" t="s">
        <v>47</v>
      </c>
    </row>
    <row r="66" spans="1:4" ht="10.5" x14ac:dyDescent="0.25">
      <c r="A66" s="18" t="s">
        <v>48</v>
      </c>
    </row>
    <row r="67" spans="1:4" ht="10.5" x14ac:dyDescent="0.25">
      <c r="A67" s="18" t="s">
        <v>49</v>
      </c>
    </row>
    <row r="68" spans="1:4" ht="10.5" x14ac:dyDescent="0.25">
      <c r="A68" s="18" t="s">
        <v>50</v>
      </c>
      <c r="B68" s="18"/>
      <c r="C68" s="39" t="s">
        <v>727</v>
      </c>
      <c r="D68" s="19" t="s">
        <v>51</v>
      </c>
    </row>
    <row r="69" spans="1:4" x14ac:dyDescent="0.2">
      <c r="A69" s="9" t="s">
        <v>71</v>
      </c>
      <c r="C69" s="40">
        <v>10.0372</v>
      </c>
      <c r="D69" s="40">
        <v>11.2737</v>
      </c>
    </row>
    <row r="70" spans="1:4" x14ac:dyDescent="0.2">
      <c r="A70" s="9" t="s">
        <v>77</v>
      </c>
      <c r="C70" s="40">
        <v>10.0372</v>
      </c>
      <c r="D70" s="40">
        <v>11.2737</v>
      </c>
    </row>
    <row r="71" spans="1:4" x14ac:dyDescent="0.2">
      <c r="A71" s="9" t="s">
        <v>72</v>
      </c>
      <c r="C71" s="40">
        <v>9.9766999999999992</v>
      </c>
      <c r="D71" s="40">
        <v>11.2058</v>
      </c>
    </row>
    <row r="72" spans="1:4" x14ac:dyDescent="0.2">
      <c r="A72" s="9" t="s">
        <v>73</v>
      </c>
      <c r="C72" s="40">
        <v>10.0372</v>
      </c>
      <c r="D72" s="40">
        <v>11.2737</v>
      </c>
    </row>
    <row r="73" spans="1:4" x14ac:dyDescent="0.2">
      <c r="A73" s="9" t="s">
        <v>74</v>
      </c>
      <c r="C73" s="40">
        <v>10.393599999999999</v>
      </c>
      <c r="D73" s="40">
        <v>11.748200000000001</v>
      </c>
    </row>
    <row r="74" spans="1:4" x14ac:dyDescent="0.2">
      <c r="A74" s="9" t="s">
        <v>78</v>
      </c>
      <c r="C74" s="40">
        <v>10.393599999999999</v>
      </c>
      <c r="D74" s="40">
        <v>11.748200000000001</v>
      </c>
    </row>
    <row r="75" spans="1:4" x14ac:dyDescent="0.2">
      <c r="A75" s="9" t="s">
        <v>75</v>
      </c>
      <c r="C75" s="40">
        <v>10.332599999999999</v>
      </c>
      <c r="D75" s="40">
        <v>11.6778</v>
      </c>
    </row>
    <row r="76" spans="1:4" x14ac:dyDescent="0.2">
      <c r="A76" s="9" t="s">
        <v>76</v>
      </c>
      <c r="C76" s="40">
        <v>10.393599999999999</v>
      </c>
      <c r="D76" s="40">
        <v>11.748200000000001</v>
      </c>
    </row>
    <row r="78" spans="1:4" ht="10.5" x14ac:dyDescent="0.25">
      <c r="A78" s="18" t="s">
        <v>52</v>
      </c>
      <c r="D78" s="41" t="s">
        <v>53</v>
      </c>
    </row>
    <row r="80" spans="1:4" ht="10.5" x14ac:dyDescent="0.25">
      <c r="A80" s="47" t="s">
        <v>738</v>
      </c>
      <c r="D80" s="49" t="s">
        <v>737</v>
      </c>
    </row>
    <row r="82" spans="1:5" ht="10.5" x14ac:dyDescent="0.25">
      <c r="A82" s="18" t="s">
        <v>730</v>
      </c>
      <c r="D82" s="13">
        <f>-G38</f>
        <v>31.795500000000001</v>
      </c>
    </row>
    <row r="84" spans="1:5" ht="10.5" x14ac:dyDescent="0.25">
      <c r="A84" s="18" t="s">
        <v>731</v>
      </c>
      <c r="D84" s="45">
        <v>1.8940999999999999</v>
      </c>
    </row>
    <row r="86" spans="1:5" ht="10.5" x14ac:dyDescent="0.25">
      <c r="A86" s="18" t="s">
        <v>732</v>
      </c>
      <c r="D86" s="42">
        <v>3.1585025426723199</v>
      </c>
      <c r="E86" s="13" t="s">
        <v>54</v>
      </c>
    </row>
    <row r="88" spans="1:5" ht="10.5" x14ac:dyDescent="0.25">
      <c r="A88" s="18" t="s">
        <v>733</v>
      </c>
      <c r="D88" s="41" t="s">
        <v>53</v>
      </c>
    </row>
    <row r="90" spans="1:5" ht="10.5" x14ac:dyDescent="0.25">
      <c r="A90" s="18" t="s">
        <v>734</v>
      </c>
    </row>
    <row r="91" spans="1:5" x14ac:dyDescent="0.2">
      <c r="A91" s="46" t="s">
        <v>55</v>
      </c>
    </row>
  </sheetData>
  <mergeCells count="1">
    <mergeCell ref="A1:H1"/>
  </mergeCells>
  <conditionalFormatting sqref="F2:G3 F5:G65541">
    <cfRule type="cellIs" dxfId="26" priority="1" stopIfTrue="1" operator="between">
      <formula>0.009</formula>
      <formula>-0.009</formula>
    </cfRule>
  </conditionalFormatting>
  <hyperlinks>
    <hyperlink ref="A91" r:id="rId1" xr:uid="{00000000-0004-0000-2500-000000000000}"/>
  </hyperlinks>
  <pageMargins left="0.7" right="0.7" top="0.75" bottom="0.75" header="0.3" footer="0.3"/>
  <pageSetup paperSize="9" scale="42" orientation="portrait" r:id="rId2"/>
  <headerFooter>
    <oddFooter>&amp;R&amp;1#&amp;"Calibri"&amp;10&amp;KFF0000|PUBLIC|&amp;LPUBLIC</oddFooter>
    <evenFooter>&amp;LPUBLIC</evenFooter>
    <firstFooter>&amp;LPUBLIC</firstFooter>
  </headerFooter>
  <colBreaks count="1" manualBreakCount="1">
    <brk id="8" max="90"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113"/>
  <sheetViews>
    <sheetView zoomScaleNormal="100" workbookViewId="0">
      <selection sqref="A1:G1"/>
    </sheetView>
  </sheetViews>
  <sheetFormatPr defaultColWidth="9.1796875" defaultRowHeight="10" x14ac:dyDescent="0.2"/>
  <cols>
    <col min="1" max="1" width="40.453125" style="9" bestFit="1" customWidth="1"/>
    <col min="2" max="2" width="51.81640625" style="9" bestFit="1" customWidth="1"/>
    <col min="3" max="3" width="35.7265625" style="9" bestFit="1" customWidth="1"/>
    <col min="4" max="4" width="15.179687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5" t="s">
        <v>9</v>
      </c>
      <c r="B1" s="76"/>
      <c r="C1" s="76"/>
      <c r="D1" s="76"/>
      <c r="E1" s="76"/>
      <c r="F1" s="76"/>
      <c r="G1" s="76"/>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5</v>
      </c>
      <c r="D4" s="16" t="s">
        <v>1</v>
      </c>
      <c r="E4" s="15" t="s">
        <v>3</v>
      </c>
      <c r="F4" s="15" t="s">
        <v>4</v>
      </c>
      <c r="G4" s="15" t="s">
        <v>6</v>
      </c>
    </row>
    <row r="5" spans="1:7" ht="10.5" x14ac:dyDescent="0.25">
      <c r="A5" s="21" t="s">
        <v>97</v>
      </c>
      <c r="B5" s="22"/>
      <c r="C5" s="22"/>
      <c r="D5" s="23"/>
      <c r="E5" s="24"/>
      <c r="F5" s="25"/>
      <c r="G5" s="24"/>
    </row>
    <row r="6" spans="1:7" ht="10.5" x14ac:dyDescent="0.25">
      <c r="A6" s="26" t="s">
        <v>32</v>
      </c>
      <c r="B6" s="27"/>
      <c r="C6" s="27"/>
      <c r="D6" s="28"/>
      <c r="E6" s="29"/>
      <c r="F6" s="30"/>
      <c r="G6" s="29"/>
    </row>
    <row r="7" spans="1:7" x14ac:dyDescent="0.2">
      <c r="A7" s="27" t="s">
        <v>102</v>
      </c>
      <c r="B7" s="27" t="s">
        <v>101</v>
      </c>
      <c r="C7" s="27" t="s">
        <v>100</v>
      </c>
      <c r="D7" s="31">
        <v>1886935</v>
      </c>
      <c r="E7" s="29">
        <v>12508.492120000001</v>
      </c>
      <c r="F7" s="30">
        <v>9.4558648443624396</v>
      </c>
      <c r="G7" s="29"/>
    </row>
    <row r="8" spans="1:7" x14ac:dyDescent="0.2">
      <c r="A8" s="27" t="s">
        <v>104</v>
      </c>
      <c r="B8" s="27" t="s">
        <v>103</v>
      </c>
      <c r="C8" s="27" t="s">
        <v>105</v>
      </c>
      <c r="D8" s="31">
        <v>853784</v>
      </c>
      <c r="E8" s="29">
        <v>10578.810649999999</v>
      </c>
      <c r="F8" s="30">
        <v>7.9971113033328596</v>
      </c>
      <c r="G8" s="29"/>
    </row>
    <row r="9" spans="1:7" x14ac:dyDescent="0.2">
      <c r="A9" s="27" t="s">
        <v>99</v>
      </c>
      <c r="B9" s="27" t="s">
        <v>98</v>
      </c>
      <c r="C9" s="27" t="s">
        <v>100</v>
      </c>
      <c r="D9" s="31">
        <v>483868</v>
      </c>
      <c r="E9" s="29">
        <v>6728.1845400000002</v>
      </c>
      <c r="F9" s="30">
        <v>5.0862088769632496</v>
      </c>
      <c r="G9" s="29"/>
    </row>
    <row r="10" spans="1:7" x14ac:dyDescent="0.2">
      <c r="A10" s="27" t="s">
        <v>110</v>
      </c>
      <c r="B10" s="27" t="s">
        <v>109</v>
      </c>
      <c r="C10" s="27" t="s">
        <v>100</v>
      </c>
      <c r="D10" s="31">
        <v>1231302</v>
      </c>
      <c r="E10" s="29">
        <v>6612.0917399999998</v>
      </c>
      <c r="F10" s="30">
        <v>4.9984478730250999</v>
      </c>
      <c r="G10" s="29"/>
    </row>
    <row r="11" spans="1:7" x14ac:dyDescent="0.2">
      <c r="A11" s="27" t="s">
        <v>107</v>
      </c>
      <c r="B11" s="27" t="s">
        <v>106</v>
      </c>
      <c r="C11" s="27" t="s">
        <v>108</v>
      </c>
      <c r="D11" s="31">
        <v>1046271</v>
      </c>
      <c r="E11" s="29">
        <v>5792.1562560000002</v>
      </c>
      <c r="F11" s="30">
        <v>4.3786130405432404</v>
      </c>
      <c r="G11" s="29"/>
    </row>
    <row r="12" spans="1:7" x14ac:dyDescent="0.2">
      <c r="A12" s="27" t="s">
        <v>129</v>
      </c>
      <c r="B12" s="27" t="s">
        <v>128</v>
      </c>
      <c r="C12" s="27" t="s">
        <v>130</v>
      </c>
      <c r="D12" s="31">
        <v>571320</v>
      </c>
      <c r="E12" s="29">
        <v>4282.6147199999996</v>
      </c>
      <c r="F12" s="30">
        <v>3.2374666414065798</v>
      </c>
      <c r="G12" s="29"/>
    </row>
    <row r="13" spans="1:7" x14ac:dyDescent="0.2">
      <c r="A13" s="27" t="s">
        <v>145</v>
      </c>
      <c r="B13" s="27" t="s">
        <v>144</v>
      </c>
      <c r="C13" s="27" t="s">
        <v>146</v>
      </c>
      <c r="D13" s="31">
        <v>2258769</v>
      </c>
      <c r="E13" s="29">
        <v>4166.2994209999997</v>
      </c>
      <c r="F13" s="30">
        <v>3.1495374381002099</v>
      </c>
      <c r="G13" s="29"/>
    </row>
    <row r="14" spans="1:7" x14ac:dyDescent="0.2">
      <c r="A14" s="27" t="s">
        <v>193</v>
      </c>
      <c r="B14" s="27" t="s">
        <v>192</v>
      </c>
      <c r="C14" s="27" t="s">
        <v>105</v>
      </c>
      <c r="D14" s="31">
        <v>429717</v>
      </c>
      <c r="E14" s="29">
        <v>4131.2992379999996</v>
      </c>
      <c r="F14" s="30">
        <v>3.1230788532603402</v>
      </c>
      <c r="G14" s="29"/>
    </row>
    <row r="15" spans="1:7" x14ac:dyDescent="0.2">
      <c r="A15" s="27" t="s">
        <v>177</v>
      </c>
      <c r="B15" s="27" t="s">
        <v>176</v>
      </c>
      <c r="C15" s="27" t="s">
        <v>138</v>
      </c>
      <c r="D15" s="31">
        <v>71688</v>
      </c>
      <c r="E15" s="29">
        <v>3299.583576</v>
      </c>
      <c r="F15" s="30">
        <v>2.4943387290820902</v>
      </c>
      <c r="G15" s="29"/>
    </row>
    <row r="16" spans="1:7" x14ac:dyDescent="0.2">
      <c r="A16" s="27" t="s">
        <v>120</v>
      </c>
      <c r="B16" s="27" t="s">
        <v>119</v>
      </c>
      <c r="C16" s="27" t="s">
        <v>121</v>
      </c>
      <c r="D16" s="31">
        <v>1379354</v>
      </c>
      <c r="E16" s="29">
        <v>3269.06898</v>
      </c>
      <c r="F16" s="30">
        <v>2.4712710489182301</v>
      </c>
      <c r="G16" s="29"/>
    </row>
    <row r="17" spans="1:7" x14ac:dyDescent="0.2">
      <c r="A17" s="27" t="s">
        <v>226</v>
      </c>
      <c r="B17" s="27" t="s">
        <v>225</v>
      </c>
      <c r="C17" s="27" t="s">
        <v>105</v>
      </c>
      <c r="D17" s="31">
        <v>92416</v>
      </c>
      <c r="E17" s="29">
        <v>2875.3852160000001</v>
      </c>
      <c r="F17" s="30">
        <v>2.1736635972693001</v>
      </c>
      <c r="G17" s="29"/>
    </row>
    <row r="18" spans="1:7" x14ac:dyDescent="0.2">
      <c r="A18" s="27" t="s">
        <v>195</v>
      </c>
      <c r="B18" s="27" t="s">
        <v>194</v>
      </c>
      <c r="C18" s="27" t="s">
        <v>196</v>
      </c>
      <c r="D18" s="31">
        <v>205227</v>
      </c>
      <c r="E18" s="29">
        <v>2739.164769</v>
      </c>
      <c r="F18" s="30">
        <v>2.0706869855791399</v>
      </c>
      <c r="G18" s="29"/>
    </row>
    <row r="19" spans="1:7" x14ac:dyDescent="0.2">
      <c r="A19" s="27" t="s">
        <v>135</v>
      </c>
      <c r="B19" s="27" t="s">
        <v>134</v>
      </c>
      <c r="C19" s="27" t="s">
        <v>121</v>
      </c>
      <c r="D19" s="31">
        <v>1266102</v>
      </c>
      <c r="E19" s="29">
        <v>2506.8819600000002</v>
      </c>
      <c r="F19" s="30">
        <v>1.89509149201354</v>
      </c>
      <c r="G19" s="29"/>
    </row>
    <row r="20" spans="1:7" x14ac:dyDescent="0.2">
      <c r="A20" s="27" t="s">
        <v>117</v>
      </c>
      <c r="B20" s="27" t="s">
        <v>116</v>
      </c>
      <c r="C20" s="27" t="s">
        <v>118</v>
      </c>
      <c r="D20" s="31">
        <v>274626</v>
      </c>
      <c r="E20" s="29">
        <v>2493.878706</v>
      </c>
      <c r="F20" s="30">
        <v>1.8852616091482599</v>
      </c>
      <c r="G20" s="29"/>
    </row>
    <row r="21" spans="1:7" x14ac:dyDescent="0.2">
      <c r="A21" s="27" t="s">
        <v>205</v>
      </c>
      <c r="B21" s="27" t="s">
        <v>204</v>
      </c>
      <c r="C21" s="27" t="s">
        <v>133</v>
      </c>
      <c r="D21" s="31">
        <v>2568360</v>
      </c>
      <c r="E21" s="29">
        <v>2394.9956999999999</v>
      </c>
      <c r="F21" s="30">
        <v>1.81051044560511</v>
      </c>
      <c r="G21" s="29"/>
    </row>
    <row r="22" spans="1:7" x14ac:dyDescent="0.2">
      <c r="A22" s="27" t="s">
        <v>140</v>
      </c>
      <c r="B22" s="27" t="s">
        <v>139</v>
      </c>
      <c r="C22" s="27" t="s">
        <v>141</v>
      </c>
      <c r="D22" s="31">
        <v>1044188</v>
      </c>
      <c r="E22" s="29">
        <v>2362.9974440000001</v>
      </c>
      <c r="F22" s="30">
        <v>1.7863211843345601</v>
      </c>
      <c r="G22" s="29"/>
    </row>
    <row r="23" spans="1:7" x14ac:dyDescent="0.2">
      <c r="A23" s="27" t="s">
        <v>153</v>
      </c>
      <c r="B23" s="27" t="s">
        <v>152</v>
      </c>
      <c r="C23" s="27" t="s">
        <v>146</v>
      </c>
      <c r="D23" s="31">
        <v>2468370</v>
      </c>
      <c r="E23" s="29">
        <v>2195.6151150000001</v>
      </c>
      <c r="F23" s="30">
        <v>1.65978757299479</v>
      </c>
      <c r="G23" s="29"/>
    </row>
    <row r="24" spans="1:7" x14ac:dyDescent="0.2">
      <c r="A24" s="27" t="s">
        <v>202</v>
      </c>
      <c r="B24" s="27" t="s">
        <v>201</v>
      </c>
      <c r="C24" s="27" t="s">
        <v>203</v>
      </c>
      <c r="D24" s="31">
        <v>1583382</v>
      </c>
      <c r="E24" s="29">
        <v>1925.3925119999999</v>
      </c>
      <c r="F24" s="30">
        <v>1.45551127915005</v>
      </c>
      <c r="G24" s="29"/>
    </row>
    <row r="25" spans="1:7" x14ac:dyDescent="0.2">
      <c r="A25" s="27" t="s">
        <v>143</v>
      </c>
      <c r="B25" s="27" t="s">
        <v>142</v>
      </c>
      <c r="C25" s="27" t="s">
        <v>100</v>
      </c>
      <c r="D25" s="31">
        <v>615662</v>
      </c>
      <c r="E25" s="29">
        <v>1736.782502</v>
      </c>
      <c r="F25" s="30">
        <v>1.3129304831800701</v>
      </c>
      <c r="G25" s="29"/>
    </row>
    <row r="26" spans="1:7" x14ac:dyDescent="0.2">
      <c r="A26" s="27" t="s">
        <v>200</v>
      </c>
      <c r="B26" s="27" t="s">
        <v>199</v>
      </c>
      <c r="C26" s="27" t="s">
        <v>185</v>
      </c>
      <c r="D26" s="31">
        <v>345421</v>
      </c>
      <c r="E26" s="29">
        <v>1726.586869</v>
      </c>
      <c r="F26" s="30">
        <v>1.30522303717252</v>
      </c>
      <c r="G26" s="29"/>
    </row>
    <row r="27" spans="1:7" x14ac:dyDescent="0.2">
      <c r="A27" s="27" t="s">
        <v>151</v>
      </c>
      <c r="B27" s="27" t="s">
        <v>150</v>
      </c>
      <c r="C27" s="27" t="s">
        <v>127</v>
      </c>
      <c r="D27" s="31">
        <v>128251</v>
      </c>
      <c r="E27" s="29">
        <v>1666.8782470000001</v>
      </c>
      <c r="F27" s="30">
        <v>1.2600859691503601</v>
      </c>
      <c r="G27" s="29"/>
    </row>
    <row r="28" spans="1:7" x14ac:dyDescent="0.2">
      <c r="A28" s="27" t="s">
        <v>228</v>
      </c>
      <c r="B28" s="27" t="s">
        <v>227</v>
      </c>
      <c r="C28" s="27" t="s">
        <v>146</v>
      </c>
      <c r="D28" s="31">
        <v>6797235</v>
      </c>
      <c r="E28" s="29">
        <v>1631.3363999999999</v>
      </c>
      <c r="F28" s="30">
        <v>1.2332179103686201</v>
      </c>
      <c r="G28" s="29"/>
    </row>
    <row r="29" spans="1:7" x14ac:dyDescent="0.2">
      <c r="A29" s="27" t="s">
        <v>137</v>
      </c>
      <c r="B29" s="27" t="s">
        <v>136</v>
      </c>
      <c r="C29" s="27" t="s">
        <v>138</v>
      </c>
      <c r="D29" s="31">
        <v>349001</v>
      </c>
      <c r="E29" s="29">
        <v>1575.739515</v>
      </c>
      <c r="F29" s="30">
        <v>1.19118913301608</v>
      </c>
      <c r="G29" s="29"/>
    </row>
    <row r="30" spans="1:7" x14ac:dyDescent="0.2">
      <c r="A30" s="27" t="s">
        <v>112</v>
      </c>
      <c r="B30" s="27" t="s">
        <v>111</v>
      </c>
      <c r="C30" s="27" t="s">
        <v>113</v>
      </c>
      <c r="D30" s="31">
        <v>99000</v>
      </c>
      <c r="E30" s="29">
        <v>1572.4665</v>
      </c>
      <c r="F30" s="30">
        <v>1.1887148789511801</v>
      </c>
      <c r="G30" s="29"/>
    </row>
    <row r="31" spans="1:7" x14ac:dyDescent="0.2">
      <c r="A31" s="27" t="s">
        <v>163</v>
      </c>
      <c r="B31" s="27" t="s">
        <v>162</v>
      </c>
      <c r="C31" s="27" t="s">
        <v>130</v>
      </c>
      <c r="D31" s="31">
        <v>581483</v>
      </c>
      <c r="E31" s="29">
        <v>1527.5558410000001</v>
      </c>
      <c r="F31" s="30">
        <v>1.15476441413886</v>
      </c>
      <c r="G31" s="29"/>
    </row>
    <row r="32" spans="1:7" x14ac:dyDescent="0.2">
      <c r="A32" s="27" t="s">
        <v>123</v>
      </c>
      <c r="B32" s="27" t="s">
        <v>122</v>
      </c>
      <c r="C32" s="27" t="s">
        <v>124</v>
      </c>
      <c r="D32" s="31">
        <v>235077</v>
      </c>
      <c r="E32" s="29">
        <v>1412.81277</v>
      </c>
      <c r="F32" s="30">
        <v>1.06802374541603</v>
      </c>
      <c r="G32" s="29"/>
    </row>
    <row r="33" spans="1:9" x14ac:dyDescent="0.2">
      <c r="A33" s="27" t="s">
        <v>207</v>
      </c>
      <c r="B33" s="27" t="s">
        <v>206</v>
      </c>
      <c r="C33" s="27" t="s">
        <v>208</v>
      </c>
      <c r="D33" s="31">
        <v>921918</v>
      </c>
      <c r="E33" s="29">
        <v>1355.21946</v>
      </c>
      <c r="F33" s="30">
        <v>1.02448575937623</v>
      </c>
      <c r="G33" s="29"/>
    </row>
    <row r="34" spans="1:9" x14ac:dyDescent="0.2">
      <c r="A34" s="27" t="s">
        <v>212</v>
      </c>
      <c r="B34" s="27" t="s">
        <v>211</v>
      </c>
      <c r="C34" s="27" t="s">
        <v>185</v>
      </c>
      <c r="D34" s="31">
        <v>336933</v>
      </c>
      <c r="E34" s="29">
        <v>1129.904816</v>
      </c>
      <c r="F34" s="30">
        <v>0.85415788926365099</v>
      </c>
      <c r="G34" s="29"/>
    </row>
    <row r="35" spans="1:9" x14ac:dyDescent="0.2">
      <c r="A35" s="27" t="s">
        <v>230</v>
      </c>
      <c r="B35" s="27" t="s">
        <v>229</v>
      </c>
      <c r="C35" s="27" t="s">
        <v>118</v>
      </c>
      <c r="D35" s="31">
        <v>72561</v>
      </c>
      <c r="E35" s="29">
        <v>1030.583883</v>
      </c>
      <c r="F35" s="30">
        <v>0.779075672346207</v>
      </c>
      <c r="G35" s="29"/>
    </row>
    <row r="36" spans="1:9" x14ac:dyDescent="0.2">
      <c r="A36" s="27" t="s">
        <v>165</v>
      </c>
      <c r="B36" s="27" t="s">
        <v>164</v>
      </c>
      <c r="C36" s="27" t="s">
        <v>166</v>
      </c>
      <c r="D36" s="31">
        <v>649104</v>
      </c>
      <c r="E36" s="29">
        <v>974.30510400000003</v>
      </c>
      <c r="F36" s="30">
        <v>0.73653141339601302</v>
      </c>
      <c r="G36" s="29"/>
    </row>
    <row r="37" spans="1:9" x14ac:dyDescent="0.2">
      <c r="A37" s="27" t="s">
        <v>132</v>
      </c>
      <c r="B37" s="27" t="s">
        <v>131</v>
      </c>
      <c r="C37" s="27" t="s">
        <v>133</v>
      </c>
      <c r="D37" s="31">
        <v>362218</v>
      </c>
      <c r="E37" s="29">
        <v>791.80854799999997</v>
      </c>
      <c r="F37" s="30">
        <v>0.59857211730000803</v>
      </c>
      <c r="G37" s="29"/>
    </row>
    <row r="38" spans="1:9" x14ac:dyDescent="0.2">
      <c r="A38" s="27" t="s">
        <v>210</v>
      </c>
      <c r="B38" s="27" t="s">
        <v>209</v>
      </c>
      <c r="C38" s="27" t="s">
        <v>147</v>
      </c>
      <c r="D38" s="31">
        <v>377910</v>
      </c>
      <c r="E38" s="29">
        <v>612.59211000000005</v>
      </c>
      <c r="F38" s="30">
        <v>0.46309244482162298</v>
      </c>
      <c r="G38" s="29"/>
    </row>
    <row r="39" spans="1:9" x14ac:dyDescent="0.2">
      <c r="A39" s="27" t="s">
        <v>168</v>
      </c>
      <c r="B39" s="27" t="s">
        <v>167</v>
      </c>
      <c r="C39" s="27" t="s">
        <v>169</v>
      </c>
      <c r="D39" s="31">
        <v>1265151</v>
      </c>
      <c r="E39" s="29">
        <v>520.60963649999997</v>
      </c>
      <c r="F39" s="30">
        <v>0.39355777756341298</v>
      </c>
      <c r="G39" s="29"/>
    </row>
    <row r="40" spans="1:9" x14ac:dyDescent="0.2">
      <c r="A40" s="27" t="s">
        <v>170</v>
      </c>
      <c r="B40" s="27" t="s">
        <v>728</v>
      </c>
      <c r="C40" s="27" t="s">
        <v>166</v>
      </c>
      <c r="D40" s="31">
        <v>75869</v>
      </c>
      <c r="E40" s="29">
        <v>97.264058000000006</v>
      </c>
      <c r="F40" s="30">
        <v>7.3527310713310007E-2</v>
      </c>
      <c r="G40" s="29"/>
    </row>
    <row r="41" spans="1:9" ht="10.5" x14ac:dyDescent="0.25">
      <c r="A41" s="26" t="s">
        <v>40</v>
      </c>
      <c r="B41" s="26"/>
      <c r="C41" s="26"/>
      <c r="D41" s="32"/>
      <c r="E41" s="33">
        <f>SUM(E7:E40)</f>
        <v>100225.35892249997</v>
      </c>
      <c r="F41" s="34">
        <f>SUM(F7:F40)</f>
        <v>75.765922771263249</v>
      </c>
      <c r="G41" s="33"/>
      <c r="H41" s="18"/>
      <c r="I41" s="18"/>
    </row>
    <row r="42" spans="1:9" x14ac:dyDescent="0.2">
      <c r="A42" s="27"/>
      <c r="B42" s="27"/>
      <c r="C42" s="27"/>
      <c r="D42" s="28"/>
      <c r="E42" s="29"/>
      <c r="F42" s="30"/>
      <c r="G42" s="29"/>
    </row>
    <row r="43" spans="1:9" ht="10.5" x14ac:dyDescent="0.25">
      <c r="A43" s="26" t="s">
        <v>231</v>
      </c>
      <c r="B43" s="27"/>
      <c r="C43" s="27"/>
      <c r="D43" s="28"/>
      <c r="E43" s="29"/>
      <c r="F43" s="30"/>
      <c r="G43" s="29"/>
    </row>
    <row r="44" spans="1:9" x14ac:dyDescent="0.2">
      <c r="A44" s="27" t="s">
        <v>233</v>
      </c>
      <c r="B44" s="27" t="s">
        <v>232</v>
      </c>
      <c r="C44" s="27" t="s">
        <v>234</v>
      </c>
      <c r="D44" s="31">
        <v>270000</v>
      </c>
      <c r="E44" s="29">
        <v>2.7E-2</v>
      </c>
      <c r="F44" s="30">
        <v>2.0410801585713898E-5</v>
      </c>
      <c r="G44" s="29"/>
    </row>
    <row r="45" spans="1:9" x14ac:dyDescent="0.2">
      <c r="A45" s="27"/>
      <c r="B45" s="27" t="s">
        <v>235</v>
      </c>
      <c r="C45" s="27" t="s">
        <v>185</v>
      </c>
      <c r="D45" s="31">
        <v>27500</v>
      </c>
      <c r="E45" s="29">
        <v>2.7499999999999998E-3</v>
      </c>
      <c r="F45" s="30">
        <v>2.0788779392856799E-6</v>
      </c>
      <c r="G45" s="29"/>
    </row>
    <row r="46" spans="1:9" ht="10.5" x14ac:dyDescent="0.25">
      <c r="A46" s="26" t="s">
        <v>40</v>
      </c>
      <c r="B46" s="26"/>
      <c r="C46" s="26"/>
      <c r="D46" s="32"/>
      <c r="E46" s="33">
        <f>SUM(E43:E45)</f>
        <v>2.9749999999999999E-2</v>
      </c>
      <c r="F46" s="34">
        <f>SUM(F43:F45)</f>
        <v>2.2489679524999577E-5</v>
      </c>
      <c r="G46" s="33"/>
      <c r="H46" s="18"/>
      <c r="I46" s="18"/>
    </row>
    <row r="47" spans="1:9" x14ac:dyDescent="0.2">
      <c r="A47" s="27"/>
      <c r="B47" s="27"/>
      <c r="C47" s="27"/>
      <c r="D47" s="28"/>
      <c r="E47" s="29"/>
      <c r="F47" s="30"/>
      <c r="G47" s="29"/>
    </row>
    <row r="48" spans="1:9" ht="10.5" x14ac:dyDescent="0.25">
      <c r="A48" s="26" t="s">
        <v>236</v>
      </c>
      <c r="B48" s="27"/>
      <c r="C48" s="27"/>
      <c r="D48" s="28"/>
      <c r="E48" s="29"/>
      <c r="F48" s="30"/>
      <c r="G48" s="29"/>
    </row>
    <row r="49" spans="1:9" x14ac:dyDescent="0.2">
      <c r="A49" s="27" t="s">
        <v>221</v>
      </c>
      <c r="B49" s="27" t="s">
        <v>220</v>
      </c>
      <c r="C49" s="27" t="s">
        <v>378</v>
      </c>
      <c r="D49" s="31">
        <v>644200</v>
      </c>
      <c r="E49" s="29">
        <v>2263.3966999999998</v>
      </c>
      <c r="F49" s="30">
        <v>1.7110274427207299</v>
      </c>
      <c r="G49" s="29"/>
    </row>
    <row r="50" spans="1:9" ht="10.5" x14ac:dyDescent="0.25">
      <c r="A50" s="26" t="s">
        <v>40</v>
      </c>
      <c r="B50" s="26"/>
      <c r="C50" s="26"/>
      <c r="D50" s="32"/>
      <c r="E50" s="33">
        <f>SUM(E48:E49)</f>
        <v>2263.3966999999998</v>
      </c>
      <c r="F50" s="34">
        <f>SUM(F48:F49)</f>
        <v>1.7110274427207299</v>
      </c>
      <c r="G50" s="33"/>
      <c r="H50" s="18"/>
      <c r="I50" s="18"/>
    </row>
    <row r="51" spans="1:9" x14ac:dyDescent="0.2">
      <c r="A51" s="27"/>
      <c r="B51" s="27"/>
      <c r="C51" s="27"/>
      <c r="D51" s="28"/>
      <c r="E51" s="29"/>
      <c r="F51" s="30"/>
      <c r="G51" s="29"/>
    </row>
    <row r="52" spans="1:9" ht="10.5" x14ac:dyDescent="0.25">
      <c r="A52" s="26" t="s">
        <v>31</v>
      </c>
      <c r="B52" s="27"/>
      <c r="C52" s="27"/>
      <c r="D52" s="28"/>
      <c r="E52" s="29"/>
      <c r="F52" s="30"/>
      <c r="G52" s="29"/>
    </row>
    <row r="53" spans="1:9" ht="10.5" x14ac:dyDescent="0.25">
      <c r="A53" s="26" t="s">
        <v>32</v>
      </c>
      <c r="B53" s="27"/>
      <c r="C53" s="27"/>
      <c r="D53" s="28"/>
      <c r="E53" s="29"/>
      <c r="F53" s="30"/>
      <c r="G53" s="29"/>
    </row>
    <row r="54" spans="1:9" x14ac:dyDescent="0.2">
      <c r="A54" s="27" t="s">
        <v>34</v>
      </c>
      <c r="B54" s="27" t="s">
        <v>33</v>
      </c>
      <c r="C54" s="27" t="s">
        <v>35</v>
      </c>
      <c r="D54" s="31">
        <v>450</v>
      </c>
      <c r="E54" s="29">
        <v>4501.4939999999997</v>
      </c>
      <c r="F54" s="30">
        <v>3.4029296619733902</v>
      </c>
      <c r="G54" s="29">
        <v>9.2353000000000005</v>
      </c>
    </row>
    <row r="55" spans="1:9" x14ac:dyDescent="0.2">
      <c r="A55" s="27" t="s">
        <v>37</v>
      </c>
      <c r="B55" s="27" t="s">
        <v>36</v>
      </c>
      <c r="C55" s="27" t="s">
        <v>35</v>
      </c>
      <c r="D55" s="31">
        <v>139</v>
      </c>
      <c r="E55" s="29">
        <v>1390.35862</v>
      </c>
      <c r="F55" s="30">
        <v>1.05104940465952</v>
      </c>
      <c r="G55" s="29">
        <v>7.0730000000000004</v>
      </c>
    </row>
    <row r="56" spans="1:9" x14ac:dyDescent="0.2">
      <c r="A56" s="27" t="s">
        <v>92</v>
      </c>
      <c r="B56" s="27" t="s">
        <v>91</v>
      </c>
      <c r="C56" s="27" t="s">
        <v>39</v>
      </c>
      <c r="D56" s="31">
        <v>60</v>
      </c>
      <c r="E56" s="29">
        <v>672.02760000000001</v>
      </c>
      <c r="F56" s="30">
        <v>0.50802303717494501</v>
      </c>
      <c r="G56" s="29">
        <v>6.8948999999999998</v>
      </c>
    </row>
    <row r="57" spans="1:9" x14ac:dyDescent="0.2">
      <c r="A57" s="27" t="s">
        <v>175</v>
      </c>
      <c r="B57" s="27" t="s">
        <v>174</v>
      </c>
      <c r="C57" s="27" t="s">
        <v>39</v>
      </c>
      <c r="D57" s="31">
        <v>50</v>
      </c>
      <c r="E57" s="29">
        <v>519.64599999999996</v>
      </c>
      <c r="F57" s="30">
        <v>0.39282931114110697</v>
      </c>
      <c r="G57" s="29">
        <v>5.0350000000000001</v>
      </c>
    </row>
    <row r="58" spans="1:9" x14ac:dyDescent="0.2">
      <c r="A58" s="27" t="s">
        <v>90</v>
      </c>
      <c r="B58" s="27" t="s">
        <v>89</v>
      </c>
      <c r="C58" s="27" t="s">
        <v>39</v>
      </c>
      <c r="D58" s="31">
        <v>30</v>
      </c>
      <c r="E58" s="29">
        <v>334.62</v>
      </c>
      <c r="F58" s="30">
        <v>0.25295786765228101</v>
      </c>
      <c r="G58" s="29">
        <v>6.95</v>
      </c>
    </row>
    <row r="59" spans="1:9" ht="10.5" x14ac:dyDescent="0.25">
      <c r="A59" s="26" t="s">
        <v>40</v>
      </c>
      <c r="B59" s="26"/>
      <c r="C59" s="26"/>
      <c r="D59" s="32"/>
      <c r="E59" s="33">
        <f>SUM(E53:E58)</f>
        <v>7418.1462199999996</v>
      </c>
      <c r="F59" s="34">
        <f>SUM(F53:F58)</f>
        <v>5.6077892826012423</v>
      </c>
      <c r="G59" s="33"/>
      <c r="H59" s="18"/>
      <c r="I59" s="18"/>
    </row>
    <row r="60" spans="1:9" x14ac:dyDescent="0.2">
      <c r="A60" s="27"/>
      <c r="B60" s="27"/>
      <c r="C60" s="27"/>
      <c r="D60" s="28"/>
      <c r="E60" s="29"/>
      <c r="F60" s="30"/>
      <c r="G60" s="29"/>
    </row>
    <row r="61" spans="1:9" ht="10.5" x14ac:dyDescent="0.25">
      <c r="A61" s="26" t="s">
        <v>41</v>
      </c>
      <c r="B61" s="27"/>
      <c r="C61" s="27"/>
      <c r="D61" s="28"/>
      <c r="E61" s="29"/>
      <c r="F61" s="30"/>
      <c r="G61" s="29"/>
    </row>
    <row r="62" spans="1:9" x14ac:dyDescent="0.2">
      <c r="A62" s="27" t="s">
        <v>43</v>
      </c>
      <c r="B62" s="27" t="s">
        <v>42</v>
      </c>
      <c r="C62" s="27" t="s">
        <v>38</v>
      </c>
      <c r="D62" s="31">
        <v>14</v>
      </c>
      <c r="E62" s="29">
        <v>1982.8914</v>
      </c>
      <c r="F62" s="30">
        <v>1.4989778863488299</v>
      </c>
      <c r="G62" s="29">
        <v>10.4</v>
      </c>
    </row>
    <row r="63" spans="1:9" ht="10.5" x14ac:dyDescent="0.25">
      <c r="A63" s="26" t="s">
        <v>40</v>
      </c>
      <c r="B63" s="26"/>
      <c r="C63" s="26"/>
      <c r="D63" s="32"/>
      <c r="E63" s="33">
        <f>SUM(E61:E62)</f>
        <v>1982.8914</v>
      </c>
      <c r="F63" s="34">
        <f>SUM(F61:F62)</f>
        <v>1.4989778863488299</v>
      </c>
      <c r="G63" s="33"/>
      <c r="H63" s="18"/>
      <c r="I63" s="18"/>
    </row>
    <row r="64" spans="1:9" x14ac:dyDescent="0.2">
      <c r="A64" s="27"/>
      <c r="B64" s="27"/>
      <c r="C64" s="27"/>
      <c r="D64" s="28"/>
      <c r="E64" s="29"/>
      <c r="F64" s="30"/>
      <c r="G64" s="29"/>
    </row>
    <row r="65" spans="1:9" ht="10.5" x14ac:dyDescent="0.25">
      <c r="A65" s="26" t="s">
        <v>57</v>
      </c>
      <c r="B65" s="27"/>
      <c r="C65" s="27"/>
      <c r="D65" s="28"/>
      <c r="E65" s="29"/>
      <c r="F65" s="30"/>
      <c r="G65" s="29"/>
    </row>
    <row r="66" spans="1:9" ht="10.5" x14ac:dyDescent="0.25">
      <c r="A66" s="26" t="s">
        <v>58</v>
      </c>
      <c r="B66" s="27"/>
      <c r="C66" s="27"/>
      <c r="D66" s="28"/>
      <c r="E66" s="29"/>
      <c r="F66" s="30"/>
      <c r="G66" s="29"/>
    </row>
    <row r="67" spans="1:9" x14ac:dyDescent="0.2">
      <c r="A67" s="27" t="s">
        <v>238</v>
      </c>
      <c r="B67" s="27" t="s">
        <v>237</v>
      </c>
      <c r="C67" s="27" t="s">
        <v>62</v>
      </c>
      <c r="D67" s="31">
        <v>2500</v>
      </c>
      <c r="E67" s="29">
        <v>2495.7125000000001</v>
      </c>
      <c r="F67" s="30">
        <v>1.8866478760180001</v>
      </c>
      <c r="G67" s="29">
        <v>3.3003</v>
      </c>
    </row>
    <row r="68" spans="1:9" ht="10.5" x14ac:dyDescent="0.25">
      <c r="A68" s="26" t="s">
        <v>40</v>
      </c>
      <c r="B68" s="26"/>
      <c r="C68" s="26"/>
      <c r="D68" s="32"/>
      <c r="E68" s="33">
        <f>SUM(E66:E67)</f>
        <v>2495.7125000000001</v>
      </c>
      <c r="F68" s="34">
        <f>SUM(F66:F67)</f>
        <v>1.8866478760180001</v>
      </c>
      <c r="G68" s="33"/>
      <c r="H68" s="18"/>
      <c r="I68" s="18"/>
    </row>
    <row r="69" spans="1:9" x14ac:dyDescent="0.2">
      <c r="A69" s="27"/>
      <c r="B69" s="27"/>
      <c r="C69" s="27"/>
      <c r="D69" s="28"/>
      <c r="E69" s="29"/>
      <c r="F69" s="30"/>
      <c r="G69" s="29"/>
    </row>
    <row r="70" spans="1:9" ht="10.5" x14ac:dyDescent="0.25">
      <c r="A70" s="26" t="s">
        <v>63</v>
      </c>
      <c r="B70" s="27"/>
      <c r="C70" s="27"/>
      <c r="D70" s="28"/>
      <c r="E70" s="29"/>
      <c r="F70" s="30"/>
      <c r="G70" s="29"/>
    </row>
    <row r="71" spans="1:9" x14ac:dyDescent="0.2">
      <c r="A71" s="27" t="s">
        <v>65</v>
      </c>
      <c r="B71" s="27" t="s">
        <v>64</v>
      </c>
      <c r="C71" s="27" t="s">
        <v>62</v>
      </c>
      <c r="D71" s="31">
        <v>1200</v>
      </c>
      <c r="E71" s="29">
        <v>5974.7759999999998</v>
      </c>
      <c r="F71" s="30">
        <v>4.5166654612994597</v>
      </c>
      <c r="G71" s="29">
        <v>3.5021</v>
      </c>
    </row>
    <row r="72" spans="1:9" ht="10.5" x14ac:dyDescent="0.25">
      <c r="A72" s="26" t="s">
        <v>40</v>
      </c>
      <c r="B72" s="26"/>
      <c r="C72" s="26"/>
      <c r="D72" s="32"/>
      <c r="E72" s="33">
        <f>SUM(E70:E71)</f>
        <v>5974.7759999999998</v>
      </c>
      <c r="F72" s="34">
        <f>SUM(F70:F71)</f>
        <v>4.5166654612994597</v>
      </c>
      <c r="G72" s="33"/>
      <c r="H72" s="18"/>
      <c r="I72" s="18"/>
    </row>
    <row r="73" spans="1:9" x14ac:dyDescent="0.2">
      <c r="A73" s="27"/>
      <c r="B73" s="27"/>
      <c r="C73" s="27"/>
      <c r="D73" s="28"/>
      <c r="E73" s="29"/>
      <c r="F73" s="30"/>
      <c r="G73" s="29"/>
    </row>
    <row r="74" spans="1:9" ht="10.5" x14ac:dyDescent="0.25">
      <c r="A74" s="26" t="s">
        <v>66</v>
      </c>
      <c r="B74" s="27"/>
      <c r="C74" s="27"/>
      <c r="D74" s="28"/>
      <c r="E74" s="29"/>
      <c r="F74" s="30"/>
      <c r="G74" s="29"/>
    </row>
    <row r="75" spans="1:9" x14ac:dyDescent="0.2">
      <c r="A75" s="27" t="s">
        <v>96</v>
      </c>
      <c r="B75" s="27" t="s">
        <v>95</v>
      </c>
      <c r="C75" s="27" t="s">
        <v>80</v>
      </c>
      <c r="D75" s="31">
        <v>4000000</v>
      </c>
      <c r="E75" s="29">
        <v>3978.248</v>
      </c>
      <c r="F75" s="30">
        <v>3.0073789106208602</v>
      </c>
      <c r="G75" s="29">
        <v>3.2719999999999998</v>
      </c>
    </row>
    <row r="76" spans="1:9" ht="10.5" x14ac:dyDescent="0.25">
      <c r="A76" s="26" t="s">
        <v>40</v>
      </c>
      <c r="B76" s="26"/>
      <c r="C76" s="26"/>
      <c r="D76" s="32"/>
      <c r="E76" s="33">
        <f>SUM(E74:E75)</f>
        <v>3978.248</v>
      </c>
      <c r="F76" s="34">
        <f>SUM(F74:F75)</f>
        <v>3.0073789106208602</v>
      </c>
      <c r="G76" s="33"/>
      <c r="H76" s="18"/>
      <c r="I76" s="18"/>
    </row>
    <row r="77" spans="1:9" x14ac:dyDescent="0.2">
      <c r="A77" s="27"/>
      <c r="B77" s="27"/>
      <c r="C77" s="27"/>
      <c r="D77" s="28"/>
      <c r="E77" s="29"/>
      <c r="F77" s="30"/>
      <c r="G77" s="29"/>
    </row>
    <row r="78" spans="1:9" ht="10.5" x14ac:dyDescent="0.25">
      <c r="A78" s="26" t="s">
        <v>79</v>
      </c>
      <c r="B78" s="27"/>
      <c r="C78" s="27"/>
      <c r="D78" s="28"/>
      <c r="E78" s="29"/>
      <c r="F78" s="30"/>
      <c r="G78" s="29"/>
    </row>
    <row r="79" spans="1:9" x14ac:dyDescent="0.2">
      <c r="A79" s="27" t="s">
        <v>82</v>
      </c>
      <c r="B79" s="27" t="s">
        <v>81</v>
      </c>
      <c r="C79" s="27" t="s">
        <v>80</v>
      </c>
      <c r="D79" s="31">
        <v>2000000</v>
      </c>
      <c r="E79" s="29">
        <v>2158.0740000000001</v>
      </c>
      <c r="F79" s="30">
        <v>1.6314081563439999</v>
      </c>
      <c r="G79" s="29">
        <v>5.4960000000000004</v>
      </c>
    </row>
    <row r="80" spans="1:9" x14ac:dyDescent="0.2">
      <c r="A80" s="27" t="s">
        <v>240</v>
      </c>
      <c r="B80" s="27" t="s">
        <v>239</v>
      </c>
      <c r="C80" s="27" t="s">
        <v>80</v>
      </c>
      <c r="D80" s="31">
        <v>1500000</v>
      </c>
      <c r="E80" s="29">
        <v>1494.2655</v>
      </c>
      <c r="F80" s="30">
        <v>1.12959839395843</v>
      </c>
      <c r="G80" s="29">
        <v>5.9005000000000001</v>
      </c>
    </row>
    <row r="81" spans="1:9" x14ac:dyDescent="0.2">
      <c r="A81" s="27" t="s">
        <v>94</v>
      </c>
      <c r="B81" s="27" t="s">
        <v>93</v>
      </c>
      <c r="C81" s="27" t="s">
        <v>80</v>
      </c>
      <c r="D81" s="31">
        <v>300000</v>
      </c>
      <c r="E81" s="29">
        <v>312.50490000000002</v>
      </c>
      <c r="F81" s="30">
        <v>0.23623983364679099</v>
      </c>
      <c r="G81" s="29">
        <v>4.9489999999999998</v>
      </c>
    </row>
    <row r="82" spans="1:9" x14ac:dyDescent="0.2">
      <c r="A82" s="27" t="s">
        <v>84</v>
      </c>
      <c r="B82" s="27" t="s">
        <v>83</v>
      </c>
      <c r="C82" s="27" t="s">
        <v>80</v>
      </c>
      <c r="D82" s="31">
        <v>100000</v>
      </c>
      <c r="E82" s="29">
        <v>107.2165</v>
      </c>
      <c r="F82" s="30">
        <v>8.1050915119062802E-2</v>
      </c>
      <c r="G82" s="29">
        <v>4.7077999999999998</v>
      </c>
    </row>
    <row r="83" spans="1:9" x14ac:dyDescent="0.2">
      <c r="A83" s="27" t="s">
        <v>86</v>
      </c>
      <c r="B83" s="27" t="s">
        <v>85</v>
      </c>
      <c r="C83" s="27" t="s">
        <v>80</v>
      </c>
      <c r="D83" s="31">
        <v>100000</v>
      </c>
      <c r="E83" s="29">
        <v>100</v>
      </c>
      <c r="F83" s="30">
        <v>7.5595561428570004E-2</v>
      </c>
      <c r="G83" s="29">
        <v>5.2183999999999999</v>
      </c>
    </row>
    <row r="84" spans="1:9" ht="10.5" x14ac:dyDescent="0.25">
      <c r="A84" s="26" t="s">
        <v>40</v>
      </c>
      <c r="B84" s="26"/>
      <c r="C84" s="26"/>
      <c r="D84" s="32"/>
      <c r="E84" s="33">
        <f>SUM(E79:E83)</f>
        <v>4172.0609000000004</v>
      </c>
      <c r="F84" s="34">
        <f>SUM(F79:F83)</f>
        <v>3.1538928604968537</v>
      </c>
      <c r="G84" s="33"/>
      <c r="H84" s="18"/>
      <c r="I84" s="18"/>
    </row>
    <row r="85" spans="1:9" x14ac:dyDescent="0.2">
      <c r="A85" s="27"/>
      <c r="B85" s="27"/>
      <c r="C85" s="27"/>
      <c r="D85" s="28"/>
      <c r="E85" s="29"/>
      <c r="F85" s="30"/>
      <c r="G85" s="29"/>
    </row>
    <row r="86" spans="1:9" ht="10.5" x14ac:dyDescent="0.25">
      <c r="A86" s="26" t="s">
        <v>44</v>
      </c>
      <c r="B86" s="26"/>
      <c r="C86" s="26"/>
      <c r="D86" s="32"/>
      <c r="E86" s="33">
        <f>E41+E46+E50+E59+E63+E68+E72+E76+E84</f>
        <v>128510.62039249996</v>
      </c>
      <c r="F86" s="34">
        <f>F41+F46+F50+F59+F63+F68+F72+F76+F84</f>
        <v>97.148324981048745</v>
      </c>
      <c r="G86" s="33"/>
      <c r="H86" s="18"/>
      <c r="I86" s="18"/>
    </row>
    <row r="87" spans="1:9" ht="10.5" x14ac:dyDescent="0.25">
      <c r="A87" s="26"/>
      <c r="B87" s="26"/>
      <c r="C87" s="26"/>
      <c r="D87" s="32"/>
      <c r="E87" s="33"/>
      <c r="F87" s="34"/>
      <c r="G87" s="33"/>
      <c r="H87" s="18"/>
      <c r="I87" s="18"/>
    </row>
    <row r="88" spans="1:9" ht="10.5" x14ac:dyDescent="0.25">
      <c r="A88" s="26" t="s">
        <v>46</v>
      </c>
      <c r="B88" s="26"/>
      <c r="C88" s="26"/>
      <c r="D88" s="32"/>
      <c r="E88" s="33">
        <f>E90-(E41+E46+E50+E59+E63+E68+E72+E76+E84)</f>
        <v>3772.2783786000509</v>
      </c>
      <c r="F88" s="34">
        <f>F90-(F41+F46+F50+F59+F63+F68+F72+F76+F84)</f>
        <v>2.851675018951255</v>
      </c>
      <c r="G88" s="33"/>
      <c r="H88" s="18"/>
      <c r="I88" s="18"/>
    </row>
    <row r="89" spans="1:9" ht="10.5" x14ac:dyDescent="0.25">
      <c r="A89" s="26"/>
      <c r="B89" s="26"/>
      <c r="C89" s="26"/>
      <c r="D89" s="32"/>
      <c r="E89" s="33"/>
      <c r="F89" s="34"/>
      <c r="G89" s="33"/>
      <c r="H89" s="18"/>
      <c r="I89" s="18"/>
    </row>
    <row r="90" spans="1:9" ht="10.5" x14ac:dyDescent="0.25">
      <c r="A90" s="35" t="s">
        <v>45</v>
      </c>
      <c r="B90" s="35"/>
      <c r="C90" s="35"/>
      <c r="D90" s="36"/>
      <c r="E90" s="37">
        <v>132282.89877110001</v>
      </c>
      <c r="F90" s="38">
        <v>100</v>
      </c>
      <c r="G90" s="37"/>
      <c r="H90" s="18"/>
      <c r="I90" s="18"/>
    </row>
    <row r="91" spans="1:9" ht="10.5" x14ac:dyDescent="0.25">
      <c r="F91" s="20" t="s">
        <v>56</v>
      </c>
    </row>
    <row r="92" spans="1:9" ht="10.5" x14ac:dyDescent="0.25">
      <c r="A92" s="18" t="s">
        <v>67</v>
      </c>
    </row>
    <row r="93" spans="1:9" ht="10.5" x14ac:dyDescent="0.25">
      <c r="A93" s="18" t="s">
        <v>47</v>
      </c>
    </row>
    <row r="94" spans="1:9" ht="10.5" x14ac:dyDescent="0.25">
      <c r="A94" s="18" t="s">
        <v>729</v>
      </c>
    </row>
    <row r="96" spans="1:9" ht="10.5" x14ac:dyDescent="0.25">
      <c r="A96" s="18" t="s">
        <v>48</v>
      </c>
    </row>
    <row r="97" spans="1:5" ht="10.5" x14ac:dyDescent="0.25">
      <c r="A97" s="18" t="s">
        <v>49</v>
      </c>
    </row>
    <row r="98" spans="1:5" ht="10.5" x14ac:dyDescent="0.25">
      <c r="A98" s="18" t="s">
        <v>50</v>
      </c>
      <c r="B98" s="18"/>
      <c r="C98" s="39" t="s">
        <v>727</v>
      </c>
      <c r="D98" s="19" t="s">
        <v>51</v>
      </c>
    </row>
    <row r="99" spans="1:5" x14ac:dyDescent="0.2">
      <c r="A99" s="9" t="s">
        <v>71</v>
      </c>
      <c r="C99" s="40">
        <v>115.6253</v>
      </c>
      <c r="D99" s="40">
        <v>142.41059999999999</v>
      </c>
    </row>
    <row r="100" spans="1:5" x14ac:dyDescent="0.2">
      <c r="A100" s="9" t="s">
        <v>77</v>
      </c>
      <c r="C100" s="40">
        <v>18.4116</v>
      </c>
      <c r="D100" s="40">
        <v>22.6767</v>
      </c>
    </row>
    <row r="101" spans="1:5" x14ac:dyDescent="0.2">
      <c r="A101" s="9" t="s">
        <v>74</v>
      </c>
      <c r="C101" s="40">
        <v>125.51390000000001</v>
      </c>
      <c r="D101" s="40">
        <v>155.36109999999999</v>
      </c>
    </row>
    <row r="102" spans="1:5" x14ac:dyDescent="0.2">
      <c r="A102" s="9" t="s">
        <v>78</v>
      </c>
      <c r="C102" s="40">
        <v>20.566500000000001</v>
      </c>
      <c r="D102" s="40">
        <v>25.456299999999999</v>
      </c>
    </row>
    <row r="104" spans="1:5" ht="10.5" x14ac:dyDescent="0.25">
      <c r="A104" s="18" t="s">
        <v>52</v>
      </c>
      <c r="D104" s="41" t="s">
        <v>53</v>
      </c>
    </row>
    <row r="106" spans="1:5" ht="10.5" x14ac:dyDescent="0.25">
      <c r="A106" s="18" t="s">
        <v>222</v>
      </c>
      <c r="D106" s="45">
        <v>0.4052</v>
      </c>
    </row>
    <row r="108" spans="1:5" ht="10.5" x14ac:dyDescent="0.25">
      <c r="A108" s="18" t="s">
        <v>223</v>
      </c>
      <c r="D108" s="42">
        <v>1.65297336986782</v>
      </c>
      <c r="E108" s="13" t="s">
        <v>54</v>
      </c>
    </row>
    <row r="110" spans="1:5" ht="10.5" x14ac:dyDescent="0.25">
      <c r="A110" s="18" t="s">
        <v>224</v>
      </c>
      <c r="D110" s="41" t="s">
        <v>53</v>
      </c>
    </row>
    <row r="112" spans="1:5" ht="10.5" x14ac:dyDescent="0.25">
      <c r="A112" s="18" t="s">
        <v>747</v>
      </c>
    </row>
    <row r="113" spans="1:1" x14ac:dyDescent="0.2">
      <c r="A113" s="46" t="s">
        <v>55</v>
      </c>
    </row>
  </sheetData>
  <mergeCells count="1">
    <mergeCell ref="A1:G1"/>
  </mergeCells>
  <conditionalFormatting sqref="F2:F3 F5:F90 F92:F65538">
    <cfRule type="cellIs" dxfId="25" priority="2" stopIfTrue="1" operator="between">
      <formula>0.009</formula>
      <formula>-0.009</formula>
    </cfRule>
  </conditionalFormatting>
  <conditionalFormatting sqref="F91">
    <cfRule type="cellIs" dxfId="24" priority="1" stopIfTrue="1" operator="between">
      <formula>0.009</formula>
      <formula>-0.009</formula>
    </cfRule>
  </conditionalFormatting>
  <hyperlinks>
    <hyperlink ref="A113" r:id="rId1" xr:uid="{00000000-0004-0000-2600-000000000000}"/>
  </hyperlinks>
  <pageMargins left="0.7" right="0.7" top="0.75" bottom="0.75" header="0.3" footer="0.3"/>
  <pageSetup paperSize="9" scale="45" orientation="portrait" r:id="rId2"/>
  <headerFooter>
    <oddFooter>&amp;R&amp;1#&amp;"Calibri"&amp;10&amp;KFF0000|PUBLIC|&amp;LPUBLIC</oddFooter>
    <evenFooter>&amp;LPUBLIC</evenFooter>
    <firstFooter>&amp;LPUBLIC</firstFooter>
  </headerFooter>
  <rowBreaks count="1" manualBreakCount="1">
    <brk id="112" max="16383" man="1"/>
  </rowBreaks>
  <colBreaks count="1" manualBreakCount="1">
    <brk id="7" max="1048575"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5"/>
  <sheetViews>
    <sheetView zoomScaleNormal="100" workbookViewId="0">
      <selection sqref="A1:F1"/>
    </sheetView>
  </sheetViews>
  <sheetFormatPr defaultColWidth="9.1796875" defaultRowHeight="10" x14ac:dyDescent="0.2"/>
  <cols>
    <col min="1" max="1" width="38.7265625" style="9" bestFit="1" customWidth="1"/>
    <col min="2" max="2" width="25.81640625" style="9" bestFit="1" customWidth="1"/>
    <col min="3" max="3" width="21.1796875" style="9" bestFit="1" customWidth="1"/>
    <col min="4" max="4" width="15.1796875" style="10" bestFit="1" customWidth="1"/>
    <col min="5" max="5" width="23" style="13" bestFit="1" customWidth="1"/>
    <col min="6" max="6" width="13.54296875" style="14" bestFit="1" customWidth="1"/>
    <col min="7" max="16384" width="9.1796875" style="9"/>
  </cols>
  <sheetData>
    <row r="1" spans="1:6" s="1" customFormat="1" ht="14" x14ac:dyDescent="0.25">
      <c r="A1" s="75" t="s">
        <v>10</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110</v>
      </c>
      <c r="B7" s="27" t="s">
        <v>109</v>
      </c>
      <c r="C7" s="27" t="s">
        <v>100</v>
      </c>
      <c r="D7" s="31">
        <v>800000</v>
      </c>
      <c r="E7" s="29">
        <v>4296</v>
      </c>
      <c r="F7" s="30">
        <v>9.1839725676368893</v>
      </c>
    </row>
    <row r="8" spans="1:6" x14ac:dyDescent="0.2">
      <c r="A8" s="27" t="s">
        <v>143</v>
      </c>
      <c r="B8" s="27" t="s">
        <v>142</v>
      </c>
      <c r="C8" s="27" t="s">
        <v>100</v>
      </c>
      <c r="D8" s="31">
        <v>1100000</v>
      </c>
      <c r="E8" s="29">
        <v>3103.1</v>
      </c>
      <c r="F8" s="30">
        <v>6.6337954549892997</v>
      </c>
    </row>
    <row r="9" spans="1:6" x14ac:dyDescent="0.2">
      <c r="A9" s="27" t="s">
        <v>102</v>
      </c>
      <c r="B9" s="27" t="s">
        <v>101</v>
      </c>
      <c r="C9" s="27" t="s">
        <v>100</v>
      </c>
      <c r="D9" s="31">
        <v>385000</v>
      </c>
      <c r="E9" s="29">
        <v>2552.165</v>
      </c>
      <c r="F9" s="30">
        <v>5.45600869368785</v>
      </c>
    </row>
    <row r="10" spans="1:6" x14ac:dyDescent="0.2">
      <c r="A10" s="27" t="s">
        <v>242</v>
      </c>
      <c r="B10" s="27" t="s">
        <v>241</v>
      </c>
      <c r="C10" s="27" t="s">
        <v>130</v>
      </c>
      <c r="D10" s="31">
        <v>2300000</v>
      </c>
      <c r="E10" s="29">
        <v>2402.35</v>
      </c>
      <c r="F10" s="30">
        <v>5.13573475276129</v>
      </c>
    </row>
    <row r="11" spans="1:6" x14ac:dyDescent="0.2">
      <c r="A11" s="27" t="s">
        <v>104</v>
      </c>
      <c r="B11" s="27" t="s">
        <v>103</v>
      </c>
      <c r="C11" s="27" t="s">
        <v>105</v>
      </c>
      <c r="D11" s="31">
        <v>180000</v>
      </c>
      <c r="E11" s="29">
        <v>2230.29</v>
      </c>
      <c r="F11" s="30">
        <v>4.7679055348870802</v>
      </c>
    </row>
    <row r="12" spans="1:6" x14ac:dyDescent="0.2">
      <c r="A12" s="27" t="s">
        <v>107</v>
      </c>
      <c r="B12" s="27" t="s">
        <v>106</v>
      </c>
      <c r="C12" s="27" t="s">
        <v>108</v>
      </c>
      <c r="D12" s="31">
        <v>400000</v>
      </c>
      <c r="E12" s="29">
        <v>2214.4</v>
      </c>
      <c r="F12" s="30">
        <v>4.7339359529271698</v>
      </c>
    </row>
    <row r="13" spans="1:6" x14ac:dyDescent="0.2">
      <c r="A13" s="27" t="s">
        <v>99</v>
      </c>
      <c r="B13" s="27" t="s">
        <v>98</v>
      </c>
      <c r="C13" s="27" t="s">
        <v>100</v>
      </c>
      <c r="D13" s="31">
        <v>150000</v>
      </c>
      <c r="E13" s="29">
        <v>2085.75</v>
      </c>
      <c r="F13" s="30">
        <v>4.4589084690290104</v>
      </c>
    </row>
    <row r="14" spans="1:6" x14ac:dyDescent="0.2">
      <c r="A14" s="27" t="s">
        <v>179</v>
      </c>
      <c r="B14" s="27" t="s">
        <v>178</v>
      </c>
      <c r="C14" s="27" t="s">
        <v>180</v>
      </c>
      <c r="D14" s="31">
        <v>190000</v>
      </c>
      <c r="E14" s="29">
        <v>2005.7349999999999</v>
      </c>
      <c r="F14" s="30">
        <v>4.2878527043643304</v>
      </c>
    </row>
    <row r="15" spans="1:6" x14ac:dyDescent="0.2">
      <c r="A15" s="27" t="s">
        <v>153</v>
      </c>
      <c r="B15" s="27" t="s">
        <v>152</v>
      </c>
      <c r="C15" s="27" t="s">
        <v>146</v>
      </c>
      <c r="D15" s="31">
        <v>1700000</v>
      </c>
      <c r="E15" s="29">
        <v>1512.15</v>
      </c>
      <c r="F15" s="30">
        <v>3.23266855636688</v>
      </c>
    </row>
    <row r="16" spans="1:6" x14ac:dyDescent="0.2">
      <c r="A16" s="27" t="s">
        <v>129</v>
      </c>
      <c r="B16" s="27" t="s">
        <v>128</v>
      </c>
      <c r="C16" s="27" t="s">
        <v>130</v>
      </c>
      <c r="D16" s="31">
        <v>200000</v>
      </c>
      <c r="E16" s="29">
        <v>1499.2</v>
      </c>
      <c r="F16" s="30">
        <v>3.20498409529824</v>
      </c>
    </row>
    <row r="17" spans="1:6" x14ac:dyDescent="0.2">
      <c r="A17" s="27" t="s">
        <v>244</v>
      </c>
      <c r="B17" s="27" t="s">
        <v>243</v>
      </c>
      <c r="C17" s="27" t="s">
        <v>245</v>
      </c>
      <c r="D17" s="31">
        <v>1100000</v>
      </c>
      <c r="E17" s="29">
        <v>1430.55</v>
      </c>
      <c r="F17" s="30">
        <v>3.0582243846910999</v>
      </c>
    </row>
    <row r="18" spans="1:6" x14ac:dyDescent="0.2">
      <c r="A18" s="27" t="s">
        <v>247</v>
      </c>
      <c r="B18" s="27" t="s">
        <v>246</v>
      </c>
      <c r="C18" s="27" t="s">
        <v>127</v>
      </c>
      <c r="D18" s="31">
        <v>600000</v>
      </c>
      <c r="E18" s="29">
        <v>1219.5</v>
      </c>
      <c r="F18" s="30">
        <v>2.6070424921399402</v>
      </c>
    </row>
    <row r="19" spans="1:6" x14ac:dyDescent="0.2">
      <c r="A19" s="27" t="s">
        <v>249</v>
      </c>
      <c r="B19" s="27" t="s">
        <v>248</v>
      </c>
      <c r="C19" s="27" t="s">
        <v>250</v>
      </c>
      <c r="D19" s="31">
        <v>250000</v>
      </c>
      <c r="E19" s="29">
        <v>1188.25</v>
      </c>
      <c r="F19" s="30">
        <v>2.54023636021754</v>
      </c>
    </row>
    <row r="20" spans="1:6" x14ac:dyDescent="0.2">
      <c r="A20" s="27" t="s">
        <v>252</v>
      </c>
      <c r="B20" s="27" t="s">
        <v>251</v>
      </c>
      <c r="C20" s="27" t="s">
        <v>253</v>
      </c>
      <c r="D20" s="31">
        <v>1300000</v>
      </c>
      <c r="E20" s="29">
        <v>1147.9000000000001</v>
      </c>
      <c r="F20" s="30">
        <v>2.4539762826793301</v>
      </c>
    </row>
    <row r="21" spans="1:6" x14ac:dyDescent="0.2">
      <c r="A21" s="27" t="s">
        <v>205</v>
      </c>
      <c r="B21" s="27" t="s">
        <v>204</v>
      </c>
      <c r="C21" s="27" t="s">
        <v>133</v>
      </c>
      <c r="D21" s="31">
        <v>1200000</v>
      </c>
      <c r="E21" s="29">
        <v>1119</v>
      </c>
      <c r="F21" s="30">
        <v>2.3921939718774898</v>
      </c>
    </row>
    <row r="22" spans="1:6" x14ac:dyDescent="0.2">
      <c r="A22" s="27" t="s">
        <v>255</v>
      </c>
      <c r="B22" s="27" t="s">
        <v>254</v>
      </c>
      <c r="C22" s="27" t="s">
        <v>147</v>
      </c>
      <c r="D22" s="31">
        <v>300000</v>
      </c>
      <c r="E22" s="29">
        <v>1098.3</v>
      </c>
      <c r="F22" s="30">
        <v>2.3479415900920899</v>
      </c>
    </row>
    <row r="23" spans="1:6" x14ac:dyDescent="0.2">
      <c r="A23" s="27" t="s">
        <v>218</v>
      </c>
      <c r="B23" s="27" t="s">
        <v>217</v>
      </c>
      <c r="C23" s="27" t="s">
        <v>100</v>
      </c>
      <c r="D23" s="31">
        <v>1500000</v>
      </c>
      <c r="E23" s="29">
        <v>1084.5</v>
      </c>
      <c r="F23" s="30">
        <v>2.3184400022351501</v>
      </c>
    </row>
    <row r="24" spans="1:6" x14ac:dyDescent="0.2">
      <c r="A24" s="27" t="s">
        <v>257</v>
      </c>
      <c r="B24" s="27" t="s">
        <v>256</v>
      </c>
      <c r="C24" s="27" t="s">
        <v>113</v>
      </c>
      <c r="D24" s="31">
        <v>7000</v>
      </c>
      <c r="E24" s="29">
        <v>1072.925</v>
      </c>
      <c r="F24" s="30">
        <v>2.2936950109710899</v>
      </c>
    </row>
    <row r="25" spans="1:6" x14ac:dyDescent="0.2">
      <c r="A25" s="27" t="s">
        <v>172</v>
      </c>
      <c r="B25" s="27" t="s">
        <v>171</v>
      </c>
      <c r="C25" s="27" t="s">
        <v>173</v>
      </c>
      <c r="D25" s="31">
        <v>800000</v>
      </c>
      <c r="E25" s="29">
        <v>1007.2</v>
      </c>
      <c r="F25" s="30">
        <v>2.1531883543118902</v>
      </c>
    </row>
    <row r="26" spans="1:6" x14ac:dyDescent="0.2">
      <c r="A26" s="27" t="s">
        <v>216</v>
      </c>
      <c r="B26" s="27" t="s">
        <v>215</v>
      </c>
      <c r="C26" s="27" t="s">
        <v>121</v>
      </c>
      <c r="D26" s="31">
        <v>800000</v>
      </c>
      <c r="E26" s="29">
        <v>1002.4</v>
      </c>
      <c r="F26" s="30">
        <v>2.14292693244861</v>
      </c>
    </row>
    <row r="27" spans="1:6" x14ac:dyDescent="0.2">
      <c r="A27" s="27" t="s">
        <v>193</v>
      </c>
      <c r="B27" s="27" t="s">
        <v>192</v>
      </c>
      <c r="C27" s="27" t="s">
        <v>105</v>
      </c>
      <c r="D27" s="31">
        <v>100000</v>
      </c>
      <c r="E27" s="29">
        <v>961.4</v>
      </c>
      <c r="F27" s="30">
        <v>2.05527728736641</v>
      </c>
    </row>
    <row r="28" spans="1:6" x14ac:dyDescent="0.2">
      <c r="A28" s="27" t="s">
        <v>145</v>
      </c>
      <c r="B28" s="27" t="s">
        <v>144</v>
      </c>
      <c r="C28" s="27" t="s">
        <v>146</v>
      </c>
      <c r="D28" s="31">
        <v>500000</v>
      </c>
      <c r="E28" s="29">
        <v>922.25</v>
      </c>
      <c r="F28" s="30">
        <v>1.97158256529402</v>
      </c>
    </row>
    <row r="29" spans="1:6" x14ac:dyDescent="0.2">
      <c r="A29" s="27" t="s">
        <v>135</v>
      </c>
      <c r="B29" s="27" t="s">
        <v>134</v>
      </c>
      <c r="C29" s="27" t="s">
        <v>121</v>
      </c>
      <c r="D29" s="31">
        <v>450000</v>
      </c>
      <c r="E29" s="29">
        <v>891</v>
      </c>
      <c r="F29" s="30">
        <v>1.9047764333716199</v>
      </c>
    </row>
    <row r="30" spans="1:6" x14ac:dyDescent="0.2">
      <c r="A30" s="27" t="s">
        <v>155</v>
      </c>
      <c r="B30" s="27" t="s">
        <v>154</v>
      </c>
      <c r="C30" s="27" t="s">
        <v>133</v>
      </c>
      <c r="D30" s="31">
        <v>200000</v>
      </c>
      <c r="E30" s="29">
        <v>767.2</v>
      </c>
      <c r="F30" s="30">
        <v>1.6401172611478201</v>
      </c>
    </row>
    <row r="31" spans="1:6" x14ac:dyDescent="0.2">
      <c r="A31" s="27" t="s">
        <v>259</v>
      </c>
      <c r="B31" s="27" t="s">
        <v>258</v>
      </c>
      <c r="C31" s="27" t="s">
        <v>113</v>
      </c>
      <c r="D31" s="31">
        <v>22219</v>
      </c>
      <c r="E31" s="29">
        <v>711.49681799999996</v>
      </c>
      <c r="F31" s="30">
        <v>1.5210352091417501</v>
      </c>
    </row>
    <row r="32" spans="1:6" x14ac:dyDescent="0.2">
      <c r="A32" s="27" t="s">
        <v>261</v>
      </c>
      <c r="B32" s="27" t="s">
        <v>260</v>
      </c>
      <c r="C32" s="27" t="s">
        <v>262</v>
      </c>
      <c r="D32" s="31">
        <v>160000</v>
      </c>
      <c r="E32" s="29">
        <v>693.6</v>
      </c>
      <c r="F32" s="30">
        <v>1.48277545924417</v>
      </c>
    </row>
    <row r="33" spans="1:8" x14ac:dyDescent="0.2">
      <c r="A33" s="27" t="s">
        <v>212</v>
      </c>
      <c r="B33" s="27" t="s">
        <v>211</v>
      </c>
      <c r="C33" s="27" t="s">
        <v>185</v>
      </c>
      <c r="D33" s="31">
        <v>200000</v>
      </c>
      <c r="E33" s="29">
        <v>670.7</v>
      </c>
      <c r="F33" s="30">
        <v>1.4338199257714299</v>
      </c>
    </row>
    <row r="34" spans="1:8" x14ac:dyDescent="0.2">
      <c r="A34" s="27" t="s">
        <v>264</v>
      </c>
      <c r="B34" s="27" t="s">
        <v>263</v>
      </c>
      <c r="C34" s="27" t="s">
        <v>185</v>
      </c>
      <c r="D34" s="31">
        <v>800000</v>
      </c>
      <c r="E34" s="29">
        <v>572.79999999999995</v>
      </c>
      <c r="F34" s="30">
        <v>1.22452967568492</v>
      </c>
    </row>
    <row r="35" spans="1:8" x14ac:dyDescent="0.2">
      <c r="A35" s="27" t="s">
        <v>266</v>
      </c>
      <c r="B35" s="27" t="s">
        <v>265</v>
      </c>
      <c r="C35" s="27" t="s">
        <v>267</v>
      </c>
      <c r="D35" s="31">
        <v>130000</v>
      </c>
      <c r="E35" s="29">
        <v>544.57000000000005</v>
      </c>
      <c r="F35" s="30">
        <v>1.1641796883515001</v>
      </c>
    </row>
    <row r="36" spans="1:8" x14ac:dyDescent="0.2">
      <c r="A36" s="27" t="s">
        <v>269</v>
      </c>
      <c r="B36" s="27" t="s">
        <v>268</v>
      </c>
      <c r="C36" s="27" t="s">
        <v>180</v>
      </c>
      <c r="D36" s="31">
        <v>30000</v>
      </c>
      <c r="E36" s="29">
        <v>481.15499999999997</v>
      </c>
      <c r="F36" s="30">
        <v>1.0286113409640001</v>
      </c>
    </row>
    <row r="37" spans="1:8" x14ac:dyDescent="0.2">
      <c r="A37" s="27" t="s">
        <v>207</v>
      </c>
      <c r="B37" s="27" t="s">
        <v>206</v>
      </c>
      <c r="C37" s="27" t="s">
        <v>208</v>
      </c>
      <c r="D37" s="31">
        <v>300000</v>
      </c>
      <c r="E37" s="29">
        <v>441</v>
      </c>
      <c r="F37" s="30">
        <v>0.94276813368898305</v>
      </c>
    </row>
    <row r="38" spans="1:8" x14ac:dyDescent="0.2">
      <c r="A38" s="27" t="s">
        <v>271</v>
      </c>
      <c r="B38" s="27" t="s">
        <v>270</v>
      </c>
      <c r="C38" s="27" t="s">
        <v>133</v>
      </c>
      <c r="D38" s="31">
        <v>56246</v>
      </c>
      <c r="E38" s="29">
        <v>385.59445299999999</v>
      </c>
      <c r="F38" s="30">
        <v>0.82432236466130204</v>
      </c>
    </row>
    <row r="39" spans="1:8" ht="10.5" x14ac:dyDescent="0.25">
      <c r="A39" s="26" t="s">
        <v>40</v>
      </c>
      <c r="B39" s="26"/>
      <c r="C39" s="26"/>
      <c r="D39" s="32"/>
      <c r="E39" s="33">
        <f>SUM(E7:E38)</f>
        <v>43314.431270999994</v>
      </c>
      <c r="F39" s="34">
        <f>SUM(F7:F38)</f>
        <v>92.5974275083002</v>
      </c>
      <c r="G39" s="18"/>
      <c r="H39" s="18"/>
    </row>
    <row r="40" spans="1:8" x14ac:dyDescent="0.2">
      <c r="A40" s="27"/>
      <c r="B40" s="27"/>
      <c r="C40" s="27"/>
      <c r="D40" s="28"/>
      <c r="E40" s="29"/>
      <c r="F40" s="30"/>
    </row>
    <row r="41" spans="1:8" ht="10.5" x14ac:dyDescent="0.25">
      <c r="A41" s="26" t="s">
        <v>44</v>
      </c>
      <c r="B41" s="26"/>
      <c r="C41" s="26"/>
      <c r="D41" s="32"/>
      <c r="E41" s="33">
        <f>E39</f>
        <v>43314.431270999994</v>
      </c>
      <c r="F41" s="34">
        <f>F39</f>
        <v>92.5974275083002</v>
      </c>
      <c r="G41" s="18"/>
      <c r="H41" s="18"/>
    </row>
    <row r="42" spans="1:8" ht="10.5" x14ac:dyDescent="0.25">
      <c r="A42" s="26"/>
      <c r="B42" s="26"/>
      <c r="C42" s="26"/>
      <c r="D42" s="32"/>
      <c r="E42" s="33"/>
      <c r="F42" s="34"/>
      <c r="G42" s="18"/>
      <c r="H42" s="18"/>
    </row>
    <row r="43" spans="1:8" ht="10.5" x14ac:dyDescent="0.25">
      <c r="A43" s="26" t="s">
        <v>46</v>
      </c>
      <c r="B43" s="26"/>
      <c r="C43" s="26"/>
      <c r="D43" s="32"/>
      <c r="E43" s="33">
        <f>E45-(E39)</f>
        <v>3462.7119354000024</v>
      </c>
      <c r="F43" s="34">
        <f>F45-(F39)</f>
        <v>7.4025724916998001</v>
      </c>
      <c r="G43" s="18"/>
      <c r="H43" s="18"/>
    </row>
    <row r="44" spans="1:8" ht="10.5" x14ac:dyDescent="0.25">
      <c r="A44" s="26"/>
      <c r="B44" s="26"/>
      <c r="C44" s="26"/>
      <c r="D44" s="32"/>
      <c r="E44" s="33"/>
      <c r="F44" s="34"/>
      <c r="G44" s="18"/>
      <c r="H44" s="18"/>
    </row>
    <row r="45" spans="1:8" ht="10.5" x14ac:dyDescent="0.25">
      <c r="A45" s="35" t="s">
        <v>45</v>
      </c>
      <c r="B45" s="35"/>
      <c r="C45" s="35"/>
      <c r="D45" s="36"/>
      <c r="E45" s="37">
        <v>46777.143206399996</v>
      </c>
      <c r="F45" s="38">
        <v>100</v>
      </c>
      <c r="G45" s="18"/>
      <c r="H45" s="18"/>
    </row>
    <row r="48" spans="1:8" ht="10.5" x14ac:dyDescent="0.25">
      <c r="A48" s="18" t="s">
        <v>48</v>
      </c>
    </row>
    <row r="49" spans="1:4" ht="10.5" x14ac:dyDescent="0.25">
      <c r="A49" s="18" t="s">
        <v>49</v>
      </c>
    </row>
    <row r="50" spans="1:4" ht="10.5" x14ac:dyDescent="0.25">
      <c r="A50" s="18" t="s">
        <v>50</v>
      </c>
      <c r="B50" s="18"/>
      <c r="C50" s="39" t="s">
        <v>727</v>
      </c>
      <c r="D50" s="19" t="s">
        <v>51</v>
      </c>
    </row>
    <row r="51" spans="1:4" x14ac:dyDescent="0.2">
      <c r="A51" s="9" t="s">
        <v>71</v>
      </c>
      <c r="C51" s="40">
        <v>204.2602</v>
      </c>
      <c r="D51" s="40">
        <v>281.20999999999998</v>
      </c>
    </row>
    <row r="52" spans="1:4" x14ac:dyDescent="0.2">
      <c r="A52" s="9" t="s">
        <v>77</v>
      </c>
      <c r="C52" s="40">
        <v>44.671900000000001</v>
      </c>
      <c r="D52" s="40">
        <v>56.4069</v>
      </c>
    </row>
    <row r="53" spans="1:4" x14ac:dyDescent="0.2">
      <c r="A53" s="9" t="s">
        <v>74</v>
      </c>
      <c r="C53" s="40">
        <v>215.9468</v>
      </c>
      <c r="D53" s="40">
        <v>298.70229999999998</v>
      </c>
    </row>
    <row r="54" spans="1:4" x14ac:dyDescent="0.2">
      <c r="A54" s="9" t="s">
        <v>78</v>
      </c>
      <c r="C54" s="40">
        <v>48.098399999999998</v>
      </c>
      <c r="D54" s="40">
        <v>61.425199999999997</v>
      </c>
    </row>
    <row r="56" spans="1:4" ht="10.5" x14ac:dyDescent="0.25">
      <c r="A56" s="18" t="s">
        <v>52</v>
      </c>
    </row>
    <row r="57" spans="1:4" ht="10.5" x14ac:dyDescent="0.25">
      <c r="A57" s="77" t="s">
        <v>68</v>
      </c>
      <c r="B57" s="78"/>
      <c r="C57" s="43" t="s">
        <v>69</v>
      </c>
    </row>
    <row r="58" spans="1:4" x14ac:dyDescent="0.2">
      <c r="A58" s="71" t="s">
        <v>77</v>
      </c>
      <c r="B58" s="72"/>
      <c r="C58" s="44">
        <v>5</v>
      </c>
    </row>
    <row r="59" spans="1:4" x14ac:dyDescent="0.2">
      <c r="A59" s="71" t="s">
        <v>78</v>
      </c>
      <c r="B59" s="72"/>
      <c r="C59" s="44">
        <v>5</v>
      </c>
    </row>
    <row r="60" spans="1:4" x14ac:dyDescent="0.2">
      <c r="A60" s="9" t="s">
        <v>70</v>
      </c>
    </row>
    <row r="62" spans="1:4" ht="10.5" x14ac:dyDescent="0.25">
      <c r="A62" s="18" t="s">
        <v>222</v>
      </c>
      <c r="D62" s="45">
        <v>0.18149999999999999</v>
      </c>
    </row>
    <row r="64" spans="1:4" ht="10.5" x14ac:dyDescent="0.25">
      <c r="A64" s="18" t="s">
        <v>726</v>
      </c>
    </row>
    <row r="65" spans="1:1" x14ac:dyDescent="0.2">
      <c r="A65" s="46" t="s">
        <v>55</v>
      </c>
    </row>
  </sheetData>
  <mergeCells count="4">
    <mergeCell ref="A1:F1"/>
    <mergeCell ref="A57:B57"/>
    <mergeCell ref="A58:B58"/>
    <mergeCell ref="A59:B59"/>
  </mergeCells>
  <conditionalFormatting sqref="F2:F3 F5:F65534">
    <cfRule type="cellIs" dxfId="23" priority="1" stopIfTrue="1" operator="between">
      <formula>0.009</formula>
      <formula>-0.009</formula>
    </cfRule>
  </conditionalFormatting>
  <hyperlinks>
    <hyperlink ref="A65" r:id="rId1" xr:uid="{00000000-0004-0000-2700-000000000000}"/>
  </hyperlinks>
  <pageMargins left="0.7" right="0.7" top="0.75" bottom="0.75" header="0.3" footer="0.3"/>
  <pageSetup paperSize="9" scale="59" orientation="portrait" r:id="rId2"/>
  <headerFooter>
    <oddFooter>&amp;R&amp;1#&amp;"Calibri"&amp;10&amp;KFF0000|PUBLIC|&amp;LPUBLIC</oddFooter>
    <evenFooter>&amp;LPUBLIC</evenFooter>
    <firstFooter>&amp;LPUBLIC</firstFooter>
  </headerFooter>
  <colBreaks count="1" manualBreakCount="1">
    <brk id="6" max="1048575"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88"/>
  <sheetViews>
    <sheetView zoomScaleNormal="100" workbookViewId="0">
      <selection sqref="A1:F1"/>
    </sheetView>
  </sheetViews>
  <sheetFormatPr defaultColWidth="9.1796875" defaultRowHeight="10" x14ac:dyDescent="0.2"/>
  <cols>
    <col min="1" max="1" width="40.54296875" style="9" bestFit="1" customWidth="1"/>
    <col min="2" max="2" width="26.54296875" style="9" bestFit="1" customWidth="1"/>
    <col min="3" max="3" width="21.1796875" style="9" bestFit="1" customWidth="1"/>
    <col min="4" max="4" width="15.1796875" style="10" bestFit="1" customWidth="1"/>
    <col min="5" max="5" width="23" style="13" bestFit="1" customWidth="1"/>
    <col min="6" max="6" width="13.54296875" style="14" bestFit="1" customWidth="1"/>
    <col min="7" max="16384" width="9.1796875" style="9"/>
  </cols>
  <sheetData>
    <row r="1" spans="1:6" s="1" customFormat="1" ht="14" x14ac:dyDescent="0.25">
      <c r="A1" s="75" t="s">
        <v>11</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104</v>
      </c>
      <c r="B7" s="27" t="s">
        <v>103</v>
      </c>
      <c r="C7" s="27" t="s">
        <v>105</v>
      </c>
      <c r="D7" s="31">
        <v>775444</v>
      </c>
      <c r="E7" s="29">
        <v>9608.1388819999993</v>
      </c>
      <c r="F7" s="30">
        <v>10.458044232673601</v>
      </c>
    </row>
    <row r="8" spans="1:6" x14ac:dyDescent="0.2">
      <c r="A8" s="27" t="s">
        <v>191</v>
      </c>
      <c r="B8" s="27" t="s">
        <v>190</v>
      </c>
      <c r="C8" s="27" t="s">
        <v>146</v>
      </c>
      <c r="D8" s="31">
        <v>7297866</v>
      </c>
      <c r="E8" s="29">
        <v>5502.590964</v>
      </c>
      <c r="F8" s="30">
        <v>5.9893326275320504</v>
      </c>
    </row>
    <row r="9" spans="1:6" x14ac:dyDescent="0.2">
      <c r="A9" s="27" t="s">
        <v>145</v>
      </c>
      <c r="B9" s="27" t="s">
        <v>144</v>
      </c>
      <c r="C9" s="27" t="s">
        <v>146</v>
      </c>
      <c r="D9" s="31">
        <v>2509054</v>
      </c>
      <c r="E9" s="29">
        <v>4627.9501030000001</v>
      </c>
      <c r="F9" s="30">
        <v>5.0373238228739599</v>
      </c>
    </row>
    <row r="10" spans="1:6" x14ac:dyDescent="0.2">
      <c r="A10" s="27" t="s">
        <v>228</v>
      </c>
      <c r="B10" s="27" t="s">
        <v>227</v>
      </c>
      <c r="C10" s="27" t="s">
        <v>146</v>
      </c>
      <c r="D10" s="31">
        <v>14497327</v>
      </c>
      <c r="E10" s="29">
        <v>3479.3584799999999</v>
      </c>
      <c r="F10" s="30">
        <v>3.7871314447105102</v>
      </c>
    </row>
    <row r="11" spans="1:6" x14ac:dyDescent="0.2">
      <c r="A11" s="27" t="s">
        <v>153</v>
      </c>
      <c r="B11" s="27" t="s">
        <v>152</v>
      </c>
      <c r="C11" s="27" t="s">
        <v>146</v>
      </c>
      <c r="D11" s="31">
        <v>3291938</v>
      </c>
      <c r="E11" s="29">
        <v>2928.1788510000001</v>
      </c>
      <c r="F11" s="30">
        <v>3.1871962219766399</v>
      </c>
    </row>
    <row r="12" spans="1:6" x14ac:dyDescent="0.2">
      <c r="A12" s="27" t="s">
        <v>274</v>
      </c>
      <c r="B12" s="27" t="s">
        <v>273</v>
      </c>
      <c r="C12" s="27" t="s">
        <v>185</v>
      </c>
      <c r="D12" s="31">
        <v>234585</v>
      </c>
      <c r="E12" s="29">
        <v>2425.2570230000001</v>
      </c>
      <c r="F12" s="30">
        <v>2.6397875315533201</v>
      </c>
    </row>
    <row r="13" spans="1:6" x14ac:dyDescent="0.2">
      <c r="A13" s="27" t="s">
        <v>276</v>
      </c>
      <c r="B13" s="27" t="s">
        <v>275</v>
      </c>
      <c r="C13" s="27" t="s">
        <v>147</v>
      </c>
      <c r="D13" s="31">
        <v>419757</v>
      </c>
      <c r="E13" s="29">
        <v>2422.4176470000002</v>
      </c>
      <c r="F13" s="30">
        <v>2.6366969933995801</v>
      </c>
    </row>
    <row r="14" spans="1:6" x14ac:dyDescent="0.2">
      <c r="A14" s="27" t="s">
        <v>278</v>
      </c>
      <c r="B14" s="27" t="s">
        <v>277</v>
      </c>
      <c r="C14" s="27" t="s">
        <v>127</v>
      </c>
      <c r="D14" s="31">
        <v>401912</v>
      </c>
      <c r="E14" s="29">
        <v>2249.9033760000002</v>
      </c>
      <c r="F14" s="30">
        <v>2.4489226596766001</v>
      </c>
    </row>
    <row r="15" spans="1:6" x14ac:dyDescent="0.2">
      <c r="A15" s="27" t="s">
        <v>280</v>
      </c>
      <c r="B15" s="27" t="s">
        <v>279</v>
      </c>
      <c r="C15" s="27" t="s">
        <v>262</v>
      </c>
      <c r="D15" s="31">
        <v>1517846</v>
      </c>
      <c r="E15" s="29">
        <v>2049.0920999999998</v>
      </c>
      <c r="F15" s="30">
        <v>2.2303482580552898</v>
      </c>
    </row>
    <row r="16" spans="1:6" x14ac:dyDescent="0.2">
      <c r="A16" s="27" t="s">
        <v>120</v>
      </c>
      <c r="B16" s="27" t="s">
        <v>119</v>
      </c>
      <c r="C16" s="27" t="s">
        <v>121</v>
      </c>
      <c r="D16" s="31">
        <v>803388</v>
      </c>
      <c r="E16" s="29">
        <v>1904.0295599999999</v>
      </c>
      <c r="F16" s="30">
        <v>2.0724539479859301</v>
      </c>
    </row>
    <row r="17" spans="1:6" x14ac:dyDescent="0.2">
      <c r="A17" s="27" t="s">
        <v>282</v>
      </c>
      <c r="B17" s="27" t="s">
        <v>281</v>
      </c>
      <c r="C17" s="27" t="s">
        <v>180</v>
      </c>
      <c r="D17" s="31">
        <v>76875</v>
      </c>
      <c r="E17" s="29">
        <v>1638.129375</v>
      </c>
      <c r="F17" s="30">
        <v>1.78303307987008</v>
      </c>
    </row>
    <row r="18" spans="1:6" x14ac:dyDescent="0.2">
      <c r="A18" s="27" t="s">
        <v>284</v>
      </c>
      <c r="B18" s="27" t="s">
        <v>283</v>
      </c>
      <c r="C18" s="27" t="s">
        <v>208</v>
      </c>
      <c r="D18" s="31">
        <v>178656</v>
      </c>
      <c r="E18" s="29">
        <v>1634.077104</v>
      </c>
      <c r="F18" s="30">
        <v>1.7786223578893401</v>
      </c>
    </row>
    <row r="19" spans="1:6" x14ac:dyDescent="0.2">
      <c r="A19" s="27" t="s">
        <v>226</v>
      </c>
      <c r="B19" s="27" t="s">
        <v>225</v>
      </c>
      <c r="C19" s="27" t="s">
        <v>105</v>
      </c>
      <c r="D19" s="31">
        <v>51194</v>
      </c>
      <c r="E19" s="29">
        <v>1592.824519</v>
      </c>
      <c r="F19" s="30">
        <v>1.7337207006651401</v>
      </c>
    </row>
    <row r="20" spans="1:6" x14ac:dyDescent="0.2">
      <c r="A20" s="27" t="s">
        <v>249</v>
      </c>
      <c r="B20" s="27" t="s">
        <v>248</v>
      </c>
      <c r="C20" s="27" t="s">
        <v>250</v>
      </c>
      <c r="D20" s="31">
        <v>334134</v>
      </c>
      <c r="E20" s="29">
        <v>1588.1389019999999</v>
      </c>
      <c r="F20" s="30">
        <v>1.7286206089153</v>
      </c>
    </row>
    <row r="21" spans="1:6" x14ac:dyDescent="0.2">
      <c r="A21" s="27" t="s">
        <v>172</v>
      </c>
      <c r="B21" s="27" t="s">
        <v>171</v>
      </c>
      <c r="C21" s="27" t="s">
        <v>173</v>
      </c>
      <c r="D21" s="31">
        <v>1247000</v>
      </c>
      <c r="E21" s="29">
        <v>1569.973</v>
      </c>
      <c r="F21" s="30">
        <v>1.7088478091071799</v>
      </c>
    </row>
    <row r="22" spans="1:6" x14ac:dyDescent="0.2">
      <c r="A22" s="27" t="s">
        <v>286</v>
      </c>
      <c r="B22" s="27" t="s">
        <v>285</v>
      </c>
      <c r="C22" s="27" t="s">
        <v>141</v>
      </c>
      <c r="D22" s="31">
        <v>3209748</v>
      </c>
      <c r="E22" s="29">
        <v>1537.469292</v>
      </c>
      <c r="F22" s="30">
        <v>1.6734689266654701</v>
      </c>
    </row>
    <row r="23" spans="1:6" x14ac:dyDescent="0.2">
      <c r="A23" s="27" t="s">
        <v>259</v>
      </c>
      <c r="B23" s="27" t="s">
        <v>258</v>
      </c>
      <c r="C23" s="27" t="s">
        <v>113</v>
      </c>
      <c r="D23" s="31">
        <v>46395</v>
      </c>
      <c r="E23" s="29">
        <v>1485.6606899999999</v>
      </c>
      <c r="F23" s="30">
        <v>1.61707750081254</v>
      </c>
    </row>
    <row r="24" spans="1:6" x14ac:dyDescent="0.2">
      <c r="A24" s="27" t="s">
        <v>288</v>
      </c>
      <c r="B24" s="27" t="s">
        <v>287</v>
      </c>
      <c r="C24" s="27" t="s">
        <v>289</v>
      </c>
      <c r="D24" s="31">
        <v>136944</v>
      </c>
      <c r="E24" s="29">
        <v>1434.009096</v>
      </c>
      <c r="F24" s="30">
        <v>1.560856971387</v>
      </c>
    </row>
    <row r="25" spans="1:6" x14ac:dyDescent="0.2">
      <c r="A25" s="27" t="s">
        <v>291</v>
      </c>
      <c r="B25" s="27" t="s">
        <v>290</v>
      </c>
      <c r="C25" s="27" t="s">
        <v>130</v>
      </c>
      <c r="D25" s="31">
        <v>1239545</v>
      </c>
      <c r="E25" s="29">
        <v>1373.4158600000001</v>
      </c>
      <c r="F25" s="30">
        <v>1.49490385080129</v>
      </c>
    </row>
    <row r="26" spans="1:6" x14ac:dyDescent="0.2">
      <c r="A26" s="27" t="s">
        <v>135</v>
      </c>
      <c r="B26" s="27" t="s">
        <v>134</v>
      </c>
      <c r="C26" s="27" t="s">
        <v>121</v>
      </c>
      <c r="D26" s="31">
        <v>624255</v>
      </c>
      <c r="E26" s="29">
        <v>1236.0248999999999</v>
      </c>
      <c r="F26" s="30">
        <v>1.3453597242544399</v>
      </c>
    </row>
    <row r="27" spans="1:6" x14ac:dyDescent="0.2">
      <c r="A27" s="27" t="s">
        <v>179</v>
      </c>
      <c r="B27" s="27" t="s">
        <v>178</v>
      </c>
      <c r="C27" s="27" t="s">
        <v>180</v>
      </c>
      <c r="D27" s="31">
        <v>114691</v>
      </c>
      <c r="E27" s="29">
        <v>1210.7355419999999</v>
      </c>
      <c r="F27" s="30">
        <v>1.31783335022634</v>
      </c>
    </row>
    <row r="28" spans="1:6" x14ac:dyDescent="0.2">
      <c r="A28" s="27" t="s">
        <v>242</v>
      </c>
      <c r="B28" s="27" t="s">
        <v>241</v>
      </c>
      <c r="C28" s="27" t="s">
        <v>130</v>
      </c>
      <c r="D28" s="31">
        <v>1158906</v>
      </c>
      <c r="E28" s="29">
        <v>1210.4773170000001</v>
      </c>
      <c r="F28" s="30">
        <v>1.3175522834656299</v>
      </c>
    </row>
    <row r="29" spans="1:6" x14ac:dyDescent="0.2">
      <c r="A29" s="27" t="s">
        <v>193</v>
      </c>
      <c r="B29" s="27" t="s">
        <v>192</v>
      </c>
      <c r="C29" s="27" t="s">
        <v>105</v>
      </c>
      <c r="D29" s="31">
        <v>121952</v>
      </c>
      <c r="E29" s="29">
        <v>1172.4465279999999</v>
      </c>
      <c r="F29" s="30">
        <v>1.27615741204984</v>
      </c>
    </row>
    <row r="30" spans="1:6" x14ac:dyDescent="0.2">
      <c r="A30" s="27" t="s">
        <v>129</v>
      </c>
      <c r="B30" s="27" t="s">
        <v>128</v>
      </c>
      <c r="C30" s="27" t="s">
        <v>130</v>
      </c>
      <c r="D30" s="31">
        <v>155566</v>
      </c>
      <c r="E30" s="29">
        <v>1166.122736</v>
      </c>
      <c r="F30" s="30">
        <v>1.26927423755929</v>
      </c>
    </row>
    <row r="31" spans="1:6" x14ac:dyDescent="0.2">
      <c r="A31" s="27" t="s">
        <v>218</v>
      </c>
      <c r="B31" s="27" t="s">
        <v>217</v>
      </c>
      <c r="C31" s="27" t="s">
        <v>100</v>
      </c>
      <c r="D31" s="31">
        <v>1505600</v>
      </c>
      <c r="E31" s="29">
        <v>1088.5488</v>
      </c>
      <c r="F31" s="30">
        <v>1.1848383583579101</v>
      </c>
    </row>
    <row r="32" spans="1:6" x14ac:dyDescent="0.2">
      <c r="A32" s="27" t="s">
        <v>264</v>
      </c>
      <c r="B32" s="27" t="s">
        <v>263</v>
      </c>
      <c r="C32" s="27" t="s">
        <v>185</v>
      </c>
      <c r="D32" s="31">
        <v>1505501</v>
      </c>
      <c r="E32" s="29">
        <v>1077.9387160000001</v>
      </c>
      <c r="F32" s="30">
        <v>1.17328974013464</v>
      </c>
    </row>
    <row r="33" spans="1:9" x14ac:dyDescent="0.2">
      <c r="A33" s="27" t="s">
        <v>244</v>
      </c>
      <c r="B33" s="27" t="s">
        <v>243</v>
      </c>
      <c r="C33" s="27" t="s">
        <v>245</v>
      </c>
      <c r="D33" s="31">
        <v>821499</v>
      </c>
      <c r="E33" s="29">
        <v>1068.3594499999999</v>
      </c>
      <c r="F33" s="30">
        <v>1.16286312278711</v>
      </c>
    </row>
    <row r="34" spans="1:9" x14ac:dyDescent="0.2">
      <c r="A34" s="27" t="s">
        <v>126</v>
      </c>
      <c r="B34" s="27" t="s">
        <v>125</v>
      </c>
      <c r="C34" s="27" t="s">
        <v>127</v>
      </c>
      <c r="D34" s="31">
        <v>64045</v>
      </c>
      <c r="E34" s="29">
        <v>1026.8334850000001</v>
      </c>
      <c r="F34" s="30">
        <v>1.11766390323919</v>
      </c>
    </row>
    <row r="35" spans="1:9" x14ac:dyDescent="0.2">
      <c r="A35" s="27" t="s">
        <v>177</v>
      </c>
      <c r="B35" s="27" t="s">
        <v>176</v>
      </c>
      <c r="C35" s="27" t="s">
        <v>138</v>
      </c>
      <c r="D35" s="31">
        <v>20000</v>
      </c>
      <c r="E35" s="29">
        <v>920.54</v>
      </c>
      <c r="F35" s="30">
        <v>1.00196803524361</v>
      </c>
    </row>
    <row r="36" spans="1:9" x14ac:dyDescent="0.2">
      <c r="A36" s="27" t="s">
        <v>205</v>
      </c>
      <c r="B36" s="27" t="s">
        <v>204</v>
      </c>
      <c r="C36" s="27" t="s">
        <v>133</v>
      </c>
      <c r="D36" s="31">
        <v>972460</v>
      </c>
      <c r="E36" s="29">
        <v>906.81894999999997</v>
      </c>
      <c r="F36" s="30">
        <v>0.98703326488058996</v>
      </c>
    </row>
    <row r="37" spans="1:9" x14ac:dyDescent="0.2">
      <c r="A37" s="27" t="s">
        <v>293</v>
      </c>
      <c r="B37" s="27" t="s">
        <v>292</v>
      </c>
      <c r="C37" s="27" t="s">
        <v>127</v>
      </c>
      <c r="D37" s="31">
        <v>38206</v>
      </c>
      <c r="E37" s="29">
        <v>864.94563400000004</v>
      </c>
      <c r="F37" s="30">
        <v>0.94145596876998605</v>
      </c>
    </row>
    <row r="38" spans="1:9" x14ac:dyDescent="0.2">
      <c r="A38" s="27" t="s">
        <v>295</v>
      </c>
      <c r="B38" s="27" t="s">
        <v>294</v>
      </c>
      <c r="C38" s="27" t="s">
        <v>180</v>
      </c>
      <c r="D38" s="31">
        <v>70800</v>
      </c>
      <c r="E38" s="29">
        <v>817.70460000000003</v>
      </c>
      <c r="F38" s="30">
        <v>0.89003614342849402</v>
      </c>
    </row>
    <row r="39" spans="1:9" x14ac:dyDescent="0.2">
      <c r="A39" s="27" t="s">
        <v>216</v>
      </c>
      <c r="B39" s="27" t="s">
        <v>215</v>
      </c>
      <c r="C39" s="27" t="s">
        <v>121</v>
      </c>
      <c r="D39" s="31">
        <v>621258</v>
      </c>
      <c r="E39" s="29">
        <v>778.43627400000003</v>
      </c>
      <c r="F39" s="30">
        <v>0.84729426643289896</v>
      </c>
    </row>
    <row r="40" spans="1:9" x14ac:dyDescent="0.2">
      <c r="A40" s="27" t="s">
        <v>297</v>
      </c>
      <c r="B40" s="27" t="s">
        <v>296</v>
      </c>
      <c r="C40" s="27" t="s">
        <v>173</v>
      </c>
      <c r="D40" s="31">
        <v>709254</v>
      </c>
      <c r="E40" s="29">
        <v>746.13520800000003</v>
      </c>
      <c r="F40" s="30">
        <v>0.81213595105682101</v>
      </c>
    </row>
    <row r="41" spans="1:9" x14ac:dyDescent="0.2">
      <c r="A41" s="27" t="s">
        <v>132</v>
      </c>
      <c r="B41" s="27" t="s">
        <v>131</v>
      </c>
      <c r="C41" s="27" t="s">
        <v>133</v>
      </c>
      <c r="D41" s="31">
        <v>339633</v>
      </c>
      <c r="E41" s="29">
        <v>742.43773799999997</v>
      </c>
      <c r="F41" s="30">
        <v>0.80811141464202996</v>
      </c>
    </row>
    <row r="42" spans="1:9" x14ac:dyDescent="0.2">
      <c r="A42" s="27" t="s">
        <v>299</v>
      </c>
      <c r="B42" s="27" t="s">
        <v>298</v>
      </c>
      <c r="C42" s="27" t="s">
        <v>105</v>
      </c>
      <c r="D42" s="31">
        <v>119545</v>
      </c>
      <c r="E42" s="29">
        <v>723.96451999999999</v>
      </c>
      <c r="F42" s="30">
        <v>0.78800411463976205</v>
      </c>
    </row>
    <row r="43" spans="1:9" x14ac:dyDescent="0.2">
      <c r="A43" s="27" t="s">
        <v>252</v>
      </c>
      <c r="B43" s="27" t="s">
        <v>251</v>
      </c>
      <c r="C43" s="27" t="s">
        <v>253</v>
      </c>
      <c r="D43" s="31">
        <v>753071</v>
      </c>
      <c r="E43" s="29">
        <v>664.96169299999997</v>
      </c>
      <c r="F43" s="30">
        <v>0.72378208556659995</v>
      </c>
    </row>
    <row r="44" spans="1:9" x14ac:dyDescent="0.2">
      <c r="A44" s="27" t="s">
        <v>207</v>
      </c>
      <c r="B44" s="27" t="s">
        <v>206</v>
      </c>
      <c r="C44" s="27" t="s">
        <v>208</v>
      </c>
      <c r="D44" s="31">
        <v>439349</v>
      </c>
      <c r="E44" s="29">
        <v>645.84303</v>
      </c>
      <c r="F44" s="30">
        <v>0.70297224655624202</v>
      </c>
    </row>
    <row r="45" spans="1:9" x14ac:dyDescent="0.2">
      <c r="A45" s="27" t="s">
        <v>301</v>
      </c>
      <c r="B45" s="27" t="s">
        <v>300</v>
      </c>
      <c r="C45" s="27" t="s">
        <v>146</v>
      </c>
      <c r="D45" s="31">
        <v>100000</v>
      </c>
      <c r="E45" s="29">
        <v>610.5</v>
      </c>
      <c r="F45" s="30">
        <v>0.66450288473746599</v>
      </c>
    </row>
    <row r="46" spans="1:9" ht="10.5" x14ac:dyDescent="0.25">
      <c r="A46" s="26" t="s">
        <v>40</v>
      </c>
      <c r="B46" s="26"/>
      <c r="C46" s="26"/>
      <c r="D46" s="32"/>
      <c r="E46" s="33">
        <f>SUM(E7:E45)</f>
        <v>69730.389945000003</v>
      </c>
      <c r="F46" s="34">
        <f>SUM(F7:F45)</f>
        <v>75.898518054579682</v>
      </c>
      <c r="G46" s="18"/>
      <c r="H46" s="18"/>
      <c r="I46" s="18"/>
    </row>
    <row r="47" spans="1:9" x14ac:dyDescent="0.2">
      <c r="A47" s="27"/>
      <c r="B47" s="27"/>
      <c r="C47" s="27"/>
      <c r="D47" s="28"/>
      <c r="E47" s="29"/>
      <c r="F47" s="30"/>
    </row>
    <row r="48" spans="1:9" ht="10.5" x14ac:dyDescent="0.25">
      <c r="A48" s="26" t="s">
        <v>219</v>
      </c>
      <c r="B48" s="27"/>
      <c r="C48" s="27"/>
      <c r="D48" s="28"/>
      <c r="E48" s="29"/>
      <c r="F48" s="30"/>
    </row>
    <row r="49" spans="1:9" x14ac:dyDescent="0.2">
      <c r="A49" s="27" t="s">
        <v>221</v>
      </c>
      <c r="B49" s="27" t="s">
        <v>220</v>
      </c>
      <c r="C49" s="27" t="s">
        <v>378</v>
      </c>
      <c r="D49" s="31">
        <v>933400</v>
      </c>
      <c r="E49" s="29">
        <v>3279.5009</v>
      </c>
      <c r="F49" s="30">
        <v>3.56959509999855</v>
      </c>
    </row>
    <row r="50" spans="1:9" ht="10.5" x14ac:dyDescent="0.25">
      <c r="A50" s="26" t="s">
        <v>40</v>
      </c>
      <c r="B50" s="26"/>
      <c r="C50" s="26"/>
      <c r="D50" s="32"/>
      <c r="E50" s="33">
        <f>SUM(E48:E49)</f>
        <v>3279.5009</v>
      </c>
      <c r="F50" s="34">
        <f>SUM(F48:F49)</f>
        <v>3.56959509999855</v>
      </c>
      <c r="G50" s="18"/>
      <c r="H50" s="18"/>
      <c r="I50" s="18"/>
    </row>
    <row r="51" spans="1:9" x14ac:dyDescent="0.2">
      <c r="A51" s="27"/>
      <c r="B51" s="27"/>
      <c r="C51" s="27"/>
      <c r="D51" s="28"/>
      <c r="E51" s="29"/>
      <c r="F51" s="30"/>
    </row>
    <row r="52" spans="1:9" ht="10.5" x14ac:dyDescent="0.25">
      <c r="A52" s="26" t="s">
        <v>302</v>
      </c>
      <c r="B52" s="27"/>
      <c r="C52" s="27"/>
      <c r="D52" s="28"/>
      <c r="E52" s="29"/>
      <c r="F52" s="30"/>
    </row>
    <row r="53" spans="1:9" x14ac:dyDescent="0.2">
      <c r="A53" s="27" t="s">
        <v>304</v>
      </c>
      <c r="B53" s="27" t="s">
        <v>303</v>
      </c>
      <c r="C53" s="27" t="s">
        <v>127</v>
      </c>
      <c r="D53" s="31">
        <v>86900</v>
      </c>
      <c r="E53" s="29">
        <v>3745.3166040000001</v>
      </c>
      <c r="F53" s="30">
        <v>4.0766153769256803</v>
      </c>
    </row>
    <row r="54" spans="1:9" x14ac:dyDescent="0.2">
      <c r="A54" s="27" t="s">
        <v>306</v>
      </c>
      <c r="B54" s="27" t="s">
        <v>305</v>
      </c>
      <c r="C54" s="27" t="s">
        <v>245</v>
      </c>
      <c r="D54" s="31">
        <v>1575983</v>
      </c>
      <c r="E54" s="29">
        <v>2521.0006079999998</v>
      </c>
      <c r="F54" s="30">
        <v>2.74400028901049</v>
      </c>
    </row>
    <row r="55" spans="1:9" x14ac:dyDescent="0.2">
      <c r="A55" s="27" t="s">
        <v>308</v>
      </c>
      <c r="B55" s="27" t="s">
        <v>307</v>
      </c>
      <c r="C55" s="27" t="s">
        <v>262</v>
      </c>
      <c r="D55" s="31">
        <v>2562198</v>
      </c>
      <c r="E55" s="29">
        <v>2239.0045380000001</v>
      </c>
      <c r="F55" s="30">
        <v>2.4370597451945599</v>
      </c>
    </row>
    <row r="56" spans="1:9" x14ac:dyDescent="0.2">
      <c r="A56" s="27" t="s">
        <v>310</v>
      </c>
      <c r="B56" s="27" t="s">
        <v>309</v>
      </c>
      <c r="C56" s="27" t="s">
        <v>311</v>
      </c>
      <c r="D56" s="31">
        <v>187038</v>
      </c>
      <c r="E56" s="29">
        <v>1918.060041</v>
      </c>
      <c r="F56" s="30">
        <v>2.08772552062926</v>
      </c>
    </row>
    <row r="57" spans="1:9" x14ac:dyDescent="0.2">
      <c r="A57" s="27" t="s">
        <v>313</v>
      </c>
      <c r="B57" s="27" t="s">
        <v>312</v>
      </c>
      <c r="C57" s="27" t="s">
        <v>118</v>
      </c>
      <c r="D57" s="31">
        <v>3297307</v>
      </c>
      <c r="E57" s="29">
        <v>1079.7199579999999</v>
      </c>
      <c r="F57" s="30">
        <v>1.17522854512632</v>
      </c>
    </row>
    <row r="58" spans="1:9" x14ac:dyDescent="0.2">
      <c r="A58" s="27" t="s">
        <v>315</v>
      </c>
      <c r="B58" s="27" t="s">
        <v>314</v>
      </c>
      <c r="C58" s="27" t="s">
        <v>105</v>
      </c>
      <c r="D58" s="31">
        <v>633055</v>
      </c>
      <c r="E58" s="29">
        <v>1031.719957</v>
      </c>
      <c r="F58" s="30">
        <v>1.12298261698233</v>
      </c>
    </row>
    <row r="59" spans="1:9" x14ac:dyDescent="0.2">
      <c r="A59" s="27" t="s">
        <v>317</v>
      </c>
      <c r="B59" s="27" t="s">
        <v>316</v>
      </c>
      <c r="C59" s="27" t="s">
        <v>318</v>
      </c>
      <c r="D59" s="31">
        <v>500000</v>
      </c>
      <c r="E59" s="29">
        <v>724.87200199999995</v>
      </c>
      <c r="F59" s="30">
        <v>0.78899186960593304</v>
      </c>
    </row>
    <row r="60" spans="1:9" x14ac:dyDescent="0.2">
      <c r="A60" s="27" t="s">
        <v>320</v>
      </c>
      <c r="B60" s="27" t="s">
        <v>319</v>
      </c>
      <c r="C60" s="27" t="s">
        <v>113</v>
      </c>
      <c r="D60" s="31">
        <v>200000</v>
      </c>
      <c r="E60" s="29">
        <v>518.57560420000004</v>
      </c>
      <c r="F60" s="30">
        <v>0.56444714978767296</v>
      </c>
    </row>
    <row r="61" spans="1:9" x14ac:dyDescent="0.2">
      <c r="A61" s="27" t="s">
        <v>322</v>
      </c>
      <c r="B61" s="27" t="s">
        <v>321</v>
      </c>
      <c r="C61" s="27" t="s">
        <v>185</v>
      </c>
      <c r="D61" s="31">
        <v>25000</v>
      </c>
      <c r="E61" s="29">
        <v>300.73843629999999</v>
      </c>
      <c r="F61" s="30">
        <v>0.32734080011922101</v>
      </c>
    </row>
    <row r="62" spans="1:9" ht="10.5" x14ac:dyDescent="0.25">
      <c r="A62" s="26" t="s">
        <v>40</v>
      </c>
      <c r="B62" s="26"/>
      <c r="C62" s="26"/>
      <c r="D62" s="32"/>
      <c r="E62" s="33">
        <f>SUM(E52:E61)</f>
        <v>14079.007748499998</v>
      </c>
      <c r="F62" s="34">
        <f>SUM(F52:F61)</f>
        <v>15.324391913381467</v>
      </c>
      <c r="G62" s="18"/>
      <c r="H62" s="18"/>
      <c r="I62" s="18"/>
    </row>
    <row r="63" spans="1:9" x14ac:dyDescent="0.2">
      <c r="A63" s="27"/>
      <c r="B63" s="27"/>
      <c r="C63" s="27"/>
      <c r="D63" s="28"/>
      <c r="E63" s="29"/>
      <c r="F63" s="30"/>
    </row>
    <row r="64" spans="1:9" ht="10.5" x14ac:dyDescent="0.25">
      <c r="A64" s="26" t="s">
        <v>44</v>
      </c>
      <c r="B64" s="26"/>
      <c r="C64" s="26"/>
      <c r="D64" s="32"/>
      <c r="E64" s="33">
        <f>E46+E50+E62</f>
        <v>87088.898593499995</v>
      </c>
      <c r="F64" s="34">
        <f>F46+F50+F62</f>
        <v>94.792505067959695</v>
      </c>
      <c r="G64" s="18"/>
      <c r="H64" s="18"/>
      <c r="I64" s="18"/>
    </row>
    <row r="65" spans="1:9" ht="10.5" x14ac:dyDescent="0.25">
      <c r="A65" s="26"/>
      <c r="B65" s="26"/>
      <c r="C65" s="26"/>
      <c r="D65" s="32"/>
      <c r="E65" s="33"/>
      <c r="F65" s="34"/>
      <c r="G65" s="18"/>
      <c r="H65" s="18"/>
      <c r="I65" s="18"/>
    </row>
    <row r="66" spans="1:9" ht="10.5" x14ac:dyDescent="0.25">
      <c r="A66" s="26" t="s">
        <v>46</v>
      </c>
      <c r="B66" s="26"/>
      <c r="C66" s="26"/>
      <c r="D66" s="32"/>
      <c r="E66" s="33">
        <f>E68-(E46+E50+E62)</f>
        <v>4784.2917300000117</v>
      </c>
      <c r="F66" s="34">
        <f>F68-(F46+F50+F62)</f>
        <v>5.207494932040305</v>
      </c>
      <c r="G66" s="18"/>
      <c r="H66" s="18"/>
      <c r="I66" s="18"/>
    </row>
    <row r="67" spans="1:9" ht="10.5" x14ac:dyDescent="0.25">
      <c r="A67" s="26"/>
      <c r="B67" s="26"/>
      <c r="C67" s="26"/>
      <c r="D67" s="32"/>
      <c r="E67" s="33"/>
      <c r="F67" s="34"/>
      <c r="G67" s="18"/>
      <c r="H67" s="18"/>
      <c r="I67" s="18"/>
    </row>
    <row r="68" spans="1:9" ht="10.5" x14ac:dyDescent="0.25">
      <c r="A68" s="35" t="s">
        <v>45</v>
      </c>
      <c r="B68" s="35"/>
      <c r="C68" s="35"/>
      <c r="D68" s="36"/>
      <c r="E68" s="37">
        <v>91873.190323500006</v>
      </c>
      <c r="F68" s="38">
        <v>100</v>
      </c>
      <c r="G68" s="18"/>
      <c r="H68" s="18"/>
      <c r="I68" s="18"/>
    </row>
    <row r="71" spans="1:9" ht="10.5" x14ac:dyDescent="0.25">
      <c r="A71" s="18" t="s">
        <v>48</v>
      </c>
    </row>
    <row r="72" spans="1:9" ht="10.5" x14ac:dyDescent="0.25">
      <c r="A72" s="18" t="s">
        <v>49</v>
      </c>
    </row>
    <row r="73" spans="1:9" ht="10.5" x14ac:dyDescent="0.25">
      <c r="A73" s="18" t="s">
        <v>50</v>
      </c>
      <c r="B73" s="18"/>
      <c r="C73" s="39" t="s">
        <v>727</v>
      </c>
      <c r="D73" s="19" t="s">
        <v>51</v>
      </c>
    </row>
    <row r="74" spans="1:9" x14ac:dyDescent="0.2">
      <c r="A74" s="9" t="s">
        <v>71</v>
      </c>
      <c r="C74" s="40">
        <v>43.165700000000001</v>
      </c>
      <c r="D74" s="40">
        <v>56.622700000000002</v>
      </c>
    </row>
    <row r="75" spans="1:9" x14ac:dyDescent="0.2">
      <c r="A75" s="9" t="s">
        <v>77</v>
      </c>
      <c r="C75" s="40">
        <v>12.5152</v>
      </c>
      <c r="D75" s="40">
        <v>15.548500000000001</v>
      </c>
    </row>
    <row r="76" spans="1:9" x14ac:dyDescent="0.2">
      <c r="A76" s="9" t="s">
        <v>74</v>
      </c>
      <c r="C76" s="40">
        <v>45.398600000000002</v>
      </c>
      <c r="D76" s="40">
        <v>59.8386</v>
      </c>
    </row>
    <row r="77" spans="1:9" x14ac:dyDescent="0.2">
      <c r="A77" s="9" t="s">
        <v>78</v>
      </c>
      <c r="C77" s="40">
        <v>13.384</v>
      </c>
      <c r="D77" s="40">
        <v>16.767499999999998</v>
      </c>
    </row>
    <row r="79" spans="1:9" ht="10.5" x14ac:dyDescent="0.25">
      <c r="A79" s="18" t="s">
        <v>52</v>
      </c>
    </row>
    <row r="80" spans="1:9" ht="10.5" x14ac:dyDescent="0.25">
      <c r="A80" s="77" t="s">
        <v>68</v>
      </c>
      <c r="B80" s="78"/>
      <c r="C80" s="43" t="s">
        <v>69</v>
      </c>
    </row>
    <row r="81" spans="1:4" x14ac:dyDescent="0.2">
      <c r="A81" s="71" t="s">
        <v>77</v>
      </c>
      <c r="B81" s="72"/>
      <c r="C81" s="44">
        <v>0.7</v>
      </c>
    </row>
    <row r="82" spans="1:4" x14ac:dyDescent="0.2">
      <c r="A82" s="71" t="s">
        <v>78</v>
      </c>
      <c r="B82" s="72"/>
      <c r="C82" s="44">
        <v>0.7</v>
      </c>
    </row>
    <row r="83" spans="1:4" x14ac:dyDescent="0.2">
      <c r="A83" s="9" t="s">
        <v>70</v>
      </c>
    </row>
    <row r="85" spans="1:4" ht="10.5" x14ac:dyDescent="0.25">
      <c r="A85" s="18" t="s">
        <v>222</v>
      </c>
      <c r="D85" s="45">
        <v>3.4299999999999997E-2</v>
      </c>
    </row>
    <row r="87" spans="1:4" ht="10.5" x14ac:dyDescent="0.25">
      <c r="A87" s="18" t="s">
        <v>726</v>
      </c>
    </row>
    <row r="88" spans="1:4" x14ac:dyDescent="0.2">
      <c r="A88" s="46" t="s">
        <v>55</v>
      </c>
    </row>
  </sheetData>
  <mergeCells count="4">
    <mergeCell ref="A1:F1"/>
    <mergeCell ref="A80:B80"/>
    <mergeCell ref="A81:B81"/>
    <mergeCell ref="A82:B82"/>
  </mergeCells>
  <conditionalFormatting sqref="F2:F3 F5:F65534">
    <cfRule type="cellIs" dxfId="22" priority="1" stopIfTrue="1" operator="between">
      <formula>0.009</formula>
      <formula>-0.009</formula>
    </cfRule>
  </conditionalFormatting>
  <hyperlinks>
    <hyperlink ref="A88" r:id="rId1" xr:uid="{00000000-0004-0000-2800-000000000000}"/>
  </hyperlinks>
  <pageMargins left="0.7" right="0.7" top="0.75" bottom="0.75" header="0.3" footer="0.3"/>
  <pageSetup paperSize="9" scale="62" orientation="portrait" r:id="rId2"/>
  <headerFooter>
    <oddFooter>&amp;R&amp;1#&amp;"Calibri"&amp;10&amp;KFF0000|PUBLIC|&amp;LPUBLIC</oddFooter>
    <evenFooter>&amp;LPUBLIC</evenFooter>
    <firstFooter>&amp;LPUBLIC</firstFooter>
  </headerFooter>
  <colBreaks count="1" manualBreakCount="1">
    <brk id="6" max="1048575"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72"/>
  <sheetViews>
    <sheetView zoomScaleNormal="100" workbookViewId="0">
      <selection sqref="A1:F1"/>
    </sheetView>
  </sheetViews>
  <sheetFormatPr defaultColWidth="9.1796875" defaultRowHeight="10" x14ac:dyDescent="0.2"/>
  <cols>
    <col min="1" max="1" width="38.7265625" style="9" bestFit="1" customWidth="1"/>
    <col min="2" max="2" width="33.1796875" style="9" bestFit="1" customWidth="1"/>
    <col min="3" max="3" width="26.81640625" style="9" bestFit="1" customWidth="1"/>
    <col min="4" max="4" width="15.1796875" style="10" bestFit="1" customWidth="1"/>
    <col min="5" max="5" width="23" style="13" bestFit="1" customWidth="1"/>
    <col min="6" max="6" width="14.7265625" style="14" bestFit="1" customWidth="1"/>
    <col min="7" max="16384" width="9.1796875" style="9"/>
  </cols>
  <sheetData>
    <row r="1" spans="1:6" s="1" customFormat="1" ht="14" x14ac:dyDescent="0.25">
      <c r="A1" s="75" t="s">
        <v>12</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104</v>
      </c>
      <c r="B7" s="27" t="s">
        <v>103</v>
      </c>
      <c r="C7" s="27" t="s">
        <v>105</v>
      </c>
      <c r="D7" s="31">
        <v>945647</v>
      </c>
      <c r="E7" s="29">
        <v>11717.039150000001</v>
      </c>
      <c r="F7" s="30">
        <v>23.655372858570399</v>
      </c>
    </row>
    <row r="8" spans="1:6" x14ac:dyDescent="0.2">
      <c r="A8" s="27" t="s">
        <v>226</v>
      </c>
      <c r="B8" s="27" t="s">
        <v>225</v>
      </c>
      <c r="C8" s="27" t="s">
        <v>105</v>
      </c>
      <c r="D8" s="31">
        <v>167936</v>
      </c>
      <c r="E8" s="29">
        <v>5225.076736</v>
      </c>
      <c r="F8" s="30">
        <v>10.5488371953355</v>
      </c>
    </row>
    <row r="9" spans="1:6" x14ac:dyDescent="0.2">
      <c r="A9" s="27" t="s">
        <v>324</v>
      </c>
      <c r="B9" s="27" t="s">
        <v>323</v>
      </c>
      <c r="C9" s="27" t="s">
        <v>105</v>
      </c>
      <c r="D9" s="31">
        <v>470000</v>
      </c>
      <c r="E9" s="29">
        <v>4295.8</v>
      </c>
      <c r="F9" s="30">
        <v>8.6727328828500596</v>
      </c>
    </row>
    <row r="10" spans="1:6" x14ac:dyDescent="0.2">
      <c r="A10" s="27" t="s">
        <v>107</v>
      </c>
      <c r="B10" s="27" t="s">
        <v>106</v>
      </c>
      <c r="C10" s="27" t="s">
        <v>108</v>
      </c>
      <c r="D10" s="31">
        <v>600000</v>
      </c>
      <c r="E10" s="29">
        <v>3321.6</v>
      </c>
      <c r="F10" s="30">
        <v>6.7059335964604401</v>
      </c>
    </row>
    <row r="11" spans="1:6" x14ac:dyDescent="0.2">
      <c r="A11" s="27" t="s">
        <v>193</v>
      </c>
      <c r="B11" s="27" t="s">
        <v>192</v>
      </c>
      <c r="C11" s="27" t="s">
        <v>105</v>
      </c>
      <c r="D11" s="31">
        <v>230000</v>
      </c>
      <c r="E11" s="29">
        <v>2211.2199999999998</v>
      </c>
      <c r="F11" s="30">
        <v>4.4642023383806801</v>
      </c>
    </row>
    <row r="12" spans="1:6" x14ac:dyDescent="0.2">
      <c r="A12" s="27" t="s">
        <v>326</v>
      </c>
      <c r="B12" s="27" t="s">
        <v>325</v>
      </c>
      <c r="C12" s="27" t="s">
        <v>105</v>
      </c>
      <c r="D12" s="31">
        <v>46300</v>
      </c>
      <c r="E12" s="29">
        <v>2020.5319999999999</v>
      </c>
      <c r="F12" s="30">
        <v>4.0792248980983299</v>
      </c>
    </row>
    <row r="13" spans="1:6" x14ac:dyDescent="0.2">
      <c r="A13" s="27" t="s">
        <v>328</v>
      </c>
      <c r="B13" s="27" t="s">
        <v>327</v>
      </c>
      <c r="C13" s="27" t="s">
        <v>105</v>
      </c>
      <c r="D13" s="31">
        <v>31000</v>
      </c>
      <c r="E13" s="29">
        <v>1228.809</v>
      </c>
      <c r="F13" s="30">
        <v>2.4808259744499499</v>
      </c>
    </row>
    <row r="14" spans="1:6" x14ac:dyDescent="0.2">
      <c r="A14" s="27" t="s">
        <v>299</v>
      </c>
      <c r="B14" s="27" t="s">
        <v>298</v>
      </c>
      <c r="C14" s="27" t="s">
        <v>105</v>
      </c>
      <c r="D14" s="31">
        <v>200000</v>
      </c>
      <c r="E14" s="29">
        <v>1211.2</v>
      </c>
      <c r="F14" s="30">
        <v>2.4452754010214601</v>
      </c>
    </row>
    <row r="15" spans="1:6" x14ac:dyDescent="0.2">
      <c r="A15" s="27" t="s">
        <v>330</v>
      </c>
      <c r="B15" s="27" t="s">
        <v>329</v>
      </c>
      <c r="C15" s="27" t="s">
        <v>105</v>
      </c>
      <c r="D15" s="31">
        <v>180000</v>
      </c>
      <c r="E15" s="29">
        <v>624.87</v>
      </c>
      <c r="F15" s="30">
        <v>1.26154164451476</v>
      </c>
    </row>
    <row r="16" spans="1:6" x14ac:dyDescent="0.2">
      <c r="A16" s="27" t="s">
        <v>332</v>
      </c>
      <c r="B16" s="27" t="s">
        <v>331</v>
      </c>
      <c r="C16" s="27" t="s">
        <v>105</v>
      </c>
      <c r="D16" s="31">
        <v>80000</v>
      </c>
      <c r="E16" s="29">
        <v>480.72</v>
      </c>
      <c r="F16" s="30">
        <v>0.97051914694438302</v>
      </c>
    </row>
    <row r="17" spans="1:9" x14ac:dyDescent="0.2">
      <c r="A17" s="27" t="s">
        <v>334</v>
      </c>
      <c r="B17" s="27" t="s">
        <v>333</v>
      </c>
      <c r="C17" s="27" t="s">
        <v>105</v>
      </c>
      <c r="D17" s="31">
        <v>6000</v>
      </c>
      <c r="E17" s="29">
        <v>468.15300000000002</v>
      </c>
      <c r="F17" s="30">
        <v>0.94514779954953798</v>
      </c>
    </row>
    <row r="18" spans="1:9" x14ac:dyDescent="0.2">
      <c r="A18" s="27" t="s">
        <v>336</v>
      </c>
      <c r="B18" s="27" t="s">
        <v>335</v>
      </c>
      <c r="C18" s="27" t="s">
        <v>105</v>
      </c>
      <c r="D18" s="31">
        <v>26939</v>
      </c>
      <c r="E18" s="29">
        <v>85.773775999999998</v>
      </c>
      <c r="F18" s="30">
        <v>0.17316752353494499</v>
      </c>
    </row>
    <row r="19" spans="1:9" ht="10.5" x14ac:dyDescent="0.25">
      <c r="A19" s="26" t="s">
        <v>40</v>
      </c>
      <c r="B19" s="26"/>
      <c r="C19" s="26"/>
      <c r="D19" s="32"/>
      <c r="E19" s="33">
        <f>SUM(E7:E18)</f>
        <v>32890.793662000004</v>
      </c>
      <c r="F19" s="34">
        <f>SUM(F7:F18)</f>
        <v>66.402781259710437</v>
      </c>
      <c r="G19" s="18"/>
      <c r="H19" s="18"/>
      <c r="I19" s="18"/>
    </row>
    <row r="20" spans="1:9" x14ac:dyDescent="0.2">
      <c r="A20" s="27"/>
      <c r="B20" s="27"/>
      <c r="C20" s="27"/>
      <c r="D20" s="28"/>
      <c r="E20" s="29"/>
      <c r="F20" s="30"/>
    </row>
    <row r="21" spans="1:9" ht="10.5" x14ac:dyDescent="0.25">
      <c r="A21" s="26" t="s">
        <v>231</v>
      </c>
      <c r="B21" s="27"/>
      <c r="C21" s="27"/>
      <c r="D21" s="28"/>
      <c r="E21" s="29"/>
      <c r="F21" s="30"/>
    </row>
    <row r="22" spans="1:9" x14ac:dyDescent="0.2">
      <c r="A22" s="27"/>
      <c r="B22" s="27" t="s">
        <v>337</v>
      </c>
      <c r="C22" s="27" t="s">
        <v>105</v>
      </c>
      <c r="D22" s="31">
        <v>970000</v>
      </c>
      <c r="E22" s="29">
        <v>9.7000000000000003E-2</v>
      </c>
      <c r="F22" s="30">
        <v>1.9583199628391801E-4</v>
      </c>
    </row>
    <row r="23" spans="1:9" ht="10.5" x14ac:dyDescent="0.25">
      <c r="A23" s="26" t="s">
        <v>40</v>
      </c>
      <c r="B23" s="26"/>
      <c r="C23" s="26"/>
      <c r="D23" s="32"/>
      <c r="E23" s="33">
        <f>SUM(E21:E22)</f>
        <v>9.7000000000000003E-2</v>
      </c>
      <c r="F23" s="34">
        <f>SUM(F21:F22)</f>
        <v>1.9583199628391801E-4</v>
      </c>
      <c r="G23" s="18"/>
      <c r="H23" s="18"/>
      <c r="I23" s="18"/>
    </row>
    <row r="24" spans="1:9" x14ac:dyDescent="0.2">
      <c r="A24" s="27"/>
      <c r="B24" s="27"/>
      <c r="C24" s="27"/>
      <c r="D24" s="28"/>
      <c r="E24" s="29"/>
      <c r="F24" s="30"/>
    </row>
    <row r="25" spans="1:9" ht="10.5" x14ac:dyDescent="0.25">
      <c r="A25" s="26" t="s">
        <v>302</v>
      </c>
      <c r="B25" s="27"/>
      <c r="C25" s="27"/>
      <c r="D25" s="28"/>
      <c r="E25" s="29"/>
      <c r="F25" s="30"/>
    </row>
    <row r="26" spans="1:9" x14ac:dyDescent="0.2">
      <c r="A26" s="27" t="s">
        <v>339</v>
      </c>
      <c r="B26" s="27" t="s">
        <v>338</v>
      </c>
      <c r="C26" s="27" t="s">
        <v>318</v>
      </c>
      <c r="D26" s="31">
        <v>88000</v>
      </c>
      <c r="E26" s="29">
        <v>1353.649662</v>
      </c>
      <c r="F26" s="30">
        <v>2.7328651090568199</v>
      </c>
    </row>
    <row r="27" spans="1:9" x14ac:dyDescent="0.2">
      <c r="A27" s="27" t="s">
        <v>341</v>
      </c>
      <c r="B27" s="27" t="s">
        <v>340</v>
      </c>
      <c r="C27" s="27" t="s">
        <v>105</v>
      </c>
      <c r="D27" s="31">
        <v>60135</v>
      </c>
      <c r="E27" s="29">
        <v>1251.576384</v>
      </c>
      <c r="F27" s="30">
        <v>2.5267907400054401</v>
      </c>
    </row>
    <row r="28" spans="1:9" x14ac:dyDescent="0.2">
      <c r="A28" s="27" t="s">
        <v>343</v>
      </c>
      <c r="B28" s="27" t="s">
        <v>342</v>
      </c>
      <c r="C28" s="27" t="s">
        <v>318</v>
      </c>
      <c r="D28" s="31">
        <v>17000</v>
      </c>
      <c r="E28" s="29">
        <v>910.48515099999997</v>
      </c>
      <c r="F28" s="30">
        <v>1.83816623409479</v>
      </c>
    </row>
    <row r="29" spans="1:9" x14ac:dyDescent="0.2">
      <c r="A29" s="27" t="s">
        <v>345</v>
      </c>
      <c r="B29" s="27" t="s">
        <v>344</v>
      </c>
      <c r="C29" s="27" t="s">
        <v>105</v>
      </c>
      <c r="D29" s="31">
        <v>22500</v>
      </c>
      <c r="E29" s="29">
        <v>829.39247209999996</v>
      </c>
      <c r="F29" s="30">
        <v>1.67444931457935</v>
      </c>
    </row>
    <row r="30" spans="1:9" x14ac:dyDescent="0.2">
      <c r="A30" s="27" t="s">
        <v>347</v>
      </c>
      <c r="B30" s="27" t="s">
        <v>346</v>
      </c>
      <c r="C30" s="27" t="s">
        <v>348</v>
      </c>
      <c r="D30" s="31">
        <v>6000</v>
      </c>
      <c r="E30" s="29">
        <v>684.04224839999995</v>
      </c>
      <c r="F30" s="30">
        <v>1.3810037015124901</v>
      </c>
    </row>
    <row r="31" spans="1:9" x14ac:dyDescent="0.2">
      <c r="A31" s="27" t="s">
        <v>350</v>
      </c>
      <c r="B31" s="27" t="s">
        <v>349</v>
      </c>
      <c r="C31" s="27" t="s">
        <v>318</v>
      </c>
      <c r="D31" s="31">
        <v>14982</v>
      </c>
      <c r="E31" s="29">
        <v>606.69343140000001</v>
      </c>
      <c r="F31" s="30">
        <v>1.2248452144680699</v>
      </c>
    </row>
    <row r="32" spans="1:9" x14ac:dyDescent="0.2">
      <c r="A32" s="27" t="s">
        <v>352</v>
      </c>
      <c r="B32" s="27" t="s">
        <v>351</v>
      </c>
      <c r="C32" s="27" t="s">
        <v>166</v>
      </c>
      <c r="D32" s="31">
        <v>23400</v>
      </c>
      <c r="E32" s="29">
        <v>543.41736630000003</v>
      </c>
      <c r="F32" s="30">
        <v>1.0970980170915301</v>
      </c>
    </row>
    <row r="33" spans="1:9" x14ac:dyDescent="0.2">
      <c r="A33" s="27" t="s">
        <v>354</v>
      </c>
      <c r="B33" s="27" t="s">
        <v>353</v>
      </c>
      <c r="C33" s="27" t="s">
        <v>318</v>
      </c>
      <c r="D33" s="31">
        <v>22000</v>
      </c>
      <c r="E33" s="29">
        <v>501.03361000000001</v>
      </c>
      <c r="F33" s="30">
        <v>1.01153002115091</v>
      </c>
    </row>
    <row r="34" spans="1:9" x14ac:dyDescent="0.2">
      <c r="A34" s="27" t="s">
        <v>356</v>
      </c>
      <c r="B34" s="27" t="s">
        <v>355</v>
      </c>
      <c r="C34" s="27" t="s">
        <v>318</v>
      </c>
      <c r="D34" s="31">
        <v>23000</v>
      </c>
      <c r="E34" s="29">
        <v>441.93263560000003</v>
      </c>
      <c r="F34" s="30">
        <v>0.89221185827382898</v>
      </c>
    </row>
    <row r="35" spans="1:9" x14ac:dyDescent="0.2">
      <c r="A35" s="27" t="s">
        <v>358</v>
      </c>
      <c r="B35" s="27" t="s">
        <v>357</v>
      </c>
      <c r="C35" s="27" t="s">
        <v>318</v>
      </c>
      <c r="D35" s="31">
        <v>1000</v>
      </c>
      <c r="E35" s="29">
        <v>379.04350299999999</v>
      </c>
      <c r="F35" s="30">
        <v>0.76524583372102395</v>
      </c>
    </row>
    <row r="36" spans="1:9" x14ac:dyDescent="0.2">
      <c r="A36" s="27" t="s">
        <v>360</v>
      </c>
      <c r="B36" s="27" t="s">
        <v>359</v>
      </c>
      <c r="C36" s="27" t="s">
        <v>361</v>
      </c>
      <c r="D36" s="31">
        <v>2173</v>
      </c>
      <c r="E36" s="29">
        <v>357.56095219999997</v>
      </c>
      <c r="F36" s="30">
        <v>0.72187500064437804</v>
      </c>
    </row>
    <row r="37" spans="1:9" x14ac:dyDescent="0.2">
      <c r="A37" s="27" t="s">
        <v>363</v>
      </c>
      <c r="B37" s="27" t="s">
        <v>362</v>
      </c>
      <c r="C37" s="27" t="s">
        <v>105</v>
      </c>
      <c r="D37" s="31">
        <v>267</v>
      </c>
      <c r="E37" s="29">
        <v>355.9292246</v>
      </c>
      <c r="F37" s="30">
        <v>0.71858072772376402</v>
      </c>
    </row>
    <row r="38" spans="1:9" x14ac:dyDescent="0.2">
      <c r="A38" s="27" t="s">
        <v>365</v>
      </c>
      <c r="B38" s="27" t="s">
        <v>364</v>
      </c>
      <c r="C38" s="27" t="s">
        <v>105</v>
      </c>
      <c r="D38" s="31">
        <v>110</v>
      </c>
      <c r="E38" s="29">
        <v>257.28328240000002</v>
      </c>
      <c r="F38" s="30">
        <v>0.519425760854341</v>
      </c>
    </row>
    <row r="39" spans="1:9" x14ac:dyDescent="0.2">
      <c r="A39" s="27" t="s">
        <v>367</v>
      </c>
      <c r="B39" s="27" t="s">
        <v>366</v>
      </c>
      <c r="C39" s="27" t="s">
        <v>105</v>
      </c>
      <c r="D39" s="31">
        <v>1310</v>
      </c>
      <c r="E39" s="29">
        <v>236.09371540000001</v>
      </c>
      <c r="F39" s="30">
        <v>0.47664642883370401</v>
      </c>
    </row>
    <row r="40" spans="1:9" x14ac:dyDescent="0.2">
      <c r="A40" s="27" t="s">
        <v>369</v>
      </c>
      <c r="B40" s="27" t="s">
        <v>368</v>
      </c>
      <c r="C40" s="27" t="s">
        <v>105</v>
      </c>
      <c r="D40" s="31">
        <v>1100</v>
      </c>
      <c r="E40" s="29">
        <v>186.1375778</v>
      </c>
      <c r="F40" s="30">
        <v>0.37579065406213602</v>
      </c>
    </row>
    <row r="41" spans="1:9" ht="10.5" x14ac:dyDescent="0.25">
      <c r="A41" s="26" t="s">
        <v>40</v>
      </c>
      <c r="B41" s="26"/>
      <c r="C41" s="26"/>
      <c r="D41" s="32"/>
      <c r="E41" s="33">
        <f>SUM(E25:E40)</f>
        <v>8894.2712162000007</v>
      </c>
      <c r="F41" s="34">
        <f>SUM(F25:F40)</f>
        <v>17.956524616072578</v>
      </c>
      <c r="G41" s="18"/>
      <c r="H41" s="18"/>
      <c r="I41" s="18"/>
    </row>
    <row r="42" spans="1:9" x14ac:dyDescent="0.2">
      <c r="A42" s="27"/>
      <c r="B42" s="27"/>
      <c r="C42" s="27"/>
      <c r="D42" s="28"/>
      <c r="E42" s="29"/>
      <c r="F42" s="30"/>
    </row>
    <row r="43" spans="1:9" ht="10.5" x14ac:dyDescent="0.25">
      <c r="A43" s="26" t="s">
        <v>370</v>
      </c>
      <c r="B43" s="27"/>
      <c r="C43" s="27"/>
      <c r="D43" s="28"/>
      <c r="E43" s="29"/>
      <c r="F43" s="30"/>
    </row>
    <row r="44" spans="1:9" x14ac:dyDescent="0.2">
      <c r="A44" s="27" t="s">
        <v>372</v>
      </c>
      <c r="B44" s="27" t="s">
        <v>371</v>
      </c>
      <c r="C44" s="27" t="s">
        <v>373</v>
      </c>
      <c r="D44" s="31">
        <v>91868.481</v>
      </c>
      <c r="E44" s="29">
        <v>3751.0263519999999</v>
      </c>
      <c r="F44" s="30">
        <v>7.5728966868633396</v>
      </c>
    </row>
    <row r="45" spans="1:9" ht="10.5" x14ac:dyDescent="0.25">
      <c r="A45" s="26" t="s">
        <v>40</v>
      </c>
      <c r="B45" s="26"/>
      <c r="C45" s="26"/>
      <c r="D45" s="32"/>
      <c r="E45" s="33">
        <f>SUM(E44:E44)</f>
        <v>3751.0263519999999</v>
      </c>
      <c r="F45" s="34">
        <f>SUM(F44:F44)</f>
        <v>7.5728966868633396</v>
      </c>
      <c r="G45" s="18"/>
      <c r="H45" s="18"/>
      <c r="I45" s="18"/>
    </row>
    <row r="46" spans="1:9" x14ac:dyDescent="0.2">
      <c r="A46" s="27"/>
      <c r="B46" s="27"/>
      <c r="C46" s="27"/>
      <c r="D46" s="28"/>
      <c r="E46" s="29"/>
      <c r="F46" s="30"/>
    </row>
    <row r="47" spans="1:9" ht="10.5" x14ac:dyDescent="0.25">
      <c r="A47" s="26" t="s">
        <v>44</v>
      </c>
      <c r="B47" s="26"/>
      <c r="C47" s="26"/>
      <c r="D47" s="32"/>
      <c r="E47" s="33">
        <f>E19+E23+E41+E45</f>
        <v>45536.188230200009</v>
      </c>
      <c r="F47" s="34">
        <f>F19+F23+F41+F45</f>
        <v>91.932398394642632</v>
      </c>
      <c r="G47" s="18"/>
      <c r="H47" s="18"/>
      <c r="I47" s="18"/>
    </row>
    <row r="48" spans="1:9" ht="10.5" x14ac:dyDescent="0.25">
      <c r="A48" s="26"/>
      <c r="B48" s="26"/>
      <c r="C48" s="26"/>
      <c r="D48" s="32"/>
      <c r="E48" s="33"/>
      <c r="F48" s="34"/>
      <c r="G48" s="18"/>
      <c r="H48" s="18"/>
      <c r="I48" s="18"/>
    </row>
    <row r="49" spans="1:9" ht="10.5" x14ac:dyDescent="0.25">
      <c r="A49" s="26" t="s">
        <v>46</v>
      </c>
      <c r="B49" s="26"/>
      <c r="C49" s="26"/>
      <c r="D49" s="32"/>
      <c r="E49" s="33">
        <f>E51-(E19+E23+E41+E45)</f>
        <v>3996.0648441999947</v>
      </c>
      <c r="F49" s="34">
        <f>F51-(F19+F23+F41+F45)</f>
        <v>8.0676016053573676</v>
      </c>
      <c r="G49" s="18"/>
      <c r="H49" s="18"/>
      <c r="I49" s="18"/>
    </row>
    <row r="50" spans="1:9" ht="10.5" x14ac:dyDescent="0.25">
      <c r="A50" s="26"/>
      <c r="B50" s="26"/>
      <c r="C50" s="26"/>
      <c r="D50" s="32"/>
      <c r="E50" s="33"/>
      <c r="F50" s="34"/>
      <c r="G50" s="18"/>
      <c r="H50" s="18"/>
      <c r="I50" s="18"/>
    </row>
    <row r="51" spans="1:9" ht="10.5" x14ac:dyDescent="0.25">
      <c r="A51" s="35" t="s">
        <v>45</v>
      </c>
      <c r="B51" s="35"/>
      <c r="C51" s="35"/>
      <c r="D51" s="36"/>
      <c r="E51" s="37">
        <v>49532.253074400003</v>
      </c>
      <c r="F51" s="38">
        <v>100</v>
      </c>
      <c r="G51" s="18"/>
      <c r="H51" s="18"/>
      <c r="I51" s="18"/>
    </row>
    <row r="52" spans="1:9" ht="10.5" x14ac:dyDescent="0.25">
      <c r="F52" s="20" t="s">
        <v>56</v>
      </c>
    </row>
    <row r="53" spans="1:9" ht="10.5" x14ac:dyDescent="0.25">
      <c r="A53" s="18" t="s">
        <v>47</v>
      </c>
    </row>
    <row r="54" spans="1:9" ht="10.5" x14ac:dyDescent="0.25">
      <c r="A54" s="18"/>
    </row>
    <row r="55" spans="1:9" ht="10.5" x14ac:dyDescent="0.25">
      <c r="A55" s="18" t="s">
        <v>48</v>
      </c>
    </row>
    <row r="56" spans="1:9" ht="10.5" x14ac:dyDescent="0.25">
      <c r="A56" s="18" t="s">
        <v>49</v>
      </c>
    </row>
    <row r="57" spans="1:9" ht="10.5" x14ac:dyDescent="0.25">
      <c r="A57" s="18" t="s">
        <v>50</v>
      </c>
      <c r="B57" s="18"/>
      <c r="C57" s="39" t="s">
        <v>727</v>
      </c>
      <c r="D57" s="19" t="s">
        <v>51</v>
      </c>
    </row>
    <row r="58" spans="1:9" x14ac:dyDescent="0.2">
      <c r="A58" s="9" t="s">
        <v>71</v>
      </c>
      <c r="C58" s="40">
        <v>202.3818</v>
      </c>
      <c r="D58" s="40">
        <v>265.46170000000001</v>
      </c>
    </row>
    <row r="59" spans="1:9" x14ac:dyDescent="0.2">
      <c r="A59" s="9" t="s">
        <v>77</v>
      </c>
      <c r="C59" s="40">
        <v>29.5318</v>
      </c>
      <c r="D59" s="40">
        <v>35.767600000000002</v>
      </c>
    </row>
    <row r="60" spans="1:9" x14ac:dyDescent="0.2">
      <c r="A60" s="9" t="s">
        <v>74</v>
      </c>
      <c r="C60" s="40">
        <v>212.05240000000001</v>
      </c>
      <c r="D60" s="40">
        <v>279.41079999999999</v>
      </c>
    </row>
    <row r="61" spans="1:9" x14ac:dyDescent="0.2">
      <c r="A61" s="9" t="s">
        <v>78</v>
      </c>
      <c r="C61" s="40">
        <v>31.1996</v>
      </c>
      <c r="D61" s="40">
        <v>38.124400000000001</v>
      </c>
    </row>
    <row r="63" spans="1:9" ht="10.5" x14ac:dyDescent="0.25">
      <c r="A63" s="18" t="s">
        <v>52</v>
      </c>
    </row>
    <row r="64" spans="1:9" ht="10.5" x14ac:dyDescent="0.25">
      <c r="A64" s="77" t="s">
        <v>68</v>
      </c>
      <c r="B64" s="78"/>
      <c r="C64" s="43" t="s">
        <v>69</v>
      </c>
    </row>
    <row r="65" spans="1:4" x14ac:dyDescent="0.2">
      <c r="A65" s="71" t="s">
        <v>77</v>
      </c>
      <c r="B65" s="72"/>
      <c r="C65" s="44">
        <v>2.5</v>
      </c>
    </row>
    <row r="66" spans="1:4" x14ac:dyDescent="0.2">
      <c r="A66" s="71" t="s">
        <v>78</v>
      </c>
      <c r="B66" s="72"/>
      <c r="C66" s="44">
        <v>2.5</v>
      </c>
    </row>
    <row r="67" spans="1:4" x14ac:dyDescent="0.2">
      <c r="A67" s="9" t="s">
        <v>70</v>
      </c>
    </row>
    <row r="69" spans="1:4" ht="10.5" x14ac:dyDescent="0.25">
      <c r="A69" s="18" t="s">
        <v>222</v>
      </c>
      <c r="D69" s="45">
        <v>7.22E-2</v>
      </c>
    </row>
    <row r="71" spans="1:4" ht="10.5" x14ac:dyDescent="0.25">
      <c r="A71" s="18" t="s">
        <v>726</v>
      </c>
    </row>
    <row r="72" spans="1:4" x14ac:dyDescent="0.2">
      <c r="A72" s="46" t="s">
        <v>55</v>
      </c>
    </row>
  </sheetData>
  <mergeCells count="4">
    <mergeCell ref="A1:F1"/>
    <mergeCell ref="A64:B64"/>
    <mergeCell ref="A65:B65"/>
    <mergeCell ref="A66:B66"/>
  </mergeCells>
  <conditionalFormatting sqref="F2:F3 F5:F51 F53:F65535">
    <cfRule type="cellIs" dxfId="21" priority="2" stopIfTrue="1" operator="between">
      <formula>0.009</formula>
      <formula>-0.009</formula>
    </cfRule>
  </conditionalFormatting>
  <conditionalFormatting sqref="F52">
    <cfRule type="cellIs" dxfId="20" priority="1" stopIfTrue="1" operator="between">
      <formula>0.009</formula>
      <formula>-0.009</formula>
    </cfRule>
  </conditionalFormatting>
  <hyperlinks>
    <hyperlink ref="A72" r:id="rId1" xr:uid="{00000000-0004-0000-2900-000000000000}"/>
  </hyperlinks>
  <pageMargins left="0.7" right="0.7" top="0.75" bottom="0.75" header="0.3" footer="0.3"/>
  <pageSetup paperSize="9" scale="57" orientation="portrait" r:id="rId2"/>
  <headerFooter>
    <oddFooter>&amp;R&amp;1#&amp;"Calibri"&amp;10&amp;KFF0000|PUBLIC|&amp;LPUBLIC</oddFooter>
    <evenFooter>&amp;LPUBLIC</evenFooter>
    <firstFooter>&amp;LPUBLIC</firstFooter>
  </headerFooter>
  <colBreaks count="1" manualBreakCount="1">
    <brk id="6" max="70"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88"/>
  <sheetViews>
    <sheetView zoomScaleNormal="100"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1796875" style="10" bestFit="1" customWidth="1"/>
    <col min="5" max="5" width="23" style="13" bestFit="1" customWidth="1"/>
    <col min="6" max="6" width="13.54296875" style="14" bestFit="1" customWidth="1"/>
    <col min="7" max="16384" width="9.1796875" style="9"/>
  </cols>
  <sheetData>
    <row r="1" spans="1:6" s="1" customFormat="1" ht="14" x14ac:dyDescent="0.25">
      <c r="A1" s="75" t="s">
        <v>13</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375</v>
      </c>
      <c r="B7" s="27" t="s">
        <v>374</v>
      </c>
      <c r="C7" s="27" t="s">
        <v>250</v>
      </c>
      <c r="D7" s="31">
        <v>3308339</v>
      </c>
      <c r="E7" s="29">
        <v>32142.167549999998</v>
      </c>
      <c r="F7" s="30">
        <v>5.4001361295865102</v>
      </c>
    </row>
    <row r="8" spans="1:6" x14ac:dyDescent="0.2">
      <c r="A8" s="27" t="s">
        <v>104</v>
      </c>
      <c r="B8" s="27" t="s">
        <v>103</v>
      </c>
      <c r="C8" s="27" t="s">
        <v>105</v>
      </c>
      <c r="D8" s="31">
        <v>1867535</v>
      </c>
      <c r="E8" s="29">
        <v>23139.692419999999</v>
      </c>
      <c r="F8" s="30">
        <v>3.8876497320965901</v>
      </c>
    </row>
    <row r="9" spans="1:6" x14ac:dyDescent="0.2">
      <c r="A9" s="27" t="s">
        <v>99</v>
      </c>
      <c r="B9" s="27" t="s">
        <v>98</v>
      </c>
      <c r="C9" s="27" t="s">
        <v>100</v>
      </c>
      <c r="D9" s="31">
        <v>1649964</v>
      </c>
      <c r="E9" s="29">
        <v>22942.74942</v>
      </c>
      <c r="F9" s="30">
        <v>3.85456176414562</v>
      </c>
    </row>
    <row r="10" spans="1:6" x14ac:dyDescent="0.2">
      <c r="A10" s="27" t="s">
        <v>377</v>
      </c>
      <c r="B10" s="27" t="s">
        <v>376</v>
      </c>
      <c r="C10" s="27" t="s">
        <v>378</v>
      </c>
      <c r="D10" s="31">
        <v>7737595</v>
      </c>
      <c r="E10" s="29">
        <v>18775.274270000002</v>
      </c>
      <c r="F10" s="30">
        <v>3.15439326767877</v>
      </c>
    </row>
    <row r="11" spans="1:6" x14ac:dyDescent="0.2">
      <c r="A11" s="27" t="s">
        <v>299</v>
      </c>
      <c r="B11" s="27" t="s">
        <v>298</v>
      </c>
      <c r="C11" s="27" t="s">
        <v>105</v>
      </c>
      <c r="D11" s="31">
        <v>2996360</v>
      </c>
      <c r="E11" s="29">
        <v>18145.956160000002</v>
      </c>
      <c r="F11" s="30">
        <v>3.04866289160729</v>
      </c>
    </row>
    <row r="12" spans="1:6" x14ac:dyDescent="0.2">
      <c r="A12" s="27" t="s">
        <v>380</v>
      </c>
      <c r="B12" s="27" t="s">
        <v>379</v>
      </c>
      <c r="C12" s="27" t="s">
        <v>127</v>
      </c>
      <c r="D12" s="31">
        <v>10263765</v>
      </c>
      <c r="E12" s="29">
        <v>16637.56307</v>
      </c>
      <c r="F12" s="30">
        <v>2.7952410273146402</v>
      </c>
    </row>
    <row r="13" spans="1:6" x14ac:dyDescent="0.2">
      <c r="A13" s="27" t="s">
        <v>382</v>
      </c>
      <c r="B13" s="27" t="s">
        <v>381</v>
      </c>
      <c r="C13" s="27" t="s">
        <v>234</v>
      </c>
      <c r="D13" s="31">
        <v>2672305</v>
      </c>
      <c r="E13" s="29">
        <v>15477.99056</v>
      </c>
      <c r="F13" s="30">
        <v>2.6004237550698401</v>
      </c>
    </row>
    <row r="14" spans="1:6" x14ac:dyDescent="0.2">
      <c r="A14" s="27" t="s">
        <v>255</v>
      </c>
      <c r="B14" s="27" t="s">
        <v>254</v>
      </c>
      <c r="C14" s="27" t="s">
        <v>147</v>
      </c>
      <c r="D14" s="31">
        <v>4112021</v>
      </c>
      <c r="E14" s="29">
        <v>15054.10888</v>
      </c>
      <c r="F14" s="30">
        <v>2.5292083097742801</v>
      </c>
    </row>
    <row r="15" spans="1:6" x14ac:dyDescent="0.2">
      <c r="A15" s="27" t="s">
        <v>384</v>
      </c>
      <c r="B15" s="27" t="s">
        <v>383</v>
      </c>
      <c r="C15" s="27" t="s">
        <v>138</v>
      </c>
      <c r="D15" s="31">
        <v>1436587</v>
      </c>
      <c r="E15" s="29">
        <v>14382.39075</v>
      </c>
      <c r="F15" s="30">
        <v>2.4163543979443198</v>
      </c>
    </row>
    <row r="16" spans="1:6" x14ac:dyDescent="0.2">
      <c r="A16" s="27" t="s">
        <v>386</v>
      </c>
      <c r="B16" s="27" t="s">
        <v>385</v>
      </c>
      <c r="C16" s="27" t="s">
        <v>387</v>
      </c>
      <c r="D16" s="31">
        <v>2460139</v>
      </c>
      <c r="E16" s="29">
        <v>14271.26634</v>
      </c>
      <c r="F16" s="30">
        <v>2.3976846258953</v>
      </c>
    </row>
    <row r="17" spans="1:6" x14ac:dyDescent="0.2">
      <c r="A17" s="27" t="s">
        <v>102</v>
      </c>
      <c r="B17" s="27" t="s">
        <v>101</v>
      </c>
      <c r="C17" s="27" t="s">
        <v>100</v>
      </c>
      <c r="D17" s="31">
        <v>2148660</v>
      </c>
      <c r="E17" s="29">
        <v>14243.467140000001</v>
      </c>
      <c r="F17" s="30">
        <v>2.3930141423611699</v>
      </c>
    </row>
    <row r="18" spans="1:6" x14ac:dyDescent="0.2">
      <c r="A18" s="27" t="s">
        <v>132</v>
      </c>
      <c r="B18" s="27" t="s">
        <v>131</v>
      </c>
      <c r="C18" s="27" t="s">
        <v>133</v>
      </c>
      <c r="D18" s="31">
        <v>6289744</v>
      </c>
      <c r="E18" s="29">
        <v>13749.380380000001</v>
      </c>
      <c r="F18" s="30">
        <v>2.3100036932470598</v>
      </c>
    </row>
    <row r="19" spans="1:6" x14ac:dyDescent="0.2">
      <c r="A19" s="27" t="s">
        <v>284</v>
      </c>
      <c r="B19" s="27" t="s">
        <v>283</v>
      </c>
      <c r="C19" s="27" t="s">
        <v>208</v>
      </c>
      <c r="D19" s="31">
        <v>1491524</v>
      </c>
      <c r="E19" s="29">
        <v>13642.224270000001</v>
      </c>
      <c r="F19" s="30">
        <v>2.2920006267078601</v>
      </c>
    </row>
    <row r="20" spans="1:6" x14ac:dyDescent="0.2">
      <c r="A20" s="27" t="s">
        <v>389</v>
      </c>
      <c r="B20" s="27" t="s">
        <v>388</v>
      </c>
      <c r="C20" s="27" t="s">
        <v>127</v>
      </c>
      <c r="D20" s="31">
        <v>5467185</v>
      </c>
      <c r="E20" s="29">
        <v>13052.904189999999</v>
      </c>
      <c r="F20" s="30">
        <v>2.1929902332442501</v>
      </c>
    </row>
    <row r="21" spans="1:6" x14ac:dyDescent="0.2">
      <c r="A21" s="27" t="s">
        <v>391</v>
      </c>
      <c r="B21" s="27" t="s">
        <v>390</v>
      </c>
      <c r="C21" s="27" t="s">
        <v>378</v>
      </c>
      <c r="D21" s="31">
        <v>2829248</v>
      </c>
      <c r="E21" s="29">
        <v>13035.76016</v>
      </c>
      <c r="F21" s="30">
        <v>2.1901099018022001</v>
      </c>
    </row>
    <row r="22" spans="1:6" x14ac:dyDescent="0.2">
      <c r="A22" s="27" t="s">
        <v>393</v>
      </c>
      <c r="B22" s="27" t="s">
        <v>392</v>
      </c>
      <c r="C22" s="27" t="s">
        <v>118</v>
      </c>
      <c r="D22" s="31">
        <v>1708713</v>
      </c>
      <c r="E22" s="29">
        <v>12544.51649</v>
      </c>
      <c r="F22" s="30">
        <v>2.1075771140967401</v>
      </c>
    </row>
    <row r="23" spans="1:6" x14ac:dyDescent="0.2">
      <c r="A23" s="27" t="s">
        <v>288</v>
      </c>
      <c r="B23" s="27" t="s">
        <v>287</v>
      </c>
      <c r="C23" s="27" t="s">
        <v>289</v>
      </c>
      <c r="D23" s="31">
        <v>1150344</v>
      </c>
      <c r="E23" s="29">
        <v>12045.8272</v>
      </c>
      <c r="F23" s="30">
        <v>2.0237934038607102</v>
      </c>
    </row>
    <row r="24" spans="1:6" x14ac:dyDescent="0.2">
      <c r="A24" s="27" t="s">
        <v>264</v>
      </c>
      <c r="B24" s="27" t="s">
        <v>263</v>
      </c>
      <c r="C24" s="27" t="s">
        <v>185</v>
      </c>
      <c r="D24" s="31">
        <v>16272603</v>
      </c>
      <c r="E24" s="29">
        <v>11651.18375</v>
      </c>
      <c r="F24" s="30">
        <v>1.9574902104206799</v>
      </c>
    </row>
    <row r="25" spans="1:6" x14ac:dyDescent="0.2">
      <c r="A25" s="27" t="s">
        <v>117</v>
      </c>
      <c r="B25" s="27" t="s">
        <v>116</v>
      </c>
      <c r="C25" s="27" t="s">
        <v>118</v>
      </c>
      <c r="D25" s="31">
        <v>1261210</v>
      </c>
      <c r="E25" s="29">
        <v>11453.04801</v>
      </c>
      <c r="F25" s="30">
        <v>1.92420185279912</v>
      </c>
    </row>
    <row r="26" spans="1:6" x14ac:dyDescent="0.2">
      <c r="A26" s="27" t="s">
        <v>395</v>
      </c>
      <c r="B26" s="27" t="s">
        <v>394</v>
      </c>
      <c r="C26" s="27" t="s">
        <v>138</v>
      </c>
      <c r="D26" s="31">
        <v>1875900</v>
      </c>
      <c r="E26" s="29">
        <v>11362.326300000001</v>
      </c>
      <c r="F26" s="30">
        <v>1.90895989429876</v>
      </c>
    </row>
    <row r="27" spans="1:6" x14ac:dyDescent="0.2">
      <c r="A27" s="27" t="s">
        <v>397</v>
      </c>
      <c r="B27" s="27" t="s">
        <v>396</v>
      </c>
      <c r="C27" s="27" t="s">
        <v>234</v>
      </c>
      <c r="D27" s="31">
        <v>398284</v>
      </c>
      <c r="E27" s="29">
        <v>11354.67856</v>
      </c>
      <c r="F27" s="30">
        <v>1.90767501402367</v>
      </c>
    </row>
    <row r="28" spans="1:6" x14ac:dyDescent="0.2">
      <c r="A28" s="27" t="s">
        <v>399</v>
      </c>
      <c r="B28" s="27" t="s">
        <v>398</v>
      </c>
      <c r="C28" s="27" t="s">
        <v>378</v>
      </c>
      <c r="D28" s="31">
        <v>2805627</v>
      </c>
      <c r="E28" s="29">
        <v>10349.958000000001</v>
      </c>
      <c r="F28" s="30">
        <v>1.7388740833535601</v>
      </c>
    </row>
    <row r="29" spans="1:6" x14ac:dyDescent="0.2">
      <c r="A29" s="27" t="s">
        <v>401</v>
      </c>
      <c r="B29" s="27" t="s">
        <v>400</v>
      </c>
      <c r="C29" s="27" t="s">
        <v>100</v>
      </c>
      <c r="D29" s="31">
        <v>9949095</v>
      </c>
      <c r="E29" s="29">
        <v>9978.9422849999992</v>
      </c>
      <c r="F29" s="30">
        <v>1.6765405346251201</v>
      </c>
    </row>
    <row r="30" spans="1:6" x14ac:dyDescent="0.2">
      <c r="A30" s="27" t="s">
        <v>403</v>
      </c>
      <c r="B30" s="27" t="s">
        <v>402</v>
      </c>
      <c r="C30" s="27" t="s">
        <v>250</v>
      </c>
      <c r="D30" s="31">
        <v>155642</v>
      </c>
      <c r="E30" s="29">
        <v>9918.4420919999993</v>
      </c>
      <c r="F30" s="30">
        <v>1.6663760279048401</v>
      </c>
    </row>
    <row r="31" spans="1:6" x14ac:dyDescent="0.2">
      <c r="A31" s="27" t="s">
        <v>405</v>
      </c>
      <c r="B31" s="27" t="s">
        <v>404</v>
      </c>
      <c r="C31" s="27" t="s">
        <v>118</v>
      </c>
      <c r="D31" s="31">
        <v>162407</v>
      </c>
      <c r="E31" s="29">
        <v>9682.6241370000007</v>
      </c>
      <c r="F31" s="30">
        <v>1.62675676275044</v>
      </c>
    </row>
    <row r="32" spans="1:6" x14ac:dyDescent="0.2">
      <c r="A32" s="27" t="s">
        <v>407</v>
      </c>
      <c r="B32" s="27" t="s">
        <v>406</v>
      </c>
      <c r="C32" s="27" t="s">
        <v>147</v>
      </c>
      <c r="D32" s="31">
        <v>2367883</v>
      </c>
      <c r="E32" s="29">
        <v>9563.8794369999996</v>
      </c>
      <c r="F32" s="30">
        <v>1.6068067222415201</v>
      </c>
    </row>
    <row r="33" spans="1:6" x14ac:dyDescent="0.2">
      <c r="A33" s="27" t="s">
        <v>409</v>
      </c>
      <c r="B33" s="27" t="s">
        <v>408</v>
      </c>
      <c r="C33" s="27" t="s">
        <v>203</v>
      </c>
      <c r="D33" s="31">
        <v>23086857</v>
      </c>
      <c r="E33" s="29">
        <v>9557.9587979999997</v>
      </c>
      <c r="F33" s="30">
        <v>1.60581200847418</v>
      </c>
    </row>
    <row r="34" spans="1:6" x14ac:dyDescent="0.2">
      <c r="A34" s="27" t="s">
        <v>334</v>
      </c>
      <c r="B34" s="27" t="s">
        <v>333</v>
      </c>
      <c r="C34" s="27" t="s">
        <v>105</v>
      </c>
      <c r="D34" s="31">
        <v>113243</v>
      </c>
      <c r="E34" s="29">
        <v>8835.8416969999998</v>
      </c>
      <c r="F34" s="30">
        <v>1.48449067440931</v>
      </c>
    </row>
    <row r="35" spans="1:6" x14ac:dyDescent="0.2">
      <c r="A35" s="27" t="s">
        <v>411</v>
      </c>
      <c r="B35" s="27" t="s">
        <v>410</v>
      </c>
      <c r="C35" s="27" t="s">
        <v>378</v>
      </c>
      <c r="D35" s="31">
        <v>3270913</v>
      </c>
      <c r="E35" s="29">
        <v>8824.9232740000007</v>
      </c>
      <c r="F35" s="30">
        <v>1.4826562937494301</v>
      </c>
    </row>
    <row r="36" spans="1:6" x14ac:dyDescent="0.2">
      <c r="A36" s="27" t="s">
        <v>271</v>
      </c>
      <c r="B36" s="27" t="s">
        <v>270</v>
      </c>
      <c r="C36" s="27" t="s">
        <v>133</v>
      </c>
      <c r="D36" s="31">
        <v>1275143</v>
      </c>
      <c r="E36" s="29">
        <v>8741.7428369999998</v>
      </c>
      <c r="F36" s="30">
        <v>1.4686813282335001</v>
      </c>
    </row>
    <row r="37" spans="1:6" x14ac:dyDescent="0.2">
      <c r="A37" s="27" t="s">
        <v>413</v>
      </c>
      <c r="B37" s="27" t="s">
        <v>412</v>
      </c>
      <c r="C37" s="27" t="s">
        <v>169</v>
      </c>
      <c r="D37" s="31">
        <v>10177038</v>
      </c>
      <c r="E37" s="29">
        <v>8294.2859700000008</v>
      </c>
      <c r="F37" s="30">
        <v>1.3935050667023099</v>
      </c>
    </row>
    <row r="38" spans="1:6" x14ac:dyDescent="0.2">
      <c r="A38" s="27" t="s">
        <v>161</v>
      </c>
      <c r="B38" s="27" t="s">
        <v>160</v>
      </c>
      <c r="C38" s="27" t="s">
        <v>100</v>
      </c>
      <c r="D38" s="31">
        <v>19398917</v>
      </c>
      <c r="E38" s="29">
        <v>8234.8402669999996</v>
      </c>
      <c r="F38" s="30">
        <v>1.38351772256879</v>
      </c>
    </row>
    <row r="39" spans="1:6" x14ac:dyDescent="0.2">
      <c r="A39" s="27" t="s">
        <v>115</v>
      </c>
      <c r="B39" s="27" t="s">
        <v>114</v>
      </c>
      <c r="C39" s="27" t="s">
        <v>100</v>
      </c>
      <c r="D39" s="31">
        <v>476773</v>
      </c>
      <c r="E39" s="29">
        <v>8166.8831039999995</v>
      </c>
      <c r="F39" s="30">
        <v>1.37210038642898</v>
      </c>
    </row>
    <row r="40" spans="1:6" x14ac:dyDescent="0.2">
      <c r="A40" s="27" t="s">
        <v>415</v>
      </c>
      <c r="B40" s="27" t="s">
        <v>414</v>
      </c>
      <c r="C40" s="27" t="s">
        <v>416</v>
      </c>
      <c r="D40" s="31">
        <v>393330</v>
      </c>
      <c r="E40" s="29">
        <v>8115.774555</v>
      </c>
      <c r="F40" s="30">
        <v>1.36351374952727</v>
      </c>
    </row>
    <row r="41" spans="1:6" x14ac:dyDescent="0.2">
      <c r="A41" s="27" t="s">
        <v>418</v>
      </c>
      <c r="B41" s="27" t="s">
        <v>417</v>
      </c>
      <c r="C41" s="27" t="s">
        <v>250</v>
      </c>
      <c r="D41" s="31">
        <v>3836227</v>
      </c>
      <c r="E41" s="29">
        <v>7833.5755339999996</v>
      </c>
      <c r="F41" s="30">
        <v>1.3161021016766601</v>
      </c>
    </row>
    <row r="42" spans="1:6" x14ac:dyDescent="0.2">
      <c r="A42" s="27" t="s">
        <v>420</v>
      </c>
      <c r="B42" s="27" t="s">
        <v>419</v>
      </c>
      <c r="C42" s="27" t="s">
        <v>113</v>
      </c>
      <c r="D42" s="31">
        <v>1000416</v>
      </c>
      <c r="E42" s="29">
        <v>7795.2414719999997</v>
      </c>
      <c r="F42" s="30">
        <v>1.3096616787376001</v>
      </c>
    </row>
    <row r="43" spans="1:6" x14ac:dyDescent="0.2">
      <c r="A43" s="27" t="s">
        <v>422</v>
      </c>
      <c r="B43" s="27" t="s">
        <v>421</v>
      </c>
      <c r="C43" s="27" t="s">
        <v>185</v>
      </c>
      <c r="D43" s="31">
        <v>454140</v>
      </c>
      <c r="E43" s="29">
        <v>7463.5638300000001</v>
      </c>
      <c r="F43" s="30">
        <v>1.2539372346672399</v>
      </c>
    </row>
    <row r="44" spans="1:6" x14ac:dyDescent="0.2">
      <c r="A44" s="27" t="s">
        <v>424</v>
      </c>
      <c r="B44" s="27" t="s">
        <v>423</v>
      </c>
      <c r="C44" s="27" t="s">
        <v>100</v>
      </c>
      <c r="D44" s="31">
        <v>4308453</v>
      </c>
      <c r="E44" s="29">
        <v>7292.0567030000002</v>
      </c>
      <c r="F44" s="30">
        <v>1.2251226927868999</v>
      </c>
    </row>
    <row r="45" spans="1:6" x14ac:dyDescent="0.2">
      <c r="A45" s="27" t="s">
        <v>426</v>
      </c>
      <c r="B45" s="27" t="s">
        <v>425</v>
      </c>
      <c r="C45" s="27" t="s">
        <v>105</v>
      </c>
      <c r="D45" s="31">
        <v>5000639</v>
      </c>
      <c r="E45" s="29">
        <v>7140.9124920000004</v>
      </c>
      <c r="F45" s="30">
        <v>1.19972928043133</v>
      </c>
    </row>
    <row r="46" spans="1:6" x14ac:dyDescent="0.2">
      <c r="A46" s="27" t="s">
        <v>428</v>
      </c>
      <c r="B46" s="27" t="s">
        <v>427</v>
      </c>
      <c r="C46" s="27" t="s">
        <v>169</v>
      </c>
      <c r="D46" s="31">
        <v>2713308</v>
      </c>
      <c r="E46" s="29">
        <v>6680.1642959999999</v>
      </c>
      <c r="F46" s="30">
        <v>1.1223199714296599</v>
      </c>
    </row>
    <row r="47" spans="1:6" x14ac:dyDescent="0.2">
      <c r="A47" s="27" t="s">
        <v>430</v>
      </c>
      <c r="B47" s="27" t="s">
        <v>429</v>
      </c>
      <c r="C47" s="27" t="s">
        <v>118</v>
      </c>
      <c r="D47" s="31">
        <v>1946602</v>
      </c>
      <c r="E47" s="29">
        <v>6612.6069939999998</v>
      </c>
      <c r="F47" s="30">
        <v>1.11096981507259</v>
      </c>
    </row>
    <row r="48" spans="1:6" x14ac:dyDescent="0.2">
      <c r="A48" s="27" t="s">
        <v>432</v>
      </c>
      <c r="B48" s="27" t="s">
        <v>431</v>
      </c>
      <c r="C48" s="27" t="s">
        <v>147</v>
      </c>
      <c r="D48" s="31">
        <v>1259536</v>
      </c>
      <c r="E48" s="29">
        <v>6381.4391439999999</v>
      </c>
      <c r="F48" s="30">
        <v>1.0721318040130701</v>
      </c>
    </row>
    <row r="49" spans="1:6" x14ac:dyDescent="0.2">
      <c r="A49" s="27" t="s">
        <v>434</v>
      </c>
      <c r="B49" s="27" t="s">
        <v>433</v>
      </c>
      <c r="C49" s="27" t="s">
        <v>185</v>
      </c>
      <c r="D49" s="31">
        <v>1603836</v>
      </c>
      <c r="E49" s="29">
        <v>6380.8615259999997</v>
      </c>
      <c r="F49" s="30">
        <v>1.07203475966079</v>
      </c>
    </row>
    <row r="50" spans="1:6" x14ac:dyDescent="0.2">
      <c r="A50" s="27" t="s">
        <v>276</v>
      </c>
      <c r="B50" s="27" t="s">
        <v>275</v>
      </c>
      <c r="C50" s="27" t="s">
        <v>147</v>
      </c>
      <c r="D50" s="31">
        <v>1041126</v>
      </c>
      <c r="E50" s="29">
        <v>6008.3381460000001</v>
      </c>
      <c r="F50" s="30">
        <v>1.00944791139288</v>
      </c>
    </row>
    <row r="51" spans="1:6" x14ac:dyDescent="0.2">
      <c r="A51" s="27" t="s">
        <v>436</v>
      </c>
      <c r="B51" s="27" t="s">
        <v>435</v>
      </c>
      <c r="C51" s="27" t="s">
        <v>147</v>
      </c>
      <c r="D51" s="31">
        <v>1196703</v>
      </c>
      <c r="E51" s="29">
        <v>5994.8836789999996</v>
      </c>
      <c r="F51" s="30">
        <v>1.00718745545947</v>
      </c>
    </row>
    <row r="52" spans="1:6" x14ac:dyDescent="0.2">
      <c r="A52" s="27" t="s">
        <v>207</v>
      </c>
      <c r="B52" s="27" t="s">
        <v>206</v>
      </c>
      <c r="C52" s="27" t="s">
        <v>208</v>
      </c>
      <c r="D52" s="31">
        <v>3831266</v>
      </c>
      <c r="E52" s="29">
        <v>5631.9610199999997</v>
      </c>
      <c r="F52" s="30">
        <v>0.94621360358520401</v>
      </c>
    </row>
    <row r="53" spans="1:6" x14ac:dyDescent="0.2">
      <c r="A53" s="27" t="s">
        <v>438</v>
      </c>
      <c r="B53" s="27" t="s">
        <v>437</v>
      </c>
      <c r="C53" s="27" t="s">
        <v>169</v>
      </c>
      <c r="D53" s="31">
        <v>24421468</v>
      </c>
      <c r="E53" s="29">
        <v>5555.8839699999999</v>
      </c>
      <c r="F53" s="30">
        <v>0.93343206277286495</v>
      </c>
    </row>
    <row r="54" spans="1:6" x14ac:dyDescent="0.2">
      <c r="A54" s="27" t="s">
        <v>440</v>
      </c>
      <c r="B54" s="27" t="s">
        <v>439</v>
      </c>
      <c r="C54" s="27" t="s">
        <v>196</v>
      </c>
      <c r="D54" s="31">
        <v>6313159</v>
      </c>
      <c r="E54" s="29">
        <v>5517.7009660000003</v>
      </c>
      <c r="F54" s="30">
        <v>0.92701701876204001</v>
      </c>
    </row>
    <row r="55" spans="1:6" x14ac:dyDescent="0.2">
      <c r="A55" s="27" t="s">
        <v>442</v>
      </c>
      <c r="B55" s="27" t="s">
        <v>441</v>
      </c>
      <c r="C55" s="27" t="s">
        <v>100</v>
      </c>
      <c r="D55" s="31">
        <v>13370612</v>
      </c>
      <c r="E55" s="29">
        <v>5274.7064339999997</v>
      </c>
      <c r="F55" s="30">
        <v>0.88619203241026701</v>
      </c>
    </row>
    <row r="56" spans="1:6" x14ac:dyDescent="0.2">
      <c r="A56" s="27" t="s">
        <v>444</v>
      </c>
      <c r="B56" s="27" t="s">
        <v>443</v>
      </c>
      <c r="C56" s="27" t="s">
        <v>378</v>
      </c>
      <c r="D56" s="31">
        <v>1915648</v>
      </c>
      <c r="E56" s="29">
        <v>5257.4959360000003</v>
      </c>
      <c r="F56" s="30">
        <v>0.883300533823141</v>
      </c>
    </row>
    <row r="57" spans="1:6" x14ac:dyDescent="0.2">
      <c r="A57" s="27" t="s">
        <v>446</v>
      </c>
      <c r="B57" s="27" t="s">
        <v>445</v>
      </c>
      <c r="C57" s="27" t="s">
        <v>185</v>
      </c>
      <c r="D57" s="31">
        <v>1054022</v>
      </c>
      <c r="E57" s="29">
        <v>5102.5205020000003</v>
      </c>
      <c r="F57" s="30">
        <v>0.857263445968382</v>
      </c>
    </row>
    <row r="58" spans="1:6" x14ac:dyDescent="0.2">
      <c r="A58" s="27" t="s">
        <v>448</v>
      </c>
      <c r="B58" s="27" t="s">
        <v>447</v>
      </c>
      <c r="C58" s="27" t="s">
        <v>196</v>
      </c>
      <c r="D58" s="31">
        <v>2017424</v>
      </c>
      <c r="E58" s="29">
        <v>5022.3770480000003</v>
      </c>
      <c r="F58" s="30">
        <v>0.84379871740513201</v>
      </c>
    </row>
    <row r="59" spans="1:6" x14ac:dyDescent="0.2">
      <c r="A59" s="27" t="s">
        <v>450</v>
      </c>
      <c r="B59" s="27" t="s">
        <v>449</v>
      </c>
      <c r="C59" s="27" t="s">
        <v>127</v>
      </c>
      <c r="D59" s="31">
        <v>1297102</v>
      </c>
      <c r="E59" s="29">
        <v>4863.4839490000004</v>
      </c>
      <c r="F59" s="30">
        <v>0.81710343111751305</v>
      </c>
    </row>
    <row r="60" spans="1:6" x14ac:dyDescent="0.2">
      <c r="A60" s="27" t="s">
        <v>452</v>
      </c>
      <c r="B60" s="27" t="s">
        <v>451</v>
      </c>
      <c r="C60" s="27" t="s">
        <v>180</v>
      </c>
      <c r="D60" s="31">
        <v>1488061</v>
      </c>
      <c r="E60" s="29">
        <v>4735.7541330000004</v>
      </c>
      <c r="F60" s="30">
        <v>0.79564382068103401</v>
      </c>
    </row>
    <row r="61" spans="1:6" x14ac:dyDescent="0.2">
      <c r="A61" s="27" t="s">
        <v>454</v>
      </c>
      <c r="B61" s="27" t="s">
        <v>453</v>
      </c>
      <c r="C61" s="27" t="s">
        <v>416</v>
      </c>
      <c r="D61" s="31">
        <v>969179</v>
      </c>
      <c r="E61" s="29">
        <v>4318.6616240000003</v>
      </c>
      <c r="F61" s="30">
        <v>0.72556900933774005</v>
      </c>
    </row>
    <row r="62" spans="1:6" x14ac:dyDescent="0.2">
      <c r="A62" s="27" t="s">
        <v>456</v>
      </c>
      <c r="B62" s="27" t="s">
        <v>455</v>
      </c>
      <c r="C62" s="27" t="s">
        <v>166</v>
      </c>
      <c r="D62" s="31">
        <v>988899</v>
      </c>
      <c r="E62" s="29">
        <v>3486.8578739999998</v>
      </c>
      <c r="F62" s="30">
        <v>0.58581945834329996</v>
      </c>
    </row>
    <row r="63" spans="1:6" x14ac:dyDescent="0.2">
      <c r="A63" s="27" t="s">
        <v>458</v>
      </c>
      <c r="B63" s="27" t="s">
        <v>457</v>
      </c>
      <c r="C63" s="27" t="s">
        <v>169</v>
      </c>
      <c r="D63" s="31">
        <v>11046869</v>
      </c>
      <c r="E63" s="29">
        <v>1889.0145990000001</v>
      </c>
      <c r="F63" s="30">
        <v>0.31736926171851398</v>
      </c>
    </row>
    <row r="64" spans="1:6" x14ac:dyDescent="0.2">
      <c r="A64" s="27" t="s">
        <v>460</v>
      </c>
      <c r="B64" s="27" t="s">
        <v>459</v>
      </c>
      <c r="C64" s="27" t="s">
        <v>245</v>
      </c>
      <c r="D64" s="31">
        <v>7989354</v>
      </c>
      <c r="E64" s="29">
        <v>1625.833539</v>
      </c>
      <c r="F64" s="30">
        <v>0.27315278040878099</v>
      </c>
    </row>
    <row r="65" spans="1:9" x14ac:dyDescent="0.2">
      <c r="A65" s="27" t="s">
        <v>462</v>
      </c>
      <c r="B65" s="27" t="s">
        <v>461</v>
      </c>
      <c r="C65" s="27" t="s">
        <v>138</v>
      </c>
      <c r="D65" s="31">
        <v>100000</v>
      </c>
      <c r="E65" s="29">
        <v>300.55</v>
      </c>
      <c r="F65" s="30">
        <v>5.0494756186635098E-2</v>
      </c>
    </row>
    <row r="66" spans="1:9" ht="10.5" x14ac:dyDescent="0.25">
      <c r="A66" s="26" t="s">
        <v>40</v>
      </c>
      <c r="B66" s="26"/>
      <c r="C66" s="26"/>
      <c r="D66" s="32"/>
      <c r="E66" s="33">
        <f>SUM(E7:E65)</f>
        <v>581537.01773300034</v>
      </c>
      <c r="F66" s="34">
        <f>SUM(F7:F65)</f>
        <v>97.702777986793393</v>
      </c>
      <c r="G66" s="18"/>
      <c r="H66" s="18"/>
      <c r="I66" s="18"/>
    </row>
    <row r="67" spans="1:9" x14ac:dyDescent="0.2">
      <c r="A67" s="27"/>
      <c r="B67" s="27"/>
      <c r="C67" s="27"/>
      <c r="D67" s="28"/>
      <c r="E67" s="29"/>
      <c r="F67" s="30"/>
    </row>
    <row r="68" spans="1:9" ht="10.5" x14ac:dyDescent="0.25">
      <c r="A68" s="26" t="s">
        <v>44</v>
      </c>
      <c r="B68" s="26"/>
      <c r="C68" s="26"/>
      <c r="D68" s="32"/>
      <c r="E68" s="33">
        <f>E66</f>
        <v>581537.01773300034</v>
      </c>
      <c r="F68" s="34">
        <f>F66</f>
        <v>97.702777986793393</v>
      </c>
      <c r="G68" s="18"/>
      <c r="H68" s="18"/>
      <c r="I68" s="18"/>
    </row>
    <row r="69" spans="1:9" ht="10.5" x14ac:dyDescent="0.25">
      <c r="A69" s="26"/>
      <c r="B69" s="26"/>
      <c r="C69" s="26"/>
      <c r="D69" s="32"/>
      <c r="E69" s="33"/>
      <c r="F69" s="34"/>
      <c r="G69" s="18"/>
      <c r="H69" s="18"/>
      <c r="I69" s="18"/>
    </row>
    <row r="70" spans="1:9" ht="10.5" x14ac:dyDescent="0.25">
      <c r="A70" s="26" t="s">
        <v>46</v>
      </c>
      <c r="B70" s="26"/>
      <c r="C70" s="26"/>
      <c r="D70" s="32"/>
      <c r="E70" s="33">
        <f>E72-(E66)</f>
        <v>13673.302501299651</v>
      </c>
      <c r="F70" s="34">
        <f>F72-(F66)</f>
        <v>2.297222013206607</v>
      </c>
      <c r="G70" s="18"/>
      <c r="H70" s="18"/>
      <c r="I70" s="18"/>
    </row>
    <row r="71" spans="1:9" ht="10.5" x14ac:dyDescent="0.25">
      <c r="A71" s="26"/>
      <c r="B71" s="26"/>
      <c r="C71" s="26"/>
      <c r="D71" s="32"/>
      <c r="E71" s="33"/>
      <c r="F71" s="34"/>
      <c r="G71" s="18"/>
      <c r="H71" s="18"/>
      <c r="I71" s="18"/>
    </row>
    <row r="72" spans="1:9" ht="10.5" x14ac:dyDescent="0.25">
      <c r="A72" s="35" t="s">
        <v>45</v>
      </c>
      <c r="B72" s="35"/>
      <c r="C72" s="35"/>
      <c r="D72" s="36"/>
      <c r="E72" s="37">
        <v>595210.32023429999</v>
      </c>
      <c r="F72" s="38">
        <v>100</v>
      </c>
      <c r="G72" s="18"/>
      <c r="H72" s="18"/>
      <c r="I72" s="18"/>
    </row>
    <row r="75" spans="1:9" ht="10.5" x14ac:dyDescent="0.25">
      <c r="A75" s="18" t="s">
        <v>48</v>
      </c>
    </row>
    <row r="76" spans="1:9" ht="10.5" x14ac:dyDescent="0.25">
      <c r="A76" s="18" t="s">
        <v>49</v>
      </c>
    </row>
    <row r="77" spans="1:9" ht="10.5" x14ac:dyDescent="0.25">
      <c r="A77" s="18" t="s">
        <v>50</v>
      </c>
      <c r="B77" s="18"/>
      <c r="C77" s="39" t="s">
        <v>727</v>
      </c>
      <c r="D77" s="19" t="s">
        <v>51</v>
      </c>
    </row>
    <row r="78" spans="1:9" x14ac:dyDescent="0.2">
      <c r="A78" s="9" t="s">
        <v>71</v>
      </c>
      <c r="C78" s="40">
        <v>41.599400000000003</v>
      </c>
      <c r="D78" s="40">
        <v>59.811799999999998</v>
      </c>
    </row>
    <row r="79" spans="1:9" x14ac:dyDescent="0.2">
      <c r="A79" s="9" t="s">
        <v>77</v>
      </c>
      <c r="C79" s="40">
        <v>17.528199999999998</v>
      </c>
      <c r="D79" s="40">
        <v>25.202300000000001</v>
      </c>
    </row>
    <row r="80" spans="1:9" x14ac:dyDescent="0.2">
      <c r="A80" s="9" t="s">
        <v>74</v>
      </c>
      <c r="C80" s="40">
        <v>45.163899999999998</v>
      </c>
      <c r="D80" s="40">
        <v>65.205699999999993</v>
      </c>
    </row>
    <row r="81" spans="1:4" x14ac:dyDescent="0.2">
      <c r="A81" s="9" t="s">
        <v>78</v>
      </c>
      <c r="C81" s="40">
        <v>19.6066</v>
      </c>
      <c r="D81" s="40">
        <v>28.307099999999998</v>
      </c>
    </row>
    <row r="83" spans="1:4" ht="10.5" x14ac:dyDescent="0.25">
      <c r="A83" s="18" t="s">
        <v>52</v>
      </c>
      <c r="D83" s="41" t="s">
        <v>53</v>
      </c>
    </row>
    <row r="85" spans="1:4" ht="10.5" x14ac:dyDescent="0.25">
      <c r="A85" s="18" t="s">
        <v>222</v>
      </c>
      <c r="D85" s="45">
        <v>5.6300000000000003E-2</v>
      </c>
    </row>
    <row r="87" spans="1:4" ht="10.5" x14ac:dyDescent="0.25">
      <c r="A87" s="18" t="s">
        <v>726</v>
      </c>
    </row>
    <row r="88" spans="1:4" x14ac:dyDescent="0.2">
      <c r="A88" s="46" t="s">
        <v>55</v>
      </c>
    </row>
  </sheetData>
  <mergeCells count="1">
    <mergeCell ref="A1:F1"/>
  </mergeCells>
  <conditionalFormatting sqref="F2:F3 F5:F65534">
    <cfRule type="cellIs" dxfId="19" priority="1" stopIfTrue="1" operator="between">
      <formula>0.009</formula>
      <formula>-0.009</formula>
    </cfRule>
  </conditionalFormatting>
  <hyperlinks>
    <hyperlink ref="A88" r:id="rId1" xr:uid="{00000000-0004-0000-2A00-000000000000}"/>
  </hyperlinks>
  <pageMargins left="0.7" right="0.7" top="0.75" bottom="0.75" header="0.3" footer="0.3"/>
  <pageSetup paperSize="9" scale="54" orientation="portrait" r:id="rId2"/>
  <headerFooter>
    <oddFooter>&amp;R&amp;1#&amp;"Calibri"&amp;10&amp;KFF0000|PUBLIC|&amp;LPUBLIC</oddFooter>
    <evenFooter>&amp;LPUBLIC</evenFooter>
    <firstFooter>&amp;LPUBLIC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87"/>
  <sheetViews>
    <sheetView zoomScaleNormal="100" workbookViewId="0">
      <selection sqref="A1:F1"/>
    </sheetView>
  </sheetViews>
  <sheetFormatPr defaultColWidth="9.1796875" defaultRowHeight="10" x14ac:dyDescent="0.2"/>
  <cols>
    <col min="1" max="1" width="38.7265625" style="9" bestFit="1" customWidth="1"/>
    <col min="2" max="2" width="36.26953125" style="9" customWidth="1"/>
    <col min="3" max="3" width="35.7265625" style="9" bestFit="1" customWidth="1"/>
    <col min="4" max="4" width="15.1796875" style="10" bestFit="1" customWidth="1"/>
    <col min="5" max="5" width="23" style="13" bestFit="1" customWidth="1"/>
    <col min="6" max="6" width="14.7265625" style="14" bestFit="1" customWidth="1"/>
    <col min="7" max="16384" width="9.1796875" style="9"/>
  </cols>
  <sheetData>
    <row r="1" spans="1:6" s="1" customFormat="1" ht="14" x14ac:dyDescent="0.25">
      <c r="A1" s="75" t="s">
        <v>14</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464</v>
      </c>
      <c r="B7" s="27" t="s">
        <v>463</v>
      </c>
      <c r="C7" s="27" t="s">
        <v>118</v>
      </c>
      <c r="D7" s="31">
        <v>7341052</v>
      </c>
      <c r="E7" s="29">
        <v>31401.34993</v>
      </c>
      <c r="F7" s="30">
        <v>4.5938223806354497</v>
      </c>
    </row>
    <row r="8" spans="1:6" x14ac:dyDescent="0.2">
      <c r="A8" s="27" t="s">
        <v>99</v>
      </c>
      <c r="B8" s="27" t="s">
        <v>98</v>
      </c>
      <c r="C8" s="27" t="s">
        <v>100</v>
      </c>
      <c r="D8" s="31">
        <v>1888900</v>
      </c>
      <c r="E8" s="29">
        <v>26265.154500000001</v>
      </c>
      <c r="F8" s="30">
        <v>3.8424289032770198</v>
      </c>
    </row>
    <row r="9" spans="1:6" x14ac:dyDescent="0.2">
      <c r="A9" s="27" t="s">
        <v>110</v>
      </c>
      <c r="B9" s="27" t="s">
        <v>109</v>
      </c>
      <c r="C9" s="27" t="s">
        <v>100</v>
      </c>
      <c r="D9" s="31">
        <v>4707830</v>
      </c>
      <c r="E9" s="29">
        <v>25281.0471</v>
      </c>
      <c r="F9" s="30">
        <v>3.6984601054658799</v>
      </c>
    </row>
    <row r="10" spans="1:6" x14ac:dyDescent="0.2">
      <c r="A10" s="27" t="s">
        <v>117</v>
      </c>
      <c r="B10" s="27" t="s">
        <v>116</v>
      </c>
      <c r="C10" s="27" t="s">
        <v>118</v>
      </c>
      <c r="D10" s="31">
        <v>2622087</v>
      </c>
      <c r="E10" s="29">
        <v>23811.172050000001</v>
      </c>
      <c r="F10" s="30">
        <v>3.4834265188054401</v>
      </c>
    </row>
    <row r="11" spans="1:6" x14ac:dyDescent="0.2">
      <c r="A11" s="27" t="s">
        <v>466</v>
      </c>
      <c r="B11" s="27" t="s">
        <v>465</v>
      </c>
      <c r="C11" s="27" t="s">
        <v>180</v>
      </c>
      <c r="D11" s="31">
        <v>2918543</v>
      </c>
      <c r="E11" s="29">
        <v>22793.820830000001</v>
      </c>
      <c r="F11" s="30">
        <v>3.3345943566907201</v>
      </c>
    </row>
    <row r="12" spans="1:6" x14ac:dyDescent="0.2">
      <c r="A12" s="27" t="s">
        <v>157</v>
      </c>
      <c r="B12" s="27" t="s">
        <v>156</v>
      </c>
      <c r="C12" s="27" t="s">
        <v>127</v>
      </c>
      <c r="D12" s="31">
        <v>4123612</v>
      </c>
      <c r="E12" s="29">
        <v>22626.259040000001</v>
      </c>
      <c r="F12" s="30">
        <v>3.3100811079687</v>
      </c>
    </row>
    <row r="13" spans="1:6" x14ac:dyDescent="0.2">
      <c r="A13" s="27" t="s">
        <v>424</v>
      </c>
      <c r="B13" s="27" t="s">
        <v>423</v>
      </c>
      <c r="C13" s="27" t="s">
        <v>100</v>
      </c>
      <c r="D13" s="31">
        <v>12388196</v>
      </c>
      <c r="E13" s="29">
        <v>20967.02173</v>
      </c>
      <c r="F13" s="30">
        <v>3.0673449992837201</v>
      </c>
    </row>
    <row r="14" spans="1:6" x14ac:dyDescent="0.2">
      <c r="A14" s="27" t="s">
        <v>291</v>
      </c>
      <c r="B14" s="27" t="s">
        <v>290</v>
      </c>
      <c r="C14" s="27" t="s">
        <v>130</v>
      </c>
      <c r="D14" s="31">
        <v>18234302</v>
      </c>
      <c r="E14" s="29">
        <v>20203.606619999999</v>
      </c>
      <c r="F14" s="30">
        <v>2.9556621122151401</v>
      </c>
    </row>
    <row r="15" spans="1:6" x14ac:dyDescent="0.2">
      <c r="A15" s="27" t="s">
        <v>326</v>
      </c>
      <c r="B15" s="27" t="s">
        <v>325</v>
      </c>
      <c r="C15" s="27" t="s">
        <v>105</v>
      </c>
      <c r="D15" s="31">
        <v>458016</v>
      </c>
      <c r="E15" s="29">
        <v>19987.818240000001</v>
      </c>
      <c r="F15" s="30">
        <v>2.92409361303485</v>
      </c>
    </row>
    <row r="16" spans="1:6" x14ac:dyDescent="0.2">
      <c r="A16" s="27" t="s">
        <v>115</v>
      </c>
      <c r="B16" s="27" t="s">
        <v>114</v>
      </c>
      <c r="C16" s="27" t="s">
        <v>100</v>
      </c>
      <c r="D16" s="31">
        <v>1114692</v>
      </c>
      <c r="E16" s="29">
        <v>19094.116610000001</v>
      </c>
      <c r="F16" s="30">
        <v>2.7933506176331799</v>
      </c>
    </row>
    <row r="17" spans="1:6" x14ac:dyDescent="0.2">
      <c r="A17" s="27" t="s">
        <v>112</v>
      </c>
      <c r="B17" s="27" t="s">
        <v>111</v>
      </c>
      <c r="C17" s="27" t="s">
        <v>113</v>
      </c>
      <c r="D17" s="31">
        <v>1086879</v>
      </c>
      <c r="E17" s="29">
        <v>17263.442599999998</v>
      </c>
      <c r="F17" s="30">
        <v>2.5255343849701601</v>
      </c>
    </row>
    <row r="18" spans="1:6" x14ac:dyDescent="0.2">
      <c r="A18" s="27" t="s">
        <v>218</v>
      </c>
      <c r="B18" s="27" t="s">
        <v>217</v>
      </c>
      <c r="C18" s="27" t="s">
        <v>100</v>
      </c>
      <c r="D18" s="31">
        <v>23869927</v>
      </c>
      <c r="E18" s="29">
        <v>17257.95722</v>
      </c>
      <c r="F18" s="30">
        <v>2.52473190795989</v>
      </c>
    </row>
    <row r="19" spans="1:6" x14ac:dyDescent="0.2">
      <c r="A19" s="27" t="s">
        <v>468</v>
      </c>
      <c r="B19" s="27" t="s">
        <v>467</v>
      </c>
      <c r="C19" s="27" t="s">
        <v>250</v>
      </c>
      <c r="D19" s="31">
        <v>1411117</v>
      </c>
      <c r="E19" s="29">
        <v>16358.373820000001</v>
      </c>
      <c r="F19" s="30">
        <v>2.3931284461539399</v>
      </c>
    </row>
    <row r="20" spans="1:6" x14ac:dyDescent="0.2">
      <c r="A20" s="27" t="s">
        <v>278</v>
      </c>
      <c r="B20" s="27" t="s">
        <v>277</v>
      </c>
      <c r="C20" s="27" t="s">
        <v>127</v>
      </c>
      <c r="D20" s="31">
        <v>2875310</v>
      </c>
      <c r="E20" s="29">
        <v>16095.98538</v>
      </c>
      <c r="F20" s="30">
        <v>2.3547426477478499</v>
      </c>
    </row>
    <row r="21" spans="1:6" x14ac:dyDescent="0.2">
      <c r="A21" s="27" t="s">
        <v>202</v>
      </c>
      <c r="B21" s="27" t="s">
        <v>201</v>
      </c>
      <c r="C21" s="27" t="s">
        <v>203</v>
      </c>
      <c r="D21" s="31">
        <v>12640848</v>
      </c>
      <c r="E21" s="29">
        <v>15371.27117</v>
      </c>
      <c r="F21" s="30">
        <v>2.2487214618789602</v>
      </c>
    </row>
    <row r="22" spans="1:6" x14ac:dyDescent="0.2">
      <c r="A22" s="27" t="s">
        <v>470</v>
      </c>
      <c r="B22" s="27" t="s">
        <v>469</v>
      </c>
      <c r="C22" s="27" t="s">
        <v>127</v>
      </c>
      <c r="D22" s="31">
        <v>3166673</v>
      </c>
      <c r="E22" s="29">
        <v>15296.61393</v>
      </c>
      <c r="F22" s="30">
        <v>2.2377995715540902</v>
      </c>
    </row>
    <row r="23" spans="1:6" x14ac:dyDescent="0.2">
      <c r="A23" s="27" t="s">
        <v>244</v>
      </c>
      <c r="B23" s="27" t="s">
        <v>243</v>
      </c>
      <c r="C23" s="27" t="s">
        <v>245</v>
      </c>
      <c r="D23" s="31">
        <v>11687252</v>
      </c>
      <c r="E23" s="29">
        <v>15199.27123</v>
      </c>
      <c r="F23" s="30">
        <v>2.2235589393886399</v>
      </c>
    </row>
    <row r="24" spans="1:6" x14ac:dyDescent="0.2">
      <c r="A24" s="27" t="s">
        <v>255</v>
      </c>
      <c r="B24" s="27" t="s">
        <v>254</v>
      </c>
      <c r="C24" s="27" t="s">
        <v>147</v>
      </c>
      <c r="D24" s="31">
        <v>4066330</v>
      </c>
      <c r="E24" s="29">
        <v>14886.834129999999</v>
      </c>
      <c r="F24" s="30">
        <v>2.1778513330048299</v>
      </c>
    </row>
    <row r="25" spans="1:6" x14ac:dyDescent="0.2">
      <c r="A25" s="27" t="s">
        <v>155</v>
      </c>
      <c r="B25" s="27" t="s">
        <v>154</v>
      </c>
      <c r="C25" s="27" t="s">
        <v>133</v>
      </c>
      <c r="D25" s="31">
        <v>3864460</v>
      </c>
      <c r="E25" s="29">
        <v>14824.06856</v>
      </c>
      <c r="F25" s="30">
        <v>2.1686691201113701</v>
      </c>
    </row>
    <row r="26" spans="1:6" x14ac:dyDescent="0.2">
      <c r="A26" s="27" t="s">
        <v>472</v>
      </c>
      <c r="B26" s="27" t="s">
        <v>471</v>
      </c>
      <c r="C26" s="27" t="s">
        <v>113</v>
      </c>
      <c r="D26" s="31">
        <v>7460107</v>
      </c>
      <c r="E26" s="29">
        <v>14670.30042</v>
      </c>
      <c r="F26" s="30">
        <v>2.1461737966766998</v>
      </c>
    </row>
    <row r="27" spans="1:6" x14ac:dyDescent="0.2">
      <c r="A27" s="27" t="s">
        <v>200</v>
      </c>
      <c r="B27" s="27" t="s">
        <v>199</v>
      </c>
      <c r="C27" s="27" t="s">
        <v>185</v>
      </c>
      <c r="D27" s="31">
        <v>2871672</v>
      </c>
      <c r="E27" s="29">
        <v>14354.05249</v>
      </c>
      <c r="F27" s="30">
        <v>2.0999086895426999</v>
      </c>
    </row>
    <row r="28" spans="1:6" x14ac:dyDescent="0.2">
      <c r="A28" s="27" t="s">
        <v>474</v>
      </c>
      <c r="B28" s="27" t="s">
        <v>473</v>
      </c>
      <c r="C28" s="27" t="s">
        <v>416</v>
      </c>
      <c r="D28" s="31">
        <v>537865</v>
      </c>
      <c r="E28" s="29">
        <v>13776.06731</v>
      </c>
      <c r="F28" s="30">
        <v>2.0153530490534002</v>
      </c>
    </row>
    <row r="29" spans="1:6" x14ac:dyDescent="0.2">
      <c r="A29" s="27" t="s">
        <v>476</v>
      </c>
      <c r="B29" s="27" t="s">
        <v>475</v>
      </c>
      <c r="C29" s="27" t="s">
        <v>378</v>
      </c>
      <c r="D29" s="31">
        <v>2606125</v>
      </c>
      <c r="E29" s="29">
        <v>13732.975689999999</v>
      </c>
      <c r="F29" s="30">
        <v>2.0090490127997001</v>
      </c>
    </row>
    <row r="30" spans="1:6" x14ac:dyDescent="0.2">
      <c r="A30" s="27" t="s">
        <v>478</v>
      </c>
      <c r="B30" s="27" t="s">
        <v>477</v>
      </c>
      <c r="C30" s="27" t="s">
        <v>479</v>
      </c>
      <c r="D30" s="31">
        <v>1586228</v>
      </c>
      <c r="E30" s="29">
        <v>13402.040370000001</v>
      </c>
      <c r="F30" s="30">
        <v>1.96063523176966</v>
      </c>
    </row>
    <row r="31" spans="1:6" x14ac:dyDescent="0.2">
      <c r="A31" s="27" t="s">
        <v>481</v>
      </c>
      <c r="B31" s="27" t="s">
        <v>480</v>
      </c>
      <c r="C31" s="27" t="s">
        <v>166</v>
      </c>
      <c r="D31" s="31">
        <v>2131049</v>
      </c>
      <c r="E31" s="29">
        <v>13245.53506</v>
      </c>
      <c r="F31" s="30">
        <v>1.9377394773715499</v>
      </c>
    </row>
    <row r="32" spans="1:6" x14ac:dyDescent="0.2">
      <c r="A32" s="27" t="s">
        <v>282</v>
      </c>
      <c r="B32" s="27" t="s">
        <v>281</v>
      </c>
      <c r="C32" s="27" t="s">
        <v>180</v>
      </c>
      <c r="D32" s="31">
        <v>607739</v>
      </c>
      <c r="E32" s="29">
        <v>12950.31035</v>
      </c>
      <c r="F32" s="30">
        <v>1.89454993669455</v>
      </c>
    </row>
    <row r="33" spans="1:6" x14ac:dyDescent="0.2">
      <c r="A33" s="27" t="s">
        <v>483</v>
      </c>
      <c r="B33" s="27" t="s">
        <v>482</v>
      </c>
      <c r="C33" s="27" t="s">
        <v>105</v>
      </c>
      <c r="D33" s="31">
        <v>814481</v>
      </c>
      <c r="E33" s="29">
        <v>12472.55479</v>
      </c>
      <c r="F33" s="30">
        <v>1.82465726682865</v>
      </c>
    </row>
    <row r="34" spans="1:6" x14ac:dyDescent="0.2">
      <c r="A34" s="27" t="s">
        <v>485</v>
      </c>
      <c r="B34" s="27" t="s">
        <v>484</v>
      </c>
      <c r="C34" s="27" t="s">
        <v>185</v>
      </c>
      <c r="D34" s="31">
        <v>709058</v>
      </c>
      <c r="E34" s="29">
        <v>12056.113170000001</v>
      </c>
      <c r="F34" s="30">
        <v>1.7637344454070001</v>
      </c>
    </row>
    <row r="35" spans="1:6" x14ac:dyDescent="0.2">
      <c r="A35" s="27" t="s">
        <v>135</v>
      </c>
      <c r="B35" s="27" t="s">
        <v>134</v>
      </c>
      <c r="C35" s="27" t="s">
        <v>121</v>
      </c>
      <c r="D35" s="31">
        <v>5901482</v>
      </c>
      <c r="E35" s="29">
        <v>11684.934359999999</v>
      </c>
      <c r="F35" s="30">
        <v>1.70943329184524</v>
      </c>
    </row>
    <row r="36" spans="1:6" x14ac:dyDescent="0.2">
      <c r="A36" s="27" t="s">
        <v>487</v>
      </c>
      <c r="B36" s="27" t="s">
        <v>486</v>
      </c>
      <c r="C36" s="27" t="s">
        <v>147</v>
      </c>
      <c r="D36" s="31">
        <v>254692</v>
      </c>
      <c r="E36" s="29">
        <v>10948.445</v>
      </c>
      <c r="F36" s="30">
        <v>1.6016894746969299</v>
      </c>
    </row>
    <row r="37" spans="1:6" x14ac:dyDescent="0.2">
      <c r="A37" s="27" t="s">
        <v>375</v>
      </c>
      <c r="B37" s="27" t="s">
        <v>374</v>
      </c>
      <c r="C37" s="27" t="s">
        <v>250</v>
      </c>
      <c r="D37" s="31">
        <v>1125123</v>
      </c>
      <c r="E37" s="29">
        <v>10931.132509999999</v>
      </c>
      <c r="F37" s="30">
        <v>1.5991567649820999</v>
      </c>
    </row>
    <row r="38" spans="1:6" x14ac:dyDescent="0.2">
      <c r="A38" s="27" t="s">
        <v>489</v>
      </c>
      <c r="B38" s="27" t="s">
        <v>488</v>
      </c>
      <c r="C38" s="27" t="s">
        <v>113</v>
      </c>
      <c r="D38" s="31">
        <v>1950821</v>
      </c>
      <c r="E38" s="29">
        <v>10910.941849999999</v>
      </c>
      <c r="F38" s="30">
        <v>1.59620299687995</v>
      </c>
    </row>
    <row r="39" spans="1:6" x14ac:dyDescent="0.2">
      <c r="A39" s="27" t="s">
        <v>257</v>
      </c>
      <c r="B39" s="27" t="s">
        <v>256</v>
      </c>
      <c r="C39" s="27" t="s">
        <v>113</v>
      </c>
      <c r="D39" s="31">
        <v>68736</v>
      </c>
      <c r="E39" s="29">
        <v>10535.510399999999</v>
      </c>
      <c r="F39" s="30">
        <v>1.5412797085102099</v>
      </c>
    </row>
    <row r="40" spans="1:6" x14ac:dyDescent="0.2">
      <c r="A40" s="27" t="s">
        <v>491</v>
      </c>
      <c r="B40" s="27" t="s">
        <v>490</v>
      </c>
      <c r="C40" s="27" t="s">
        <v>492</v>
      </c>
      <c r="D40" s="31">
        <v>511704</v>
      </c>
      <c r="E40" s="29">
        <v>10329.76865</v>
      </c>
      <c r="F40" s="30">
        <v>1.5111809688736</v>
      </c>
    </row>
    <row r="41" spans="1:6" x14ac:dyDescent="0.2">
      <c r="A41" s="27" t="s">
        <v>494</v>
      </c>
      <c r="B41" s="27" t="s">
        <v>493</v>
      </c>
      <c r="C41" s="27" t="s">
        <v>100</v>
      </c>
      <c r="D41" s="31">
        <v>4734341</v>
      </c>
      <c r="E41" s="29">
        <v>10122.021059999999</v>
      </c>
      <c r="F41" s="30">
        <v>1.4807887873084</v>
      </c>
    </row>
    <row r="42" spans="1:6" x14ac:dyDescent="0.2">
      <c r="A42" s="27" t="s">
        <v>159</v>
      </c>
      <c r="B42" s="27" t="s">
        <v>158</v>
      </c>
      <c r="C42" s="27" t="s">
        <v>130</v>
      </c>
      <c r="D42" s="31">
        <v>1763341</v>
      </c>
      <c r="E42" s="29">
        <v>9887.0529869999991</v>
      </c>
      <c r="F42" s="30">
        <v>1.4464144182163601</v>
      </c>
    </row>
    <row r="43" spans="1:6" x14ac:dyDescent="0.2">
      <c r="A43" s="27" t="s">
        <v>261</v>
      </c>
      <c r="B43" s="27" t="s">
        <v>260</v>
      </c>
      <c r="C43" s="27" t="s">
        <v>262</v>
      </c>
      <c r="D43" s="31">
        <v>1990126</v>
      </c>
      <c r="E43" s="29">
        <v>8627.1962100000001</v>
      </c>
      <c r="F43" s="30">
        <v>1.2621051999349899</v>
      </c>
    </row>
    <row r="44" spans="1:6" x14ac:dyDescent="0.2">
      <c r="A44" s="27" t="s">
        <v>496</v>
      </c>
      <c r="B44" s="27" t="s">
        <v>495</v>
      </c>
      <c r="C44" s="27" t="s">
        <v>378</v>
      </c>
      <c r="D44" s="31">
        <v>1043511</v>
      </c>
      <c r="E44" s="29">
        <v>8605.8352169999998</v>
      </c>
      <c r="F44" s="30">
        <v>1.25898021938687</v>
      </c>
    </row>
    <row r="45" spans="1:6" x14ac:dyDescent="0.2">
      <c r="A45" s="27" t="s">
        <v>498</v>
      </c>
      <c r="B45" s="27" t="s">
        <v>497</v>
      </c>
      <c r="C45" s="27" t="s">
        <v>138</v>
      </c>
      <c r="D45" s="31">
        <v>440458</v>
      </c>
      <c r="E45" s="29">
        <v>8157.5023890000002</v>
      </c>
      <c r="F45" s="30">
        <v>1.1933919123927099</v>
      </c>
    </row>
    <row r="46" spans="1:6" x14ac:dyDescent="0.2">
      <c r="A46" s="27" t="s">
        <v>264</v>
      </c>
      <c r="B46" s="27" t="s">
        <v>263</v>
      </c>
      <c r="C46" s="27" t="s">
        <v>185</v>
      </c>
      <c r="D46" s="31">
        <v>11253507</v>
      </c>
      <c r="E46" s="29">
        <v>8057.5110119999999</v>
      </c>
      <c r="F46" s="30">
        <v>1.17876379523987</v>
      </c>
    </row>
    <row r="47" spans="1:6" x14ac:dyDescent="0.2">
      <c r="A47" s="27" t="s">
        <v>500</v>
      </c>
      <c r="B47" s="27" t="s">
        <v>499</v>
      </c>
      <c r="C47" s="27" t="s">
        <v>147</v>
      </c>
      <c r="D47" s="31">
        <v>408622</v>
      </c>
      <c r="E47" s="29">
        <v>7985.0868129999999</v>
      </c>
      <c r="F47" s="30">
        <v>1.16816858493817</v>
      </c>
    </row>
    <row r="48" spans="1:6" x14ac:dyDescent="0.2">
      <c r="A48" s="27" t="s">
        <v>415</v>
      </c>
      <c r="B48" s="27" t="s">
        <v>414</v>
      </c>
      <c r="C48" s="27" t="s">
        <v>416</v>
      </c>
      <c r="D48" s="31">
        <v>362925</v>
      </c>
      <c r="E48" s="29">
        <v>7488.412988</v>
      </c>
      <c r="F48" s="30">
        <v>1.09550829045252</v>
      </c>
    </row>
    <row r="49" spans="1:9" x14ac:dyDescent="0.2">
      <c r="A49" s="27" t="s">
        <v>165</v>
      </c>
      <c r="B49" s="27" t="s">
        <v>164</v>
      </c>
      <c r="C49" s="27" t="s">
        <v>166</v>
      </c>
      <c r="D49" s="31">
        <v>4468223</v>
      </c>
      <c r="E49" s="29">
        <v>6706.8027229999998</v>
      </c>
      <c r="F49" s="30">
        <v>0.98116356526409199</v>
      </c>
    </row>
    <row r="50" spans="1:9" x14ac:dyDescent="0.2">
      <c r="A50" s="27" t="s">
        <v>502</v>
      </c>
      <c r="B50" s="27" t="s">
        <v>501</v>
      </c>
      <c r="C50" s="27" t="s">
        <v>147</v>
      </c>
      <c r="D50" s="31">
        <v>2553763</v>
      </c>
      <c r="E50" s="29">
        <v>6246.5042979999998</v>
      </c>
      <c r="F50" s="30">
        <v>0.91382476577776595</v>
      </c>
    </row>
    <row r="51" spans="1:9" x14ac:dyDescent="0.2">
      <c r="A51" s="27" t="s">
        <v>504</v>
      </c>
      <c r="B51" s="27" t="s">
        <v>503</v>
      </c>
      <c r="C51" s="27" t="s">
        <v>378</v>
      </c>
      <c r="D51" s="31">
        <v>821062</v>
      </c>
      <c r="E51" s="29">
        <v>6154.2702209999998</v>
      </c>
      <c r="F51" s="30">
        <v>0.90033149341449503</v>
      </c>
    </row>
    <row r="52" spans="1:9" x14ac:dyDescent="0.2">
      <c r="A52" s="27" t="s">
        <v>161</v>
      </c>
      <c r="B52" s="27" t="s">
        <v>160</v>
      </c>
      <c r="C52" s="27" t="s">
        <v>100</v>
      </c>
      <c r="D52" s="31">
        <v>12530441</v>
      </c>
      <c r="E52" s="29">
        <v>5319.1722049999998</v>
      </c>
      <c r="F52" s="30">
        <v>0.77816184260403898</v>
      </c>
    </row>
    <row r="53" spans="1:9" x14ac:dyDescent="0.2">
      <c r="A53" s="27" t="s">
        <v>506</v>
      </c>
      <c r="B53" s="27" t="s">
        <v>505</v>
      </c>
      <c r="C53" s="27" t="s">
        <v>147</v>
      </c>
      <c r="D53" s="31">
        <v>808421</v>
      </c>
      <c r="E53" s="29">
        <v>4719.5617979999997</v>
      </c>
      <c r="F53" s="30">
        <v>0.690442565774257</v>
      </c>
    </row>
    <row r="54" spans="1:9" x14ac:dyDescent="0.2">
      <c r="A54" s="27" t="s">
        <v>508</v>
      </c>
      <c r="B54" s="27" t="s">
        <v>507</v>
      </c>
      <c r="C54" s="27" t="s">
        <v>147</v>
      </c>
      <c r="D54" s="31">
        <v>208689</v>
      </c>
      <c r="E54" s="29">
        <v>3654.6661130000002</v>
      </c>
      <c r="F54" s="30">
        <v>0.53465494385035095</v>
      </c>
    </row>
    <row r="55" spans="1:9" x14ac:dyDescent="0.2">
      <c r="A55" s="27" t="s">
        <v>249</v>
      </c>
      <c r="B55" s="27" t="s">
        <v>248</v>
      </c>
      <c r="C55" s="27" t="s">
        <v>250</v>
      </c>
      <c r="D55" s="31">
        <v>724266</v>
      </c>
      <c r="E55" s="29">
        <v>3442.4362980000001</v>
      </c>
      <c r="F55" s="30">
        <v>0.50360704061821304</v>
      </c>
    </row>
    <row r="56" spans="1:9" x14ac:dyDescent="0.2">
      <c r="A56" s="27" t="s">
        <v>403</v>
      </c>
      <c r="B56" s="27" t="s">
        <v>402</v>
      </c>
      <c r="C56" s="27" t="s">
        <v>250</v>
      </c>
      <c r="D56" s="31">
        <v>39595</v>
      </c>
      <c r="E56" s="29">
        <v>2523.2309700000001</v>
      </c>
      <c r="F56" s="30">
        <v>0.36913301266785697</v>
      </c>
    </row>
    <row r="57" spans="1:9" x14ac:dyDescent="0.2">
      <c r="A57" s="27" t="s">
        <v>170</v>
      </c>
      <c r="B57" s="27" t="s">
        <v>728</v>
      </c>
      <c r="C57" s="27" t="s">
        <v>166</v>
      </c>
      <c r="D57" s="31">
        <v>387844</v>
      </c>
      <c r="E57" s="29">
        <v>497.21600799999999</v>
      </c>
      <c r="F57" s="30">
        <v>7.27396124896664E-2</v>
      </c>
    </row>
    <row r="58" spans="1:9" x14ac:dyDescent="0.2">
      <c r="A58" s="27" t="s">
        <v>301</v>
      </c>
      <c r="B58" s="27" t="s">
        <v>300</v>
      </c>
      <c r="C58" s="27" t="s">
        <v>146</v>
      </c>
      <c r="D58" s="31">
        <v>24087</v>
      </c>
      <c r="E58" s="29">
        <v>147.05113499999999</v>
      </c>
      <c r="F58" s="30">
        <v>2.1512667339675901E-2</v>
      </c>
    </row>
    <row r="59" spans="1:9" ht="10.5" x14ac:dyDescent="0.25">
      <c r="A59" s="26" t="s">
        <v>40</v>
      </c>
      <c r="B59" s="26"/>
      <c r="C59" s="26"/>
      <c r="D59" s="32"/>
      <c r="E59" s="33">
        <f>SUM(E7:E58)</f>
        <v>669327.3975549998</v>
      </c>
      <c r="F59" s="34">
        <f>SUM(F7:F58)</f>
        <v>97.918439357382084</v>
      </c>
      <c r="G59" s="18"/>
      <c r="H59" s="18"/>
      <c r="I59" s="18"/>
    </row>
    <row r="60" spans="1:9" x14ac:dyDescent="0.2">
      <c r="A60" s="27"/>
      <c r="B60" s="27"/>
      <c r="C60" s="27"/>
      <c r="D60" s="28"/>
      <c r="E60" s="29"/>
      <c r="F60" s="30"/>
    </row>
    <row r="61" spans="1:9" ht="10.5" x14ac:dyDescent="0.25">
      <c r="A61" s="26" t="s">
        <v>231</v>
      </c>
      <c r="B61" s="27"/>
      <c r="C61" s="27"/>
      <c r="D61" s="28"/>
      <c r="E61" s="29"/>
      <c r="F61" s="30"/>
    </row>
    <row r="62" spans="1:9" x14ac:dyDescent="0.2">
      <c r="A62" s="27"/>
      <c r="B62" s="27" t="s">
        <v>235</v>
      </c>
      <c r="C62" s="27" t="s">
        <v>185</v>
      </c>
      <c r="D62" s="31">
        <v>8100</v>
      </c>
      <c r="E62" s="29">
        <v>8.0999999999999996E-4</v>
      </c>
      <c r="F62" s="30">
        <v>1.1849796701764601E-7</v>
      </c>
    </row>
    <row r="63" spans="1:9" ht="10.5" x14ac:dyDescent="0.25">
      <c r="A63" s="26" t="s">
        <v>40</v>
      </c>
      <c r="B63" s="26"/>
      <c r="C63" s="26"/>
      <c r="D63" s="32"/>
      <c r="E63" s="33">
        <f>SUM(E61:E62)</f>
        <v>8.0999999999999996E-4</v>
      </c>
      <c r="F63" s="34">
        <f>SUM(F61:F62)</f>
        <v>1.1849796701764601E-7</v>
      </c>
      <c r="G63" s="18"/>
      <c r="H63" s="18"/>
      <c r="I63" s="18"/>
    </row>
    <row r="64" spans="1:9" x14ac:dyDescent="0.2">
      <c r="A64" s="27"/>
      <c r="B64" s="27"/>
      <c r="C64" s="27"/>
      <c r="D64" s="28"/>
      <c r="E64" s="29"/>
      <c r="F64" s="30"/>
    </row>
    <row r="65" spans="1:9" ht="10.5" x14ac:dyDescent="0.25">
      <c r="A65" s="26" t="s">
        <v>44</v>
      </c>
      <c r="B65" s="26"/>
      <c r="C65" s="26"/>
      <c r="D65" s="32"/>
      <c r="E65" s="33">
        <f>E59+E63</f>
        <v>669327.3983649998</v>
      </c>
      <c r="F65" s="34">
        <f>F59+F63</f>
        <v>97.918439475880049</v>
      </c>
      <c r="G65" s="18"/>
      <c r="H65" s="18"/>
      <c r="I65" s="18"/>
    </row>
    <row r="66" spans="1:9" ht="10.5" x14ac:dyDescent="0.25">
      <c r="A66" s="26"/>
      <c r="B66" s="26"/>
      <c r="C66" s="26"/>
      <c r="D66" s="32"/>
      <c r="E66" s="33"/>
      <c r="F66" s="34"/>
      <c r="G66" s="18"/>
      <c r="H66" s="18"/>
      <c r="I66" s="18"/>
    </row>
    <row r="67" spans="1:9" ht="10.5" x14ac:dyDescent="0.25">
      <c r="A67" s="26" t="s">
        <v>46</v>
      </c>
      <c r="B67" s="26"/>
      <c r="C67" s="26"/>
      <c r="D67" s="32"/>
      <c r="E67" s="33">
        <f>E69-(E59+E63)</f>
        <v>14228.632498700172</v>
      </c>
      <c r="F67" s="34">
        <f>F69-(F59+F63)</f>
        <v>2.0815605241199506</v>
      </c>
      <c r="G67" s="18"/>
      <c r="H67" s="18"/>
      <c r="I67" s="18"/>
    </row>
    <row r="68" spans="1:9" ht="10.5" x14ac:dyDescent="0.25">
      <c r="A68" s="26"/>
      <c r="B68" s="26"/>
      <c r="C68" s="26"/>
      <c r="D68" s="32"/>
      <c r="E68" s="33"/>
      <c r="F68" s="34"/>
      <c r="G68" s="18"/>
      <c r="H68" s="18"/>
      <c r="I68" s="18"/>
    </row>
    <row r="69" spans="1:9" ht="10.5" x14ac:dyDescent="0.25">
      <c r="A69" s="35" t="s">
        <v>45</v>
      </c>
      <c r="B69" s="35"/>
      <c r="C69" s="35"/>
      <c r="D69" s="36"/>
      <c r="E69" s="37">
        <v>683556.03086369997</v>
      </c>
      <c r="F69" s="38">
        <v>100</v>
      </c>
      <c r="G69" s="18"/>
      <c r="H69" s="18"/>
      <c r="I69" s="18"/>
    </row>
    <row r="70" spans="1:9" ht="10.5" x14ac:dyDescent="0.25">
      <c r="F70" s="20" t="s">
        <v>56</v>
      </c>
    </row>
    <row r="71" spans="1:9" ht="10.5" x14ac:dyDescent="0.25">
      <c r="A71" s="18" t="s">
        <v>47</v>
      </c>
      <c r="F71" s="20"/>
    </row>
    <row r="72" spans="1:9" ht="10.5" x14ac:dyDescent="0.25">
      <c r="A72" s="18" t="s">
        <v>729</v>
      </c>
      <c r="F72" s="20"/>
    </row>
    <row r="74" spans="1:9" ht="10.5" x14ac:dyDescent="0.25">
      <c r="A74" s="18" t="s">
        <v>48</v>
      </c>
    </row>
    <row r="75" spans="1:9" ht="10.5" x14ac:dyDescent="0.25">
      <c r="A75" s="18" t="s">
        <v>49</v>
      </c>
    </row>
    <row r="76" spans="1:9" ht="10.5" x14ac:dyDescent="0.25">
      <c r="A76" s="18" t="s">
        <v>50</v>
      </c>
      <c r="B76" s="18"/>
      <c r="C76" s="39" t="s">
        <v>727</v>
      </c>
      <c r="D76" s="19" t="s">
        <v>51</v>
      </c>
    </row>
    <row r="77" spans="1:9" x14ac:dyDescent="0.2">
      <c r="A77" s="9" t="s">
        <v>71</v>
      </c>
      <c r="C77" s="40">
        <v>848.79859999999996</v>
      </c>
      <c r="D77" s="40">
        <v>1128.3936000000001</v>
      </c>
    </row>
    <row r="78" spans="1:9" x14ac:dyDescent="0.2">
      <c r="A78" s="9" t="s">
        <v>77</v>
      </c>
      <c r="C78" s="40">
        <v>44.556800000000003</v>
      </c>
      <c r="D78" s="40">
        <v>59.233699999999999</v>
      </c>
    </row>
    <row r="79" spans="1:9" x14ac:dyDescent="0.2">
      <c r="A79" s="9" t="s">
        <v>74</v>
      </c>
      <c r="C79" s="40">
        <v>916.25019999999995</v>
      </c>
      <c r="D79" s="40">
        <v>1223.0214000000001</v>
      </c>
    </row>
    <row r="80" spans="1:9" x14ac:dyDescent="0.2">
      <c r="A80" s="9" t="s">
        <v>78</v>
      </c>
      <c r="C80" s="40">
        <v>49.963900000000002</v>
      </c>
      <c r="D80" s="40">
        <v>66.692099999999996</v>
      </c>
    </row>
    <row r="82" spans="1:4" ht="10.5" x14ac:dyDescent="0.25">
      <c r="A82" s="18" t="s">
        <v>52</v>
      </c>
      <c r="D82" s="41" t="s">
        <v>53</v>
      </c>
    </row>
    <row r="84" spans="1:4" ht="10.5" x14ac:dyDescent="0.25">
      <c r="A84" s="18" t="s">
        <v>222</v>
      </c>
      <c r="D84" s="45">
        <v>0.13220000000000001</v>
      </c>
    </row>
    <row r="86" spans="1:4" ht="10.5" x14ac:dyDescent="0.25">
      <c r="A86" s="18" t="s">
        <v>726</v>
      </c>
    </row>
    <row r="87" spans="1:4" x14ac:dyDescent="0.2">
      <c r="A87" s="46" t="s">
        <v>55</v>
      </c>
    </row>
  </sheetData>
  <mergeCells count="1">
    <mergeCell ref="A1:F1"/>
  </mergeCells>
  <conditionalFormatting sqref="F2:F3 F5:F65536">
    <cfRule type="cellIs" dxfId="18" priority="1" stopIfTrue="1" operator="between">
      <formula>0.009</formula>
      <formula>-0.009</formula>
    </cfRule>
  </conditionalFormatting>
  <hyperlinks>
    <hyperlink ref="A87" r:id="rId1" xr:uid="{00000000-0004-0000-2B00-000000000000}"/>
  </hyperlinks>
  <pageMargins left="0.7" right="0.7" top="0.75" bottom="0.75" header="0.3" footer="0.3"/>
  <pageSetup paperSize="9" scale="50" orientation="portrait" r:id="rId2"/>
  <headerFooter>
    <oddFooter>&amp;R&amp;1#&amp;"Calibri"&amp;10&amp;KFF0000|PUBLIC|&amp;LPUBLIC</oddFooter>
    <evenFooter>&amp;LPUBLIC</evenFooter>
    <firstFooter>&amp;LPUBLIC</firstFooter>
  </headerFooter>
  <colBreaks count="1" manualBreakCount="1">
    <brk id="6" max="1048575"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76"/>
  <sheetViews>
    <sheetView zoomScaleNormal="100" workbookViewId="0">
      <selection sqref="A1:F1"/>
    </sheetView>
  </sheetViews>
  <sheetFormatPr defaultColWidth="9.1796875" defaultRowHeight="10" x14ac:dyDescent="0.2"/>
  <cols>
    <col min="1" max="1" width="38.7265625" style="9" bestFit="1" customWidth="1"/>
    <col min="2" max="2" width="35.1796875" style="9" bestFit="1" customWidth="1"/>
    <col min="3" max="3" width="21.1796875" style="9" bestFit="1" customWidth="1"/>
    <col min="4" max="4" width="15.1796875" style="10" bestFit="1" customWidth="1"/>
    <col min="5" max="5" width="23" style="13" bestFit="1" customWidth="1"/>
    <col min="6" max="6" width="14.7265625" style="14" bestFit="1" customWidth="1"/>
    <col min="7" max="16384" width="9.1796875" style="9"/>
  </cols>
  <sheetData>
    <row r="1" spans="1:6" s="1" customFormat="1" ht="14" x14ac:dyDescent="0.25">
      <c r="A1" s="75" t="s">
        <v>15</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99</v>
      </c>
      <c r="B7" s="27" t="s">
        <v>98</v>
      </c>
      <c r="C7" s="27" t="s">
        <v>100</v>
      </c>
      <c r="D7" s="31">
        <v>395485</v>
      </c>
      <c r="E7" s="29">
        <v>5499.2189250000001</v>
      </c>
      <c r="F7" s="30">
        <v>9.2373600460339809</v>
      </c>
    </row>
    <row r="8" spans="1:6" x14ac:dyDescent="0.2">
      <c r="A8" s="27" t="s">
        <v>104</v>
      </c>
      <c r="B8" s="27" t="s">
        <v>103</v>
      </c>
      <c r="C8" s="27" t="s">
        <v>105</v>
      </c>
      <c r="D8" s="31">
        <v>405492</v>
      </c>
      <c r="E8" s="29">
        <v>5024.2486259999996</v>
      </c>
      <c r="F8" s="30">
        <v>8.4395246219722999</v>
      </c>
    </row>
    <row r="9" spans="1:6" x14ac:dyDescent="0.2">
      <c r="A9" s="27" t="s">
        <v>326</v>
      </c>
      <c r="B9" s="27" t="s">
        <v>325</v>
      </c>
      <c r="C9" s="27" t="s">
        <v>105</v>
      </c>
      <c r="D9" s="31">
        <v>85910</v>
      </c>
      <c r="E9" s="29">
        <v>3749.1124</v>
      </c>
      <c r="F9" s="30">
        <v>6.2976036350199598</v>
      </c>
    </row>
    <row r="10" spans="1:6" x14ac:dyDescent="0.2">
      <c r="A10" s="27" t="s">
        <v>110</v>
      </c>
      <c r="B10" s="27" t="s">
        <v>109</v>
      </c>
      <c r="C10" s="27" t="s">
        <v>100</v>
      </c>
      <c r="D10" s="31">
        <v>583651</v>
      </c>
      <c r="E10" s="29">
        <v>3134.2058699999998</v>
      </c>
      <c r="F10" s="30">
        <v>5.2647091295030002</v>
      </c>
    </row>
    <row r="11" spans="1:6" x14ac:dyDescent="0.2">
      <c r="A11" s="27" t="s">
        <v>102</v>
      </c>
      <c r="B11" s="27" t="s">
        <v>101</v>
      </c>
      <c r="C11" s="27" t="s">
        <v>100</v>
      </c>
      <c r="D11" s="31">
        <v>458037</v>
      </c>
      <c r="E11" s="29">
        <v>3036.3272729999999</v>
      </c>
      <c r="F11" s="30">
        <v>5.1002967186460104</v>
      </c>
    </row>
    <row r="12" spans="1:6" x14ac:dyDescent="0.2">
      <c r="A12" s="27" t="s">
        <v>115</v>
      </c>
      <c r="B12" s="27" t="s">
        <v>114</v>
      </c>
      <c r="C12" s="27" t="s">
        <v>100</v>
      </c>
      <c r="D12" s="31">
        <v>169031</v>
      </c>
      <c r="E12" s="29">
        <v>2895.4165149999999</v>
      </c>
      <c r="F12" s="30">
        <v>4.8636006671234604</v>
      </c>
    </row>
    <row r="13" spans="1:6" x14ac:dyDescent="0.2">
      <c r="A13" s="27" t="s">
        <v>257</v>
      </c>
      <c r="B13" s="27" t="s">
        <v>256</v>
      </c>
      <c r="C13" s="27" t="s">
        <v>113</v>
      </c>
      <c r="D13" s="31">
        <v>16409</v>
      </c>
      <c r="E13" s="29">
        <v>2515.0894750000002</v>
      </c>
      <c r="F13" s="30">
        <v>4.22474306722851</v>
      </c>
    </row>
    <row r="14" spans="1:6" x14ac:dyDescent="0.2">
      <c r="A14" s="27" t="s">
        <v>324</v>
      </c>
      <c r="B14" s="27" t="s">
        <v>323</v>
      </c>
      <c r="C14" s="27" t="s">
        <v>105</v>
      </c>
      <c r="D14" s="31">
        <v>229692</v>
      </c>
      <c r="E14" s="29">
        <v>2099.3848800000001</v>
      </c>
      <c r="F14" s="30">
        <v>3.5264597165969098</v>
      </c>
    </row>
    <row r="15" spans="1:6" x14ac:dyDescent="0.2">
      <c r="A15" s="27" t="s">
        <v>129</v>
      </c>
      <c r="B15" s="27" t="s">
        <v>128</v>
      </c>
      <c r="C15" s="27" t="s">
        <v>130</v>
      </c>
      <c r="D15" s="31">
        <v>274264</v>
      </c>
      <c r="E15" s="29">
        <v>2055.882944</v>
      </c>
      <c r="F15" s="30">
        <v>3.4533869673552502</v>
      </c>
    </row>
    <row r="16" spans="1:6" x14ac:dyDescent="0.2">
      <c r="A16" s="27" t="s">
        <v>155</v>
      </c>
      <c r="B16" s="27" t="s">
        <v>154</v>
      </c>
      <c r="C16" s="27" t="s">
        <v>133</v>
      </c>
      <c r="D16" s="31">
        <v>523765</v>
      </c>
      <c r="E16" s="29">
        <v>2009.16254</v>
      </c>
      <c r="F16" s="30">
        <v>3.37490796895018</v>
      </c>
    </row>
    <row r="17" spans="1:6" x14ac:dyDescent="0.2">
      <c r="A17" s="27" t="s">
        <v>510</v>
      </c>
      <c r="B17" s="27" t="s">
        <v>509</v>
      </c>
      <c r="C17" s="27" t="s">
        <v>127</v>
      </c>
      <c r="D17" s="31">
        <v>73037</v>
      </c>
      <c r="E17" s="29">
        <v>1758.25622</v>
      </c>
      <c r="F17" s="30">
        <v>2.9534459309271299</v>
      </c>
    </row>
    <row r="18" spans="1:6" x14ac:dyDescent="0.2">
      <c r="A18" s="27" t="s">
        <v>137</v>
      </c>
      <c r="B18" s="27" t="s">
        <v>136</v>
      </c>
      <c r="C18" s="27" t="s">
        <v>138</v>
      </c>
      <c r="D18" s="31">
        <v>354144</v>
      </c>
      <c r="E18" s="29">
        <v>1598.9601600000001</v>
      </c>
      <c r="F18" s="30">
        <v>2.6858670110472298</v>
      </c>
    </row>
    <row r="19" spans="1:6" x14ac:dyDescent="0.2">
      <c r="A19" s="27" t="s">
        <v>195</v>
      </c>
      <c r="B19" s="27" t="s">
        <v>194</v>
      </c>
      <c r="C19" s="27" t="s">
        <v>196</v>
      </c>
      <c r="D19" s="31">
        <v>116490</v>
      </c>
      <c r="E19" s="29">
        <v>1554.7920300000001</v>
      </c>
      <c r="F19" s="30">
        <v>2.6116752167334498</v>
      </c>
    </row>
    <row r="20" spans="1:6" x14ac:dyDescent="0.2">
      <c r="A20" s="27" t="s">
        <v>444</v>
      </c>
      <c r="B20" s="27" t="s">
        <v>443</v>
      </c>
      <c r="C20" s="27" t="s">
        <v>378</v>
      </c>
      <c r="D20" s="31">
        <v>538877</v>
      </c>
      <c r="E20" s="29">
        <v>1478.9479269999999</v>
      </c>
      <c r="F20" s="30">
        <v>2.4842754357219201</v>
      </c>
    </row>
    <row r="21" spans="1:6" x14ac:dyDescent="0.2">
      <c r="A21" s="27" t="s">
        <v>334</v>
      </c>
      <c r="B21" s="27" t="s">
        <v>333</v>
      </c>
      <c r="C21" s="27" t="s">
        <v>105</v>
      </c>
      <c r="D21" s="31">
        <v>17384</v>
      </c>
      <c r="E21" s="29">
        <v>1356.3952919999999</v>
      </c>
      <c r="F21" s="30">
        <v>2.27841659839891</v>
      </c>
    </row>
    <row r="22" spans="1:6" x14ac:dyDescent="0.2">
      <c r="A22" s="27" t="s">
        <v>177</v>
      </c>
      <c r="B22" s="27" t="s">
        <v>176</v>
      </c>
      <c r="C22" s="27" t="s">
        <v>138</v>
      </c>
      <c r="D22" s="31">
        <v>29191</v>
      </c>
      <c r="E22" s="29">
        <v>1343.574157</v>
      </c>
      <c r="F22" s="30">
        <v>2.2568801871723201</v>
      </c>
    </row>
    <row r="23" spans="1:6" x14ac:dyDescent="0.2">
      <c r="A23" s="27" t="s">
        <v>107</v>
      </c>
      <c r="B23" s="27" t="s">
        <v>106</v>
      </c>
      <c r="C23" s="27" t="s">
        <v>108</v>
      </c>
      <c r="D23" s="31">
        <v>242272</v>
      </c>
      <c r="E23" s="29">
        <v>1341.2177919999999</v>
      </c>
      <c r="F23" s="30">
        <v>2.25292206290018</v>
      </c>
    </row>
    <row r="24" spans="1:6" x14ac:dyDescent="0.2">
      <c r="A24" s="27" t="s">
        <v>282</v>
      </c>
      <c r="B24" s="27" t="s">
        <v>281</v>
      </c>
      <c r="C24" s="27" t="s">
        <v>180</v>
      </c>
      <c r="D24" s="31">
        <v>60992</v>
      </c>
      <c r="E24" s="29">
        <v>1299.6785279999999</v>
      </c>
      <c r="F24" s="30">
        <v>2.18314612874509</v>
      </c>
    </row>
    <row r="25" spans="1:6" x14ac:dyDescent="0.2">
      <c r="A25" s="27" t="s">
        <v>163</v>
      </c>
      <c r="B25" s="27" t="s">
        <v>162</v>
      </c>
      <c r="C25" s="27" t="s">
        <v>130</v>
      </c>
      <c r="D25" s="31">
        <v>484457</v>
      </c>
      <c r="E25" s="29">
        <v>1272.668539</v>
      </c>
      <c r="F25" s="30">
        <v>2.1377758685981099</v>
      </c>
    </row>
    <row r="26" spans="1:6" x14ac:dyDescent="0.2">
      <c r="A26" s="27" t="s">
        <v>132</v>
      </c>
      <c r="B26" s="27" t="s">
        <v>131</v>
      </c>
      <c r="C26" s="27" t="s">
        <v>133</v>
      </c>
      <c r="D26" s="31">
        <v>551423</v>
      </c>
      <c r="E26" s="29">
        <v>1205.410678</v>
      </c>
      <c r="F26" s="30">
        <v>2.0247989010584702</v>
      </c>
    </row>
    <row r="27" spans="1:6" x14ac:dyDescent="0.2">
      <c r="A27" s="27" t="s">
        <v>422</v>
      </c>
      <c r="B27" s="27" t="s">
        <v>421</v>
      </c>
      <c r="C27" s="27" t="s">
        <v>185</v>
      </c>
      <c r="D27" s="31">
        <v>71018</v>
      </c>
      <c r="E27" s="29">
        <v>1167.145321</v>
      </c>
      <c r="F27" s="30">
        <v>1.96052234020141</v>
      </c>
    </row>
    <row r="28" spans="1:6" x14ac:dyDescent="0.2">
      <c r="A28" s="27" t="s">
        <v>440</v>
      </c>
      <c r="B28" s="27" t="s">
        <v>439</v>
      </c>
      <c r="C28" s="27" t="s">
        <v>196</v>
      </c>
      <c r="D28" s="31">
        <v>1262673</v>
      </c>
      <c r="E28" s="29">
        <v>1103.576202</v>
      </c>
      <c r="F28" s="30">
        <v>1.8537415686008001</v>
      </c>
    </row>
    <row r="29" spans="1:6" x14ac:dyDescent="0.2">
      <c r="A29" s="27" t="s">
        <v>332</v>
      </c>
      <c r="B29" s="27" t="s">
        <v>331</v>
      </c>
      <c r="C29" s="27" t="s">
        <v>105</v>
      </c>
      <c r="D29" s="31">
        <v>183588</v>
      </c>
      <c r="E29" s="29">
        <v>1103.180292</v>
      </c>
      <c r="F29" s="30">
        <v>1.8530765353905101</v>
      </c>
    </row>
    <row r="30" spans="1:6" x14ac:dyDescent="0.2">
      <c r="A30" s="27" t="s">
        <v>472</v>
      </c>
      <c r="B30" s="27" t="s">
        <v>471</v>
      </c>
      <c r="C30" s="27" t="s">
        <v>113</v>
      </c>
      <c r="D30" s="31">
        <v>522693</v>
      </c>
      <c r="E30" s="29">
        <v>1027.875785</v>
      </c>
      <c r="F30" s="30">
        <v>1.72658314537729</v>
      </c>
    </row>
    <row r="31" spans="1:6" x14ac:dyDescent="0.2">
      <c r="A31" s="27" t="s">
        <v>179</v>
      </c>
      <c r="B31" s="27" t="s">
        <v>178</v>
      </c>
      <c r="C31" s="27" t="s">
        <v>180</v>
      </c>
      <c r="D31" s="31">
        <v>93194</v>
      </c>
      <c r="E31" s="29">
        <v>983.80246099999999</v>
      </c>
      <c r="F31" s="30">
        <v>1.6525506022532701</v>
      </c>
    </row>
    <row r="32" spans="1:6" x14ac:dyDescent="0.2">
      <c r="A32" s="27" t="s">
        <v>264</v>
      </c>
      <c r="B32" s="27" t="s">
        <v>263</v>
      </c>
      <c r="C32" s="27" t="s">
        <v>185</v>
      </c>
      <c r="D32" s="31">
        <v>1247117</v>
      </c>
      <c r="E32" s="29">
        <v>892.93577200000004</v>
      </c>
      <c r="F32" s="30">
        <v>1.4999165038600999</v>
      </c>
    </row>
    <row r="33" spans="1:9" x14ac:dyDescent="0.2">
      <c r="A33" s="27" t="s">
        <v>512</v>
      </c>
      <c r="B33" s="27" t="s">
        <v>511</v>
      </c>
      <c r="C33" s="27" t="s">
        <v>169</v>
      </c>
      <c r="D33" s="31">
        <v>583460</v>
      </c>
      <c r="E33" s="29">
        <v>742.16111999999998</v>
      </c>
      <c r="F33" s="30">
        <v>1.24665149198581</v>
      </c>
    </row>
    <row r="34" spans="1:9" x14ac:dyDescent="0.2">
      <c r="A34" s="27" t="s">
        <v>514</v>
      </c>
      <c r="B34" s="27" t="s">
        <v>513</v>
      </c>
      <c r="C34" s="27" t="s">
        <v>138</v>
      </c>
      <c r="D34" s="31">
        <v>139673</v>
      </c>
      <c r="E34" s="29">
        <v>641.79743499999995</v>
      </c>
      <c r="F34" s="30">
        <v>1.0780647332959401</v>
      </c>
    </row>
    <row r="35" spans="1:9" x14ac:dyDescent="0.2">
      <c r="A35" s="27" t="s">
        <v>278</v>
      </c>
      <c r="B35" s="27" t="s">
        <v>277</v>
      </c>
      <c r="C35" s="27" t="s">
        <v>127</v>
      </c>
      <c r="D35" s="31">
        <v>106104</v>
      </c>
      <c r="E35" s="29">
        <v>593.970192</v>
      </c>
      <c r="F35" s="30">
        <v>0.99772651260941303</v>
      </c>
    </row>
    <row r="36" spans="1:9" x14ac:dyDescent="0.2">
      <c r="A36" s="27" t="s">
        <v>301</v>
      </c>
      <c r="B36" s="27" t="s">
        <v>300</v>
      </c>
      <c r="C36" s="27" t="s">
        <v>146</v>
      </c>
      <c r="D36" s="31">
        <v>96374</v>
      </c>
      <c r="E36" s="29">
        <v>588.36327000000006</v>
      </c>
      <c r="F36" s="30">
        <v>0.98830823740153295</v>
      </c>
    </row>
    <row r="37" spans="1:9" x14ac:dyDescent="0.2">
      <c r="A37" s="27" t="s">
        <v>165</v>
      </c>
      <c r="B37" s="27" t="s">
        <v>164</v>
      </c>
      <c r="C37" s="27" t="s">
        <v>166</v>
      </c>
      <c r="D37" s="31">
        <v>226247</v>
      </c>
      <c r="E37" s="29">
        <v>339.59674699999999</v>
      </c>
      <c r="F37" s="30">
        <v>0.57044054169945801</v>
      </c>
    </row>
    <row r="38" spans="1:9" x14ac:dyDescent="0.2">
      <c r="A38" s="27" t="s">
        <v>516</v>
      </c>
      <c r="B38" s="27" t="s">
        <v>515</v>
      </c>
      <c r="C38" s="27" t="s">
        <v>185</v>
      </c>
      <c r="D38" s="31">
        <v>12795</v>
      </c>
      <c r="E38" s="29">
        <v>195.72511499999999</v>
      </c>
      <c r="F38" s="30">
        <v>0.32877093673924002</v>
      </c>
    </row>
    <row r="39" spans="1:9" x14ac:dyDescent="0.2">
      <c r="A39" s="27" t="s">
        <v>518</v>
      </c>
      <c r="B39" s="27" t="s">
        <v>517</v>
      </c>
      <c r="C39" s="27" t="s">
        <v>105</v>
      </c>
      <c r="D39" s="31">
        <v>176709</v>
      </c>
      <c r="E39" s="29">
        <v>71.037018000000003</v>
      </c>
      <c r="F39" s="30">
        <v>0.119325038848603</v>
      </c>
    </row>
    <row r="40" spans="1:9" x14ac:dyDescent="0.2">
      <c r="A40" s="27" t="s">
        <v>170</v>
      </c>
      <c r="B40" s="27" t="s">
        <v>728</v>
      </c>
      <c r="C40" s="27" t="s">
        <v>166</v>
      </c>
      <c r="D40" s="31">
        <v>26444</v>
      </c>
      <c r="E40" s="29">
        <v>33.901207999999997</v>
      </c>
      <c r="F40" s="30">
        <v>5.6945844230321799E-2</v>
      </c>
    </row>
    <row r="41" spans="1:9" ht="10.5" x14ac:dyDescent="0.25">
      <c r="A41" s="26" t="s">
        <v>40</v>
      </c>
      <c r="B41" s="26"/>
      <c r="C41" s="26"/>
      <c r="D41" s="32"/>
      <c r="E41" s="33">
        <f>SUM(E7:E40)</f>
        <v>55713.018709000004</v>
      </c>
      <c r="F41" s="34">
        <f>SUM(F7:F40)</f>
        <v>93.584419912226096</v>
      </c>
      <c r="G41" s="18"/>
      <c r="H41" s="18"/>
      <c r="I41" s="18"/>
    </row>
    <row r="42" spans="1:9" x14ac:dyDescent="0.2">
      <c r="A42" s="27"/>
      <c r="B42" s="27"/>
      <c r="C42" s="27"/>
      <c r="D42" s="28"/>
      <c r="E42" s="29"/>
      <c r="F42" s="30"/>
    </row>
    <row r="43" spans="1:9" ht="10.5" x14ac:dyDescent="0.25">
      <c r="A43" s="26" t="s">
        <v>231</v>
      </c>
      <c r="B43" s="27"/>
      <c r="C43" s="27"/>
      <c r="D43" s="28"/>
      <c r="E43" s="29"/>
      <c r="F43" s="30"/>
    </row>
    <row r="44" spans="1:9" x14ac:dyDescent="0.2">
      <c r="A44" s="27"/>
      <c r="B44" s="27" t="s">
        <v>337</v>
      </c>
      <c r="C44" s="27" t="s">
        <v>105</v>
      </c>
      <c r="D44" s="31">
        <v>489000</v>
      </c>
      <c r="E44" s="29">
        <v>4.8899999999999999E-2</v>
      </c>
      <c r="F44" s="30">
        <v>8.2140193436845504E-5</v>
      </c>
    </row>
    <row r="45" spans="1:9" x14ac:dyDescent="0.2">
      <c r="A45" s="27"/>
      <c r="B45" s="27" t="s">
        <v>235</v>
      </c>
      <c r="C45" s="27" t="s">
        <v>185</v>
      </c>
      <c r="D45" s="31">
        <v>98000</v>
      </c>
      <c r="E45" s="29">
        <v>9.7999999999999997E-3</v>
      </c>
      <c r="F45" s="30">
        <v>1.6461633858508901E-5</v>
      </c>
    </row>
    <row r="46" spans="1:9" x14ac:dyDescent="0.2">
      <c r="A46" s="27" t="s">
        <v>520</v>
      </c>
      <c r="B46" s="27" t="s">
        <v>519</v>
      </c>
      <c r="C46" s="27" t="s">
        <v>185</v>
      </c>
      <c r="D46" s="31">
        <v>44170</v>
      </c>
      <c r="E46" s="29">
        <v>4.4169999999999999E-3</v>
      </c>
      <c r="F46" s="30">
        <v>7.4194935462279501E-6</v>
      </c>
    </row>
    <row r="47" spans="1:9" x14ac:dyDescent="0.2">
      <c r="A47" s="27"/>
      <c r="B47" s="27" t="s">
        <v>521</v>
      </c>
      <c r="C47" s="27" t="s">
        <v>105</v>
      </c>
      <c r="D47" s="31">
        <v>23815</v>
      </c>
      <c r="E47" s="29">
        <v>2.3814999999999999E-3</v>
      </c>
      <c r="F47" s="30">
        <v>4.0003450034733698E-6</v>
      </c>
    </row>
    <row r="48" spans="1:9" ht="10.5" x14ac:dyDescent="0.25">
      <c r="A48" s="26" t="s">
        <v>40</v>
      </c>
      <c r="B48" s="26"/>
      <c r="C48" s="26"/>
      <c r="D48" s="32"/>
      <c r="E48" s="33">
        <f>SUM(E43:E47)</f>
        <v>6.5498500000000001E-2</v>
      </c>
      <c r="F48" s="34">
        <f>SUM(F43:F47)</f>
        <v>1.1002166584505572E-4</v>
      </c>
      <c r="G48" s="18"/>
      <c r="H48" s="18"/>
      <c r="I48" s="18"/>
    </row>
    <row r="49" spans="1:9" x14ac:dyDescent="0.2">
      <c r="A49" s="27"/>
      <c r="B49" s="27"/>
      <c r="C49" s="27"/>
      <c r="D49" s="28"/>
      <c r="E49" s="29"/>
      <c r="F49" s="30"/>
    </row>
    <row r="50" spans="1:9" ht="10.5" x14ac:dyDescent="0.25">
      <c r="A50" s="26" t="s">
        <v>44</v>
      </c>
      <c r="B50" s="26"/>
      <c r="C50" s="26"/>
      <c r="D50" s="32"/>
      <c r="E50" s="33">
        <f>E41+E48</f>
        <v>55713.084207500004</v>
      </c>
      <c r="F50" s="34">
        <f>F41+F48</f>
        <v>93.584529933891943</v>
      </c>
      <c r="G50" s="18"/>
      <c r="H50" s="18"/>
      <c r="I50" s="18"/>
    </row>
    <row r="51" spans="1:9" ht="10.5" x14ac:dyDescent="0.25">
      <c r="A51" s="26"/>
      <c r="B51" s="26"/>
      <c r="C51" s="26"/>
      <c r="D51" s="32"/>
      <c r="E51" s="33"/>
      <c r="F51" s="34"/>
      <c r="G51" s="18"/>
      <c r="H51" s="18"/>
      <c r="I51" s="18"/>
    </row>
    <row r="52" spans="1:9" ht="10.5" x14ac:dyDescent="0.25">
      <c r="A52" s="26" t="s">
        <v>46</v>
      </c>
      <c r="B52" s="26"/>
      <c r="C52" s="26"/>
      <c r="D52" s="32"/>
      <c r="E52" s="33">
        <f>E54-(E41+E48)</f>
        <v>3819.2810742999936</v>
      </c>
      <c r="F52" s="34">
        <f>F54-(F41+F48)</f>
        <v>6.4154700661080568</v>
      </c>
      <c r="G52" s="18"/>
      <c r="H52" s="18"/>
      <c r="I52" s="18"/>
    </row>
    <row r="53" spans="1:9" ht="10.5" x14ac:dyDescent="0.25">
      <c r="A53" s="26"/>
      <c r="B53" s="26"/>
      <c r="C53" s="26"/>
      <c r="D53" s="32"/>
      <c r="E53" s="33"/>
      <c r="F53" s="34"/>
      <c r="G53" s="18"/>
      <c r="H53" s="18"/>
      <c r="I53" s="18"/>
    </row>
    <row r="54" spans="1:9" ht="10.5" x14ac:dyDescent="0.25">
      <c r="A54" s="35" t="s">
        <v>45</v>
      </c>
      <c r="B54" s="35"/>
      <c r="C54" s="35"/>
      <c r="D54" s="36"/>
      <c r="E54" s="37">
        <v>59532.365281799997</v>
      </c>
      <c r="F54" s="38">
        <v>100</v>
      </c>
      <c r="G54" s="18"/>
      <c r="H54" s="18"/>
      <c r="I54" s="18"/>
    </row>
    <row r="55" spans="1:9" ht="10.5" x14ac:dyDescent="0.25">
      <c r="F55" s="20" t="s">
        <v>56</v>
      </c>
    </row>
    <row r="56" spans="1:9" ht="10.5" x14ac:dyDescent="0.25">
      <c r="A56" s="18" t="s">
        <v>47</v>
      </c>
      <c r="F56" s="20"/>
    </row>
    <row r="57" spans="1:9" ht="10.5" x14ac:dyDescent="0.25">
      <c r="A57" s="18" t="s">
        <v>729</v>
      </c>
      <c r="F57" s="20"/>
    </row>
    <row r="59" spans="1:9" ht="10.5" x14ac:dyDescent="0.25">
      <c r="A59" s="18" t="s">
        <v>48</v>
      </c>
    </row>
    <row r="60" spans="1:9" ht="10.5" x14ac:dyDescent="0.25">
      <c r="A60" s="18" t="s">
        <v>49</v>
      </c>
    </row>
    <row r="61" spans="1:9" ht="10.5" x14ac:dyDescent="0.25">
      <c r="A61" s="18" t="s">
        <v>50</v>
      </c>
      <c r="B61" s="18"/>
      <c r="C61" s="39" t="s">
        <v>727</v>
      </c>
      <c r="D61" s="19" t="s">
        <v>51</v>
      </c>
    </row>
    <row r="62" spans="1:9" x14ac:dyDescent="0.2">
      <c r="A62" s="9" t="s">
        <v>71</v>
      </c>
      <c r="C62" s="40">
        <v>68.275599999999997</v>
      </c>
      <c r="D62" s="40">
        <v>93.4011</v>
      </c>
    </row>
    <row r="63" spans="1:9" x14ac:dyDescent="0.2">
      <c r="A63" s="9" t="s">
        <v>77</v>
      </c>
      <c r="C63" s="40">
        <v>15.9474</v>
      </c>
      <c r="D63" s="40">
        <v>20.597799999999999</v>
      </c>
    </row>
    <row r="64" spans="1:9" x14ac:dyDescent="0.2">
      <c r="A64" s="9" t="s">
        <v>74</v>
      </c>
      <c r="C64" s="40">
        <v>71.907700000000006</v>
      </c>
      <c r="D64" s="40">
        <v>98.814099999999996</v>
      </c>
    </row>
    <row r="65" spans="1:4" x14ac:dyDescent="0.2">
      <c r="A65" s="9" t="s">
        <v>78</v>
      </c>
      <c r="C65" s="40">
        <v>17.045500000000001</v>
      </c>
      <c r="D65" s="40">
        <v>22.200900000000001</v>
      </c>
    </row>
    <row r="67" spans="1:4" ht="10.5" x14ac:dyDescent="0.25">
      <c r="A67" s="18" t="s">
        <v>52</v>
      </c>
    </row>
    <row r="68" spans="1:4" ht="10.5" x14ac:dyDescent="0.25">
      <c r="A68" s="77" t="s">
        <v>68</v>
      </c>
      <c r="B68" s="78"/>
      <c r="C68" s="43" t="s">
        <v>69</v>
      </c>
    </row>
    <row r="69" spans="1:4" x14ac:dyDescent="0.2">
      <c r="A69" s="71" t="s">
        <v>77</v>
      </c>
      <c r="B69" s="72"/>
      <c r="C69" s="44">
        <v>1</v>
      </c>
    </row>
    <row r="70" spans="1:4" x14ac:dyDescent="0.2">
      <c r="A70" s="71" t="s">
        <v>78</v>
      </c>
      <c r="B70" s="72"/>
      <c r="C70" s="44">
        <v>1</v>
      </c>
    </row>
    <row r="71" spans="1:4" x14ac:dyDescent="0.2">
      <c r="A71" s="9" t="s">
        <v>70</v>
      </c>
    </row>
    <row r="73" spans="1:4" ht="10.5" x14ac:dyDescent="0.25">
      <c r="A73" s="18" t="s">
        <v>222</v>
      </c>
      <c r="D73" s="45">
        <v>0.2235</v>
      </c>
    </row>
    <row r="75" spans="1:4" ht="10.5" x14ac:dyDescent="0.25">
      <c r="A75" s="18" t="s">
        <v>726</v>
      </c>
    </row>
    <row r="76" spans="1:4" x14ac:dyDescent="0.2">
      <c r="A76" s="46" t="s">
        <v>55</v>
      </c>
    </row>
  </sheetData>
  <mergeCells count="4">
    <mergeCell ref="A1:F1"/>
    <mergeCell ref="A68:B68"/>
    <mergeCell ref="A69:B69"/>
    <mergeCell ref="A70:B70"/>
  </mergeCells>
  <conditionalFormatting sqref="F2:F3 F5:F65536">
    <cfRule type="cellIs" dxfId="17" priority="1" stopIfTrue="1" operator="between">
      <formula>0.009</formula>
      <formula>-0.009</formula>
    </cfRule>
  </conditionalFormatting>
  <hyperlinks>
    <hyperlink ref="A76" r:id="rId1" xr:uid="{00000000-0004-0000-2C00-000000000000}"/>
  </hyperlinks>
  <pageMargins left="0.7" right="0.7" top="0.75" bottom="0.75" header="0.3" footer="0.3"/>
  <pageSetup paperSize="9" scale="59" orientation="portrait" r:id="rId2"/>
  <headerFooter>
    <oddFooter>&amp;R&amp;1#&amp;"Calibri"&amp;10&amp;KFF0000|PUBLIC|&amp;LPUBLIC</oddFooter>
    <evenFooter>&amp;LPUBLIC</evenFooter>
    <firstFooter>&amp;LPUBLIC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61"/>
  <sheetViews>
    <sheetView zoomScaleNormal="100" workbookViewId="0">
      <selection sqref="A1:F1"/>
    </sheetView>
  </sheetViews>
  <sheetFormatPr defaultColWidth="9.1796875" defaultRowHeight="10" x14ac:dyDescent="0.2"/>
  <cols>
    <col min="1" max="1" width="38.7265625" style="9" bestFit="1" customWidth="1"/>
    <col min="2" max="2" width="24.1796875" style="9" bestFit="1" customWidth="1"/>
    <col min="3" max="3" width="21.1796875" style="9" bestFit="1" customWidth="1"/>
    <col min="4" max="4" width="15.1796875" style="10" bestFit="1" customWidth="1"/>
    <col min="5" max="5" width="23" style="13" bestFit="1" customWidth="1"/>
    <col min="6" max="6" width="13.54296875" style="14" bestFit="1" customWidth="1"/>
    <col min="7" max="16384" width="9.1796875" style="9"/>
  </cols>
  <sheetData>
    <row r="1" spans="1:6" s="1" customFormat="1" ht="14" x14ac:dyDescent="0.25">
      <c r="A1" s="75" t="s">
        <v>16</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143</v>
      </c>
      <c r="B7" s="27" t="s">
        <v>142</v>
      </c>
      <c r="C7" s="27" t="s">
        <v>100</v>
      </c>
      <c r="D7" s="31">
        <v>27000000</v>
      </c>
      <c r="E7" s="29">
        <v>76167</v>
      </c>
      <c r="F7" s="30">
        <v>10.4070425009074</v>
      </c>
    </row>
    <row r="8" spans="1:6" x14ac:dyDescent="0.2">
      <c r="A8" s="27" t="s">
        <v>110</v>
      </c>
      <c r="B8" s="27" t="s">
        <v>109</v>
      </c>
      <c r="C8" s="27" t="s">
        <v>100</v>
      </c>
      <c r="D8" s="31">
        <v>14000000</v>
      </c>
      <c r="E8" s="29">
        <v>75180</v>
      </c>
      <c r="F8" s="30">
        <v>10.272184216500801</v>
      </c>
    </row>
    <row r="9" spans="1:6" x14ac:dyDescent="0.2">
      <c r="A9" s="27" t="s">
        <v>102</v>
      </c>
      <c r="B9" s="27" t="s">
        <v>101</v>
      </c>
      <c r="C9" s="27" t="s">
        <v>100</v>
      </c>
      <c r="D9" s="31">
        <v>10500000</v>
      </c>
      <c r="E9" s="29">
        <v>69604.5</v>
      </c>
      <c r="F9" s="30">
        <v>9.5103783758636702</v>
      </c>
    </row>
    <row r="10" spans="1:6" x14ac:dyDescent="0.2">
      <c r="A10" s="27" t="s">
        <v>107</v>
      </c>
      <c r="B10" s="27" t="s">
        <v>106</v>
      </c>
      <c r="C10" s="27" t="s">
        <v>108</v>
      </c>
      <c r="D10" s="31">
        <v>9000000</v>
      </c>
      <c r="E10" s="29">
        <v>49824</v>
      </c>
      <c r="F10" s="30">
        <v>6.8076789891319001</v>
      </c>
    </row>
    <row r="11" spans="1:6" x14ac:dyDescent="0.2">
      <c r="A11" s="27" t="s">
        <v>155</v>
      </c>
      <c r="B11" s="27" t="s">
        <v>154</v>
      </c>
      <c r="C11" s="27" t="s">
        <v>133</v>
      </c>
      <c r="D11" s="31">
        <v>8700000</v>
      </c>
      <c r="E11" s="29">
        <v>33373.199999999997</v>
      </c>
      <c r="F11" s="30">
        <v>4.5599316080623202</v>
      </c>
    </row>
    <row r="12" spans="1:6" x14ac:dyDescent="0.2">
      <c r="A12" s="27" t="s">
        <v>195</v>
      </c>
      <c r="B12" s="27" t="s">
        <v>194</v>
      </c>
      <c r="C12" s="27" t="s">
        <v>196</v>
      </c>
      <c r="D12" s="31">
        <v>2500000</v>
      </c>
      <c r="E12" s="29">
        <v>33367.5</v>
      </c>
      <c r="F12" s="30">
        <v>4.5591527912222798</v>
      </c>
    </row>
    <row r="13" spans="1:6" x14ac:dyDescent="0.2">
      <c r="A13" s="27" t="s">
        <v>99</v>
      </c>
      <c r="B13" s="27" t="s">
        <v>98</v>
      </c>
      <c r="C13" s="27" t="s">
        <v>100</v>
      </c>
      <c r="D13" s="31">
        <v>2200000</v>
      </c>
      <c r="E13" s="29">
        <v>30591</v>
      </c>
      <c r="F13" s="30">
        <v>4.1797870094037801</v>
      </c>
    </row>
    <row r="14" spans="1:6" x14ac:dyDescent="0.2">
      <c r="A14" s="27" t="s">
        <v>218</v>
      </c>
      <c r="B14" s="27" t="s">
        <v>217</v>
      </c>
      <c r="C14" s="27" t="s">
        <v>100</v>
      </c>
      <c r="D14" s="31">
        <v>40000000</v>
      </c>
      <c r="E14" s="29">
        <v>28920</v>
      </c>
      <c r="F14" s="30">
        <v>3.95147070419265</v>
      </c>
    </row>
    <row r="15" spans="1:6" x14ac:dyDescent="0.2">
      <c r="A15" s="27" t="s">
        <v>205</v>
      </c>
      <c r="B15" s="27" t="s">
        <v>204</v>
      </c>
      <c r="C15" s="27" t="s">
        <v>133</v>
      </c>
      <c r="D15" s="31">
        <v>31000000</v>
      </c>
      <c r="E15" s="29">
        <v>28907.5</v>
      </c>
      <c r="F15" s="30">
        <v>3.9497627725258999</v>
      </c>
    </row>
    <row r="16" spans="1:6" x14ac:dyDescent="0.2">
      <c r="A16" s="27" t="s">
        <v>153</v>
      </c>
      <c r="B16" s="27" t="s">
        <v>152</v>
      </c>
      <c r="C16" s="27" t="s">
        <v>146</v>
      </c>
      <c r="D16" s="31">
        <v>32000000</v>
      </c>
      <c r="E16" s="29">
        <v>28464</v>
      </c>
      <c r="F16" s="30">
        <v>3.8891653569896101</v>
      </c>
    </row>
    <row r="17" spans="1:6" x14ac:dyDescent="0.2">
      <c r="A17" s="27" t="s">
        <v>523</v>
      </c>
      <c r="B17" s="27" t="s">
        <v>522</v>
      </c>
      <c r="C17" s="27" t="s">
        <v>138</v>
      </c>
      <c r="D17" s="31">
        <v>2765000</v>
      </c>
      <c r="E17" s="29">
        <v>27860.14</v>
      </c>
      <c r="F17" s="30">
        <v>3.8066572276869199</v>
      </c>
    </row>
    <row r="18" spans="1:6" x14ac:dyDescent="0.2">
      <c r="A18" s="27" t="s">
        <v>216</v>
      </c>
      <c r="B18" s="27" t="s">
        <v>215</v>
      </c>
      <c r="C18" s="27" t="s">
        <v>121</v>
      </c>
      <c r="D18" s="31">
        <v>20000000</v>
      </c>
      <c r="E18" s="29">
        <v>25060</v>
      </c>
      <c r="F18" s="30">
        <v>3.4240614055002698</v>
      </c>
    </row>
    <row r="19" spans="1:6" x14ac:dyDescent="0.2">
      <c r="A19" s="27" t="s">
        <v>269</v>
      </c>
      <c r="B19" s="27" t="s">
        <v>268</v>
      </c>
      <c r="C19" s="27" t="s">
        <v>180</v>
      </c>
      <c r="D19" s="31">
        <v>1500000</v>
      </c>
      <c r="E19" s="29">
        <v>24057.75</v>
      </c>
      <c r="F19" s="30">
        <v>3.2871194444602598</v>
      </c>
    </row>
    <row r="20" spans="1:6" x14ac:dyDescent="0.2">
      <c r="A20" s="27" t="s">
        <v>525</v>
      </c>
      <c r="B20" s="27" t="s">
        <v>524</v>
      </c>
      <c r="C20" s="27" t="s">
        <v>262</v>
      </c>
      <c r="D20" s="31">
        <v>1500000</v>
      </c>
      <c r="E20" s="29">
        <v>23216.25</v>
      </c>
      <c r="F20" s="30">
        <v>3.1721414846546598</v>
      </c>
    </row>
    <row r="21" spans="1:6" x14ac:dyDescent="0.2">
      <c r="A21" s="27" t="s">
        <v>391</v>
      </c>
      <c r="B21" s="27" t="s">
        <v>390</v>
      </c>
      <c r="C21" s="27" t="s">
        <v>378</v>
      </c>
      <c r="D21" s="31">
        <v>4800000</v>
      </c>
      <c r="E21" s="29">
        <v>22116</v>
      </c>
      <c r="F21" s="30">
        <v>3.02180933934733</v>
      </c>
    </row>
    <row r="22" spans="1:6" x14ac:dyDescent="0.2">
      <c r="A22" s="27" t="s">
        <v>527</v>
      </c>
      <c r="B22" s="27" t="s">
        <v>526</v>
      </c>
      <c r="C22" s="27" t="s">
        <v>180</v>
      </c>
      <c r="D22" s="31">
        <v>373738</v>
      </c>
      <c r="E22" s="29">
        <v>19909.957610000001</v>
      </c>
      <c r="F22" s="30">
        <v>2.72038776686143</v>
      </c>
    </row>
    <row r="23" spans="1:6" x14ac:dyDescent="0.2">
      <c r="A23" s="27" t="s">
        <v>529</v>
      </c>
      <c r="B23" s="27" t="s">
        <v>528</v>
      </c>
      <c r="C23" s="27" t="s">
        <v>147</v>
      </c>
      <c r="D23" s="31">
        <v>4000000</v>
      </c>
      <c r="E23" s="29">
        <v>18562</v>
      </c>
      <c r="F23" s="30">
        <v>2.5362102078569801</v>
      </c>
    </row>
    <row r="24" spans="1:6" x14ac:dyDescent="0.2">
      <c r="A24" s="27" t="s">
        <v>452</v>
      </c>
      <c r="B24" s="27" t="s">
        <v>451</v>
      </c>
      <c r="C24" s="27" t="s">
        <v>180</v>
      </c>
      <c r="D24" s="31">
        <v>4500000</v>
      </c>
      <c r="E24" s="29">
        <v>14321.25</v>
      </c>
      <c r="F24" s="30">
        <v>1.9567773105954001</v>
      </c>
    </row>
    <row r="25" spans="1:6" x14ac:dyDescent="0.2">
      <c r="A25" s="27" t="s">
        <v>531</v>
      </c>
      <c r="B25" s="27" t="s">
        <v>530</v>
      </c>
      <c r="C25" s="27" t="s">
        <v>180</v>
      </c>
      <c r="D25" s="31">
        <v>16073010</v>
      </c>
      <c r="E25" s="29">
        <v>13589.729960000001</v>
      </c>
      <c r="F25" s="30">
        <v>1.8568264113011499</v>
      </c>
    </row>
    <row r="26" spans="1:6" x14ac:dyDescent="0.2">
      <c r="A26" s="27" t="s">
        <v>474</v>
      </c>
      <c r="B26" s="27" t="s">
        <v>473</v>
      </c>
      <c r="C26" s="27" t="s">
        <v>416</v>
      </c>
      <c r="D26" s="31">
        <v>450000</v>
      </c>
      <c r="E26" s="29">
        <v>11525.625</v>
      </c>
      <c r="F26" s="30">
        <v>1.57479839332678</v>
      </c>
    </row>
    <row r="27" spans="1:6" x14ac:dyDescent="0.2">
      <c r="A27" s="27" t="s">
        <v>533</v>
      </c>
      <c r="B27" s="27" t="s">
        <v>532</v>
      </c>
      <c r="C27" s="27" t="s">
        <v>378</v>
      </c>
      <c r="D27" s="31">
        <v>3100000</v>
      </c>
      <c r="E27" s="29">
        <v>11499.45</v>
      </c>
      <c r="F27" s="30">
        <v>1.5712219844166</v>
      </c>
    </row>
    <row r="28" spans="1:6" x14ac:dyDescent="0.2">
      <c r="A28" s="27" t="s">
        <v>535</v>
      </c>
      <c r="B28" s="27" t="s">
        <v>534</v>
      </c>
      <c r="C28" s="27" t="s">
        <v>378</v>
      </c>
      <c r="D28" s="31">
        <v>15000000</v>
      </c>
      <c r="E28" s="29">
        <v>9412.5</v>
      </c>
      <c r="F28" s="30">
        <v>1.2860725450627</v>
      </c>
    </row>
    <row r="29" spans="1:6" x14ac:dyDescent="0.2">
      <c r="A29" s="27" t="s">
        <v>537</v>
      </c>
      <c r="B29" s="27" t="s">
        <v>536</v>
      </c>
      <c r="C29" s="27" t="s">
        <v>127</v>
      </c>
      <c r="D29" s="31">
        <v>1000000</v>
      </c>
      <c r="E29" s="29">
        <v>5787</v>
      </c>
      <c r="F29" s="30">
        <v>0.79070404443855002</v>
      </c>
    </row>
    <row r="30" spans="1:6" x14ac:dyDescent="0.2">
      <c r="A30" s="27" t="s">
        <v>137</v>
      </c>
      <c r="B30" s="27" t="s">
        <v>136</v>
      </c>
      <c r="C30" s="27" t="s">
        <v>138</v>
      </c>
      <c r="D30" s="31">
        <v>1200000</v>
      </c>
      <c r="E30" s="29">
        <v>5418</v>
      </c>
      <c r="F30" s="30">
        <v>0.74028590163609198</v>
      </c>
    </row>
    <row r="31" spans="1:6" x14ac:dyDescent="0.2">
      <c r="A31" s="27" t="s">
        <v>539</v>
      </c>
      <c r="B31" s="27" t="s">
        <v>538</v>
      </c>
      <c r="C31" s="27" t="s">
        <v>540</v>
      </c>
      <c r="D31" s="31">
        <v>300000</v>
      </c>
      <c r="E31" s="29">
        <v>2775.9</v>
      </c>
      <c r="F31" s="30">
        <v>0.37928380109849202</v>
      </c>
    </row>
    <row r="32" spans="1:6" x14ac:dyDescent="0.2">
      <c r="A32" s="27" t="s">
        <v>104</v>
      </c>
      <c r="B32" s="27" t="s">
        <v>103</v>
      </c>
      <c r="C32" s="27" t="s">
        <v>105</v>
      </c>
      <c r="D32" s="31">
        <v>200000</v>
      </c>
      <c r="E32" s="29">
        <v>2478.1</v>
      </c>
      <c r="F32" s="30">
        <v>0.33859403706984098</v>
      </c>
    </row>
    <row r="33" spans="1:9" x14ac:dyDescent="0.2">
      <c r="A33" s="27" t="s">
        <v>542</v>
      </c>
      <c r="B33" s="27" t="s">
        <v>541</v>
      </c>
      <c r="C33" s="27" t="s">
        <v>262</v>
      </c>
      <c r="D33" s="31">
        <v>1834521</v>
      </c>
      <c r="E33" s="29">
        <v>1518.9833880000001</v>
      </c>
      <c r="F33" s="30">
        <v>0.20754558637058401</v>
      </c>
    </row>
    <row r="34" spans="1:9" x14ac:dyDescent="0.2">
      <c r="A34" s="27" t="s">
        <v>544</v>
      </c>
      <c r="B34" s="27" t="s">
        <v>543</v>
      </c>
      <c r="C34" s="27" t="s">
        <v>138</v>
      </c>
      <c r="D34" s="31">
        <v>24967</v>
      </c>
      <c r="E34" s="29">
        <v>206.20245299999999</v>
      </c>
      <c r="F34" s="30">
        <v>2.8174375939217199E-2</v>
      </c>
    </row>
    <row r="35" spans="1:9" ht="10.5" x14ac:dyDescent="0.25">
      <c r="A35" s="26" t="s">
        <v>40</v>
      </c>
      <c r="B35" s="26"/>
      <c r="C35" s="26"/>
      <c r="D35" s="32"/>
      <c r="E35" s="33">
        <f>SUM(E7:E34)</f>
        <v>693713.53841100016</v>
      </c>
      <c r="F35" s="34">
        <f>SUM(F7:F34)</f>
        <v>94.785225592423558</v>
      </c>
      <c r="G35" s="18"/>
      <c r="H35" s="18"/>
      <c r="I35" s="18"/>
    </row>
    <row r="36" spans="1:9" x14ac:dyDescent="0.2">
      <c r="A36" s="27"/>
      <c r="B36" s="27"/>
      <c r="C36" s="27"/>
      <c r="D36" s="28"/>
      <c r="E36" s="29"/>
      <c r="F36" s="30"/>
    </row>
    <row r="37" spans="1:9" ht="10.5" x14ac:dyDescent="0.25">
      <c r="A37" s="26" t="s">
        <v>44</v>
      </c>
      <c r="B37" s="26"/>
      <c r="C37" s="26"/>
      <c r="D37" s="32"/>
      <c r="E37" s="33">
        <f>E35</f>
        <v>693713.53841100016</v>
      </c>
      <c r="F37" s="34">
        <f>F35</f>
        <v>94.785225592423558</v>
      </c>
      <c r="G37" s="18"/>
      <c r="H37" s="18"/>
      <c r="I37" s="18"/>
    </row>
    <row r="38" spans="1:9" ht="10.5" x14ac:dyDescent="0.25">
      <c r="A38" s="26"/>
      <c r="B38" s="26"/>
      <c r="C38" s="26"/>
      <c r="D38" s="32"/>
      <c r="E38" s="33"/>
      <c r="F38" s="34"/>
      <c r="G38" s="18"/>
      <c r="H38" s="18"/>
      <c r="I38" s="18"/>
    </row>
    <row r="39" spans="1:9" ht="10.5" x14ac:dyDescent="0.25">
      <c r="A39" s="26" t="s">
        <v>46</v>
      </c>
      <c r="B39" s="26"/>
      <c r="C39" s="26"/>
      <c r="D39" s="32"/>
      <c r="E39" s="33">
        <f>E41-(E35)</f>
        <v>38165.859538599849</v>
      </c>
      <c r="F39" s="34">
        <f>F41-(F35)</f>
        <v>5.2147744075764422</v>
      </c>
      <c r="G39" s="18"/>
      <c r="H39" s="18"/>
      <c r="I39" s="18"/>
    </row>
    <row r="40" spans="1:9" ht="10.5" x14ac:dyDescent="0.25">
      <c r="A40" s="26"/>
      <c r="B40" s="26"/>
      <c r="C40" s="26"/>
      <c r="D40" s="32"/>
      <c r="E40" s="33"/>
      <c r="F40" s="34"/>
      <c r="G40" s="18"/>
      <c r="H40" s="18"/>
      <c r="I40" s="18"/>
    </row>
    <row r="41" spans="1:9" ht="10.5" x14ac:dyDescent="0.25">
      <c r="A41" s="35" t="s">
        <v>45</v>
      </c>
      <c r="B41" s="35"/>
      <c r="C41" s="35"/>
      <c r="D41" s="36"/>
      <c r="E41" s="37">
        <v>731879.39794960001</v>
      </c>
      <c r="F41" s="38">
        <v>100</v>
      </c>
      <c r="G41" s="18"/>
      <c r="H41" s="18"/>
      <c r="I41" s="18"/>
    </row>
    <row r="44" spans="1:9" ht="10.5" x14ac:dyDescent="0.25">
      <c r="A44" s="18" t="s">
        <v>48</v>
      </c>
    </row>
    <row r="45" spans="1:9" ht="10.5" x14ac:dyDescent="0.25">
      <c r="A45" s="18" t="s">
        <v>49</v>
      </c>
    </row>
    <row r="46" spans="1:9" ht="10.5" x14ac:dyDescent="0.25">
      <c r="A46" s="18" t="s">
        <v>50</v>
      </c>
      <c r="B46" s="18"/>
      <c r="C46" s="39" t="s">
        <v>727</v>
      </c>
      <c r="D46" s="19" t="s">
        <v>51</v>
      </c>
    </row>
    <row r="47" spans="1:9" x14ac:dyDescent="0.2">
      <c r="A47" s="9" t="s">
        <v>71</v>
      </c>
      <c r="C47" s="40">
        <v>36.0486</v>
      </c>
      <c r="D47" s="40">
        <v>47.474400000000003</v>
      </c>
    </row>
    <row r="48" spans="1:9" x14ac:dyDescent="0.2">
      <c r="A48" s="9" t="s">
        <v>77</v>
      </c>
      <c r="C48" s="40">
        <v>19.543900000000001</v>
      </c>
      <c r="D48" s="40">
        <v>23.8568</v>
      </c>
    </row>
    <row r="49" spans="1:4" x14ac:dyDescent="0.2">
      <c r="A49" s="9" t="s">
        <v>74</v>
      </c>
      <c r="C49" s="40">
        <v>39.0047</v>
      </c>
      <c r="D49" s="40">
        <v>51.5779</v>
      </c>
    </row>
    <row r="50" spans="1:4" x14ac:dyDescent="0.2">
      <c r="A50" s="9" t="s">
        <v>78</v>
      </c>
      <c r="C50" s="40">
        <v>21.678899999999999</v>
      </c>
      <c r="D50" s="40">
        <v>26.778500000000001</v>
      </c>
    </row>
    <row r="52" spans="1:4" ht="10.5" x14ac:dyDescent="0.25">
      <c r="A52" s="18" t="s">
        <v>52</v>
      </c>
    </row>
    <row r="53" spans="1:4" ht="10.5" x14ac:dyDescent="0.25">
      <c r="A53" s="77" t="s">
        <v>68</v>
      </c>
      <c r="B53" s="78"/>
      <c r="C53" s="43" t="s">
        <v>69</v>
      </c>
    </row>
    <row r="54" spans="1:4" x14ac:dyDescent="0.2">
      <c r="A54" s="71" t="s">
        <v>77</v>
      </c>
      <c r="B54" s="72"/>
      <c r="C54" s="44">
        <v>1.5</v>
      </c>
    </row>
    <row r="55" spans="1:4" x14ac:dyDescent="0.2">
      <c r="A55" s="71" t="s">
        <v>78</v>
      </c>
      <c r="B55" s="72"/>
      <c r="C55" s="44">
        <v>1.5</v>
      </c>
    </row>
    <row r="56" spans="1:4" x14ac:dyDescent="0.2">
      <c r="A56" s="9" t="s">
        <v>70</v>
      </c>
    </row>
    <row r="58" spans="1:4" ht="10.5" x14ac:dyDescent="0.25">
      <c r="A58" s="18" t="s">
        <v>222</v>
      </c>
      <c r="D58" s="45">
        <v>8.6999999999999994E-2</v>
      </c>
    </row>
    <row r="60" spans="1:4" ht="10.5" x14ac:dyDescent="0.25">
      <c r="A60" s="18" t="s">
        <v>726</v>
      </c>
    </row>
    <row r="61" spans="1:4" x14ac:dyDescent="0.2">
      <c r="A61" s="46" t="s">
        <v>55</v>
      </c>
    </row>
  </sheetData>
  <mergeCells count="4">
    <mergeCell ref="A1:F1"/>
    <mergeCell ref="A53:B53"/>
    <mergeCell ref="A54:B54"/>
    <mergeCell ref="A55:B55"/>
  </mergeCells>
  <conditionalFormatting sqref="F2:F3 F5:F65534">
    <cfRule type="cellIs" dxfId="16" priority="1" stopIfTrue="1" operator="between">
      <formula>0.009</formula>
      <formula>-0.009</formula>
    </cfRule>
  </conditionalFormatting>
  <hyperlinks>
    <hyperlink ref="A61" r:id="rId1" xr:uid="{00000000-0004-0000-2D00-000000000000}"/>
  </hyperlinks>
  <pageMargins left="0.7" right="0.7" top="0.75" bottom="0.75" header="0.3" footer="0.3"/>
  <pageSetup paperSize="9" scale="60" orientation="portrait" r:id="rId2"/>
  <headerFooter>
    <oddFooter>&amp;R&amp;1#&amp;"Calibri"&amp;10&amp;KFF0000|PUBLIC|&amp;LPUBLIC</oddFooter>
    <evenFooter>&amp;LPUBLIC</evenFooter>
    <firstFooter>&amp;LPUBLIC</firstFooter>
  </headerFooter>
  <colBreaks count="1" manualBreakCount="1">
    <brk id="6" max="1048575" man="1"/>
  </col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4"/>
  <sheetViews>
    <sheetView zoomScaleNormal="100" zoomScaleSheetLayoutView="55" workbookViewId="0">
      <selection sqref="A1:F1"/>
    </sheetView>
  </sheetViews>
  <sheetFormatPr defaultColWidth="9.1796875" defaultRowHeight="10" x14ac:dyDescent="0.2"/>
  <cols>
    <col min="1" max="1" width="38.7265625" style="9" bestFit="1" customWidth="1"/>
    <col min="2" max="2" width="36.54296875" style="9" customWidth="1"/>
    <col min="3" max="3" width="18.81640625" style="9" bestFit="1" customWidth="1"/>
    <col min="4" max="4" width="15.1796875" style="10" bestFit="1" customWidth="1"/>
    <col min="5" max="5" width="23" style="13" bestFit="1" customWidth="1"/>
    <col min="6" max="6" width="14.7265625" style="14" bestFit="1" customWidth="1"/>
    <col min="7" max="16384" width="9.1796875" style="9"/>
  </cols>
  <sheetData>
    <row r="1" spans="1:6" s="1" customFormat="1" ht="14" x14ac:dyDescent="0.25">
      <c r="A1" s="75" t="s">
        <v>745</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99</v>
      </c>
      <c r="B7" s="27" t="s">
        <v>98</v>
      </c>
      <c r="C7" s="27" t="s">
        <v>100</v>
      </c>
      <c r="D7" s="31">
        <v>5500000</v>
      </c>
      <c r="E7" s="29">
        <v>76477.5</v>
      </c>
      <c r="F7" s="30">
        <v>8.4844516711430895</v>
      </c>
    </row>
    <row r="8" spans="1:6" x14ac:dyDescent="0.2">
      <c r="A8" s="27" t="s">
        <v>104</v>
      </c>
      <c r="B8" s="27" t="s">
        <v>103</v>
      </c>
      <c r="C8" s="27" t="s">
        <v>105</v>
      </c>
      <c r="D8" s="31">
        <v>5300000</v>
      </c>
      <c r="E8" s="29">
        <v>65669.649999999994</v>
      </c>
      <c r="F8" s="30">
        <v>7.28542344723457</v>
      </c>
    </row>
    <row r="9" spans="1:6" x14ac:dyDescent="0.2">
      <c r="A9" s="27" t="s">
        <v>110</v>
      </c>
      <c r="B9" s="27" t="s">
        <v>109</v>
      </c>
      <c r="C9" s="27" t="s">
        <v>100</v>
      </c>
      <c r="D9" s="31">
        <v>12000000</v>
      </c>
      <c r="E9" s="29">
        <v>64440</v>
      </c>
      <c r="F9" s="30">
        <v>7.1490054681241002</v>
      </c>
    </row>
    <row r="10" spans="1:6" x14ac:dyDescent="0.2">
      <c r="A10" s="27" t="s">
        <v>107</v>
      </c>
      <c r="B10" s="27" t="s">
        <v>106</v>
      </c>
      <c r="C10" s="27" t="s">
        <v>108</v>
      </c>
      <c r="D10" s="31">
        <v>11500000</v>
      </c>
      <c r="E10" s="29">
        <v>63664</v>
      </c>
      <c r="F10" s="30">
        <v>7.0629156443614596</v>
      </c>
    </row>
    <row r="11" spans="1:6" x14ac:dyDescent="0.2">
      <c r="A11" s="27" t="s">
        <v>102</v>
      </c>
      <c r="B11" s="27" t="s">
        <v>101</v>
      </c>
      <c r="C11" s="27" t="s">
        <v>100</v>
      </c>
      <c r="D11" s="31">
        <v>8800000</v>
      </c>
      <c r="E11" s="29">
        <v>58335.199999999997</v>
      </c>
      <c r="F11" s="30">
        <v>6.4717359370594796</v>
      </c>
    </row>
    <row r="12" spans="1:6" x14ac:dyDescent="0.2">
      <c r="A12" s="27" t="s">
        <v>195</v>
      </c>
      <c r="B12" s="27" t="s">
        <v>194</v>
      </c>
      <c r="C12" s="27" t="s">
        <v>196</v>
      </c>
      <c r="D12" s="31">
        <v>3000000</v>
      </c>
      <c r="E12" s="29">
        <v>40041</v>
      </c>
      <c r="F12" s="30">
        <v>4.4421683418553304</v>
      </c>
    </row>
    <row r="13" spans="1:6" x14ac:dyDescent="0.2">
      <c r="A13" s="27" t="s">
        <v>143</v>
      </c>
      <c r="B13" s="27" t="s">
        <v>142</v>
      </c>
      <c r="C13" s="27" t="s">
        <v>100</v>
      </c>
      <c r="D13" s="31">
        <v>13500000</v>
      </c>
      <c r="E13" s="29">
        <v>38083.5</v>
      </c>
      <c r="F13" s="30">
        <v>4.22500232379429</v>
      </c>
    </row>
    <row r="14" spans="1:6" x14ac:dyDescent="0.2">
      <c r="A14" s="27" t="s">
        <v>163</v>
      </c>
      <c r="B14" s="27" t="s">
        <v>162</v>
      </c>
      <c r="C14" s="27" t="s">
        <v>130</v>
      </c>
      <c r="D14" s="31">
        <v>10000000</v>
      </c>
      <c r="E14" s="29">
        <v>26270</v>
      </c>
      <c r="F14" s="30">
        <v>2.9144067915521399</v>
      </c>
    </row>
    <row r="15" spans="1:6" x14ac:dyDescent="0.2">
      <c r="A15" s="27" t="s">
        <v>117</v>
      </c>
      <c r="B15" s="27" t="s">
        <v>116</v>
      </c>
      <c r="C15" s="27" t="s">
        <v>118</v>
      </c>
      <c r="D15" s="31">
        <v>2800000</v>
      </c>
      <c r="E15" s="29">
        <v>25426.799999999999</v>
      </c>
      <c r="F15" s="30">
        <v>2.8208617665564502</v>
      </c>
    </row>
    <row r="16" spans="1:6" x14ac:dyDescent="0.2">
      <c r="A16" s="27" t="s">
        <v>151</v>
      </c>
      <c r="B16" s="27" t="s">
        <v>150</v>
      </c>
      <c r="C16" s="27" t="s">
        <v>127</v>
      </c>
      <c r="D16" s="31">
        <v>1920000</v>
      </c>
      <c r="E16" s="29">
        <v>24954.240000000002</v>
      </c>
      <c r="F16" s="30">
        <v>2.7684357264568802</v>
      </c>
    </row>
    <row r="17" spans="1:6" x14ac:dyDescent="0.2">
      <c r="A17" s="27" t="s">
        <v>129</v>
      </c>
      <c r="B17" s="27" t="s">
        <v>128</v>
      </c>
      <c r="C17" s="27" t="s">
        <v>130</v>
      </c>
      <c r="D17" s="31">
        <v>3200000</v>
      </c>
      <c r="E17" s="29">
        <v>23987.200000000001</v>
      </c>
      <c r="F17" s="30">
        <v>2.66115183061742</v>
      </c>
    </row>
    <row r="18" spans="1:6" x14ac:dyDescent="0.2">
      <c r="A18" s="27" t="s">
        <v>537</v>
      </c>
      <c r="B18" s="27" t="s">
        <v>536</v>
      </c>
      <c r="C18" s="27" t="s">
        <v>127</v>
      </c>
      <c r="D18" s="31">
        <v>3500000</v>
      </c>
      <c r="E18" s="29">
        <v>20254.5</v>
      </c>
      <c r="F18" s="30">
        <v>2.2470442466498999</v>
      </c>
    </row>
    <row r="19" spans="1:6" x14ac:dyDescent="0.2">
      <c r="A19" s="27" t="s">
        <v>546</v>
      </c>
      <c r="B19" s="27" t="s">
        <v>545</v>
      </c>
      <c r="C19" s="27" t="s">
        <v>127</v>
      </c>
      <c r="D19" s="31">
        <v>4800000</v>
      </c>
      <c r="E19" s="29">
        <v>19948.8</v>
      </c>
      <c r="F19" s="30">
        <v>2.2131297374691798</v>
      </c>
    </row>
    <row r="20" spans="1:6" x14ac:dyDescent="0.2">
      <c r="A20" s="27" t="s">
        <v>324</v>
      </c>
      <c r="B20" s="27" t="s">
        <v>323</v>
      </c>
      <c r="C20" s="27" t="s">
        <v>105</v>
      </c>
      <c r="D20" s="31">
        <v>2100000</v>
      </c>
      <c r="E20" s="29">
        <v>19194</v>
      </c>
      <c r="F20" s="30">
        <v>2.1293918521907802</v>
      </c>
    </row>
    <row r="21" spans="1:6" x14ac:dyDescent="0.2">
      <c r="A21" s="27" t="s">
        <v>153</v>
      </c>
      <c r="B21" s="27" t="s">
        <v>152</v>
      </c>
      <c r="C21" s="27" t="s">
        <v>146</v>
      </c>
      <c r="D21" s="31">
        <v>21500000</v>
      </c>
      <c r="E21" s="29">
        <v>19124.25</v>
      </c>
      <c r="F21" s="30">
        <v>2.1216537526966501</v>
      </c>
    </row>
    <row r="22" spans="1:6" x14ac:dyDescent="0.2">
      <c r="A22" s="27" t="s">
        <v>132</v>
      </c>
      <c r="B22" s="27" t="s">
        <v>131</v>
      </c>
      <c r="C22" s="27" t="s">
        <v>133</v>
      </c>
      <c r="D22" s="31">
        <v>8500000</v>
      </c>
      <c r="E22" s="29">
        <v>18581</v>
      </c>
      <c r="F22" s="30">
        <v>2.0613853290380799</v>
      </c>
    </row>
    <row r="23" spans="1:6" x14ac:dyDescent="0.2">
      <c r="A23" s="27" t="s">
        <v>165</v>
      </c>
      <c r="B23" s="27" t="s">
        <v>164</v>
      </c>
      <c r="C23" s="27" t="s">
        <v>166</v>
      </c>
      <c r="D23" s="31">
        <v>12000000</v>
      </c>
      <c r="E23" s="29">
        <v>18012</v>
      </c>
      <c r="F23" s="30">
        <v>1.99826018764512</v>
      </c>
    </row>
    <row r="24" spans="1:6" x14ac:dyDescent="0.2">
      <c r="A24" s="27" t="s">
        <v>548</v>
      </c>
      <c r="B24" s="27" t="s">
        <v>547</v>
      </c>
      <c r="C24" s="27" t="s">
        <v>138</v>
      </c>
      <c r="D24" s="31">
        <v>3000000</v>
      </c>
      <c r="E24" s="29">
        <v>17586</v>
      </c>
      <c r="F24" s="30">
        <v>1.9509995369713</v>
      </c>
    </row>
    <row r="25" spans="1:6" x14ac:dyDescent="0.2">
      <c r="A25" s="27" t="s">
        <v>179</v>
      </c>
      <c r="B25" s="27" t="s">
        <v>178</v>
      </c>
      <c r="C25" s="27" t="s">
        <v>180</v>
      </c>
      <c r="D25" s="31">
        <v>1600000</v>
      </c>
      <c r="E25" s="29">
        <v>16890.400000000001</v>
      </c>
      <c r="F25" s="30">
        <v>1.8738293289696399</v>
      </c>
    </row>
    <row r="26" spans="1:6" x14ac:dyDescent="0.2">
      <c r="A26" s="27" t="s">
        <v>193</v>
      </c>
      <c r="B26" s="27" t="s">
        <v>192</v>
      </c>
      <c r="C26" s="27" t="s">
        <v>105</v>
      </c>
      <c r="D26" s="31">
        <v>1700000</v>
      </c>
      <c r="E26" s="29">
        <v>16343.8</v>
      </c>
      <c r="F26" s="30">
        <v>1.81318925465436</v>
      </c>
    </row>
    <row r="27" spans="1:6" x14ac:dyDescent="0.2">
      <c r="A27" s="27" t="s">
        <v>216</v>
      </c>
      <c r="B27" s="27" t="s">
        <v>215</v>
      </c>
      <c r="C27" s="27" t="s">
        <v>121</v>
      </c>
      <c r="D27" s="31">
        <v>12000000</v>
      </c>
      <c r="E27" s="29">
        <v>15036</v>
      </c>
      <c r="F27" s="30">
        <v>1.66810127589562</v>
      </c>
    </row>
    <row r="28" spans="1:6" x14ac:dyDescent="0.2">
      <c r="A28" s="27" t="s">
        <v>380</v>
      </c>
      <c r="B28" s="27" t="s">
        <v>379</v>
      </c>
      <c r="C28" s="27" t="s">
        <v>127</v>
      </c>
      <c r="D28" s="31">
        <v>9200000</v>
      </c>
      <c r="E28" s="29">
        <v>14913.2</v>
      </c>
      <c r="F28" s="30">
        <v>1.6544777831661801</v>
      </c>
    </row>
    <row r="29" spans="1:6" x14ac:dyDescent="0.2">
      <c r="A29" s="27" t="s">
        <v>550</v>
      </c>
      <c r="B29" s="27" t="s">
        <v>549</v>
      </c>
      <c r="C29" s="27" t="s">
        <v>185</v>
      </c>
      <c r="D29" s="31">
        <v>3000000</v>
      </c>
      <c r="E29" s="29">
        <v>14430</v>
      </c>
      <c r="F29" s="30">
        <v>1.6008713362047</v>
      </c>
    </row>
    <row r="30" spans="1:6" x14ac:dyDescent="0.2">
      <c r="A30" s="27" t="s">
        <v>523</v>
      </c>
      <c r="B30" s="27" t="s">
        <v>522</v>
      </c>
      <c r="C30" s="27" t="s">
        <v>138</v>
      </c>
      <c r="D30" s="31">
        <v>1400000</v>
      </c>
      <c r="E30" s="29">
        <v>14106.4</v>
      </c>
      <c r="F30" s="30">
        <v>1.5649709921717201</v>
      </c>
    </row>
    <row r="31" spans="1:6" x14ac:dyDescent="0.2">
      <c r="A31" s="27" t="s">
        <v>527</v>
      </c>
      <c r="B31" s="27" t="s">
        <v>526</v>
      </c>
      <c r="C31" s="27" t="s">
        <v>180</v>
      </c>
      <c r="D31" s="31">
        <v>230000</v>
      </c>
      <c r="E31" s="29">
        <v>12252.674999999999</v>
      </c>
      <c r="F31" s="30">
        <v>1.35931782393153</v>
      </c>
    </row>
    <row r="32" spans="1:6" x14ac:dyDescent="0.2">
      <c r="A32" s="27" t="s">
        <v>269</v>
      </c>
      <c r="B32" s="27" t="s">
        <v>268</v>
      </c>
      <c r="C32" s="27" t="s">
        <v>180</v>
      </c>
      <c r="D32" s="31">
        <v>700000</v>
      </c>
      <c r="E32" s="29">
        <v>11226.95</v>
      </c>
      <c r="F32" s="30">
        <v>1.24552338517002</v>
      </c>
    </row>
    <row r="33" spans="1:6" x14ac:dyDescent="0.2">
      <c r="A33" s="27" t="s">
        <v>552</v>
      </c>
      <c r="B33" s="27" t="s">
        <v>551</v>
      </c>
      <c r="C33" s="27" t="s">
        <v>185</v>
      </c>
      <c r="D33" s="31">
        <v>12000000</v>
      </c>
      <c r="E33" s="29">
        <v>9696</v>
      </c>
      <c r="F33" s="30">
        <v>1.0756790350548</v>
      </c>
    </row>
    <row r="34" spans="1:6" x14ac:dyDescent="0.2">
      <c r="A34" s="27" t="s">
        <v>508</v>
      </c>
      <c r="B34" s="27" t="s">
        <v>507</v>
      </c>
      <c r="C34" s="27" t="s">
        <v>147</v>
      </c>
      <c r="D34" s="31">
        <v>540000</v>
      </c>
      <c r="E34" s="29">
        <v>9456.75</v>
      </c>
      <c r="F34" s="30">
        <v>1.0491365217362301</v>
      </c>
    </row>
    <row r="35" spans="1:6" x14ac:dyDescent="0.2">
      <c r="A35" s="27" t="s">
        <v>244</v>
      </c>
      <c r="B35" s="27" t="s">
        <v>243</v>
      </c>
      <c r="C35" s="27" t="s">
        <v>245</v>
      </c>
      <c r="D35" s="31">
        <v>5500000</v>
      </c>
      <c r="E35" s="29">
        <v>7152.75</v>
      </c>
      <c r="F35" s="30">
        <v>0.79352962231726698</v>
      </c>
    </row>
    <row r="36" spans="1:6" x14ac:dyDescent="0.2">
      <c r="A36" s="27" t="s">
        <v>271</v>
      </c>
      <c r="B36" s="27" t="s">
        <v>270</v>
      </c>
      <c r="C36" s="27" t="s">
        <v>133</v>
      </c>
      <c r="D36" s="31">
        <v>1000000</v>
      </c>
      <c r="E36" s="29">
        <v>6855.5</v>
      </c>
      <c r="F36" s="30">
        <v>0.76055256031540597</v>
      </c>
    </row>
    <row r="37" spans="1:6" x14ac:dyDescent="0.2">
      <c r="A37" s="27" t="s">
        <v>137</v>
      </c>
      <c r="B37" s="27" t="s">
        <v>136</v>
      </c>
      <c r="C37" s="27" t="s">
        <v>138</v>
      </c>
      <c r="D37" s="31">
        <v>1500000</v>
      </c>
      <c r="E37" s="29">
        <v>6772.5</v>
      </c>
      <c r="F37" s="30">
        <v>0.75134449926862901</v>
      </c>
    </row>
    <row r="38" spans="1:6" x14ac:dyDescent="0.2">
      <c r="A38" s="27" t="s">
        <v>266</v>
      </c>
      <c r="B38" s="27" t="s">
        <v>265</v>
      </c>
      <c r="C38" s="27" t="s">
        <v>267</v>
      </c>
      <c r="D38" s="31">
        <v>1600000</v>
      </c>
      <c r="E38" s="29">
        <v>6702.4</v>
      </c>
      <c r="F38" s="30">
        <v>0.74356757060141199</v>
      </c>
    </row>
    <row r="39" spans="1:6" x14ac:dyDescent="0.2">
      <c r="A39" s="27" t="s">
        <v>452</v>
      </c>
      <c r="B39" s="27" t="s">
        <v>451</v>
      </c>
      <c r="C39" s="27" t="s">
        <v>180</v>
      </c>
      <c r="D39" s="31">
        <v>2100000</v>
      </c>
      <c r="E39" s="29">
        <v>6683.25</v>
      </c>
      <c r="F39" s="30">
        <v>0.74144306013098105</v>
      </c>
    </row>
    <row r="40" spans="1:6" x14ac:dyDescent="0.2">
      <c r="A40" s="27" t="s">
        <v>205</v>
      </c>
      <c r="B40" s="27" t="s">
        <v>204</v>
      </c>
      <c r="C40" s="27" t="s">
        <v>133</v>
      </c>
      <c r="D40" s="31">
        <v>7000000</v>
      </c>
      <c r="E40" s="29">
        <v>6527.5</v>
      </c>
      <c r="F40" s="30">
        <v>0.724164078106457</v>
      </c>
    </row>
    <row r="41" spans="1:6" x14ac:dyDescent="0.2">
      <c r="A41" s="27" t="s">
        <v>242</v>
      </c>
      <c r="B41" s="27" t="s">
        <v>241</v>
      </c>
      <c r="C41" s="27" t="s">
        <v>130</v>
      </c>
      <c r="D41" s="31">
        <v>6000000</v>
      </c>
      <c r="E41" s="29">
        <v>6267</v>
      </c>
      <c r="F41" s="30">
        <v>0.69526407927892198</v>
      </c>
    </row>
    <row r="42" spans="1:6" x14ac:dyDescent="0.2">
      <c r="A42" s="27" t="s">
        <v>276</v>
      </c>
      <c r="B42" s="27" t="s">
        <v>275</v>
      </c>
      <c r="C42" s="27" t="s">
        <v>147</v>
      </c>
      <c r="D42" s="31">
        <v>1000000</v>
      </c>
      <c r="E42" s="29">
        <v>5771</v>
      </c>
      <c r="F42" s="30">
        <v>0.64023759398734004</v>
      </c>
    </row>
    <row r="43" spans="1:6" x14ac:dyDescent="0.2">
      <c r="A43" s="27" t="s">
        <v>554</v>
      </c>
      <c r="B43" s="27" t="s">
        <v>553</v>
      </c>
      <c r="C43" s="27" t="s">
        <v>262</v>
      </c>
      <c r="D43" s="31">
        <v>6000000</v>
      </c>
      <c r="E43" s="29">
        <v>5190</v>
      </c>
      <c r="F43" s="30">
        <v>0.57578116665990198</v>
      </c>
    </row>
    <row r="44" spans="1:6" x14ac:dyDescent="0.2">
      <c r="A44" s="27" t="s">
        <v>556</v>
      </c>
      <c r="B44" s="27" t="s">
        <v>555</v>
      </c>
      <c r="C44" s="27" t="s">
        <v>118</v>
      </c>
      <c r="D44" s="31">
        <v>326000</v>
      </c>
      <c r="E44" s="29">
        <v>4894.2380000000003</v>
      </c>
      <c r="F44" s="30">
        <v>0.54296918411391604</v>
      </c>
    </row>
    <row r="45" spans="1:6" x14ac:dyDescent="0.2">
      <c r="A45" s="27" t="s">
        <v>415</v>
      </c>
      <c r="B45" s="27" t="s">
        <v>414</v>
      </c>
      <c r="C45" s="27" t="s">
        <v>416</v>
      </c>
      <c r="D45" s="31">
        <v>230000</v>
      </c>
      <c r="E45" s="29">
        <v>4745.7049999999999</v>
      </c>
      <c r="F45" s="30">
        <v>0.52649085963848397</v>
      </c>
    </row>
    <row r="46" spans="1:6" x14ac:dyDescent="0.2">
      <c r="A46" s="27" t="s">
        <v>558</v>
      </c>
      <c r="B46" s="27" t="s">
        <v>557</v>
      </c>
      <c r="C46" s="27" t="s">
        <v>166</v>
      </c>
      <c r="D46" s="31">
        <v>2600000</v>
      </c>
      <c r="E46" s="29">
        <v>3755.7</v>
      </c>
      <c r="F46" s="30">
        <v>0.41665921534192601</v>
      </c>
    </row>
    <row r="47" spans="1:6" x14ac:dyDescent="0.2">
      <c r="A47" s="27" t="s">
        <v>161</v>
      </c>
      <c r="B47" s="27" t="s">
        <v>160</v>
      </c>
      <c r="C47" s="27" t="s">
        <v>100</v>
      </c>
      <c r="D47" s="31">
        <v>7000000</v>
      </c>
      <c r="E47" s="29">
        <v>2971.5</v>
      </c>
      <c r="F47" s="30">
        <v>0.329659679524065</v>
      </c>
    </row>
    <row r="48" spans="1:6" x14ac:dyDescent="0.2">
      <c r="A48" s="27" t="s">
        <v>168</v>
      </c>
      <c r="B48" s="27" t="s">
        <v>167</v>
      </c>
      <c r="C48" s="27" t="s">
        <v>169</v>
      </c>
      <c r="D48" s="31">
        <v>7000000</v>
      </c>
      <c r="E48" s="29">
        <v>2880.5</v>
      </c>
      <c r="F48" s="30">
        <v>0.31956409452097301</v>
      </c>
    </row>
    <row r="49" spans="1:9" x14ac:dyDescent="0.2">
      <c r="A49" s="27" t="s">
        <v>332</v>
      </c>
      <c r="B49" s="27" t="s">
        <v>331</v>
      </c>
      <c r="C49" s="27" t="s">
        <v>105</v>
      </c>
      <c r="D49" s="31">
        <v>400000</v>
      </c>
      <c r="E49" s="29">
        <v>2403.6</v>
      </c>
      <c r="F49" s="30">
        <v>0.26665657267509502</v>
      </c>
    </row>
    <row r="50" spans="1:9" x14ac:dyDescent="0.2">
      <c r="A50" s="27" t="s">
        <v>159</v>
      </c>
      <c r="B50" s="27" t="s">
        <v>158</v>
      </c>
      <c r="C50" s="27" t="s">
        <v>130</v>
      </c>
      <c r="D50" s="31">
        <v>400000</v>
      </c>
      <c r="E50" s="29">
        <v>2242.8000000000002</v>
      </c>
      <c r="F50" s="30">
        <v>0.24881734115314599</v>
      </c>
    </row>
    <row r="51" spans="1:9" x14ac:dyDescent="0.2">
      <c r="A51" s="27" t="s">
        <v>170</v>
      </c>
      <c r="B51" s="27" t="s">
        <v>728</v>
      </c>
      <c r="C51" s="27" t="s">
        <v>166</v>
      </c>
      <c r="D51" s="31">
        <v>1344155</v>
      </c>
      <c r="E51" s="29">
        <v>1723.2067099999999</v>
      </c>
      <c r="F51" s="30">
        <v>0.19117340460115101</v>
      </c>
    </row>
    <row r="52" spans="1:9" ht="10.5" x14ac:dyDescent="0.25">
      <c r="A52" s="26" t="s">
        <v>40</v>
      </c>
      <c r="B52" s="26"/>
      <c r="C52" s="26"/>
      <c r="D52" s="32"/>
      <c r="E52" s="33">
        <f>SUM(E7:E51)</f>
        <v>857940.9647100002</v>
      </c>
      <c r="F52" s="34">
        <f>SUM(F7:F51)</f>
        <v>95.180394910606068</v>
      </c>
      <c r="G52" s="18"/>
      <c r="H52" s="18"/>
      <c r="I52" s="18"/>
    </row>
    <row r="53" spans="1:9" x14ac:dyDescent="0.2">
      <c r="A53" s="27"/>
      <c r="B53" s="27"/>
      <c r="C53" s="27"/>
      <c r="D53" s="28"/>
      <c r="E53" s="29"/>
      <c r="F53" s="30"/>
    </row>
    <row r="54" spans="1:9" ht="10.5" x14ac:dyDescent="0.25">
      <c r="A54" s="26" t="s">
        <v>231</v>
      </c>
      <c r="B54" s="27"/>
      <c r="C54" s="27"/>
      <c r="D54" s="28"/>
      <c r="E54" s="29"/>
      <c r="F54" s="30"/>
    </row>
    <row r="55" spans="1:9" x14ac:dyDescent="0.2">
      <c r="A55" s="27"/>
      <c r="B55" s="27" t="s">
        <v>235</v>
      </c>
      <c r="C55" s="27" t="s">
        <v>185</v>
      </c>
      <c r="D55" s="31">
        <v>73500</v>
      </c>
      <c r="E55" s="29">
        <v>7.3499999999999998E-3</v>
      </c>
      <c r="F55" s="30">
        <v>8.1541263486517898E-7</v>
      </c>
    </row>
    <row r="56" spans="1:9" x14ac:dyDescent="0.2">
      <c r="A56" s="27"/>
      <c r="B56" s="27" t="s">
        <v>559</v>
      </c>
      <c r="C56" s="27" t="s">
        <v>105</v>
      </c>
      <c r="D56" s="31">
        <v>45000</v>
      </c>
      <c r="E56" s="29">
        <v>4.4999999999999997E-3</v>
      </c>
      <c r="F56" s="30">
        <v>4.9923222542766103E-7</v>
      </c>
    </row>
    <row r="57" spans="1:9" x14ac:dyDescent="0.2">
      <c r="A57" s="27" t="s">
        <v>520</v>
      </c>
      <c r="B57" s="27" t="s">
        <v>519</v>
      </c>
      <c r="C57" s="27" t="s">
        <v>185</v>
      </c>
      <c r="D57" s="31">
        <v>38000</v>
      </c>
      <c r="E57" s="29">
        <v>3.8E-3</v>
      </c>
      <c r="F57" s="30">
        <v>4.2157387925002499E-7</v>
      </c>
    </row>
    <row r="58" spans="1:9" ht="10.5" x14ac:dyDescent="0.25">
      <c r="A58" s="26" t="s">
        <v>40</v>
      </c>
      <c r="B58" s="26"/>
      <c r="C58" s="26"/>
      <c r="D58" s="32"/>
      <c r="E58" s="33">
        <f>SUM(E54:E57)</f>
        <v>1.5650000000000001E-2</v>
      </c>
      <c r="F58" s="34">
        <f>SUM(F54:F57)</f>
        <v>1.736218739542865E-6</v>
      </c>
      <c r="G58" s="18"/>
      <c r="H58" s="18"/>
      <c r="I58" s="18"/>
    </row>
    <row r="59" spans="1:9" x14ac:dyDescent="0.2">
      <c r="A59" s="27"/>
      <c r="B59" s="27"/>
      <c r="C59" s="27"/>
      <c r="D59" s="28"/>
      <c r="E59" s="29"/>
      <c r="F59" s="30"/>
    </row>
    <row r="60" spans="1:9" ht="10.5" x14ac:dyDescent="0.25">
      <c r="A60" s="26" t="s">
        <v>44</v>
      </c>
      <c r="B60" s="26"/>
      <c r="C60" s="26"/>
      <c r="D60" s="32"/>
      <c r="E60" s="33">
        <f>E52+E58</f>
        <v>857940.98036000016</v>
      </c>
      <c r="F60" s="34">
        <f>F52+F58</f>
        <v>95.180396646824803</v>
      </c>
      <c r="G60" s="18"/>
      <c r="H60" s="18"/>
      <c r="I60" s="18"/>
    </row>
    <row r="61" spans="1:9" ht="10.5" x14ac:dyDescent="0.25">
      <c r="A61" s="26"/>
      <c r="B61" s="26"/>
      <c r="C61" s="26"/>
      <c r="D61" s="32"/>
      <c r="E61" s="33"/>
      <c r="F61" s="34"/>
      <c r="G61" s="18"/>
      <c r="H61" s="18"/>
      <c r="I61" s="18"/>
    </row>
    <row r="62" spans="1:9" ht="10.5" x14ac:dyDescent="0.25">
      <c r="A62" s="26" t="s">
        <v>46</v>
      </c>
      <c r="B62" s="26"/>
      <c r="C62" s="26"/>
      <c r="D62" s="32"/>
      <c r="E62" s="33">
        <f>E64-(E52+E58)</f>
        <v>43443.139253899804</v>
      </c>
      <c r="F62" s="34">
        <f>F64-(F52+F58)</f>
        <v>4.8196033531751965</v>
      </c>
      <c r="G62" s="18"/>
      <c r="H62" s="18"/>
      <c r="I62" s="18"/>
    </row>
    <row r="63" spans="1:9" ht="10.5" x14ac:dyDescent="0.25">
      <c r="A63" s="26"/>
      <c r="B63" s="26"/>
      <c r="C63" s="26"/>
      <c r="D63" s="32"/>
      <c r="E63" s="33"/>
      <c r="F63" s="34"/>
      <c r="G63" s="18"/>
      <c r="H63" s="18"/>
      <c r="I63" s="18"/>
    </row>
    <row r="64" spans="1:9" ht="10.5" x14ac:dyDescent="0.25">
      <c r="A64" s="35" t="s">
        <v>45</v>
      </c>
      <c r="B64" s="35"/>
      <c r="C64" s="35"/>
      <c r="D64" s="36"/>
      <c r="E64" s="37">
        <v>901384.11961389997</v>
      </c>
      <c r="F64" s="38">
        <v>100</v>
      </c>
      <c r="G64" s="18"/>
      <c r="H64" s="18"/>
      <c r="I64" s="18"/>
    </row>
    <row r="65" spans="1:6" ht="10.5" x14ac:dyDescent="0.25">
      <c r="F65" s="20" t="s">
        <v>56</v>
      </c>
    </row>
    <row r="66" spans="1:6" ht="10.5" x14ac:dyDescent="0.25">
      <c r="A66" s="18" t="s">
        <v>47</v>
      </c>
      <c r="F66" s="20"/>
    </row>
    <row r="67" spans="1:6" ht="10.5" x14ac:dyDescent="0.25">
      <c r="A67" s="18" t="s">
        <v>729</v>
      </c>
      <c r="F67" s="20"/>
    </row>
    <row r="69" spans="1:6" ht="10.5" x14ac:dyDescent="0.25">
      <c r="A69" s="18" t="s">
        <v>48</v>
      </c>
    </row>
    <row r="70" spans="1:6" ht="10.5" x14ac:dyDescent="0.25">
      <c r="A70" s="18" t="s">
        <v>49</v>
      </c>
    </row>
    <row r="71" spans="1:6" ht="10.5" x14ac:dyDescent="0.25">
      <c r="A71" s="18" t="s">
        <v>50</v>
      </c>
      <c r="B71" s="18"/>
      <c r="C71" s="39" t="s">
        <v>727</v>
      </c>
      <c r="D71" s="19" t="s">
        <v>51</v>
      </c>
    </row>
    <row r="72" spans="1:6" x14ac:dyDescent="0.2">
      <c r="A72" s="9" t="s">
        <v>71</v>
      </c>
      <c r="C72" s="40">
        <v>531.88909999999998</v>
      </c>
      <c r="D72" s="40">
        <v>706.95399999999995</v>
      </c>
    </row>
    <row r="73" spans="1:6" x14ac:dyDescent="0.2">
      <c r="A73" s="9" t="s">
        <v>77</v>
      </c>
      <c r="C73" s="40">
        <v>30.015599999999999</v>
      </c>
      <c r="D73" s="40">
        <v>39.894399999999997</v>
      </c>
    </row>
    <row r="74" spans="1:6" x14ac:dyDescent="0.2">
      <c r="A74" s="9" t="s">
        <v>74</v>
      </c>
      <c r="C74" s="40">
        <v>570.35599999999999</v>
      </c>
      <c r="D74" s="40">
        <v>760.88409999999999</v>
      </c>
    </row>
    <row r="75" spans="1:6" x14ac:dyDescent="0.2">
      <c r="A75" s="9" t="s">
        <v>78</v>
      </c>
      <c r="C75" s="40">
        <v>32.955300000000001</v>
      </c>
      <c r="D75" s="40">
        <v>43.963999999999999</v>
      </c>
    </row>
    <row r="77" spans="1:6" ht="10.5" x14ac:dyDescent="0.25">
      <c r="A77" s="18" t="s">
        <v>52</v>
      </c>
      <c r="D77" s="41" t="s">
        <v>53</v>
      </c>
    </row>
    <row r="79" spans="1:6" ht="10.5" x14ac:dyDescent="0.25">
      <c r="A79" s="18" t="s">
        <v>222</v>
      </c>
      <c r="D79" s="45">
        <v>7.8899999999999998E-2</v>
      </c>
    </row>
    <row r="81" spans="1:1" ht="10.5" x14ac:dyDescent="0.25">
      <c r="A81" s="18" t="s">
        <v>726</v>
      </c>
    </row>
    <row r="82" spans="1:1" x14ac:dyDescent="0.2">
      <c r="A82" s="46" t="s">
        <v>55</v>
      </c>
    </row>
    <row r="84" spans="1:1" ht="10.5" x14ac:dyDescent="0.25">
      <c r="A84" s="18" t="s">
        <v>746</v>
      </c>
    </row>
  </sheetData>
  <mergeCells count="1">
    <mergeCell ref="A1:F1"/>
  </mergeCells>
  <conditionalFormatting sqref="F2:F3 F5:F65530">
    <cfRule type="cellIs" dxfId="15" priority="1" stopIfTrue="1" operator="between">
      <formula>0.009</formula>
      <formula>-0.009</formula>
    </cfRule>
  </conditionalFormatting>
  <hyperlinks>
    <hyperlink ref="A82" r:id="rId1" xr:uid="{00000000-0004-0000-2E00-000000000000}"/>
  </hyperlinks>
  <pageMargins left="0.7" right="0.7" top="0.75" bottom="0.75" header="0.3" footer="0.3"/>
  <pageSetup paperSize="9" scale="56" orientation="portrait" r:id="rId2"/>
  <headerFooter>
    <oddFooter>&amp;R&amp;1#&amp;"Calibri"&amp;10&amp;KFF0000|PUBLIC|&amp;LPUBLIC</oddFooter>
    <evenFooter>&amp;LPUBLIC</evenFooter>
    <firstFooter>&amp;LPUBLIC</firstFooter>
  </headerFooter>
  <colBreaks count="1" manualBreakCount="1">
    <brk id="7" max="80" man="1"/>
  </col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79"/>
  <sheetViews>
    <sheetView zoomScaleNormal="100" workbookViewId="0">
      <selection sqref="A1:F1"/>
    </sheetView>
  </sheetViews>
  <sheetFormatPr defaultColWidth="9.1796875" defaultRowHeight="10" x14ac:dyDescent="0.2"/>
  <cols>
    <col min="1" max="1" width="38.7265625" style="9" bestFit="1" customWidth="1"/>
    <col min="2" max="2" width="37.26953125" style="9" customWidth="1"/>
    <col min="3" max="3" width="35.7265625" style="9" bestFit="1" customWidth="1"/>
    <col min="4" max="4" width="15.1796875" style="10" bestFit="1" customWidth="1"/>
    <col min="5" max="5" width="23" style="13" bestFit="1" customWidth="1"/>
    <col min="6" max="6" width="13.54296875" style="14" bestFit="1" customWidth="1"/>
    <col min="7" max="16384" width="9.1796875" style="9"/>
  </cols>
  <sheetData>
    <row r="1" spans="1:6" s="1" customFormat="1" ht="14" x14ac:dyDescent="0.25">
      <c r="A1" s="75" t="s">
        <v>17</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102</v>
      </c>
      <c r="B7" s="27" t="s">
        <v>101</v>
      </c>
      <c r="C7" s="27" t="s">
        <v>100</v>
      </c>
      <c r="D7" s="31">
        <v>3444468</v>
      </c>
      <c r="E7" s="29">
        <v>22833.378369999999</v>
      </c>
      <c r="F7" s="30">
        <v>9.6842407491642994</v>
      </c>
    </row>
    <row r="8" spans="1:6" x14ac:dyDescent="0.2">
      <c r="A8" s="27" t="s">
        <v>104</v>
      </c>
      <c r="B8" s="27" t="s">
        <v>103</v>
      </c>
      <c r="C8" s="27" t="s">
        <v>105</v>
      </c>
      <c r="D8" s="31">
        <v>1729339</v>
      </c>
      <c r="E8" s="29">
        <v>21427.374879999999</v>
      </c>
      <c r="F8" s="30">
        <v>9.0879174162485405</v>
      </c>
    </row>
    <row r="9" spans="1:6" x14ac:dyDescent="0.2">
      <c r="A9" s="27" t="s">
        <v>99</v>
      </c>
      <c r="B9" s="27" t="s">
        <v>98</v>
      </c>
      <c r="C9" s="27" t="s">
        <v>100</v>
      </c>
      <c r="D9" s="31">
        <v>1188046</v>
      </c>
      <c r="E9" s="29">
        <v>16519.779630000001</v>
      </c>
      <c r="F9" s="30">
        <v>7.0064762413894304</v>
      </c>
    </row>
    <row r="10" spans="1:6" x14ac:dyDescent="0.2">
      <c r="A10" s="27" t="s">
        <v>110</v>
      </c>
      <c r="B10" s="27" t="s">
        <v>109</v>
      </c>
      <c r="C10" s="27" t="s">
        <v>100</v>
      </c>
      <c r="D10" s="31">
        <v>2485871</v>
      </c>
      <c r="E10" s="29">
        <v>13349.127270000001</v>
      </c>
      <c r="F10" s="30">
        <v>5.6617185674007002</v>
      </c>
    </row>
    <row r="11" spans="1:6" x14ac:dyDescent="0.2">
      <c r="A11" s="27" t="s">
        <v>191</v>
      </c>
      <c r="B11" s="27" t="s">
        <v>190</v>
      </c>
      <c r="C11" s="27" t="s">
        <v>146</v>
      </c>
      <c r="D11" s="31">
        <v>14377483</v>
      </c>
      <c r="E11" s="29">
        <v>10840.62218</v>
      </c>
      <c r="F11" s="30">
        <v>4.5977950945614001</v>
      </c>
    </row>
    <row r="12" spans="1:6" x14ac:dyDescent="0.2">
      <c r="A12" s="27" t="s">
        <v>107</v>
      </c>
      <c r="B12" s="27" t="s">
        <v>106</v>
      </c>
      <c r="C12" s="27" t="s">
        <v>108</v>
      </c>
      <c r="D12" s="31">
        <v>1433873</v>
      </c>
      <c r="E12" s="29">
        <v>7937.9209279999995</v>
      </c>
      <c r="F12" s="30">
        <v>3.36668258498191</v>
      </c>
    </row>
    <row r="13" spans="1:6" x14ac:dyDescent="0.2">
      <c r="A13" s="27" t="s">
        <v>202</v>
      </c>
      <c r="B13" s="27" t="s">
        <v>201</v>
      </c>
      <c r="C13" s="27" t="s">
        <v>203</v>
      </c>
      <c r="D13" s="31">
        <v>6017530</v>
      </c>
      <c r="E13" s="29">
        <v>7317.3164800000004</v>
      </c>
      <c r="F13" s="30">
        <v>3.10346779534173</v>
      </c>
    </row>
    <row r="14" spans="1:6" x14ac:dyDescent="0.2">
      <c r="A14" s="27" t="s">
        <v>424</v>
      </c>
      <c r="B14" s="27" t="s">
        <v>423</v>
      </c>
      <c r="C14" s="27" t="s">
        <v>100</v>
      </c>
      <c r="D14" s="31">
        <v>4236879</v>
      </c>
      <c r="E14" s="29">
        <v>7170.9177079999999</v>
      </c>
      <c r="F14" s="30">
        <v>3.04137619722357</v>
      </c>
    </row>
    <row r="15" spans="1:6" x14ac:dyDescent="0.2">
      <c r="A15" s="27" t="s">
        <v>474</v>
      </c>
      <c r="B15" s="27" t="s">
        <v>473</v>
      </c>
      <c r="C15" s="27" t="s">
        <v>416</v>
      </c>
      <c r="D15" s="31">
        <v>257232</v>
      </c>
      <c r="E15" s="29">
        <v>6588.3545999999997</v>
      </c>
      <c r="F15" s="30">
        <v>2.7942957478028299</v>
      </c>
    </row>
    <row r="16" spans="1:6" x14ac:dyDescent="0.2">
      <c r="A16" s="27" t="s">
        <v>218</v>
      </c>
      <c r="B16" s="27" t="s">
        <v>217</v>
      </c>
      <c r="C16" s="27" t="s">
        <v>100</v>
      </c>
      <c r="D16" s="31">
        <v>8330054</v>
      </c>
      <c r="E16" s="29">
        <v>6022.6290419999996</v>
      </c>
      <c r="F16" s="30">
        <v>2.5543565494568901</v>
      </c>
    </row>
    <row r="17" spans="1:6" x14ac:dyDescent="0.2">
      <c r="A17" s="27" t="s">
        <v>195</v>
      </c>
      <c r="B17" s="27" t="s">
        <v>194</v>
      </c>
      <c r="C17" s="27" t="s">
        <v>196</v>
      </c>
      <c r="D17" s="31">
        <v>399838</v>
      </c>
      <c r="E17" s="29">
        <v>5336.6377860000002</v>
      </c>
      <c r="F17" s="30">
        <v>2.2634094820858199</v>
      </c>
    </row>
    <row r="18" spans="1:6" x14ac:dyDescent="0.2">
      <c r="A18" s="27" t="s">
        <v>244</v>
      </c>
      <c r="B18" s="27" t="s">
        <v>243</v>
      </c>
      <c r="C18" s="27" t="s">
        <v>245</v>
      </c>
      <c r="D18" s="31">
        <v>4044411</v>
      </c>
      <c r="E18" s="29">
        <v>5259.7565059999997</v>
      </c>
      <c r="F18" s="30">
        <v>2.2308020942276001</v>
      </c>
    </row>
    <row r="19" spans="1:6" x14ac:dyDescent="0.2">
      <c r="A19" s="27" t="s">
        <v>151</v>
      </c>
      <c r="B19" s="27" t="s">
        <v>150</v>
      </c>
      <c r="C19" s="27" t="s">
        <v>127</v>
      </c>
      <c r="D19" s="31">
        <v>397050</v>
      </c>
      <c r="E19" s="29">
        <v>5160.45885</v>
      </c>
      <c r="F19" s="30">
        <v>2.1886873273740401</v>
      </c>
    </row>
    <row r="20" spans="1:6" x14ac:dyDescent="0.2">
      <c r="A20" s="27" t="s">
        <v>137</v>
      </c>
      <c r="B20" s="27" t="s">
        <v>136</v>
      </c>
      <c r="C20" s="27" t="s">
        <v>138</v>
      </c>
      <c r="D20" s="31">
        <v>1052564</v>
      </c>
      <c r="E20" s="29">
        <v>4752.3264600000002</v>
      </c>
      <c r="F20" s="30">
        <v>2.0155875670913099</v>
      </c>
    </row>
    <row r="21" spans="1:6" x14ac:dyDescent="0.2">
      <c r="A21" s="27" t="s">
        <v>291</v>
      </c>
      <c r="B21" s="27" t="s">
        <v>290</v>
      </c>
      <c r="C21" s="27" t="s">
        <v>130</v>
      </c>
      <c r="D21" s="31">
        <v>4169680</v>
      </c>
      <c r="E21" s="29">
        <v>4620.0054399999999</v>
      </c>
      <c r="F21" s="30">
        <v>1.95946671659384</v>
      </c>
    </row>
    <row r="22" spans="1:6" x14ac:dyDescent="0.2">
      <c r="A22" s="27" t="s">
        <v>112</v>
      </c>
      <c r="B22" s="27" t="s">
        <v>111</v>
      </c>
      <c r="C22" s="27" t="s">
        <v>113</v>
      </c>
      <c r="D22" s="31">
        <v>282387</v>
      </c>
      <c r="E22" s="29">
        <v>4485.2939150000002</v>
      </c>
      <c r="F22" s="30">
        <v>1.9023319895881701</v>
      </c>
    </row>
    <row r="23" spans="1:6" x14ac:dyDescent="0.2">
      <c r="A23" s="27" t="s">
        <v>228</v>
      </c>
      <c r="B23" s="27" t="s">
        <v>227</v>
      </c>
      <c r="C23" s="27" t="s">
        <v>146</v>
      </c>
      <c r="D23" s="31">
        <v>18217899</v>
      </c>
      <c r="E23" s="29">
        <v>4372.29576</v>
      </c>
      <c r="F23" s="30">
        <v>1.85440647810674</v>
      </c>
    </row>
    <row r="24" spans="1:6" x14ac:dyDescent="0.2">
      <c r="A24" s="27" t="s">
        <v>478</v>
      </c>
      <c r="B24" s="27" t="s">
        <v>477</v>
      </c>
      <c r="C24" s="27" t="s">
        <v>479</v>
      </c>
      <c r="D24" s="31">
        <v>511291</v>
      </c>
      <c r="E24" s="29">
        <v>4319.8976590000002</v>
      </c>
      <c r="F24" s="30">
        <v>1.83218305515722</v>
      </c>
    </row>
    <row r="25" spans="1:6" x14ac:dyDescent="0.2">
      <c r="A25" s="27" t="s">
        <v>561</v>
      </c>
      <c r="B25" s="27" t="s">
        <v>560</v>
      </c>
      <c r="C25" s="27" t="s">
        <v>100</v>
      </c>
      <c r="D25" s="31">
        <v>480528</v>
      </c>
      <c r="E25" s="29">
        <v>4065.7474080000002</v>
      </c>
      <c r="F25" s="30">
        <v>1.72439119986268</v>
      </c>
    </row>
    <row r="26" spans="1:6" x14ac:dyDescent="0.2">
      <c r="A26" s="27" t="s">
        <v>210</v>
      </c>
      <c r="B26" s="27" t="s">
        <v>209</v>
      </c>
      <c r="C26" s="27" t="s">
        <v>147</v>
      </c>
      <c r="D26" s="31">
        <v>2493349</v>
      </c>
      <c r="E26" s="29">
        <v>4041.7187290000002</v>
      </c>
      <c r="F26" s="30">
        <v>1.7142000004461999</v>
      </c>
    </row>
    <row r="27" spans="1:6" x14ac:dyDescent="0.2">
      <c r="A27" s="27" t="s">
        <v>135</v>
      </c>
      <c r="B27" s="27" t="s">
        <v>134</v>
      </c>
      <c r="C27" s="27" t="s">
        <v>121</v>
      </c>
      <c r="D27" s="31">
        <v>1965841</v>
      </c>
      <c r="E27" s="29">
        <v>3892.3651799999998</v>
      </c>
      <c r="F27" s="30">
        <v>1.6508552031139601</v>
      </c>
    </row>
    <row r="28" spans="1:6" x14ac:dyDescent="0.2">
      <c r="A28" s="27" t="s">
        <v>284</v>
      </c>
      <c r="B28" s="27" t="s">
        <v>283</v>
      </c>
      <c r="C28" s="27" t="s">
        <v>208</v>
      </c>
      <c r="D28" s="31">
        <v>417110</v>
      </c>
      <c r="E28" s="29">
        <v>3815.0966149999999</v>
      </c>
      <c r="F28" s="30">
        <v>1.61808355742593</v>
      </c>
    </row>
    <row r="29" spans="1:6" x14ac:dyDescent="0.2">
      <c r="A29" s="27" t="s">
        <v>117</v>
      </c>
      <c r="B29" s="27" t="s">
        <v>116</v>
      </c>
      <c r="C29" s="27" t="s">
        <v>118</v>
      </c>
      <c r="D29" s="31">
        <v>408797</v>
      </c>
      <c r="E29" s="29">
        <v>3712.2855570000002</v>
      </c>
      <c r="F29" s="30">
        <v>1.5744786636947199</v>
      </c>
    </row>
    <row r="30" spans="1:6" x14ac:dyDescent="0.2">
      <c r="A30" s="27" t="s">
        <v>205</v>
      </c>
      <c r="B30" s="27" t="s">
        <v>204</v>
      </c>
      <c r="C30" s="27" t="s">
        <v>133</v>
      </c>
      <c r="D30" s="31">
        <v>3938381</v>
      </c>
      <c r="E30" s="29">
        <v>3672.5402829999998</v>
      </c>
      <c r="F30" s="30">
        <v>1.55762163991924</v>
      </c>
    </row>
    <row r="31" spans="1:6" x14ac:dyDescent="0.2">
      <c r="A31" s="27" t="s">
        <v>278</v>
      </c>
      <c r="B31" s="27" t="s">
        <v>277</v>
      </c>
      <c r="C31" s="27" t="s">
        <v>127</v>
      </c>
      <c r="D31" s="31">
        <v>641207</v>
      </c>
      <c r="E31" s="29">
        <v>3589.4767860000002</v>
      </c>
      <c r="F31" s="30">
        <v>1.5223922100302201</v>
      </c>
    </row>
    <row r="32" spans="1:6" x14ac:dyDescent="0.2">
      <c r="A32" s="27" t="s">
        <v>242</v>
      </c>
      <c r="B32" s="27" t="s">
        <v>241</v>
      </c>
      <c r="C32" s="27" t="s">
        <v>130</v>
      </c>
      <c r="D32" s="31">
        <v>3415915</v>
      </c>
      <c r="E32" s="29">
        <v>3567.9232179999999</v>
      </c>
      <c r="F32" s="30">
        <v>1.5132507707682299</v>
      </c>
    </row>
    <row r="33" spans="1:6" x14ac:dyDescent="0.2">
      <c r="A33" s="27" t="s">
        <v>212</v>
      </c>
      <c r="B33" s="27" t="s">
        <v>211</v>
      </c>
      <c r="C33" s="27" t="s">
        <v>185</v>
      </c>
      <c r="D33" s="31">
        <v>974352</v>
      </c>
      <c r="E33" s="29">
        <v>3267.4894319999999</v>
      </c>
      <c r="F33" s="30">
        <v>1.3858288419734199</v>
      </c>
    </row>
    <row r="34" spans="1:6" x14ac:dyDescent="0.2">
      <c r="A34" s="27" t="s">
        <v>523</v>
      </c>
      <c r="B34" s="27" t="s">
        <v>522</v>
      </c>
      <c r="C34" s="27" t="s">
        <v>138</v>
      </c>
      <c r="D34" s="31">
        <v>311893</v>
      </c>
      <c r="E34" s="29">
        <v>3142.6338679999999</v>
      </c>
      <c r="F34" s="30">
        <v>1.33287428916676</v>
      </c>
    </row>
    <row r="35" spans="1:6" x14ac:dyDescent="0.2">
      <c r="A35" s="27" t="s">
        <v>177</v>
      </c>
      <c r="B35" s="27" t="s">
        <v>176</v>
      </c>
      <c r="C35" s="27" t="s">
        <v>138</v>
      </c>
      <c r="D35" s="31">
        <v>67295</v>
      </c>
      <c r="E35" s="29">
        <v>3097.3869650000001</v>
      </c>
      <c r="F35" s="30">
        <v>1.3136838787638101</v>
      </c>
    </row>
    <row r="36" spans="1:6" x14ac:dyDescent="0.2">
      <c r="A36" s="27" t="s">
        <v>249</v>
      </c>
      <c r="B36" s="27" t="s">
        <v>248</v>
      </c>
      <c r="C36" s="27" t="s">
        <v>250</v>
      </c>
      <c r="D36" s="31">
        <v>651059</v>
      </c>
      <c r="E36" s="29">
        <v>3094.4834270000001</v>
      </c>
      <c r="F36" s="30">
        <v>1.31245241136724</v>
      </c>
    </row>
    <row r="37" spans="1:6" x14ac:dyDescent="0.2">
      <c r="A37" s="27" t="s">
        <v>129</v>
      </c>
      <c r="B37" s="27" t="s">
        <v>128</v>
      </c>
      <c r="C37" s="27" t="s">
        <v>130</v>
      </c>
      <c r="D37" s="31">
        <v>386570</v>
      </c>
      <c r="E37" s="29">
        <v>2897.7287200000001</v>
      </c>
      <c r="F37" s="30">
        <v>1.2290035270084201</v>
      </c>
    </row>
    <row r="38" spans="1:6" x14ac:dyDescent="0.2">
      <c r="A38" s="27" t="s">
        <v>200</v>
      </c>
      <c r="B38" s="27" t="s">
        <v>199</v>
      </c>
      <c r="C38" s="27" t="s">
        <v>185</v>
      </c>
      <c r="D38" s="31">
        <v>560390</v>
      </c>
      <c r="E38" s="29">
        <v>2801.1094149999999</v>
      </c>
      <c r="F38" s="30">
        <v>1.1880247197782801</v>
      </c>
    </row>
    <row r="39" spans="1:6" x14ac:dyDescent="0.2">
      <c r="A39" s="27" t="s">
        <v>193</v>
      </c>
      <c r="B39" s="27" t="s">
        <v>192</v>
      </c>
      <c r="C39" s="27" t="s">
        <v>105</v>
      </c>
      <c r="D39" s="31">
        <v>283932</v>
      </c>
      <c r="E39" s="29">
        <v>2729.722248</v>
      </c>
      <c r="F39" s="30">
        <v>1.1577475308128</v>
      </c>
    </row>
    <row r="40" spans="1:6" x14ac:dyDescent="0.2">
      <c r="A40" s="27" t="s">
        <v>261</v>
      </c>
      <c r="B40" s="27" t="s">
        <v>260</v>
      </c>
      <c r="C40" s="27" t="s">
        <v>262</v>
      </c>
      <c r="D40" s="31">
        <v>591969</v>
      </c>
      <c r="E40" s="29">
        <v>2566.1856149999999</v>
      </c>
      <c r="F40" s="30">
        <v>1.08838731176784</v>
      </c>
    </row>
    <row r="41" spans="1:6" x14ac:dyDescent="0.2">
      <c r="A41" s="27" t="s">
        <v>409</v>
      </c>
      <c r="B41" s="27" t="s">
        <v>408</v>
      </c>
      <c r="C41" s="27" t="s">
        <v>203</v>
      </c>
      <c r="D41" s="31">
        <v>5150797</v>
      </c>
      <c r="E41" s="29">
        <v>2132.4299580000002</v>
      </c>
      <c r="F41" s="30">
        <v>0.90442004504839002</v>
      </c>
    </row>
    <row r="42" spans="1:6" x14ac:dyDescent="0.2">
      <c r="A42" s="27" t="s">
        <v>157</v>
      </c>
      <c r="B42" s="27" t="s">
        <v>156</v>
      </c>
      <c r="C42" s="27" t="s">
        <v>127</v>
      </c>
      <c r="D42" s="31">
        <v>312320</v>
      </c>
      <c r="E42" s="29">
        <v>1713.69984</v>
      </c>
      <c r="F42" s="30">
        <v>0.72682550752844899</v>
      </c>
    </row>
    <row r="43" spans="1:6" x14ac:dyDescent="0.2">
      <c r="A43" s="27" t="s">
        <v>508</v>
      </c>
      <c r="B43" s="27" t="s">
        <v>507</v>
      </c>
      <c r="C43" s="27" t="s">
        <v>147</v>
      </c>
      <c r="D43" s="31">
        <v>90000</v>
      </c>
      <c r="E43" s="29">
        <v>1576.125</v>
      </c>
      <c r="F43" s="30">
        <v>0.66847637276623395</v>
      </c>
    </row>
    <row r="44" spans="1:6" x14ac:dyDescent="0.2">
      <c r="A44" s="27" t="s">
        <v>286</v>
      </c>
      <c r="B44" s="27" t="s">
        <v>285</v>
      </c>
      <c r="C44" s="27" t="s">
        <v>141</v>
      </c>
      <c r="D44" s="31">
        <v>3050843</v>
      </c>
      <c r="E44" s="29">
        <v>1461.353797</v>
      </c>
      <c r="F44" s="30">
        <v>0.61979886465015399</v>
      </c>
    </row>
    <row r="45" spans="1:6" x14ac:dyDescent="0.2">
      <c r="A45" s="27" t="s">
        <v>259</v>
      </c>
      <c r="B45" s="27" t="s">
        <v>258</v>
      </c>
      <c r="C45" s="27" t="s">
        <v>113</v>
      </c>
      <c r="D45" s="31">
        <v>42129</v>
      </c>
      <c r="E45" s="29">
        <v>1349.054838</v>
      </c>
      <c r="F45" s="30">
        <v>0.57216990071788698</v>
      </c>
    </row>
    <row r="46" spans="1:6" x14ac:dyDescent="0.2">
      <c r="A46" s="27" t="s">
        <v>255</v>
      </c>
      <c r="B46" s="27" t="s">
        <v>254</v>
      </c>
      <c r="C46" s="27" t="s">
        <v>147</v>
      </c>
      <c r="D46" s="31">
        <v>360275</v>
      </c>
      <c r="E46" s="29">
        <v>1318.9667750000001</v>
      </c>
      <c r="F46" s="30">
        <v>0.55940875600043005</v>
      </c>
    </row>
    <row r="47" spans="1:6" x14ac:dyDescent="0.2">
      <c r="A47" s="27" t="s">
        <v>165</v>
      </c>
      <c r="B47" s="27" t="s">
        <v>164</v>
      </c>
      <c r="C47" s="27" t="s">
        <v>166</v>
      </c>
      <c r="D47" s="31">
        <v>805716</v>
      </c>
      <c r="E47" s="29">
        <v>1209.3797159999999</v>
      </c>
      <c r="F47" s="30">
        <v>0.51292998071138896</v>
      </c>
    </row>
    <row r="48" spans="1:6" x14ac:dyDescent="0.2">
      <c r="A48" s="27" t="s">
        <v>420</v>
      </c>
      <c r="B48" s="27" t="s">
        <v>419</v>
      </c>
      <c r="C48" s="27" t="s">
        <v>113</v>
      </c>
      <c r="D48" s="31">
        <v>150123</v>
      </c>
      <c r="E48" s="29">
        <v>1169.7584159999999</v>
      </c>
      <c r="F48" s="30">
        <v>0.49612553759407102</v>
      </c>
    </row>
    <row r="49" spans="1:9" x14ac:dyDescent="0.2">
      <c r="A49" s="27" t="s">
        <v>132</v>
      </c>
      <c r="B49" s="27" t="s">
        <v>131</v>
      </c>
      <c r="C49" s="27" t="s">
        <v>133</v>
      </c>
      <c r="D49" s="31">
        <v>525067</v>
      </c>
      <c r="E49" s="29">
        <v>1147.796462</v>
      </c>
      <c r="F49" s="30">
        <v>0.48681089100907399</v>
      </c>
    </row>
    <row r="50" spans="1:9" x14ac:dyDescent="0.2">
      <c r="A50" s="27" t="s">
        <v>120</v>
      </c>
      <c r="B50" s="27" t="s">
        <v>119</v>
      </c>
      <c r="C50" s="27" t="s">
        <v>121</v>
      </c>
      <c r="D50" s="31">
        <v>432307</v>
      </c>
      <c r="E50" s="29">
        <v>1024.5675900000001</v>
      </c>
      <c r="F50" s="30">
        <v>0.434546261379676</v>
      </c>
    </row>
    <row r="51" spans="1:9" x14ac:dyDescent="0.2">
      <c r="A51" s="27" t="s">
        <v>207</v>
      </c>
      <c r="B51" s="27" t="s">
        <v>206</v>
      </c>
      <c r="C51" s="27" t="s">
        <v>208</v>
      </c>
      <c r="D51" s="31">
        <v>656332</v>
      </c>
      <c r="E51" s="29">
        <v>964.80804000000001</v>
      </c>
      <c r="F51" s="30">
        <v>0.409200652863764</v>
      </c>
    </row>
    <row r="52" spans="1:9" x14ac:dyDescent="0.2">
      <c r="A52" s="27" t="s">
        <v>264</v>
      </c>
      <c r="B52" s="27" t="s">
        <v>263</v>
      </c>
      <c r="C52" s="27" t="s">
        <v>185</v>
      </c>
      <c r="D52" s="31">
        <v>1113029</v>
      </c>
      <c r="E52" s="29">
        <v>796.928764</v>
      </c>
      <c r="F52" s="30">
        <v>0.33799860386187502</v>
      </c>
    </row>
    <row r="53" spans="1:9" x14ac:dyDescent="0.2">
      <c r="A53" s="27" t="s">
        <v>504</v>
      </c>
      <c r="B53" s="27" t="s">
        <v>503</v>
      </c>
      <c r="C53" s="27" t="s">
        <v>378</v>
      </c>
      <c r="D53" s="31">
        <v>105014</v>
      </c>
      <c r="E53" s="29">
        <v>787.13243699999998</v>
      </c>
      <c r="F53" s="30">
        <v>0.333843722022306</v>
      </c>
    </row>
    <row r="54" spans="1:9" x14ac:dyDescent="0.2">
      <c r="A54" s="27" t="s">
        <v>168</v>
      </c>
      <c r="B54" s="27" t="s">
        <v>167</v>
      </c>
      <c r="C54" s="27" t="s">
        <v>169</v>
      </c>
      <c r="D54" s="31">
        <v>1656994</v>
      </c>
      <c r="E54" s="29">
        <v>681.85303099999999</v>
      </c>
      <c r="F54" s="30">
        <v>0.28919193650411101</v>
      </c>
    </row>
    <row r="55" spans="1:9" x14ac:dyDescent="0.2">
      <c r="A55" s="27" t="s">
        <v>170</v>
      </c>
      <c r="B55" s="27" t="s">
        <v>728</v>
      </c>
      <c r="C55" s="27" t="s">
        <v>166</v>
      </c>
      <c r="D55" s="31">
        <v>94174</v>
      </c>
      <c r="E55" s="29">
        <v>120.73106799999999</v>
      </c>
      <c r="F55" s="30">
        <v>5.1205244772358501E-2</v>
      </c>
    </row>
    <row r="56" spans="1:9" ht="10.5" x14ac:dyDescent="0.25">
      <c r="A56" s="26" t="s">
        <v>40</v>
      </c>
      <c r="B56" s="26"/>
      <c r="C56" s="26"/>
      <c r="D56" s="32"/>
      <c r="E56" s="33">
        <f>SUM(E7:E55)</f>
        <v>229722.57266200008</v>
      </c>
      <c r="F56" s="34">
        <f>SUM(F7:F55)</f>
        <v>97.431429687125956</v>
      </c>
      <c r="G56" s="18"/>
      <c r="H56" s="18"/>
      <c r="I56" s="18"/>
    </row>
    <row r="57" spans="1:9" x14ac:dyDescent="0.2">
      <c r="A57" s="27"/>
      <c r="B57" s="27"/>
      <c r="C57" s="27"/>
      <c r="D57" s="28"/>
      <c r="E57" s="29"/>
      <c r="F57" s="30"/>
    </row>
    <row r="58" spans="1:9" ht="10.5" x14ac:dyDescent="0.25">
      <c r="A58" s="26" t="s">
        <v>44</v>
      </c>
      <c r="B58" s="26"/>
      <c r="C58" s="26"/>
      <c r="D58" s="32"/>
      <c r="E58" s="33">
        <f>E56</f>
        <v>229722.57266200008</v>
      </c>
      <c r="F58" s="34">
        <f>F56</f>
        <v>97.431429687125956</v>
      </c>
      <c r="G58" s="18"/>
      <c r="H58" s="18"/>
      <c r="I58" s="18"/>
    </row>
    <row r="59" spans="1:9" ht="10.5" x14ac:dyDescent="0.25">
      <c r="A59" s="26"/>
      <c r="B59" s="26"/>
      <c r="C59" s="26"/>
      <c r="D59" s="32"/>
      <c r="E59" s="33"/>
      <c r="F59" s="34"/>
      <c r="G59" s="18"/>
      <c r="H59" s="18"/>
      <c r="I59" s="18"/>
    </row>
    <row r="60" spans="1:9" ht="10.5" x14ac:dyDescent="0.25">
      <c r="A60" s="26" t="s">
        <v>46</v>
      </c>
      <c r="B60" s="26"/>
      <c r="C60" s="26"/>
      <c r="D60" s="32"/>
      <c r="E60" s="33">
        <f>E62-(E56)</f>
        <v>6056.1420706999197</v>
      </c>
      <c r="F60" s="34">
        <f>F62-(F56)</f>
        <v>2.5685703128740442</v>
      </c>
      <c r="G60" s="18"/>
      <c r="H60" s="18"/>
      <c r="I60" s="18"/>
    </row>
    <row r="61" spans="1:9" ht="10.5" x14ac:dyDescent="0.25">
      <c r="A61" s="26"/>
      <c r="B61" s="26"/>
      <c r="C61" s="26"/>
      <c r="D61" s="32"/>
      <c r="E61" s="33"/>
      <c r="F61" s="34"/>
      <c r="G61" s="18"/>
      <c r="H61" s="18"/>
      <c r="I61" s="18"/>
    </row>
    <row r="62" spans="1:9" ht="10.5" x14ac:dyDescent="0.25">
      <c r="A62" s="35" t="s">
        <v>45</v>
      </c>
      <c r="B62" s="35"/>
      <c r="C62" s="35"/>
      <c r="D62" s="36"/>
      <c r="E62" s="37">
        <v>235778.7147327</v>
      </c>
      <c r="F62" s="38">
        <v>100</v>
      </c>
      <c r="G62" s="18"/>
      <c r="H62" s="18"/>
      <c r="I62" s="18"/>
    </row>
    <row r="64" spans="1:9" ht="10.5" x14ac:dyDescent="0.25">
      <c r="A64" s="18" t="s">
        <v>729</v>
      </c>
    </row>
    <row r="66" spans="1:4" ht="10.5" x14ac:dyDescent="0.25">
      <c r="A66" s="18" t="s">
        <v>48</v>
      </c>
    </row>
    <row r="67" spans="1:4" ht="10.5" x14ac:dyDescent="0.25">
      <c r="A67" s="18" t="s">
        <v>49</v>
      </c>
    </row>
    <row r="68" spans="1:4" ht="10.5" x14ac:dyDescent="0.25">
      <c r="A68" s="18" t="s">
        <v>50</v>
      </c>
      <c r="B68" s="18"/>
      <c r="C68" s="39" t="s">
        <v>727</v>
      </c>
      <c r="D68" s="19" t="s">
        <v>51</v>
      </c>
    </row>
    <row r="69" spans="1:4" x14ac:dyDescent="0.2">
      <c r="A69" s="9" t="s">
        <v>71</v>
      </c>
      <c r="C69" s="40">
        <v>66.943200000000004</v>
      </c>
      <c r="D69" s="40">
        <v>90.697199999999995</v>
      </c>
    </row>
    <row r="70" spans="1:4" x14ac:dyDescent="0.2">
      <c r="A70" s="9" t="s">
        <v>77</v>
      </c>
      <c r="C70" s="40">
        <v>11.735300000000001</v>
      </c>
      <c r="D70" s="40">
        <v>15.8995</v>
      </c>
    </row>
    <row r="71" spans="1:4" x14ac:dyDescent="0.2">
      <c r="A71" s="9" t="s">
        <v>74</v>
      </c>
      <c r="C71" s="40">
        <v>70.858699999999999</v>
      </c>
      <c r="D71" s="40">
        <v>96.419300000000007</v>
      </c>
    </row>
    <row r="72" spans="1:4" x14ac:dyDescent="0.2">
      <c r="A72" s="9" t="s">
        <v>78</v>
      </c>
      <c r="C72" s="40">
        <v>12.732200000000001</v>
      </c>
      <c r="D72" s="40">
        <v>17.3246</v>
      </c>
    </row>
    <row r="74" spans="1:4" ht="10.5" x14ac:dyDescent="0.25">
      <c r="A74" s="18" t="s">
        <v>52</v>
      </c>
      <c r="D74" s="41" t="s">
        <v>53</v>
      </c>
    </row>
    <row r="76" spans="1:4" ht="10.5" x14ac:dyDescent="0.25">
      <c r="A76" s="18" t="s">
        <v>222</v>
      </c>
      <c r="D76" s="45">
        <v>7.3400000000000007E-2</v>
      </c>
    </row>
    <row r="78" spans="1:4" ht="10.5" x14ac:dyDescent="0.25">
      <c r="A78" s="18" t="s">
        <v>726</v>
      </c>
    </row>
    <row r="79" spans="1:4" x14ac:dyDescent="0.2">
      <c r="A79" s="46" t="s">
        <v>55</v>
      </c>
    </row>
  </sheetData>
  <mergeCells count="1">
    <mergeCell ref="A1:F1"/>
  </mergeCells>
  <conditionalFormatting sqref="F2:F3 F5:F65535">
    <cfRule type="cellIs" dxfId="14" priority="1" stopIfTrue="1" operator="between">
      <formula>0.009</formula>
      <formula>-0.009</formula>
    </cfRule>
  </conditionalFormatting>
  <hyperlinks>
    <hyperlink ref="A79" r:id="rId1" xr:uid="{00000000-0004-0000-2F00-000000000000}"/>
  </hyperlinks>
  <pageMargins left="0.7" right="0.7" top="0.75" bottom="0.75" header="0.3" footer="0.3"/>
  <pageSetup paperSize="9" scale="53" orientation="portrait" r:id="rId2"/>
  <headerFooter>
    <oddFooter>&amp;R&amp;1#&amp;"Calibri"&amp;10&amp;KFF0000|PUBLIC|&amp;LPUBLIC</oddFooter>
    <evenFooter>&amp;LPUBLIC</evenFooter>
    <firstFooter>&amp;LPUBLIC</firstFooter>
  </headerFooter>
  <colBreaks count="1" manualBreakCount="1">
    <brk id="6" max="78"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57"/>
  <sheetViews>
    <sheetView zoomScaleNormal="100" zoomScaleSheetLayoutView="100" workbookViewId="0">
      <selection sqref="A1:F1"/>
    </sheetView>
  </sheetViews>
  <sheetFormatPr defaultColWidth="9.1796875" defaultRowHeight="10" x14ac:dyDescent="0.2"/>
  <cols>
    <col min="1" max="1" width="38.7265625" style="9" bestFit="1" customWidth="1"/>
    <col min="2" max="2" width="24.1796875" style="9" bestFit="1" customWidth="1"/>
    <col min="3" max="3" width="21.1796875" style="9" bestFit="1" customWidth="1"/>
    <col min="4" max="4" width="15.1796875" style="10" bestFit="1" customWidth="1"/>
    <col min="5" max="5" width="23" style="13" bestFit="1" customWidth="1"/>
    <col min="6" max="6" width="13.54296875" style="14" bestFit="1" customWidth="1"/>
    <col min="7" max="16384" width="9.1796875" style="9"/>
  </cols>
  <sheetData>
    <row r="1" spans="1:6" s="1" customFormat="1" ht="14" x14ac:dyDescent="0.25">
      <c r="A1" s="75" t="s">
        <v>18</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102</v>
      </c>
      <c r="B7" s="27" t="s">
        <v>101</v>
      </c>
      <c r="C7" s="27" t="s">
        <v>100</v>
      </c>
      <c r="D7" s="31">
        <v>8200000</v>
      </c>
      <c r="E7" s="29">
        <v>54357.8</v>
      </c>
      <c r="F7" s="30">
        <v>9.8756165238467197</v>
      </c>
    </row>
    <row r="8" spans="1:6" x14ac:dyDescent="0.2">
      <c r="A8" s="27" t="s">
        <v>110</v>
      </c>
      <c r="B8" s="27" t="s">
        <v>109</v>
      </c>
      <c r="C8" s="27" t="s">
        <v>100</v>
      </c>
      <c r="D8" s="31">
        <v>10000000</v>
      </c>
      <c r="E8" s="29">
        <v>53700</v>
      </c>
      <c r="F8" s="30">
        <v>9.7561087338076309</v>
      </c>
    </row>
    <row r="9" spans="1:6" x14ac:dyDescent="0.2">
      <c r="A9" s="27" t="s">
        <v>143</v>
      </c>
      <c r="B9" s="27" t="s">
        <v>142</v>
      </c>
      <c r="C9" s="27" t="s">
        <v>100</v>
      </c>
      <c r="D9" s="31">
        <v>18000000</v>
      </c>
      <c r="E9" s="29">
        <v>50778</v>
      </c>
      <c r="F9" s="30">
        <v>9.2252456105267093</v>
      </c>
    </row>
    <row r="10" spans="1:6" x14ac:dyDescent="0.2">
      <c r="A10" s="27" t="s">
        <v>107</v>
      </c>
      <c r="B10" s="27" t="s">
        <v>106</v>
      </c>
      <c r="C10" s="27" t="s">
        <v>108</v>
      </c>
      <c r="D10" s="31">
        <v>6500000</v>
      </c>
      <c r="E10" s="29">
        <v>35984</v>
      </c>
      <c r="F10" s="30">
        <v>6.5375012416635698</v>
      </c>
    </row>
    <row r="11" spans="1:6" x14ac:dyDescent="0.2">
      <c r="A11" s="27" t="s">
        <v>99</v>
      </c>
      <c r="B11" s="27" t="s">
        <v>98</v>
      </c>
      <c r="C11" s="27" t="s">
        <v>100</v>
      </c>
      <c r="D11" s="31">
        <v>2200000</v>
      </c>
      <c r="E11" s="29">
        <v>30591</v>
      </c>
      <c r="F11" s="30">
        <v>5.5577117742255</v>
      </c>
    </row>
    <row r="12" spans="1:6" x14ac:dyDescent="0.2">
      <c r="A12" s="27" t="s">
        <v>195</v>
      </c>
      <c r="B12" s="27" t="s">
        <v>194</v>
      </c>
      <c r="C12" s="27" t="s">
        <v>196</v>
      </c>
      <c r="D12" s="31">
        <v>2100000</v>
      </c>
      <c r="E12" s="29">
        <v>28028.7</v>
      </c>
      <c r="F12" s="30">
        <v>5.0921982284408598</v>
      </c>
    </row>
    <row r="13" spans="1:6" x14ac:dyDescent="0.2">
      <c r="A13" s="27" t="s">
        <v>104</v>
      </c>
      <c r="B13" s="27" t="s">
        <v>103</v>
      </c>
      <c r="C13" s="27" t="s">
        <v>105</v>
      </c>
      <c r="D13" s="31">
        <v>2000000</v>
      </c>
      <c r="E13" s="29">
        <v>24781</v>
      </c>
      <c r="F13" s="30">
        <v>4.5021625797483598</v>
      </c>
    </row>
    <row r="14" spans="1:6" x14ac:dyDescent="0.2">
      <c r="A14" s="27" t="s">
        <v>523</v>
      </c>
      <c r="B14" s="27" t="s">
        <v>522</v>
      </c>
      <c r="C14" s="27" t="s">
        <v>138</v>
      </c>
      <c r="D14" s="31">
        <v>2232000</v>
      </c>
      <c r="E14" s="29">
        <v>22489.632000000001</v>
      </c>
      <c r="F14" s="30">
        <v>4.0858714185348202</v>
      </c>
    </row>
    <row r="15" spans="1:6" x14ac:dyDescent="0.2">
      <c r="A15" s="27" t="s">
        <v>153</v>
      </c>
      <c r="B15" s="27" t="s">
        <v>152</v>
      </c>
      <c r="C15" s="27" t="s">
        <v>146</v>
      </c>
      <c r="D15" s="31">
        <v>23503715</v>
      </c>
      <c r="E15" s="29">
        <v>20906.554489999999</v>
      </c>
      <c r="F15" s="30">
        <v>3.79826105872838</v>
      </c>
    </row>
    <row r="16" spans="1:6" x14ac:dyDescent="0.2">
      <c r="A16" s="27" t="s">
        <v>205</v>
      </c>
      <c r="B16" s="27" t="s">
        <v>204</v>
      </c>
      <c r="C16" s="27" t="s">
        <v>133</v>
      </c>
      <c r="D16" s="31">
        <v>22000000</v>
      </c>
      <c r="E16" s="29">
        <v>20515</v>
      </c>
      <c r="F16" s="30">
        <v>3.7271242211184998</v>
      </c>
    </row>
    <row r="17" spans="1:9" x14ac:dyDescent="0.2">
      <c r="A17" s="27" t="s">
        <v>269</v>
      </c>
      <c r="B17" s="27" t="s">
        <v>268</v>
      </c>
      <c r="C17" s="27" t="s">
        <v>180</v>
      </c>
      <c r="D17" s="31">
        <v>1250000</v>
      </c>
      <c r="E17" s="29">
        <v>20048.125</v>
      </c>
      <c r="F17" s="30">
        <v>3.6423033037051602</v>
      </c>
    </row>
    <row r="18" spans="1:9" x14ac:dyDescent="0.2">
      <c r="A18" s="27" t="s">
        <v>216</v>
      </c>
      <c r="B18" s="27" t="s">
        <v>215</v>
      </c>
      <c r="C18" s="27" t="s">
        <v>121</v>
      </c>
      <c r="D18" s="31">
        <v>15500000</v>
      </c>
      <c r="E18" s="29">
        <v>19421.5</v>
      </c>
      <c r="F18" s="30">
        <v>3.5284593253937602</v>
      </c>
    </row>
    <row r="19" spans="1:9" x14ac:dyDescent="0.2">
      <c r="A19" s="27" t="s">
        <v>525</v>
      </c>
      <c r="B19" s="27" t="s">
        <v>524</v>
      </c>
      <c r="C19" s="27" t="s">
        <v>262</v>
      </c>
      <c r="D19" s="31">
        <v>1250000</v>
      </c>
      <c r="E19" s="29">
        <v>19346.875</v>
      </c>
      <c r="F19" s="30">
        <v>3.5149016044578101</v>
      </c>
    </row>
    <row r="20" spans="1:9" x14ac:dyDescent="0.2">
      <c r="A20" s="27" t="s">
        <v>527</v>
      </c>
      <c r="B20" s="27" t="s">
        <v>526</v>
      </c>
      <c r="C20" s="27" t="s">
        <v>180</v>
      </c>
      <c r="D20" s="31">
        <v>348738</v>
      </c>
      <c r="E20" s="29">
        <v>18578.145110000001</v>
      </c>
      <c r="F20" s="30">
        <v>3.3752402935868999</v>
      </c>
    </row>
    <row r="21" spans="1:9" x14ac:dyDescent="0.2">
      <c r="A21" s="27" t="s">
        <v>155</v>
      </c>
      <c r="B21" s="27" t="s">
        <v>154</v>
      </c>
      <c r="C21" s="27" t="s">
        <v>133</v>
      </c>
      <c r="D21" s="31">
        <v>4700000</v>
      </c>
      <c r="E21" s="29">
        <v>18029.2</v>
      </c>
      <c r="F21" s="30">
        <v>3.2755090425244799</v>
      </c>
    </row>
    <row r="22" spans="1:9" x14ac:dyDescent="0.2">
      <c r="A22" s="27" t="s">
        <v>218</v>
      </c>
      <c r="B22" s="27" t="s">
        <v>217</v>
      </c>
      <c r="C22" s="27" t="s">
        <v>100</v>
      </c>
      <c r="D22" s="31">
        <v>20000000</v>
      </c>
      <c r="E22" s="29">
        <v>14460</v>
      </c>
      <c r="F22" s="30">
        <v>2.6270639160308802</v>
      </c>
    </row>
    <row r="23" spans="1:9" x14ac:dyDescent="0.2">
      <c r="A23" s="27" t="s">
        <v>537</v>
      </c>
      <c r="B23" s="27" t="s">
        <v>536</v>
      </c>
      <c r="C23" s="27" t="s">
        <v>127</v>
      </c>
      <c r="D23" s="31">
        <v>2000000</v>
      </c>
      <c r="E23" s="29">
        <v>11574</v>
      </c>
      <c r="F23" s="30">
        <v>2.10274120083966</v>
      </c>
    </row>
    <row r="24" spans="1:9" x14ac:dyDescent="0.2">
      <c r="A24" s="27" t="s">
        <v>474</v>
      </c>
      <c r="B24" s="27" t="s">
        <v>473</v>
      </c>
      <c r="C24" s="27" t="s">
        <v>416</v>
      </c>
      <c r="D24" s="31">
        <v>400000</v>
      </c>
      <c r="E24" s="29">
        <v>10245</v>
      </c>
      <c r="F24" s="30">
        <v>1.8612911355281001</v>
      </c>
    </row>
    <row r="25" spans="1:9" x14ac:dyDescent="0.2">
      <c r="A25" s="27" t="s">
        <v>149</v>
      </c>
      <c r="B25" s="27" t="s">
        <v>148</v>
      </c>
      <c r="C25" s="27" t="s">
        <v>130</v>
      </c>
      <c r="D25" s="31">
        <v>250000</v>
      </c>
      <c r="E25" s="29">
        <v>10014.5</v>
      </c>
      <c r="F25" s="30">
        <v>1.8194143559537499</v>
      </c>
    </row>
    <row r="26" spans="1:9" x14ac:dyDescent="0.2">
      <c r="A26" s="27" t="s">
        <v>179</v>
      </c>
      <c r="B26" s="27" t="s">
        <v>178</v>
      </c>
      <c r="C26" s="27" t="s">
        <v>180</v>
      </c>
      <c r="D26" s="31">
        <v>800000</v>
      </c>
      <c r="E26" s="29">
        <v>8445.2000000000007</v>
      </c>
      <c r="F26" s="30">
        <v>1.53430706664343</v>
      </c>
    </row>
    <row r="27" spans="1:9" x14ac:dyDescent="0.2">
      <c r="A27" s="27" t="s">
        <v>563</v>
      </c>
      <c r="B27" s="27" t="s">
        <v>562</v>
      </c>
      <c r="C27" s="27" t="s">
        <v>180</v>
      </c>
      <c r="D27" s="31">
        <v>3000000</v>
      </c>
      <c r="E27" s="29">
        <v>7300.5</v>
      </c>
      <c r="F27" s="30">
        <v>1.32634025719111</v>
      </c>
    </row>
    <row r="28" spans="1:9" x14ac:dyDescent="0.2">
      <c r="A28" s="27" t="s">
        <v>177</v>
      </c>
      <c r="B28" s="27" t="s">
        <v>176</v>
      </c>
      <c r="C28" s="27" t="s">
        <v>138</v>
      </c>
      <c r="D28" s="31">
        <v>125000</v>
      </c>
      <c r="E28" s="29">
        <v>5753.375</v>
      </c>
      <c r="F28" s="30">
        <v>1.0452616775860399</v>
      </c>
    </row>
    <row r="29" spans="1:9" x14ac:dyDescent="0.2">
      <c r="A29" s="27" t="s">
        <v>140</v>
      </c>
      <c r="B29" s="27" t="s">
        <v>139</v>
      </c>
      <c r="C29" s="27" t="s">
        <v>141</v>
      </c>
      <c r="D29" s="31">
        <v>2200000</v>
      </c>
      <c r="E29" s="29">
        <v>4978.6000000000004</v>
      </c>
      <c r="F29" s="30">
        <v>0.90450210320548796</v>
      </c>
    </row>
    <row r="30" spans="1:9" x14ac:dyDescent="0.2">
      <c r="A30" s="27" t="s">
        <v>137</v>
      </c>
      <c r="B30" s="27" t="s">
        <v>136</v>
      </c>
      <c r="C30" s="27" t="s">
        <v>138</v>
      </c>
      <c r="D30" s="31">
        <v>620727</v>
      </c>
      <c r="E30" s="29">
        <v>2802.5824050000001</v>
      </c>
      <c r="F30" s="30">
        <v>0.509167573158959</v>
      </c>
    </row>
    <row r="31" spans="1:9" ht="10.5" x14ac:dyDescent="0.25">
      <c r="A31" s="26" t="s">
        <v>40</v>
      </c>
      <c r="B31" s="26"/>
      <c r="C31" s="26"/>
      <c r="D31" s="32"/>
      <c r="E31" s="33">
        <f>SUM(E7:E30)</f>
        <v>513129.28900499997</v>
      </c>
      <c r="F31" s="34">
        <f>SUM(F7:F30)</f>
        <v>93.224304246446565</v>
      </c>
      <c r="G31" s="18"/>
      <c r="H31" s="18"/>
      <c r="I31" s="18"/>
    </row>
    <row r="32" spans="1:9" x14ac:dyDescent="0.2">
      <c r="A32" s="27"/>
      <c r="B32" s="27"/>
      <c r="C32" s="27"/>
      <c r="D32" s="28"/>
      <c r="E32" s="29"/>
      <c r="F32" s="30"/>
    </row>
    <row r="33" spans="1:9" ht="10.5" x14ac:dyDescent="0.25">
      <c r="A33" s="26" t="s">
        <v>44</v>
      </c>
      <c r="B33" s="26"/>
      <c r="C33" s="26"/>
      <c r="D33" s="32"/>
      <c r="E33" s="33">
        <f>E31</f>
        <v>513129.28900499997</v>
      </c>
      <c r="F33" s="34">
        <f>F31</f>
        <v>93.224304246446565</v>
      </c>
      <c r="G33" s="18"/>
      <c r="H33" s="18"/>
      <c r="I33" s="18"/>
    </row>
    <row r="34" spans="1:9" ht="10.5" x14ac:dyDescent="0.25">
      <c r="A34" s="26"/>
      <c r="B34" s="26"/>
      <c r="C34" s="26"/>
      <c r="D34" s="32"/>
      <c r="E34" s="33"/>
      <c r="F34" s="34"/>
      <c r="G34" s="18"/>
      <c r="H34" s="18"/>
      <c r="I34" s="18"/>
    </row>
    <row r="35" spans="1:9" ht="10.5" x14ac:dyDescent="0.25">
      <c r="A35" s="26" t="s">
        <v>46</v>
      </c>
      <c r="B35" s="26"/>
      <c r="C35" s="26"/>
      <c r="D35" s="32"/>
      <c r="E35" s="33">
        <f>E37-(E31)</f>
        <v>37295.080640600005</v>
      </c>
      <c r="F35" s="34">
        <f>F37-(F31)</f>
        <v>6.7756957535534355</v>
      </c>
      <c r="G35" s="18"/>
      <c r="H35" s="18"/>
      <c r="I35" s="18"/>
    </row>
    <row r="36" spans="1:9" ht="10.5" x14ac:dyDescent="0.25">
      <c r="A36" s="26"/>
      <c r="B36" s="26"/>
      <c r="C36" s="26"/>
      <c r="D36" s="32"/>
      <c r="E36" s="33"/>
      <c r="F36" s="34"/>
      <c r="G36" s="18"/>
      <c r="H36" s="18"/>
      <c r="I36" s="18"/>
    </row>
    <row r="37" spans="1:9" ht="10.5" x14ac:dyDescent="0.25">
      <c r="A37" s="35" t="s">
        <v>45</v>
      </c>
      <c r="B37" s="35"/>
      <c r="C37" s="35"/>
      <c r="D37" s="36"/>
      <c r="E37" s="37">
        <v>550424.36964559997</v>
      </c>
      <c r="F37" s="38">
        <v>100</v>
      </c>
      <c r="G37" s="18"/>
      <c r="H37" s="18"/>
      <c r="I37" s="18"/>
    </row>
    <row r="40" spans="1:9" ht="10.5" x14ac:dyDescent="0.25">
      <c r="A40" s="18" t="s">
        <v>48</v>
      </c>
    </row>
    <row r="41" spans="1:9" ht="10.5" x14ac:dyDescent="0.25">
      <c r="A41" s="18" t="s">
        <v>49</v>
      </c>
    </row>
    <row r="42" spans="1:9" ht="10.5" x14ac:dyDescent="0.25">
      <c r="A42" s="18" t="s">
        <v>50</v>
      </c>
      <c r="B42" s="18"/>
      <c r="C42" s="39" t="s">
        <v>727</v>
      </c>
      <c r="D42" s="19" t="s">
        <v>51</v>
      </c>
    </row>
    <row r="43" spans="1:9" x14ac:dyDescent="0.2">
      <c r="A43" s="9" t="s">
        <v>71</v>
      </c>
      <c r="C43" s="40">
        <v>417.98540000000003</v>
      </c>
      <c r="D43" s="40">
        <v>542.10950000000003</v>
      </c>
    </row>
    <row r="44" spans="1:9" x14ac:dyDescent="0.2">
      <c r="A44" s="9" t="s">
        <v>77</v>
      </c>
      <c r="C44" s="40">
        <v>30.787199999999999</v>
      </c>
      <c r="D44" s="40">
        <v>36.535499999999999</v>
      </c>
    </row>
    <row r="45" spans="1:9" x14ac:dyDescent="0.2">
      <c r="A45" s="9" t="s">
        <v>74</v>
      </c>
      <c r="C45" s="40">
        <v>445.02010000000001</v>
      </c>
      <c r="D45" s="40">
        <v>579.25390000000004</v>
      </c>
    </row>
    <row r="46" spans="1:9" x14ac:dyDescent="0.2">
      <c r="A46" s="9" t="s">
        <v>78</v>
      </c>
      <c r="C46" s="40">
        <v>33.695500000000003</v>
      </c>
      <c r="D46" s="40">
        <v>40.464300000000001</v>
      </c>
    </row>
    <row r="48" spans="1:9" ht="10.5" x14ac:dyDescent="0.25">
      <c r="A48" s="18" t="s">
        <v>52</v>
      </c>
    </row>
    <row r="49" spans="1:4" ht="10.5" x14ac:dyDescent="0.25">
      <c r="A49" s="77" t="s">
        <v>68</v>
      </c>
      <c r="B49" s="78"/>
      <c r="C49" s="43" t="s">
        <v>69</v>
      </c>
    </row>
    <row r="50" spans="1:4" x14ac:dyDescent="0.2">
      <c r="A50" s="71" t="s">
        <v>77</v>
      </c>
      <c r="B50" s="72"/>
      <c r="C50" s="44">
        <v>3.5</v>
      </c>
    </row>
    <row r="51" spans="1:4" x14ac:dyDescent="0.2">
      <c r="A51" s="71" t="s">
        <v>78</v>
      </c>
      <c r="B51" s="72"/>
      <c r="C51" s="44">
        <v>3.5</v>
      </c>
    </row>
    <row r="52" spans="1:4" x14ac:dyDescent="0.2">
      <c r="A52" s="9" t="s">
        <v>70</v>
      </c>
    </row>
    <row r="54" spans="1:4" ht="10.5" x14ac:dyDescent="0.25">
      <c r="A54" s="18" t="s">
        <v>222</v>
      </c>
      <c r="D54" s="45">
        <v>0.107</v>
      </c>
    </row>
    <row r="56" spans="1:4" ht="10.5" x14ac:dyDescent="0.25">
      <c r="A56" s="18" t="s">
        <v>726</v>
      </c>
    </row>
    <row r="57" spans="1:4" x14ac:dyDescent="0.2">
      <c r="A57" s="46" t="s">
        <v>55</v>
      </c>
    </row>
  </sheetData>
  <mergeCells count="4">
    <mergeCell ref="A1:F1"/>
    <mergeCell ref="A49:B49"/>
    <mergeCell ref="A50:B50"/>
    <mergeCell ref="A51:B51"/>
  </mergeCells>
  <conditionalFormatting sqref="F2:F3 F5:F65534">
    <cfRule type="cellIs" dxfId="13" priority="1" stopIfTrue="1" operator="between">
      <formula>0.009</formula>
      <formula>-0.009</formula>
    </cfRule>
  </conditionalFormatting>
  <hyperlinks>
    <hyperlink ref="A57" r:id="rId1" xr:uid="{00000000-0004-0000-3000-000000000000}"/>
  </hyperlinks>
  <pageMargins left="0.7" right="0.7" top="0.75" bottom="0.75" header="0.3" footer="0.3"/>
  <pageSetup paperSize="9" scale="64" orientation="portrait" r:id="rId2"/>
  <headerFooter>
    <oddFooter>&amp;R&amp;1#&amp;"Calibri"&amp;10&amp;KFF0000|PUBLIC|&amp;LPUBLIC</oddFooter>
    <evenFooter>&amp;LPUBLIC</evenFooter>
    <firstFooter>&amp;LPUBLIC</firstFooter>
  </headerFooter>
  <colBreaks count="1" manualBreakCount="1">
    <brk id="6" max="1048575" man="1"/>
  </col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61"/>
  <sheetViews>
    <sheetView zoomScaleNormal="100" workbookViewId="0">
      <selection sqref="A1:F1"/>
    </sheetView>
  </sheetViews>
  <sheetFormatPr defaultColWidth="9.1796875" defaultRowHeight="10" x14ac:dyDescent="0.2"/>
  <cols>
    <col min="1" max="1" width="38.7265625" style="9" bestFit="1" customWidth="1"/>
    <col min="2" max="2" width="24.7265625" style="9" bestFit="1" customWidth="1"/>
    <col min="3" max="3" width="21.1796875" style="9" bestFit="1" customWidth="1"/>
    <col min="4" max="4" width="15.1796875" style="10" bestFit="1" customWidth="1"/>
    <col min="5" max="5" width="23" style="13" bestFit="1" customWidth="1"/>
    <col min="6" max="6" width="13.54296875" style="14" bestFit="1" customWidth="1"/>
    <col min="7" max="16384" width="9.1796875" style="9"/>
  </cols>
  <sheetData>
    <row r="1" spans="1:6" s="1" customFormat="1" ht="14" x14ac:dyDescent="0.25">
      <c r="A1" s="75" t="s">
        <v>19</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110</v>
      </c>
      <c r="B7" s="27" t="s">
        <v>109</v>
      </c>
      <c r="C7" s="27" t="s">
        <v>100</v>
      </c>
      <c r="D7" s="31">
        <v>1700000</v>
      </c>
      <c r="E7" s="29">
        <v>9129</v>
      </c>
      <c r="F7" s="30">
        <v>10.176363278953</v>
      </c>
    </row>
    <row r="8" spans="1:6" x14ac:dyDescent="0.2">
      <c r="A8" s="27" t="s">
        <v>143</v>
      </c>
      <c r="B8" s="27" t="s">
        <v>142</v>
      </c>
      <c r="C8" s="27" t="s">
        <v>100</v>
      </c>
      <c r="D8" s="31">
        <v>3000000</v>
      </c>
      <c r="E8" s="29">
        <v>8463</v>
      </c>
      <c r="F8" s="30">
        <v>9.4339536016846299</v>
      </c>
    </row>
    <row r="9" spans="1:6" x14ac:dyDescent="0.2">
      <c r="A9" s="27" t="s">
        <v>102</v>
      </c>
      <c r="B9" s="27" t="s">
        <v>101</v>
      </c>
      <c r="C9" s="27" t="s">
        <v>100</v>
      </c>
      <c r="D9" s="31">
        <v>1275000</v>
      </c>
      <c r="E9" s="29">
        <v>8451.9750000000004</v>
      </c>
      <c r="F9" s="30">
        <v>9.4216637117568691</v>
      </c>
    </row>
    <row r="10" spans="1:6" x14ac:dyDescent="0.2">
      <c r="A10" s="27" t="s">
        <v>107</v>
      </c>
      <c r="B10" s="27" t="s">
        <v>106</v>
      </c>
      <c r="C10" s="27" t="s">
        <v>108</v>
      </c>
      <c r="D10" s="31">
        <v>1000000</v>
      </c>
      <c r="E10" s="29">
        <v>5536</v>
      </c>
      <c r="F10" s="30">
        <v>6.1711411011374304</v>
      </c>
    </row>
    <row r="11" spans="1:6" x14ac:dyDescent="0.2">
      <c r="A11" s="27" t="s">
        <v>205</v>
      </c>
      <c r="B11" s="27" t="s">
        <v>204</v>
      </c>
      <c r="C11" s="27" t="s">
        <v>133</v>
      </c>
      <c r="D11" s="31">
        <v>5000000</v>
      </c>
      <c r="E11" s="29">
        <v>4662.5</v>
      </c>
      <c r="F11" s="30">
        <v>5.1974251055009502</v>
      </c>
    </row>
    <row r="12" spans="1:6" x14ac:dyDescent="0.2">
      <c r="A12" s="27" t="s">
        <v>153</v>
      </c>
      <c r="B12" s="27" t="s">
        <v>152</v>
      </c>
      <c r="C12" s="27" t="s">
        <v>146</v>
      </c>
      <c r="D12" s="31">
        <v>4688274</v>
      </c>
      <c r="E12" s="29">
        <v>4170.2197230000002</v>
      </c>
      <c r="F12" s="30">
        <v>4.6486658839196604</v>
      </c>
    </row>
    <row r="13" spans="1:6" x14ac:dyDescent="0.2">
      <c r="A13" s="27" t="s">
        <v>155</v>
      </c>
      <c r="B13" s="27" t="s">
        <v>154</v>
      </c>
      <c r="C13" s="27" t="s">
        <v>133</v>
      </c>
      <c r="D13" s="31">
        <v>1000000</v>
      </c>
      <c r="E13" s="29">
        <v>3836</v>
      </c>
      <c r="F13" s="30">
        <v>4.2761013843864104</v>
      </c>
    </row>
    <row r="14" spans="1:6" x14ac:dyDescent="0.2">
      <c r="A14" s="27" t="s">
        <v>216</v>
      </c>
      <c r="B14" s="27" t="s">
        <v>215</v>
      </c>
      <c r="C14" s="27" t="s">
        <v>121</v>
      </c>
      <c r="D14" s="31">
        <v>2907608</v>
      </c>
      <c r="E14" s="29">
        <v>3643.2328240000002</v>
      </c>
      <c r="F14" s="30">
        <v>4.0612181757946901</v>
      </c>
    </row>
    <row r="15" spans="1:6" x14ac:dyDescent="0.2">
      <c r="A15" s="27" t="s">
        <v>195</v>
      </c>
      <c r="B15" s="27" t="s">
        <v>194</v>
      </c>
      <c r="C15" s="27" t="s">
        <v>196</v>
      </c>
      <c r="D15" s="31">
        <v>250000</v>
      </c>
      <c r="E15" s="29">
        <v>3336.75</v>
      </c>
      <c r="F15" s="30">
        <v>3.7195728087464501</v>
      </c>
    </row>
    <row r="16" spans="1:6" x14ac:dyDescent="0.2">
      <c r="A16" s="27" t="s">
        <v>391</v>
      </c>
      <c r="B16" s="27" t="s">
        <v>390</v>
      </c>
      <c r="C16" s="27" t="s">
        <v>378</v>
      </c>
      <c r="D16" s="31">
        <v>700000</v>
      </c>
      <c r="E16" s="29">
        <v>3225.25</v>
      </c>
      <c r="F16" s="30">
        <v>3.5952804979124799</v>
      </c>
    </row>
    <row r="17" spans="1:6" x14ac:dyDescent="0.2">
      <c r="A17" s="27" t="s">
        <v>269</v>
      </c>
      <c r="B17" s="27" t="s">
        <v>268</v>
      </c>
      <c r="C17" s="27" t="s">
        <v>180</v>
      </c>
      <c r="D17" s="31">
        <v>200000</v>
      </c>
      <c r="E17" s="29">
        <v>3207.7</v>
      </c>
      <c r="F17" s="30">
        <v>3.5757169996601399</v>
      </c>
    </row>
    <row r="18" spans="1:6" x14ac:dyDescent="0.2">
      <c r="A18" s="27" t="s">
        <v>529</v>
      </c>
      <c r="B18" s="27" t="s">
        <v>528</v>
      </c>
      <c r="C18" s="27" t="s">
        <v>147</v>
      </c>
      <c r="D18" s="31">
        <v>675000</v>
      </c>
      <c r="E18" s="29">
        <v>3132.3375000000001</v>
      </c>
      <c r="F18" s="30">
        <v>3.4917082169226998</v>
      </c>
    </row>
    <row r="19" spans="1:6" x14ac:dyDescent="0.2">
      <c r="A19" s="27" t="s">
        <v>525</v>
      </c>
      <c r="B19" s="27" t="s">
        <v>524</v>
      </c>
      <c r="C19" s="27" t="s">
        <v>262</v>
      </c>
      <c r="D19" s="31">
        <v>200000</v>
      </c>
      <c r="E19" s="29">
        <v>3095.5</v>
      </c>
      <c r="F19" s="30">
        <v>3.4506443783545699</v>
      </c>
    </row>
    <row r="20" spans="1:6" x14ac:dyDescent="0.2">
      <c r="A20" s="27" t="s">
        <v>452</v>
      </c>
      <c r="B20" s="27" t="s">
        <v>451</v>
      </c>
      <c r="C20" s="27" t="s">
        <v>180</v>
      </c>
      <c r="D20" s="31">
        <v>825000</v>
      </c>
      <c r="E20" s="29">
        <v>2625.5625</v>
      </c>
      <c r="F20" s="30">
        <v>2.9267913037129998</v>
      </c>
    </row>
    <row r="21" spans="1:6" x14ac:dyDescent="0.2">
      <c r="A21" s="27" t="s">
        <v>565</v>
      </c>
      <c r="B21" s="27" t="s">
        <v>564</v>
      </c>
      <c r="C21" s="27" t="s">
        <v>262</v>
      </c>
      <c r="D21" s="31">
        <v>1400000</v>
      </c>
      <c r="E21" s="29">
        <v>2211.3000000000002</v>
      </c>
      <c r="F21" s="30">
        <v>2.46500077979502</v>
      </c>
    </row>
    <row r="22" spans="1:6" x14ac:dyDescent="0.2">
      <c r="A22" s="27" t="s">
        <v>527</v>
      </c>
      <c r="B22" s="27" t="s">
        <v>526</v>
      </c>
      <c r="C22" s="27" t="s">
        <v>180</v>
      </c>
      <c r="D22" s="31">
        <v>40000</v>
      </c>
      <c r="E22" s="29">
        <v>2130.9</v>
      </c>
      <c r="F22" s="30">
        <v>2.3753765484851401</v>
      </c>
    </row>
    <row r="23" spans="1:6" x14ac:dyDescent="0.2">
      <c r="A23" s="27" t="s">
        <v>533</v>
      </c>
      <c r="B23" s="27" t="s">
        <v>532</v>
      </c>
      <c r="C23" s="27" t="s">
        <v>378</v>
      </c>
      <c r="D23" s="31">
        <v>550000</v>
      </c>
      <c r="E23" s="29">
        <v>2040.2249999999999</v>
      </c>
      <c r="F23" s="30">
        <v>2.2742984741813799</v>
      </c>
    </row>
    <row r="24" spans="1:6" x14ac:dyDescent="0.2">
      <c r="A24" s="27" t="s">
        <v>554</v>
      </c>
      <c r="B24" s="27" t="s">
        <v>553</v>
      </c>
      <c r="C24" s="27" t="s">
        <v>262</v>
      </c>
      <c r="D24" s="31">
        <v>2300000</v>
      </c>
      <c r="E24" s="29">
        <v>1989.5</v>
      </c>
      <c r="F24" s="30">
        <v>2.2177538332212601</v>
      </c>
    </row>
    <row r="25" spans="1:6" x14ac:dyDescent="0.2">
      <c r="A25" s="27" t="s">
        <v>255</v>
      </c>
      <c r="B25" s="27" t="s">
        <v>254</v>
      </c>
      <c r="C25" s="27" t="s">
        <v>147</v>
      </c>
      <c r="D25" s="31">
        <v>525000</v>
      </c>
      <c r="E25" s="29">
        <v>1922.0250000000001</v>
      </c>
      <c r="F25" s="30">
        <v>2.1425374774049302</v>
      </c>
    </row>
    <row r="26" spans="1:6" x14ac:dyDescent="0.2">
      <c r="A26" s="27" t="s">
        <v>567</v>
      </c>
      <c r="B26" s="27" t="s">
        <v>566</v>
      </c>
      <c r="C26" s="27" t="s">
        <v>378</v>
      </c>
      <c r="D26" s="31">
        <v>2233265</v>
      </c>
      <c r="E26" s="29">
        <v>1777.67894</v>
      </c>
      <c r="F26" s="30">
        <v>1.98163070290109</v>
      </c>
    </row>
    <row r="27" spans="1:6" x14ac:dyDescent="0.2">
      <c r="A27" s="27" t="s">
        <v>252</v>
      </c>
      <c r="B27" s="27" t="s">
        <v>251</v>
      </c>
      <c r="C27" s="27" t="s">
        <v>253</v>
      </c>
      <c r="D27" s="31">
        <v>2000000</v>
      </c>
      <c r="E27" s="29">
        <v>1766</v>
      </c>
      <c r="F27" s="30">
        <v>1.9686118469307601</v>
      </c>
    </row>
    <row r="28" spans="1:6" x14ac:dyDescent="0.2">
      <c r="A28" s="27" t="s">
        <v>535</v>
      </c>
      <c r="B28" s="27" t="s">
        <v>534</v>
      </c>
      <c r="C28" s="27" t="s">
        <v>378</v>
      </c>
      <c r="D28" s="31">
        <v>2100000</v>
      </c>
      <c r="E28" s="29">
        <v>1317.75</v>
      </c>
      <c r="F28" s="30">
        <v>1.4689344627933301</v>
      </c>
    </row>
    <row r="29" spans="1:6" x14ac:dyDescent="0.2">
      <c r="A29" s="27" t="s">
        <v>436</v>
      </c>
      <c r="B29" s="27" t="s">
        <v>435</v>
      </c>
      <c r="C29" s="27" t="s">
        <v>147</v>
      </c>
      <c r="D29" s="31">
        <v>250000</v>
      </c>
      <c r="E29" s="29">
        <v>1252.375</v>
      </c>
      <c r="F29" s="30">
        <v>1.3960590383917999</v>
      </c>
    </row>
    <row r="30" spans="1:6" x14ac:dyDescent="0.2">
      <c r="A30" s="27" t="s">
        <v>569</v>
      </c>
      <c r="B30" s="27" t="s">
        <v>568</v>
      </c>
      <c r="C30" s="27" t="s">
        <v>147</v>
      </c>
      <c r="D30" s="31">
        <v>1200000</v>
      </c>
      <c r="E30" s="29">
        <v>1212.5999999999999</v>
      </c>
      <c r="F30" s="30">
        <v>1.3517206826660499</v>
      </c>
    </row>
    <row r="31" spans="1:6" x14ac:dyDescent="0.2">
      <c r="A31" s="27" t="s">
        <v>261</v>
      </c>
      <c r="B31" s="27" t="s">
        <v>260</v>
      </c>
      <c r="C31" s="27" t="s">
        <v>262</v>
      </c>
      <c r="D31" s="31">
        <v>200000</v>
      </c>
      <c r="E31" s="29">
        <v>867</v>
      </c>
      <c r="F31" s="30">
        <v>0.96647025554301902</v>
      </c>
    </row>
    <row r="32" spans="1:6" x14ac:dyDescent="0.2">
      <c r="A32" s="27" t="s">
        <v>571</v>
      </c>
      <c r="B32" s="27" t="s">
        <v>570</v>
      </c>
      <c r="C32" s="27" t="s">
        <v>185</v>
      </c>
      <c r="D32" s="31">
        <v>600000</v>
      </c>
      <c r="E32" s="29">
        <v>762</v>
      </c>
      <c r="F32" s="30">
        <v>0.84942368480251496</v>
      </c>
    </row>
    <row r="33" spans="1:9" x14ac:dyDescent="0.2">
      <c r="A33" s="27" t="s">
        <v>542</v>
      </c>
      <c r="B33" s="27" t="s">
        <v>541</v>
      </c>
      <c r="C33" s="27" t="s">
        <v>262</v>
      </c>
      <c r="D33" s="31">
        <v>500000</v>
      </c>
      <c r="E33" s="29">
        <v>414</v>
      </c>
      <c r="F33" s="30">
        <v>0.46149790749113001</v>
      </c>
    </row>
    <row r="34" spans="1:9" x14ac:dyDescent="0.2">
      <c r="A34" s="27" t="s">
        <v>573</v>
      </c>
      <c r="B34" s="27" t="s">
        <v>572</v>
      </c>
      <c r="C34" s="27" t="s">
        <v>169</v>
      </c>
      <c r="D34" s="31">
        <v>87074</v>
      </c>
      <c r="E34" s="29">
        <v>46.976422999999997</v>
      </c>
      <c r="F34" s="30">
        <v>5.2365992550527103E-2</v>
      </c>
    </row>
    <row r="35" spans="1:9" ht="10.5" x14ac:dyDescent="0.25">
      <c r="A35" s="26" t="s">
        <v>40</v>
      </c>
      <c r="B35" s="26"/>
      <c r="C35" s="26"/>
      <c r="D35" s="32"/>
      <c r="E35" s="33">
        <f>SUM(E7:E34)</f>
        <v>86225.357910000006</v>
      </c>
      <c r="F35" s="34">
        <f>SUM(F7:F34)</f>
        <v>96.117928135600934</v>
      </c>
      <c r="G35" s="18"/>
      <c r="H35" s="18"/>
      <c r="I35" s="18"/>
    </row>
    <row r="36" spans="1:9" x14ac:dyDescent="0.2">
      <c r="A36" s="27"/>
      <c r="B36" s="27"/>
      <c r="C36" s="27"/>
      <c r="D36" s="28"/>
      <c r="E36" s="29"/>
      <c r="F36" s="30"/>
    </row>
    <row r="37" spans="1:9" ht="10.5" x14ac:dyDescent="0.25">
      <c r="A37" s="26" t="s">
        <v>44</v>
      </c>
      <c r="B37" s="26"/>
      <c r="C37" s="26"/>
      <c r="D37" s="32"/>
      <c r="E37" s="33">
        <f>E35</f>
        <v>86225.357910000006</v>
      </c>
      <c r="F37" s="34">
        <f>F35</f>
        <v>96.117928135600934</v>
      </c>
      <c r="G37" s="18"/>
      <c r="H37" s="18"/>
      <c r="I37" s="18"/>
    </row>
    <row r="38" spans="1:9" ht="10.5" x14ac:dyDescent="0.25">
      <c r="A38" s="26"/>
      <c r="B38" s="26"/>
      <c r="C38" s="26"/>
      <c r="D38" s="32"/>
      <c r="E38" s="33"/>
      <c r="F38" s="34"/>
      <c r="G38" s="18"/>
      <c r="H38" s="18"/>
      <c r="I38" s="18"/>
    </row>
    <row r="39" spans="1:9" ht="10.5" x14ac:dyDescent="0.25">
      <c r="A39" s="26" t="s">
        <v>46</v>
      </c>
      <c r="B39" s="26"/>
      <c r="C39" s="26"/>
      <c r="D39" s="32"/>
      <c r="E39" s="33">
        <f>E41-(E35)</f>
        <v>3482.5244616999989</v>
      </c>
      <c r="F39" s="34">
        <f>F41-(F35)</f>
        <v>3.8820718643990659</v>
      </c>
      <c r="G39" s="18"/>
      <c r="H39" s="18"/>
      <c r="I39" s="18"/>
    </row>
    <row r="40" spans="1:9" ht="10.5" x14ac:dyDescent="0.25">
      <c r="A40" s="26"/>
      <c r="B40" s="26"/>
      <c r="C40" s="26"/>
      <c r="D40" s="32"/>
      <c r="E40" s="33"/>
      <c r="F40" s="34"/>
      <c r="G40" s="18"/>
      <c r="H40" s="18"/>
      <c r="I40" s="18"/>
    </row>
    <row r="41" spans="1:9" ht="10.5" x14ac:dyDescent="0.25">
      <c r="A41" s="35" t="s">
        <v>45</v>
      </c>
      <c r="B41" s="35"/>
      <c r="C41" s="35"/>
      <c r="D41" s="36"/>
      <c r="E41" s="37">
        <v>89707.882371700005</v>
      </c>
      <c r="F41" s="38">
        <v>100</v>
      </c>
      <c r="G41" s="18"/>
      <c r="H41" s="18"/>
      <c r="I41" s="18"/>
    </row>
    <row r="44" spans="1:9" ht="10.5" x14ac:dyDescent="0.25">
      <c r="A44" s="18" t="s">
        <v>48</v>
      </c>
    </row>
    <row r="45" spans="1:9" ht="10.5" x14ac:dyDescent="0.25">
      <c r="A45" s="18" t="s">
        <v>49</v>
      </c>
    </row>
    <row r="46" spans="1:9" ht="10.5" x14ac:dyDescent="0.25">
      <c r="A46" s="18" t="s">
        <v>50</v>
      </c>
      <c r="B46" s="18"/>
      <c r="C46" s="39" t="s">
        <v>727</v>
      </c>
      <c r="D46" s="19" t="s">
        <v>51</v>
      </c>
    </row>
    <row r="47" spans="1:9" x14ac:dyDescent="0.2">
      <c r="A47" s="9" t="s">
        <v>71</v>
      </c>
      <c r="C47" s="40">
        <v>33.441200000000002</v>
      </c>
      <c r="D47" s="40">
        <v>44.726700000000001</v>
      </c>
    </row>
    <row r="48" spans="1:9" x14ac:dyDescent="0.2">
      <c r="A48" s="9" t="s">
        <v>77</v>
      </c>
      <c r="C48" s="40">
        <v>15.982799999999999</v>
      </c>
      <c r="D48" s="40">
        <v>19.624500000000001</v>
      </c>
    </row>
    <row r="49" spans="1:4" x14ac:dyDescent="0.2">
      <c r="A49" s="9" t="s">
        <v>74</v>
      </c>
      <c r="C49" s="40">
        <v>36.534700000000001</v>
      </c>
      <c r="D49" s="40">
        <v>49.115000000000002</v>
      </c>
    </row>
    <row r="50" spans="1:4" x14ac:dyDescent="0.2">
      <c r="A50" s="9" t="s">
        <v>78</v>
      </c>
      <c r="C50" s="40">
        <v>18.032299999999999</v>
      </c>
      <c r="D50" s="40">
        <v>22.487500000000001</v>
      </c>
    </row>
    <row r="52" spans="1:4" ht="10.5" x14ac:dyDescent="0.25">
      <c r="A52" s="18" t="s">
        <v>52</v>
      </c>
    </row>
    <row r="53" spans="1:4" ht="10.5" x14ac:dyDescent="0.25">
      <c r="A53" s="77" t="s">
        <v>68</v>
      </c>
      <c r="B53" s="78"/>
      <c r="C53" s="43" t="s">
        <v>69</v>
      </c>
    </row>
    <row r="54" spans="1:4" x14ac:dyDescent="0.2">
      <c r="A54" s="71" t="s">
        <v>77</v>
      </c>
      <c r="B54" s="72"/>
      <c r="C54" s="44">
        <v>1.75</v>
      </c>
    </row>
    <row r="55" spans="1:4" x14ac:dyDescent="0.2">
      <c r="A55" s="71" t="s">
        <v>78</v>
      </c>
      <c r="B55" s="72"/>
      <c r="C55" s="44">
        <v>1.75</v>
      </c>
    </row>
    <row r="56" spans="1:4" x14ac:dyDescent="0.2">
      <c r="A56" s="9" t="s">
        <v>70</v>
      </c>
    </row>
    <row r="58" spans="1:4" ht="10.5" x14ac:dyDescent="0.25">
      <c r="A58" s="18" t="s">
        <v>222</v>
      </c>
      <c r="D58" s="45">
        <v>5.3199999999999997E-2</v>
      </c>
    </row>
    <row r="60" spans="1:4" ht="10.5" x14ac:dyDescent="0.25">
      <c r="A60" s="18" t="s">
        <v>726</v>
      </c>
    </row>
    <row r="61" spans="1:4" x14ac:dyDescent="0.2">
      <c r="A61" s="46" t="s">
        <v>55</v>
      </c>
    </row>
  </sheetData>
  <mergeCells count="4">
    <mergeCell ref="A1:F1"/>
    <mergeCell ref="A53:B53"/>
    <mergeCell ref="A54:B54"/>
    <mergeCell ref="A55:B55"/>
  </mergeCells>
  <conditionalFormatting sqref="F2:F3 F5:F65534">
    <cfRule type="cellIs" dxfId="12" priority="1" stopIfTrue="1" operator="between">
      <formula>0.009</formula>
      <formula>-0.009</formula>
    </cfRule>
  </conditionalFormatting>
  <hyperlinks>
    <hyperlink ref="A61" r:id="rId1" xr:uid="{00000000-0004-0000-3100-000000000000}"/>
  </hyperlinks>
  <pageMargins left="0.7" right="0.7" top="0.75" bottom="0.75" header="0.3" footer="0.3"/>
  <pageSetup paperSize="9" scale="64" orientation="portrait" r:id="rId2"/>
  <headerFooter>
    <oddFooter>&amp;R&amp;1#&amp;"Calibri"&amp;10&amp;KFF0000|PUBLIC|&amp;LPUBLIC</oddFooter>
    <evenFooter>&amp;LPUBLIC</evenFooter>
    <firstFooter>&amp;LPUBLIC</firstFooter>
  </headerFooter>
  <colBreaks count="1" manualBreakCount="1">
    <brk id="6" max="1048575"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98"/>
  <sheetViews>
    <sheetView zoomScaleNormal="100" workbookViewId="0">
      <selection sqref="A1:F1"/>
    </sheetView>
  </sheetViews>
  <sheetFormatPr defaultColWidth="9.1796875" defaultRowHeight="10" x14ac:dyDescent="0.2"/>
  <cols>
    <col min="1" max="1" width="38.7265625" style="9" bestFit="1" customWidth="1"/>
    <col min="2" max="2" width="39.54296875" style="9" bestFit="1" customWidth="1"/>
    <col min="3" max="3" width="35.7265625" style="9" bestFit="1" customWidth="1"/>
    <col min="4" max="4" width="15.1796875" style="10" bestFit="1" customWidth="1"/>
    <col min="5" max="5" width="23" style="13" bestFit="1" customWidth="1"/>
    <col min="6" max="6" width="14.7265625" style="14" bestFit="1" customWidth="1"/>
    <col min="7" max="16384" width="9.1796875" style="9"/>
  </cols>
  <sheetData>
    <row r="1" spans="1:6" s="1" customFormat="1" ht="14" x14ac:dyDescent="0.25">
      <c r="A1" s="75" t="s">
        <v>20</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99</v>
      </c>
      <c r="B7" s="27" t="s">
        <v>98</v>
      </c>
      <c r="C7" s="27" t="s">
        <v>100</v>
      </c>
      <c r="D7" s="31">
        <v>30253</v>
      </c>
      <c r="E7" s="29">
        <v>420.66796499999998</v>
      </c>
      <c r="F7" s="30">
        <v>1.6778213663611099</v>
      </c>
    </row>
    <row r="8" spans="1:6" x14ac:dyDescent="0.2">
      <c r="A8" s="27" t="s">
        <v>110</v>
      </c>
      <c r="B8" s="27" t="s">
        <v>109</v>
      </c>
      <c r="C8" s="27" t="s">
        <v>100</v>
      </c>
      <c r="D8" s="31">
        <v>64814</v>
      </c>
      <c r="E8" s="29">
        <v>348.05117999999999</v>
      </c>
      <c r="F8" s="30">
        <v>1.3881915310361199</v>
      </c>
    </row>
    <row r="9" spans="1:6" x14ac:dyDescent="0.2">
      <c r="A9" s="27" t="s">
        <v>115</v>
      </c>
      <c r="B9" s="27" t="s">
        <v>114</v>
      </c>
      <c r="C9" s="27" t="s">
        <v>100</v>
      </c>
      <c r="D9" s="31">
        <v>19241</v>
      </c>
      <c r="E9" s="29">
        <v>329.58870949999999</v>
      </c>
      <c r="F9" s="30">
        <v>1.31455452974767</v>
      </c>
    </row>
    <row r="10" spans="1:6" x14ac:dyDescent="0.2">
      <c r="A10" s="27" t="s">
        <v>202</v>
      </c>
      <c r="B10" s="27" t="s">
        <v>201</v>
      </c>
      <c r="C10" s="27" t="s">
        <v>203</v>
      </c>
      <c r="D10" s="31">
        <v>235400</v>
      </c>
      <c r="E10" s="29">
        <v>286.24639999999999</v>
      </c>
      <c r="F10" s="30">
        <v>1.1416850483586301</v>
      </c>
    </row>
    <row r="11" spans="1:6" x14ac:dyDescent="0.2">
      <c r="A11" s="27" t="s">
        <v>575</v>
      </c>
      <c r="B11" s="27" t="s">
        <v>574</v>
      </c>
      <c r="C11" s="27" t="s">
        <v>378</v>
      </c>
      <c r="D11" s="31">
        <v>20861</v>
      </c>
      <c r="E11" s="29">
        <v>262.26449200000002</v>
      </c>
      <c r="F11" s="30">
        <v>1.0460339387037501</v>
      </c>
    </row>
    <row r="12" spans="1:6" x14ac:dyDescent="0.2">
      <c r="A12" s="27" t="s">
        <v>195</v>
      </c>
      <c r="B12" s="27" t="s">
        <v>194</v>
      </c>
      <c r="C12" s="27" t="s">
        <v>196</v>
      </c>
      <c r="D12" s="31">
        <v>18232</v>
      </c>
      <c r="E12" s="29">
        <v>243.34250399999999</v>
      </c>
      <c r="F12" s="30">
        <v>0.97056416586182004</v>
      </c>
    </row>
    <row r="13" spans="1:6" x14ac:dyDescent="0.2">
      <c r="A13" s="27" t="s">
        <v>278</v>
      </c>
      <c r="B13" s="27" t="s">
        <v>277</v>
      </c>
      <c r="C13" s="27" t="s">
        <v>127</v>
      </c>
      <c r="D13" s="31">
        <v>40295</v>
      </c>
      <c r="E13" s="29">
        <v>225.57140999999999</v>
      </c>
      <c r="F13" s="30">
        <v>0.89968469868677203</v>
      </c>
    </row>
    <row r="14" spans="1:6" x14ac:dyDescent="0.2">
      <c r="A14" s="27" t="s">
        <v>577</v>
      </c>
      <c r="B14" s="27" t="s">
        <v>576</v>
      </c>
      <c r="C14" s="27" t="s">
        <v>185</v>
      </c>
      <c r="D14" s="31">
        <v>32972</v>
      </c>
      <c r="E14" s="29">
        <v>203.404268</v>
      </c>
      <c r="F14" s="30">
        <v>0.81127172795162095</v>
      </c>
    </row>
    <row r="15" spans="1:6" x14ac:dyDescent="0.2">
      <c r="A15" s="27" t="s">
        <v>481</v>
      </c>
      <c r="B15" s="27" t="s">
        <v>480</v>
      </c>
      <c r="C15" s="27" t="s">
        <v>166</v>
      </c>
      <c r="D15" s="31">
        <v>31095</v>
      </c>
      <c r="E15" s="29">
        <v>193.2709725</v>
      </c>
      <c r="F15" s="30">
        <v>0.770855387473802</v>
      </c>
    </row>
    <row r="16" spans="1:6" x14ac:dyDescent="0.2">
      <c r="A16" s="27" t="s">
        <v>140</v>
      </c>
      <c r="B16" s="27" t="s">
        <v>139</v>
      </c>
      <c r="C16" s="27" t="s">
        <v>141</v>
      </c>
      <c r="D16" s="31">
        <v>83344</v>
      </c>
      <c r="E16" s="29">
        <v>188.607472</v>
      </c>
      <c r="F16" s="30">
        <v>0.75225515776309504</v>
      </c>
    </row>
    <row r="17" spans="1:9" x14ac:dyDescent="0.2">
      <c r="A17" s="27" t="s">
        <v>454</v>
      </c>
      <c r="B17" s="27" t="s">
        <v>453</v>
      </c>
      <c r="C17" s="27" t="s">
        <v>416</v>
      </c>
      <c r="D17" s="31">
        <v>36747</v>
      </c>
      <c r="E17" s="29">
        <v>163.744632</v>
      </c>
      <c r="F17" s="30">
        <v>0.65309047765626105</v>
      </c>
    </row>
    <row r="18" spans="1:9" x14ac:dyDescent="0.2">
      <c r="A18" s="27" t="s">
        <v>537</v>
      </c>
      <c r="B18" s="27" t="s">
        <v>536</v>
      </c>
      <c r="C18" s="27" t="s">
        <v>127</v>
      </c>
      <c r="D18" s="31">
        <v>25284</v>
      </c>
      <c r="E18" s="29">
        <v>146.31850800000001</v>
      </c>
      <c r="F18" s="30">
        <v>0.58358691281966102</v>
      </c>
    </row>
    <row r="19" spans="1:9" x14ac:dyDescent="0.2">
      <c r="A19" s="27" t="s">
        <v>476</v>
      </c>
      <c r="B19" s="27" t="s">
        <v>475</v>
      </c>
      <c r="C19" s="27" t="s">
        <v>378</v>
      </c>
      <c r="D19" s="31">
        <v>27579</v>
      </c>
      <c r="E19" s="29">
        <v>145.3275405</v>
      </c>
      <c r="F19" s="30">
        <v>0.57963446912723604</v>
      </c>
    </row>
    <row r="20" spans="1:9" x14ac:dyDescent="0.2">
      <c r="A20" s="27" t="s">
        <v>326</v>
      </c>
      <c r="B20" s="27" t="s">
        <v>325</v>
      </c>
      <c r="C20" s="27" t="s">
        <v>105</v>
      </c>
      <c r="D20" s="31">
        <v>1140</v>
      </c>
      <c r="E20" s="29">
        <v>49.749600000000001</v>
      </c>
      <c r="F20" s="30">
        <v>0.19842476440515</v>
      </c>
    </row>
    <row r="21" spans="1:9" ht="10.5" x14ac:dyDescent="0.25">
      <c r="A21" s="26" t="s">
        <v>40</v>
      </c>
      <c r="B21" s="26"/>
      <c r="C21" s="26"/>
      <c r="D21" s="32"/>
      <c r="E21" s="33">
        <f>SUM(E7:E20)</f>
        <v>3206.1556535</v>
      </c>
      <c r="F21" s="34">
        <f>SUM(F7:F20)</f>
        <v>12.787654175952696</v>
      </c>
      <c r="G21" s="18"/>
      <c r="H21" s="18"/>
      <c r="I21" s="18"/>
    </row>
    <row r="22" spans="1:9" x14ac:dyDescent="0.2">
      <c r="A22" s="27"/>
      <c r="B22" s="27"/>
      <c r="C22" s="27"/>
      <c r="D22" s="28"/>
      <c r="E22" s="29"/>
      <c r="F22" s="30"/>
    </row>
    <row r="23" spans="1:9" ht="10.5" x14ac:dyDescent="0.25">
      <c r="A23" s="26" t="s">
        <v>302</v>
      </c>
      <c r="B23" s="27"/>
      <c r="C23" s="27"/>
      <c r="D23" s="28"/>
      <c r="E23" s="29"/>
      <c r="F23" s="30"/>
    </row>
    <row r="24" spans="1:9" x14ac:dyDescent="0.2">
      <c r="A24" s="27" t="s">
        <v>579</v>
      </c>
      <c r="B24" s="27" t="s">
        <v>578</v>
      </c>
      <c r="C24" s="27" t="s">
        <v>105</v>
      </c>
      <c r="D24" s="31">
        <v>38500</v>
      </c>
      <c r="E24" s="29">
        <v>2468.8749330000001</v>
      </c>
      <c r="F24" s="30">
        <v>9.8470324771717692</v>
      </c>
    </row>
    <row r="25" spans="1:9" x14ac:dyDescent="0.2">
      <c r="A25" s="27" t="s">
        <v>339</v>
      </c>
      <c r="B25" s="27" t="s">
        <v>338</v>
      </c>
      <c r="C25" s="27" t="s">
        <v>318</v>
      </c>
      <c r="D25" s="31">
        <v>155714</v>
      </c>
      <c r="E25" s="29">
        <v>2395.2523120000001</v>
      </c>
      <c r="F25" s="30">
        <v>9.5533908955949407</v>
      </c>
    </row>
    <row r="26" spans="1:9" x14ac:dyDescent="0.2">
      <c r="A26" s="27" t="s">
        <v>343</v>
      </c>
      <c r="B26" s="27" t="s">
        <v>342</v>
      </c>
      <c r="C26" s="27" t="s">
        <v>318</v>
      </c>
      <c r="D26" s="31">
        <v>43675</v>
      </c>
      <c r="E26" s="29">
        <v>2339.1434690000001</v>
      </c>
      <c r="F26" s="30">
        <v>9.3296024841640897</v>
      </c>
    </row>
    <row r="27" spans="1:9" x14ac:dyDescent="0.2">
      <c r="A27" s="27" t="s">
        <v>352</v>
      </c>
      <c r="B27" s="27" t="s">
        <v>351</v>
      </c>
      <c r="C27" s="27" t="s">
        <v>166</v>
      </c>
      <c r="D27" s="31">
        <v>97004</v>
      </c>
      <c r="E27" s="29">
        <v>2252.7204360000001</v>
      </c>
      <c r="F27" s="30">
        <v>8.9849068491800193</v>
      </c>
    </row>
    <row r="28" spans="1:9" x14ac:dyDescent="0.2">
      <c r="A28" s="27" t="s">
        <v>581</v>
      </c>
      <c r="B28" s="27" t="s">
        <v>580</v>
      </c>
      <c r="C28" s="27" t="s">
        <v>185</v>
      </c>
      <c r="D28" s="31">
        <v>113324</v>
      </c>
      <c r="E28" s="29">
        <v>999.69074699999999</v>
      </c>
      <c r="F28" s="30">
        <v>3.9872360974054701</v>
      </c>
    </row>
    <row r="29" spans="1:9" x14ac:dyDescent="0.2">
      <c r="A29" s="27" t="s">
        <v>583</v>
      </c>
      <c r="B29" s="27" t="s">
        <v>582</v>
      </c>
      <c r="C29" s="27" t="s">
        <v>166</v>
      </c>
      <c r="D29" s="31">
        <v>24800</v>
      </c>
      <c r="E29" s="29">
        <v>830.29060760000004</v>
      </c>
      <c r="F29" s="30">
        <v>3.3115888007308301</v>
      </c>
    </row>
    <row r="30" spans="1:9" x14ac:dyDescent="0.2">
      <c r="A30" s="27" t="s">
        <v>585</v>
      </c>
      <c r="B30" s="27" t="s">
        <v>584</v>
      </c>
      <c r="C30" s="27" t="s">
        <v>185</v>
      </c>
      <c r="D30" s="31">
        <v>82810</v>
      </c>
      <c r="E30" s="29">
        <v>711.41998760000001</v>
      </c>
      <c r="F30" s="30">
        <v>2.83747695323469</v>
      </c>
    </row>
    <row r="31" spans="1:9" x14ac:dyDescent="0.2">
      <c r="A31" s="27" t="s">
        <v>587</v>
      </c>
      <c r="B31" s="27" t="s">
        <v>586</v>
      </c>
      <c r="C31" s="27" t="s">
        <v>169</v>
      </c>
      <c r="D31" s="31">
        <v>3076</v>
      </c>
      <c r="E31" s="29">
        <v>689.11316160000001</v>
      </c>
      <c r="F31" s="30">
        <v>2.7485068571198101</v>
      </c>
    </row>
    <row r="32" spans="1:9" x14ac:dyDescent="0.2">
      <c r="A32" s="27" t="s">
        <v>589</v>
      </c>
      <c r="B32" s="27" t="s">
        <v>588</v>
      </c>
      <c r="C32" s="27" t="s">
        <v>105</v>
      </c>
      <c r="D32" s="31">
        <v>14800</v>
      </c>
      <c r="E32" s="29">
        <v>481.56975679999999</v>
      </c>
      <c r="F32" s="30">
        <v>1.9207263081046899</v>
      </c>
    </row>
    <row r="33" spans="1:6" x14ac:dyDescent="0.2">
      <c r="A33" s="27" t="s">
        <v>591</v>
      </c>
      <c r="B33" s="27" t="s">
        <v>590</v>
      </c>
      <c r="C33" s="27" t="s">
        <v>127</v>
      </c>
      <c r="D33" s="31">
        <v>106000</v>
      </c>
      <c r="E33" s="29">
        <v>461.30706170000002</v>
      </c>
      <c r="F33" s="30">
        <v>1.8399091658275499</v>
      </c>
    </row>
    <row r="34" spans="1:6" x14ac:dyDescent="0.2">
      <c r="A34" s="27" t="s">
        <v>593</v>
      </c>
      <c r="B34" s="27" t="s">
        <v>592</v>
      </c>
      <c r="C34" s="27" t="s">
        <v>594</v>
      </c>
      <c r="D34" s="31">
        <v>3560</v>
      </c>
      <c r="E34" s="29">
        <v>434.137699</v>
      </c>
      <c r="F34" s="30">
        <v>1.7315449901802</v>
      </c>
    </row>
    <row r="35" spans="1:6" x14ac:dyDescent="0.2">
      <c r="A35" s="27" t="s">
        <v>596</v>
      </c>
      <c r="B35" s="27" t="s">
        <v>595</v>
      </c>
      <c r="C35" s="27" t="s">
        <v>100</v>
      </c>
      <c r="D35" s="31">
        <v>77000</v>
      </c>
      <c r="E35" s="29">
        <v>431.46442339999999</v>
      </c>
      <c r="F35" s="30">
        <v>1.7208827118680099</v>
      </c>
    </row>
    <row r="36" spans="1:6" x14ac:dyDescent="0.2">
      <c r="A36" s="27" t="s">
        <v>598</v>
      </c>
      <c r="B36" s="27" t="s">
        <v>597</v>
      </c>
      <c r="C36" s="27" t="s">
        <v>166</v>
      </c>
      <c r="D36" s="31">
        <v>36521</v>
      </c>
      <c r="E36" s="29">
        <v>401.38210290000001</v>
      </c>
      <c r="F36" s="30">
        <v>1.60090029275363</v>
      </c>
    </row>
    <row r="37" spans="1:6" x14ac:dyDescent="0.2">
      <c r="A37" s="27" t="s">
        <v>600</v>
      </c>
      <c r="B37" s="27" t="s">
        <v>599</v>
      </c>
      <c r="C37" s="27" t="s">
        <v>127</v>
      </c>
      <c r="D37" s="31">
        <v>1600</v>
      </c>
      <c r="E37" s="29">
        <v>383.26112280000001</v>
      </c>
      <c r="F37" s="30">
        <v>1.52862531552501</v>
      </c>
    </row>
    <row r="38" spans="1:6" x14ac:dyDescent="0.2">
      <c r="A38" s="27" t="s">
        <v>602</v>
      </c>
      <c r="B38" s="27" t="s">
        <v>601</v>
      </c>
      <c r="C38" s="27" t="s">
        <v>100</v>
      </c>
      <c r="D38" s="31">
        <v>211929</v>
      </c>
      <c r="E38" s="29">
        <v>372.45832940000003</v>
      </c>
      <c r="F38" s="30">
        <v>1.4855387030635601</v>
      </c>
    </row>
    <row r="39" spans="1:6" x14ac:dyDescent="0.2">
      <c r="A39" s="27" t="s">
        <v>604</v>
      </c>
      <c r="B39" s="27" t="s">
        <v>603</v>
      </c>
      <c r="C39" s="27" t="s">
        <v>180</v>
      </c>
      <c r="D39" s="31">
        <v>662300</v>
      </c>
      <c r="E39" s="29">
        <v>365.03223889999998</v>
      </c>
      <c r="F39" s="30">
        <v>1.45591996727646</v>
      </c>
    </row>
    <row r="40" spans="1:6" x14ac:dyDescent="0.2">
      <c r="A40" s="27" t="s">
        <v>606</v>
      </c>
      <c r="B40" s="27" t="s">
        <v>605</v>
      </c>
      <c r="C40" s="27" t="s">
        <v>378</v>
      </c>
      <c r="D40" s="31">
        <v>122000</v>
      </c>
      <c r="E40" s="29">
        <v>354.72419400000001</v>
      </c>
      <c r="F40" s="30">
        <v>1.4148066441389799</v>
      </c>
    </row>
    <row r="41" spans="1:6" x14ac:dyDescent="0.2">
      <c r="A41" s="27" t="s">
        <v>608</v>
      </c>
      <c r="B41" s="27" t="s">
        <v>607</v>
      </c>
      <c r="C41" s="27" t="s">
        <v>127</v>
      </c>
      <c r="D41" s="31">
        <v>144400</v>
      </c>
      <c r="E41" s="29">
        <v>353.95448640000001</v>
      </c>
      <c r="F41" s="30">
        <v>1.41173668881892</v>
      </c>
    </row>
    <row r="42" spans="1:6" x14ac:dyDescent="0.2">
      <c r="A42" s="27" t="s">
        <v>610</v>
      </c>
      <c r="B42" s="27" t="s">
        <v>609</v>
      </c>
      <c r="C42" s="27" t="s">
        <v>387</v>
      </c>
      <c r="D42" s="31">
        <v>57000</v>
      </c>
      <c r="E42" s="29">
        <v>339.77699840000002</v>
      </c>
      <c r="F42" s="30">
        <v>1.3551902097264901</v>
      </c>
    </row>
    <row r="43" spans="1:6" x14ac:dyDescent="0.2">
      <c r="A43" s="27" t="s">
        <v>354</v>
      </c>
      <c r="B43" s="27" t="s">
        <v>353</v>
      </c>
      <c r="C43" s="27" t="s">
        <v>318</v>
      </c>
      <c r="D43" s="31">
        <v>14000</v>
      </c>
      <c r="E43" s="29">
        <v>318.83956999999998</v>
      </c>
      <c r="F43" s="30">
        <v>1.27168191423226</v>
      </c>
    </row>
    <row r="44" spans="1:6" x14ac:dyDescent="0.2">
      <c r="A44" s="27" t="s">
        <v>612</v>
      </c>
      <c r="B44" s="27" t="s">
        <v>611</v>
      </c>
      <c r="C44" s="27" t="s">
        <v>180</v>
      </c>
      <c r="D44" s="31">
        <v>372000</v>
      </c>
      <c r="E44" s="29">
        <v>299.98273640000002</v>
      </c>
      <c r="F44" s="30">
        <v>1.1964720077303601</v>
      </c>
    </row>
    <row r="45" spans="1:6" x14ac:dyDescent="0.2">
      <c r="A45" s="27" t="s">
        <v>614</v>
      </c>
      <c r="B45" s="27" t="s">
        <v>613</v>
      </c>
      <c r="C45" s="27" t="s">
        <v>118</v>
      </c>
      <c r="D45" s="31">
        <v>27400</v>
      </c>
      <c r="E45" s="29">
        <v>298.76815310000001</v>
      </c>
      <c r="F45" s="30">
        <v>1.1916276792301701</v>
      </c>
    </row>
    <row r="46" spans="1:6" x14ac:dyDescent="0.2">
      <c r="A46" s="27" t="s">
        <v>616</v>
      </c>
      <c r="B46" s="27" t="s">
        <v>615</v>
      </c>
      <c r="C46" s="27" t="s">
        <v>180</v>
      </c>
      <c r="D46" s="31">
        <v>371100</v>
      </c>
      <c r="E46" s="29">
        <v>258.0805924</v>
      </c>
      <c r="F46" s="30">
        <v>1.0293465825757699</v>
      </c>
    </row>
    <row r="47" spans="1:6" x14ac:dyDescent="0.2">
      <c r="A47" s="27" t="s">
        <v>618</v>
      </c>
      <c r="B47" s="27" t="s">
        <v>617</v>
      </c>
      <c r="C47" s="27" t="s">
        <v>127</v>
      </c>
      <c r="D47" s="31">
        <v>5900</v>
      </c>
      <c r="E47" s="29">
        <v>245.41861309999999</v>
      </c>
      <c r="F47" s="30">
        <v>0.97884466377631396</v>
      </c>
    </row>
    <row r="48" spans="1:6" x14ac:dyDescent="0.2">
      <c r="A48" s="27" t="s">
        <v>620</v>
      </c>
      <c r="B48" s="27" t="s">
        <v>619</v>
      </c>
      <c r="C48" s="27" t="s">
        <v>185</v>
      </c>
      <c r="D48" s="31">
        <v>15480</v>
      </c>
      <c r="E48" s="29">
        <v>231.4326332</v>
      </c>
      <c r="F48" s="30">
        <v>0.92306200890808099</v>
      </c>
    </row>
    <row r="49" spans="1:6" x14ac:dyDescent="0.2">
      <c r="A49" s="27" t="s">
        <v>622</v>
      </c>
      <c r="B49" s="27" t="s">
        <v>621</v>
      </c>
      <c r="C49" s="27" t="s">
        <v>180</v>
      </c>
      <c r="D49" s="31">
        <v>24212</v>
      </c>
      <c r="E49" s="29">
        <v>223.07150870000001</v>
      </c>
      <c r="F49" s="30">
        <v>0.88971391848977299</v>
      </c>
    </row>
    <row r="50" spans="1:6" x14ac:dyDescent="0.2">
      <c r="A50" s="27" t="s">
        <v>624</v>
      </c>
      <c r="B50" s="27" t="s">
        <v>623</v>
      </c>
      <c r="C50" s="27" t="s">
        <v>416</v>
      </c>
      <c r="D50" s="31">
        <v>84000</v>
      </c>
      <c r="E50" s="29">
        <v>192.06934709999999</v>
      </c>
      <c r="F50" s="30">
        <v>0.76606274116311401</v>
      </c>
    </row>
    <row r="51" spans="1:6" x14ac:dyDescent="0.2">
      <c r="A51" s="27" t="s">
        <v>625</v>
      </c>
      <c r="B51" s="27" t="s">
        <v>743</v>
      </c>
      <c r="C51" s="27" t="s">
        <v>250</v>
      </c>
      <c r="D51" s="31">
        <v>311</v>
      </c>
      <c r="E51" s="29">
        <v>186.26867200000001</v>
      </c>
      <c r="F51" s="30">
        <v>0.74292692519457704</v>
      </c>
    </row>
    <row r="52" spans="1:6" x14ac:dyDescent="0.2">
      <c r="A52" s="27" t="s">
        <v>627</v>
      </c>
      <c r="B52" s="27" t="s">
        <v>626</v>
      </c>
      <c r="C52" s="27" t="s">
        <v>166</v>
      </c>
      <c r="D52" s="31">
        <v>2265900</v>
      </c>
      <c r="E52" s="29">
        <v>183.795951</v>
      </c>
      <c r="F52" s="30">
        <v>0.733064552796313</v>
      </c>
    </row>
    <row r="53" spans="1:6" x14ac:dyDescent="0.2">
      <c r="A53" s="27" t="s">
        <v>629</v>
      </c>
      <c r="B53" s="27" t="s">
        <v>628</v>
      </c>
      <c r="C53" s="27" t="s">
        <v>630</v>
      </c>
      <c r="D53" s="31">
        <v>33150</v>
      </c>
      <c r="E53" s="29">
        <v>181.98996890000001</v>
      </c>
      <c r="F53" s="30">
        <v>0.72586144819421705</v>
      </c>
    </row>
    <row r="54" spans="1:6" x14ac:dyDescent="0.2">
      <c r="A54" s="27" t="s">
        <v>632</v>
      </c>
      <c r="B54" s="27" t="s">
        <v>631</v>
      </c>
      <c r="C54" s="27" t="s">
        <v>262</v>
      </c>
      <c r="D54" s="31">
        <v>7538</v>
      </c>
      <c r="E54" s="29">
        <v>179.26768329999999</v>
      </c>
      <c r="F54" s="30">
        <v>0.71500369498969796</v>
      </c>
    </row>
    <row r="55" spans="1:6" x14ac:dyDescent="0.2">
      <c r="A55" s="27" t="s">
        <v>634</v>
      </c>
      <c r="B55" s="27" t="s">
        <v>633</v>
      </c>
      <c r="C55" s="27" t="s">
        <v>318</v>
      </c>
      <c r="D55" s="31">
        <v>1942</v>
      </c>
      <c r="E55" s="29">
        <v>155.38010399999999</v>
      </c>
      <c r="F55" s="30">
        <v>0.61972881248186296</v>
      </c>
    </row>
    <row r="56" spans="1:6" x14ac:dyDescent="0.2">
      <c r="A56" s="27" t="s">
        <v>341</v>
      </c>
      <c r="B56" s="27" t="s">
        <v>340</v>
      </c>
      <c r="C56" s="27" t="s">
        <v>105</v>
      </c>
      <c r="D56" s="31">
        <v>6700</v>
      </c>
      <c r="E56" s="29">
        <v>148.73220889999999</v>
      </c>
      <c r="F56" s="30">
        <v>0.59321388534661601</v>
      </c>
    </row>
    <row r="57" spans="1:6" x14ac:dyDescent="0.2">
      <c r="A57" s="27" t="s">
        <v>636</v>
      </c>
      <c r="B57" s="27" t="s">
        <v>635</v>
      </c>
      <c r="C57" s="27" t="s">
        <v>105</v>
      </c>
      <c r="D57" s="31">
        <v>900</v>
      </c>
      <c r="E57" s="29">
        <v>144.29754800000001</v>
      </c>
      <c r="F57" s="30">
        <v>0.57552637541087304</v>
      </c>
    </row>
    <row r="58" spans="1:6" x14ac:dyDescent="0.2">
      <c r="A58" s="27" t="s">
        <v>638</v>
      </c>
      <c r="B58" s="27" t="s">
        <v>637</v>
      </c>
      <c r="C58" s="27" t="s">
        <v>203</v>
      </c>
      <c r="D58" s="31">
        <v>217546</v>
      </c>
      <c r="E58" s="29">
        <v>131.4995973</v>
      </c>
      <c r="F58" s="30">
        <v>0.52448213882372097</v>
      </c>
    </row>
    <row r="59" spans="1:6" x14ac:dyDescent="0.2">
      <c r="A59" s="27" t="s">
        <v>640</v>
      </c>
      <c r="B59" s="27" t="s">
        <v>639</v>
      </c>
      <c r="C59" s="27" t="s">
        <v>245</v>
      </c>
      <c r="D59" s="31">
        <v>60600</v>
      </c>
      <c r="E59" s="29">
        <v>123.3077892</v>
      </c>
      <c r="F59" s="30">
        <v>0.49180936171004103</v>
      </c>
    </row>
    <row r="60" spans="1:6" x14ac:dyDescent="0.2">
      <c r="A60" s="27" t="s">
        <v>641</v>
      </c>
      <c r="B60" s="27" t="s">
        <v>744</v>
      </c>
      <c r="C60" s="27" t="s">
        <v>127</v>
      </c>
      <c r="D60" s="31">
        <v>101700</v>
      </c>
      <c r="E60" s="29">
        <v>107.17943820000001</v>
      </c>
      <c r="F60" s="30">
        <v>0.42748192495841802</v>
      </c>
    </row>
    <row r="61" spans="1:6" x14ac:dyDescent="0.2">
      <c r="A61" s="27" t="s">
        <v>643</v>
      </c>
      <c r="B61" s="27" t="s">
        <v>642</v>
      </c>
      <c r="C61" s="27" t="s">
        <v>127</v>
      </c>
      <c r="D61" s="31">
        <v>28000</v>
      </c>
      <c r="E61" s="29">
        <v>99.723248100000006</v>
      </c>
      <c r="F61" s="30">
        <v>0.397743137833446</v>
      </c>
    </row>
    <row r="62" spans="1:6" x14ac:dyDescent="0.2">
      <c r="A62" s="27" t="s">
        <v>645</v>
      </c>
      <c r="B62" s="27" t="s">
        <v>644</v>
      </c>
      <c r="C62" s="27" t="s">
        <v>245</v>
      </c>
      <c r="D62" s="31">
        <v>6415</v>
      </c>
      <c r="E62" s="29">
        <v>78.096083500000006</v>
      </c>
      <c r="F62" s="30">
        <v>0.31148385051241401</v>
      </c>
    </row>
    <row r="63" spans="1:6" x14ac:dyDescent="0.2">
      <c r="A63" s="27" t="s">
        <v>647</v>
      </c>
      <c r="B63" s="27" t="s">
        <v>646</v>
      </c>
      <c r="C63" s="27" t="s">
        <v>118</v>
      </c>
      <c r="D63" s="31">
        <v>1000</v>
      </c>
      <c r="E63" s="29">
        <v>76.521496799999994</v>
      </c>
      <c r="F63" s="30">
        <v>0.30520365941574201</v>
      </c>
    </row>
    <row r="64" spans="1:6" x14ac:dyDescent="0.2">
      <c r="A64" s="27" t="s">
        <v>306</v>
      </c>
      <c r="B64" s="27" t="s">
        <v>305</v>
      </c>
      <c r="C64" s="27" t="s">
        <v>245</v>
      </c>
      <c r="D64" s="31">
        <v>46000</v>
      </c>
      <c r="E64" s="29">
        <v>73.583298799999994</v>
      </c>
      <c r="F64" s="30">
        <v>0.29348474617974302</v>
      </c>
    </row>
    <row r="65" spans="1:9" x14ac:dyDescent="0.2">
      <c r="A65" s="27" t="s">
        <v>649</v>
      </c>
      <c r="B65" s="27" t="s">
        <v>648</v>
      </c>
      <c r="C65" s="27" t="s">
        <v>594</v>
      </c>
      <c r="D65" s="31">
        <v>1200</v>
      </c>
      <c r="E65" s="29">
        <v>65.7780068</v>
      </c>
      <c r="F65" s="30">
        <v>0.26235357675901599</v>
      </c>
    </row>
    <row r="66" spans="1:9" x14ac:dyDescent="0.2">
      <c r="A66" s="27" t="s">
        <v>651</v>
      </c>
      <c r="B66" s="27" t="s">
        <v>650</v>
      </c>
      <c r="C66" s="27" t="s">
        <v>416</v>
      </c>
      <c r="D66" s="31">
        <v>118300</v>
      </c>
      <c r="E66" s="29">
        <v>59.686584799999999</v>
      </c>
      <c r="F66" s="30">
        <v>0.23805812563494</v>
      </c>
    </row>
    <row r="67" spans="1:9" x14ac:dyDescent="0.2">
      <c r="A67" s="27" t="s">
        <v>653</v>
      </c>
      <c r="B67" s="27" t="s">
        <v>652</v>
      </c>
      <c r="C67" s="27" t="s">
        <v>138</v>
      </c>
      <c r="D67" s="31">
        <v>6880</v>
      </c>
      <c r="E67" s="29">
        <v>56.227375799999997</v>
      </c>
      <c r="F67" s="30">
        <v>0.224261175893571</v>
      </c>
    </row>
    <row r="68" spans="1:9" x14ac:dyDescent="0.2">
      <c r="A68" s="27" t="s">
        <v>655</v>
      </c>
      <c r="B68" s="27" t="s">
        <v>654</v>
      </c>
      <c r="C68" s="27" t="s">
        <v>262</v>
      </c>
      <c r="D68" s="31">
        <v>2900</v>
      </c>
      <c r="E68" s="29">
        <v>25.932672100000001</v>
      </c>
      <c r="F68" s="30">
        <v>0.10343167285442501</v>
      </c>
    </row>
    <row r="69" spans="1:9" x14ac:dyDescent="0.2">
      <c r="A69" s="27" t="s">
        <v>657</v>
      </c>
      <c r="B69" s="27" t="s">
        <v>656</v>
      </c>
      <c r="C69" s="27" t="s">
        <v>234</v>
      </c>
      <c r="D69" s="31">
        <v>646</v>
      </c>
      <c r="E69" s="29">
        <v>2.4800770999999999</v>
      </c>
      <c r="F69" s="30">
        <v>9.8917119790733407E-3</v>
      </c>
    </row>
    <row r="70" spans="1:9" x14ac:dyDescent="0.2">
      <c r="A70" s="27" t="s">
        <v>659</v>
      </c>
      <c r="B70" s="27" t="s">
        <v>658</v>
      </c>
      <c r="C70" s="27" t="s">
        <v>203</v>
      </c>
      <c r="D70" s="31">
        <v>8388</v>
      </c>
      <c r="E70" s="29">
        <v>1.4413491</v>
      </c>
      <c r="F70" s="29">
        <v>5.7487769870124498E-3</v>
      </c>
    </row>
    <row r="71" spans="1:9" x14ac:dyDescent="0.2">
      <c r="A71" s="27" t="s">
        <v>661</v>
      </c>
      <c r="B71" s="27" t="s">
        <v>660</v>
      </c>
      <c r="C71" s="27" t="s">
        <v>203</v>
      </c>
      <c r="D71" s="31">
        <v>8195</v>
      </c>
      <c r="E71" s="29">
        <v>6.1920200000000002E-2</v>
      </c>
      <c r="F71" s="30">
        <v>2.4696683183221102E-4</v>
      </c>
    </row>
    <row r="72" spans="1:9" ht="10.5" x14ac:dyDescent="0.25">
      <c r="A72" s="26" t="s">
        <v>40</v>
      </c>
      <c r="B72" s="26"/>
      <c r="C72" s="26"/>
      <c r="D72" s="32"/>
      <c r="E72" s="33">
        <f>SUM(E23:E71)</f>
        <v>21214.48829540001</v>
      </c>
      <c r="F72" s="34">
        <f>SUM(F23:F71)</f>
        <v>84.613340448778516</v>
      </c>
      <c r="G72" s="18"/>
      <c r="H72" s="18"/>
      <c r="I72" s="18"/>
    </row>
    <row r="73" spans="1:9" x14ac:dyDescent="0.2">
      <c r="A73" s="27"/>
      <c r="B73" s="27"/>
      <c r="C73" s="27"/>
      <c r="D73" s="28"/>
      <c r="E73" s="29"/>
      <c r="F73" s="30"/>
    </row>
    <row r="74" spans="1:9" ht="10.5" x14ac:dyDescent="0.25">
      <c r="A74" s="26" t="s">
        <v>44</v>
      </c>
      <c r="B74" s="26"/>
      <c r="C74" s="26"/>
      <c r="D74" s="32"/>
      <c r="E74" s="33">
        <f>E21+E72</f>
        <v>24420.643948900011</v>
      </c>
      <c r="F74" s="34">
        <f>F21+F72</f>
        <v>97.400994624731212</v>
      </c>
      <c r="G74" s="18"/>
      <c r="H74" s="18"/>
      <c r="I74" s="18"/>
    </row>
    <row r="75" spans="1:9" ht="10.5" x14ac:dyDescent="0.25">
      <c r="A75" s="26"/>
      <c r="B75" s="26"/>
      <c r="C75" s="26"/>
      <c r="D75" s="32"/>
      <c r="E75" s="33"/>
      <c r="F75" s="34"/>
      <c r="G75" s="18"/>
      <c r="H75" s="18"/>
      <c r="I75" s="18"/>
    </row>
    <row r="76" spans="1:9" ht="10.5" x14ac:dyDescent="0.25">
      <c r="A76" s="26" t="s">
        <v>46</v>
      </c>
      <c r="B76" s="26"/>
      <c r="C76" s="26"/>
      <c r="D76" s="32"/>
      <c r="E76" s="33">
        <f>E78-(E21+E72)</f>
        <v>651.62974089998897</v>
      </c>
      <c r="F76" s="34">
        <f>F78-(F21+F72)</f>
        <v>2.5990053752687885</v>
      </c>
      <c r="G76" s="18"/>
      <c r="H76" s="18"/>
      <c r="I76" s="18"/>
    </row>
    <row r="77" spans="1:9" ht="10.5" x14ac:dyDescent="0.25">
      <c r="A77" s="26"/>
      <c r="B77" s="26"/>
      <c r="C77" s="26"/>
      <c r="D77" s="32"/>
      <c r="E77" s="33"/>
      <c r="F77" s="34"/>
      <c r="G77" s="18"/>
      <c r="H77" s="18"/>
      <c r="I77" s="18"/>
    </row>
    <row r="78" spans="1:9" ht="10.5" x14ac:dyDescent="0.25">
      <c r="A78" s="35" t="s">
        <v>45</v>
      </c>
      <c r="B78" s="35"/>
      <c r="C78" s="35"/>
      <c r="D78" s="36"/>
      <c r="E78" s="37">
        <v>25072.2736898</v>
      </c>
      <c r="F78" s="38">
        <v>100</v>
      </c>
      <c r="G78" s="18"/>
      <c r="H78" s="18"/>
      <c r="I78" s="18"/>
    </row>
    <row r="79" spans="1:9" ht="10.5" x14ac:dyDescent="0.25">
      <c r="F79" s="20" t="s">
        <v>56</v>
      </c>
    </row>
    <row r="81" spans="1:4" ht="10.5" x14ac:dyDescent="0.25">
      <c r="A81" s="18" t="s">
        <v>48</v>
      </c>
    </row>
    <row r="82" spans="1:4" ht="10.5" x14ac:dyDescent="0.25">
      <c r="A82" s="18" t="s">
        <v>49</v>
      </c>
    </row>
    <row r="83" spans="1:4" ht="10.5" x14ac:dyDescent="0.25">
      <c r="A83" s="18" t="s">
        <v>50</v>
      </c>
      <c r="B83" s="18"/>
      <c r="C83" s="39" t="s">
        <v>727</v>
      </c>
      <c r="D83" s="19" t="s">
        <v>51</v>
      </c>
    </row>
    <row r="84" spans="1:4" x14ac:dyDescent="0.2">
      <c r="A84" s="9" t="s">
        <v>71</v>
      </c>
      <c r="C84" s="40">
        <v>26.055900000000001</v>
      </c>
      <c r="D84" s="40">
        <v>32.103499999999997</v>
      </c>
    </row>
    <row r="85" spans="1:4" x14ac:dyDescent="0.2">
      <c r="A85" s="9" t="s">
        <v>77</v>
      </c>
      <c r="C85" s="40">
        <v>14.348699999999999</v>
      </c>
      <c r="D85" s="40">
        <v>16.889600000000002</v>
      </c>
    </row>
    <row r="86" spans="1:4" x14ac:dyDescent="0.2">
      <c r="A86" s="9" t="s">
        <v>74</v>
      </c>
      <c r="C86" s="40">
        <v>27.329899999999999</v>
      </c>
      <c r="D86" s="40">
        <v>33.776400000000002</v>
      </c>
    </row>
    <row r="87" spans="1:4" x14ac:dyDescent="0.2">
      <c r="A87" s="9" t="s">
        <v>78</v>
      </c>
      <c r="C87" s="40">
        <v>15.162699999999999</v>
      </c>
      <c r="D87" s="40">
        <v>17.9467</v>
      </c>
    </row>
    <row r="89" spans="1:4" ht="10.5" x14ac:dyDescent="0.25">
      <c r="A89" s="18" t="s">
        <v>52</v>
      </c>
    </row>
    <row r="90" spans="1:4" ht="10.5" x14ac:dyDescent="0.25">
      <c r="A90" s="77" t="s">
        <v>68</v>
      </c>
      <c r="B90" s="78"/>
      <c r="C90" s="43" t="s">
        <v>69</v>
      </c>
    </row>
    <row r="91" spans="1:4" x14ac:dyDescent="0.2">
      <c r="A91" s="71" t="s">
        <v>77</v>
      </c>
      <c r="B91" s="72"/>
      <c r="C91" s="44">
        <v>0.75</v>
      </c>
    </row>
    <row r="92" spans="1:4" x14ac:dyDescent="0.2">
      <c r="A92" s="71" t="s">
        <v>78</v>
      </c>
      <c r="B92" s="72"/>
      <c r="C92" s="44">
        <v>0.75</v>
      </c>
    </row>
    <row r="93" spans="1:4" x14ac:dyDescent="0.2">
      <c r="A93" s="9" t="s">
        <v>70</v>
      </c>
    </row>
    <row r="95" spans="1:4" ht="10.5" x14ac:dyDescent="0.25">
      <c r="A95" s="18" t="s">
        <v>222</v>
      </c>
      <c r="D95" s="45">
        <v>0.1983</v>
      </c>
    </row>
    <row r="97" spans="1:1" ht="10.5" x14ac:dyDescent="0.25">
      <c r="A97" s="18" t="s">
        <v>726</v>
      </c>
    </row>
    <row r="98" spans="1:1" x14ac:dyDescent="0.2">
      <c r="A98" s="46" t="s">
        <v>55</v>
      </c>
    </row>
  </sheetData>
  <mergeCells count="4">
    <mergeCell ref="A1:F1"/>
    <mergeCell ref="A90:B90"/>
    <mergeCell ref="A91:B91"/>
    <mergeCell ref="A92:B92"/>
  </mergeCells>
  <conditionalFormatting sqref="F2:F3 F5:F69 F71:F65534">
    <cfRule type="cellIs" dxfId="11" priority="1" stopIfTrue="1" operator="between">
      <formula>0.009</formula>
      <formula>-0.009</formula>
    </cfRule>
  </conditionalFormatting>
  <hyperlinks>
    <hyperlink ref="A98" r:id="rId1" xr:uid="{00000000-0004-0000-3200-000000000000}"/>
  </hyperlinks>
  <pageMargins left="0.7" right="0.7" top="0.75" bottom="0.75" header="0.3" footer="0.3"/>
  <pageSetup paperSize="9" scale="49" orientation="portrait" r:id="rId2"/>
  <headerFooter>
    <oddFooter>&amp;R&amp;1#&amp;"Calibri"&amp;10&amp;KFF0000|PUBLIC|&amp;LPUBLIC</oddFooter>
    <evenFooter>&amp;LPUBLIC</evenFooter>
    <firstFooter>&amp;LPUBLIC</first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80"/>
  <sheetViews>
    <sheetView zoomScaleNormal="100" workbookViewId="0">
      <selection sqref="A1:F1"/>
    </sheetView>
  </sheetViews>
  <sheetFormatPr defaultColWidth="9.1796875" defaultRowHeight="10" x14ac:dyDescent="0.2"/>
  <cols>
    <col min="1" max="1" width="38.7265625" style="9" bestFit="1" customWidth="1"/>
    <col min="2" max="2" width="33.453125" style="9" bestFit="1" customWidth="1"/>
    <col min="3" max="3" width="18.81640625" style="9" bestFit="1" customWidth="1"/>
    <col min="4" max="4" width="15.1796875" style="10" bestFit="1" customWidth="1"/>
    <col min="5" max="5" width="23" style="13" bestFit="1" customWidth="1"/>
    <col min="6" max="6" width="14.7265625" style="14" bestFit="1" customWidth="1"/>
    <col min="7" max="16384" width="9.1796875" style="9"/>
  </cols>
  <sheetData>
    <row r="1" spans="1:6" s="1" customFormat="1" ht="14" x14ac:dyDescent="0.25">
      <c r="A1" s="75" t="s">
        <v>21</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99</v>
      </c>
      <c r="B7" s="27" t="s">
        <v>98</v>
      </c>
      <c r="C7" s="27" t="s">
        <v>100</v>
      </c>
      <c r="D7" s="31">
        <v>271286</v>
      </c>
      <c r="E7" s="29">
        <v>3772.2318300000002</v>
      </c>
      <c r="F7" s="30">
        <v>10.2728492696451</v>
      </c>
    </row>
    <row r="8" spans="1:6" x14ac:dyDescent="0.2">
      <c r="A8" s="27" t="s">
        <v>663</v>
      </c>
      <c r="B8" s="27" t="s">
        <v>662</v>
      </c>
      <c r="C8" s="27" t="s">
        <v>133</v>
      </c>
      <c r="D8" s="31">
        <v>200903</v>
      </c>
      <c r="E8" s="29">
        <v>3700.5328089999998</v>
      </c>
      <c r="F8" s="30">
        <v>10.077592650034299</v>
      </c>
    </row>
    <row r="9" spans="1:6" x14ac:dyDescent="0.2">
      <c r="A9" s="27" t="s">
        <v>104</v>
      </c>
      <c r="B9" s="27" t="s">
        <v>103</v>
      </c>
      <c r="C9" s="27" t="s">
        <v>105</v>
      </c>
      <c r="D9" s="31">
        <v>228375</v>
      </c>
      <c r="E9" s="29">
        <v>2829.6804379999999</v>
      </c>
      <c r="F9" s="30">
        <v>7.7060164727037401</v>
      </c>
    </row>
    <row r="10" spans="1:6" x14ac:dyDescent="0.2">
      <c r="A10" s="27" t="s">
        <v>184</v>
      </c>
      <c r="B10" s="27" t="s">
        <v>183</v>
      </c>
      <c r="C10" s="27" t="s">
        <v>185</v>
      </c>
      <c r="D10" s="31">
        <v>111903</v>
      </c>
      <c r="E10" s="29">
        <v>2660.829534</v>
      </c>
      <c r="F10" s="30">
        <v>7.2461879245110099</v>
      </c>
    </row>
    <row r="11" spans="1:6" x14ac:dyDescent="0.2">
      <c r="A11" s="27" t="s">
        <v>110</v>
      </c>
      <c r="B11" s="27" t="s">
        <v>109</v>
      </c>
      <c r="C11" s="27" t="s">
        <v>100</v>
      </c>
      <c r="D11" s="31">
        <v>430892</v>
      </c>
      <c r="E11" s="29">
        <v>2313.8900400000002</v>
      </c>
      <c r="F11" s="30">
        <v>6.3013740084614902</v>
      </c>
    </row>
    <row r="12" spans="1:6" x14ac:dyDescent="0.2">
      <c r="A12" s="27" t="s">
        <v>226</v>
      </c>
      <c r="B12" s="27" t="s">
        <v>225</v>
      </c>
      <c r="C12" s="27" t="s">
        <v>105</v>
      </c>
      <c r="D12" s="31">
        <v>64223</v>
      </c>
      <c r="E12" s="29">
        <v>1998.202311</v>
      </c>
      <c r="F12" s="30">
        <v>5.44166744681743</v>
      </c>
    </row>
    <row r="13" spans="1:6" x14ac:dyDescent="0.2">
      <c r="A13" s="27" t="s">
        <v>115</v>
      </c>
      <c r="B13" s="27" t="s">
        <v>114</v>
      </c>
      <c r="C13" s="27" t="s">
        <v>100</v>
      </c>
      <c r="D13" s="31">
        <v>91938</v>
      </c>
      <c r="E13" s="29">
        <v>1574.851971</v>
      </c>
      <c r="F13" s="30">
        <v>4.2887652851618396</v>
      </c>
    </row>
    <row r="14" spans="1:6" x14ac:dyDescent="0.2">
      <c r="A14" s="27" t="s">
        <v>293</v>
      </c>
      <c r="B14" s="27" t="s">
        <v>292</v>
      </c>
      <c r="C14" s="27" t="s">
        <v>127</v>
      </c>
      <c r="D14" s="31">
        <v>55978</v>
      </c>
      <c r="E14" s="29">
        <v>1267.285942</v>
      </c>
      <c r="F14" s="30">
        <v>3.4511763991202602</v>
      </c>
    </row>
    <row r="15" spans="1:6" x14ac:dyDescent="0.2">
      <c r="A15" s="27" t="s">
        <v>247</v>
      </c>
      <c r="B15" s="27" t="s">
        <v>246</v>
      </c>
      <c r="C15" s="27" t="s">
        <v>127</v>
      </c>
      <c r="D15" s="31">
        <v>542707</v>
      </c>
      <c r="E15" s="29">
        <v>1103.051978</v>
      </c>
      <c r="F15" s="30">
        <v>3.0039210783548</v>
      </c>
    </row>
    <row r="16" spans="1:6" x14ac:dyDescent="0.2">
      <c r="A16" s="27" t="s">
        <v>102</v>
      </c>
      <c r="B16" s="27" t="s">
        <v>101</v>
      </c>
      <c r="C16" s="27" t="s">
        <v>100</v>
      </c>
      <c r="D16" s="31">
        <v>153822</v>
      </c>
      <c r="E16" s="29">
        <v>1019.6860380000001</v>
      </c>
      <c r="F16" s="30">
        <v>2.77689215371888</v>
      </c>
    </row>
    <row r="17" spans="1:6" x14ac:dyDescent="0.2">
      <c r="A17" s="27" t="s">
        <v>195</v>
      </c>
      <c r="B17" s="27" t="s">
        <v>194</v>
      </c>
      <c r="C17" s="27" t="s">
        <v>196</v>
      </c>
      <c r="D17" s="31">
        <v>75178</v>
      </c>
      <c r="E17" s="29">
        <v>1003.400766</v>
      </c>
      <c r="F17" s="30">
        <v>2.7325427732696999</v>
      </c>
    </row>
    <row r="18" spans="1:6" x14ac:dyDescent="0.2">
      <c r="A18" s="27" t="s">
        <v>107</v>
      </c>
      <c r="B18" s="27" t="s">
        <v>106</v>
      </c>
      <c r="C18" s="27" t="s">
        <v>108</v>
      </c>
      <c r="D18" s="31">
        <v>145301</v>
      </c>
      <c r="E18" s="29">
        <v>804.38633600000003</v>
      </c>
      <c r="F18" s="30">
        <v>2.1905704518404701</v>
      </c>
    </row>
    <row r="19" spans="1:6" x14ac:dyDescent="0.2">
      <c r="A19" s="27" t="s">
        <v>665</v>
      </c>
      <c r="B19" s="27" t="s">
        <v>664</v>
      </c>
      <c r="C19" s="27" t="s">
        <v>185</v>
      </c>
      <c r="D19" s="31">
        <v>16438</v>
      </c>
      <c r="E19" s="29">
        <v>778.26532899999995</v>
      </c>
      <c r="F19" s="30">
        <v>2.1194355959314799</v>
      </c>
    </row>
    <row r="20" spans="1:6" x14ac:dyDescent="0.2">
      <c r="A20" s="27" t="s">
        <v>510</v>
      </c>
      <c r="B20" s="27" t="s">
        <v>509</v>
      </c>
      <c r="C20" s="27" t="s">
        <v>127</v>
      </c>
      <c r="D20" s="31">
        <v>27893</v>
      </c>
      <c r="E20" s="29">
        <v>671.48213550000003</v>
      </c>
      <c r="F20" s="30">
        <v>1.82863489735489</v>
      </c>
    </row>
    <row r="21" spans="1:6" x14ac:dyDescent="0.2">
      <c r="A21" s="27" t="s">
        <v>143</v>
      </c>
      <c r="B21" s="27" t="s">
        <v>142</v>
      </c>
      <c r="C21" s="27" t="s">
        <v>100</v>
      </c>
      <c r="D21" s="31">
        <v>234249</v>
      </c>
      <c r="E21" s="29">
        <v>660.81642899999997</v>
      </c>
      <c r="F21" s="30">
        <v>1.7995891758386799</v>
      </c>
    </row>
    <row r="22" spans="1:6" x14ac:dyDescent="0.2">
      <c r="A22" s="27" t="s">
        <v>324</v>
      </c>
      <c r="B22" s="27" t="s">
        <v>323</v>
      </c>
      <c r="C22" s="27" t="s">
        <v>105</v>
      </c>
      <c r="D22" s="31">
        <v>67654</v>
      </c>
      <c r="E22" s="29">
        <v>618.35756000000003</v>
      </c>
      <c r="F22" s="30">
        <v>1.68396172210485</v>
      </c>
    </row>
    <row r="23" spans="1:6" x14ac:dyDescent="0.2">
      <c r="A23" s="27" t="s">
        <v>189</v>
      </c>
      <c r="B23" s="27" t="s">
        <v>188</v>
      </c>
      <c r="C23" s="27" t="s">
        <v>130</v>
      </c>
      <c r="D23" s="31">
        <v>8243</v>
      </c>
      <c r="E23" s="29">
        <v>594.04415949999998</v>
      </c>
      <c r="F23" s="30">
        <v>1.61774948759088</v>
      </c>
    </row>
    <row r="24" spans="1:6" x14ac:dyDescent="0.2">
      <c r="A24" s="27" t="s">
        <v>129</v>
      </c>
      <c r="B24" s="27" t="s">
        <v>128</v>
      </c>
      <c r="C24" s="27" t="s">
        <v>130</v>
      </c>
      <c r="D24" s="31">
        <v>58902</v>
      </c>
      <c r="E24" s="29">
        <v>441.52939199999997</v>
      </c>
      <c r="F24" s="30">
        <v>1.2024088382007101</v>
      </c>
    </row>
    <row r="25" spans="1:6" x14ac:dyDescent="0.2">
      <c r="A25" s="27" t="s">
        <v>548</v>
      </c>
      <c r="B25" s="27" t="s">
        <v>547</v>
      </c>
      <c r="C25" s="27" t="s">
        <v>138</v>
      </c>
      <c r="D25" s="31">
        <v>66051</v>
      </c>
      <c r="E25" s="29">
        <v>387.19096200000001</v>
      </c>
      <c r="F25" s="30">
        <v>1.05442999541067</v>
      </c>
    </row>
    <row r="26" spans="1:6" x14ac:dyDescent="0.2">
      <c r="A26" s="27" t="s">
        <v>527</v>
      </c>
      <c r="B26" s="27" t="s">
        <v>526</v>
      </c>
      <c r="C26" s="27" t="s">
        <v>180</v>
      </c>
      <c r="D26" s="31">
        <v>7098</v>
      </c>
      <c r="E26" s="29">
        <v>378.12820499999998</v>
      </c>
      <c r="F26" s="30">
        <v>1.0297495566613899</v>
      </c>
    </row>
    <row r="27" spans="1:6" x14ac:dyDescent="0.2">
      <c r="A27" s="27" t="s">
        <v>214</v>
      </c>
      <c r="B27" s="27" t="s">
        <v>213</v>
      </c>
      <c r="C27" s="27" t="s">
        <v>127</v>
      </c>
      <c r="D27" s="31">
        <v>2189</v>
      </c>
      <c r="E27" s="29">
        <v>373.4434</v>
      </c>
      <c r="F27" s="30">
        <v>1.0169915137330801</v>
      </c>
    </row>
    <row r="28" spans="1:6" x14ac:dyDescent="0.2">
      <c r="A28" s="27" t="s">
        <v>193</v>
      </c>
      <c r="B28" s="27" t="s">
        <v>192</v>
      </c>
      <c r="C28" s="27" t="s">
        <v>105</v>
      </c>
      <c r="D28" s="31">
        <v>38236</v>
      </c>
      <c r="E28" s="29">
        <v>367.60090400000001</v>
      </c>
      <c r="F28" s="30">
        <v>1.00108075228698</v>
      </c>
    </row>
    <row r="29" spans="1:6" x14ac:dyDescent="0.2">
      <c r="A29" s="27" t="s">
        <v>230</v>
      </c>
      <c r="B29" s="27" t="s">
        <v>229</v>
      </c>
      <c r="C29" s="27" t="s">
        <v>118</v>
      </c>
      <c r="D29" s="31">
        <v>25864</v>
      </c>
      <c r="E29" s="29">
        <v>367.34639199999998</v>
      </c>
      <c r="F29" s="30">
        <v>1.00038764445821</v>
      </c>
    </row>
    <row r="30" spans="1:6" x14ac:dyDescent="0.2">
      <c r="A30" s="27" t="s">
        <v>667</v>
      </c>
      <c r="B30" s="27" t="s">
        <v>666</v>
      </c>
      <c r="C30" s="27" t="s">
        <v>105</v>
      </c>
      <c r="D30" s="31">
        <v>87723</v>
      </c>
      <c r="E30" s="29">
        <v>366.59441700000002</v>
      </c>
      <c r="F30" s="30">
        <v>0.99833980482965901</v>
      </c>
    </row>
    <row r="31" spans="1:6" x14ac:dyDescent="0.2">
      <c r="A31" s="27" t="s">
        <v>177</v>
      </c>
      <c r="B31" s="27" t="s">
        <v>176</v>
      </c>
      <c r="C31" s="27" t="s">
        <v>138</v>
      </c>
      <c r="D31" s="31">
        <v>7297</v>
      </c>
      <c r="E31" s="29">
        <v>335.85901899999999</v>
      </c>
      <c r="F31" s="30">
        <v>0.91463866313801701</v>
      </c>
    </row>
    <row r="32" spans="1:6" x14ac:dyDescent="0.2">
      <c r="A32" s="27" t="s">
        <v>669</v>
      </c>
      <c r="B32" s="27" t="s">
        <v>668</v>
      </c>
      <c r="C32" s="27" t="s">
        <v>185</v>
      </c>
      <c r="D32" s="31">
        <v>3766</v>
      </c>
      <c r="E32" s="29">
        <v>328.49876499999999</v>
      </c>
      <c r="F32" s="30">
        <v>0.89459461936345797</v>
      </c>
    </row>
    <row r="33" spans="1:6" x14ac:dyDescent="0.2">
      <c r="A33" s="27" t="s">
        <v>671</v>
      </c>
      <c r="B33" s="27" t="s">
        <v>670</v>
      </c>
      <c r="C33" s="27" t="s">
        <v>185</v>
      </c>
      <c r="D33" s="31">
        <v>47558</v>
      </c>
      <c r="E33" s="29">
        <v>322.41946100000001</v>
      </c>
      <c r="F33" s="30">
        <v>0.87803896306479701</v>
      </c>
    </row>
    <row r="34" spans="1:6" x14ac:dyDescent="0.2">
      <c r="A34" s="27" t="s">
        <v>149</v>
      </c>
      <c r="B34" s="27" t="s">
        <v>148</v>
      </c>
      <c r="C34" s="27" t="s">
        <v>130</v>
      </c>
      <c r="D34" s="31">
        <v>8023</v>
      </c>
      <c r="E34" s="29">
        <v>321.385334</v>
      </c>
      <c r="F34" s="30">
        <v>0.87522274410598699</v>
      </c>
    </row>
    <row r="35" spans="1:6" x14ac:dyDescent="0.2">
      <c r="A35" s="27" t="s">
        <v>561</v>
      </c>
      <c r="B35" s="27" t="s">
        <v>560</v>
      </c>
      <c r="C35" s="27" t="s">
        <v>100</v>
      </c>
      <c r="D35" s="31">
        <v>34804</v>
      </c>
      <c r="E35" s="29">
        <v>294.47664400000002</v>
      </c>
      <c r="F35" s="30">
        <v>0.80194280563157905</v>
      </c>
    </row>
    <row r="36" spans="1:6" x14ac:dyDescent="0.2">
      <c r="A36" s="27" t="s">
        <v>145</v>
      </c>
      <c r="B36" s="27" t="s">
        <v>144</v>
      </c>
      <c r="C36" s="27" t="s">
        <v>146</v>
      </c>
      <c r="D36" s="31">
        <v>156065</v>
      </c>
      <c r="E36" s="29">
        <v>287.86189250000001</v>
      </c>
      <c r="F36" s="30">
        <v>0.78392897504586401</v>
      </c>
    </row>
    <row r="37" spans="1:6" x14ac:dyDescent="0.2">
      <c r="A37" s="27" t="s">
        <v>163</v>
      </c>
      <c r="B37" s="27" t="s">
        <v>162</v>
      </c>
      <c r="C37" s="27" t="s">
        <v>130</v>
      </c>
      <c r="D37" s="31">
        <v>108853</v>
      </c>
      <c r="E37" s="29">
        <v>285.95683100000002</v>
      </c>
      <c r="F37" s="30">
        <v>0.77874095624933604</v>
      </c>
    </row>
    <row r="38" spans="1:6" x14ac:dyDescent="0.2">
      <c r="A38" s="27" t="s">
        <v>123</v>
      </c>
      <c r="B38" s="27" t="s">
        <v>122</v>
      </c>
      <c r="C38" s="27" t="s">
        <v>124</v>
      </c>
      <c r="D38" s="31">
        <v>46210</v>
      </c>
      <c r="E38" s="29">
        <v>277.72210000000001</v>
      </c>
      <c r="F38" s="30">
        <v>0.75631546541223804</v>
      </c>
    </row>
    <row r="39" spans="1:6" x14ac:dyDescent="0.2">
      <c r="A39" s="27" t="s">
        <v>153</v>
      </c>
      <c r="B39" s="27" t="s">
        <v>152</v>
      </c>
      <c r="C39" s="27" t="s">
        <v>146</v>
      </c>
      <c r="D39" s="31">
        <v>297973</v>
      </c>
      <c r="E39" s="29">
        <v>265.04698350000001</v>
      </c>
      <c r="F39" s="30">
        <v>0.721797554756759</v>
      </c>
    </row>
    <row r="40" spans="1:6" x14ac:dyDescent="0.2">
      <c r="A40" s="27" t="s">
        <v>673</v>
      </c>
      <c r="B40" s="27" t="s">
        <v>672</v>
      </c>
      <c r="C40" s="27" t="s">
        <v>138</v>
      </c>
      <c r="D40" s="31">
        <v>7753</v>
      </c>
      <c r="E40" s="29">
        <v>261.26447050000002</v>
      </c>
      <c r="F40" s="30">
        <v>0.71149670696674605</v>
      </c>
    </row>
    <row r="41" spans="1:6" x14ac:dyDescent="0.2">
      <c r="A41" s="27" t="s">
        <v>675</v>
      </c>
      <c r="B41" s="27" t="s">
        <v>674</v>
      </c>
      <c r="C41" s="27" t="s">
        <v>127</v>
      </c>
      <c r="D41" s="31">
        <v>7346</v>
      </c>
      <c r="E41" s="29">
        <v>257.19080600000001</v>
      </c>
      <c r="F41" s="30">
        <v>0.70040297167434096</v>
      </c>
    </row>
    <row r="42" spans="1:6" x14ac:dyDescent="0.2">
      <c r="A42" s="27" t="s">
        <v>544</v>
      </c>
      <c r="B42" s="27" t="s">
        <v>543</v>
      </c>
      <c r="C42" s="27" t="s">
        <v>138</v>
      </c>
      <c r="D42" s="31">
        <v>30814</v>
      </c>
      <c r="E42" s="29">
        <v>254.49282600000001</v>
      </c>
      <c r="F42" s="30">
        <v>0.69305561257194004</v>
      </c>
    </row>
    <row r="43" spans="1:6" x14ac:dyDescent="0.2">
      <c r="A43" s="27" t="s">
        <v>179</v>
      </c>
      <c r="B43" s="27" t="s">
        <v>178</v>
      </c>
      <c r="C43" s="27" t="s">
        <v>180</v>
      </c>
      <c r="D43" s="31">
        <v>23973</v>
      </c>
      <c r="E43" s="29">
        <v>253.07097450000001</v>
      </c>
      <c r="F43" s="30">
        <v>0.689183510643539</v>
      </c>
    </row>
    <row r="44" spans="1:6" x14ac:dyDescent="0.2">
      <c r="A44" s="27" t="s">
        <v>677</v>
      </c>
      <c r="B44" s="27" t="s">
        <v>676</v>
      </c>
      <c r="C44" s="27" t="s">
        <v>130</v>
      </c>
      <c r="D44" s="31">
        <v>7692</v>
      </c>
      <c r="E44" s="29">
        <v>250.455366</v>
      </c>
      <c r="F44" s="30">
        <v>0.682060472325689</v>
      </c>
    </row>
    <row r="45" spans="1:6" x14ac:dyDescent="0.2">
      <c r="A45" s="27" t="s">
        <v>679</v>
      </c>
      <c r="B45" s="27" t="s">
        <v>678</v>
      </c>
      <c r="C45" s="27" t="s">
        <v>262</v>
      </c>
      <c r="D45" s="31">
        <v>45543</v>
      </c>
      <c r="E45" s="29">
        <v>232.13267099999999</v>
      </c>
      <c r="F45" s="30">
        <v>0.63216261545174401</v>
      </c>
    </row>
    <row r="46" spans="1:6" x14ac:dyDescent="0.2">
      <c r="A46" s="27" t="s">
        <v>681</v>
      </c>
      <c r="B46" s="27" t="s">
        <v>680</v>
      </c>
      <c r="C46" s="27" t="s">
        <v>130</v>
      </c>
      <c r="D46" s="31">
        <v>8296</v>
      </c>
      <c r="E46" s="29">
        <v>227.66712799999999</v>
      </c>
      <c r="F46" s="30">
        <v>0.62000168467827199</v>
      </c>
    </row>
    <row r="47" spans="1:6" x14ac:dyDescent="0.2">
      <c r="A47" s="27" t="s">
        <v>683</v>
      </c>
      <c r="B47" s="27" t="s">
        <v>682</v>
      </c>
      <c r="C47" s="27" t="s">
        <v>124</v>
      </c>
      <c r="D47" s="31">
        <v>58927</v>
      </c>
      <c r="E47" s="29">
        <v>216.1736995</v>
      </c>
      <c r="F47" s="30">
        <v>0.58870184312745599</v>
      </c>
    </row>
    <row r="48" spans="1:6" x14ac:dyDescent="0.2">
      <c r="A48" s="27" t="s">
        <v>685</v>
      </c>
      <c r="B48" s="27" t="s">
        <v>684</v>
      </c>
      <c r="C48" s="27" t="s">
        <v>185</v>
      </c>
      <c r="D48" s="31">
        <v>23408</v>
      </c>
      <c r="E48" s="29">
        <v>202.35045600000001</v>
      </c>
      <c r="F48" s="30">
        <v>0.55105725941874495</v>
      </c>
    </row>
    <row r="49" spans="1:9" x14ac:dyDescent="0.2">
      <c r="A49" s="27" t="s">
        <v>140</v>
      </c>
      <c r="B49" s="27" t="s">
        <v>139</v>
      </c>
      <c r="C49" s="27" t="s">
        <v>141</v>
      </c>
      <c r="D49" s="31">
        <v>85899</v>
      </c>
      <c r="E49" s="29">
        <v>194.38943699999999</v>
      </c>
      <c r="F49" s="30">
        <v>0.52937716341579499</v>
      </c>
    </row>
    <row r="50" spans="1:9" x14ac:dyDescent="0.2">
      <c r="A50" s="27" t="s">
        <v>252</v>
      </c>
      <c r="B50" s="27" t="s">
        <v>251</v>
      </c>
      <c r="C50" s="27" t="s">
        <v>253</v>
      </c>
      <c r="D50" s="31">
        <v>210784</v>
      </c>
      <c r="E50" s="29">
        <v>186.12227200000001</v>
      </c>
      <c r="F50" s="30">
        <v>0.50686334566555202</v>
      </c>
    </row>
    <row r="51" spans="1:9" x14ac:dyDescent="0.2">
      <c r="A51" s="27" t="s">
        <v>687</v>
      </c>
      <c r="B51" s="27" t="s">
        <v>686</v>
      </c>
      <c r="C51" s="27" t="s">
        <v>180</v>
      </c>
      <c r="D51" s="31">
        <v>806</v>
      </c>
      <c r="E51" s="29">
        <v>183.553201</v>
      </c>
      <c r="F51" s="30">
        <v>0.49986704206190702</v>
      </c>
    </row>
    <row r="52" spans="1:9" x14ac:dyDescent="0.2">
      <c r="A52" s="27" t="s">
        <v>155</v>
      </c>
      <c r="B52" s="27" t="s">
        <v>154</v>
      </c>
      <c r="C52" s="27" t="s">
        <v>133</v>
      </c>
      <c r="D52" s="31">
        <v>47078</v>
      </c>
      <c r="E52" s="29">
        <v>180.59120799999999</v>
      </c>
      <c r="F52" s="30">
        <v>0.49180070123291703</v>
      </c>
    </row>
    <row r="53" spans="1:9" x14ac:dyDescent="0.2">
      <c r="A53" s="27" t="s">
        <v>689</v>
      </c>
      <c r="B53" s="27" t="s">
        <v>688</v>
      </c>
      <c r="C53" s="27" t="s">
        <v>492</v>
      </c>
      <c r="D53" s="31">
        <v>32142</v>
      </c>
      <c r="E53" s="29">
        <v>180.20412300000001</v>
      </c>
      <c r="F53" s="30">
        <v>0.49074655980186399</v>
      </c>
    </row>
    <row r="54" spans="1:9" x14ac:dyDescent="0.2">
      <c r="A54" s="27" t="s">
        <v>172</v>
      </c>
      <c r="B54" s="27" t="s">
        <v>171</v>
      </c>
      <c r="C54" s="27" t="s">
        <v>173</v>
      </c>
      <c r="D54" s="31">
        <v>123394</v>
      </c>
      <c r="E54" s="29">
        <v>155.35304600000001</v>
      </c>
      <c r="F54" s="30">
        <v>0.42307008080631198</v>
      </c>
    </row>
    <row r="55" spans="1:9" x14ac:dyDescent="0.2">
      <c r="A55" s="27" t="s">
        <v>216</v>
      </c>
      <c r="B55" s="27" t="s">
        <v>215</v>
      </c>
      <c r="C55" s="27" t="s">
        <v>121</v>
      </c>
      <c r="D55" s="31">
        <v>110952</v>
      </c>
      <c r="E55" s="29">
        <v>139.02285599999999</v>
      </c>
      <c r="F55" s="30">
        <v>0.37859837599736801</v>
      </c>
    </row>
    <row r="56" spans="1:9" x14ac:dyDescent="0.2">
      <c r="A56" s="27" t="s">
        <v>205</v>
      </c>
      <c r="B56" s="27" t="s">
        <v>204</v>
      </c>
      <c r="C56" s="27" t="s">
        <v>133</v>
      </c>
      <c r="D56" s="31">
        <v>146180</v>
      </c>
      <c r="E56" s="29">
        <v>136.31285</v>
      </c>
      <c r="F56" s="30">
        <v>0.37121826671128599</v>
      </c>
    </row>
    <row r="57" spans="1:9" x14ac:dyDescent="0.2">
      <c r="A57" s="27" t="s">
        <v>691</v>
      </c>
      <c r="B57" s="27" t="s">
        <v>690</v>
      </c>
      <c r="C57" s="27" t="s">
        <v>100</v>
      </c>
      <c r="D57" s="31">
        <v>92088</v>
      </c>
      <c r="E57" s="29">
        <v>0</v>
      </c>
      <c r="F57" s="29">
        <v>0</v>
      </c>
    </row>
    <row r="58" spans="1:9" ht="10.5" x14ac:dyDescent="0.25">
      <c r="A58" s="26" t="s">
        <v>40</v>
      </c>
      <c r="B58" s="26"/>
      <c r="C58" s="26"/>
      <c r="D58" s="32"/>
      <c r="E58" s="33">
        <f>SUM(E7:E57)</f>
        <v>36282.403698499998</v>
      </c>
      <c r="F58" s="34">
        <f>SUM(F7:F57)</f>
        <v>98.807199857360004</v>
      </c>
      <c r="G58" s="18"/>
      <c r="H58" s="18"/>
      <c r="I58" s="18"/>
    </row>
    <row r="59" spans="1:9" x14ac:dyDescent="0.2">
      <c r="A59" s="27"/>
      <c r="B59" s="27"/>
      <c r="C59" s="27"/>
      <c r="D59" s="28"/>
      <c r="E59" s="29"/>
      <c r="F59" s="30"/>
    </row>
    <row r="60" spans="1:9" ht="10.5" x14ac:dyDescent="0.25">
      <c r="A60" s="26" t="s">
        <v>44</v>
      </c>
      <c r="B60" s="26"/>
      <c r="C60" s="26"/>
      <c r="D60" s="32"/>
      <c r="E60" s="33">
        <f>E58</f>
        <v>36282.403698499998</v>
      </c>
      <c r="F60" s="34">
        <f>F58</f>
        <v>98.807199857360004</v>
      </c>
      <c r="G60" s="18"/>
      <c r="H60" s="18"/>
      <c r="I60" s="18"/>
    </row>
    <row r="61" spans="1:9" ht="10.5" x14ac:dyDescent="0.25">
      <c r="A61" s="26"/>
      <c r="B61" s="26"/>
      <c r="C61" s="26"/>
      <c r="D61" s="32"/>
      <c r="E61" s="33"/>
      <c r="F61" s="34"/>
      <c r="G61" s="18"/>
      <c r="H61" s="18"/>
      <c r="I61" s="18"/>
    </row>
    <row r="62" spans="1:9" ht="10.5" x14ac:dyDescent="0.25">
      <c r="A62" s="26" t="s">
        <v>46</v>
      </c>
      <c r="B62" s="26"/>
      <c r="C62" s="26"/>
      <c r="D62" s="32"/>
      <c r="E62" s="33">
        <f>E64-(E58)</f>
        <v>438.00104010000359</v>
      </c>
      <c r="F62" s="34">
        <f>F64-(F58)</f>
        <v>1.1928001426399959</v>
      </c>
      <c r="G62" s="18"/>
      <c r="H62" s="18"/>
      <c r="I62" s="18"/>
    </row>
    <row r="63" spans="1:9" ht="10.5" x14ac:dyDescent="0.25">
      <c r="A63" s="26"/>
      <c r="B63" s="26"/>
      <c r="C63" s="26"/>
      <c r="D63" s="32"/>
      <c r="E63" s="33"/>
      <c r="F63" s="34"/>
      <c r="G63" s="18"/>
      <c r="H63" s="18"/>
      <c r="I63" s="18"/>
    </row>
    <row r="64" spans="1:9" ht="10.5" x14ac:dyDescent="0.25">
      <c r="A64" s="35" t="s">
        <v>45</v>
      </c>
      <c r="B64" s="35"/>
      <c r="C64" s="35"/>
      <c r="D64" s="36"/>
      <c r="E64" s="37">
        <v>36720.404738600002</v>
      </c>
      <c r="F64" s="38">
        <v>100</v>
      </c>
      <c r="G64" s="18"/>
      <c r="H64" s="18"/>
      <c r="I64" s="18"/>
    </row>
    <row r="65" spans="1:6" ht="10.5" x14ac:dyDescent="0.25">
      <c r="F65" s="20"/>
    </row>
    <row r="67" spans="1:6" ht="10.5" x14ac:dyDescent="0.25">
      <c r="A67" s="18" t="s">
        <v>48</v>
      </c>
    </row>
    <row r="68" spans="1:6" ht="10.5" x14ac:dyDescent="0.25">
      <c r="A68" s="18" t="s">
        <v>49</v>
      </c>
    </row>
    <row r="69" spans="1:6" ht="10.5" x14ac:dyDescent="0.25">
      <c r="A69" s="18" t="s">
        <v>50</v>
      </c>
      <c r="B69" s="18"/>
      <c r="C69" s="39" t="s">
        <v>727</v>
      </c>
      <c r="D69" s="19" t="s">
        <v>51</v>
      </c>
    </row>
    <row r="70" spans="1:6" x14ac:dyDescent="0.2">
      <c r="A70" s="9" t="s">
        <v>71</v>
      </c>
      <c r="C70" s="40">
        <v>87.479500000000002</v>
      </c>
      <c r="D70" s="40">
        <v>107.61320000000001</v>
      </c>
    </row>
    <row r="71" spans="1:6" x14ac:dyDescent="0.2">
      <c r="A71" s="9" t="s">
        <v>77</v>
      </c>
      <c r="C71" s="40">
        <v>87.479500000000002</v>
      </c>
      <c r="D71" s="40">
        <v>107.61320000000001</v>
      </c>
    </row>
    <row r="72" spans="1:6" x14ac:dyDescent="0.2">
      <c r="A72" s="9" t="s">
        <v>74</v>
      </c>
      <c r="C72" s="40">
        <v>90.143699999999995</v>
      </c>
      <c r="D72" s="40">
        <v>111.1181</v>
      </c>
    </row>
    <row r="73" spans="1:6" x14ac:dyDescent="0.2">
      <c r="A73" s="9" t="s">
        <v>78</v>
      </c>
      <c r="C73" s="40">
        <v>90.143699999999995</v>
      </c>
      <c r="D73" s="40">
        <v>111.1181</v>
      </c>
    </row>
    <row r="75" spans="1:6" ht="10.5" x14ac:dyDescent="0.25">
      <c r="A75" s="18" t="s">
        <v>52</v>
      </c>
      <c r="D75" s="41" t="s">
        <v>53</v>
      </c>
    </row>
    <row r="77" spans="1:6" ht="10.5" x14ac:dyDescent="0.25">
      <c r="A77" s="18" t="s">
        <v>222</v>
      </c>
      <c r="D77" s="45">
        <v>1.5100000000000001E-2</v>
      </c>
    </row>
    <row r="79" spans="1:6" ht="10.5" x14ac:dyDescent="0.25">
      <c r="A79" s="18" t="s">
        <v>726</v>
      </c>
    </row>
    <row r="80" spans="1:6" x14ac:dyDescent="0.2">
      <c r="A80" s="46" t="s">
        <v>55</v>
      </c>
    </row>
  </sheetData>
  <mergeCells count="1">
    <mergeCell ref="A1:F1"/>
  </mergeCells>
  <conditionalFormatting sqref="F2:F3 F5:F56 F58:F65534">
    <cfRule type="cellIs" dxfId="10" priority="1" stopIfTrue="1" operator="between">
      <formula>0.009</formula>
      <formula>-0.009</formula>
    </cfRule>
  </conditionalFormatting>
  <hyperlinks>
    <hyperlink ref="A80" r:id="rId1" xr:uid="{00000000-0004-0000-3300-000000000000}"/>
  </hyperlinks>
  <pageMargins left="0.7" right="0.7" top="0.75" bottom="0.75" header="0.3" footer="0.3"/>
  <pageSetup paperSize="9" scale="60" orientation="portrait" r:id="rId2"/>
  <headerFooter>
    <oddFooter>&amp;R&amp;1#&amp;"Calibri"&amp;10&amp;KFF0000|PUBLIC|&amp;LPUBLIC</oddFooter>
    <evenFooter>&amp;LPUBLIC</evenFooter>
    <firstFooter>&amp;LPUBLIC</firstFooter>
  </headerFooter>
  <colBreaks count="1" manualBreakCount="1">
    <brk id="6" max="1048575" man="1"/>
  </col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88"/>
  <sheetViews>
    <sheetView zoomScaleNormal="100" workbookViewId="0">
      <selection sqref="A1:F1"/>
    </sheetView>
  </sheetViews>
  <sheetFormatPr defaultColWidth="9.1796875" defaultRowHeight="10" x14ac:dyDescent="0.2"/>
  <cols>
    <col min="1" max="1" width="38.7265625" style="9" bestFit="1" customWidth="1"/>
    <col min="2" max="2" width="37.453125" style="9" customWidth="1"/>
    <col min="3" max="3" width="35.7265625" style="9" bestFit="1" customWidth="1"/>
    <col min="4" max="4" width="15.1796875" style="10" bestFit="1" customWidth="1"/>
    <col min="5" max="5" width="23" style="13" bestFit="1" customWidth="1"/>
    <col min="6" max="6" width="14.7265625" style="14" bestFit="1" customWidth="1"/>
    <col min="7" max="16384" width="9.1796875" style="9"/>
  </cols>
  <sheetData>
    <row r="1" spans="1:6" s="1" customFormat="1" ht="14" x14ac:dyDescent="0.25">
      <c r="A1" s="75" t="s">
        <v>22</v>
      </c>
      <c r="B1" s="76"/>
      <c r="C1" s="76"/>
      <c r="D1" s="76"/>
      <c r="E1" s="76"/>
      <c r="F1" s="76"/>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272</v>
      </c>
      <c r="D4" s="16" t="s">
        <v>1</v>
      </c>
      <c r="E4" s="15" t="s">
        <v>3</v>
      </c>
      <c r="F4" s="15" t="s">
        <v>4</v>
      </c>
    </row>
    <row r="5" spans="1:6" ht="10.5" x14ac:dyDescent="0.25">
      <c r="A5" s="21" t="s">
        <v>97</v>
      </c>
      <c r="B5" s="22"/>
      <c r="C5" s="22"/>
      <c r="D5" s="23"/>
      <c r="E5" s="24"/>
      <c r="F5" s="25"/>
    </row>
    <row r="6" spans="1:6" ht="10.5" x14ac:dyDescent="0.25">
      <c r="A6" s="26" t="s">
        <v>32</v>
      </c>
      <c r="B6" s="27"/>
      <c r="C6" s="27"/>
      <c r="D6" s="28"/>
      <c r="E6" s="29"/>
      <c r="F6" s="30"/>
    </row>
    <row r="7" spans="1:6" x14ac:dyDescent="0.2">
      <c r="A7" s="27" t="s">
        <v>102</v>
      </c>
      <c r="B7" s="27" t="s">
        <v>101</v>
      </c>
      <c r="C7" s="27" t="s">
        <v>100</v>
      </c>
      <c r="D7" s="31">
        <v>6329842</v>
      </c>
      <c r="E7" s="29">
        <v>41960.522620000003</v>
      </c>
      <c r="F7" s="30">
        <v>10.1084313676118</v>
      </c>
    </row>
    <row r="8" spans="1:6" x14ac:dyDescent="0.2">
      <c r="A8" s="27" t="s">
        <v>104</v>
      </c>
      <c r="B8" s="27" t="s">
        <v>103</v>
      </c>
      <c r="C8" s="27" t="s">
        <v>105</v>
      </c>
      <c r="D8" s="31">
        <v>2778479</v>
      </c>
      <c r="E8" s="29">
        <v>34426.744050000001</v>
      </c>
      <c r="F8" s="30">
        <v>8.2935187102243706</v>
      </c>
    </row>
    <row r="9" spans="1:6" x14ac:dyDescent="0.2">
      <c r="A9" s="27" t="s">
        <v>99</v>
      </c>
      <c r="B9" s="27" t="s">
        <v>98</v>
      </c>
      <c r="C9" s="27" t="s">
        <v>100</v>
      </c>
      <c r="D9" s="31">
        <v>2280104</v>
      </c>
      <c r="E9" s="29">
        <v>31704.846119999998</v>
      </c>
      <c r="F9" s="30">
        <v>7.6378043221024399</v>
      </c>
    </row>
    <row r="10" spans="1:6" x14ac:dyDescent="0.2">
      <c r="A10" s="27" t="s">
        <v>110</v>
      </c>
      <c r="B10" s="27" t="s">
        <v>109</v>
      </c>
      <c r="C10" s="27" t="s">
        <v>100</v>
      </c>
      <c r="D10" s="31">
        <v>4283052</v>
      </c>
      <c r="E10" s="29">
        <v>22999.989239999999</v>
      </c>
      <c r="F10" s="30">
        <v>5.5407749515859104</v>
      </c>
    </row>
    <row r="11" spans="1:6" x14ac:dyDescent="0.2">
      <c r="A11" s="27" t="s">
        <v>191</v>
      </c>
      <c r="B11" s="27" t="s">
        <v>190</v>
      </c>
      <c r="C11" s="27" t="s">
        <v>146</v>
      </c>
      <c r="D11" s="31">
        <v>20624428</v>
      </c>
      <c r="E11" s="29">
        <v>15550.81871</v>
      </c>
      <c r="F11" s="30">
        <v>3.7462446562875602</v>
      </c>
    </row>
    <row r="12" spans="1:6" x14ac:dyDescent="0.2">
      <c r="A12" s="27" t="s">
        <v>145</v>
      </c>
      <c r="B12" s="27" t="s">
        <v>144</v>
      </c>
      <c r="C12" s="27" t="s">
        <v>146</v>
      </c>
      <c r="D12" s="31">
        <v>8119223</v>
      </c>
      <c r="E12" s="29">
        <v>14975.90682</v>
      </c>
      <c r="F12" s="30">
        <v>3.6077464436909699</v>
      </c>
    </row>
    <row r="13" spans="1:6" x14ac:dyDescent="0.2">
      <c r="A13" s="27" t="s">
        <v>107</v>
      </c>
      <c r="B13" s="27" t="s">
        <v>106</v>
      </c>
      <c r="C13" s="27" t="s">
        <v>108</v>
      </c>
      <c r="D13" s="31">
        <v>2294619</v>
      </c>
      <c r="E13" s="29">
        <v>12703.010780000001</v>
      </c>
      <c r="F13" s="30">
        <v>3.0601981246644199</v>
      </c>
    </row>
    <row r="14" spans="1:6" x14ac:dyDescent="0.2">
      <c r="A14" s="27" t="s">
        <v>115</v>
      </c>
      <c r="B14" s="27" t="s">
        <v>114</v>
      </c>
      <c r="C14" s="27" t="s">
        <v>100</v>
      </c>
      <c r="D14" s="31">
        <v>699652</v>
      </c>
      <c r="E14" s="29">
        <v>11984.68893</v>
      </c>
      <c r="F14" s="30">
        <v>2.8871519692020899</v>
      </c>
    </row>
    <row r="15" spans="1:6" x14ac:dyDescent="0.2">
      <c r="A15" s="27" t="s">
        <v>151</v>
      </c>
      <c r="B15" s="27" t="s">
        <v>150</v>
      </c>
      <c r="C15" s="27" t="s">
        <v>127</v>
      </c>
      <c r="D15" s="31">
        <v>871834</v>
      </c>
      <c r="E15" s="29">
        <v>11331.226500000001</v>
      </c>
      <c r="F15" s="30">
        <v>2.7297306666890599</v>
      </c>
    </row>
    <row r="16" spans="1:6" x14ac:dyDescent="0.2">
      <c r="A16" s="27" t="s">
        <v>195</v>
      </c>
      <c r="B16" s="27" t="s">
        <v>194</v>
      </c>
      <c r="C16" s="27" t="s">
        <v>196</v>
      </c>
      <c r="D16" s="31">
        <v>757133</v>
      </c>
      <c r="E16" s="29">
        <v>10105.45415</v>
      </c>
      <c r="F16" s="30">
        <v>2.4344379749248901</v>
      </c>
    </row>
    <row r="17" spans="1:6" x14ac:dyDescent="0.2">
      <c r="A17" s="27" t="s">
        <v>129</v>
      </c>
      <c r="B17" s="27" t="s">
        <v>128</v>
      </c>
      <c r="C17" s="27" t="s">
        <v>130</v>
      </c>
      <c r="D17" s="31">
        <v>1279699</v>
      </c>
      <c r="E17" s="29">
        <v>9592.6237039999996</v>
      </c>
      <c r="F17" s="30">
        <v>2.3108953914933399</v>
      </c>
    </row>
    <row r="18" spans="1:6" x14ac:dyDescent="0.2">
      <c r="A18" s="27" t="s">
        <v>179</v>
      </c>
      <c r="B18" s="27" t="s">
        <v>178</v>
      </c>
      <c r="C18" s="27" t="s">
        <v>180</v>
      </c>
      <c r="D18" s="31">
        <v>881440</v>
      </c>
      <c r="E18" s="29">
        <v>9304.9213600000003</v>
      </c>
      <c r="F18" s="30">
        <v>2.24158692684522</v>
      </c>
    </row>
    <row r="19" spans="1:6" x14ac:dyDescent="0.2">
      <c r="A19" s="27" t="s">
        <v>140</v>
      </c>
      <c r="B19" s="27" t="s">
        <v>139</v>
      </c>
      <c r="C19" s="27" t="s">
        <v>141</v>
      </c>
      <c r="D19" s="31">
        <v>4049242</v>
      </c>
      <c r="E19" s="29">
        <v>9163.4346459999997</v>
      </c>
      <c r="F19" s="30">
        <v>2.2075023004250398</v>
      </c>
    </row>
    <row r="20" spans="1:6" x14ac:dyDescent="0.2">
      <c r="A20" s="27" t="s">
        <v>202</v>
      </c>
      <c r="B20" s="27" t="s">
        <v>201</v>
      </c>
      <c r="C20" s="27" t="s">
        <v>203</v>
      </c>
      <c r="D20" s="31">
        <v>6223868</v>
      </c>
      <c r="E20" s="29">
        <v>7568.2234879999996</v>
      </c>
      <c r="F20" s="30">
        <v>1.82321055426348</v>
      </c>
    </row>
    <row r="21" spans="1:6" x14ac:dyDescent="0.2">
      <c r="A21" s="27" t="s">
        <v>135</v>
      </c>
      <c r="B21" s="27" t="s">
        <v>134</v>
      </c>
      <c r="C21" s="27" t="s">
        <v>121</v>
      </c>
      <c r="D21" s="31">
        <v>3795176</v>
      </c>
      <c r="E21" s="29">
        <v>7514.44848</v>
      </c>
      <c r="F21" s="30">
        <v>1.8102559735357</v>
      </c>
    </row>
    <row r="22" spans="1:6" x14ac:dyDescent="0.2">
      <c r="A22" s="27" t="s">
        <v>120</v>
      </c>
      <c r="B22" s="27" t="s">
        <v>119</v>
      </c>
      <c r="C22" s="27" t="s">
        <v>121</v>
      </c>
      <c r="D22" s="31">
        <v>3078627</v>
      </c>
      <c r="E22" s="29">
        <v>7296.3459899999998</v>
      </c>
      <c r="F22" s="30">
        <v>1.75771434836968</v>
      </c>
    </row>
    <row r="23" spans="1:6" x14ac:dyDescent="0.2">
      <c r="A23" s="27" t="s">
        <v>424</v>
      </c>
      <c r="B23" s="27" t="s">
        <v>423</v>
      </c>
      <c r="C23" s="27" t="s">
        <v>100</v>
      </c>
      <c r="D23" s="31">
        <v>3914508</v>
      </c>
      <c r="E23" s="29">
        <v>6625.3047900000001</v>
      </c>
      <c r="F23" s="30">
        <v>1.5960582608974401</v>
      </c>
    </row>
    <row r="24" spans="1:6" x14ac:dyDescent="0.2">
      <c r="A24" s="27" t="s">
        <v>184</v>
      </c>
      <c r="B24" s="27" t="s">
        <v>183</v>
      </c>
      <c r="C24" s="27" t="s">
        <v>185</v>
      </c>
      <c r="D24" s="31">
        <v>268692</v>
      </c>
      <c r="E24" s="29">
        <v>6388.9583759999996</v>
      </c>
      <c r="F24" s="30">
        <v>1.5391216129310601</v>
      </c>
    </row>
    <row r="25" spans="1:6" x14ac:dyDescent="0.2">
      <c r="A25" s="27" t="s">
        <v>163</v>
      </c>
      <c r="B25" s="27" t="s">
        <v>162</v>
      </c>
      <c r="C25" s="27" t="s">
        <v>130</v>
      </c>
      <c r="D25" s="31">
        <v>2246634</v>
      </c>
      <c r="E25" s="29">
        <v>5901.907518</v>
      </c>
      <c r="F25" s="30">
        <v>1.4217894191636999</v>
      </c>
    </row>
    <row r="26" spans="1:6" x14ac:dyDescent="0.2">
      <c r="A26" s="27" t="s">
        <v>177</v>
      </c>
      <c r="B26" s="27" t="s">
        <v>176</v>
      </c>
      <c r="C26" s="27" t="s">
        <v>138</v>
      </c>
      <c r="D26" s="31">
        <v>127107</v>
      </c>
      <c r="E26" s="29">
        <v>5850.353889</v>
      </c>
      <c r="F26" s="30">
        <v>1.4093699761263201</v>
      </c>
    </row>
    <row r="27" spans="1:6" x14ac:dyDescent="0.2">
      <c r="A27" s="27" t="s">
        <v>123</v>
      </c>
      <c r="B27" s="27" t="s">
        <v>122</v>
      </c>
      <c r="C27" s="27" t="s">
        <v>124</v>
      </c>
      <c r="D27" s="31">
        <v>960704</v>
      </c>
      <c r="E27" s="29">
        <v>5773.83104</v>
      </c>
      <c r="F27" s="30">
        <v>1.3909353638080699</v>
      </c>
    </row>
    <row r="28" spans="1:6" x14ac:dyDescent="0.2">
      <c r="A28" s="27" t="s">
        <v>200</v>
      </c>
      <c r="B28" s="27" t="s">
        <v>199</v>
      </c>
      <c r="C28" s="27" t="s">
        <v>185</v>
      </c>
      <c r="D28" s="31">
        <v>1115794</v>
      </c>
      <c r="E28" s="29">
        <v>5577.2963090000003</v>
      </c>
      <c r="F28" s="30">
        <v>1.34358948450011</v>
      </c>
    </row>
    <row r="29" spans="1:6" x14ac:dyDescent="0.2">
      <c r="A29" s="27" t="s">
        <v>205</v>
      </c>
      <c r="B29" s="27" t="s">
        <v>204</v>
      </c>
      <c r="C29" s="27" t="s">
        <v>133</v>
      </c>
      <c r="D29" s="31">
        <v>5948967</v>
      </c>
      <c r="E29" s="29">
        <v>5547.411728</v>
      </c>
      <c r="F29" s="30">
        <v>1.3363901881823801</v>
      </c>
    </row>
    <row r="30" spans="1:6" x14ac:dyDescent="0.2">
      <c r="A30" s="27" t="s">
        <v>132</v>
      </c>
      <c r="B30" s="27" t="s">
        <v>131</v>
      </c>
      <c r="C30" s="27" t="s">
        <v>133</v>
      </c>
      <c r="D30" s="31">
        <v>2520962</v>
      </c>
      <c r="E30" s="29">
        <v>5510.822932</v>
      </c>
      <c r="F30" s="30">
        <v>1.3275758238681199</v>
      </c>
    </row>
    <row r="31" spans="1:6" x14ac:dyDescent="0.2">
      <c r="A31" s="27" t="s">
        <v>143</v>
      </c>
      <c r="B31" s="27" t="s">
        <v>142</v>
      </c>
      <c r="C31" s="27" t="s">
        <v>100</v>
      </c>
      <c r="D31" s="31">
        <v>1935519</v>
      </c>
      <c r="E31" s="29">
        <v>5460.099099</v>
      </c>
      <c r="F31" s="30">
        <v>1.3153562814847599</v>
      </c>
    </row>
    <row r="32" spans="1:6" x14ac:dyDescent="0.2">
      <c r="A32" s="27" t="s">
        <v>537</v>
      </c>
      <c r="B32" s="27" t="s">
        <v>536</v>
      </c>
      <c r="C32" s="27" t="s">
        <v>127</v>
      </c>
      <c r="D32" s="31">
        <v>896279</v>
      </c>
      <c r="E32" s="29">
        <v>5186.7665729999999</v>
      </c>
      <c r="F32" s="30">
        <v>1.24950955444019</v>
      </c>
    </row>
    <row r="33" spans="1:6" x14ac:dyDescent="0.2">
      <c r="A33" s="27" t="s">
        <v>244</v>
      </c>
      <c r="B33" s="27" t="s">
        <v>243</v>
      </c>
      <c r="C33" s="27" t="s">
        <v>245</v>
      </c>
      <c r="D33" s="31">
        <v>3970503</v>
      </c>
      <c r="E33" s="29">
        <v>5163.6391519999997</v>
      </c>
      <c r="F33" s="30">
        <v>1.2439380807479801</v>
      </c>
    </row>
    <row r="34" spans="1:6" x14ac:dyDescent="0.2">
      <c r="A34" s="27" t="s">
        <v>193</v>
      </c>
      <c r="B34" s="27" t="s">
        <v>192</v>
      </c>
      <c r="C34" s="27" t="s">
        <v>105</v>
      </c>
      <c r="D34" s="31">
        <v>530548</v>
      </c>
      <c r="E34" s="29">
        <v>5100.6884719999998</v>
      </c>
      <c r="F34" s="30">
        <v>1.2287730496999401</v>
      </c>
    </row>
    <row r="35" spans="1:6" x14ac:dyDescent="0.2">
      <c r="A35" s="27" t="s">
        <v>523</v>
      </c>
      <c r="B35" s="27" t="s">
        <v>522</v>
      </c>
      <c r="C35" s="27" t="s">
        <v>138</v>
      </c>
      <c r="D35" s="31">
        <v>503898</v>
      </c>
      <c r="E35" s="29">
        <v>5077.2762480000001</v>
      </c>
      <c r="F35" s="30">
        <v>1.22313296600483</v>
      </c>
    </row>
    <row r="36" spans="1:6" x14ac:dyDescent="0.2">
      <c r="A36" s="27" t="s">
        <v>112</v>
      </c>
      <c r="B36" s="27" t="s">
        <v>111</v>
      </c>
      <c r="C36" s="27" t="s">
        <v>113</v>
      </c>
      <c r="D36" s="31">
        <v>302972</v>
      </c>
      <c r="E36" s="29">
        <v>4812.2557619999998</v>
      </c>
      <c r="F36" s="30">
        <v>1.15928863742001</v>
      </c>
    </row>
    <row r="37" spans="1:6" x14ac:dyDescent="0.2">
      <c r="A37" s="27" t="s">
        <v>210</v>
      </c>
      <c r="B37" s="27" t="s">
        <v>209</v>
      </c>
      <c r="C37" s="27" t="s">
        <v>147</v>
      </c>
      <c r="D37" s="31">
        <v>2627584</v>
      </c>
      <c r="E37" s="29">
        <v>4259.3136640000002</v>
      </c>
      <c r="F37" s="30">
        <v>1.0260830217866099</v>
      </c>
    </row>
    <row r="38" spans="1:6" x14ac:dyDescent="0.2">
      <c r="A38" s="27" t="s">
        <v>212</v>
      </c>
      <c r="B38" s="27" t="s">
        <v>211</v>
      </c>
      <c r="C38" s="27" t="s">
        <v>185</v>
      </c>
      <c r="D38" s="31">
        <v>1158898</v>
      </c>
      <c r="E38" s="29">
        <v>3886.3644429999999</v>
      </c>
      <c r="F38" s="30">
        <v>0.93623829706228701</v>
      </c>
    </row>
    <row r="39" spans="1:6" x14ac:dyDescent="0.2">
      <c r="A39" s="27" t="s">
        <v>255</v>
      </c>
      <c r="B39" s="27" t="s">
        <v>254</v>
      </c>
      <c r="C39" s="27" t="s">
        <v>147</v>
      </c>
      <c r="D39" s="31">
        <v>990217</v>
      </c>
      <c r="E39" s="29">
        <v>3625.1844369999999</v>
      </c>
      <c r="F39" s="30">
        <v>0.87331915305751096</v>
      </c>
    </row>
    <row r="40" spans="1:6" x14ac:dyDescent="0.2">
      <c r="A40" s="27" t="s">
        <v>153</v>
      </c>
      <c r="B40" s="27" t="s">
        <v>152</v>
      </c>
      <c r="C40" s="27" t="s">
        <v>146</v>
      </c>
      <c r="D40" s="31">
        <v>3977486</v>
      </c>
      <c r="E40" s="29">
        <v>3537.9737970000001</v>
      </c>
      <c r="F40" s="30">
        <v>0.85230981585384802</v>
      </c>
    </row>
    <row r="41" spans="1:6" x14ac:dyDescent="0.2">
      <c r="A41" s="27" t="s">
        <v>149</v>
      </c>
      <c r="B41" s="27" t="s">
        <v>148</v>
      </c>
      <c r="C41" s="27" t="s">
        <v>130</v>
      </c>
      <c r="D41" s="31">
        <v>87369</v>
      </c>
      <c r="E41" s="29">
        <v>3499.8274019999999</v>
      </c>
      <c r="F41" s="30">
        <v>0.84312022068909398</v>
      </c>
    </row>
    <row r="42" spans="1:6" x14ac:dyDescent="0.2">
      <c r="A42" s="27" t="s">
        <v>216</v>
      </c>
      <c r="B42" s="27" t="s">
        <v>215</v>
      </c>
      <c r="C42" s="27" t="s">
        <v>121</v>
      </c>
      <c r="D42" s="31">
        <v>2792178</v>
      </c>
      <c r="E42" s="29">
        <v>3498.5990339999998</v>
      </c>
      <c r="F42" s="30">
        <v>0.842824302696493</v>
      </c>
    </row>
    <row r="43" spans="1:6" x14ac:dyDescent="0.2">
      <c r="A43" s="27" t="s">
        <v>157</v>
      </c>
      <c r="B43" s="27" t="s">
        <v>156</v>
      </c>
      <c r="C43" s="27" t="s">
        <v>127</v>
      </c>
      <c r="D43" s="31">
        <v>607174</v>
      </c>
      <c r="E43" s="29">
        <v>3331.5637379999998</v>
      </c>
      <c r="F43" s="30">
        <v>0.802584936736358</v>
      </c>
    </row>
    <row r="44" spans="1:6" x14ac:dyDescent="0.2">
      <c r="A44" s="27" t="s">
        <v>137</v>
      </c>
      <c r="B44" s="27" t="s">
        <v>136</v>
      </c>
      <c r="C44" s="27" t="s">
        <v>138</v>
      </c>
      <c r="D44" s="31">
        <v>720735</v>
      </c>
      <c r="E44" s="29">
        <v>3254.1185249999999</v>
      </c>
      <c r="F44" s="30">
        <v>0.78392812382079502</v>
      </c>
    </row>
    <row r="45" spans="1:6" x14ac:dyDescent="0.2">
      <c r="A45" s="27" t="s">
        <v>299</v>
      </c>
      <c r="B45" s="27" t="s">
        <v>298</v>
      </c>
      <c r="C45" s="27" t="s">
        <v>105</v>
      </c>
      <c r="D45" s="31">
        <v>481063</v>
      </c>
      <c r="E45" s="29">
        <v>2913.317528</v>
      </c>
      <c r="F45" s="30">
        <v>0.70182801464469602</v>
      </c>
    </row>
    <row r="46" spans="1:6" x14ac:dyDescent="0.2">
      <c r="A46" s="27" t="s">
        <v>117</v>
      </c>
      <c r="B46" s="27" t="s">
        <v>116</v>
      </c>
      <c r="C46" s="27" t="s">
        <v>118</v>
      </c>
      <c r="D46" s="31">
        <v>300000</v>
      </c>
      <c r="E46" s="29">
        <v>2724.3</v>
      </c>
      <c r="F46" s="30">
        <v>0.65629305488342404</v>
      </c>
    </row>
    <row r="47" spans="1:6" x14ac:dyDescent="0.2">
      <c r="A47" s="27" t="s">
        <v>409</v>
      </c>
      <c r="B47" s="27" t="s">
        <v>408</v>
      </c>
      <c r="C47" s="27" t="s">
        <v>203</v>
      </c>
      <c r="D47" s="31">
        <v>6320734</v>
      </c>
      <c r="E47" s="29">
        <v>2616.783876</v>
      </c>
      <c r="F47" s="30">
        <v>0.63039205812492305</v>
      </c>
    </row>
    <row r="48" spans="1:6" x14ac:dyDescent="0.2">
      <c r="A48" s="27" t="s">
        <v>561</v>
      </c>
      <c r="B48" s="27" t="s">
        <v>560</v>
      </c>
      <c r="C48" s="27" t="s">
        <v>100</v>
      </c>
      <c r="D48" s="31">
        <v>305270</v>
      </c>
      <c r="E48" s="29">
        <v>2582.8894700000001</v>
      </c>
      <c r="F48" s="30">
        <v>0.62222678144570298</v>
      </c>
    </row>
    <row r="49" spans="1:9" x14ac:dyDescent="0.2">
      <c r="A49" s="27" t="s">
        <v>218</v>
      </c>
      <c r="B49" s="27" t="s">
        <v>217</v>
      </c>
      <c r="C49" s="27" t="s">
        <v>100</v>
      </c>
      <c r="D49" s="31">
        <v>3293517</v>
      </c>
      <c r="E49" s="29">
        <v>2381.2127909999999</v>
      </c>
      <c r="F49" s="30">
        <v>0.57364218952863999</v>
      </c>
    </row>
    <row r="50" spans="1:9" x14ac:dyDescent="0.2">
      <c r="A50" s="27" t="s">
        <v>693</v>
      </c>
      <c r="B50" s="27" t="s">
        <v>692</v>
      </c>
      <c r="C50" s="27" t="s">
        <v>378</v>
      </c>
      <c r="D50" s="31">
        <v>771008</v>
      </c>
      <c r="E50" s="29">
        <v>2062.4463999999998</v>
      </c>
      <c r="F50" s="30">
        <v>0.49685029122685498</v>
      </c>
    </row>
    <row r="51" spans="1:9" x14ac:dyDescent="0.2">
      <c r="A51" s="27" t="s">
        <v>207</v>
      </c>
      <c r="B51" s="27" t="s">
        <v>206</v>
      </c>
      <c r="C51" s="27" t="s">
        <v>208</v>
      </c>
      <c r="D51" s="31">
        <v>1278633</v>
      </c>
      <c r="E51" s="29">
        <v>1879.59051</v>
      </c>
      <c r="F51" s="30">
        <v>0.452799690833533</v>
      </c>
    </row>
    <row r="52" spans="1:9" x14ac:dyDescent="0.2">
      <c r="A52" s="27" t="s">
        <v>242</v>
      </c>
      <c r="B52" s="27" t="s">
        <v>241</v>
      </c>
      <c r="C52" s="27" t="s">
        <v>130</v>
      </c>
      <c r="D52" s="31">
        <v>1791828</v>
      </c>
      <c r="E52" s="29">
        <v>1871.5643459999999</v>
      </c>
      <c r="F52" s="30">
        <v>0.45086616086599801</v>
      </c>
    </row>
    <row r="53" spans="1:9" x14ac:dyDescent="0.2">
      <c r="A53" s="27" t="s">
        <v>165</v>
      </c>
      <c r="B53" s="27" t="s">
        <v>164</v>
      </c>
      <c r="C53" s="27" t="s">
        <v>166</v>
      </c>
      <c r="D53" s="31">
        <v>1075124</v>
      </c>
      <c r="E53" s="29">
        <v>1613.7611240000001</v>
      </c>
      <c r="F53" s="30">
        <v>0.38876049551153302</v>
      </c>
    </row>
    <row r="54" spans="1:9" x14ac:dyDescent="0.2">
      <c r="A54" s="27" t="s">
        <v>168</v>
      </c>
      <c r="B54" s="27" t="s">
        <v>167</v>
      </c>
      <c r="C54" s="27" t="s">
        <v>169</v>
      </c>
      <c r="D54" s="31">
        <v>3057159</v>
      </c>
      <c r="E54" s="29">
        <v>1258.020929</v>
      </c>
      <c r="F54" s="30">
        <v>0.30306148317024301</v>
      </c>
    </row>
    <row r="55" spans="1:9" x14ac:dyDescent="0.2">
      <c r="A55" s="27" t="s">
        <v>264</v>
      </c>
      <c r="B55" s="27" t="s">
        <v>263</v>
      </c>
      <c r="C55" s="27" t="s">
        <v>185</v>
      </c>
      <c r="D55" s="31">
        <v>1695647</v>
      </c>
      <c r="E55" s="29">
        <v>1214.0832519999999</v>
      </c>
      <c r="F55" s="30">
        <v>0.29247674864658202</v>
      </c>
    </row>
    <row r="56" spans="1:9" x14ac:dyDescent="0.2">
      <c r="A56" s="27" t="s">
        <v>554</v>
      </c>
      <c r="B56" s="27" t="s">
        <v>553</v>
      </c>
      <c r="C56" s="27" t="s">
        <v>262</v>
      </c>
      <c r="D56" s="31">
        <v>606347</v>
      </c>
      <c r="E56" s="29">
        <v>524.49015499999996</v>
      </c>
      <c r="F56" s="30">
        <v>0.12635144663995501</v>
      </c>
    </row>
    <row r="57" spans="1:9" x14ac:dyDescent="0.2">
      <c r="A57" s="27" t="s">
        <v>170</v>
      </c>
      <c r="B57" s="27" t="s">
        <v>728</v>
      </c>
      <c r="C57" s="27" t="s">
        <v>166</v>
      </c>
      <c r="D57" s="31">
        <v>125663</v>
      </c>
      <c r="E57" s="29">
        <v>161.09996599999999</v>
      </c>
      <c r="F57" s="30">
        <v>3.8809524952375198E-2</v>
      </c>
    </row>
    <row r="58" spans="1:9" ht="10.5" x14ac:dyDescent="0.25">
      <c r="A58" s="26" t="s">
        <v>40</v>
      </c>
      <c r="B58" s="26"/>
      <c r="C58" s="26"/>
      <c r="D58" s="32"/>
      <c r="E58" s="33">
        <f>SUM(E7:E57)</f>
        <v>388856.3228630001</v>
      </c>
      <c r="F58" s="34">
        <f>SUM(F7:F57)</f>
        <v>93.676799193368282</v>
      </c>
      <c r="G58" s="18"/>
      <c r="H58" s="18"/>
      <c r="I58" s="18"/>
    </row>
    <row r="59" spans="1:9" x14ac:dyDescent="0.2">
      <c r="A59" s="27"/>
      <c r="B59" s="27"/>
      <c r="C59" s="27"/>
      <c r="D59" s="28"/>
      <c r="E59" s="29"/>
      <c r="F59" s="30"/>
    </row>
    <row r="60" spans="1:9" ht="10.5" x14ac:dyDescent="0.25">
      <c r="A60" s="26" t="s">
        <v>231</v>
      </c>
      <c r="B60" s="27"/>
      <c r="C60" s="27"/>
      <c r="D60" s="28"/>
      <c r="E60" s="29"/>
      <c r="F60" s="30"/>
    </row>
    <row r="61" spans="1:9" x14ac:dyDescent="0.2">
      <c r="A61" s="27" t="s">
        <v>233</v>
      </c>
      <c r="B61" s="27" t="s">
        <v>232</v>
      </c>
      <c r="C61" s="27" t="s">
        <v>234</v>
      </c>
      <c r="D61" s="31">
        <v>30000</v>
      </c>
      <c r="E61" s="29">
        <v>3.0000000000000001E-3</v>
      </c>
      <c r="F61" s="30">
        <v>7.2271011439645899E-7</v>
      </c>
    </row>
    <row r="62" spans="1:9" x14ac:dyDescent="0.2">
      <c r="A62" s="27" t="s">
        <v>520</v>
      </c>
      <c r="B62" s="27" t="s">
        <v>519</v>
      </c>
      <c r="C62" s="27" t="s">
        <v>185</v>
      </c>
      <c r="D62" s="31">
        <v>3500</v>
      </c>
      <c r="E62" s="29">
        <v>3.5E-4</v>
      </c>
      <c r="F62" s="30">
        <v>8.4316180012920194E-8</v>
      </c>
    </row>
    <row r="63" spans="1:9" x14ac:dyDescent="0.2">
      <c r="A63" s="27"/>
      <c r="B63" s="27" t="s">
        <v>235</v>
      </c>
      <c r="C63" s="27" t="s">
        <v>185</v>
      </c>
      <c r="D63" s="31">
        <v>2900</v>
      </c>
      <c r="E63" s="29">
        <v>2.9E-4</v>
      </c>
      <c r="F63" s="30">
        <v>6.9861977724991001E-8</v>
      </c>
    </row>
    <row r="64" spans="1:9" ht="10.5" x14ac:dyDescent="0.25">
      <c r="A64" s="26" t="s">
        <v>40</v>
      </c>
      <c r="B64" s="26"/>
      <c r="C64" s="26"/>
      <c r="D64" s="32"/>
      <c r="E64" s="33">
        <f>SUM(E60:E63)</f>
        <v>3.64E-3</v>
      </c>
      <c r="F64" s="34">
        <f>SUM(F60:F63)</f>
        <v>8.7688827213437017E-7</v>
      </c>
      <c r="G64" s="18"/>
      <c r="H64" s="18"/>
      <c r="I64" s="18"/>
    </row>
    <row r="65" spans="1:9" x14ac:dyDescent="0.2">
      <c r="A65" s="27"/>
      <c r="B65" s="27"/>
      <c r="C65" s="27"/>
      <c r="D65" s="28"/>
      <c r="E65" s="29"/>
      <c r="F65" s="30"/>
    </row>
    <row r="66" spans="1:9" ht="10.5" x14ac:dyDescent="0.25">
      <c r="A66" s="26" t="s">
        <v>44</v>
      </c>
      <c r="B66" s="26"/>
      <c r="C66" s="26"/>
      <c r="D66" s="32"/>
      <c r="E66" s="33">
        <f>E58+E64</f>
        <v>388856.32650300011</v>
      </c>
      <c r="F66" s="34">
        <f>F58+F64</f>
        <v>93.676800070256547</v>
      </c>
      <c r="G66" s="18"/>
      <c r="H66" s="18"/>
      <c r="I66" s="18"/>
    </row>
    <row r="67" spans="1:9" ht="10.5" x14ac:dyDescent="0.25">
      <c r="A67" s="26"/>
      <c r="B67" s="26"/>
      <c r="C67" s="26"/>
      <c r="D67" s="32"/>
      <c r="E67" s="33"/>
      <c r="F67" s="34"/>
      <c r="G67" s="18"/>
      <c r="H67" s="18"/>
      <c r="I67" s="18"/>
    </row>
    <row r="68" spans="1:9" ht="10.5" x14ac:dyDescent="0.25">
      <c r="A68" s="26" t="s">
        <v>46</v>
      </c>
      <c r="B68" s="26"/>
      <c r="C68" s="26"/>
      <c r="D68" s="32"/>
      <c r="E68" s="33">
        <f>E70-(E58+E64)</f>
        <v>26247.868144299893</v>
      </c>
      <c r="F68" s="34">
        <f>F70-(F58+F64)</f>
        <v>6.3231999297434527</v>
      </c>
      <c r="G68" s="18"/>
      <c r="H68" s="18"/>
      <c r="I68" s="18"/>
    </row>
    <row r="69" spans="1:9" ht="10.5" x14ac:dyDescent="0.25">
      <c r="A69" s="26"/>
      <c r="B69" s="26"/>
      <c r="C69" s="26"/>
      <c r="D69" s="32"/>
      <c r="E69" s="33"/>
      <c r="F69" s="34"/>
      <c r="G69" s="18"/>
      <c r="H69" s="18"/>
      <c r="I69" s="18"/>
    </row>
    <row r="70" spans="1:9" ht="10.5" x14ac:dyDescent="0.25">
      <c r="A70" s="35" t="s">
        <v>45</v>
      </c>
      <c r="B70" s="35"/>
      <c r="C70" s="35"/>
      <c r="D70" s="36"/>
      <c r="E70" s="37">
        <v>415104.1946473</v>
      </c>
      <c r="F70" s="38">
        <v>100</v>
      </c>
      <c r="G70" s="18"/>
      <c r="H70" s="18"/>
      <c r="I70" s="18"/>
    </row>
    <row r="71" spans="1:9" ht="10.5" x14ac:dyDescent="0.25">
      <c r="F71" s="20" t="s">
        <v>56</v>
      </c>
    </row>
    <row r="72" spans="1:9" ht="10.5" x14ac:dyDescent="0.25">
      <c r="A72" s="18" t="s">
        <v>47</v>
      </c>
      <c r="F72" s="20"/>
    </row>
    <row r="73" spans="1:9" ht="10.5" x14ac:dyDescent="0.25">
      <c r="A73" s="18" t="s">
        <v>729</v>
      </c>
      <c r="F73" s="20"/>
    </row>
    <row r="75" spans="1:9" ht="10.5" x14ac:dyDescent="0.25">
      <c r="A75" s="18" t="s">
        <v>48</v>
      </c>
    </row>
    <row r="76" spans="1:9" ht="10.5" x14ac:dyDescent="0.25">
      <c r="A76" s="18" t="s">
        <v>49</v>
      </c>
    </row>
    <row r="77" spans="1:9" ht="10.5" x14ac:dyDescent="0.25">
      <c r="A77" s="18" t="s">
        <v>50</v>
      </c>
      <c r="B77" s="18"/>
      <c r="C77" s="39" t="s">
        <v>727</v>
      </c>
      <c r="D77" s="19" t="s">
        <v>51</v>
      </c>
    </row>
    <row r="78" spans="1:9" x14ac:dyDescent="0.2">
      <c r="A78" s="9" t="s">
        <v>71</v>
      </c>
      <c r="C78" s="40">
        <v>488.20229999999998</v>
      </c>
      <c r="D78" s="40">
        <v>637.82950000000005</v>
      </c>
    </row>
    <row r="79" spans="1:9" x14ac:dyDescent="0.2">
      <c r="A79" s="9" t="s">
        <v>77</v>
      </c>
      <c r="C79" s="40">
        <v>32.466799999999999</v>
      </c>
      <c r="D79" s="40">
        <v>42.417499999999997</v>
      </c>
    </row>
    <row r="80" spans="1:9" x14ac:dyDescent="0.2">
      <c r="A80" s="9" t="s">
        <v>74</v>
      </c>
      <c r="C80" s="40">
        <v>522.3673</v>
      </c>
      <c r="D80" s="40">
        <v>685.49379999999996</v>
      </c>
    </row>
    <row r="81" spans="1:4" x14ac:dyDescent="0.2">
      <c r="A81" s="9" t="s">
        <v>78</v>
      </c>
      <c r="C81" s="40">
        <v>35.601500000000001</v>
      </c>
      <c r="D81" s="40">
        <v>46.719000000000001</v>
      </c>
    </row>
    <row r="83" spans="1:4" ht="10.5" x14ac:dyDescent="0.25">
      <c r="A83" s="18" t="s">
        <v>52</v>
      </c>
      <c r="D83" s="41" t="s">
        <v>53</v>
      </c>
    </row>
    <row r="85" spans="1:4" ht="10.5" x14ac:dyDescent="0.25">
      <c r="A85" s="18" t="s">
        <v>222</v>
      </c>
      <c r="D85" s="45">
        <v>0.14499999999999999</v>
      </c>
    </row>
    <row r="87" spans="1:4" ht="10.5" x14ac:dyDescent="0.25">
      <c r="A87" s="18" t="s">
        <v>726</v>
      </c>
    </row>
    <row r="88" spans="1:4" x14ac:dyDescent="0.2">
      <c r="A88" s="46" t="s">
        <v>55</v>
      </c>
    </row>
  </sheetData>
  <mergeCells count="1">
    <mergeCell ref="A1:F1"/>
  </mergeCells>
  <conditionalFormatting sqref="F2:F3 F5:F65536">
    <cfRule type="cellIs" dxfId="9" priority="1" stopIfTrue="1" operator="between">
      <formula>0.009</formula>
      <formula>-0.009</formula>
    </cfRule>
  </conditionalFormatting>
  <hyperlinks>
    <hyperlink ref="A88" r:id="rId1" xr:uid="{00000000-0004-0000-3400-000000000000}"/>
  </hyperlinks>
  <pageMargins left="0.7" right="0.7" top="0.75" bottom="0.75" header="0.3" footer="0.3"/>
  <pageSetup paperSize="9" scale="53" orientation="portrait" r:id="rId2"/>
  <headerFooter>
    <oddFooter>&amp;R&amp;1#&amp;"Calibri"&amp;10&amp;KFF0000|PUBLIC|&amp;LPUBLIC</oddFooter>
    <evenFooter>&amp;LPUBLIC</evenFooter>
    <firstFooter>&amp;LPUBLIC</firstFooter>
  </headerFooter>
  <colBreaks count="1" manualBreakCount="1">
    <brk id="6" max="1048575"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29"/>
  <sheetViews>
    <sheetView zoomScaleNormal="100" workbookViewId="0">
      <selection sqref="A1:E1"/>
    </sheetView>
  </sheetViews>
  <sheetFormatPr defaultColWidth="9.1796875" defaultRowHeight="10" x14ac:dyDescent="0.2"/>
  <cols>
    <col min="1" max="1" width="34.81640625" style="9" bestFit="1" customWidth="1"/>
    <col min="2" max="2" width="33.54296875" style="9" bestFit="1" customWidth="1"/>
    <col min="3" max="3" width="18.81640625" style="9" bestFit="1" customWidth="1"/>
    <col min="4" max="4" width="23" style="10" bestFit="1" customWidth="1"/>
    <col min="5" max="5" width="13.54296875" style="13" customWidth="1"/>
    <col min="6" max="16384" width="9.1796875" style="9"/>
  </cols>
  <sheetData>
    <row r="1" spans="1:8" s="1" customFormat="1" ht="15" customHeight="1" x14ac:dyDescent="0.25">
      <c r="A1" s="75" t="s">
        <v>23</v>
      </c>
      <c r="B1" s="76"/>
      <c r="C1" s="76"/>
      <c r="D1" s="76"/>
      <c r="E1" s="76"/>
    </row>
    <row r="2" spans="1:8" s="1" customFormat="1" ht="11.5" x14ac:dyDescent="0.25">
      <c r="D2" s="6"/>
      <c r="E2" s="7"/>
    </row>
    <row r="3" spans="1:8" s="1" customFormat="1" ht="11.5" x14ac:dyDescent="0.25">
      <c r="A3" s="11" t="s">
        <v>7</v>
      </c>
      <c r="B3" s="2"/>
      <c r="C3" s="3"/>
      <c r="D3" s="4"/>
      <c r="E3" s="5"/>
    </row>
    <row r="4" spans="1:8" s="1" customFormat="1" ht="17.5" customHeight="1" x14ac:dyDescent="0.25">
      <c r="A4" s="8" t="s">
        <v>2</v>
      </c>
      <c r="B4" s="8" t="s">
        <v>0</v>
      </c>
      <c r="C4" s="16" t="s">
        <v>1</v>
      </c>
      <c r="D4" s="15" t="s">
        <v>3</v>
      </c>
      <c r="E4" s="15" t="s">
        <v>4</v>
      </c>
    </row>
    <row r="5" spans="1:8" ht="10.5" x14ac:dyDescent="0.25">
      <c r="A5" s="21" t="s">
        <v>370</v>
      </c>
      <c r="B5" s="22"/>
      <c r="C5" s="23"/>
      <c r="D5" s="24"/>
      <c r="E5" s="25"/>
    </row>
    <row r="6" spans="1:8" x14ac:dyDescent="0.2">
      <c r="A6" s="27" t="s">
        <v>695</v>
      </c>
      <c r="B6" s="27" t="s">
        <v>694</v>
      </c>
      <c r="C6" s="31">
        <v>5199681.7149999999</v>
      </c>
      <c r="D6" s="29">
        <v>272654.77101999999</v>
      </c>
      <c r="E6" s="30">
        <v>99.753850693294694</v>
      </c>
    </row>
    <row r="7" spans="1:8" ht="10.5" x14ac:dyDescent="0.25">
      <c r="A7" s="26" t="s">
        <v>40</v>
      </c>
      <c r="B7" s="26"/>
      <c r="C7" s="32"/>
      <c r="D7" s="33">
        <f>SUM(D6:D6)</f>
        <v>272654.77101999999</v>
      </c>
      <c r="E7" s="34">
        <f>SUM(E6:E6)</f>
        <v>99.753850693294694</v>
      </c>
      <c r="F7" s="18"/>
      <c r="G7" s="18"/>
      <c r="H7" s="18"/>
    </row>
    <row r="8" spans="1:8" x14ac:dyDescent="0.2">
      <c r="A8" s="27"/>
      <c r="B8" s="27"/>
      <c r="C8" s="28"/>
      <c r="D8" s="29"/>
      <c r="E8" s="30"/>
    </row>
    <row r="9" spans="1:8" ht="10.5" x14ac:dyDescent="0.25">
      <c r="A9" s="26" t="s">
        <v>44</v>
      </c>
      <c r="B9" s="26"/>
      <c r="C9" s="32"/>
      <c r="D9" s="33">
        <f>D7</f>
        <v>272654.77101999999</v>
      </c>
      <c r="E9" s="34">
        <f>E7</f>
        <v>99.753850693294694</v>
      </c>
      <c r="F9" s="18"/>
      <c r="G9" s="18"/>
      <c r="H9" s="18"/>
    </row>
    <row r="10" spans="1:8" ht="10.5" x14ac:dyDescent="0.25">
      <c r="A10" s="26"/>
      <c r="B10" s="26"/>
      <c r="C10" s="32"/>
      <c r="D10" s="33"/>
      <c r="E10" s="34"/>
      <c r="F10" s="18"/>
      <c r="G10" s="18"/>
      <c r="H10" s="18"/>
    </row>
    <row r="11" spans="1:8" ht="10.5" x14ac:dyDescent="0.25">
      <c r="A11" s="26" t="s">
        <v>46</v>
      </c>
      <c r="B11" s="26"/>
      <c r="C11" s="32"/>
      <c r="D11" s="33">
        <f>D13-(D7)</f>
        <v>672.79390610003611</v>
      </c>
      <c r="E11" s="34">
        <f>E13-(E7)</f>
        <v>0.24614930670530555</v>
      </c>
      <c r="F11" s="18"/>
      <c r="G11" s="18"/>
      <c r="H11" s="18"/>
    </row>
    <row r="12" spans="1:8" ht="10.5" x14ac:dyDescent="0.25">
      <c r="A12" s="26"/>
      <c r="B12" s="26"/>
      <c r="C12" s="32"/>
      <c r="D12" s="33"/>
      <c r="E12" s="34"/>
      <c r="F12" s="18"/>
      <c r="G12" s="18"/>
      <c r="H12" s="18"/>
    </row>
    <row r="13" spans="1:8" ht="10.5" x14ac:dyDescent="0.25">
      <c r="A13" s="35" t="s">
        <v>45</v>
      </c>
      <c r="B13" s="35"/>
      <c r="C13" s="36"/>
      <c r="D13" s="37">
        <v>273327.56492610002</v>
      </c>
      <c r="E13" s="38">
        <v>100</v>
      </c>
      <c r="F13" s="18"/>
      <c r="G13" s="18"/>
      <c r="H13" s="18"/>
    </row>
    <row r="16" spans="1:8" ht="10.5" x14ac:dyDescent="0.25">
      <c r="A16" s="18" t="s">
        <v>48</v>
      </c>
    </row>
    <row r="17" spans="1:4" ht="10.5" x14ac:dyDescent="0.25">
      <c r="A17" s="18" t="s">
        <v>49</v>
      </c>
    </row>
    <row r="18" spans="1:4" ht="10.5" x14ac:dyDescent="0.25">
      <c r="A18" s="18" t="s">
        <v>50</v>
      </c>
      <c r="B18" s="18"/>
      <c r="C18" s="39" t="s">
        <v>727</v>
      </c>
      <c r="D18" s="41" t="s">
        <v>51</v>
      </c>
    </row>
    <row r="19" spans="1:4" x14ac:dyDescent="0.2">
      <c r="A19" s="9" t="s">
        <v>71</v>
      </c>
      <c r="C19" s="40">
        <v>44.866500000000002</v>
      </c>
      <c r="D19" s="40">
        <v>49.109400000000001</v>
      </c>
    </row>
    <row r="20" spans="1:4" x14ac:dyDescent="0.2">
      <c r="A20" s="9" t="s">
        <v>77</v>
      </c>
      <c r="C20" s="40">
        <v>44.866500000000002</v>
      </c>
      <c r="D20" s="40">
        <v>49.109400000000001</v>
      </c>
    </row>
    <row r="21" spans="1:4" x14ac:dyDescent="0.2">
      <c r="A21" s="9" t="s">
        <v>74</v>
      </c>
      <c r="C21" s="40">
        <v>48.277700000000003</v>
      </c>
      <c r="D21" s="40">
        <v>53.100499999999997</v>
      </c>
    </row>
    <row r="22" spans="1:4" x14ac:dyDescent="0.2">
      <c r="A22" s="9" t="s">
        <v>78</v>
      </c>
      <c r="C22" s="40">
        <v>48.277700000000003</v>
      </c>
      <c r="D22" s="40">
        <v>53.100499999999997</v>
      </c>
    </row>
    <row r="24" spans="1:4" ht="10.5" x14ac:dyDescent="0.25">
      <c r="A24" s="18" t="s">
        <v>52</v>
      </c>
      <c r="D24" s="41" t="s">
        <v>53</v>
      </c>
    </row>
    <row r="26" spans="1:4" ht="10.5" x14ac:dyDescent="0.25">
      <c r="A26" s="18" t="s">
        <v>222</v>
      </c>
      <c r="D26" s="45">
        <v>2.3800000000000002E-2</v>
      </c>
    </row>
    <row r="28" spans="1:4" ht="10.5" x14ac:dyDescent="0.25">
      <c r="A28" s="18" t="s">
        <v>726</v>
      </c>
    </row>
    <row r="29" spans="1:4" x14ac:dyDescent="0.2">
      <c r="A29" s="46" t="s">
        <v>55</v>
      </c>
    </row>
  </sheetData>
  <mergeCells count="1">
    <mergeCell ref="A1:E1"/>
  </mergeCells>
  <conditionalFormatting sqref="E5:E13">
    <cfRule type="cellIs" dxfId="8" priority="1" stopIfTrue="1" operator="between">
      <formula>0.009</formula>
      <formula>-0.009</formula>
    </cfRule>
  </conditionalFormatting>
  <hyperlinks>
    <hyperlink ref="A29" r:id="rId1" xr:uid="{00000000-0004-0000-3500-000000000000}"/>
  </hyperlinks>
  <pageMargins left="0.7" right="0.7" top="0.75" bottom="0.75" header="0.3" footer="0.3"/>
  <pageSetup paperSize="9" scale="70" orientation="portrait" r:id="rId2"/>
  <headerFooter>
    <oddFooter>&amp;R&amp;1#&amp;"Calibri"&amp;10&amp;KFF0000|PUBLIC|&amp;LPUBLIC</oddFooter>
    <evenFooter>&amp;LPUBLIC</evenFooter>
    <firstFooter>&amp;LPUBLIC</firstFooter>
  </headerFooter>
  <colBreaks count="1" manualBreakCount="1">
    <brk id="5" max="1048575"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31"/>
  <sheetViews>
    <sheetView zoomScaleNormal="100" workbookViewId="0">
      <selection sqref="A1:E1"/>
    </sheetView>
  </sheetViews>
  <sheetFormatPr defaultColWidth="9.1796875" defaultRowHeight="10" x14ac:dyDescent="0.2"/>
  <cols>
    <col min="1" max="1" width="34.81640625" style="9" bestFit="1" customWidth="1"/>
    <col min="2" max="2" width="39.26953125" style="9" bestFit="1" customWidth="1"/>
    <col min="3" max="3" width="18.81640625" style="9" bestFit="1" customWidth="1"/>
    <col min="4" max="4" width="23" style="10" bestFit="1" customWidth="1"/>
    <col min="5" max="5" width="13.54296875" style="13" customWidth="1"/>
    <col min="6" max="16384" width="9.1796875" style="9"/>
  </cols>
  <sheetData>
    <row r="1" spans="1:7" s="1" customFormat="1" ht="15" customHeight="1" x14ac:dyDescent="0.25">
      <c r="A1" s="75" t="s">
        <v>741</v>
      </c>
      <c r="B1" s="76"/>
      <c r="C1" s="76"/>
      <c r="D1" s="76"/>
      <c r="E1" s="76"/>
    </row>
    <row r="2" spans="1:7" s="1" customFormat="1" ht="11.5" x14ac:dyDescent="0.25">
      <c r="D2" s="6"/>
      <c r="E2" s="7"/>
    </row>
    <row r="3" spans="1:7" s="1" customFormat="1" ht="11.5" x14ac:dyDescent="0.25">
      <c r="A3" s="11" t="s">
        <v>7</v>
      </c>
      <c r="B3" s="2"/>
      <c r="C3" s="3"/>
      <c r="D3" s="4"/>
      <c r="E3" s="5"/>
    </row>
    <row r="4" spans="1:7" s="1" customFormat="1" ht="17.5" customHeight="1" x14ac:dyDescent="0.25">
      <c r="A4" s="8" t="s">
        <v>2</v>
      </c>
      <c r="B4" s="8" t="s">
        <v>0</v>
      </c>
      <c r="C4" s="16" t="s">
        <v>1</v>
      </c>
      <c r="D4" s="15" t="s">
        <v>3</v>
      </c>
      <c r="E4" s="15" t="s">
        <v>4</v>
      </c>
    </row>
    <row r="5" spans="1:7" ht="10.5" x14ac:dyDescent="0.25">
      <c r="A5" s="21" t="s">
        <v>370</v>
      </c>
      <c r="B5" s="22"/>
      <c r="C5" s="23"/>
      <c r="D5" s="24"/>
      <c r="E5" s="25"/>
    </row>
    <row r="6" spans="1:7" x14ac:dyDescent="0.2">
      <c r="A6" s="27" t="s">
        <v>697</v>
      </c>
      <c r="B6" s="27" t="s">
        <v>696</v>
      </c>
      <c r="C6" s="31">
        <v>83499.452000000005</v>
      </c>
      <c r="D6" s="29">
        <v>1956.3432</v>
      </c>
      <c r="E6" s="30">
        <v>98.817929285007693</v>
      </c>
    </row>
    <row r="7" spans="1:7" ht="10.5" x14ac:dyDescent="0.25">
      <c r="A7" s="26" t="s">
        <v>40</v>
      </c>
      <c r="B7" s="26"/>
      <c r="C7" s="32"/>
      <c r="D7" s="33">
        <f>SUM(D6:D6)</f>
        <v>1956.3432</v>
      </c>
      <c r="E7" s="34">
        <f>SUM(E6:E6)</f>
        <v>98.817929285007693</v>
      </c>
      <c r="F7" s="18"/>
      <c r="G7" s="18"/>
    </row>
    <row r="8" spans="1:7" x14ac:dyDescent="0.2">
      <c r="A8" s="27"/>
      <c r="B8" s="27"/>
      <c r="C8" s="28"/>
      <c r="D8" s="29"/>
      <c r="E8" s="30"/>
    </row>
    <row r="9" spans="1:7" ht="10.5" x14ac:dyDescent="0.25">
      <c r="A9" s="26" t="s">
        <v>44</v>
      </c>
      <c r="B9" s="26"/>
      <c r="C9" s="32"/>
      <c r="D9" s="33">
        <f>D7</f>
        <v>1956.3432</v>
      </c>
      <c r="E9" s="34">
        <f>E7</f>
        <v>98.817929285007693</v>
      </c>
      <c r="F9" s="18"/>
      <c r="G9" s="18"/>
    </row>
    <row r="10" spans="1:7" ht="10.5" x14ac:dyDescent="0.25">
      <c r="A10" s="26"/>
      <c r="B10" s="26"/>
      <c r="C10" s="32"/>
      <c r="D10" s="33"/>
      <c r="E10" s="34"/>
      <c r="F10" s="18"/>
      <c r="G10" s="18"/>
    </row>
    <row r="11" spans="1:7" ht="10.5" x14ac:dyDescent="0.25">
      <c r="A11" s="26" t="s">
        <v>46</v>
      </c>
      <c r="B11" s="26"/>
      <c r="C11" s="32"/>
      <c r="D11" s="33">
        <f>D13-(D7)</f>
        <v>23.401988099999926</v>
      </c>
      <c r="E11" s="34">
        <f>E13-(E7)</f>
        <v>1.1820707149923066</v>
      </c>
      <c r="F11" s="18"/>
      <c r="G11" s="18"/>
    </row>
    <row r="12" spans="1:7" ht="10.5" x14ac:dyDescent="0.25">
      <c r="A12" s="26"/>
      <c r="B12" s="26"/>
      <c r="C12" s="32"/>
      <c r="D12" s="33"/>
      <c r="E12" s="34"/>
      <c r="F12" s="18"/>
      <c r="G12" s="18"/>
    </row>
    <row r="13" spans="1:7" ht="10.5" x14ac:dyDescent="0.25">
      <c r="A13" s="35" t="s">
        <v>45</v>
      </c>
      <c r="B13" s="35"/>
      <c r="C13" s="36"/>
      <c r="D13" s="37">
        <v>1979.7451881</v>
      </c>
      <c r="E13" s="38">
        <v>100</v>
      </c>
      <c r="F13" s="18"/>
      <c r="G13" s="18"/>
    </row>
    <row r="16" spans="1:7" ht="10.5" x14ac:dyDescent="0.25">
      <c r="A16" s="18" t="s">
        <v>48</v>
      </c>
    </row>
    <row r="17" spans="1:4" ht="10.5" x14ac:dyDescent="0.25">
      <c r="A17" s="18" t="s">
        <v>49</v>
      </c>
    </row>
    <row r="18" spans="1:4" ht="10.5" x14ac:dyDescent="0.25">
      <c r="A18" s="18" t="s">
        <v>50</v>
      </c>
      <c r="B18" s="18"/>
      <c r="C18" s="39" t="s">
        <v>727</v>
      </c>
      <c r="D18" s="41" t="s">
        <v>51</v>
      </c>
    </row>
    <row r="19" spans="1:4" x14ac:dyDescent="0.2">
      <c r="A19" s="9" t="s">
        <v>71</v>
      </c>
      <c r="C19" s="40">
        <v>7.8876999999999997</v>
      </c>
      <c r="D19" s="40">
        <v>8.8360000000000003</v>
      </c>
    </row>
    <row r="20" spans="1:4" x14ac:dyDescent="0.2">
      <c r="A20" s="9" t="s">
        <v>77</v>
      </c>
      <c r="C20" s="40">
        <v>7.8876999999999997</v>
      </c>
      <c r="D20" s="40">
        <v>8.8360000000000003</v>
      </c>
    </row>
    <row r="21" spans="1:4" x14ac:dyDescent="0.2">
      <c r="A21" s="9" t="s">
        <v>74</v>
      </c>
      <c r="C21" s="40">
        <v>8.5109999999999992</v>
      </c>
      <c r="D21" s="40">
        <v>9.5753000000000004</v>
      </c>
    </row>
    <row r="22" spans="1:4" x14ac:dyDescent="0.2">
      <c r="A22" s="9" t="s">
        <v>78</v>
      </c>
      <c r="C22" s="40">
        <v>8.5109999999999992</v>
      </c>
      <c r="D22" s="40">
        <v>9.5753000000000004</v>
      </c>
    </row>
    <row r="24" spans="1:4" ht="10.5" x14ac:dyDescent="0.25">
      <c r="A24" s="18" t="s">
        <v>52</v>
      </c>
      <c r="D24" s="41" t="s">
        <v>53</v>
      </c>
    </row>
    <row r="26" spans="1:4" ht="10.5" x14ac:dyDescent="0.25">
      <c r="A26" s="18" t="s">
        <v>222</v>
      </c>
      <c r="D26" s="45">
        <v>0.1459</v>
      </c>
    </row>
    <row r="28" spans="1:4" ht="10.5" x14ac:dyDescent="0.25">
      <c r="A28" s="18" t="s">
        <v>726</v>
      </c>
    </row>
    <row r="29" spans="1:4" x14ac:dyDescent="0.2">
      <c r="A29" s="46" t="s">
        <v>55</v>
      </c>
    </row>
    <row r="31" spans="1:4" ht="10.5" x14ac:dyDescent="0.25">
      <c r="A31" s="18" t="s">
        <v>742</v>
      </c>
    </row>
  </sheetData>
  <mergeCells count="1">
    <mergeCell ref="A1:E1"/>
  </mergeCells>
  <conditionalFormatting sqref="E5:E13">
    <cfRule type="cellIs" dxfId="7" priority="1" stopIfTrue="1" operator="between">
      <formula>0.009</formula>
      <formula>-0.009</formula>
    </cfRule>
  </conditionalFormatting>
  <hyperlinks>
    <hyperlink ref="A29" r:id="rId1" xr:uid="{00000000-0004-0000-3600-000000000000}"/>
  </hyperlinks>
  <pageMargins left="0.7" right="0.7" top="0.75" bottom="0.75" header="0.3" footer="0.3"/>
  <pageSetup paperSize="9" scale="63" orientation="portrait" r:id="rId2"/>
  <headerFooter>
    <oddFooter>&amp;R&amp;1#&amp;"Calibri"&amp;10&amp;KFF0000|PUBLIC|&amp;LPUBLIC</oddFooter>
    <evenFooter>&amp;LPUBLIC</evenFooter>
    <firstFooter>&amp;LPUBLIC</firstFooter>
  </headerFooter>
  <colBreaks count="1" manualBreakCount="1">
    <brk id="5" max="1048575"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34"/>
  <sheetViews>
    <sheetView zoomScaleNormal="100" workbookViewId="0">
      <selection sqref="A1:E1"/>
    </sheetView>
  </sheetViews>
  <sheetFormatPr defaultColWidth="9.1796875" defaultRowHeight="10" x14ac:dyDescent="0.2"/>
  <cols>
    <col min="1" max="1" width="34.81640625" style="9" bestFit="1" customWidth="1"/>
    <col min="2" max="2" width="50.7265625" style="9" customWidth="1"/>
    <col min="3" max="3" width="15.54296875" style="9" bestFit="1" customWidth="1"/>
    <col min="4" max="4" width="23" style="10" bestFit="1" customWidth="1"/>
    <col min="5" max="5" width="13.54296875" style="13" bestFit="1" customWidth="1"/>
    <col min="6" max="16384" width="9.1796875" style="9"/>
  </cols>
  <sheetData>
    <row r="1" spans="1:8" s="1" customFormat="1" ht="14" x14ac:dyDescent="0.25">
      <c r="A1" s="75" t="s">
        <v>24</v>
      </c>
      <c r="B1" s="76"/>
      <c r="C1" s="76"/>
      <c r="D1" s="76"/>
      <c r="E1" s="76"/>
    </row>
    <row r="2" spans="1:8" s="1" customFormat="1" ht="11.5" x14ac:dyDescent="0.25">
      <c r="D2" s="6"/>
      <c r="E2" s="7"/>
    </row>
    <row r="3" spans="1:8" s="1" customFormat="1" ht="11.5" x14ac:dyDescent="0.25">
      <c r="A3" s="11" t="s">
        <v>7</v>
      </c>
      <c r="B3" s="2"/>
      <c r="C3" s="3"/>
      <c r="D3" s="4"/>
      <c r="E3" s="5"/>
    </row>
    <row r="4" spans="1:8" s="1" customFormat="1" ht="17.5" customHeight="1" x14ac:dyDescent="0.25">
      <c r="A4" s="8" t="s">
        <v>2</v>
      </c>
      <c r="B4" s="8" t="s">
        <v>0</v>
      </c>
      <c r="C4" s="16" t="s">
        <v>1</v>
      </c>
      <c r="D4" s="15" t="s">
        <v>3</v>
      </c>
      <c r="E4" s="15" t="s">
        <v>4</v>
      </c>
    </row>
    <row r="5" spans="1:8" ht="10.5" x14ac:dyDescent="0.25">
      <c r="A5" s="21" t="s">
        <v>698</v>
      </c>
      <c r="B5" s="22"/>
      <c r="C5" s="23"/>
      <c r="D5" s="24"/>
      <c r="E5" s="25"/>
    </row>
    <row r="6" spans="1:8" x14ac:dyDescent="0.2">
      <c r="A6" s="27" t="s">
        <v>700</v>
      </c>
      <c r="B6" s="50" t="s">
        <v>699</v>
      </c>
      <c r="C6" s="31">
        <v>225321.36199999999</v>
      </c>
      <c r="D6" s="29">
        <v>1305.182777</v>
      </c>
      <c r="E6" s="30">
        <v>38.641151135688702</v>
      </c>
    </row>
    <row r="7" spans="1:8" ht="20" x14ac:dyDescent="0.2">
      <c r="A7" s="27" t="s">
        <v>702</v>
      </c>
      <c r="B7" s="50" t="s">
        <v>701</v>
      </c>
      <c r="C7" s="31">
        <v>27213.78</v>
      </c>
      <c r="D7" s="29">
        <v>563.19206180000003</v>
      </c>
      <c r="E7" s="30">
        <v>16.673825277142701</v>
      </c>
    </row>
    <row r="8" spans="1:8" x14ac:dyDescent="0.2">
      <c r="A8" s="27" t="s">
        <v>704</v>
      </c>
      <c r="B8" s="50" t="s">
        <v>703</v>
      </c>
      <c r="C8" s="31">
        <v>964561</v>
      </c>
      <c r="D8" s="29">
        <v>411.3852665</v>
      </c>
      <c r="E8" s="30">
        <v>12.1794437820888</v>
      </c>
    </row>
    <row r="9" spans="1:8" ht="20" x14ac:dyDescent="0.2">
      <c r="A9" s="27" t="s">
        <v>706</v>
      </c>
      <c r="B9" s="50" t="s">
        <v>705</v>
      </c>
      <c r="C9" s="31">
        <v>23973.544999999998</v>
      </c>
      <c r="D9" s="29">
        <v>0</v>
      </c>
      <c r="E9" s="29">
        <v>0</v>
      </c>
    </row>
    <row r="10" spans="1:8" ht="20" x14ac:dyDescent="0.2">
      <c r="A10" s="27" t="s">
        <v>708</v>
      </c>
      <c r="B10" s="50" t="s">
        <v>707</v>
      </c>
      <c r="C10" s="31">
        <v>22876.138999999999</v>
      </c>
      <c r="D10" s="29">
        <v>0</v>
      </c>
      <c r="E10" s="29">
        <v>0</v>
      </c>
    </row>
    <row r="11" spans="1:8" ht="10.5" x14ac:dyDescent="0.25">
      <c r="A11" s="26" t="s">
        <v>40</v>
      </c>
      <c r="B11" s="26"/>
      <c r="C11" s="32"/>
      <c r="D11" s="33">
        <f>SUM(D6:D10)</f>
        <v>2279.7601052999999</v>
      </c>
      <c r="E11" s="34">
        <f>SUM(E6:E10)</f>
        <v>67.494420194920195</v>
      </c>
      <c r="F11" s="18"/>
      <c r="G11" s="18"/>
      <c r="H11" s="18"/>
    </row>
    <row r="12" spans="1:8" x14ac:dyDescent="0.2">
      <c r="A12" s="27"/>
      <c r="B12" s="27"/>
      <c r="C12" s="28"/>
      <c r="D12" s="29"/>
      <c r="E12" s="30"/>
    </row>
    <row r="13" spans="1:8" ht="10.5" x14ac:dyDescent="0.25">
      <c r="A13" s="26" t="s">
        <v>44</v>
      </c>
      <c r="B13" s="26"/>
      <c r="C13" s="32"/>
      <c r="D13" s="33">
        <f>D11</f>
        <v>2279.7601052999999</v>
      </c>
      <c r="E13" s="34">
        <f>E11</f>
        <v>67.494420194920195</v>
      </c>
      <c r="F13" s="18"/>
      <c r="G13" s="18"/>
      <c r="H13" s="18"/>
    </row>
    <row r="14" spans="1:8" ht="10.5" x14ac:dyDescent="0.25">
      <c r="A14" s="26"/>
      <c r="B14" s="26"/>
      <c r="C14" s="32"/>
      <c r="D14" s="33"/>
      <c r="E14" s="34"/>
      <c r="F14" s="18"/>
      <c r="G14" s="18"/>
      <c r="H14" s="18"/>
    </row>
    <row r="15" spans="1:8" ht="10.5" x14ac:dyDescent="0.25">
      <c r="A15" s="26" t="s">
        <v>46</v>
      </c>
      <c r="B15" s="26"/>
      <c r="C15" s="32"/>
      <c r="D15" s="33">
        <f>D17-(D11)</f>
        <v>1097.9414865000003</v>
      </c>
      <c r="E15" s="34">
        <f>E17-(E11)</f>
        <v>32.505579805079805</v>
      </c>
      <c r="F15" s="18"/>
      <c r="G15" s="18"/>
      <c r="H15" s="18"/>
    </row>
    <row r="16" spans="1:8" ht="10.5" x14ac:dyDescent="0.25">
      <c r="A16" s="26"/>
      <c r="B16" s="26"/>
      <c r="C16" s="32"/>
      <c r="D16" s="33"/>
      <c r="E16" s="34"/>
      <c r="F16" s="18"/>
      <c r="G16" s="18"/>
      <c r="H16" s="18"/>
    </row>
    <row r="17" spans="1:8" ht="10.5" x14ac:dyDescent="0.25">
      <c r="A17" s="35" t="s">
        <v>45</v>
      </c>
      <c r="B17" s="35"/>
      <c r="C17" s="36"/>
      <c r="D17" s="37">
        <v>3377.7015918000002</v>
      </c>
      <c r="E17" s="38">
        <v>100</v>
      </c>
      <c r="F17" s="18"/>
      <c r="G17" s="18"/>
      <c r="H17" s="18"/>
    </row>
    <row r="18" spans="1:8" ht="10.5" x14ac:dyDescent="0.25">
      <c r="C18" s="10"/>
      <c r="D18" s="13"/>
      <c r="E18" s="20"/>
    </row>
    <row r="19" spans="1:8" ht="10.5" x14ac:dyDescent="0.25">
      <c r="A19" s="18" t="s">
        <v>740</v>
      </c>
    </row>
    <row r="21" spans="1:8" ht="10.5" x14ac:dyDescent="0.25">
      <c r="A21" s="18" t="s">
        <v>48</v>
      </c>
    </row>
    <row r="22" spans="1:8" ht="10.5" x14ac:dyDescent="0.25">
      <c r="A22" s="18" t="s">
        <v>49</v>
      </c>
    </row>
    <row r="23" spans="1:8" ht="10.5" x14ac:dyDescent="0.25">
      <c r="A23" s="18" t="s">
        <v>50</v>
      </c>
      <c r="B23" s="18"/>
      <c r="C23" s="39" t="s">
        <v>727</v>
      </c>
      <c r="D23" s="41" t="s">
        <v>51</v>
      </c>
    </row>
    <row r="24" spans="1:8" x14ac:dyDescent="0.2">
      <c r="A24" s="9" t="s">
        <v>71</v>
      </c>
      <c r="C24" s="40">
        <v>10.461600000000001</v>
      </c>
      <c r="D24" s="40">
        <v>11.3491</v>
      </c>
    </row>
    <row r="25" spans="1:8" x14ac:dyDescent="0.2">
      <c r="A25" s="9" t="s">
        <v>77</v>
      </c>
      <c r="C25" s="40">
        <v>10.461600000000001</v>
      </c>
      <c r="D25" s="40">
        <v>11.3491</v>
      </c>
    </row>
    <row r="26" spans="1:8" x14ac:dyDescent="0.2">
      <c r="A26" s="9" t="s">
        <v>74</v>
      </c>
      <c r="C26" s="40">
        <v>11.2669</v>
      </c>
      <c r="D26" s="40">
        <v>12.2658</v>
      </c>
    </row>
    <row r="27" spans="1:8" x14ac:dyDescent="0.2">
      <c r="A27" s="9" t="s">
        <v>78</v>
      </c>
      <c r="C27" s="40">
        <v>11.2669</v>
      </c>
      <c r="D27" s="40">
        <v>12.2658</v>
      </c>
    </row>
    <row r="29" spans="1:8" ht="10.5" x14ac:dyDescent="0.25">
      <c r="A29" s="18" t="s">
        <v>52</v>
      </c>
      <c r="D29" s="41" t="s">
        <v>53</v>
      </c>
    </row>
    <row r="31" spans="1:8" ht="10.5" x14ac:dyDescent="0.25">
      <c r="A31" s="18" t="s">
        <v>222</v>
      </c>
      <c r="D31" s="45">
        <v>0.3332</v>
      </c>
    </row>
    <row r="33" spans="1:1" ht="10.5" x14ac:dyDescent="0.25">
      <c r="A33" s="18" t="s">
        <v>726</v>
      </c>
    </row>
    <row r="34" spans="1:1" x14ac:dyDescent="0.2">
      <c r="A34" s="46" t="s">
        <v>55</v>
      </c>
    </row>
  </sheetData>
  <mergeCells count="1">
    <mergeCell ref="A1:E1"/>
  </mergeCells>
  <conditionalFormatting sqref="E5:E8 E11:E18">
    <cfRule type="cellIs" dxfId="6" priority="1" stopIfTrue="1" operator="between">
      <formula>0.009</formula>
      <formula>-0.009</formula>
    </cfRule>
  </conditionalFormatting>
  <hyperlinks>
    <hyperlink ref="A34" r:id="rId1" xr:uid="{00000000-0004-0000-3700-000000000000}"/>
  </hyperlinks>
  <pageMargins left="0.7" right="0.7" top="0.75" bottom="0.75" header="0.3" footer="0.3"/>
  <pageSetup paperSize="9" scale="63" orientation="portrait" r:id="rId2"/>
  <headerFooter>
    <oddFooter>&amp;R&amp;1#&amp;"Calibri"&amp;10&amp;KFF0000|PUBLIC|&amp;LPUBLIC</oddFooter>
    <evenFooter>&amp;LPUBLIC</evenFooter>
    <firstFooter>&amp;LPUBLIC</firstFooter>
  </headerFooter>
  <colBreaks count="1" manualBreakCount="1">
    <brk id="5" max="1048575"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G35"/>
  <sheetViews>
    <sheetView zoomScaleNormal="100" workbookViewId="0">
      <selection sqref="A1:E1"/>
    </sheetView>
  </sheetViews>
  <sheetFormatPr defaultColWidth="9.1796875" defaultRowHeight="10" x14ac:dyDescent="0.2"/>
  <cols>
    <col min="1" max="1" width="34.81640625" style="9" bestFit="1" customWidth="1"/>
    <col min="2" max="2" width="34.453125" style="9" bestFit="1" customWidth="1"/>
    <col min="3" max="3" width="21.1796875" style="9" bestFit="1" customWidth="1"/>
    <col min="4" max="4" width="23" style="10" bestFit="1" customWidth="1"/>
    <col min="5" max="5" width="13.54296875" style="13" customWidth="1"/>
    <col min="6" max="16384" width="9.1796875" style="9"/>
  </cols>
  <sheetData>
    <row r="1" spans="1:7" s="1" customFormat="1" ht="14" x14ac:dyDescent="0.25">
      <c r="A1" s="75" t="s">
        <v>25</v>
      </c>
      <c r="B1" s="76"/>
      <c r="C1" s="76"/>
      <c r="D1" s="76"/>
      <c r="E1" s="76"/>
    </row>
    <row r="2" spans="1:7" s="1" customFormat="1" ht="11.5" x14ac:dyDescent="0.25">
      <c r="D2" s="6"/>
      <c r="E2" s="7"/>
    </row>
    <row r="3" spans="1:7" s="1" customFormat="1" ht="11.5" x14ac:dyDescent="0.25">
      <c r="A3" s="11" t="s">
        <v>7</v>
      </c>
      <c r="B3" s="2"/>
      <c r="C3" s="3"/>
      <c r="D3" s="4"/>
      <c r="E3" s="5"/>
    </row>
    <row r="4" spans="1:7" s="1" customFormat="1" ht="17.5" customHeight="1" x14ac:dyDescent="0.25">
      <c r="A4" s="8" t="s">
        <v>2</v>
      </c>
      <c r="B4" s="8" t="s">
        <v>0</v>
      </c>
      <c r="C4" s="16" t="s">
        <v>1</v>
      </c>
      <c r="D4" s="15" t="s">
        <v>3</v>
      </c>
      <c r="E4" s="15" t="s">
        <v>4</v>
      </c>
    </row>
    <row r="5" spans="1:7" ht="10.5" x14ac:dyDescent="0.25">
      <c r="A5" s="21" t="s">
        <v>698</v>
      </c>
      <c r="B5" s="22"/>
      <c r="C5" s="23"/>
      <c r="D5" s="24"/>
      <c r="E5" s="25"/>
    </row>
    <row r="6" spans="1:7" x14ac:dyDescent="0.2">
      <c r="A6" s="27" t="s">
        <v>710</v>
      </c>
      <c r="B6" s="27" t="s">
        <v>709</v>
      </c>
      <c r="C6" s="31">
        <v>4196470.0640000002</v>
      </c>
      <c r="D6" s="29">
        <v>1665.528611</v>
      </c>
      <c r="E6" s="30">
        <v>79.780884156972107</v>
      </c>
    </row>
    <row r="7" spans="1:7" x14ac:dyDescent="0.2">
      <c r="A7" s="27" t="s">
        <v>712</v>
      </c>
      <c r="B7" s="27" t="s">
        <v>711</v>
      </c>
      <c r="C7" s="31">
        <v>66709.175000000003</v>
      </c>
      <c r="D7" s="29">
        <v>199.26184000000001</v>
      </c>
      <c r="E7" s="30">
        <v>9.5448890333983698</v>
      </c>
    </row>
    <row r="8" spans="1:7" x14ac:dyDescent="0.2">
      <c r="A8" s="27" t="s">
        <v>700</v>
      </c>
      <c r="B8" s="27" t="s">
        <v>699</v>
      </c>
      <c r="C8" s="31">
        <v>34302.233</v>
      </c>
      <c r="D8" s="29">
        <v>198.69702240000001</v>
      </c>
      <c r="E8" s="30">
        <v>9.5178335705154105</v>
      </c>
    </row>
    <row r="9" spans="1:7" ht="10.5" x14ac:dyDescent="0.25">
      <c r="A9" s="26" t="s">
        <v>40</v>
      </c>
      <c r="B9" s="26"/>
      <c r="C9" s="32"/>
      <c r="D9" s="33">
        <f>SUM(D6:D8)</f>
        <v>2063.4874734</v>
      </c>
      <c r="E9" s="34">
        <f>SUM(E6:E8)</f>
        <v>98.843606760885891</v>
      </c>
      <c r="F9" s="18"/>
      <c r="G9" s="18"/>
    </row>
    <row r="10" spans="1:7" x14ac:dyDescent="0.2">
      <c r="A10" s="27"/>
      <c r="B10" s="27"/>
      <c r="C10" s="28"/>
      <c r="D10" s="29"/>
      <c r="E10" s="30"/>
    </row>
    <row r="11" spans="1:7" ht="10.5" x14ac:dyDescent="0.25">
      <c r="A11" s="26" t="s">
        <v>44</v>
      </c>
      <c r="B11" s="26"/>
      <c r="C11" s="32"/>
      <c r="D11" s="33">
        <f>D9</f>
        <v>2063.4874734</v>
      </c>
      <c r="E11" s="34">
        <f>E9</f>
        <v>98.843606760885891</v>
      </c>
      <c r="F11" s="18"/>
      <c r="G11" s="18"/>
    </row>
    <row r="12" spans="1:7" ht="10.5" x14ac:dyDescent="0.25">
      <c r="A12" s="26"/>
      <c r="B12" s="26"/>
      <c r="C12" s="32"/>
      <c r="D12" s="33"/>
      <c r="E12" s="34"/>
      <c r="F12" s="18"/>
      <c r="G12" s="18"/>
    </row>
    <row r="13" spans="1:7" ht="10.5" x14ac:dyDescent="0.25">
      <c r="A13" s="26" t="s">
        <v>46</v>
      </c>
      <c r="B13" s="26"/>
      <c r="C13" s="32"/>
      <c r="D13" s="33">
        <f>D15-(D9)</f>
        <v>24.141196800000216</v>
      </c>
      <c r="E13" s="34">
        <f>E15-(E9)</f>
        <v>1.1563932391141094</v>
      </c>
      <c r="F13" s="18"/>
      <c r="G13" s="18"/>
    </row>
    <row r="14" spans="1:7" ht="10.5" x14ac:dyDescent="0.25">
      <c r="A14" s="26"/>
      <c r="B14" s="26"/>
      <c r="C14" s="32"/>
      <c r="D14" s="33"/>
      <c r="E14" s="34"/>
      <c r="F14" s="18"/>
      <c r="G14" s="18"/>
    </row>
    <row r="15" spans="1:7" ht="10.5" x14ac:dyDescent="0.25">
      <c r="A15" s="35" t="s">
        <v>45</v>
      </c>
      <c r="B15" s="35"/>
      <c r="C15" s="36"/>
      <c r="D15" s="37">
        <v>2087.6286702000002</v>
      </c>
      <c r="E15" s="38">
        <v>100</v>
      </c>
      <c r="F15" s="18"/>
      <c r="G15" s="18"/>
    </row>
    <row r="18" spans="1:4" ht="10.5" x14ac:dyDescent="0.25">
      <c r="A18" s="18" t="s">
        <v>48</v>
      </c>
    </row>
    <row r="19" spans="1:4" ht="10.5" x14ac:dyDescent="0.25">
      <c r="A19" s="18" t="s">
        <v>49</v>
      </c>
    </row>
    <row r="20" spans="1:4" ht="10.5" x14ac:dyDescent="0.25">
      <c r="A20" s="18" t="s">
        <v>50</v>
      </c>
      <c r="B20" s="18"/>
      <c r="C20" s="39" t="s">
        <v>727</v>
      </c>
      <c r="D20" s="41" t="s">
        <v>51</v>
      </c>
    </row>
    <row r="21" spans="1:4" x14ac:dyDescent="0.2">
      <c r="A21" s="9" t="s">
        <v>87</v>
      </c>
      <c r="C21" s="40">
        <v>39.877099999999999</v>
      </c>
      <c r="D21" s="40">
        <v>42.758000000000003</v>
      </c>
    </row>
    <row r="22" spans="1:4" x14ac:dyDescent="0.2">
      <c r="A22" s="9" t="s">
        <v>713</v>
      </c>
      <c r="C22" s="40">
        <v>13.658799999999999</v>
      </c>
      <c r="D22" s="40">
        <v>14.0936</v>
      </c>
    </row>
    <row r="23" spans="1:4" x14ac:dyDescent="0.2">
      <c r="A23" s="9" t="s">
        <v>88</v>
      </c>
      <c r="C23" s="40">
        <v>41.177700000000002</v>
      </c>
      <c r="D23" s="40">
        <v>44.298699999999997</v>
      </c>
    </row>
    <row r="24" spans="1:4" x14ac:dyDescent="0.2">
      <c r="A24" s="9" t="s">
        <v>714</v>
      </c>
      <c r="C24" s="40">
        <v>14.148099999999999</v>
      </c>
      <c r="D24" s="40">
        <v>14.6503</v>
      </c>
    </row>
    <row r="26" spans="1:4" ht="10.5" x14ac:dyDescent="0.25">
      <c r="A26" s="18" t="s">
        <v>52</v>
      </c>
    </row>
    <row r="27" spans="1:4" ht="10.5" x14ac:dyDescent="0.25">
      <c r="A27" s="77" t="s">
        <v>68</v>
      </c>
      <c r="B27" s="78"/>
      <c r="C27" s="43" t="s">
        <v>69</v>
      </c>
    </row>
    <row r="28" spans="1:4" x14ac:dyDescent="0.2">
      <c r="A28" s="71" t="s">
        <v>713</v>
      </c>
      <c r="B28" s="72"/>
      <c r="C28" s="44">
        <v>0.53</v>
      </c>
    </row>
    <row r="29" spans="1:4" x14ac:dyDescent="0.2">
      <c r="A29" s="71" t="s">
        <v>714</v>
      </c>
      <c r="B29" s="72"/>
      <c r="C29" s="44">
        <v>0.53</v>
      </c>
    </row>
    <row r="30" spans="1:4" x14ac:dyDescent="0.2">
      <c r="A30" s="9" t="s">
        <v>70</v>
      </c>
    </row>
    <row r="32" spans="1:4" ht="10.5" x14ac:dyDescent="0.25">
      <c r="A32" s="18" t="s">
        <v>222</v>
      </c>
      <c r="D32" s="45">
        <v>5.0999999999999997E-2</v>
      </c>
    </row>
    <row r="34" spans="1:1" ht="10.5" x14ac:dyDescent="0.25">
      <c r="A34" s="18" t="s">
        <v>726</v>
      </c>
    </row>
    <row r="35" spans="1:1" x14ac:dyDescent="0.2">
      <c r="A35" s="46" t="s">
        <v>55</v>
      </c>
    </row>
  </sheetData>
  <mergeCells count="4">
    <mergeCell ref="A1:E1"/>
    <mergeCell ref="A27:B27"/>
    <mergeCell ref="A28:B28"/>
    <mergeCell ref="A29:B29"/>
  </mergeCells>
  <conditionalFormatting sqref="E5:E15">
    <cfRule type="cellIs" dxfId="5" priority="1" stopIfTrue="1" operator="between">
      <formula>0.009</formula>
      <formula>-0.009</formula>
    </cfRule>
  </conditionalFormatting>
  <hyperlinks>
    <hyperlink ref="A35" r:id="rId1" xr:uid="{00000000-0004-0000-3800-000000000000}"/>
  </hyperlinks>
  <pageMargins left="0.7" right="0.7" top="0.75" bottom="0.75" header="0.3" footer="0.3"/>
  <pageSetup paperSize="9" scale="68" orientation="portrait" r:id="rId2"/>
  <headerFooter>
    <oddFooter>&amp;R&amp;1#&amp;"Calibri"&amp;10&amp;KFF0000|PUBLIC|&amp;LPUBLIC</oddFooter>
    <evenFooter>&amp;LPUBLIC</evenFooter>
    <firstFooter>&amp;LPUBLIC</firstFooter>
  </headerFooter>
  <colBreaks count="1" manualBreakCount="1">
    <brk id="5" max="1048575" man="1"/>
  </col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35"/>
  <sheetViews>
    <sheetView zoomScaleNormal="100" workbookViewId="0">
      <selection sqref="A1:E1"/>
    </sheetView>
  </sheetViews>
  <sheetFormatPr defaultColWidth="9.1796875" defaultRowHeight="10" x14ac:dyDescent="0.2"/>
  <cols>
    <col min="1" max="1" width="34.81640625" style="9" bestFit="1" customWidth="1"/>
    <col min="2" max="2" width="50.7265625" style="9" customWidth="1"/>
    <col min="3" max="3" width="15.54296875" style="9" bestFit="1" customWidth="1"/>
    <col min="4" max="4" width="23" style="10" bestFit="1" customWidth="1"/>
    <col min="5" max="5" width="13.54296875" style="13" bestFit="1" customWidth="1"/>
    <col min="6" max="16384" width="9.1796875" style="9"/>
  </cols>
  <sheetData>
    <row r="1" spans="1:8" s="1" customFormat="1" ht="14" x14ac:dyDescent="0.25">
      <c r="A1" s="75" t="s">
        <v>26</v>
      </c>
      <c r="B1" s="76"/>
      <c r="C1" s="76"/>
      <c r="D1" s="76"/>
      <c r="E1" s="76"/>
    </row>
    <row r="2" spans="1:8" s="1" customFormat="1" ht="11.5" x14ac:dyDescent="0.25">
      <c r="D2" s="6"/>
      <c r="E2" s="7"/>
    </row>
    <row r="3" spans="1:8" s="1" customFormat="1" ht="11.5" x14ac:dyDescent="0.25">
      <c r="A3" s="11" t="s">
        <v>7</v>
      </c>
      <c r="B3" s="2"/>
      <c r="C3" s="3"/>
      <c r="D3" s="4"/>
      <c r="E3" s="5"/>
    </row>
    <row r="4" spans="1:8" s="1" customFormat="1" ht="17.5" customHeight="1" x14ac:dyDescent="0.25">
      <c r="A4" s="8" t="s">
        <v>2</v>
      </c>
      <c r="B4" s="8" t="s">
        <v>0</v>
      </c>
      <c r="C4" s="16" t="s">
        <v>1</v>
      </c>
      <c r="D4" s="15" t="s">
        <v>3</v>
      </c>
      <c r="E4" s="15" t="s">
        <v>4</v>
      </c>
    </row>
    <row r="5" spans="1:8" ht="10.5" x14ac:dyDescent="0.25">
      <c r="A5" s="21" t="s">
        <v>698</v>
      </c>
      <c r="B5" s="22"/>
      <c r="C5" s="23"/>
      <c r="D5" s="24"/>
      <c r="E5" s="25"/>
    </row>
    <row r="6" spans="1:8" x14ac:dyDescent="0.2">
      <c r="A6" s="27" t="s">
        <v>716</v>
      </c>
      <c r="B6" s="50" t="s">
        <v>715</v>
      </c>
      <c r="C6" s="31">
        <v>1393809.0249999999</v>
      </c>
      <c r="D6" s="29">
        <v>1130.834895</v>
      </c>
      <c r="E6" s="30">
        <v>69.432222245500995</v>
      </c>
    </row>
    <row r="7" spans="1:8" ht="20" x14ac:dyDescent="0.2">
      <c r="A7" s="27" t="s">
        <v>718</v>
      </c>
      <c r="B7" s="50" t="s">
        <v>717</v>
      </c>
      <c r="C7" s="31">
        <v>427573.21600000001</v>
      </c>
      <c r="D7" s="29">
        <v>156.8693442</v>
      </c>
      <c r="E7" s="30">
        <v>9.6316334224903795</v>
      </c>
    </row>
    <row r="8" spans="1:8" x14ac:dyDescent="0.2">
      <c r="A8" s="27" t="s">
        <v>712</v>
      </c>
      <c r="B8" s="50" t="s">
        <v>711</v>
      </c>
      <c r="C8" s="31">
        <v>52178.720999999998</v>
      </c>
      <c r="D8" s="29">
        <v>155.85903970000001</v>
      </c>
      <c r="E8" s="30">
        <v>9.5696016556163706</v>
      </c>
    </row>
    <row r="9" spans="1:8" x14ac:dyDescent="0.2">
      <c r="A9" s="27" t="s">
        <v>700</v>
      </c>
      <c r="B9" s="50" t="s">
        <v>699</v>
      </c>
      <c r="C9" s="31">
        <v>26903.609</v>
      </c>
      <c r="D9" s="29">
        <v>155.8402044</v>
      </c>
      <c r="E9" s="30">
        <v>9.5684451855238404</v>
      </c>
    </row>
    <row r="10" spans="1:8" ht="20" x14ac:dyDescent="0.2">
      <c r="A10" s="27" t="s">
        <v>720</v>
      </c>
      <c r="B10" s="50" t="s">
        <v>719</v>
      </c>
      <c r="C10" s="31">
        <v>489502.28</v>
      </c>
      <c r="D10" s="29">
        <v>4.8950228000000002E-4</v>
      </c>
      <c r="E10" s="30">
        <v>3.0054989676136101E-5</v>
      </c>
    </row>
    <row r="11" spans="1:8" ht="20" x14ac:dyDescent="0.2">
      <c r="A11" s="27" t="s">
        <v>722</v>
      </c>
      <c r="B11" s="50" t="s">
        <v>721</v>
      </c>
      <c r="C11" s="31">
        <v>371180.549</v>
      </c>
      <c r="D11" s="29">
        <v>3.7118054900000001E-4</v>
      </c>
      <c r="E11" s="30">
        <v>2.2790144242387501E-5</v>
      </c>
    </row>
    <row r="12" spans="1:8" ht="10.5" x14ac:dyDescent="0.25">
      <c r="A12" s="26" t="s">
        <v>40</v>
      </c>
      <c r="B12" s="26"/>
      <c r="C12" s="32"/>
      <c r="D12" s="33">
        <f>SUM(D6:D11)</f>
        <v>1599.404343982829</v>
      </c>
      <c r="E12" s="34">
        <f>SUM(E6:E11)</f>
        <v>98.201955354265507</v>
      </c>
      <c r="F12" s="18"/>
      <c r="G12" s="18"/>
      <c r="H12" s="18"/>
    </row>
    <row r="13" spans="1:8" x14ac:dyDescent="0.2">
      <c r="A13" s="27"/>
      <c r="B13" s="27"/>
      <c r="C13" s="28"/>
      <c r="D13" s="29"/>
      <c r="E13" s="30"/>
    </row>
    <row r="14" spans="1:8" ht="10.5" x14ac:dyDescent="0.25">
      <c r="A14" s="26" t="s">
        <v>44</v>
      </c>
      <c r="B14" s="26"/>
      <c r="C14" s="32"/>
      <c r="D14" s="33">
        <f>D12</f>
        <v>1599.404343982829</v>
      </c>
      <c r="E14" s="34">
        <f>E12</f>
        <v>98.201955354265507</v>
      </c>
      <c r="F14" s="18"/>
      <c r="G14" s="18"/>
      <c r="H14" s="18"/>
    </row>
    <row r="15" spans="1:8" ht="10.5" x14ac:dyDescent="0.25">
      <c r="A15" s="26"/>
      <c r="B15" s="26"/>
      <c r="C15" s="32"/>
      <c r="D15" s="33"/>
      <c r="E15" s="34"/>
      <c r="F15" s="18"/>
      <c r="G15" s="18"/>
      <c r="H15" s="18"/>
    </row>
    <row r="16" spans="1:8" ht="10.5" x14ac:dyDescent="0.25">
      <c r="A16" s="26" t="s">
        <v>46</v>
      </c>
      <c r="B16" s="26"/>
      <c r="C16" s="32"/>
      <c r="D16" s="33">
        <f>D18-(D12)</f>
        <v>29.284553517170934</v>
      </c>
      <c r="E16" s="34">
        <f>E18-(E12)</f>
        <v>1.7980446457344925</v>
      </c>
      <c r="F16" s="18"/>
      <c r="G16" s="18"/>
      <c r="H16" s="18"/>
    </row>
    <row r="17" spans="1:8" ht="10.5" x14ac:dyDescent="0.25">
      <c r="A17" s="26"/>
      <c r="B17" s="26"/>
      <c r="C17" s="32"/>
      <c r="D17" s="33"/>
      <c r="E17" s="34"/>
      <c r="F17" s="18"/>
      <c r="G17" s="18"/>
      <c r="H17" s="18"/>
    </row>
    <row r="18" spans="1:8" ht="10.5" x14ac:dyDescent="0.25">
      <c r="A18" s="35" t="s">
        <v>45</v>
      </c>
      <c r="B18" s="35"/>
      <c r="C18" s="36"/>
      <c r="D18" s="37">
        <v>1628.6888974999999</v>
      </c>
      <c r="E18" s="38">
        <v>100</v>
      </c>
      <c r="F18" s="18"/>
      <c r="G18" s="18"/>
      <c r="H18" s="18"/>
    </row>
    <row r="19" spans="1:8" ht="10.5" x14ac:dyDescent="0.25">
      <c r="C19" s="10"/>
      <c r="D19" s="13"/>
      <c r="E19" s="20"/>
    </row>
    <row r="20" spans="1:8" ht="10.5" x14ac:dyDescent="0.25">
      <c r="A20" s="18" t="s">
        <v>740</v>
      </c>
    </row>
    <row r="22" spans="1:8" ht="10.5" x14ac:dyDescent="0.25">
      <c r="A22" s="18" t="s">
        <v>48</v>
      </c>
    </row>
    <row r="23" spans="1:8" ht="10.5" x14ac:dyDescent="0.25">
      <c r="A23" s="18" t="s">
        <v>49</v>
      </c>
    </row>
    <row r="24" spans="1:8" ht="10.5" x14ac:dyDescent="0.25">
      <c r="A24" s="18" t="s">
        <v>50</v>
      </c>
      <c r="B24" s="18"/>
      <c r="C24" s="39" t="s">
        <v>727</v>
      </c>
      <c r="D24" s="41" t="s">
        <v>51</v>
      </c>
    </row>
    <row r="25" spans="1:8" x14ac:dyDescent="0.2">
      <c r="A25" s="9" t="s">
        <v>87</v>
      </c>
      <c r="C25" s="40">
        <v>27.602499999999999</v>
      </c>
      <c r="D25" s="40">
        <v>29.982099999999999</v>
      </c>
    </row>
    <row r="26" spans="1:8" x14ac:dyDescent="0.2">
      <c r="A26" s="9" t="s">
        <v>713</v>
      </c>
      <c r="C26" s="40">
        <v>9.4511000000000003</v>
      </c>
      <c r="D26" s="40">
        <v>10.2658</v>
      </c>
    </row>
    <row r="27" spans="1:8" x14ac:dyDescent="0.2">
      <c r="A27" s="9" t="s">
        <v>88</v>
      </c>
      <c r="C27" s="40">
        <v>29.041799999999999</v>
      </c>
      <c r="D27" s="40">
        <v>31.655999999999999</v>
      </c>
    </row>
    <row r="28" spans="1:8" x14ac:dyDescent="0.2">
      <c r="A28" s="9" t="s">
        <v>714</v>
      </c>
      <c r="C28" s="40">
        <v>9.9611999999999998</v>
      </c>
      <c r="D28" s="40">
        <v>10.856999999999999</v>
      </c>
    </row>
    <row r="30" spans="1:8" ht="10.5" x14ac:dyDescent="0.25">
      <c r="A30" s="18" t="s">
        <v>52</v>
      </c>
      <c r="D30" s="41" t="s">
        <v>53</v>
      </c>
    </row>
    <row r="32" spans="1:8" ht="10.5" x14ac:dyDescent="0.25">
      <c r="A32" s="18" t="s">
        <v>222</v>
      </c>
      <c r="D32" s="45">
        <v>2.8500000000000001E-2</v>
      </c>
    </row>
    <row r="34" spans="1:1" ht="10.5" x14ac:dyDescent="0.25">
      <c r="A34" s="18" t="s">
        <v>726</v>
      </c>
    </row>
    <row r="35" spans="1:1" x14ac:dyDescent="0.2">
      <c r="A35" s="46" t="s">
        <v>55</v>
      </c>
    </row>
  </sheetData>
  <mergeCells count="1">
    <mergeCell ref="A1:E1"/>
  </mergeCells>
  <conditionalFormatting sqref="E5:E19">
    <cfRule type="cellIs" dxfId="4" priority="1" stopIfTrue="1" operator="between">
      <formula>0.009</formula>
      <formula>-0.009</formula>
    </cfRule>
  </conditionalFormatting>
  <hyperlinks>
    <hyperlink ref="A35" r:id="rId1" xr:uid="{00000000-0004-0000-3900-000000000000}"/>
  </hyperlinks>
  <pageMargins left="0.7" right="0.7" top="0.75" bottom="0.75" header="0.3" footer="0.3"/>
  <pageSetup paperSize="9" scale="63" orientation="portrait" r:id="rId2"/>
  <headerFooter>
    <oddFooter>&amp;R&amp;1#&amp;"Calibri"&amp;10&amp;KFF0000|PUBLIC|&amp;LPUBLIC</oddFooter>
    <evenFooter>&amp;LPUBLIC</evenFooter>
    <firstFooter>&amp;LPUBLIC</firstFooter>
  </headerFooter>
  <colBreaks count="1" manualBreakCount="1">
    <brk id="5" max="1048575"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40"/>
  <sheetViews>
    <sheetView zoomScaleNormal="100" workbookViewId="0">
      <selection sqref="A1:E1"/>
    </sheetView>
  </sheetViews>
  <sheetFormatPr defaultColWidth="9.1796875" defaultRowHeight="10" x14ac:dyDescent="0.2"/>
  <cols>
    <col min="1" max="1" width="34.81640625" style="9" bestFit="1" customWidth="1"/>
    <col min="2" max="2" width="50.7265625" style="9" customWidth="1"/>
    <col min="3" max="3" width="21.1796875" style="9" bestFit="1" customWidth="1"/>
    <col min="4" max="4" width="23" style="10" bestFit="1" customWidth="1"/>
    <col min="5" max="5" width="23" style="13" bestFit="1" customWidth="1"/>
    <col min="6" max="16384" width="9.1796875" style="9"/>
  </cols>
  <sheetData>
    <row r="1" spans="1:8" s="1" customFormat="1" ht="14" x14ac:dyDescent="0.25">
      <c r="A1" s="75" t="s">
        <v>27</v>
      </c>
      <c r="B1" s="76"/>
      <c r="C1" s="76"/>
      <c r="D1" s="76"/>
      <c r="E1" s="76"/>
    </row>
    <row r="2" spans="1:8" s="1" customFormat="1" ht="11.5" x14ac:dyDescent="0.25">
      <c r="D2" s="6"/>
      <c r="E2" s="7"/>
    </row>
    <row r="3" spans="1:8" s="1" customFormat="1" ht="11.5" x14ac:dyDescent="0.25">
      <c r="A3" s="11" t="s">
        <v>7</v>
      </c>
      <c r="B3" s="2"/>
      <c r="C3" s="3"/>
      <c r="D3" s="4"/>
      <c r="E3" s="5"/>
    </row>
    <row r="4" spans="1:8" s="1" customFormat="1" ht="17.5" customHeight="1" x14ac:dyDescent="0.25">
      <c r="A4" s="8" t="s">
        <v>2</v>
      </c>
      <c r="B4" s="8" t="s">
        <v>0</v>
      </c>
      <c r="C4" s="16" t="s">
        <v>1</v>
      </c>
      <c r="D4" s="15" t="s">
        <v>3</v>
      </c>
      <c r="E4" s="15" t="s">
        <v>4</v>
      </c>
    </row>
    <row r="5" spans="1:8" ht="10.5" x14ac:dyDescent="0.25">
      <c r="A5" s="21" t="s">
        <v>698</v>
      </c>
      <c r="B5" s="22"/>
      <c r="C5" s="23"/>
      <c r="D5" s="24"/>
      <c r="E5" s="25"/>
    </row>
    <row r="6" spans="1:8" x14ac:dyDescent="0.2">
      <c r="A6" s="27" t="s">
        <v>716</v>
      </c>
      <c r="B6" s="50" t="s">
        <v>715</v>
      </c>
      <c r="C6" s="31">
        <v>1122131.456</v>
      </c>
      <c r="D6" s="29">
        <v>910.41554780000001</v>
      </c>
      <c r="E6" s="30">
        <v>52.546060622462399</v>
      </c>
    </row>
    <row r="7" spans="1:8" x14ac:dyDescent="0.2">
      <c r="A7" s="27" t="s">
        <v>700</v>
      </c>
      <c r="B7" s="50" t="s">
        <v>699</v>
      </c>
      <c r="C7" s="31">
        <v>43368.012000000002</v>
      </c>
      <c r="D7" s="29">
        <v>251.21090090000001</v>
      </c>
      <c r="E7" s="30">
        <v>14.499030975045001</v>
      </c>
    </row>
    <row r="8" spans="1:8" ht="20" x14ac:dyDescent="0.2">
      <c r="A8" s="27" t="s">
        <v>718</v>
      </c>
      <c r="B8" s="50" t="s">
        <v>717</v>
      </c>
      <c r="C8" s="31">
        <v>556579.71499999997</v>
      </c>
      <c r="D8" s="29">
        <v>204.19963559999999</v>
      </c>
      <c r="E8" s="30">
        <v>11.785702097521201</v>
      </c>
    </row>
    <row r="9" spans="1:8" x14ac:dyDescent="0.2">
      <c r="A9" s="27" t="s">
        <v>712</v>
      </c>
      <c r="B9" s="50" t="s">
        <v>711</v>
      </c>
      <c r="C9" s="31">
        <v>55722.841999999997</v>
      </c>
      <c r="D9" s="29">
        <v>166.4454107</v>
      </c>
      <c r="E9" s="30">
        <v>9.6066578191766396</v>
      </c>
    </row>
    <row r="10" spans="1:8" x14ac:dyDescent="0.2">
      <c r="A10" s="27" t="s">
        <v>724</v>
      </c>
      <c r="B10" s="50" t="s">
        <v>723</v>
      </c>
      <c r="C10" s="31">
        <v>13492.355</v>
      </c>
      <c r="D10" s="29">
        <v>165.01438899999999</v>
      </c>
      <c r="E10" s="30">
        <v>9.5240641583127008</v>
      </c>
    </row>
    <row r="11" spans="1:8" ht="20" x14ac:dyDescent="0.2">
      <c r="A11" s="27" t="s">
        <v>720</v>
      </c>
      <c r="B11" s="50" t="s">
        <v>719</v>
      </c>
      <c r="C11" s="31">
        <v>631308.71</v>
      </c>
      <c r="D11" s="29">
        <v>0</v>
      </c>
      <c r="E11" s="29">
        <v>0</v>
      </c>
    </row>
    <row r="12" spans="1:8" ht="20" x14ac:dyDescent="0.2">
      <c r="A12" s="27" t="s">
        <v>722</v>
      </c>
      <c r="B12" s="50" t="s">
        <v>721</v>
      </c>
      <c r="C12" s="31">
        <v>584729.58299999998</v>
      </c>
      <c r="D12" s="29">
        <v>0</v>
      </c>
      <c r="E12" s="29">
        <v>0</v>
      </c>
    </row>
    <row r="13" spans="1:8" ht="10.5" x14ac:dyDescent="0.25">
      <c r="A13" s="26" t="s">
        <v>40</v>
      </c>
      <c r="B13" s="26"/>
      <c r="C13" s="32"/>
      <c r="D13" s="33">
        <f>SUM(D6:D12)</f>
        <v>1697.2858839999999</v>
      </c>
      <c r="E13" s="34">
        <f>SUM(E6:E12)</f>
        <v>97.961515672517933</v>
      </c>
      <c r="F13" s="18"/>
      <c r="G13" s="18"/>
      <c r="H13" s="18"/>
    </row>
    <row r="14" spans="1:8" x14ac:dyDescent="0.2">
      <c r="A14" s="27"/>
      <c r="B14" s="27"/>
      <c r="C14" s="28"/>
      <c r="D14" s="29"/>
      <c r="E14" s="30"/>
    </row>
    <row r="15" spans="1:8" ht="10.5" x14ac:dyDescent="0.25">
      <c r="A15" s="26" t="s">
        <v>44</v>
      </c>
      <c r="B15" s="26"/>
      <c r="C15" s="32"/>
      <c r="D15" s="33">
        <f>D13</f>
        <v>1697.2858839999999</v>
      </c>
      <c r="E15" s="34">
        <f>E13</f>
        <v>97.961515672517933</v>
      </c>
      <c r="F15" s="18"/>
      <c r="G15" s="18"/>
      <c r="H15" s="18"/>
    </row>
    <row r="16" spans="1:8" ht="10.5" x14ac:dyDescent="0.25">
      <c r="A16" s="26"/>
      <c r="B16" s="26"/>
      <c r="C16" s="32"/>
      <c r="D16" s="33"/>
      <c r="E16" s="34"/>
      <c r="F16" s="18"/>
      <c r="G16" s="18"/>
      <c r="H16" s="18"/>
    </row>
    <row r="17" spans="1:8" ht="10.5" x14ac:dyDescent="0.25">
      <c r="A17" s="26" t="s">
        <v>46</v>
      </c>
      <c r="B17" s="26"/>
      <c r="C17" s="32"/>
      <c r="D17" s="33">
        <f>D19-(D13)</f>
        <v>35.318876500000215</v>
      </c>
      <c r="E17" s="34">
        <f>E19-(E13)</f>
        <v>2.0384843274820668</v>
      </c>
      <c r="F17" s="18"/>
      <c r="G17" s="18"/>
      <c r="H17" s="18"/>
    </row>
    <row r="18" spans="1:8" ht="10.5" x14ac:dyDescent="0.25">
      <c r="A18" s="26"/>
      <c r="B18" s="26"/>
      <c r="C18" s="32"/>
      <c r="D18" s="33"/>
      <c r="E18" s="34"/>
      <c r="F18" s="18"/>
      <c r="G18" s="18"/>
      <c r="H18" s="18"/>
    </row>
    <row r="19" spans="1:8" ht="10.5" x14ac:dyDescent="0.25">
      <c r="A19" s="35" t="s">
        <v>45</v>
      </c>
      <c r="B19" s="35"/>
      <c r="C19" s="36"/>
      <c r="D19" s="37">
        <v>1732.6047605000001</v>
      </c>
      <c r="E19" s="38">
        <v>100</v>
      </c>
      <c r="F19" s="18"/>
      <c r="G19" s="18"/>
      <c r="H19" s="18"/>
    </row>
    <row r="20" spans="1:8" ht="10.5" x14ac:dyDescent="0.25">
      <c r="C20" s="10"/>
      <c r="D20" s="13"/>
      <c r="E20" s="20"/>
    </row>
    <row r="21" spans="1:8" ht="10.5" x14ac:dyDescent="0.25">
      <c r="A21" s="18" t="s">
        <v>740</v>
      </c>
    </row>
    <row r="23" spans="1:8" ht="10.5" x14ac:dyDescent="0.25">
      <c r="A23" s="18" t="s">
        <v>48</v>
      </c>
    </row>
    <row r="24" spans="1:8" ht="10.5" x14ac:dyDescent="0.25">
      <c r="A24" s="18" t="s">
        <v>49</v>
      </c>
    </row>
    <row r="25" spans="1:8" ht="10.5" x14ac:dyDescent="0.25">
      <c r="A25" s="18" t="s">
        <v>50</v>
      </c>
      <c r="B25" s="18"/>
      <c r="C25" s="39" t="s">
        <v>727</v>
      </c>
      <c r="D25" s="41" t="s">
        <v>51</v>
      </c>
    </row>
    <row r="26" spans="1:8" x14ac:dyDescent="0.2">
      <c r="A26" s="9" t="s">
        <v>87</v>
      </c>
      <c r="C26" s="40">
        <v>40.266199999999998</v>
      </c>
      <c r="D26" s="40">
        <v>45.354300000000002</v>
      </c>
    </row>
    <row r="27" spans="1:8" x14ac:dyDescent="0.2">
      <c r="A27" s="9" t="s">
        <v>713</v>
      </c>
      <c r="C27" s="40">
        <v>11.501200000000001</v>
      </c>
      <c r="D27" s="40">
        <v>11.8691</v>
      </c>
    </row>
    <row r="28" spans="1:8" x14ac:dyDescent="0.2">
      <c r="A28" s="9" t="s">
        <v>88</v>
      </c>
      <c r="C28" s="40">
        <v>42.339700000000001</v>
      </c>
      <c r="D28" s="40">
        <v>47.835299999999997</v>
      </c>
    </row>
    <row r="29" spans="1:8" x14ac:dyDescent="0.2">
      <c r="A29" s="9" t="s">
        <v>714</v>
      </c>
      <c r="C29" s="40">
        <v>12.042</v>
      </c>
      <c r="D29" s="40">
        <v>12.510899999999999</v>
      </c>
    </row>
    <row r="31" spans="1:8" ht="10.5" x14ac:dyDescent="0.25">
      <c r="A31" s="18" t="s">
        <v>52</v>
      </c>
    </row>
    <row r="32" spans="1:8" ht="10.5" x14ac:dyDescent="0.25">
      <c r="A32" s="77" t="s">
        <v>68</v>
      </c>
      <c r="B32" s="78"/>
      <c r="C32" s="43" t="s">
        <v>69</v>
      </c>
    </row>
    <row r="33" spans="1:4" x14ac:dyDescent="0.2">
      <c r="A33" s="71" t="s">
        <v>713</v>
      </c>
      <c r="B33" s="72"/>
      <c r="C33" s="44">
        <v>1</v>
      </c>
    </row>
    <row r="34" spans="1:4" x14ac:dyDescent="0.2">
      <c r="A34" s="71" t="s">
        <v>714</v>
      </c>
      <c r="B34" s="72"/>
      <c r="C34" s="44">
        <v>1</v>
      </c>
    </row>
    <row r="35" spans="1:4" x14ac:dyDescent="0.2">
      <c r="A35" s="9" t="s">
        <v>70</v>
      </c>
    </row>
    <row r="37" spans="1:4" ht="10.5" x14ac:dyDescent="0.25">
      <c r="A37" s="18" t="s">
        <v>222</v>
      </c>
      <c r="D37" s="45">
        <v>4.7199999999999999E-2</v>
      </c>
    </row>
    <row r="39" spans="1:4" ht="10.5" x14ac:dyDescent="0.25">
      <c r="A39" s="18" t="s">
        <v>726</v>
      </c>
    </row>
    <row r="40" spans="1:4" x14ac:dyDescent="0.2">
      <c r="A40" s="46" t="s">
        <v>55</v>
      </c>
    </row>
  </sheetData>
  <mergeCells count="4">
    <mergeCell ref="A1:E1"/>
    <mergeCell ref="A32:B32"/>
    <mergeCell ref="A33:B33"/>
    <mergeCell ref="A34:B34"/>
  </mergeCells>
  <conditionalFormatting sqref="E5:E10 E13:E20">
    <cfRule type="cellIs" dxfId="3" priority="1" stopIfTrue="1" operator="between">
      <formula>0.009</formula>
      <formula>-0.009</formula>
    </cfRule>
  </conditionalFormatting>
  <hyperlinks>
    <hyperlink ref="A40" r:id="rId1" xr:uid="{00000000-0004-0000-3A00-000000000000}"/>
  </hyperlinks>
  <pageMargins left="0.7" right="0.7" top="0.75" bottom="0.75" header="0.3" footer="0.3"/>
  <pageSetup paperSize="9" scale="57" orientation="portrait" r:id="rId2"/>
  <headerFooter>
    <oddFooter>&amp;R&amp;1#&amp;"Calibri"&amp;10&amp;KFF0000|PUBLIC|&amp;LPUBLIC</oddFooter>
    <evenFooter>&amp;LPUBLIC</evenFooter>
    <firstFooter>&amp;LPUBLIC</firstFooter>
  </headerFooter>
  <colBreaks count="1" manualBreakCount="1">
    <brk id="5" max="1048575" man="1"/>
  </col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40"/>
  <sheetViews>
    <sheetView zoomScaleNormal="100" workbookViewId="0">
      <selection sqref="A1:E1"/>
    </sheetView>
  </sheetViews>
  <sheetFormatPr defaultColWidth="9.1796875" defaultRowHeight="10" x14ac:dyDescent="0.2"/>
  <cols>
    <col min="1" max="1" width="34.81640625" style="9" bestFit="1" customWidth="1"/>
    <col min="2" max="2" width="50.7265625" style="9" customWidth="1"/>
    <col min="3" max="3" width="21.1796875" style="9" bestFit="1" customWidth="1"/>
    <col min="4" max="4" width="23" style="10" bestFit="1" customWidth="1"/>
    <col min="5" max="5" width="13.54296875" style="13" customWidth="1"/>
    <col min="6" max="16384" width="9.1796875" style="9"/>
  </cols>
  <sheetData>
    <row r="1" spans="1:5" s="1" customFormat="1" ht="15" customHeight="1" x14ac:dyDescent="0.25">
      <c r="A1" s="75" t="s">
        <v>28</v>
      </c>
      <c r="B1" s="76"/>
      <c r="C1" s="76"/>
      <c r="D1" s="76"/>
      <c r="E1" s="76"/>
    </row>
    <row r="2" spans="1:5" s="1" customFormat="1" ht="11.5" x14ac:dyDescent="0.25">
      <c r="D2" s="6"/>
      <c r="E2" s="7"/>
    </row>
    <row r="3" spans="1:5" s="1" customFormat="1" ht="11.5" x14ac:dyDescent="0.25">
      <c r="A3" s="11" t="s">
        <v>7</v>
      </c>
      <c r="B3" s="2"/>
      <c r="C3" s="3"/>
      <c r="D3" s="4"/>
      <c r="E3" s="5"/>
    </row>
    <row r="4" spans="1:5" s="1" customFormat="1" ht="17.5" customHeight="1" x14ac:dyDescent="0.25">
      <c r="A4" s="8" t="s">
        <v>2</v>
      </c>
      <c r="B4" s="8" t="s">
        <v>0</v>
      </c>
      <c r="C4" s="16" t="s">
        <v>1</v>
      </c>
      <c r="D4" s="15" t="s">
        <v>3</v>
      </c>
      <c r="E4" s="15" t="s">
        <v>4</v>
      </c>
    </row>
    <row r="5" spans="1:5" ht="10.5" x14ac:dyDescent="0.25">
      <c r="A5" s="21" t="s">
        <v>698</v>
      </c>
      <c r="B5" s="22"/>
      <c r="C5" s="23"/>
      <c r="D5" s="24"/>
      <c r="E5" s="25"/>
    </row>
    <row r="6" spans="1:5" x14ac:dyDescent="0.2">
      <c r="A6" s="27" t="s">
        <v>700</v>
      </c>
      <c r="B6" s="50" t="s">
        <v>699</v>
      </c>
      <c r="C6" s="31">
        <v>32060.684000000001</v>
      </c>
      <c r="D6" s="29">
        <v>185.7127624</v>
      </c>
      <c r="E6" s="30">
        <v>34.4306857479313</v>
      </c>
    </row>
    <row r="7" spans="1:5" x14ac:dyDescent="0.2">
      <c r="A7" s="27" t="s">
        <v>716</v>
      </c>
      <c r="B7" s="50" t="s">
        <v>715</v>
      </c>
      <c r="C7" s="31">
        <v>223073.47099999999</v>
      </c>
      <c r="D7" s="29">
        <v>180.98553000000001</v>
      </c>
      <c r="E7" s="30">
        <v>33.554268580266402</v>
      </c>
    </row>
    <row r="8" spans="1:5" ht="20" x14ac:dyDescent="0.2">
      <c r="A8" s="27" t="s">
        <v>718</v>
      </c>
      <c r="B8" s="50" t="s">
        <v>717</v>
      </c>
      <c r="C8" s="31">
        <v>165948.399</v>
      </c>
      <c r="D8" s="29">
        <v>60.883646499999998</v>
      </c>
      <c r="E8" s="30">
        <v>11.2876771242817</v>
      </c>
    </row>
    <row r="9" spans="1:5" x14ac:dyDescent="0.2">
      <c r="A9" s="27" t="s">
        <v>712</v>
      </c>
      <c r="B9" s="50" t="s">
        <v>711</v>
      </c>
      <c r="C9" s="31">
        <v>17509.401999999998</v>
      </c>
      <c r="D9" s="29">
        <v>52.3009865</v>
      </c>
      <c r="E9" s="30">
        <v>9.6964732375780809</v>
      </c>
    </row>
    <row r="10" spans="1:5" x14ac:dyDescent="0.2">
      <c r="A10" s="27" t="s">
        <v>724</v>
      </c>
      <c r="B10" s="50" t="s">
        <v>723</v>
      </c>
      <c r="C10" s="31">
        <v>4234.2619999999997</v>
      </c>
      <c r="D10" s="29">
        <v>51.785930399999998</v>
      </c>
      <c r="E10" s="30">
        <v>9.6009831135151007</v>
      </c>
    </row>
    <row r="11" spans="1:5" ht="20" x14ac:dyDescent="0.2">
      <c r="A11" s="27" t="s">
        <v>720</v>
      </c>
      <c r="B11" s="50" t="s">
        <v>719</v>
      </c>
      <c r="C11" s="31">
        <v>196087.27</v>
      </c>
      <c r="D11" s="29">
        <v>0</v>
      </c>
      <c r="E11" s="29">
        <v>0</v>
      </c>
    </row>
    <row r="12" spans="1:5" ht="20" x14ac:dyDescent="0.2">
      <c r="A12" s="27" t="s">
        <v>722</v>
      </c>
      <c r="B12" s="50" t="s">
        <v>721</v>
      </c>
      <c r="C12" s="31">
        <v>177292.25099999999</v>
      </c>
      <c r="D12" s="29">
        <v>0</v>
      </c>
      <c r="E12" s="29">
        <v>0</v>
      </c>
    </row>
    <row r="13" spans="1:5" ht="10.5" x14ac:dyDescent="0.25">
      <c r="A13" s="26" t="s">
        <v>40</v>
      </c>
      <c r="B13" s="26"/>
      <c r="C13" s="32"/>
      <c r="D13" s="33">
        <f>SUM(D6:D12)</f>
        <v>531.66885580000007</v>
      </c>
      <c r="E13" s="34">
        <f>SUM(E6:E12)</f>
        <v>98.570087803572576</v>
      </c>
    </row>
    <row r="14" spans="1:5" x14ac:dyDescent="0.2">
      <c r="A14" s="27"/>
      <c r="B14" s="27"/>
      <c r="C14" s="28"/>
      <c r="D14" s="29"/>
      <c r="E14" s="30"/>
    </row>
    <row r="15" spans="1:5" ht="10.5" x14ac:dyDescent="0.25">
      <c r="A15" s="26" t="s">
        <v>44</v>
      </c>
      <c r="B15" s="26"/>
      <c r="C15" s="32"/>
      <c r="D15" s="33">
        <f>D13</f>
        <v>531.66885580000007</v>
      </c>
      <c r="E15" s="34">
        <f>E13</f>
        <v>98.570087803572576</v>
      </c>
    </row>
    <row r="16" spans="1:5" ht="10.5" x14ac:dyDescent="0.25">
      <c r="A16" s="26"/>
      <c r="B16" s="26"/>
      <c r="C16" s="32"/>
      <c r="D16" s="33"/>
      <c r="E16" s="34"/>
    </row>
    <row r="17" spans="1:5" ht="10.5" x14ac:dyDescent="0.25">
      <c r="A17" s="26" t="s">
        <v>46</v>
      </c>
      <c r="B17" s="26"/>
      <c r="C17" s="32"/>
      <c r="D17" s="33">
        <f>D19-(D13)</f>
        <v>7.7126823999999488</v>
      </c>
      <c r="E17" s="34">
        <f>E19-(E13)</f>
        <v>1.4299121964274235</v>
      </c>
    </row>
    <row r="18" spans="1:5" ht="10.5" x14ac:dyDescent="0.25">
      <c r="A18" s="26"/>
      <c r="B18" s="26"/>
      <c r="C18" s="32"/>
      <c r="D18" s="33"/>
      <c r="E18" s="34"/>
    </row>
    <row r="19" spans="1:5" ht="10.5" x14ac:dyDescent="0.25">
      <c r="A19" s="35" t="s">
        <v>45</v>
      </c>
      <c r="B19" s="35"/>
      <c r="C19" s="36"/>
      <c r="D19" s="37">
        <v>539.38153820000002</v>
      </c>
      <c r="E19" s="38">
        <v>100</v>
      </c>
    </row>
    <row r="20" spans="1:5" ht="10.5" x14ac:dyDescent="0.25">
      <c r="C20" s="10"/>
      <c r="D20" s="13"/>
      <c r="E20" s="20"/>
    </row>
    <row r="21" spans="1:5" ht="10.5" x14ac:dyDescent="0.25">
      <c r="A21" s="18" t="s">
        <v>740</v>
      </c>
    </row>
    <row r="23" spans="1:5" ht="10.5" x14ac:dyDescent="0.25">
      <c r="A23" s="18" t="s">
        <v>48</v>
      </c>
    </row>
    <row r="24" spans="1:5" ht="10.5" x14ac:dyDescent="0.25">
      <c r="A24" s="18" t="s">
        <v>49</v>
      </c>
    </row>
    <row r="25" spans="1:5" ht="10.5" x14ac:dyDescent="0.25">
      <c r="A25" s="18" t="s">
        <v>50</v>
      </c>
      <c r="B25" s="18"/>
      <c r="C25" s="39" t="s">
        <v>727</v>
      </c>
      <c r="D25" s="41" t="s">
        <v>51</v>
      </c>
    </row>
    <row r="26" spans="1:5" x14ac:dyDescent="0.2">
      <c r="A26" s="9" t="s">
        <v>87</v>
      </c>
      <c r="C26" s="40">
        <v>50.793799999999997</v>
      </c>
      <c r="D26" s="40">
        <v>59.995399999999997</v>
      </c>
    </row>
    <row r="27" spans="1:5" x14ac:dyDescent="0.2">
      <c r="A27" s="9" t="s">
        <v>713</v>
      </c>
      <c r="C27" s="40">
        <v>17.9223</v>
      </c>
      <c r="D27" s="40">
        <v>19.476700000000001</v>
      </c>
    </row>
    <row r="28" spans="1:5" x14ac:dyDescent="0.2">
      <c r="A28" s="9" t="s">
        <v>88</v>
      </c>
      <c r="C28" s="40">
        <v>53.080300000000001</v>
      </c>
      <c r="D28" s="40">
        <v>62.903799999999997</v>
      </c>
    </row>
    <row r="29" spans="1:5" x14ac:dyDescent="0.2">
      <c r="A29" s="9" t="s">
        <v>714</v>
      </c>
      <c r="C29" s="40">
        <v>18.944700000000001</v>
      </c>
      <c r="D29" s="40">
        <v>20.7498</v>
      </c>
    </row>
    <row r="31" spans="1:5" ht="10.5" x14ac:dyDescent="0.25">
      <c r="A31" s="18" t="s">
        <v>52</v>
      </c>
    </row>
    <row r="32" spans="1:5" ht="10.5" x14ac:dyDescent="0.25">
      <c r="A32" s="77" t="s">
        <v>68</v>
      </c>
      <c r="B32" s="78"/>
      <c r="C32" s="43" t="s">
        <v>69</v>
      </c>
    </row>
    <row r="33" spans="1:4" x14ac:dyDescent="0.2">
      <c r="A33" s="71" t="s">
        <v>713</v>
      </c>
      <c r="B33" s="72"/>
      <c r="C33" s="44">
        <v>1.5</v>
      </c>
    </row>
    <row r="34" spans="1:4" x14ac:dyDescent="0.2">
      <c r="A34" s="71" t="s">
        <v>714</v>
      </c>
      <c r="B34" s="72"/>
      <c r="C34" s="44">
        <v>1.5</v>
      </c>
    </row>
    <row r="35" spans="1:4" x14ac:dyDescent="0.2">
      <c r="A35" s="9" t="s">
        <v>70</v>
      </c>
    </row>
    <row r="37" spans="1:4" ht="10.5" x14ac:dyDescent="0.25">
      <c r="A37" s="18" t="s">
        <v>222</v>
      </c>
      <c r="D37" s="45">
        <v>0.12470000000000001</v>
      </c>
    </row>
    <row r="39" spans="1:4" ht="10.5" x14ac:dyDescent="0.25">
      <c r="A39" s="18" t="s">
        <v>726</v>
      </c>
    </row>
    <row r="40" spans="1:4" x14ac:dyDescent="0.2">
      <c r="A40" s="46" t="s">
        <v>55</v>
      </c>
    </row>
  </sheetData>
  <mergeCells count="4">
    <mergeCell ref="A32:B32"/>
    <mergeCell ref="A33:B33"/>
    <mergeCell ref="A34:B34"/>
    <mergeCell ref="A1:E1"/>
  </mergeCells>
  <conditionalFormatting sqref="E5:E10 E13:E20">
    <cfRule type="cellIs" dxfId="2" priority="1" stopIfTrue="1" operator="between">
      <formula>0.009</formula>
      <formula>-0.009</formula>
    </cfRule>
  </conditionalFormatting>
  <hyperlinks>
    <hyperlink ref="A40" r:id="rId1" xr:uid="{00000000-0004-0000-3B00-000000000000}"/>
  </hyperlinks>
  <pageMargins left="0.7" right="0.7" top="0.75" bottom="0.75" header="0.3" footer="0.3"/>
  <pageSetup paperSize="9" scale="61" orientation="portrait" r:id="rId2"/>
  <headerFooter>
    <oddFooter>&amp;R&amp;1#&amp;"Calibri"&amp;10&amp;KFF0000|PUBLIC|&amp;LPUBLIC</oddFooter>
    <evenFooter>&amp;LPUBLIC</evenFooter>
    <firstFooter>&amp;LPUBLIC</first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40"/>
  <sheetViews>
    <sheetView zoomScaleNormal="100" workbookViewId="0">
      <selection sqref="A1:E1"/>
    </sheetView>
  </sheetViews>
  <sheetFormatPr defaultColWidth="9.1796875" defaultRowHeight="10" x14ac:dyDescent="0.2"/>
  <cols>
    <col min="1" max="1" width="34.81640625" style="9" bestFit="1" customWidth="1"/>
    <col min="2" max="2" width="50.7265625" style="9" customWidth="1"/>
    <col min="3" max="3" width="21.1796875" style="9" bestFit="1" customWidth="1"/>
    <col min="4" max="4" width="23" style="10" bestFit="1" customWidth="1"/>
    <col min="5" max="5" width="13.54296875" style="13" customWidth="1"/>
    <col min="6" max="16384" width="9.1796875" style="9"/>
  </cols>
  <sheetData>
    <row r="1" spans="1:5" s="1" customFormat="1" ht="15" customHeight="1" x14ac:dyDescent="0.25">
      <c r="A1" s="75" t="s">
        <v>29</v>
      </c>
      <c r="B1" s="76"/>
      <c r="C1" s="76"/>
      <c r="D1" s="76"/>
      <c r="E1" s="76"/>
    </row>
    <row r="2" spans="1:5" s="1" customFormat="1" ht="11.5" x14ac:dyDescent="0.25">
      <c r="D2" s="6"/>
      <c r="E2" s="7"/>
    </row>
    <row r="3" spans="1:5" s="1" customFormat="1" ht="11.5" x14ac:dyDescent="0.25">
      <c r="A3" s="11" t="s">
        <v>7</v>
      </c>
      <c r="B3" s="2"/>
      <c r="C3" s="3"/>
      <c r="D3" s="4"/>
      <c r="E3" s="5"/>
    </row>
    <row r="4" spans="1:5" s="1" customFormat="1" ht="17.5" customHeight="1" x14ac:dyDescent="0.25">
      <c r="A4" s="8" t="s">
        <v>2</v>
      </c>
      <c r="B4" s="8" t="s">
        <v>0</v>
      </c>
      <c r="C4" s="16" t="s">
        <v>1</v>
      </c>
      <c r="D4" s="15" t="s">
        <v>3</v>
      </c>
      <c r="E4" s="15" t="s">
        <v>4</v>
      </c>
    </row>
    <row r="5" spans="1:5" ht="10.5" x14ac:dyDescent="0.25">
      <c r="A5" s="21" t="s">
        <v>698</v>
      </c>
      <c r="B5" s="22"/>
      <c r="C5" s="23"/>
      <c r="D5" s="24"/>
      <c r="E5" s="25"/>
    </row>
    <row r="6" spans="1:5" x14ac:dyDescent="0.2">
      <c r="A6" s="27" t="s">
        <v>700</v>
      </c>
      <c r="B6" s="50" t="s">
        <v>699</v>
      </c>
      <c r="C6" s="31">
        <v>98614.474000000002</v>
      </c>
      <c r="D6" s="29">
        <v>571.22818659999996</v>
      </c>
      <c r="E6" s="30">
        <v>49.566098520670103</v>
      </c>
    </row>
    <row r="7" spans="1:5" x14ac:dyDescent="0.2">
      <c r="A7" s="27" t="s">
        <v>716</v>
      </c>
      <c r="B7" s="50" t="s">
        <v>715</v>
      </c>
      <c r="C7" s="31">
        <v>223234.20800000001</v>
      </c>
      <c r="D7" s="29">
        <v>181.11594030000001</v>
      </c>
      <c r="E7" s="30">
        <v>15.715629500019499</v>
      </c>
    </row>
    <row r="8" spans="1:5" x14ac:dyDescent="0.2">
      <c r="A8" s="27" t="s">
        <v>712</v>
      </c>
      <c r="B8" s="50" t="s">
        <v>711</v>
      </c>
      <c r="C8" s="31">
        <v>56513.851999999999</v>
      </c>
      <c r="D8" s="29">
        <v>168.80817569999999</v>
      </c>
      <c r="E8" s="30">
        <v>14.6476712181219</v>
      </c>
    </row>
    <row r="9" spans="1:5" x14ac:dyDescent="0.2">
      <c r="A9" s="27" t="s">
        <v>724</v>
      </c>
      <c r="B9" s="50" t="s">
        <v>723</v>
      </c>
      <c r="C9" s="31">
        <v>13754.853999999999</v>
      </c>
      <c r="D9" s="29">
        <v>168.224808</v>
      </c>
      <c r="E9" s="30">
        <v>14.5970517606612</v>
      </c>
    </row>
    <row r="10" spans="1:5" ht="20" x14ac:dyDescent="0.2">
      <c r="A10" s="27" t="s">
        <v>718</v>
      </c>
      <c r="B10" s="50" t="s">
        <v>717</v>
      </c>
      <c r="C10" s="31">
        <v>127811.183</v>
      </c>
      <c r="D10" s="29">
        <v>46.891750299999998</v>
      </c>
      <c r="E10" s="30">
        <v>4.0688487888011098</v>
      </c>
    </row>
    <row r="11" spans="1:5" ht="20" x14ac:dyDescent="0.2">
      <c r="A11" s="27" t="s">
        <v>720</v>
      </c>
      <c r="B11" s="50" t="s">
        <v>719</v>
      </c>
      <c r="C11" s="31">
        <v>167004.62</v>
      </c>
      <c r="D11" s="29">
        <v>0</v>
      </c>
      <c r="E11" s="29">
        <v>0</v>
      </c>
    </row>
    <row r="12" spans="1:5" ht="20" x14ac:dyDescent="0.2">
      <c r="A12" s="27" t="s">
        <v>722</v>
      </c>
      <c r="B12" s="50" t="s">
        <v>721</v>
      </c>
      <c r="C12" s="31">
        <v>147479.853</v>
      </c>
      <c r="D12" s="29">
        <v>0</v>
      </c>
      <c r="E12" s="29">
        <v>0</v>
      </c>
    </row>
    <row r="13" spans="1:5" ht="10.5" x14ac:dyDescent="0.25">
      <c r="A13" s="26" t="s">
        <v>40</v>
      </c>
      <c r="B13" s="26"/>
      <c r="C13" s="32"/>
      <c r="D13" s="33">
        <f>SUM(D6:D12)</f>
        <v>1136.2688608999999</v>
      </c>
      <c r="E13" s="34">
        <f>SUM(E6:E12)</f>
        <v>98.595299788273806</v>
      </c>
    </row>
    <row r="14" spans="1:5" x14ac:dyDescent="0.2">
      <c r="A14" s="27"/>
      <c r="B14" s="27"/>
      <c r="C14" s="28"/>
      <c r="D14" s="29"/>
      <c r="E14" s="30"/>
    </row>
    <row r="15" spans="1:5" ht="10.5" x14ac:dyDescent="0.25">
      <c r="A15" s="26" t="s">
        <v>44</v>
      </c>
      <c r="B15" s="26"/>
      <c r="C15" s="32"/>
      <c r="D15" s="33">
        <f>D13</f>
        <v>1136.2688608999999</v>
      </c>
      <c r="E15" s="34">
        <f>E13</f>
        <v>98.595299788273806</v>
      </c>
    </row>
    <row r="16" spans="1:5" ht="10.5" x14ac:dyDescent="0.25">
      <c r="A16" s="26"/>
      <c r="B16" s="26"/>
      <c r="C16" s="32"/>
      <c r="D16" s="33"/>
      <c r="E16" s="34"/>
    </row>
    <row r="17" spans="1:5" ht="10.5" x14ac:dyDescent="0.25">
      <c r="A17" s="26" t="s">
        <v>46</v>
      </c>
      <c r="B17" s="26"/>
      <c r="C17" s="32"/>
      <c r="D17" s="33">
        <f>D19-(D13)</f>
        <v>16.188572000000022</v>
      </c>
      <c r="E17" s="34">
        <f>E19-(E13)</f>
        <v>1.404700211726194</v>
      </c>
    </row>
    <row r="18" spans="1:5" ht="10.5" x14ac:dyDescent="0.25">
      <c r="A18" s="26"/>
      <c r="B18" s="26"/>
      <c r="C18" s="32"/>
      <c r="D18" s="33"/>
      <c r="E18" s="34"/>
    </row>
    <row r="19" spans="1:5" ht="10.5" x14ac:dyDescent="0.25">
      <c r="A19" s="35" t="s">
        <v>45</v>
      </c>
      <c r="B19" s="35"/>
      <c r="C19" s="36"/>
      <c r="D19" s="37">
        <v>1152.4574329</v>
      </c>
      <c r="E19" s="38">
        <v>100</v>
      </c>
    </row>
    <row r="20" spans="1:5" ht="10.5" x14ac:dyDescent="0.25">
      <c r="C20" s="10"/>
      <c r="D20" s="13"/>
      <c r="E20" s="20"/>
    </row>
    <row r="21" spans="1:5" ht="10.5" x14ac:dyDescent="0.25">
      <c r="A21" s="18" t="s">
        <v>740</v>
      </c>
    </row>
    <row r="23" spans="1:5" ht="10.5" x14ac:dyDescent="0.25">
      <c r="A23" s="18" t="s">
        <v>48</v>
      </c>
    </row>
    <row r="24" spans="1:5" ht="10.5" x14ac:dyDescent="0.25">
      <c r="A24" s="18" t="s">
        <v>49</v>
      </c>
    </row>
    <row r="25" spans="1:5" ht="10.5" x14ac:dyDescent="0.25">
      <c r="A25" s="18" t="s">
        <v>50</v>
      </c>
      <c r="B25" s="18"/>
      <c r="C25" s="39" t="s">
        <v>727</v>
      </c>
      <c r="D25" s="41" t="s">
        <v>51</v>
      </c>
    </row>
    <row r="26" spans="1:5" x14ac:dyDescent="0.2">
      <c r="A26" s="9" t="s">
        <v>71</v>
      </c>
      <c r="C26" s="40">
        <v>72.141400000000004</v>
      </c>
      <c r="D26" s="40">
        <v>90.434600000000003</v>
      </c>
    </row>
    <row r="27" spans="1:5" x14ac:dyDescent="0.2">
      <c r="A27" s="9" t="s">
        <v>77</v>
      </c>
      <c r="C27" s="40">
        <v>23.5868</v>
      </c>
      <c r="D27" s="40">
        <v>27.203399999999998</v>
      </c>
    </row>
    <row r="28" spans="1:5" x14ac:dyDescent="0.2">
      <c r="A28" s="9" t="s">
        <v>74</v>
      </c>
      <c r="C28" s="40">
        <v>74.709000000000003</v>
      </c>
      <c r="D28" s="40">
        <v>93.992099999999994</v>
      </c>
    </row>
    <row r="29" spans="1:5" x14ac:dyDescent="0.2">
      <c r="A29" s="9" t="s">
        <v>78</v>
      </c>
      <c r="C29" s="40">
        <v>24.638999999999999</v>
      </c>
      <c r="D29" s="40">
        <v>28.6252</v>
      </c>
    </row>
    <row r="31" spans="1:5" ht="10.5" x14ac:dyDescent="0.25">
      <c r="A31" s="18" t="s">
        <v>52</v>
      </c>
    </row>
    <row r="32" spans="1:5" ht="10.5" x14ac:dyDescent="0.25">
      <c r="A32" s="77" t="s">
        <v>68</v>
      </c>
      <c r="B32" s="78"/>
      <c r="C32" s="43" t="s">
        <v>69</v>
      </c>
    </row>
    <row r="33" spans="1:4" x14ac:dyDescent="0.2">
      <c r="A33" s="71" t="s">
        <v>77</v>
      </c>
      <c r="B33" s="72"/>
      <c r="C33" s="44">
        <v>2</v>
      </c>
    </row>
    <row r="34" spans="1:4" x14ac:dyDescent="0.2">
      <c r="A34" s="71" t="s">
        <v>78</v>
      </c>
      <c r="B34" s="72"/>
      <c r="C34" s="44">
        <v>2</v>
      </c>
    </row>
    <row r="35" spans="1:4" x14ac:dyDescent="0.2">
      <c r="A35" s="9" t="s">
        <v>70</v>
      </c>
    </row>
    <row r="37" spans="1:4" ht="10.5" x14ac:dyDescent="0.25">
      <c r="A37" s="18" t="s">
        <v>222</v>
      </c>
      <c r="D37" s="45">
        <v>0.1072</v>
      </c>
    </row>
    <row r="39" spans="1:4" ht="10.5" x14ac:dyDescent="0.25">
      <c r="A39" s="18" t="s">
        <v>726</v>
      </c>
    </row>
    <row r="40" spans="1:4" x14ac:dyDescent="0.2">
      <c r="A40" s="46" t="s">
        <v>55</v>
      </c>
    </row>
  </sheetData>
  <mergeCells count="4">
    <mergeCell ref="A32:B32"/>
    <mergeCell ref="A33:B33"/>
    <mergeCell ref="A34:B34"/>
    <mergeCell ref="A1:E1"/>
  </mergeCells>
  <conditionalFormatting sqref="E5:E10 E13:E20">
    <cfRule type="cellIs" dxfId="1" priority="1" stopIfTrue="1" operator="between">
      <formula>0.009</formula>
      <formula>-0.009</formula>
    </cfRule>
  </conditionalFormatting>
  <hyperlinks>
    <hyperlink ref="A40" r:id="rId1" xr:uid="{00000000-0004-0000-3C00-000000000000}"/>
  </hyperlinks>
  <pageMargins left="0.7" right="0.7" top="0.75" bottom="0.75" header="0.3" footer="0.3"/>
  <pageSetup paperSize="9" scale="61" orientation="portrait" r:id="rId2"/>
  <headerFooter>
    <oddFooter>&amp;R&amp;1#&amp;"Calibri"&amp;10&amp;KFF0000|PUBLIC|&amp;LPUBLIC</oddFooter>
    <evenFooter>&amp;LPUBLIC</evenFooter>
    <firstFooter>&amp;LPUBLIC</first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F37"/>
  <sheetViews>
    <sheetView zoomScaleNormal="100" workbookViewId="0">
      <selection sqref="A1:E1"/>
    </sheetView>
  </sheetViews>
  <sheetFormatPr defaultColWidth="9.1796875" defaultRowHeight="10" x14ac:dyDescent="0.2"/>
  <cols>
    <col min="1" max="1" width="34.81640625" style="9" bestFit="1" customWidth="1"/>
    <col min="2" max="2" width="50.7265625" style="9" customWidth="1"/>
    <col min="3" max="3" width="21.1796875" style="9" bestFit="1" customWidth="1"/>
    <col min="4" max="4" width="23" style="10" bestFit="1" customWidth="1"/>
    <col min="5" max="5" width="13.54296875" style="13" customWidth="1"/>
    <col min="6" max="16384" width="9.1796875" style="9"/>
  </cols>
  <sheetData>
    <row r="1" spans="1:6" s="1" customFormat="1" ht="14" x14ac:dyDescent="0.25">
      <c r="A1" s="75" t="s">
        <v>30</v>
      </c>
      <c r="B1" s="76"/>
      <c r="C1" s="76"/>
      <c r="D1" s="76"/>
      <c r="E1" s="76"/>
    </row>
    <row r="2" spans="1:6" s="1" customFormat="1" ht="11.5" x14ac:dyDescent="0.25">
      <c r="D2" s="6"/>
      <c r="E2" s="7"/>
    </row>
    <row r="3" spans="1:6" s="1" customFormat="1" ht="11.5" x14ac:dyDescent="0.25">
      <c r="A3" s="11" t="s">
        <v>7</v>
      </c>
      <c r="B3" s="2"/>
      <c r="C3" s="3"/>
      <c r="D3" s="4"/>
      <c r="E3" s="5"/>
    </row>
    <row r="4" spans="1:6" s="1" customFormat="1" ht="17.5" customHeight="1" x14ac:dyDescent="0.25">
      <c r="A4" s="8" t="s">
        <v>2</v>
      </c>
      <c r="B4" s="8" t="s">
        <v>0</v>
      </c>
      <c r="C4" s="16" t="s">
        <v>1</v>
      </c>
      <c r="D4" s="15" t="s">
        <v>3</v>
      </c>
      <c r="E4" s="15" t="s">
        <v>4</v>
      </c>
    </row>
    <row r="5" spans="1:6" ht="10.5" x14ac:dyDescent="0.25">
      <c r="A5" s="21" t="s">
        <v>698</v>
      </c>
      <c r="B5" s="22"/>
      <c r="C5" s="23"/>
      <c r="D5" s="24"/>
      <c r="E5" s="25"/>
    </row>
    <row r="6" spans="1:6" ht="20" x14ac:dyDescent="0.2">
      <c r="A6" s="27" t="s">
        <v>725</v>
      </c>
      <c r="B6" s="50" t="s">
        <v>739</v>
      </c>
      <c r="C6" s="31">
        <v>4838648.46</v>
      </c>
      <c r="D6" s="29">
        <v>36816.506789999999</v>
      </c>
      <c r="E6" s="30">
        <v>45.646387017206699</v>
      </c>
    </row>
    <row r="7" spans="1:6" ht="20" x14ac:dyDescent="0.2">
      <c r="A7" s="27" t="s">
        <v>702</v>
      </c>
      <c r="B7" s="50" t="s">
        <v>701</v>
      </c>
      <c r="C7" s="31">
        <v>674821.91899999999</v>
      </c>
      <c r="D7" s="29">
        <v>13965.511140000001</v>
      </c>
      <c r="E7" s="30">
        <v>17.3149269708201</v>
      </c>
    </row>
    <row r="8" spans="1:6" ht="20" x14ac:dyDescent="0.2">
      <c r="A8" s="27" t="s">
        <v>706</v>
      </c>
      <c r="B8" s="50" t="s">
        <v>705</v>
      </c>
      <c r="C8" s="31">
        <v>1370528.45</v>
      </c>
      <c r="D8" s="29">
        <v>0</v>
      </c>
      <c r="E8" s="29">
        <v>0</v>
      </c>
    </row>
    <row r="9" spans="1:6" ht="20" x14ac:dyDescent="0.2">
      <c r="A9" s="27" t="s">
        <v>708</v>
      </c>
      <c r="B9" s="50" t="s">
        <v>707</v>
      </c>
      <c r="C9" s="31">
        <v>1235134.5419999999</v>
      </c>
      <c r="D9" s="29">
        <v>0</v>
      </c>
      <c r="E9" s="29">
        <v>0</v>
      </c>
    </row>
    <row r="10" spans="1:6" ht="10.5" x14ac:dyDescent="0.25">
      <c r="A10" s="26" t="s">
        <v>40</v>
      </c>
      <c r="B10" s="26"/>
      <c r="C10" s="32"/>
      <c r="D10" s="33">
        <f>SUM(D6:D9)</f>
        <v>50782.017930000002</v>
      </c>
      <c r="E10" s="34">
        <f>SUM(E6:E9)</f>
        <v>62.961313988026802</v>
      </c>
      <c r="F10" s="18"/>
    </row>
    <row r="11" spans="1:6" x14ac:dyDescent="0.2">
      <c r="A11" s="27"/>
      <c r="B11" s="27"/>
      <c r="C11" s="28"/>
      <c r="D11" s="29"/>
      <c r="E11" s="30"/>
    </row>
    <row r="12" spans="1:6" ht="10.5" x14ac:dyDescent="0.25">
      <c r="A12" s="26" t="s">
        <v>44</v>
      </c>
      <c r="B12" s="26"/>
      <c r="C12" s="32"/>
      <c r="D12" s="33">
        <f>D10</f>
        <v>50782.017930000002</v>
      </c>
      <c r="E12" s="34">
        <f>E10</f>
        <v>62.961313988026802</v>
      </c>
      <c r="F12" s="18"/>
    </row>
    <row r="13" spans="1:6" ht="10.5" x14ac:dyDescent="0.25">
      <c r="A13" s="26"/>
      <c r="B13" s="26"/>
      <c r="C13" s="32"/>
      <c r="D13" s="33"/>
      <c r="E13" s="34"/>
      <c r="F13" s="18"/>
    </row>
    <row r="14" spans="1:6" ht="10.5" x14ac:dyDescent="0.25">
      <c r="A14" s="26" t="s">
        <v>46</v>
      </c>
      <c r="B14" s="26"/>
      <c r="C14" s="32"/>
      <c r="D14" s="33">
        <f>D16-(D10)</f>
        <v>29873.887598999994</v>
      </c>
      <c r="E14" s="34">
        <f>E16-(E10)</f>
        <v>37.038686011973198</v>
      </c>
      <c r="F14" s="18"/>
    </row>
    <row r="15" spans="1:6" ht="10.5" x14ac:dyDescent="0.25">
      <c r="A15" s="26"/>
      <c r="B15" s="26"/>
      <c r="C15" s="32"/>
      <c r="D15" s="33"/>
      <c r="E15" s="34"/>
      <c r="F15" s="18"/>
    </row>
    <row r="16" spans="1:6" ht="10.5" x14ac:dyDescent="0.25">
      <c r="A16" s="35" t="s">
        <v>45</v>
      </c>
      <c r="B16" s="35"/>
      <c r="C16" s="36"/>
      <c r="D16" s="37">
        <v>80655.905528999996</v>
      </c>
      <c r="E16" s="38">
        <v>100</v>
      </c>
      <c r="F16" s="18"/>
    </row>
    <row r="17" spans="1:5" ht="10.5" x14ac:dyDescent="0.25">
      <c r="C17" s="10"/>
      <c r="D17" s="13"/>
      <c r="E17" s="20"/>
    </row>
    <row r="18" spans="1:5" ht="10.5" x14ac:dyDescent="0.25">
      <c r="A18" s="18" t="s">
        <v>740</v>
      </c>
    </row>
    <row r="20" spans="1:5" ht="10.5" x14ac:dyDescent="0.25">
      <c r="A20" s="18" t="s">
        <v>48</v>
      </c>
    </row>
    <row r="21" spans="1:5" ht="10.5" x14ac:dyDescent="0.25">
      <c r="A21" s="18" t="s">
        <v>49</v>
      </c>
    </row>
    <row r="22" spans="1:5" ht="10.5" x14ac:dyDescent="0.25">
      <c r="A22" s="18" t="s">
        <v>50</v>
      </c>
      <c r="B22" s="18"/>
      <c r="C22" s="39" t="s">
        <v>727</v>
      </c>
      <c r="D22" s="41" t="s">
        <v>51</v>
      </c>
    </row>
    <row r="23" spans="1:5" x14ac:dyDescent="0.2">
      <c r="A23" s="9" t="s">
        <v>71</v>
      </c>
      <c r="C23" s="40">
        <v>69.253</v>
      </c>
      <c r="D23" s="40">
        <v>80.940200000000004</v>
      </c>
    </row>
    <row r="24" spans="1:5" x14ac:dyDescent="0.2">
      <c r="A24" s="9" t="s">
        <v>77</v>
      </c>
      <c r="C24" s="40">
        <v>27.129899999999999</v>
      </c>
      <c r="D24" s="40">
        <v>30.1219</v>
      </c>
    </row>
    <row r="25" spans="1:5" x14ac:dyDescent="0.2">
      <c r="A25" s="9" t="s">
        <v>74</v>
      </c>
      <c r="C25" s="40">
        <v>74.648099999999999</v>
      </c>
      <c r="D25" s="40">
        <v>87.702600000000004</v>
      </c>
    </row>
    <row r="26" spans="1:5" x14ac:dyDescent="0.2">
      <c r="A26" s="9" t="s">
        <v>78</v>
      </c>
      <c r="C26" s="40">
        <v>30.098700000000001</v>
      </c>
      <c r="D26" s="40">
        <v>33.772799999999997</v>
      </c>
    </row>
    <row r="28" spans="1:5" ht="10.5" x14ac:dyDescent="0.25">
      <c r="A28" s="18" t="s">
        <v>52</v>
      </c>
    </row>
    <row r="29" spans="1:5" ht="10.5" x14ac:dyDescent="0.25">
      <c r="A29" s="77" t="s">
        <v>68</v>
      </c>
      <c r="B29" s="78"/>
      <c r="C29" s="43" t="s">
        <v>69</v>
      </c>
    </row>
    <row r="30" spans="1:5" x14ac:dyDescent="0.2">
      <c r="A30" s="71" t="s">
        <v>77</v>
      </c>
      <c r="B30" s="72"/>
      <c r="C30" s="44">
        <v>1.5</v>
      </c>
    </row>
    <row r="31" spans="1:5" x14ac:dyDescent="0.2">
      <c r="A31" s="71" t="s">
        <v>78</v>
      </c>
      <c r="B31" s="72"/>
      <c r="C31" s="44">
        <v>1.5</v>
      </c>
    </row>
    <row r="32" spans="1:5" x14ac:dyDescent="0.2">
      <c r="A32" s="9" t="s">
        <v>70</v>
      </c>
    </row>
    <row r="34" spans="1:4" ht="10.5" x14ac:dyDescent="0.25">
      <c r="A34" s="18" t="s">
        <v>222</v>
      </c>
      <c r="D34" s="45">
        <v>3.3099999999999997E-2</v>
      </c>
    </row>
    <row r="36" spans="1:4" ht="10.5" x14ac:dyDescent="0.25">
      <c r="A36" s="18" t="s">
        <v>726</v>
      </c>
    </row>
    <row r="37" spans="1:4" x14ac:dyDescent="0.2">
      <c r="A37" s="46" t="s">
        <v>55</v>
      </c>
    </row>
  </sheetData>
  <mergeCells count="4">
    <mergeCell ref="A1:E1"/>
    <mergeCell ref="A29:B29"/>
    <mergeCell ref="A30:B30"/>
    <mergeCell ref="A31:B31"/>
  </mergeCells>
  <conditionalFormatting sqref="E5:E7 E10:E17">
    <cfRule type="cellIs" dxfId="0" priority="1" stopIfTrue="1" operator="between">
      <formula>0.009</formula>
      <formula>-0.009</formula>
    </cfRule>
  </conditionalFormatting>
  <hyperlinks>
    <hyperlink ref="A37" r:id="rId1" xr:uid="{00000000-0004-0000-3D00-000000000000}"/>
  </hyperlinks>
  <pageMargins left="0.7" right="0.7" top="0.75" bottom="0.75" header="0.3" footer="0.3"/>
  <pageSetup paperSize="9" scale="38" orientation="portrait" r:id="rId2"/>
  <headerFooter>
    <oddFooter>&amp;R&amp;1#&amp;"Calibri"&amp;10&amp;KFF0000|PUBLIC|&amp;LPUBLIC</oddFooter>
    <evenFooter>&amp;LPUBLIC</evenFooter>
    <firstFooter>&amp;LPUBLIC</firstFooter>
  </headerFooter>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23</vt:i4>
      </vt:variant>
    </vt:vector>
  </HeadingPairs>
  <TitlesOfParts>
    <vt:vector size="85" baseType="lpstr">
      <vt:lpstr>FILF</vt:lpstr>
      <vt:lpstr>FIONF</vt:lpstr>
      <vt:lpstr>FISF</vt:lpstr>
      <vt:lpstr>FIFRF</vt:lpstr>
      <vt:lpstr>FICDF</vt:lpstr>
      <vt:lpstr>FBPF</vt:lpstr>
      <vt:lpstr>FIGSF</vt:lpstr>
      <vt:lpstr>FIDA</vt:lpstr>
      <vt:lpstr>FILDF</vt:lpstr>
      <vt:lpstr>FIUBF</vt:lpstr>
      <vt:lpstr>FISTIP</vt:lpstr>
      <vt:lpstr>FIIOF</vt:lpstr>
      <vt:lpstr>FICRF</vt:lpstr>
      <vt:lpstr>FMPS6C</vt:lpstr>
      <vt:lpstr>FMPS5F</vt:lpstr>
      <vt:lpstr>FMPS5E</vt:lpstr>
      <vt:lpstr>FMPS5D</vt:lpstr>
      <vt:lpstr>FMPS5C</vt:lpstr>
      <vt:lpstr>FMPS5B</vt:lpstr>
      <vt:lpstr>FMPS5A</vt:lpstr>
      <vt:lpstr>FMPS4F</vt:lpstr>
      <vt:lpstr>FMPS4E</vt:lpstr>
      <vt:lpstr>FMPS4D</vt:lpstr>
      <vt:lpstr>FMPS4C</vt:lpstr>
      <vt:lpstr>FMPS4B</vt:lpstr>
      <vt:lpstr>FMPS4A</vt:lpstr>
      <vt:lpstr>FMPS3F</vt:lpstr>
      <vt:lpstr>FMPS3E</vt:lpstr>
      <vt:lpstr>FMPS3D</vt:lpstr>
      <vt:lpstr>FMPS3C</vt:lpstr>
      <vt:lpstr>FMPS3B</vt:lpstr>
      <vt:lpstr>FMPS3A</vt:lpstr>
      <vt:lpstr>FMPS2C</vt:lpstr>
      <vt:lpstr>FMPS2B</vt:lpstr>
      <vt:lpstr>FMPS2A</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FAEF!Print_Area</vt:lpstr>
      <vt:lpstr>FBIF!Print_Area</vt:lpstr>
      <vt:lpstr>FEGF!Print_Area</vt:lpstr>
      <vt:lpstr>FF!Print_Area</vt:lpstr>
      <vt:lpstr>FIBF!Print_Area</vt:lpstr>
      <vt:lpstr>FIEAF!Print_Area</vt:lpstr>
      <vt:lpstr>FIEF!Print_Area</vt:lpstr>
      <vt:lpstr>FIEHF!Print_Area</vt:lpstr>
      <vt:lpstr>FIESF!Print_Area</vt:lpstr>
      <vt:lpstr>FIFEF!Print_Area</vt:lpstr>
      <vt:lpstr>'FIFOF-40''s'!Print_Area</vt:lpstr>
      <vt:lpstr>'FIFOF-50''s'!Print_Area</vt:lpstr>
      <vt:lpstr>'FIFOF-50''s+'!Print_Area</vt:lpstr>
      <vt:lpstr>'FIIF-NSE'!Print_Area</vt:lpstr>
      <vt:lpstr>FIMAS!Print_Area</vt:lpstr>
      <vt:lpstr>FIOF!Print_Area</vt:lpstr>
      <vt:lpstr>FIPF!Print_Area</vt:lpstr>
      <vt:lpstr>FISCF!Print_Area</vt:lpstr>
      <vt:lpstr>FITF!Print_Area</vt:lpstr>
      <vt:lpstr>FITX!Print_Area</vt:lpstr>
      <vt:lpstr>FIUS!Print_Area</vt:lpstr>
      <vt:lpstr>TIEIF!Print_Area</vt:lpstr>
      <vt:lpstr>TIVF!Print_Area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29 January 2021</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2021-02-09T09:26:00Z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2021-02-04T16:05:46Z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9f554498-0e22-4ce5-86d2-a4e5a913eb48</vt:lpwstr>
  </property>
  <property fmtid="{D5CDD505-2E9C-101B-9397-08002B2CF9AE}" pid="10" name="MSIP_Label_3486a02c-2dfb-4efe-823f-aa2d1f0e6ab7_ContentBits">
    <vt:lpwstr>2</vt:lpwstr>
  </property>
  <property fmtid="{D5CDD505-2E9C-101B-9397-08002B2CF9AE}" pid="11" name="Classification">
    <vt:lpwstr>PUBLIC</vt:lpwstr>
  </property>
  <property fmtid="{D5CDD505-2E9C-101B-9397-08002B2CF9AE}" pid="12" name="DocClassification">
    <vt:lpwstr>CLAPUBLIC</vt:lpwstr>
  </property>
</Properties>
</file>