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filterPrivacy="1" defaultThemeVersion="124226"/>
  <xr:revisionPtr revIDLastSave="0" documentId="13_ncr:1_{3D27B719-156F-4806-BC2B-617D35AB863E}" xr6:coauthVersionLast="47" xr6:coauthVersionMax="47" xr10:uidLastSave="{00000000-0000-0000-0000-000000000000}"/>
  <bookViews>
    <workbookView xWindow="-108" yWindow="-108" windowWidth="23256" windowHeight="12576" xr2:uid="{00000000-000D-0000-FFFF-FFFF00000000}"/>
  </bookViews>
  <sheets>
    <sheet name="FILF" sheetId="53" r:id="rId1"/>
    <sheet name="FIONF" sheetId="54" r:id="rId2"/>
    <sheet name="FISF" sheetId="55" r:id="rId3"/>
    <sheet name="FIFRF" sheetId="56" r:id="rId4"/>
    <sheet name="FICDF" sheetId="57" r:id="rId5"/>
    <sheet name="FBPF" sheetId="58" r:id="rId6"/>
    <sheet name="FIGSF" sheetId="59" r:id="rId7"/>
    <sheet name="FMPS6C" sheetId="60" r:id="rId8"/>
    <sheet name="FMPS5F" sheetId="61" r:id="rId9"/>
    <sheet name="FMPS5E" sheetId="62" r:id="rId10"/>
    <sheet name="FMPS5D" sheetId="63" r:id="rId11"/>
    <sheet name="FMPS5C" sheetId="64" r:id="rId12"/>
    <sheet name="FMPS5B" sheetId="65" r:id="rId13"/>
    <sheet name="FMPS5A" sheetId="66" r:id="rId14"/>
    <sheet name="FMPS4F" sheetId="67" r:id="rId15"/>
    <sheet name="FMPS4E" sheetId="68" r:id="rId16"/>
    <sheet name="FMPS4D" sheetId="69" r:id="rId17"/>
    <sheet name="FMPS4C" sheetId="70" r:id="rId18"/>
    <sheet name="FIPP" sheetId="71" r:id="rId19"/>
    <sheet name="FIDHY" sheetId="72" r:id="rId20"/>
    <sheet name="FIDA" sheetId="73" r:id="rId21"/>
    <sheet name="FILDF" sheetId="74" r:id="rId22"/>
    <sheet name="FISTIP" sheetId="75" r:id="rId23"/>
    <sheet name="FIUBF" sheetId="76" r:id="rId24"/>
    <sheet name="FIIOF" sheetId="77" r:id="rId25"/>
    <sheet name="FICRF" sheetId="78" r:id="rId26"/>
    <sheet name="FIESF" sheetId="28" r:id="rId27"/>
    <sheet name="FIEHF" sheetId="29" r:id="rId28"/>
    <sheet name="TIVF" sheetId="30" r:id="rId29"/>
    <sheet name="TIEIF" sheetId="31" r:id="rId30"/>
    <sheet name="FITF" sheetId="32" r:id="rId31"/>
    <sheet name="FISCF" sheetId="33" r:id="rId32"/>
    <sheet name="FIPF" sheetId="34" r:id="rId33"/>
    <sheet name="FIOF" sheetId="35" r:id="rId34"/>
    <sheet name="FIFEF" sheetId="36" r:id="rId35"/>
    <sheet name="FIEF" sheetId="37" r:id="rId36"/>
    <sheet name="FIEAF" sheetId="38" r:id="rId37"/>
    <sheet name="FIBF" sheetId="39" r:id="rId38"/>
    <sheet name="FBIF" sheetId="40" r:id="rId39"/>
    <sheet name="FAEF" sheetId="41" r:id="rId40"/>
    <sheet name="FIIF-NSE" sheetId="42" r:id="rId41"/>
    <sheet name="FITX" sheetId="43" r:id="rId42"/>
    <sheet name="FIUS" sheetId="44" r:id="rId43"/>
    <sheet name="FEGF" sheetId="45" r:id="rId44"/>
    <sheet name="FIMAS" sheetId="46" r:id="rId45"/>
    <sheet name="FIFOF-50's+" sheetId="47" r:id="rId46"/>
    <sheet name="FIFOF-50's" sheetId="48" r:id="rId47"/>
    <sheet name="FIFOF-40's" sheetId="49" r:id="rId48"/>
    <sheet name="FIFOF-30's" sheetId="50" r:id="rId49"/>
    <sheet name="FIFOF-20's" sheetId="51" r:id="rId50"/>
    <sheet name="FF" sheetId="5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7" i="78" l="1"/>
  <c r="F119" i="78" s="1"/>
  <c r="E117" i="78"/>
  <c r="E121" i="78" s="1"/>
  <c r="F33" i="78"/>
  <c r="E33" i="78"/>
  <c r="F29" i="78"/>
  <c r="E29" i="78"/>
  <c r="F22" i="78"/>
  <c r="E22" i="78"/>
  <c r="F29" i="77"/>
  <c r="E29" i="77"/>
  <c r="F25" i="77"/>
  <c r="E25" i="77"/>
  <c r="F16" i="77"/>
  <c r="E16" i="77"/>
  <c r="F24" i="76"/>
  <c r="E24" i="76"/>
  <c r="F20" i="76"/>
  <c r="E20" i="76"/>
  <c r="F16" i="76"/>
  <c r="E16" i="76"/>
  <c r="F136" i="75"/>
  <c r="F138" i="75" s="1"/>
  <c r="E136" i="75"/>
  <c r="E140" i="75" s="1"/>
  <c r="F96" i="75"/>
  <c r="F98" i="75" s="1"/>
  <c r="E96" i="75"/>
  <c r="E100" i="75" s="1"/>
  <c r="F38" i="75"/>
  <c r="E38" i="75"/>
  <c r="F34" i="75"/>
  <c r="E34" i="75"/>
  <c r="F19" i="75"/>
  <c r="E19" i="75"/>
  <c r="E40" i="75" s="1"/>
  <c r="F24" i="74"/>
  <c r="E24" i="74"/>
  <c r="F20" i="74"/>
  <c r="E20" i="74"/>
  <c r="F14" i="74"/>
  <c r="E14" i="74"/>
  <c r="E28" i="74" s="1"/>
  <c r="F115" i="73"/>
  <c r="F117" i="73" s="1"/>
  <c r="E115" i="73"/>
  <c r="E119" i="73" s="1"/>
  <c r="F80" i="73"/>
  <c r="F82" i="73" s="1"/>
  <c r="E80" i="73"/>
  <c r="E82" i="73" s="1"/>
  <c r="F31" i="73"/>
  <c r="E31" i="73"/>
  <c r="F27" i="73"/>
  <c r="E27" i="73"/>
  <c r="F18" i="73"/>
  <c r="F35" i="73" s="1"/>
  <c r="E18" i="73"/>
  <c r="F64" i="72"/>
  <c r="E64" i="72"/>
  <c r="F54" i="72"/>
  <c r="E54" i="72"/>
  <c r="F50" i="72"/>
  <c r="E50" i="72"/>
  <c r="F45" i="72"/>
  <c r="E45" i="72"/>
  <c r="F39" i="72"/>
  <c r="E39" i="72"/>
  <c r="F35" i="72"/>
  <c r="E35" i="72"/>
  <c r="F31" i="72"/>
  <c r="E31" i="72"/>
  <c r="E66" i="72" s="1"/>
  <c r="F60" i="71"/>
  <c r="E60" i="71"/>
  <c r="F49" i="71"/>
  <c r="E49" i="71"/>
  <c r="F44" i="71"/>
  <c r="E44" i="71"/>
  <c r="F36" i="71"/>
  <c r="E36" i="71"/>
  <c r="F22" i="70"/>
  <c r="E22" i="70"/>
  <c r="F18" i="70"/>
  <c r="E18" i="70"/>
  <c r="F13" i="70"/>
  <c r="F26" i="70" s="1"/>
  <c r="E13" i="70"/>
  <c r="F21" i="69"/>
  <c r="E21" i="69"/>
  <c r="F16" i="69"/>
  <c r="E16" i="69"/>
  <c r="F12" i="69"/>
  <c r="F25" i="69" s="1"/>
  <c r="E12" i="69"/>
  <c r="F23" i="68"/>
  <c r="E23" i="68"/>
  <c r="F18" i="68"/>
  <c r="E18" i="68"/>
  <c r="F14" i="68"/>
  <c r="F25" i="68" s="1"/>
  <c r="E14" i="68"/>
  <c r="F27" i="67"/>
  <c r="E27" i="67"/>
  <c r="F23" i="67"/>
  <c r="E23" i="67"/>
  <c r="F20" i="66"/>
  <c r="F24" i="66" s="1"/>
  <c r="E20" i="66"/>
  <c r="E24" i="66" s="1"/>
  <c r="F24" i="65"/>
  <c r="F26" i="65" s="1"/>
  <c r="E24" i="65"/>
  <c r="E28" i="65" s="1"/>
  <c r="F24" i="64"/>
  <c r="F28" i="64" s="1"/>
  <c r="E24" i="64"/>
  <c r="E26" i="64" s="1"/>
  <c r="F22" i="63"/>
  <c r="F26" i="63" s="1"/>
  <c r="E22" i="63"/>
  <c r="E26" i="63" s="1"/>
  <c r="F21" i="62"/>
  <c r="F25" i="62" s="1"/>
  <c r="E21" i="62"/>
  <c r="E25" i="62" s="1"/>
  <c r="F22" i="61"/>
  <c r="F24" i="61" s="1"/>
  <c r="E22" i="61"/>
  <c r="E26" i="61" s="1"/>
  <c r="F23" i="60"/>
  <c r="F27" i="60" s="1"/>
  <c r="E23" i="60"/>
  <c r="E25" i="60" s="1"/>
  <c r="F12" i="59"/>
  <c r="F16" i="59" s="1"/>
  <c r="E12" i="59"/>
  <c r="E16" i="59" s="1"/>
  <c r="F53" i="58"/>
  <c r="E53" i="58"/>
  <c r="F46" i="58"/>
  <c r="E46" i="58"/>
  <c r="F41" i="58"/>
  <c r="E41" i="58"/>
  <c r="F35" i="58"/>
  <c r="E35" i="58"/>
  <c r="F51" i="57"/>
  <c r="E51" i="57"/>
  <c r="F43" i="57"/>
  <c r="E43" i="57"/>
  <c r="E53" i="57" s="1"/>
  <c r="F30" i="56"/>
  <c r="E30" i="56"/>
  <c r="F21" i="56"/>
  <c r="E21" i="56"/>
  <c r="F16" i="56"/>
  <c r="E16" i="56"/>
  <c r="F11" i="56"/>
  <c r="E11" i="56"/>
  <c r="F37" i="55"/>
  <c r="E37" i="55"/>
  <c r="F32" i="55"/>
  <c r="E32" i="55"/>
  <c r="F25" i="55"/>
  <c r="E25" i="55"/>
  <c r="F13" i="55"/>
  <c r="F41" i="55" s="1"/>
  <c r="E13" i="55"/>
  <c r="F42" i="53"/>
  <c r="E42" i="53"/>
  <c r="F31" i="53"/>
  <c r="E31" i="53"/>
  <c r="F10" i="53"/>
  <c r="F46" i="53" s="1"/>
  <c r="E10" i="53"/>
  <c r="F24" i="70" l="1"/>
  <c r="F55" i="57"/>
  <c r="E57" i="58"/>
  <c r="E31" i="67"/>
  <c r="E64" i="71"/>
  <c r="F68" i="72"/>
  <c r="F26" i="74"/>
  <c r="F42" i="75"/>
  <c r="E28" i="76"/>
  <c r="E35" i="78"/>
  <c r="E32" i="56"/>
  <c r="E44" i="53"/>
  <c r="E41" i="55"/>
  <c r="F34" i="56"/>
  <c r="F57" i="58"/>
  <c r="F31" i="67"/>
  <c r="E27" i="68"/>
  <c r="E23" i="69"/>
  <c r="E26" i="70"/>
  <c r="E24" i="70"/>
  <c r="F62" i="71"/>
  <c r="E35" i="73"/>
  <c r="F28" i="76"/>
  <c r="E26" i="76"/>
  <c r="F37" i="78"/>
  <c r="E33" i="77"/>
  <c r="F31" i="77"/>
  <c r="F33" i="73"/>
  <c r="E33" i="73"/>
  <c r="E84" i="73"/>
  <c r="F44" i="53"/>
  <c r="F32" i="56"/>
  <c r="F53" i="57"/>
  <c r="F25" i="60"/>
  <c r="F26" i="61"/>
  <c r="F26" i="64"/>
  <c r="F28" i="65"/>
  <c r="F27" i="68"/>
  <c r="F23" i="69"/>
  <c r="F64" i="71"/>
  <c r="F66" i="72"/>
  <c r="F28" i="74"/>
  <c r="F40" i="75"/>
  <c r="F33" i="77"/>
  <c r="F35" i="78"/>
  <c r="E46" i="53"/>
  <c r="E34" i="56"/>
  <c r="E55" i="57"/>
  <c r="E14" i="59"/>
  <c r="E27" i="60"/>
  <c r="E24" i="63"/>
  <c r="E28" i="64"/>
  <c r="E25" i="69"/>
  <c r="E68" i="72"/>
  <c r="E42" i="75"/>
  <c r="E37" i="78"/>
  <c r="F14" i="59"/>
  <c r="F24" i="63"/>
  <c r="E138" i="75"/>
  <c r="E39" i="55"/>
  <c r="E55" i="58"/>
  <c r="E23" i="62"/>
  <c r="E22" i="66"/>
  <c r="E29" i="67"/>
  <c r="F39" i="55"/>
  <c r="F55" i="58"/>
  <c r="F23" i="62"/>
  <c r="F22" i="66"/>
  <c r="F29" i="67"/>
  <c r="E117" i="73"/>
  <c r="F26" i="76"/>
  <c r="E24" i="61"/>
  <c r="E26" i="65"/>
  <c r="E25" i="68"/>
  <c r="E62" i="71"/>
  <c r="E26" i="74"/>
  <c r="E98" i="75"/>
  <c r="E31" i="77"/>
  <c r="E119" i="78"/>
  <c r="E10" i="52"/>
  <c r="E14" i="52" s="1"/>
  <c r="D10" i="52"/>
  <c r="D14" i="52" s="1"/>
  <c r="E13" i="51"/>
  <c r="E15" i="51" s="1"/>
  <c r="D13" i="51"/>
  <c r="D17" i="51" s="1"/>
  <c r="E13" i="50"/>
  <c r="E17" i="50" s="1"/>
  <c r="D13" i="50"/>
  <c r="D17" i="50" s="1"/>
  <c r="E13" i="49"/>
  <c r="E15" i="49" s="1"/>
  <c r="D13" i="49"/>
  <c r="D17" i="49" s="1"/>
  <c r="E12" i="48"/>
  <c r="E14" i="48" s="1"/>
  <c r="D12" i="48"/>
  <c r="D16" i="48" s="1"/>
  <c r="E9" i="47"/>
  <c r="E13" i="47" s="1"/>
  <c r="D9" i="47"/>
  <c r="D13" i="47" s="1"/>
  <c r="E12" i="46"/>
  <c r="E16" i="46" s="1"/>
  <c r="D12" i="46"/>
  <c r="D14" i="46" s="1"/>
  <c r="E7" i="45"/>
  <c r="E11" i="45" s="1"/>
  <c r="D7" i="45"/>
  <c r="D9" i="45" s="1"/>
  <c r="E7" i="44"/>
  <c r="E11" i="44" s="1"/>
  <c r="D7" i="44"/>
  <c r="D9" i="44" s="1"/>
  <c r="D12" i="52" l="1"/>
  <c r="E12" i="52"/>
  <c r="E17" i="51"/>
  <c r="D15" i="51"/>
  <c r="D15" i="50"/>
  <c r="E15" i="50"/>
  <c r="E17" i="49"/>
  <c r="D15" i="49"/>
  <c r="E16" i="48"/>
  <c r="D14" i="48"/>
  <c r="D11" i="47"/>
  <c r="E11" i="47"/>
  <c r="D16" i="46"/>
  <c r="E14" i="46"/>
  <c r="D11" i="45"/>
  <c r="E9" i="45"/>
  <c r="E9" i="44"/>
  <c r="D11" i="44"/>
  <c r="G37" i="28"/>
  <c r="D82" i="28" s="1"/>
  <c r="F65" i="43" l="1"/>
  <c r="E65" i="43"/>
  <c r="F59" i="43"/>
  <c r="F67" i="43" s="1"/>
  <c r="E59" i="43"/>
  <c r="F58" i="42"/>
  <c r="F60" i="42" s="1"/>
  <c r="E58" i="42"/>
  <c r="E62" i="42" s="1"/>
  <c r="F71" i="41"/>
  <c r="E71" i="41"/>
  <c r="E73" i="41" s="1"/>
  <c r="F22" i="41"/>
  <c r="F73" i="41" s="1"/>
  <c r="E22" i="41"/>
  <c r="F33" i="40"/>
  <c r="F37" i="40" s="1"/>
  <c r="E33" i="40"/>
  <c r="E37" i="40" s="1"/>
  <c r="F33" i="39"/>
  <c r="F35" i="39"/>
  <c r="E33" i="39"/>
  <c r="E35" i="39"/>
  <c r="F57" i="38"/>
  <c r="F61" i="38" s="1"/>
  <c r="E57" i="38"/>
  <c r="E59" i="38" s="1"/>
  <c r="E61" i="38"/>
  <c r="F56" i="37"/>
  <c r="E56" i="37"/>
  <c r="F50" i="37"/>
  <c r="F58" i="37"/>
  <c r="E50" i="37"/>
  <c r="E60" i="37" s="1"/>
  <c r="F33" i="36"/>
  <c r="F35" i="36" s="1"/>
  <c r="E33" i="36"/>
  <c r="E37" i="36" s="1"/>
  <c r="F45" i="35"/>
  <c r="E45" i="35"/>
  <c r="F38" i="35"/>
  <c r="E38" i="35"/>
  <c r="F60" i="34"/>
  <c r="E60" i="34"/>
  <c r="F56" i="34"/>
  <c r="F64" i="34"/>
  <c r="E56" i="34"/>
  <c r="E64" i="34" s="1"/>
  <c r="F69" i="33"/>
  <c r="F73" i="33" s="1"/>
  <c r="E69" i="33"/>
  <c r="E71" i="33" s="1"/>
  <c r="E73" i="33"/>
  <c r="F44" i="32"/>
  <c r="E44" i="32"/>
  <c r="F40" i="32"/>
  <c r="E40" i="32"/>
  <c r="F23" i="32"/>
  <c r="E23" i="32"/>
  <c r="F19" i="32"/>
  <c r="E19" i="32"/>
  <c r="E48" i="32"/>
  <c r="F58" i="31"/>
  <c r="E58" i="31"/>
  <c r="F48" i="31"/>
  <c r="F60" i="31" s="1"/>
  <c r="E48" i="31"/>
  <c r="F43" i="31"/>
  <c r="E43" i="31"/>
  <c r="E62" i="31" s="1"/>
  <c r="F44" i="30"/>
  <c r="E44" i="30"/>
  <c r="F40" i="30"/>
  <c r="F48" i="30" s="1"/>
  <c r="E40" i="30"/>
  <c r="F83" i="29"/>
  <c r="E83" i="29"/>
  <c r="F72" i="29"/>
  <c r="E72" i="29"/>
  <c r="F67" i="29"/>
  <c r="E67" i="29"/>
  <c r="F62" i="29"/>
  <c r="E62" i="29"/>
  <c r="F55" i="29"/>
  <c r="E55" i="29"/>
  <c r="F51" i="29"/>
  <c r="E51" i="29"/>
  <c r="F46" i="29"/>
  <c r="E46" i="29"/>
  <c r="F41" i="29"/>
  <c r="E41" i="29"/>
  <c r="F50" i="28"/>
  <c r="E50" i="28"/>
  <c r="F45" i="28"/>
  <c r="E45" i="28"/>
  <c r="F41" i="28"/>
  <c r="E41" i="28"/>
  <c r="F37" i="28"/>
  <c r="E37" i="28"/>
  <c r="E60" i="42"/>
  <c r="E37" i="39"/>
  <c r="F37" i="39"/>
  <c r="F60" i="37"/>
  <c r="E46" i="32"/>
  <c r="F69" i="43" l="1"/>
  <c r="E87" i="29"/>
  <c r="F85" i="29"/>
  <c r="F62" i="31"/>
  <c r="F48" i="32"/>
  <c r="F46" i="32"/>
  <c r="E35" i="40"/>
  <c r="E52" i="28"/>
  <c r="F52" i="28"/>
  <c r="E46" i="30"/>
  <c r="F62" i="34"/>
  <c r="E47" i="35"/>
  <c r="E58" i="37"/>
  <c r="F59" i="38"/>
  <c r="E75" i="41"/>
  <c r="E69" i="43"/>
  <c r="F49" i="35"/>
  <c r="E49" i="35"/>
  <c r="E62" i="34"/>
  <c r="E85" i="29"/>
  <c r="F87" i="29"/>
  <c r="E67" i="43"/>
  <c r="F62" i="42"/>
  <c r="F75" i="41"/>
  <c r="F35" i="40"/>
  <c r="F37" i="36"/>
  <c r="E35" i="36"/>
  <c r="F47" i="35"/>
  <c r="F71" i="33"/>
  <c r="E60" i="31"/>
  <c r="E48" i="30"/>
  <c r="F46" i="30"/>
  <c r="F54" i="28"/>
  <c r="E54" i="28"/>
</calcChain>
</file>

<file path=xl/sharedStrings.xml><?xml version="1.0" encoding="utf-8"?>
<sst xmlns="http://schemas.openxmlformats.org/spreadsheetml/2006/main" count="5917" uniqueCount="1245">
  <si>
    <t>Name of the Instrument</t>
  </si>
  <si>
    <t>Quantity</t>
  </si>
  <si>
    <t>ISIN Number</t>
  </si>
  <si>
    <t xml:space="preserve">Market Value(Rs. in Lakhs) </t>
  </si>
  <si>
    <t>% to Net Assets</t>
  </si>
  <si>
    <t>Industry Classification / Rating</t>
  </si>
  <si>
    <t>YTM</t>
  </si>
  <si>
    <t>Portfolio Statement as on July 30,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</si>
  <si>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</si>
  <si>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</si>
  <si>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</si>
  <si>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</si>
  <si>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</si>
  <si>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</si>
  <si>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</si>
  <si>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</si>
  <si>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</si>
  <si>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</si>
  <si>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</si>
  <si>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</si>
  <si>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</si>
  <si>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</si>
  <si>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</si>
  <si>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</si>
  <si>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</si>
  <si>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</si>
  <si>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</si>
  <si>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</si>
  <si>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</si>
  <si>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</si>
  <si>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</si>
  <si>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</si>
  <si>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</si>
  <si>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CARE AA-</t>
  </si>
  <si>
    <t>CRISIL AAA</t>
  </si>
  <si>
    <t>Sub Total</t>
  </si>
  <si>
    <t>Mutual Fund Units</t>
  </si>
  <si>
    <t>Total</t>
  </si>
  <si>
    <t>Net Assets</t>
  </si>
  <si>
    <t>Call, Cash &amp; Other Assets</t>
  </si>
  <si>
    <t>** Non- Traded Scrips</t>
  </si>
  <si>
    <t>Notes</t>
  </si>
  <si>
    <t>a) NAV at the beginning and at the end of the Half-year ended 30-Jul-2021</t>
  </si>
  <si>
    <t xml:space="preserve">      Plan/Option</t>
  </si>
  <si>
    <t>As on 30-Jul-2021</t>
  </si>
  <si>
    <t>As on 29-Jan-2021</t>
  </si>
  <si>
    <t>IDCW - Income Distribution cum capital withdrawal</t>
  </si>
  <si>
    <t>b) Aggregate Distributions declared during the Half - year ended 30-Jul-2021</t>
  </si>
  <si>
    <t>Nil</t>
  </si>
  <si>
    <t>(In Years)</t>
  </si>
  <si>
    <t xml:space="preserve">f) For product labeling and risk-o-meter refer the link below </t>
  </si>
  <si>
    <t>https://www.franklintempletonindia.com/downloadsServlet/pdf/product-labels-jg9o5k7l</t>
  </si>
  <si>
    <t>Money Market Instruments</t>
  </si>
  <si>
    <t>Certificate of Deposit</t>
  </si>
  <si>
    <t>CRISIL A1+</t>
  </si>
  <si>
    <t>IND A1+</t>
  </si>
  <si>
    <t>Commercial Paper</t>
  </si>
  <si>
    <t>Housing Development Finance Corporation Ltd (28-Feb-2022) **@</t>
  </si>
  <si>
    <t>INE001A14XM0</t>
  </si>
  <si>
    <t>ICRA A1+</t>
  </si>
  <si>
    <t>SBI Cards and Payment Services Ltd (08-Oct-2021) **@</t>
  </si>
  <si>
    <t>INE018E14OX2</t>
  </si>
  <si>
    <t>Government Securities</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</si>
  <si>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</si>
  <si>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</si>
  <si>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</si>
  <si>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</si>
  <si>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</si>
  <si>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</si>
  <si>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</si>
  <si>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</si>
  <si>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</si>
  <si>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</si>
  <si>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</si>
  <si>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      IDCW Plan</t>
  </si>
  <si>
    <t xml:space="preserve">      Direct IDCW Plan</t>
  </si>
  <si>
    <t>6.64% GOI 2035 (16-Jun-2035)</t>
  </si>
  <si>
    <t>IN0020210020</t>
  </si>
  <si>
    <t>5.15% GOI 2025 (09-Nov-2025)</t>
  </si>
  <si>
    <t>IN0020200278</t>
  </si>
  <si>
    <t>6.79% GOI 2027 (15-May-2027)</t>
  </si>
  <si>
    <t>IN0020170026</t>
  </si>
  <si>
    <t>7.17% GOI 2028 (08-Jan-2028)</t>
  </si>
  <si>
    <t>IN0020170174</t>
  </si>
  <si>
    <t>7.27% GOI 2026 (08-Apr-2026)</t>
  </si>
  <si>
    <t>IN0020190016</t>
  </si>
  <si>
    <t>5.22% GOI 2025 (15-Jun-2025)</t>
  </si>
  <si>
    <t>IN0020200112</t>
  </si>
  <si>
    <t xml:space="preserve">      Growth Option</t>
  </si>
  <si>
    <t xml:space="preserve">      Direct Growth Option</t>
  </si>
  <si>
    <t>Indostar Capital Finance Ltd (1Y SBI MCLR + 200 Bps) (02-May-2023) **</t>
  </si>
  <si>
    <t>INE896L07561</t>
  </si>
  <si>
    <t>7.32% GOI 2024 (28-Jan-2024)</t>
  </si>
  <si>
    <t>IN0020180488</t>
  </si>
  <si>
    <t xml:space="preserve">d) For product labeling and risk-o-meter refer the link below </t>
  </si>
  <si>
    <t>Equity &amp; Equity related</t>
  </si>
  <si>
    <t>Infosys Ltd</t>
  </si>
  <si>
    <t>INE009A01021</t>
  </si>
  <si>
    <t>Software</t>
  </si>
  <si>
    <t>HDFC Bank Ltd</t>
  </si>
  <si>
    <t>INE040A01034</t>
  </si>
  <si>
    <t>Banks</t>
  </si>
  <si>
    <t>Axis Bank Ltd</t>
  </si>
  <si>
    <t>INE238A01034</t>
  </si>
  <si>
    <t>ICICI Bank Ltd</t>
  </si>
  <si>
    <t>INE090A01021</t>
  </si>
  <si>
    <t>Balkrishna Industries Ltd</t>
  </si>
  <si>
    <t>INE787D01026</t>
  </si>
  <si>
    <t>Auto Ancillaries</t>
  </si>
  <si>
    <t>Bharti Airtel Ltd</t>
  </si>
  <si>
    <t>INE397D01024</t>
  </si>
  <si>
    <t>Telecom - Services</t>
  </si>
  <si>
    <t>Voltas Ltd</t>
  </si>
  <si>
    <t>INE226A01021</t>
  </si>
  <si>
    <t>Consumer Durables</t>
  </si>
  <si>
    <t>Hindalco Industries Ltd</t>
  </si>
  <si>
    <t>INE038A01020</t>
  </si>
  <si>
    <t>Non - Ferrous Metals</t>
  </si>
  <si>
    <t>Kotak Mahindra Bank Ltd</t>
  </si>
  <si>
    <t>INE237A01028</t>
  </si>
  <si>
    <t>Colgate Palmolive (India) Ltd</t>
  </si>
  <si>
    <t>INE259A01022</t>
  </si>
  <si>
    <t>Consumer Non Durables</t>
  </si>
  <si>
    <t>Petronet LNG Ltd</t>
  </si>
  <si>
    <t>INE347G01014</t>
  </si>
  <si>
    <t>Gas</t>
  </si>
  <si>
    <t>Gujarat State Petronet Ltd</t>
  </si>
  <si>
    <t>INE246F01010</t>
  </si>
  <si>
    <t>Hindustan Petroleum Corporation Ltd</t>
  </si>
  <si>
    <t>INE094A01015</t>
  </si>
  <si>
    <t>Petroleum Products</t>
  </si>
  <si>
    <t>Dr. Reddy's Laboratories Ltd</t>
  </si>
  <si>
    <t>INE089A01023</t>
  </si>
  <si>
    <t>Pharmaceuticals</t>
  </si>
  <si>
    <t>State Bank of India</t>
  </si>
  <si>
    <t>INE062A01020</t>
  </si>
  <si>
    <t>Tata Consultancy Services Ltd</t>
  </si>
  <si>
    <t>INE467B01029</t>
  </si>
  <si>
    <t>Hindustan Unilever Ltd</t>
  </si>
  <si>
    <t>INE030A01027</t>
  </si>
  <si>
    <t>Power Grid Corporation of India Ltd</t>
  </si>
  <si>
    <t>INE752E01010</t>
  </si>
  <si>
    <t>Power</t>
  </si>
  <si>
    <t>NTPC Ltd</t>
  </si>
  <si>
    <t>INE733E01010</t>
  </si>
  <si>
    <t>United Breweries Ltd</t>
  </si>
  <si>
    <t>INE686F01025</t>
  </si>
  <si>
    <t>Mahindra &amp; Mahindra Ltd</t>
  </si>
  <si>
    <t>INE101A01026</t>
  </si>
  <si>
    <t>Auto</t>
  </si>
  <si>
    <t>Bharat Petroleum Corporation Ltd</t>
  </si>
  <si>
    <t>INE029A01011</t>
  </si>
  <si>
    <t>Bajaj Auto Ltd</t>
  </si>
  <si>
    <t>INE917I01010</t>
  </si>
  <si>
    <t>Aditya Birla Fashion and Retail Ltd</t>
  </si>
  <si>
    <t>INE647O01011</t>
  </si>
  <si>
    <t>Retailing</t>
  </si>
  <si>
    <t>Cadila Healthcare Ltd</t>
  </si>
  <si>
    <t>INE010B01027</t>
  </si>
  <si>
    <t>City Union Bank Ltd</t>
  </si>
  <si>
    <t>INE491A01021</t>
  </si>
  <si>
    <t>Tata Motors Ltd</t>
  </si>
  <si>
    <t>INE155A01022</t>
  </si>
  <si>
    <t>IN8647O01010</t>
  </si>
  <si>
    <t>6.95% Housing Development Finance Corporation Ltd (27-Apr-2023) **</t>
  </si>
  <si>
    <t>INE001A07SK8</t>
  </si>
  <si>
    <t>6.18% GOI 2024 (04-Nov-2024)</t>
  </si>
  <si>
    <t>IN0020190396</t>
  </si>
  <si>
    <t>Kansai Nerolac Paints Ltd</t>
  </si>
  <si>
    <t>INE531A01024</t>
  </si>
  <si>
    <t>Grasim Industries Ltd</t>
  </si>
  <si>
    <t>INE047A01021</t>
  </si>
  <si>
    <t>Cement &amp; Cement Products</t>
  </si>
  <si>
    <t>Coal India Ltd</t>
  </si>
  <si>
    <t>INE522F01014</t>
  </si>
  <si>
    <t>Minerals/Mining</t>
  </si>
  <si>
    <t>(b) Units of Real Estate Investment Trusts (REITs)</t>
  </si>
  <si>
    <t>Embassy Office Parks REIT</t>
  </si>
  <si>
    <t>INE041025011</t>
  </si>
  <si>
    <t>PowerGrid Infrastructure Investment Trust</t>
  </si>
  <si>
    <t>INE0GGX23010</t>
  </si>
  <si>
    <t>National Bank For Agriculture &amp; Rural Development (18-Feb-2022) **</t>
  </si>
  <si>
    <t>INE261F16595</t>
  </si>
  <si>
    <t>Housing Development Finance Corporation Ltd</t>
  </si>
  <si>
    <t>INE001A01036</t>
  </si>
  <si>
    <t>Finance</t>
  </si>
  <si>
    <t>Maruti Suzuki India Ltd</t>
  </si>
  <si>
    <t>INE585B01010</t>
  </si>
  <si>
    <t>Tata Power Co Ltd</t>
  </si>
  <si>
    <t>INE245A01021</t>
  </si>
  <si>
    <t>Larsen &amp; Toubro Ltd</t>
  </si>
  <si>
    <t>INE018A01030</t>
  </si>
  <si>
    <t>Construction Project</t>
  </si>
  <si>
    <t>Dabur India Ltd</t>
  </si>
  <si>
    <t>INE016A01026</t>
  </si>
  <si>
    <t>Tech Mahindra Ltd</t>
  </si>
  <si>
    <t>INE669C01036</t>
  </si>
  <si>
    <t>Himatsingka Seide Ltd</t>
  </si>
  <si>
    <t>INE049A01027</t>
  </si>
  <si>
    <t>Textile Products</t>
  </si>
  <si>
    <t>Indian Hotels Co Ltd</t>
  </si>
  <si>
    <t>INE053A01029</t>
  </si>
  <si>
    <t>Leisure Services</t>
  </si>
  <si>
    <t>Mahindra CIE Automotive Ltd</t>
  </si>
  <si>
    <t>INE536H01010</t>
  </si>
  <si>
    <t>Industrial Products</t>
  </si>
  <si>
    <t>Cholamandalam Financial Holdings Ltd</t>
  </si>
  <si>
    <t>INE149A01033</t>
  </si>
  <si>
    <t>PNB Housing Finance Ltd</t>
  </si>
  <si>
    <t>INE572E01012</t>
  </si>
  <si>
    <t>Indian Oil Corporation Ltd</t>
  </si>
  <si>
    <t>INE242A01010</t>
  </si>
  <si>
    <t>Nestle India Ltd</t>
  </si>
  <si>
    <t>INE239A01016</t>
  </si>
  <si>
    <t>GAIL (India) Ltd</t>
  </si>
  <si>
    <t>INE129A01019</t>
  </si>
  <si>
    <t>Federal Bank Ltd</t>
  </si>
  <si>
    <t>INE171A01029</t>
  </si>
  <si>
    <t>c) Portfolio Turnover Ratio during the Half - year 30-Jul-2021</t>
  </si>
  <si>
    <t>d) Average Maturity as on 30-Jul-2021</t>
  </si>
  <si>
    <t xml:space="preserve">e) During the month additional instances of fair valuation/deviation from valuation price provided by the valuation agencies </t>
  </si>
  <si>
    <t>NHPC Ltd</t>
  </si>
  <si>
    <t>INE848E01016</t>
  </si>
  <si>
    <t>Titan Co Ltd</t>
  </si>
  <si>
    <t>INE280A01028</t>
  </si>
  <si>
    <t xml:space="preserve">(b) Unlisted </t>
  </si>
  <si>
    <t>INE671B01018</t>
  </si>
  <si>
    <t>Commercial Services</t>
  </si>
  <si>
    <t>(c) Units of Real Estate Investment Trusts (REITs)</t>
  </si>
  <si>
    <t>Brookfield India Real Estate Trust</t>
  </si>
  <si>
    <t>INE0FDU25010</t>
  </si>
  <si>
    <t>Indostar Capital Finance Ltd (1Y SBI MCLR + 225 Bps) (02-Nov-2021) **</t>
  </si>
  <si>
    <t>INE896L07660</t>
  </si>
  <si>
    <t>HCL Technologies Ltd</t>
  </si>
  <si>
    <t>INE860A01027</t>
  </si>
  <si>
    <t>Tata Motors Ltd DVR</t>
  </si>
  <si>
    <t>IN9155A01020</t>
  </si>
  <si>
    <t>Bharat Electronics Ltd</t>
  </si>
  <si>
    <t>INE263A01024</t>
  </si>
  <si>
    <t>Aerospace &amp; Defense</t>
  </si>
  <si>
    <t>Finolex Cables Ltd</t>
  </si>
  <si>
    <t>INE235A01022</t>
  </si>
  <si>
    <t>ITC Ltd</t>
  </si>
  <si>
    <t>INE154A01025</t>
  </si>
  <si>
    <t>ACC Ltd</t>
  </si>
  <si>
    <t>INE012A01025</t>
  </si>
  <si>
    <t>Bosch Ltd</t>
  </si>
  <si>
    <t>INE323A01026</t>
  </si>
  <si>
    <t>Century Textile &amp; Industries Ltd</t>
  </si>
  <si>
    <t>INE055A01016</t>
  </si>
  <si>
    <t>Paper</t>
  </si>
  <si>
    <t>RBL Bank Ltd</t>
  </si>
  <si>
    <t>INE976G01028</t>
  </si>
  <si>
    <t>Equitas Holdings Ltd</t>
  </si>
  <si>
    <t>INE988K01017</t>
  </si>
  <si>
    <t>United Spirits Ltd</t>
  </si>
  <si>
    <t>INE854D01024</t>
  </si>
  <si>
    <t>Hindustan Aeronautics Ltd</t>
  </si>
  <si>
    <t>INE066F01012</t>
  </si>
  <si>
    <t>Sundaram Clayton Ltd</t>
  </si>
  <si>
    <t>INE105A01035</t>
  </si>
  <si>
    <t>Gulf Oil Lubricants India Ltd</t>
  </si>
  <si>
    <t>INE635Q01029</t>
  </si>
  <si>
    <t>Industry Classification</t>
  </si>
  <si>
    <t>Finolex Industries Ltd</t>
  </si>
  <si>
    <t>INE183A01024</t>
  </si>
  <si>
    <t>National Aluminium Co Ltd</t>
  </si>
  <si>
    <t>INE139A01034</t>
  </si>
  <si>
    <t>Vardhman Textiles Ltd</t>
  </si>
  <si>
    <t>INE825A01012</t>
  </si>
  <si>
    <t>Textiles - Cotton</t>
  </si>
  <si>
    <t>Redington (India) Ltd</t>
  </si>
  <si>
    <t>INE891D01026</t>
  </si>
  <si>
    <t>Trading</t>
  </si>
  <si>
    <t>Tata Consumer Products Ltd</t>
  </si>
  <si>
    <t>INE192A01025</t>
  </si>
  <si>
    <t>NMDC Ltd</t>
  </si>
  <si>
    <t>INE584A01023</t>
  </si>
  <si>
    <t>K.P.R. Mill Ltd</t>
  </si>
  <si>
    <t>INE930H01023</t>
  </si>
  <si>
    <t>Cyient Ltd</t>
  </si>
  <si>
    <t>INE136B01020</t>
  </si>
  <si>
    <t>Tata Chemicals Ltd</t>
  </si>
  <si>
    <t>INE092A01019</t>
  </si>
  <si>
    <t>Chemicals</t>
  </si>
  <si>
    <t>Ashok Leyland Ltd</t>
  </si>
  <si>
    <t>INE208A01029</t>
  </si>
  <si>
    <t>Oil &amp; Natural Gas Corporation Ltd</t>
  </si>
  <si>
    <t>INE213A01029</t>
  </si>
  <si>
    <t>Oil</t>
  </si>
  <si>
    <t>CESC Ltd</t>
  </si>
  <si>
    <t>INE486A01013</t>
  </si>
  <si>
    <t>Foreign Equity Securities</t>
  </si>
  <si>
    <t>Unilever PLC, (ADR)</t>
  </si>
  <si>
    <t>US9047677045</t>
  </si>
  <si>
    <t>Novatek Microelectronics Corp. Ltd</t>
  </si>
  <si>
    <t>TW0003034005</t>
  </si>
  <si>
    <t>Xtep International Holdings Ltd</t>
  </si>
  <si>
    <t>KYG982771092</t>
  </si>
  <si>
    <t>Xinyi Solar Holdings Ltd</t>
  </si>
  <si>
    <t>KYG9829N1025</t>
  </si>
  <si>
    <t>Industrial Capital Goods</t>
  </si>
  <si>
    <t>Aramex PJSC</t>
  </si>
  <si>
    <t>AEA002301017</t>
  </si>
  <si>
    <t>Transportation</t>
  </si>
  <si>
    <t>Primax Electronics Ltd</t>
  </si>
  <si>
    <t>TW0004915004</t>
  </si>
  <si>
    <t>Hardware</t>
  </si>
  <si>
    <t>Travelsky Technology Ltd, H</t>
  </si>
  <si>
    <t>CNE1000004J3</t>
  </si>
  <si>
    <t>Info Edge (India) Ltd</t>
  </si>
  <si>
    <t>INE663F01024</t>
  </si>
  <si>
    <t>Zomato Ltd</t>
  </si>
  <si>
    <t>INE758T01015</t>
  </si>
  <si>
    <t>Larsen &amp; Toubro Infotech Ltd</t>
  </si>
  <si>
    <t>INE214T01019</t>
  </si>
  <si>
    <t>Indiamart Intermesh Ltd</t>
  </si>
  <si>
    <t>INE933S01016</t>
  </si>
  <si>
    <t>Affle India Ltd</t>
  </si>
  <si>
    <t>INE00WC01019</t>
  </si>
  <si>
    <t>Xelpmoc Design and Tech Ltd</t>
  </si>
  <si>
    <t>INE01P501012</t>
  </si>
  <si>
    <t>Makemytrip Ltd</t>
  </si>
  <si>
    <t>MU0295S00016</t>
  </si>
  <si>
    <t>Taiwan Semiconductor Manufacturing Co. Ltd</t>
  </si>
  <si>
    <t>TW0002330008</t>
  </si>
  <si>
    <t>Salesforce.Com Inc</t>
  </si>
  <si>
    <t>US79466L3024</t>
  </si>
  <si>
    <t xml:space="preserve">Software                                </t>
  </si>
  <si>
    <t>Qualcomm Inc.</t>
  </si>
  <si>
    <t>US7475251036</t>
  </si>
  <si>
    <t>Telecom -  Equipment &amp; Accessories</t>
  </si>
  <si>
    <t>Mediatek Inc</t>
  </si>
  <si>
    <t>TW0002454006</t>
  </si>
  <si>
    <t>Nvidia Corp</t>
  </si>
  <si>
    <t>US67066G1040</t>
  </si>
  <si>
    <t>Samsung Electronics Co. Ltd</t>
  </si>
  <si>
    <t>KR7005930003</t>
  </si>
  <si>
    <t>Microsoft Corp</t>
  </si>
  <si>
    <t>US5949181045</t>
  </si>
  <si>
    <t>Intel Corp</t>
  </si>
  <si>
    <t>US4581401001</t>
  </si>
  <si>
    <t>Alphabet Inc</t>
  </si>
  <si>
    <t>US02079K3059</t>
  </si>
  <si>
    <t>Uber Technologies Inc</t>
  </si>
  <si>
    <t>US90353T1007</t>
  </si>
  <si>
    <t>Alibaba Group Holding Ltd</t>
  </si>
  <si>
    <t>KYG017191142</t>
  </si>
  <si>
    <t>Wix.Com Ltd</t>
  </si>
  <si>
    <t>IL0011301780</t>
  </si>
  <si>
    <t>Amazon.com INC</t>
  </si>
  <si>
    <t>US0231351067</t>
  </si>
  <si>
    <t>Foreign Mutual Fund Units</t>
  </si>
  <si>
    <t>Franklin Technology Fund, Class I (Acc)</t>
  </si>
  <si>
    <t>LU0626261944</t>
  </si>
  <si>
    <t>Foreign Mutual Fund</t>
  </si>
  <si>
    <t>Deepak Nitrite Ltd</t>
  </si>
  <si>
    <t>INE288B01029</t>
  </si>
  <si>
    <t>Brigade Enterprises Ltd</t>
  </si>
  <si>
    <t>INE791I01019</t>
  </si>
  <si>
    <t>Construction</t>
  </si>
  <si>
    <t>CCL Products (India) Ltd</t>
  </si>
  <si>
    <t>INE421D01022</t>
  </si>
  <si>
    <t>J.B. Chemicals &amp; Pharmaceuticals Ltd</t>
  </si>
  <si>
    <t>INE572A01028</t>
  </si>
  <si>
    <t>Quess Corp Ltd</t>
  </si>
  <si>
    <t>INE615P01015</t>
  </si>
  <si>
    <t>Other Services</t>
  </si>
  <si>
    <t>Jyothy Labs Ltd</t>
  </si>
  <si>
    <t>INE668F01031</t>
  </si>
  <si>
    <t>Teamlease Services Ltd</t>
  </si>
  <si>
    <t>INE985S01024</t>
  </si>
  <si>
    <t>KPIT Technologies Ltd</t>
  </si>
  <si>
    <t>INE04I401011</t>
  </si>
  <si>
    <t>Nesco Ltd</t>
  </si>
  <si>
    <t>INE317F01035</t>
  </si>
  <si>
    <t>Sobha Ltd</t>
  </si>
  <si>
    <t>INE671H01015</t>
  </si>
  <si>
    <t>Eris Lifesciences Ltd</t>
  </si>
  <si>
    <t>INE406M01024</t>
  </si>
  <si>
    <t>Blue Star Ltd</t>
  </si>
  <si>
    <t>INE472A01039</t>
  </si>
  <si>
    <t>GHCL Ltd</t>
  </si>
  <si>
    <t>INE539A01019</t>
  </si>
  <si>
    <t>KNR Constructions Ltd</t>
  </si>
  <si>
    <t>INE634I01029</t>
  </si>
  <si>
    <t>Carborundum Universal Ltd</t>
  </si>
  <si>
    <t>INE120A01034</t>
  </si>
  <si>
    <t>Ahluwalia Contracts (India) Ltd</t>
  </si>
  <si>
    <t>INE758C01029</t>
  </si>
  <si>
    <t>Tube Investments of India Ltd</t>
  </si>
  <si>
    <t>INE974X01010</t>
  </si>
  <si>
    <t>DCB Bank Ltd</t>
  </si>
  <si>
    <t>INE503A01015</t>
  </si>
  <si>
    <t>JK Lakshmi Cement Ltd</t>
  </si>
  <si>
    <t>INE786A01032</t>
  </si>
  <si>
    <t>Multi Commodity Exchange Of India Ltd</t>
  </si>
  <si>
    <t>INE745G01035</t>
  </si>
  <si>
    <t>Capital Markets</t>
  </si>
  <si>
    <t>Lemon Tree Hotels Ltd</t>
  </si>
  <si>
    <t>INE970X01018</t>
  </si>
  <si>
    <t>Karur Vysya Bank Ltd</t>
  </si>
  <si>
    <t>INE036D01028</t>
  </si>
  <si>
    <t>Equitas Small Finance Bank Ltd</t>
  </si>
  <si>
    <t>INE063P01018</t>
  </si>
  <si>
    <t>Westlife Development Ltd</t>
  </si>
  <si>
    <t>INE274F01020</t>
  </si>
  <si>
    <t>TTK Prestige Ltd</t>
  </si>
  <si>
    <t>INE690A01010</t>
  </si>
  <si>
    <t>M M Forgings Ltd</t>
  </si>
  <si>
    <t>INE227C01017</t>
  </si>
  <si>
    <t>Metropolis Healthcare Ltd</t>
  </si>
  <si>
    <t>INE112L01020</t>
  </si>
  <si>
    <t>Healthcare Services</t>
  </si>
  <si>
    <t>CARE Ratings Ltd</t>
  </si>
  <si>
    <t>INE752H01013</t>
  </si>
  <si>
    <t>V.I.P. Industries Ltd</t>
  </si>
  <si>
    <t>INE054A01027</t>
  </si>
  <si>
    <t>TV Today Network Ltd</t>
  </si>
  <si>
    <t>INE038F01029</t>
  </si>
  <si>
    <t>Entertainment</t>
  </si>
  <si>
    <t>Cholamandalam Investment and Finance Co Ltd</t>
  </si>
  <si>
    <t>INE121A01024</t>
  </si>
  <si>
    <t>Mrs Bectors Food Specialities Ltd</t>
  </si>
  <si>
    <t>INE495P01012</t>
  </si>
  <si>
    <t>Atul Ltd</t>
  </si>
  <si>
    <t>INE100A01010</t>
  </si>
  <si>
    <t>Ashoka Buildcon Ltd</t>
  </si>
  <si>
    <t>INE442H01029</t>
  </si>
  <si>
    <t>Shankara Building Products Ltd</t>
  </si>
  <si>
    <t>INE274V01019</t>
  </si>
  <si>
    <t>HeidelbergCement India Ltd</t>
  </si>
  <si>
    <t>INE578A01017</t>
  </si>
  <si>
    <t>Techno Electric &amp; Engineering Co Ltd</t>
  </si>
  <si>
    <t>INE285K01026</t>
  </si>
  <si>
    <t>Navneet Education Ltd</t>
  </si>
  <si>
    <t>INE060A01024</t>
  </si>
  <si>
    <t>Printing &amp; Publication</t>
  </si>
  <si>
    <t>IDFC Ltd</t>
  </si>
  <si>
    <t>INE043D01016</t>
  </si>
  <si>
    <t>Music Broadcast Ltd</t>
  </si>
  <si>
    <t>INE919I01024</t>
  </si>
  <si>
    <t>Ion Exchange (India) Ltd</t>
  </si>
  <si>
    <t>INE570A01014</t>
  </si>
  <si>
    <t>G R Infraprojects Ltd</t>
  </si>
  <si>
    <t>INE201P01022</t>
  </si>
  <si>
    <t>Indoco Remedies Ltd</t>
  </si>
  <si>
    <t>INE873D01024</t>
  </si>
  <si>
    <t>Ramco Systems Ltd</t>
  </si>
  <si>
    <t>INE246B01019</t>
  </si>
  <si>
    <t>HT Media Ltd</t>
  </si>
  <si>
    <t>INE501G01024</t>
  </si>
  <si>
    <t>Media</t>
  </si>
  <si>
    <t>ABB Power Products &amp; Systems India Ltd</t>
  </si>
  <si>
    <t>INE07Y701011</t>
  </si>
  <si>
    <t>Ramkrishna Forgings Ltd</t>
  </si>
  <si>
    <t>INE399G01015</t>
  </si>
  <si>
    <t>Crompton Greaves Consumer Electricals Ltd</t>
  </si>
  <si>
    <t>INE299U01018</t>
  </si>
  <si>
    <t>The Ramco Cements Ltd</t>
  </si>
  <si>
    <t>INE331A01037</t>
  </si>
  <si>
    <t>Mphasis Ltd</t>
  </si>
  <si>
    <t>INE356A01018</t>
  </si>
  <si>
    <t>Apollo Hospitals Enterprise Ltd</t>
  </si>
  <si>
    <t>INE437A01024</t>
  </si>
  <si>
    <t>J.K. Cement Ltd</t>
  </si>
  <si>
    <t>INE823G01014</t>
  </si>
  <si>
    <t>Oberoi Realty Ltd</t>
  </si>
  <si>
    <t>INE093I01010</t>
  </si>
  <si>
    <t>Emami Ltd</t>
  </si>
  <si>
    <t>INE548C01032</t>
  </si>
  <si>
    <t>Trent Ltd</t>
  </si>
  <si>
    <t>INE849A01020</t>
  </si>
  <si>
    <t>Sundaram Finance Ltd</t>
  </si>
  <si>
    <t>INE660A01013</t>
  </si>
  <si>
    <t>IPCA Laboratories Ltd</t>
  </si>
  <si>
    <t>INE571A01020</t>
  </si>
  <si>
    <t>Coromandel International Ltd</t>
  </si>
  <si>
    <t>INE169A01031</t>
  </si>
  <si>
    <t>Fertilisers</t>
  </si>
  <si>
    <t>Sundram Fasteners Ltd</t>
  </si>
  <si>
    <t>INE387A01021</t>
  </si>
  <si>
    <t>Container Corporation Of India Ltd</t>
  </si>
  <si>
    <t>INE111A01025</t>
  </si>
  <si>
    <t>PI Industries Ltd</t>
  </si>
  <si>
    <t>INE603J01030</t>
  </si>
  <si>
    <t>Pesticides</t>
  </si>
  <si>
    <t>Apollo Tyres Ltd</t>
  </si>
  <si>
    <t>INE438A01022</t>
  </si>
  <si>
    <t>Kajaria Ceramics Ltd</t>
  </si>
  <si>
    <t>INE217B01036</t>
  </si>
  <si>
    <t>Escorts Ltd</t>
  </si>
  <si>
    <t>INE042A01014</t>
  </si>
  <si>
    <t>Aarti Industries Ltd</t>
  </si>
  <si>
    <t>INE769A01020</t>
  </si>
  <si>
    <t>Persistent Systems Ltd</t>
  </si>
  <si>
    <t>INE262H01013</t>
  </si>
  <si>
    <t>Phoenix Mills Ltd</t>
  </si>
  <si>
    <t>INE211B01039</t>
  </si>
  <si>
    <t>Bata India Ltd</t>
  </si>
  <si>
    <t>INE176A01028</t>
  </si>
  <si>
    <t>AIA Engineering Ltd</t>
  </si>
  <si>
    <t>INE212H01026</t>
  </si>
  <si>
    <t>EPL Ltd</t>
  </si>
  <si>
    <t>INE255A01020</t>
  </si>
  <si>
    <t>* Less than 0.01%</t>
  </si>
  <si>
    <t>Asian Paints Ltd</t>
  </si>
  <si>
    <t>INE021A01026</t>
  </si>
  <si>
    <t>Caplin Point Laboratories Ltd</t>
  </si>
  <si>
    <t>INE475E01026</t>
  </si>
  <si>
    <t>Ujjivan Financial Services Ltd</t>
  </si>
  <si>
    <t>INE334L01012</t>
  </si>
  <si>
    <t>GTPL Hathway Ltd</t>
  </si>
  <si>
    <t>INE869I01013</t>
  </si>
  <si>
    <t>Kalyani Invest Co Ltd</t>
  </si>
  <si>
    <t>INE029L01018</t>
  </si>
  <si>
    <t>INE696201123</t>
  </si>
  <si>
    <t>Cipla Ltd</t>
  </si>
  <si>
    <t>INE059A01026</t>
  </si>
  <si>
    <t>KEI Industries Ltd</t>
  </si>
  <si>
    <t>INE878B01027</t>
  </si>
  <si>
    <t>Lupin Ltd</t>
  </si>
  <si>
    <t>INE326A01037</t>
  </si>
  <si>
    <t>Interglobe Aviation Ltd</t>
  </si>
  <si>
    <t>INE646L01027</t>
  </si>
  <si>
    <t>Orient Cement Ltd</t>
  </si>
  <si>
    <t>INE876N01018</t>
  </si>
  <si>
    <t>ITD Cementation India Ltd</t>
  </si>
  <si>
    <t>INE686A01026</t>
  </si>
  <si>
    <t>Somany Ceramics Ltd</t>
  </si>
  <si>
    <t>INE355A01028</t>
  </si>
  <si>
    <t>SBI Life Insurance Co Ltd</t>
  </si>
  <si>
    <t>INE123W01016</t>
  </si>
  <si>
    <t>Insurance</t>
  </si>
  <si>
    <t>Marico Ltd</t>
  </si>
  <si>
    <t>INE196A01026</t>
  </si>
  <si>
    <t>Sun Pharmaceutical Industries Ltd</t>
  </si>
  <si>
    <t>INE044A01036</t>
  </si>
  <si>
    <t>Aditya Birla Capital Ltd</t>
  </si>
  <si>
    <t>INE674K01013</t>
  </si>
  <si>
    <t>SKF India Ltd</t>
  </si>
  <si>
    <t>INE640A01023</t>
  </si>
  <si>
    <t>SBI Cards and Payment Services Ltd</t>
  </si>
  <si>
    <t>INE018E01016</t>
  </si>
  <si>
    <t>Arvind Fashions Ltd</t>
  </si>
  <si>
    <t>INE955V01021</t>
  </si>
  <si>
    <t>IndusInd Bank Ltd</t>
  </si>
  <si>
    <t>INE095A01012</t>
  </si>
  <si>
    <t>Abbott India Ltd</t>
  </si>
  <si>
    <t>INE358A01014</t>
  </si>
  <si>
    <t>Ultratech Cement Ltd</t>
  </si>
  <si>
    <t>INE481G01011</t>
  </si>
  <si>
    <t>Ambuja Cements Ltd</t>
  </si>
  <si>
    <t>INE079A01024</t>
  </si>
  <si>
    <t>Puravankara Ltd</t>
  </si>
  <si>
    <t>INE323I01011</t>
  </si>
  <si>
    <t>NRB Bearings Ltd</t>
  </si>
  <si>
    <t>INE349A01021</t>
  </si>
  <si>
    <t>Gujarat Pipavav Port Ltd</t>
  </si>
  <si>
    <t>INE517F01014</t>
  </si>
  <si>
    <t>Gateway Distriparks Ltd</t>
  </si>
  <si>
    <t>INE852F01015</t>
  </si>
  <si>
    <t>The New India Assurance Co Ltd</t>
  </si>
  <si>
    <t>INE470Y01017</t>
  </si>
  <si>
    <t>Godrej Properties Ltd</t>
  </si>
  <si>
    <t>INE484J01027</t>
  </si>
  <si>
    <t>Motilal Oswal Financial Services Ltd</t>
  </si>
  <si>
    <t>INE338I01027</t>
  </si>
  <si>
    <t>Tencent Holdings Ltd</t>
  </si>
  <si>
    <t>KYG875721634</t>
  </si>
  <si>
    <t>AIA Group Ltd</t>
  </si>
  <si>
    <t>HK0000069689</t>
  </si>
  <si>
    <t>Naver Corp</t>
  </si>
  <si>
    <t>KR7035420009</t>
  </si>
  <si>
    <t>China Merchants Bank Co Ltd</t>
  </si>
  <si>
    <t>CNE1000002M1</t>
  </si>
  <si>
    <t>Ping An Insurance (Group) Co. Of China Ltd, H</t>
  </si>
  <si>
    <t>CNE1000003X6</t>
  </si>
  <si>
    <t>Bank Central Asia Tbk Pt</t>
  </si>
  <si>
    <t>ID1000109507</t>
  </si>
  <si>
    <t>LG Chem Ltd</t>
  </si>
  <si>
    <t>KR7051910008</t>
  </si>
  <si>
    <t>China Mengniu Dairy Co. Ltd</t>
  </si>
  <si>
    <t>KYG210961051</t>
  </si>
  <si>
    <t>Longi Green Energy Technology Co Ltd</t>
  </si>
  <si>
    <t>CNE100001FR6</t>
  </si>
  <si>
    <t>JD.Com Inc</t>
  </si>
  <si>
    <t>KYG8208B1014</t>
  </si>
  <si>
    <t>Sea Ltd (ADR)</t>
  </si>
  <si>
    <t>US81141R1005</t>
  </si>
  <si>
    <t>Midea Group Co Ltd</t>
  </si>
  <si>
    <t>CNE100001QQ5</t>
  </si>
  <si>
    <t>Techtronic Industries Co. Ltd</t>
  </si>
  <si>
    <t>HK0669013440</t>
  </si>
  <si>
    <t>Kweichow Moutai Co. Ltd, A</t>
  </si>
  <si>
    <t>CNE0000018R8</t>
  </si>
  <si>
    <t>SK Hynix Inc</t>
  </si>
  <si>
    <t>KR7000660001</t>
  </si>
  <si>
    <t>Yum China Holdings INC</t>
  </si>
  <si>
    <t>US98850P1093</t>
  </si>
  <si>
    <t>Country Garden Services Holdings Co Ltd</t>
  </si>
  <si>
    <t>KYG2453A1085</t>
  </si>
  <si>
    <t>Beijing Oriental Yuhong Waterproof Technology Co Ltd</t>
  </si>
  <si>
    <t>CNE100000CS3</t>
  </si>
  <si>
    <t>Engineering Services</t>
  </si>
  <si>
    <t>China Resources Land Ltd</t>
  </si>
  <si>
    <t>KYG2108Y1052</t>
  </si>
  <si>
    <t>Meituan Dianping</t>
  </si>
  <si>
    <t>KYG596691041</t>
  </si>
  <si>
    <t>Budweiser Brewing Co APAC Ltd</t>
  </si>
  <si>
    <t>KYG1674K1013</t>
  </si>
  <si>
    <t>DBS Group Holdings Ltd</t>
  </si>
  <si>
    <t>SG1L01001701</t>
  </si>
  <si>
    <t>Semen Indonesia (Persero) Tbk PT</t>
  </si>
  <si>
    <t>ID1000106800</t>
  </si>
  <si>
    <t>SM Investments Corp</t>
  </si>
  <si>
    <t>PHY806761029</t>
  </si>
  <si>
    <t>The Siam Cement PCL, Fgn.</t>
  </si>
  <si>
    <t>TH0003010Z12</t>
  </si>
  <si>
    <t>Indocement Tunggal Prakarsa Tbk Pt</t>
  </si>
  <si>
    <t>ID1000061302</t>
  </si>
  <si>
    <t>Guangzhou Tinci Materials Technology Co Ltd</t>
  </si>
  <si>
    <t>CNE100001RG4</t>
  </si>
  <si>
    <t>Minor International Pcl, Fgn.</t>
  </si>
  <si>
    <t>TH0128B10Z17</t>
  </si>
  <si>
    <t>Hotels/ Resorts And Other Recreational Activities</t>
  </si>
  <si>
    <t>Trip.Com Group Ltd, (ADR)</t>
  </si>
  <si>
    <t>US89677Q1076</t>
  </si>
  <si>
    <t>China Resources Cement Holdings Ltd</t>
  </si>
  <si>
    <t>KYG2113L1068</t>
  </si>
  <si>
    <t>Weichai Power Co Ltd</t>
  </si>
  <si>
    <t>CNE1000004L9</t>
  </si>
  <si>
    <t>ACE Hardware Indonesia Tbk Pt</t>
  </si>
  <si>
    <t>ID1000125503</t>
  </si>
  <si>
    <t>Bangkok Dusit Medical Services Pcl</t>
  </si>
  <si>
    <t>TH0264A10Z12</t>
  </si>
  <si>
    <t>Alibaba Health Information Technology Ltd</t>
  </si>
  <si>
    <t>BMG0171K1018</t>
  </si>
  <si>
    <t>Laobaixing Pharmacy Chain Jsc</t>
  </si>
  <si>
    <t>CNE1000023Q8</t>
  </si>
  <si>
    <t>China Resources Mixc Lifestyle Services Ltd</t>
  </si>
  <si>
    <t>KYG2122G1064</t>
  </si>
  <si>
    <t>Minor International PCL- Warrants (31-July-2023)</t>
  </si>
  <si>
    <t>TH0128053707</t>
  </si>
  <si>
    <t>TH0128053509</t>
  </si>
  <si>
    <t>TH0128054200</t>
  </si>
  <si>
    <t>Minor International PCL- Warrants (30-Sep-2021)</t>
  </si>
  <si>
    <t>TH0128051909</t>
  </si>
  <si>
    <t>Reliance Industries Ltd</t>
  </si>
  <si>
    <t>INE002A01018</t>
  </si>
  <si>
    <t>Bajaj Finance Ltd</t>
  </si>
  <si>
    <t>INE296A01024</t>
  </si>
  <si>
    <t>Tata Steel Ltd</t>
  </si>
  <si>
    <t>INE081A01012</t>
  </si>
  <si>
    <t>Ferrous Metals</t>
  </si>
  <si>
    <t>Bajaj Finserv Ltd</t>
  </si>
  <si>
    <t>INE918I01018</t>
  </si>
  <si>
    <t>Wipro Ltd</t>
  </si>
  <si>
    <t>INE075A01022</t>
  </si>
  <si>
    <t>JSW Steel Ltd</t>
  </si>
  <si>
    <t>INE019A01038</t>
  </si>
  <si>
    <t>Divi's Laboratories Ltd</t>
  </si>
  <si>
    <t>INE361B01024</t>
  </si>
  <si>
    <t>HDFC Life Insurance Co Ltd</t>
  </si>
  <si>
    <t>INE795G01014</t>
  </si>
  <si>
    <t>Adani Ports and Special Economic Zone Ltd</t>
  </si>
  <si>
    <t>INE742F01042</t>
  </si>
  <si>
    <t>UPL Ltd</t>
  </si>
  <si>
    <t>INE628A01036</t>
  </si>
  <si>
    <t>Britannia Industries Ltd</t>
  </si>
  <si>
    <t>INE216A01030</t>
  </si>
  <si>
    <t>Shree Cement Ltd</t>
  </si>
  <si>
    <t>INE070A01015</t>
  </si>
  <si>
    <t>Hero MotoCorp Ltd</t>
  </si>
  <si>
    <t>INE158A01026</t>
  </si>
  <si>
    <t>Eicher Motors Ltd</t>
  </si>
  <si>
    <t>INE066A01021</t>
  </si>
  <si>
    <t>Yes Bank Ltd</t>
  </si>
  <si>
    <t>INE528G01035</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</si>
  <si>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</si>
  <si>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</si>
  <si>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</si>
  <si>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</si>
  <si>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</si>
  <si>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</si>
  <si>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</si>
  <si>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</si>
  <si>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</si>
  <si>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</si>
  <si>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INF090I01GK1</t>
  </si>
  <si>
    <t>Franklin India Liquid Fund Direct-Growth Plan</t>
  </si>
  <si>
    <t>INF090I01JV2</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</si>
  <si>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</si>
  <si>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</si>
  <si>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</si>
  <si>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</si>
  <si>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</si>
  <si>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</si>
  <si>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</si>
  <si>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</si>
  <si>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</si>
  <si>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</si>
  <si>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</si>
  <si>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</si>
  <si>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</si>
  <si>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</si>
  <si>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</si>
  <si>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</si>
  <si>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</si>
  <si>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</si>
  <si>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</si>
  <si>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Franklin India Flexi Cap Fund-Direct Growth Plan (Formerly known as Franklin India Equity Fund)</t>
  </si>
  <si>
    <t>INF090I01FK3</t>
  </si>
  <si>
    <t>(c) Units of Infrastructure Investment Trust</t>
  </si>
  <si>
    <t>% to Net Assets(Hedged &amp; Unhedged)</t>
  </si>
  <si>
    <t>% to Net Assets Derivative</t>
  </si>
  <si>
    <t>d) Outstanding derivative exposure as % to net assets</t>
  </si>
  <si>
    <t xml:space="preserve">c) Total outstanding position (as at July 30, 2021) in Derivative Instruments (Gross Notional) </t>
  </si>
  <si>
    <t>Rs. 3,731.84 Lacs</t>
  </si>
  <si>
    <t>(d) Units of Infrastructure Investment Trust</t>
  </si>
  <si>
    <t>Globsyn Technologies Ltd ** ^^</t>
  </si>
  <si>
    <t>Numero Uno International Ltd ** ^^</t>
  </si>
  <si>
    <t>^^ Securities are fair valued</t>
  </si>
  <si>
    <t>Refer below link for rationale of devation under Valuation policy</t>
  </si>
  <si>
    <t>https://www.franklintempletonindia.com/investor/reports?firstFilter-4</t>
  </si>
  <si>
    <t>f) For product labeling and risk-o-meter refer the link below</t>
  </si>
  <si>
    <t>Brillio Technologies Pvt Ltd ** ^^</t>
  </si>
  <si>
    <t xml:space="preserve">d) During the month additional instances of fair valuation/deviation from valuation price provided by the valuation agencies </t>
  </si>
  <si>
    <t>e) For product labeling and risk-o-meter refer the link below</t>
  </si>
  <si>
    <t>Quantum Information Services ** ^^</t>
  </si>
  <si>
    <t>Chennai Interactive Business Services Pvt Ltd **  ^^</t>
  </si>
  <si>
    <t>Franklin India Flexi Cap Fund ^</t>
  </si>
  <si>
    <t>Quantum Information Systems ** ^^</t>
  </si>
  <si>
    <t>^ Franklin India Equity Fund is renamed as Franklin India Flexi Cap Fund effective Jan 29, 2021.</t>
  </si>
  <si>
    <t>Minor International Pcl - Warrants (05-May-2023)</t>
  </si>
  <si>
    <t>Minor International Pcl - Warrants (05-Feb-2024)</t>
  </si>
  <si>
    <t>Franklin India Feeder - Templeton European Opportunities Fund</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</si>
  <si>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</si>
  <si>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</si>
  <si>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</si>
  <si>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Franklin India Dynamic Accrual Fund (No. of Segregated Portfolios in the Scheme- 3) - (under winding up) Direct-Growth Plan ^^ $$$</t>
  </si>
  <si>
    <t>Franklin India Liquid Fund</t>
  </si>
  <si>
    <t>Rating</t>
  </si>
  <si>
    <t>INE134E08IM4</t>
  </si>
  <si>
    <t>7.40% Power Finance Corporation Ltd (30-Sep-2021)</t>
  </si>
  <si>
    <t>INE001A07RY1</t>
  </si>
  <si>
    <t>7.15% Housing Development Finance Corporation Ltd (16-Sep-2021)</t>
  </si>
  <si>
    <t>INE134E08IJ0</t>
  </si>
  <si>
    <t>7.47% Power Finance Corporation Ltd (16-Sep-2021) **</t>
  </si>
  <si>
    <t>INE261F14HZ4</t>
  </si>
  <si>
    <t>National Bank For Agriculture &amp; Rural Development (23-Aug-2021) **@</t>
  </si>
  <si>
    <t>INE700G14603</t>
  </si>
  <si>
    <t>HDFC Securities Ltd (30-Aug-2021) **@</t>
  </si>
  <si>
    <t>INE002A14IH9</t>
  </si>
  <si>
    <t>Reliance Industries Ltd (29-Sep-2021) **@</t>
  </si>
  <si>
    <t>INE169A14GO6</t>
  </si>
  <si>
    <t>Coromandel International Ltd (25-Aug-2021) **@</t>
  </si>
  <si>
    <t>INE589A14330</t>
  </si>
  <si>
    <t>NLC India Ltd (23-Sep-2021) **@</t>
  </si>
  <si>
    <t>CARE A1+</t>
  </si>
  <si>
    <t>INE860H14T06</t>
  </si>
  <si>
    <t>Aditya Birla Finance Ltd (23-Aug-2021) **@</t>
  </si>
  <si>
    <t>INE178A14GQ2</t>
  </si>
  <si>
    <t>Chennai Petroleum Corporation Ltd (03-Aug-2021) **@</t>
  </si>
  <si>
    <t>INE763G14JW0</t>
  </si>
  <si>
    <t>ICICI Securities Ltd (06-Aug-2021) **@</t>
  </si>
  <si>
    <t>INE242A14UG8</t>
  </si>
  <si>
    <t>Indian Oil Corporation Ltd (12-Aug-2021)@</t>
  </si>
  <si>
    <t>INE929O14271</t>
  </si>
  <si>
    <t>Reliance Retail Ventures Ltd (01-Sep-2021) **@</t>
  </si>
  <si>
    <t>INE763G14KF3</t>
  </si>
  <si>
    <t>ICICI Securities Ltd (01-Sep-2021) **@</t>
  </si>
  <si>
    <t>INE891K14KP3</t>
  </si>
  <si>
    <t>Axis Finance Ltd (20-Aug-2021) **@</t>
  </si>
  <si>
    <t>INE929O14263</t>
  </si>
  <si>
    <t>Reliance Retail Ventures Ltd (17-Aug-2021) **@</t>
  </si>
  <si>
    <t>INE028E14II4</t>
  </si>
  <si>
    <t>Kotak Securities Ltd (30-Aug-2021) **@</t>
  </si>
  <si>
    <t>INE028E14IO2</t>
  </si>
  <si>
    <t>Kotak Securities Ltd (21-Oct-2021) **@</t>
  </si>
  <si>
    <t>INE242A14UI4</t>
  </si>
  <si>
    <t>Indian Oil Corporation Ltd (17-Aug-2021) **@</t>
  </si>
  <si>
    <t>INE178A14GT6</t>
  </si>
  <si>
    <t>Chennai Petroleum Corporation Ltd (17-Sep-2021) **@</t>
  </si>
  <si>
    <t>Treasury Bill</t>
  </si>
  <si>
    <t>IN002021X090</t>
  </si>
  <si>
    <t>91 DTB (02-Sep-2021)</t>
  </si>
  <si>
    <t>IN002021X082</t>
  </si>
  <si>
    <t>91 DTB (26-Aug-2021)</t>
  </si>
  <si>
    <t>IN002021X157</t>
  </si>
  <si>
    <t>91 DTB (14-Oct-2021)</t>
  </si>
  <si>
    <t>IN002021X140</t>
  </si>
  <si>
    <t>91 DTB (07-Oct-2021)</t>
  </si>
  <si>
    <t>IN002021X058</t>
  </si>
  <si>
    <t>91 DTB (05-Aug-2021)</t>
  </si>
  <si>
    <t>IN002020Z196</t>
  </si>
  <si>
    <t>364 DTB (12-Aug-2021)</t>
  </si>
  <si>
    <t>IN002021X116</t>
  </si>
  <si>
    <t>91 DTB (16-Sep-2021)</t>
  </si>
  <si>
    <t>IN002021X132</t>
  </si>
  <si>
    <t>91 DTB (30-Sep-2021)</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</si>
  <si>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</si>
  <si>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</si>
  <si>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</si>
  <si>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</si>
  <si>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</si>
  <si>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</si>
  <si>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</si>
  <si>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</si>
  <si>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</si>
  <si>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</si>
  <si>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</si>
  <si>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</si>
  <si>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</si>
  <si>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</si>
  <si>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</si>
  <si>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30-Jul-2021</t>
  </si>
  <si>
    <t xml:space="preserve">e) For product labeling and risk-o-meter refer the link below </t>
  </si>
  <si>
    <t>Franklin India Overnight Fund</t>
  </si>
  <si>
    <t xml:space="preserve">      Daily IDCW Plan</t>
  </si>
  <si>
    <t xml:space="preserve">      Weekly IDCW Plan</t>
  </si>
  <si>
    <t xml:space="preserve">      Direct Daily IDCW Plan</t>
  </si>
  <si>
    <t xml:space="preserve">      Direct Weekly IDCW Plan</t>
  </si>
  <si>
    <t>Franklin India Savings Fund</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</si>
  <si>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</si>
  <si>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</si>
  <si>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</si>
  <si>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</si>
  <si>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</si>
  <si>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</si>
  <si>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</si>
  <si>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 **</t>
  </si>
  <si>
    <t>INE261F16587</t>
  </si>
  <si>
    <t>National Bank For Agriculture &amp; Rural Development (08-Feb-2022) **</t>
  </si>
  <si>
    <t>INE261F16603</t>
  </si>
  <si>
    <t>National Bank For Agriculture &amp; Rural Development (24-Feb-2022) **</t>
  </si>
  <si>
    <t>INE027E14KT9</t>
  </si>
  <si>
    <t>L&amp;T Finance Ltd (28-Jan-2022) **@</t>
  </si>
  <si>
    <t>INE377Y14801</t>
  </si>
  <si>
    <t>Bajaj Housing Finance Ltd (24-Feb-2022) **@</t>
  </si>
  <si>
    <t>INE916D14Y56</t>
  </si>
  <si>
    <t>Kotak Mahindra Prime Ltd (15-Apr-2022) **@</t>
  </si>
  <si>
    <t>INE763G14KK3</t>
  </si>
  <si>
    <t>ICICI Securities Ltd (25-Mar-2022) **@</t>
  </si>
  <si>
    <t>INE296A14RI6</t>
  </si>
  <si>
    <t>Bajaj Finance Ltd (16-Feb-2022) **@</t>
  </si>
  <si>
    <t>INE121A14TH4</t>
  </si>
  <si>
    <t>Cholamandalam Investment and Finance Co Ltd (14-Mar-2022) **@</t>
  </si>
  <si>
    <t>IN002020Z527</t>
  </si>
  <si>
    <t>364 DTB (30-Mar-2022)</t>
  </si>
  <si>
    <t>IN002021Y122</t>
  </si>
  <si>
    <t>182 DTB (23-Dec-2021)</t>
  </si>
  <si>
    <t>IN002021Y130</t>
  </si>
  <si>
    <t>182 DTB (30-Dec-2021)</t>
  </si>
  <si>
    <t>IN002020Z519</t>
  </si>
  <si>
    <t>364 DTB (24-Mar-2022)</t>
  </si>
  <si>
    <t>IN0020060037</t>
  </si>
  <si>
    <t>8.20% GOI 2022 (15-Feb-2022)</t>
  </si>
  <si>
    <t>IN0020110030</t>
  </si>
  <si>
    <t>8.79% GOI 2021 (08-Nov-2021)</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</si>
  <si>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</si>
  <si>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</si>
  <si>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</si>
  <si>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</si>
  <si>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</si>
  <si>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</si>
  <si>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</si>
  <si>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</si>
  <si>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Franklin India Floating Rate Fund</t>
  </si>
  <si>
    <t>INE261F08BQ8</t>
  </si>
  <si>
    <t>6.70% National Bank For Agriculture &amp; Rural Development (11-Nov-2022) **</t>
  </si>
  <si>
    <t>INE831R07268</t>
  </si>
  <si>
    <t>Aditya Birla Housing Finance Ltd (364DTB +250 Bps) (17-Feb-2023) **</t>
  </si>
  <si>
    <t>ICRA AAA</t>
  </si>
  <si>
    <t>INE651J07739</t>
  </si>
  <si>
    <t>JM Financial Credit Solutions Ltd (1Y SBI MCLR + 460 Bps) (23-Jul-2024)</t>
  </si>
  <si>
    <t>ICRA AA</t>
  </si>
  <si>
    <t>INE514E14PS7</t>
  </si>
  <si>
    <t>Export-Import Bank Of India (30-Dec-2021) **@</t>
  </si>
  <si>
    <t>INE115A14DE7</t>
  </si>
  <si>
    <t>LIC Housing Finance Ltd (07-Jul-2022) **@</t>
  </si>
  <si>
    <t>IN0020160084</t>
  </si>
  <si>
    <t>GOI FRB 2024 (07-Nov-2024)</t>
  </si>
  <si>
    <t>IN0020200120</t>
  </si>
  <si>
    <t>GOI FRB 2033 (22-Sep-2033)</t>
  </si>
  <si>
    <t>IN0020180041</t>
  </si>
  <si>
    <t>GOI FRB 2031 (07-Dec-2031)</t>
  </si>
  <si>
    <t>IN0020020072</t>
  </si>
  <si>
    <t>8.35% GOI 2022 (14-May-2022)</t>
  </si>
  <si>
    <t>IN0020200211</t>
  </si>
  <si>
    <t>4.48% GOI 2023 (02-Nov-2023)</t>
  </si>
  <si>
    <t>IN0020160050</t>
  </si>
  <si>
    <t>6.84% GOI 2022 (19-Dec-2022)</t>
  </si>
  <si>
    <t>Franklin India Corporate Debt Fund</t>
  </si>
  <si>
    <t>INE861G08019</t>
  </si>
  <si>
    <t>8.62% Food Corporation Of India (22-Mar-2023) **</t>
  </si>
  <si>
    <t>ICRA AAA(CE)</t>
  </si>
  <si>
    <t>INE941D07133</t>
  </si>
  <si>
    <t>8.45% Sikka Ports &amp; Terminals Ltd (12-Jun-2023) **</t>
  </si>
  <si>
    <t>INE001A07SL6</t>
  </si>
  <si>
    <t>7.06% Housing Development Finance Corporation Ltd (13-Dec-2021) **</t>
  </si>
  <si>
    <t>INE163N08065</t>
  </si>
  <si>
    <t>8.60% ONGC Petro Additions Ltd (11-Mar-2022) **</t>
  </si>
  <si>
    <t>CARE AAA(CE)</t>
  </si>
  <si>
    <t>INE163N08073</t>
  </si>
  <si>
    <t>8.85% ONGC Petro Additions Ltd (19-Apr-2022) **</t>
  </si>
  <si>
    <t>INE134E08JC3</t>
  </si>
  <si>
    <t>7.44% Power Finance Corporation Ltd (11-Jun-2027) **</t>
  </si>
  <si>
    <t>INE020B08CM4</t>
  </si>
  <si>
    <t>6.99% REC Ltd (30-Sep-2024) **</t>
  </si>
  <si>
    <t>INE020B08AM8</t>
  </si>
  <si>
    <t>7.09% REC Ltd (17-Oct-2022) **</t>
  </si>
  <si>
    <t>INE053F07CC9</t>
  </si>
  <si>
    <t>6.19% Indian Railway Finance Corporation Ltd (28-Apr-2023) **</t>
  </si>
  <si>
    <t>INE261F08BI5</t>
  </si>
  <si>
    <t>7.90% National Bank For Agriculture &amp; Rural Development (18-Apr-2022) **</t>
  </si>
  <si>
    <t>INE906B07FG1</t>
  </si>
  <si>
    <t>7.60% National Highways Authority Of India (18-Mar-2022) **</t>
  </si>
  <si>
    <t>INE557F08FJ5</t>
  </si>
  <si>
    <t>5.80% National Housing Bank (15-May-2023) **</t>
  </si>
  <si>
    <t>INE242A08460</t>
  </si>
  <si>
    <t>5.05% Indian Oil Corporation Ltd (25-Nov-2022) **</t>
  </si>
  <si>
    <t>INE115A07NM3</t>
  </si>
  <si>
    <t>0.00% LIC Housing Finance Ltd (25-Feb-2022) **</t>
  </si>
  <si>
    <t>INE848E07989</t>
  </si>
  <si>
    <t>7.52% NHPC Ltd (06-Jun-2023) **</t>
  </si>
  <si>
    <t>CARE AAA</t>
  </si>
  <si>
    <t>INE094A08036</t>
  </si>
  <si>
    <t>7.00% Hindustan Petroleum Corporation Ltd (14-Aug-2024) **</t>
  </si>
  <si>
    <t>INE941D08065</t>
  </si>
  <si>
    <t>10.25% Sikka Ports &amp; Terminals Ltd (22-Aug-2021) **</t>
  </si>
  <si>
    <t>INE906B07FE6</t>
  </si>
  <si>
    <t>7.17% National Highways Authority Of India (23-Dec-2021) **</t>
  </si>
  <si>
    <t>INE295J08022</t>
  </si>
  <si>
    <t>9.90% Coastal Gujarat Power Ltd (25-Aug-2028) **</t>
  </si>
  <si>
    <t>CARE AA(CE)</t>
  </si>
  <si>
    <t>INE115A07PA3</t>
  </si>
  <si>
    <t>5.23% LIC Housing Finance Ltd (26-Jul-2023) **</t>
  </si>
  <si>
    <t>INE053F07BB3</t>
  </si>
  <si>
    <t>8.25% Indian Railway Finance Corporation Ltd (28-Feb-2024) **</t>
  </si>
  <si>
    <t>INE020B08930</t>
  </si>
  <si>
    <t>8.30% REC Ltd (10-Apr-2025) **</t>
  </si>
  <si>
    <t>INE134E08KH0</t>
  </si>
  <si>
    <t>7.42% Power Finance Corporation Ltd (19-Nov-2024) **</t>
  </si>
  <si>
    <t>INE134E08KN8</t>
  </si>
  <si>
    <t>6.98% Power Finance Corporation Ltd (20-Apr-2023) **</t>
  </si>
  <si>
    <t>INE721A08DC8</t>
  </si>
  <si>
    <t>10.25% Shriram Transport Finance Co Ltd (26-Apr-2024) **</t>
  </si>
  <si>
    <t>CRISIL AA+</t>
  </si>
  <si>
    <t>INE261F08AI7</t>
  </si>
  <si>
    <t>8.60% National Bank For Agriculture &amp; Rural Development (31-Jan-2022) **</t>
  </si>
  <si>
    <t>INE134E08JW1</t>
  </si>
  <si>
    <t>8.18% Power Finance Corporation Ltd (19-Mar-2022) **</t>
  </si>
  <si>
    <t>INE134E08JY7</t>
  </si>
  <si>
    <t>9.25% Power Finance Corporation Ltd (25-Sep-2024) **</t>
  </si>
  <si>
    <t>INE115A07NW2</t>
  </si>
  <si>
    <t>0.00% LIC Housing Finance Ltd (04-May-2022) **</t>
  </si>
  <si>
    <t>INE556F08JI1</t>
  </si>
  <si>
    <t>8.81% Small Industries Development Bank Of India (25-Jan-2022) **</t>
  </si>
  <si>
    <t>INE134E08IH4</t>
  </si>
  <si>
    <t>7.50% Power Finance Corporation Ltd (16-Aug-2021) **</t>
  </si>
  <si>
    <t>INE756I07CD9</t>
  </si>
  <si>
    <t>0.00% HDB Financial Services Ltd (29-Oct-2021) **</t>
  </si>
  <si>
    <t>INE752E07MZ9</t>
  </si>
  <si>
    <t>8.40% Power Grid Corporation of India Ltd (14-Sep-2021) **</t>
  </si>
  <si>
    <t>INE860H07GE0</t>
  </si>
  <si>
    <t>0.00% Aditya Birla Finance Ltd (08-Apr-2022) **</t>
  </si>
  <si>
    <t>INE029A07075</t>
  </si>
  <si>
    <t>7.35% Bharat Petroleum Corporation Ltd (10-Mar-2022) **</t>
  </si>
  <si>
    <t>INE053F07942</t>
  </si>
  <si>
    <t>6.70% Indian Railway Finance Corporation Ltd (24-Nov-2021) **</t>
  </si>
  <si>
    <t>IN0020180025</t>
  </si>
  <si>
    <t>7.37% GOI 2023 (16-Apr-2023)</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</si>
  <si>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</si>
  <si>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</si>
  <si>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</si>
  <si>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</si>
  <si>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</si>
  <si>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</si>
  <si>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Franklin India Banking &amp; PSU Debt Fund</t>
  </si>
  <si>
    <t>INE031A08756</t>
  </si>
  <si>
    <t>6.99% Housing &amp; Urban Development Corporation Ltd (11-Nov-2022) **</t>
  </si>
  <si>
    <t>IND AAA</t>
  </si>
  <si>
    <t>INE020B08997</t>
  </si>
  <si>
    <t>7.24% REC Ltd (21-Oct-2021) **</t>
  </si>
  <si>
    <t>INE556F08JM3</t>
  </si>
  <si>
    <t>7.29% Small Industries Development Bank Of India (01-Aug-2022) **</t>
  </si>
  <si>
    <t>INE733E07JO9</t>
  </si>
  <si>
    <t>9.17% NTPC Ltd (21-Sep-2024) **</t>
  </si>
  <si>
    <t>INE906B07FT4</t>
  </si>
  <si>
    <t>7.27% National Highways Authority Of India (06-Jun-2022)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</si>
  <si>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</si>
  <si>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</si>
  <si>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</si>
  <si>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</si>
  <si>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</si>
  <si>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</si>
  <si>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</si>
  <si>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</si>
  <si>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</si>
  <si>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</si>
  <si>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</si>
  <si>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</si>
  <si>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</si>
  <si>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</si>
  <si>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</si>
  <si>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</si>
  <si>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t>
  </si>
  <si>
    <t>INE861G08035</t>
  </si>
  <si>
    <t>9.95% Food Corporation Of India (07-Mar-2022) **</t>
  </si>
  <si>
    <t>CRISIL AAA(CE)</t>
  </si>
  <si>
    <t>INE020B08BM6</t>
  </si>
  <si>
    <t>8.35% REC Ltd (11-Mar-2022) **</t>
  </si>
  <si>
    <t>INE238A161W0</t>
  </si>
  <si>
    <t>Axis Bank Ltd (13-May-2022) **</t>
  </si>
  <si>
    <t>INE556F16861</t>
  </si>
  <si>
    <t>Small Industries Development Bank of India (25-Mar-2022) **</t>
  </si>
  <si>
    <t>Franklin India Government Securities Fund</t>
  </si>
  <si>
    <t xml:space="preserve">      Quarterly IDCW Option</t>
  </si>
  <si>
    <t xml:space="preserve">      Direct Quarterly IDCW Option</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</si>
  <si>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</si>
  <si>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</si>
  <si>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</si>
  <si>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</si>
  <si>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</si>
  <si>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</si>
  <si>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</si>
  <si>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</si>
  <si>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</si>
  <si>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</si>
  <si>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</si>
  <si>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</si>
  <si>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</si>
  <si>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IDCW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</si>
  <si>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</si>
  <si>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</si>
  <si>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</si>
  <si>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</si>
  <si>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</si>
  <si>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</si>
  <si>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</si>
  <si>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</si>
  <si>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</si>
  <si>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</si>
  <si>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</si>
  <si>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</si>
  <si>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</si>
  <si>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</si>
  <si>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</si>
  <si>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</si>
  <si>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</si>
  <si>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</si>
  <si>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</si>
  <si>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</si>
  <si>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</si>
  <si>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</si>
  <si>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</si>
  <si>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</si>
  <si>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</si>
  <si>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</si>
  <si>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</si>
  <si>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</si>
  <si>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</si>
  <si>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</si>
  <si>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</si>
  <si>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(b) Privately Placed / Unlisted</t>
  </si>
  <si>
    <t>INE895D08790</t>
  </si>
  <si>
    <t>8.25% Tata Sons Pvt Ltd (23-Mar-2022) **</t>
  </si>
  <si>
    <t>Franklin India Fixed Maturity Plans - Series 4 - Plan E (1098 days)</t>
  </si>
  <si>
    <t>INE027E07709</t>
  </si>
  <si>
    <t>8.9492% L&amp;T Finance Ltd (16-Aug-2021) **</t>
  </si>
  <si>
    <t>INE660A07PT8</t>
  </si>
  <si>
    <t>0.00% Sundaram Finance Ltd (31-Aug-2021) **</t>
  </si>
  <si>
    <t>INE556F08JH3</t>
  </si>
  <si>
    <t>8.40% Small Industries Development Bank Of India (10-Aug-2021) **</t>
  </si>
  <si>
    <t>INE261F08AM9</t>
  </si>
  <si>
    <t>8.37% National Bank For Agriculture &amp; Rural Development (03-Aug-2021) **</t>
  </si>
  <si>
    <t>INE895D08634</t>
  </si>
  <si>
    <t>8.01% Tata Sons Pvt Ltd (02-Sep-2021) **</t>
  </si>
  <si>
    <t>Franklin India Fixed Maturity Plans - Series 4 - Plan D (1098 Days)</t>
  </si>
  <si>
    <t>Franklin India Fixed Maturity Plans - Series 4 - Plan C (1098 Days)</t>
  </si>
  <si>
    <t>INE891K07440</t>
  </si>
  <si>
    <t>0.00% Axis Finance Ltd (31-Aug-2021) **</t>
  </si>
  <si>
    <t>Franklin India Pension Plan</t>
  </si>
  <si>
    <t>INE685A01028</t>
  </si>
  <si>
    <t>Torrent Pharmaceuticals Ltd</t>
  </si>
  <si>
    <t>INE110L08037</t>
  </si>
  <si>
    <t>9.25% Reliance Industries Ltd (17-Jun-2024) **</t>
  </si>
  <si>
    <t>INE115A14CU5</t>
  </si>
  <si>
    <t>LIC Housing Finance Ltd (14-Dec-2021) **@</t>
  </si>
  <si>
    <t>Franklin India Debt Hybrid Fund (No. of segregated Portfolio in the scheme - 1)</t>
  </si>
  <si>
    <t>Main Portfolio</t>
  </si>
  <si>
    <t>(b) Units of Infrastructure Investment Trust</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</si>
  <si>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</si>
  <si>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Franklin India Dynamic Accrual Fund (No. of segregated Portfolios in the scheme - 3) - (under winding up) $$$</t>
  </si>
  <si>
    <t>INE540P07301</t>
  </si>
  <si>
    <t>10.15% Uttar Pradesh Power Corporation Ltd (20-Jan-2023) **</t>
  </si>
  <si>
    <t>CRISIL A+(CE)</t>
  </si>
  <si>
    <t>INE657N07605</t>
  </si>
  <si>
    <t>Edelweiss Rural &amp; Corporate Services Ltd (1Y SBI MCLR + 250 Bps) (29-Nov-2021) - Series II **</t>
  </si>
  <si>
    <t>CRISIL AA-</t>
  </si>
  <si>
    <t>INE641O08035</t>
  </si>
  <si>
    <t>9.55% Piramal Capital &amp; Housing Finance Ltd (08-Mar-2027) **</t>
  </si>
  <si>
    <t>CARE AA</t>
  </si>
  <si>
    <t>INE01E708040</t>
  </si>
  <si>
    <t>10.32% Andhra Pradesh Capital Region Development Authority (16-Aug-2027) **</t>
  </si>
  <si>
    <t>INE146O08100</t>
  </si>
  <si>
    <t>9.40% Hinduja Leyland Finance Ltd (28-Aug-2024) **</t>
  </si>
  <si>
    <t>INE540P07210</t>
  </si>
  <si>
    <t>9.75% Uttar Pradesh Power Corporation Ltd (20-Oct-2022) **</t>
  </si>
  <si>
    <t>INE540P07228</t>
  </si>
  <si>
    <t>9.75% Uttar Pradesh Power Corporation Ltd (20-Oct-2023) **</t>
  </si>
  <si>
    <t>INE657N07381</t>
  </si>
  <si>
    <t>8.70% Edelweiss Rural &amp; Corporate Services Ltd (30-Jun-2027) **</t>
  </si>
  <si>
    <t>ICRA A+</t>
  </si>
  <si>
    <t>INE146O08159</t>
  </si>
  <si>
    <t>11.60% Hinduja Leyland Finance Ltd (29-Sep-2024) **</t>
  </si>
  <si>
    <t>INE616U07036</t>
  </si>
  <si>
    <t>INE540P07293</t>
  </si>
  <si>
    <t>10.15% Uttar Pradesh Power Corporation Ltd (20-Jan-2022) **</t>
  </si>
  <si>
    <t>INE659X07014</t>
  </si>
  <si>
    <t>9.95% Molagavalli Renewable Pvt Ltd (31-Mar-2023) **</t>
  </si>
  <si>
    <t>CARE A+(CE)</t>
  </si>
  <si>
    <t>INE964Q07012</t>
  </si>
  <si>
    <t>9.60% Renew Wind Energy (Rajasthan One) Pvt Ltd (31-Mar-2023) **</t>
  </si>
  <si>
    <t>INE209W07028</t>
  </si>
  <si>
    <t>9.95% Narmada Wind Energy Pvt Ltd (31-Mar-2023) **</t>
  </si>
  <si>
    <t>INE971Z07133</t>
  </si>
  <si>
    <t>12.25% Rivaaz Trade Ventures Pvt Ltd (30-Jun-2023) $$ @@@ **</t>
  </si>
  <si>
    <t>BWR D(CE)</t>
  </si>
  <si>
    <t>INE971Z07190</t>
  </si>
  <si>
    <t>13.00% Rivaaz Trade Ventures Pvt Ltd (31-Dec-2023) $$ @@@ **</t>
  </si>
  <si>
    <t>INE946S07189</t>
  </si>
  <si>
    <t>13.55% Nufuture Digital (India) Ltd (31-Dec-2023) $$ @@@ **</t>
  </si>
  <si>
    <t>INF200K01TK5</t>
  </si>
  <si>
    <t>SBI Overnight Fund - Direct Plan - Growth</t>
  </si>
  <si>
    <t>Mutual Fund</t>
  </si>
  <si>
    <t xml:space="preserve"> $$ Indicates securties below investment grade or default</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</si>
  <si>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</si>
  <si>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</si>
  <si>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</si>
  <si>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</si>
  <si>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</si>
  <si>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</si>
  <si>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For product labeling and risk-o-meter refer the link below </t>
  </si>
  <si>
    <t>Franklin India Dynamic Accrual Fund - Segregated Portfolio 2 - 10.90% Vodafone Idea Ltd (02-Sep-2023) P/C 03 Sep 2021</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</si>
  <si>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</si>
  <si>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</si>
  <si>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</si>
  <si>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</si>
  <si>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 xml:space="preserve">b) During the month additional instances of fair valuation/deviation from valuation price provided by the valuation agencies </t>
  </si>
  <si>
    <t xml:space="preserve">c) For product labeling and risk-o-meter refer the link below </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</si>
  <si>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</si>
  <si>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</si>
  <si>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</si>
  <si>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</si>
  <si>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 $$$</t>
  </si>
  <si>
    <t>INE265J07316</t>
  </si>
  <si>
    <t>11.50% JM Financial Asset Reconstruction Co Ltd (29-May-2022) **</t>
  </si>
  <si>
    <t>INE157D08027</t>
  </si>
  <si>
    <t>11.25% Clix Capital Services Pvt Ltd (27-Jun-2023) **</t>
  </si>
  <si>
    <t>CARE A+</t>
  </si>
  <si>
    <t>INE540P07202</t>
  </si>
  <si>
    <t>9.75% Uttar Pradesh Power Corporation Ltd (20-Oct-2021) **</t>
  </si>
  <si>
    <t>INE209W07010</t>
  </si>
  <si>
    <t>9.60% Narmada Wind Energy Pvt Ltd (31-Mar-2023)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</si>
  <si>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</si>
  <si>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</si>
  <si>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</si>
  <si>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h) For product labeling and risk-o-meter refer the link below </t>
  </si>
  <si>
    <t>Franklin India Low Duration Fund-Segregated Portfolio 2 - 10.90% Vodafone Idea Ltd (02-Sep-2023) P/C 03 Sep 2021</t>
  </si>
  <si>
    <t>Franklin India Short-Term Income Plan (No. of segregated Portfolios in the scheme - 3) - (under winding up) $$$</t>
  </si>
  <si>
    <t>YTC</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</si>
  <si>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</si>
  <si>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</si>
  <si>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</si>
  <si>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</si>
  <si>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</si>
  <si>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</si>
  <si>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INE503A08028</t>
  </si>
  <si>
    <t>9.85% DCB Bank Ltd (18-Nov-2026) **</t>
  </si>
  <si>
    <t>INE971Z07125</t>
  </si>
  <si>
    <t>12.25% Rivaaz Trade Ventures Pvt Ltd (30-Jun-2022)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</si>
  <si>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</si>
  <si>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</si>
  <si>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</si>
  <si>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</si>
  <si>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</si>
  <si>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</si>
  <si>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</si>
  <si>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</si>
  <si>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</si>
  <si>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</si>
  <si>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</si>
  <si>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</si>
  <si>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</si>
  <si>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</si>
  <si>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</si>
  <si>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by Nufuture Digital (India) Ltd. on December 31, 2020 , by Nufuture Digital (India) Ltd. on January 31, 2021 , by Future Ideas Co Ltd. on January 31, 2021 , by Nufuture Digital (India) Ltd. on March 31, 2021 , by Future Ideas Co Ltd. &amp; Nufuture Digital (India) Ltd. on April 30, 2021, by Nufuture Digital (India) Ltd. on May 31, 2021 and by Rivaaz Trade Ventures Pvt. Ltd &amp; Nufuture Digital (India) Ltd. on June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</si>
  <si>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</si>
  <si>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</si>
  <si>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For product labeling and risk-o-meter refer the link below </t>
  </si>
  <si>
    <t>Franklin India Short Term Income Plan - Segregated Portfolio 2 - 10.90% Vodafone Idea Ltd (02-Sep-2023) P/C 03 Sep 2021</t>
  </si>
  <si>
    <t>Franklin India Short Term Income Plan - Segregated Portfolio 3 - 9.50% Yes Bank Ltd CO 23 Dec 2021</t>
  </si>
  <si>
    <t>Franklin India Ultra Short Bond Fund - (No. of segregated Portfolio in the scheme -1) - (under winding up) $$$</t>
  </si>
  <si>
    <t>INE157D08019</t>
  </si>
  <si>
    <t>11.25% Clix Capital Services Pvt Ltd (25-May-2023) **</t>
  </si>
  <si>
    <t>INE155A08316</t>
  </si>
  <si>
    <t>7.50% Tata Motors Ltd (20-Oct-2021) **</t>
  </si>
  <si>
    <t>INE587B08037</t>
  </si>
  <si>
    <t>13.65% Clix Finance India Pvt Ltd (06-Jan-2022)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</si>
  <si>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</si>
  <si>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</si>
  <si>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</si>
  <si>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</si>
  <si>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</si>
  <si>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</si>
  <si>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Income Opportunities Fund (No. of segregated Portfolio in the scheme - 2) - (under winding up) $$$</t>
  </si>
  <si>
    <t>INE503A08044</t>
  </si>
  <si>
    <t>9.85% DCB Bank Ltd (12-Jan-2028) **</t>
  </si>
  <si>
    <t>INE146O08118</t>
  </si>
  <si>
    <t>9.20% Hinduja Leyland Finance Ltd (13-Sep-2024) **</t>
  </si>
  <si>
    <t>INE01E708057</t>
  </si>
  <si>
    <t>10.32% Andhra Pradesh Capital Region Development Authority (16-Aug-2028) **</t>
  </si>
  <si>
    <t>INE146O08134</t>
  </si>
  <si>
    <t>10.15% Hinduja Leyland Finance Ltd (27-Mar-2025)</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</si>
  <si>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</si>
  <si>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</si>
  <si>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</si>
  <si>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</si>
  <si>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Income Opportunities Fund-Segregated Portfolio 2 - 10.90% Vodafone Idea Ltd (02-Sep-2023) P/C 03 Sep 2021</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</si>
  <si>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</si>
  <si>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</si>
  <si>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</si>
  <si>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</si>
  <si>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</si>
  <si>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</si>
  <si>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Credit Risk Fund-Segregated Portfolio 2 - 10.90% Vodafone Idea Ltd (02-Sep-2023) P/C 03 Sep 2021</t>
  </si>
  <si>
    <t>Franklin India Credit Risk Fund - Segregated Portfolio 3 - 9.50% Yes Bank Ltd CO 23 Dec 2021</t>
  </si>
  <si>
    <t>Aditya Birla Fashion and Retail Ltd- Partly Paid ##</t>
  </si>
  <si>
    <t>## Awaiting Listing</t>
  </si>
  <si>
    <t>e) Portfolio Turnover Ratio during the Half - year 30-Jul-2021</t>
  </si>
  <si>
    <t>f) Average Maturity as on 30-Jul-2021</t>
  </si>
  <si>
    <t xml:space="preserve">g) During the month additional instances of fair valuation/deviation from valuation price provided by the valuation agencies </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</si>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</sst>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sz val="8"/>
      <name val="Arial"/>
      <family val="2"/>
    </font>
    <font>
      <u/>
      <sz val="8"/>
      <color theme="10"/>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4">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0" fontId="6" fillId="3" borderId="0" xfId="0" applyFont="1" applyFill="1"/>
    <xf numFmtId="0" fontId="7" fillId="3" borderId="0" xfId="0" applyFont="1" applyFill="1"/>
    <xf numFmtId="0" fontId="9" fillId="3" borderId="0" xfId="0" applyFont="1" applyFill="1" applyAlignment="1">
      <alignment horizontal="right"/>
    </xf>
    <xf numFmtId="0" fontId="10" fillId="2" borderId="0" xfId="1" applyFont="1" applyFill="1"/>
    <xf numFmtId="0" fontId="7" fillId="2" borderId="3" xfId="0" applyFont="1" applyFill="1" applyBorder="1" applyAlignment="1">
      <alignment wrapText="1"/>
    </xf>
    <xf numFmtId="0" fontId="7" fillId="2" borderId="4" xfId="0" applyFont="1" applyFill="1" applyBorder="1" applyAlignment="1">
      <alignment wrapText="1"/>
    </xf>
    <xf numFmtId="0" fontId="6" fillId="2" borderId="4" xfId="0" applyFont="1" applyFill="1" applyBorder="1" applyAlignment="1">
      <alignment wrapText="1"/>
    </xf>
    <xf numFmtId="0" fontId="6" fillId="2" borderId="5" xfId="0" applyFont="1" applyFill="1" applyBorder="1" applyAlignment="1">
      <alignment wrapText="1"/>
    </xf>
    <xf numFmtId="0" fontId="6" fillId="2" borderId="0" xfId="0" applyNumberFormat="1" applyFont="1" applyFill="1" applyAlignment="1">
      <alignment horizontal="right" vertical="top"/>
    </xf>
    <xf numFmtId="0" fontId="11" fillId="2" borderId="0" xfId="0" applyFont="1" applyFill="1"/>
    <xf numFmtId="0" fontId="10" fillId="3" borderId="0" xfId="1" applyFont="1" applyFill="1"/>
    <xf numFmtId="39" fontId="7" fillId="0" borderId="4" xfId="0" applyNumberFormat="1" applyFont="1" applyFill="1" applyBorder="1"/>
    <xf numFmtId="39" fontId="7" fillId="3" borderId="5" xfId="0" applyNumberFormat="1" applyFont="1" applyFill="1" applyBorder="1"/>
    <xf numFmtId="0" fontId="7" fillId="2" borderId="0" xfId="0" applyFont="1" applyFill="1" applyBorder="1"/>
    <xf numFmtId="39" fontId="7" fillId="2" borderId="5" xfId="0" applyNumberFormat="1" applyFont="1" applyFill="1" applyBorder="1"/>
    <xf numFmtId="39" fontId="7" fillId="2" borderId="0" xfId="0" applyNumberFormat="1" applyFont="1" applyFill="1" applyBorder="1"/>
    <xf numFmtId="39" fontId="6" fillId="2" borderId="0" xfId="0" applyNumberFormat="1" applyFont="1" applyFill="1" applyBorder="1"/>
    <xf numFmtId="0" fontId="6" fillId="0" borderId="0" xfId="0"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0" borderId="0"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vertical="top" wrapText="1"/>
    </xf>
    <xf numFmtId="0" fontId="6" fillId="2" borderId="0" xfId="0" applyFont="1" applyFill="1" applyAlignment="1">
      <alignment horizontal="left"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horizontal="justify" vertical="top" wrapText="1"/>
    </xf>
    <xf numFmtId="0" fontId="0" fillId="0" borderId="0" xfId="0" applyAlignment="1">
      <alignment horizontal="justify" vertical="top" wrapText="1"/>
    </xf>
    <xf numFmtId="0" fontId="6" fillId="2" borderId="0" xfId="0" applyFont="1" applyFill="1" applyAlignment="1">
      <alignment wrapText="1"/>
    </xf>
    <xf numFmtId="0" fontId="0" fillId="0" borderId="0" xfId="0" applyAlignment="1">
      <alignment wrapText="1"/>
    </xf>
  </cellXfs>
  <cellStyles count="2">
    <cellStyle name="Hyperlink" xfId="1" builtinId="8"/>
    <cellStyle name="Normal" xfId="0" builtinId="0"/>
  </cellStyles>
  <dxfs count="80">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8" Type="http://schemas.openxmlformats.org/officeDocument/2006/relationships/printerSettings" Target="../printerSettings/printerSettings21.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22.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www.franklintempletonindia.com/investor/reports?firstFilter-4" TargetMode="External"/><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 Id="rId9"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25.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8" Type="http://schemas.openxmlformats.org/officeDocument/2006/relationships/printerSettings" Target="../printerSettings/printerSettings26.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franklintempletonindia.com/downloadsServlet/pdf/product-labels-jg9o5k7l"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franklintempletonindia.com/downloadsServlet/pdf/product-labels-jg9o5k7l"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franklintempletonindia.com/downloadsServlet/pdf/product-labels-jg9o5k7l"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franklintempletonindia.com/downloadsServlet/pdf/product-labels-jg9o5k7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franklintempletonindia.com/downloadsServlet/pdf/product-labels-jg9o5k7l"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franklintempletonindia.com/downloadsServlet/pdf/product-labels-jg9o5k7l"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www.franklintempletonindia.com/downloadsServlet/pdf/product-labels-jg9o5k7l"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www.franklintempletonindia.com/downloadsServlet/pdf/product-labels-jg9o5k7l"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www.franklintempletonindia.com/downloadsServlet/pdf/product-labels-jg9o5k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0"/>
  <sheetViews>
    <sheetView tabSelected="1" workbookViewId="0">
      <selection sqref="A1:G1"/>
    </sheetView>
  </sheetViews>
  <sheetFormatPr defaultColWidth="9.109375" defaultRowHeight="10.199999999999999" x14ac:dyDescent="0.2"/>
  <cols>
    <col min="1" max="1" width="38.6640625" style="9" bestFit="1" customWidth="1"/>
    <col min="2" max="2" width="51"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2" t="s">
        <v>741</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743</v>
      </c>
      <c r="B7" s="27" t="s">
        <v>744</v>
      </c>
      <c r="C7" s="27" t="s">
        <v>34</v>
      </c>
      <c r="D7" s="31">
        <v>250</v>
      </c>
      <c r="E7" s="29">
        <v>2515.5250000000001</v>
      </c>
      <c r="F7" s="30">
        <v>1.4213758799332901</v>
      </c>
      <c r="G7" s="29">
        <v>3.4500999999999999</v>
      </c>
    </row>
    <row r="8" spans="1:9" x14ac:dyDescent="0.2">
      <c r="A8" s="27" t="s">
        <v>745</v>
      </c>
      <c r="B8" s="27" t="s">
        <v>746</v>
      </c>
      <c r="C8" s="27" t="s">
        <v>34</v>
      </c>
      <c r="D8" s="31">
        <v>250</v>
      </c>
      <c r="E8" s="29">
        <v>2510.9974999999999</v>
      </c>
      <c r="F8" s="30">
        <v>1.4188176547928499</v>
      </c>
      <c r="G8" s="29">
        <v>3.5003000000000002</v>
      </c>
    </row>
    <row r="9" spans="1:9" x14ac:dyDescent="0.2">
      <c r="A9" s="27" t="s">
        <v>747</v>
      </c>
      <c r="B9" s="27" t="s">
        <v>748</v>
      </c>
      <c r="C9" s="27" t="s">
        <v>34</v>
      </c>
      <c r="D9" s="31">
        <v>150</v>
      </c>
      <c r="E9" s="29">
        <v>1507.32</v>
      </c>
      <c r="F9" s="30">
        <v>0.85169827027799105</v>
      </c>
      <c r="G9" s="29">
        <v>3.4399000000000002</v>
      </c>
    </row>
    <row r="10" spans="1:9" x14ac:dyDescent="0.2">
      <c r="A10" s="26" t="s">
        <v>35</v>
      </c>
      <c r="B10" s="26"/>
      <c r="C10" s="26"/>
      <c r="D10" s="32"/>
      <c r="E10" s="33">
        <f>SUM(E6:E9)</f>
        <v>6533.8424999999997</v>
      </c>
      <c r="F10" s="34">
        <f>SUM(F6:F9)</f>
        <v>3.6918918050041309</v>
      </c>
      <c r="G10" s="33"/>
      <c r="H10" s="18"/>
      <c r="I10" s="18"/>
    </row>
    <row r="11" spans="1:9" x14ac:dyDescent="0.2">
      <c r="A11" s="27"/>
      <c r="B11" s="27"/>
      <c r="C11" s="27"/>
      <c r="D11" s="28"/>
      <c r="E11" s="29"/>
      <c r="F11" s="30"/>
      <c r="G11" s="29"/>
    </row>
    <row r="12" spans="1:9" x14ac:dyDescent="0.2">
      <c r="A12" s="26" t="s">
        <v>52</v>
      </c>
      <c r="B12" s="27"/>
      <c r="C12" s="27"/>
      <c r="D12" s="28"/>
      <c r="E12" s="29"/>
      <c r="F12" s="30"/>
      <c r="G12" s="29"/>
    </row>
    <row r="13" spans="1:9" x14ac:dyDescent="0.2">
      <c r="A13" s="26" t="s">
        <v>56</v>
      </c>
      <c r="B13" s="27"/>
      <c r="C13" s="27"/>
      <c r="D13" s="28"/>
      <c r="E13" s="29"/>
      <c r="F13" s="30"/>
      <c r="G13" s="29"/>
    </row>
    <row r="14" spans="1:9" x14ac:dyDescent="0.2">
      <c r="A14" s="27" t="s">
        <v>749</v>
      </c>
      <c r="B14" s="27" t="s">
        <v>750</v>
      </c>
      <c r="C14" s="27" t="s">
        <v>59</v>
      </c>
      <c r="D14" s="31">
        <v>1800</v>
      </c>
      <c r="E14" s="29">
        <v>8981.2080000000005</v>
      </c>
      <c r="F14" s="30">
        <v>5.0747547425940498</v>
      </c>
      <c r="G14" s="29">
        <v>3.3205</v>
      </c>
    </row>
    <row r="15" spans="1:9" x14ac:dyDescent="0.2">
      <c r="A15" s="27" t="s">
        <v>751</v>
      </c>
      <c r="B15" s="27" t="s">
        <v>752</v>
      </c>
      <c r="C15" s="27" t="s">
        <v>54</v>
      </c>
      <c r="D15" s="31">
        <v>1500</v>
      </c>
      <c r="E15" s="29">
        <v>7477.26</v>
      </c>
      <c r="F15" s="30">
        <v>4.2249617920672504</v>
      </c>
      <c r="G15" s="29">
        <v>3.7002000000000002</v>
      </c>
    </row>
    <row r="16" spans="1:9" x14ac:dyDescent="0.2">
      <c r="A16" s="27" t="s">
        <v>753</v>
      </c>
      <c r="B16" s="27" t="s">
        <v>754</v>
      </c>
      <c r="C16" s="27" t="s">
        <v>54</v>
      </c>
      <c r="D16" s="31">
        <v>1500</v>
      </c>
      <c r="E16" s="29">
        <v>7458.2550000000001</v>
      </c>
      <c r="F16" s="30">
        <v>4.2142231794125902</v>
      </c>
      <c r="G16" s="29">
        <v>3.4049</v>
      </c>
    </row>
    <row r="17" spans="1:9" x14ac:dyDescent="0.2">
      <c r="A17" s="27" t="s">
        <v>755</v>
      </c>
      <c r="B17" s="27" t="s">
        <v>756</v>
      </c>
      <c r="C17" s="27" t="s">
        <v>55</v>
      </c>
      <c r="D17" s="31">
        <v>1400</v>
      </c>
      <c r="E17" s="29">
        <v>6983.5709999999999</v>
      </c>
      <c r="F17" s="30">
        <v>3.9460070463229702</v>
      </c>
      <c r="G17" s="29">
        <v>3.4346999999999999</v>
      </c>
    </row>
    <row r="18" spans="1:9" x14ac:dyDescent="0.2">
      <c r="A18" s="27" t="s">
        <v>757</v>
      </c>
      <c r="B18" s="27" t="s">
        <v>758</v>
      </c>
      <c r="C18" s="27" t="s">
        <v>759</v>
      </c>
      <c r="D18" s="31">
        <v>1100</v>
      </c>
      <c r="E18" s="29">
        <v>5472.6760000000004</v>
      </c>
      <c r="F18" s="30">
        <v>3.0922887528805298</v>
      </c>
      <c r="G18" s="29">
        <v>3.3748</v>
      </c>
    </row>
    <row r="19" spans="1:9" x14ac:dyDescent="0.2">
      <c r="A19" s="27" t="s">
        <v>760</v>
      </c>
      <c r="B19" s="27" t="s">
        <v>761</v>
      </c>
      <c r="C19" s="27" t="s">
        <v>54</v>
      </c>
      <c r="D19" s="31">
        <v>1050</v>
      </c>
      <c r="E19" s="29">
        <v>5238.1192499999997</v>
      </c>
      <c r="F19" s="30">
        <v>2.9597544680193</v>
      </c>
      <c r="G19" s="29">
        <v>3.5994000000000002</v>
      </c>
    </row>
    <row r="20" spans="1:9" x14ac:dyDescent="0.2">
      <c r="A20" s="27" t="s">
        <v>762</v>
      </c>
      <c r="B20" s="27" t="s">
        <v>763</v>
      </c>
      <c r="C20" s="27" t="s">
        <v>54</v>
      </c>
      <c r="D20" s="31">
        <v>1000</v>
      </c>
      <c r="E20" s="29">
        <v>4998.6350000000002</v>
      </c>
      <c r="F20" s="30">
        <v>2.8244359414397899</v>
      </c>
      <c r="G20" s="29">
        <v>3.3285</v>
      </c>
    </row>
    <row r="21" spans="1:9" x14ac:dyDescent="0.2">
      <c r="A21" s="27" t="s">
        <v>764</v>
      </c>
      <c r="B21" s="27" t="s">
        <v>765</v>
      </c>
      <c r="C21" s="27" t="s">
        <v>54</v>
      </c>
      <c r="D21" s="31">
        <v>1000</v>
      </c>
      <c r="E21" s="29">
        <v>4996.3649999999998</v>
      </c>
      <c r="F21" s="30">
        <v>2.8231532973605402</v>
      </c>
      <c r="G21" s="29">
        <v>4.4257999999999997</v>
      </c>
    </row>
    <row r="22" spans="1:9" x14ac:dyDescent="0.2">
      <c r="A22" s="27" t="s">
        <v>766</v>
      </c>
      <c r="B22" s="27" t="s">
        <v>767</v>
      </c>
      <c r="C22" s="27" t="s">
        <v>59</v>
      </c>
      <c r="D22" s="31">
        <v>1000</v>
      </c>
      <c r="E22" s="29">
        <v>4994.55</v>
      </c>
      <c r="F22" s="30">
        <v>2.8221277471385902</v>
      </c>
      <c r="G22" s="29">
        <v>3.319</v>
      </c>
    </row>
    <row r="23" spans="1:9" x14ac:dyDescent="0.2">
      <c r="A23" s="27" t="s">
        <v>768</v>
      </c>
      <c r="B23" s="27" t="s">
        <v>769</v>
      </c>
      <c r="C23" s="27" t="s">
        <v>54</v>
      </c>
      <c r="D23" s="31">
        <v>1000</v>
      </c>
      <c r="E23" s="29">
        <v>4985.0749999999998</v>
      </c>
      <c r="F23" s="30">
        <v>2.8167739794509798</v>
      </c>
      <c r="G23" s="29">
        <v>3.415</v>
      </c>
    </row>
    <row r="24" spans="1:9" x14ac:dyDescent="0.2">
      <c r="A24" s="27" t="s">
        <v>770</v>
      </c>
      <c r="B24" s="27" t="s">
        <v>771</v>
      </c>
      <c r="C24" s="27" t="s">
        <v>54</v>
      </c>
      <c r="D24" s="31">
        <v>1000</v>
      </c>
      <c r="E24" s="29">
        <v>4983.7049999999999</v>
      </c>
      <c r="F24" s="30">
        <v>2.8159998726718798</v>
      </c>
      <c r="G24" s="29">
        <v>3.73</v>
      </c>
    </row>
    <row r="25" spans="1:9" x14ac:dyDescent="0.2">
      <c r="A25" s="27" t="s">
        <v>772</v>
      </c>
      <c r="B25" s="27" t="s">
        <v>773</v>
      </c>
      <c r="C25" s="27" t="s">
        <v>55</v>
      </c>
      <c r="D25" s="31">
        <v>900</v>
      </c>
      <c r="E25" s="29">
        <v>4491.1395000000002</v>
      </c>
      <c r="F25" s="30">
        <v>2.5376799509906101</v>
      </c>
      <c r="G25" s="29">
        <v>3.6004999999999998</v>
      </c>
    </row>
    <row r="26" spans="1:9" x14ac:dyDescent="0.2">
      <c r="A26" s="27" t="s">
        <v>774</v>
      </c>
      <c r="B26" s="27" t="s">
        <v>775</v>
      </c>
      <c r="C26" s="27" t="s">
        <v>54</v>
      </c>
      <c r="D26" s="31">
        <v>800</v>
      </c>
      <c r="E26" s="29">
        <v>3993.6759999999999</v>
      </c>
      <c r="F26" s="30">
        <v>2.2565924563136699</v>
      </c>
      <c r="G26" s="29">
        <v>3.3999000000000001</v>
      </c>
    </row>
    <row r="27" spans="1:9" x14ac:dyDescent="0.2">
      <c r="A27" s="27" t="s">
        <v>776</v>
      </c>
      <c r="B27" s="27" t="s">
        <v>777</v>
      </c>
      <c r="C27" s="27" t="s">
        <v>54</v>
      </c>
      <c r="D27" s="31">
        <v>800</v>
      </c>
      <c r="E27" s="29">
        <v>3987.904</v>
      </c>
      <c r="F27" s="30">
        <v>2.25333103709543</v>
      </c>
      <c r="G27" s="29">
        <v>3.6903999999999999</v>
      </c>
    </row>
    <row r="28" spans="1:9" x14ac:dyDescent="0.2">
      <c r="A28" s="27" t="s">
        <v>778</v>
      </c>
      <c r="B28" s="27" t="s">
        <v>779</v>
      </c>
      <c r="C28" s="27" t="s">
        <v>54</v>
      </c>
      <c r="D28" s="31">
        <v>800</v>
      </c>
      <c r="E28" s="29">
        <v>3966.2280000000001</v>
      </c>
      <c r="F28" s="30">
        <v>2.2410831987422299</v>
      </c>
      <c r="G28" s="29">
        <v>3.7902</v>
      </c>
    </row>
    <row r="29" spans="1:9" x14ac:dyDescent="0.2">
      <c r="A29" s="27" t="s">
        <v>780</v>
      </c>
      <c r="B29" s="27" t="s">
        <v>781</v>
      </c>
      <c r="C29" s="27" t="s">
        <v>59</v>
      </c>
      <c r="D29" s="31">
        <v>500</v>
      </c>
      <c r="E29" s="29">
        <v>2496.0774999999999</v>
      </c>
      <c r="F29" s="30">
        <v>1.4103872364393799</v>
      </c>
      <c r="G29" s="29">
        <v>3.3751000000000002</v>
      </c>
    </row>
    <row r="30" spans="1:9" x14ac:dyDescent="0.2">
      <c r="A30" s="27" t="s">
        <v>782</v>
      </c>
      <c r="B30" s="27" t="s">
        <v>783</v>
      </c>
      <c r="C30" s="27" t="s">
        <v>54</v>
      </c>
      <c r="D30" s="31">
        <v>500</v>
      </c>
      <c r="E30" s="29">
        <v>2488.9375</v>
      </c>
      <c r="F30" s="30">
        <v>1.4063528405249199</v>
      </c>
      <c r="G30" s="29">
        <v>3.3797999999999999</v>
      </c>
    </row>
    <row r="31" spans="1:9" x14ac:dyDescent="0.2">
      <c r="A31" s="26" t="s">
        <v>35</v>
      </c>
      <c r="B31" s="26"/>
      <c r="C31" s="26"/>
      <c r="D31" s="32"/>
      <c r="E31" s="33">
        <f>SUM(E13:E30)</f>
        <v>87993.381750000015</v>
      </c>
      <c r="F31" s="34">
        <f>SUM(F13:F30)</f>
        <v>49.719907539464707</v>
      </c>
      <c r="G31" s="33"/>
      <c r="H31" s="18"/>
      <c r="I31" s="18"/>
    </row>
    <row r="32" spans="1:9" x14ac:dyDescent="0.2">
      <c r="A32" s="27"/>
      <c r="B32" s="27"/>
      <c r="C32" s="27"/>
      <c r="D32" s="28"/>
      <c r="E32" s="29"/>
      <c r="F32" s="30"/>
      <c r="G32" s="29"/>
    </row>
    <row r="33" spans="1:9" x14ac:dyDescent="0.2">
      <c r="A33" s="26" t="s">
        <v>784</v>
      </c>
      <c r="B33" s="27"/>
      <c r="C33" s="27"/>
      <c r="D33" s="28"/>
      <c r="E33" s="29"/>
      <c r="F33" s="30"/>
      <c r="G33" s="29"/>
    </row>
    <row r="34" spans="1:9" x14ac:dyDescent="0.2">
      <c r="A34" s="27" t="s">
        <v>785</v>
      </c>
      <c r="B34" s="27" t="s">
        <v>786</v>
      </c>
      <c r="C34" s="27" t="s">
        <v>63</v>
      </c>
      <c r="D34" s="31">
        <v>15300000</v>
      </c>
      <c r="E34" s="29">
        <v>15254.344800000001</v>
      </c>
      <c r="F34" s="30">
        <v>8.6193370222541095</v>
      </c>
      <c r="G34" s="29">
        <v>3.3109000000000002</v>
      </c>
    </row>
    <row r="35" spans="1:9" x14ac:dyDescent="0.2">
      <c r="A35" s="27" t="s">
        <v>787</v>
      </c>
      <c r="B35" s="27" t="s">
        <v>788</v>
      </c>
      <c r="C35" s="27" t="s">
        <v>63</v>
      </c>
      <c r="D35" s="31">
        <v>13777000</v>
      </c>
      <c r="E35" s="29">
        <v>13744.83071</v>
      </c>
      <c r="F35" s="30">
        <v>7.7663990001929397</v>
      </c>
      <c r="G35" s="29">
        <v>3.2856999999999998</v>
      </c>
    </row>
    <row r="36" spans="1:9" x14ac:dyDescent="0.2">
      <c r="A36" s="27" t="s">
        <v>789</v>
      </c>
      <c r="B36" s="27" t="s">
        <v>790</v>
      </c>
      <c r="C36" s="27" t="s">
        <v>63</v>
      </c>
      <c r="D36" s="31">
        <v>12500000</v>
      </c>
      <c r="E36" s="29">
        <v>12413.025</v>
      </c>
      <c r="F36" s="30">
        <v>7.0138735778849002</v>
      </c>
      <c r="G36" s="29">
        <v>3.41</v>
      </c>
    </row>
    <row r="37" spans="1:9" x14ac:dyDescent="0.2">
      <c r="A37" s="27" t="s">
        <v>791</v>
      </c>
      <c r="B37" s="27" t="s">
        <v>792</v>
      </c>
      <c r="C37" s="27" t="s">
        <v>63</v>
      </c>
      <c r="D37" s="31">
        <v>10000000</v>
      </c>
      <c r="E37" s="29">
        <v>9937.7900000000009</v>
      </c>
      <c r="F37" s="30">
        <v>5.6152632177546398</v>
      </c>
      <c r="G37" s="29">
        <v>3.3601000000000001</v>
      </c>
    </row>
    <row r="38" spans="1:9" x14ac:dyDescent="0.2">
      <c r="A38" s="27" t="s">
        <v>793</v>
      </c>
      <c r="B38" s="27" t="s">
        <v>794</v>
      </c>
      <c r="C38" s="27" t="s">
        <v>63</v>
      </c>
      <c r="D38" s="31">
        <v>7500000</v>
      </c>
      <c r="E38" s="29">
        <v>7496.5574999999999</v>
      </c>
      <c r="F38" s="30">
        <v>4.23586567934447</v>
      </c>
      <c r="G38" s="29">
        <v>3.3521999999999998</v>
      </c>
    </row>
    <row r="39" spans="1:9" x14ac:dyDescent="0.2">
      <c r="A39" s="27" t="s">
        <v>795</v>
      </c>
      <c r="B39" s="27" t="s">
        <v>796</v>
      </c>
      <c r="C39" s="27" t="s">
        <v>63</v>
      </c>
      <c r="D39" s="31">
        <v>5000000</v>
      </c>
      <c r="E39" s="29">
        <v>4994.5</v>
      </c>
      <c r="F39" s="30">
        <v>2.82209949506636</v>
      </c>
      <c r="G39" s="29">
        <v>3.3494999999999999</v>
      </c>
    </row>
    <row r="40" spans="1:9" x14ac:dyDescent="0.2">
      <c r="A40" s="27" t="s">
        <v>797</v>
      </c>
      <c r="B40" s="27" t="s">
        <v>798</v>
      </c>
      <c r="C40" s="27" t="s">
        <v>63</v>
      </c>
      <c r="D40" s="31">
        <v>2500000</v>
      </c>
      <c r="E40" s="29">
        <v>2489.4225000000001</v>
      </c>
      <c r="F40" s="30">
        <v>1.4066268856255599</v>
      </c>
      <c r="G40" s="29">
        <v>3.2997000000000001</v>
      </c>
    </row>
    <row r="41" spans="1:9" x14ac:dyDescent="0.2">
      <c r="A41" s="27" t="s">
        <v>799</v>
      </c>
      <c r="B41" s="27" t="s">
        <v>800</v>
      </c>
      <c r="C41" s="27" t="s">
        <v>63</v>
      </c>
      <c r="D41" s="31">
        <v>2500000</v>
      </c>
      <c r="E41" s="29">
        <v>2486.2649999999999</v>
      </c>
      <c r="F41" s="30">
        <v>1.4048427672642201</v>
      </c>
      <c r="G41" s="29">
        <v>3.3058999999999998</v>
      </c>
    </row>
    <row r="42" spans="1:9" x14ac:dyDescent="0.2">
      <c r="A42" s="26" t="s">
        <v>35</v>
      </c>
      <c r="B42" s="26"/>
      <c r="C42" s="26"/>
      <c r="D42" s="32"/>
      <c r="E42" s="33">
        <f>SUM(E33:E41)</f>
        <v>68816.735509999999</v>
      </c>
      <c r="F42" s="34">
        <f>SUM(F33:F41)</f>
        <v>38.884307645387203</v>
      </c>
      <c r="G42" s="33"/>
      <c r="H42" s="18"/>
      <c r="I42" s="18"/>
    </row>
    <row r="43" spans="1:9" x14ac:dyDescent="0.2">
      <c r="A43" s="27"/>
      <c r="B43" s="27"/>
      <c r="C43" s="27"/>
      <c r="D43" s="28"/>
      <c r="E43" s="29"/>
      <c r="F43" s="30"/>
      <c r="G43" s="29"/>
    </row>
    <row r="44" spans="1:9" x14ac:dyDescent="0.2">
      <c r="A44" s="26" t="s">
        <v>37</v>
      </c>
      <c r="B44" s="26"/>
      <c r="C44" s="26"/>
      <c r="D44" s="32"/>
      <c r="E44" s="33">
        <f>E10+E31+E42</f>
        <v>163343.95976</v>
      </c>
      <c r="F44" s="34">
        <f>F10+F31+F42</f>
        <v>92.296106989856042</v>
      </c>
      <c r="G44" s="33"/>
      <c r="H44" s="18"/>
      <c r="I44" s="18"/>
    </row>
    <row r="45" spans="1:9" x14ac:dyDescent="0.2">
      <c r="A45" s="26"/>
      <c r="B45" s="26"/>
      <c r="C45" s="26"/>
      <c r="D45" s="32"/>
      <c r="E45" s="33"/>
      <c r="F45" s="34"/>
      <c r="G45" s="33"/>
      <c r="H45" s="18"/>
      <c r="I45" s="18"/>
    </row>
    <row r="46" spans="1:9" x14ac:dyDescent="0.2">
      <c r="A46" s="26" t="s">
        <v>39</v>
      </c>
      <c r="B46" s="26"/>
      <c r="C46" s="26"/>
      <c r="D46" s="32"/>
      <c r="E46" s="33">
        <f>E48-(E10+E31+E42)</f>
        <v>13634.208753599989</v>
      </c>
      <c r="F46" s="34">
        <f>F48-(F10+F31+F42)</f>
        <v>7.7038930101439576</v>
      </c>
      <c r="G46" s="33"/>
      <c r="H46" s="18"/>
      <c r="I46" s="18"/>
    </row>
    <row r="47" spans="1:9" x14ac:dyDescent="0.2">
      <c r="A47" s="26"/>
      <c r="B47" s="26"/>
      <c r="C47" s="26"/>
      <c r="D47" s="32"/>
      <c r="E47" s="33"/>
      <c r="F47" s="34"/>
      <c r="G47" s="33"/>
      <c r="H47" s="18"/>
      <c r="I47" s="18"/>
    </row>
    <row r="48" spans="1:9" x14ac:dyDescent="0.2">
      <c r="A48" s="35" t="s">
        <v>38</v>
      </c>
      <c r="B48" s="35"/>
      <c r="C48" s="35"/>
      <c r="D48" s="36"/>
      <c r="E48" s="37">
        <v>176978.16851359999</v>
      </c>
      <c r="F48" s="38">
        <v>100</v>
      </c>
      <c r="G48" s="37"/>
      <c r="H48" s="18"/>
      <c r="I48" s="18"/>
    </row>
    <row r="50" spans="1:4" x14ac:dyDescent="0.2">
      <c r="A50" s="18" t="s">
        <v>64</v>
      </c>
    </row>
    <row r="51" spans="1:4" x14ac:dyDescent="0.2">
      <c r="A51" s="18" t="s">
        <v>40</v>
      </c>
    </row>
    <row r="53" spans="1:4" x14ac:dyDescent="0.2">
      <c r="A53" s="18" t="s">
        <v>41</v>
      </c>
    </row>
    <row r="54" spans="1:4" x14ac:dyDescent="0.2">
      <c r="A54" s="18" t="s">
        <v>42</v>
      </c>
    </row>
    <row r="55" spans="1:4" x14ac:dyDescent="0.2">
      <c r="A55" s="18" t="s">
        <v>43</v>
      </c>
      <c r="B55" s="18"/>
      <c r="C55" s="39" t="s">
        <v>45</v>
      </c>
      <c r="D55" s="19" t="s">
        <v>44</v>
      </c>
    </row>
    <row r="56" spans="1:4" x14ac:dyDescent="0.2">
      <c r="A56" s="9" t="s">
        <v>801</v>
      </c>
      <c r="C56" s="40">
        <v>4738.4022000000004</v>
      </c>
      <c r="D56" s="40">
        <v>4798.7480999999998</v>
      </c>
    </row>
    <row r="57" spans="1:4" x14ac:dyDescent="0.2">
      <c r="A57" s="9" t="s">
        <v>802</v>
      </c>
      <c r="C57" s="40">
        <v>1510.4899</v>
      </c>
      <c r="D57" s="40">
        <v>1510.4899</v>
      </c>
    </row>
    <row r="58" spans="1:4" x14ac:dyDescent="0.2">
      <c r="A58" s="9" t="s">
        <v>803</v>
      </c>
      <c r="C58" s="40">
        <v>1244.7334000000001</v>
      </c>
      <c r="D58" s="40">
        <v>1244.7258999999999</v>
      </c>
    </row>
    <row r="59" spans="1:4" x14ac:dyDescent="0.2">
      <c r="A59" s="9" t="s">
        <v>804</v>
      </c>
      <c r="C59" s="40">
        <v>1000</v>
      </c>
      <c r="D59" s="40">
        <v>1000</v>
      </c>
    </row>
    <row r="60" spans="1:4" x14ac:dyDescent="0.2">
      <c r="A60" s="9" t="s">
        <v>805</v>
      </c>
      <c r="C60" s="40">
        <v>1055.1239</v>
      </c>
      <c r="D60" s="40">
        <v>1055.1170999999999</v>
      </c>
    </row>
    <row r="61" spans="1:4" x14ac:dyDescent="0.2">
      <c r="A61" s="9" t="s">
        <v>806</v>
      </c>
      <c r="C61" s="40">
        <v>3059.4789000000001</v>
      </c>
      <c r="D61" s="40">
        <v>3108.7795000000001</v>
      </c>
    </row>
    <row r="62" spans="1:4" x14ac:dyDescent="0.2">
      <c r="A62" s="9" t="s">
        <v>807</v>
      </c>
      <c r="C62" s="40">
        <v>1000</v>
      </c>
      <c r="D62" s="40">
        <v>1000</v>
      </c>
    </row>
    <row r="63" spans="1:4" x14ac:dyDescent="0.2">
      <c r="A63" s="9" t="s">
        <v>808</v>
      </c>
      <c r="C63" s="40">
        <v>1022.3771</v>
      </c>
      <c r="D63" s="40">
        <v>1022.3694</v>
      </c>
    </row>
    <row r="64" spans="1:4" x14ac:dyDescent="0.2">
      <c r="A64" s="9" t="s">
        <v>809</v>
      </c>
      <c r="C64" s="40">
        <v>3074.8948</v>
      </c>
      <c r="D64" s="40">
        <v>3125.6329000000001</v>
      </c>
    </row>
    <row r="65" spans="1:4" x14ac:dyDescent="0.2">
      <c r="A65" s="9" t="s">
        <v>810</v>
      </c>
      <c r="C65" s="40">
        <v>1002.2204</v>
      </c>
      <c r="D65" s="40">
        <v>1002.2204</v>
      </c>
    </row>
    <row r="66" spans="1:4" x14ac:dyDescent="0.2">
      <c r="A66" s="9" t="s">
        <v>811</v>
      </c>
      <c r="C66" s="40">
        <v>1021.8515</v>
      </c>
      <c r="D66" s="40">
        <v>1021.8442</v>
      </c>
    </row>
    <row r="67" spans="1:4" x14ac:dyDescent="0.2">
      <c r="A67" s="9" t="s">
        <v>812</v>
      </c>
      <c r="C67" s="40">
        <v>12.9801</v>
      </c>
      <c r="D67" s="40">
        <v>13.194100000000001</v>
      </c>
    </row>
    <row r="68" spans="1:4" x14ac:dyDescent="0.2">
      <c r="A68" s="9" t="s">
        <v>813</v>
      </c>
      <c r="C68" s="40">
        <v>12.9801</v>
      </c>
      <c r="D68" s="40">
        <v>13.194100000000001</v>
      </c>
    </row>
    <row r="69" spans="1:4" x14ac:dyDescent="0.2">
      <c r="A69" s="9" t="s">
        <v>814</v>
      </c>
      <c r="C69" s="40">
        <v>10</v>
      </c>
      <c r="D69" s="40">
        <v>10</v>
      </c>
    </row>
    <row r="70" spans="1:4" x14ac:dyDescent="0.2">
      <c r="A70" s="9" t="s">
        <v>815</v>
      </c>
      <c r="C70" s="40">
        <v>10</v>
      </c>
      <c r="D70" s="40">
        <v>10</v>
      </c>
    </row>
    <row r="72" spans="1:4" x14ac:dyDescent="0.2">
      <c r="A72" s="18" t="s">
        <v>47</v>
      </c>
    </row>
    <row r="73" spans="1:4" x14ac:dyDescent="0.2">
      <c r="A73" s="74" t="s">
        <v>65</v>
      </c>
      <c r="B73" s="75"/>
      <c r="C73" s="43" t="s">
        <v>66</v>
      </c>
    </row>
    <row r="74" spans="1:4" x14ac:dyDescent="0.2">
      <c r="A74" s="70" t="s">
        <v>802</v>
      </c>
      <c r="B74" s="71"/>
      <c r="C74" s="44">
        <v>32.758191844999999</v>
      </c>
    </row>
    <row r="75" spans="1:4" x14ac:dyDescent="0.2">
      <c r="A75" s="70" t="s">
        <v>803</v>
      </c>
      <c r="B75" s="71"/>
      <c r="C75" s="44">
        <v>40.906265222999998</v>
      </c>
    </row>
    <row r="76" spans="1:4" x14ac:dyDescent="0.2">
      <c r="A76" s="70" t="s">
        <v>804</v>
      </c>
      <c r="B76" s="71"/>
      <c r="C76" s="44">
        <v>23.781415765999999</v>
      </c>
    </row>
    <row r="77" spans="1:4" x14ac:dyDescent="0.2">
      <c r="A77" s="70" t="s">
        <v>805</v>
      </c>
      <c r="B77" s="71"/>
      <c r="C77" s="44">
        <v>37.855402063</v>
      </c>
    </row>
    <row r="78" spans="1:4" x14ac:dyDescent="0.2">
      <c r="A78" s="70" t="s">
        <v>807</v>
      </c>
      <c r="B78" s="71"/>
      <c r="C78" s="44">
        <v>27.251499208999999</v>
      </c>
    </row>
    <row r="79" spans="1:4" x14ac:dyDescent="0.2">
      <c r="A79" s="70" t="s">
        <v>808</v>
      </c>
      <c r="B79" s="71"/>
      <c r="C79" s="44">
        <v>41.802411515000003</v>
      </c>
    </row>
    <row r="80" spans="1:4" x14ac:dyDescent="0.2">
      <c r="A80" s="70" t="s">
        <v>810</v>
      </c>
      <c r="B80" s="71"/>
      <c r="C80" s="44">
        <v>27.914843359999999</v>
      </c>
    </row>
    <row r="81" spans="1:5" x14ac:dyDescent="0.2">
      <c r="A81" s="70" t="s">
        <v>811</v>
      </c>
      <c r="B81" s="71"/>
      <c r="C81" s="44">
        <v>42.671547963000002</v>
      </c>
    </row>
    <row r="82" spans="1:5" x14ac:dyDescent="0.2">
      <c r="A82" s="9" t="s">
        <v>67</v>
      </c>
    </row>
    <row r="83" spans="1:5" x14ac:dyDescent="0.2">
      <c r="A83" s="9" t="s">
        <v>46</v>
      </c>
    </row>
    <row r="85" spans="1:5" x14ac:dyDescent="0.2">
      <c r="A85" s="18" t="s">
        <v>816</v>
      </c>
      <c r="D85" s="42">
        <v>9.2830981232876697E-2</v>
      </c>
      <c r="E85" s="13" t="s">
        <v>49</v>
      </c>
    </row>
    <row r="87" spans="1:5" x14ac:dyDescent="0.2">
      <c r="A87" s="18" t="s">
        <v>727</v>
      </c>
      <c r="D87" s="41" t="s">
        <v>48</v>
      </c>
    </row>
    <row r="89" spans="1:5" x14ac:dyDescent="0.2">
      <c r="A89" s="18" t="s">
        <v>817</v>
      </c>
    </row>
    <row r="90" spans="1:5" x14ac:dyDescent="0.2">
      <c r="A90" s="50" t="s">
        <v>51</v>
      </c>
    </row>
  </sheetData>
  <mergeCells count="10">
    <mergeCell ref="A78:B78"/>
    <mergeCell ref="A79:B79"/>
    <mergeCell ref="A80:B80"/>
    <mergeCell ref="A81:B81"/>
    <mergeCell ref="A1:G1"/>
    <mergeCell ref="A73:B73"/>
    <mergeCell ref="A74:B74"/>
    <mergeCell ref="A75:B75"/>
    <mergeCell ref="A76:B76"/>
    <mergeCell ref="A77:B77"/>
  </mergeCells>
  <conditionalFormatting sqref="F2:F3 F5:F65534">
    <cfRule type="cellIs" dxfId="79" priority="1" stopIfTrue="1" operator="between">
      <formula>0.009</formula>
      <formula>-0.009</formula>
    </cfRule>
  </conditionalFormatting>
  <hyperlinks>
    <hyperlink ref="A90" r:id="rId1" tooltip="https://www.franklintempletonindia.com/downloadsServlet/pdf/product-labels-jg9o5k7l" xr:uid="{00000000-0004-0000-0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workbookViewId="0">
      <selection sqref="A1:G1"/>
    </sheetView>
  </sheetViews>
  <sheetFormatPr defaultColWidth="9.109375" defaultRowHeight="10.199999999999999" x14ac:dyDescent="0.2"/>
  <cols>
    <col min="1" max="1" width="31.6640625" style="9" bestFit="1" customWidth="1"/>
    <col min="2" max="2" width="20"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2" t="s">
        <v>818</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6" t="s">
        <v>39</v>
      </c>
      <c r="B5" s="26"/>
      <c r="C5" s="26"/>
      <c r="D5" s="32"/>
      <c r="E5" s="33">
        <v>16703.209912400001</v>
      </c>
      <c r="F5" s="34">
        <v>100</v>
      </c>
      <c r="G5" s="33"/>
      <c r="H5" s="18"/>
      <c r="I5" s="18"/>
    </row>
    <row r="6" spans="1:9" x14ac:dyDescent="0.2">
      <c r="A6" s="26"/>
      <c r="B6" s="26"/>
      <c r="C6" s="26"/>
      <c r="D6" s="32"/>
      <c r="E6" s="33"/>
      <c r="F6" s="34"/>
      <c r="G6" s="33"/>
      <c r="H6" s="18"/>
      <c r="I6" s="18"/>
    </row>
    <row r="7" spans="1:9" x14ac:dyDescent="0.2">
      <c r="A7" s="35" t="s">
        <v>38</v>
      </c>
      <c r="B7" s="35"/>
      <c r="C7" s="35"/>
      <c r="D7" s="36"/>
      <c r="E7" s="37">
        <v>16703.209912400001</v>
      </c>
      <c r="F7" s="38">
        <v>100</v>
      </c>
      <c r="G7" s="37"/>
      <c r="H7" s="18"/>
      <c r="I7" s="18"/>
    </row>
    <row r="9" spans="1:9" x14ac:dyDescent="0.2">
      <c r="A9" s="18" t="s">
        <v>41</v>
      </c>
    </row>
    <row r="10" spans="1:9" x14ac:dyDescent="0.2">
      <c r="A10" s="18" t="s">
        <v>42</v>
      </c>
    </row>
    <row r="11" spans="1:9" x14ac:dyDescent="0.2">
      <c r="A11" s="18" t="s">
        <v>43</v>
      </c>
      <c r="B11" s="18"/>
      <c r="C11" s="39" t="s">
        <v>45</v>
      </c>
      <c r="D11" s="19" t="s">
        <v>44</v>
      </c>
    </row>
    <row r="12" spans="1:9" x14ac:dyDescent="0.2">
      <c r="A12" s="9" t="s">
        <v>68</v>
      </c>
      <c r="C12" s="40">
        <v>1069.106</v>
      </c>
      <c r="D12" s="40">
        <v>1085.2963999999999</v>
      </c>
    </row>
    <row r="13" spans="1:9" x14ac:dyDescent="0.2">
      <c r="A13" s="9" t="s">
        <v>819</v>
      </c>
      <c r="C13" s="40">
        <v>1000</v>
      </c>
      <c r="D13" s="40">
        <v>1000</v>
      </c>
    </row>
    <row r="14" spans="1:9" x14ac:dyDescent="0.2">
      <c r="A14" s="9" t="s">
        <v>820</v>
      </c>
      <c r="C14" s="40">
        <v>1000.4186</v>
      </c>
      <c r="D14" s="40">
        <v>1000.4144</v>
      </c>
    </row>
    <row r="15" spans="1:9" x14ac:dyDescent="0.2">
      <c r="A15" s="9" t="s">
        <v>71</v>
      </c>
      <c r="C15" s="40">
        <v>1070.1926000000001</v>
      </c>
      <c r="D15" s="40">
        <v>1086.6758</v>
      </c>
    </row>
    <row r="16" spans="1:9" x14ac:dyDescent="0.2">
      <c r="A16" s="9" t="s">
        <v>821</v>
      </c>
      <c r="C16" s="40">
        <v>1000</v>
      </c>
      <c r="D16" s="40">
        <v>1000</v>
      </c>
    </row>
    <row r="17" spans="1:5" x14ac:dyDescent="0.2">
      <c r="A17" s="9" t="s">
        <v>822</v>
      </c>
      <c r="C17" s="40">
        <v>1000.4252</v>
      </c>
      <c r="D17" s="40">
        <v>1000.42</v>
      </c>
    </row>
    <row r="19" spans="1:5" x14ac:dyDescent="0.2">
      <c r="A19" s="18" t="s">
        <v>47</v>
      </c>
    </row>
    <row r="20" spans="1:5" x14ac:dyDescent="0.2">
      <c r="A20" s="74" t="s">
        <v>65</v>
      </c>
      <c r="B20" s="75"/>
      <c r="C20" s="43" t="s">
        <v>66</v>
      </c>
    </row>
    <row r="21" spans="1:5" x14ac:dyDescent="0.2">
      <c r="A21" s="70" t="s">
        <v>819</v>
      </c>
      <c r="B21" s="71"/>
      <c r="C21" s="44">
        <v>25.386958407000002</v>
      </c>
    </row>
    <row r="22" spans="1:5" x14ac:dyDescent="0.2">
      <c r="A22" s="70" t="s">
        <v>820</v>
      </c>
      <c r="B22" s="71"/>
      <c r="C22" s="44">
        <v>25.086090304999999</v>
      </c>
    </row>
    <row r="23" spans="1:5" x14ac:dyDescent="0.2">
      <c r="A23" s="70" t="s">
        <v>821</v>
      </c>
      <c r="B23" s="71"/>
      <c r="C23" s="44">
        <v>25.905190384000001</v>
      </c>
    </row>
    <row r="24" spans="1:5" x14ac:dyDescent="0.2">
      <c r="A24" s="70" t="s">
        <v>822</v>
      </c>
      <c r="B24" s="71"/>
      <c r="C24" s="44">
        <v>25.490069724000001</v>
      </c>
    </row>
    <row r="25" spans="1:5" x14ac:dyDescent="0.2">
      <c r="A25" s="9" t="s">
        <v>67</v>
      </c>
    </row>
    <row r="26" spans="1:5" x14ac:dyDescent="0.2">
      <c r="A26" s="9" t="s">
        <v>46</v>
      </c>
    </row>
    <row r="28" spans="1:5" x14ac:dyDescent="0.2">
      <c r="A28" s="18" t="s">
        <v>816</v>
      </c>
      <c r="D28" s="42">
        <v>8.21917808219178E-3</v>
      </c>
      <c r="E28" s="13" t="s">
        <v>49</v>
      </c>
    </row>
    <row r="30" spans="1:5" ht="23.25" customHeight="1" x14ac:dyDescent="0.2">
      <c r="A30" s="76" t="s">
        <v>727</v>
      </c>
      <c r="B30" s="76"/>
      <c r="C30" s="76"/>
      <c r="D30" s="55" t="s">
        <v>48</v>
      </c>
    </row>
    <row r="32" spans="1:5" x14ac:dyDescent="0.2">
      <c r="A32" s="18" t="s">
        <v>817</v>
      </c>
    </row>
    <row r="33" spans="1:1" x14ac:dyDescent="0.2">
      <c r="A33" s="50" t="s">
        <v>51</v>
      </c>
    </row>
  </sheetData>
  <mergeCells count="7">
    <mergeCell ref="A30:C30"/>
    <mergeCell ref="A1:G1"/>
    <mergeCell ref="A20:B20"/>
    <mergeCell ref="A21:B21"/>
    <mergeCell ref="A22:B22"/>
    <mergeCell ref="A23:B23"/>
    <mergeCell ref="A24:B24"/>
  </mergeCells>
  <conditionalFormatting sqref="F2:F3 F5:F65533">
    <cfRule type="cellIs" dxfId="78" priority="1" stopIfTrue="1" operator="between">
      <formula>0.009</formula>
      <formula>-0.009</formula>
    </cfRule>
  </conditionalFormatting>
  <hyperlinks>
    <hyperlink ref="A33" r:id="rId1" tooltip="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6"/>
  <sheetViews>
    <sheetView workbookViewId="0">
      <selection sqref="A1:G1"/>
    </sheetView>
  </sheetViews>
  <sheetFormatPr defaultColWidth="9.109375" defaultRowHeight="10.199999999999999" x14ac:dyDescent="0.2"/>
  <cols>
    <col min="1" max="1" width="31.6640625" style="9" bestFit="1" customWidth="1"/>
    <col min="2" max="2" width="49"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2" t="s">
        <v>823</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52</v>
      </c>
      <c r="B5" s="22"/>
      <c r="C5" s="22"/>
      <c r="D5" s="23"/>
      <c r="E5" s="24"/>
      <c r="F5" s="25"/>
      <c r="G5" s="24"/>
    </row>
    <row r="6" spans="1:9" x14ac:dyDescent="0.2">
      <c r="A6" s="26" t="s">
        <v>53</v>
      </c>
      <c r="B6" s="27"/>
      <c r="C6" s="27"/>
      <c r="D6" s="28"/>
      <c r="E6" s="29"/>
      <c r="F6" s="30"/>
      <c r="G6" s="29"/>
    </row>
    <row r="7" spans="1:9" x14ac:dyDescent="0.2">
      <c r="A7" s="27" t="s">
        <v>824</v>
      </c>
      <c r="B7" s="27" t="s">
        <v>825</v>
      </c>
      <c r="C7" s="27" t="s">
        <v>54</v>
      </c>
      <c r="D7" s="31">
        <v>5000</v>
      </c>
      <c r="E7" s="29">
        <v>5001.9250000000002</v>
      </c>
      <c r="F7" s="30">
        <v>4.9017097397336897</v>
      </c>
      <c r="G7" s="29">
        <v>3.69</v>
      </c>
    </row>
    <row r="8" spans="1:9" x14ac:dyDescent="0.2">
      <c r="A8" s="27" t="s">
        <v>826</v>
      </c>
      <c r="B8" s="27" t="s">
        <v>827</v>
      </c>
      <c r="C8" s="27" t="s">
        <v>54</v>
      </c>
      <c r="D8" s="31">
        <v>5000</v>
      </c>
      <c r="E8" s="29">
        <v>4934.91</v>
      </c>
      <c r="F8" s="30">
        <v>4.8360374079397799</v>
      </c>
      <c r="G8" s="29">
        <v>3.54</v>
      </c>
    </row>
    <row r="9" spans="1:9" x14ac:dyDescent="0.2">
      <c r="A9" s="27" t="s">
        <v>828</v>
      </c>
      <c r="B9" s="27" t="s">
        <v>829</v>
      </c>
      <c r="C9" s="27" t="s">
        <v>54</v>
      </c>
      <c r="D9" s="31">
        <v>5000</v>
      </c>
      <c r="E9" s="29">
        <v>4896.9549999999999</v>
      </c>
      <c r="F9" s="30">
        <v>4.7988428492105699</v>
      </c>
      <c r="G9" s="29">
        <v>3.6749999999999998</v>
      </c>
    </row>
    <row r="10" spans="1:9" x14ac:dyDescent="0.2">
      <c r="A10" s="27" t="s">
        <v>830</v>
      </c>
      <c r="B10" s="27" t="s">
        <v>831</v>
      </c>
      <c r="C10" s="27" t="s">
        <v>759</v>
      </c>
      <c r="D10" s="31">
        <v>5000</v>
      </c>
      <c r="E10" s="29">
        <v>4886.9849999999997</v>
      </c>
      <c r="F10" s="30">
        <v>4.7890726015349001</v>
      </c>
      <c r="G10" s="29">
        <v>3.67</v>
      </c>
    </row>
    <row r="11" spans="1:9" x14ac:dyDescent="0.2">
      <c r="A11" s="27" t="s">
        <v>832</v>
      </c>
      <c r="B11" s="27" t="s">
        <v>833</v>
      </c>
      <c r="C11" s="27" t="s">
        <v>54</v>
      </c>
      <c r="D11" s="31">
        <v>2500</v>
      </c>
      <c r="E11" s="29">
        <v>2452.7150000000001</v>
      </c>
      <c r="F11" s="30">
        <v>2.4035740248586102</v>
      </c>
      <c r="G11" s="29">
        <v>3.6648999999999998</v>
      </c>
    </row>
    <row r="12" spans="1:9" x14ac:dyDescent="0.2">
      <c r="A12" s="27" t="s">
        <v>834</v>
      </c>
      <c r="B12" s="27" t="s">
        <v>835</v>
      </c>
      <c r="C12" s="27" t="s">
        <v>55</v>
      </c>
      <c r="D12" s="31">
        <v>2500</v>
      </c>
      <c r="E12" s="29">
        <v>2448.855</v>
      </c>
      <c r="F12" s="30">
        <v>2.3997913612650201</v>
      </c>
      <c r="G12" s="29">
        <v>3.665</v>
      </c>
    </row>
    <row r="13" spans="1:9" x14ac:dyDescent="0.2">
      <c r="A13" s="26" t="s">
        <v>35</v>
      </c>
      <c r="B13" s="26"/>
      <c r="C13" s="26"/>
      <c r="D13" s="32"/>
      <c r="E13" s="33">
        <f>SUM(E6:E12)</f>
        <v>24622.344999999998</v>
      </c>
      <c r="F13" s="34">
        <f>SUM(F6:F12)</f>
        <v>24.129027984542571</v>
      </c>
      <c r="G13" s="33"/>
      <c r="H13" s="18"/>
      <c r="I13" s="18"/>
    </row>
    <row r="14" spans="1:9" x14ac:dyDescent="0.2">
      <c r="A14" s="27"/>
      <c r="B14" s="27"/>
      <c r="C14" s="27"/>
      <c r="D14" s="28"/>
      <c r="E14" s="29"/>
      <c r="F14" s="30"/>
      <c r="G14" s="29"/>
    </row>
    <row r="15" spans="1:9" x14ac:dyDescent="0.2">
      <c r="A15" s="26" t="s">
        <v>56</v>
      </c>
      <c r="B15" s="27"/>
      <c r="C15" s="27"/>
      <c r="D15" s="28"/>
      <c r="E15" s="29"/>
      <c r="F15" s="30"/>
      <c r="G15" s="29"/>
    </row>
    <row r="16" spans="1:9" x14ac:dyDescent="0.2">
      <c r="A16" s="27" t="s">
        <v>836</v>
      </c>
      <c r="B16" s="27" t="s">
        <v>837</v>
      </c>
      <c r="C16" s="27" t="s">
        <v>54</v>
      </c>
      <c r="D16" s="31">
        <v>1000</v>
      </c>
      <c r="E16" s="29">
        <v>4901.3249999999998</v>
      </c>
      <c r="F16" s="30">
        <v>4.8031252947815499</v>
      </c>
      <c r="G16" s="29">
        <v>4.0598999999999998</v>
      </c>
    </row>
    <row r="17" spans="1:9" x14ac:dyDescent="0.2">
      <c r="A17" s="27" t="s">
        <v>838</v>
      </c>
      <c r="B17" s="27" t="s">
        <v>839</v>
      </c>
      <c r="C17" s="27" t="s">
        <v>55</v>
      </c>
      <c r="D17" s="31">
        <v>1000</v>
      </c>
      <c r="E17" s="29">
        <v>4892.3850000000002</v>
      </c>
      <c r="F17" s="30">
        <v>4.7943644107072796</v>
      </c>
      <c r="G17" s="29">
        <v>3.86</v>
      </c>
    </row>
    <row r="18" spans="1:9" x14ac:dyDescent="0.2">
      <c r="A18" s="27" t="s">
        <v>58</v>
      </c>
      <c r="B18" s="27" t="s">
        <v>57</v>
      </c>
      <c r="C18" s="27" t="s">
        <v>59</v>
      </c>
      <c r="D18" s="31">
        <v>1000</v>
      </c>
      <c r="E18" s="29">
        <v>4891.1949999999997</v>
      </c>
      <c r="F18" s="30">
        <v>4.7931982527600301</v>
      </c>
      <c r="G18" s="29">
        <v>3.83</v>
      </c>
    </row>
    <row r="19" spans="1:9" x14ac:dyDescent="0.2">
      <c r="A19" s="27" t="s">
        <v>840</v>
      </c>
      <c r="B19" s="27" t="s">
        <v>841</v>
      </c>
      <c r="C19" s="27" t="s">
        <v>54</v>
      </c>
      <c r="D19" s="31">
        <v>1000</v>
      </c>
      <c r="E19" s="29">
        <v>4850.8450000000003</v>
      </c>
      <c r="F19" s="30">
        <v>4.7536566786664096</v>
      </c>
      <c r="G19" s="29">
        <v>4.3499999999999996</v>
      </c>
    </row>
    <row r="20" spans="1:9" x14ac:dyDescent="0.2">
      <c r="A20" s="27" t="s">
        <v>842</v>
      </c>
      <c r="B20" s="27" t="s">
        <v>843</v>
      </c>
      <c r="C20" s="27" t="s">
        <v>54</v>
      </c>
      <c r="D20" s="31">
        <v>900</v>
      </c>
      <c r="E20" s="29">
        <v>4381.0919999999996</v>
      </c>
      <c r="F20" s="30">
        <v>4.2933153390083501</v>
      </c>
      <c r="G20" s="29">
        <v>4.18</v>
      </c>
    </row>
    <row r="21" spans="1:9" x14ac:dyDescent="0.2">
      <c r="A21" s="27" t="s">
        <v>762</v>
      </c>
      <c r="B21" s="27" t="s">
        <v>763</v>
      </c>
      <c r="C21" s="27" t="s">
        <v>54</v>
      </c>
      <c r="D21" s="31">
        <v>800</v>
      </c>
      <c r="E21" s="29">
        <v>3998.9079999999999</v>
      </c>
      <c r="F21" s="30">
        <v>3.9187885247977499</v>
      </c>
      <c r="G21" s="29">
        <v>3.3285</v>
      </c>
    </row>
    <row r="22" spans="1:9" x14ac:dyDescent="0.2">
      <c r="A22" s="27" t="s">
        <v>61</v>
      </c>
      <c r="B22" s="27" t="s">
        <v>60</v>
      </c>
      <c r="C22" s="27" t="s">
        <v>54</v>
      </c>
      <c r="D22" s="31">
        <v>500</v>
      </c>
      <c r="E22" s="29">
        <v>2482.59</v>
      </c>
      <c r="F22" s="30">
        <v>2.4328504691224802</v>
      </c>
      <c r="G22" s="29">
        <v>3.71</v>
      </c>
    </row>
    <row r="23" spans="1:9" x14ac:dyDescent="0.2">
      <c r="A23" s="27" t="s">
        <v>844</v>
      </c>
      <c r="B23" s="27" t="s">
        <v>845</v>
      </c>
      <c r="C23" s="27" t="s">
        <v>54</v>
      </c>
      <c r="D23" s="31">
        <v>500</v>
      </c>
      <c r="E23" s="29">
        <v>2446.84</v>
      </c>
      <c r="F23" s="30">
        <v>2.3978167324719899</v>
      </c>
      <c r="G23" s="29">
        <v>3.9649999999999999</v>
      </c>
    </row>
    <row r="24" spans="1:9" x14ac:dyDescent="0.2">
      <c r="A24" s="27" t="s">
        <v>846</v>
      </c>
      <c r="B24" s="27" t="s">
        <v>847</v>
      </c>
      <c r="C24" s="27" t="s">
        <v>54</v>
      </c>
      <c r="D24" s="31">
        <v>500</v>
      </c>
      <c r="E24" s="29">
        <v>2436.8200000000002</v>
      </c>
      <c r="F24" s="30">
        <v>2.3879974865632398</v>
      </c>
      <c r="G24" s="29">
        <v>4.1874000000000002</v>
      </c>
    </row>
    <row r="25" spans="1:9" x14ac:dyDescent="0.2">
      <c r="A25" s="26" t="s">
        <v>35</v>
      </c>
      <c r="B25" s="26"/>
      <c r="C25" s="26"/>
      <c r="D25" s="32"/>
      <c r="E25" s="33">
        <f>SUM(E15:E24)</f>
        <v>35282</v>
      </c>
      <c r="F25" s="34">
        <f>SUM(F15:F24)</f>
        <v>34.575113188879087</v>
      </c>
      <c r="G25" s="33"/>
      <c r="H25" s="18"/>
      <c r="I25" s="18"/>
    </row>
    <row r="26" spans="1:9" x14ac:dyDescent="0.2">
      <c r="A26" s="27"/>
      <c r="B26" s="27"/>
      <c r="C26" s="27"/>
      <c r="D26" s="28"/>
      <c r="E26" s="29"/>
      <c r="F26" s="30"/>
      <c r="G26" s="29"/>
    </row>
    <row r="27" spans="1:9" x14ac:dyDescent="0.2">
      <c r="A27" s="26" t="s">
        <v>784</v>
      </c>
      <c r="B27" s="27"/>
      <c r="C27" s="27"/>
      <c r="D27" s="28"/>
      <c r="E27" s="29"/>
      <c r="F27" s="30"/>
      <c r="G27" s="29"/>
    </row>
    <row r="28" spans="1:9" x14ac:dyDescent="0.2">
      <c r="A28" s="27" t="s">
        <v>848</v>
      </c>
      <c r="B28" s="27" t="s">
        <v>849</v>
      </c>
      <c r="C28" s="27" t="s">
        <v>63</v>
      </c>
      <c r="D28" s="31">
        <v>10000000</v>
      </c>
      <c r="E28" s="29">
        <v>9766.8799999999992</v>
      </c>
      <c r="F28" s="30">
        <v>9.5711972536193901</v>
      </c>
      <c r="G28" s="29">
        <v>3.6</v>
      </c>
    </row>
    <row r="29" spans="1:9" x14ac:dyDescent="0.2">
      <c r="A29" s="27" t="s">
        <v>850</v>
      </c>
      <c r="B29" s="27" t="s">
        <v>851</v>
      </c>
      <c r="C29" s="27" t="s">
        <v>63</v>
      </c>
      <c r="D29" s="31">
        <v>5000000</v>
      </c>
      <c r="E29" s="29">
        <v>4931.05</v>
      </c>
      <c r="F29" s="30">
        <v>4.8322547443461898</v>
      </c>
      <c r="G29" s="29">
        <v>3.5198</v>
      </c>
    </row>
    <row r="30" spans="1:9" x14ac:dyDescent="0.2">
      <c r="A30" s="27" t="s">
        <v>852</v>
      </c>
      <c r="B30" s="27" t="s">
        <v>853</v>
      </c>
      <c r="C30" s="27" t="s">
        <v>63</v>
      </c>
      <c r="D30" s="31">
        <v>5000000</v>
      </c>
      <c r="E30" s="29">
        <v>4928.07</v>
      </c>
      <c r="F30" s="30">
        <v>4.8293344496547599</v>
      </c>
      <c r="G30" s="29">
        <v>3.5049999999999999</v>
      </c>
    </row>
    <row r="31" spans="1:9" x14ac:dyDescent="0.2">
      <c r="A31" s="27" t="s">
        <v>854</v>
      </c>
      <c r="B31" s="27" t="s">
        <v>855</v>
      </c>
      <c r="C31" s="27" t="s">
        <v>63</v>
      </c>
      <c r="D31" s="31">
        <v>5000000</v>
      </c>
      <c r="E31" s="29">
        <v>4886.8850000000002</v>
      </c>
      <c r="F31" s="30">
        <v>4.7889746050687396</v>
      </c>
      <c r="G31" s="29">
        <v>3.58</v>
      </c>
    </row>
    <row r="32" spans="1:9" x14ac:dyDescent="0.2">
      <c r="A32" s="26" t="s">
        <v>35</v>
      </c>
      <c r="B32" s="26"/>
      <c r="C32" s="26"/>
      <c r="D32" s="32"/>
      <c r="E32" s="33">
        <f>SUM(E27:E31)</f>
        <v>24512.885000000002</v>
      </c>
      <c r="F32" s="34">
        <f>SUM(F27:F31)</f>
        <v>24.021761052689079</v>
      </c>
      <c r="G32" s="33"/>
      <c r="H32" s="18"/>
      <c r="I32" s="18"/>
    </row>
    <row r="33" spans="1:9" x14ac:dyDescent="0.2">
      <c r="A33" s="27"/>
      <c r="B33" s="27"/>
      <c r="C33" s="27"/>
      <c r="D33" s="28"/>
      <c r="E33" s="29"/>
      <c r="F33" s="30"/>
      <c r="G33" s="29"/>
    </row>
    <row r="34" spans="1:9" x14ac:dyDescent="0.2">
      <c r="A34" s="26" t="s">
        <v>62</v>
      </c>
      <c r="B34" s="27"/>
      <c r="C34" s="27"/>
      <c r="D34" s="28"/>
      <c r="E34" s="29"/>
      <c r="F34" s="30"/>
      <c r="G34" s="29"/>
    </row>
    <row r="35" spans="1:9" x14ac:dyDescent="0.2">
      <c r="A35" s="27" t="s">
        <v>856</v>
      </c>
      <c r="B35" s="27" t="s">
        <v>857</v>
      </c>
      <c r="C35" s="27" t="s">
        <v>63</v>
      </c>
      <c r="D35" s="31">
        <v>10000000</v>
      </c>
      <c r="E35" s="29">
        <v>10243.209999999999</v>
      </c>
      <c r="F35" s="30">
        <v>10.0379838208565</v>
      </c>
      <c r="G35" s="29">
        <v>3.62</v>
      </c>
    </row>
    <row r="36" spans="1:9" x14ac:dyDescent="0.2">
      <c r="A36" s="27" t="s">
        <v>858</v>
      </c>
      <c r="B36" s="27" t="s">
        <v>859</v>
      </c>
      <c r="C36" s="27" t="s">
        <v>63</v>
      </c>
      <c r="D36" s="31">
        <v>5000000</v>
      </c>
      <c r="E36" s="29">
        <v>5070.4650000000001</v>
      </c>
      <c r="F36" s="30">
        <v>4.9688765176364704</v>
      </c>
      <c r="G36" s="29">
        <v>3.4714999999999998</v>
      </c>
    </row>
    <row r="37" spans="1:9" x14ac:dyDescent="0.2">
      <c r="A37" s="26" t="s">
        <v>35</v>
      </c>
      <c r="B37" s="26"/>
      <c r="C37" s="26"/>
      <c r="D37" s="32"/>
      <c r="E37" s="33">
        <f>SUM(E35:E36)</f>
        <v>15313.674999999999</v>
      </c>
      <c r="F37" s="34">
        <f>SUM(F35:F36)</f>
        <v>15.00686033849297</v>
      </c>
      <c r="G37" s="33"/>
      <c r="H37" s="18"/>
      <c r="I37" s="18"/>
    </row>
    <row r="38" spans="1:9" x14ac:dyDescent="0.2">
      <c r="A38" s="27"/>
      <c r="B38" s="27"/>
      <c r="C38" s="27"/>
      <c r="D38" s="28"/>
      <c r="E38" s="29"/>
      <c r="F38" s="30"/>
      <c r="G38" s="29"/>
    </row>
    <row r="39" spans="1:9" x14ac:dyDescent="0.2">
      <c r="A39" s="26" t="s">
        <v>37</v>
      </c>
      <c r="B39" s="26"/>
      <c r="C39" s="26"/>
      <c r="D39" s="32"/>
      <c r="E39" s="33">
        <f>E13+E25+E32+E37</f>
        <v>99730.905000000013</v>
      </c>
      <c r="F39" s="34">
        <f>F13+F25+F32+F37</f>
        <v>97.732762564603718</v>
      </c>
      <c r="G39" s="33"/>
      <c r="H39" s="18"/>
      <c r="I39" s="18"/>
    </row>
    <row r="40" spans="1:9" x14ac:dyDescent="0.2">
      <c r="A40" s="26"/>
      <c r="B40" s="26"/>
      <c r="C40" s="26"/>
      <c r="D40" s="32"/>
      <c r="E40" s="33"/>
      <c r="F40" s="34"/>
      <c r="G40" s="33"/>
      <c r="H40" s="18"/>
      <c r="I40" s="18"/>
    </row>
    <row r="41" spans="1:9" x14ac:dyDescent="0.2">
      <c r="A41" s="26" t="s">
        <v>39</v>
      </c>
      <c r="B41" s="26"/>
      <c r="C41" s="26"/>
      <c r="D41" s="32"/>
      <c r="E41" s="33">
        <f>E43-(E13+E25+E32+E37)</f>
        <v>2313.5910143999936</v>
      </c>
      <c r="F41" s="34">
        <f>F43-(F13+F25+F32+F37)</f>
        <v>2.2672374353962823</v>
      </c>
      <c r="G41" s="33"/>
      <c r="H41" s="18"/>
      <c r="I41" s="18"/>
    </row>
    <row r="42" spans="1:9" x14ac:dyDescent="0.2">
      <c r="A42" s="26"/>
      <c r="B42" s="26"/>
      <c r="C42" s="26"/>
      <c r="D42" s="32"/>
      <c r="E42" s="33"/>
      <c r="F42" s="34"/>
      <c r="G42" s="33"/>
      <c r="H42" s="18"/>
      <c r="I42" s="18"/>
    </row>
    <row r="43" spans="1:9" x14ac:dyDescent="0.2">
      <c r="A43" s="35" t="s">
        <v>38</v>
      </c>
      <c r="B43" s="35"/>
      <c r="C43" s="35"/>
      <c r="D43" s="36"/>
      <c r="E43" s="37">
        <v>102044.49601440001</v>
      </c>
      <c r="F43" s="38">
        <v>100</v>
      </c>
      <c r="G43" s="37"/>
      <c r="H43" s="18"/>
      <c r="I43" s="18"/>
    </row>
    <row r="45" spans="1:9" x14ac:dyDescent="0.2">
      <c r="A45" s="18" t="s">
        <v>64</v>
      </c>
    </row>
    <row r="46" spans="1:9" x14ac:dyDescent="0.2">
      <c r="A46" s="18" t="s">
        <v>40</v>
      </c>
    </row>
    <row r="48" spans="1:9" x14ac:dyDescent="0.2">
      <c r="A48" s="18" t="s">
        <v>41</v>
      </c>
    </row>
    <row r="49" spans="1:4" x14ac:dyDescent="0.2">
      <c r="A49" s="18" t="s">
        <v>42</v>
      </c>
    </row>
    <row r="50" spans="1:4" x14ac:dyDescent="0.2">
      <c r="A50" s="18" t="s">
        <v>43</v>
      </c>
      <c r="B50" s="18"/>
      <c r="C50" s="39" t="s">
        <v>45</v>
      </c>
      <c r="D50" s="19" t="s">
        <v>44</v>
      </c>
    </row>
    <row r="51" spans="1:4" x14ac:dyDescent="0.2">
      <c r="A51" s="9" t="s">
        <v>860</v>
      </c>
      <c r="C51" s="40">
        <v>38.684899999999999</v>
      </c>
      <c r="D51" s="40">
        <v>39.418599999999998</v>
      </c>
    </row>
    <row r="52" spans="1:4" x14ac:dyDescent="0.2">
      <c r="A52" s="9" t="s">
        <v>861</v>
      </c>
      <c r="C52" s="40">
        <v>10.1099</v>
      </c>
      <c r="D52" s="40">
        <v>10.1074</v>
      </c>
    </row>
    <row r="53" spans="1:4" x14ac:dyDescent="0.2">
      <c r="A53" s="9" t="s">
        <v>862</v>
      </c>
      <c r="C53" s="40">
        <v>10.134499999999999</v>
      </c>
      <c r="D53" s="40">
        <v>10.135</v>
      </c>
    </row>
    <row r="54" spans="1:4" x14ac:dyDescent="0.2">
      <c r="A54" s="9" t="s">
        <v>863</v>
      </c>
      <c r="C54" s="40">
        <v>10.629300000000001</v>
      </c>
      <c r="D54" s="40">
        <v>10.401899999999999</v>
      </c>
    </row>
    <row r="55" spans="1:4" x14ac:dyDescent="0.2">
      <c r="A55" s="9" t="s">
        <v>864</v>
      </c>
      <c r="C55" s="40">
        <v>39.688800000000001</v>
      </c>
      <c r="D55" s="40">
        <v>40.473599999999998</v>
      </c>
    </row>
    <row r="56" spans="1:4" x14ac:dyDescent="0.2">
      <c r="A56" s="9" t="s">
        <v>865</v>
      </c>
      <c r="C56" s="40">
        <v>10.1198</v>
      </c>
      <c r="D56" s="40">
        <v>10.1175</v>
      </c>
    </row>
    <row r="57" spans="1:4" x14ac:dyDescent="0.2">
      <c r="A57" s="9" t="s">
        <v>866</v>
      </c>
      <c r="C57" s="40">
        <v>10.476000000000001</v>
      </c>
      <c r="D57" s="40">
        <v>10.4909</v>
      </c>
    </row>
    <row r="58" spans="1:4" x14ac:dyDescent="0.2">
      <c r="A58" s="9" t="s">
        <v>867</v>
      </c>
      <c r="C58" s="40">
        <v>11.02</v>
      </c>
      <c r="D58" s="40">
        <v>10.808299999999999</v>
      </c>
    </row>
    <row r="60" spans="1:4" x14ac:dyDescent="0.2">
      <c r="A60" s="18" t="s">
        <v>47</v>
      </c>
    </row>
    <row r="61" spans="1:4" x14ac:dyDescent="0.2">
      <c r="A61" s="74" t="s">
        <v>65</v>
      </c>
      <c r="B61" s="75"/>
      <c r="C61" s="43" t="s">
        <v>66</v>
      </c>
    </row>
    <row r="62" spans="1:4" x14ac:dyDescent="0.2">
      <c r="A62" s="70" t="s">
        <v>861</v>
      </c>
      <c r="B62" s="71"/>
      <c r="C62" s="44">
        <v>0.17921392050000001</v>
      </c>
    </row>
    <row r="63" spans="1:4" x14ac:dyDescent="0.2">
      <c r="A63" s="70" t="s">
        <v>862</v>
      </c>
      <c r="B63" s="71"/>
      <c r="C63" s="44">
        <v>0.16600000000000001</v>
      </c>
    </row>
    <row r="64" spans="1:4" x14ac:dyDescent="0.2">
      <c r="A64" s="70" t="s">
        <v>863</v>
      </c>
      <c r="B64" s="71"/>
      <c r="C64" s="44">
        <v>0.42499999999999999</v>
      </c>
    </row>
    <row r="65" spans="1:5" x14ac:dyDescent="0.2">
      <c r="A65" s="70" t="s">
        <v>865</v>
      </c>
      <c r="B65" s="71"/>
      <c r="C65" s="44">
        <v>0.18629874660000001</v>
      </c>
    </row>
    <row r="66" spans="1:5" x14ac:dyDescent="0.2">
      <c r="A66" s="70" t="s">
        <v>866</v>
      </c>
      <c r="B66" s="71"/>
      <c r="C66" s="44">
        <v>0.16300000000000001</v>
      </c>
    </row>
    <row r="67" spans="1:5" x14ac:dyDescent="0.2">
      <c r="A67" s="70" t="s">
        <v>867</v>
      </c>
      <c r="B67" s="71"/>
      <c r="C67" s="44">
        <v>0.42499999999999999</v>
      </c>
    </row>
    <row r="68" spans="1:5" x14ac:dyDescent="0.2">
      <c r="A68" s="9" t="s">
        <v>67</v>
      </c>
    </row>
    <row r="69" spans="1:5" x14ac:dyDescent="0.2">
      <c r="A69" s="9" t="s">
        <v>46</v>
      </c>
    </row>
    <row r="71" spans="1:5" x14ac:dyDescent="0.2">
      <c r="A71" s="18" t="s">
        <v>816</v>
      </c>
      <c r="D71" s="42">
        <v>0.49951955350684901</v>
      </c>
      <c r="E71" s="13" t="s">
        <v>49</v>
      </c>
    </row>
    <row r="73" spans="1:5" x14ac:dyDescent="0.2">
      <c r="A73" s="18" t="s">
        <v>727</v>
      </c>
      <c r="D73" s="41" t="s">
        <v>48</v>
      </c>
    </row>
    <row r="75" spans="1:5" x14ac:dyDescent="0.2">
      <c r="A75" s="18" t="s">
        <v>817</v>
      </c>
    </row>
    <row r="76" spans="1:5" x14ac:dyDescent="0.2">
      <c r="A76" s="50" t="s">
        <v>51</v>
      </c>
    </row>
  </sheetData>
  <mergeCells count="8">
    <mergeCell ref="A66:B66"/>
    <mergeCell ref="A67:B67"/>
    <mergeCell ref="A1:G1"/>
    <mergeCell ref="A61:B61"/>
    <mergeCell ref="A62:B62"/>
    <mergeCell ref="A63:B63"/>
    <mergeCell ref="A64:B64"/>
    <mergeCell ref="A65:B65"/>
  </mergeCells>
  <conditionalFormatting sqref="F2:F3 F5:F65534">
    <cfRule type="cellIs" dxfId="77" priority="1" stopIfTrue="1" operator="between">
      <formula>0.009</formula>
      <formula>-0.009</formula>
    </cfRule>
  </conditionalFormatting>
  <hyperlinks>
    <hyperlink ref="A76" r:id="rId1" tooltip="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1"/>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2" t="s">
        <v>868</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869</v>
      </c>
      <c r="B7" s="27" t="s">
        <v>870</v>
      </c>
      <c r="C7" s="27" t="s">
        <v>34</v>
      </c>
      <c r="D7" s="31">
        <v>250</v>
      </c>
      <c r="E7" s="29">
        <v>2572.9274999999998</v>
      </c>
      <c r="F7" s="30">
        <v>7.6254968048833902</v>
      </c>
      <c r="G7" s="29">
        <v>4.29</v>
      </c>
    </row>
    <row r="8" spans="1:9" x14ac:dyDescent="0.2">
      <c r="A8" s="27" t="s">
        <v>871</v>
      </c>
      <c r="B8" s="27" t="s">
        <v>872</v>
      </c>
      <c r="C8" s="27" t="s">
        <v>873</v>
      </c>
      <c r="D8" s="31">
        <v>250</v>
      </c>
      <c r="E8" s="29">
        <v>2531.895</v>
      </c>
      <c r="F8" s="30">
        <v>7.50388700528881</v>
      </c>
      <c r="G8" s="29">
        <v>5.74</v>
      </c>
    </row>
    <row r="9" spans="1:9" x14ac:dyDescent="0.2">
      <c r="A9" s="27" t="s">
        <v>91</v>
      </c>
      <c r="B9" s="27" t="s">
        <v>90</v>
      </c>
      <c r="C9" s="27" t="s">
        <v>33</v>
      </c>
      <c r="D9" s="31">
        <v>100</v>
      </c>
      <c r="E9" s="29">
        <v>1015.554</v>
      </c>
      <c r="F9" s="30">
        <v>3.0098414285620301</v>
      </c>
      <c r="G9" s="29">
        <v>8.2774000000000001</v>
      </c>
    </row>
    <row r="10" spans="1:9" x14ac:dyDescent="0.2">
      <c r="A10" s="27" t="s">
        <v>874</v>
      </c>
      <c r="B10" s="27" t="s">
        <v>875</v>
      </c>
      <c r="C10" s="27" t="s">
        <v>876</v>
      </c>
      <c r="D10" s="31">
        <v>100</v>
      </c>
      <c r="E10" s="29">
        <v>1003.674</v>
      </c>
      <c r="F10" s="30">
        <v>2.9746321573944599</v>
      </c>
      <c r="G10" s="29">
        <v>8.7949999999999999</v>
      </c>
    </row>
    <row r="11" spans="1:9" x14ac:dyDescent="0.2">
      <c r="A11" s="26" t="s">
        <v>35</v>
      </c>
      <c r="B11" s="26"/>
      <c r="C11" s="26"/>
      <c r="D11" s="32"/>
      <c r="E11" s="33">
        <f>SUM(E6:E10)</f>
        <v>7124.0505000000003</v>
      </c>
      <c r="F11" s="34">
        <f>SUM(F6:F10)</f>
        <v>21.11385739612869</v>
      </c>
      <c r="G11" s="33"/>
      <c r="H11" s="18"/>
      <c r="I11" s="18"/>
    </row>
    <row r="12" spans="1:9" x14ac:dyDescent="0.2">
      <c r="A12" s="27"/>
      <c r="B12" s="27"/>
      <c r="C12" s="27"/>
      <c r="D12" s="28"/>
      <c r="E12" s="29"/>
      <c r="F12" s="30"/>
      <c r="G12" s="29"/>
    </row>
    <row r="13" spans="1:9" x14ac:dyDescent="0.2">
      <c r="A13" s="26" t="s">
        <v>52</v>
      </c>
      <c r="B13" s="27"/>
      <c r="C13" s="27"/>
      <c r="D13" s="28"/>
      <c r="E13" s="29"/>
      <c r="F13" s="30"/>
      <c r="G13" s="29"/>
    </row>
    <row r="14" spans="1:9" x14ac:dyDescent="0.2">
      <c r="A14" s="26" t="s">
        <v>53</v>
      </c>
      <c r="B14" s="27"/>
      <c r="C14" s="27"/>
      <c r="D14" s="28"/>
      <c r="E14" s="29"/>
      <c r="F14" s="30"/>
      <c r="G14" s="29"/>
    </row>
    <row r="15" spans="1:9" x14ac:dyDescent="0.2">
      <c r="A15" s="27" t="s">
        <v>824</v>
      </c>
      <c r="B15" s="27" t="s">
        <v>825</v>
      </c>
      <c r="C15" s="27" t="s">
        <v>54</v>
      </c>
      <c r="D15" s="31">
        <v>1000</v>
      </c>
      <c r="E15" s="29">
        <v>1000.385</v>
      </c>
      <c r="F15" s="30">
        <v>2.9648844054693599</v>
      </c>
      <c r="G15" s="29">
        <v>3.69</v>
      </c>
    </row>
    <row r="16" spans="1:9" x14ac:dyDescent="0.2">
      <c r="A16" s="26" t="s">
        <v>35</v>
      </c>
      <c r="B16" s="26"/>
      <c r="C16" s="26"/>
      <c r="D16" s="32"/>
      <c r="E16" s="33">
        <f>SUM(E14:E15)</f>
        <v>1000.385</v>
      </c>
      <c r="F16" s="34">
        <f>SUM(F14:F15)</f>
        <v>2.9648844054693599</v>
      </c>
      <c r="G16" s="33"/>
      <c r="H16" s="18"/>
      <c r="I16" s="18"/>
    </row>
    <row r="17" spans="1:9" x14ac:dyDescent="0.2">
      <c r="A17" s="27"/>
      <c r="B17" s="27"/>
      <c r="C17" s="27"/>
      <c r="D17" s="28"/>
      <c r="E17" s="29"/>
      <c r="F17" s="30"/>
      <c r="G17" s="29"/>
    </row>
    <row r="18" spans="1:9" x14ac:dyDescent="0.2">
      <c r="A18" s="26" t="s">
        <v>56</v>
      </c>
      <c r="B18" s="27"/>
      <c r="C18" s="27"/>
      <c r="D18" s="28"/>
      <c r="E18" s="29"/>
      <c r="F18" s="30"/>
      <c r="G18" s="29"/>
    </row>
    <row r="19" spans="1:9" x14ac:dyDescent="0.2">
      <c r="A19" s="27" t="s">
        <v>877</v>
      </c>
      <c r="B19" s="27" t="s">
        <v>878</v>
      </c>
      <c r="C19" s="27" t="s">
        <v>54</v>
      </c>
      <c r="D19" s="31">
        <v>500</v>
      </c>
      <c r="E19" s="29">
        <v>2463.6824999999999</v>
      </c>
      <c r="F19" s="30">
        <v>7.30172266105326</v>
      </c>
      <c r="G19" s="29">
        <v>3.5398999999999998</v>
      </c>
    </row>
    <row r="20" spans="1:9" x14ac:dyDescent="0.2">
      <c r="A20" s="27" t="s">
        <v>879</v>
      </c>
      <c r="B20" s="27" t="s">
        <v>880</v>
      </c>
      <c r="C20" s="27" t="s">
        <v>54</v>
      </c>
      <c r="D20" s="31">
        <v>500</v>
      </c>
      <c r="E20" s="29">
        <v>2404.2575000000002</v>
      </c>
      <c r="F20" s="30">
        <v>7.1256022116312696</v>
      </c>
      <c r="G20" s="29">
        <v>4.2625000000000002</v>
      </c>
    </row>
    <row r="21" spans="1:9" x14ac:dyDescent="0.2">
      <c r="A21" s="26" t="s">
        <v>35</v>
      </c>
      <c r="B21" s="26"/>
      <c r="C21" s="26"/>
      <c r="D21" s="32"/>
      <c r="E21" s="33">
        <f>SUM(E18:E20)</f>
        <v>4867.9400000000005</v>
      </c>
      <c r="F21" s="34">
        <f>SUM(F18:F20)</f>
        <v>14.42732487268453</v>
      </c>
      <c r="G21" s="33"/>
      <c r="H21" s="18"/>
      <c r="I21" s="18"/>
    </row>
    <row r="22" spans="1:9" x14ac:dyDescent="0.2">
      <c r="A22" s="27"/>
      <c r="B22" s="27"/>
      <c r="C22" s="27"/>
      <c r="D22" s="28"/>
      <c r="E22" s="29"/>
      <c r="F22" s="30"/>
      <c r="G22" s="29"/>
    </row>
    <row r="23" spans="1:9" x14ac:dyDescent="0.2">
      <c r="A23" s="26" t="s">
        <v>62</v>
      </c>
      <c r="B23" s="27"/>
      <c r="C23" s="27"/>
      <c r="D23" s="28"/>
      <c r="E23" s="29"/>
      <c r="F23" s="30"/>
      <c r="G23" s="29"/>
    </row>
    <row r="24" spans="1:9" x14ac:dyDescent="0.2">
      <c r="A24" s="27" t="s">
        <v>881</v>
      </c>
      <c r="B24" s="27" t="s">
        <v>882</v>
      </c>
      <c r="C24" s="27" t="s">
        <v>63</v>
      </c>
      <c r="D24" s="31">
        <v>6500000</v>
      </c>
      <c r="E24" s="29">
        <v>6435.0519999999997</v>
      </c>
      <c r="F24" s="30">
        <v>19.0718426637589</v>
      </c>
      <c r="G24" s="29">
        <v>3.8367448594967102</v>
      </c>
    </row>
    <row r="25" spans="1:9" x14ac:dyDescent="0.2">
      <c r="A25" s="27" t="s">
        <v>883</v>
      </c>
      <c r="B25" s="27" t="s">
        <v>884</v>
      </c>
      <c r="C25" s="27" t="s">
        <v>63</v>
      </c>
      <c r="D25" s="31">
        <v>5000000</v>
      </c>
      <c r="E25" s="29">
        <v>5016.2950000000001</v>
      </c>
      <c r="F25" s="30">
        <v>14.8670110194914</v>
      </c>
      <c r="G25" s="29">
        <v>4.6639412884207703</v>
      </c>
    </row>
    <row r="26" spans="1:9" x14ac:dyDescent="0.2">
      <c r="A26" s="27" t="s">
        <v>885</v>
      </c>
      <c r="B26" s="27" t="s">
        <v>886</v>
      </c>
      <c r="C26" s="27" t="s">
        <v>63</v>
      </c>
      <c r="D26" s="31">
        <v>3000000</v>
      </c>
      <c r="E26" s="29">
        <v>3011.91</v>
      </c>
      <c r="F26" s="30">
        <v>8.9265282762908509</v>
      </c>
      <c r="G26" s="29">
        <v>4.5408570015417498</v>
      </c>
    </row>
    <row r="27" spans="1:9" x14ac:dyDescent="0.2">
      <c r="A27" s="27" t="s">
        <v>887</v>
      </c>
      <c r="B27" s="27" t="s">
        <v>888</v>
      </c>
      <c r="C27" s="27" t="s">
        <v>63</v>
      </c>
      <c r="D27" s="31">
        <v>2000000</v>
      </c>
      <c r="E27" s="29">
        <v>2069.0320000000002</v>
      </c>
      <c r="F27" s="30">
        <v>6.1320798604707996</v>
      </c>
      <c r="G27" s="29">
        <v>3.8532999999999999</v>
      </c>
    </row>
    <row r="28" spans="1:9" x14ac:dyDescent="0.2">
      <c r="A28" s="27" t="s">
        <v>889</v>
      </c>
      <c r="B28" s="27" t="s">
        <v>890</v>
      </c>
      <c r="C28" s="27" t="s">
        <v>63</v>
      </c>
      <c r="D28" s="31">
        <v>1000000</v>
      </c>
      <c r="E28" s="29">
        <v>1000.263</v>
      </c>
      <c r="F28" s="30">
        <v>2.9645228287789198</v>
      </c>
      <c r="G28" s="29">
        <v>4.4646999999999997</v>
      </c>
    </row>
    <row r="29" spans="1:9" x14ac:dyDescent="0.2">
      <c r="A29" s="27" t="s">
        <v>891</v>
      </c>
      <c r="B29" s="27" t="s">
        <v>892</v>
      </c>
      <c r="C29" s="27" t="s">
        <v>63</v>
      </c>
      <c r="D29" s="31">
        <v>500000</v>
      </c>
      <c r="E29" s="29">
        <v>519.10550000000001</v>
      </c>
      <c r="F29" s="30">
        <v>1.5384954809832001</v>
      </c>
      <c r="G29" s="29">
        <v>3.9748999999999999</v>
      </c>
    </row>
    <row r="30" spans="1:9" x14ac:dyDescent="0.2">
      <c r="A30" s="26" t="s">
        <v>35</v>
      </c>
      <c r="B30" s="26"/>
      <c r="C30" s="26"/>
      <c r="D30" s="32"/>
      <c r="E30" s="33">
        <f>SUM(E24:E29)</f>
        <v>18051.657500000001</v>
      </c>
      <c r="F30" s="34">
        <f>SUM(F24:F29)</f>
        <v>53.500480129774068</v>
      </c>
      <c r="G30" s="33"/>
      <c r="H30" s="18"/>
      <c r="I30" s="18"/>
    </row>
    <row r="31" spans="1:9" x14ac:dyDescent="0.2">
      <c r="A31" s="27"/>
      <c r="B31" s="27"/>
      <c r="C31" s="27"/>
      <c r="D31" s="28"/>
      <c r="E31" s="29"/>
      <c r="F31" s="30"/>
      <c r="G31" s="29"/>
    </row>
    <row r="32" spans="1:9" x14ac:dyDescent="0.2">
      <c r="A32" s="26" t="s">
        <v>37</v>
      </c>
      <c r="B32" s="26"/>
      <c r="C32" s="26"/>
      <c r="D32" s="32"/>
      <c r="E32" s="33">
        <f>E11+E16+E21+E30</f>
        <v>31044.033000000003</v>
      </c>
      <c r="F32" s="34">
        <f>F11+F16+F21+F30</f>
        <v>92.006546804056654</v>
      </c>
      <c r="G32" s="33"/>
      <c r="H32" s="18"/>
      <c r="I32" s="18"/>
    </row>
    <row r="33" spans="1:9" x14ac:dyDescent="0.2">
      <c r="A33" s="26"/>
      <c r="B33" s="26"/>
      <c r="C33" s="26"/>
      <c r="D33" s="32"/>
      <c r="E33" s="33"/>
      <c r="F33" s="34"/>
      <c r="G33" s="33"/>
      <c r="H33" s="18"/>
      <c r="I33" s="18"/>
    </row>
    <row r="34" spans="1:9" x14ac:dyDescent="0.2">
      <c r="A34" s="26" t="s">
        <v>39</v>
      </c>
      <c r="B34" s="26"/>
      <c r="C34" s="26"/>
      <c r="D34" s="32"/>
      <c r="E34" s="33">
        <f>E36-(E11+E16+E21+E30)</f>
        <v>2697.0800820000004</v>
      </c>
      <c r="F34" s="34">
        <f>F36-(F11+F16+F21+F30)</f>
        <v>7.9934531959433457</v>
      </c>
      <c r="G34" s="33"/>
      <c r="H34" s="18"/>
      <c r="I34" s="18"/>
    </row>
    <row r="35" spans="1:9" x14ac:dyDescent="0.2">
      <c r="A35" s="26"/>
      <c r="B35" s="26"/>
      <c r="C35" s="26"/>
      <c r="D35" s="32"/>
      <c r="E35" s="33"/>
      <c r="F35" s="34"/>
      <c r="G35" s="33"/>
      <c r="H35" s="18"/>
      <c r="I35" s="18"/>
    </row>
    <row r="36" spans="1:9" x14ac:dyDescent="0.2">
      <c r="A36" s="35" t="s">
        <v>38</v>
      </c>
      <c r="B36" s="35"/>
      <c r="C36" s="35"/>
      <c r="D36" s="36"/>
      <c r="E36" s="37">
        <v>33741.113082000003</v>
      </c>
      <c r="F36" s="38">
        <v>100</v>
      </c>
      <c r="G36" s="37"/>
      <c r="H36" s="18"/>
      <c r="I36" s="18"/>
    </row>
    <row r="38" spans="1:9" x14ac:dyDescent="0.2">
      <c r="A38" s="18" t="s">
        <v>64</v>
      </c>
    </row>
    <row r="39" spans="1:9" x14ac:dyDescent="0.2">
      <c r="A39" s="18" t="s">
        <v>40</v>
      </c>
    </row>
    <row r="41" spans="1:9" x14ac:dyDescent="0.2">
      <c r="A41" s="18" t="s">
        <v>41</v>
      </c>
    </row>
    <row r="42" spans="1:9" x14ac:dyDescent="0.2">
      <c r="A42" s="18" t="s">
        <v>42</v>
      </c>
    </row>
    <row r="43" spans="1:9" x14ac:dyDescent="0.2">
      <c r="A43" s="18" t="s">
        <v>43</v>
      </c>
      <c r="B43" s="18"/>
      <c r="C43" s="39" t="s">
        <v>45</v>
      </c>
      <c r="D43" s="19" t="s">
        <v>44</v>
      </c>
    </row>
    <row r="44" spans="1:9" x14ac:dyDescent="0.2">
      <c r="A44" s="9" t="s">
        <v>68</v>
      </c>
      <c r="C44" s="40">
        <v>31.227</v>
      </c>
      <c r="D44" s="40">
        <v>31.8294</v>
      </c>
    </row>
    <row r="45" spans="1:9" x14ac:dyDescent="0.2">
      <c r="A45" s="9" t="s">
        <v>819</v>
      </c>
      <c r="C45" s="40">
        <v>10.1629</v>
      </c>
      <c r="D45" s="40">
        <v>10.1616</v>
      </c>
    </row>
    <row r="46" spans="1:9" x14ac:dyDescent="0.2">
      <c r="A46" s="9" t="s">
        <v>71</v>
      </c>
      <c r="C46" s="40">
        <v>33.046399999999998</v>
      </c>
      <c r="D46" s="40">
        <v>33.790999999999997</v>
      </c>
    </row>
    <row r="47" spans="1:9" x14ac:dyDescent="0.2">
      <c r="A47" s="9" t="s">
        <v>821</v>
      </c>
      <c r="C47" s="40">
        <v>10.065</v>
      </c>
      <c r="D47" s="40">
        <v>10.062099999999999</v>
      </c>
    </row>
    <row r="49" spans="1:5" x14ac:dyDescent="0.2">
      <c r="A49" s="18" t="s">
        <v>47</v>
      </c>
    </row>
    <row r="50" spans="1:5" x14ac:dyDescent="0.2">
      <c r="A50" s="74" t="s">
        <v>65</v>
      </c>
      <c r="B50" s="75"/>
      <c r="C50" s="43" t="s">
        <v>66</v>
      </c>
    </row>
    <row r="51" spans="1:5" x14ac:dyDescent="0.2">
      <c r="A51" s="70" t="s">
        <v>819</v>
      </c>
      <c r="B51" s="71"/>
      <c r="C51" s="44">
        <v>0.18376256390000001</v>
      </c>
    </row>
    <row r="52" spans="1:5" x14ac:dyDescent="0.2">
      <c r="A52" s="70" t="s">
        <v>821</v>
      </c>
      <c r="B52" s="71"/>
      <c r="C52" s="44">
        <v>0.2090574355</v>
      </c>
    </row>
    <row r="53" spans="1:5" x14ac:dyDescent="0.2">
      <c r="A53" s="9" t="s">
        <v>67</v>
      </c>
    </row>
    <row r="54" spans="1:5" x14ac:dyDescent="0.2">
      <c r="A54" s="9" t="s">
        <v>46</v>
      </c>
    </row>
    <row r="56" spans="1:5" x14ac:dyDescent="0.2">
      <c r="A56" s="18" t="s">
        <v>816</v>
      </c>
      <c r="D56" s="42">
        <v>3.9592741186027398</v>
      </c>
      <c r="E56" s="13" t="s">
        <v>49</v>
      </c>
    </row>
    <row r="58" spans="1:5" x14ac:dyDescent="0.2">
      <c r="A58" s="18" t="s">
        <v>727</v>
      </c>
      <c r="D58" s="41" t="s">
        <v>48</v>
      </c>
    </row>
    <row r="60" spans="1:5" x14ac:dyDescent="0.2">
      <c r="A60" s="18" t="s">
        <v>817</v>
      </c>
    </row>
    <row r="61" spans="1:5" x14ac:dyDescent="0.2">
      <c r="A61" s="50" t="s">
        <v>51</v>
      </c>
    </row>
  </sheetData>
  <mergeCells count="4">
    <mergeCell ref="A1:G1"/>
    <mergeCell ref="A50:B50"/>
    <mergeCell ref="A51:B51"/>
    <mergeCell ref="A52:B52"/>
  </mergeCells>
  <conditionalFormatting sqref="F2:F3 F5:F65534">
    <cfRule type="cellIs" dxfId="76" priority="1" stopIfTrue="1" operator="between">
      <formula>0.009</formula>
      <formula>-0.009</formula>
    </cfRule>
  </conditionalFormatting>
  <hyperlinks>
    <hyperlink ref="A61" r:id="rId1" tooltip="https://www.franklintempletonindia.com/downloadsServlet/pdf/product-labels-jg9o5k7l" xr:uid="{00000000-0004-0000-0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893</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894</v>
      </c>
      <c r="B7" s="27" t="s">
        <v>895</v>
      </c>
      <c r="C7" s="27" t="s">
        <v>896</v>
      </c>
      <c r="D7" s="31">
        <v>550</v>
      </c>
      <c r="E7" s="29">
        <v>5850.3334999999997</v>
      </c>
      <c r="F7" s="30">
        <v>6.9985672386727202</v>
      </c>
      <c r="G7" s="29">
        <v>4.4800000000000004</v>
      </c>
    </row>
    <row r="8" spans="1:7" x14ac:dyDescent="0.2">
      <c r="A8" s="27" t="s">
        <v>897</v>
      </c>
      <c r="B8" s="27" t="s">
        <v>898</v>
      </c>
      <c r="C8" s="27" t="s">
        <v>34</v>
      </c>
      <c r="D8" s="31">
        <v>500</v>
      </c>
      <c r="E8" s="29">
        <v>5318.6850000000004</v>
      </c>
      <c r="F8" s="30">
        <v>6.3625731069553604</v>
      </c>
      <c r="G8" s="29">
        <v>4.7850000000000001</v>
      </c>
    </row>
    <row r="9" spans="1:7" x14ac:dyDescent="0.2">
      <c r="A9" s="27" t="s">
        <v>899</v>
      </c>
      <c r="B9" s="27" t="s">
        <v>900</v>
      </c>
      <c r="C9" s="27" t="s">
        <v>34</v>
      </c>
      <c r="D9" s="31">
        <v>500</v>
      </c>
      <c r="E9" s="29">
        <v>5058.585</v>
      </c>
      <c r="F9" s="30">
        <v>6.0514237786685596</v>
      </c>
      <c r="G9" s="29">
        <v>3.6850000000000001</v>
      </c>
    </row>
    <row r="10" spans="1:7" x14ac:dyDescent="0.2">
      <c r="A10" s="27" t="s">
        <v>901</v>
      </c>
      <c r="B10" s="27" t="s">
        <v>902</v>
      </c>
      <c r="C10" s="27" t="s">
        <v>903</v>
      </c>
      <c r="D10" s="31">
        <v>430</v>
      </c>
      <c r="E10" s="29">
        <v>4398.6850000000004</v>
      </c>
      <c r="F10" s="30">
        <v>5.2620064709543701</v>
      </c>
      <c r="G10" s="29">
        <v>4.6848999999999998</v>
      </c>
    </row>
    <row r="11" spans="1:7" x14ac:dyDescent="0.2">
      <c r="A11" s="27" t="s">
        <v>904</v>
      </c>
      <c r="B11" s="27" t="s">
        <v>905</v>
      </c>
      <c r="C11" s="27" t="s">
        <v>896</v>
      </c>
      <c r="D11" s="31">
        <v>264</v>
      </c>
      <c r="E11" s="29">
        <v>2710.8628800000001</v>
      </c>
      <c r="F11" s="30">
        <v>3.2429187396756101</v>
      </c>
      <c r="G11" s="29">
        <v>4.9050000000000002</v>
      </c>
    </row>
    <row r="12" spans="1:7" x14ac:dyDescent="0.2">
      <c r="A12" s="27" t="s">
        <v>906</v>
      </c>
      <c r="B12" s="27" t="s">
        <v>907</v>
      </c>
      <c r="C12" s="27" t="s">
        <v>34</v>
      </c>
      <c r="D12" s="31">
        <v>250</v>
      </c>
      <c r="E12" s="29">
        <v>2614.0149999999999</v>
      </c>
      <c r="F12" s="30">
        <v>3.12706271196318</v>
      </c>
      <c r="G12" s="29">
        <v>6.4749999999999996</v>
      </c>
    </row>
    <row r="13" spans="1:7" x14ac:dyDescent="0.2">
      <c r="A13" s="27" t="s">
        <v>908</v>
      </c>
      <c r="B13" s="27" t="s">
        <v>909</v>
      </c>
      <c r="C13" s="27" t="s">
        <v>34</v>
      </c>
      <c r="D13" s="31">
        <v>250</v>
      </c>
      <c r="E13" s="29">
        <v>2602.5450000000001</v>
      </c>
      <c r="F13" s="30">
        <v>3.11334151705565</v>
      </c>
      <c r="G13" s="29">
        <v>5.5399000000000003</v>
      </c>
    </row>
    <row r="14" spans="1:7" x14ac:dyDescent="0.2">
      <c r="A14" s="27" t="s">
        <v>910</v>
      </c>
      <c r="B14" s="27" t="s">
        <v>911</v>
      </c>
      <c r="C14" s="27" t="s">
        <v>34</v>
      </c>
      <c r="D14" s="31">
        <v>250</v>
      </c>
      <c r="E14" s="29">
        <v>2578.3775000000001</v>
      </c>
      <c r="F14" s="30">
        <v>3.08443070816918</v>
      </c>
      <c r="G14" s="29">
        <v>4.3600000000000003</v>
      </c>
    </row>
    <row r="15" spans="1:7" x14ac:dyDescent="0.2">
      <c r="A15" s="27" t="s">
        <v>912</v>
      </c>
      <c r="B15" s="27" t="s">
        <v>913</v>
      </c>
      <c r="C15" s="27" t="s">
        <v>34</v>
      </c>
      <c r="D15" s="31">
        <v>250</v>
      </c>
      <c r="E15" s="29">
        <v>2569.9875000000002</v>
      </c>
      <c r="F15" s="30">
        <v>3.0743940189560801</v>
      </c>
      <c r="G15" s="29">
        <v>4.47</v>
      </c>
    </row>
    <row r="16" spans="1:7" x14ac:dyDescent="0.2">
      <c r="A16" s="27" t="s">
        <v>914</v>
      </c>
      <c r="B16" s="27" t="s">
        <v>915</v>
      </c>
      <c r="C16" s="27" t="s">
        <v>34</v>
      </c>
      <c r="D16" s="31">
        <v>250</v>
      </c>
      <c r="E16" s="29">
        <v>2566.2150000000001</v>
      </c>
      <c r="F16" s="30">
        <v>3.0698810976144402</v>
      </c>
      <c r="G16" s="29">
        <v>4</v>
      </c>
    </row>
    <row r="17" spans="1:7" x14ac:dyDescent="0.2">
      <c r="A17" s="27" t="s">
        <v>916</v>
      </c>
      <c r="B17" s="27" t="s">
        <v>917</v>
      </c>
      <c r="C17" s="27" t="s">
        <v>34</v>
      </c>
      <c r="D17" s="31">
        <v>250</v>
      </c>
      <c r="E17" s="29">
        <v>2558.1374999999998</v>
      </c>
      <c r="F17" s="30">
        <v>3.06021824217716</v>
      </c>
      <c r="G17" s="29">
        <v>3.72</v>
      </c>
    </row>
    <row r="18" spans="1:7" x14ac:dyDescent="0.2">
      <c r="A18" s="27" t="s">
        <v>918</v>
      </c>
      <c r="B18" s="27" t="s">
        <v>919</v>
      </c>
      <c r="C18" s="27" t="s">
        <v>34</v>
      </c>
      <c r="D18" s="31">
        <v>250</v>
      </c>
      <c r="E18" s="29">
        <v>2556.5825</v>
      </c>
      <c r="F18" s="30">
        <v>3.0583580453087</v>
      </c>
      <c r="G18" s="29">
        <v>4.4431000000000003</v>
      </c>
    </row>
    <row r="19" spans="1:7" x14ac:dyDescent="0.2">
      <c r="A19" s="27" t="s">
        <v>920</v>
      </c>
      <c r="B19" s="27" t="s">
        <v>921</v>
      </c>
      <c r="C19" s="27" t="s">
        <v>34</v>
      </c>
      <c r="D19" s="31">
        <v>250</v>
      </c>
      <c r="E19" s="29">
        <v>2525.5650000000001</v>
      </c>
      <c r="F19" s="30">
        <v>3.0212528000563501</v>
      </c>
      <c r="G19" s="29">
        <v>4.2450000000000001</v>
      </c>
    </row>
    <row r="20" spans="1:7" x14ac:dyDescent="0.2">
      <c r="A20" s="27" t="s">
        <v>922</v>
      </c>
      <c r="B20" s="27" t="s">
        <v>923</v>
      </c>
      <c r="C20" s="27" t="s">
        <v>34</v>
      </c>
      <c r="D20" s="31">
        <v>166</v>
      </c>
      <c r="E20" s="29">
        <v>2153.4831399999998</v>
      </c>
      <c r="F20" s="30">
        <v>2.5761431468202698</v>
      </c>
      <c r="G20" s="29">
        <v>4.0149999999999997</v>
      </c>
    </row>
    <row r="21" spans="1:7" x14ac:dyDescent="0.2">
      <c r="A21" s="27" t="s">
        <v>924</v>
      </c>
      <c r="B21" s="27" t="s">
        <v>925</v>
      </c>
      <c r="C21" s="27" t="s">
        <v>926</v>
      </c>
      <c r="D21" s="31">
        <v>200</v>
      </c>
      <c r="E21" s="29">
        <v>2102.7080000000001</v>
      </c>
      <c r="F21" s="30">
        <v>2.5154024674482298</v>
      </c>
      <c r="G21" s="29">
        <v>4.5496999999999996</v>
      </c>
    </row>
    <row r="22" spans="1:7" x14ac:dyDescent="0.2">
      <c r="A22" s="27" t="s">
        <v>927</v>
      </c>
      <c r="B22" s="27" t="s">
        <v>928</v>
      </c>
      <c r="C22" s="27" t="s">
        <v>34</v>
      </c>
      <c r="D22" s="31">
        <v>200</v>
      </c>
      <c r="E22" s="29">
        <v>2101.54</v>
      </c>
      <c r="F22" s="30">
        <v>2.5140052263277402</v>
      </c>
      <c r="G22" s="29">
        <v>5.1498999999999997</v>
      </c>
    </row>
    <row r="23" spans="1:7" x14ac:dyDescent="0.2">
      <c r="A23" s="27" t="s">
        <v>929</v>
      </c>
      <c r="B23" s="27" t="s">
        <v>930</v>
      </c>
      <c r="C23" s="27" t="s">
        <v>34</v>
      </c>
      <c r="D23" s="31">
        <v>187</v>
      </c>
      <c r="E23" s="29">
        <v>1877.10787</v>
      </c>
      <c r="F23" s="30">
        <v>2.24552423249661</v>
      </c>
      <c r="G23" s="29">
        <v>3.5849000000000002</v>
      </c>
    </row>
    <row r="24" spans="1:7" x14ac:dyDescent="0.2">
      <c r="A24" s="27" t="s">
        <v>931</v>
      </c>
      <c r="B24" s="27" t="s">
        <v>932</v>
      </c>
      <c r="C24" s="27" t="s">
        <v>34</v>
      </c>
      <c r="D24" s="31">
        <v>180</v>
      </c>
      <c r="E24" s="29">
        <v>1824.2945999999999</v>
      </c>
      <c r="F24" s="30">
        <v>2.1823454032573602</v>
      </c>
      <c r="G24" s="29">
        <v>3.57</v>
      </c>
    </row>
    <row r="25" spans="1:7" x14ac:dyDescent="0.2">
      <c r="A25" s="27" t="s">
        <v>933</v>
      </c>
      <c r="B25" s="27" t="s">
        <v>934</v>
      </c>
      <c r="C25" s="27" t="s">
        <v>935</v>
      </c>
      <c r="D25" s="31">
        <v>160</v>
      </c>
      <c r="E25" s="29">
        <v>1813.36</v>
      </c>
      <c r="F25" s="30">
        <v>2.1692646902812598</v>
      </c>
      <c r="G25" s="29">
        <v>7.4050000000000002</v>
      </c>
    </row>
    <row r="26" spans="1:7" x14ac:dyDescent="0.2">
      <c r="A26" s="27" t="s">
        <v>936</v>
      </c>
      <c r="B26" s="27" t="s">
        <v>937</v>
      </c>
      <c r="C26" s="27" t="s">
        <v>926</v>
      </c>
      <c r="D26" s="31">
        <v>150</v>
      </c>
      <c r="E26" s="29">
        <v>1509.2715000000001</v>
      </c>
      <c r="F26" s="30">
        <v>1.8054933234425801</v>
      </c>
      <c r="G26" s="29">
        <v>4.8949999999999996</v>
      </c>
    </row>
    <row r="27" spans="1:7" x14ac:dyDescent="0.2">
      <c r="A27" s="27" t="s">
        <v>938</v>
      </c>
      <c r="B27" s="27" t="s">
        <v>939</v>
      </c>
      <c r="C27" s="27" t="s">
        <v>926</v>
      </c>
      <c r="D27" s="31">
        <v>140</v>
      </c>
      <c r="E27" s="29">
        <v>1508.3026</v>
      </c>
      <c r="F27" s="30">
        <v>1.8043342592973299</v>
      </c>
      <c r="G27" s="29">
        <v>4.9850000000000003</v>
      </c>
    </row>
    <row r="28" spans="1:7" x14ac:dyDescent="0.2">
      <c r="A28" s="27" t="s">
        <v>940</v>
      </c>
      <c r="B28" s="27" t="s">
        <v>941</v>
      </c>
      <c r="C28" s="27" t="s">
        <v>34</v>
      </c>
      <c r="D28" s="31">
        <v>100</v>
      </c>
      <c r="E28" s="29">
        <v>1076.7829999999999</v>
      </c>
      <c r="F28" s="30">
        <v>1.2881211347968</v>
      </c>
      <c r="G28" s="29">
        <v>5.92</v>
      </c>
    </row>
    <row r="29" spans="1:7" x14ac:dyDescent="0.2">
      <c r="A29" s="27" t="s">
        <v>942</v>
      </c>
      <c r="B29" s="27" t="s">
        <v>943</v>
      </c>
      <c r="C29" s="27" t="s">
        <v>34</v>
      </c>
      <c r="D29" s="31">
        <v>100</v>
      </c>
      <c r="E29" s="29">
        <v>1050.067</v>
      </c>
      <c r="F29" s="30">
        <v>1.2561616367018</v>
      </c>
      <c r="G29" s="29">
        <v>5.7</v>
      </c>
    </row>
    <row r="30" spans="1:7" x14ac:dyDescent="0.2">
      <c r="A30" s="27" t="s">
        <v>944</v>
      </c>
      <c r="B30" s="27" t="s">
        <v>945</v>
      </c>
      <c r="C30" s="27" t="s">
        <v>34</v>
      </c>
      <c r="D30" s="31">
        <v>100</v>
      </c>
      <c r="E30" s="29">
        <v>1036.9559999999999</v>
      </c>
      <c r="F30" s="30">
        <v>1.2404773658707</v>
      </c>
      <c r="G30" s="29">
        <v>4.6749999999999998</v>
      </c>
    </row>
    <row r="31" spans="1:7" x14ac:dyDescent="0.2">
      <c r="A31" s="27" t="s">
        <v>946</v>
      </c>
      <c r="B31" s="27" t="s">
        <v>947</v>
      </c>
      <c r="C31" s="27" t="s">
        <v>948</v>
      </c>
      <c r="D31" s="31">
        <v>100</v>
      </c>
      <c r="E31" s="29">
        <v>1024.3579999999999</v>
      </c>
      <c r="F31" s="30">
        <v>1.2254067805659801</v>
      </c>
      <c r="G31" s="29">
        <v>9.6399000000000008</v>
      </c>
    </row>
    <row r="32" spans="1:7" x14ac:dyDescent="0.2">
      <c r="A32" s="27" t="s">
        <v>949</v>
      </c>
      <c r="B32" s="27" t="s">
        <v>950</v>
      </c>
      <c r="C32" s="27" t="s">
        <v>34</v>
      </c>
      <c r="D32" s="31">
        <v>76</v>
      </c>
      <c r="E32" s="29">
        <v>777.79615999999999</v>
      </c>
      <c r="F32" s="30">
        <v>0.93045272098444398</v>
      </c>
      <c r="G32" s="29">
        <v>3.71</v>
      </c>
    </row>
    <row r="33" spans="1:9" x14ac:dyDescent="0.2">
      <c r="A33" s="27" t="s">
        <v>951</v>
      </c>
      <c r="B33" s="27" t="s">
        <v>952</v>
      </c>
      <c r="C33" s="27" t="s">
        <v>873</v>
      </c>
      <c r="D33" s="31">
        <v>59</v>
      </c>
      <c r="E33" s="29">
        <v>605.40254000000004</v>
      </c>
      <c r="F33" s="30">
        <v>0.72422373573288601</v>
      </c>
      <c r="G33" s="29">
        <v>3.8395000000000001</v>
      </c>
    </row>
    <row r="34" spans="1:9" x14ac:dyDescent="0.2">
      <c r="A34" s="27" t="s">
        <v>953</v>
      </c>
      <c r="B34" s="27" t="s">
        <v>954</v>
      </c>
      <c r="C34" s="27" t="s">
        <v>34</v>
      </c>
      <c r="D34" s="31">
        <v>45</v>
      </c>
      <c r="E34" s="29">
        <v>491.83875</v>
      </c>
      <c r="F34" s="30">
        <v>0.58837099841568696</v>
      </c>
      <c r="G34" s="29">
        <v>5.9292999999999996</v>
      </c>
    </row>
    <row r="35" spans="1:9" x14ac:dyDescent="0.2">
      <c r="A35" s="27" t="s">
        <v>955</v>
      </c>
      <c r="B35" s="27" t="s">
        <v>956</v>
      </c>
      <c r="C35" s="27" t="s">
        <v>34</v>
      </c>
      <c r="D35" s="31">
        <v>31</v>
      </c>
      <c r="E35" s="29">
        <v>392.54556000000002</v>
      </c>
      <c r="F35" s="30">
        <v>0.46958972439817898</v>
      </c>
      <c r="G35" s="29">
        <v>4.0998999999999999</v>
      </c>
    </row>
    <row r="36" spans="1:9" x14ac:dyDescent="0.2">
      <c r="A36" s="27" t="s">
        <v>957</v>
      </c>
      <c r="B36" s="27" t="s">
        <v>958</v>
      </c>
      <c r="C36" s="27" t="s">
        <v>926</v>
      </c>
      <c r="D36" s="31">
        <v>34</v>
      </c>
      <c r="E36" s="29">
        <v>348.06819999999999</v>
      </c>
      <c r="F36" s="30">
        <v>0.41638287823143499</v>
      </c>
      <c r="G36" s="29">
        <v>3.69</v>
      </c>
    </row>
    <row r="37" spans="1:9" x14ac:dyDescent="0.2">
      <c r="A37" s="27" t="s">
        <v>959</v>
      </c>
      <c r="B37" s="27" t="s">
        <v>960</v>
      </c>
      <c r="C37" s="27" t="s">
        <v>34</v>
      </c>
      <c r="D37" s="31">
        <v>33</v>
      </c>
      <c r="E37" s="29">
        <v>330.55176</v>
      </c>
      <c r="F37" s="30">
        <v>0.39542852013848601</v>
      </c>
      <c r="G37" s="29">
        <v>3.4344000000000001</v>
      </c>
    </row>
    <row r="38" spans="1:9" x14ac:dyDescent="0.2">
      <c r="A38" s="27" t="s">
        <v>961</v>
      </c>
      <c r="B38" s="27" t="s">
        <v>962</v>
      </c>
      <c r="C38" s="27" t="s">
        <v>34</v>
      </c>
      <c r="D38" s="31">
        <v>15</v>
      </c>
      <c r="E38" s="29">
        <v>195.2013</v>
      </c>
      <c r="F38" s="30">
        <v>0.23351308487393499</v>
      </c>
      <c r="G38" s="29">
        <v>3.7999000000000001</v>
      </c>
    </row>
    <row r="39" spans="1:9" x14ac:dyDescent="0.2">
      <c r="A39" s="27" t="s">
        <v>963</v>
      </c>
      <c r="B39" s="27" t="s">
        <v>964</v>
      </c>
      <c r="C39" s="27" t="s">
        <v>926</v>
      </c>
      <c r="D39" s="31">
        <v>19</v>
      </c>
      <c r="E39" s="29">
        <v>191.12689</v>
      </c>
      <c r="F39" s="30">
        <v>0.22863899823546899</v>
      </c>
      <c r="G39" s="29">
        <v>3.3250999999999999</v>
      </c>
    </row>
    <row r="40" spans="1:9" x14ac:dyDescent="0.2">
      <c r="A40" s="27" t="s">
        <v>965</v>
      </c>
      <c r="B40" s="27" t="s">
        <v>966</v>
      </c>
      <c r="C40" s="27" t="s">
        <v>873</v>
      </c>
      <c r="D40" s="31">
        <v>3</v>
      </c>
      <c r="E40" s="29">
        <v>39.764609999999998</v>
      </c>
      <c r="F40" s="30">
        <v>4.7569133760425403E-2</v>
      </c>
      <c r="G40" s="29">
        <v>4.6550000000000002</v>
      </c>
    </row>
    <row r="41" spans="1:9" x14ac:dyDescent="0.2">
      <c r="A41" s="27" t="s">
        <v>967</v>
      </c>
      <c r="B41" s="27" t="s">
        <v>968</v>
      </c>
      <c r="C41" s="27" t="s">
        <v>34</v>
      </c>
      <c r="D41" s="31">
        <v>3</v>
      </c>
      <c r="E41" s="29">
        <v>30.62388</v>
      </c>
      <c r="F41" s="30">
        <v>3.66343702096718E-2</v>
      </c>
      <c r="G41" s="29">
        <v>3.8849999999999998</v>
      </c>
    </row>
    <row r="42" spans="1:9" x14ac:dyDescent="0.2">
      <c r="A42" s="27" t="s">
        <v>969</v>
      </c>
      <c r="B42" s="27" t="s">
        <v>970</v>
      </c>
      <c r="C42" s="27" t="s">
        <v>34</v>
      </c>
      <c r="D42" s="31">
        <v>2</v>
      </c>
      <c r="E42" s="29">
        <v>20.198840000000001</v>
      </c>
      <c r="F42" s="30">
        <v>2.4163227597741602E-2</v>
      </c>
      <c r="G42" s="29">
        <v>3.4750000000000001</v>
      </c>
    </row>
    <row r="43" spans="1:9" x14ac:dyDescent="0.2">
      <c r="A43" s="26" t="s">
        <v>35</v>
      </c>
      <c r="B43" s="26"/>
      <c r="C43" s="26"/>
      <c r="D43" s="32"/>
      <c r="E43" s="33">
        <f>SUM(E6:E42)</f>
        <v>66409.926579999999</v>
      </c>
      <c r="F43" s="34">
        <f>SUM(F6:F42)</f>
        <v>79.444075536112365</v>
      </c>
      <c r="G43" s="33"/>
      <c r="H43" s="18"/>
      <c r="I43" s="18"/>
    </row>
    <row r="44" spans="1:9" x14ac:dyDescent="0.2">
      <c r="A44" s="27"/>
      <c r="B44" s="27"/>
      <c r="C44" s="27"/>
      <c r="D44" s="28"/>
      <c r="E44" s="29"/>
      <c r="F44" s="30"/>
      <c r="G44" s="29"/>
    </row>
    <row r="45" spans="1:9" x14ac:dyDescent="0.2">
      <c r="A45" s="26" t="s">
        <v>62</v>
      </c>
      <c r="B45" s="27"/>
      <c r="C45" s="27"/>
      <c r="D45" s="28"/>
      <c r="E45" s="29"/>
      <c r="F45" s="30"/>
      <c r="G45" s="29"/>
    </row>
    <row r="46" spans="1:9" x14ac:dyDescent="0.2">
      <c r="A46" s="27" t="s">
        <v>77</v>
      </c>
      <c r="B46" s="27" t="s">
        <v>76</v>
      </c>
      <c r="C46" s="27" t="s">
        <v>63</v>
      </c>
      <c r="D46" s="31">
        <v>5000000</v>
      </c>
      <c r="E46" s="29">
        <v>4916.13</v>
      </c>
      <c r="F46" s="30">
        <v>5.8810094089603799</v>
      </c>
      <c r="G46" s="29">
        <v>6.8277999999999999</v>
      </c>
    </row>
    <row r="47" spans="1:9" x14ac:dyDescent="0.2">
      <c r="A47" s="27" t="s">
        <v>83</v>
      </c>
      <c r="B47" s="27" t="s">
        <v>82</v>
      </c>
      <c r="C47" s="27" t="s">
        <v>63</v>
      </c>
      <c r="D47" s="31">
        <v>3000000</v>
      </c>
      <c r="E47" s="29">
        <v>3142.1669999999999</v>
      </c>
      <c r="F47" s="30">
        <v>3.7588740923296999</v>
      </c>
      <c r="G47" s="29">
        <v>6.2632000000000003</v>
      </c>
    </row>
    <row r="48" spans="1:9" x14ac:dyDescent="0.2">
      <c r="A48" s="27" t="s">
        <v>93</v>
      </c>
      <c r="B48" s="27" t="s">
        <v>92</v>
      </c>
      <c r="C48" s="27" t="s">
        <v>63</v>
      </c>
      <c r="D48" s="31">
        <v>2000000</v>
      </c>
      <c r="E48" s="29">
        <v>2125.058</v>
      </c>
      <c r="F48" s="30">
        <v>2.5421390590945601</v>
      </c>
      <c r="G48" s="29">
        <v>4.6364000000000001</v>
      </c>
    </row>
    <row r="49" spans="1:9" x14ac:dyDescent="0.2">
      <c r="A49" s="27" t="s">
        <v>971</v>
      </c>
      <c r="B49" s="27" t="s">
        <v>972</v>
      </c>
      <c r="C49" s="27" t="s">
        <v>63</v>
      </c>
      <c r="D49" s="31">
        <v>2000000</v>
      </c>
      <c r="E49" s="29">
        <v>2102.3180000000002</v>
      </c>
      <c r="F49" s="30">
        <v>2.5149359228960102</v>
      </c>
      <c r="G49" s="29">
        <v>4.2332999999999998</v>
      </c>
    </row>
    <row r="50" spans="1:9" x14ac:dyDescent="0.2">
      <c r="A50" s="27" t="s">
        <v>81</v>
      </c>
      <c r="B50" s="27" t="s">
        <v>80</v>
      </c>
      <c r="C50" s="27" t="s">
        <v>63</v>
      </c>
      <c r="D50" s="31">
        <v>1500000</v>
      </c>
      <c r="E50" s="29">
        <v>1550.0805</v>
      </c>
      <c r="F50" s="30">
        <v>1.8543118276257999</v>
      </c>
      <c r="G50" s="29">
        <v>6.0945999999999998</v>
      </c>
    </row>
    <row r="51" spans="1:9" x14ac:dyDescent="0.2">
      <c r="A51" s="26" t="s">
        <v>35</v>
      </c>
      <c r="B51" s="26"/>
      <c r="C51" s="26"/>
      <c r="D51" s="32"/>
      <c r="E51" s="33">
        <f>SUM(E46:E50)</f>
        <v>13835.753499999999</v>
      </c>
      <c r="F51" s="34">
        <f>SUM(F46:F50)</f>
        <v>16.551270310906446</v>
      </c>
      <c r="G51" s="33"/>
      <c r="H51" s="18"/>
      <c r="I51" s="18"/>
    </row>
    <row r="52" spans="1:9" x14ac:dyDescent="0.2">
      <c r="A52" s="27"/>
      <c r="B52" s="27"/>
      <c r="C52" s="27"/>
      <c r="D52" s="28"/>
      <c r="E52" s="29"/>
      <c r="F52" s="30"/>
      <c r="G52" s="29"/>
    </row>
    <row r="53" spans="1:9" x14ac:dyDescent="0.2">
      <c r="A53" s="26" t="s">
        <v>37</v>
      </c>
      <c r="B53" s="26"/>
      <c r="C53" s="26"/>
      <c r="D53" s="32"/>
      <c r="E53" s="33">
        <f>E43+E51</f>
        <v>80245.680079999991</v>
      </c>
      <c r="F53" s="34">
        <f>F43+F51</f>
        <v>95.995345847018811</v>
      </c>
      <c r="G53" s="33"/>
      <c r="H53" s="18"/>
      <c r="I53" s="18"/>
    </row>
    <row r="54" spans="1:9" x14ac:dyDescent="0.2">
      <c r="A54" s="26"/>
      <c r="B54" s="26"/>
      <c r="C54" s="26"/>
      <c r="D54" s="32"/>
      <c r="E54" s="33"/>
      <c r="F54" s="34"/>
      <c r="G54" s="33"/>
      <c r="H54" s="18"/>
      <c r="I54" s="18"/>
    </row>
    <row r="55" spans="1:9" x14ac:dyDescent="0.2">
      <c r="A55" s="26" t="s">
        <v>39</v>
      </c>
      <c r="B55" s="26"/>
      <c r="C55" s="26"/>
      <c r="D55" s="32"/>
      <c r="E55" s="33">
        <f>E57-(E43+E51)</f>
        <v>3347.6226702000131</v>
      </c>
      <c r="F55" s="34">
        <f>F57-(F43+F51)</f>
        <v>4.004654152981189</v>
      </c>
      <c r="G55" s="33"/>
      <c r="H55" s="18"/>
      <c r="I55" s="18"/>
    </row>
    <row r="56" spans="1:9" x14ac:dyDescent="0.2">
      <c r="A56" s="26"/>
      <c r="B56" s="26"/>
      <c r="C56" s="26"/>
      <c r="D56" s="32"/>
      <c r="E56" s="33"/>
      <c r="F56" s="34"/>
      <c r="G56" s="33"/>
      <c r="H56" s="18"/>
      <c r="I56" s="18"/>
    </row>
    <row r="57" spans="1:9" x14ac:dyDescent="0.2">
      <c r="A57" s="35" t="s">
        <v>38</v>
      </c>
      <c r="B57" s="35"/>
      <c r="C57" s="35"/>
      <c r="D57" s="36"/>
      <c r="E57" s="37">
        <v>83593.302750200004</v>
      </c>
      <c r="F57" s="38">
        <v>100</v>
      </c>
      <c r="G57" s="37"/>
      <c r="H57" s="18"/>
      <c r="I57" s="18"/>
    </row>
    <row r="59" spans="1:9" x14ac:dyDescent="0.2">
      <c r="A59" s="18" t="s">
        <v>40</v>
      </c>
    </row>
    <row r="61" spans="1:9" x14ac:dyDescent="0.2">
      <c r="A61" s="18" t="s">
        <v>41</v>
      </c>
    </row>
    <row r="62" spans="1:9" x14ac:dyDescent="0.2">
      <c r="A62" s="18" t="s">
        <v>42</v>
      </c>
    </row>
    <row r="63" spans="1:9" x14ac:dyDescent="0.2">
      <c r="A63" s="18" t="s">
        <v>43</v>
      </c>
      <c r="B63" s="18"/>
      <c r="C63" s="39" t="s">
        <v>45</v>
      </c>
      <c r="D63" s="19" t="s">
        <v>44</v>
      </c>
    </row>
    <row r="64" spans="1:9" x14ac:dyDescent="0.2">
      <c r="A64" s="9" t="s">
        <v>68</v>
      </c>
      <c r="C64" s="40">
        <v>76.744399999999999</v>
      </c>
      <c r="D64" s="40">
        <v>78.530100000000004</v>
      </c>
    </row>
    <row r="65" spans="1:4" x14ac:dyDescent="0.2">
      <c r="A65" s="9" t="s">
        <v>69</v>
      </c>
      <c r="C65" s="40">
        <v>16.139500000000002</v>
      </c>
      <c r="D65" s="40">
        <v>15.8773</v>
      </c>
    </row>
    <row r="66" spans="1:4" x14ac:dyDescent="0.2">
      <c r="A66" s="9" t="s">
        <v>70</v>
      </c>
      <c r="C66" s="40">
        <v>13.4124</v>
      </c>
      <c r="D66" s="40">
        <v>13.1668</v>
      </c>
    </row>
    <row r="67" spans="1:4" x14ac:dyDescent="0.2">
      <c r="A67" s="9" t="s">
        <v>973</v>
      </c>
      <c r="C67" s="40">
        <v>14.210800000000001</v>
      </c>
      <c r="D67" s="40">
        <v>13.979100000000001</v>
      </c>
    </row>
    <row r="68" spans="1:4" x14ac:dyDescent="0.2">
      <c r="A68" s="9" t="s">
        <v>974</v>
      </c>
      <c r="C68" s="40">
        <v>18.451899999999998</v>
      </c>
      <c r="D68" s="40">
        <v>17.597999999999999</v>
      </c>
    </row>
    <row r="69" spans="1:4" x14ac:dyDescent="0.2">
      <c r="A69" s="9" t="s">
        <v>71</v>
      </c>
      <c r="C69" s="40">
        <v>81.1327</v>
      </c>
      <c r="D69" s="40">
        <v>83.245999999999995</v>
      </c>
    </row>
    <row r="70" spans="1:4" x14ac:dyDescent="0.2">
      <c r="A70" s="9" t="s">
        <v>72</v>
      </c>
      <c r="C70" s="40">
        <v>17.474799999999998</v>
      </c>
      <c r="D70" s="40">
        <v>17.291599999999999</v>
      </c>
    </row>
    <row r="71" spans="1:4" x14ac:dyDescent="0.2">
      <c r="A71" s="9" t="s">
        <v>73</v>
      </c>
      <c r="C71" s="40">
        <v>14.5632</v>
      </c>
      <c r="D71" s="40">
        <v>14.384499999999999</v>
      </c>
    </row>
    <row r="72" spans="1:4" x14ac:dyDescent="0.2">
      <c r="A72" s="9" t="s">
        <v>975</v>
      </c>
      <c r="C72" s="40">
        <v>15.714399999999999</v>
      </c>
      <c r="D72" s="40">
        <v>15.5616</v>
      </c>
    </row>
    <row r="73" spans="1:4" x14ac:dyDescent="0.2">
      <c r="A73" s="9" t="s">
        <v>976</v>
      </c>
      <c r="C73" s="40">
        <v>19.977699999999999</v>
      </c>
      <c r="D73" s="40">
        <v>19.212800000000001</v>
      </c>
    </row>
    <row r="75" spans="1:4" x14ac:dyDescent="0.2">
      <c r="A75" s="18" t="s">
        <v>47</v>
      </c>
    </row>
    <row r="76" spans="1:4" x14ac:dyDescent="0.2">
      <c r="A76" s="74" t="s">
        <v>65</v>
      </c>
      <c r="B76" s="75"/>
      <c r="C76" s="43" t="s">
        <v>66</v>
      </c>
    </row>
    <row r="77" spans="1:4" x14ac:dyDescent="0.2">
      <c r="A77" s="70" t="s">
        <v>69</v>
      </c>
      <c r="B77" s="71"/>
      <c r="C77" s="44">
        <v>0.54600000000000004</v>
      </c>
    </row>
    <row r="78" spans="1:4" x14ac:dyDescent="0.2">
      <c r="A78" s="70" t="s">
        <v>70</v>
      </c>
      <c r="B78" s="71"/>
      <c r="C78" s="44">
        <v>0.55000000000000004</v>
      </c>
    </row>
    <row r="79" spans="1:4" x14ac:dyDescent="0.2">
      <c r="A79" s="70" t="s">
        <v>973</v>
      </c>
      <c r="B79" s="71"/>
      <c r="C79" s="44">
        <v>0.55000000000000004</v>
      </c>
    </row>
    <row r="80" spans="1:4" x14ac:dyDescent="0.2">
      <c r="A80" s="70" t="s">
        <v>974</v>
      </c>
      <c r="B80" s="71"/>
      <c r="C80" s="44">
        <v>1.2549999999999999</v>
      </c>
    </row>
    <row r="81" spans="1:5" x14ac:dyDescent="0.2">
      <c r="A81" s="70" t="s">
        <v>72</v>
      </c>
      <c r="B81" s="71"/>
      <c r="C81" s="44">
        <v>0.54600000000000004</v>
      </c>
    </row>
    <row r="82" spans="1:5" x14ac:dyDescent="0.2">
      <c r="A82" s="70" t="s">
        <v>73</v>
      </c>
      <c r="B82" s="71"/>
      <c r="C82" s="44">
        <v>0.55000000000000004</v>
      </c>
    </row>
    <row r="83" spans="1:5" x14ac:dyDescent="0.2">
      <c r="A83" s="70" t="s">
        <v>975</v>
      </c>
      <c r="B83" s="71"/>
      <c r="C83" s="44">
        <v>0.55000000000000004</v>
      </c>
    </row>
    <row r="84" spans="1:5" x14ac:dyDescent="0.2">
      <c r="A84" s="70" t="s">
        <v>976</v>
      </c>
      <c r="B84" s="71"/>
      <c r="C84" s="44">
        <v>1.2549999999999999</v>
      </c>
    </row>
    <row r="85" spans="1:5" x14ac:dyDescent="0.2">
      <c r="A85" s="9" t="s">
        <v>67</v>
      </c>
    </row>
    <row r="86" spans="1:5" x14ac:dyDescent="0.2">
      <c r="A86" s="9" t="s">
        <v>46</v>
      </c>
    </row>
    <row r="88" spans="1:5" x14ac:dyDescent="0.2">
      <c r="A88" s="18" t="s">
        <v>816</v>
      </c>
      <c r="D88" s="42">
        <v>2.6583875687945202</v>
      </c>
      <c r="E88" s="13" t="s">
        <v>49</v>
      </c>
    </row>
    <row r="90" spans="1:5" x14ac:dyDescent="0.2">
      <c r="A90" s="18" t="s">
        <v>727</v>
      </c>
      <c r="D90" s="41" t="s">
        <v>48</v>
      </c>
    </row>
    <row r="92" spans="1:5" x14ac:dyDescent="0.2">
      <c r="A92" s="18" t="s">
        <v>977</v>
      </c>
    </row>
    <row r="93" spans="1:5" x14ac:dyDescent="0.2">
      <c r="A93" s="50" t="s">
        <v>978</v>
      </c>
    </row>
    <row r="95" spans="1:5" x14ac:dyDescent="0.2">
      <c r="A95" s="18" t="s">
        <v>50</v>
      </c>
    </row>
    <row r="96" spans="1:5" x14ac:dyDescent="0.2">
      <c r="A96" s="50" t="s">
        <v>51</v>
      </c>
    </row>
  </sheetData>
  <mergeCells count="10">
    <mergeCell ref="A81:B81"/>
    <mergeCell ref="A82:B82"/>
    <mergeCell ref="A83:B83"/>
    <mergeCell ref="A84:B84"/>
    <mergeCell ref="A1:G1"/>
    <mergeCell ref="A76:B76"/>
    <mergeCell ref="A77:B77"/>
    <mergeCell ref="A78:B78"/>
    <mergeCell ref="A79:B79"/>
    <mergeCell ref="A80:B80"/>
  </mergeCells>
  <conditionalFormatting sqref="F2:F3 F5:F65534">
    <cfRule type="cellIs" dxfId="75" priority="1" stopIfTrue="1" operator="between">
      <formula>0.009</formula>
      <formula>-0.009</formula>
    </cfRule>
  </conditionalFormatting>
  <hyperlinks>
    <hyperlink ref="A93" r:id="rId1" tooltip="https://www.franklintempletonindia.com/downloadsServlet/pdf/franklin-templeton-update-on-reliance-broadcast-july-23-2020-kcg9m1gq" xr:uid="{00000000-0004-0000-0400-000000000000}"/>
    <hyperlink ref="A96" r:id="rId2" tooltip="https://www.franklintempletonindia.com/downloadsServlet/pdf/product-labels-jg9o5k7l" xr:uid="{00000000-0004-0000-04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4"/>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979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980</v>
      </c>
      <c r="B7" s="27" t="s">
        <v>981</v>
      </c>
      <c r="C7" s="27" t="s">
        <v>982</v>
      </c>
      <c r="D7" s="31">
        <v>500</v>
      </c>
      <c r="E7" s="29">
        <v>5160.04</v>
      </c>
      <c r="F7" s="30">
        <v>6.0264037635956402</v>
      </c>
      <c r="G7" s="29">
        <v>4.3449</v>
      </c>
    </row>
    <row r="8" spans="1:7" x14ac:dyDescent="0.2">
      <c r="A8" s="27" t="s">
        <v>920</v>
      </c>
      <c r="B8" s="27" t="s">
        <v>921</v>
      </c>
      <c r="C8" s="27" t="s">
        <v>34</v>
      </c>
      <c r="D8" s="31">
        <v>500</v>
      </c>
      <c r="E8" s="29">
        <v>5051.13</v>
      </c>
      <c r="F8" s="30">
        <v>5.89920792133604</v>
      </c>
      <c r="G8" s="29">
        <v>4.2450000000000001</v>
      </c>
    </row>
    <row r="9" spans="1:7" x14ac:dyDescent="0.2">
      <c r="A9" s="27" t="s">
        <v>983</v>
      </c>
      <c r="B9" s="27" t="s">
        <v>984</v>
      </c>
      <c r="C9" s="27" t="s">
        <v>34</v>
      </c>
      <c r="D9" s="31">
        <v>500</v>
      </c>
      <c r="E9" s="29">
        <v>5039.04</v>
      </c>
      <c r="F9" s="30">
        <v>5.8850880266255601</v>
      </c>
      <c r="G9" s="29">
        <v>3.5451000000000001</v>
      </c>
    </row>
    <row r="10" spans="1:7" x14ac:dyDescent="0.2">
      <c r="A10" s="27" t="s">
        <v>942</v>
      </c>
      <c r="B10" s="27" t="s">
        <v>943</v>
      </c>
      <c r="C10" s="27" t="s">
        <v>34</v>
      </c>
      <c r="D10" s="31">
        <v>400</v>
      </c>
      <c r="E10" s="29">
        <v>4200.268</v>
      </c>
      <c r="F10" s="30">
        <v>4.9054873379489896</v>
      </c>
      <c r="G10" s="29">
        <v>5.7</v>
      </c>
    </row>
    <row r="11" spans="1:7" x14ac:dyDescent="0.2">
      <c r="A11" s="27" t="s">
        <v>938</v>
      </c>
      <c r="B11" s="27" t="s">
        <v>939</v>
      </c>
      <c r="C11" s="27" t="s">
        <v>926</v>
      </c>
      <c r="D11" s="31">
        <v>360</v>
      </c>
      <c r="E11" s="29">
        <v>3878.4924000000001</v>
      </c>
      <c r="F11" s="30">
        <v>4.5296860482548702</v>
      </c>
      <c r="G11" s="29">
        <v>4.9850000000000003</v>
      </c>
    </row>
    <row r="12" spans="1:7" x14ac:dyDescent="0.2">
      <c r="A12" s="27" t="s">
        <v>924</v>
      </c>
      <c r="B12" s="27" t="s">
        <v>925</v>
      </c>
      <c r="C12" s="27" t="s">
        <v>926</v>
      </c>
      <c r="D12" s="31">
        <v>300</v>
      </c>
      <c r="E12" s="29">
        <v>3154.0619999999999</v>
      </c>
      <c r="F12" s="30">
        <v>3.6836247601596099</v>
      </c>
      <c r="G12" s="29">
        <v>4.5496999999999996</v>
      </c>
    </row>
    <row r="13" spans="1:7" x14ac:dyDescent="0.2">
      <c r="A13" s="27" t="s">
        <v>985</v>
      </c>
      <c r="B13" s="27" t="s">
        <v>986</v>
      </c>
      <c r="C13" s="27" t="s">
        <v>926</v>
      </c>
      <c r="D13" s="31">
        <v>300</v>
      </c>
      <c r="E13" s="29">
        <v>3092.6129999999998</v>
      </c>
      <c r="F13" s="30">
        <v>3.6118585558532099</v>
      </c>
      <c r="G13" s="29">
        <v>4.085</v>
      </c>
    </row>
    <row r="14" spans="1:7" x14ac:dyDescent="0.2">
      <c r="A14" s="27" t="s">
        <v>901</v>
      </c>
      <c r="B14" s="27" t="s">
        <v>902</v>
      </c>
      <c r="C14" s="27" t="s">
        <v>903</v>
      </c>
      <c r="D14" s="31">
        <v>300</v>
      </c>
      <c r="E14" s="29">
        <v>3068.85</v>
      </c>
      <c r="F14" s="30">
        <v>3.5841057801703999</v>
      </c>
      <c r="G14" s="29">
        <v>4.6848999999999998</v>
      </c>
    </row>
    <row r="15" spans="1:7" x14ac:dyDescent="0.2">
      <c r="A15" s="27" t="s">
        <v>987</v>
      </c>
      <c r="B15" s="27" t="s">
        <v>988</v>
      </c>
      <c r="C15" s="27" t="s">
        <v>34</v>
      </c>
      <c r="D15" s="31">
        <v>250</v>
      </c>
      <c r="E15" s="29">
        <v>2780.74</v>
      </c>
      <c r="F15" s="30">
        <v>3.2476224993567699</v>
      </c>
      <c r="G15" s="29">
        <v>5.1950000000000003</v>
      </c>
    </row>
    <row r="16" spans="1:7" x14ac:dyDescent="0.2">
      <c r="A16" s="27" t="s">
        <v>869</v>
      </c>
      <c r="B16" s="27" t="s">
        <v>870</v>
      </c>
      <c r="C16" s="27" t="s">
        <v>34</v>
      </c>
      <c r="D16" s="31">
        <v>250</v>
      </c>
      <c r="E16" s="29">
        <v>2572.9274999999998</v>
      </c>
      <c r="F16" s="30">
        <v>3.0049185606039299</v>
      </c>
      <c r="G16" s="29">
        <v>4.29</v>
      </c>
    </row>
    <row r="17" spans="1:7" x14ac:dyDescent="0.2">
      <c r="A17" s="27" t="s">
        <v>989</v>
      </c>
      <c r="B17" s="27" t="s">
        <v>990</v>
      </c>
      <c r="C17" s="27" t="s">
        <v>926</v>
      </c>
      <c r="D17" s="31">
        <v>250</v>
      </c>
      <c r="E17" s="29">
        <v>2567.85</v>
      </c>
      <c r="F17" s="30">
        <v>2.9989885551951199</v>
      </c>
      <c r="G17" s="29">
        <v>3.9249999999999998</v>
      </c>
    </row>
    <row r="18" spans="1:7" x14ac:dyDescent="0.2">
      <c r="A18" s="27" t="s">
        <v>991</v>
      </c>
      <c r="B18" s="27" t="s">
        <v>992</v>
      </c>
      <c r="C18" s="27" t="s">
        <v>34</v>
      </c>
      <c r="D18" s="31">
        <v>250</v>
      </c>
      <c r="E18" s="29">
        <v>2484.3049999999998</v>
      </c>
      <c r="F18" s="30">
        <v>2.9014164622598799</v>
      </c>
      <c r="G18" s="29">
        <v>5.56</v>
      </c>
    </row>
    <row r="19" spans="1:7" x14ac:dyDescent="0.2">
      <c r="A19" s="27" t="s">
        <v>944</v>
      </c>
      <c r="B19" s="27" t="s">
        <v>945</v>
      </c>
      <c r="C19" s="27" t="s">
        <v>34</v>
      </c>
      <c r="D19" s="31">
        <v>150</v>
      </c>
      <c r="E19" s="29">
        <v>1555.434</v>
      </c>
      <c r="F19" s="30">
        <v>1.8165892728786199</v>
      </c>
      <c r="G19" s="29">
        <v>4.6749999999999998</v>
      </c>
    </row>
    <row r="20" spans="1:7" x14ac:dyDescent="0.2">
      <c r="A20" s="27" t="s">
        <v>931</v>
      </c>
      <c r="B20" s="27" t="s">
        <v>932</v>
      </c>
      <c r="C20" s="27" t="s">
        <v>34</v>
      </c>
      <c r="D20" s="31">
        <v>120</v>
      </c>
      <c r="E20" s="29">
        <v>1216.1964</v>
      </c>
      <c r="F20" s="30">
        <v>1.4203941369120101</v>
      </c>
      <c r="G20" s="29">
        <v>3.57</v>
      </c>
    </row>
    <row r="21" spans="1:7" x14ac:dyDescent="0.2">
      <c r="A21" s="27" t="s">
        <v>953</v>
      </c>
      <c r="B21" s="27" t="s">
        <v>954</v>
      </c>
      <c r="C21" s="27" t="s">
        <v>34</v>
      </c>
      <c r="D21" s="31">
        <v>110</v>
      </c>
      <c r="E21" s="29">
        <v>1202.2725</v>
      </c>
      <c r="F21" s="30">
        <v>1.40413243286245</v>
      </c>
      <c r="G21" s="29">
        <v>5.9292999999999996</v>
      </c>
    </row>
    <row r="22" spans="1:7" x14ac:dyDescent="0.2">
      <c r="A22" s="27" t="s">
        <v>993</v>
      </c>
      <c r="B22" s="27" t="s">
        <v>994</v>
      </c>
      <c r="C22" s="27" t="s">
        <v>926</v>
      </c>
      <c r="D22" s="31">
        <v>100</v>
      </c>
      <c r="E22" s="29">
        <v>1093.3900000000001</v>
      </c>
      <c r="F22" s="30">
        <v>1.2769687078158001</v>
      </c>
      <c r="G22" s="29">
        <v>5.9</v>
      </c>
    </row>
    <row r="23" spans="1:7" x14ac:dyDescent="0.2">
      <c r="A23" s="27" t="s">
        <v>995</v>
      </c>
      <c r="B23" s="27" t="s">
        <v>996</v>
      </c>
      <c r="C23" s="27" t="s">
        <v>34</v>
      </c>
      <c r="D23" s="31">
        <v>100</v>
      </c>
      <c r="E23" s="29">
        <v>1074.3779999999999</v>
      </c>
      <c r="F23" s="30">
        <v>1.2547646186317101</v>
      </c>
      <c r="G23" s="29">
        <v>5.87</v>
      </c>
    </row>
    <row r="24" spans="1:7" x14ac:dyDescent="0.2">
      <c r="A24" s="27" t="s">
        <v>997</v>
      </c>
      <c r="B24" s="27" t="s">
        <v>998</v>
      </c>
      <c r="C24" s="27" t="s">
        <v>999</v>
      </c>
      <c r="D24" s="31">
        <v>100</v>
      </c>
      <c r="E24" s="29">
        <v>1016.289</v>
      </c>
      <c r="F24" s="30">
        <v>1.1869225537982</v>
      </c>
      <c r="G24" s="29">
        <v>9.4748999999999999</v>
      </c>
    </row>
    <row r="25" spans="1:7" x14ac:dyDescent="0.2">
      <c r="A25" s="27" t="s">
        <v>1000</v>
      </c>
      <c r="B25" s="27" t="s">
        <v>1001</v>
      </c>
      <c r="C25" s="27" t="s">
        <v>34</v>
      </c>
      <c r="D25" s="31">
        <v>50</v>
      </c>
      <c r="E25" s="29">
        <v>546.97649999999999</v>
      </c>
      <c r="F25" s="30">
        <v>0.63881311737861901</v>
      </c>
      <c r="G25" s="29">
        <v>5.69</v>
      </c>
    </row>
    <row r="26" spans="1:7" x14ac:dyDescent="0.2">
      <c r="A26" s="27" t="s">
        <v>1002</v>
      </c>
      <c r="B26" s="27" t="s">
        <v>1003</v>
      </c>
      <c r="C26" s="27" t="s">
        <v>34</v>
      </c>
      <c r="D26" s="31">
        <v>50</v>
      </c>
      <c r="E26" s="29">
        <v>544.77850000000001</v>
      </c>
      <c r="F26" s="30">
        <v>0.63624607614010498</v>
      </c>
      <c r="G26" s="29">
        <v>5.76</v>
      </c>
    </row>
    <row r="27" spans="1:7" x14ac:dyDescent="0.2">
      <c r="A27" s="27" t="s">
        <v>1004</v>
      </c>
      <c r="B27" s="27" t="s">
        <v>1005</v>
      </c>
      <c r="C27" s="27" t="s">
        <v>34</v>
      </c>
      <c r="D27" s="31">
        <v>50</v>
      </c>
      <c r="E27" s="29">
        <v>541.94550000000004</v>
      </c>
      <c r="F27" s="30">
        <v>0.63293741925716096</v>
      </c>
      <c r="G27" s="29">
        <v>5.12</v>
      </c>
    </row>
    <row r="28" spans="1:7" x14ac:dyDescent="0.2">
      <c r="A28" s="27" t="s">
        <v>940</v>
      </c>
      <c r="B28" s="27" t="s">
        <v>941</v>
      </c>
      <c r="C28" s="27" t="s">
        <v>34</v>
      </c>
      <c r="D28" s="31">
        <v>50</v>
      </c>
      <c r="E28" s="29">
        <v>538.39149999999995</v>
      </c>
      <c r="F28" s="30">
        <v>0.62878670744565901</v>
      </c>
      <c r="G28" s="29">
        <v>5.92</v>
      </c>
    </row>
    <row r="29" spans="1:7" x14ac:dyDescent="0.2">
      <c r="A29" s="27" t="s">
        <v>904</v>
      </c>
      <c r="B29" s="27" t="s">
        <v>905</v>
      </c>
      <c r="C29" s="27" t="s">
        <v>896</v>
      </c>
      <c r="D29" s="31">
        <v>50</v>
      </c>
      <c r="E29" s="29">
        <v>513.42100000000005</v>
      </c>
      <c r="F29" s="30">
        <v>0.599623694139781</v>
      </c>
      <c r="G29" s="29">
        <v>4.9050000000000002</v>
      </c>
    </row>
    <row r="30" spans="1:7" x14ac:dyDescent="0.2">
      <c r="A30" s="27" t="s">
        <v>1006</v>
      </c>
      <c r="B30" s="27" t="s">
        <v>1007</v>
      </c>
      <c r="C30" s="27" t="s">
        <v>896</v>
      </c>
      <c r="D30" s="31">
        <v>50</v>
      </c>
      <c r="E30" s="29">
        <v>489.32400000000001</v>
      </c>
      <c r="F30" s="30">
        <v>0.57148084030698798</v>
      </c>
      <c r="G30" s="29">
        <v>6.9653</v>
      </c>
    </row>
    <row r="31" spans="1:7" x14ac:dyDescent="0.2">
      <c r="A31" s="27" t="s">
        <v>914</v>
      </c>
      <c r="B31" s="27" t="s">
        <v>915</v>
      </c>
      <c r="C31" s="27" t="s">
        <v>34</v>
      </c>
      <c r="D31" s="31">
        <v>32</v>
      </c>
      <c r="E31" s="29">
        <v>328.47552000000002</v>
      </c>
      <c r="F31" s="30">
        <v>0.38362611723494999</v>
      </c>
      <c r="G31" s="29">
        <v>4</v>
      </c>
    </row>
    <row r="32" spans="1:7" x14ac:dyDescent="0.2">
      <c r="A32" s="27" t="s">
        <v>1008</v>
      </c>
      <c r="B32" s="27" t="s">
        <v>1009</v>
      </c>
      <c r="C32" s="27" t="s">
        <v>1010</v>
      </c>
      <c r="D32" s="31">
        <v>27</v>
      </c>
      <c r="E32" s="29">
        <v>279.53694000000002</v>
      </c>
      <c r="F32" s="30">
        <v>0.326470815590578</v>
      </c>
      <c r="G32" s="29">
        <v>3.7801</v>
      </c>
    </row>
    <row r="33" spans="1:9" x14ac:dyDescent="0.2">
      <c r="A33" s="27" t="s">
        <v>969</v>
      </c>
      <c r="B33" s="27" t="s">
        <v>970</v>
      </c>
      <c r="C33" s="27" t="s">
        <v>34</v>
      </c>
      <c r="D33" s="31">
        <v>23</v>
      </c>
      <c r="E33" s="29">
        <v>232.28666000000001</v>
      </c>
      <c r="F33" s="30">
        <v>0.27128727724146701</v>
      </c>
      <c r="G33" s="29">
        <v>3.4750000000000001</v>
      </c>
    </row>
    <row r="34" spans="1:9" x14ac:dyDescent="0.2">
      <c r="A34" s="27" t="s">
        <v>1011</v>
      </c>
      <c r="B34" s="27" t="s">
        <v>1012</v>
      </c>
      <c r="C34" s="27" t="s">
        <v>926</v>
      </c>
      <c r="D34" s="31">
        <v>5</v>
      </c>
      <c r="E34" s="29">
        <v>51.309449999999998</v>
      </c>
      <c r="F34" s="30">
        <v>5.9924237522969201E-2</v>
      </c>
      <c r="G34" s="29">
        <v>3.84</v>
      </c>
    </row>
    <row r="35" spans="1:9" x14ac:dyDescent="0.2">
      <c r="A35" s="26" t="s">
        <v>35</v>
      </c>
      <c r="B35" s="26"/>
      <c r="C35" s="26"/>
      <c r="D35" s="32"/>
      <c r="E35" s="33">
        <f>SUM(E6:E34)</f>
        <v>54274.723369999985</v>
      </c>
      <c r="F35" s="34">
        <f>SUM(F6:F34)</f>
        <v>63.387376296517076</v>
      </c>
      <c r="G35" s="33"/>
      <c r="H35" s="18"/>
      <c r="I35" s="18"/>
    </row>
    <row r="36" spans="1:9" x14ac:dyDescent="0.2">
      <c r="A36" s="27"/>
      <c r="B36" s="27"/>
      <c r="C36" s="27"/>
      <c r="D36" s="28"/>
      <c r="E36" s="29"/>
      <c r="F36" s="30"/>
      <c r="G36" s="29"/>
    </row>
    <row r="37" spans="1:9" x14ac:dyDescent="0.2">
      <c r="A37" s="26" t="s">
        <v>52</v>
      </c>
      <c r="B37" s="27"/>
      <c r="C37" s="27"/>
      <c r="D37" s="28"/>
      <c r="E37" s="29"/>
      <c r="F37" s="30"/>
      <c r="G37" s="29"/>
    </row>
    <row r="38" spans="1:9" x14ac:dyDescent="0.2">
      <c r="A38" s="26" t="s">
        <v>53</v>
      </c>
      <c r="B38" s="27"/>
      <c r="C38" s="27"/>
      <c r="D38" s="28"/>
      <c r="E38" s="29"/>
      <c r="F38" s="30"/>
      <c r="G38" s="29"/>
    </row>
    <row r="39" spans="1:9" x14ac:dyDescent="0.2">
      <c r="A39" s="27" t="s">
        <v>1013</v>
      </c>
      <c r="B39" s="27" t="s">
        <v>1014</v>
      </c>
      <c r="C39" s="27" t="s">
        <v>54</v>
      </c>
      <c r="D39" s="31">
        <v>5000</v>
      </c>
      <c r="E39" s="29">
        <v>4851.7349999999997</v>
      </c>
      <c r="F39" s="30">
        <v>5.66633476949184</v>
      </c>
      <c r="G39" s="29">
        <v>3.9</v>
      </c>
    </row>
    <row r="40" spans="1:9" x14ac:dyDescent="0.2">
      <c r="A40" s="27" t="s">
        <v>1015</v>
      </c>
      <c r="B40" s="27" t="s">
        <v>1016</v>
      </c>
      <c r="C40" s="27" t="s">
        <v>54</v>
      </c>
      <c r="D40" s="31">
        <v>1000</v>
      </c>
      <c r="E40" s="29">
        <v>976.72500000000002</v>
      </c>
      <c r="F40" s="30">
        <v>1.1407158115049401</v>
      </c>
      <c r="G40" s="29">
        <v>3.67</v>
      </c>
    </row>
    <row r="41" spans="1:9" x14ac:dyDescent="0.2">
      <c r="A41" s="26" t="s">
        <v>35</v>
      </c>
      <c r="B41" s="26"/>
      <c r="C41" s="26"/>
      <c r="D41" s="32"/>
      <c r="E41" s="33">
        <f>SUM(E38:E40)</f>
        <v>5828.46</v>
      </c>
      <c r="F41" s="34">
        <f>SUM(F38:F40)</f>
        <v>6.8070505809967798</v>
      </c>
      <c r="G41" s="33"/>
      <c r="H41" s="18"/>
      <c r="I41" s="18"/>
    </row>
    <row r="42" spans="1:9" x14ac:dyDescent="0.2">
      <c r="A42" s="27"/>
      <c r="B42" s="27"/>
      <c r="C42" s="27"/>
      <c r="D42" s="28"/>
      <c r="E42" s="29"/>
      <c r="F42" s="30"/>
      <c r="G42" s="29"/>
    </row>
    <row r="43" spans="1:9" x14ac:dyDescent="0.2">
      <c r="A43" s="26" t="s">
        <v>56</v>
      </c>
      <c r="B43" s="27"/>
      <c r="C43" s="27"/>
      <c r="D43" s="28"/>
      <c r="E43" s="29"/>
      <c r="F43" s="30"/>
      <c r="G43" s="29"/>
    </row>
    <row r="44" spans="1:9" x14ac:dyDescent="0.2">
      <c r="A44" s="27" t="s">
        <v>762</v>
      </c>
      <c r="B44" s="27" t="s">
        <v>763</v>
      </c>
      <c r="C44" s="27" t="s">
        <v>54</v>
      </c>
      <c r="D44" s="31">
        <v>1000</v>
      </c>
      <c r="E44" s="29">
        <v>4998.6350000000002</v>
      </c>
      <c r="F44" s="30">
        <v>5.8378990815654301</v>
      </c>
      <c r="G44" s="29">
        <v>3.3285</v>
      </c>
    </row>
    <row r="45" spans="1:9" x14ac:dyDescent="0.2">
      <c r="A45" s="27" t="s">
        <v>877</v>
      </c>
      <c r="B45" s="27" t="s">
        <v>878</v>
      </c>
      <c r="C45" s="27" t="s">
        <v>54</v>
      </c>
      <c r="D45" s="31">
        <v>500</v>
      </c>
      <c r="E45" s="29">
        <v>2463.6824999999999</v>
      </c>
      <c r="F45" s="30">
        <v>2.8773314722957002</v>
      </c>
      <c r="G45" s="29">
        <v>3.5398999999999998</v>
      </c>
    </row>
    <row r="46" spans="1:9" x14ac:dyDescent="0.2">
      <c r="A46" s="26" t="s">
        <v>35</v>
      </c>
      <c r="B46" s="26"/>
      <c r="C46" s="26"/>
      <c r="D46" s="32"/>
      <c r="E46" s="33">
        <f>SUM(E43:E45)</f>
        <v>7462.3175000000001</v>
      </c>
      <c r="F46" s="34">
        <f>SUM(F43:F45)</f>
        <v>8.7152305538611294</v>
      </c>
      <c r="G46" s="33"/>
      <c r="H46" s="18"/>
      <c r="I46" s="18"/>
    </row>
    <row r="47" spans="1:9" x14ac:dyDescent="0.2">
      <c r="A47" s="27"/>
      <c r="B47" s="27"/>
      <c r="C47" s="27"/>
      <c r="D47" s="28"/>
      <c r="E47" s="29"/>
      <c r="F47" s="30"/>
      <c r="G47" s="29"/>
    </row>
    <row r="48" spans="1:9" x14ac:dyDescent="0.2">
      <c r="A48" s="26" t="s">
        <v>62</v>
      </c>
      <c r="B48" s="27"/>
      <c r="C48" s="27"/>
      <c r="D48" s="28"/>
      <c r="E48" s="29"/>
      <c r="F48" s="30"/>
      <c r="G48" s="29"/>
    </row>
    <row r="49" spans="1:9" x14ac:dyDescent="0.2">
      <c r="A49" s="27" t="s">
        <v>77</v>
      </c>
      <c r="B49" s="27" t="s">
        <v>76</v>
      </c>
      <c r="C49" s="27" t="s">
        <v>63</v>
      </c>
      <c r="D49" s="31">
        <v>7000000</v>
      </c>
      <c r="E49" s="29">
        <v>6882.5820000000003</v>
      </c>
      <c r="F49" s="30">
        <v>8.0381582445205009</v>
      </c>
      <c r="G49" s="29">
        <v>6.8277999999999999</v>
      </c>
    </row>
    <row r="50" spans="1:9" x14ac:dyDescent="0.2">
      <c r="A50" s="27" t="s">
        <v>83</v>
      </c>
      <c r="B50" s="27" t="s">
        <v>82</v>
      </c>
      <c r="C50" s="27" t="s">
        <v>63</v>
      </c>
      <c r="D50" s="31">
        <v>3500000</v>
      </c>
      <c r="E50" s="29">
        <v>3665.8615</v>
      </c>
      <c r="F50" s="30">
        <v>4.2813547066341204</v>
      </c>
      <c r="G50" s="29">
        <v>6.2632000000000003</v>
      </c>
    </row>
    <row r="51" spans="1:9" x14ac:dyDescent="0.2">
      <c r="A51" s="27" t="s">
        <v>971</v>
      </c>
      <c r="B51" s="27" t="s">
        <v>972</v>
      </c>
      <c r="C51" s="27" t="s">
        <v>63</v>
      </c>
      <c r="D51" s="31">
        <v>3000000</v>
      </c>
      <c r="E51" s="29">
        <v>3153.4769999999999</v>
      </c>
      <c r="F51" s="30">
        <v>3.68294153944781</v>
      </c>
      <c r="G51" s="29">
        <v>4.2332999999999998</v>
      </c>
    </row>
    <row r="52" spans="1:9" x14ac:dyDescent="0.2">
      <c r="A52" s="27" t="s">
        <v>81</v>
      </c>
      <c r="B52" s="27" t="s">
        <v>80</v>
      </c>
      <c r="C52" s="27" t="s">
        <v>63</v>
      </c>
      <c r="D52" s="31">
        <v>2000000</v>
      </c>
      <c r="E52" s="29">
        <v>2066.7739999999999</v>
      </c>
      <c r="F52" s="30">
        <v>2.4137825699222502</v>
      </c>
      <c r="G52" s="29">
        <v>6.0945999999999998</v>
      </c>
    </row>
    <row r="53" spans="1:9" x14ac:dyDescent="0.2">
      <c r="A53" s="26" t="s">
        <v>35</v>
      </c>
      <c r="B53" s="26"/>
      <c r="C53" s="26"/>
      <c r="D53" s="32"/>
      <c r="E53" s="33">
        <f>SUM(E49:E52)</f>
        <v>15768.6945</v>
      </c>
      <c r="F53" s="34">
        <f>SUM(F49:F52)</f>
        <v>18.416237060524683</v>
      </c>
      <c r="G53" s="33"/>
      <c r="H53" s="18"/>
      <c r="I53" s="18"/>
    </row>
    <row r="54" spans="1:9" x14ac:dyDescent="0.2">
      <c r="A54" s="27"/>
      <c r="B54" s="27"/>
      <c r="C54" s="27"/>
      <c r="D54" s="28"/>
      <c r="E54" s="29"/>
      <c r="F54" s="30"/>
      <c r="G54" s="29"/>
    </row>
    <row r="55" spans="1:9" x14ac:dyDescent="0.2">
      <c r="A55" s="26" t="s">
        <v>37</v>
      </c>
      <c r="B55" s="26"/>
      <c r="C55" s="26"/>
      <c r="D55" s="32"/>
      <c r="E55" s="33">
        <f>E35+E41+E46+E53</f>
        <v>83334.195369999987</v>
      </c>
      <c r="F55" s="34">
        <f>F35+F41+F46+F53</f>
        <v>97.32589449189966</v>
      </c>
      <c r="G55" s="33"/>
      <c r="H55" s="18"/>
      <c r="I55" s="18"/>
    </row>
    <row r="56" spans="1:9" x14ac:dyDescent="0.2">
      <c r="A56" s="26"/>
      <c r="B56" s="26"/>
      <c r="C56" s="26"/>
      <c r="D56" s="32"/>
      <c r="E56" s="33"/>
      <c r="F56" s="34"/>
      <c r="G56" s="33"/>
      <c r="H56" s="18"/>
      <c r="I56" s="18"/>
    </row>
    <row r="57" spans="1:9" x14ac:dyDescent="0.2">
      <c r="A57" s="26" t="s">
        <v>39</v>
      </c>
      <c r="B57" s="26"/>
      <c r="C57" s="26"/>
      <c r="D57" s="32"/>
      <c r="E57" s="33">
        <f>E59-(E35+E41+E46+E53)</f>
        <v>2289.6725688000151</v>
      </c>
      <c r="F57" s="34">
        <f>F59-(F35+F41+F46+F53)</f>
        <v>2.6741055081003395</v>
      </c>
      <c r="G57" s="33"/>
      <c r="H57" s="18"/>
      <c r="I57" s="18"/>
    </row>
    <row r="58" spans="1:9" x14ac:dyDescent="0.2">
      <c r="A58" s="26"/>
      <c r="B58" s="26"/>
      <c r="C58" s="26"/>
      <c r="D58" s="32"/>
      <c r="E58" s="33"/>
      <c r="F58" s="34"/>
      <c r="G58" s="33"/>
      <c r="H58" s="18"/>
      <c r="I58" s="18"/>
    </row>
    <row r="59" spans="1:9" x14ac:dyDescent="0.2">
      <c r="A59" s="35" t="s">
        <v>38</v>
      </c>
      <c r="B59" s="35"/>
      <c r="C59" s="35"/>
      <c r="D59" s="36"/>
      <c r="E59" s="37">
        <v>85623.867938800002</v>
      </c>
      <c r="F59" s="38">
        <v>100</v>
      </c>
      <c r="G59" s="37"/>
      <c r="H59" s="18"/>
      <c r="I59" s="18"/>
    </row>
    <row r="61" spans="1:9" x14ac:dyDescent="0.2">
      <c r="A61" s="18" t="s">
        <v>64</v>
      </c>
    </row>
    <row r="62" spans="1:9" x14ac:dyDescent="0.2">
      <c r="A62" s="18" t="s">
        <v>40</v>
      </c>
    </row>
    <row r="64" spans="1:9" x14ac:dyDescent="0.2">
      <c r="A64" s="18" t="s">
        <v>41</v>
      </c>
    </row>
    <row r="65" spans="1:5" x14ac:dyDescent="0.2">
      <c r="A65" s="18" t="s">
        <v>42</v>
      </c>
    </row>
    <row r="66" spans="1:5" x14ac:dyDescent="0.2">
      <c r="A66" s="18" t="s">
        <v>43</v>
      </c>
      <c r="B66" s="18"/>
      <c r="C66" s="39" t="s">
        <v>45</v>
      </c>
      <c r="D66" s="19" t="s">
        <v>44</v>
      </c>
    </row>
    <row r="67" spans="1:5" x14ac:dyDescent="0.2">
      <c r="A67" s="9" t="s">
        <v>68</v>
      </c>
      <c r="C67" s="40">
        <v>17.4405</v>
      </c>
      <c r="D67" s="40">
        <v>17.805299999999999</v>
      </c>
    </row>
    <row r="68" spans="1:5" x14ac:dyDescent="0.2">
      <c r="A68" s="9" t="s">
        <v>74</v>
      </c>
      <c r="C68" s="40">
        <v>10.7719</v>
      </c>
      <c r="D68" s="40">
        <v>10.591799999999999</v>
      </c>
    </row>
    <row r="69" spans="1:5" x14ac:dyDescent="0.2">
      <c r="A69" s="9" t="s">
        <v>71</v>
      </c>
      <c r="C69" s="40">
        <v>17.9529</v>
      </c>
      <c r="D69" s="40">
        <v>18.357900000000001</v>
      </c>
    </row>
    <row r="70" spans="1:5" x14ac:dyDescent="0.2">
      <c r="A70" s="9" t="s">
        <v>75</v>
      </c>
      <c r="C70" s="40">
        <v>11.1724</v>
      </c>
      <c r="D70" s="40">
        <v>11.0181</v>
      </c>
    </row>
    <row r="72" spans="1:5" x14ac:dyDescent="0.2">
      <c r="A72" s="18" t="s">
        <v>47</v>
      </c>
    </row>
    <row r="73" spans="1:5" x14ac:dyDescent="0.2">
      <c r="A73" s="74" t="s">
        <v>65</v>
      </c>
      <c r="B73" s="75"/>
      <c r="C73" s="43" t="s">
        <v>66</v>
      </c>
    </row>
    <row r="74" spans="1:5" x14ac:dyDescent="0.2">
      <c r="A74" s="70" t="s">
        <v>74</v>
      </c>
      <c r="B74" s="71"/>
      <c r="C74" s="44">
        <v>0.4</v>
      </c>
    </row>
    <row r="75" spans="1:5" x14ac:dyDescent="0.2">
      <c r="A75" s="70" t="s">
        <v>75</v>
      </c>
      <c r="B75" s="71"/>
      <c r="C75" s="44">
        <v>0.4</v>
      </c>
    </row>
    <row r="76" spans="1:5" x14ac:dyDescent="0.2">
      <c r="A76" s="9" t="s">
        <v>67</v>
      </c>
    </row>
    <row r="77" spans="1:5" x14ac:dyDescent="0.2">
      <c r="A77" s="9" t="s">
        <v>46</v>
      </c>
    </row>
    <row r="79" spans="1:5" x14ac:dyDescent="0.2">
      <c r="A79" s="18" t="s">
        <v>816</v>
      </c>
      <c r="D79" s="42">
        <v>2.87256522958904</v>
      </c>
      <c r="E79" s="13" t="s">
        <v>49</v>
      </c>
    </row>
    <row r="81" spans="1:4" x14ac:dyDescent="0.2">
      <c r="A81" s="18" t="s">
        <v>727</v>
      </c>
      <c r="D81" s="41" t="s">
        <v>48</v>
      </c>
    </row>
    <row r="83" spans="1:4" x14ac:dyDescent="0.2">
      <c r="A83" s="18" t="s">
        <v>817</v>
      </c>
    </row>
    <row r="84" spans="1:4" x14ac:dyDescent="0.2">
      <c r="A84" s="50" t="s">
        <v>51</v>
      </c>
    </row>
  </sheetData>
  <mergeCells count="4">
    <mergeCell ref="A1:G1"/>
    <mergeCell ref="A73:B73"/>
    <mergeCell ref="A74:B74"/>
    <mergeCell ref="A75:B75"/>
  </mergeCells>
  <conditionalFormatting sqref="F2:F3 F5:F65534">
    <cfRule type="cellIs" dxfId="74" priority="1" stopIfTrue="1" operator="between">
      <formula>0.009</formula>
      <formula>-0.009</formula>
    </cfRule>
  </conditionalFormatting>
  <hyperlinks>
    <hyperlink ref="A84" r:id="rId1" tooltip="https://www.franklintempletonindia.com/downloadsServlet/pdf/product-labels-jg9o5k7l" xr:uid="{00000000-0004-0000-0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1"/>
  <sheetViews>
    <sheetView workbookViewId="0">
      <selection sqref="A1:G1"/>
    </sheetView>
  </sheetViews>
  <sheetFormatPr defaultColWidth="9.109375" defaultRowHeight="10.199999999999999" x14ac:dyDescent="0.2"/>
  <cols>
    <col min="1" max="1" width="31.6640625" style="9" bestFit="1" customWidth="1"/>
    <col min="2" max="2" width="23.44140625"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2" t="s">
        <v>1017</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62</v>
      </c>
      <c r="B5" s="22"/>
      <c r="C5" s="22"/>
      <c r="D5" s="23"/>
      <c r="E5" s="24"/>
      <c r="F5" s="25"/>
      <c r="G5" s="24"/>
    </row>
    <row r="6" spans="1:9" x14ac:dyDescent="0.2">
      <c r="A6" s="27" t="s">
        <v>77</v>
      </c>
      <c r="B6" s="27" t="s">
        <v>76</v>
      </c>
      <c r="C6" s="27" t="s">
        <v>63</v>
      </c>
      <c r="D6" s="31">
        <v>5500000</v>
      </c>
      <c r="E6" s="29">
        <v>5407.7430000000004</v>
      </c>
      <c r="F6" s="30">
        <v>25.729820731775799</v>
      </c>
      <c r="G6" s="29">
        <v>6.8277999999999999</v>
      </c>
    </row>
    <row r="7" spans="1:9" x14ac:dyDescent="0.2">
      <c r="A7" s="27" t="s">
        <v>79</v>
      </c>
      <c r="B7" s="27" t="s">
        <v>78</v>
      </c>
      <c r="C7" s="27" t="s">
        <v>63</v>
      </c>
      <c r="D7" s="31">
        <v>5000000</v>
      </c>
      <c r="E7" s="29">
        <v>4928.49</v>
      </c>
      <c r="F7" s="30">
        <v>23.4495544959052</v>
      </c>
      <c r="G7" s="29">
        <v>5.5278999999999998</v>
      </c>
    </row>
    <row r="8" spans="1:9" x14ac:dyDescent="0.2">
      <c r="A8" s="27" t="s">
        <v>81</v>
      </c>
      <c r="B8" s="27" t="s">
        <v>80</v>
      </c>
      <c r="C8" s="27" t="s">
        <v>63</v>
      </c>
      <c r="D8" s="31">
        <v>4590000</v>
      </c>
      <c r="E8" s="29">
        <v>4743.2463299999999</v>
      </c>
      <c r="F8" s="30">
        <v>22.5681726660371</v>
      </c>
      <c r="G8" s="29">
        <v>6.0945999999999998</v>
      </c>
    </row>
    <row r="9" spans="1:9" x14ac:dyDescent="0.2">
      <c r="A9" s="27" t="s">
        <v>83</v>
      </c>
      <c r="B9" s="27" t="s">
        <v>82</v>
      </c>
      <c r="C9" s="27" t="s">
        <v>63</v>
      </c>
      <c r="D9" s="31">
        <v>2125000</v>
      </c>
      <c r="E9" s="29">
        <v>2225.7016250000001</v>
      </c>
      <c r="F9" s="30">
        <v>10.5897975946106</v>
      </c>
      <c r="G9" s="29">
        <v>6.2632000000000003</v>
      </c>
    </row>
    <row r="10" spans="1:9" x14ac:dyDescent="0.2">
      <c r="A10" s="27" t="s">
        <v>85</v>
      </c>
      <c r="B10" s="27" t="s">
        <v>84</v>
      </c>
      <c r="C10" s="27" t="s">
        <v>63</v>
      </c>
      <c r="D10" s="31">
        <v>1900000</v>
      </c>
      <c r="E10" s="29">
        <v>2009.1036999999999</v>
      </c>
      <c r="F10" s="30">
        <v>9.5592334976990507</v>
      </c>
      <c r="G10" s="29">
        <v>5.8490000000000002</v>
      </c>
    </row>
    <row r="11" spans="1:9" x14ac:dyDescent="0.2">
      <c r="A11" s="27" t="s">
        <v>87</v>
      </c>
      <c r="B11" s="27" t="s">
        <v>86</v>
      </c>
      <c r="C11" s="27" t="s">
        <v>63</v>
      </c>
      <c r="D11" s="31">
        <v>200000</v>
      </c>
      <c r="E11" s="29">
        <v>198.47559999999999</v>
      </c>
      <c r="F11" s="30">
        <v>0.944338813370319</v>
      </c>
      <c r="G11" s="29">
        <v>5.4389000000000003</v>
      </c>
    </row>
    <row r="12" spans="1:9" x14ac:dyDescent="0.2">
      <c r="A12" s="26" t="s">
        <v>35</v>
      </c>
      <c r="B12" s="26"/>
      <c r="C12" s="26"/>
      <c r="D12" s="32"/>
      <c r="E12" s="33">
        <f>SUM(E6:E11)</f>
        <v>19512.760255000001</v>
      </c>
      <c r="F12" s="34">
        <f>SUM(F6:F11)</f>
        <v>92.840917799398071</v>
      </c>
      <c r="G12" s="33"/>
      <c r="H12" s="18"/>
      <c r="I12" s="18"/>
    </row>
    <row r="13" spans="1:9" x14ac:dyDescent="0.2">
      <c r="A13" s="27"/>
      <c r="B13" s="27"/>
      <c r="C13" s="27"/>
      <c r="D13" s="28"/>
      <c r="E13" s="29"/>
      <c r="F13" s="30"/>
      <c r="G13" s="29"/>
    </row>
    <row r="14" spans="1:9" x14ac:dyDescent="0.2">
      <c r="A14" s="26" t="s">
        <v>37</v>
      </c>
      <c r="B14" s="26"/>
      <c r="C14" s="26"/>
      <c r="D14" s="32"/>
      <c r="E14" s="33">
        <f>E12</f>
        <v>19512.760255000001</v>
      </c>
      <c r="F14" s="34">
        <f>F12</f>
        <v>92.840917799398071</v>
      </c>
      <c r="G14" s="33"/>
      <c r="H14" s="18"/>
      <c r="I14" s="18"/>
    </row>
    <row r="15" spans="1:9" x14ac:dyDescent="0.2">
      <c r="A15" s="26"/>
      <c r="B15" s="26"/>
      <c r="C15" s="26"/>
      <c r="D15" s="32"/>
      <c r="E15" s="33"/>
      <c r="F15" s="34"/>
      <c r="G15" s="33"/>
      <c r="H15" s="18"/>
      <c r="I15" s="18"/>
    </row>
    <row r="16" spans="1:9" x14ac:dyDescent="0.2">
      <c r="A16" s="26" t="s">
        <v>39</v>
      </c>
      <c r="B16" s="26"/>
      <c r="C16" s="26"/>
      <c r="D16" s="32"/>
      <c r="E16" s="33">
        <f>E18-(E12)</f>
        <v>1504.6539601000004</v>
      </c>
      <c r="F16" s="34">
        <f>F18-(F12)</f>
        <v>7.1590822006019295</v>
      </c>
      <c r="G16" s="33"/>
      <c r="H16" s="18"/>
      <c r="I16" s="18"/>
    </row>
    <row r="17" spans="1:9" x14ac:dyDescent="0.2">
      <c r="A17" s="26"/>
      <c r="B17" s="26"/>
      <c r="C17" s="26"/>
      <c r="D17" s="32"/>
      <c r="E17" s="33"/>
      <c r="F17" s="34"/>
      <c r="G17" s="33"/>
      <c r="H17" s="18"/>
      <c r="I17" s="18"/>
    </row>
    <row r="18" spans="1:9" x14ac:dyDescent="0.2">
      <c r="A18" s="35" t="s">
        <v>38</v>
      </c>
      <c r="B18" s="35"/>
      <c r="C18" s="35"/>
      <c r="D18" s="36"/>
      <c r="E18" s="37">
        <v>21017.414215100001</v>
      </c>
      <c r="F18" s="38">
        <v>100</v>
      </c>
      <c r="G18" s="37"/>
      <c r="H18" s="18"/>
      <c r="I18" s="18"/>
    </row>
    <row r="21" spans="1:9" x14ac:dyDescent="0.2">
      <c r="A21" s="18" t="s">
        <v>41</v>
      </c>
    </row>
    <row r="22" spans="1:9" x14ac:dyDescent="0.2">
      <c r="A22" s="18" t="s">
        <v>42</v>
      </c>
    </row>
    <row r="23" spans="1:9" x14ac:dyDescent="0.2">
      <c r="A23" s="18" t="s">
        <v>43</v>
      </c>
      <c r="B23" s="18"/>
      <c r="C23" s="39" t="s">
        <v>45</v>
      </c>
      <c r="D23" s="19" t="s">
        <v>44</v>
      </c>
    </row>
    <row r="24" spans="1:9" x14ac:dyDescent="0.2">
      <c r="A24" s="9" t="s">
        <v>88</v>
      </c>
      <c r="C24" s="40">
        <v>47.42</v>
      </c>
      <c r="D24" s="40">
        <v>47.744100000000003</v>
      </c>
    </row>
    <row r="25" spans="1:9" x14ac:dyDescent="0.2">
      <c r="A25" s="9" t="s">
        <v>1018</v>
      </c>
      <c r="C25" s="40">
        <v>10.684100000000001</v>
      </c>
      <c r="D25" s="40">
        <v>10.342499999999999</v>
      </c>
    </row>
    <row r="26" spans="1:9" x14ac:dyDescent="0.2">
      <c r="A26" s="9" t="s">
        <v>89</v>
      </c>
      <c r="C26" s="40">
        <v>50.868499999999997</v>
      </c>
      <c r="D26" s="40">
        <v>51.325000000000003</v>
      </c>
    </row>
    <row r="27" spans="1:9" x14ac:dyDescent="0.2">
      <c r="A27" s="9" t="s">
        <v>1019</v>
      </c>
      <c r="C27" s="40">
        <v>11.786099999999999</v>
      </c>
      <c r="D27" s="40">
        <v>11.476800000000001</v>
      </c>
    </row>
    <row r="29" spans="1:9" x14ac:dyDescent="0.2">
      <c r="A29" s="18" t="s">
        <v>47</v>
      </c>
    </row>
    <row r="30" spans="1:9" x14ac:dyDescent="0.2">
      <c r="A30" s="74" t="s">
        <v>65</v>
      </c>
      <c r="B30" s="75"/>
      <c r="C30" s="43" t="s">
        <v>66</v>
      </c>
    </row>
    <row r="31" spans="1:9" x14ac:dyDescent="0.2">
      <c r="A31" s="70" t="s">
        <v>1018</v>
      </c>
      <c r="B31" s="71"/>
      <c r="C31" s="44">
        <v>0.41</v>
      </c>
    </row>
    <row r="32" spans="1:9" x14ac:dyDescent="0.2">
      <c r="A32" s="70" t="s">
        <v>1019</v>
      </c>
      <c r="B32" s="71"/>
      <c r="C32" s="44">
        <v>0.41</v>
      </c>
    </row>
    <row r="33" spans="1:5" x14ac:dyDescent="0.2">
      <c r="A33" s="9" t="s">
        <v>67</v>
      </c>
    </row>
    <row r="34" spans="1:5" x14ac:dyDescent="0.2">
      <c r="A34" s="9" t="s">
        <v>46</v>
      </c>
    </row>
    <row r="36" spans="1:5" x14ac:dyDescent="0.2">
      <c r="A36" s="18" t="s">
        <v>816</v>
      </c>
      <c r="D36" s="42">
        <v>7.0530889395342502</v>
      </c>
      <c r="E36" s="13" t="s">
        <v>49</v>
      </c>
    </row>
    <row r="38" spans="1:5" x14ac:dyDescent="0.2">
      <c r="A38" s="18" t="s">
        <v>727</v>
      </c>
      <c r="D38" s="41" t="s">
        <v>48</v>
      </c>
    </row>
    <row r="40" spans="1:5" x14ac:dyDescent="0.2">
      <c r="A40" s="18" t="s">
        <v>817</v>
      </c>
    </row>
    <row r="41" spans="1:5" x14ac:dyDescent="0.2">
      <c r="A41" s="50" t="s">
        <v>51</v>
      </c>
    </row>
  </sheetData>
  <mergeCells count="4">
    <mergeCell ref="A1:G1"/>
    <mergeCell ref="A30:B30"/>
    <mergeCell ref="A31:B31"/>
    <mergeCell ref="A32:B32"/>
  </mergeCells>
  <conditionalFormatting sqref="F2:F3 F5:F65534">
    <cfRule type="cellIs" dxfId="73" priority="1" stopIfTrue="1" operator="between">
      <formula>0.009</formula>
      <formula>-0.009</formula>
    </cfRule>
  </conditionalFormatting>
  <hyperlinks>
    <hyperlink ref="A41" r:id="rId1" tooltip="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3"/>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1020</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1021</v>
      </c>
      <c r="B7" s="27" t="s">
        <v>1022</v>
      </c>
      <c r="C7" s="27" t="s">
        <v>982</v>
      </c>
      <c r="D7" s="31">
        <v>40</v>
      </c>
      <c r="E7" s="29">
        <v>533.53200000000004</v>
      </c>
      <c r="F7" s="30">
        <v>10.150304127781601</v>
      </c>
      <c r="G7" s="29">
        <v>4.6749000000000001</v>
      </c>
    </row>
    <row r="8" spans="1:7" x14ac:dyDescent="0.2">
      <c r="A8" s="27" t="s">
        <v>1023</v>
      </c>
      <c r="B8" s="27" t="s">
        <v>1024</v>
      </c>
      <c r="C8" s="27" t="s">
        <v>34</v>
      </c>
      <c r="D8" s="31">
        <v>40</v>
      </c>
      <c r="E8" s="29">
        <v>529.84119999999996</v>
      </c>
      <c r="F8" s="30">
        <v>10.080087641282599</v>
      </c>
      <c r="G8" s="29">
        <v>4.3648999999999996</v>
      </c>
    </row>
    <row r="9" spans="1:7" x14ac:dyDescent="0.2">
      <c r="A9" s="27" t="s">
        <v>1011</v>
      </c>
      <c r="B9" s="27" t="s">
        <v>1012</v>
      </c>
      <c r="C9" s="27" t="s">
        <v>926</v>
      </c>
      <c r="D9" s="31">
        <v>42</v>
      </c>
      <c r="E9" s="29">
        <v>430.99937999999997</v>
      </c>
      <c r="F9" s="30">
        <v>8.1996483545229104</v>
      </c>
      <c r="G9" s="29">
        <v>3.84</v>
      </c>
    </row>
    <row r="10" spans="1:7" x14ac:dyDescent="0.2">
      <c r="A10" s="27" t="s">
        <v>951</v>
      </c>
      <c r="B10" s="27" t="s">
        <v>952</v>
      </c>
      <c r="C10" s="27" t="s">
        <v>873</v>
      </c>
      <c r="D10" s="31">
        <v>41</v>
      </c>
      <c r="E10" s="29">
        <v>420.70346000000001</v>
      </c>
      <c r="F10" s="30">
        <v>8.0037712201142703</v>
      </c>
      <c r="G10" s="29">
        <v>3.8395000000000001</v>
      </c>
    </row>
    <row r="11" spans="1:7" x14ac:dyDescent="0.2">
      <c r="A11" s="27" t="s">
        <v>929</v>
      </c>
      <c r="B11" s="27" t="s">
        <v>930</v>
      </c>
      <c r="C11" s="27" t="s">
        <v>34</v>
      </c>
      <c r="D11" s="31">
        <v>41</v>
      </c>
      <c r="E11" s="29">
        <v>411.55840999999998</v>
      </c>
      <c r="F11" s="30">
        <v>7.8297890807790997</v>
      </c>
      <c r="G11" s="29">
        <v>3.5849000000000002</v>
      </c>
    </row>
    <row r="12" spans="1:7" x14ac:dyDescent="0.2">
      <c r="A12" s="27" t="s">
        <v>904</v>
      </c>
      <c r="B12" s="27" t="s">
        <v>905</v>
      </c>
      <c r="C12" s="27" t="s">
        <v>896</v>
      </c>
      <c r="D12" s="31">
        <v>40</v>
      </c>
      <c r="E12" s="29">
        <v>410.73680000000002</v>
      </c>
      <c r="F12" s="30">
        <v>7.8141581694665199</v>
      </c>
      <c r="G12" s="29">
        <v>4.9050000000000002</v>
      </c>
    </row>
    <row r="13" spans="1:7" x14ac:dyDescent="0.2">
      <c r="A13" s="27" t="s">
        <v>1008</v>
      </c>
      <c r="B13" s="27" t="s">
        <v>1009</v>
      </c>
      <c r="C13" s="27" t="s">
        <v>1010</v>
      </c>
      <c r="D13" s="31">
        <v>37</v>
      </c>
      <c r="E13" s="29">
        <v>383.06914</v>
      </c>
      <c r="F13" s="30">
        <v>7.2877883106688097</v>
      </c>
      <c r="G13" s="29">
        <v>3.7801</v>
      </c>
    </row>
    <row r="14" spans="1:7" x14ac:dyDescent="0.2">
      <c r="A14" s="27" t="s">
        <v>955</v>
      </c>
      <c r="B14" s="27" t="s">
        <v>956</v>
      </c>
      <c r="C14" s="27" t="s">
        <v>34</v>
      </c>
      <c r="D14" s="31">
        <v>30</v>
      </c>
      <c r="E14" s="29">
        <v>379.88279999999997</v>
      </c>
      <c r="F14" s="30">
        <v>7.2271690412444496</v>
      </c>
      <c r="G14" s="29">
        <v>4.0998999999999999</v>
      </c>
    </row>
    <row r="15" spans="1:7" x14ac:dyDescent="0.2">
      <c r="A15" s="27" t="s">
        <v>949</v>
      </c>
      <c r="B15" s="27" t="s">
        <v>950</v>
      </c>
      <c r="C15" s="27" t="s">
        <v>34</v>
      </c>
      <c r="D15" s="31">
        <v>30</v>
      </c>
      <c r="E15" s="29">
        <v>307.02480000000003</v>
      </c>
      <c r="F15" s="30">
        <v>5.8410650059815001</v>
      </c>
      <c r="G15" s="29">
        <v>3.71</v>
      </c>
    </row>
    <row r="16" spans="1:7" x14ac:dyDescent="0.2">
      <c r="A16" s="27" t="s">
        <v>1025</v>
      </c>
      <c r="B16" s="27" t="s">
        <v>1026</v>
      </c>
      <c r="C16" s="27" t="s">
        <v>982</v>
      </c>
      <c r="D16" s="31">
        <v>21</v>
      </c>
      <c r="E16" s="29">
        <v>274.04516999999998</v>
      </c>
      <c r="F16" s="30">
        <v>5.2136363334338203</v>
      </c>
      <c r="G16" s="29">
        <v>4.3650000000000002</v>
      </c>
    </row>
    <row r="17" spans="1:9" x14ac:dyDescent="0.2">
      <c r="A17" s="27" t="s">
        <v>967</v>
      </c>
      <c r="B17" s="27" t="s">
        <v>968</v>
      </c>
      <c r="C17" s="27" t="s">
        <v>34</v>
      </c>
      <c r="D17" s="31">
        <v>25</v>
      </c>
      <c r="E17" s="29">
        <v>255.19900000000001</v>
      </c>
      <c r="F17" s="30">
        <v>4.8550929711914899</v>
      </c>
      <c r="G17" s="29">
        <v>3.8849999999999998</v>
      </c>
    </row>
    <row r="18" spans="1:9" x14ac:dyDescent="0.2">
      <c r="A18" s="27" t="s">
        <v>1027</v>
      </c>
      <c r="B18" s="27" t="s">
        <v>1028</v>
      </c>
      <c r="C18" s="27" t="s">
        <v>34</v>
      </c>
      <c r="D18" s="31">
        <v>19</v>
      </c>
      <c r="E18" s="29">
        <v>247.74955</v>
      </c>
      <c r="F18" s="30">
        <v>4.7133691700236096</v>
      </c>
      <c r="G18" s="29">
        <v>4.37</v>
      </c>
    </row>
    <row r="19" spans="1:9" x14ac:dyDescent="0.2">
      <c r="A19" s="27" t="s">
        <v>1029</v>
      </c>
      <c r="B19" s="27" t="s">
        <v>1030</v>
      </c>
      <c r="C19" s="27" t="s">
        <v>873</v>
      </c>
      <c r="D19" s="31">
        <v>18</v>
      </c>
      <c r="E19" s="29">
        <v>185.07185999999999</v>
      </c>
      <c r="F19" s="30">
        <v>3.52094281972632</v>
      </c>
      <c r="G19" s="29">
        <v>4.0949999999999998</v>
      </c>
    </row>
    <row r="20" spans="1:9" x14ac:dyDescent="0.2">
      <c r="A20" s="27" t="s">
        <v>1031</v>
      </c>
      <c r="B20" s="27" t="s">
        <v>1032</v>
      </c>
      <c r="C20" s="27" t="s">
        <v>34</v>
      </c>
      <c r="D20" s="31">
        <v>12</v>
      </c>
      <c r="E20" s="29">
        <v>156.06168</v>
      </c>
      <c r="F20" s="30">
        <v>2.9690318756748102</v>
      </c>
      <c r="G20" s="29">
        <v>5.1249000000000002</v>
      </c>
    </row>
    <row r="21" spans="1:9" x14ac:dyDescent="0.2">
      <c r="A21" s="27" t="s">
        <v>914</v>
      </c>
      <c r="B21" s="27" t="s">
        <v>915</v>
      </c>
      <c r="C21" s="27" t="s">
        <v>34</v>
      </c>
      <c r="D21" s="31">
        <v>10</v>
      </c>
      <c r="E21" s="29">
        <v>102.6486</v>
      </c>
      <c r="F21" s="30">
        <v>1.95286226185309</v>
      </c>
      <c r="G21" s="29">
        <v>4</v>
      </c>
    </row>
    <row r="22" spans="1:9" x14ac:dyDescent="0.2">
      <c r="A22" s="27" t="s">
        <v>901</v>
      </c>
      <c r="B22" s="27" t="s">
        <v>902</v>
      </c>
      <c r="C22" s="27" t="s">
        <v>903</v>
      </c>
      <c r="D22" s="31">
        <v>5</v>
      </c>
      <c r="E22" s="29">
        <v>51.147500000000001</v>
      </c>
      <c r="F22" s="30">
        <v>0.97306755803908696</v>
      </c>
      <c r="G22" s="29">
        <v>4.6848999999999998</v>
      </c>
    </row>
    <row r="23" spans="1:9" x14ac:dyDescent="0.2">
      <c r="A23" s="26" t="s">
        <v>35</v>
      </c>
      <c r="B23" s="26"/>
      <c r="C23" s="26"/>
      <c r="D23" s="32"/>
      <c r="E23" s="33">
        <f>SUM(E6:E22)</f>
        <v>5079.2713500000009</v>
      </c>
      <c r="F23" s="34">
        <f>SUM(F6:F22)</f>
        <v>96.631783941783993</v>
      </c>
      <c r="G23" s="33"/>
      <c r="H23" s="18"/>
      <c r="I23" s="18"/>
    </row>
    <row r="24" spans="1:9" x14ac:dyDescent="0.2">
      <c r="A24" s="27"/>
      <c r="B24" s="27"/>
      <c r="C24" s="27"/>
      <c r="D24" s="28"/>
      <c r="E24" s="29"/>
      <c r="F24" s="30"/>
      <c r="G24" s="29"/>
    </row>
    <row r="25" spans="1:9" x14ac:dyDescent="0.2">
      <c r="A25" s="26" t="s">
        <v>37</v>
      </c>
      <c r="B25" s="26"/>
      <c r="C25" s="26"/>
      <c r="D25" s="32"/>
      <c r="E25" s="33">
        <f>E23</f>
        <v>5079.2713500000009</v>
      </c>
      <c r="F25" s="34">
        <f>F23</f>
        <v>96.631783941783993</v>
      </c>
      <c r="G25" s="33"/>
      <c r="H25" s="18"/>
      <c r="I25" s="18"/>
    </row>
    <row r="26" spans="1:9" x14ac:dyDescent="0.2">
      <c r="A26" s="26"/>
      <c r="B26" s="26"/>
      <c r="C26" s="26"/>
      <c r="D26" s="32"/>
      <c r="E26" s="33"/>
      <c r="F26" s="34"/>
      <c r="G26" s="33"/>
      <c r="H26" s="18"/>
      <c r="I26" s="18"/>
    </row>
    <row r="27" spans="1:9" x14ac:dyDescent="0.2">
      <c r="A27" s="26" t="s">
        <v>39</v>
      </c>
      <c r="B27" s="26"/>
      <c r="C27" s="26"/>
      <c r="D27" s="32"/>
      <c r="E27" s="33">
        <f>E29-(E23)</f>
        <v>177.0440596999988</v>
      </c>
      <c r="F27" s="34">
        <f>F29-(F23)</f>
        <v>3.3682160582160066</v>
      </c>
      <c r="G27" s="33"/>
      <c r="H27" s="18"/>
      <c r="I27" s="18"/>
    </row>
    <row r="28" spans="1:9" x14ac:dyDescent="0.2">
      <c r="A28" s="26"/>
      <c r="B28" s="26"/>
      <c r="C28" s="26"/>
      <c r="D28" s="32"/>
      <c r="E28" s="33"/>
      <c r="F28" s="34"/>
      <c r="G28" s="33"/>
      <c r="H28" s="18"/>
      <c r="I28" s="18"/>
    </row>
    <row r="29" spans="1:9" x14ac:dyDescent="0.2">
      <c r="A29" s="35" t="s">
        <v>38</v>
      </c>
      <c r="B29" s="35"/>
      <c r="C29" s="35"/>
      <c r="D29" s="36"/>
      <c r="E29" s="37">
        <v>5256.3154096999997</v>
      </c>
      <c r="F29" s="38">
        <v>100</v>
      </c>
      <c r="G29" s="37"/>
      <c r="H29" s="18"/>
      <c r="I29" s="18"/>
    </row>
    <row r="31" spans="1:9" x14ac:dyDescent="0.2">
      <c r="A31" s="18" t="s">
        <v>40</v>
      </c>
    </row>
    <row r="33" spans="1:5" x14ac:dyDescent="0.2">
      <c r="A33" s="18" t="s">
        <v>41</v>
      </c>
    </row>
    <row r="34" spans="1:5" x14ac:dyDescent="0.2">
      <c r="A34" s="18" t="s">
        <v>42</v>
      </c>
    </row>
    <row r="35" spans="1:5" x14ac:dyDescent="0.2">
      <c r="A35" s="18" t="s">
        <v>43</v>
      </c>
      <c r="B35" s="18"/>
      <c r="C35" s="39" t="s">
        <v>45</v>
      </c>
      <c r="D35" s="19" t="s">
        <v>44</v>
      </c>
    </row>
    <row r="36" spans="1:5" x14ac:dyDescent="0.2">
      <c r="A36" s="9" t="s">
        <v>68</v>
      </c>
      <c r="C36" s="40">
        <v>11.945399999999999</v>
      </c>
      <c r="D36" s="40">
        <v>12.2423</v>
      </c>
    </row>
    <row r="37" spans="1:5" x14ac:dyDescent="0.2">
      <c r="A37" s="9" t="s">
        <v>1033</v>
      </c>
      <c r="C37" s="40">
        <v>11.106</v>
      </c>
      <c r="D37" s="40">
        <v>10.5869</v>
      </c>
    </row>
    <row r="38" spans="1:5" x14ac:dyDescent="0.2">
      <c r="A38" s="9" t="s">
        <v>70</v>
      </c>
      <c r="C38" s="40">
        <v>10.518700000000001</v>
      </c>
      <c r="D38" s="40">
        <v>10.414999999999999</v>
      </c>
    </row>
    <row r="39" spans="1:5" x14ac:dyDescent="0.2">
      <c r="A39" s="9" t="s">
        <v>71</v>
      </c>
      <c r="C39" s="40">
        <v>11.99</v>
      </c>
      <c r="D39" s="40">
        <v>12.3004</v>
      </c>
    </row>
    <row r="41" spans="1:5" x14ac:dyDescent="0.2">
      <c r="A41" s="18" t="s">
        <v>47</v>
      </c>
    </row>
    <row r="42" spans="1:5" x14ac:dyDescent="0.2">
      <c r="A42" s="74" t="s">
        <v>65</v>
      </c>
      <c r="B42" s="75"/>
      <c r="C42" s="43" t="s">
        <v>66</v>
      </c>
    </row>
    <row r="43" spans="1:5" x14ac:dyDescent="0.2">
      <c r="A43" s="70" t="s">
        <v>1033</v>
      </c>
      <c r="B43" s="71"/>
      <c r="C43" s="44">
        <v>0.78</v>
      </c>
    </row>
    <row r="44" spans="1:5" x14ac:dyDescent="0.2">
      <c r="A44" s="70" t="s">
        <v>70</v>
      </c>
      <c r="B44" s="71"/>
      <c r="C44" s="44">
        <v>0.36</v>
      </c>
    </row>
    <row r="45" spans="1:5" x14ac:dyDescent="0.2">
      <c r="A45" s="9" t="s">
        <v>67</v>
      </c>
    </row>
    <row r="46" spans="1:5" x14ac:dyDescent="0.2">
      <c r="A46" s="9" t="s">
        <v>46</v>
      </c>
    </row>
    <row r="48" spans="1:5" x14ac:dyDescent="0.2">
      <c r="A48" s="18" t="s">
        <v>816</v>
      </c>
      <c r="D48" s="42">
        <v>0.59517635684931502</v>
      </c>
      <c r="E48" s="13" t="s">
        <v>49</v>
      </c>
    </row>
    <row r="50" spans="1:4" x14ac:dyDescent="0.2">
      <c r="A50" s="18" t="s">
        <v>727</v>
      </c>
      <c r="D50" s="41" t="s">
        <v>48</v>
      </c>
    </row>
    <row r="52" spans="1:4" x14ac:dyDescent="0.2">
      <c r="A52" s="18" t="s">
        <v>817</v>
      </c>
    </row>
    <row r="53" spans="1:4" x14ac:dyDescent="0.2">
      <c r="A53" s="50" t="s">
        <v>51</v>
      </c>
    </row>
  </sheetData>
  <mergeCells count="4">
    <mergeCell ref="A1:G1"/>
    <mergeCell ref="A42:B42"/>
    <mergeCell ref="A43:B43"/>
    <mergeCell ref="A44:B44"/>
  </mergeCells>
  <conditionalFormatting sqref="F2:F3 F5:F65534">
    <cfRule type="cellIs" dxfId="72" priority="1" stopIfTrue="1" operator="between">
      <formula>0.009</formula>
      <formula>-0.009</formula>
    </cfRule>
  </conditionalFormatting>
  <hyperlinks>
    <hyperlink ref="A53" r:id="rId1" tooltip="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1034</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955</v>
      </c>
      <c r="B7" s="27" t="s">
        <v>956</v>
      </c>
      <c r="C7" s="27" t="s">
        <v>34</v>
      </c>
      <c r="D7" s="31">
        <v>39</v>
      </c>
      <c r="E7" s="29">
        <v>493.84764000000001</v>
      </c>
      <c r="F7" s="30">
        <v>12.022156289895699</v>
      </c>
      <c r="G7" s="29">
        <v>4.0998999999999999</v>
      </c>
    </row>
    <row r="8" spans="1:7" x14ac:dyDescent="0.2">
      <c r="A8" s="27" t="s">
        <v>1035</v>
      </c>
      <c r="B8" s="27" t="s">
        <v>1036</v>
      </c>
      <c r="C8" s="27" t="s">
        <v>34</v>
      </c>
      <c r="D8" s="31">
        <v>39</v>
      </c>
      <c r="E8" s="29">
        <v>401.33846999999997</v>
      </c>
      <c r="F8" s="30">
        <v>9.7701262913550195</v>
      </c>
      <c r="G8" s="29">
        <v>3.84</v>
      </c>
    </row>
    <row r="9" spans="1:7" x14ac:dyDescent="0.2">
      <c r="A9" s="27" t="s">
        <v>1037</v>
      </c>
      <c r="B9" s="27" t="s">
        <v>1038</v>
      </c>
      <c r="C9" s="27" t="s">
        <v>34</v>
      </c>
      <c r="D9" s="31">
        <v>39</v>
      </c>
      <c r="E9" s="29">
        <v>396.51573000000002</v>
      </c>
      <c r="F9" s="30">
        <v>9.6527221988184397</v>
      </c>
      <c r="G9" s="29">
        <v>3.6349999999999998</v>
      </c>
    </row>
    <row r="10" spans="1:7" x14ac:dyDescent="0.2">
      <c r="A10" s="27" t="s">
        <v>929</v>
      </c>
      <c r="B10" s="27" t="s">
        <v>930</v>
      </c>
      <c r="C10" s="27" t="s">
        <v>34</v>
      </c>
      <c r="D10" s="31">
        <v>38</v>
      </c>
      <c r="E10" s="29">
        <v>381.44438000000002</v>
      </c>
      <c r="F10" s="30">
        <v>9.2858274107827601</v>
      </c>
      <c r="G10" s="29">
        <v>3.5849000000000002</v>
      </c>
    </row>
    <row r="11" spans="1:7" x14ac:dyDescent="0.2">
      <c r="A11" s="27" t="s">
        <v>1029</v>
      </c>
      <c r="B11" s="27" t="s">
        <v>1030</v>
      </c>
      <c r="C11" s="27" t="s">
        <v>873</v>
      </c>
      <c r="D11" s="31">
        <v>37</v>
      </c>
      <c r="E11" s="29">
        <v>380.42549000000002</v>
      </c>
      <c r="F11" s="30">
        <v>9.2610236984025391</v>
      </c>
      <c r="G11" s="29">
        <v>4.0949999999999998</v>
      </c>
    </row>
    <row r="12" spans="1:7" x14ac:dyDescent="0.2">
      <c r="A12" s="27" t="s">
        <v>1025</v>
      </c>
      <c r="B12" s="27" t="s">
        <v>1026</v>
      </c>
      <c r="C12" s="27" t="s">
        <v>982</v>
      </c>
      <c r="D12" s="31">
        <v>29</v>
      </c>
      <c r="E12" s="29">
        <v>378.44333</v>
      </c>
      <c r="F12" s="30">
        <v>9.2127702789641504</v>
      </c>
      <c r="G12" s="29">
        <v>4.3650000000000002</v>
      </c>
    </row>
    <row r="13" spans="1:7" x14ac:dyDescent="0.2">
      <c r="A13" s="27" t="s">
        <v>961</v>
      </c>
      <c r="B13" s="27" t="s">
        <v>962</v>
      </c>
      <c r="C13" s="27" t="s">
        <v>34</v>
      </c>
      <c r="D13" s="31">
        <v>27</v>
      </c>
      <c r="E13" s="29">
        <v>351.36234000000002</v>
      </c>
      <c r="F13" s="30">
        <v>8.5535145330723505</v>
      </c>
      <c r="G13" s="29">
        <v>3.7999000000000001</v>
      </c>
    </row>
    <row r="14" spans="1:7" x14ac:dyDescent="0.2">
      <c r="A14" s="27" t="s">
        <v>901</v>
      </c>
      <c r="B14" s="27" t="s">
        <v>902</v>
      </c>
      <c r="C14" s="27" t="s">
        <v>903</v>
      </c>
      <c r="D14" s="31">
        <v>34</v>
      </c>
      <c r="E14" s="29">
        <v>347.803</v>
      </c>
      <c r="F14" s="30">
        <v>8.4668664693722206</v>
      </c>
      <c r="G14" s="29">
        <v>4.6848999999999998</v>
      </c>
    </row>
    <row r="15" spans="1:7" x14ac:dyDescent="0.2">
      <c r="A15" s="27" t="s">
        <v>1031</v>
      </c>
      <c r="B15" s="27" t="s">
        <v>1032</v>
      </c>
      <c r="C15" s="27" t="s">
        <v>34</v>
      </c>
      <c r="D15" s="31">
        <v>24</v>
      </c>
      <c r="E15" s="29">
        <v>312.12335999999999</v>
      </c>
      <c r="F15" s="30">
        <v>7.5982864181499199</v>
      </c>
      <c r="G15" s="29">
        <v>5.1249000000000002</v>
      </c>
    </row>
    <row r="16" spans="1:7" x14ac:dyDescent="0.2">
      <c r="A16" s="27" t="s">
        <v>967</v>
      </c>
      <c r="B16" s="27" t="s">
        <v>968</v>
      </c>
      <c r="C16" s="27" t="s">
        <v>34</v>
      </c>
      <c r="D16" s="31">
        <v>19</v>
      </c>
      <c r="E16" s="29">
        <v>193.95124000000001</v>
      </c>
      <c r="F16" s="30">
        <v>4.7215212365884298</v>
      </c>
      <c r="G16" s="29">
        <v>3.8849999999999998</v>
      </c>
    </row>
    <row r="17" spans="1:9" x14ac:dyDescent="0.2">
      <c r="A17" s="27" t="s">
        <v>949</v>
      </c>
      <c r="B17" s="27" t="s">
        <v>950</v>
      </c>
      <c r="C17" s="27" t="s">
        <v>34</v>
      </c>
      <c r="D17" s="31">
        <v>13</v>
      </c>
      <c r="E17" s="29">
        <v>133.04408000000001</v>
      </c>
      <c r="F17" s="30">
        <v>3.2388060479653</v>
      </c>
      <c r="G17" s="29">
        <v>3.71</v>
      </c>
    </row>
    <row r="18" spans="1:9" x14ac:dyDescent="0.2">
      <c r="A18" s="27" t="s">
        <v>914</v>
      </c>
      <c r="B18" s="27" t="s">
        <v>915</v>
      </c>
      <c r="C18" s="27" t="s">
        <v>34</v>
      </c>
      <c r="D18" s="31">
        <v>12</v>
      </c>
      <c r="E18" s="29">
        <v>123.17832</v>
      </c>
      <c r="F18" s="30">
        <v>2.9986353980891498</v>
      </c>
      <c r="G18" s="29">
        <v>4</v>
      </c>
    </row>
    <row r="19" spans="1:9" x14ac:dyDescent="0.2">
      <c r="A19" s="27" t="s">
        <v>1023</v>
      </c>
      <c r="B19" s="27" t="s">
        <v>1024</v>
      </c>
      <c r="C19" s="27" t="s">
        <v>34</v>
      </c>
      <c r="D19" s="31">
        <v>4</v>
      </c>
      <c r="E19" s="29">
        <v>52.984119999999997</v>
      </c>
      <c r="F19" s="30">
        <v>1.2898378364683301</v>
      </c>
      <c r="G19" s="29">
        <v>4.3648999999999996</v>
      </c>
    </row>
    <row r="20" spans="1:9" x14ac:dyDescent="0.2">
      <c r="A20" s="27" t="s">
        <v>1039</v>
      </c>
      <c r="B20" s="27" t="s">
        <v>1040</v>
      </c>
      <c r="C20" s="27" t="s">
        <v>982</v>
      </c>
      <c r="D20" s="31">
        <v>1</v>
      </c>
      <c r="E20" s="29">
        <v>13.01399</v>
      </c>
      <c r="F20" s="30">
        <v>0.31681071055668097</v>
      </c>
      <c r="G20" s="29">
        <v>4.8646000000000003</v>
      </c>
    </row>
    <row r="21" spans="1:9" x14ac:dyDescent="0.2">
      <c r="A21" s="27" t="s">
        <v>904</v>
      </c>
      <c r="B21" s="27" t="s">
        <v>905</v>
      </c>
      <c r="C21" s="27" t="s">
        <v>896</v>
      </c>
      <c r="D21" s="31">
        <v>1</v>
      </c>
      <c r="E21" s="29">
        <v>10.268420000000001</v>
      </c>
      <c r="F21" s="30">
        <v>0.24997294730474201</v>
      </c>
      <c r="G21" s="29">
        <v>4.9050000000000002</v>
      </c>
    </row>
    <row r="22" spans="1:9" x14ac:dyDescent="0.2">
      <c r="A22" s="26" t="s">
        <v>35</v>
      </c>
      <c r="B22" s="26"/>
      <c r="C22" s="26"/>
      <c r="D22" s="32"/>
      <c r="E22" s="33">
        <f>SUM(E6:E21)</f>
        <v>3969.7439100000001</v>
      </c>
      <c r="F22" s="34">
        <f>SUM(F6:F21)</f>
        <v>96.638877765785736</v>
      </c>
      <c r="G22" s="33"/>
      <c r="H22" s="18"/>
      <c r="I22" s="18"/>
    </row>
    <row r="23" spans="1:9" x14ac:dyDescent="0.2">
      <c r="A23" s="27"/>
      <c r="B23" s="27"/>
      <c r="C23" s="27"/>
      <c r="D23" s="28"/>
      <c r="E23" s="29"/>
      <c r="F23" s="30"/>
      <c r="G23" s="29"/>
    </row>
    <row r="24" spans="1:9" x14ac:dyDescent="0.2">
      <c r="A24" s="26" t="s">
        <v>37</v>
      </c>
      <c r="B24" s="26"/>
      <c r="C24" s="26"/>
      <c r="D24" s="32"/>
      <c r="E24" s="33">
        <f>E22</f>
        <v>3969.7439100000001</v>
      </c>
      <c r="F24" s="34">
        <f>F22</f>
        <v>96.638877765785736</v>
      </c>
      <c r="G24" s="33"/>
      <c r="H24" s="18"/>
      <c r="I24" s="18"/>
    </row>
    <row r="25" spans="1:9" x14ac:dyDescent="0.2">
      <c r="A25" s="26"/>
      <c r="B25" s="26"/>
      <c r="C25" s="26"/>
      <c r="D25" s="32"/>
      <c r="E25" s="33"/>
      <c r="F25" s="34"/>
      <c r="G25" s="33"/>
      <c r="H25" s="18"/>
      <c r="I25" s="18"/>
    </row>
    <row r="26" spans="1:9" x14ac:dyDescent="0.2">
      <c r="A26" s="26" t="s">
        <v>39</v>
      </c>
      <c r="B26" s="26"/>
      <c r="C26" s="26"/>
      <c r="D26" s="32"/>
      <c r="E26" s="33">
        <f>E28-(E22)</f>
        <v>138.0685996000002</v>
      </c>
      <c r="F26" s="34">
        <f>F28-(F22)</f>
        <v>3.3611222342142639</v>
      </c>
      <c r="G26" s="33"/>
      <c r="H26" s="18"/>
      <c r="I26" s="18"/>
    </row>
    <row r="27" spans="1:9" x14ac:dyDescent="0.2">
      <c r="A27" s="26"/>
      <c r="B27" s="26"/>
      <c r="C27" s="26"/>
      <c r="D27" s="32"/>
      <c r="E27" s="33"/>
      <c r="F27" s="34"/>
      <c r="G27" s="33"/>
      <c r="H27" s="18"/>
      <c r="I27" s="18"/>
    </row>
    <row r="28" spans="1:9" x14ac:dyDescent="0.2">
      <c r="A28" s="35" t="s">
        <v>38</v>
      </c>
      <c r="B28" s="35"/>
      <c r="C28" s="35"/>
      <c r="D28" s="36"/>
      <c r="E28" s="37">
        <v>4107.8125096000003</v>
      </c>
      <c r="F28" s="38">
        <v>100</v>
      </c>
      <c r="G28" s="37"/>
      <c r="H28" s="18"/>
      <c r="I28" s="18"/>
    </row>
    <row r="30" spans="1:9" x14ac:dyDescent="0.2">
      <c r="A30" s="18" t="s">
        <v>40</v>
      </c>
    </row>
    <row r="32" spans="1:9" x14ac:dyDescent="0.2">
      <c r="A32" s="18" t="s">
        <v>41</v>
      </c>
    </row>
    <row r="33" spans="1:4" x14ac:dyDescent="0.2">
      <c r="A33" s="18" t="s">
        <v>42</v>
      </c>
    </row>
    <row r="34" spans="1:4" x14ac:dyDescent="0.2">
      <c r="A34" s="18" t="s">
        <v>43</v>
      </c>
      <c r="B34" s="18"/>
      <c r="C34" s="39" t="s">
        <v>45</v>
      </c>
      <c r="D34" s="19" t="s">
        <v>44</v>
      </c>
    </row>
    <row r="35" spans="1:4" x14ac:dyDescent="0.2">
      <c r="A35" s="9" t="s">
        <v>68</v>
      </c>
      <c r="C35" s="40">
        <v>12.076499999999999</v>
      </c>
      <c r="D35" s="40">
        <v>12.3766</v>
      </c>
    </row>
    <row r="36" spans="1:4" x14ac:dyDescent="0.2">
      <c r="A36" s="9" t="s">
        <v>1033</v>
      </c>
      <c r="C36" s="40">
        <v>11.211600000000001</v>
      </c>
      <c r="D36" s="40">
        <v>10.636900000000001</v>
      </c>
    </row>
    <row r="37" spans="1:4" x14ac:dyDescent="0.2">
      <c r="A37" s="9" t="s">
        <v>70</v>
      </c>
      <c r="C37" s="40">
        <v>10.5831</v>
      </c>
      <c r="D37" s="40">
        <v>10.4496</v>
      </c>
    </row>
    <row r="38" spans="1:4" x14ac:dyDescent="0.2">
      <c r="A38" s="9" t="s">
        <v>71</v>
      </c>
      <c r="C38" s="40">
        <v>12.123900000000001</v>
      </c>
      <c r="D38" s="40">
        <v>12.4375</v>
      </c>
    </row>
    <row r="39" spans="1:4" x14ac:dyDescent="0.2">
      <c r="A39" s="9" t="s">
        <v>75</v>
      </c>
      <c r="C39" s="40">
        <v>11.255800000000001</v>
      </c>
      <c r="D39" s="40">
        <v>10.6922</v>
      </c>
    </row>
    <row r="40" spans="1:4" x14ac:dyDescent="0.2">
      <c r="A40" s="9" t="s">
        <v>73</v>
      </c>
      <c r="C40" s="40">
        <v>10.6282</v>
      </c>
      <c r="D40" s="40">
        <v>10.506600000000001</v>
      </c>
    </row>
    <row r="42" spans="1:4" x14ac:dyDescent="0.2">
      <c r="A42" s="18" t="s">
        <v>47</v>
      </c>
    </row>
    <row r="43" spans="1:4" x14ac:dyDescent="0.2">
      <c r="A43" s="74" t="s">
        <v>65</v>
      </c>
      <c r="B43" s="75"/>
      <c r="C43" s="43" t="s">
        <v>66</v>
      </c>
    </row>
    <row r="44" spans="1:4" x14ac:dyDescent="0.2">
      <c r="A44" s="70" t="s">
        <v>1033</v>
      </c>
      <c r="B44" s="71"/>
      <c r="C44" s="44">
        <v>0.83499999999999996</v>
      </c>
    </row>
    <row r="45" spans="1:4" x14ac:dyDescent="0.2">
      <c r="A45" s="70" t="s">
        <v>70</v>
      </c>
      <c r="B45" s="71"/>
      <c r="C45" s="44">
        <v>0.39</v>
      </c>
    </row>
    <row r="46" spans="1:4" x14ac:dyDescent="0.2">
      <c r="A46" s="70" t="s">
        <v>75</v>
      </c>
      <c r="B46" s="71"/>
      <c r="C46" s="44">
        <v>0.83499999999999996</v>
      </c>
    </row>
    <row r="47" spans="1:4" x14ac:dyDescent="0.2">
      <c r="A47" s="70" t="s">
        <v>73</v>
      </c>
      <c r="B47" s="71"/>
      <c r="C47" s="44">
        <v>0.39</v>
      </c>
    </row>
    <row r="48" spans="1:4" x14ac:dyDescent="0.2">
      <c r="A48" s="9" t="s">
        <v>67</v>
      </c>
    </row>
    <row r="49" spans="1:5" x14ac:dyDescent="0.2">
      <c r="A49" s="9" t="s">
        <v>46</v>
      </c>
    </row>
    <row r="51" spans="1:5" x14ac:dyDescent="0.2">
      <c r="A51" s="18" t="s">
        <v>816</v>
      </c>
      <c r="D51" s="42">
        <v>0.52843092769862998</v>
      </c>
      <c r="E51" s="13" t="s">
        <v>49</v>
      </c>
    </row>
    <row r="53" spans="1:5" x14ac:dyDescent="0.2">
      <c r="A53" s="18" t="s">
        <v>727</v>
      </c>
      <c r="D53" s="41" t="s">
        <v>48</v>
      </c>
    </row>
    <row r="55" spans="1:5" x14ac:dyDescent="0.2">
      <c r="A55" s="18" t="s">
        <v>817</v>
      </c>
    </row>
    <row r="56" spans="1:5" x14ac:dyDescent="0.2">
      <c r="A56" s="50" t="s">
        <v>51</v>
      </c>
    </row>
  </sheetData>
  <mergeCells count="6">
    <mergeCell ref="A47:B47"/>
    <mergeCell ref="A1:G1"/>
    <mergeCell ref="A43:B43"/>
    <mergeCell ref="A44:B44"/>
    <mergeCell ref="A45:B45"/>
    <mergeCell ref="A46:B46"/>
  </mergeCells>
  <conditionalFormatting sqref="F2:F3 F5:F65534">
    <cfRule type="cellIs" dxfId="71" priority="1" stopIfTrue="1" operator="between">
      <formula>0.009</formula>
      <formula>-0.009</formula>
    </cfRule>
  </conditionalFormatting>
  <hyperlinks>
    <hyperlink ref="A56" r:id="rId1" tooltip="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3"/>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1041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1042</v>
      </c>
      <c r="B7" s="27" t="s">
        <v>1043</v>
      </c>
      <c r="C7" s="27" t="s">
        <v>34</v>
      </c>
      <c r="D7" s="31">
        <v>23</v>
      </c>
      <c r="E7" s="29">
        <v>302.15996999999999</v>
      </c>
      <c r="F7" s="30">
        <v>12.043746559018301</v>
      </c>
      <c r="G7" s="29">
        <v>4.3648999999999996</v>
      </c>
    </row>
    <row r="8" spans="1:7" x14ac:dyDescent="0.2">
      <c r="A8" s="27" t="s">
        <v>1044</v>
      </c>
      <c r="B8" s="27" t="s">
        <v>1045</v>
      </c>
      <c r="C8" s="27" t="s">
        <v>34</v>
      </c>
      <c r="D8" s="31">
        <v>23</v>
      </c>
      <c r="E8" s="29">
        <v>299.77188000000001</v>
      </c>
      <c r="F8" s="30">
        <v>11.9485600565834</v>
      </c>
      <c r="G8" s="29">
        <v>4.375</v>
      </c>
    </row>
    <row r="9" spans="1:7" x14ac:dyDescent="0.2">
      <c r="A9" s="27" t="s">
        <v>1029</v>
      </c>
      <c r="B9" s="27" t="s">
        <v>1030</v>
      </c>
      <c r="C9" s="27" t="s">
        <v>873</v>
      </c>
      <c r="D9" s="31">
        <v>24</v>
      </c>
      <c r="E9" s="29">
        <v>246.76248000000001</v>
      </c>
      <c r="F9" s="30">
        <v>9.8356667476331197</v>
      </c>
      <c r="G9" s="29">
        <v>4.0949999999999998</v>
      </c>
    </row>
    <row r="10" spans="1:7" x14ac:dyDescent="0.2">
      <c r="A10" s="27" t="s">
        <v>1037</v>
      </c>
      <c r="B10" s="27" t="s">
        <v>1038</v>
      </c>
      <c r="C10" s="27" t="s">
        <v>34</v>
      </c>
      <c r="D10" s="31">
        <v>24</v>
      </c>
      <c r="E10" s="29">
        <v>244.00968</v>
      </c>
      <c r="F10" s="30">
        <v>9.7259433268647495</v>
      </c>
      <c r="G10" s="29">
        <v>3.6349999999999998</v>
      </c>
    </row>
    <row r="11" spans="1:7" x14ac:dyDescent="0.2">
      <c r="A11" s="27" t="s">
        <v>1035</v>
      </c>
      <c r="B11" s="27" t="s">
        <v>1036</v>
      </c>
      <c r="C11" s="27" t="s">
        <v>34</v>
      </c>
      <c r="D11" s="31">
        <v>23</v>
      </c>
      <c r="E11" s="29">
        <v>236.68679</v>
      </c>
      <c r="F11" s="30">
        <v>9.4340614100126707</v>
      </c>
      <c r="G11" s="29">
        <v>3.84</v>
      </c>
    </row>
    <row r="12" spans="1:7" x14ac:dyDescent="0.2">
      <c r="A12" s="27" t="s">
        <v>1039</v>
      </c>
      <c r="B12" s="27" t="s">
        <v>1040</v>
      </c>
      <c r="C12" s="27" t="s">
        <v>982</v>
      </c>
      <c r="D12" s="31">
        <v>18</v>
      </c>
      <c r="E12" s="29">
        <v>234.25182000000001</v>
      </c>
      <c r="F12" s="30">
        <v>9.3370063250561408</v>
      </c>
      <c r="G12" s="29">
        <v>4.8646000000000003</v>
      </c>
    </row>
    <row r="13" spans="1:7" x14ac:dyDescent="0.2">
      <c r="A13" s="27" t="s">
        <v>929</v>
      </c>
      <c r="B13" s="27" t="s">
        <v>930</v>
      </c>
      <c r="C13" s="27" t="s">
        <v>34</v>
      </c>
      <c r="D13" s="31">
        <v>23</v>
      </c>
      <c r="E13" s="29">
        <v>230.87423000000001</v>
      </c>
      <c r="F13" s="30">
        <v>9.2023794982786704</v>
      </c>
      <c r="G13" s="29">
        <v>3.5849000000000002</v>
      </c>
    </row>
    <row r="14" spans="1:7" x14ac:dyDescent="0.2">
      <c r="A14" s="27" t="s">
        <v>901</v>
      </c>
      <c r="B14" s="27" t="s">
        <v>902</v>
      </c>
      <c r="C14" s="27" t="s">
        <v>903</v>
      </c>
      <c r="D14" s="31">
        <v>21</v>
      </c>
      <c r="E14" s="29">
        <v>214.81950000000001</v>
      </c>
      <c r="F14" s="30">
        <v>8.5624565488771704</v>
      </c>
      <c r="G14" s="29">
        <v>4.6848999999999998</v>
      </c>
    </row>
    <row r="15" spans="1:7" x14ac:dyDescent="0.2">
      <c r="A15" s="27" t="s">
        <v>1031</v>
      </c>
      <c r="B15" s="27" t="s">
        <v>1032</v>
      </c>
      <c r="C15" s="27" t="s">
        <v>34</v>
      </c>
      <c r="D15" s="31">
        <v>14</v>
      </c>
      <c r="E15" s="29">
        <v>182.07195999999999</v>
      </c>
      <c r="F15" s="30">
        <v>7.25717752005243</v>
      </c>
      <c r="G15" s="29">
        <v>5.1249000000000002</v>
      </c>
    </row>
    <row r="16" spans="1:7" x14ac:dyDescent="0.2">
      <c r="A16" s="27" t="s">
        <v>967</v>
      </c>
      <c r="B16" s="27" t="s">
        <v>968</v>
      </c>
      <c r="C16" s="27" t="s">
        <v>34</v>
      </c>
      <c r="D16" s="31">
        <v>11</v>
      </c>
      <c r="E16" s="29">
        <v>112.28756</v>
      </c>
      <c r="F16" s="30">
        <v>4.4756521334396497</v>
      </c>
      <c r="G16" s="29">
        <v>3.8849999999999998</v>
      </c>
    </row>
    <row r="17" spans="1:9" x14ac:dyDescent="0.2">
      <c r="A17" s="27" t="s">
        <v>914</v>
      </c>
      <c r="B17" s="27" t="s">
        <v>915</v>
      </c>
      <c r="C17" s="27" t="s">
        <v>34</v>
      </c>
      <c r="D17" s="31">
        <v>6</v>
      </c>
      <c r="E17" s="29">
        <v>61.58916</v>
      </c>
      <c r="F17" s="30">
        <v>2.4548726087801298</v>
      </c>
      <c r="G17" s="29">
        <v>4</v>
      </c>
    </row>
    <row r="18" spans="1:9" x14ac:dyDescent="0.2">
      <c r="A18" s="27" t="s">
        <v>949</v>
      </c>
      <c r="B18" s="27" t="s">
        <v>950</v>
      </c>
      <c r="C18" s="27" t="s">
        <v>34</v>
      </c>
      <c r="D18" s="31">
        <v>3</v>
      </c>
      <c r="E18" s="29">
        <v>30.702480000000001</v>
      </c>
      <c r="F18" s="30">
        <v>1.2237653050247801</v>
      </c>
      <c r="G18" s="29">
        <v>3.71</v>
      </c>
    </row>
    <row r="19" spans="1:9" x14ac:dyDescent="0.2">
      <c r="A19" s="27" t="s">
        <v>916</v>
      </c>
      <c r="B19" s="27" t="s">
        <v>917</v>
      </c>
      <c r="C19" s="27" t="s">
        <v>34</v>
      </c>
      <c r="D19" s="31">
        <v>2</v>
      </c>
      <c r="E19" s="29">
        <v>20.4651</v>
      </c>
      <c r="F19" s="30">
        <v>0.81571519121134795</v>
      </c>
      <c r="G19" s="29">
        <v>3.72</v>
      </c>
    </row>
    <row r="20" spans="1:9" x14ac:dyDescent="0.2">
      <c r="A20" s="27" t="s">
        <v>1046</v>
      </c>
      <c r="B20" s="27" t="s">
        <v>1047</v>
      </c>
      <c r="C20" s="27" t="s">
        <v>873</v>
      </c>
      <c r="D20" s="31">
        <v>1</v>
      </c>
      <c r="E20" s="29">
        <v>10.411060000000001</v>
      </c>
      <c r="F20" s="30">
        <v>0.41497279752421501</v>
      </c>
      <c r="G20" s="29">
        <v>4.5949999999999998</v>
      </c>
    </row>
    <row r="21" spans="1:9" x14ac:dyDescent="0.2">
      <c r="A21" s="26" t="s">
        <v>35</v>
      </c>
      <c r="B21" s="26"/>
      <c r="C21" s="26"/>
      <c r="D21" s="32"/>
      <c r="E21" s="33">
        <f>SUM(E6:E20)</f>
        <v>2426.8636699999997</v>
      </c>
      <c r="F21" s="34">
        <f>SUM(F6:F20)</f>
        <v>96.731976028356797</v>
      </c>
      <c r="G21" s="33"/>
      <c r="H21" s="18"/>
      <c r="I21" s="18"/>
    </row>
    <row r="22" spans="1:9" x14ac:dyDescent="0.2">
      <c r="A22" s="27"/>
      <c r="B22" s="27"/>
      <c r="C22" s="27"/>
      <c r="D22" s="28"/>
      <c r="E22" s="29"/>
      <c r="F22" s="30"/>
      <c r="G22" s="29"/>
    </row>
    <row r="23" spans="1:9" x14ac:dyDescent="0.2">
      <c r="A23" s="26" t="s">
        <v>37</v>
      </c>
      <c r="B23" s="26"/>
      <c r="C23" s="26"/>
      <c r="D23" s="32"/>
      <c r="E23" s="33">
        <f>E21</f>
        <v>2426.8636699999997</v>
      </c>
      <c r="F23" s="34">
        <f>F21</f>
        <v>96.731976028356797</v>
      </c>
      <c r="G23" s="33"/>
      <c r="H23" s="18"/>
      <c r="I23" s="18"/>
    </row>
    <row r="24" spans="1:9" x14ac:dyDescent="0.2">
      <c r="A24" s="26"/>
      <c r="B24" s="26"/>
      <c r="C24" s="26"/>
      <c r="D24" s="32"/>
      <c r="E24" s="33"/>
      <c r="F24" s="34"/>
      <c r="G24" s="33"/>
      <c r="H24" s="18"/>
      <c r="I24" s="18"/>
    </row>
    <row r="25" spans="1:9" x14ac:dyDescent="0.2">
      <c r="A25" s="26" t="s">
        <v>39</v>
      </c>
      <c r="B25" s="26"/>
      <c r="C25" s="26"/>
      <c r="D25" s="32"/>
      <c r="E25" s="33">
        <f>E27-(E21)</f>
        <v>81.989937300000292</v>
      </c>
      <c r="F25" s="34">
        <f>F27-(F21)</f>
        <v>3.2680239716432027</v>
      </c>
      <c r="G25" s="33"/>
      <c r="H25" s="18"/>
      <c r="I25" s="18"/>
    </row>
    <row r="26" spans="1:9" x14ac:dyDescent="0.2">
      <c r="A26" s="26"/>
      <c r="B26" s="26"/>
      <c r="C26" s="26"/>
      <c r="D26" s="32"/>
      <c r="E26" s="33"/>
      <c r="F26" s="34"/>
      <c r="G26" s="33"/>
      <c r="H26" s="18"/>
      <c r="I26" s="18"/>
    </row>
    <row r="27" spans="1:9" x14ac:dyDescent="0.2">
      <c r="A27" s="35" t="s">
        <v>38</v>
      </c>
      <c r="B27" s="35"/>
      <c r="C27" s="35"/>
      <c r="D27" s="36"/>
      <c r="E27" s="37">
        <v>2508.8536073</v>
      </c>
      <c r="F27" s="38">
        <v>100</v>
      </c>
      <c r="G27" s="37"/>
      <c r="H27" s="18"/>
      <c r="I27" s="18"/>
    </row>
    <row r="29" spans="1:9" x14ac:dyDescent="0.2">
      <c r="A29" s="18" t="s">
        <v>40</v>
      </c>
    </row>
    <row r="31" spans="1:9" x14ac:dyDescent="0.2">
      <c r="A31" s="18" t="s">
        <v>41</v>
      </c>
    </row>
    <row r="32" spans="1:9" x14ac:dyDescent="0.2">
      <c r="A32" s="18" t="s">
        <v>42</v>
      </c>
    </row>
    <row r="33" spans="1:5" x14ac:dyDescent="0.2">
      <c r="A33" s="18" t="s">
        <v>43</v>
      </c>
      <c r="B33" s="18"/>
      <c r="C33" s="39" t="s">
        <v>45</v>
      </c>
      <c r="D33" s="19" t="s">
        <v>44</v>
      </c>
    </row>
    <row r="34" spans="1:5" x14ac:dyDescent="0.2">
      <c r="A34" s="9" t="s">
        <v>68</v>
      </c>
      <c r="C34" s="40">
        <v>12.1493</v>
      </c>
      <c r="D34" s="40">
        <v>12.456300000000001</v>
      </c>
    </row>
    <row r="35" spans="1:5" x14ac:dyDescent="0.2">
      <c r="A35" s="9" t="s">
        <v>1033</v>
      </c>
      <c r="C35" s="40">
        <v>10.4529</v>
      </c>
      <c r="D35" s="40">
        <v>10.716900000000001</v>
      </c>
    </row>
    <row r="36" spans="1:5" x14ac:dyDescent="0.2">
      <c r="A36" s="9" t="s">
        <v>70</v>
      </c>
      <c r="C36" s="40">
        <v>10.4468</v>
      </c>
      <c r="D36" s="40">
        <v>10.348000000000001</v>
      </c>
    </row>
    <row r="37" spans="1:5" x14ac:dyDescent="0.2">
      <c r="A37" s="9" t="s">
        <v>71</v>
      </c>
      <c r="C37" s="40">
        <v>12.210699999999999</v>
      </c>
      <c r="D37" s="40">
        <v>12.534800000000001</v>
      </c>
    </row>
    <row r="38" spans="1:5" x14ac:dyDescent="0.2">
      <c r="A38" s="9" t="s">
        <v>75</v>
      </c>
      <c r="C38" s="40">
        <v>10.5124</v>
      </c>
      <c r="D38" s="40">
        <v>10.7913</v>
      </c>
    </row>
    <row r="39" spans="1:5" x14ac:dyDescent="0.2">
      <c r="A39" s="9" t="s">
        <v>73</v>
      </c>
      <c r="C39" s="40">
        <v>10.5044</v>
      </c>
      <c r="D39" s="40">
        <v>10.420299999999999</v>
      </c>
    </row>
    <row r="41" spans="1:5" x14ac:dyDescent="0.2">
      <c r="A41" s="18" t="s">
        <v>47</v>
      </c>
    </row>
    <row r="42" spans="1:5" x14ac:dyDescent="0.2">
      <c r="A42" s="74" t="s">
        <v>65</v>
      </c>
      <c r="B42" s="75"/>
      <c r="C42" s="43" t="s">
        <v>66</v>
      </c>
    </row>
    <row r="43" spans="1:5" x14ac:dyDescent="0.2">
      <c r="A43" s="70" t="s">
        <v>70</v>
      </c>
      <c r="B43" s="71"/>
      <c r="C43" s="44">
        <v>0.36</v>
      </c>
    </row>
    <row r="44" spans="1:5" x14ac:dyDescent="0.2">
      <c r="A44" s="70" t="s">
        <v>73</v>
      </c>
      <c r="B44" s="71"/>
      <c r="C44" s="44">
        <v>0.36</v>
      </c>
    </row>
    <row r="45" spans="1:5" x14ac:dyDescent="0.2">
      <c r="A45" s="9" t="s">
        <v>67</v>
      </c>
    </row>
    <row r="46" spans="1:5" x14ac:dyDescent="0.2">
      <c r="A46" s="9" t="s">
        <v>46</v>
      </c>
    </row>
    <row r="48" spans="1:5" x14ac:dyDescent="0.2">
      <c r="A48" s="18" t="s">
        <v>816</v>
      </c>
      <c r="D48" s="42">
        <v>0.57366193967123302</v>
      </c>
      <c r="E48" s="13" t="s">
        <v>49</v>
      </c>
    </row>
    <row r="50" spans="1:4" x14ac:dyDescent="0.2">
      <c r="A50" s="18" t="s">
        <v>727</v>
      </c>
      <c r="D50" s="41" t="s">
        <v>48</v>
      </c>
    </row>
    <row r="52" spans="1:4" x14ac:dyDescent="0.2">
      <c r="A52" s="18" t="s">
        <v>817</v>
      </c>
    </row>
    <row r="53" spans="1:4" x14ac:dyDescent="0.2">
      <c r="A53" s="50" t="s">
        <v>51</v>
      </c>
    </row>
  </sheetData>
  <mergeCells count="4">
    <mergeCell ref="A1:G1"/>
    <mergeCell ref="A42:B42"/>
    <mergeCell ref="A43:B43"/>
    <mergeCell ref="A44:B44"/>
  </mergeCells>
  <conditionalFormatting sqref="F2:F3 F5:F65534">
    <cfRule type="cellIs" dxfId="70" priority="1" stopIfTrue="1" operator="between">
      <formula>0.009</formula>
      <formula>-0.009</formula>
    </cfRule>
  </conditionalFormatting>
  <hyperlinks>
    <hyperlink ref="A53" r:id="rId1" tooltip="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2"/>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1048</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1042</v>
      </c>
      <c r="B7" s="27" t="s">
        <v>1043</v>
      </c>
      <c r="C7" s="27" t="s">
        <v>34</v>
      </c>
      <c r="D7" s="31">
        <v>68</v>
      </c>
      <c r="E7" s="29">
        <v>893.34252000000004</v>
      </c>
      <c r="F7" s="30">
        <v>11.9060782712835</v>
      </c>
      <c r="G7" s="29">
        <v>4.3648999999999996</v>
      </c>
    </row>
    <row r="8" spans="1:7" x14ac:dyDescent="0.2">
      <c r="A8" s="27" t="s">
        <v>1029</v>
      </c>
      <c r="B8" s="27" t="s">
        <v>1030</v>
      </c>
      <c r="C8" s="27" t="s">
        <v>873</v>
      </c>
      <c r="D8" s="31">
        <v>71</v>
      </c>
      <c r="E8" s="29">
        <v>730.00567000000001</v>
      </c>
      <c r="F8" s="30">
        <v>9.7291961939757901</v>
      </c>
      <c r="G8" s="29">
        <v>4.0949999999999998</v>
      </c>
    </row>
    <row r="9" spans="1:7" x14ac:dyDescent="0.2">
      <c r="A9" s="27" t="s">
        <v>1037</v>
      </c>
      <c r="B9" s="27" t="s">
        <v>1038</v>
      </c>
      <c r="C9" s="27" t="s">
        <v>34</v>
      </c>
      <c r="D9" s="31">
        <v>71</v>
      </c>
      <c r="E9" s="29">
        <v>721.86197000000004</v>
      </c>
      <c r="F9" s="30">
        <v>9.6206605232256202</v>
      </c>
      <c r="G9" s="29">
        <v>3.6349999999999998</v>
      </c>
    </row>
    <row r="10" spans="1:7" x14ac:dyDescent="0.2">
      <c r="A10" s="27" t="s">
        <v>1049</v>
      </c>
      <c r="B10" s="27" t="s">
        <v>1050</v>
      </c>
      <c r="C10" s="27" t="s">
        <v>926</v>
      </c>
      <c r="D10" s="31">
        <v>70000</v>
      </c>
      <c r="E10" s="29">
        <v>720.84950000000003</v>
      </c>
      <c r="F10" s="30">
        <v>9.6071667660188904</v>
      </c>
      <c r="G10" s="29">
        <v>4.665</v>
      </c>
    </row>
    <row r="11" spans="1:7" x14ac:dyDescent="0.2">
      <c r="A11" s="27" t="s">
        <v>1035</v>
      </c>
      <c r="B11" s="27" t="s">
        <v>1036</v>
      </c>
      <c r="C11" s="27" t="s">
        <v>34</v>
      </c>
      <c r="D11" s="31">
        <v>70</v>
      </c>
      <c r="E11" s="29">
        <v>720.35109999999997</v>
      </c>
      <c r="F11" s="30">
        <v>9.6005243088677297</v>
      </c>
      <c r="G11" s="29">
        <v>3.84</v>
      </c>
    </row>
    <row r="12" spans="1:7" x14ac:dyDescent="0.2">
      <c r="A12" s="27" t="s">
        <v>901</v>
      </c>
      <c r="B12" s="27" t="s">
        <v>902</v>
      </c>
      <c r="C12" s="27" t="s">
        <v>903</v>
      </c>
      <c r="D12" s="31">
        <v>70</v>
      </c>
      <c r="E12" s="29">
        <v>716.06500000000005</v>
      </c>
      <c r="F12" s="30">
        <v>9.5434010432265204</v>
      </c>
      <c r="G12" s="29">
        <v>4.6848999999999998</v>
      </c>
    </row>
    <row r="13" spans="1:7" x14ac:dyDescent="0.2">
      <c r="A13" s="27" t="s">
        <v>929</v>
      </c>
      <c r="B13" s="27" t="s">
        <v>930</v>
      </c>
      <c r="C13" s="27" t="s">
        <v>34</v>
      </c>
      <c r="D13" s="31">
        <v>69</v>
      </c>
      <c r="E13" s="29">
        <v>692.62269000000003</v>
      </c>
      <c r="F13" s="30">
        <v>9.2309721915026692</v>
      </c>
      <c r="G13" s="29">
        <v>3.5849000000000002</v>
      </c>
    </row>
    <row r="14" spans="1:7" x14ac:dyDescent="0.2">
      <c r="A14" s="27" t="s">
        <v>965</v>
      </c>
      <c r="B14" s="27" t="s">
        <v>966</v>
      </c>
      <c r="C14" s="27" t="s">
        <v>873</v>
      </c>
      <c r="D14" s="31">
        <v>47</v>
      </c>
      <c r="E14" s="29">
        <v>622.97888999999998</v>
      </c>
      <c r="F14" s="30">
        <v>8.3027900941033295</v>
      </c>
      <c r="G14" s="29">
        <v>4.6550000000000002</v>
      </c>
    </row>
    <row r="15" spans="1:7" x14ac:dyDescent="0.2">
      <c r="A15" s="27" t="s">
        <v>967</v>
      </c>
      <c r="B15" s="27" t="s">
        <v>968</v>
      </c>
      <c r="C15" s="27" t="s">
        <v>34</v>
      </c>
      <c r="D15" s="31">
        <v>37</v>
      </c>
      <c r="E15" s="29">
        <v>377.69452000000001</v>
      </c>
      <c r="F15" s="30">
        <v>5.0337473220852003</v>
      </c>
      <c r="G15" s="29">
        <v>3.8849999999999998</v>
      </c>
    </row>
    <row r="16" spans="1:7" x14ac:dyDescent="0.2">
      <c r="A16" s="27" t="s">
        <v>1046</v>
      </c>
      <c r="B16" s="27" t="s">
        <v>1047</v>
      </c>
      <c r="C16" s="27" t="s">
        <v>873</v>
      </c>
      <c r="D16" s="31">
        <v>31</v>
      </c>
      <c r="E16" s="29">
        <v>322.74286000000001</v>
      </c>
      <c r="F16" s="30">
        <v>4.3013756388287501</v>
      </c>
      <c r="G16" s="29">
        <v>4.5949999999999998</v>
      </c>
    </row>
    <row r="17" spans="1:9" x14ac:dyDescent="0.2">
      <c r="A17" s="27" t="s">
        <v>1039</v>
      </c>
      <c r="B17" s="27" t="s">
        <v>1040</v>
      </c>
      <c r="C17" s="27" t="s">
        <v>982</v>
      </c>
      <c r="D17" s="31">
        <v>20</v>
      </c>
      <c r="E17" s="29">
        <v>260.27980000000002</v>
      </c>
      <c r="F17" s="30">
        <v>3.4688953025923501</v>
      </c>
      <c r="G17" s="29">
        <v>4.8646000000000003</v>
      </c>
    </row>
    <row r="18" spans="1:9" x14ac:dyDescent="0.2">
      <c r="A18" s="27" t="s">
        <v>914</v>
      </c>
      <c r="B18" s="27" t="s">
        <v>915</v>
      </c>
      <c r="C18" s="27" t="s">
        <v>34</v>
      </c>
      <c r="D18" s="31">
        <v>22</v>
      </c>
      <c r="E18" s="29">
        <v>225.82692</v>
      </c>
      <c r="F18" s="30">
        <v>3.0097223910072901</v>
      </c>
      <c r="G18" s="29">
        <v>4</v>
      </c>
    </row>
    <row r="19" spans="1:9" x14ac:dyDescent="0.2">
      <c r="A19" s="27" t="s">
        <v>1008</v>
      </c>
      <c r="B19" s="27" t="s">
        <v>1009</v>
      </c>
      <c r="C19" s="27" t="s">
        <v>1010</v>
      </c>
      <c r="D19" s="31">
        <v>11</v>
      </c>
      <c r="E19" s="29">
        <v>113.88542</v>
      </c>
      <c r="F19" s="30">
        <v>1.5178150531534</v>
      </c>
      <c r="G19" s="29">
        <v>3.7801</v>
      </c>
    </row>
    <row r="20" spans="1:9" x14ac:dyDescent="0.2">
      <c r="A20" s="27" t="s">
        <v>1027</v>
      </c>
      <c r="B20" s="27" t="s">
        <v>1028</v>
      </c>
      <c r="C20" s="27" t="s">
        <v>34</v>
      </c>
      <c r="D20" s="31">
        <v>2</v>
      </c>
      <c r="E20" s="29">
        <v>26.078900000000001</v>
      </c>
      <c r="F20" s="30">
        <v>0.34756816974185301</v>
      </c>
      <c r="G20" s="29">
        <v>4.37</v>
      </c>
    </row>
    <row r="21" spans="1:9" x14ac:dyDescent="0.2">
      <c r="A21" s="27" t="s">
        <v>949</v>
      </c>
      <c r="B21" s="27" t="s">
        <v>950</v>
      </c>
      <c r="C21" s="27" t="s">
        <v>34</v>
      </c>
      <c r="D21" s="31">
        <v>1</v>
      </c>
      <c r="E21" s="29">
        <v>10.234159999999999</v>
      </c>
      <c r="F21" s="30">
        <v>0.136396407058783</v>
      </c>
      <c r="G21" s="29">
        <v>3.71</v>
      </c>
    </row>
    <row r="22" spans="1:9" x14ac:dyDescent="0.2">
      <c r="A22" s="26" t="s">
        <v>35</v>
      </c>
      <c r="B22" s="26"/>
      <c r="C22" s="26"/>
      <c r="D22" s="32"/>
      <c r="E22" s="33">
        <f>SUM(E6:E21)</f>
        <v>7154.8199200000008</v>
      </c>
      <c r="F22" s="34">
        <f>SUM(F6:F21)</f>
        <v>95.356309676671671</v>
      </c>
      <c r="G22" s="33"/>
      <c r="H22" s="18"/>
      <c r="I22" s="18"/>
    </row>
    <row r="23" spans="1:9" x14ac:dyDescent="0.2">
      <c r="A23" s="27"/>
      <c r="B23" s="27"/>
      <c r="C23" s="27"/>
      <c r="D23" s="28"/>
      <c r="E23" s="29"/>
      <c r="F23" s="30"/>
      <c r="G23" s="29"/>
    </row>
    <row r="24" spans="1:9" x14ac:dyDescent="0.2">
      <c r="A24" s="26" t="s">
        <v>37</v>
      </c>
      <c r="B24" s="26"/>
      <c r="C24" s="26"/>
      <c r="D24" s="32"/>
      <c r="E24" s="33">
        <f>E22</f>
        <v>7154.8199200000008</v>
      </c>
      <c r="F24" s="34">
        <f>F22</f>
        <v>95.356309676671671</v>
      </c>
      <c r="G24" s="33"/>
      <c r="H24" s="18"/>
      <c r="I24" s="18"/>
    </row>
    <row r="25" spans="1:9" x14ac:dyDescent="0.2">
      <c r="A25" s="26"/>
      <c r="B25" s="26"/>
      <c r="C25" s="26"/>
      <c r="D25" s="32"/>
      <c r="E25" s="33"/>
      <c r="F25" s="34"/>
      <c r="G25" s="33"/>
      <c r="H25" s="18"/>
      <c r="I25" s="18"/>
    </row>
    <row r="26" spans="1:9" x14ac:dyDescent="0.2">
      <c r="A26" s="26" t="s">
        <v>39</v>
      </c>
      <c r="B26" s="26"/>
      <c r="C26" s="26"/>
      <c r="D26" s="32"/>
      <c r="E26" s="33">
        <f>E28-(E22)</f>
        <v>348.4275779999989</v>
      </c>
      <c r="F26" s="34">
        <f>F28-(F22)</f>
        <v>4.6436903233283289</v>
      </c>
      <c r="G26" s="33"/>
      <c r="H26" s="18"/>
      <c r="I26" s="18"/>
    </row>
    <row r="27" spans="1:9" x14ac:dyDescent="0.2">
      <c r="A27" s="26"/>
      <c r="B27" s="26"/>
      <c r="C27" s="26"/>
      <c r="D27" s="32"/>
      <c r="E27" s="33"/>
      <c r="F27" s="34"/>
      <c r="G27" s="33"/>
      <c r="H27" s="18"/>
      <c r="I27" s="18"/>
    </row>
    <row r="28" spans="1:9" x14ac:dyDescent="0.2">
      <c r="A28" s="35" t="s">
        <v>38</v>
      </c>
      <c r="B28" s="35"/>
      <c r="C28" s="35"/>
      <c r="D28" s="36"/>
      <c r="E28" s="37">
        <v>7503.2474979999997</v>
      </c>
      <c r="F28" s="38">
        <v>100</v>
      </c>
      <c r="G28" s="37"/>
      <c r="H28" s="18"/>
      <c r="I28" s="18"/>
    </row>
    <row r="30" spans="1:9" x14ac:dyDescent="0.2">
      <c r="A30" s="18" t="s">
        <v>40</v>
      </c>
    </row>
    <row r="32" spans="1:9" x14ac:dyDescent="0.2">
      <c r="A32" s="18" t="s">
        <v>41</v>
      </c>
    </row>
    <row r="33" spans="1:5" x14ac:dyDescent="0.2">
      <c r="A33" s="18" t="s">
        <v>42</v>
      </c>
    </row>
    <row r="34" spans="1:5" x14ac:dyDescent="0.2">
      <c r="A34" s="18" t="s">
        <v>43</v>
      </c>
      <c r="B34" s="18"/>
      <c r="C34" s="39" t="s">
        <v>45</v>
      </c>
      <c r="D34" s="19" t="s">
        <v>44</v>
      </c>
    </row>
    <row r="35" spans="1:5" x14ac:dyDescent="0.2">
      <c r="A35" s="9" t="s">
        <v>68</v>
      </c>
      <c r="C35" s="40">
        <v>12.1722</v>
      </c>
      <c r="D35" s="40">
        <v>12.4818</v>
      </c>
    </row>
    <row r="36" spans="1:5" x14ac:dyDescent="0.2">
      <c r="A36" s="9" t="s">
        <v>1033</v>
      </c>
      <c r="C36" s="40">
        <v>10.4543</v>
      </c>
      <c r="D36" s="40">
        <v>10.7201</v>
      </c>
    </row>
    <row r="37" spans="1:5" x14ac:dyDescent="0.2">
      <c r="A37" s="9" t="s">
        <v>70</v>
      </c>
      <c r="C37" s="40">
        <v>10.447100000000001</v>
      </c>
      <c r="D37" s="40">
        <v>10.3551</v>
      </c>
    </row>
    <row r="38" spans="1:5" x14ac:dyDescent="0.2">
      <c r="A38" s="9" t="s">
        <v>71</v>
      </c>
      <c r="C38" s="40">
        <v>12.2349</v>
      </c>
      <c r="D38" s="40">
        <v>12.5617</v>
      </c>
    </row>
    <row r="39" spans="1:5" x14ac:dyDescent="0.2">
      <c r="A39" s="9" t="s">
        <v>75</v>
      </c>
      <c r="C39" s="40">
        <v>10.514900000000001</v>
      </c>
      <c r="D39" s="40">
        <v>10.7957</v>
      </c>
    </row>
    <row r="41" spans="1:5" x14ac:dyDescent="0.2">
      <c r="A41" s="18" t="s">
        <v>47</v>
      </c>
    </row>
    <row r="42" spans="1:5" x14ac:dyDescent="0.2">
      <c r="A42" s="74" t="s">
        <v>65</v>
      </c>
      <c r="B42" s="75"/>
      <c r="C42" s="43" t="s">
        <v>66</v>
      </c>
    </row>
    <row r="43" spans="1:5" x14ac:dyDescent="0.2">
      <c r="A43" s="70" t="s">
        <v>70</v>
      </c>
      <c r="B43" s="71"/>
      <c r="C43" s="44">
        <v>0.35499999999999998</v>
      </c>
    </row>
    <row r="44" spans="1:5" x14ac:dyDescent="0.2">
      <c r="A44" s="9" t="s">
        <v>67</v>
      </c>
    </row>
    <row r="45" spans="1:5" x14ac:dyDescent="0.2">
      <c r="A45" s="9" t="s">
        <v>46</v>
      </c>
    </row>
    <row r="47" spans="1:5" x14ac:dyDescent="0.2">
      <c r="A47" s="18" t="s">
        <v>816</v>
      </c>
      <c r="D47" s="42">
        <v>0.56600946399999996</v>
      </c>
      <c r="E47" s="13" t="s">
        <v>49</v>
      </c>
    </row>
    <row r="49" spans="1:4" x14ac:dyDescent="0.2">
      <c r="A49" s="18" t="s">
        <v>727</v>
      </c>
      <c r="D49" s="41" t="s">
        <v>48</v>
      </c>
    </row>
    <row r="51" spans="1:4" x14ac:dyDescent="0.2">
      <c r="A51" s="18" t="s">
        <v>817</v>
      </c>
    </row>
    <row r="52" spans="1:4" x14ac:dyDescent="0.2">
      <c r="A52" s="50" t="s">
        <v>51</v>
      </c>
    </row>
  </sheetData>
  <mergeCells count="3">
    <mergeCell ref="A1:G1"/>
    <mergeCell ref="A42:B42"/>
    <mergeCell ref="A43:B43"/>
  </mergeCells>
  <conditionalFormatting sqref="F2:F3 F5:F65534">
    <cfRule type="cellIs" dxfId="69" priority="1" stopIfTrue="1" operator="between">
      <formula>0.009</formula>
      <formula>-0.009</formula>
    </cfRule>
  </conditionalFormatting>
  <hyperlinks>
    <hyperlink ref="A52" r:id="rId1" tooltip="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1051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922</v>
      </c>
      <c r="B7" s="27" t="s">
        <v>923</v>
      </c>
      <c r="C7" s="27" t="s">
        <v>34</v>
      </c>
      <c r="D7" s="31">
        <v>37</v>
      </c>
      <c r="E7" s="29">
        <v>479.99322999999998</v>
      </c>
      <c r="F7" s="30">
        <v>12.008836087616899</v>
      </c>
      <c r="G7" s="29">
        <v>4.0149999999999997</v>
      </c>
    </row>
    <row r="8" spans="1:7" x14ac:dyDescent="0.2">
      <c r="A8" s="27" t="s">
        <v>1011</v>
      </c>
      <c r="B8" s="27" t="s">
        <v>1012</v>
      </c>
      <c r="C8" s="27" t="s">
        <v>926</v>
      </c>
      <c r="D8" s="31">
        <v>37</v>
      </c>
      <c r="E8" s="29">
        <v>379.68993</v>
      </c>
      <c r="F8" s="30">
        <v>9.4993717588240703</v>
      </c>
      <c r="G8" s="29">
        <v>3.84</v>
      </c>
    </row>
    <row r="9" spans="1:7" x14ac:dyDescent="0.2">
      <c r="A9" s="27" t="s">
        <v>967</v>
      </c>
      <c r="B9" s="27" t="s">
        <v>968</v>
      </c>
      <c r="C9" s="27" t="s">
        <v>34</v>
      </c>
      <c r="D9" s="31">
        <v>37</v>
      </c>
      <c r="E9" s="29">
        <v>377.69452000000001</v>
      </c>
      <c r="F9" s="30">
        <v>9.4494490721695303</v>
      </c>
      <c r="G9" s="29">
        <v>3.8849999999999998</v>
      </c>
    </row>
    <row r="10" spans="1:7" x14ac:dyDescent="0.2">
      <c r="A10" s="27" t="s">
        <v>1046</v>
      </c>
      <c r="B10" s="27" t="s">
        <v>1047</v>
      </c>
      <c r="C10" s="27" t="s">
        <v>873</v>
      </c>
      <c r="D10" s="31">
        <v>36</v>
      </c>
      <c r="E10" s="29">
        <v>374.79816</v>
      </c>
      <c r="F10" s="30">
        <v>9.3769857324454904</v>
      </c>
      <c r="G10" s="29">
        <v>4.5949999999999998</v>
      </c>
    </row>
    <row r="11" spans="1:7" x14ac:dyDescent="0.2">
      <c r="A11" s="27" t="s">
        <v>929</v>
      </c>
      <c r="B11" s="27" t="s">
        <v>930</v>
      </c>
      <c r="C11" s="27" t="s">
        <v>34</v>
      </c>
      <c r="D11" s="31">
        <v>36</v>
      </c>
      <c r="E11" s="29">
        <v>361.36836</v>
      </c>
      <c r="F11" s="30">
        <v>9.0409887708019294</v>
      </c>
      <c r="G11" s="29">
        <v>3.5849000000000002</v>
      </c>
    </row>
    <row r="12" spans="1:7" x14ac:dyDescent="0.2">
      <c r="A12" s="27" t="s">
        <v>901</v>
      </c>
      <c r="B12" s="27" t="s">
        <v>902</v>
      </c>
      <c r="C12" s="27" t="s">
        <v>903</v>
      </c>
      <c r="D12" s="31">
        <v>33</v>
      </c>
      <c r="E12" s="29">
        <v>337.57350000000002</v>
      </c>
      <c r="F12" s="30">
        <v>8.4456708462807999</v>
      </c>
      <c r="G12" s="29">
        <v>4.6848999999999998</v>
      </c>
    </row>
    <row r="13" spans="1:7" x14ac:dyDescent="0.2">
      <c r="A13" s="27" t="s">
        <v>1052</v>
      </c>
      <c r="B13" s="27" t="s">
        <v>1053</v>
      </c>
      <c r="C13" s="27" t="s">
        <v>34</v>
      </c>
      <c r="D13" s="31">
        <v>21</v>
      </c>
      <c r="E13" s="29">
        <v>277.02192000000002</v>
      </c>
      <c r="F13" s="30">
        <v>6.9307453147973197</v>
      </c>
      <c r="G13" s="29">
        <v>5.1249000000000002</v>
      </c>
    </row>
    <row r="14" spans="1:7" x14ac:dyDescent="0.2">
      <c r="A14" s="27" t="s">
        <v>949</v>
      </c>
      <c r="B14" s="27" t="s">
        <v>950</v>
      </c>
      <c r="C14" s="27" t="s">
        <v>34</v>
      </c>
      <c r="D14" s="31">
        <v>27</v>
      </c>
      <c r="E14" s="29">
        <v>276.32231999999999</v>
      </c>
      <c r="F14" s="30">
        <v>6.9132421893326201</v>
      </c>
      <c r="G14" s="29">
        <v>3.71</v>
      </c>
    </row>
    <row r="15" spans="1:7" x14ac:dyDescent="0.2">
      <c r="A15" s="27" t="s">
        <v>957</v>
      </c>
      <c r="B15" s="27" t="s">
        <v>958</v>
      </c>
      <c r="C15" s="27" t="s">
        <v>926</v>
      </c>
      <c r="D15" s="31">
        <v>20</v>
      </c>
      <c r="E15" s="29">
        <v>204.74600000000001</v>
      </c>
      <c r="F15" s="30">
        <v>5.1224913184613401</v>
      </c>
      <c r="G15" s="29">
        <v>3.69</v>
      </c>
    </row>
    <row r="16" spans="1:7" x14ac:dyDescent="0.2">
      <c r="A16" s="27" t="s">
        <v>965</v>
      </c>
      <c r="B16" s="27" t="s">
        <v>966</v>
      </c>
      <c r="C16" s="27" t="s">
        <v>873</v>
      </c>
      <c r="D16" s="31">
        <v>12</v>
      </c>
      <c r="E16" s="29">
        <v>159.05843999999999</v>
      </c>
      <c r="F16" s="30">
        <v>3.9794451565745099</v>
      </c>
      <c r="G16" s="29">
        <v>4.6550000000000002</v>
      </c>
    </row>
    <row r="17" spans="1:9" x14ac:dyDescent="0.2">
      <c r="A17" s="27" t="s">
        <v>961</v>
      </c>
      <c r="B17" s="27" t="s">
        <v>962</v>
      </c>
      <c r="C17" s="27" t="s">
        <v>34</v>
      </c>
      <c r="D17" s="31">
        <v>8</v>
      </c>
      <c r="E17" s="29">
        <v>104.10736</v>
      </c>
      <c r="F17" s="30">
        <v>2.6046371982257499</v>
      </c>
      <c r="G17" s="29">
        <v>3.7999000000000001</v>
      </c>
    </row>
    <row r="18" spans="1:9" x14ac:dyDescent="0.2">
      <c r="A18" s="27" t="s">
        <v>914</v>
      </c>
      <c r="B18" s="27" t="s">
        <v>915</v>
      </c>
      <c r="C18" s="27" t="s">
        <v>34</v>
      </c>
      <c r="D18" s="31">
        <v>10</v>
      </c>
      <c r="E18" s="29">
        <v>102.6486</v>
      </c>
      <c r="F18" s="30">
        <v>2.56814082986828</v>
      </c>
      <c r="G18" s="29">
        <v>4</v>
      </c>
    </row>
    <row r="19" spans="1:9" x14ac:dyDescent="0.2">
      <c r="A19" s="27" t="s">
        <v>1023</v>
      </c>
      <c r="B19" s="27" t="s">
        <v>1024</v>
      </c>
      <c r="C19" s="27" t="s">
        <v>34</v>
      </c>
      <c r="D19" s="31">
        <v>3</v>
      </c>
      <c r="E19" s="29">
        <v>39.73809</v>
      </c>
      <c r="F19" s="30">
        <v>0.99419779159170596</v>
      </c>
      <c r="G19" s="29">
        <v>4.3648999999999996</v>
      </c>
    </row>
    <row r="20" spans="1:9" x14ac:dyDescent="0.2">
      <c r="A20" s="27" t="s">
        <v>1039</v>
      </c>
      <c r="B20" s="27" t="s">
        <v>1040</v>
      </c>
      <c r="C20" s="27" t="s">
        <v>982</v>
      </c>
      <c r="D20" s="31">
        <v>3</v>
      </c>
      <c r="E20" s="29">
        <v>39.041969999999999</v>
      </c>
      <c r="F20" s="30">
        <v>0.97678173141662405</v>
      </c>
      <c r="G20" s="29">
        <v>4.8646000000000003</v>
      </c>
    </row>
    <row r="21" spans="1:9" x14ac:dyDescent="0.2">
      <c r="A21" s="27" t="s">
        <v>1054</v>
      </c>
      <c r="B21" s="27" t="s">
        <v>1055</v>
      </c>
      <c r="C21" s="27" t="s">
        <v>873</v>
      </c>
      <c r="D21" s="31">
        <v>3</v>
      </c>
      <c r="E21" s="29">
        <v>31.123200000000001</v>
      </c>
      <c r="F21" s="30">
        <v>0.77866391432670701</v>
      </c>
      <c r="G21" s="29">
        <v>4.3498999999999999</v>
      </c>
    </row>
    <row r="22" spans="1:9" x14ac:dyDescent="0.2">
      <c r="A22" s="27" t="s">
        <v>916</v>
      </c>
      <c r="B22" s="27" t="s">
        <v>917</v>
      </c>
      <c r="C22" s="27" t="s">
        <v>34</v>
      </c>
      <c r="D22" s="31">
        <v>3</v>
      </c>
      <c r="E22" s="29">
        <v>30.697649999999999</v>
      </c>
      <c r="F22" s="30">
        <v>0.76801718041946998</v>
      </c>
      <c r="G22" s="29">
        <v>3.72</v>
      </c>
    </row>
    <row r="23" spans="1:9" x14ac:dyDescent="0.2">
      <c r="A23" s="27" t="s">
        <v>1027</v>
      </c>
      <c r="B23" s="27" t="s">
        <v>1028</v>
      </c>
      <c r="C23" s="27" t="s">
        <v>34</v>
      </c>
      <c r="D23" s="31">
        <v>2</v>
      </c>
      <c r="E23" s="29">
        <v>26.078900000000001</v>
      </c>
      <c r="F23" s="30">
        <v>0.65246177627412205</v>
      </c>
      <c r="G23" s="29">
        <v>4.37</v>
      </c>
    </row>
    <row r="24" spans="1:9" x14ac:dyDescent="0.2">
      <c r="A24" s="26" t="s">
        <v>35</v>
      </c>
      <c r="B24" s="26"/>
      <c r="C24" s="26"/>
      <c r="D24" s="32"/>
      <c r="E24" s="33">
        <f>SUM(E6:E23)</f>
        <v>3601.7021500000001</v>
      </c>
      <c r="F24" s="34">
        <f>SUM(F6:F23)</f>
        <v>90.11012666942716</v>
      </c>
      <c r="G24" s="33"/>
      <c r="H24" s="18"/>
      <c r="I24" s="18"/>
    </row>
    <row r="25" spans="1:9" x14ac:dyDescent="0.2">
      <c r="A25" s="27"/>
      <c r="B25" s="27"/>
      <c r="C25" s="27"/>
      <c r="D25" s="28"/>
      <c r="E25" s="29"/>
      <c r="F25" s="30"/>
      <c r="G25" s="29"/>
    </row>
    <row r="26" spans="1:9" x14ac:dyDescent="0.2">
      <c r="A26" s="26" t="s">
        <v>37</v>
      </c>
      <c r="B26" s="26"/>
      <c r="C26" s="26"/>
      <c r="D26" s="32"/>
      <c r="E26" s="33">
        <f>E24</f>
        <v>3601.7021500000001</v>
      </c>
      <c r="F26" s="34">
        <f>F24</f>
        <v>90.11012666942716</v>
      </c>
      <c r="G26" s="33"/>
      <c r="H26" s="18"/>
      <c r="I26" s="18"/>
    </row>
    <row r="27" spans="1:9" x14ac:dyDescent="0.2">
      <c r="A27" s="26"/>
      <c r="B27" s="26"/>
      <c r="C27" s="26"/>
      <c r="D27" s="32"/>
      <c r="E27" s="33"/>
      <c r="F27" s="34"/>
      <c r="G27" s="33"/>
      <c r="H27" s="18"/>
      <c r="I27" s="18"/>
    </row>
    <row r="28" spans="1:9" x14ac:dyDescent="0.2">
      <c r="A28" s="26" t="s">
        <v>39</v>
      </c>
      <c r="B28" s="26"/>
      <c r="C28" s="26"/>
      <c r="D28" s="32"/>
      <c r="E28" s="33">
        <f>E30-(E24)</f>
        <v>395.29827949999981</v>
      </c>
      <c r="F28" s="34">
        <f>F30-(F24)</f>
        <v>9.8898733305728399</v>
      </c>
      <c r="G28" s="33"/>
      <c r="H28" s="18"/>
      <c r="I28" s="18"/>
    </row>
    <row r="29" spans="1:9" x14ac:dyDescent="0.2">
      <c r="A29" s="26"/>
      <c r="B29" s="26"/>
      <c r="C29" s="26"/>
      <c r="D29" s="32"/>
      <c r="E29" s="33"/>
      <c r="F29" s="34"/>
      <c r="G29" s="33"/>
      <c r="H29" s="18"/>
      <c r="I29" s="18"/>
    </row>
    <row r="30" spans="1:9" x14ac:dyDescent="0.2">
      <c r="A30" s="35" t="s">
        <v>38</v>
      </c>
      <c r="B30" s="35"/>
      <c r="C30" s="35"/>
      <c r="D30" s="36"/>
      <c r="E30" s="37">
        <v>3997.0004294999999</v>
      </c>
      <c r="F30" s="38">
        <v>100</v>
      </c>
      <c r="G30" s="37"/>
      <c r="H30" s="18"/>
      <c r="I30" s="18"/>
    </row>
    <row r="32" spans="1:9" x14ac:dyDescent="0.2">
      <c r="A32" s="18" t="s">
        <v>40</v>
      </c>
    </row>
    <row r="34" spans="1:4" x14ac:dyDescent="0.2">
      <c r="A34" s="18" t="s">
        <v>41</v>
      </c>
    </row>
    <row r="35" spans="1:4" x14ac:dyDescent="0.2">
      <c r="A35" s="18" t="s">
        <v>42</v>
      </c>
    </row>
    <row r="36" spans="1:4" x14ac:dyDescent="0.2">
      <c r="A36" s="18" t="s">
        <v>43</v>
      </c>
      <c r="B36" s="18"/>
      <c r="C36" s="39" t="s">
        <v>45</v>
      </c>
      <c r="D36" s="19" t="s">
        <v>44</v>
      </c>
    </row>
    <row r="37" spans="1:4" x14ac:dyDescent="0.2">
      <c r="A37" s="9" t="s">
        <v>68</v>
      </c>
      <c r="C37" s="40">
        <v>12.2613</v>
      </c>
      <c r="D37" s="40">
        <v>12.566599999999999</v>
      </c>
    </row>
    <row r="38" spans="1:4" x14ac:dyDescent="0.2">
      <c r="A38" s="9" t="s">
        <v>1033</v>
      </c>
      <c r="C38" s="40">
        <v>10.554399999999999</v>
      </c>
      <c r="D38" s="40">
        <v>10.817299999999999</v>
      </c>
    </row>
    <row r="39" spans="1:4" x14ac:dyDescent="0.2">
      <c r="A39" s="9" t="s">
        <v>70</v>
      </c>
      <c r="C39" s="40">
        <v>10.5389</v>
      </c>
      <c r="D39" s="40">
        <v>10.426399999999999</v>
      </c>
    </row>
    <row r="40" spans="1:4" x14ac:dyDescent="0.2">
      <c r="A40" s="9" t="s">
        <v>71</v>
      </c>
      <c r="C40" s="40">
        <v>12.3262</v>
      </c>
      <c r="D40" s="40">
        <v>12.648899999999999</v>
      </c>
    </row>
    <row r="41" spans="1:4" x14ac:dyDescent="0.2">
      <c r="A41" s="9" t="s">
        <v>75</v>
      </c>
      <c r="C41" s="40">
        <v>10.617100000000001</v>
      </c>
      <c r="D41" s="40">
        <v>10.895</v>
      </c>
    </row>
    <row r="42" spans="1:4" x14ac:dyDescent="0.2">
      <c r="A42" s="9" t="s">
        <v>73</v>
      </c>
      <c r="C42" s="40">
        <v>10.603199999999999</v>
      </c>
      <c r="D42" s="40">
        <v>10.507300000000001</v>
      </c>
    </row>
    <row r="44" spans="1:4" x14ac:dyDescent="0.2">
      <c r="A44" s="18" t="s">
        <v>47</v>
      </c>
    </row>
    <row r="45" spans="1:4" x14ac:dyDescent="0.2">
      <c r="A45" s="74" t="s">
        <v>65</v>
      </c>
      <c r="B45" s="75"/>
      <c r="C45" s="43" t="s">
        <v>66</v>
      </c>
    </row>
    <row r="46" spans="1:4" x14ac:dyDescent="0.2">
      <c r="A46" s="70" t="s">
        <v>70</v>
      </c>
      <c r="B46" s="71"/>
      <c r="C46" s="44">
        <v>0.37</v>
      </c>
    </row>
    <row r="47" spans="1:4" x14ac:dyDescent="0.2">
      <c r="A47" s="70" t="s">
        <v>73</v>
      </c>
      <c r="B47" s="71"/>
      <c r="C47" s="44">
        <v>0.37</v>
      </c>
    </row>
    <row r="48" spans="1:4" x14ac:dyDescent="0.2">
      <c r="A48" s="9" t="s">
        <v>67</v>
      </c>
    </row>
    <row r="49" spans="1:5" x14ac:dyDescent="0.2">
      <c r="A49" s="9" t="s">
        <v>46</v>
      </c>
    </row>
    <row r="51" spans="1:5" x14ac:dyDescent="0.2">
      <c r="A51" s="18" t="s">
        <v>816</v>
      </c>
      <c r="D51" s="42">
        <v>0.49764263446575302</v>
      </c>
      <c r="E51" s="13" t="s">
        <v>49</v>
      </c>
    </row>
    <row r="53" spans="1:5" x14ac:dyDescent="0.2">
      <c r="A53" s="18" t="s">
        <v>727</v>
      </c>
      <c r="D53" s="41" t="s">
        <v>48</v>
      </c>
    </row>
    <row r="55" spans="1:5" x14ac:dyDescent="0.2">
      <c r="A55" s="18" t="s">
        <v>817</v>
      </c>
    </row>
    <row r="56" spans="1:5" x14ac:dyDescent="0.2">
      <c r="A56" s="50" t="s">
        <v>51</v>
      </c>
    </row>
  </sheetData>
  <mergeCells count="4">
    <mergeCell ref="A1:G1"/>
    <mergeCell ref="A45:B45"/>
    <mergeCell ref="A46:B46"/>
    <mergeCell ref="A47:B47"/>
  </mergeCells>
  <conditionalFormatting sqref="F2:F3 F5:F65534">
    <cfRule type="cellIs" dxfId="68" priority="1" stopIfTrue="1" operator="between">
      <formula>0.009</formula>
      <formula>-0.009</formula>
    </cfRule>
  </conditionalFormatting>
  <hyperlinks>
    <hyperlink ref="A56" r:id="rId1" tooltip="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3"/>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1056</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922</v>
      </c>
      <c r="B7" s="27" t="s">
        <v>923</v>
      </c>
      <c r="C7" s="27" t="s">
        <v>34</v>
      </c>
      <c r="D7" s="31">
        <v>47</v>
      </c>
      <c r="E7" s="29">
        <v>609.72113000000002</v>
      </c>
      <c r="F7" s="30">
        <v>12.0445980152323</v>
      </c>
      <c r="G7" s="29">
        <v>4.0149999999999997</v>
      </c>
    </row>
    <row r="8" spans="1:7" x14ac:dyDescent="0.2">
      <c r="A8" s="27" t="s">
        <v>965</v>
      </c>
      <c r="B8" s="27" t="s">
        <v>966</v>
      </c>
      <c r="C8" s="27" t="s">
        <v>873</v>
      </c>
      <c r="D8" s="31">
        <v>38</v>
      </c>
      <c r="E8" s="29">
        <v>503.68506000000002</v>
      </c>
      <c r="F8" s="30">
        <v>9.9499324781120198</v>
      </c>
      <c r="G8" s="29">
        <v>4.6550000000000002</v>
      </c>
    </row>
    <row r="9" spans="1:7" x14ac:dyDescent="0.2">
      <c r="A9" s="27" t="s">
        <v>1011</v>
      </c>
      <c r="B9" s="27" t="s">
        <v>1012</v>
      </c>
      <c r="C9" s="27" t="s">
        <v>926</v>
      </c>
      <c r="D9" s="31">
        <v>47</v>
      </c>
      <c r="E9" s="29">
        <v>482.30883</v>
      </c>
      <c r="F9" s="30">
        <v>9.5276605823829907</v>
      </c>
      <c r="G9" s="29">
        <v>3.84</v>
      </c>
    </row>
    <row r="10" spans="1:7" x14ac:dyDescent="0.2">
      <c r="A10" s="27" t="s">
        <v>969</v>
      </c>
      <c r="B10" s="27" t="s">
        <v>970</v>
      </c>
      <c r="C10" s="27" t="s">
        <v>34</v>
      </c>
      <c r="D10" s="31">
        <v>47</v>
      </c>
      <c r="E10" s="29">
        <v>474.67273999999998</v>
      </c>
      <c r="F10" s="30">
        <v>9.3768151713700298</v>
      </c>
      <c r="G10" s="29">
        <v>3.4750000000000001</v>
      </c>
    </row>
    <row r="11" spans="1:7" x14ac:dyDescent="0.2">
      <c r="A11" s="27" t="s">
        <v>929</v>
      </c>
      <c r="B11" s="27" t="s">
        <v>930</v>
      </c>
      <c r="C11" s="27" t="s">
        <v>34</v>
      </c>
      <c r="D11" s="31">
        <v>46</v>
      </c>
      <c r="E11" s="29">
        <v>461.74846000000002</v>
      </c>
      <c r="F11" s="30">
        <v>9.1215054083045697</v>
      </c>
      <c r="G11" s="29">
        <v>3.5849000000000002</v>
      </c>
    </row>
    <row r="12" spans="1:7" x14ac:dyDescent="0.2">
      <c r="A12" s="27" t="s">
        <v>916</v>
      </c>
      <c r="B12" s="27" t="s">
        <v>917</v>
      </c>
      <c r="C12" s="27" t="s">
        <v>34</v>
      </c>
      <c r="D12" s="31">
        <v>45</v>
      </c>
      <c r="E12" s="29">
        <v>460.46474999999998</v>
      </c>
      <c r="F12" s="30">
        <v>9.0961466497551697</v>
      </c>
      <c r="G12" s="29">
        <v>3.72</v>
      </c>
    </row>
    <row r="13" spans="1:7" x14ac:dyDescent="0.2">
      <c r="A13" s="27" t="s">
        <v>1052</v>
      </c>
      <c r="B13" s="27" t="s">
        <v>1053</v>
      </c>
      <c r="C13" s="27" t="s">
        <v>34</v>
      </c>
      <c r="D13" s="31">
        <v>29</v>
      </c>
      <c r="E13" s="29">
        <v>382.55408</v>
      </c>
      <c r="F13" s="30">
        <v>7.5570779590450101</v>
      </c>
      <c r="G13" s="29">
        <v>5.1249000000000002</v>
      </c>
    </row>
    <row r="14" spans="1:7" x14ac:dyDescent="0.2">
      <c r="A14" s="27" t="s">
        <v>1057</v>
      </c>
      <c r="B14" s="27" t="s">
        <v>1058</v>
      </c>
      <c r="C14" s="27" t="s">
        <v>34</v>
      </c>
      <c r="D14" s="31">
        <v>35</v>
      </c>
      <c r="E14" s="29">
        <v>363.2244</v>
      </c>
      <c r="F14" s="30">
        <v>7.1752341719302803</v>
      </c>
      <c r="G14" s="29">
        <v>4.5949999999999998</v>
      </c>
    </row>
    <row r="15" spans="1:7" x14ac:dyDescent="0.2">
      <c r="A15" s="27" t="s">
        <v>967</v>
      </c>
      <c r="B15" s="27" t="s">
        <v>968</v>
      </c>
      <c r="C15" s="27" t="s">
        <v>34</v>
      </c>
      <c r="D15" s="31">
        <v>32</v>
      </c>
      <c r="E15" s="29">
        <v>326.65472</v>
      </c>
      <c r="F15" s="30">
        <v>6.4528267081350199</v>
      </c>
      <c r="G15" s="29">
        <v>3.8849999999999998</v>
      </c>
    </row>
    <row r="16" spans="1:7" x14ac:dyDescent="0.2">
      <c r="A16" s="27" t="s">
        <v>949</v>
      </c>
      <c r="B16" s="27" t="s">
        <v>950</v>
      </c>
      <c r="C16" s="27" t="s">
        <v>34</v>
      </c>
      <c r="D16" s="31">
        <v>24</v>
      </c>
      <c r="E16" s="29">
        <v>245.61984000000001</v>
      </c>
      <c r="F16" s="30">
        <v>4.85204151833425</v>
      </c>
      <c r="G16" s="29">
        <v>3.71</v>
      </c>
    </row>
    <row r="17" spans="1:9" x14ac:dyDescent="0.2">
      <c r="A17" s="27" t="s">
        <v>1008</v>
      </c>
      <c r="B17" s="27" t="s">
        <v>1009</v>
      </c>
      <c r="C17" s="27" t="s">
        <v>1010</v>
      </c>
      <c r="D17" s="31">
        <v>22</v>
      </c>
      <c r="E17" s="29">
        <v>227.77083999999999</v>
      </c>
      <c r="F17" s="30">
        <v>4.4994474890378102</v>
      </c>
      <c r="G17" s="29">
        <v>3.7801</v>
      </c>
    </row>
    <row r="18" spans="1:9" x14ac:dyDescent="0.2">
      <c r="A18" s="27" t="s">
        <v>914</v>
      </c>
      <c r="B18" s="27" t="s">
        <v>915</v>
      </c>
      <c r="C18" s="27" t="s">
        <v>34</v>
      </c>
      <c r="D18" s="31">
        <v>8</v>
      </c>
      <c r="E18" s="29">
        <v>82.118880000000004</v>
      </c>
      <c r="F18" s="30">
        <v>1.6221988223716299</v>
      </c>
      <c r="G18" s="29">
        <v>4</v>
      </c>
    </row>
    <row r="19" spans="1:9" x14ac:dyDescent="0.2">
      <c r="A19" s="27" t="s">
        <v>1039</v>
      </c>
      <c r="B19" s="27" t="s">
        <v>1040</v>
      </c>
      <c r="C19" s="27" t="s">
        <v>982</v>
      </c>
      <c r="D19" s="31">
        <v>5</v>
      </c>
      <c r="E19" s="29">
        <v>65.069950000000006</v>
      </c>
      <c r="F19" s="30">
        <v>1.28540959474582</v>
      </c>
      <c r="G19" s="29">
        <v>4.8646000000000003</v>
      </c>
    </row>
    <row r="20" spans="1:9" x14ac:dyDescent="0.2">
      <c r="A20" s="27" t="s">
        <v>901</v>
      </c>
      <c r="B20" s="27" t="s">
        <v>902</v>
      </c>
      <c r="C20" s="27" t="s">
        <v>903</v>
      </c>
      <c r="D20" s="31">
        <v>6</v>
      </c>
      <c r="E20" s="29">
        <v>61.377000000000002</v>
      </c>
      <c r="F20" s="30">
        <v>1.2124580500940001</v>
      </c>
      <c r="G20" s="29">
        <v>4.6848999999999998</v>
      </c>
    </row>
    <row r="21" spans="1:9" x14ac:dyDescent="0.2">
      <c r="A21" s="27" t="s">
        <v>1046</v>
      </c>
      <c r="B21" s="27" t="s">
        <v>1047</v>
      </c>
      <c r="C21" s="27" t="s">
        <v>873</v>
      </c>
      <c r="D21" s="31">
        <v>4</v>
      </c>
      <c r="E21" s="29">
        <v>41.644240000000003</v>
      </c>
      <c r="F21" s="30">
        <v>0.82265171038087104</v>
      </c>
      <c r="G21" s="29">
        <v>4.5949999999999998</v>
      </c>
    </row>
    <row r="22" spans="1:9" x14ac:dyDescent="0.2">
      <c r="A22" s="27" t="s">
        <v>1027</v>
      </c>
      <c r="B22" s="27" t="s">
        <v>1028</v>
      </c>
      <c r="C22" s="27" t="s">
        <v>34</v>
      </c>
      <c r="D22" s="31">
        <v>1</v>
      </c>
      <c r="E22" s="29">
        <v>13.03945</v>
      </c>
      <c r="F22" s="30">
        <v>0.25758486275475001</v>
      </c>
      <c r="G22" s="29">
        <v>4.37</v>
      </c>
    </row>
    <row r="23" spans="1:9" x14ac:dyDescent="0.2">
      <c r="A23" s="27" t="s">
        <v>904</v>
      </c>
      <c r="B23" s="27" t="s">
        <v>905</v>
      </c>
      <c r="C23" s="27" t="s">
        <v>896</v>
      </c>
      <c r="D23" s="31">
        <v>1</v>
      </c>
      <c r="E23" s="29">
        <v>10.268420000000001</v>
      </c>
      <c r="F23" s="30">
        <v>0.202845178010432</v>
      </c>
      <c r="G23" s="29">
        <v>4.9050000000000002</v>
      </c>
    </row>
    <row r="24" spans="1:9" x14ac:dyDescent="0.2">
      <c r="A24" s="26" t="s">
        <v>35</v>
      </c>
      <c r="B24" s="26"/>
      <c r="C24" s="26"/>
      <c r="D24" s="32"/>
      <c r="E24" s="33">
        <f>SUM(E6:E23)</f>
        <v>4811.942790000001</v>
      </c>
      <c r="F24" s="34">
        <f>SUM(F6:F23)</f>
        <v>95.05643436999695</v>
      </c>
      <c r="G24" s="33"/>
      <c r="H24" s="18"/>
      <c r="I24" s="18"/>
    </row>
    <row r="25" spans="1:9" x14ac:dyDescent="0.2">
      <c r="A25" s="27"/>
      <c r="B25" s="27"/>
      <c r="C25" s="27"/>
      <c r="D25" s="28"/>
      <c r="E25" s="29"/>
      <c r="F25" s="30"/>
      <c r="G25" s="29"/>
    </row>
    <row r="26" spans="1:9" x14ac:dyDescent="0.2">
      <c r="A26" s="26" t="s">
        <v>37</v>
      </c>
      <c r="B26" s="26"/>
      <c r="C26" s="26"/>
      <c r="D26" s="32"/>
      <c r="E26" s="33">
        <f>E24</f>
        <v>4811.942790000001</v>
      </c>
      <c r="F26" s="34">
        <f>F24</f>
        <v>95.05643436999695</v>
      </c>
      <c r="G26" s="33"/>
      <c r="H26" s="18"/>
      <c r="I26" s="18"/>
    </row>
    <row r="27" spans="1:9" x14ac:dyDescent="0.2">
      <c r="A27" s="26"/>
      <c r="B27" s="26"/>
      <c r="C27" s="26"/>
      <c r="D27" s="32"/>
      <c r="E27" s="33"/>
      <c r="F27" s="34"/>
      <c r="G27" s="33"/>
      <c r="H27" s="18"/>
      <c r="I27" s="18"/>
    </row>
    <row r="28" spans="1:9" x14ac:dyDescent="0.2">
      <c r="A28" s="26" t="s">
        <v>39</v>
      </c>
      <c r="B28" s="26"/>
      <c r="C28" s="26"/>
      <c r="D28" s="32"/>
      <c r="E28" s="33">
        <f>E30-(E24)</f>
        <v>250.25296969999908</v>
      </c>
      <c r="F28" s="34">
        <f>F30-(F24)</f>
        <v>4.9435656300030502</v>
      </c>
      <c r="G28" s="33"/>
      <c r="H28" s="18"/>
      <c r="I28" s="18"/>
    </row>
    <row r="29" spans="1:9" x14ac:dyDescent="0.2">
      <c r="A29" s="26"/>
      <c r="B29" s="26"/>
      <c r="C29" s="26"/>
      <c r="D29" s="32"/>
      <c r="E29" s="33"/>
      <c r="F29" s="34"/>
      <c r="G29" s="33"/>
      <c r="H29" s="18"/>
      <c r="I29" s="18"/>
    </row>
    <row r="30" spans="1:9" x14ac:dyDescent="0.2">
      <c r="A30" s="35" t="s">
        <v>38</v>
      </c>
      <c r="B30" s="35"/>
      <c r="C30" s="35"/>
      <c r="D30" s="36"/>
      <c r="E30" s="37">
        <v>5062.1957597000001</v>
      </c>
      <c r="F30" s="38">
        <v>100</v>
      </c>
      <c r="G30" s="37"/>
      <c r="H30" s="18"/>
      <c r="I30" s="18"/>
    </row>
    <row r="32" spans="1:9" x14ac:dyDescent="0.2">
      <c r="A32" s="18" t="s">
        <v>40</v>
      </c>
    </row>
    <row r="34" spans="1:5" x14ac:dyDescent="0.2">
      <c r="A34" s="18" t="s">
        <v>41</v>
      </c>
    </row>
    <row r="35" spans="1:5" x14ac:dyDescent="0.2">
      <c r="A35" s="18" t="s">
        <v>42</v>
      </c>
    </row>
    <row r="36" spans="1:5" x14ac:dyDescent="0.2">
      <c r="A36" s="18" t="s">
        <v>43</v>
      </c>
      <c r="B36" s="18"/>
      <c r="C36" s="39" t="s">
        <v>45</v>
      </c>
      <c r="D36" s="19" t="s">
        <v>44</v>
      </c>
    </row>
    <row r="37" spans="1:5" x14ac:dyDescent="0.2">
      <c r="A37" s="9" t="s">
        <v>68</v>
      </c>
      <c r="C37" s="40">
        <v>12.348599999999999</v>
      </c>
      <c r="D37" s="40">
        <v>12.6418</v>
      </c>
    </row>
    <row r="38" spans="1:5" x14ac:dyDescent="0.2">
      <c r="A38" s="9" t="s">
        <v>1033</v>
      </c>
      <c r="C38" s="40">
        <v>10.645</v>
      </c>
      <c r="D38" s="40">
        <v>10.8973</v>
      </c>
    </row>
    <row r="39" spans="1:5" x14ac:dyDescent="0.2">
      <c r="A39" s="9" t="s">
        <v>70</v>
      </c>
      <c r="C39" s="40">
        <v>10.632099999999999</v>
      </c>
      <c r="D39" s="40">
        <v>10.4786</v>
      </c>
    </row>
    <row r="40" spans="1:5" x14ac:dyDescent="0.2">
      <c r="A40" s="9" t="s">
        <v>71</v>
      </c>
      <c r="C40" s="40">
        <v>12.428800000000001</v>
      </c>
      <c r="D40" s="40">
        <v>12.742900000000001</v>
      </c>
    </row>
    <row r="42" spans="1:5" x14ac:dyDescent="0.2">
      <c r="A42" s="18" t="s">
        <v>47</v>
      </c>
    </row>
    <row r="43" spans="1:5" x14ac:dyDescent="0.2">
      <c r="A43" s="74" t="s">
        <v>65</v>
      </c>
      <c r="B43" s="75"/>
      <c r="C43" s="43" t="s">
        <v>66</v>
      </c>
    </row>
    <row r="44" spans="1:5" x14ac:dyDescent="0.2">
      <c r="A44" s="70" t="s">
        <v>70</v>
      </c>
      <c r="B44" s="71"/>
      <c r="C44" s="44">
        <v>0.4</v>
      </c>
    </row>
    <row r="45" spans="1:5" x14ac:dyDescent="0.2">
      <c r="A45" s="9" t="s">
        <v>67</v>
      </c>
    </row>
    <row r="46" spans="1:5" x14ac:dyDescent="0.2">
      <c r="A46" s="9" t="s">
        <v>46</v>
      </c>
    </row>
    <row r="48" spans="1:5" x14ac:dyDescent="0.2">
      <c r="A48" s="18" t="s">
        <v>816</v>
      </c>
      <c r="D48" s="42">
        <v>0.52298142252054802</v>
      </c>
      <c r="E48" s="13" t="s">
        <v>49</v>
      </c>
    </row>
    <row r="50" spans="1:4" x14ac:dyDescent="0.2">
      <c r="A50" s="18" t="s">
        <v>727</v>
      </c>
      <c r="D50" s="41" t="s">
        <v>48</v>
      </c>
    </row>
    <row r="52" spans="1:4" x14ac:dyDescent="0.2">
      <c r="A52" s="18" t="s">
        <v>817</v>
      </c>
    </row>
    <row r="53" spans="1:4" x14ac:dyDescent="0.2">
      <c r="A53" s="50" t="s">
        <v>51</v>
      </c>
    </row>
  </sheetData>
  <mergeCells count="3">
    <mergeCell ref="A1:G1"/>
    <mergeCell ref="A43:B43"/>
    <mergeCell ref="A44:B44"/>
  </mergeCells>
  <conditionalFormatting sqref="F2:F3 F5:F65534">
    <cfRule type="cellIs" dxfId="67" priority="1" stopIfTrue="1" operator="between">
      <formula>0.009</formula>
      <formula>-0.009</formula>
    </cfRule>
  </conditionalFormatting>
  <hyperlinks>
    <hyperlink ref="A53" r:id="rId1" tooltip="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2"/>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1059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965</v>
      </c>
      <c r="B7" s="27" t="s">
        <v>966</v>
      </c>
      <c r="C7" s="27" t="s">
        <v>873</v>
      </c>
      <c r="D7" s="31">
        <v>26</v>
      </c>
      <c r="E7" s="29">
        <v>344.62662</v>
      </c>
      <c r="F7" s="30">
        <v>12.0432606364507</v>
      </c>
      <c r="G7" s="29">
        <v>4.6550000000000002</v>
      </c>
    </row>
    <row r="8" spans="1:7" x14ac:dyDescent="0.2">
      <c r="A8" s="27" t="s">
        <v>969</v>
      </c>
      <c r="B8" s="27" t="s">
        <v>970</v>
      </c>
      <c r="C8" s="27" t="s">
        <v>34</v>
      </c>
      <c r="D8" s="31">
        <v>28</v>
      </c>
      <c r="E8" s="29">
        <v>282.78375999999997</v>
      </c>
      <c r="F8" s="30">
        <v>9.8821110378401205</v>
      </c>
      <c r="G8" s="29">
        <v>3.4750000000000001</v>
      </c>
    </row>
    <row r="9" spans="1:7" x14ac:dyDescent="0.2">
      <c r="A9" s="27" t="s">
        <v>1011</v>
      </c>
      <c r="B9" s="27" t="s">
        <v>1012</v>
      </c>
      <c r="C9" s="27" t="s">
        <v>926</v>
      </c>
      <c r="D9" s="31">
        <v>27</v>
      </c>
      <c r="E9" s="29">
        <v>277.07103000000001</v>
      </c>
      <c r="F9" s="30">
        <v>9.6824749901788305</v>
      </c>
      <c r="G9" s="29">
        <v>3.84</v>
      </c>
    </row>
    <row r="10" spans="1:7" x14ac:dyDescent="0.2">
      <c r="A10" s="27" t="s">
        <v>1054</v>
      </c>
      <c r="B10" s="27" t="s">
        <v>1055</v>
      </c>
      <c r="C10" s="27" t="s">
        <v>873</v>
      </c>
      <c r="D10" s="31">
        <v>26</v>
      </c>
      <c r="E10" s="29">
        <v>269.73439999999999</v>
      </c>
      <c r="F10" s="30">
        <v>9.4260904216182109</v>
      </c>
      <c r="G10" s="29">
        <v>4.3498999999999999</v>
      </c>
    </row>
    <row r="11" spans="1:7" x14ac:dyDescent="0.2">
      <c r="A11" s="27" t="s">
        <v>957</v>
      </c>
      <c r="B11" s="27" t="s">
        <v>958</v>
      </c>
      <c r="C11" s="27" t="s">
        <v>926</v>
      </c>
      <c r="D11" s="31">
        <v>26</v>
      </c>
      <c r="E11" s="29">
        <v>266.16980000000001</v>
      </c>
      <c r="F11" s="30">
        <v>9.3015225433019797</v>
      </c>
      <c r="G11" s="29">
        <v>3.69</v>
      </c>
    </row>
    <row r="12" spans="1:7" x14ac:dyDescent="0.2">
      <c r="A12" s="27" t="s">
        <v>949</v>
      </c>
      <c r="B12" s="27" t="s">
        <v>950</v>
      </c>
      <c r="C12" s="27" t="s">
        <v>34</v>
      </c>
      <c r="D12" s="31">
        <v>26</v>
      </c>
      <c r="E12" s="29">
        <v>266.08816000000002</v>
      </c>
      <c r="F12" s="30">
        <v>9.2986695663660708</v>
      </c>
      <c r="G12" s="29">
        <v>3.71</v>
      </c>
    </row>
    <row r="13" spans="1:7" x14ac:dyDescent="0.2">
      <c r="A13" s="27" t="s">
        <v>929</v>
      </c>
      <c r="B13" s="27" t="s">
        <v>930</v>
      </c>
      <c r="C13" s="27" t="s">
        <v>34</v>
      </c>
      <c r="D13" s="31">
        <v>26</v>
      </c>
      <c r="E13" s="29">
        <v>260.98826000000003</v>
      </c>
      <c r="F13" s="30">
        <v>9.1204493670099307</v>
      </c>
      <c r="G13" s="29">
        <v>3.5849000000000002</v>
      </c>
    </row>
    <row r="14" spans="1:7" x14ac:dyDescent="0.2">
      <c r="A14" s="27" t="s">
        <v>904</v>
      </c>
      <c r="B14" s="27" t="s">
        <v>905</v>
      </c>
      <c r="C14" s="27" t="s">
        <v>896</v>
      </c>
      <c r="D14" s="31">
        <v>24</v>
      </c>
      <c r="E14" s="29">
        <v>246.44208</v>
      </c>
      <c r="F14" s="30">
        <v>8.6121211449917698</v>
      </c>
      <c r="G14" s="29">
        <v>4.9050000000000002</v>
      </c>
    </row>
    <row r="15" spans="1:7" x14ac:dyDescent="0.2">
      <c r="A15" s="27" t="s">
        <v>967</v>
      </c>
      <c r="B15" s="27" t="s">
        <v>968</v>
      </c>
      <c r="C15" s="27" t="s">
        <v>34</v>
      </c>
      <c r="D15" s="31">
        <v>16</v>
      </c>
      <c r="E15" s="29">
        <v>163.32736</v>
      </c>
      <c r="F15" s="30">
        <v>5.7076089059615303</v>
      </c>
      <c r="G15" s="29">
        <v>3.8849999999999998</v>
      </c>
    </row>
    <row r="16" spans="1:7" x14ac:dyDescent="0.2">
      <c r="A16" s="27" t="s">
        <v>1052</v>
      </c>
      <c r="B16" s="27" t="s">
        <v>1053</v>
      </c>
      <c r="C16" s="27" t="s">
        <v>34</v>
      </c>
      <c r="D16" s="31">
        <v>10</v>
      </c>
      <c r="E16" s="29">
        <v>131.9152</v>
      </c>
      <c r="F16" s="30">
        <v>4.6098851432588903</v>
      </c>
      <c r="G16" s="29">
        <v>5.1249000000000002</v>
      </c>
    </row>
    <row r="17" spans="1:9" x14ac:dyDescent="0.2">
      <c r="A17" s="27" t="s">
        <v>1037</v>
      </c>
      <c r="B17" s="27" t="s">
        <v>1038</v>
      </c>
      <c r="C17" s="27" t="s">
        <v>34</v>
      </c>
      <c r="D17" s="31">
        <v>12</v>
      </c>
      <c r="E17" s="29">
        <v>122.00484</v>
      </c>
      <c r="F17" s="30">
        <v>4.2635594633649303</v>
      </c>
      <c r="G17" s="29">
        <v>3.6349999999999998</v>
      </c>
    </row>
    <row r="18" spans="1:9" x14ac:dyDescent="0.2">
      <c r="A18" s="27" t="s">
        <v>1027</v>
      </c>
      <c r="B18" s="27" t="s">
        <v>1028</v>
      </c>
      <c r="C18" s="27" t="s">
        <v>34</v>
      </c>
      <c r="D18" s="31">
        <v>2</v>
      </c>
      <c r="E18" s="29">
        <v>26.078900000000001</v>
      </c>
      <c r="F18" s="30">
        <v>0.911348606245029</v>
      </c>
      <c r="G18" s="29">
        <v>4.37</v>
      </c>
    </row>
    <row r="19" spans="1:9" x14ac:dyDescent="0.2">
      <c r="A19" s="27" t="s">
        <v>1046</v>
      </c>
      <c r="B19" s="27" t="s">
        <v>1047</v>
      </c>
      <c r="C19" s="27" t="s">
        <v>873</v>
      </c>
      <c r="D19" s="31">
        <v>2</v>
      </c>
      <c r="E19" s="29">
        <v>20.822120000000002</v>
      </c>
      <c r="F19" s="30">
        <v>0.727646106280048</v>
      </c>
      <c r="G19" s="29">
        <v>4.5949999999999998</v>
      </c>
    </row>
    <row r="20" spans="1:9" x14ac:dyDescent="0.2">
      <c r="A20" s="26" t="s">
        <v>35</v>
      </c>
      <c r="B20" s="26"/>
      <c r="C20" s="26"/>
      <c r="D20" s="32"/>
      <c r="E20" s="33">
        <f>SUM(E6:E19)</f>
        <v>2678.0525300000004</v>
      </c>
      <c r="F20" s="34">
        <f>SUM(F6:F19)</f>
        <v>93.58674793286805</v>
      </c>
      <c r="G20" s="33"/>
      <c r="H20" s="18"/>
      <c r="I20" s="18"/>
    </row>
    <row r="21" spans="1:9" x14ac:dyDescent="0.2">
      <c r="A21" s="27"/>
      <c r="B21" s="27"/>
      <c r="C21" s="27"/>
      <c r="D21" s="28"/>
      <c r="E21" s="29"/>
      <c r="F21" s="30"/>
      <c r="G21" s="29"/>
    </row>
    <row r="22" spans="1:9" x14ac:dyDescent="0.2">
      <c r="A22" s="26" t="s">
        <v>37</v>
      </c>
      <c r="B22" s="26"/>
      <c r="C22" s="26"/>
      <c r="D22" s="32"/>
      <c r="E22" s="33">
        <f>E20</f>
        <v>2678.0525300000004</v>
      </c>
      <c r="F22" s="34">
        <f>F20</f>
        <v>93.58674793286805</v>
      </c>
      <c r="G22" s="33"/>
      <c r="H22" s="18"/>
      <c r="I22" s="18"/>
    </row>
    <row r="23" spans="1:9" x14ac:dyDescent="0.2">
      <c r="A23" s="26"/>
      <c r="B23" s="26"/>
      <c r="C23" s="26"/>
      <c r="D23" s="32"/>
      <c r="E23" s="33"/>
      <c r="F23" s="34"/>
      <c r="G23" s="33"/>
      <c r="H23" s="18"/>
      <c r="I23" s="18"/>
    </row>
    <row r="24" spans="1:9" x14ac:dyDescent="0.2">
      <c r="A24" s="26" t="s">
        <v>39</v>
      </c>
      <c r="B24" s="26"/>
      <c r="C24" s="26"/>
      <c r="D24" s="32"/>
      <c r="E24" s="33">
        <f>E26-(E20)</f>
        <v>183.51984979999952</v>
      </c>
      <c r="F24" s="34">
        <f>F26-(F20)</f>
        <v>6.4132520671319497</v>
      </c>
      <c r="G24" s="33"/>
      <c r="H24" s="18"/>
      <c r="I24" s="18"/>
    </row>
    <row r="25" spans="1:9" x14ac:dyDescent="0.2">
      <c r="A25" s="26"/>
      <c r="B25" s="26"/>
      <c r="C25" s="26"/>
      <c r="D25" s="32"/>
      <c r="E25" s="33"/>
      <c r="F25" s="34"/>
      <c r="G25" s="33"/>
      <c r="H25" s="18"/>
      <c r="I25" s="18"/>
    </row>
    <row r="26" spans="1:9" x14ac:dyDescent="0.2">
      <c r="A26" s="35" t="s">
        <v>38</v>
      </c>
      <c r="B26" s="35"/>
      <c r="C26" s="35"/>
      <c r="D26" s="36"/>
      <c r="E26" s="37">
        <v>2861.5723797999999</v>
      </c>
      <c r="F26" s="38">
        <v>100</v>
      </c>
      <c r="G26" s="37"/>
      <c r="H26" s="18"/>
      <c r="I26" s="18"/>
    </row>
    <row r="28" spans="1:9" x14ac:dyDescent="0.2">
      <c r="A28" s="18" t="s">
        <v>40</v>
      </c>
    </row>
    <row r="30" spans="1:9" x14ac:dyDescent="0.2">
      <c r="A30" s="18" t="s">
        <v>41</v>
      </c>
    </row>
    <row r="31" spans="1:9" x14ac:dyDescent="0.2">
      <c r="A31" s="18" t="s">
        <v>42</v>
      </c>
    </row>
    <row r="32" spans="1:9" x14ac:dyDescent="0.2">
      <c r="A32" s="18" t="s">
        <v>43</v>
      </c>
      <c r="B32" s="18"/>
      <c r="C32" s="39" t="s">
        <v>45</v>
      </c>
      <c r="D32" s="19" t="s">
        <v>44</v>
      </c>
    </row>
    <row r="33" spans="1:5" x14ac:dyDescent="0.2">
      <c r="A33" s="9" t="s">
        <v>68</v>
      </c>
      <c r="C33" s="40">
        <v>12.4983</v>
      </c>
      <c r="D33" s="40">
        <v>12.811199999999999</v>
      </c>
    </row>
    <row r="34" spans="1:5" x14ac:dyDescent="0.2">
      <c r="A34" s="9" t="s">
        <v>1033</v>
      </c>
      <c r="C34" s="40">
        <v>10.686</v>
      </c>
      <c r="D34" s="40">
        <v>10.955299999999999</v>
      </c>
    </row>
    <row r="35" spans="1:5" x14ac:dyDescent="0.2">
      <c r="A35" s="9" t="s">
        <v>70</v>
      </c>
      <c r="C35" s="40">
        <v>10.457800000000001</v>
      </c>
      <c r="D35" s="40">
        <v>10.351800000000001</v>
      </c>
    </row>
    <row r="36" spans="1:5" x14ac:dyDescent="0.2">
      <c r="A36" s="9" t="s">
        <v>71</v>
      </c>
      <c r="C36" s="40">
        <v>12.5829</v>
      </c>
      <c r="D36" s="40">
        <v>12.917199999999999</v>
      </c>
    </row>
    <row r="37" spans="1:5" x14ac:dyDescent="0.2">
      <c r="A37" s="9" t="s">
        <v>75</v>
      </c>
      <c r="C37" s="40">
        <v>10.7614</v>
      </c>
      <c r="D37" s="40">
        <v>11.047000000000001</v>
      </c>
    </row>
    <row r="38" spans="1:5" x14ac:dyDescent="0.2">
      <c r="A38" s="9" t="s">
        <v>73</v>
      </c>
      <c r="C38" s="40">
        <v>10.536199999999999</v>
      </c>
      <c r="D38" s="40">
        <v>10.4482</v>
      </c>
    </row>
    <row r="40" spans="1:5" x14ac:dyDescent="0.2">
      <c r="A40" s="18" t="s">
        <v>47</v>
      </c>
    </row>
    <row r="41" spans="1:5" x14ac:dyDescent="0.2">
      <c r="A41" s="74" t="s">
        <v>65</v>
      </c>
      <c r="B41" s="75"/>
      <c r="C41" s="43" t="s">
        <v>66</v>
      </c>
    </row>
    <row r="42" spans="1:5" x14ac:dyDescent="0.2">
      <c r="A42" s="70" t="s">
        <v>70</v>
      </c>
      <c r="B42" s="71"/>
      <c r="C42" s="44">
        <v>0.36499999999999999</v>
      </c>
    </row>
    <row r="43" spans="1:5" x14ac:dyDescent="0.2">
      <c r="A43" s="70" t="s">
        <v>73</v>
      </c>
      <c r="B43" s="71"/>
      <c r="C43" s="44">
        <v>0.36499999999999999</v>
      </c>
    </row>
    <row r="44" spans="1:5" x14ac:dyDescent="0.2">
      <c r="A44" s="9" t="s">
        <v>67</v>
      </c>
    </row>
    <row r="45" spans="1:5" x14ac:dyDescent="0.2">
      <c r="A45" s="9" t="s">
        <v>46</v>
      </c>
    </row>
    <row r="47" spans="1:5" x14ac:dyDescent="0.2">
      <c r="A47" s="18" t="s">
        <v>816</v>
      </c>
      <c r="D47" s="42">
        <v>0.48738879668493201</v>
      </c>
      <c r="E47" s="13" t="s">
        <v>49</v>
      </c>
    </row>
    <row r="49" spans="1:4" x14ac:dyDescent="0.2">
      <c r="A49" s="18" t="s">
        <v>727</v>
      </c>
      <c r="D49" s="41" t="s">
        <v>48</v>
      </c>
    </row>
    <row r="51" spans="1:4" x14ac:dyDescent="0.2">
      <c r="A51" s="18" t="s">
        <v>817</v>
      </c>
    </row>
    <row r="52" spans="1:4" x14ac:dyDescent="0.2">
      <c r="A52" s="50" t="s">
        <v>51</v>
      </c>
    </row>
  </sheetData>
  <mergeCells count="4">
    <mergeCell ref="A1:G1"/>
    <mergeCell ref="A41:B41"/>
    <mergeCell ref="A42:B42"/>
    <mergeCell ref="A43:B43"/>
  </mergeCells>
  <conditionalFormatting sqref="F2:F3 F5:F65534">
    <cfRule type="cellIs" dxfId="66" priority="1" stopIfTrue="1" operator="between">
      <formula>0.009</formula>
      <formula>-0.009</formula>
    </cfRule>
  </conditionalFormatting>
  <hyperlinks>
    <hyperlink ref="A52" r:id="rId1" tooltip="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9"/>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1060</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965</v>
      </c>
      <c r="B7" s="27" t="s">
        <v>966</v>
      </c>
      <c r="C7" s="27" t="s">
        <v>873</v>
      </c>
      <c r="D7" s="31">
        <v>50</v>
      </c>
      <c r="E7" s="29">
        <v>662.74350000000004</v>
      </c>
      <c r="F7" s="30">
        <v>12.121700329888601</v>
      </c>
      <c r="G7" s="29">
        <v>4.6550000000000002</v>
      </c>
    </row>
    <row r="8" spans="1:7" x14ac:dyDescent="0.2">
      <c r="A8" s="27" t="s">
        <v>1011</v>
      </c>
      <c r="B8" s="27" t="s">
        <v>1012</v>
      </c>
      <c r="C8" s="27" t="s">
        <v>926</v>
      </c>
      <c r="D8" s="31">
        <v>50</v>
      </c>
      <c r="E8" s="29">
        <v>513.09450000000004</v>
      </c>
      <c r="F8" s="30">
        <v>9.3845926363879997</v>
      </c>
      <c r="G8" s="29">
        <v>3.84</v>
      </c>
    </row>
    <row r="9" spans="1:7" x14ac:dyDescent="0.2">
      <c r="A9" s="27" t="s">
        <v>1061</v>
      </c>
      <c r="B9" s="27" t="s">
        <v>1062</v>
      </c>
      <c r="C9" s="27" t="s">
        <v>34</v>
      </c>
      <c r="D9" s="31">
        <v>50</v>
      </c>
      <c r="E9" s="29">
        <v>511.94450000000001</v>
      </c>
      <c r="F9" s="30">
        <v>9.3635589251869504</v>
      </c>
      <c r="G9" s="29">
        <v>4.0449999999999999</v>
      </c>
    </row>
    <row r="10" spans="1:7" x14ac:dyDescent="0.2">
      <c r="A10" s="27" t="s">
        <v>949</v>
      </c>
      <c r="B10" s="27" t="s">
        <v>950</v>
      </c>
      <c r="C10" s="27" t="s">
        <v>34</v>
      </c>
      <c r="D10" s="31">
        <v>50</v>
      </c>
      <c r="E10" s="29">
        <v>511.70800000000003</v>
      </c>
      <c r="F10" s="30">
        <v>9.3592332967529899</v>
      </c>
      <c r="G10" s="29">
        <v>3.71</v>
      </c>
    </row>
    <row r="11" spans="1:7" x14ac:dyDescent="0.2">
      <c r="A11" s="27" t="s">
        <v>1063</v>
      </c>
      <c r="B11" s="27" t="s">
        <v>1064</v>
      </c>
      <c r="C11" s="27" t="s">
        <v>34</v>
      </c>
      <c r="D11" s="31">
        <v>50</v>
      </c>
      <c r="E11" s="29">
        <v>506.75799999999998</v>
      </c>
      <c r="F11" s="30">
        <v>9.2686968876702203</v>
      </c>
      <c r="G11" s="29">
        <v>3.6351</v>
      </c>
    </row>
    <row r="12" spans="1:7" x14ac:dyDescent="0.2">
      <c r="A12" s="27" t="s">
        <v>1008</v>
      </c>
      <c r="B12" s="27" t="s">
        <v>1009</v>
      </c>
      <c r="C12" s="27" t="s">
        <v>1010</v>
      </c>
      <c r="D12" s="31">
        <v>48</v>
      </c>
      <c r="E12" s="29">
        <v>496.95456000000001</v>
      </c>
      <c r="F12" s="30">
        <v>9.0893901696382198</v>
      </c>
      <c r="G12" s="29">
        <v>3.7801</v>
      </c>
    </row>
    <row r="13" spans="1:7" x14ac:dyDescent="0.2">
      <c r="A13" s="27" t="s">
        <v>929</v>
      </c>
      <c r="B13" s="27" t="s">
        <v>930</v>
      </c>
      <c r="C13" s="27" t="s">
        <v>34</v>
      </c>
      <c r="D13" s="31">
        <v>49</v>
      </c>
      <c r="E13" s="29">
        <v>491.86248999999998</v>
      </c>
      <c r="F13" s="30">
        <v>8.9962552741638504</v>
      </c>
      <c r="G13" s="29">
        <v>3.5849000000000002</v>
      </c>
    </row>
    <row r="14" spans="1:7" x14ac:dyDescent="0.2">
      <c r="A14" s="27" t="s">
        <v>967</v>
      </c>
      <c r="B14" s="27" t="s">
        <v>968</v>
      </c>
      <c r="C14" s="27" t="s">
        <v>34</v>
      </c>
      <c r="D14" s="31">
        <v>37</v>
      </c>
      <c r="E14" s="29">
        <v>377.69452000000001</v>
      </c>
      <c r="F14" s="30">
        <v>6.9081021355639098</v>
      </c>
      <c r="G14" s="29">
        <v>3.8849999999999998</v>
      </c>
    </row>
    <row r="15" spans="1:7" x14ac:dyDescent="0.2">
      <c r="A15" s="27" t="s">
        <v>957</v>
      </c>
      <c r="B15" s="27" t="s">
        <v>958</v>
      </c>
      <c r="C15" s="27" t="s">
        <v>926</v>
      </c>
      <c r="D15" s="31">
        <v>20</v>
      </c>
      <c r="E15" s="29">
        <v>204.74600000000001</v>
      </c>
      <c r="F15" s="30">
        <v>3.74484194223461</v>
      </c>
      <c r="G15" s="29">
        <v>3.69</v>
      </c>
    </row>
    <row r="16" spans="1:7" x14ac:dyDescent="0.2">
      <c r="A16" s="27" t="s">
        <v>1054</v>
      </c>
      <c r="B16" s="27" t="s">
        <v>1055</v>
      </c>
      <c r="C16" s="27" t="s">
        <v>873</v>
      </c>
      <c r="D16" s="31">
        <v>15</v>
      </c>
      <c r="E16" s="29">
        <v>155.61600000000001</v>
      </c>
      <c r="F16" s="30">
        <v>2.8462452193585301</v>
      </c>
      <c r="G16" s="29">
        <v>4.3498999999999999</v>
      </c>
    </row>
    <row r="17" spans="1:9" x14ac:dyDescent="0.2">
      <c r="A17" s="27" t="s">
        <v>1046</v>
      </c>
      <c r="B17" s="27" t="s">
        <v>1047</v>
      </c>
      <c r="C17" s="27" t="s">
        <v>873</v>
      </c>
      <c r="D17" s="31">
        <v>6</v>
      </c>
      <c r="E17" s="29">
        <v>62.466360000000002</v>
      </c>
      <c r="F17" s="30">
        <v>1.1425211965397399</v>
      </c>
      <c r="G17" s="29">
        <v>4.5949999999999998</v>
      </c>
    </row>
    <row r="18" spans="1:9" x14ac:dyDescent="0.2">
      <c r="A18" s="27" t="s">
        <v>1037</v>
      </c>
      <c r="B18" s="27" t="s">
        <v>1038</v>
      </c>
      <c r="C18" s="27" t="s">
        <v>34</v>
      </c>
      <c r="D18" s="31">
        <v>4</v>
      </c>
      <c r="E18" s="29">
        <v>40.668280000000003</v>
      </c>
      <c r="F18" s="30">
        <v>0.74383031005509703</v>
      </c>
      <c r="G18" s="29">
        <v>3.6349999999999998</v>
      </c>
    </row>
    <row r="19" spans="1:9" x14ac:dyDescent="0.2">
      <c r="A19" s="27" t="s">
        <v>1023</v>
      </c>
      <c r="B19" s="27" t="s">
        <v>1024</v>
      </c>
      <c r="C19" s="27" t="s">
        <v>34</v>
      </c>
      <c r="D19" s="31">
        <v>3</v>
      </c>
      <c r="E19" s="29">
        <v>39.73809</v>
      </c>
      <c r="F19" s="30">
        <v>0.72681696412283403</v>
      </c>
      <c r="G19" s="29">
        <v>4.3648999999999996</v>
      </c>
    </row>
    <row r="20" spans="1:9" x14ac:dyDescent="0.2">
      <c r="A20" s="27" t="s">
        <v>1027</v>
      </c>
      <c r="B20" s="27" t="s">
        <v>1028</v>
      </c>
      <c r="C20" s="27" t="s">
        <v>34</v>
      </c>
      <c r="D20" s="31">
        <v>3</v>
      </c>
      <c r="E20" s="29">
        <v>39.11835</v>
      </c>
      <c r="F20" s="30">
        <v>0.71548180570567099</v>
      </c>
      <c r="G20" s="29">
        <v>4.37</v>
      </c>
    </row>
    <row r="21" spans="1:9" x14ac:dyDescent="0.2">
      <c r="A21" s="27" t="s">
        <v>1039</v>
      </c>
      <c r="B21" s="27" t="s">
        <v>1040</v>
      </c>
      <c r="C21" s="27" t="s">
        <v>982</v>
      </c>
      <c r="D21" s="31">
        <v>3</v>
      </c>
      <c r="E21" s="29">
        <v>39.041969999999999</v>
      </c>
      <c r="F21" s="30">
        <v>0.71408480147824804</v>
      </c>
      <c r="G21" s="29">
        <v>4.8646000000000003</v>
      </c>
    </row>
    <row r="22" spans="1:9" x14ac:dyDescent="0.2">
      <c r="A22" s="27" t="s">
        <v>901</v>
      </c>
      <c r="B22" s="27" t="s">
        <v>902</v>
      </c>
      <c r="C22" s="27" t="s">
        <v>903</v>
      </c>
      <c r="D22" s="31">
        <v>1</v>
      </c>
      <c r="E22" s="29">
        <v>10.2295</v>
      </c>
      <c r="F22" s="30">
        <v>0.18709943367923601</v>
      </c>
      <c r="G22" s="29">
        <v>4.6848999999999998</v>
      </c>
    </row>
    <row r="23" spans="1:9" x14ac:dyDescent="0.2">
      <c r="A23" s="26" t="s">
        <v>35</v>
      </c>
      <c r="B23" s="26"/>
      <c r="C23" s="26"/>
      <c r="D23" s="32"/>
      <c r="E23" s="33">
        <f>SUM(E6:E22)</f>
        <v>4664.3846200000007</v>
      </c>
      <c r="F23" s="34">
        <f>SUM(F6:F22)</f>
        <v>85.312451328426718</v>
      </c>
      <c r="G23" s="33"/>
      <c r="H23" s="18"/>
      <c r="I23" s="18"/>
    </row>
    <row r="24" spans="1:9" x14ac:dyDescent="0.2">
      <c r="A24" s="27"/>
      <c r="B24" s="27"/>
      <c r="C24" s="27"/>
      <c r="D24" s="28"/>
      <c r="E24" s="29"/>
      <c r="F24" s="30"/>
      <c r="G24" s="29"/>
    </row>
    <row r="25" spans="1:9" x14ac:dyDescent="0.2">
      <c r="A25" s="26" t="s">
        <v>1065</v>
      </c>
      <c r="B25" s="27"/>
      <c r="C25" s="27"/>
      <c r="D25" s="28"/>
      <c r="E25" s="29"/>
      <c r="F25" s="30"/>
      <c r="G25" s="29"/>
    </row>
    <row r="26" spans="1:9" x14ac:dyDescent="0.2">
      <c r="A26" s="27" t="s">
        <v>1066</v>
      </c>
      <c r="B26" s="27" t="s">
        <v>1067</v>
      </c>
      <c r="C26" s="27" t="s">
        <v>34</v>
      </c>
      <c r="D26" s="31">
        <v>50</v>
      </c>
      <c r="E26" s="29">
        <v>511.33499999999998</v>
      </c>
      <c r="F26" s="30">
        <v>9.3524110582503894</v>
      </c>
      <c r="G26" s="29">
        <v>4.5349000000000004</v>
      </c>
    </row>
    <row r="27" spans="1:9" x14ac:dyDescent="0.2">
      <c r="A27" s="26" t="s">
        <v>35</v>
      </c>
      <c r="B27" s="26"/>
      <c r="C27" s="26"/>
      <c r="D27" s="32"/>
      <c r="E27" s="33">
        <f>SUM(E25:E26)</f>
        <v>511.33499999999998</v>
      </c>
      <c r="F27" s="34">
        <f>SUM(F25:F26)</f>
        <v>9.3524110582503894</v>
      </c>
      <c r="G27" s="33"/>
      <c r="H27" s="18"/>
      <c r="I27" s="18"/>
    </row>
    <row r="28" spans="1:9" x14ac:dyDescent="0.2">
      <c r="A28" s="27"/>
      <c r="B28" s="27"/>
      <c r="C28" s="27"/>
      <c r="D28" s="28"/>
      <c r="E28" s="29"/>
      <c r="F28" s="30"/>
      <c r="G28" s="29"/>
    </row>
    <row r="29" spans="1:9" x14ac:dyDescent="0.2">
      <c r="A29" s="26" t="s">
        <v>37</v>
      </c>
      <c r="B29" s="26"/>
      <c r="C29" s="26"/>
      <c r="D29" s="32"/>
      <c r="E29" s="33">
        <f>E23+E27</f>
        <v>5175.7196200000008</v>
      </c>
      <c r="F29" s="34">
        <f>F23+F27</f>
        <v>94.6648623866771</v>
      </c>
      <c r="G29" s="33"/>
      <c r="H29" s="18"/>
      <c r="I29" s="18"/>
    </row>
    <row r="30" spans="1:9" x14ac:dyDescent="0.2">
      <c r="A30" s="26"/>
      <c r="B30" s="26"/>
      <c r="C30" s="26"/>
      <c r="D30" s="32"/>
      <c r="E30" s="33"/>
      <c r="F30" s="34"/>
      <c r="G30" s="33"/>
      <c r="H30" s="18"/>
      <c r="I30" s="18"/>
    </row>
    <row r="31" spans="1:9" x14ac:dyDescent="0.2">
      <c r="A31" s="26" t="s">
        <v>39</v>
      </c>
      <c r="B31" s="26"/>
      <c r="C31" s="26"/>
      <c r="D31" s="32"/>
      <c r="E31" s="33">
        <f>E33-(E23+E27)</f>
        <v>291.6940427999989</v>
      </c>
      <c r="F31" s="34">
        <f>F33-(F23+F27)</f>
        <v>5.3351376133228996</v>
      </c>
      <c r="G31" s="33"/>
      <c r="H31" s="18"/>
      <c r="I31" s="18"/>
    </row>
    <row r="32" spans="1:9" x14ac:dyDescent="0.2">
      <c r="A32" s="26"/>
      <c r="B32" s="26"/>
      <c r="C32" s="26"/>
      <c r="D32" s="32"/>
      <c r="E32" s="33"/>
      <c r="F32" s="34"/>
      <c r="G32" s="33"/>
      <c r="H32" s="18"/>
      <c r="I32" s="18"/>
    </row>
    <row r="33" spans="1:9" x14ac:dyDescent="0.2">
      <c r="A33" s="35" t="s">
        <v>38</v>
      </c>
      <c r="B33" s="35"/>
      <c r="C33" s="35"/>
      <c r="D33" s="36"/>
      <c r="E33" s="37">
        <v>5467.4136627999997</v>
      </c>
      <c r="F33" s="38">
        <v>100</v>
      </c>
      <c r="G33" s="37"/>
      <c r="H33" s="18"/>
      <c r="I33" s="18"/>
    </row>
    <row r="35" spans="1:9" x14ac:dyDescent="0.2">
      <c r="A35" s="18" t="s">
        <v>40</v>
      </c>
    </row>
    <row r="37" spans="1:9" x14ac:dyDescent="0.2">
      <c r="A37" s="18" t="s">
        <v>41</v>
      </c>
    </row>
    <row r="38" spans="1:9" x14ac:dyDescent="0.2">
      <c r="A38" s="18" t="s">
        <v>42</v>
      </c>
    </row>
    <row r="39" spans="1:9" x14ac:dyDescent="0.2">
      <c r="A39" s="18" t="s">
        <v>43</v>
      </c>
      <c r="B39" s="18"/>
      <c r="C39" s="39" t="s">
        <v>45</v>
      </c>
      <c r="D39" s="19" t="s">
        <v>44</v>
      </c>
    </row>
    <row r="40" spans="1:9" x14ac:dyDescent="0.2">
      <c r="A40" s="9" t="s">
        <v>68</v>
      </c>
      <c r="C40" s="40">
        <v>12.4863</v>
      </c>
      <c r="D40" s="40">
        <v>12.795299999999999</v>
      </c>
    </row>
    <row r="41" spans="1:9" x14ac:dyDescent="0.2">
      <c r="A41" s="9" t="s">
        <v>1033</v>
      </c>
      <c r="C41" s="40">
        <v>10.738</v>
      </c>
      <c r="D41" s="40">
        <v>11.006</v>
      </c>
    </row>
    <row r="42" spans="1:9" x14ac:dyDescent="0.2">
      <c r="A42" s="9" t="s">
        <v>70</v>
      </c>
      <c r="C42" s="40">
        <v>10.4961</v>
      </c>
      <c r="D42" s="40">
        <v>10.3748</v>
      </c>
    </row>
    <row r="43" spans="1:9" x14ac:dyDescent="0.2">
      <c r="A43" s="9" t="s">
        <v>71</v>
      </c>
      <c r="C43" s="40">
        <v>12.6183</v>
      </c>
      <c r="D43" s="40">
        <v>12.9305</v>
      </c>
    </row>
    <row r="44" spans="1:9" x14ac:dyDescent="0.2">
      <c r="A44" s="9" t="s">
        <v>75</v>
      </c>
      <c r="C44" s="40">
        <v>10.7525</v>
      </c>
      <c r="D44" s="40">
        <v>11.0184</v>
      </c>
    </row>
    <row r="45" spans="1:9" x14ac:dyDescent="0.2">
      <c r="A45" s="9" t="s">
        <v>73</v>
      </c>
      <c r="C45" s="40">
        <v>10.523099999999999</v>
      </c>
      <c r="D45" s="40">
        <v>10.401300000000001</v>
      </c>
    </row>
    <row r="47" spans="1:9" x14ac:dyDescent="0.2">
      <c r="A47" s="18" t="s">
        <v>47</v>
      </c>
    </row>
    <row r="48" spans="1:9" x14ac:dyDescent="0.2">
      <c r="A48" s="74" t="s">
        <v>65</v>
      </c>
      <c r="B48" s="75"/>
      <c r="C48" s="43" t="s">
        <v>66</v>
      </c>
    </row>
    <row r="49" spans="1:5" x14ac:dyDescent="0.2">
      <c r="A49" s="70" t="s">
        <v>70</v>
      </c>
      <c r="B49" s="71"/>
      <c r="C49" s="44">
        <v>0.38</v>
      </c>
    </row>
    <row r="50" spans="1:5" x14ac:dyDescent="0.2">
      <c r="A50" s="70" t="s">
        <v>73</v>
      </c>
      <c r="B50" s="71"/>
      <c r="C50" s="44">
        <v>0.38</v>
      </c>
    </row>
    <row r="51" spans="1:5" x14ac:dyDescent="0.2">
      <c r="A51" s="9" t="s">
        <v>67</v>
      </c>
    </row>
    <row r="52" spans="1:5" x14ac:dyDescent="0.2">
      <c r="A52" s="9" t="s">
        <v>46</v>
      </c>
    </row>
    <row r="54" spans="1:5" x14ac:dyDescent="0.2">
      <c r="A54" s="18" t="s">
        <v>816</v>
      </c>
      <c r="D54" s="42">
        <v>0.51189600586301398</v>
      </c>
      <c r="E54" s="13" t="s">
        <v>49</v>
      </c>
    </row>
    <row r="56" spans="1:5" x14ac:dyDescent="0.2">
      <c r="A56" s="18" t="s">
        <v>727</v>
      </c>
      <c r="D56" s="41" t="s">
        <v>48</v>
      </c>
    </row>
    <row r="58" spans="1:5" x14ac:dyDescent="0.2">
      <c r="A58" s="18" t="s">
        <v>817</v>
      </c>
    </row>
    <row r="59" spans="1:5" x14ac:dyDescent="0.2">
      <c r="A59" s="50" t="s">
        <v>51</v>
      </c>
    </row>
  </sheetData>
  <mergeCells count="4">
    <mergeCell ref="A1:G1"/>
    <mergeCell ref="A48:B48"/>
    <mergeCell ref="A49:B49"/>
    <mergeCell ref="A50:B50"/>
  </mergeCells>
  <conditionalFormatting sqref="F2:F3 F5:F65534">
    <cfRule type="cellIs" dxfId="65" priority="1" stopIfTrue="1" operator="between">
      <formula>0.009</formula>
      <formula>-0.009</formula>
    </cfRule>
  </conditionalFormatting>
  <hyperlinks>
    <hyperlink ref="A59" r:id="rId1" tooltip="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4"/>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2" t="s">
        <v>1068</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963</v>
      </c>
      <c r="B7" s="27" t="s">
        <v>964</v>
      </c>
      <c r="C7" s="27" t="s">
        <v>926</v>
      </c>
      <c r="D7" s="31">
        <v>31</v>
      </c>
      <c r="E7" s="29">
        <v>311.83861000000002</v>
      </c>
      <c r="F7" s="30">
        <v>9.3914612836000799</v>
      </c>
      <c r="G7" s="29">
        <v>3.3250999999999999</v>
      </c>
    </row>
    <row r="8" spans="1:9" x14ac:dyDescent="0.2">
      <c r="A8" s="27" t="s">
        <v>959</v>
      </c>
      <c r="B8" s="27" t="s">
        <v>960</v>
      </c>
      <c r="C8" s="27" t="s">
        <v>34</v>
      </c>
      <c r="D8" s="31">
        <v>31</v>
      </c>
      <c r="E8" s="29">
        <v>310.51832000000002</v>
      </c>
      <c r="F8" s="30">
        <v>9.3516988808042107</v>
      </c>
      <c r="G8" s="29">
        <v>3.4344000000000001</v>
      </c>
    </row>
    <row r="9" spans="1:9" x14ac:dyDescent="0.2">
      <c r="A9" s="27" t="s">
        <v>929</v>
      </c>
      <c r="B9" s="27" t="s">
        <v>930</v>
      </c>
      <c r="C9" s="27" t="s">
        <v>34</v>
      </c>
      <c r="D9" s="31">
        <v>30</v>
      </c>
      <c r="E9" s="29">
        <v>301.14030000000002</v>
      </c>
      <c r="F9" s="30">
        <v>9.0692665298300099</v>
      </c>
      <c r="G9" s="29">
        <v>3.5849000000000002</v>
      </c>
    </row>
    <row r="10" spans="1:9" x14ac:dyDescent="0.2">
      <c r="A10" s="27" t="s">
        <v>1069</v>
      </c>
      <c r="B10" s="27" t="s">
        <v>1070</v>
      </c>
      <c r="C10" s="27" t="s">
        <v>926</v>
      </c>
      <c r="D10" s="31">
        <v>26</v>
      </c>
      <c r="E10" s="29">
        <v>260.73865999999998</v>
      </c>
      <c r="F10" s="30">
        <v>7.8525139351017703</v>
      </c>
      <c r="G10" s="29">
        <v>3.9194</v>
      </c>
    </row>
    <row r="11" spans="1:9" x14ac:dyDescent="0.2">
      <c r="A11" s="27" t="s">
        <v>1071</v>
      </c>
      <c r="B11" s="27" t="s">
        <v>1072</v>
      </c>
      <c r="C11" s="27" t="s">
        <v>34</v>
      </c>
      <c r="D11" s="31">
        <v>20</v>
      </c>
      <c r="E11" s="29">
        <v>199.3852</v>
      </c>
      <c r="F11" s="30">
        <v>6.0047676146416196</v>
      </c>
      <c r="G11" s="29">
        <v>3.6305000000000001</v>
      </c>
    </row>
    <row r="12" spans="1:9" x14ac:dyDescent="0.2">
      <c r="A12" s="27" t="s">
        <v>1073</v>
      </c>
      <c r="B12" s="27" t="s">
        <v>1074</v>
      </c>
      <c r="C12" s="27" t="s">
        <v>926</v>
      </c>
      <c r="D12" s="31">
        <v>19</v>
      </c>
      <c r="E12" s="29">
        <v>190.24889999999999</v>
      </c>
      <c r="F12" s="30">
        <v>5.7296150037274201</v>
      </c>
      <c r="G12" s="29">
        <v>3.3412000000000002</v>
      </c>
    </row>
    <row r="13" spans="1:9" x14ac:dyDescent="0.2">
      <c r="A13" s="27" t="s">
        <v>1075</v>
      </c>
      <c r="B13" s="27" t="s">
        <v>1076</v>
      </c>
      <c r="C13" s="27" t="s">
        <v>34</v>
      </c>
      <c r="D13" s="31">
        <v>19</v>
      </c>
      <c r="E13" s="29">
        <v>190.07391000000001</v>
      </c>
      <c r="F13" s="30">
        <v>5.7243449321028104</v>
      </c>
      <c r="G13" s="29">
        <v>3.3572000000000002</v>
      </c>
    </row>
    <row r="14" spans="1:9" x14ac:dyDescent="0.2">
      <c r="A14" s="26" t="s">
        <v>35</v>
      </c>
      <c r="B14" s="26"/>
      <c r="C14" s="26"/>
      <c r="D14" s="32"/>
      <c r="E14" s="33">
        <f>SUM(E6:E13)</f>
        <v>1763.9439</v>
      </c>
      <c r="F14" s="34">
        <f>SUM(F6:F13)</f>
        <v>53.123668179807922</v>
      </c>
      <c r="G14" s="33"/>
      <c r="H14" s="18"/>
      <c r="I14" s="18"/>
    </row>
    <row r="15" spans="1:9" x14ac:dyDescent="0.2">
      <c r="A15" s="27"/>
      <c r="B15" s="27"/>
      <c r="C15" s="27"/>
      <c r="D15" s="28"/>
      <c r="E15" s="29"/>
      <c r="F15" s="30"/>
      <c r="G15" s="29"/>
    </row>
    <row r="16" spans="1:9" x14ac:dyDescent="0.2">
      <c r="A16" s="26" t="s">
        <v>1065</v>
      </c>
      <c r="B16" s="27"/>
      <c r="C16" s="27"/>
      <c r="D16" s="28"/>
      <c r="E16" s="29"/>
      <c r="F16" s="30"/>
      <c r="G16" s="29"/>
    </row>
    <row r="17" spans="1:9" x14ac:dyDescent="0.2">
      <c r="A17" s="27" t="s">
        <v>1077</v>
      </c>
      <c r="B17" s="27" t="s">
        <v>1078</v>
      </c>
      <c r="C17" s="27" t="s">
        <v>34</v>
      </c>
      <c r="D17" s="31">
        <v>3</v>
      </c>
      <c r="E17" s="29">
        <v>30.10314</v>
      </c>
      <c r="F17" s="30">
        <v>0.90659868521345999</v>
      </c>
      <c r="G17" s="29">
        <v>4.0701000000000001</v>
      </c>
    </row>
    <row r="18" spans="1:9" x14ac:dyDescent="0.2">
      <c r="A18" s="26" t="s">
        <v>35</v>
      </c>
      <c r="B18" s="26"/>
      <c r="C18" s="26"/>
      <c r="D18" s="32"/>
      <c r="E18" s="33">
        <f>SUM(E16:E17)</f>
        <v>30.10314</v>
      </c>
      <c r="F18" s="34">
        <f>SUM(F16:F17)</f>
        <v>0.90659868521345999</v>
      </c>
      <c r="G18" s="33"/>
      <c r="H18" s="18"/>
      <c r="I18" s="18"/>
    </row>
    <row r="19" spans="1:9" x14ac:dyDescent="0.2">
      <c r="A19" s="27"/>
      <c r="B19" s="27"/>
      <c r="C19" s="27"/>
      <c r="D19" s="28"/>
      <c r="E19" s="29"/>
      <c r="F19" s="30"/>
      <c r="G19" s="29"/>
    </row>
    <row r="20" spans="1:9" x14ac:dyDescent="0.2">
      <c r="A20" s="26" t="s">
        <v>52</v>
      </c>
      <c r="B20" s="27"/>
      <c r="C20" s="27"/>
      <c r="D20" s="28"/>
      <c r="E20" s="29"/>
      <c r="F20" s="30"/>
      <c r="G20" s="29"/>
    </row>
    <row r="21" spans="1:9" x14ac:dyDescent="0.2">
      <c r="A21" s="26" t="s">
        <v>784</v>
      </c>
      <c r="B21" s="27"/>
      <c r="C21" s="27"/>
      <c r="D21" s="28"/>
      <c r="E21" s="29"/>
      <c r="F21" s="30"/>
      <c r="G21" s="29"/>
    </row>
    <row r="22" spans="1:9" x14ac:dyDescent="0.2">
      <c r="A22" s="27" t="s">
        <v>785</v>
      </c>
      <c r="B22" s="27" t="s">
        <v>786</v>
      </c>
      <c r="C22" s="27" t="s">
        <v>63</v>
      </c>
      <c r="D22" s="31">
        <v>650000</v>
      </c>
      <c r="E22" s="29">
        <v>648.06039999999996</v>
      </c>
      <c r="F22" s="30">
        <v>19.517256557917499</v>
      </c>
      <c r="G22" s="29">
        <v>3.3109000000000002</v>
      </c>
    </row>
    <row r="23" spans="1:9" x14ac:dyDescent="0.2">
      <c r="A23" s="26" t="s">
        <v>35</v>
      </c>
      <c r="B23" s="26"/>
      <c r="C23" s="26"/>
      <c r="D23" s="32"/>
      <c r="E23" s="33">
        <f>SUM(E21:E22)</f>
        <v>648.06039999999996</v>
      </c>
      <c r="F23" s="34">
        <f>SUM(F21:F22)</f>
        <v>19.517256557917499</v>
      </c>
      <c r="G23" s="33"/>
      <c r="H23" s="18"/>
      <c r="I23" s="18"/>
    </row>
    <row r="24" spans="1:9" x14ac:dyDescent="0.2">
      <c r="A24" s="27"/>
      <c r="B24" s="27"/>
      <c r="C24" s="27"/>
      <c r="D24" s="28"/>
      <c r="E24" s="29"/>
      <c r="F24" s="30"/>
      <c r="G24" s="29"/>
    </row>
    <row r="25" spans="1:9" x14ac:dyDescent="0.2">
      <c r="A25" s="26" t="s">
        <v>37</v>
      </c>
      <c r="B25" s="26"/>
      <c r="C25" s="26"/>
      <c r="D25" s="32"/>
      <c r="E25" s="33">
        <f>E14+E18+E23</f>
        <v>2442.1074399999998</v>
      </c>
      <c r="F25" s="34">
        <f>F14+F18+F23</f>
        <v>73.54752342293888</v>
      </c>
      <c r="G25" s="33"/>
      <c r="H25" s="18"/>
      <c r="I25" s="18"/>
    </row>
    <row r="26" spans="1:9" x14ac:dyDescent="0.2">
      <c r="A26" s="26"/>
      <c r="B26" s="26"/>
      <c r="C26" s="26"/>
      <c r="D26" s="32"/>
      <c r="E26" s="33"/>
      <c r="F26" s="34"/>
      <c r="G26" s="33"/>
      <c r="H26" s="18"/>
      <c r="I26" s="18"/>
    </row>
    <row r="27" spans="1:9" x14ac:dyDescent="0.2">
      <c r="A27" s="26" t="s">
        <v>39</v>
      </c>
      <c r="B27" s="26"/>
      <c r="C27" s="26"/>
      <c r="D27" s="32"/>
      <c r="E27" s="33">
        <f>E29-(E14+E18+E23)</f>
        <v>878.34079040000006</v>
      </c>
      <c r="F27" s="34">
        <f>F29-(F14+F18+F23)</f>
        <v>26.45247657706112</v>
      </c>
      <c r="G27" s="33"/>
      <c r="H27" s="18"/>
      <c r="I27" s="18"/>
    </row>
    <row r="28" spans="1:9" x14ac:dyDescent="0.2">
      <c r="A28" s="26"/>
      <c r="B28" s="26"/>
      <c r="C28" s="26"/>
      <c r="D28" s="32"/>
      <c r="E28" s="33"/>
      <c r="F28" s="34"/>
      <c r="G28" s="33"/>
      <c r="H28" s="18"/>
      <c r="I28" s="18"/>
    </row>
    <row r="29" spans="1:9" x14ac:dyDescent="0.2">
      <c r="A29" s="35" t="s">
        <v>38</v>
      </c>
      <c r="B29" s="35"/>
      <c r="C29" s="35"/>
      <c r="D29" s="36"/>
      <c r="E29" s="37">
        <v>3320.4482303999998</v>
      </c>
      <c r="F29" s="38">
        <v>100</v>
      </c>
      <c r="G29" s="37"/>
      <c r="H29" s="18"/>
      <c r="I29" s="18"/>
    </row>
    <row r="31" spans="1:9" x14ac:dyDescent="0.2">
      <c r="A31" s="18" t="s">
        <v>40</v>
      </c>
    </row>
    <row r="33" spans="1:4" x14ac:dyDescent="0.2">
      <c r="A33" s="18" t="s">
        <v>41</v>
      </c>
    </row>
    <row r="34" spans="1:4" x14ac:dyDescent="0.2">
      <c r="A34" s="18" t="s">
        <v>42</v>
      </c>
    </row>
    <row r="35" spans="1:4" x14ac:dyDescent="0.2">
      <c r="A35" s="18" t="s">
        <v>43</v>
      </c>
      <c r="B35" s="18"/>
      <c r="C35" s="39" t="s">
        <v>45</v>
      </c>
      <c r="D35" s="19" t="s">
        <v>44</v>
      </c>
    </row>
    <row r="36" spans="1:4" x14ac:dyDescent="0.2">
      <c r="A36" s="9" t="s">
        <v>68</v>
      </c>
      <c r="C36" s="40">
        <v>12.349299999999999</v>
      </c>
      <c r="D36" s="40">
        <v>12.592000000000001</v>
      </c>
    </row>
    <row r="37" spans="1:4" x14ac:dyDescent="0.2">
      <c r="A37" s="9" t="s">
        <v>1033</v>
      </c>
      <c r="C37" s="40">
        <v>10.627800000000001</v>
      </c>
      <c r="D37" s="40">
        <v>10.836600000000001</v>
      </c>
    </row>
    <row r="38" spans="1:4" x14ac:dyDescent="0.2">
      <c r="A38" s="9" t="s">
        <v>70</v>
      </c>
      <c r="C38" s="40">
        <v>10.4031</v>
      </c>
      <c r="D38" s="40">
        <v>10.2188</v>
      </c>
    </row>
    <row r="39" spans="1:4" x14ac:dyDescent="0.2">
      <c r="A39" s="9" t="s">
        <v>71</v>
      </c>
      <c r="C39" s="40">
        <v>12.473000000000001</v>
      </c>
      <c r="D39" s="40">
        <v>12.7181</v>
      </c>
    </row>
    <row r="40" spans="1:4" x14ac:dyDescent="0.2">
      <c r="A40" s="9" t="s">
        <v>73</v>
      </c>
      <c r="C40" s="40">
        <v>10.5238</v>
      </c>
      <c r="D40" s="40">
        <v>10.341799999999999</v>
      </c>
    </row>
    <row r="42" spans="1:4" x14ac:dyDescent="0.2">
      <c r="A42" s="18" t="s">
        <v>47</v>
      </c>
    </row>
    <row r="43" spans="1:4" x14ac:dyDescent="0.2">
      <c r="A43" s="74" t="s">
        <v>65</v>
      </c>
      <c r="B43" s="75"/>
      <c r="C43" s="43" t="s">
        <v>66</v>
      </c>
    </row>
    <row r="44" spans="1:4" x14ac:dyDescent="0.2">
      <c r="A44" s="70" t="s">
        <v>70</v>
      </c>
      <c r="B44" s="71"/>
      <c r="C44" s="44">
        <v>0.38500000000000001</v>
      </c>
    </row>
    <row r="45" spans="1:4" x14ac:dyDescent="0.2">
      <c r="A45" s="70" t="s">
        <v>73</v>
      </c>
      <c r="B45" s="71"/>
      <c r="C45" s="44">
        <v>0.38500000000000001</v>
      </c>
    </row>
    <row r="46" spans="1:4" x14ac:dyDescent="0.2">
      <c r="A46" s="9" t="s">
        <v>67</v>
      </c>
    </row>
    <row r="47" spans="1:4" x14ac:dyDescent="0.2">
      <c r="A47" s="9" t="s">
        <v>46</v>
      </c>
    </row>
    <row r="49" spans="1:5" x14ac:dyDescent="0.2">
      <c r="A49" s="18" t="s">
        <v>816</v>
      </c>
      <c r="D49" s="42">
        <v>5.2207090219178097E-2</v>
      </c>
      <c r="E49" s="13" t="s">
        <v>49</v>
      </c>
    </row>
    <row r="51" spans="1:5" x14ac:dyDescent="0.2">
      <c r="A51" s="18" t="s">
        <v>727</v>
      </c>
      <c r="D51" s="41" t="s">
        <v>48</v>
      </c>
    </row>
    <row r="53" spans="1:5" x14ac:dyDescent="0.2">
      <c r="A53" s="18" t="s">
        <v>817</v>
      </c>
    </row>
    <row r="54" spans="1:5" x14ac:dyDescent="0.2">
      <c r="A54" s="50" t="s">
        <v>51</v>
      </c>
    </row>
  </sheetData>
  <mergeCells count="4">
    <mergeCell ref="A1:G1"/>
    <mergeCell ref="A43:B43"/>
    <mergeCell ref="A44:B44"/>
    <mergeCell ref="A45:B45"/>
  </mergeCells>
  <conditionalFormatting sqref="F2:F3 F5:F65534">
    <cfRule type="cellIs" dxfId="64" priority="1" stopIfTrue="1" operator="between">
      <formula>0.009</formula>
      <formula>-0.009</formula>
    </cfRule>
  </conditionalFormatting>
  <hyperlinks>
    <hyperlink ref="A54" r:id="rId1" tooltip="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0"/>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2" t="s">
        <v>1079</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959</v>
      </c>
      <c r="B7" s="27" t="s">
        <v>960</v>
      </c>
      <c r="C7" s="27" t="s">
        <v>34</v>
      </c>
      <c r="D7" s="31">
        <v>44</v>
      </c>
      <c r="E7" s="29">
        <v>440.73568</v>
      </c>
      <c r="F7" s="30">
        <v>10.636876914719799</v>
      </c>
      <c r="G7" s="29">
        <v>3.4344000000000001</v>
      </c>
    </row>
    <row r="8" spans="1:9" x14ac:dyDescent="0.2">
      <c r="A8" s="27" t="s">
        <v>1073</v>
      </c>
      <c r="B8" s="27" t="s">
        <v>1074</v>
      </c>
      <c r="C8" s="27" t="s">
        <v>926</v>
      </c>
      <c r="D8" s="31">
        <v>41</v>
      </c>
      <c r="E8" s="29">
        <v>410.53710000000001</v>
      </c>
      <c r="F8" s="30">
        <v>9.9080532840591307</v>
      </c>
      <c r="G8" s="29">
        <v>3.3412000000000002</v>
      </c>
    </row>
    <row r="9" spans="1:9" x14ac:dyDescent="0.2">
      <c r="A9" s="27" t="s">
        <v>1075</v>
      </c>
      <c r="B9" s="27" t="s">
        <v>1076</v>
      </c>
      <c r="C9" s="27" t="s">
        <v>34</v>
      </c>
      <c r="D9" s="31">
        <v>41</v>
      </c>
      <c r="E9" s="29">
        <v>410.15949000000001</v>
      </c>
      <c r="F9" s="30">
        <v>9.8989399055103995</v>
      </c>
      <c r="G9" s="29">
        <v>3.3572000000000002</v>
      </c>
    </row>
    <row r="10" spans="1:9" x14ac:dyDescent="0.2">
      <c r="A10" s="27" t="s">
        <v>929</v>
      </c>
      <c r="B10" s="27" t="s">
        <v>930</v>
      </c>
      <c r="C10" s="27" t="s">
        <v>34</v>
      </c>
      <c r="D10" s="31">
        <v>40</v>
      </c>
      <c r="E10" s="29">
        <v>401.5204</v>
      </c>
      <c r="F10" s="30">
        <v>9.6904409317373101</v>
      </c>
      <c r="G10" s="29">
        <v>3.5849000000000002</v>
      </c>
    </row>
    <row r="11" spans="1:9" x14ac:dyDescent="0.2">
      <c r="A11" s="27" t="s">
        <v>1071</v>
      </c>
      <c r="B11" s="27" t="s">
        <v>1072</v>
      </c>
      <c r="C11" s="27" t="s">
        <v>34</v>
      </c>
      <c r="D11" s="31">
        <v>33</v>
      </c>
      <c r="E11" s="29">
        <v>328.98558000000003</v>
      </c>
      <c r="F11" s="30">
        <v>7.9398589221950804</v>
      </c>
      <c r="G11" s="29">
        <v>3.6305000000000001</v>
      </c>
    </row>
    <row r="12" spans="1:9" x14ac:dyDescent="0.2">
      <c r="A12" s="26" t="s">
        <v>35</v>
      </c>
      <c r="B12" s="26"/>
      <c r="C12" s="26"/>
      <c r="D12" s="32"/>
      <c r="E12" s="33">
        <f>SUM(E6:E11)</f>
        <v>1991.9382500000002</v>
      </c>
      <c r="F12" s="34">
        <f>SUM(F6:F11)</f>
        <v>48.074169958221717</v>
      </c>
      <c r="G12" s="33"/>
      <c r="H12" s="18"/>
      <c r="I12" s="18"/>
    </row>
    <row r="13" spans="1:9" x14ac:dyDescent="0.2">
      <c r="A13" s="27"/>
      <c r="B13" s="27"/>
      <c r="C13" s="27"/>
      <c r="D13" s="28"/>
      <c r="E13" s="29"/>
      <c r="F13" s="30"/>
      <c r="G13" s="29"/>
    </row>
    <row r="14" spans="1:9" x14ac:dyDescent="0.2">
      <c r="A14" s="26" t="s">
        <v>1065</v>
      </c>
      <c r="B14" s="27"/>
      <c r="C14" s="27"/>
      <c r="D14" s="28"/>
      <c r="E14" s="29"/>
      <c r="F14" s="30"/>
      <c r="G14" s="29"/>
    </row>
    <row r="15" spans="1:9" x14ac:dyDescent="0.2">
      <c r="A15" s="27" t="s">
        <v>1077</v>
      </c>
      <c r="B15" s="27" t="s">
        <v>1078</v>
      </c>
      <c r="C15" s="27" t="s">
        <v>34</v>
      </c>
      <c r="D15" s="31">
        <v>34</v>
      </c>
      <c r="E15" s="29">
        <v>341.16892000000001</v>
      </c>
      <c r="F15" s="30">
        <v>8.2338961283277605</v>
      </c>
      <c r="G15" s="29">
        <v>4.0701000000000001</v>
      </c>
    </row>
    <row r="16" spans="1:9" x14ac:dyDescent="0.2">
      <c r="A16" s="26" t="s">
        <v>35</v>
      </c>
      <c r="B16" s="26"/>
      <c r="C16" s="26"/>
      <c r="D16" s="32"/>
      <c r="E16" s="33">
        <f>SUM(E14:E15)</f>
        <v>341.16892000000001</v>
      </c>
      <c r="F16" s="34">
        <f>SUM(F14:F15)</f>
        <v>8.2338961283277605</v>
      </c>
      <c r="G16" s="33"/>
      <c r="H16" s="18"/>
      <c r="I16" s="18"/>
    </row>
    <row r="17" spans="1:9" x14ac:dyDescent="0.2">
      <c r="A17" s="27"/>
      <c r="B17" s="27"/>
      <c r="C17" s="27"/>
      <c r="D17" s="28"/>
      <c r="E17" s="29"/>
      <c r="F17" s="30"/>
      <c r="G17" s="29"/>
    </row>
    <row r="18" spans="1:9" x14ac:dyDescent="0.2">
      <c r="A18" s="26" t="s">
        <v>52</v>
      </c>
      <c r="B18" s="27"/>
      <c r="C18" s="27"/>
      <c r="D18" s="28"/>
      <c r="E18" s="29"/>
      <c r="F18" s="30"/>
      <c r="G18" s="29"/>
    </row>
    <row r="19" spans="1:9" x14ac:dyDescent="0.2">
      <c r="A19" s="26" t="s">
        <v>784</v>
      </c>
      <c r="B19" s="27"/>
      <c r="C19" s="27"/>
      <c r="D19" s="28"/>
      <c r="E19" s="29"/>
      <c r="F19" s="30"/>
      <c r="G19" s="29"/>
    </row>
    <row r="20" spans="1:9" x14ac:dyDescent="0.2">
      <c r="A20" s="27" t="s">
        <v>785</v>
      </c>
      <c r="B20" s="27" t="s">
        <v>786</v>
      </c>
      <c r="C20" s="27" t="s">
        <v>63</v>
      </c>
      <c r="D20" s="31">
        <v>550000</v>
      </c>
      <c r="E20" s="29">
        <v>548.35879999999997</v>
      </c>
      <c r="F20" s="30">
        <v>13.234292854854599</v>
      </c>
      <c r="G20" s="29">
        <v>3.3109000000000002</v>
      </c>
    </row>
    <row r="21" spans="1:9" x14ac:dyDescent="0.2">
      <c r="A21" s="26" t="s">
        <v>35</v>
      </c>
      <c r="B21" s="26"/>
      <c r="C21" s="26"/>
      <c r="D21" s="32"/>
      <c r="E21" s="33">
        <f>SUM(E19:E20)</f>
        <v>548.35879999999997</v>
      </c>
      <c r="F21" s="34">
        <f>SUM(F19:F20)</f>
        <v>13.234292854854599</v>
      </c>
      <c r="G21" s="33"/>
      <c r="H21" s="18"/>
      <c r="I21" s="18"/>
    </row>
    <row r="22" spans="1:9" x14ac:dyDescent="0.2">
      <c r="A22" s="27"/>
      <c r="B22" s="27"/>
      <c r="C22" s="27"/>
      <c r="D22" s="28"/>
      <c r="E22" s="29"/>
      <c r="F22" s="30"/>
      <c r="G22" s="29"/>
    </row>
    <row r="23" spans="1:9" x14ac:dyDescent="0.2">
      <c r="A23" s="26" t="s">
        <v>37</v>
      </c>
      <c r="B23" s="26"/>
      <c r="C23" s="26"/>
      <c r="D23" s="32"/>
      <c r="E23" s="33">
        <f>E12+E16+E21</f>
        <v>2881.4659700000002</v>
      </c>
      <c r="F23" s="34">
        <f>F12+F16+F21</f>
        <v>69.542358941404075</v>
      </c>
      <c r="G23" s="33"/>
      <c r="H23" s="18"/>
      <c r="I23" s="18"/>
    </row>
    <row r="24" spans="1:9" x14ac:dyDescent="0.2">
      <c r="A24" s="26"/>
      <c r="B24" s="26"/>
      <c r="C24" s="26"/>
      <c r="D24" s="32"/>
      <c r="E24" s="33"/>
      <c r="F24" s="34"/>
      <c r="G24" s="33"/>
      <c r="H24" s="18"/>
      <c r="I24" s="18"/>
    </row>
    <row r="25" spans="1:9" x14ac:dyDescent="0.2">
      <c r="A25" s="26" t="s">
        <v>39</v>
      </c>
      <c r="B25" s="26"/>
      <c r="C25" s="26"/>
      <c r="D25" s="32"/>
      <c r="E25" s="33">
        <f>E27-(E12+E16+E21)</f>
        <v>1262.0028652000001</v>
      </c>
      <c r="F25" s="34">
        <f>F27-(F12+F16+F21)</f>
        <v>30.457641058595925</v>
      </c>
      <c r="G25" s="33"/>
      <c r="H25" s="18"/>
      <c r="I25" s="18"/>
    </row>
    <row r="26" spans="1:9" x14ac:dyDescent="0.2">
      <c r="A26" s="26"/>
      <c r="B26" s="26"/>
      <c r="C26" s="26"/>
      <c r="D26" s="32"/>
      <c r="E26" s="33"/>
      <c r="F26" s="34"/>
      <c r="G26" s="33"/>
      <c r="H26" s="18"/>
      <c r="I26" s="18"/>
    </row>
    <row r="27" spans="1:9" x14ac:dyDescent="0.2">
      <c r="A27" s="35" t="s">
        <v>38</v>
      </c>
      <c r="B27" s="35"/>
      <c r="C27" s="35"/>
      <c r="D27" s="36"/>
      <c r="E27" s="37">
        <v>4143.4688352000003</v>
      </c>
      <c r="F27" s="38">
        <v>100</v>
      </c>
      <c r="G27" s="37"/>
      <c r="H27" s="18"/>
      <c r="I27" s="18"/>
    </row>
    <row r="29" spans="1:9" x14ac:dyDescent="0.2">
      <c r="A29" s="18" t="s">
        <v>40</v>
      </c>
    </row>
    <row r="31" spans="1:9" x14ac:dyDescent="0.2">
      <c r="A31" s="18" t="s">
        <v>41</v>
      </c>
    </row>
    <row r="32" spans="1:9" x14ac:dyDescent="0.2">
      <c r="A32" s="18" t="s">
        <v>42</v>
      </c>
    </row>
    <row r="33" spans="1:5" x14ac:dyDescent="0.2">
      <c r="A33" s="18" t="s">
        <v>43</v>
      </c>
      <c r="B33" s="18"/>
      <c r="C33" s="39" t="s">
        <v>45</v>
      </c>
      <c r="D33" s="19" t="s">
        <v>44</v>
      </c>
    </row>
    <row r="34" spans="1:5" x14ac:dyDescent="0.2">
      <c r="A34" s="9" t="s">
        <v>68</v>
      </c>
      <c r="C34" s="40">
        <v>11.735900000000001</v>
      </c>
      <c r="D34" s="40">
        <v>11.976900000000001</v>
      </c>
    </row>
    <row r="35" spans="1:5" x14ac:dyDescent="0.2">
      <c r="A35" s="9" t="s">
        <v>1033</v>
      </c>
      <c r="C35" s="40">
        <v>10.592000000000001</v>
      </c>
      <c r="D35" s="40">
        <v>10.8095</v>
      </c>
    </row>
    <row r="36" spans="1:5" x14ac:dyDescent="0.2">
      <c r="A36" s="9" t="s">
        <v>70</v>
      </c>
      <c r="C36" s="40">
        <v>10.366400000000001</v>
      </c>
      <c r="D36" s="40">
        <v>10.195399999999999</v>
      </c>
    </row>
    <row r="37" spans="1:5" x14ac:dyDescent="0.2">
      <c r="A37" s="9" t="s">
        <v>71</v>
      </c>
      <c r="C37" s="40">
        <v>11.853199999999999</v>
      </c>
      <c r="D37" s="40">
        <v>12.0966</v>
      </c>
    </row>
    <row r="39" spans="1:5" x14ac:dyDescent="0.2">
      <c r="A39" s="18" t="s">
        <v>47</v>
      </c>
    </row>
    <row r="40" spans="1:5" x14ac:dyDescent="0.2">
      <c r="A40" s="74" t="s">
        <v>65</v>
      </c>
      <c r="B40" s="75"/>
      <c r="C40" s="43" t="s">
        <v>66</v>
      </c>
    </row>
    <row r="41" spans="1:5" x14ac:dyDescent="0.2">
      <c r="A41" s="70" t="s">
        <v>70</v>
      </c>
      <c r="B41" s="71"/>
      <c r="C41" s="44">
        <v>0.38</v>
      </c>
    </row>
    <row r="42" spans="1:5" x14ac:dyDescent="0.2">
      <c r="A42" s="9" t="s">
        <v>67</v>
      </c>
    </row>
    <row r="43" spans="1:5" x14ac:dyDescent="0.2">
      <c r="A43" s="9" t="s">
        <v>46</v>
      </c>
    </row>
    <row r="45" spans="1:5" x14ac:dyDescent="0.2">
      <c r="A45" s="18" t="s">
        <v>816</v>
      </c>
      <c r="D45" s="42">
        <v>4.2090008465753399E-2</v>
      </c>
      <c r="E45" s="13" t="s">
        <v>49</v>
      </c>
    </row>
    <row r="47" spans="1:5" x14ac:dyDescent="0.2">
      <c r="A47" s="18" t="s">
        <v>727</v>
      </c>
      <c r="D47" s="41" t="s">
        <v>48</v>
      </c>
    </row>
    <row r="49" spans="1:1" x14ac:dyDescent="0.2">
      <c r="A49" s="18" t="s">
        <v>817</v>
      </c>
    </row>
    <row r="50" spans="1:1" x14ac:dyDescent="0.2">
      <c r="A50" s="50" t="s">
        <v>51</v>
      </c>
    </row>
  </sheetData>
  <mergeCells count="3">
    <mergeCell ref="A1:G1"/>
    <mergeCell ref="A40:B40"/>
    <mergeCell ref="A41:B41"/>
  </mergeCells>
  <conditionalFormatting sqref="F2:F3 F5:F65534">
    <cfRule type="cellIs" dxfId="63" priority="1" stopIfTrue="1" operator="between">
      <formula>0.009</formula>
      <formula>-0.009</formula>
    </cfRule>
  </conditionalFormatting>
  <hyperlinks>
    <hyperlink ref="A50" r:id="rId1" tooltip="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4"/>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2" t="s">
        <v>1080</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929</v>
      </c>
      <c r="B7" s="27" t="s">
        <v>930</v>
      </c>
      <c r="C7" s="27" t="s">
        <v>34</v>
      </c>
      <c r="D7" s="31">
        <v>98</v>
      </c>
      <c r="E7" s="29">
        <v>983.72497999999996</v>
      </c>
      <c r="F7" s="30">
        <v>10.0729548494096</v>
      </c>
      <c r="G7" s="29">
        <v>3.5849000000000002</v>
      </c>
    </row>
    <row r="8" spans="1:9" x14ac:dyDescent="0.2">
      <c r="A8" s="27" t="s">
        <v>959</v>
      </c>
      <c r="B8" s="27" t="s">
        <v>960</v>
      </c>
      <c r="C8" s="27" t="s">
        <v>34</v>
      </c>
      <c r="D8" s="31">
        <v>92</v>
      </c>
      <c r="E8" s="29">
        <v>921.53823999999997</v>
      </c>
      <c r="F8" s="30">
        <v>9.4361872192412903</v>
      </c>
      <c r="G8" s="29">
        <v>3.4344000000000001</v>
      </c>
    </row>
    <row r="9" spans="1:9" x14ac:dyDescent="0.2">
      <c r="A9" s="27" t="s">
        <v>1073</v>
      </c>
      <c r="B9" s="27" t="s">
        <v>1074</v>
      </c>
      <c r="C9" s="27" t="s">
        <v>926</v>
      </c>
      <c r="D9" s="31">
        <v>90</v>
      </c>
      <c r="E9" s="29">
        <v>901.17899999999997</v>
      </c>
      <c r="F9" s="30">
        <v>9.22771665129018</v>
      </c>
      <c r="G9" s="29">
        <v>3.3412000000000002</v>
      </c>
    </row>
    <row r="10" spans="1:9" x14ac:dyDescent="0.2">
      <c r="A10" s="27" t="s">
        <v>1075</v>
      </c>
      <c r="B10" s="27" t="s">
        <v>1076</v>
      </c>
      <c r="C10" s="27" t="s">
        <v>34</v>
      </c>
      <c r="D10" s="31">
        <v>90</v>
      </c>
      <c r="E10" s="29">
        <v>900.3501</v>
      </c>
      <c r="F10" s="30">
        <v>9.2192290430211692</v>
      </c>
      <c r="G10" s="29">
        <v>3.3572000000000002</v>
      </c>
    </row>
    <row r="11" spans="1:9" x14ac:dyDescent="0.2">
      <c r="A11" s="27" t="s">
        <v>1081</v>
      </c>
      <c r="B11" s="27" t="s">
        <v>1082</v>
      </c>
      <c r="C11" s="27" t="s">
        <v>34</v>
      </c>
      <c r="D11" s="31">
        <v>60</v>
      </c>
      <c r="E11" s="29">
        <v>768.52440000000001</v>
      </c>
      <c r="F11" s="30">
        <v>7.8693859963478898</v>
      </c>
      <c r="G11" s="29">
        <v>4.0248999999999997</v>
      </c>
    </row>
    <row r="12" spans="1:9" x14ac:dyDescent="0.2">
      <c r="A12" s="27" t="s">
        <v>1071</v>
      </c>
      <c r="B12" s="27" t="s">
        <v>1072</v>
      </c>
      <c r="C12" s="27" t="s">
        <v>34</v>
      </c>
      <c r="D12" s="31">
        <v>75</v>
      </c>
      <c r="E12" s="29">
        <v>747.69449999999995</v>
      </c>
      <c r="F12" s="30">
        <v>7.6560960560866196</v>
      </c>
      <c r="G12" s="29">
        <v>3.6305000000000001</v>
      </c>
    </row>
    <row r="13" spans="1:9" x14ac:dyDescent="0.2">
      <c r="A13" s="26" t="s">
        <v>35</v>
      </c>
      <c r="B13" s="26"/>
      <c r="C13" s="26"/>
      <c r="D13" s="32"/>
      <c r="E13" s="33">
        <f>SUM(E6:E12)</f>
        <v>5223.0112199999994</v>
      </c>
      <c r="F13" s="34">
        <f>SUM(F6:F12)</f>
        <v>53.481569815396746</v>
      </c>
      <c r="G13" s="33"/>
      <c r="H13" s="18"/>
      <c r="I13" s="18"/>
    </row>
    <row r="14" spans="1:9" x14ac:dyDescent="0.2">
      <c r="A14" s="27"/>
      <c r="B14" s="27"/>
      <c r="C14" s="27"/>
      <c r="D14" s="28"/>
      <c r="E14" s="29"/>
      <c r="F14" s="30"/>
      <c r="G14" s="29"/>
    </row>
    <row r="15" spans="1:9" x14ac:dyDescent="0.2">
      <c r="A15" s="26" t="s">
        <v>52</v>
      </c>
      <c r="B15" s="27"/>
      <c r="C15" s="27"/>
      <c r="D15" s="28"/>
      <c r="E15" s="29"/>
      <c r="F15" s="30"/>
      <c r="G15" s="29"/>
    </row>
    <row r="16" spans="1:9" x14ac:dyDescent="0.2">
      <c r="A16" s="26" t="s">
        <v>56</v>
      </c>
      <c r="B16" s="27"/>
      <c r="C16" s="27"/>
      <c r="D16" s="28"/>
      <c r="E16" s="29"/>
      <c r="F16" s="30"/>
      <c r="G16" s="29"/>
    </row>
    <row r="17" spans="1:9" x14ac:dyDescent="0.2">
      <c r="A17" s="27" t="s">
        <v>760</v>
      </c>
      <c r="B17" s="27" t="s">
        <v>761</v>
      </c>
      <c r="C17" s="27" t="s">
        <v>54</v>
      </c>
      <c r="D17" s="31">
        <v>50</v>
      </c>
      <c r="E17" s="29">
        <v>249.43424999999999</v>
      </c>
      <c r="F17" s="30">
        <v>2.5541080985321201</v>
      </c>
      <c r="G17" s="29">
        <v>3.5994000000000002</v>
      </c>
    </row>
    <row r="18" spans="1:9" x14ac:dyDescent="0.2">
      <c r="A18" s="26" t="s">
        <v>35</v>
      </c>
      <c r="B18" s="26"/>
      <c r="C18" s="26"/>
      <c r="D18" s="32"/>
      <c r="E18" s="33">
        <f>SUM(E16:E17)</f>
        <v>249.43424999999999</v>
      </c>
      <c r="F18" s="34">
        <f>SUM(F16:F17)</f>
        <v>2.5541080985321201</v>
      </c>
      <c r="G18" s="33"/>
      <c r="H18" s="18"/>
      <c r="I18" s="18"/>
    </row>
    <row r="19" spans="1:9" x14ac:dyDescent="0.2">
      <c r="A19" s="27"/>
      <c r="B19" s="27"/>
      <c r="C19" s="27"/>
      <c r="D19" s="28"/>
      <c r="E19" s="29"/>
      <c r="F19" s="30"/>
      <c r="G19" s="29"/>
    </row>
    <row r="20" spans="1:9" x14ac:dyDescent="0.2">
      <c r="A20" s="26" t="s">
        <v>784</v>
      </c>
      <c r="B20" s="27"/>
      <c r="C20" s="27"/>
      <c r="D20" s="28"/>
      <c r="E20" s="29"/>
      <c r="F20" s="30"/>
      <c r="G20" s="29"/>
    </row>
    <row r="21" spans="1:9" x14ac:dyDescent="0.2">
      <c r="A21" s="27" t="s">
        <v>787</v>
      </c>
      <c r="B21" s="27" t="s">
        <v>788</v>
      </c>
      <c r="C21" s="27" t="s">
        <v>63</v>
      </c>
      <c r="D21" s="31">
        <v>1900000</v>
      </c>
      <c r="E21" s="29">
        <v>1895.5635</v>
      </c>
      <c r="F21" s="30">
        <v>19.4098207709322</v>
      </c>
      <c r="G21" s="29">
        <v>3.2856999999999998</v>
      </c>
    </row>
    <row r="22" spans="1:9" x14ac:dyDescent="0.2">
      <c r="A22" s="26" t="s">
        <v>35</v>
      </c>
      <c r="B22" s="26"/>
      <c r="C22" s="26"/>
      <c r="D22" s="32"/>
      <c r="E22" s="33">
        <f>SUM(E20:E21)</f>
        <v>1895.5635</v>
      </c>
      <c r="F22" s="34">
        <f>SUM(F20:F21)</f>
        <v>19.4098207709322</v>
      </c>
      <c r="G22" s="33"/>
      <c r="H22" s="18"/>
      <c r="I22" s="18"/>
    </row>
    <row r="23" spans="1:9" x14ac:dyDescent="0.2">
      <c r="A23" s="27"/>
      <c r="B23" s="27"/>
      <c r="C23" s="27"/>
      <c r="D23" s="28"/>
      <c r="E23" s="29"/>
      <c r="F23" s="30"/>
      <c r="G23" s="29"/>
    </row>
    <row r="24" spans="1:9" x14ac:dyDescent="0.2">
      <c r="A24" s="26" t="s">
        <v>37</v>
      </c>
      <c r="B24" s="26"/>
      <c r="C24" s="26"/>
      <c r="D24" s="32"/>
      <c r="E24" s="33">
        <f>E13+E18+E22</f>
        <v>7368.0089699999999</v>
      </c>
      <c r="F24" s="34">
        <f>F13+F18+F22</f>
        <v>75.445498684861064</v>
      </c>
      <c r="G24" s="33"/>
      <c r="H24" s="18"/>
      <c r="I24" s="18"/>
    </row>
    <row r="25" spans="1:9" x14ac:dyDescent="0.2">
      <c r="A25" s="26"/>
      <c r="B25" s="26"/>
      <c r="C25" s="26"/>
      <c r="D25" s="32"/>
      <c r="E25" s="33"/>
      <c r="F25" s="34"/>
      <c r="G25" s="33"/>
      <c r="H25" s="18"/>
      <c r="I25" s="18"/>
    </row>
    <row r="26" spans="1:9" x14ac:dyDescent="0.2">
      <c r="A26" s="26" t="s">
        <v>39</v>
      </c>
      <c r="B26" s="26"/>
      <c r="C26" s="26"/>
      <c r="D26" s="32"/>
      <c r="E26" s="33">
        <f>E28-(E13+E18+E22)</f>
        <v>2397.9931088999992</v>
      </c>
      <c r="F26" s="34">
        <f>F28-(F13+F18+F22)</f>
        <v>24.554501315138936</v>
      </c>
      <c r="G26" s="33"/>
      <c r="H26" s="18"/>
      <c r="I26" s="18"/>
    </row>
    <row r="27" spans="1:9" x14ac:dyDescent="0.2">
      <c r="A27" s="26"/>
      <c r="B27" s="26"/>
      <c r="C27" s="26"/>
      <c r="D27" s="32"/>
      <c r="E27" s="33"/>
      <c r="F27" s="34"/>
      <c r="G27" s="33"/>
      <c r="H27" s="18"/>
      <c r="I27" s="18"/>
    </row>
    <row r="28" spans="1:9" x14ac:dyDescent="0.2">
      <c r="A28" s="35" t="s">
        <v>38</v>
      </c>
      <c r="B28" s="35"/>
      <c r="C28" s="35"/>
      <c r="D28" s="36"/>
      <c r="E28" s="37">
        <v>9766.0020788999991</v>
      </c>
      <c r="F28" s="38">
        <v>100</v>
      </c>
      <c r="G28" s="37"/>
      <c r="H28" s="18"/>
      <c r="I28" s="18"/>
    </row>
    <row r="30" spans="1:9" x14ac:dyDescent="0.2">
      <c r="A30" s="18" t="s">
        <v>64</v>
      </c>
    </row>
    <row r="31" spans="1:9" x14ac:dyDescent="0.2">
      <c r="A31" s="18" t="s">
        <v>40</v>
      </c>
    </row>
    <row r="33" spans="1:4" x14ac:dyDescent="0.2">
      <c r="A33" s="18" t="s">
        <v>41</v>
      </c>
    </row>
    <row r="34" spans="1:4" x14ac:dyDescent="0.2">
      <c r="A34" s="18" t="s">
        <v>42</v>
      </c>
    </row>
    <row r="35" spans="1:4" x14ac:dyDescent="0.2">
      <c r="A35" s="18" t="s">
        <v>43</v>
      </c>
      <c r="B35" s="18"/>
      <c r="C35" s="39" t="s">
        <v>45</v>
      </c>
      <c r="D35" s="19" t="s">
        <v>44</v>
      </c>
    </row>
    <row r="36" spans="1:4" x14ac:dyDescent="0.2">
      <c r="A36" s="9" t="s">
        <v>68</v>
      </c>
      <c r="C36" s="40">
        <v>12.3024</v>
      </c>
      <c r="D36" s="40">
        <v>12.5459</v>
      </c>
    </row>
    <row r="37" spans="1:4" x14ac:dyDescent="0.2">
      <c r="A37" s="9" t="s">
        <v>1033</v>
      </c>
      <c r="C37" s="40">
        <v>10.636799999999999</v>
      </c>
      <c r="D37" s="40">
        <v>10.847300000000001</v>
      </c>
    </row>
    <row r="38" spans="1:4" x14ac:dyDescent="0.2">
      <c r="A38" s="9" t="s">
        <v>70</v>
      </c>
      <c r="C38" s="40">
        <v>10.4291</v>
      </c>
      <c r="D38" s="40">
        <v>10.235799999999999</v>
      </c>
    </row>
    <row r="39" spans="1:4" x14ac:dyDescent="0.2">
      <c r="A39" s="9" t="s">
        <v>71</v>
      </c>
      <c r="C39" s="40">
        <v>12.413500000000001</v>
      </c>
      <c r="D39" s="40">
        <v>12.6592</v>
      </c>
    </row>
    <row r="40" spans="1:4" x14ac:dyDescent="0.2">
      <c r="A40" s="9" t="s">
        <v>73</v>
      </c>
      <c r="C40" s="40">
        <v>10.4374</v>
      </c>
      <c r="D40" s="40">
        <v>10.244999999999999</v>
      </c>
    </row>
    <row r="42" spans="1:4" x14ac:dyDescent="0.2">
      <c r="A42" s="18" t="s">
        <v>47</v>
      </c>
    </row>
    <row r="43" spans="1:4" x14ac:dyDescent="0.2">
      <c r="A43" s="74" t="s">
        <v>65</v>
      </c>
      <c r="B43" s="75"/>
      <c r="C43" s="43" t="s">
        <v>66</v>
      </c>
    </row>
    <row r="44" spans="1:4" x14ac:dyDescent="0.2">
      <c r="A44" s="70" t="s">
        <v>70</v>
      </c>
      <c r="B44" s="71"/>
      <c r="C44" s="44">
        <v>0.39500000000000002</v>
      </c>
    </row>
    <row r="45" spans="1:4" x14ac:dyDescent="0.2">
      <c r="A45" s="70" t="s">
        <v>73</v>
      </c>
      <c r="B45" s="71"/>
      <c r="C45" s="44">
        <v>0.39500000000000002</v>
      </c>
    </row>
    <row r="46" spans="1:4" x14ac:dyDescent="0.2">
      <c r="A46" s="9" t="s">
        <v>67</v>
      </c>
    </row>
    <row r="47" spans="1:4" x14ac:dyDescent="0.2">
      <c r="A47" s="9" t="s">
        <v>46</v>
      </c>
    </row>
    <row r="49" spans="1:5" x14ac:dyDescent="0.2">
      <c r="A49" s="18" t="s">
        <v>816</v>
      </c>
      <c r="D49" s="42">
        <v>4.4182304931506801E-2</v>
      </c>
      <c r="E49" s="13" t="s">
        <v>49</v>
      </c>
    </row>
    <row r="51" spans="1:5" x14ac:dyDescent="0.2">
      <c r="A51" s="18" t="s">
        <v>727</v>
      </c>
      <c r="D51" s="41" t="s">
        <v>48</v>
      </c>
    </row>
    <row r="53" spans="1:5" x14ac:dyDescent="0.2">
      <c r="A53" s="18" t="s">
        <v>817</v>
      </c>
    </row>
    <row r="54" spans="1:5" x14ac:dyDescent="0.2">
      <c r="A54" s="50" t="s">
        <v>51</v>
      </c>
    </row>
  </sheetData>
  <mergeCells count="4">
    <mergeCell ref="A1:G1"/>
    <mergeCell ref="A43:B43"/>
    <mergeCell ref="A44:B44"/>
    <mergeCell ref="A45:B45"/>
  </mergeCells>
  <conditionalFormatting sqref="F2:F3 F5:F65534">
    <cfRule type="cellIs" dxfId="62" priority="1" stopIfTrue="1" operator="between">
      <formula>0.009</formula>
      <formula>-0.009</formula>
    </cfRule>
  </conditionalFormatting>
  <hyperlinks>
    <hyperlink ref="A54" r:id="rId1" tooltip="https://www.franklintempletonindia.com/downloadsServlet/pdf/product-labels-jg9o5k7l"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89"/>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1083</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95</v>
      </c>
      <c r="B5" s="22"/>
      <c r="C5" s="22"/>
      <c r="D5" s="23"/>
      <c r="E5" s="24"/>
      <c r="F5" s="25"/>
      <c r="G5" s="24"/>
    </row>
    <row r="6" spans="1:7" x14ac:dyDescent="0.2">
      <c r="A6" s="26" t="s">
        <v>32</v>
      </c>
      <c r="B6" s="27"/>
      <c r="C6" s="27"/>
      <c r="D6" s="28"/>
      <c r="E6" s="29"/>
      <c r="F6" s="30"/>
      <c r="G6" s="29"/>
    </row>
    <row r="7" spans="1:7" x14ac:dyDescent="0.2">
      <c r="A7" s="27" t="s">
        <v>97</v>
      </c>
      <c r="B7" s="27" t="s">
        <v>96</v>
      </c>
      <c r="C7" s="27" t="s">
        <v>98</v>
      </c>
      <c r="D7" s="31">
        <v>109904</v>
      </c>
      <c r="E7" s="29">
        <v>1770.0039200000001</v>
      </c>
      <c r="F7" s="30">
        <v>3.8969954801622602</v>
      </c>
      <c r="G7" s="29">
        <v>0</v>
      </c>
    </row>
    <row r="8" spans="1:7" x14ac:dyDescent="0.2">
      <c r="A8" s="27" t="s">
        <v>100</v>
      </c>
      <c r="B8" s="27" t="s">
        <v>99</v>
      </c>
      <c r="C8" s="27" t="s">
        <v>101</v>
      </c>
      <c r="D8" s="31">
        <v>108000</v>
      </c>
      <c r="E8" s="29">
        <v>1540.566</v>
      </c>
      <c r="F8" s="30">
        <v>3.3918448829715899</v>
      </c>
      <c r="G8" s="29">
        <v>0</v>
      </c>
    </row>
    <row r="9" spans="1:7" x14ac:dyDescent="0.2">
      <c r="A9" s="27" t="s">
        <v>103</v>
      </c>
      <c r="B9" s="27" t="s">
        <v>102</v>
      </c>
      <c r="C9" s="27" t="s">
        <v>101</v>
      </c>
      <c r="D9" s="31">
        <v>206475</v>
      </c>
      <c r="E9" s="29">
        <v>1463.7012749999999</v>
      </c>
      <c r="F9" s="30">
        <v>3.2226127798534701</v>
      </c>
      <c r="G9" s="29">
        <v>0</v>
      </c>
    </row>
    <row r="10" spans="1:7" x14ac:dyDescent="0.2">
      <c r="A10" s="27" t="s">
        <v>105</v>
      </c>
      <c r="B10" s="27" t="s">
        <v>104</v>
      </c>
      <c r="C10" s="27" t="s">
        <v>101</v>
      </c>
      <c r="D10" s="31">
        <v>146474</v>
      </c>
      <c r="E10" s="29">
        <v>999.68505000000005</v>
      </c>
      <c r="F10" s="30">
        <v>2.2009940641463599</v>
      </c>
      <c r="G10" s="29">
        <v>0</v>
      </c>
    </row>
    <row r="11" spans="1:7" x14ac:dyDescent="0.2">
      <c r="A11" s="27" t="s">
        <v>107</v>
      </c>
      <c r="B11" s="27" t="s">
        <v>106</v>
      </c>
      <c r="C11" s="27" t="s">
        <v>108</v>
      </c>
      <c r="D11" s="31">
        <v>40000</v>
      </c>
      <c r="E11" s="29">
        <v>949.54</v>
      </c>
      <c r="F11" s="30">
        <v>2.0905903350955701</v>
      </c>
      <c r="G11" s="29">
        <v>0</v>
      </c>
    </row>
    <row r="12" spans="1:7" x14ac:dyDescent="0.2">
      <c r="A12" s="27" t="s">
        <v>110</v>
      </c>
      <c r="B12" s="27" t="s">
        <v>109</v>
      </c>
      <c r="C12" s="27" t="s">
        <v>111</v>
      </c>
      <c r="D12" s="31">
        <v>145373</v>
      </c>
      <c r="E12" s="29">
        <v>816.48745450000001</v>
      </c>
      <c r="F12" s="30">
        <v>1.7976502107383401</v>
      </c>
      <c r="G12" s="29">
        <v>0</v>
      </c>
    </row>
    <row r="13" spans="1:7" x14ac:dyDescent="0.2">
      <c r="A13" s="27" t="s">
        <v>113</v>
      </c>
      <c r="B13" s="27" t="s">
        <v>112</v>
      </c>
      <c r="C13" s="27" t="s">
        <v>114</v>
      </c>
      <c r="D13" s="31">
        <v>60000</v>
      </c>
      <c r="E13" s="29">
        <v>635.52</v>
      </c>
      <c r="F13" s="30">
        <v>1.3992164308611901</v>
      </c>
      <c r="G13" s="29">
        <v>0</v>
      </c>
    </row>
    <row r="14" spans="1:7" x14ac:dyDescent="0.2">
      <c r="A14" s="27" t="s">
        <v>116</v>
      </c>
      <c r="B14" s="27" t="s">
        <v>115</v>
      </c>
      <c r="C14" s="27" t="s">
        <v>117</v>
      </c>
      <c r="D14" s="31">
        <v>129936</v>
      </c>
      <c r="E14" s="29">
        <v>577.95532800000001</v>
      </c>
      <c r="F14" s="30">
        <v>1.2724770129049801</v>
      </c>
      <c r="G14" s="29">
        <v>0</v>
      </c>
    </row>
    <row r="15" spans="1:7" x14ac:dyDescent="0.2">
      <c r="A15" s="27" t="s">
        <v>119</v>
      </c>
      <c r="B15" s="27" t="s">
        <v>118</v>
      </c>
      <c r="C15" s="27" t="s">
        <v>101</v>
      </c>
      <c r="D15" s="31">
        <v>33853</v>
      </c>
      <c r="E15" s="29">
        <v>560.19944399999997</v>
      </c>
      <c r="F15" s="30">
        <v>1.2333841053060599</v>
      </c>
      <c r="G15" s="29">
        <v>0</v>
      </c>
    </row>
    <row r="16" spans="1:7" x14ac:dyDescent="0.2">
      <c r="A16" s="27" t="s">
        <v>121</v>
      </c>
      <c r="B16" s="27" t="s">
        <v>120</v>
      </c>
      <c r="C16" s="27" t="s">
        <v>122</v>
      </c>
      <c r="D16" s="31">
        <v>26468</v>
      </c>
      <c r="E16" s="29">
        <v>451.12059199999999</v>
      </c>
      <c r="F16" s="30">
        <v>0.99322656191186598</v>
      </c>
      <c r="G16" s="29">
        <v>0</v>
      </c>
    </row>
    <row r="17" spans="1:7" x14ac:dyDescent="0.2">
      <c r="A17" s="27" t="s">
        <v>124</v>
      </c>
      <c r="B17" s="27" t="s">
        <v>123</v>
      </c>
      <c r="C17" s="27" t="s">
        <v>125</v>
      </c>
      <c r="D17" s="31">
        <v>190244</v>
      </c>
      <c r="E17" s="29">
        <v>415.20753000000002</v>
      </c>
      <c r="F17" s="30">
        <v>0.91415722273617195</v>
      </c>
      <c r="G17" s="29">
        <v>0</v>
      </c>
    </row>
    <row r="18" spans="1:7" x14ac:dyDescent="0.2">
      <c r="A18" s="27" t="s">
        <v>127</v>
      </c>
      <c r="B18" s="27" t="s">
        <v>126</v>
      </c>
      <c r="C18" s="27" t="s">
        <v>125</v>
      </c>
      <c r="D18" s="31">
        <v>118573</v>
      </c>
      <c r="E18" s="29">
        <v>410.38115299999998</v>
      </c>
      <c r="F18" s="30">
        <v>0.90353104889438796</v>
      </c>
      <c r="G18" s="29">
        <v>0</v>
      </c>
    </row>
    <row r="19" spans="1:7" x14ac:dyDescent="0.2">
      <c r="A19" s="27" t="s">
        <v>129</v>
      </c>
      <c r="B19" s="27" t="s">
        <v>128</v>
      </c>
      <c r="C19" s="27" t="s">
        <v>130</v>
      </c>
      <c r="D19" s="31">
        <v>156244</v>
      </c>
      <c r="E19" s="29">
        <v>408.031206</v>
      </c>
      <c r="F19" s="30">
        <v>0.89835719999261798</v>
      </c>
      <c r="G19" s="29">
        <v>0</v>
      </c>
    </row>
    <row r="20" spans="1:7" x14ac:dyDescent="0.2">
      <c r="A20" s="27" t="s">
        <v>132</v>
      </c>
      <c r="B20" s="27" t="s">
        <v>131</v>
      </c>
      <c r="C20" s="27" t="s">
        <v>133</v>
      </c>
      <c r="D20" s="31">
        <v>8293</v>
      </c>
      <c r="E20" s="29">
        <v>390.699816</v>
      </c>
      <c r="F20" s="30">
        <v>0.86019889552121898</v>
      </c>
      <c r="G20" s="29">
        <v>0</v>
      </c>
    </row>
    <row r="21" spans="1:7" x14ac:dyDescent="0.2">
      <c r="A21" s="27" t="s">
        <v>135</v>
      </c>
      <c r="B21" s="27" t="s">
        <v>134</v>
      </c>
      <c r="C21" s="27" t="s">
        <v>101</v>
      </c>
      <c r="D21" s="31">
        <v>88509</v>
      </c>
      <c r="E21" s="29">
        <v>382.18186200000002</v>
      </c>
      <c r="F21" s="30">
        <v>0.84144502279633304</v>
      </c>
      <c r="G21" s="29">
        <v>0</v>
      </c>
    </row>
    <row r="22" spans="1:7" x14ac:dyDescent="0.2">
      <c r="A22" s="27" t="s">
        <v>137</v>
      </c>
      <c r="B22" s="27" t="s">
        <v>136</v>
      </c>
      <c r="C22" s="27" t="s">
        <v>98</v>
      </c>
      <c r="D22" s="31">
        <v>11019</v>
      </c>
      <c r="E22" s="29">
        <v>349.02131550000001</v>
      </c>
      <c r="F22" s="30">
        <v>0.76843586255096397</v>
      </c>
      <c r="G22" s="29">
        <v>0</v>
      </c>
    </row>
    <row r="23" spans="1:7" x14ac:dyDescent="0.2">
      <c r="A23" s="27" t="s">
        <v>139</v>
      </c>
      <c r="B23" s="27" t="s">
        <v>138</v>
      </c>
      <c r="C23" s="27" t="s">
        <v>122</v>
      </c>
      <c r="D23" s="31">
        <v>12800</v>
      </c>
      <c r="E23" s="29">
        <v>298.66239999999999</v>
      </c>
      <c r="F23" s="30">
        <v>0.65756126850522101</v>
      </c>
      <c r="G23" s="29">
        <v>0</v>
      </c>
    </row>
    <row r="24" spans="1:7" x14ac:dyDescent="0.2">
      <c r="A24" s="27" t="s">
        <v>141</v>
      </c>
      <c r="B24" s="27" t="s">
        <v>140</v>
      </c>
      <c r="C24" s="27" t="s">
        <v>142</v>
      </c>
      <c r="D24" s="31">
        <v>174166</v>
      </c>
      <c r="E24" s="29">
        <v>298.08510899999999</v>
      </c>
      <c r="F24" s="30">
        <v>0.65629025413496</v>
      </c>
      <c r="G24" s="29">
        <v>0</v>
      </c>
    </row>
    <row r="25" spans="1:7" x14ac:dyDescent="0.2">
      <c r="A25" s="27" t="s">
        <v>144</v>
      </c>
      <c r="B25" s="27" t="s">
        <v>143</v>
      </c>
      <c r="C25" s="27" t="s">
        <v>142</v>
      </c>
      <c r="D25" s="31">
        <v>217407</v>
      </c>
      <c r="E25" s="29">
        <v>256.97507400000001</v>
      </c>
      <c r="F25" s="30">
        <v>0.56577880454206197</v>
      </c>
      <c r="G25" s="29">
        <v>0</v>
      </c>
    </row>
    <row r="26" spans="1:7" x14ac:dyDescent="0.2">
      <c r="A26" s="27" t="s">
        <v>1084</v>
      </c>
      <c r="B26" s="27" t="s">
        <v>1085</v>
      </c>
      <c r="C26" s="27" t="s">
        <v>133</v>
      </c>
      <c r="D26" s="31">
        <v>7072</v>
      </c>
      <c r="E26" s="29">
        <v>217.18819199999999</v>
      </c>
      <c r="F26" s="30">
        <v>0.47818052435082398</v>
      </c>
      <c r="G26" s="29">
        <v>0</v>
      </c>
    </row>
    <row r="27" spans="1:7" x14ac:dyDescent="0.2">
      <c r="A27" s="27" t="s">
        <v>146</v>
      </c>
      <c r="B27" s="27" t="s">
        <v>145</v>
      </c>
      <c r="C27" s="27" t="s">
        <v>122</v>
      </c>
      <c r="D27" s="31">
        <v>15000</v>
      </c>
      <c r="E27" s="29">
        <v>214.29</v>
      </c>
      <c r="F27" s="30">
        <v>0.47179961129350001</v>
      </c>
      <c r="G27" s="29">
        <v>0</v>
      </c>
    </row>
    <row r="28" spans="1:7" x14ac:dyDescent="0.2">
      <c r="A28" s="27" t="s">
        <v>148</v>
      </c>
      <c r="B28" s="27" t="s">
        <v>147</v>
      </c>
      <c r="C28" s="27" t="s">
        <v>149</v>
      </c>
      <c r="D28" s="31">
        <v>26526</v>
      </c>
      <c r="E28" s="29">
        <v>197.11470600000001</v>
      </c>
      <c r="F28" s="30">
        <v>0.43398498143185699</v>
      </c>
      <c r="G28" s="29">
        <v>0</v>
      </c>
    </row>
    <row r="29" spans="1:7" x14ac:dyDescent="0.2">
      <c r="A29" s="27" t="s">
        <v>151</v>
      </c>
      <c r="B29" s="27" t="s">
        <v>150</v>
      </c>
      <c r="C29" s="27" t="s">
        <v>130</v>
      </c>
      <c r="D29" s="31">
        <v>43000</v>
      </c>
      <c r="E29" s="29">
        <v>191.565</v>
      </c>
      <c r="F29" s="30">
        <v>0.42176626318278698</v>
      </c>
      <c r="G29" s="29">
        <v>0</v>
      </c>
    </row>
    <row r="30" spans="1:7" x14ac:dyDescent="0.2">
      <c r="A30" s="27" t="s">
        <v>153</v>
      </c>
      <c r="B30" s="27" t="s">
        <v>152</v>
      </c>
      <c r="C30" s="27" t="s">
        <v>149</v>
      </c>
      <c r="D30" s="31">
        <v>4923</v>
      </c>
      <c r="E30" s="29">
        <v>188.53120799999999</v>
      </c>
      <c r="F30" s="30">
        <v>0.41508680130241299</v>
      </c>
      <c r="G30" s="29">
        <v>0</v>
      </c>
    </row>
    <row r="31" spans="1:7" x14ac:dyDescent="0.2">
      <c r="A31" s="27" t="s">
        <v>155</v>
      </c>
      <c r="B31" s="27" t="s">
        <v>154</v>
      </c>
      <c r="C31" s="27" t="s">
        <v>156</v>
      </c>
      <c r="D31" s="31">
        <v>65910</v>
      </c>
      <c r="E31" s="29">
        <v>147.80317500000001</v>
      </c>
      <c r="F31" s="30">
        <v>0.32541640073239603</v>
      </c>
      <c r="G31" s="29">
        <v>0</v>
      </c>
    </row>
    <row r="32" spans="1:7" x14ac:dyDescent="0.2">
      <c r="A32" s="27" t="s">
        <v>158</v>
      </c>
      <c r="B32" s="27" t="s">
        <v>157</v>
      </c>
      <c r="C32" s="27" t="s">
        <v>133</v>
      </c>
      <c r="D32" s="31">
        <v>23760</v>
      </c>
      <c r="E32" s="29">
        <v>139.25736000000001</v>
      </c>
      <c r="F32" s="30">
        <v>0.306601186792473</v>
      </c>
      <c r="G32" s="29">
        <v>0</v>
      </c>
    </row>
    <row r="33" spans="1:9" x14ac:dyDescent="0.2">
      <c r="A33" s="27" t="s">
        <v>160</v>
      </c>
      <c r="B33" s="27" t="s">
        <v>159</v>
      </c>
      <c r="C33" s="27" t="s">
        <v>101</v>
      </c>
      <c r="D33" s="31">
        <v>87200</v>
      </c>
      <c r="E33" s="29">
        <v>131.018</v>
      </c>
      <c r="F33" s="30">
        <v>0.288460690990955</v>
      </c>
      <c r="G33" s="29">
        <v>0</v>
      </c>
    </row>
    <row r="34" spans="1:9" x14ac:dyDescent="0.2">
      <c r="A34" s="27" t="s">
        <v>162</v>
      </c>
      <c r="B34" s="27" t="s">
        <v>161</v>
      </c>
      <c r="C34" s="27" t="s">
        <v>149</v>
      </c>
      <c r="D34" s="31">
        <v>39940</v>
      </c>
      <c r="E34" s="29">
        <v>117.40363000000001</v>
      </c>
      <c r="F34" s="30">
        <v>0.25848610293735602</v>
      </c>
      <c r="G34" s="29">
        <v>0</v>
      </c>
    </row>
    <row r="35" spans="1:9" x14ac:dyDescent="0.2">
      <c r="A35" s="27" t="s">
        <v>163</v>
      </c>
      <c r="B35" s="27" t="s">
        <v>1239</v>
      </c>
      <c r="C35" s="27" t="s">
        <v>156</v>
      </c>
      <c r="D35" s="31">
        <v>7703</v>
      </c>
      <c r="E35" s="29">
        <v>17.273977500000001</v>
      </c>
      <c r="F35" s="30">
        <v>3.80319000886307E-2</v>
      </c>
      <c r="G35" s="29">
        <v>0</v>
      </c>
    </row>
    <row r="36" spans="1:9" x14ac:dyDescent="0.2">
      <c r="A36" s="26" t="s">
        <v>35</v>
      </c>
      <c r="B36" s="26"/>
      <c r="C36" s="26"/>
      <c r="D36" s="32"/>
      <c r="E36" s="33">
        <f>SUM(E7:E35)</f>
        <v>14535.469777499999</v>
      </c>
      <c r="F36" s="34">
        <f>SUM(F7:F35)</f>
        <v>32.002561906728801</v>
      </c>
      <c r="G36" s="33"/>
      <c r="H36" s="18"/>
      <c r="I36" s="18"/>
    </row>
    <row r="37" spans="1:9" x14ac:dyDescent="0.2">
      <c r="A37" s="27"/>
      <c r="B37" s="27"/>
      <c r="C37" s="27"/>
      <c r="D37" s="28"/>
      <c r="E37" s="29"/>
      <c r="F37" s="30"/>
      <c r="G37" s="29"/>
    </row>
    <row r="38" spans="1:9" x14ac:dyDescent="0.2">
      <c r="A38" s="26" t="s">
        <v>31</v>
      </c>
      <c r="B38" s="27"/>
      <c r="C38" s="27"/>
      <c r="D38" s="28"/>
      <c r="E38" s="29"/>
      <c r="F38" s="30"/>
      <c r="G38" s="29"/>
    </row>
    <row r="39" spans="1:9" x14ac:dyDescent="0.2">
      <c r="A39" s="26" t="s">
        <v>32</v>
      </c>
      <c r="B39" s="27"/>
      <c r="C39" s="27"/>
      <c r="D39" s="28"/>
      <c r="E39" s="29"/>
      <c r="F39" s="30"/>
      <c r="G39" s="29"/>
    </row>
    <row r="40" spans="1:9" x14ac:dyDescent="0.2">
      <c r="A40" s="27" t="s">
        <v>165</v>
      </c>
      <c r="B40" s="27" t="s">
        <v>164</v>
      </c>
      <c r="C40" s="27" t="s">
        <v>34</v>
      </c>
      <c r="D40" s="31">
        <v>200</v>
      </c>
      <c r="E40" s="29">
        <v>2072.0720000000001</v>
      </c>
      <c r="F40" s="30">
        <v>4.5620549917035103</v>
      </c>
      <c r="G40" s="29">
        <v>4.7249999999999996</v>
      </c>
    </row>
    <row r="41" spans="1:9" x14ac:dyDescent="0.2">
      <c r="A41" s="27" t="s">
        <v>1086</v>
      </c>
      <c r="B41" s="27" t="s">
        <v>1087</v>
      </c>
      <c r="C41" s="27" t="s">
        <v>34</v>
      </c>
      <c r="D41" s="31">
        <v>150</v>
      </c>
      <c r="E41" s="29">
        <v>1652.82</v>
      </c>
      <c r="F41" s="30">
        <v>3.63899310998237</v>
      </c>
      <c r="G41" s="29">
        <v>5.33</v>
      </c>
    </row>
    <row r="42" spans="1:9" x14ac:dyDescent="0.2">
      <c r="A42" s="27" t="s">
        <v>91</v>
      </c>
      <c r="B42" s="27" t="s">
        <v>90</v>
      </c>
      <c r="C42" s="27" t="s">
        <v>33</v>
      </c>
      <c r="D42" s="31">
        <v>50</v>
      </c>
      <c r="E42" s="29">
        <v>507.77699999999999</v>
      </c>
      <c r="F42" s="30">
        <v>1.11796626638564</v>
      </c>
      <c r="G42" s="29">
        <v>8.2774000000000001</v>
      </c>
    </row>
    <row r="43" spans="1:9" x14ac:dyDescent="0.2">
      <c r="A43" s="27" t="s">
        <v>953</v>
      </c>
      <c r="B43" s="27" t="s">
        <v>954</v>
      </c>
      <c r="C43" s="27" t="s">
        <v>34</v>
      </c>
      <c r="D43" s="31">
        <v>45</v>
      </c>
      <c r="E43" s="29">
        <v>491.83875</v>
      </c>
      <c r="F43" s="30">
        <v>1.0828752208179599</v>
      </c>
      <c r="G43" s="29">
        <v>5.9292999999999996</v>
      </c>
    </row>
    <row r="44" spans="1:9" x14ac:dyDescent="0.2">
      <c r="A44" s="26" t="s">
        <v>35</v>
      </c>
      <c r="B44" s="26"/>
      <c r="C44" s="26"/>
      <c r="D44" s="32"/>
      <c r="E44" s="33">
        <f>SUM(E39:E43)</f>
        <v>4724.5077499999998</v>
      </c>
      <c r="F44" s="34">
        <f>SUM(F39:F43)</f>
        <v>10.401889588889482</v>
      </c>
      <c r="G44" s="33"/>
      <c r="H44" s="18"/>
      <c r="I44" s="18"/>
    </row>
    <row r="45" spans="1:9" x14ac:dyDescent="0.2">
      <c r="A45" s="27"/>
      <c r="B45" s="27"/>
      <c r="C45" s="27"/>
      <c r="D45" s="28"/>
      <c r="E45" s="29"/>
      <c r="F45" s="30"/>
      <c r="G45" s="29"/>
    </row>
    <row r="46" spans="1:9" x14ac:dyDescent="0.2">
      <c r="A46" s="26" t="s">
        <v>52</v>
      </c>
      <c r="B46" s="27"/>
      <c r="C46" s="27"/>
      <c r="D46" s="28"/>
      <c r="E46" s="29"/>
      <c r="F46" s="30"/>
      <c r="G46" s="29"/>
    </row>
    <row r="47" spans="1:9" x14ac:dyDescent="0.2">
      <c r="A47" s="26" t="s">
        <v>56</v>
      </c>
      <c r="B47" s="27"/>
      <c r="C47" s="27"/>
      <c r="D47" s="28"/>
      <c r="E47" s="29"/>
      <c r="F47" s="30"/>
      <c r="G47" s="29"/>
    </row>
    <row r="48" spans="1:9" x14ac:dyDescent="0.2">
      <c r="A48" s="27" t="s">
        <v>1088</v>
      </c>
      <c r="B48" s="27" t="s">
        <v>1089</v>
      </c>
      <c r="C48" s="27" t="s">
        <v>54</v>
      </c>
      <c r="D48" s="31">
        <v>400</v>
      </c>
      <c r="E48" s="29">
        <v>1973.2739999999999</v>
      </c>
      <c r="F48" s="30">
        <v>4.3445326714992296</v>
      </c>
      <c r="G48" s="29">
        <v>3.6351</v>
      </c>
    </row>
    <row r="49" spans="1:9" x14ac:dyDescent="0.2">
      <c r="A49" s="26" t="s">
        <v>35</v>
      </c>
      <c r="B49" s="26"/>
      <c r="C49" s="26"/>
      <c r="D49" s="32"/>
      <c r="E49" s="33">
        <f>SUM(E47:E48)</f>
        <v>1973.2739999999999</v>
      </c>
      <c r="F49" s="34">
        <f>SUM(F47:F48)</f>
        <v>4.3445326714992296</v>
      </c>
      <c r="G49" s="33"/>
      <c r="H49" s="18"/>
      <c r="I49" s="18"/>
    </row>
    <row r="50" spans="1:9" x14ac:dyDescent="0.2">
      <c r="A50" s="27"/>
      <c r="B50" s="27"/>
      <c r="C50" s="27"/>
      <c r="D50" s="28"/>
      <c r="E50" s="29"/>
      <c r="F50" s="30"/>
      <c r="G50" s="29"/>
    </row>
    <row r="51" spans="1:9" x14ac:dyDescent="0.2">
      <c r="A51" s="26" t="s">
        <v>62</v>
      </c>
      <c r="B51" s="27"/>
      <c r="C51" s="27"/>
      <c r="D51" s="28"/>
      <c r="E51" s="29"/>
      <c r="F51" s="30"/>
      <c r="G51" s="29"/>
    </row>
    <row r="52" spans="1:9" x14ac:dyDescent="0.2">
      <c r="A52" s="27" t="s">
        <v>77</v>
      </c>
      <c r="B52" s="27" t="s">
        <v>76</v>
      </c>
      <c r="C52" s="27" t="s">
        <v>63</v>
      </c>
      <c r="D52" s="31">
        <v>7000000</v>
      </c>
      <c r="E52" s="29">
        <v>6882.5820000000003</v>
      </c>
      <c r="F52" s="30">
        <v>15.1532946581532</v>
      </c>
      <c r="G52" s="29">
        <v>6.8277999999999999</v>
      </c>
    </row>
    <row r="53" spans="1:9" x14ac:dyDescent="0.2">
      <c r="A53" s="27" t="s">
        <v>79</v>
      </c>
      <c r="B53" s="27" t="s">
        <v>78</v>
      </c>
      <c r="C53" s="27" t="s">
        <v>63</v>
      </c>
      <c r="D53" s="31">
        <v>5500000</v>
      </c>
      <c r="E53" s="29">
        <v>5421.3389999999999</v>
      </c>
      <c r="F53" s="30">
        <v>11.9360942316034</v>
      </c>
      <c r="G53" s="29">
        <v>5.5278999999999998</v>
      </c>
    </row>
    <row r="54" spans="1:9" x14ac:dyDescent="0.2">
      <c r="A54" s="27" t="s">
        <v>81</v>
      </c>
      <c r="B54" s="27" t="s">
        <v>80</v>
      </c>
      <c r="C54" s="27" t="s">
        <v>63</v>
      </c>
      <c r="D54" s="31">
        <v>4815000</v>
      </c>
      <c r="E54" s="29">
        <v>4975.7584049999996</v>
      </c>
      <c r="F54" s="30">
        <v>10.955065011756799</v>
      </c>
      <c r="G54" s="29">
        <v>6.0945999999999998</v>
      </c>
    </row>
    <row r="55" spans="1:9" x14ac:dyDescent="0.2">
      <c r="A55" s="27" t="s">
        <v>85</v>
      </c>
      <c r="B55" s="27" t="s">
        <v>84</v>
      </c>
      <c r="C55" s="27" t="s">
        <v>63</v>
      </c>
      <c r="D55" s="31">
        <v>2600000</v>
      </c>
      <c r="E55" s="29">
        <v>2749.2997999999998</v>
      </c>
      <c r="F55" s="30">
        <v>6.0530989638774502</v>
      </c>
      <c r="G55" s="29">
        <v>5.8490000000000002</v>
      </c>
    </row>
    <row r="56" spans="1:9" x14ac:dyDescent="0.2">
      <c r="A56" s="27" t="s">
        <v>83</v>
      </c>
      <c r="B56" s="27" t="s">
        <v>82</v>
      </c>
      <c r="C56" s="27" t="s">
        <v>63</v>
      </c>
      <c r="D56" s="31">
        <v>1305000</v>
      </c>
      <c r="E56" s="29">
        <v>1366.8426449999999</v>
      </c>
      <c r="F56" s="30">
        <v>3.0093603463081799</v>
      </c>
      <c r="G56" s="29">
        <v>6.2632000000000003</v>
      </c>
    </row>
    <row r="57" spans="1:9" x14ac:dyDescent="0.2">
      <c r="A57" s="27" t="s">
        <v>167</v>
      </c>
      <c r="B57" s="27" t="s">
        <v>166</v>
      </c>
      <c r="C57" s="27" t="s">
        <v>63</v>
      </c>
      <c r="D57" s="31">
        <v>900000</v>
      </c>
      <c r="E57" s="29">
        <v>931.09860000000003</v>
      </c>
      <c r="F57" s="30">
        <v>2.0499881354982601</v>
      </c>
      <c r="G57" s="29">
        <v>5.0149999999999997</v>
      </c>
    </row>
    <row r="58" spans="1:9" x14ac:dyDescent="0.2">
      <c r="A58" s="27" t="s">
        <v>93</v>
      </c>
      <c r="B58" s="27" t="s">
        <v>92</v>
      </c>
      <c r="C58" s="27" t="s">
        <v>63</v>
      </c>
      <c r="D58" s="31">
        <v>200000</v>
      </c>
      <c r="E58" s="29">
        <v>212.50579999999999</v>
      </c>
      <c r="F58" s="30">
        <v>0.46787136048165701</v>
      </c>
      <c r="G58" s="29">
        <v>4.6364000000000001</v>
      </c>
    </row>
    <row r="59" spans="1:9" x14ac:dyDescent="0.2">
      <c r="A59" s="27" t="s">
        <v>87</v>
      </c>
      <c r="B59" s="27" t="s">
        <v>86</v>
      </c>
      <c r="C59" s="27" t="s">
        <v>63</v>
      </c>
      <c r="D59" s="31">
        <v>100000</v>
      </c>
      <c r="E59" s="29">
        <v>99.237799999999993</v>
      </c>
      <c r="F59" s="30">
        <v>0.21849062236045599</v>
      </c>
      <c r="G59" s="29">
        <v>5.4389000000000003</v>
      </c>
    </row>
    <row r="60" spans="1:9" x14ac:dyDescent="0.2">
      <c r="A60" s="26" t="s">
        <v>35</v>
      </c>
      <c r="B60" s="26"/>
      <c r="C60" s="26"/>
      <c r="D60" s="32"/>
      <c r="E60" s="33">
        <f>SUM(E52:E59)</f>
        <v>22638.664049999999</v>
      </c>
      <c r="F60" s="34">
        <f>SUM(F52:F59)</f>
        <v>49.843263330039406</v>
      </c>
      <c r="G60" s="33"/>
      <c r="H60" s="18"/>
      <c r="I60" s="18"/>
    </row>
    <row r="61" spans="1:9" x14ac:dyDescent="0.2">
      <c r="A61" s="27"/>
      <c r="B61" s="27"/>
      <c r="C61" s="27"/>
      <c r="D61" s="28"/>
      <c r="E61" s="29"/>
      <c r="F61" s="30"/>
      <c r="G61" s="29"/>
    </row>
    <row r="62" spans="1:9" x14ac:dyDescent="0.2">
      <c r="A62" s="26" t="s">
        <v>37</v>
      </c>
      <c r="B62" s="26"/>
      <c r="C62" s="26"/>
      <c r="D62" s="32"/>
      <c r="E62" s="33">
        <f>E36+E44+E49+E60</f>
        <v>43871.915577499996</v>
      </c>
      <c r="F62" s="34">
        <f>F36+F44+F49+F60</f>
        <v>96.592247497156919</v>
      </c>
      <c r="G62" s="33"/>
      <c r="H62" s="18"/>
      <c r="I62" s="18"/>
    </row>
    <row r="63" spans="1:9" x14ac:dyDescent="0.2">
      <c r="A63" s="26"/>
      <c r="B63" s="26"/>
      <c r="C63" s="26"/>
      <c r="D63" s="32"/>
      <c r="E63" s="33"/>
      <c r="F63" s="34"/>
      <c r="G63" s="33"/>
      <c r="H63" s="18"/>
      <c r="I63" s="18"/>
    </row>
    <row r="64" spans="1:9" x14ac:dyDescent="0.2">
      <c r="A64" s="26" t="s">
        <v>39</v>
      </c>
      <c r="B64" s="26"/>
      <c r="C64" s="26"/>
      <c r="D64" s="32"/>
      <c r="E64" s="33">
        <f>E66-(E36+E44+E49+E60)</f>
        <v>1547.7911943000072</v>
      </c>
      <c r="F64" s="34">
        <f>F66-(F36+F44+F49+F60)</f>
        <v>3.4077525028430813</v>
      </c>
      <c r="G64" s="33"/>
      <c r="H64" s="18"/>
      <c r="I64" s="18"/>
    </row>
    <row r="65" spans="1:9" x14ac:dyDescent="0.2">
      <c r="A65" s="26"/>
      <c r="B65" s="26"/>
      <c r="C65" s="26"/>
      <c r="D65" s="32"/>
      <c r="E65" s="33"/>
      <c r="F65" s="34"/>
      <c r="G65" s="33"/>
      <c r="H65" s="18"/>
      <c r="I65" s="18"/>
    </row>
    <row r="66" spans="1:9" x14ac:dyDescent="0.2">
      <c r="A66" s="35" t="s">
        <v>38</v>
      </c>
      <c r="B66" s="35"/>
      <c r="C66" s="35"/>
      <c r="D66" s="36"/>
      <c r="E66" s="37">
        <v>45419.706771800003</v>
      </c>
      <c r="F66" s="38">
        <v>100</v>
      </c>
      <c r="G66" s="37"/>
      <c r="H66" s="18"/>
      <c r="I66" s="18"/>
    </row>
    <row r="68" spans="1:9" x14ac:dyDescent="0.2">
      <c r="A68" s="18" t="s">
        <v>64</v>
      </c>
    </row>
    <row r="69" spans="1:9" x14ac:dyDescent="0.2">
      <c r="A69" s="18" t="s">
        <v>40</v>
      </c>
    </row>
    <row r="70" spans="1:9" x14ac:dyDescent="0.2">
      <c r="A70" s="18" t="s">
        <v>1240</v>
      </c>
    </row>
    <row r="72" spans="1:9" x14ac:dyDescent="0.2">
      <c r="A72" s="18" t="s">
        <v>41</v>
      </c>
    </row>
    <row r="73" spans="1:9" x14ac:dyDescent="0.2">
      <c r="A73" s="18" t="s">
        <v>42</v>
      </c>
    </row>
    <row r="74" spans="1:9" x14ac:dyDescent="0.2">
      <c r="A74" s="18" t="s">
        <v>43</v>
      </c>
      <c r="B74" s="18"/>
      <c r="C74" s="39" t="s">
        <v>45</v>
      </c>
      <c r="D74" s="19" t="s">
        <v>44</v>
      </c>
    </row>
    <row r="75" spans="1:9" x14ac:dyDescent="0.2">
      <c r="A75" s="9" t="s">
        <v>68</v>
      </c>
      <c r="C75" s="40">
        <v>145.27369999999999</v>
      </c>
      <c r="D75" s="40">
        <v>154.82169999999999</v>
      </c>
    </row>
    <row r="76" spans="1:9" x14ac:dyDescent="0.2">
      <c r="A76" s="9" t="s">
        <v>74</v>
      </c>
      <c r="C76" s="40">
        <v>16.669699999999999</v>
      </c>
      <c r="D76" s="40">
        <v>17.7653</v>
      </c>
    </row>
    <row r="77" spans="1:9" x14ac:dyDescent="0.2">
      <c r="A77" s="9" t="s">
        <v>71</v>
      </c>
      <c r="C77" s="40">
        <v>153.8252</v>
      </c>
      <c r="D77" s="40">
        <v>164.5549</v>
      </c>
    </row>
    <row r="78" spans="1:9" x14ac:dyDescent="0.2">
      <c r="A78" s="9" t="s">
        <v>75</v>
      </c>
      <c r="C78" s="40">
        <v>17.973199999999999</v>
      </c>
      <c r="D78" s="40">
        <v>19.223400000000002</v>
      </c>
    </row>
    <row r="80" spans="1:9" x14ac:dyDescent="0.2">
      <c r="A80" s="9" t="s">
        <v>46</v>
      </c>
    </row>
    <row r="82" spans="1:5" x14ac:dyDescent="0.2">
      <c r="A82" s="18" t="s">
        <v>47</v>
      </c>
      <c r="D82" s="41" t="s">
        <v>48</v>
      </c>
    </row>
    <row r="84" spans="1:5" x14ac:dyDescent="0.2">
      <c r="A84" s="18" t="s">
        <v>816</v>
      </c>
      <c r="D84" s="42">
        <v>6.09571904015064</v>
      </c>
      <c r="E84" s="13" t="s">
        <v>49</v>
      </c>
    </row>
    <row r="86" spans="1:5" x14ac:dyDescent="0.2">
      <c r="A86" s="18" t="s">
        <v>727</v>
      </c>
      <c r="D86" s="41" t="s">
        <v>48</v>
      </c>
    </row>
    <row r="88" spans="1:5" x14ac:dyDescent="0.2">
      <c r="A88" s="18" t="s">
        <v>817</v>
      </c>
    </row>
    <row r="89" spans="1:5" x14ac:dyDescent="0.2">
      <c r="A89" s="50" t="s">
        <v>51</v>
      </c>
    </row>
  </sheetData>
  <mergeCells count="1">
    <mergeCell ref="A1:G1"/>
  </mergeCells>
  <conditionalFormatting sqref="F2:F3 F5:F65535">
    <cfRule type="cellIs" dxfId="61" priority="1" stopIfTrue="1" operator="between">
      <formula>0.009</formula>
      <formula>-0.009</formula>
    </cfRule>
  </conditionalFormatting>
  <hyperlinks>
    <hyperlink ref="A89" r:id="rId1" tooltip="https://www.franklintempletonindia.com/downloadsServlet/pdf/product-labels-jg9o5k7l"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2"/>
  <sheetViews>
    <sheetView workbookViewId="0">
      <selection sqref="A1:G1"/>
    </sheetView>
  </sheetViews>
  <sheetFormatPr defaultColWidth="9.109375" defaultRowHeight="10.199999999999999" x14ac:dyDescent="0.2"/>
  <cols>
    <col min="1" max="1" width="40.5546875" style="9" bestFit="1" customWidth="1"/>
    <col min="2" max="2" width="51" style="9" bestFit="1" customWidth="1"/>
    <col min="3" max="3" width="2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1090</v>
      </c>
      <c r="B1" s="73"/>
      <c r="C1" s="73"/>
      <c r="D1" s="73"/>
      <c r="E1" s="73"/>
      <c r="F1" s="73"/>
      <c r="G1" s="73"/>
    </row>
    <row r="2" spans="1:7" s="1" customFormat="1" ht="12" x14ac:dyDescent="0.25">
      <c r="A2" s="56" t="s">
        <v>1091</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95</v>
      </c>
      <c r="B5" s="22"/>
      <c r="C5" s="22"/>
      <c r="D5" s="23"/>
      <c r="E5" s="24"/>
      <c r="F5" s="25"/>
      <c r="G5" s="24"/>
    </row>
    <row r="6" spans="1:7" x14ac:dyDescent="0.2">
      <c r="A6" s="26" t="s">
        <v>32</v>
      </c>
      <c r="B6" s="27"/>
      <c r="C6" s="27"/>
      <c r="D6" s="28"/>
      <c r="E6" s="29"/>
      <c r="F6" s="30"/>
      <c r="G6" s="29"/>
    </row>
    <row r="7" spans="1:7" x14ac:dyDescent="0.2">
      <c r="A7" s="27" t="s">
        <v>97</v>
      </c>
      <c r="B7" s="27" t="s">
        <v>96</v>
      </c>
      <c r="C7" s="27" t="s">
        <v>98</v>
      </c>
      <c r="D7" s="31">
        <v>34838</v>
      </c>
      <c r="E7" s="29">
        <v>561.06599000000006</v>
      </c>
      <c r="F7" s="30">
        <v>2.71587604636647</v>
      </c>
      <c r="G7" s="29">
        <v>0</v>
      </c>
    </row>
    <row r="8" spans="1:7" x14ac:dyDescent="0.2">
      <c r="A8" s="27" t="s">
        <v>103</v>
      </c>
      <c r="B8" s="27" t="s">
        <v>102</v>
      </c>
      <c r="C8" s="27" t="s">
        <v>101</v>
      </c>
      <c r="D8" s="31">
        <v>70488</v>
      </c>
      <c r="E8" s="29">
        <v>499.68943200000001</v>
      </c>
      <c r="F8" s="30">
        <v>2.4187788659071399</v>
      </c>
      <c r="G8" s="29">
        <v>0</v>
      </c>
    </row>
    <row r="9" spans="1:7" x14ac:dyDescent="0.2">
      <c r="A9" s="27" t="s">
        <v>105</v>
      </c>
      <c r="B9" s="27" t="s">
        <v>104</v>
      </c>
      <c r="C9" s="27" t="s">
        <v>101</v>
      </c>
      <c r="D9" s="31">
        <v>45874</v>
      </c>
      <c r="E9" s="29">
        <v>313.09005000000002</v>
      </c>
      <c r="F9" s="30">
        <v>1.5155325439538401</v>
      </c>
      <c r="G9" s="29">
        <v>0</v>
      </c>
    </row>
    <row r="10" spans="1:7" x14ac:dyDescent="0.2">
      <c r="A10" s="27" t="s">
        <v>100</v>
      </c>
      <c r="B10" s="27" t="s">
        <v>99</v>
      </c>
      <c r="C10" s="27" t="s">
        <v>101</v>
      </c>
      <c r="D10" s="31">
        <v>18986</v>
      </c>
      <c r="E10" s="29">
        <v>270.82579700000002</v>
      </c>
      <c r="F10" s="30">
        <v>1.31094970630889</v>
      </c>
      <c r="G10" s="29">
        <v>0</v>
      </c>
    </row>
    <row r="11" spans="1:7" x14ac:dyDescent="0.2">
      <c r="A11" s="27" t="s">
        <v>113</v>
      </c>
      <c r="B11" s="27" t="s">
        <v>112</v>
      </c>
      <c r="C11" s="27" t="s">
        <v>114</v>
      </c>
      <c r="D11" s="31">
        <v>24500</v>
      </c>
      <c r="E11" s="29">
        <v>259.50400000000002</v>
      </c>
      <c r="F11" s="30">
        <v>1.2561458190261801</v>
      </c>
      <c r="G11" s="29">
        <v>0</v>
      </c>
    </row>
    <row r="12" spans="1:7" x14ac:dyDescent="0.2">
      <c r="A12" s="27" t="s">
        <v>141</v>
      </c>
      <c r="B12" s="27" t="s">
        <v>140</v>
      </c>
      <c r="C12" s="27" t="s">
        <v>142</v>
      </c>
      <c r="D12" s="31">
        <v>138568</v>
      </c>
      <c r="E12" s="29">
        <v>237.159132</v>
      </c>
      <c r="F12" s="30">
        <v>1.1479840468959199</v>
      </c>
      <c r="G12" s="29">
        <v>0</v>
      </c>
    </row>
    <row r="13" spans="1:7" x14ac:dyDescent="0.2">
      <c r="A13" s="27" t="s">
        <v>169</v>
      </c>
      <c r="B13" s="27" t="s">
        <v>168</v>
      </c>
      <c r="C13" s="27" t="s">
        <v>122</v>
      </c>
      <c r="D13" s="31">
        <v>33697</v>
      </c>
      <c r="E13" s="29">
        <v>210.92637149999999</v>
      </c>
      <c r="F13" s="30">
        <v>1.0210026808145101</v>
      </c>
      <c r="G13" s="29">
        <v>0</v>
      </c>
    </row>
    <row r="14" spans="1:7" x14ac:dyDescent="0.2">
      <c r="A14" s="27" t="s">
        <v>110</v>
      </c>
      <c r="B14" s="27" t="s">
        <v>109</v>
      </c>
      <c r="C14" s="27" t="s">
        <v>111</v>
      </c>
      <c r="D14" s="31">
        <v>36903</v>
      </c>
      <c r="E14" s="29">
        <v>207.26569950000001</v>
      </c>
      <c r="F14" s="30">
        <v>1.0032829623222099</v>
      </c>
      <c r="G14" s="29">
        <v>0</v>
      </c>
    </row>
    <row r="15" spans="1:7" x14ac:dyDescent="0.2">
      <c r="A15" s="27" t="s">
        <v>132</v>
      </c>
      <c r="B15" s="27" t="s">
        <v>131</v>
      </c>
      <c r="C15" s="27" t="s">
        <v>133</v>
      </c>
      <c r="D15" s="31">
        <v>4300</v>
      </c>
      <c r="E15" s="29">
        <v>202.58160000000001</v>
      </c>
      <c r="F15" s="30">
        <v>0.98060927712726598</v>
      </c>
      <c r="G15" s="29">
        <v>0</v>
      </c>
    </row>
    <row r="16" spans="1:7" x14ac:dyDescent="0.2">
      <c r="A16" s="27" t="s">
        <v>127</v>
      </c>
      <c r="B16" s="27" t="s">
        <v>126</v>
      </c>
      <c r="C16" s="27" t="s">
        <v>125</v>
      </c>
      <c r="D16" s="31">
        <v>55586</v>
      </c>
      <c r="E16" s="29">
        <v>192.38314600000001</v>
      </c>
      <c r="F16" s="30">
        <v>0.93124300395756199</v>
      </c>
      <c r="G16" s="29">
        <v>0</v>
      </c>
    </row>
    <row r="17" spans="1:9" x14ac:dyDescent="0.2">
      <c r="A17" s="27" t="s">
        <v>116</v>
      </c>
      <c r="B17" s="27" t="s">
        <v>115</v>
      </c>
      <c r="C17" s="27" t="s">
        <v>117</v>
      </c>
      <c r="D17" s="31">
        <v>41457</v>
      </c>
      <c r="E17" s="29">
        <v>184.40073599999999</v>
      </c>
      <c r="F17" s="30">
        <v>0.89260363444012603</v>
      </c>
      <c r="G17" s="29">
        <v>0</v>
      </c>
    </row>
    <row r="18" spans="1:9" x14ac:dyDescent="0.2">
      <c r="A18" s="27" t="s">
        <v>107</v>
      </c>
      <c r="B18" s="27" t="s">
        <v>106</v>
      </c>
      <c r="C18" s="27" t="s">
        <v>108</v>
      </c>
      <c r="D18" s="31">
        <v>7500</v>
      </c>
      <c r="E18" s="29">
        <v>178.03874999999999</v>
      </c>
      <c r="F18" s="30">
        <v>0.861808031618578</v>
      </c>
      <c r="G18" s="29">
        <v>0</v>
      </c>
    </row>
    <row r="19" spans="1:9" x14ac:dyDescent="0.2">
      <c r="A19" s="27" t="s">
        <v>121</v>
      </c>
      <c r="B19" s="27" t="s">
        <v>120</v>
      </c>
      <c r="C19" s="27" t="s">
        <v>122</v>
      </c>
      <c r="D19" s="31">
        <v>9526</v>
      </c>
      <c r="E19" s="29">
        <v>162.361144</v>
      </c>
      <c r="F19" s="30">
        <v>0.78591957044171801</v>
      </c>
      <c r="G19" s="29">
        <v>0</v>
      </c>
    </row>
    <row r="20" spans="1:9" x14ac:dyDescent="0.2">
      <c r="A20" s="27" t="s">
        <v>146</v>
      </c>
      <c r="B20" s="27" t="s">
        <v>145</v>
      </c>
      <c r="C20" s="27" t="s">
        <v>122</v>
      </c>
      <c r="D20" s="31">
        <v>10000</v>
      </c>
      <c r="E20" s="29">
        <v>142.86000000000001</v>
      </c>
      <c r="F20" s="30">
        <v>0.69152302741414395</v>
      </c>
      <c r="G20" s="29">
        <v>0</v>
      </c>
    </row>
    <row r="21" spans="1:9" x14ac:dyDescent="0.2">
      <c r="A21" s="27" t="s">
        <v>151</v>
      </c>
      <c r="B21" s="27" t="s">
        <v>150</v>
      </c>
      <c r="C21" s="27" t="s">
        <v>130</v>
      </c>
      <c r="D21" s="31">
        <v>30000</v>
      </c>
      <c r="E21" s="29">
        <v>133.65</v>
      </c>
      <c r="F21" s="30">
        <v>0.64694142946871303</v>
      </c>
      <c r="G21" s="29">
        <v>0</v>
      </c>
    </row>
    <row r="22" spans="1:9" x14ac:dyDescent="0.2">
      <c r="A22" s="27" t="s">
        <v>135</v>
      </c>
      <c r="B22" s="27" t="s">
        <v>134</v>
      </c>
      <c r="C22" s="27" t="s">
        <v>101</v>
      </c>
      <c r="D22" s="31">
        <v>29755</v>
      </c>
      <c r="E22" s="29">
        <v>128.48209</v>
      </c>
      <c r="F22" s="30">
        <v>0.62192582840050803</v>
      </c>
      <c r="G22" s="29">
        <v>0</v>
      </c>
    </row>
    <row r="23" spans="1:9" x14ac:dyDescent="0.2">
      <c r="A23" s="27" t="s">
        <v>119</v>
      </c>
      <c r="B23" s="27" t="s">
        <v>118</v>
      </c>
      <c r="C23" s="27" t="s">
        <v>101</v>
      </c>
      <c r="D23" s="31">
        <v>5409</v>
      </c>
      <c r="E23" s="29">
        <v>89.508132000000003</v>
      </c>
      <c r="F23" s="30">
        <v>0.43326987553426299</v>
      </c>
      <c r="G23" s="29">
        <v>0</v>
      </c>
    </row>
    <row r="24" spans="1:9" x14ac:dyDescent="0.2">
      <c r="A24" s="27" t="s">
        <v>155</v>
      </c>
      <c r="B24" s="27" t="s">
        <v>154</v>
      </c>
      <c r="C24" s="27" t="s">
        <v>156</v>
      </c>
      <c r="D24" s="31">
        <v>35367</v>
      </c>
      <c r="E24" s="29">
        <v>79.310497499999997</v>
      </c>
      <c r="F24" s="30">
        <v>0.38390756920706898</v>
      </c>
      <c r="G24" s="29">
        <v>0</v>
      </c>
    </row>
    <row r="25" spans="1:9" x14ac:dyDescent="0.2">
      <c r="A25" s="27" t="s">
        <v>148</v>
      </c>
      <c r="B25" s="27" t="s">
        <v>147</v>
      </c>
      <c r="C25" s="27" t="s">
        <v>149</v>
      </c>
      <c r="D25" s="31">
        <v>8641</v>
      </c>
      <c r="E25" s="29">
        <v>64.211270999999996</v>
      </c>
      <c r="F25" s="30">
        <v>0.31081879123638601</v>
      </c>
      <c r="G25" s="29">
        <v>0</v>
      </c>
    </row>
    <row r="26" spans="1:9" x14ac:dyDescent="0.2">
      <c r="A26" s="27" t="s">
        <v>162</v>
      </c>
      <c r="B26" s="27" t="s">
        <v>161</v>
      </c>
      <c r="C26" s="27" t="s">
        <v>149</v>
      </c>
      <c r="D26" s="31">
        <v>20000</v>
      </c>
      <c r="E26" s="29">
        <v>58.79</v>
      </c>
      <c r="F26" s="30">
        <v>0.284576779936144</v>
      </c>
      <c r="G26" s="29">
        <v>0</v>
      </c>
    </row>
    <row r="27" spans="1:9" x14ac:dyDescent="0.2">
      <c r="A27" s="27" t="s">
        <v>171</v>
      </c>
      <c r="B27" s="27" t="s">
        <v>170</v>
      </c>
      <c r="C27" s="27" t="s">
        <v>172</v>
      </c>
      <c r="D27" s="31">
        <v>3254</v>
      </c>
      <c r="E27" s="29">
        <v>50.480929000000003</v>
      </c>
      <c r="F27" s="30">
        <v>0.24435618681757301</v>
      </c>
      <c r="G27" s="29">
        <v>0</v>
      </c>
    </row>
    <row r="28" spans="1:9" x14ac:dyDescent="0.2">
      <c r="A28" s="27" t="s">
        <v>158</v>
      </c>
      <c r="B28" s="27" t="s">
        <v>157</v>
      </c>
      <c r="C28" s="27" t="s">
        <v>133</v>
      </c>
      <c r="D28" s="31">
        <v>7700</v>
      </c>
      <c r="E28" s="29">
        <v>45.1297</v>
      </c>
      <c r="F28" s="30">
        <v>0.218453218327678</v>
      </c>
      <c r="G28" s="29">
        <v>0</v>
      </c>
    </row>
    <row r="29" spans="1:9" x14ac:dyDescent="0.2">
      <c r="A29" s="27" t="s">
        <v>163</v>
      </c>
      <c r="B29" s="27" t="s">
        <v>1239</v>
      </c>
      <c r="C29" s="27" t="s">
        <v>156</v>
      </c>
      <c r="D29" s="31">
        <v>4133</v>
      </c>
      <c r="E29" s="29">
        <v>9.2682524999999991</v>
      </c>
      <c r="F29" s="30">
        <v>4.4863572922012498E-2</v>
      </c>
      <c r="G29" s="29">
        <v>0</v>
      </c>
    </row>
    <row r="30" spans="1:9" x14ac:dyDescent="0.2">
      <c r="A30" s="27" t="s">
        <v>174</v>
      </c>
      <c r="B30" s="27" t="s">
        <v>173</v>
      </c>
      <c r="C30" s="27" t="s">
        <v>175</v>
      </c>
      <c r="D30" s="31">
        <v>581</v>
      </c>
      <c r="E30" s="29">
        <v>0.83257300000000001</v>
      </c>
      <c r="F30" s="30">
        <v>4.0301232080587699E-3</v>
      </c>
      <c r="G30" s="29">
        <v>0</v>
      </c>
    </row>
    <row r="31" spans="1:9" x14ac:dyDescent="0.2">
      <c r="A31" s="26" t="s">
        <v>35</v>
      </c>
      <c r="B31" s="26"/>
      <c r="C31" s="26"/>
      <c r="D31" s="32"/>
      <c r="E31" s="33">
        <f>SUM(E7:E30)</f>
        <v>4281.8152930000015</v>
      </c>
      <c r="F31" s="34">
        <f>SUM(F7:F30)</f>
        <v>20.726402591652953</v>
      </c>
      <c r="G31" s="33"/>
      <c r="H31" s="18"/>
      <c r="I31" s="18"/>
    </row>
    <row r="32" spans="1:9" x14ac:dyDescent="0.2">
      <c r="A32" s="27"/>
      <c r="B32" s="27"/>
      <c r="C32" s="27"/>
      <c r="D32" s="28"/>
      <c r="E32" s="29"/>
      <c r="F32" s="30"/>
      <c r="G32" s="29"/>
    </row>
    <row r="33" spans="1:9" x14ac:dyDescent="0.2">
      <c r="A33" s="26" t="s">
        <v>176</v>
      </c>
      <c r="B33" s="27"/>
      <c r="C33" s="27"/>
      <c r="D33" s="28"/>
      <c r="E33" s="29"/>
      <c r="F33" s="30"/>
      <c r="G33" s="29"/>
    </row>
    <row r="34" spans="1:9" x14ac:dyDescent="0.2">
      <c r="A34" s="27" t="s">
        <v>178</v>
      </c>
      <c r="B34" s="27" t="s">
        <v>177</v>
      </c>
      <c r="C34" s="27" t="s">
        <v>360</v>
      </c>
      <c r="D34" s="31">
        <v>178600</v>
      </c>
      <c r="E34" s="29">
        <v>646.15693999999996</v>
      </c>
      <c r="F34" s="30">
        <v>3.12776426804886</v>
      </c>
      <c r="G34" s="29">
        <v>0</v>
      </c>
    </row>
    <row r="35" spans="1:9" x14ac:dyDescent="0.2">
      <c r="A35" s="26" t="s">
        <v>35</v>
      </c>
      <c r="B35" s="26"/>
      <c r="C35" s="26"/>
      <c r="D35" s="32"/>
      <c r="E35" s="33">
        <f>SUM(E33:E34)</f>
        <v>646.15693999999996</v>
      </c>
      <c r="F35" s="34">
        <f>SUM(F33:F34)</f>
        <v>3.12776426804886</v>
      </c>
      <c r="G35" s="33"/>
      <c r="H35" s="18"/>
      <c r="I35" s="18"/>
    </row>
    <row r="36" spans="1:9" x14ac:dyDescent="0.2">
      <c r="A36" s="27"/>
      <c r="B36" s="27"/>
      <c r="C36" s="27"/>
      <c r="D36" s="28"/>
      <c r="E36" s="29"/>
      <c r="F36" s="30"/>
      <c r="G36" s="29"/>
    </row>
    <row r="37" spans="1:9" x14ac:dyDescent="0.2">
      <c r="A37" s="26" t="s">
        <v>1092</v>
      </c>
      <c r="B37" s="27"/>
      <c r="C37" s="27"/>
      <c r="D37" s="28"/>
      <c r="E37" s="29"/>
      <c r="F37" s="30"/>
      <c r="G37" s="29"/>
    </row>
    <row r="38" spans="1:9" x14ac:dyDescent="0.2">
      <c r="A38" s="27" t="s">
        <v>180</v>
      </c>
      <c r="B38" s="27" t="s">
        <v>179</v>
      </c>
      <c r="C38" s="27" t="s">
        <v>142</v>
      </c>
      <c r="D38" s="31">
        <v>80300</v>
      </c>
      <c r="E38" s="29">
        <v>95.524879999999996</v>
      </c>
      <c r="F38" s="30">
        <v>0.46239433159017801</v>
      </c>
      <c r="G38" s="29">
        <v>0</v>
      </c>
    </row>
    <row r="39" spans="1:9" x14ac:dyDescent="0.2">
      <c r="A39" s="26" t="s">
        <v>35</v>
      </c>
      <c r="B39" s="26"/>
      <c r="C39" s="26"/>
      <c r="D39" s="32"/>
      <c r="E39" s="33">
        <f>SUM(E37:E38)</f>
        <v>95.524879999999996</v>
      </c>
      <c r="F39" s="34">
        <f>SUM(F37:F38)</f>
        <v>0.46239433159017801</v>
      </c>
      <c r="G39" s="33"/>
      <c r="H39" s="18"/>
      <c r="I39" s="18"/>
    </row>
    <row r="40" spans="1:9" x14ac:dyDescent="0.2">
      <c r="A40" s="27"/>
      <c r="B40" s="27"/>
      <c r="C40" s="27"/>
      <c r="D40" s="28"/>
      <c r="E40" s="29"/>
      <c r="F40" s="30"/>
      <c r="G40" s="29"/>
    </row>
    <row r="41" spans="1:9" x14ac:dyDescent="0.2">
      <c r="A41" s="26" t="s">
        <v>31</v>
      </c>
      <c r="B41" s="27"/>
      <c r="C41" s="27"/>
      <c r="D41" s="28"/>
      <c r="E41" s="29"/>
      <c r="F41" s="30"/>
      <c r="G41" s="29"/>
    </row>
    <row r="42" spans="1:9" x14ac:dyDescent="0.2">
      <c r="A42" s="26" t="s">
        <v>32</v>
      </c>
      <c r="B42" s="27"/>
      <c r="C42" s="27"/>
      <c r="D42" s="28"/>
      <c r="E42" s="29"/>
      <c r="F42" s="30"/>
      <c r="G42" s="29"/>
    </row>
    <row r="43" spans="1:9" x14ac:dyDescent="0.2">
      <c r="A43" s="27" t="s">
        <v>165</v>
      </c>
      <c r="B43" s="27" t="s">
        <v>164</v>
      </c>
      <c r="C43" s="27" t="s">
        <v>34</v>
      </c>
      <c r="D43" s="31">
        <v>200</v>
      </c>
      <c r="E43" s="29">
        <v>2072.0720000000001</v>
      </c>
      <c r="F43" s="30">
        <v>10.0299979172622</v>
      </c>
      <c r="G43" s="29">
        <v>4.7249999999999996</v>
      </c>
    </row>
    <row r="44" spans="1:9" x14ac:dyDescent="0.2">
      <c r="A44" s="27" t="s">
        <v>953</v>
      </c>
      <c r="B44" s="27" t="s">
        <v>954</v>
      </c>
      <c r="C44" s="27" t="s">
        <v>34</v>
      </c>
      <c r="D44" s="31">
        <v>50</v>
      </c>
      <c r="E44" s="29">
        <v>546.48749999999995</v>
      </c>
      <c r="F44" s="30">
        <v>2.64530792694937</v>
      </c>
      <c r="G44" s="29">
        <v>5.9292999999999996</v>
      </c>
    </row>
    <row r="45" spans="1:9" x14ac:dyDescent="0.2">
      <c r="A45" s="26" t="s">
        <v>35</v>
      </c>
      <c r="B45" s="26"/>
      <c r="C45" s="26"/>
      <c r="D45" s="32"/>
      <c r="E45" s="33">
        <f>SUM(E42:E44)</f>
        <v>2618.5595000000003</v>
      </c>
      <c r="F45" s="34">
        <f>SUM(F42:F44)</f>
        <v>12.67530584421157</v>
      </c>
      <c r="G45" s="33"/>
      <c r="H45" s="18"/>
      <c r="I45" s="18"/>
    </row>
    <row r="46" spans="1:9" x14ac:dyDescent="0.2">
      <c r="A46" s="27"/>
      <c r="B46" s="27"/>
      <c r="C46" s="27"/>
      <c r="D46" s="28"/>
      <c r="E46" s="29"/>
      <c r="F46" s="30"/>
      <c r="G46" s="29"/>
    </row>
    <row r="47" spans="1:9" x14ac:dyDescent="0.2">
      <c r="A47" s="26" t="s">
        <v>52</v>
      </c>
      <c r="B47" s="27"/>
      <c r="C47" s="27"/>
      <c r="D47" s="28"/>
      <c r="E47" s="29"/>
      <c r="F47" s="30"/>
      <c r="G47" s="29"/>
    </row>
    <row r="48" spans="1:9" x14ac:dyDescent="0.2">
      <c r="A48" s="26" t="s">
        <v>53</v>
      </c>
      <c r="B48" s="27"/>
      <c r="C48" s="27"/>
      <c r="D48" s="28"/>
      <c r="E48" s="29"/>
      <c r="F48" s="30"/>
      <c r="G48" s="29"/>
    </row>
    <row r="49" spans="1:9" x14ac:dyDescent="0.2">
      <c r="A49" s="27" t="s">
        <v>182</v>
      </c>
      <c r="B49" s="27" t="s">
        <v>181</v>
      </c>
      <c r="C49" s="27" t="s">
        <v>55</v>
      </c>
      <c r="D49" s="31">
        <v>500</v>
      </c>
      <c r="E49" s="29">
        <v>490.06</v>
      </c>
      <c r="F49" s="30">
        <v>2.3721669803624201</v>
      </c>
      <c r="G49" s="29">
        <v>3.665</v>
      </c>
    </row>
    <row r="50" spans="1:9" x14ac:dyDescent="0.2">
      <c r="A50" s="26" t="s">
        <v>35</v>
      </c>
      <c r="B50" s="26"/>
      <c r="C50" s="26"/>
      <c r="D50" s="32"/>
      <c r="E50" s="33">
        <f>SUM(E48:E49)</f>
        <v>490.06</v>
      </c>
      <c r="F50" s="34">
        <f>SUM(F48:F49)</f>
        <v>2.3721669803624201</v>
      </c>
      <c r="G50" s="33"/>
      <c r="H50" s="18"/>
      <c r="I50" s="18"/>
    </row>
    <row r="51" spans="1:9" x14ac:dyDescent="0.2">
      <c r="A51" s="27"/>
      <c r="B51" s="27"/>
      <c r="C51" s="27"/>
      <c r="D51" s="28"/>
      <c r="E51" s="29"/>
      <c r="F51" s="30"/>
      <c r="G51" s="29"/>
    </row>
    <row r="52" spans="1:9" x14ac:dyDescent="0.2">
      <c r="A52" s="26" t="s">
        <v>56</v>
      </c>
      <c r="B52" s="27"/>
      <c r="C52" s="27"/>
      <c r="D52" s="28"/>
      <c r="E52" s="29"/>
      <c r="F52" s="30"/>
      <c r="G52" s="29"/>
    </row>
    <row r="53" spans="1:9" x14ac:dyDescent="0.2">
      <c r="A53" s="27" t="s">
        <v>1088</v>
      </c>
      <c r="B53" s="27" t="s">
        <v>1089</v>
      </c>
      <c r="C53" s="27" t="s">
        <v>54</v>
      </c>
      <c r="D53" s="31">
        <v>100</v>
      </c>
      <c r="E53" s="29">
        <v>493.31849999999997</v>
      </c>
      <c r="F53" s="30">
        <v>2.3879399593966402</v>
      </c>
      <c r="G53" s="29">
        <v>3.6351</v>
      </c>
    </row>
    <row r="54" spans="1:9" x14ac:dyDescent="0.2">
      <c r="A54" s="26" t="s">
        <v>35</v>
      </c>
      <c r="B54" s="26"/>
      <c r="C54" s="26"/>
      <c r="D54" s="32"/>
      <c r="E54" s="33">
        <f>SUM(E52:E53)</f>
        <v>493.31849999999997</v>
      </c>
      <c r="F54" s="34">
        <f>SUM(F52:F53)</f>
        <v>2.3879399593966402</v>
      </c>
      <c r="G54" s="33"/>
      <c r="H54" s="18"/>
      <c r="I54" s="18"/>
    </row>
    <row r="55" spans="1:9" x14ac:dyDescent="0.2">
      <c r="A55" s="27"/>
      <c r="B55" s="27"/>
      <c r="C55" s="27"/>
      <c r="D55" s="28"/>
      <c r="E55" s="29"/>
      <c r="F55" s="30"/>
      <c r="G55" s="29"/>
    </row>
    <row r="56" spans="1:9" x14ac:dyDescent="0.2">
      <c r="A56" s="26" t="s">
        <v>62</v>
      </c>
      <c r="B56" s="27"/>
      <c r="C56" s="27"/>
      <c r="D56" s="28"/>
      <c r="E56" s="29"/>
      <c r="F56" s="30"/>
      <c r="G56" s="29"/>
    </row>
    <row r="57" spans="1:9" x14ac:dyDescent="0.2">
      <c r="A57" s="27" t="s">
        <v>79</v>
      </c>
      <c r="B57" s="27" t="s">
        <v>78</v>
      </c>
      <c r="C57" s="27" t="s">
        <v>63</v>
      </c>
      <c r="D57" s="31">
        <v>3500000</v>
      </c>
      <c r="E57" s="29">
        <v>3449.9430000000002</v>
      </c>
      <c r="F57" s="30">
        <v>16.699671200939601</v>
      </c>
      <c r="G57" s="29">
        <v>5.5278999999999998</v>
      </c>
    </row>
    <row r="58" spans="1:9" x14ac:dyDescent="0.2">
      <c r="A58" s="27" t="s">
        <v>83</v>
      </c>
      <c r="B58" s="27" t="s">
        <v>82</v>
      </c>
      <c r="C58" s="27" t="s">
        <v>63</v>
      </c>
      <c r="D58" s="31">
        <v>2100000</v>
      </c>
      <c r="E58" s="29">
        <v>2199.5169000000001</v>
      </c>
      <c r="F58" s="30">
        <v>10.6469031606928</v>
      </c>
      <c r="G58" s="29">
        <v>6.2632000000000003</v>
      </c>
    </row>
    <row r="59" spans="1:9" x14ac:dyDescent="0.2">
      <c r="A59" s="27" t="s">
        <v>81</v>
      </c>
      <c r="B59" s="27" t="s">
        <v>80</v>
      </c>
      <c r="C59" s="27" t="s">
        <v>63</v>
      </c>
      <c r="D59" s="31">
        <v>1695000</v>
      </c>
      <c r="E59" s="29">
        <v>1751.5909650000001</v>
      </c>
      <c r="F59" s="30">
        <v>8.4786888345797493</v>
      </c>
      <c r="G59" s="29">
        <v>6.0945999999999998</v>
      </c>
    </row>
    <row r="60" spans="1:9" x14ac:dyDescent="0.2">
      <c r="A60" s="27" t="s">
        <v>77</v>
      </c>
      <c r="B60" s="27" t="s">
        <v>76</v>
      </c>
      <c r="C60" s="27" t="s">
        <v>63</v>
      </c>
      <c r="D60" s="31">
        <v>1500000</v>
      </c>
      <c r="E60" s="29">
        <v>1474.8389999999999</v>
      </c>
      <c r="F60" s="30">
        <v>7.1390531305365403</v>
      </c>
      <c r="G60" s="29">
        <v>6.8277999999999999</v>
      </c>
    </row>
    <row r="61" spans="1:9" x14ac:dyDescent="0.2">
      <c r="A61" s="27" t="s">
        <v>167</v>
      </c>
      <c r="B61" s="27" t="s">
        <v>166</v>
      </c>
      <c r="C61" s="27" t="s">
        <v>63</v>
      </c>
      <c r="D61" s="31">
        <v>800000</v>
      </c>
      <c r="E61" s="29">
        <v>827.64319999999998</v>
      </c>
      <c r="F61" s="30">
        <v>4.0062601937752396</v>
      </c>
      <c r="G61" s="29">
        <v>5.0149999999999997</v>
      </c>
    </row>
    <row r="62" spans="1:9" x14ac:dyDescent="0.2">
      <c r="A62" s="27" t="s">
        <v>87</v>
      </c>
      <c r="B62" s="27" t="s">
        <v>86</v>
      </c>
      <c r="C62" s="27" t="s">
        <v>63</v>
      </c>
      <c r="D62" s="31">
        <v>600000</v>
      </c>
      <c r="E62" s="29">
        <v>595.42679999999996</v>
      </c>
      <c r="F62" s="30">
        <v>2.88220175934143</v>
      </c>
      <c r="G62" s="29">
        <v>5.4389000000000003</v>
      </c>
    </row>
    <row r="63" spans="1:9" x14ac:dyDescent="0.2">
      <c r="A63" s="27" t="s">
        <v>93</v>
      </c>
      <c r="B63" s="27" t="s">
        <v>92</v>
      </c>
      <c r="C63" s="27" t="s">
        <v>63</v>
      </c>
      <c r="D63" s="31">
        <v>200000</v>
      </c>
      <c r="E63" s="29">
        <v>212.50579999999999</v>
      </c>
      <c r="F63" s="30">
        <v>1.0286480061533301</v>
      </c>
      <c r="G63" s="29">
        <v>4.6364000000000001</v>
      </c>
    </row>
    <row r="64" spans="1:9" x14ac:dyDescent="0.2">
      <c r="A64" s="26" t="s">
        <v>35</v>
      </c>
      <c r="B64" s="26"/>
      <c r="C64" s="26"/>
      <c r="D64" s="32"/>
      <c r="E64" s="33">
        <f>SUM(E57:E63)</f>
        <v>10511.465665000002</v>
      </c>
      <c r="F64" s="34">
        <f>SUM(F57:F63)</f>
        <v>50.881426286018687</v>
      </c>
      <c r="G64" s="33"/>
      <c r="H64" s="18"/>
      <c r="I64" s="18"/>
    </row>
    <row r="65" spans="1:9" x14ac:dyDescent="0.2">
      <c r="A65" s="27"/>
      <c r="B65" s="27"/>
      <c r="C65" s="27"/>
      <c r="D65" s="28"/>
      <c r="E65" s="29"/>
      <c r="F65" s="30"/>
      <c r="G65" s="29"/>
    </row>
    <row r="66" spans="1:9" x14ac:dyDescent="0.2">
      <c r="A66" s="26" t="s">
        <v>37</v>
      </c>
      <c r="B66" s="26"/>
      <c r="C66" s="26"/>
      <c r="D66" s="32"/>
      <c r="E66" s="33">
        <f>E31+E35+E39+E45+E50+E54+E64</f>
        <v>19136.900778000003</v>
      </c>
      <c r="F66" s="34">
        <f>F31+F35+F39+F45+F50+F54+F64</f>
        <v>92.633400261281309</v>
      </c>
      <c r="G66" s="33"/>
      <c r="H66" s="18"/>
      <c r="I66" s="18"/>
    </row>
    <row r="67" spans="1:9" x14ac:dyDescent="0.2">
      <c r="A67" s="26"/>
      <c r="B67" s="26"/>
      <c r="C67" s="26"/>
      <c r="D67" s="32"/>
      <c r="E67" s="33"/>
      <c r="F67" s="34"/>
      <c r="G67" s="33"/>
      <c r="H67" s="18"/>
      <c r="I67" s="18"/>
    </row>
    <row r="68" spans="1:9" x14ac:dyDescent="0.2">
      <c r="A68" s="26" t="s">
        <v>39</v>
      </c>
      <c r="B68" s="26"/>
      <c r="C68" s="26"/>
      <c r="D68" s="32"/>
      <c r="E68" s="33">
        <f>E70-(E31+E35+E39+E45+E50+E54+E64)</f>
        <v>1521.8472804999983</v>
      </c>
      <c r="F68" s="34">
        <f>F70-(F31+F35+F39+F45+F50+F54+F64)</f>
        <v>7.3665997387186906</v>
      </c>
      <c r="G68" s="33"/>
      <c r="H68" s="18"/>
      <c r="I68" s="18"/>
    </row>
    <row r="69" spans="1:9" x14ac:dyDescent="0.2">
      <c r="A69" s="26"/>
      <c r="B69" s="26"/>
      <c r="C69" s="26"/>
      <c r="D69" s="32"/>
      <c r="E69" s="33"/>
      <c r="F69" s="34"/>
      <c r="G69" s="33"/>
      <c r="H69" s="18"/>
      <c r="I69" s="18"/>
    </row>
    <row r="70" spans="1:9" x14ac:dyDescent="0.2">
      <c r="A70" s="35" t="s">
        <v>38</v>
      </c>
      <c r="B70" s="35"/>
      <c r="C70" s="35"/>
      <c r="D70" s="36"/>
      <c r="E70" s="37">
        <v>20658.748058500001</v>
      </c>
      <c r="F70" s="38">
        <v>100</v>
      </c>
      <c r="G70" s="37"/>
      <c r="H70" s="18"/>
      <c r="I70" s="18"/>
    </row>
    <row r="72" spans="1:9" x14ac:dyDescent="0.2">
      <c r="A72" s="18" t="s">
        <v>64</v>
      </c>
    </row>
    <row r="73" spans="1:9" x14ac:dyDescent="0.2">
      <c r="A73" s="18" t="s">
        <v>40</v>
      </c>
    </row>
    <row r="74" spans="1:9" x14ac:dyDescent="0.2">
      <c r="A74" s="18" t="s">
        <v>1240</v>
      </c>
    </row>
    <row r="76" spans="1:9" x14ac:dyDescent="0.2">
      <c r="A76" s="18" t="s">
        <v>41</v>
      </c>
    </row>
    <row r="77" spans="1:9" x14ac:dyDescent="0.2">
      <c r="A77" s="18" t="s">
        <v>42</v>
      </c>
    </row>
    <row r="78" spans="1:9" x14ac:dyDescent="0.2">
      <c r="A78" s="18" t="s">
        <v>43</v>
      </c>
      <c r="B78" s="18"/>
      <c r="C78" s="39" t="s">
        <v>45</v>
      </c>
      <c r="D78" s="19" t="s">
        <v>44</v>
      </c>
    </row>
    <row r="79" spans="1:9" x14ac:dyDescent="0.2">
      <c r="A79" s="9" t="s">
        <v>68</v>
      </c>
      <c r="C79" s="40">
        <v>62.877499999999998</v>
      </c>
      <c r="D79" s="40">
        <v>66.3245</v>
      </c>
    </row>
    <row r="80" spans="1:9" x14ac:dyDescent="0.2">
      <c r="A80" s="9" t="s">
        <v>69</v>
      </c>
      <c r="C80" s="40">
        <v>13.070600000000001</v>
      </c>
      <c r="D80" s="40">
        <v>13.2668</v>
      </c>
    </row>
    <row r="81" spans="1:5" x14ac:dyDescent="0.2">
      <c r="A81" s="9" t="s">
        <v>70</v>
      </c>
      <c r="C81" s="40">
        <v>12.4651</v>
      </c>
      <c r="D81" s="40">
        <v>12.617100000000001</v>
      </c>
    </row>
    <row r="82" spans="1:5" x14ac:dyDescent="0.2">
      <c r="A82" s="9" t="s">
        <v>71</v>
      </c>
      <c r="C82" s="40">
        <v>66.820999999999998</v>
      </c>
      <c r="D82" s="40">
        <v>70.730800000000002</v>
      </c>
    </row>
    <row r="83" spans="1:5" x14ac:dyDescent="0.2">
      <c r="A83" s="9" t="s">
        <v>72</v>
      </c>
      <c r="C83" s="40">
        <v>14.154299999999999</v>
      </c>
      <c r="D83" s="40">
        <v>14.4537</v>
      </c>
    </row>
    <row r="84" spans="1:5" x14ac:dyDescent="0.2">
      <c r="A84" s="9" t="s">
        <v>73</v>
      </c>
      <c r="C84" s="40">
        <v>13.511100000000001</v>
      </c>
      <c r="D84" s="40">
        <v>13.763199999999999</v>
      </c>
    </row>
    <row r="86" spans="1:5" x14ac:dyDescent="0.2">
      <c r="A86" s="18" t="s">
        <v>47</v>
      </c>
    </row>
    <row r="87" spans="1:5" x14ac:dyDescent="0.2">
      <c r="A87" s="74" t="s">
        <v>65</v>
      </c>
      <c r="B87" s="75"/>
      <c r="C87" s="43" t="s">
        <v>66</v>
      </c>
    </row>
    <row r="88" spans="1:5" x14ac:dyDescent="0.2">
      <c r="A88" s="70" t="s">
        <v>69</v>
      </c>
      <c r="B88" s="71"/>
      <c r="C88" s="44">
        <v>0.442</v>
      </c>
    </row>
    <row r="89" spans="1:5" x14ac:dyDescent="0.2">
      <c r="A89" s="70" t="s">
        <v>70</v>
      </c>
      <c r="B89" s="71"/>
      <c r="C89" s="44">
        <v>0.52</v>
      </c>
    </row>
    <row r="90" spans="1:5" x14ac:dyDescent="0.2">
      <c r="A90" s="70" t="s">
        <v>72</v>
      </c>
      <c r="B90" s="71"/>
      <c r="C90" s="44">
        <v>0.442</v>
      </c>
    </row>
    <row r="91" spans="1:5" x14ac:dyDescent="0.2">
      <c r="A91" s="70" t="s">
        <v>73</v>
      </c>
      <c r="B91" s="71"/>
      <c r="C91" s="44">
        <v>0.52</v>
      </c>
    </row>
    <row r="92" spans="1:5" x14ac:dyDescent="0.2">
      <c r="A92" s="9" t="s">
        <v>67</v>
      </c>
    </row>
    <row r="93" spans="1:5" x14ac:dyDescent="0.2">
      <c r="A93" s="9" t="s">
        <v>46</v>
      </c>
    </row>
    <row r="95" spans="1:5" x14ac:dyDescent="0.2">
      <c r="A95" s="18" t="s">
        <v>816</v>
      </c>
      <c r="D95" s="42">
        <v>4.5690271744624704</v>
      </c>
      <c r="E95" s="13" t="s">
        <v>49</v>
      </c>
    </row>
    <row r="97" spans="1:7" x14ac:dyDescent="0.2">
      <c r="A97" s="18" t="s">
        <v>727</v>
      </c>
      <c r="D97" s="41" t="s">
        <v>48</v>
      </c>
    </row>
    <row r="99" spans="1:7" ht="23.25" customHeight="1" x14ac:dyDescent="0.2">
      <c r="A99" s="77" t="s">
        <v>1093</v>
      </c>
      <c r="B99" s="77"/>
      <c r="C99" s="77"/>
      <c r="D99" s="77"/>
      <c r="E99" s="77"/>
      <c r="F99" s="77"/>
      <c r="G99" s="77"/>
    </row>
    <row r="101" spans="1:7" x14ac:dyDescent="0.2">
      <c r="A101" s="18" t="s">
        <v>50</v>
      </c>
    </row>
    <row r="102" spans="1:7" x14ac:dyDescent="0.2">
      <c r="A102" s="50" t="s">
        <v>51</v>
      </c>
    </row>
  </sheetData>
  <mergeCells count="7">
    <mergeCell ref="A99:G99"/>
    <mergeCell ref="A1:G1"/>
    <mergeCell ref="A87:B87"/>
    <mergeCell ref="A88:B88"/>
    <mergeCell ref="A89:B89"/>
    <mergeCell ref="A90:B90"/>
    <mergeCell ref="A91:B91"/>
  </mergeCells>
  <conditionalFormatting sqref="F2:F3 F5:F98 F100:F65535">
    <cfRule type="cellIs" dxfId="60" priority="1" stopIfTrue="1" operator="between">
      <formula>0.009</formula>
      <formula>-0.009</formula>
    </cfRule>
  </conditionalFormatting>
  <hyperlinks>
    <hyperlink ref="A102" r:id="rId1" tooltip="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V141"/>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2" t="s">
        <v>1094</v>
      </c>
      <c r="B1" s="73"/>
      <c r="C1" s="73"/>
      <c r="D1" s="73"/>
      <c r="E1" s="73"/>
      <c r="F1" s="73"/>
      <c r="G1" s="73"/>
    </row>
    <row r="2" spans="1:7" s="1" customFormat="1" ht="12" x14ac:dyDescent="0.25">
      <c r="A2" s="56" t="s">
        <v>1091</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742</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1095</v>
      </c>
      <c r="B7" s="27" t="s">
        <v>1096</v>
      </c>
      <c r="C7" s="27" t="s">
        <v>1097</v>
      </c>
      <c r="D7" s="31">
        <v>1112</v>
      </c>
      <c r="E7" s="29">
        <v>11319.781919999999</v>
      </c>
      <c r="F7" s="30">
        <v>15.244927677103</v>
      </c>
      <c r="G7" s="29">
        <v>8.6789000000000005</v>
      </c>
    </row>
    <row r="8" spans="1:7" x14ac:dyDescent="0.2">
      <c r="A8" s="27" t="s">
        <v>1098</v>
      </c>
      <c r="B8" s="27" t="s">
        <v>1099</v>
      </c>
      <c r="C8" s="27" t="s">
        <v>1100</v>
      </c>
      <c r="D8" s="31">
        <v>1000</v>
      </c>
      <c r="E8" s="29">
        <v>9865.01</v>
      </c>
      <c r="F8" s="30">
        <v>13.2857121318021</v>
      </c>
      <c r="G8" s="29">
        <v>14.5791</v>
      </c>
    </row>
    <row r="9" spans="1:7" x14ac:dyDescent="0.2">
      <c r="A9" s="27" t="s">
        <v>1101</v>
      </c>
      <c r="B9" s="27" t="s">
        <v>1102</v>
      </c>
      <c r="C9" s="27" t="s">
        <v>1103</v>
      </c>
      <c r="D9" s="31">
        <v>952</v>
      </c>
      <c r="E9" s="29">
        <v>9520</v>
      </c>
      <c r="F9" s="30">
        <v>12.8210695675682</v>
      </c>
      <c r="G9" s="29">
        <v>7.7450000000000001</v>
      </c>
    </row>
    <row r="10" spans="1:7" x14ac:dyDescent="0.2">
      <c r="A10" s="27" t="s">
        <v>1104</v>
      </c>
      <c r="B10" s="27" t="s">
        <v>1105</v>
      </c>
      <c r="C10" s="27" t="s">
        <v>1097</v>
      </c>
      <c r="D10" s="31">
        <v>3884</v>
      </c>
      <c r="E10" s="29">
        <v>8301.6849039999997</v>
      </c>
      <c r="F10" s="30">
        <v>11.1803024876276</v>
      </c>
      <c r="G10" s="29">
        <v>9.0596999999999994</v>
      </c>
    </row>
    <row r="11" spans="1:7" x14ac:dyDescent="0.2">
      <c r="A11" s="27" t="s">
        <v>1106</v>
      </c>
      <c r="B11" s="27" t="s">
        <v>1107</v>
      </c>
      <c r="C11" s="27" t="s">
        <v>33</v>
      </c>
      <c r="D11" s="31">
        <v>450</v>
      </c>
      <c r="E11" s="29">
        <v>4431.1454999999996</v>
      </c>
      <c r="F11" s="30">
        <v>5.9676496554114298</v>
      </c>
      <c r="G11" s="29">
        <v>9.9893000000000001</v>
      </c>
    </row>
    <row r="12" spans="1:7" x14ac:dyDescent="0.2">
      <c r="A12" s="27" t="s">
        <v>1108</v>
      </c>
      <c r="B12" s="27" t="s">
        <v>1109</v>
      </c>
      <c r="C12" s="27" t="s">
        <v>1097</v>
      </c>
      <c r="D12" s="31">
        <v>300</v>
      </c>
      <c r="E12" s="29">
        <v>3034.953</v>
      </c>
      <c r="F12" s="30">
        <v>4.0873260028676297</v>
      </c>
      <c r="G12" s="29">
        <v>8.5639000000000003</v>
      </c>
    </row>
    <row r="13" spans="1:7" x14ac:dyDescent="0.2">
      <c r="A13" s="27" t="s">
        <v>1110</v>
      </c>
      <c r="B13" s="27" t="s">
        <v>1111</v>
      </c>
      <c r="C13" s="27" t="s">
        <v>1097</v>
      </c>
      <c r="D13" s="31">
        <v>268</v>
      </c>
      <c r="E13" s="29">
        <v>2727.3341599999999</v>
      </c>
      <c r="F13" s="30">
        <v>3.6730400209417202</v>
      </c>
      <c r="G13" s="29">
        <v>8.9887999999999995</v>
      </c>
    </row>
    <row r="14" spans="1:7" x14ac:dyDescent="0.2">
      <c r="A14" s="27" t="s">
        <v>1112</v>
      </c>
      <c r="B14" s="27" t="s">
        <v>1113</v>
      </c>
      <c r="C14" s="27" t="s">
        <v>1114</v>
      </c>
      <c r="D14" s="31">
        <v>450</v>
      </c>
      <c r="E14" s="29">
        <v>2610.4724999999999</v>
      </c>
      <c r="F14" s="30">
        <v>3.5156564628911502</v>
      </c>
      <c r="G14" s="29">
        <v>22.054400000000001</v>
      </c>
    </row>
    <row r="15" spans="1:7" x14ac:dyDescent="0.2">
      <c r="A15" s="27" t="s">
        <v>1115</v>
      </c>
      <c r="B15" s="27" t="s">
        <v>1116</v>
      </c>
      <c r="C15" s="27" t="s">
        <v>33</v>
      </c>
      <c r="D15" s="31">
        <v>199</v>
      </c>
      <c r="E15" s="29">
        <v>2069.0228999999999</v>
      </c>
      <c r="F15" s="30">
        <v>2.7864586699361098</v>
      </c>
      <c r="G15" s="29">
        <v>10.0648</v>
      </c>
    </row>
    <row r="16" spans="1:7" x14ac:dyDescent="0.2">
      <c r="A16" s="27" t="s">
        <v>1117</v>
      </c>
      <c r="B16" s="27" t="s">
        <v>1113</v>
      </c>
      <c r="C16" s="27" t="s">
        <v>1114</v>
      </c>
      <c r="D16" s="31">
        <v>250</v>
      </c>
      <c r="E16" s="29">
        <v>1450.2625</v>
      </c>
      <c r="F16" s="30">
        <v>1.95314247938397</v>
      </c>
      <c r="G16" s="29">
        <v>22.054400000000001</v>
      </c>
    </row>
    <row r="17" spans="1:9" x14ac:dyDescent="0.2">
      <c r="A17" s="27" t="s">
        <v>1118</v>
      </c>
      <c r="B17" s="27" t="s">
        <v>1119</v>
      </c>
      <c r="C17" s="27" t="s">
        <v>1097</v>
      </c>
      <c r="D17" s="31">
        <v>160</v>
      </c>
      <c r="E17" s="29">
        <v>807.14080000000001</v>
      </c>
      <c r="F17" s="30">
        <v>1.0870176835738099</v>
      </c>
      <c r="G17" s="29">
        <v>7.7287999999999997</v>
      </c>
    </row>
    <row r="18" spans="1:9" x14ac:dyDescent="0.2">
      <c r="A18" s="26" t="s">
        <v>35</v>
      </c>
      <c r="B18" s="26"/>
      <c r="C18" s="26"/>
      <c r="D18" s="32"/>
      <c r="E18" s="33">
        <f>SUM(E6:E17)</f>
        <v>56136.808183999987</v>
      </c>
      <c r="F18" s="34">
        <f>SUM(F6:F17)</f>
        <v>75.602302839106713</v>
      </c>
      <c r="G18" s="33"/>
      <c r="H18" s="18"/>
      <c r="I18" s="18"/>
    </row>
    <row r="19" spans="1:9" x14ac:dyDescent="0.2">
      <c r="A19" s="27"/>
      <c r="B19" s="27"/>
      <c r="C19" s="27"/>
      <c r="D19" s="28"/>
      <c r="E19" s="29"/>
      <c r="F19" s="30"/>
      <c r="G19" s="29"/>
    </row>
    <row r="20" spans="1:9" x14ac:dyDescent="0.2">
      <c r="A20" s="26" t="s">
        <v>1065</v>
      </c>
      <c r="B20" s="27"/>
      <c r="C20" s="27"/>
      <c r="D20" s="28"/>
      <c r="E20" s="29"/>
      <c r="F20" s="30"/>
      <c r="G20" s="29"/>
    </row>
    <row r="21" spans="1:9" x14ac:dyDescent="0.2">
      <c r="A21" s="27" t="s">
        <v>1120</v>
      </c>
      <c r="B21" s="27" t="s">
        <v>1121</v>
      </c>
      <c r="C21" s="27" t="s">
        <v>1122</v>
      </c>
      <c r="D21" s="31">
        <v>440</v>
      </c>
      <c r="E21" s="29">
        <v>3921.9853109999999</v>
      </c>
      <c r="F21" s="30">
        <v>5.2819376591713896</v>
      </c>
      <c r="G21" s="29">
        <v>10.95</v>
      </c>
    </row>
    <row r="22" spans="1:9" x14ac:dyDescent="0.2">
      <c r="A22" s="27" t="s">
        <v>1123</v>
      </c>
      <c r="B22" s="27" t="s">
        <v>1124</v>
      </c>
      <c r="C22" s="27" t="s">
        <v>1122</v>
      </c>
      <c r="D22" s="31">
        <v>450</v>
      </c>
      <c r="E22" s="29">
        <v>3794.9612179999999</v>
      </c>
      <c r="F22" s="30">
        <v>5.1108678342648499</v>
      </c>
      <c r="G22" s="29">
        <v>10.825100000000001</v>
      </c>
    </row>
    <row r="23" spans="1:9" x14ac:dyDescent="0.2">
      <c r="A23" s="27" t="s">
        <v>1125</v>
      </c>
      <c r="B23" s="27" t="s">
        <v>1126</v>
      </c>
      <c r="C23" s="27" t="s">
        <v>1122</v>
      </c>
      <c r="D23" s="31">
        <v>50</v>
      </c>
      <c r="E23" s="29">
        <v>438.50747330000002</v>
      </c>
      <c r="F23" s="30">
        <v>0.59056038036532099</v>
      </c>
      <c r="G23" s="29">
        <v>10.494999999999999</v>
      </c>
    </row>
    <row r="24" spans="1:9" x14ac:dyDescent="0.2">
      <c r="A24" s="27" t="s">
        <v>1127</v>
      </c>
      <c r="B24" s="27" t="s">
        <v>1128</v>
      </c>
      <c r="C24" s="27" t="s">
        <v>1129</v>
      </c>
      <c r="D24" s="31">
        <v>600</v>
      </c>
      <c r="E24" s="29">
        <v>6.0000000000000002E-6</v>
      </c>
      <c r="F24" s="30">
        <v>8.0805060299799696E-9</v>
      </c>
      <c r="G24" s="29">
        <v>0</v>
      </c>
    </row>
    <row r="25" spans="1:9" x14ac:dyDescent="0.2">
      <c r="A25" s="27" t="s">
        <v>1130</v>
      </c>
      <c r="B25" s="27" t="s">
        <v>1131</v>
      </c>
      <c r="C25" s="27" t="s">
        <v>1129</v>
      </c>
      <c r="D25" s="31">
        <v>250</v>
      </c>
      <c r="E25" s="29">
        <v>2.5000000000000002E-6</v>
      </c>
      <c r="F25" s="30">
        <v>3.3668775124916501E-9</v>
      </c>
      <c r="G25" s="29">
        <v>0</v>
      </c>
    </row>
    <row r="26" spans="1:9" x14ac:dyDescent="0.2">
      <c r="A26" s="27" t="s">
        <v>1132</v>
      </c>
      <c r="B26" s="27" t="s">
        <v>1133</v>
      </c>
      <c r="C26" s="27" t="s">
        <v>1129</v>
      </c>
      <c r="D26" s="31">
        <v>250</v>
      </c>
      <c r="E26" s="29">
        <v>2.5000000000000002E-6</v>
      </c>
      <c r="F26" s="30">
        <v>3.3668775124916501E-9</v>
      </c>
      <c r="G26" s="29">
        <v>0</v>
      </c>
    </row>
    <row r="27" spans="1:9" x14ac:dyDescent="0.2">
      <c r="A27" s="26" t="s">
        <v>35</v>
      </c>
      <c r="B27" s="26"/>
      <c r="C27" s="26"/>
      <c r="D27" s="32"/>
      <c r="E27" s="33">
        <f>SUM(E20:E26)</f>
        <v>8155.4540133</v>
      </c>
      <c r="F27" s="34">
        <f>SUM(F20:F26)</f>
        <v>10.983365888615822</v>
      </c>
      <c r="G27" s="33"/>
      <c r="H27" s="18"/>
      <c r="I27" s="18"/>
    </row>
    <row r="28" spans="1:9" x14ac:dyDescent="0.2">
      <c r="A28" s="27"/>
      <c r="B28" s="27"/>
      <c r="C28" s="27"/>
      <c r="D28" s="28"/>
      <c r="E28" s="29"/>
      <c r="F28" s="30"/>
      <c r="G28" s="29"/>
    </row>
    <row r="29" spans="1:9" x14ac:dyDescent="0.2">
      <c r="A29" s="26" t="s">
        <v>36</v>
      </c>
      <c r="B29" s="27"/>
      <c r="C29" s="27"/>
      <c r="D29" s="28"/>
      <c r="E29" s="29"/>
      <c r="F29" s="30"/>
      <c r="G29" s="29"/>
    </row>
    <row r="30" spans="1:9" x14ac:dyDescent="0.2">
      <c r="A30" s="27" t="s">
        <v>1134</v>
      </c>
      <c r="B30" s="27" t="s">
        <v>1135</v>
      </c>
      <c r="C30" s="27" t="s">
        <v>1136</v>
      </c>
      <c r="D30" s="31">
        <v>140748.95300000001</v>
      </c>
      <c r="E30" s="29">
        <v>4767.1728089999997</v>
      </c>
      <c r="F30" s="30">
        <v>6.4201947715135104</v>
      </c>
      <c r="G30" s="29">
        <v>3.1389</v>
      </c>
    </row>
    <row r="31" spans="1:9" x14ac:dyDescent="0.2">
      <c r="A31" s="26" t="s">
        <v>35</v>
      </c>
      <c r="B31" s="26"/>
      <c r="C31" s="26"/>
      <c r="D31" s="32"/>
      <c r="E31" s="33">
        <f>SUM(E30:E30)</f>
        <v>4767.1728089999997</v>
      </c>
      <c r="F31" s="34">
        <f>SUM(F30:F30)</f>
        <v>6.4201947715135104</v>
      </c>
      <c r="G31" s="33"/>
      <c r="H31" s="18"/>
      <c r="I31" s="18"/>
    </row>
    <row r="32" spans="1:9" x14ac:dyDescent="0.2">
      <c r="A32" s="27"/>
      <c r="B32" s="27"/>
      <c r="C32" s="27"/>
      <c r="D32" s="28"/>
      <c r="E32" s="29"/>
      <c r="F32" s="30"/>
      <c r="G32" s="29"/>
    </row>
    <row r="33" spans="1:9" x14ac:dyDescent="0.2">
      <c r="A33" s="26" t="s">
        <v>37</v>
      </c>
      <c r="B33" s="26"/>
      <c r="C33" s="26"/>
      <c r="D33" s="32"/>
      <c r="E33" s="33">
        <f>E18+E27+E31</f>
        <v>69059.435006299987</v>
      </c>
      <c r="F33" s="34">
        <f>F18+F27+F31</f>
        <v>93.005863499236042</v>
      </c>
      <c r="G33" s="33"/>
      <c r="H33" s="18"/>
      <c r="I33" s="18"/>
    </row>
    <row r="34" spans="1:9" x14ac:dyDescent="0.2">
      <c r="A34" s="26"/>
      <c r="B34" s="26"/>
      <c r="C34" s="26"/>
      <c r="D34" s="32"/>
      <c r="E34" s="33"/>
      <c r="F34" s="34"/>
      <c r="G34" s="33"/>
      <c r="H34" s="18"/>
      <c r="I34" s="18"/>
    </row>
    <row r="35" spans="1:9" x14ac:dyDescent="0.2">
      <c r="A35" s="26" t="s">
        <v>39</v>
      </c>
      <c r="B35" s="26"/>
      <c r="C35" s="26"/>
      <c r="D35" s="32"/>
      <c r="E35" s="33">
        <f>E37-(E18+E27+E31)</f>
        <v>5193.3404726000153</v>
      </c>
      <c r="F35" s="34">
        <f>F37-(F18+F27+F31)</f>
        <v>6.9941365007639575</v>
      </c>
      <c r="G35" s="33"/>
      <c r="H35" s="18"/>
      <c r="I35" s="18"/>
    </row>
    <row r="36" spans="1:9" x14ac:dyDescent="0.2">
      <c r="A36" s="26"/>
      <c r="B36" s="26"/>
      <c r="C36" s="26"/>
      <c r="D36" s="32"/>
      <c r="E36" s="33"/>
      <c r="F36" s="34"/>
      <c r="G36" s="33"/>
      <c r="H36" s="18"/>
      <c r="I36" s="18"/>
    </row>
    <row r="37" spans="1:9" x14ac:dyDescent="0.2">
      <c r="A37" s="35" t="s">
        <v>38</v>
      </c>
      <c r="B37" s="35"/>
      <c r="C37" s="35"/>
      <c r="D37" s="36"/>
      <c r="E37" s="37">
        <v>74252.775478900003</v>
      </c>
      <c r="F37" s="38">
        <v>100</v>
      </c>
      <c r="G37" s="37"/>
      <c r="H37" s="18"/>
      <c r="I37" s="18"/>
    </row>
    <row r="39" spans="1:9" x14ac:dyDescent="0.2">
      <c r="A39" s="18" t="s">
        <v>40</v>
      </c>
    </row>
    <row r="40" spans="1:9" x14ac:dyDescent="0.2">
      <c r="A40" s="47" t="s">
        <v>1137</v>
      </c>
    </row>
    <row r="42" spans="1:9" x14ac:dyDescent="0.2">
      <c r="A42" s="18" t="s">
        <v>41</v>
      </c>
    </row>
    <row r="43" spans="1:9" x14ac:dyDescent="0.2">
      <c r="A43" s="18" t="s">
        <v>42</v>
      </c>
    </row>
    <row r="44" spans="1:9" x14ac:dyDescent="0.2">
      <c r="A44" s="18" t="s">
        <v>43</v>
      </c>
      <c r="B44" s="18"/>
      <c r="C44" s="39" t="s">
        <v>45</v>
      </c>
      <c r="D44" s="19" t="s">
        <v>44</v>
      </c>
    </row>
    <row r="45" spans="1:9" x14ac:dyDescent="0.2">
      <c r="A45" s="9" t="s">
        <v>68</v>
      </c>
      <c r="C45" s="40">
        <v>68.704800000000006</v>
      </c>
      <c r="D45" s="40">
        <v>71.784300000000002</v>
      </c>
    </row>
    <row r="46" spans="1:9" x14ac:dyDescent="0.2">
      <c r="A46" s="9" t="s">
        <v>74</v>
      </c>
      <c r="C46" s="40">
        <v>11.3561</v>
      </c>
      <c r="D46" s="40">
        <v>11.8651</v>
      </c>
    </row>
    <row r="47" spans="1:9" x14ac:dyDescent="0.2">
      <c r="A47" s="9" t="s">
        <v>71</v>
      </c>
      <c r="C47" s="40">
        <v>73.376499999999993</v>
      </c>
      <c r="D47" s="40">
        <v>76.735699999999994</v>
      </c>
    </row>
    <row r="48" spans="1:9" x14ac:dyDescent="0.2">
      <c r="A48" s="9" t="s">
        <v>75</v>
      </c>
      <c r="C48" s="40">
        <v>12.3674</v>
      </c>
      <c r="D48" s="40">
        <v>12.9335</v>
      </c>
    </row>
    <row r="50" spans="1:7" x14ac:dyDescent="0.2">
      <c r="A50" s="9" t="s">
        <v>46</v>
      </c>
    </row>
    <row r="52" spans="1:7" x14ac:dyDescent="0.2">
      <c r="A52" s="18" t="s">
        <v>47</v>
      </c>
      <c r="D52" s="41" t="s">
        <v>48</v>
      </c>
    </row>
    <row r="54" spans="1:7" x14ac:dyDescent="0.2">
      <c r="A54" s="18" t="s">
        <v>816</v>
      </c>
      <c r="D54" s="42">
        <v>1.7264349309041096</v>
      </c>
      <c r="E54" s="13" t="s">
        <v>49</v>
      </c>
    </row>
    <row r="56" spans="1:7" x14ac:dyDescent="0.2">
      <c r="A56" s="18" t="s">
        <v>727</v>
      </c>
      <c r="D56" s="41" t="s">
        <v>48</v>
      </c>
    </row>
    <row r="57" spans="1:7" x14ac:dyDescent="0.2">
      <c r="A57" s="9" t="s">
        <v>723</v>
      </c>
    </row>
    <row r="58" spans="1:7" x14ac:dyDescent="0.2">
      <c r="A58" s="57" t="s">
        <v>1138</v>
      </c>
    </row>
    <row r="60" spans="1:7" ht="23.25" customHeight="1" x14ac:dyDescent="0.3">
      <c r="A60" s="78" t="s">
        <v>1139</v>
      </c>
      <c r="B60" s="79"/>
      <c r="C60" s="79"/>
      <c r="D60" s="79"/>
      <c r="E60" s="79"/>
      <c r="F60" s="79"/>
      <c r="G60" s="79"/>
    </row>
    <row r="62" spans="1:7" ht="47.25" customHeight="1" x14ac:dyDescent="0.3">
      <c r="A62" s="78" t="s">
        <v>1140</v>
      </c>
      <c r="B62" s="79"/>
      <c r="C62" s="79"/>
      <c r="D62" s="79"/>
      <c r="E62" s="79"/>
      <c r="F62" s="79"/>
      <c r="G62" s="79"/>
    </row>
    <row r="64" spans="1:7" ht="36.75" customHeight="1" x14ac:dyDescent="0.2">
      <c r="A64" s="76" t="s">
        <v>1141</v>
      </c>
      <c r="B64" s="76"/>
      <c r="C64" s="76"/>
      <c r="D64" s="76"/>
      <c r="E64" s="76"/>
      <c r="F64" s="76"/>
      <c r="G64" s="76"/>
    </row>
    <row r="65" spans="1:9" x14ac:dyDescent="0.2">
      <c r="A65" s="50" t="s">
        <v>1142</v>
      </c>
    </row>
    <row r="67" spans="1:9" ht="23.25" customHeight="1" x14ac:dyDescent="0.2">
      <c r="A67" s="76" t="s">
        <v>1143</v>
      </c>
      <c r="B67" s="76"/>
      <c r="C67" s="76"/>
      <c r="D67" s="76"/>
      <c r="E67" s="76"/>
      <c r="F67" s="76"/>
      <c r="G67" s="76"/>
    </row>
    <row r="69" spans="1:9" x14ac:dyDescent="0.2">
      <c r="A69" s="18" t="s">
        <v>1144</v>
      </c>
    </row>
    <row r="70" spans="1:9" x14ac:dyDescent="0.2">
      <c r="A70" s="50" t="s">
        <v>51</v>
      </c>
    </row>
    <row r="72" spans="1:9" x14ac:dyDescent="0.2">
      <c r="A72" s="18" t="s">
        <v>739</v>
      </c>
    </row>
    <row r="74" spans="1:9" s="1" customFormat="1" ht="13.8" x14ac:dyDescent="0.2">
      <c r="A74" s="72" t="s">
        <v>1145</v>
      </c>
      <c r="B74" s="73"/>
      <c r="C74" s="73"/>
      <c r="D74" s="73"/>
      <c r="E74" s="73"/>
      <c r="F74" s="73"/>
      <c r="G74" s="73"/>
    </row>
    <row r="75" spans="1:9" x14ac:dyDescent="0.2">
      <c r="A75" s="18" t="s">
        <v>7</v>
      </c>
    </row>
    <row r="76" spans="1:9" s="1" customFormat="1" ht="17.399999999999999" customHeight="1" x14ac:dyDescent="0.2">
      <c r="A76" s="8" t="s">
        <v>2</v>
      </c>
      <c r="B76" s="8" t="s">
        <v>0</v>
      </c>
      <c r="C76" s="17" t="s">
        <v>742</v>
      </c>
      <c r="D76" s="16" t="s">
        <v>1</v>
      </c>
      <c r="E76" s="15" t="s">
        <v>3</v>
      </c>
      <c r="F76" s="15" t="s">
        <v>4</v>
      </c>
      <c r="G76" s="15" t="s">
        <v>6</v>
      </c>
    </row>
    <row r="77" spans="1:9" x14ac:dyDescent="0.2">
      <c r="A77" s="21" t="s">
        <v>31</v>
      </c>
      <c r="B77" s="22"/>
      <c r="C77" s="22"/>
      <c r="D77" s="23"/>
      <c r="E77" s="24"/>
      <c r="F77" s="25"/>
      <c r="G77" s="24"/>
    </row>
    <row r="78" spans="1:9" x14ac:dyDescent="0.2">
      <c r="A78" s="26" t="s">
        <v>32</v>
      </c>
      <c r="B78" s="27"/>
      <c r="C78" s="27"/>
      <c r="D78" s="28"/>
      <c r="E78" s="29"/>
      <c r="F78" s="30"/>
      <c r="G78" s="29"/>
    </row>
    <row r="79" spans="1:9" x14ac:dyDescent="0.2">
      <c r="A79" s="27" t="s">
        <v>1146</v>
      </c>
      <c r="B79" s="27" t="s">
        <v>1147</v>
      </c>
      <c r="C79" s="27" t="s">
        <v>1148</v>
      </c>
      <c r="D79" s="31">
        <v>940</v>
      </c>
      <c r="E79" s="29">
        <v>0</v>
      </c>
      <c r="F79" s="30">
        <v>100</v>
      </c>
      <c r="G79" s="29">
        <v>0</v>
      </c>
    </row>
    <row r="80" spans="1:9" x14ac:dyDescent="0.2">
      <c r="A80" s="26" t="s">
        <v>35</v>
      </c>
      <c r="B80" s="26"/>
      <c r="C80" s="26"/>
      <c r="D80" s="32"/>
      <c r="E80" s="33">
        <f>SUM(E78:E79)</f>
        <v>0</v>
      </c>
      <c r="F80" s="34">
        <f>SUM(F78:F79)</f>
        <v>100</v>
      </c>
      <c r="G80" s="33"/>
      <c r="H80" s="18"/>
      <c r="I80" s="18"/>
    </row>
    <row r="81" spans="1:9" x14ac:dyDescent="0.2">
      <c r="A81" s="27"/>
      <c r="B81" s="27"/>
      <c r="C81" s="27"/>
      <c r="D81" s="28"/>
      <c r="E81" s="29"/>
      <c r="F81" s="30"/>
      <c r="G81" s="29"/>
    </row>
    <row r="82" spans="1:9" x14ac:dyDescent="0.2">
      <c r="A82" s="26" t="s">
        <v>37</v>
      </c>
      <c r="B82" s="26"/>
      <c r="C82" s="26"/>
      <c r="D82" s="32"/>
      <c r="E82" s="33">
        <f>E80</f>
        <v>0</v>
      </c>
      <c r="F82" s="34">
        <f>F80</f>
        <v>100</v>
      </c>
      <c r="G82" s="33"/>
      <c r="H82" s="18"/>
      <c r="I82" s="18"/>
    </row>
    <row r="83" spans="1:9" x14ac:dyDescent="0.2">
      <c r="A83" s="26"/>
      <c r="B83" s="26"/>
      <c r="C83" s="26"/>
      <c r="D83" s="32"/>
      <c r="E83" s="33"/>
      <c r="F83" s="34"/>
      <c r="G83" s="33"/>
      <c r="H83" s="18"/>
      <c r="I83" s="18"/>
    </row>
    <row r="84" spans="1:9" x14ac:dyDescent="0.2">
      <c r="A84" s="26" t="s">
        <v>39</v>
      </c>
      <c r="B84" s="26"/>
      <c r="C84" s="26"/>
      <c r="D84" s="32"/>
      <c r="E84" s="33">
        <f>E86-(E80)</f>
        <v>3.9999999999999998E-7</v>
      </c>
      <c r="F84" s="34">
        <v>0</v>
      </c>
      <c r="G84" s="33"/>
      <c r="H84" s="18"/>
      <c r="I84" s="18"/>
    </row>
    <row r="85" spans="1:9" x14ac:dyDescent="0.2">
      <c r="A85" s="26"/>
      <c r="B85" s="26"/>
      <c r="C85" s="26"/>
      <c r="D85" s="32"/>
      <c r="E85" s="33"/>
      <c r="F85" s="34"/>
      <c r="G85" s="33"/>
      <c r="H85" s="18"/>
      <c r="I85" s="18"/>
    </row>
    <row r="86" spans="1:9" x14ac:dyDescent="0.2">
      <c r="A86" s="35" t="s">
        <v>38</v>
      </c>
      <c r="B86" s="35"/>
      <c r="C86" s="35"/>
      <c r="D86" s="36"/>
      <c r="E86" s="37">
        <v>3.9999999999999998E-7</v>
      </c>
      <c r="F86" s="38">
        <v>100</v>
      </c>
      <c r="G86" s="37"/>
      <c r="H86" s="18"/>
      <c r="I86" s="18"/>
    </row>
    <row r="88" spans="1:9" x14ac:dyDescent="0.2">
      <c r="A88" s="18" t="s">
        <v>40</v>
      </c>
    </row>
    <row r="89" spans="1:9" x14ac:dyDescent="0.2">
      <c r="A89" s="18" t="s">
        <v>1137</v>
      </c>
    </row>
    <row r="90" spans="1:9" x14ac:dyDescent="0.2">
      <c r="A90" s="18" t="s">
        <v>1149</v>
      </c>
    </row>
    <row r="92" spans="1:9" x14ac:dyDescent="0.2">
      <c r="A92" s="18" t="s">
        <v>41</v>
      </c>
    </row>
    <row r="93" spans="1:9" x14ac:dyDescent="0.2">
      <c r="A93" s="18" t="s">
        <v>42</v>
      </c>
    </row>
    <row r="94" spans="1:9" x14ac:dyDescent="0.2">
      <c r="A94" s="18" t="s">
        <v>43</v>
      </c>
      <c r="B94" s="18"/>
      <c r="C94" s="39" t="s">
        <v>45</v>
      </c>
      <c r="D94" s="19" t="s">
        <v>44</v>
      </c>
    </row>
    <row r="95" spans="1:9" x14ac:dyDescent="0.2">
      <c r="A95" s="9" t="s">
        <v>68</v>
      </c>
      <c r="C95" s="40">
        <v>0</v>
      </c>
      <c r="D95" s="40">
        <v>0</v>
      </c>
    </row>
    <row r="96" spans="1:9" x14ac:dyDescent="0.2">
      <c r="A96" s="9" t="s">
        <v>74</v>
      </c>
      <c r="C96" s="40">
        <v>0</v>
      </c>
      <c r="D96" s="40">
        <v>0</v>
      </c>
    </row>
    <row r="97" spans="1:7" x14ac:dyDescent="0.2">
      <c r="A97" s="9" t="s">
        <v>71</v>
      </c>
      <c r="C97" s="40">
        <v>0</v>
      </c>
      <c r="D97" s="40">
        <v>0</v>
      </c>
    </row>
    <row r="98" spans="1:7" x14ac:dyDescent="0.2">
      <c r="A98" s="9" t="s">
        <v>75</v>
      </c>
      <c r="C98" s="40">
        <v>0</v>
      </c>
      <c r="D98" s="40">
        <v>0</v>
      </c>
    </row>
    <row r="100" spans="1:7" x14ac:dyDescent="0.2">
      <c r="A100" s="9" t="s">
        <v>46</v>
      </c>
    </row>
    <row r="102" spans="1:7" x14ac:dyDescent="0.2">
      <c r="A102" s="18" t="s">
        <v>1150</v>
      </c>
      <c r="D102" s="41" t="s">
        <v>48</v>
      </c>
    </row>
    <row r="103" spans="1:7" x14ac:dyDescent="0.2">
      <c r="A103" s="9" t="s">
        <v>723</v>
      </c>
    </row>
    <row r="104" spans="1:7" x14ac:dyDescent="0.2">
      <c r="A104" s="50" t="s">
        <v>724</v>
      </c>
    </row>
    <row r="106" spans="1:7" x14ac:dyDescent="0.2">
      <c r="A106" s="18" t="s">
        <v>1151</v>
      </c>
    </row>
    <row r="107" spans="1:7" x14ac:dyDescent="0.2">
      <c r="A107" s="50" t="s">
        <v>51</v>
      </c>
    </row>
    <row r="109" spans="1:7" s="1" customFormat="1" ht="13.8" x14ac:dyDescent="0.2">
      <c r="A109" s="72" t="s">
        <v>1152</v>
      </c>
      <c r="B109" s="73"/>
      <c r="C109" s="73"/>
      <c r="D109" s="73"/>
      <c r="E109" s="73"/>
      <c r="F109" s="73"/>
      <c r="G109" s="73"/>
    </row>
    <row r="110" spans="1:7" x14ac:dyDescent="0.2">
      <c r="A110" s="18" t="s">
        <v>7</v>
      </c>
    </row>
    <row r="111" spans="1:7" s="1" customFormat="1" ht="17.399999999999999" customHeight="1" x14ac:dyDescent="0.2">
      <c r="A111" s="8" t="s">
        <v>2</v>
      </c>
      <c r="B111" s="8" t="s">
        <v>0</v>
      </c>
      <c r="C111" s="17" t="s">
        <v>742</v>
      </c>
      <c r="D111" s="16" t="s">
        <v>1</v>
      </c>
      <c r="E111" s="15" t="s">
        <v>3</v>
      </c>
      <c r="F111" s="15" t="s">
        <v>4</v>
      </c>
      <c r="G111" s="15" t="s">
        <v>6</v>
      </c>
    </row>
    <row r="112" spans="1:7" x14ac:dyDescent="0.2">
      <c r="A112" s="21" t="s">
        <v>31</v>
      </c>
      <c r="B112" s="22"/>
      <c r="C112" s="22"/>
      <c r="D112" s="23"/>
      <c r="E112" s="24"/>
      <c r="F112" s="25"/>
      <c r="G112" s="24"/>
    </row>
    <row r="113" spans="1:256" x14ac:dyDescent="0.2">
      <c r="A113" s="26" t="s">
        <v>32</v>
      </c>
      <c r="B113" s="27"/>
      <c r="C113" s="27"/>
      <c r="D113" s="28"/>
      <c r="E113" s="29"/>
      <c r="F113" s="30"/>
      <c r="G113" s="29"/>
    </row>
    <row r="114" spans="1:256" ht="20.399999999999999" x14ac:dyDescent="0.2">
      <c r="A114" s="27" t="s">
        <v>1153</v>
      </c>
      <c r="B114" s="27" t="s">
        <v>1154</v>
      </c>
      <c r="C114" s="52" t="s">
        <v>1155</v>
      </c>
      <c r="D114" s="31">
        <v>682</v>
      </c>
      <c r="E114" s="29">
        <v>0</v>
      </c>
      <c r="F114" s="30">
        <v>100</v>
      </c>
      <c r="G114" s="29">
        <v>0</v>
      </c>
    </row>
    <row r="115" spans="1:256" x14ac:dyDescent="0.2">
      <c r="A115" s="26" t="s">
        <v>35</v>
      </c>
      <c r="B115" s="26"/>
      <c r="C115" s="26"/>
      <c r="D115" s="32"/>
      <c r="E115" s="33">
        <f>SUM(E113:E114)</f>
        <v>0</v>
      </c>
      <c r="F115" s="34">
        <f>SUM(F113:F114)</f>
        <v>100</v>
      </c>
      <c r="G115" s="33"/>
      <c r="H115" s="18"/>
      <c r="I115" s="18"/>
    </row>
    <row r="116" spans="1:256" x14ac:dyDescent="0.2">
      <c r="A116" s="27"/>
      <c r="B116" s="27"/>
      <c r="C116" s="27"/>
      <c r="D116" s="28"/>
      <c r="E116" s="29"/>
      <c r="F116" s="30"/>
      <c r="G116" s="29"/>
    </row>
    <row r="117" spans="1:256" x14ac:dyDescent="0.2">
      <c r="A117" s="26" t="s">
        <v>37</v>
      </c>
      <c r="B117" s="26"/>
      <c r="C117" s="26"/>
      <c r="D117" s="32"/>
      <c r="E117" s="33">
        <f>E115</f>
        <v>0</v>
      </c>
      <c r="F117" s="34">
        <f>F115</f>
        <v>100</v>
      </c>
      <c r="G117" s="33"/>
      <c r="H117" s="18"/>
      <c r="I117" s="18"/>
    </row>
    <row r="118" spans="1:256" x14ac:dyDescent="0.2">
      <c r="A118" s="26"/>
      <c r="B118" s="26"/>
      <c r="C118" s="26"/>
      <c r="D118" s="32"/>
      <c r="E118" s="33"/>
      <c r="F118" s="34"/>
      <c r="G118" s="33"/>
      <c r="H118" s="18"/>
      <c r="I118" s="18"/>
    </row>
    <row r="119" spans="1:256" x14ac:dyDescent="0.2">
      <c r="A119" s="26" t="s">
        <v>39</v>
      </c>
      <c r="B119" s="26"/>
      <c r="C119" s="26"/>
      <c r="D119" s="32"/>
      <c r="E119" s="33">
        <f>E121-(E115)</f>
        <v>3.9999999999999998E-7</v>
      </c>
      <c r="F119" s="34">
        <v>0</v>
      </c>
      <c r="G119" s="33"/>
      <c r="H119" s="18"/>
      <c r="I119" s="18"/>
    </row>
    <row r="120" spans="1:256" x14ac:dyDescent="0.2">
      <c r="A120" s="26"/>
      <c r="B120" s="26"/>
      <c r="C120" s="26"/>
      <c r="D120" s="32"/>
      <c r="E120" s="33"/>
      <c r="F120" s="34"/>
      <c r="G120" s="33"/>
      <c r="H120" s="18"/>
      <c r="I120" s="18"/>
    </row>
    <row r="121" spans="1:256" x14ac:dyDescent="0.2">
      <c r="A121" s="35" t="s">
        <v>38</v>
      </c>
      <c r="B121" s="35"/>
      <c r="C121" s="35"/>
      <c r="D121" s="36"/>
      <c r="E121" s="37">
        <v>3.9999999999999998E-7</v>
      </c>
      <c r="F121" s="38">
        <v>100</v>
      </c>
      <c r="G121" s="37"/>
      <c r="H121" s="18"/>
      <c r="I121" s="18"/>
    </row>
    <row r="123" spans="1:256" x14ac:dyDescent="0.2">
      <c r="A123" s="18" t="s">
        <v>40</v>
      </c>
    </row>
    <row r="124" spans="1:256" x14ac:dyDescent="0.2">
      <c r="A124" s="18" t="s">
        <v>1137</v>
      </c>
      <c r="B124" s="18" t="s">
        <v>1137</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8"/>
      <c r="EC124" s="18"/>
      <c r="ED124" s="18"/>
      <c r="EE124" s="18"/>
      <c r="EF124" s="18"/>
      <c r="EG124" s="18"/>
      <c r="EH124" s="18"/>
      <c r="EI124" s="18"/>
      <c r="EJ124" s="18"/>
      <c r="EK124" s="18"/>
      <c r="EL124" s="18"/>
      <c r="EM124" s="18"/>
      <c r="EN124" s="18"/>
      <c r="EO124" s="18"/>
      <c r="EP124" s="18"/>
      <c r="EQ124" s="18"/>
      <c r="ER124" s="18"/>
      <c r="ES124" s="18"/>
      <c r="ET124" s="18"/>
      <c r="EU124" s="18"/>
      <c r="EV124" s="18"/>
      <c r="EW124" s="18"/>
      <c r="EX124" s="18"/>
      <c r="EY124" s="18"/>
      <c r="EZ124" s="18"/>
      <c r="FA124" s="18"/>
      <c r="FB124" s="18"/>
      <c r="FC124" s="18"/>
      <c r="FD124" s="18"/>
      <c r="FE124" s="18"/>
      <c r="FF124" s="18"/>
      <c r="FG124" s="18"/>
      <c r="FH124" s="18"/>
      <c r="FI124" s="18"/>
      <c r="FJ124" s="18"/>
      <c r="FK124" s="18"/>
      <c r="FL124" s="18"/>
      <c r="FM124" s="18"/>
      <c r="FN124" s="18"/>
      <c r="FO124" s="18"/>
      <c r="FP124" s="18"/>
      <c r="FQ124" s="18"/>
      <c r="FR124" s="18"/>
      <c r="FS124" s="18"/>
      <c r="FT124" s="18"/>
      <c r="FU124" s="18"/>
      <c r="FV124" s="18"/>
      <c r="FW124" s="18"/>
      <c r="FX124" s="18"/>
      <c r="FY124" s="18"/>
      <c r="FZ124" s="18"/>
      <c r="GA124" s="18"/>
      <c r="GB124" s="18"/>
      <c r="GC124" s="18"/>
      <c r="GD124" s="18"/>
      <c r="GE124" s="18"/>
      <c r="GF124" s="18"/>
      <c r="GG124" s="18"/>
      <c r="GH124" s="18"/>
      <c r="GI124" s="18"/>
      <c r="GJ124" s="18"/>
      <c r="GK124" s="18"/>
      <c r="GL124" s="18"/>
      <c r="GM124" s="18"/>
      <c r="GN124" s="18"/>
      <c r="GO124" s="18"/>
      <c r="GP124" s="18"/>
      <c r="GQ124" s="18"/>
      <c r="GR124" s="18"/>
      <c r="GS124" s="18"/>
      <c r="GT124" s="18"/>
      <c r="GU124" s="18"/>
      <c r="GV124" s="18"/>
      <c r="GW124" s="18"/>
      <c r="GX124" s="18"/>
      <c r="GY124" s="18"/>
      <c r="GZ124" s="18"/>
      <c r="HA124" s="18"/>
      <c r="HB124" s="18"/>
      <c r="HC124" s="18"/>
      <c r="HD124" s="18"/>
      <c r="HE124" s="18"/>
      <c r="HF124" s="18"/>
      <c r="HG124" s="18"/>
      <c r="HH124" s="18"/>
      <c r="HI124" s="18"/>
      <c r="HJ124" s="18"/>
      <c r="HK124" s="18"/>
      <c r="HL124" s="18"/>
      <c r="HM124" s="18"/>
      <c r="HN124" s="18"/>
      <c r="HO124" s="18"/>
      <c r="HP124" s="18"/>
      <c r="HQ124" s="18"/>
      <c r="HR124" s="18"/>
      <c r="HS124" s="18"/>
      <c r="HT124" s="18"/>
      <c r="HU124" s="18"/>
      <c r="HV124" s="18"/>
      <c r="HW124" s="18"/>
      <c r="HX124" s="18"/>
      <c r="HY124" s="18"/>
      <c r="HZ124" s="18"/>
      <c r="IA124" s="18"/>
      <c r="IB124" s="18"/>
      <c r="IC124" s="18"/>
      <c r="ID124" s="18"/>
      <c r="IE124" s="18"/>
      <c r="IF124" s="18"/>
      <c r="IG124" s="18"/>
      <c r="IH124" s="18"/>
      <c r="II124" s="18"/>
      <c r="IJ124" s="18"/>
      <c r="IK124" s="18"/>
      <c r="IL124" s="18"/>
      <c r="IM124" s="18"/>
      <c r="IN124" s="18"/>
      <c r="IO124" s="18"/>
      <c r="IP124" s="18"/>
      <c r="IQ124" s="18"/>
      <c r="IR124" s="18"/>
      <c r="IS124" s="18"/>
      <c r="IT124" s="18"/>
      <c r="IU124" s="18"/>
      <c r="IV124" s="18"/>
    </row>
    <row r="126" spans="1:256" x14ac:dyDescent="0.2">
      <c r="A126" s="18" t="s">
        <v>41</v>
      </c>
    </row>
    <row r="127" spans="1:256" x14ac:dyDescent="0.2">
      <c r="A127" s="18" t="s">
        <v>42</v>
      </c>
    </row>
    <row r="128" spans="1:256" x14ac:dyDescent="0.2">
      <c r="A128" s="18" t="s">
        <v>43</v>
      </c>
      <c r="B128" s="18"/>
      <c r="C128" s="39" t="s">
        <v>45</v>
      </c>
      <c r="D128" s="19" t="s">
        <v>44</v>
      </c>
    </row>
    <row r="129" spans="1:4" x14ac:dyDescent="0.2">
      <c r="A129" s="9" t="s">
        <v>68</v>
      </c>
      <c r="C129" s="40">
        <v>0</v>
      </c>
      <c r="D129" s="40">
        <v>0</v>
      </c>
    </row>
    <row r="130" spans="1:4" x14ac:dyDescent="0.2">
      <c r="A130" s="9" t="s">
        <v>74</v>
      </c>
      <c r="C130" s="40">
        <v>0</v>
      </c>
      <c r="D130" s="40">
        <v>0</v>
      </c>
    </row>
    <row r="131" spans="1:4" x14ac:dyDescent="0.2">
      <c r="A131" s="9" t="s">
        <v>71</v>
      </c>
      <c r="C131" s="40">
        <v>0</v>
      </c>
      <c r="D131" s="40">
        <v>0</v>
      </c>
    </row>
    <row r="132" spans="1:4" x14ac:dyDescent="0.2">
      <c r="A132" s="9" t="s">
        <v>75</v>
      </c>
      <c r="C132" s="40">
        <v>0</v>
      </c>
      <c r="D132" s="40">
        <v>0</v>
      </c>
    </row>
    <row r="134" spans="1:4" x14ac:dyDescent="0.2">
      <c r="A134" s="9" t="s">
        <v>46</v>
      </c>
    </row>
    <row r="136" spans="1:4" x14ac:dyDescent="0.2">
      <c r="A136" s="18" t="s">
        <v>1150</v>
      </c>
      <c r="D136" s="41" t="s">
        <v>48</v>
      </c>
    </row>
    <row r="137" spans="1:4" x14ac:dyDescent="0.2">
      <c r="A137" s="9" t="s">
        <v>723</v>
      </c>
    </row>
    <row r="138" spans="1:4" x14ac:dyDescent="0.2">
      <c r="A138" s="50" t="s">
        <v>724</v>
      </c>
    </row>
    <row r="140" spans="1:4" x14ac:dyDescent="0.2">
      <c r="A140" s="18" t="s">
        <v>1151</v>
      </c>
    </row>
    <row r="141" spans="1:4" x14ac:dyDescent="0.2">
      <c r="A141" s="50" t="s">
        <v>51</v>
      </c>
    </row>
  </sheetData>
  <mergeCells count="7">
    <mergeCell ref="A109:G109"/>
    <mergeCell ref="A1:G1"/>
    <mergeCell ref="A60:G60"/>
    <mergeCell ref="A62:G62"/>
    <mergeCell ref="A64:G64"/>
    <mergeCell ref="A67:G67"/>
    <mergeCell ref="A74:G74"/>
  </mergeCells>
  <conditionalFormatting sqref="F2:F3 F5:F59 F122:F123 F61 F63 F65:F66 F75 F110 F87:F108 F125:F65532 F68:F73">
    <cfRule type="cellIs" dxfId="59" priority="9" stopIfTrue="1" operator="between">
      <formula>0.009</formula>
      <formula>-0.009</formula>
    </cfRule>
  </conditionalFormatting>
  <conditionalFormatting sqref="F82:F83 F85:F86">
    <cfRule type="cellIs" dxfId="58" priority="5" stopIfTrue="1" operator="between">
      <formula>0.009</formula>
      <formula>-0.009</formula>
    </cfRule>
  </conditionalFormatting>
  <conditionalFormatting sqref="F77:F78">
    <cfRule type="cellIs" dxfId="57" priority="8" stopIfTrue="1" operator="between">
      <formula>0.009</formula>
      <formula>-0.009</formula>
    </cfRule>
  </conditionalFormatting>
  <conditionalFormatting sqref="F80:F81">
    <cfRule type="cellIs" dxfId="56" priority="7" stopIfTrue="1" operator="between">
      <formula>0.009</formula>
      <formula>-0.009</formula>
    </cfRule>
  </conditionalFormatting>
  <conditionalFormatting sqref="F79">
    <cfRule type="cellIs" dxfId="55" priority="6" stopIfTrue="1" operator="between">
      <formula>0.009</formula>
      <formula>-0.009</formula>
    </cfRule>
  </conditionalFormatting>
  <conditionalFormatting sqref="F117:F118 F120:F121">
    <cfRule type="cellIs" dxfId="54" priority="1" stopIfTrue="1" operator="between">
      <formula>0.009</formula>
      <formula>-0.009</formula>
    </cfRule>
  </conditionalFormatting>
  <conditionalFormatting sqref="F112:F113">
    <cfRule type="cellIs" dxfId="53" priority="4" stopIfTrue="1" operator="between">
      <formula>0.009</formula>
      <formula>-0.009</formula>
    </cfRule>
  </conditionalFormatting>
  <conditionalFormatting sqref="F115:F116">
    <cfRule type="cellIs" dxfId="52" priority="3" stopIfTrue="1" operator="between">
      <formula>0.009</formula>
      <formula>-0.009</formula>
    </cfRule>
  </conditionalFormatting>
  <conditionalFormatting sqref="F114">
    <cfRule type="cellIs" dxfId="51" priority="2" stopIfTrue="1" operator="between">
      <formula>0.009</formula>
      <formula>-0.009</formula>
    </cfRule>
  </conditionalFormatting>
  <hyperlinks>
    <hyperlink ref="A58" r:id="rId1" tooltip="https://www.franklintempletonindia.com/investor/reports" xr:uid="{00000000-0004-0000-1400-000000000000}"/>
    <hyperlink ref="A65" r:id="rId2" tooltip="https://www.franklintempletonindia.com/downloadsServlet/pdf/fair-valuation-reliance-big-reliance-infra-november-4-2020-kgox4tfq" xr:uid="{00000000-0004-0000-1400-000001000000}"/>
    <hyperlink ref="A70" r:id="rId3" tooltip="https://www.franklintempletonindia.com/downloadsServlet/pdf/product-labels-jg9o5k7l" xr:uid="{00000000-0004-0000-1400-000002000000}"/>
    <hyperlink ref="A107" r:id="rId4" tooltip="https://www.franklintempletonindia.com/downloadsServlet/pdf/product-labels-jg9o5k7l" xr:uid="{00000000-0004-0000-1400-000003000000}"/>
    <hyperlink ref="A141" r:id="rId5" tooltip="https://www.franklintempletonindia.com/downloadsServlet/pdf/product-labels-jg9o5k7l" xr:uid="{00000000-0004-0000-1400-000004000000}"/>
    <hyperlink ref="A104" r:id="rId6" xr:uid="{00000000-0004-0000-1400-000005000000}"/>
    <hyperlink ref="A138" r:id="rId7" xr:uid="{00000000-0004-0000-1400-000006000000}"/>
  </hyperlinks>
  <pageMargins left="0.7" right="0.7" top="0.75" bottom="0.75" header="0.3" footer="0.3"/>
  <pageSetup paperSize="9" orientation="portrait" r:id="rId8"/>
  <headerFooter>
    <oddFooter>&amp;C&amp;1#&amp;"Calibri"&amp;10&amp;K000000PUBLIC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1"/>
  <sheetViews>
    <sheetView workbookViewId="0">
      <selection sqref="A1:G1"/>
    </sheetView>
  </sheetViews>
  <sheetFormatPr defaultColWidth="9.109375" defaultRowHeight="10.199999999999999" x14ac:dyDescent="0.2"/>
  <cols>
    <col min="1" max="1" width="38.6640625" style="9" bestFit="1" customWidth="1"/>
    <col min="2" max="2" width="52.33203125" style="9" bestFit="1" customWidth="1"/>
    <col min="3" max="3" width="1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2" t="s">
        <v>1156</v>
      </c>
      <c r="B1" s="73"/>
      <c r="C1" s="73"/>
      <c r="D1" s="73"/>
      <c r="E1" s="73"/>
      <c r="F1" s="73"/>
      <c r="G1" s="73"/>
    </row>
    <row r="2" spans="1:9" s="1" customFormat="1" ht="12" x14ac:dyDescent="0.25">
      <c r="A2" s="56" t="s">
        <v>1091</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1157</v>
      </c>
      <c r="B7" s="27" t="s">
        <v>1158</v>
      </c>
      <c r="C7" s="27" t="s">
        <v>999</v>
      </c>
      <c r="D7" s="31">
        <v>1240</v>
      </c>
      <c r="E7" s="29">
        <v>12679.099200000001</v>
      </c>
      <c r="F7" s="30">
        <v>42.581710865433102</v>
      </c>
      <c r="G7" s="29">
        <v>8.5108999999999995</v>
      </c>
    </row>
    <row r="8" spans="1:9" x14ac:dyDescent="0.2">
      <c r="A8" s="27" t="s">
        <v>1159</v>
      </c>
      <c r="B8" s="27" t="s">
        <v>1160</v>
      </c>
      <c r="C8" s="27" t="s">
        <v>1161</v>
      </c>
      <c r="D8" s="31">
        <v>650</v>
      </c>
      <c r="E8" s="29">
        <v>6219.0505000000003</v>
      </c>
      <c r="F8" s="30">
        <v>20.886169125368699</v>
      </c>
      <c r="G8" s="29">
        <v>14.755000000000001</v>
      </c>
    </row>
    <row r="9" spans="1:9" x14ac:dyDescent="0.2">
      <c r="A9" s="27" t="s">
        <v>1117</v>
      </c>
      <c r="B9" s="27" t="s">
        <v>1113</v>
      </c>
      <c r="C9" s="27" t="s">
        <v>1114</v>
      </c>
      <c r="D9" s="31">
        <v>200</v>
      </c>
      <c r="E9" s="29">
        <v>1160.21</v>
      </c>
      <c r="F9" s="30">
        <v>3.8964697715421401</v>
      </c>
      <c r="G9" s="29">
        <v>22.054400000000001</v>
      </c>
    </row>
    <row r="10" spans="1:9" x14ac:dyDescent="0.2">
      <c r="A10" s="27" t="s">
        <v>1118</v>
      </c>
      <c r="B10" s="27" t="s">
        <v>1119</v>
      </c>
      <c r="C10" s="27" t="s">
        <v>1097</v>
      </c>
      <c r="D10" s="31">
        <v>176</v>
      </c>
      <c r="E10" s="29">
        <v>887.85487999999998</v>
      </c>
      <c r="F10" s="30">
        <v>2.9817875224624699</v>
      </c>
      <c r="G10" s="29">
        <v>7.7287999999999997</v>
      </c>
    </row>
    <row r="11" spans="1:9" x14ac:dyDescent="0.2">
      <c r="A11" s="27" t="s">
        <v>1162</v>
      </c>
      <c r="B11" s="27" t="s">
        <v>1163</v>
      </c>
      <c r="C11" s="27" t="s">
        <v>1097</v>
      </c>
      <c r="D11" s="31">
        <v>300</v>
      </c>
      <c r="E11" s="29">
        <v>753.64200000000005</v>
      </c>
      <c r="F11" s="30">
        <v>2.53104461396175</v>
      </c>
      <c r="G11" s="29">
        <v>7.5033000000000003</v>
      </c>
    </row>
    <row r="12" spans="1:9" x14ac:dyDescent="0.2">
      <c r="A12" s="27" t="s">
        <v>1095</v>
      </c>
      <c r="B12" s="27" t="s">
        <v>1096</v>
      </c>
      <c r="C12" s="27" t="s">
        <v>1097</v>
      </c>
      <c r="D12" s="31">
        <v>55</v>
      </c>
      <c r="E12" s="29">
        <v>559.88130000000001</v>
      </c>
      <c r="F12" s="30">
        <v>1.8803152542227</v>
      </c>
      <c r="G12" s="29">
        <v>8.6789000000000005</v>
      </c>
    </row>
    <row r="13" spans="1:9" x14ac:dyDescent="0.2">
      <c r="A13" s="27" t="s">
        <v>874</v>
      </c>
      <c r="B13" s="27" t="s">
        <v>875</v>
      </c>
      <c r="C13" s="27" t="s">
        <v>876</v>
      </c>
      <c r="D13" s="31">
        <v>4</v>
      </c>
      <c r="E13" s="29">
        <v>40.14696</v>
      </c>
      <c r="F13" s="30">
        <v>0.13483026009025201</v>
      </c>
      <c r="G13" s="29">
        <v>8.7949999999999999</v>
      </c>
    </row>
    <row r="14" spans="1:9" x14ac:dyDescent="0.2">
      <c r="A14" s="26" t="s">
        <v>35</v>
      </c>
      <c r="B14" s="26"/>
      <c r="C14" s="26"/>
      <c r="D14" s="32"/>
      <c r="E14" s="33">
        <f>SUM(E6:E13)</f>
        <v>22299.884839999999</v>
      </c>
      <c r="F14" s="34">
        <f>SUM(F6:F13)</f>
        <v>74.892327413081119</v>
      </c>
      <c r="G14" s="33"/>
      <c r="H14" s="18"/>
      <c r="I14" s="18"/>
    </row>
    <row r="15" spans="1:9" x14ac:dyDescent="0.2">
      <c r="A15" s="27"/>
      <c r="B15" s="27"/>
      <c r="C15" s="27"/>
      <c r="D15" s="28"/>
      <c r="E15" s="29"/>
      <c r="F15" s="30"/>
      <c r="G15" s="29"/>
    </row>
    <row r="16" spans="1:9" x14ac:dyDescent="0.2">
      <c r="A16" s="26" t="s">
        <v>1065</v>
      </c>
      <c r="B16" s="27"/>
      <c r="C16" s="27"/>
      <c r="D16" s="28"/>
      <c r="E16" s="29"/>
      <c r="F16" s="30"/>
      <c r="G16" s="29"/>
    </row>
    <row r="17" spans="1:9" x14ac:dyDescent="0.2">
      <c r="A17" s="27" t="s">
        <v>1123</v>
      </c>
      <c r="B17" s="27" t="s">
        <v>1124</v>
      </c>
      <c r="C17" s="27" t="s">
        <v>1122</v>
      </c>
      <c r="D17" s="31">
        <v>180</v>
      </c>
      <c r="E17" s="29">
        <v>1517.9844869999999</v>
      </c>
      <c r="F17" s="30">
        <v>5.0980259326030701</v>
      </c>
      <c r="G17" s="29">
        <v>10.825100000000001</v>
      </c>
    </row>
    <row r="18" spans="1:9" x14ac:dyDescent="0.2">
      <c r="A18" s="27" t="s">
        <v>1125</v>
      </c>
      <c r="B18" s="27" t="s">
        <v>1126</v>
      </c>
      <c r="C18" s="27" t="s">
        <v>1122</v>
      </c>
      <c r="D18" s="31">
        <v>120</v>
      </c>
      <c r="E18" s="29">
        <v>1052.4179360000001</v>
      </c>
      <c r="F18" s="30">
        <v>3.53445899850266</v>
      </c>
      <c r="G18" s="29">
        <v>10.494999999999999</v>
      </c>
    </row>
    <row r="19" spans="1:9" x14ac:dyDescent="0.2">
      <c r="A19" s="27" t="s">
        <v>1164</v>
      </c>
      <c r="B19" s="27" t="s">
        <v>1165</v>
      </c>
      <c r="C19" s="27" t="s">
        <v>1122</v>
      </c>
      <c r="D19" s="31">
        <v>40</v>
      </c>
      <c r="E19" s="29">
        <v>328.92960190000002</v>
      </c>
      <c r="F19" s="30">
        <v>1.1046829890870999</v>
      </c>
      <c r="G19" s="29">
        <v>10.764799999999999</v>
      </c>
    </row>
    <row r="20" spans="1:9" x14ac:dyDescent="0.2">
      <c r="A20" s="26" t="s">
        <v>35</v>
      </c>
      <c r="B20" s="26"/>
      <c r="C20" s="26"/>
      <c r="D20" s="32"/>
      <c r="E20" s="33">
        <f>SUM(E16:E19)</f>
        <v>2899.3320248999999</v>
      </c>
      <c r="F20" s="34">
        <f>SUM(F16:F19)</f>
        <v>9.7371679201928298</v>
      </c>
      <c r="G20" s="33"/>
      <c r="H20" s="18"/>
      <c r="I20" s="18"/>
    </row>
    <row r="21" spans="1:9" x14ac:dyDescent="0.2">
      <c r="A21" s="27"/>
      <c r="B21" s="27"/>
      <c r="C21" s="27"/>
      <c r="D21" s="28"/>
      <c r="E21" s="29"/>
      <c r="F21" s="30"/>
      <c r="G21" s="29"/>
    </row>
    <row r="22" spans="1:9" x14ac:dyDescent="0.2">
      <c r="A22" s="26" t="s">
        <v>36</v>
      </c>
      <c r="B22" s="27"/>
      <c r="C22" s="27"/>
      <c r="D22" s="28"/>
      <c r="E22" s="29"/>
      <c r="F22" s="30"/>
      <c r="G22" s="29"/>
    </row>
    <row r="23" spans="1:9" x14ac:dyDescent="0.2">
      <c r="A23" s="27" t="s">
        <v>1134</v>
      </c>
      <c r="B23" s="27" t="s">
        <v>1135</v>
      </c>
      <c r="C23" s="27" t="s">
        <v>1136</v>
      </c>
      <c r="D23" s="31">
        <v>116694.693</v>
      </c>
      <c r="E23" s="29">
        <v>3952.4540360000001</v>
      </c>
      <c r="F23" s="30">
        <v>13.2739914969564</v>
      </c>
      <c r="G23" s="29">
        <v>3.1389</v>
      </c>
    </row>
    <row r="24" spans="1:9" x14ac:dyDescent="0.2">
      <c r="A24" s="26" t="s">
        <v>35</v>
      </c>
      <c r="B24" s="26"/>
      <c r="C24" s="26"/>
      <c r="D24" s="32"/>
      <c r="E24" s="33">
        <f>SUM(E23:E23)</f>
        <v>3952.4540360000001</v>
      </c>
      <c r="F24" s="34">
        <f>SUM(F23:F23)</f>
        <v>13.2739914969564</v>
      </c>
      <c r="G24" s="33"/>
      <c r="H24" s="18"/>
      <c r="I24" s="18"/>
    </row>
    <row r="25" spans="1:9" x14ac:dyDescent="0.2">
      <c r="A25" s="27"/>
      <c r="B25" s="27"/>
      <c r="C25" s="27"/>
      <c r="D25" s="28"/>
      <c r="E25" s="29"/>
      <c r="F25" s="30"/>
      <c r="G25" s="29"/>
    </row>
    <row r="26" spans="1:9" x14ac:dyDescent="0.2">
      <c r="A26" s="26" t="s">
        <v>37</v>
      </c>
      <c r="B26" s="26"/>
      <c r="C26" s="26"/>
      <c r="D26" s="32"/>
      <c r="E26" s="33">
        <f>E14+E20+E24</f>
        <v>29151.670900899997</v>
      </c>
      <c r="F26" s="34">
        <f>F14+F20+F24</f>
        <v>97.903486830230349</v>
      </c>
      <c r="G26" s="33"/>
      <c r="H26" s="18"/>
      <c r="I26" s="18"/>
    </row>
    <row r="27" spans="1:9" x14ac:dyDescent="0.2">
      <c r="A27" s="26"/>
      <c r="B27" s="26"/>
      <c r="C27" s="26"/>
      <c r="D27" s="32"/>
      <c r="E27" s="33"/>
      <c r="F27" s="34"/>
      <c r="G27" s="33"/>
      <c r="H27" s="18"/>
      <c r="I27" s="18"/>
    </row>
    <row r="28" spans="1:9" x14ac:dyDescent="0.2">
      <c r="A28" s="26" t="s">
        <v>39</v>
      </c>
      <c r="B28" s="26"/>
      <c r="C28" s="26"/>
      <c r="D28" s="32"/>
      <c r="E28" s="33">
        <f>E30-(E14+E20+E24)</f>
        <v>624.25623380000252</v>
      </c>
      <c r="F28" s="34">
        <f>F30-(F14+F20+F24)</f>
        <v>2.0965131697696506</v>
      </c>
      <c r="G28" s="33"/>
      <c r="H28" s="18"/>
      <c r="I28" s="18"/>
    </row>
    <row r="29" spans="1:9" x14ac:dyDescent="0.2">
      <c r="A29" s="26"/>
      <c r="B29" s="26"/>
      <c r="C29" s="26"/>
      <c r="D29" s="32"/>
      <c r="E29" s="33"/>
      <c r="F29" s="34"/>
      <c r="G29" s="33"/>
      <c r="H29" s="18"/>
      <c r="I29" s="18"/>
    </row>
    <row r="30" spans="1:9" x14ac:dyDescent="0.2">
      <c r="A30" s="35" t="s">
        <v>38</v>
      </c>
      <c r="B30" s="35"/>
      <c r="C30" s="35"/>
      <c r="D30" s="36"/>
      <c r="E30" s="37">
        <v>29775.927134699999</v>
      </c>
      <c r="F30" s="38">
        <v>100</v>
      </c>
      <c r="G30" s="37"/>
      <c r="H30" s="18"/>
      <c r="I30" s="18"/>
    </row>
    <row r="32" spans="1:9" x14ac:dyDescent="0.2">
      <c r="A32" s="18" t="s">
        <v>40</v>
      </c>
    </row>
    <row r="34" spans="1:5" x14ac:dyDescent="0.2">
      <c r="A34" s="18" t="s">
        <v>41</v>
      </c>
    </row>
    <row r="35" spans="1:5" x14ac:dyDescent="0.2">
      <c r="A35" s="18" t="s">
        <v>42</v>
      </c>
    </row>
    <row r="36" spans="1:5" x14ac:dyDescent="0.2">
      <c r="A36" s="18" t="s">
        <v>43</v>
      </c>
      <c r="B36" s="18"/>
      <c r="C36" s="39" t="s">
        <v>45</v>
      </c>
      <c r="D36" s="19" t="s">
        <v>44</v>
      </c>
    </row>
    <row r="37" spans="1:5" x14ac:dyDescent="0.2">
      <c r="A37" s="9" t="s">
        <v>68</v>
      </c>
      <c r="C37" s="40">
        <v>22.803999999999998</v>
      </c>
      <c r="D37" s="40">
        <v>23.735299999999999</v>
      </c>
    </row>
    <row r="38" spans="1:5" x14ac:dyDescent="0.2">
      <c r="A38" s="9" t="s">
        <v>69</v>
      </c>
      <c r="C38" s="40">
        <v>10.514900000000001</v>
      </c>
      <c r="D38" s="40">
        <v>10.9444</v>
      </c>
    </row>
    <row r="39" spans="1:5" x14ac:dyDescent="0.2">
      <c r="A39" s="9" t="s">
        <v>70</v>
      </c>
      <c r="C39" s="40">
        <v>10.3271</v>
      </c>
      <c r="D39" s="40">
        <v>10.748900000000001</v>
      </c>
    </row>
    <row r="40" spans="1:5" x14ac:dyDescent="0.2">
      <c r="A40" s="9" t="s">
        <v>71</v>
      </c>
      <c r="C40" s="40">
        <v>23.410699999999999</v>
      </c>
      <c r="D40" s="40">
        <v>24.377199999999998</v>
      </c>
    </row>
    <row r="41" spans="1:5" x14ac:dyDescent="0.2">
      <c r="A41" s="9" t="s">
        <v>72</v>
      </c>
      <c r="C41" s="40">
        <v>10.880100000000001</v>
      </c>
      <c r="D41" s="40">
        <v>11.3292</v>
      </c>
    </row>
    <row r="42" spans="1:5" x14ac:dyDescent="0.2">
      <c r="A42" s="9" t="s">
        <v>73</v>
      </c>
      <c r="C42" s="40">
        <v>10.691700000000001</v>
      </c>
      <c r="D42" s="40">
        <v>11.133100000000001</v>
      </c>
    </row>
    <row r="44" spans="1:5" x14ac:dyDescent="0.2">
      <c r="A44" s="9" t="s">
        <v>46</v>
      </c>
    </row>
    <row r="46" spans="1:5" x14ac:dyDescent="0.2">
      <c r="A46" s="18" t="s">
        <v>47</v>
      </c>
      <c r="D46" s="41" t="s">
        <v>48</v>
      </c>
    </row>
    <row r="48" spans="1:5" x14ac:dyDescent="0.2">
      <c r="A48" s="18" t="s">
        <v>816</v>
      </c>
      <c r="D48" s="42">
        <v>1.180936295780822</v>
      </c>
      <c r="E48" s="13" t="s">
        <v>49</v>
      </c>
    </row>
    <row r="50" spans="1:7" x14ac:dyDescent="0.2">
      <c r="A50" s="18" t="s">
        <v>727</v>
      </c>
      <c r="D50" s="41" t="s">
        <v>48</v>
      </c>
    </row>
    <row r="51" spans="1:7" x14ac:dyDescent="0.2">
      <c r="A51" s="9" t="s">
        <v>723</v>
      </c>
    </row>
    <row r="52" spans="1:7" x14ac:dyDescent="0.2">
      <c r="A52" s="50" t="s">
        <v>1138</v>
      </c>
    </row>
    <row r="54" spans="1:7" ht="24.75" customHeight="1" x14ac:dyDescent="0.3">
      <c r="A54" s="78" t="s">
        <v>1166</v>
      </c>
      <c r="B54" s="79"/>
      <c r="C54" s="79"/>
      <c r="D54" s="79"/>
      <c r="E54" s="79"/>
      <c r="F54" s="79"/>
      <c r="G54" s="79"/>
    </row>
    <row r="56" spans="1:7" ht="45.75" customHeight="1" x14ac:dyDescent="0.3">
      <c r="A56" s="78" t="s">
        <v>1167</v>
      </c>
      <c r="B56" s="79"/>
      <c r="C56" s="79"/>
      <c r="D56" s="79"/>
      <c r="E56" s="79"/>
      <c r="F56" s="79"/>
      <c r="G56" s="79"/>
    </row>
    <row r="57" spans="1:7" ht="15" customHeight="1" x14ac:dyDescent="0.2">
      <c r="A57" s="50" t="s">
        <v>1142</v>
      </c>
    </row>
    <row r="59" spans="1:7" ht="23.25" customHeight="1" x14ac:dyDescent="0.3">
      <c r="A59" s="78" t="s">
        <v>1168</v>
      </c>
      <c r="B59" s="79"/>
      <c r="C59" s="79"/>
      <c r="D59" s="79"/>
      <c r="E59" s="79"/>
      <c r="F59" s="79"/>
      <c r="G59" s="79"/>
    </row>
    <row r="61" spans="1:7" x14ac:dyDescent="0.2">
      <c r="A61" s="18" t="s">
        <v>1169</v>
      </c>
    </row>
    <row r="62" spans="1:7" x14ac:dyDescent="0.2">
      <c r="A62" s="50" t="s">
        <v>51</v>
      </c>
    </row>
    <row r="64" spans="1:7" x14ac:dyDescent="0.2">
      <c r="A64" s="18" t="s">
        <v>739</v>
      </c>
    </row>
    <row r="66" spans="1:9" s="1" customFormat="1" ht="13.8" x14ac:dyDescent="0.2">
      <c r="A66" s="72" t="s">
        <v>1170</v>
      </c>
      <c r="B66" s="73"/>
      <c r="C66" s="73"/>
      <c r="D66" s="73"/>
      <c r="E66" s="73"/>
      <c r="F66" s="73"/>
      <c r="G66" s="73"/>
    </row>
    <row r="67" spans="1:9" x14ac:dyDescent="0.2">
      <c r="A67" s="18" t="s">
        <v>7</v>
      </c>
    </row>
    <row r="68" spans="1:9" s="1" customFormat="1" ht="17.399999999999999" customHeight="1" x14ac:dyDescent="0.2">
      <c r="A68" s="8" t="s">
        <v>2</v>
      </c>
      <c r="B68" s="8" t="s">
        <v>0</v>
      </c>
      <c r="C68" s="17" t="s">
        <v>742</v>
      </c>
      <c r="D68" s="16" t="s">
        <v>1</v>
      </c>
      <c r="E68" s="15" t="s">
        <v>3</v>
      </c>
      <c r="F68" s="15" t="s">
        <v>4</v>
      </c>
      <c r="G68" s="15" t="s">
        <v>6</v>
      </c>
    </row>
    <row r="69" spans="1:9" x14ac:dyDescent="0.2">
      <c r="A69" s="21" t="s">
        <v>31</v>
      </c>
      <c r="B69" s="22"/>
      <c r="C69" s="22"/>
      <c r="D69" s="23"/>
      <c r="E69" s="24"/>
      <c r="F69" s="25"/>
      <c r="G69" s="24"/>
    </row>
    <row r="70" spans="1:9" x14ac:dyDescent="0.2">
      <c r="A70" s="26" t="s">
        <v>32</v>
      </c>
      <c r="B70" s="27"/>
      <c r="C70" s="27"/>
      <c r="D70" s="28"/>
      <c r="E70" s="29"/>
      <c r="F70" s="30"/>
      <c r="G70" s="29"/>
    </row>
    <row r="71" spans="1:9" x14ac:dyDescent="0.2">
      <c r="A71" s="27" t="s">
        <v>1146</v>
      </c>
      <c r="B71" s="27" t="s">
        <v>1147</v>
      </c>
      <c r="C71" s="27" t="s">
        <v>1148</v>
      </c>
      <c r="D71" s="31">
        <v>1510</v>
      </c>
      <c r="E71" s="29">
        <v>0</v>
      </c>
      <c r="F71" s="30">
        <v>100</v>
      </c>
      <c r="G71" s="29">
        <v>0</v>
      </c>
    </row>
    <row r="72" spans="1:9" x14ac:dyDescent="0.2">
      <c r="A72" s="26" t="s">
        <v>35</v>
      </c>
      <c r="B72" s="26"/>
      <c r="C72" s="26"/>
      <c r="D72" s="32"/>
      <c r="E72" s="33">
        <v>0</v>
      </c>
      <c r="F72" s="34">
        <v>100</v>
      </c>
      <c r="G72" s="33"/>
      <c r="H72" s="18"/>
      <c r="I72" s="18"/>
    </row>
    <row r="73" spans="1:9" x14ac:dyDescent="0.2">
      <c r="A73" s="27"/>
      <c r="B73" s="27"/>
      <c r="C73" s="27"/>
      <c r="D73" s="28"/>
      <c r="E73" s="29"/>
      <c r="F73" s="30"/>
      <c r="G73" s="29"/>
    </row>
    <row r="74" spans="1:9" x14ac:dyDescent="0.2">
      <c r="A74" s="26" t="s">
        <v>37</v>
      </c>
      <c r="B74" s="26"/>
      <c r="C74" s="26"/>
      <c r="D74" s="32"/>
      <c r="E74" s="33">
        <v>0</v>
      </c>
      <c r="F74" s="34">
        <v>100</v>
      </c>
      <c r="G74" s="33"/>
      <c r="H74" s="18"/>
      <c r="I74" s="18"/>
    </row>
    <row r="75" spans="1:9" x14ac:dyDescent="0.2">
      <c r="A75" s="26"/>
      <c r="B75" s="26"/>
      <c r="C75" s="26"/>
      <c r="D75" s="32"/>
      <c r="E75" s="33"/>
      <c r="F75" s="34"/>
      <c r="G75" s="33"/>
      <c r="H75" s="18"/>
      <c r="I75" s="18"/>
    </row>
    <row r="76" spans="1:9" x14ac:dyDescent="0.2">
      <c r="A76" s="26" t="s">
        <v>39</v>
      </c>
      <c r="B76" s="26"/>
      <c r="C76" s="26"/>
      <c r="D76" s="32"/>
      <c r="E76" s="33">
        <v>5.9999999999999997E-7</v>
      </c>
      <c r="F76" s="34">
        <v>0</v>
      </c>
      <c r="G76" s="33"/>
      <c r="H76" s="18"/>
      <c r="I76" s="18"/>
    </row>
    <row r="77" spans="1:9" x14ac:dyDescent="0.2">
      <c r="A77" s="26"/>
      <c r="B77" s="26"/>
      <c r="C77" s="26"/>
      <c r="D77" s="32"/>
      <c r="E77" s="33"/>
      <c r="F77" s="34"/>
      <c r="G77" s="33"/>
      <c r="H77" s="18"/>
      <c r="I77" s="18"/>
    </row>
    <row r="78" spans="1:9" x14ac:dyDescent="0.2">
      <c r="A78" s="35" t="s">
        <v>38</v>
      </c>
      <c r="B78" s="35"/>
      <c r="C78" s="35"/>
      <c r="D78" s="36"/>
      <c r="E78" s="37">
        <v>5.9999999999999997E-7</v>
      </c>
      <c r="F78" s="38">
        <v>100</v>
      </c>
      <c r="G78" s="37"/>
      <c r="H78" s="18"/>
      <c r="I78" s="18"/>
    </row>
    <row r="80" spans="1:9" x14ac:dyDescent="0.2">
      <c r="A80" s="18" t="s">
        <v>40</v>
      </c>
    </row>
    <row r="81" spans="1:4" x14ac:dyDescent="0.2">
      <c r="A81" s="47" t="s">
        <v>1137</v>
      </c>
    </row>
    <row r="82" spans="1:4" x14ac:dyDescent="0.2">
      <c r="A82" s="18" t="s">
        <v>1149</v>
      </c>
    </row>
    <row r="84" spans="1:4" x14ac:dyDescent="0.2">
      <c r="A84" s="18" t="s">
        <v>41</v>
      </c>
    </row>
    <row r="85" spans="1:4" x14ac:dyDescent="0.2">
      <c r="A85" s="18" t="s">
        <v>42</v>
      </c>
    </row>
    <row r="86" spans="1:4" x14ac:dyDescent="0.2">
      <c r="A86" s="18" t="s">
        <v>43</v>
      </c>
      <c r="B86" s="18"/>
      <c r="C86" s="39" t="s">
        <v>45</v>
      </c>
      <c r="D86" s="19" t="s">
        <v>44</v>
      </c>
    </row>
    <row r="87" spans="1:4" x14ac:dyDescent="0.2">
      <c r="A87" s="9" t="s">
        <v>68</v>
      </c>
      <c r="C87" s="40">
        <v>0</v>
      </c>
      <c r="D87" s="40">
        <v>0</v>
      </c>
    </row>
    <row r="88" spans="1:4" x14ac:dyDescent="0.2">
      <c r="A88" s="9" t="s">
        <v>69</v>
      </c>
      <c r="C88" s="40">
        <v>0</v>
      </c>
      <c r="D88" s="40">
        <v>0</v>
      </c>
    </row>
    <row r="89" spans="1:4" x14ac:dyDescent="0.2">
      <c r="A89" s="9" t="s">
        <v>70</v>
      </c>
      <c r="C89" s="40">
        <v>0</v>
      </c>
      <c r="D89" s="40">
        <v>0</v>
      </c>
    </row>
    <row r="90" spans="1:4" x14ac:dyDescent="0.2">
      <c r="A90" s="9" t="s">
        <v>71</v>
      </c>
      <c r="C90" s="40">
        <v>0</v>
      </c>
      <c r="D90" s="40">
        <v>0</v>
      </c>
    </row>
    <row r="91" spans="1:4" x14ac:dyDescent="0.2">
      <c r="A91" s="9" t="s">
        <v>72</v>
      </c>
      <c r="C91" s="40">
        <v>0</v>
      </c>
      <c r="D91" s="40">
        <v>0</v>
      </c>
    </row>
    <row r="92" spans="1:4" x14ac:dyDescent="0.2">
      <c r="A92" s="9" t="s">
        <v>73</v>
      </c>
      <c r="C92" s="40">
        <v>0</v>
      </c>
      <c r="D92" s="40">
        <v>0</v>
      </c>
    </row>
    <row r="94" spans="1:4" x14ac:dyDescent="0.2">
      <c r="A94" s="9" t="s">
        <v>46</v>
      </c>
    </row>
    <row r="96" spans="1:4" x14ac:dyDescent="0.2">
      <c r="A96" s="18" t="s">
        <v>1150</v>
      </c>
      <c r="D96" s="41" t="s">
        <v>48</v>
      </c>
    </row>
    <row r="97" spans="1:1" x14ac:dyDescent="0.2">
      <c r="A97" s="9" t="s">
        <v>723</v>
      </c>
    </row>
    <row r="98" spans="1:1" x14ac:dyDescent="0.2">
      <c r="A98" s="50" t="s">
        <v>724</v>
      </c>
    </row>
    <row r="100" spans="1:1" x14ac:dyDescent="0.2">
      <c r="A100" s="18" t="s">
        <v>1151</v>
      </c>
    </row>
    <row r="101" spans="1:1" x14ac:dyDescent="0.2">
      <c r="A101" s="50" t="s">
        <v>51</v>
      </c>
    </row>
  </sheetData>
  <mergeCells count="5">
    <mergeCell ref="A1:G1"/>
    <mergeCell ref="A54:G54"/>
    <mergeCell ref="A56:G56"/>
    <mergeCell ref="A59:G59"/>
    <mergeCell ref="A66:G66"/>
  </mergeCells>
  <conditionalFormatting sqref="F2:F3 F5:F53 F55 F58 F67 F60:F65 F79:F65532">
    <cfRule type="cellIs" dxfId="50" priority="3" stopIfTrue="1" operator="between">
      <formula>0.009</formula>
      <formula>-0.009</formula>
    </cfRule>
  </conditionalFormatting>
  <conditionalFormatting sqref="F57">
    <cfRule type="cellIs" dxfId="49" priority="2" stopIfTrue="1" operator="between">
      <formula>0.009</formula>
      <formula>-0.009</formula>
    </cfRule>
  </conditionalFormatting>
  <conditionalFormatting sqref="F69:F78">
    <cfRule type="cellIs" dxfId="48" priority="1" stopIfTrue="1" operator="between">
      <formula>0.009</formula>
      <formula>-0.009</formula>
    </cfRule>
  </conditionalFormatting>
  <hyperlinks>
    <hyperlink ref="A52" r:id="rId1" tooltip="https://www.franklintempletonindia.com/investor/reports" xr:uid="{00000000-0004-0000-1500-000000000000}"/>
    <hyperlink ref="A57" r:id="rId2" tooltip="https://www.franklintempletonindia.com/downloadsServlet/pdf/fair-valuation-reliance-big-reliance-infra-november-4-2020-kgox4tfq" xr:uid="{00000000-0004-0000-1500-000001000000}"/>
    <hyperlink ref="A62" r:id="rId3" tooltip="https://www.franklintempletonindia.com/downloadsServlet/pdf/product-labels-jg9o5k7l" xr:uid="{00000000-0004-0000-1500-000002000000}"/>
    <hyperlink ref="A101" r:id="rId4" tooltip="https://www.franklintempletonindia.com/downloadsServlet/pdf/product-labels-jg9o5k7l" xr:uid="{00000000-0004-0000-1500-000003000000}"/>
    <hyperlink ref="A98" r:id="rId5" xr:uid="{00000000-0004-0000-15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67"/>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2" t="s">
        <v>1171</v>
      </c>
      <c r="B1" s="73"/>
      <c r="C1" s="73"/>
      <c r="D1" s="73"/>
      <c r="E1" s="73"/>
      <c r="F1" s="73"/>
      <c r="G1" s="73"/>
      <c r="H1" s="73"/>
    </row>
    <row r="2" spans="1:8" s="1" customFormat="1" ht="12" x14ac:dyDescent="0.25">
      <c r="A2" s="56" t="s">
        <v>1091</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742</v>
      </c>
      <c r="D4" s="16" t="s">
        <v>1</v>
      </c>
      <c r="E4" s="15" t="s">
        <v>3</v>
      </c>
      <c r="F4" s="15" t="s">
        <v>4</v>
      </c>
      <c r="G4" s="15" t="s">
        <v>6</v>
      </c>
      <c r="H4" s="15" t="s">
        <v>1172</v>
      </c>
    </row>
    <row r="5" spans="1:8" x14ac:dyDescent="0.2">
      <c r="A5" s="21" t="s">
        <v>31</v>
      </c>
      <c r="B5" s="22"/>
      <c r="C5" s="22"/>
      <c r="D5" s="23"/>
      <c r="E5" s="24"/>
      <c r="F5" s="25"/>
      <c r="G5" s="24"/>
      <c r="H5" s="25"/>
    </row>
    <row r="6" spans="1:8" x14ac:dyDescent="0.2">
      <c r="A6" s="26" t="s">
        <v>32</v>
      </c>
      <c r="B6" s="27"/>
      <c r="C6" s="27"/>
      <c r="D6" s="28"/>
      <c r="E6" s="29"/>
      <c r="F6" s="30"/>
      <c r="G6" s="29"/>
      <c r="H6" s="30"/>
    </row>
    <row r="7" spans="1:8" x14ac:dyDescent="0.2">
      <c r="A7" s="27" t="s">
        <v>1173</v>
      </c>
      <c r="B7" s="27" t="s">
        <v>1174</v>
      </c>
      <c r="C7" s="27" t="s">
        <v>1097</v>
      </c>
      <c r="D7" s="31">
        <v>11135</v>
      </c>
      <c r="E7" s="29">
        <v>23719.24252</v>
      </c>
      <c r="F7" s="30">
        <v>11.6774688549314</v>
      </c>
      <c r="G7" s="29">
        <v>8.4992999999999999</v>
      </c>
      <c r="H7" s="30"/>
    </row>
    <row r="8" spans="1:8" x14ac:dyDescent="0.2">
      <c r="A8" s="27" t="s">
        <v>1175</v>
      </c>
      <c r="B8" s="27" t="s">
        <v>1176</v>
      </c>
      <c r="C8" s="27" t="s">
        <v>1097</v>
      </c>
      <c r="D8" s="31">
        <v>10675</v>
      </c>
      <c r="E8" s="29">
        <v>22623.420750000001</v>
      </c>
      <c r="F8" s="30">
        <v>11.137973355488599</v>
      </c>
      <c r="G8" s="29">
        <v>8.0500000000000007</v>
      </c>
      <c r="H8" s="30"/>
    </row>
    <row r="9" spans="1:8" x14ac:dyDescent="0.2">
      <c r="A9" s="27" t="s">
        <v>1098</v>
      </c>
      <c r="B9" s="27" t="s">
        <v>1099</v>
      </c>
      <c r="C9" s="27" t="s">
        <v>1100</v>
      </c>
      <c r="D9" s="31">
        <v>2020</v>
      </c>
      <c r="E9" s="29">
        <v>19927.320199999998</v>
      </c>
      <c r="F9" s="30">
        <v>9.8106278394654396</v>
      </c>
      <c r="G9" s="29">
        <v>14.5791</v>
      </c>
      <c r="H9" s="30"/>
    </row>
    <row r="10" spans="1:8" x14ac:dyDescent="0.2">
      <c r="A10" s="27" t="s">
        <v>1117</v>
      </c>
      <c r="B10" s="27" t="s">
        <v>1113</v>
      </c>
      <c r="C10" s="27" t="s">
        <v>1114</v>
      </c>
      <c r="D10" s="31">
        <v>3100</v>
      </c>
      <c r="E10" s="29">
        <v>17983.255000000001</v>
      </c>
      <c r="F10" s="30">
        <v>8.8535247276854694</v>
      </c>
      <c r="G10" s="29">
        <v>22.054400000000001</v>
      </c>
      <c r="H10" s="30"/>
    </row>
    <row r="11" spans="1:8" x14ac:dyDescent="0.2">
      <c r="A11" s="27" t="s">
        <v>1095</v>
      </c>
      <c r="B11" s="27" t="s">
        <v>1096</v>
      </c>
      <c r="C11" s="27" t="s">
        <v>1097</v>
      </c>
      <c r="D11" s="31">
        <v>879</v>
      </c>
      <c r="E11" s="29">
        <v>8947.9211400000004</v>
      </c>
      <c r="F11" s="30">
        <v>4.4052448277227603</v>
      </c>
      <c r="G11" s="29">
        <v>8.6789000000000005</v>
      </c>
      <c r="H11" s="30"/>
    </row>
    <row r="12" spans="1:8" x14ac:dyDescent="0.2">
      <c r="A12" s="27" t="s">
        <v>1118</v>
      </c>
      <c r="B12" s="27" t="s">
        <v>1119</v>
      </c>
      <c r="C12" s="27" t="s">
        <v>1097</v>
      </c>
      <c r="D12" s="31">
        <v>1349</v>
      </c>
      <c r="E12" s="29">
        <v>6805.2058699999998</v>
      </c>
      <c r="F12" s="30">
        <v>3.3503422181932798</v>
      </c>
      <c r="G12" s="29">
        <v>7.7287999999999997</v>
      </c>
      <c r="H12" s="30"/>
    </row>
    <row r="13" spans="1:8" x14ac:dyDescent="0.2">
      <c r="A13" s="27" t="s">
        <v>1112</v>
      </c>
      <c r="B13" s="27" t="s">
        <v>1113</v>
      </c>
      <c r="C13" s="27" t="s">
        <v>1114</v>
      </c>
      <c r="D13" s="31">
        <v>1000</v>
      </c>
      <c r="E13" s="29">
        <v>5801.05</v>
      </c>
      <c r="F13" s="30">
        <v>2.85597571860822</v>
      </c>
      <c r="G13" s="29">
        <v>22.054400000000001</v>
      </c>
      <c r="H13" s="30"/>
    </row>
    <row r="14" spans="1:8" x14ac:dyDescent="0.2">
      <c r="A14" s="27" t="s">
        <v>1115</v>
      </c>
      <c r="B14" s="27" t="s">
        <v>1116</v>
      </c>
      <c r="C14" s="27" t="s">
        <v>33</v>
      </c>
      <c r="D14" s="31">
        <v>544</v>
      </c>
      <c r="E14" s="29">
        <v>5656.0223999999998</v>
      </c>
      <c r="F14" s="30">
        <v>2.78457566101036</v>
      </c>
      <c r="G14" s="29">
        <v>10.0648</v>
      </c>
      <c r="H14" s="30"/>
    </row>
    <row r="15" spans="1:8" x14ac:dyDescent="0.2">
      <c r="A15" s="27" t="s">
        <v>1177</v>
      </c>
      <c r="B15" s="27" t="s">
        <v>1178</v>
      </c>
      <c r="C15" s="27" t="s">
        <v>1097</v>
      </c>
      <c r="D15" s="31">
        <v>2125</v>
      </c>
      <c r="E15" s="29">
        <v>4529.9942499999997</v>
      </c>
      <c r="F15" s="30">
        <v>2.2302089420768398</v>
      </c>
      <c r="G15" s="29">
        <v>8.8699999999999992</v>
      </c>
      <c r="H15" s="30"/>
    </row>
    <row r="16" spans="1:8" x14ac:dyDescent="0.2">
      <c r="A16" s="27" t="s">
        <v>1157</v>
      </c>
      <c r="B16" s="27" t="s">
        <v>1158</v>
      </c>
      <c r="C16" s="27" t="s">
        <v>999</v>
      </c>
      <c r="D16" s="31">
        <v>190</v>
      </c>
      <c r="E16" s="29">
        <v>1942.7652</v>
      </c>
      <c r="F16" s="30">
        <v>0.95646309515640004</v>
      </c>
      <c r="G16" s="29">
        <v>8.5108999999999995</v>
      </c>
      <c r="H16" s="30"/>
    </row>
    <row r="17" spans="1:9" x14ac:dyDescent="0.2">
      <c r="A17" s="27" t="s">
        <v>1179</v>
      </c>
      <c r="B17" s="27" t="s">
        <v>1180</v>
      </c>
      <c r="C17" s="27" t="s">
        <v>1114</v>
      </c>
      <c r="D17" s="31">
        <v>1400</v>
      </c>
      <c r="E17" s="29">
        <v>1417.9143999999999</v>
      </c>
      <c r="F17" s="30">
        <v>0.69806829754353705</v>
      </c>
      <c r="G17" s="29">
        <v>9.7569999999999997</v>
      </c>
      <c r="H17" s="30">
        <v>5.3896153391999997</v>
      </c>
    </row>
    <row r="18" spans="1:9" x14ac:dyDescent="0.2">
      <c r="A18" s="27" t="s">
        <v>1162</v>
      </c>
      <c r="B18" s="27" t="s">
        <v>1163</v>
      </c>
      <c r="C18" s="27" t="s">
        <v>1097</v>
      </c>
      <c r="D18" s="31">
        <v>350</v>
      </c>
      <c r="E18" s="29">
        <v>879.24900000000002</v>
      </c>
      <c r="F18" s="30">
        <v>0.43287228943218098</v>
      </c>
      <c r="G18" s="29">
        <v>7.5033000000000003</v>
      </c>
      <c r="H18" s="30"/>
    </row>
    <row r="19" spans="1:9" x14ac:dyDescent="0.2">
      <c r="A19" s="26" t="s">
        <v>35</v>
      </c>
      <c r="B19" s="26"/>
      <c r="C19" s="26"/>
      <c r="D19" s="32"/>
      <c r="E19" s="33">
        <f>SUM(E6:E18)</f>
        <v>120233.36073000001</v>
      </c>
      <c r="F19" s="34">
        <f>SUM(F6:F18)</f>
        <v>59.193345827314495</v>
      </c>
      <c r="G19" s="33"/>
      <c r="H19" s="30"/>
      <c r="I19" s="18"/>
    </row>
    <row r="20" spans="1:9" x14ac:dyDescent="0.2">
      <c r="A20" s="27"/>
      <c r="B20" s="27"/>
      <c r="C20" s="27"/>
      <c r="D20" s="28"/>
      <c r="E20" s="29"/>
      <c r="F20" s="30"/>
      <c r="G20" s="29"/>
      <c r="H20" s="30"/>
    </row>
    <row r="21" spans="1:9" x14ac:dyDescent="0.2">
      <c r="A21" s="26" t="s">
        <v>1065</v>
      </c>
      <c r="B21" s="27"/>
      <c r="C21" s="27"/>
      <c r="D21" s="28"/>
      <c r="E21" s="29"/>
      <c r="F21" s="30"/>
      <c r="G21" s="29"/>
      <c r="H21" s="30"/>
    </row>
    <row r="22" spans="1:9" x14ac:dyDescent="0.2">
      <c r="A22" s="27" t="s">
        <v>1164</v>
      </c>
      <c r="B22" s="27" t="s">
        <v>1165</v>
      </c>
      <c r="C22" s="27" t="s">
        <v>1122</v>
      </c>
      <c r="D22" s="31">
        <v>1660</v>
      </c>
      <c r="E22" s="29">
        <v>13650.57848</v>
      </c>
      <c r="F22" s="30">
        <v>6.7204593450902603</v>
      </c>
      <c r="G22" s="29">
        <v>10.764799999999999</v>
      </c>
      <c r="H22" s="30"/>
    </row>
    <row r="23" spans="1:9" x14ac:dyDescent="0.2">
      <c r="A23" s="27" t="s">
        <v>1123</v>
      </c>
      <c r="B23" s="27" t="s">
        <v>1124</v>
      </c>
      <c r="C23" s="27" t="s">
        <v>1122</v>
      </c>
      <c r="D23" s="31">
        <v>1280</v>
      </c>
      <c r="E23" s="29">
        <v>10794.556350000001</v>
      </c>
      <c r="F23" s="30">
        <v>5.3143811600913802</v>
      </c>
      <c r="G23" s="29">
        <v>10.825100000000001</v>
      </c>
      <c r="H23" s="30"/>
    </row>
    <row r="24" spans="1:9" x14ac:dyDescent="0.2">
      <c r="A24" s="27" t="s">
        <v>1120</v>
      </c>
      <c r="B24" s="27" t="s">
        <v>1121</v>
      </c>
      <c r="C24" s="27" t="s">
        <v>1122</v>
      </c>
      <c r="D24" s="31">
        <v>385</v>
      </c>
      <c r="E24" s="29">
        <v>3431.7371469999998</v>
      </c>
      <c r="F24" s="30">
        <v>1.68951447832338</v>
      </c>
      <c r="G24" s="29">
        <v>10.95</v>
      </c>
      <c r="H24" s="30"/>
    </row>
    <row r="25" spans="1:9" x14ac:dyDescent="0.2">
      <c r="A25" s="27" t="s">
        <v>1125</v>
      </c>
      <c r="B25" s="27" t="s">
        <v>1126</v>
      </c>
      <c r="C25" s="27" t="s">
        <v>1122</v>
      </c>
      <c r="D25" s="31">
        <v>150</v>
      </c>
      <c r="E25" s="29">
        <v>1315.52242</v>
      </c>
      <c r="F25" s="30">
        <v>0.64765862883524905</v>
      </c>
      <c r="G25" s="29">
        <v>10.494999999999999</v>
      </c>
      <c r="H25" s="30"/>
    </row>
    <row r="26" spans="1:9" x14ac:dyDescent="0.2">
      <c r="A26" s="27" t="s">
        <v>1077</v>
      </c>
      <c r="B26" s="27" t="s">
        <v>1078</v>
      </c>
      <c r="C26" s="27" t="s">
        <v>34</v>
      </c>
      <c r="D26" s="31">
        <v>13</v>
      </c>
      <c r="E26" s="29">
        <v>130.44694000000001</v>
      </c>
      <c r="F26" s="30">
        <v>6.4221700072701102E-2</v>
      </c>
      <c r="G26" s="29">
        <v>4.0701000000000001</v>
      </c>
      <c r="H26" s="30"/>
    </row>
    <row r="27" spans="1:9" x14ac:dyDescent="0.2">
      <c r="A27" s="27" t="s">
        <v>1130</v>
      </c>
      <c r="B27" s="27" t="s">
        <v>1131</v>
      </c>
      <c r="C27" s="27" t="s">
        <v>1129</v>
      </c>
      <c r="D27" s="31">
        <v>1000</v>
      </c>
      <c r="E27" s="29">
        <v>1.0000000000000001E-5</v>
      </c>
      <c r="F27" s="30">
        <v>4.9232047967320001E-9</v>
      </c>
      <c r="G27" s="29">
        <v>0</v>
      </c>
      <c r="H27" s="30"/>
    </row>
    <row r="28" spans="1:9" x14ac:dyDescent="0.2">
      <c r="A28" s="27" t="s">
        <v>1181</v>
      </c>
      <c r="B28" s="27" t="s">
        <v>1182</v>
      </c>
      <c r="C28" s="27" t="s">
        <v>1129</v>
      </c>
      <c r="D28" s="31">
        <v>800</v>
      </c>
      <c r="E28" s="29">
        <v>7.9999999999999996E-6</v>
      </c>
      <c r="F28" s="30">
        <v>3.9385638373856004E-9</v>
      </c>
      <c r="G28" s="29">
        <v>0</v>
      </c>
      <c r="H28" s="30"/>
    </row>
    <row r="29" spans="1:9" x14ac:dyDescent="0.2">
      <c r="A29" s="27" t="s">
        <v>1183</v>
      </c>
      <c r="B29" s="27" t="s">
        <v>1184</v>
      </c>
      <c r="C29" s="27" t="s">
        <v>1129</v>
      </c>
      <c r="D29" s="31">
        <v>500</v>
      </c>
      <c r="E29" s="29">
        <v>5.0000000000000004E-6</v>
      </c>
      <c r="F29" s="30">
        <v>2.461602398366E-9</v>
      </c>
      <c r="G29" s="29">
        <v>0</v>
      </c>
      <c r="H29" s="30"/>
    </row>
    <row r="30" spans="1:9" x14ac:dyDescent="0.2">
      <c r="A30" s="27" t="s">
        <v>1185</v>
      </c>
      <c r="B30" s="27" t="s">
        <v>1186</v>
      </c>
      <c r="C30" s="27" t="s">
        <v>1129</v>
      </c>
      <c r="D30" s="31">
        <v>375</v>
      </c>
      <c r="E30" s="29">
        <v>3.7500000000000001E-6</v>
      </c>
      <c r="F30" s="30">
        <v>1.8462017987744999E-9</v>
      </c>
      <c r="G30" s="29">
        <v>0</v>
      </c>
      <c r="H30" s="58"/>
    </row>
    <row r="31" spans="1:9" x14ac:dyDescent="0.2">
      <c r="A31" s="27" t="s">
        <v>1187</v>
      </c>
      <c r="B31" s="27" t="s">
        <v>1188</v>
      </c>
      <c r="C31" s="27" t="s">
        <v>1129</v>
      </c>
      <c r="D31" s="31">
        <v>350</v>
      </c>
      <c r="E31" s="29">
        <v>3.4999999999999999E-6</v>
      </c>
      <c r="F31" s="30">
        <v>1.7231216788562001E-9</v>
      </c>
      <c r="G31" s="29">
        <v>0</v>
      </c>
      <c r="H31" s="30"/>
    </row>
    <row r="32" spans="1:9" x14ac:dyDescent="0.2">
      <c r="A32" s="27" t="s">
        <v>1189</v>
      </c>
      <c r="B32" s="27" t="s">
        <v>1190</v>
      </c>
      <c r="C32" s="27" t="s">
        <v>1129</v>
      </c>
      <c r="D32" s="31">
        <v>300</v>
      </c>
      <c r="E32" s="29">
        <v>3.0000000000000001E-6</v>
      </c>
      <c r="F32" s="30">
        <v>1.4769614390195999E-9</v>
      </c>
      <c r="G32" s="29">
        <v>0</v>
      </c>
      <c r="H32" s="30"/>
    </row>
    <row r="33" spans="1:9" x14ac:dyDescent="0.2">
      <c r="A33" s="27" t="s">
        <v>1191</v>
      </c>
      <c r="B33" s="27" t="s">
        <v>1192</v>
      </c>
      <c r="C33" s="27" t="s">
        <v>1129</v>
      </c>
      <c r="D33" s="31">
        <v>200</v>
      </c>
      <c r="E33" s="29">
        <v>1.9999999999999999E-6</v>
      </c>
      <c r="F33" s="30">
        <v>9.8464095934639906E-10</v>
      </c>
      <c r="G33" s="29">
        <v>0</v>
      </c>
      <c r="H33" s="30"/>
    </row>
    <row r="34" spans="1:9" x14ac:dyDescent="0.2">
      <c r="A34" s="26" t="s">
        <v>35</v>
      </c>
      <c r="B34" s="26"/>
      <c r="C34" s="26"/>
      <c r="D34" s="32"/>
      <c r="E34" s="33">
        <f>SUM(E21:E33)</f>
        <v>29322.841372250008</v>
      </c>
      <c r="F34" s="34">
        <f>SUM(F21:F33)</f>
        <v>14.436235329767268</v>
      </c>
      <c r="G34" s="33"/>
      <c r="H34" s="30"/>
      <c r="I34" s="18"/>
    </row>
    <row r="35" spans="1:9" x14ac:dyDescent="0.2">
      <c r="A35" s="27"/>
      <c r="B35" s="27"/>
      <c r="C35" s="27"/>
      <c r="D35" s="28"/>
      <c r="E35" s="29"/>
      <c r="F35" s="30"/>
      <c r="G35" s="29"/>
      <c r="H35" s="30"/>
    </row>
    <row r="36" spans="1:9" x14ac:dyDescent="0.2">
      <c r="A36" s="26" t="s">
        <v>36</v>
      </c>
      <c r="B36" s="27"/>
      <c r="C36" s="27"/>
      <c r="D36" s="28"/>
      <c r="E36" s="29"/>
      <c r="F36" s="30"/>
      <c r="G36" s="29"/>
      <c r="H36" s="30"/>
    </row>
    <row r="37" spans="1:9" x14ac:dyDescent="0.2">
      <c r="A37" s="27" t="s">
        <v>1134</v>
      </c>
      <c r="B37" s="27" t="s">
        <v>1135</v>
      </c>
      <c r="C37" s="27" t="s">
        <v>1136</v>
      </c>
      <c r="D37" s="31">
        <v>714891.63100000005</v>
      </c>
      <c r="E37" s="29">
        <v>24213.40885</v>
      </c>
      <c r="F37" s="30">
        <v>11.920757059555299</v>
      </c>
      <c r="G37" s="29">
        <v>3.1389</v>
      </c>
      <c r="H37" s="30"/>
    </row>
    <row r="38" spans="1:9" x14ac:dyDescent="0.2">
      <c r="A38" s="26" t="s">
        <v>35</v>
      </c>
      <c r="B38" s="26"/>
      <c r="C38" s="26"/>
      <c r="D38" s="32"/>
      <c r="E38" s="33">
        <f>SUM(E37:E37)</f>
        <v>24213.40885</v>
      </c>
      <c r="F38" s="34">
        <f>SUM(F37:F37)</f>
        <v>11.920757059555299</v>
      </c>
      <c r="G38" s="33"/>
      <c r="H38" s="30"/>
      <c r="I38" s="18"/>
    </row>
    <row r="39" spans="1:9" x14ac:dyDescent="0.2">
      <c r="A39" s="27"/>
      <c r="B39" s="27"/>
      <c r="C39" s="27"/>
      <c r="D39" s="28"/>
      <c r="E39" s="29"/>
      <c r="F39" s="30"/>
      <c r="G39" s="29"/>
      <c r="H39" s="34"/>
    </row>
    <row r="40" spans="1:9" x14ac:dyDescent="0.2">
      <c r="A40" s="26" t="s">
        <v>37</v>
      </c>
      <c r="B40" s="26"/>
      <c r="C40" s="26"/>
      <c r="D40" s="32"/>
      <c r="E40" s="33">
        <f>E19+E34+E38</f>
        <v>173769.61095225002</v>
      </c>
      <c r="F40" s="34">
        <f>F19+F34+F38</f>
        <v>85.550338216637059</v>
      </c>
      <c r="G40" s="33"/>
      <c r="H40" s="30"/>
      <c r="I40" s="18"/>
    </row>
    <row r="41" spans="1:9" x14ac:dyDescent="0.2">
      <c r="A41" s="26"/>
      <c r="B41" s="26"/>
      <c r="C41" s="26"/>
      <c r="D41" s="32"/>
      <c r="E41" s="33"/>
      <c r="F41" s="34"/>
      <c r="G41" s="33"/>
      <c r="H41" s="30"/>
      <c r="I41" s="18"/>
    </row>
    <row r="42" spans="1:9" x14ac:dyDescent="0.2">
      <c r="A42" s="26" t="s">
        <v>39</v>
      </c>
      <c r="B42" s="26"/>
      <c r="C42" s="26"/>
      <c r="D42" s="32"/>
      <c r="E42" s="33">
        <f>E44-(E19+E34+E38)</f>
        <v>29350.113147749973</v>
      </c>
      <c r="F42" s="34">
        <f>F44-(F19+F34+F38)</f>
        <v>14.449661783362941</v>
      </c>
      <c r="G42" s="33"/>
      <c r="H42" s="30"/>
      <c r="I42" s="18"/>
    </row>
    <row r="43" spans="1:9" x14ac:dyDescent="0.2">
      <c r="A43" s="26"/>
      <c r="B43" s="26"/>
      <c r="C43" s="26"/>
      <c r="D43" s="32"/>
      <c r="E43" s="33"/>
      <c r="F43" s="34"/>
      <c r="G43" s="33"/>
      <c r="H43" s="30"/>
      <c r="I43" s="18"/>
    </row>
    <row r="44" spans="1:9" x14ac:dyDescent="0.2">
      <c r="A44" s="35" t="s">
        <v>38</v>
      </c>
      <c r="B44" s="35"/>
      <c r="C44" s="35"/>
      <c r="D44" s="36"/>
      <c r="E44" s="37">
        <v>203119.72409999999</v>
      </c>
      <c r="F44" s="38">
        <v>100</v>
      </c>
      <c r="G44" s="37"/>
      <c r="H44" s="59"/>
      <c r="I44" s="18"/>
    </row>
    <row r="45" spans="1:9" x14ac:dyDescent="0.2">
      <c r="H45" s="14"/>
    </row>
    <row r="46" spans="1:9" x14ac:dyDescent="0.2">
      <c r="A46" s="18" t="s">
        <v>40</v>
      </c>
      <c r="H46" s="14"/>
    </row>
    <row r="47" spans="1:9" x14ac:dyDescent="0.2">
      <c r="A47" s="18" t="s">
        <v>1137</v>
      </c>
      <c r="H47" s="14"/>
    </row>
    <row r="48" spans="1:9" x14ac:dyDescent="0.2">
      <c r="A48" s="18"/>
      <c r="H48" s="14"/>
    </row>
    <row r="49" spans="1:8" x14ac:dyDescent="0.2">
      <c r="H49" s="14"/>
    </row>
    <row r="50" spans="1:8" x14ac:dyDescent="0.2">
      <c r="A50" s="18" t="s">
        <v>41</v>
      </c>
      <c r="H50" s="14"/>
    </row>
    <row r="51" spans="1:8" x14ac:dyDescent="0.2">
      <c r="A51" s="18" t="s">
        <v>42</v>
      </c>
      <c r="H51" s="60"/>
    </row>
    <row r="52" spans="1:8" x14ac:dyDescent="0.2">
      <c r="A52" s="18" t="s">
        <v>43</v>
      </c>
      <c r="B52" s="18"/>
      <c r="C52" s="39" t="s">
        <v>45</v>
      </c>
      <c r="D52" s="19" t="s">
        <v>44</v>
      </c>
      <c r="H52" s="60"/>
    </row>
    <row r="53" spans="1:8" x14ac:dyDescent="0.2">
      <c r="A53" s="9" t="s">
        <v>860</v>
      </c>
      <c r="C53" s="40">
        <v>3889.2986999999998</v>
      </c>
      <c r="D53" s="40">
        <v>3981.4077000000002</v>
      </c>
      <c r="H53" s="60"/>
    </row>
    <row r="54" spans="1:8" x14ac:dyDescent="0.2">
      <c r="A54" s="9" t="s">
        <v>1193</v>
      </c>
      <c r="C54" s="40">
        <v>982.99919999999997</v>
      </c>
      <c r="D54" s="40">
        <v>1006.2779</v>
      </c>
      <c r="H54" s="60"/>
    </row>
    <row r="55" spans="1:8" x14ac:dyDescent="0.2">
      <c r="A55" s="9" t="s">
        <v>862</v>
      </c>
      <c r="C55" s="40">
        <v>1085.2795000000001</v>
      </c>
      <c r="D55" s="40">
        <v>1110.9809</v>
      </c>
      <c r="H55" s="60"/>
    </row>
    <row r="56" spans="1:8" x14ac:dyDescent="0.2">
      <c r="A56" s="9" t="s">
        <v>863</v>
      </c>
      <c r="C56" s="40">
        <v>1129.0260000000001</v>
      </c>
      <c r="D56" s="40">
        <v>1155.7635</v>
      </c>
      <c r="H56" s="60"/>
    </row>
    <row r="57" spans="1:8" x14ac:dyDescent="0.2">
      <c r="A57" s="9" t="s">
        <v>1194</v>
      </c>
      <c r="C57" s="40">
        <v>3222.0324999999998</v>
      </c>
      <c r="D57" s="40">
        <v>3295.0882999999999</v>
      </c>
    </row>
    <row r="58" spans="1:8" x14ac:dyDescent="0.2">
      <c r="A58" s="9" t="s">
        <v>864</v>
      </c>
      <c r="C58" s="40">
        <v>4139.0212000000001</v>
      </c>
      <c r="D58" s="40">
        <v>4238.8276999999998</v>
      </c>
    </row>
    <row r="59" spans="1:8" x14ac:dyDescent="0.2">
      <c r="A59" s="9" t="s">
        <v>1195</v>
      </c>
      <c r="C59" s="40">
        <v>993.24850000000004</v>
      </c>
      <c r="D59" s="40">
        <v>1017.1985</v>
      </c>
    </row>
    <row r="60" spans="1:8" x14ac:dyDescent="0.2">
      <c r="A60" s="9" t="s">
        <v>866</v>
      </c>
      <c r="C60" s="40">
        <v>1173.7594999999999</v>
      </c>
      <c r="D60" s="40">
        <v>1202.0621000000001</v>
      </c>
    </row>
    <row r="61" spans="1:8" x14ac:dyDescent="0.2">
      <c r="A61" s="9" t="s">
        <v>867</v>
      </c>
      <c r="C61" s="40">
        <v>1222.7306000000001</v>
      </c>
      <c r="D61" s="40">
        <v>1252.2143000000001</v>
      </c>
    </row>
    <row r="63" spans="1:8" x14ac:dyDescent="0.2">
      <c r="A63" s="9" t="s">
        <v>46</v>
      </c>
    </row>
    <row r="65" spans="1:7" x14ac:dyDescent="0.2">
      <c r="A65" s="18" t="s">
        <v>47</v>
      </c>
      <c r="D65" s="41" t="s">
        <v>48</v>
      </c>
    </row>
    <row r="67" spans="1:7" x14ac:dyDescent="0.2">
      <c r="A67" s="18" t="s">
        <v>816</v>
      </c>
      <c r="D67" s="42">
        <v>1.9822395746301367</v>
      </c>
      <c r="E67" s="13" t="s">
        <v>49</v>
      </c>
    </row>
    <row r="69" spans="1:7" x14ac:dyDescent="0.2">
      <c r="A69" s="18" t="s">
        <v>727</v>
      </c>
      <c r="D69" s="41" t="s">
        <v>48</v>
      </c>
    </row>
    <row r="70" spans="1:7" x14ac:dyDescent="0.2">
      <c r="A70" s="9" t="s">
        <v>723</v>
      </c>
    </row>
    <row r="71" spans="1:7" x14ac:dyDescent="0.2">
      <c r="A71" s="50" t="s">
        <v>1138</v>
      </c>
    </row>
    <row r="73" spans="1:7" ht="24" customHeight="1" x14ac:dyDescent="0.2">
      <c r="A73" s="80" t="s">
        <v>1196</v>
      </c>
      <c r="B73" s="81"/>
      <c r="C73" s="81"/>
      <c r="D73" s="81"/>
      <c r="E73" s="81"/>
      <c r="F73" s="81"/>
      <c r="G73" s="81"/>
    </row>
    <row r="75" spans="1:7" x14ac:dyDescent="0.2">
      <c r="A75" s="18" t="s">
        <v>1197</v>
      </c>
    </row>
    <row r="76" spans="1:7" x14ac:dyDescent="0.2">
      <c r="A76" s="50" t="s">
        <v>978</v>
      </c>
    </row>
    <row r="78" spans="1:7" ht="68.25" customHeight="1" x14ac:dyDescent="0.2">
      <c r="A78" s="80" t="s">
        <v>1198</v>
      </c>
      <c r="B78" s="81"/>
      <c r="C78" s="81"/>
      <c r="D78" s="81"/>
      <c r="E78" s="81"/>
      <c r="F78" s="81"/>
      <c r="G78" s="81"/>
    </row>
    <row r="80" spans="1:7" ht="35.25" customHeight="1" x14ac:dyDescent="0.3">
      <c r="A80" s="78" t="s">
        <v>1199</v>
      </c>
      <c r="B80" s="79"/>
      <c r="C80" s="79"/>
      <c r="D80" s="79"/>
      <c r="E80" s="79"/>
      <c r="F80" s="79"/>
      <c r="G80" s="79"/>
    </row>
    <row r="81" spans="1:9" x14ac:dyDescent="0.2">
      <c r="A81" s="50" t="s">
        <v>1142</v>
      </c>
    </row>
    <row r="83" spans="1:9" ht="25.5" customHeight="1" x14ac:dyDescent="0.3">
      <c r="A83" s="78" t="s">
        <v>1200</v>
      </c>
      <c r="B83" s="79"/>
      <c r="C83" s="79"/>
      <c r="D83" s="79"/>
      <c r="E83" s="79"/>
      <c r="F83" s="79"/>
      <c r="G83" s="79"/>
    </row>
    <row r="85" spans="1:9" x14ac:dyDescent="0.2">
      <c r="A85" s="18" t="s">
        <v>1201</v>
      </c>
    </row>
    <row r="86" spans="1:9" x14ac:dyDescent="0.2">
      <c r="A86" s="50" t="s">
        <v>51</v>
      </c>
    </row>
    <row r="88" spans="1:9" x14ac:dyDescent="0.2">
      <c r="A88" s="18" t="s">
        <v>739</v>
      </c>
    </row>
    <row r="90" spans="1:9" s="1" customFormat="1" ht="13.8" x14ac:dyDescent="0.2">
      <c r="A90" s="72" t="s">
        <v>1202</v>
      </c>
      <c r="B90" s="73"/>
      <c r="C90" s="73"/>
      <c r="D90" s="73"/>
      <c r="E90" s="73"/>
      <c r="F90" s="73"/>
      <c r="G90" s="73"/>
    </row>
    <row r="91" spans="1:9" x14ac:dyDescent="0.2">
      <c r="A91" s="18" t="s">
        <v>7</v>
      </c>
    </row>
    <row r="92" spans="1:9" s="1" customFormat="1" ht="17.399999999999999" customHeight="1" x14ac:dyDescent="0.2">
      <c r="A92" s="8" t="s">
        <v>2</v>
      </c>
      <c r="B92" s="8" t="s">
        <v>0</v>
      </c>
      <c r="C92" s="17" t="s">
        <v>742</v>
      </c>
      <c r="D92" s="16" t="s">
        <v>1</v>
      </c>
      <c r="E92" s="15" t="s">
        <v>3</v>
      </c>
      <c r="F92" s="15" t="s">
        <v>4</v>
      </c>
      <c r="G92" s="15" t="s">
        <v>6</v>
      </c>
    </row>
    <row r="93" spans="1:9" x14ac:dyDescent="0.2">
      <c r="A93" s="21" t="s">
        <v>31</v>
      </c>
      <c r="B93" s="22"/>
      <c r="C93" s="22"/>
      <c r="D93" s="23"/>
      <c r="E93" s="24"/>
      <c r="F93" s="25"/>
      <c r="G93" s="24"/>
    </row>
    <row r="94" spans="1:9" x14ac:dyDescent="0.2">
      <c r="A94" s="26" t="s">
        <v>32</v>
      </c>
      <c r="B94" s="27"/>
      <c r="C94" s="27"/>
      <c r="D94" s="28"/>
      <c r="E94" s="29"/>
      <c r="F94" s="30"/>
      <c r="G94" s="29"/>
    </row>
    <row r="95" spans="1:9" x14ac:dyDescent="0.2">
      <c r="A95" s="27" t="s">
        <v>1146</v>
      </c>
      <c r="B95" s="27" t="s">
        <v>1147</v>
      </c>
      <c r="C95" s="27" t="s">
        <v>1148</v>
      </c>
      <c r="D95" s="31">
        <v>5230</v>
      </c>
      <c r="E95" s="29">
        <v>0</v>
      </c>
      <c r="F95" s="30">
        <v>100</v>
      </c>
      <c r="G95" s="29">
        <v>0</v>
      </c>
    </row>
    <row r="96" spans="1:9" x14ac:dyDescent="0.2">
      <c r="A96" s="26" t="s">
        <v>35</v>
      </c>
      <c r="B96" s="26"/>
      <c r="C96" s="26"/>
      <c r="D96" s="32"/>
      <c r="E96" s="33">
        <f>SUM(E94:E95)</f>
        <v>0</v>
      </c>
      <c r="F96" s="34">
        <f>SUM(F94:F95)</f>
        <v>100</v>
      </c>
      <c r="G96" s="33"/>
      <c r="H96" s="18"/>
      <c r="I96" s="18"/>
    </row>
    <row r="97" spans="1:9" x14ac:dyDescent="0.2">
      <c r="A97" s="27"/>
      <c r="B97" s="27"/>
      <c r="C97" s="27"/>
      <c r="D97" s="28"/>
      <c r="E97" s="29"/>
      <c r="F97" s="30"/>
      <c r="G97" s="29"/>
    </row>
    <row r="98" spans="1:9" x14ac:dyDescent="0.2">
      <c r="A98" s="26" t="s">
        <v>37</v>
      </c>
      <c r="B98" s="26"/>
      <c r="C98" s="26"/>
      <c r="D98" s="32"/>
      <c r="E98" s="33">
        <f>E96</f>
        <v>0</v>
      </c>
      <c r="F98" s="34">
        <f>F96</f>
        <v>100</v>
      </c>
      <c r="G98" s="33"/>
      <c r="H98" s="18"/>
      <c r="I98" s="18"/>
    </row>
    <row r="99" spans="1:9" x14ac:dyDescent="0.2">
      <c r="A99" s="26"/>
      <c r="B99" s="26"/>
      <c r="C99" s="26"/>
      <c r="D99" s="32"/>
      <c r="E99" s="33"/>
      <c r="F99" s="34"/>
      <c r="G99" s="33"/>
      <c r="H99" s="18"/>
      <c r="I99" s="18"/>
    </row>
    <row r="100" spans="1:9" x14ac:dyDescent="0.2">
      <c r="A100" s="26" t="s">
        <v>39</v>
      </c>
      <c r="B100" s="26"/>
      <c r="C100" s="26"/>
      <c r="D100" s="32"/>
      <c r="E100" s="33">
        <f>E102-(E96)</f>
        <v>8.9999999999999996E-7</v>
      </c>
      <c r="F100" s="34">
        <v>0</v>
      </c>
      <c r="G100" s="33"/>
      <c r="H100" s="18"/>
      <c r="I100" s="18"/>
    </row>
    <row r="101" spans="1:9" x14ac:dyDescent="0.2">
      <c r="A101" s="26"/>
      <c r="B101" s="26"/>
      <c r="C101" s="26"/>
      <c r="D101" s="32"/>
      <c r="E101" s="33"/>
      <c r="F101" s="34"/>
      <c r="G101" s="33"/>
      <c r="H101" s="18"/>
      <c r="I101" s="18"/>
    </row>
    <row r="102" spans="1:9" x14ac:dyDescent="0.2">
      <c r="A102" s="35" t="s">
        <v>38</v>
      </c>
      <c r="B102" s="35"/>
      <c r="C102" s="35"/>
      <c r="D102" s="36"/>
      <c r="E102" s="37">
        <v>8.9999999999999996E-7</v>
      </c>
      <c r="F102" s="38">
        <v>100</v>
      </c>
      <c r="G102" s="37"/>
      <c r="H102" s="18"/>
      <c r="I102" s="18"/>
    </row>
    <row r="104" spans="1:9" x14ac:dyDescent="0.2">
      <c r="A104" s="18" t="s">
        <v>40</v>
      </c>
    </row>
    <row r="105" spans="1:9" x14ac:dyDescent="0.2">
      <c r="A105" s="47" t="s">
        <v>1137</v>
      </c>
    </row>
    <row r="106" spans="1:9" x14ac:dyDescent="0.2">
      <c r="A106" s="18" t="s">
        <v>1149</v>
      </c>
    </row>
    <row r="108" spans="1:9" x14ac:dyDescent="0.2">
      <c r="A108" s="18" t="s">
        <v>41</v>
      </c>
    </row>
    <row r="109" spans="1:9" x14ac:dyDescent="0.2">
      <c r="A109" s="18" t="s">
        <v>42</v>
      </c>
    </row>
    <row r="110" spans="1:9" x14ac:dyDescent="0.2">
      <c r="A110" s="18" t="s">
        <v>43</v>
      </c>
      <c r="B110" s="18"/>
      <c r="C110" s="39" t="s">
        <v>45</v>
      </c>
      <c r="D110" s="19" t="s">
        <v>44</v>
      </c>
    </row>
    <row r="111" spans="1:9" x14ac:dyDescent="0.2">
      <c r="A111" s="9" t="s">
        <v>860</v>
      </c>
      <c r="C111" s="40">
        <v>0</v>
      </c>
      <c r="D111" s="40">
        <v>0</v>
      </c>
    </row>
    <row r="112" spans="1:9" x14ac:dyDescent="0.2">
      <c r="A112" s="9" t="s">
        <v>1193</v>
      </c>
      <c r="C112" s="40">
        <v>0</v>
      </c>
      <c r="D112" s="40">
        <v>0</v>
      </c>
    </row>
    <row r="113" spans="1:4" x14ac:dyDescent="0.2">
      <c r="A113" s="9" t="s">
        <v>862</v>
      </c>
      <c r="C113" s="40">
        <v>0</v>
      </c>
      <c r="D113" s="40">
        <v>0</v>
      </c>
    </row>
    <row r="114" spans="1:4" x14ac:dyDescent="0.2">
      <c r="A114" s="9" t="s">
        <v>863</v>
      </c>
      <c r="C114" s="40">
        <v>0</v>
      </c>
      <c r="D114" s="40">
        <v>0</v>
      </c>
    </row>
    <row r="115" spans="1:4" x14ac:dyDescent="0.2">
      <c r="A115" s="9" t="s">
        <v>1194</v>
      </c>
      <c r="C115" s="40">
        <v>0</v>
      </c>
      <c r="D115" s="40">
        <v>0</v>
      </c>
    </row>
    <row r="116" spans="1:4" x14ac:dyDescent="0.2">
      <c r="A116" s="9" t="s">
        <v>864</v>
      </c>
      <c r="C116" s="40">
        <v>0</v>
      </c>
      <c r="D116" s="40">
        <v>0</v>
      </c>
    </row>
    <row r="117" spans="1:4" x14ac:dyDescent="0.2">
      <c r="A117" s="9" t="s">
        <v>1195</v>
      </c>
      <c r="C117" s="40">
        <v>0</v>
      </c>
      <c r="D117" s="40">
        <v>0</v>
      </c>
    </row>
    <row r="118" spans="1:4" x14ac:dyDescent="0.2">
      <c r="A118" s="9" t="s">
        <v>866</v>
      </c>
      <c r="C118" s="40">
        <v>0</v>
      </c>
      <c r="D118" s="40">
        <v>0</v>
      </c>
    </row>
    <row r="119" spans="1:4" x14ac:dyDescent="0.2">
      <c r="A119" s="9" t="s">
        <v>867</v>
      </c>
      <c r="C119" s="40">
        <v>0</v>
      </c>
      <c r="D119" s="40">
        <v>0</v>
      </c>
    </row>
    <row r="121" spans="1:4" x14ac:dyDescent="0.2">
      <c r="A121" s="9" t="s">
        <v>46</v>
      </c>
    </row>
    <row r="123" spans="1:4" x14ac:dyDescent="0.2">
      <c r="A123" s="18" t="s">
        <v>1150</v>
      </c>
      <c r="D123" s="41" t="s">
        <v>48</v>
      </c>
    </row>
    <row r="124" spans="1:4" x14ac:dyDescent="0.2">
      <c r="A124" s="9" t="s">
        <v>723</v>
      </c>
    </row>
    <row r="125" spans="1:4" x14ac:dyDescent="0.2">
      <c r="A125" s="50" t="s">
        <v>724</v>
      </c>
    </row>
    <row r="127" spans="1:4" x14ac:dyDescent="0.2">
      <c r="A127" s="18" t="s">
        <v>1151</v>
      </c>
    </row>
    <row r="128" spans="1:4" x14ac:dyDescent="0.2">
      <c r="A128" s="50" t="s">
        <v>51</v>
      </c>
    </row>
    <row r="130" spans="1:9" s="1" customFormat="1" ht="13.8" x14ac:dyDescent="0.2">
      <c r="A130" s="72" t="s">
        <v>1203</v>
      </c>
      <c r="B130" s="73"/>
      <c r="C130" s="73"/>
      <c r="D130" s="73"/>
      <c r="E130" s="73"/>
      <c r="F130" s="73"/>
      <c r="G130" s="73"/>
    </row>
    <row r="131" spans="1:9" x14ac:dyDescent="0.2">
      <c r="A131" s="18" t="s">
        <v>7</v>
      </c>
    </row>
    <row r="132" spans="1:9" s="1" customFormat="1" ht="17.399999999999999" customHeight="1" x14ac:dyDescent="0.2">
      <c r="A132" s="8" t="s">
        <v>2</v>
      </c>
      <c r="B132" s="8" t="s">
        <v>0</v>
      </c>
      <c r="C132" s="17" t="s">
        <v>742</v>
      </c>
      <c r="D132" s="16" t="s">
        <v>1</v>
      </c>
      <c r="E132" s="15" t="s">
        <v>3</v>
      </c>
      <c r="F132" s="15" t="s">
        <v>4</v>
      </c>
      <c r="G132" s="15" t="s">
        <v>6</v>
      </c>
    </row>
    <row r="133" spans="1:9" x14ac:dyDescent="0.2">
      <c r="A133" s="21" t="s">
        <v>31</v>
      </c>
      <c r="B133" s="22"/>
      <c r="C133" s="22"/>
      <c r="D133" s="23"/>
      <c r="E133" s="24"/>
      <c r="F133" s="25"/>
      <c r="G133" s="24"/>
    </row>
    <row r="134" spans="1:9" x14ac:dyDescent="0.2">
      <c r="A134" s="26" t="s">
        <v>32</v>
      </c>
      <c r="B134" s="27"/>
      <c r="C134" s="27"/>
      <c r="D134" s="28"/>
      <c r="E134" s="29"/>
      <c r="F134" s="30"/>
      <c r="G134" s="29"/>
    </row>
    <row r="135" spans="1:9" ht="20.399999999999999" x14ac:dyDescent="0.2">
      <c r="A135" s="27" t="s">
        <v>1153</v>
      </c>
      <c r="B135" s="27" t="s">
        <v>1154</v>
      </c>
      <c r="C135" s="52" t="s">
        <v>1155</v>
      </c>
      <c r="D135" s="31">
        <v>3523</v>
      </c>
      <c r="E135" s="29">
        <v>0</v>
      </c>
      <c r="F135" s="30">
        <v>100</v>
      </c>
      <c r="G135" s="29">
        <v>0</v>
      </c>
    </row>
    <row r="136" spans="1:9" x14ac:dyDescent="0.2">
      <c r="A136" s="26" t="s">
        <v>35</v>
      </c>
      <c r="B136" s="26"/>
      <c r="C136" s="26"/>
      <c r="D136" s="32"/>
      <c r="E136" s="33">
        <f>SUM(E134:E135)</f>
        <v>0</v>
      </c>
      <c r="F136" s="34">
        <f>SUM(F134:F135)</f>
        <v>100</v>
      </c>
      <c r="G136" s="33"/>
      <c r="H136" s="18"/>
      <c r="I136" s="18"/>
    </row>
    <row r="137" spans="1:9" x14ac:dyDescent="0.2">
      <c r="A137" s="27"/>
      <c r="B137" s="27"/>
      <c r="C137" s="27"/>
      <c r="D137" s="28"/>
      <c r="E137" s="29"/>
      <c r="F137" s="30"/>
      <c r="G137" s="29"/>
    </row>
    <row r="138" spans="1:9" x14ac:dyDescent="0.2">
      <c r="A138" s="26" t="s">
        <v>37</v>
      </c>
      <c r="B138" s="26"/>
      <c r="C138" s="26"/>
      <c r="D138" s="32"/>
      <c r="E138" s="33">
        <f>E136</f>
        <v>0</v>
      </c>
      <c r="F138" s="34">
        <f>F136</f>
        <v>100</v>
      </c>
      <c r="G138" s="33"/>
      <c r="H138" s="18"/>
      <c r="I138" s="18"/>
    </row>
    <row r="139" spans="1:9" x14ac:dyDescent="0.2">
      <c r="A139" s="26"/>
      <c r="B139" s="26"/>
      <c r="C139" s="26"/>
      <c r="D139" s="32"/>
      <c r="E139" s="33"/>
      <c r="F139" s="34"/>
      <c r="G139" s="33"/>
      <c r="H139" s="18"/>
      <c r="I139" s="18"/>
    </row>
    <row r="140" spans="1:9" x14ac:dyDescent="0.2">
      <c r="A140" s="26" t="s">
        <v>39</v>
      </c>
      <c r="B140" s="26"/>
      <c r="C140" s="26"/>
      <c r="D140" s="32"/>
      <c r="E140" s="33">
        <f>E142-(E136)</f>
        <v>8.9999999999999996E-7</v>
      </c>
      <c r="F140" s="34">
        <v>0</v>
      </c>
      <c r="G140" s="33"/>
      <c r="H140" s="18"/>
      <c r="I140" s="18"/>
    </row>
    <row r="141" spans="1:9" x14ac:dyDescent="0.2">
      <c r="A141" s="26"/>
      <c r="B141" s="26"/>
      <c r="C141" s="26"/>
      <c r="D141" s="32"/>
      <c r="E141" s="33"/>
      <c r="F141" s="34"/>
      <c r="G141" s="33"/>
      <c r="H141" s="18"/>
      <c r="I141" s="18"/>
    </row>
    <row r="142" spans="1:9" x14ac:dyDescent="0.2">
      <c r="A142" s="35" t="s">
        <v>38</v>
      </c>
      <c r="B142" s="35"/>
      <c r="C142" s="35"/>
      <c r="D142" s="36"/>
      <c r="E142" s="37">
        <v>8.9999999999999996E-7</v>
      </c>
      <c r="F142" s="38">
        <v>100</v>
      </c>
      <c r="G142" s="37"/>
      <c r="H142" s="18"/>
      <c r="I142" s="18"/>
    </row>
    <row r="144" spans="1:9" x14ac:dyDescent="0.2">
      <c r="A144" s="18" t="s">
        <v>40</v>
      </c>
    </row>
    <row r="145" spans="1:4" x14ac:dyDescent="0.2">
      <c r="A145" s="18" t="s">
        <v>1137</v>
      </c>
    </row>
    <row r="147" spans="1:4" x14ac:dyDescent="0.2">
      <c r="A147" s="18" t="s">
        <v>41</v>
      </c>
    </row>
    <row r="148" spans="1:4" x14ac:dyDescent="0.2">
      <c r="A148" s="18" t="s">
        <v>42</v>
      </c>
    </row>
    <row r="149" spans="1:4" x14ac:dyDescent="0.2">
      <c r="A149" s="18" t="s">
        <v>43</v>
      </c>
      <c r="B149" s="18"/>
      <c r="C149" s="39" t="s">
        <v>45</v>
      </c>
      <c r="D149" s="19" t="s">
        <v>44</v>
      </c>
    </row>
    <row r="150" spans="1:4" x14ac:dyDescent="0.2">
      <c r="A150" s="9" t="s">
        <v>860</v>
      </c>
      <c r="C150" s="40">
        <v>0</v>
      </c>
      <c r="D150" s="40">
        <v>0</v>
      </c>
    </row>
    <row r="151" spans="1:4" x14ac:dyDescent="0.2">
      <c r="A151" s="9" t="s">
        <v>1193</v>
      </c>
      <c r="C151" s="40">
        <v>0</v>
      </c>
      <c r="D151" s="40">
        <v>0</v>
      </c>
    </row>
    <row r="152" spans="1:4" x14ac:dyDescent="0.2">
      <c r="A152" s="9" t="s">
        <v>862</v>
      </c>
      <c r="C152" s="40">
        <v>0</v>
      </c>
      <c r="D152" s="40">
        <v>0</v>
      </c>
    </row>
    <row r="153" spans="1:4" x14ac:dyDescent="0.2">
      <c r="A153" s="9" t="s">
        <v>863</v>
      </c>
      <c r="C153" s="40">
        <v>0</v>
      </c>
      <c r="D153" s="40">
        <v>0</v>
      </c>
    </row>
    <row r="154" spans="1:4" x14ac:dyDescent="0.2">
      <c r="A154" s="9" t="s">
        <v>1194</v>
      </c>
      <c r="C154" s="40">
        <v>0</v>
      </c>
      <c r="D154" s="40">
        <v>0</v>
      </c>
    </row>
    <row r="155" spans="1:4" x14ac:dyDescent="0.2">
      <c r="A155" s="9" t="s">
        <v>864</v>
      </c>
      <c r="C155" s="40">
        <v>0</v>
      </c>
      <c r="D155" s="40">
        <v>0</v>
      </c>
    </row>
    <row r="156" spans="1:4" x14ac:dyDescent="0.2">
      <c r="A156" s="9" t="s">
        <v>1195</v>
      </c>
      <c r="C156" s="40">
        <v>0</v>
      </c>
      <c r="D156" s="40">
        <v>0</v>
      </c>
    </row>
    <row r="157" spans="1:4" x14ac:dyDescent="0.2">
      <c r="A157" s="9" t="s">
        <v>866</v>
      </c>
      <c r="C157" s="40">
        <v>0</v>
      </c>
      <c r="D157" s="40">
        <v>0</v>
      </c>
    </row>
    <row r="158" spans="1:4" x14ac:dyDescent="0.2">
      <c r="A158" s="9" t="s">
        <v>867</v>
      </c>
      <c r="C158" s="40">
        <v>0</v>
      </c>
      <c r="D158" s="40">
        <v>0</v>
      </c>
    </row>
    <row r="160" spans="1:4" x14ac:dyDescent="0.2">
      <c r="A160" s="9" t="s">
        <v>46</v>
      </c>
    </row>
    <row r="162" spans="1:4" x14ac:dyDescent="0.2">
      <c r="A162" s="18" t="s">
        <v>1150</v>
      </c>
      <c r="D162" s="41" t="s">
        <v>48</v>
      </c>
    </row>
    <row r="163" spans="1:4" x14ac:dyDescent="0.2">
      <c r="A163" s="9" t="s">
        <v>723</v>
      </c>
    </row>
    <row r="164" spans="1:4" x14ac:dyDescent="0.2">
      <c r="A164" s="50" t="s">
        <v>724</v>
      </c>
    </row>
    <row r="166" spans="1:4" x14ac:dyDescent="0.2">
      <c r="A166" s="18" t="s">
        <v>1151</v>
      </c>
    </row>
    <row r="167" spans="1:4" x14ac:dyDescent="0.2">
      <c r="A167" s="50" t="s">
        <v>51</v>
      </c>
    </row>
  </sheetData>
  <mergeCells count="7">
    <mergeCell ref="A130:G130"/>
    <mergeCell ref="A1:H1"/>
    <mergeCell ref="A73:G73"/>
    <mergeCell ref="A78:G78"/>
    <mergeCell ref="A80:G80"/>
    <mergeCell ref="A83:G83"/>
    <mergeCell ref="A90:G90"/>
  </mergeCells>
  <conditionalFormatting sqref="F2:F3 F5:F72 F74:F77 F79 F81:F82 F91 F131 F84:F89 F103:F129 F143:F65532">
    <cfRule type="cellIs" dxfId="47" priority="8" stopIfTrue="1" operator="between">
      <formula>0.009</formula>
      <formula>-0.009</formula>
    </cfRule>
  </conditionalFormatting>
  <conditionalFormatting sqref="F95:F96">
    <cfRule type="cellIs" dxfId="46" priority="5" stopIfTrue="1" operator="between">
      <formula>0.009</formula>
      <formula>-0.009</formula>
    </cfRule>
  </conditionalFormatting>
  <conditionalFormatting sqref="F93:F94">
    <cfRule type="cellIs" dxfId="45" priority="7" stopIfTrue="1" operator="between">
      <formula>0.009</formula>
      <formula>-0.009</formula>
    </cfRule>
  </conditionalFormatting>
  <conditionalFormatting sqref="F97:F99 F101:F102">
    <cfRule type="cellIs" dxfId="44" priority="6" stopIfTrue="1" operator="between">
      <formula>0.009</formula>
      <formula>-0.009</formula>
    </cfRule>
  </conditionalFormatting>
  <conditionalFormatting sqref="F133:F134">
    <cfRule type="cellIs" dxfId="43" priority="4" stopIfTrue="1" operator="between">
      <formula>0.009</formula>
      <formula>-0.009</formula>
    </cfRule>
  </conditionalFormatting>
  <conditionalFormatting sqref="F137:F139 F141:F142">
    <cfRule type="cellIs" dxfId="42" priority="3" stopIfTrue="1" operator="between">
      <formula>0.009</formula>
      <formula>-0.009</formula>
    </cfRule>
  </conditionalFormatting>
  <conditionalFormatting sqref="F135:F136">
    <cfRule type="cellIs" dxfId="41" priority="2" stopIfTrue="1" operator="between">
      <formula>0.009</formula>
      <formula>-0.009</formula>
    </cfRule>
  </conditionalFormatting>
  <conditionalFormatting sqref="H5:H50">
    <cfRule type="cellIs" dxfId="40" priority="1" stopIfTrue="1" operator="between">
      <formula>0.009</formula>
      <formula>-0.009</formula>
    </cfRule>
  </conditionalFormatting>
  <hyperlinks>
    <hyperlink ref="A71" r:id="rId1" tooltip="https://www.franklintempletonindia.com/investor/reports" xr:uid="{00000000-0004-0000-1600-000000000000}"/>
    <hyperlink ref="A76" r:id="rId2" tooltip="https://www.franklintempletonindia.com/downloadsServlet/pdf/franklin-templeton-update-on-reliance-broadcast-july-23-2020-kcg9m1gq" xr:uid="{00000000-0004-0000-1600-000001000000}"/>
    <hyperlink ref="A81" r:id="rId3" tooltip="https://www.franklintempletonindia.com/downloadsServlet/pdf/fair-valuation-reliance-big-reliance-infra-november-4-2020-kgox4tfq" xr:uid="{00000000-0004-0000-1600-000002000000}"/>
    <hyperlink ref="A86" r:id="rId4" tooltip="https://www.franklintempletonindia.com/downloadsServlet/pdf/product-labels-jg9o5k7l" xr:uid="{00000000-0004-0000-1600-000003000000}"/>
    <hyperlink ref="A128" r:id="rId5" tooltip="https://www.franklintempletonindia.com/downloadsServlet/pdf/product-labels-jg9o5k7l" xr:uid="{00000000-0004-0000-1600-000004000000}"/>
    <hyperlink ref="A167" r:id="rId6" tooltip="https://www.franklintempletonindia.com/downloadsServlet/pdf/product-labels-jg9o5k7l" xr:uid="{00000000-0004-0000-1600-000005000000}"/>
    <hyperlink ref="A125" r:id="rId7" xr:uid="{00000000-0004-0000-1600-000006000000}"/>
    <hyperlink ref="A164" r:id="rId8" xr:uid="{00000000-0004-0000-1600-000007000000}"/>
  </hyperlinks>
  <pageMargins left="0.7" right="0.7" top="0.75" bottom="0.75" header="0.3" footer="0.3"/>
  <pageSetup paperSize="9" orientation="portrait" r:id="rId9"/>
  <headerFooter>
    <oddFooter>&amp;C&amp;1#&amp;"Calibri"&amp;10&amp;K000000PUBLIC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62"/>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2" t="s">
        <v>1204</v>
      </c>
      <c r="B1" s="73"/>
      <c r="C1" s="73"/>
      <c r="D1" s="73"/>
      <c r="E1" s="73"/>
      <c r="F1" s="73"/>
      <c r="G1" s="73"/>
    </row>
    <row r="2" spans="1:9" s="1" customFormat="1" ht="12" x14ac:dyDescent="0.25">
      <c r="A2" s="56" t="s">
        <v>1091</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1098</v>
      </c>
      <c r="B7" s="27" t="s">
        <v>1099</v>
      </c>
      <c r="C7" s="27" t="s">
        <v>1100</v>
      </c>
      <c r="D7" s="31">
        <v>3650</v>
      </c>
      <c r="E7" s="29">
        <v>36007.286500000002</v>
      </c>
      <c r="F7" s="30">
        <v>29.872145376146801</v>
      </c>
      <c r="G7" s="29">
        <v>14.5791</v>
      </c>
    </row>
    <row r="8" spans="1:9" x14ac:dyDescent="0.2">
      <c r="A8" s="27" t="s">
        <v>1159</v>
      </c>
      <c r="B8" s="27" t="s">
        <v>1160</v>
      </c>
      <c r="C8" s="27" t="s">
        <v>1161</v>
      </c>
      <c r="D8" s="31">
        <v>2350</v>
      </c>
      <c r="E8" s="29">
        <v>22484.2595</v>
      </c>
      <c r="F8" s="30">
        <v>18.653254208950401</v>
      </c>
      <c r="G8" s="29">
        <v>14.755000000000001</v>
      </c>
    </row>
    <row r="9" spans="1:9" x14ac:dyDescent="0.2">
      <c r="A9" s="27" t="s">
        <v>1205</v>
      </c>
      <c r="B9" s="27" t="s">
        <v>1206</v>
      </c>
      <c r="C9" s="27" t="s">
        <v>1161</v>
      </c>
      <c r="D9" s="31">
        <v>2000</v>
      </c>
      <c r="E9" s="29">
        <v>19171.66</v>
      </c>
      <c r="F9" s="30">
        <v>15.9050756191267</v>
      </c>
      <c r="G9" s="29">
        <v>14.755000000000001</v>
      </c>
    </row>
    <row r="10" spans="1:9" x14ac:dyDescent="0.2">
      <c r="A10" s="27" t="s">
        <v>1118</v>
      </c>
      <c r="B10" s="27" t="s">
        <v>1119</v>
      </c>
      <c r="C10" s="27" t="s">
        <v>1097</v>
      </c>
      <c r="D10" s="31">
        <v>938</v>
      </c>
      <c r="E10" s="29">
        <v>4731.86294</v>
      </c>
      <c r="F10" s="30">
        <v>3.9256192671914198</v>
      </c>
      <c r="G10" s="29">
        <v>7.7287999999999997</v>
      </c>
    </row>
    <row r="11" spans="1:9" x14ac:dyDescent="0.2">
      <c r="A11" s="27" t="s">
        <v>1095</v>
      </c>
      <c r="B11" s="27" t="s">
        <v>1096</v>
      </c>
      <c r="C11" s="27" t="s">
        <v>1097</v>
      </c>
      <c r="D11" s="31">
        <v>61</v>
      </c>
      <c r="E11" s="29">
        <v>620.95925999999997</v>
      </c>
      <c r="F11" s="30">
        <v>0.51515643333425098</v>
      </c>
      <c r="G11" s="29">
        <v>8.6789000000000005</v>
      </c>
    </row>
    <row r="12" spans="1:9" x14ac:dyDescent="0.2">
      <c r="A12" s="27" t="s">
        <v>874</v>
      </c>
      <c r="B12" s="27" t="s">
        <v>875</v>
      </c>
      <c r="C12" s="27" t="s">
        <v>876</v>
      </c>
      <c r="D12" s="31">
        <v>46</v>
      </c>
      <c r="E12" s="29">
        <v>461.69004000000001</v>
      </c>
      <c r="F12" s="30">
        <v>0.383024474604578</v>
      </c>
      <c r="G12" s="29">
        <v>8.7949999999999999</v>
      </c>
    </row>
    <row r="13" spans="1:9" x14ac:dyDescent="0.2">
      <c r="A13" s="27" t="s">
        <v>1117</v>
      </c>
      <c r="B13" s="27" t="s">
        <v>1113</v>
      </c>
      <c r="C13" s="27" t="s">
        <v>1114</v>
      </c>
      <c r="D13" s="31">
        <v>70</v>
      </c>
      <c r="E13" s="29">
        <v>406.07350000000002</v>
      </c>
      <c r="F13" s="30">
        <v>0.33688421995922202</v>
      </c>
      <c r="G13" s="29">
        <v>22.054400000000001</v>
      </c>
    </row>
    <row r="14" spans="1:9" x14ac:dyDescent="0.2">
      <c r="A14" s="27" t="s">
        <v>1207</v>
      </c>
      <c r="B14" s="27" t="s">
        <v>1208</v>
      </c>
      <c r="C14" s="27" t="s">
        <v>33</v>
      </c>
      <c r="D14" s="31">
        <v>34</v>
      </c>
      <c r="E14" s="29">
        <v>342.60235999999998</v>
      </c>
      <c r="F14" s="30">
        <v>0.28422767997613402</v>
      </c>
      <c r="G14" s="29">
        <v>3.8001</v>
      </c>
    </row>
    <row r="15" spans="1:9" x14ac:dyDescent="0.2">
      <c r="A15" s="27" t="s">
        <v>929</v>
      </c>
      <c r="B15" s="27" t="s">
        <v>930</v>
      </c>
      <c r="C15" s="27" t="s">
        <v>34</v>
      </c>
      <c r="D15" s="31">
        <v>22</v>
      </c>
      <c r="E15" s="29">
        <v>220.83622</v>
      </c>
      <c r="F15" s="30">
        <v>0.183208797701508</v>
      </c>
      <c r="G15" s="29">
        <v>3.5849000000000002</v>
      </c>
    </row>
    <row r="16" spans="1:9" x14ac:dyDescent="0.2">
      <c r="A16" s="26" t="s">
        <v>35</v>
      </c>
      <c r="B16" s="26"/>
      <c r="C16" s="26"/>
      <c r="D16" s="32"/>
      <c r="E16" s="33">
        <f>SUM(E6:E15)</f>
        <v>84447.230320000017</v>
      </c>
      <c r="F16" s="34">
        <f>SUM(F6:F15)</f>
        <v>70.058596076991037</v>
      </c>
      <c r="G16" s="33"/>
      <c r="H16" s="18"/>
      <c r="I16" s="18"/>
    </row>
    <row r="17" spans="1:9" x14ac:dyDescent="0.2">
      <c r="A17" s="27"/>
      <c r="B17" s="27"/>
      <c r="C17" s="27"/>
      <c r="D17" s="28"/>
      <c r="E17" s="29"/>
      <c r="F17" s="30"/>
      <c r="G17" s="29"/>
    </row>
    <row r="18" spans="1:9" x14ac:dyDescent="0.2">
      <c r="A18" s="26" t="s">
        <v>1065</v>
      </c>
      <c r="B18" s="27"/>
      <c r="C18" s="27"/>
      <c r="D18" s="28"/>
      <c r="E18" s="29"/>
      <c r="F18" s="30"/>
      <c r="G18" s="29"/>
    </row>
    <row r="19" spans="1:9" x14ac:dyDescent="0.2">
      <c r="A19" s="27" t="s">
        <v>1209</v>
      </c>
      <c r="B19" s="27" t="s">
        <v>1210</v>
      </c>
      <c r="C19" s="27" t="s">
        <v>1161</v>
      </c>
      <c r="D19" s="31">
        <v>1000</v>
      </c>
      <c r="E19" s="29">
        <v>10017.290000000001</v>
      </c>
      <c r="F19" s="30">
        <v>8.3104830227910007</v>
      </c>
      <c r="G19" s="29">
        <v>14.0748</v>
      </c>
    </row>
    <row r="20" spans="1:9" x14ac:dyDescent="0.2">
      <c r="A20" s="26" t="s">
        <v>35</v>
      </c>
      <c r="B20" s="26"/>
      <c r="C20" s="26"/>
      <c r="D20" s="32"/>
      <c r="E20" s="33">
        <f>SUM(E18:E19)</f>
        <v>10017.290000000001</v>
      </c>
      <c r="F20" s="34">
        <f>SUM(F18:F19)</f>
        <v>8.3104830227910007</v>
      </c>
      <c r="G20" s="33"/>
      <c r="H20" s="18"/>
      <c r="I20" s="18"/>
    </row>
    <row r="21" spans="1:9" x14ac:dyDescent="0.2">
      <c r="A21" s="27"/>
      <c r="B21" s="27"/>
      <c r="C21" s="27"/>
      <c r="D21" s="28"/>
      <c r="E21" s="29"/>
      <c r="F21" s="30"/>
      <c r="G21" s="29"/>
    </row>
    <row r="22" spans="1:9" x14ac:dyDescent="0.2">
      <c r="A22" s="26" t="s">
        <v>36</v>
      </c>
      <c r="B22" s="27"/>
      <c r="C22" s="27"/>
      <c r="D22" s="28"/>
      <c r="E22" s="29"/>
      <c r="F22" s="30"/>
      <c r="G22" s="29"/>
    </row>
    <row r="23" spans="1:9" x14ac:dyDescent="0.2">
      <c r="A23" s="27" t="s">
        <v>1134</v>
      </c>
      <c r="B23" s="27" t="s">
        <v>1135</v>
      </c>
      <c r="C23" s="27" t="s">
        <v>1136</v>
      </c>
      <c r="D23" s="31">
        <v>739404.973</v>
      </c>
      <c r="E23" s="29">
        <v>25043.676749999999</v>
      </c>
      <c r="F23" s="30">
        <v>20.776582335056698</v>
      </c>
      <c r="G23" s="29">
        <v>3.1389</v>
      </c>
    </row>
    <row r="24" spans="1:9" x14ac:dyDescent="0.2">
      <c r="A24" s="26" t="s">
        <v>35</v>
      </c>
      <c r="B24" s="26"/>
      <c r="C24" s="26"/>
      <c r="D24" s="32"/>
      <c r="E24" s="33">
        <f>SUM(E23:E23)</f>
        <v>25043.676749999999</v>
      </c>
      <c r="F24" s="34">
        <f>SUM(F23:F23)</f>
        <v>20.776582335056698</v>
      </c>
      <c r="G24" s="33"/>
      <c r="H24" s="18"/>
      <c r="I24" s="18"/>
    </row>
    <row r="25" spans="1:9" x14ac:dyDescent="0.2">
      <c r="A25" s="27"/>
      <c r="B25" s="27"/>
      <c r="C25" s="27"/>
      <c r="D25" s="28"/>
      <c r="E25" s="29"/>
      <c r="F25" s="30"/>
      <c r="G25" s="29"/>
    </row>
    <row r="26" spans="1:9" x14ac:dyDescent="0.2">
      <c r="A26" s="26" t="s">
        <v>37</v>
      </c>
      <c r="B26" s="26"/>
      <c r="C26" s="26"/>
      <c r="D26" s="32"/>
      <c r="E26" s="33">
        <f>E16+E20+E24</f>
        <v>119508.19707000001</v>
      </c>
      <c r="F26" s="34">
        <f>F16+F20+F24</f>
        <v>99.145661434838743</v>
      </c>
      <c r="G26" s="33"/>
      <c r="H26" s="18"/>
      <c r="I26" s="18"/>
    </row>
    <row r="27" spans="1:9" x14ac:dyDescent="0.2">
      <c r="A27" s="26"/>
      <c r="B27" s="26"/>
      <c r="C27" s="26"/>
      <c r="D27" s="32"/>
      <c r="E27" s="33"/>
      <c r="F27" s="34"/>
      <c r="G27" s="33"/>
      <c r="H27" s="18"/>
      <c r="I27" s="18"/>
    </row>
    <row r="28" spans="1:9" x14ac:dyDescent="0.2">
      <c r="A28" s="26" t="s">
        <v>39</v>
      </c>
      <c r="B28" s="26"/>
      <c r="C28" s="26"/>
      <c r="D28" s="32"/>
      <c r="E28" s="33">
        <f>E30-(E16+E20+E24)</f>
        <v>1029.8026169999939</v>
      </c>
      <c r="F28" s="34">
        <f>F30-(F16+F20+F24)</f>
        <v>0.85433856516125672</v>
      </c>
      <c r="G28" s="33"/>
      <c r="H28" s="18"/>
      <c r="I28" s="18"/>
    </row>
    <row r="29" spans="1:9" x14ac:dyDescent="0.2">
      <c r="A29" s="26"/>
      <c r="B29" s="26"/>
      <c r="C29" s="26"/>
      <c r="D29" s="32"/>
      <c r="E29" s="33"/>
      <c r="F29" s="34"/>
      <c r="G29" s="33"/>
      <c r="H29" s="18"/>
      <c r="I29" s="18"/>
    </row>
    <row r="30" spans="1:9" x14ac:dyDescent="0.2">
      <c r="A30" s="35" t="s">
        <v>38</v>
      </c>
      <c r="B30" s="35"/>
      <c r="C30" s="35"/>
      <c r="D30" s="36"/>
      <c r="E30" s="37">
        <v>120537.999687</v>
      </c>
      <c r="F30" s="38">
        <v>100</v>
      </c>
      <c r="G30" s="37"/>
      <c r="H30" s="18"/>
      <c r="I30" s="18"/>
    </row>
    <row r="32" spans="1:9" x14ac:dyDescent="0.2">
      <c r="A32" s="18" t="s">
        <v>40</v>
      </c>
    </row>
    <row r="34" spans="1:4" x14ac:dyDescent="0.2">
      <c r="A34" s="18" t="s">
        <v>41</v>
      </c>
    </row>
    <row r="35" spans="1:4" x14ac:dyDescent="0.2">
      <c r="A35" s="18" t="s">
        <v>42</v>
      </c>
    </row>
    <row r="36" spans="1:4" x14ac:dyDescent="0.2">
      <c r="A36" s="18" t="s">
        <v>43</v>
      </c>
      <c r="B36" s="18"/>
      <c r="C36" s="39" t="s">
        <v>45</v>
      </c>
      <c r="D36" s="19" t="s">
        <v>44</v>
      </c>
    </row>
    <row r="37" spans="1:4" x14ac:dyDescent="0.2">
      <c r="A37" s="9" t="s">
        <v>860</v>
      </c>
      <c r="C37" s="40">
        <v>27.668500000000002</v>
      </c>
      <c r="D37" s="40">
        <v>28.916899999999998</v>
      </c>
    </row>
    <row r="38" spans="1:4" x14ac:dyDescent="0.2">
      <c r="A38" s="9" t="s">
        <v>861</v>
      </c>
      <c r="C38" s="40">
        <v>10.4315</v>
      </c>
      <c r="D38" s="40">
        <v>10.902100000000001</v>
      </c>
    </row>
    <row r="39" spans="1:4" x14ac:dyDescent="0.2">
      <c r="A39" s="9" t="s">
        <v>1193</v>
      </c>
      <c r="C39" s="40">
        <v>10.517799999999999</v>
      </c>
      <c r="D39" s="40">
        <v>10.9922</v>
      </c>
    </row>
    <row r="40" spans="1:4" x14ac:dyDescent="0.2">
      <c r="A40" s="9" t="s">
        <v>1194</v>
      </c>
      <c r="C40" s="40">
        <v>28.379100000000001</v>
      </c>
      <c r="D40" s="40">
        <v>29.6629</v>
      </c>
    </row>
    <row r="41" spans="1:4" x14ac:dyDescent="0.2">
      <c r="A41" s="9" t="s">
        <v>1211</v>
      </c>
      <c r="C41" s="40">
        <v>10.3932</v>
      </c>
      <c r="D41" s="40">
        <v>10.8636</v>
      </c>
    </row>
    <row r="42" spans="1:4" x14ac:dyDescent="0.2">
      <c r="A42" s="9" t="s">
        <v>806</v>
      </c>
      <c r="C42" s="40">
        <v>29.3325</v>
      </c>
      <c r="D42" s="40">
        <v>30.661799999999999</v>
      </c>
    </row>
    <row r="43" spans="1:4" x14ac:dyDescent="0.2">
      <c r="A43" s="9" t="s">
        <v>1212</v>
      </c>
      <c r="C43" s="40">
        <v>10.4841</v>
      </c>
      <c r="D43" s="40">
        <v>10.959199999999999</v>
      </c>
    </row>
    <row r="44" spans="1:4" x14ac:dyDescent="0.2">
      <c r="A44" s="9" t="s">
        <v>808</v>
      </c>
      <c r="C44" s="40">
        <v>10.5113</v>
      </c>
      <c r="D44" s="40">
        <v>10.9877</v>
      </c>
    </row>
    <row r="45" spans="1:4" x14ac:dyDescent="0.2">
      <c r="A45" s="9" t="s">
        <v>1213</v>
      </c>
      <c r="C45" s="40">
        <v>29.5123</v>
      </c>
      <c r="D45" s="40">
        <v>30.8521</v>
      </c>
    </row>
    <row r="46" spans="1:4" x14ac:dyDescent="0.2">
      <c r="A46" s="9" t="s">
        <v>1214</v>
      </c>
      <c r="C46" s="40">
        <v>10.4748</v>
      </c>
      <c r="D46" s="40">
        <v>10.9503</v>
      </c>
    </row>
    <row r="47" spans="1:4" x14ac:dyDescent="0.2">
      <c r="A47" s="9" t="s">
        <v>1215</v>
      </c>
      <c r="C47" s="40">
        <v>10.513400000000001</v>
      </c>
      <c r="D47" s="40">
        <v>10.9907</v>
      </c>
    </row>
    <row r="49" spans="1:7" x14ac:dyDescent="0.2">
      <c r="A49" s="9" t="s">
        <v>46</v>
      </c>
    </row>
    <row r="51" spans="1:7" x14ac:dyDescent="0.2">
      <c r="A51" s="18" t="s">
        <v>47</v>
      </c>
      <c r="D51" s="41" t="s">
        <v>48</v>
      </c>
    </row>
    <row r="53" spans="1:7" x14ac:dyDescent="0.2">
      <c r="A53" s="18" t="s">
        <v>816</v>
      </c>
      <c r="D53" s="42">
        <v>0.84197435536986298</v>
      </c>
      <c r="E53" s="13" t="s">
        <v>49</v>
      </c>
    </row>
    <row r="55" spans="1:7" x14ac:dyDescent="0.2">
      <c r="A55" s="18" t="s">
        <v>727</v>
      </c>
      <c r="D55" s="41" t="s">
        <v>48</v>
      </c>
    </row>
    <row r="57" spans="1:7" ht="26.25" customHeight="1" x14ac:dyDescent="0.3">
      <c r="A57" s="78" t="s">
        <v>1216</v>
      </c>
      <c r="B57" s="79"/>
      <c r="C57" s="79"/>
      <c r="D57" s="79"/>
      <c r="E57" s="79"/>
      <c r="F57" s="79"/>
      <c r="G57" s="79"/>
    </row>
    <row r="59" spans="1:7" x14ac:dyDescent="0.2">
      <c r="A59" s="18" t="s">
        <v>50</v>
      </c>
    </row>
    <row r="60" spans="1:7" x14ac:dyDescent="0.2">
      <c r="A60" s="50" t="s">
        <v>51</v>
      </c>
    </row>
    <row r="62" spans="1:7" x14ac:dyDescent="0.2">
      <c r="A62" s="18" t="s">
        <v>739</v>
      </c>
    </row>
  </sheetData>
  <mergeCells count="2">
    <mergeCell ref="A1:G1"/>
    <mergeCell ref="A57:G57"/>
  </mergeCells>
  <conditionalFormatting sqref="F2:F3 F5:F56 F58:F65534">
    <cfRule type="cellIs" dxfId="39" priority="1" stopIfTrue="1" operator="between">
      <formula>0.009</formula>
      <formula>-0.009</formula>
    </cfRule>
  </conditionalFormatting>
  <hyperlinks>
    <hyperlink ref="A60" r:id="rId1" tooltip="https://www.franklintempletonindia.com/downloadsServlet/pdf/product-labels-jg9o5k7l"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03"/>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72" t="s">
        <v>1217</v>
      </c>
      <c r="B1" s="73"/>
      <c r="C1" s="73"/>
      <c r="D1" s="73"/>
      <c r="E1" s="73"/>
      <c r="F1" s="73"/>
      <c r="G1" s="73"/>
      <c r="H1" s="73"/>
    </row>
    <row r="2" spans="1:9" s="1" customFormat="1" ht="12" x14ac:dyDescent="0.25">
      <c r="A2" s="56" t="s">
        <v>1091</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742</v>
      </c>
      <c r="D4" s="16" t="s">
        <v>1</v>
      </c>
      <c r="E4" s="15" t="s">
        <v>3</v>
      </c>
      <c r="F4" s="15" t="s">
        <v>4</v>
      </c>
      <c r="G4" s="15" t="s">
        <v>6</v>
      </c>
      <c r="H4" s="15" t="s">
        <v>1172</v>
      </c>
    </row>
    <row r="5" spans="1:9" x14ac:dyDescent="0.2">
      <c r="A5" s="21" t="s">
        <v>31</v>
      </c>
      <c r="B5" s="22"/>
      <c r="C5" s="22"/>
      <c r="D5" s="23"/>
      <c r="E5" s="24"/>
      <c r="F5" s="25"/>
      <c r="G5" s="24"/>
      <c r="H5" s="25"/>
    </row>
    <row r="6" spans="1:9" x14ac:dyDescent="0.2">
      <c r="A6" s="26" t="s">
        <v>32</v>
      </c>
      <c r="B6" s="27"/>
      <c r="C6" s="27"/>
      <c r="D6" s="28"/>
      <c r="E6" s="29"/>
      <c r="F6" s="30"/>
      <c r="G6" s="29"/>
      <c r="H6" s="30"/>
    </row>
    <row r="7" spans="1:9" x14ac:dyDescent="0.2">
      <c r="A7" s="27" t="s">
        <v>1101</v>
      </c>
      <c r="B7" s="27" t="s">
        <v>1102</v>
      </c>
      <c r="C7" s="27" t="s">
        <v>1103</v>
      </c>
      <c r="D7" s="31">
        <v>2687</v>
      </c>
      <c r="E7" s="29">
        <v>26870</v>
      </c>
      <c r="F7" s="30">
        <v>34.285053129942597</v>
      </c>
      <c r="G7" s="29">
        <v>7.7450000000000001</v>
      </c>
      <c r="H7" s="58"/>
    </row>
    <row r="8" spans="1:9" x14ac:dyDescent="0.2">
      <c r="A8" s="27" t="s">
        <v>1218</v>
      </c>
      <c r="B8" s="27" t="s">
        <v>1219</v>
      </c>
      <c r="C8" s="27" t="s">
        <v>1100</v>
      </c>
      <c r="D8" s="31">
        <v>11990</v>
      </c>
      <c r="E8" s="29">
        <v>11965.180700000001</v>
      </c>
      <c r="F8" s="30">
        <v>15.267095497166499</v>
      </c>
      <c r="G8" s="29">
        <v>10.136200000000001</v>
      </c>
      <c r="H8" s="30">
        <v>10.247690833949999</v>
      </c>
    </row>
    <row r="9" spans="1:9" x14ac:dyDescent="0.2">
      <c r="A9" s="27" t="s">
        <v>1098</v>
      </c>
      <c r="B9" s="27" t="s">
        <v>1099</v>
      </c>
      <c r="C9" s="27" t="s">
        <v>1100</v>
      </c>
      <c r="D9" s="31">
        <v>780</v>
      </c>
      <c r="E9" s="29">
        <v>7694.7078000000001</v>
      </c>
      <c r="F9" s="30">
        <v>9.8181416353697006</v>
      </c>
      <c r="G9" s="29">
        <v>14.5791</v>
      </c>
      <c r="H9" s="30"/>
    </row>
    <row r="10" spans="1:9" x14ac:dyDescent="0.2">
      <c r="A10" s="27" t="s">
        <v>1095</v>
      </c>
      <c r="B10" s="27" t="s">
        <v>1096</v>
      </c>
      <c r="C10" s="27" t="s">
        <v>1097</v>
      </c>
      <c r="D10" s="31">
        <v>501</v>
      </c>
      <c r="E10" s="29">
        <v>5100.0096599999997</v>
      </c>
      <c r="F10" s="30">
        <v>6.5074098309014001</v>
      </c>
      <c r="G10" s="29">
        <v>8.6789000000000005</v>
      </c>
      <c r="H10" s="30"/>
    </row>
    <row r="11" spans="1:9" x14ac:dyDescent="0.2">
      <c r="A11" s="27" t="s">
        <v>1108</v>
      </c>
      <c r="B11" s="27" t="s">
        <v>1109</v>
      </c>
      <c r="C11" s="27" t="s">
        <v>1097</v>
      </c>
      <c r="D11" s="31">
        <v>150</v>
      </c>
      <c r="E11" s="29">
        <v>1517.4765</v>
      </c>
      <c r="F11" s="30">
        <v>1.93623976278152</v>
      </c>
      <c r="G11" s="29">
        <v>8.5639000000000003</v>
      </c>
      <c r="H11" s="30"/>
    </row>
    <row r="12" spans="1:9" x14ac:dyDescent="0.2">
      <c r="A12" s="27" t="s">
        <v>1220</v>
      </c>
      <c r="B12" s="27" t="s">
        <v>1221</v>
      </c>
      <c r="C12" s="27" t="s">
        <v>33</v>
      </c>
      <c r="D12" s="31">
        <v>150</v>
      </c>
      <c r="E12" s="29">
        <v>1466.2380000000001</v>
      </c>
      <c r="F12" s="30">
        <v>1.8708614711998801</v>
      </c>
      <c r="G12" s="29">
        <v>10.0648</v>
      </c>
      <c r="H12" s="30"/>
    </row>
    <row r="13" spans="1:9" x14ac:dyDescent="0.2">
      <c r="A13" s="27" t="s">
        <v>1222</v>
      </c>
      <c r="B13" s="27" t="s">
        <v>1223</v>
      </c>
      <c r="C13" s="27" t="s">
        <v>1097</v>
      </c>
      <c r="D13" s="31">
        <v>618</v>
      </c>
      <c r="E13" s="29">
        <v>1321.133208</v>
      </c>
      <c r="F13" s="30">
        <v>1.68571351797587</v>
      </c>
      <c r="G13" s="29">
        <v>9.24</v>
      </c>
      <c r="H13" s="30"/>
    </row>
    <row r="14" spans="1:9" x14ac:dyDescent="0.2">
      <c r="A14" s="27" t="s">
        <v>1118</v>
      </c>
      <c r="B14" s="27" t="s">
        <v>1119</v>
      </c>
      <c r="C14" s="27" t="s">
        <v>1097</v>
      </c>
      <c r="D14" s="31">
        <v>240</v>
      </c>
      <c r="E14" s="29">
        <v>1210.7112</v>
      </c>
      <c r="F14" s="30">
        <v>1.5448194200601599</v>
      </c>
      <c r="G14" s="29">
        <v>7.7287999999999997</v>
      </c>
      <c r="H14" s="30"/>
    </row>
    <row r="15" spans="1:9" x14ac:dyDescent="0.2">
      <c r="A15" s="27" t="s">
        <v>1224</v>
      </c>
      <c r="B15" s="27" t="s">
        <v>1225</v>
      </c>
      <c r="C15" s="27" t="s">
        <v>33</v>
      </c>
      <c r="D15" s="31">
        <v>2</v>
      </c>
      <c r="E15" s="29">
        <v>19.923500000000001</v>
      </c>
      <c r="F15" s="30">
        <v>2.54215949398739E-2</v>
      </c>
      <c r="G15" s="29">
        <v>10.25</v>
      </c>
      <c r="H15" s="30"/>
    </row>
    <row r="16" spans="1:9" x14ac:dyDescent="0.2">
      <c r="A16" s="26" t="s">
        <v>35</v>
      </c>
      <c r="B16" s="26"/>
      <c r="C16" s="26"/>
      <c r="D16" s="32"/>
      <c r="E16" s="33">
        <f>SUM(E6:E15)</f>
        <v>57165.380567999986</v>
      </c>
      <c r="F16" s="34">
        <f>SUM(F6:F15)</f>
        <v>72.940755860337504</v>
      </c>
      <c r="G16" s="33"/>
      <c r="H16" s="30"/>
      <c r="I16" s="18"/>
    </row>
    <row r="17" spans="1:9" x14ac:dyDescent="0.2">
      <c r="A17" s="27"/>
      <c r="B17" s="27"/>
      <c r="C17" s="27"/>
      <c r="D17" s="28"/>
      <c r="E17" s="29"/>
      <c r="F17" s="30"/>
      <c r="G17" s="29"/>
      <c r="H17" s="30"/>
    </row>
    <row r="18" spans="1:9" x14ac:dyDescent="0.2">
      <c r="A18" s="26" t="s">
        <v>1065</v>
      </c>
      <c r="B18" s="27"/>
      <c r="C18" s="27"/>
      <c r="D18" s="28"/>
      <c r="E18" s="29"/>
      <c r="F18" s="30"/>
      <c r="G18" s="29"/>
      <c r="H18" s="30"/>
    </row>
    <row r="19" spans="1:9" x14ac:dyDescent="0.2">
      <c r="A19" s="27" t="s">
        <v>1123</v>
      </c>
      <c r="B19" s="27" t="s">
        <v>1124</v>
      </c>
      <c r="C19" s="27" t="s">
        <v>1122</v>
      </c>
      <c r="D19" s="31">
        <v>770</v>
      </c>
      <c r="E19" s="29">
        <v>6493.6003069999997</v>
      </c>
      <c r="F19" s="30">
        <v>8.2855761641275301</v>
      </c>
      <c r="G19" s="29">
        <v>10.825100000000001</v>
      </c>
      <c r="H19" s="30"/>
    </row>
    <row r="20" spans="1:9" x14ac:dyDescent="0.2">
      <c r="A20" s="27" t="s">
        <v>1125</v>
      </c>
      <c r="B20" s="27" t="s">
        <v>1126</v>
      </c>
      <c r="C20" s="27" t="s">
        <v>1122</v>
      </c>
      <c r="D20" s="31">
        <v>250</v>
      </c>
      <c r="E20" s="29">
        <v>2192.537366</v>
      </c>
      <c r="F20" s="30">
        <v>2.7975906245885498</v>
      </c>
      <c r="G20" s="29">
        <v>10.494999999999999</v>
      </c>
      <c r="H20" s="30"/>
    </row>
    <row r="21" spans="1:9" x14ac:dyDescent="0.2">
      <c r="A21" s="27" t="s">
        <v>1120</v>
      </c>
      <c r="B21" s="27" t="s">
        <v>1121</v>
      </c>
      <c r="C21" s="27" t="s">
        <v>1122</v>
      </c>
      <c r="D21" s="31">
        <v>110</v>
      </c>
      <c r="E21" s="29">
        <v>980.49632780000002</v>
      </c>
      <c r="F21" s="30">
        <v>1.2510743837862499</v>
      </c>
      <c r="G21" s="29">
        <v>10.95</v>
      </c>
      <c r="H21" s="30"/>
    </row>
    <row r="22" spans="1:9" x14ac:dyDescent="0.2">
      <c r="A22" s="27" t="s">
        <v>1127</v>
      </c>
      <c r="B22" s="27" t="s">
        <v>1128</v>
      </c>
      <c r="C22" s="27" t="s">
        <v>1129</v>
      </c>
      <c r="D22" s="31">
        <v>1400</v>
      </c>
      <c r="E22" s="29">
        <v>1.4E-5</v>
      </c>
      <c r="F22" s="30">
        <v>1.7863444131715501E-8</v>
      </c>
      <c r="G22" s="29">
        <v>0</v>
      </c>
      <c r="H22" s="30"/>
    </row>
    <row r="23" spans="1:9" x14ac:dyDescent="0.2">
      <c r="A23" s="27" t="s">
        <v>1132</v>
      </c>
      <c r="B23" s="27" t="s">
        <v>1133</v>
      </c>
      <c r="C23" s="27" t="s">
        <v>1129</v>
      </c>
      <c r="D23" s="31">
        <v>688</v>
      </c>
      <c r="E23" s="29">
        <v>6.8800000000000002E-6</v>
      </c>
      <c r="F23" s="30">
        <v>8.7786068304430597E-9</v>
      </c>
      <c r="G23" s="29">
        <v>0</v>
      </c>
      <c r="H23" s="58"/>
    </row>
    <row r="24" spans="1:9" x14ac:dyDescent="0.2">
      <c r="A24" s="27" t="s">
        <v>1226</v>
      </c>
      <c r="B24" s="27" t="s">
        <v>1227</v>
      </c>
      <c r="C24" s="27" t="s">
        <v>1129</v>
      </c>
      <c r="D24" s="31">
        <v>400</v>
      </c>
      <c r="E24" s="29">
        <v>3.9999999999999998E-6</v>
      </c>
      <c r="F24" s="30">
        <v>5.1038411804901499E-9</v>
      </c>
      <c r="G24" s="29">
        <v>0</v>
      </c>
      <c r="H24" s="34"/>
    </row>
    <row r="25" spans="1:9" x14ac:dyDescent="0.2">
      <c r="A25" s="26" t="s">
        <v>35</v>
      </c>
      <c r="B25" s="26"/>
      <c r="C25" s="26"/>
      <c r="D25" s="32"/>
      <c r="E25" s="33">
        <f>SUM(E18:E24)</f>
        <v>9666.6340256799976</v>
      </c>
      <c r="F25" s="34">
        <f>SUM(F18:F24)</f>
        <v>12.334241204248221</v>
      </c>
      <c r="G25" s="33"/>
      <c r="H25" s="30"/>
      <c r="I25" s="18"/>
    </row>
    <row r="26" spans="1:9" x14ac:dyDescent="0.2">
      <c r="A26" s="27"/>
      <c r="B26" s="27"/>
      <c r="C26" s="27"/>
      <c r="D26" s="28"/>
      <c r="E26" s="29"/>
      <c r="F26" s="30"/>
      <c r="G26" s="29"/>
      <c r="H26" s="30"/>
    </row>
    <row r="27" spans="1:9" x14ac:dyDescent="0.2">
      <c r="A27" s="26" t="s">
        <v>36</v>
      </c>
      <c r="B27" s="27"/>
      <c r="C27" s="27"/>
      <c r="D27" s="28"/>
      <c r="E27" s="29"/>
      <c r="F27" s="30"/>
      <c r="G27" s="29"/>
      <c r="H27" s="30"/>
    </row>
    <row r="28" spans="1:9" x14ac:dyDescent="0.2">
      <c r="A28" s="27" t="s">
        <v>1134</v>
      </c>
      <c r="B28" s="27" t="s">
        <v>1135</v>
      </c>
      <c r="C28" s="27" t="s">
        <v>1136</v>
      </c>
      <c r="D28" s="31">
        <v>152545.34099999999</v>
      </c>
      <c r="E28" s="29">
        <v>5166.7169540000004</v>
      </c>
      <c r="F28" s="30">
        <v>6.5925256894404596</v>
      </c>
      <c r="G28" s="29">
        <v>3.1389</v>
      </c>
      <c r="H28" s="30"/>
    </row>
    <row r="29" spans="1:9" x14ac:dyDescent="0.2">
      <c r="A29" s="26" t="s">
        <v>35</v>
      </c>
      <c r="B29" s="26"/>
      <c r="C29" s="26"/>
      <c r="D29" s="32"/>
      <c r="E29" s="33">
        <f>SUM(E28:E28)</f>
        <v>5166.7169540000004</v>
      </c>
      <c r="F29" s="34">
        <f>SUM(F28:F28)</f>
        <v>6.5925256894404596</v>
      </c>
      <c r="G29" s="33"/>
      <c r="H29" s="30"/>
      <c r="I29" s="18"/>
    </row>
    <row r="30" spans="1:9" x14ac:dyDescent="0.2">
      <c r="A30" s="27"/>
      <c r="B30" s="27"/>
      <c r="C30" s="27"/>
      <c r="D30" s="28"/>
      <c r="E30" s="29"/>
      <c r="F30" s="30"/>
      <c r="G30" s="29"/>
      <c r="H30" s="30"/>
    </row>
    <row r="31" spans="1:9" x14ac:dyDescent="0.2">
      <c r="A31" s="26" t="s">
        <v>37</v>
      </c>
      <c r="B31" s="26"/>
      <c r="C31" s="26"/>
      <c r="D31" s="32"/>
      <c r="E31" s="33">
        <f>E16+E25+E29</f>
        <v>71998.731547679985</v>
      </c>
      <c r="F31" s="34">
        <f>F16+F25+F29</f>
        <v>91.867522754026183</v>
      </c>
      <c r="G31" s="33"/>
      <c r="H31" s="30"/>
      <c r="I31" s="18"/>
    </row>
    <row r="32" spans="1:9" x14ac:dyDescent="0.2">
      <c r="A32" s="26"/>
      <c r="B32" s="26"/>
      <c r="C32" s="26"/>
      <c r="D32" s="32"/>
      <c r="E32" s="33"/>
      <c r="F32" s="34"/>
      <c r="G32" s="33"/>
      <c r="H32" s="30"/>
      <c r="I32" s="18"/>
    </row>
    <row r="33" spans="1:9" x14ac:dyDescent="0.2">
      <c r="A33" s="26" t="s">
        <v>39</v>
      </c>
      <c r="B33" s="26"/>
      <c r="C33" s="26"/>
      <c r="D33" s="32"/>
      <c r="E33" s="33">
        <f>E35-(E16+E25+E29)</f>
        <v>6373.6130952200183</v>
      </c>
      <c r="F33" s="34">
        <f>F35-(F16+F25+F29)</f>
        <v>8.132477245973817</v>
      </c>
      <c r="G33" s="33"/>
      <c r="H33" s="30"/>
      <c r="I33" s="18"/>
    </row>
    <row r="34" spans="1:9" x14ac:dyDescent="0.2">
      <c r="A34" s="26"/>
      <c r="B34" s="26"/>
      <c r="C34" s="26"/>
      <c r="D34" s="32"/>
      <c r="E34" s="33"/>
      <c r="F34" s="34"/>
      <c r="G34" s="33"/>
      <c r="H34" s="29"/>
      <c r="I34" s="18"/>
    </row>
    <row r="35" spans="1:9" x14ac:dyDescent="0.2">
      <c r="A35" s="35" t="s">
        <v>38</v>
      </c>
      <c r="B35" s="35"/>
      <c r="C35" s="35"/>
      <c r="D35" s="36"/>
      <c r="E35" s="37">
        <v>78372.344642900003</v>
      </c>
      <c r="F35" s="38">
        <v>100</v>
      </c>
      <c r="G35" s="37"/>
      <c r="H35" s="61"/>
      <c r="I35" s="18"/>
    </row>
    <row r="36" spans="1:9" x14ac:dyDescent="0.2">
      <c r="H36" s="62"/>
    </row>
    <row r="37" spans="1:9" x14ac:dyDescent="0.2">
      <c r="A37" s="18" t="s">
        <v>40</v>
      </c>
      <c r="H37" s="63"/>
    </row>
    <row r="38" spans="1:9" x14ac:dyDescent="0.2">
      <c r="A38" s="64" t="s">
        <v>1137</v>
      </c>
    </row>
    <row r="40" spans="1:9" x14ac:dyDescent="0.2">
      <c r="A40" s="18" t="s">
        <v>41</v>
      </c>
    </row>
    <row r="41" spans="1:9" x14ac:dyDescent="0.2">
      <c r="A41" s="18" t="s">
        <v>42</v>
      </c>
    </row>
    <row r="42" spans="1:9" x14ac:dyDescent="0.2">
      <c r="A42" s="18" t="s">
        <v>43</v>
      </c>
      <c r="B42" s="18"/>
      <c r="C42" s="39" t="s">
        <v>45</v>
      </c>
      <c r="D42" s="19" t="s">
        <v>44</v>
      </c>
    </row>
    <row r="43" spans="1:9" x14ac:dyDescent="0.2">
      <c r="A43" s="9" t="s">
        <v>68</v>
      </c>
      <c r="C43" s="40">
        <v>22.1845</v>
      </c>
      <c r="D43" s="40">
        <v>24.0473</v>
      </c>
    </row>
    <row r="44" spans="1:9" x14ac:dyDescent="0.2">
      <c r="A44" s="9" t="s">
        <v>74</v>
      </c>
      <c r="C44" s="40">
        <v>10.284800000000001</v>
      </c>
      <c r="D44" s="40">
        <v>11.148300000000001</v>
      </c>
    </row>
    <row r="45" spans="1:9" x14ac:dyDescent="0.2">
      <c r="A45" s="9" t="s">
        <v>71</v>
      </c>
      <c r="C45" s="40">
        <v>23.6249</v>
      </c>
      <c r="D45" s="40">
        <v>25.631</v>
      </c>
    </row>
    <row r="46" spans="1:9" x14ac:dyDescent="0.2">
      <c r="A46" s="9" t="s">
        <v>75</v>
      </c>
      <c r="C46" s="40">
        <v>11.094799999999999</v>
      </c>
      <c r="D46" s="40">
        <v>12.036899999999999</v>
      </c>
    </row>
    <row r="48" spans="1:9" x14ac:dyDescent="0.2">
      <c r="A48" s="9" t="s">
        <v>46</v>
      </c>
    </row>
    <row r="50" spans="1:7" x14ac:dyDescent="0.2">
      <c r="A50" s="18" t="s">
        <v>47</v>
      </c>
      <c r="D50" s="41" t="s">
        <v>48</v>
      </c>
    </row>
    <row r="52" spans="1:7" x14ac:dyDescent="0.2">
      <c r="A52" s="18" t="s">
        <v>816</v>
      </c>
      <c r="D52" s="42">
        <v>1.4832719735616438</v>
      </c>
      <c r="E52" s="13" t="s">
        <v>49</v>
      </c>
    </row>
    <row r="54" spans="1:7" x14ac:dyDescent="0.2">
      <c r="A54" s="18" t="s">
        <v>727</v>
      </c>
      <c r="D54" s="41" t="s">
        <v>48</v>
      </c>
    </row>
    <row r="55" spans="1:7" x14ac:dyDescent="0.2">
      <c r="A55" s="9" t="s">
        <v>723</v>
      </c>
    </row>
    <row r="56" spans="1:7" x14ac:dyDescent="0.2">
      <c r="A56" s="50" t="s">
        <v>1138</v>
      </c>
    </row>
    <row r="58" spans="1:7" ht="35.25" customHeight="1" x14ac:dyDescent="0.3">
      <c r="A58" s="78" t="s">
        <v>1228</v>
      </c>
      <c r="B58" s="79"/>
      <c r="C58" s="79"/>
      <c r="D58" s="79"/>
      <c r="E58" s="79"/>
      <c r="F58" s="79"/>
      <c r="G58" s="79"/>
    </row>
    <row r="60" spans="1:7" ht="36.75" customHeight="1" x14ac:dyDescent="0.3">
      <c r="A60" s="78" t="s">
        <v>1229</v>
      </c>
      <c r="B60" s="79"/>
      <c r="C60" s="79"/>
      <c r="D60" s="79"/>
      <c r="E60" s="79"/>
      <c r="F60" s="79"/>
      <c r="G60" s="79"/>
    </row>
    <row r="61" spans="1:7" x14ac:dyDescent="0.2">
      <c r="A61" s="50" t="s">
        <v>1142</v>
      </c>
    </row>
    <row r="63" spans="1:7" ht="25.5" customHeight="1" x14ac:dyDescent="0.3">
      <c r="A63" s="78" t="s">
        <v>1168</v>
      </c>
      <c r="B63" s="79"/>
      <c r="C63" s="79"/>
      <c r="D63" s="79"/>
      <c r="E63" s="79"/>
      <c r="F63" s="79"/>
      <c r="G63" s="79"/>
    </row>
    <row r="65" spans="1:9" x14ac:dyDescent="0.2">
      <c r="A65" s="18" t="s">
        <v>1169</v>
      </c>
    </row>
    <row r="66" spans="1:9" x14ac:dyDescent="0.2">
      <c r="A66" s="50" t="s">
        <v>51</v>
      </c>
    </row>
    <row r="68" spans="1:9" x14ac:dyDescent="0.2">
      <c r="A68" s="18" t="s">
        <v>739</v>
      </c>
    </row>
    <row r="70" spans="1:9" s="1" customFormat="1" ht="13.8" x14ac:dyDescent="0.2">
      <c r="A70" s="72" t="s">
        <v>1230</v>
      </c>
      <c r="B70" s="73"/>
      <c r="C70" s="73"/>
      <c r="D70" s="73"/>
      <c r="E70" s="73"/>
      <c r="F70" s="73"/>
      <c r="G70" s="73"/>
    </row>
    <row r="71" spans="1:9" x14ac:dyDescent="0.2">
      <c r="A71" s="18" t="s">
        <v>7</v>
      </c>
    </row>
    <row r="72" spans="1:9" s="1" customFormat="1" ht="17.399999999999999" customHeight="1" x14ac:dyDescent="0.2">
      <c r="A72" s="8" t="s">
        <v>2</v>
      </c>
      <c r="B72" s="8" t="s">
        <v>0</v>
      </c>
      <c r="C72" s="17" t="s">
        <v>742</v>
      </c>
      <c r="D72" s="16" t="s">
        <v>1</v>
      </c>
      <c r="E72" s="15" t="s">
        <v>3</v>
      </c>
      <c r="F72" s="15" t="s">
        <v>4</v>
      </c>
      <c r="G72" s="15" t="s">
        <v>6</v>
      </c>
    </row>
    <row r="73" spans="1:9" x14ac:dyDescent="0.2">
      <c r="A73" s="21" t="s">
        <v>31</v>
      </c>
      <c r="B73" s="22"/>
      <c r="C73" s="22"/>
      <c r="D73" s="23"/>
      <c r="E73" s="24"/>
      <c r="F73" s="25"/>
      <c r="G73" s="24"/>
    </row>
    <row r="74" spans="1:9" x14ac:dyDescent="0.2">
      <c r="A74" s="26" t="s">
        <v>32</v>
      </c>
      <c r="B74" s="27"/>
      <c r="C74" s="27"/>
      <c r="D74" s="28"/>
      <c r="E74" s="29"/>
      <c r="F74" s="30"/>
      <c r="G74" s="29"/>
    </row>
    <row r="75" spans="1:9" x14ac:dyDescent="0.2">
      <c r="A75" s="27" t="s">
        <v>1146</v>
      </c>
      <c r="B75" s="27" t="s">
        <v>1147</v>
      </c>
      <c r="C75" s="27" t="s">
        <v>1148</v>
      </c>
      <c r="D75" s="31">
        <v>1450</v>
      </c>
      <c r="E75" s="29">
        <v>0</v>
      </c>
      <c r="F75" s="30">
        <v>100</v>
      </c>
      <c r="G75" s="29">
        <v>0</v>
      </c>
    </row>
    <row r="76" spans="1:9" x14ac:dyDescent="0.2">
      <c r="A76" s="26" t="s">
        <v>35</v>
      </c>
      <c r="B76" s="26"/>
      <c r="C76" s="26"/>
      <c r="D76" s="32"/>
      <c r="E76" s="33">
        <v>0</v>
      </c>
      <c r="F76" s="34">
        <v>100</v>
      </c>
      <c r="G76" s="33"/>
      <c r="H76" s="18"/>
      <c r="I76" s="18"/>
    </row>
    <row r="77" spans="1:9" x14ac:dyDescent="0.2">
      <c r="A77" s="27"/>
      <c r="B77" s="27"/>
      <c r="C77" s="27"/>
      <c r="D77" s="28"/>
      <c r="E77" s="29"/>
      <c r="F77" s="30"/>
      <c r="G77" s="29"/>
    </row>
    <row r="78" spans="1:9" x14ac:dyDescent="0.2">
      <c r="A78" s="26" t="s">
        <v>37</v>
      </c>
      <c r="B78" s="26"/>
      <c r="C78" s="26"/>
      <c r="D78" s="32"/>
      <c r="E78" s="33">
        <v>0</v>
      </c>
      <c r="F78" s="34">
        <v>100</v>
      </c>
      <c r="G78" s="33"/>
      <c r="H78" s="18"/>
      <c r="I78" s="18"/>
    </row>
    <row r="79" spans="1:9" x14ac:dyDescent="0.2">
      <c r="A79" s="26"/>
      <c r="B79" s="26"/>
      <c r="C79" s="26"/>
      <c r="D79" s="32"/>
      <c r="E79" s="33"/>
      <c r="F79" s="34"/>
      <c r="G79" s="33"/>
      <c r="H79" s="18"/>
      <c r="I79" s="18"/>
    </row>
    <row r="80" spans="1:9" x14ac:dyDescent="0.2">
      <c r="A80" s="26" t="s">
        <v>39</v>
      </c>
      <c r="B80" s="26"/>
      <c r="C80" s="26"/>
      <c r="D80" s="32"/>
      <c r="E80" s="33">
        <v>3.9999999999999998E-7</v>
      </c>
      <c r="F80" s="34">
        <v>0</v>
      </c>
      <c r="G80" s="33"/>
      <c r="H80" s="18"/>
      <c r="I80" s="18"/>
    </row>
    <row r="81" spans="1:9" x14ac:dyDescent="0.2">
      <c r="A81" s="26"/>
      <c r="B81" s="26"/>
      <c r="C81" s="26"/>
      <c r="D81" s="32"/>
      <c r="E81" s="33"/>
      <c r="F81" s="34"/>
      <c r="G81" s="33"/>
      <c r="H81" s="18"/>
      <c r="I81" s="18"/>
    </row>
    <row r="82" spans="1:9" x14ac:dyDescent="0.2">
      <c r="A82" s="35" t="s">
        <v>38</v>
      </c>
      <c r="B82" s="35"/>
      <c r="C82" s="35"/>
      <c r="D82" s="36"/>
      <c r="E82" s="37">
        <v>3.9999999999999998E-7</v>
      </c>
      <c r="F82" s="38">
        <v>100</v>
      </c>
      <c r="G82" s="37"/>
      <c r="H82" s="18"/>
      <c r="I82" s="18"/>
    </row>
    <row r="84" spans="1:9" x14ac:dyDescent="0.2">
      <c r="A84" s="18" t="s">
        <v>40</v>
      </c>
    </row>
    <row r="85" spans="1:9" x14ac:dyDescent="0.2">
      <c r="A85" s="47" t="s">
        <v>1137</v>
      </c>
    </row>
    <row r="86" spans="1:9" x14ac:dyDescent="0.2">
      <c r="A86" s="18" t="s">
        <v>1149</v>
      </c>
    </row>
    <row r="88" spans="1:9" x14ac:dyDescent="0.2">
      <c r="A88" s="18" t="s">
        <v>41</v>
      </c>
    </row>
    <row r="89" spans="1:9" x14ac:dyDescent="0.2">
      <c r="A89" s="18" t="s">
        <v>42</v>
      </c>
    </row>
    <row r="90" spans="1:9" x14ac:dyDescent="0.2">
      <c r="A90" s="18" t="s">
        <v>43</v>
      </c>
      <c r="B90" s="18"/>
      <c r="C90" s="39" t="s">
        <v>45</v>
      </c>
      <c r="D90" s="19" t="s">
        <v>44</v>
      </c>
    </row>
    <row r="91" spans="1:9" x14ac:dyDescent="0.2">
      <c r="A91" s="9" t="s">
        <v>68</v>
      </c>
      <c r="C91" s="40">
        <v>0</v>
      </c>
      <c r="D91" s="40">
        <v>0</v>
      </c>
    </row>
    <row r="92" spans="1:9" x14ac:dyDescent="0.2">
      <c r="A92" s="9" t="s">
        <v>74</v>
      </c>
      <c r="C92" s="40">
        <v>0</v>
      </c>
      <c r="D92" s="40">
        <v>0</v>
      </c>
    </row>
    <row r="93" spans="1:9" x14ac:dyDescent="0.2">
      <c r="A93" s="9" t="s">
        <v>71</v>
      </c>
      <c r="C93" s="40">
        <v>0</v>
      </c>
      <c r="D93" s="40">
        <v>0</v>
      </c>
    </row>
    <row r="94" spans="1:9" x14ac:dyDescent="0.2">
      <c r="A94" s="9" t="s">
        <v>75</v>
      </c>
      <c r="C94" s="40">
        <v>0</v>
      </c>
      <c r="D94" s="40">
        <v>0</v>
      </c>
    </row>
    <row r="96" spans="1:9" x14ac:dyDescent="0.2">
      <c r="A96" s="9" t="s">
        <v>46</v>
      </c>
    </row>
    <row r="98" spans="1:4" x14ac:dyDescent="0.2">
      <c r="A98" s="18" t="s">
        <v>1150</v>
      </c>
      <c r="D98" s="41" t="s">
        <v>48</v>
      </c>
    </row>
    <row r="99" spans="1:4" x14ac:dyDescent="0.2">
      <c r="A99" s="9" t="s">
        <v>723</v>
      </c>
    </row>
    <row r="100" spans="1:4" x14ac:dyDescent="0.2">
      <c r="A100" s="50" t="s">
        <v>724</v>
      </c>
    </row>
    <row r="102" spans="1:4" x14ac:dyDescent="0.2">
      <c r="A102" s="18" t="s">
        <v>1151</v>
      </c>
    </row>
    <row r="103" spans="1:4" x14ac:dyDescent="0.2">
      <c r="A103" s="50" t="s">
        <v>51</v>
      </c>
    </row>
  </sheetData>
  <mergeCells count="5">
    <mergeCell ref="A1:H1"/>
    <mergeCell ref="A58:G58"/>
    <mergeCell ref="A60:G60"/>
    <mergeCell ref="A63:G63"/>
    <mergeCell ref="A70:G70"/>
  </mergeCells>
  <conditionalFormatting sqref="F2:F3 F5:F57 F59 F61:F62 F71 F64:F69 F83:F65532">
    <cfRule type="cellIs" dxfId="38" priority="4" stopIfTrue="1" operator="between">
      <formula>0.009</formula>
      <formula>-0.009</formula>
    </cfRule>
  </conditionalFormatting>
  <conditionalFormatting sqref="F73:F74">
    <cfRule type="cellIs" dxfId="37" priority="3" stopIfTrue="1" operator="between">
      <formula>0.009</formula>
      <formula>-0.009</formula>
    </cfRule>
  </conditionalFormatting>
  <conditionalFormatting sqref="F75:F82">
    <cfRule type="cellIs" dxfId="36" priority="2" stopIfTrue="1" operator="between">
      <formula>0.009</formula>
      <formula>-0.009</formula>
    </cfRule>
  </conditionalFormatting>
  <conditionalFormatting sqref="H5:H33">
    <cfRule type="cellIs" dxfId="35" priority="1" stopIfTrue="1" operator="between">
      <formula>0.009</formula>
      <formula>-0.009</formula>
    </cfRule>
  </conditionalFormatting>
  <hyperlinks>
    <hyperlink ref="A56" r:id="rId1" tooltip="https://www.franklintempletonindia.com/investor/reports" xr:uid="{00000000-0004-0000-1800-000000000000}"/>
    <hyperlink ref="A61" r:id="rId2" tooltip="https://www.franklintempletonindia.com/downloadsServlet/pdf/fair-valuation-reliance-big-reliance-infra-november-4-2020-kgox4tfq" xr:uid="{00000000-0004-0000-1800-000001000000}"/>
    <hyperlink ref="A66" r:id="rId3" tooltip="https://www.franklintempletonindia.com/downloadsServlet/pdf/product-labels-jg9o5k7l" xr:uid="{00000000-0004-0000-1800-000002000000}"/>
    <hyperlink ref="A103" r:id="rId4" tooltip="https://www.franklintempletonindia.com/downloadsServlet/pdf/product-labels-jg9o5k7l" xr:uid="{00000000-0004-0000-1800-000003000000}"/>
    <hyperlink ref="A100" r:id="rId5" xr:uid="{00000000-0004-0000-18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43"/>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2" t="s">
        <v>1231</v>
      </c>
      <c r="B1" s="73"/>
      <c r="C1" s="73"/>
      <c r="D1" s="73"/>
      <c r="E1" s="73"/>
      <c r="F1" s="73"/>
      <c r="G1" s="73"/>
      <c r="H1" s="73"/>
    </row>
    <row r="2" spans="1:8" s="1" customFormat="1" ht="12" x14ac:dyDescent="0.25">
      <c r="A2" s="56" t="s">
        <v>1091</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742</v>
      </c>
      <c r="D4" s="16" t="s">
        <v>1</v>
      </c>
      <c r="E4" s="15" t="s">
        <v>3</v>
      </c>
      <c r="F4" s="15" t="s">
        <v>4</v>
      </c>
      <c r="G4" s="15" t="s">
        <v>6</v>
      </c>
      <c r="H4" s="15" t="s">
        <v>1172</v>
      </c>
    </row>
    <row r="5" spans="1:8" x14ac:dyDescent="0.2">
      <c r="A5" s="21" t="s">
        <v>31</v>
      </c>
      <c r="B5" s="22"/>
      <c r="C5" s="22"/>
      <c r="D5" s="23"/>
      <c r="E5" s="24"/>
      <c r="F5" s="25"/>
      <c r="G5" s="24"/>
      <c r="H5" s="25"/>
    </row>
    <row r="6" spans="1:8" x14ac:dyDescent="0.2">
      <c r="A6" s="26" t="s">
        <v>32</v>
      </c>
      <c r="B6" s="27"/>
      <c r="C6" s="27"/>
      <c r="D6" s="28"/>
      <c r="E6" s="29"/>
      <c r="F6" s="30"/>
      <c r="G6" s="29"/>
      <c r="H6" s="30"/>
    </row>
    <row r="7" spans="1:8" x14ac:dyDescent="0.2">
      <c r="A7" s="27" t="s">
        <v>1177</v>
      </c>
      <c r="B7" s="27" t="s">
        <v>1178</v>
      </c>
      <c r="C7" s="27" t="s">
        <v>1097</v>
      </c>
      <c r="D7" s="31">
        <v>10140</v>
      </c>
      <c r="E7" s="29">
        <v>21616.06668</v>
      </c>
      <c r="F7" s="30">
        <v>22.5466577011249</v>
      </c>
      <c r="G7" s="29">
        <v>8.8699999999999992</v>
      </c>
      <c r="H7" s="30"/>
    </row>
    <row r="8" spans="1:8" x14ac:dyDescent="0.2">
      <c r="A8" s="27" t="s">
        <v>1104</v>
      </c>
      <c r="B8" s="27" t="s">
        <v>1105</v>
      </c>
      <c r="C8" s="27" t="s">
        <v>1097</v>
      </c>
      <c r="D8" s="31">
        <v>4506</v>
      </c>
      <c r="E8" s="29">
        <v>9631.1514360000001</v>
      </c>
      <c r="F8" s="30">
        <v>10.045781127058801</v>
      </c>
      <c r="G8" s="29">
        <v>9.0596999999999994</v>
      </c>
      <c r="H8" s="30"/>
    </row>
    <row r="9" spans="1:8" x14ac:dyDescent="0.2">
      <c r="A9" s="27" t="s">
        <v>1220</v>
      </c>
      <c r="B9" s="27" t="s">
        <v>1221</v>
      </c>
      <c r="C9" s="27" t="s">
        <v>33</v>
      </c>
      <c r="D9" s="31">
        <v>850</v>
      </c>
      <c r="E9" s="29">
        <v>8308.6820000000007</v>
      </c>
      <c r="F9" s="30">
        <v>8.6663781979736996</v>
      </c>
      <c r="G9" s="29">
        <v>10.0648</v>
      </c>
      <c r="H9" s="30"/>
    </row>
    <row r="10" spans="1:8" x14ac:dyDescent="0.2">
      <c r="A10" s="27" t="s">
        <v>1095</v>
      </c>
      <c r="B10" s="27" t="s">
        <v>1096</v>
      </c>
      <c r="C10" s="27" t="s">
        <v>1097</v>
      </c>
      <c r="D10" s="31">
        <v>606</v>
      </c>
      <c r="E10" s="29">
        <v>6168.8739599999999</v>
      </c>
      <c r="F10" s="30">
        <v>6.4344495063105898</v>
      </c>
      <c r="G10" s="29">
        <v>8.6789000000000005</v>
      </c>
      <c r="H10" s="30"/>
    </row>
    <row r="11" spans="1:8" x14ac:dyDescent="0.2">
      <c r="A11" s="27" t="s">
        <v>1108</v>
      </c>
      <c r="B11" s="27" t="s">
        <v>1109</v>
      </c>
      <c r="C11" s="27" t="s">
        <v>1097</v>
      </c>
      <c r="D11" s="31">
        <v>550</v>
      </c>
      <c r="E11" s="29">
        <v>5564.0805</v>
      </c>
      <c r="F11" s="30">
        <v>5.8036191464507398</v>
      </c>
      <c r="G11" s="29">
        <v>8.5639000000000003</v>
      </c>
      <c r="H11" s="30"/>
    </row>
    <row r="12" spans="1:8" x14ac:dyDescent="0.2">
      <c r="A12" s="27" t="s">
        <v>1098</v>
      </c>
      <c r="B12" s="27" t="s">
        <v>1099</v>
      </c>
      <c r="C12" s="27" t="s">
        <v>1100</v>
      </c>
      <c r="D12" s="31">
        <v>550</v>
      </c>
      <c r="E12" s="29">
        <v>5425.7555000000002</v>
      </c>
      <c r="F12" s="30">
        <v>5.6593391313731702</v>
      </c>
      <c r="G12" s="29">
        <v>14.5791</v>
      </c>
      <c r="H12" s="30"/>
    </row>
    <row r="13" spans="1:8" x14ac:dyDescent="0.2">
      <c r="A13" s="27" t="s">
        <v>1106</v>
      </c>
      <c r="B13" s="27" t="s">
        <v>1107</v>
      </c>
      <c r="C13" s="27" t="s">
        <v>33</v>
      </c>
      <c r="D13" s="31">
        <v>550</v>
      </c>
      <c r="E13" s="29">
        <v>5415.8445000000002</v>
      </c>
      <c r="F13" s="30">
        <v>5.6490014539509099</v>
      </c>
      <c r="G13" s="29">
        <v>9.9893000000000001</v>
      </c>
      <c r="H13" s="30"/>
    </row>
    <row r="14" spans="1:8" x14ac:dyDescent="0.2">
      <c r="A14" s="27" t="s">
        <v>1112</v>
      </c>
      <c r="B14" s="27" t="s">
        <v>1113</v>
      </c>
      <c r="C14" s="27" t="s">
        <v>1114</v>
      </c>
      <c r="D14" s="31">
        <v>550</v>
      </c>
      <c r="E14" s="29">
        <v>3190.5774999999999</v>
      </c>
      <c r="F14" s="30">
        <v>3.32793471755754</v>
      </c>
      <c r="G14" s="29">
        <v>22.054400000000001</v>
      </c>
      <c r="H14" s="30"/>
    </row>
    <row r="15" spans="1:8" x14ac:dyDescent="0.2">
      <c r="A15" s="27" t="s">
        <v>1115</v>
      </c>
      <c r="B15" s="27" t="s">
        <v>1116</v>
      </c>
      <c r="C15" s="27" t="s">
        <v>33</v>
      </c>
      <c r="D15" s="31">
        <v>248</v>
      </c>
      <c r="E15" s="29">
        <v>2578.4807999999998</v>
      </c>
      <c r="F15" s="30">
        <v>2.6894867066778798</v>
      </c>
      <c r="G15" s="29">
        <v>10.0648</v>
      </c>
      <c r="H15" s="30"/>
    </row>
    <row r="16" spans="1:8" x14ac:dyDescent="0.2">
      <c r="A16" s="27" t="s">
        <v>1117</v>
      </c>
      <c r="B16" s="27" t="s">
        <v>1113</v>
      </c>
      <c r="C16" s="27" t="s">
        <v>1114</v>
      </c>
      <c r="D16" s="31">
        <v>380</v>
      </c>
      <c r="E16" s="29">
        <v>2204.3989999999999</v>
      </c>
      <c r="F16" s="30">
        <v>2.29930035031248</v>
      </c>
      <c r="G16" s="29">
        <v>22.054400000000001</v>
      </c>
      <c r="H16" s="30"/>
    </row>
    <row r="17" spans="1:9" x14ac:dyDescent="0.2">
      <c r="A17" s="27" t="s">
        <v>1118</v>
      </c>
      <c r="B17" s="27" t="s">
        <v>1119</v>
      </c>
      <c r="C17" s="27" t="s">
        <v>1097</v>
      </c>
      <c r="D17" s="31">
        <v>351</v>
      </c>
      <c r="E17" s="29">
        <v>1770.6651300000001</v>
      </c>
      <c r="F17" s="30">
        <v>1.8468938489334701</v>
      </c>
      <c r="G17" s="29">
        <v>7.7287999999999997</v>
      </c>
      <c r="H17" s="30"/>
    </row>
    <row r="18" spans="1:9" x14ac:dyDescent="0.2">
      <c r="A18" s="27" t="s">
        <v>1162</v>
      </c>
      <c r="B18" s="27" t="s">
        <v>1163</v>
      </c>
      <c r="C18" s="27" t="s">
        <v>1097</v>
      </c>
      <c r="D18" s="31">
        <v>350</v>
      </c>
      <c r="E18" s="29">
        <v>879.24900000000002</v>
      </c>
      <c r="F18" s="30">
        <v>0.91710145654752195</v>
      </c>
      <c r="G18" s="29">
        <v>7.5033000000000003</v>
      </c>
      <c r="H18" s="30"/>
    </row>
    <row r="19" spans="1:9" x14ac:dyDescent="0.2">
      <c r="A19" s="27" t="s">
        <v>1101</v>
      </c>
      <c r="B19" s="27" t="s">
        <v>1102</v>
      </c>
      <c r="C19" s="27" t="s">
        <v>1103</v>
      </c>
      <c r="D19" s="31">
        <v>85</v>
      </c>
      <c r="E19" s="29">
        <v>850</v>
      </c>
      <c r="F19" s="30">
        <v>0.88659326091402302</v>
      </c>
      <c r="G19" s="29">
        <v>7.7450000000000001</v>
      </c>
      <c r="H19" s="30"/>
    </row>
    <row r="20" spans="1:9" x14ac:dyDescent="0.2">
      <c r="A20" s="27" t="s">
        <v>1069</v>
      </c>
      <c r="B20" s="27" t="s">
        <v>1070</v>
      </c>
      <c r="C20" s="27" t="s">
        <v>926</v>
      </c>
      <c r="D20" s="31">
        <v>74</v>
      </c>
      <c r="E20" s="29">
        <v>742.10234000000003</v>
      </c>
      <c r="F20" s="30">
        <v>0.77405051006179604</v>
      </c>
      <c r="G20" s="29">
        <v>3.9194</v>
      </c>
      <c r="H20" s="30"/>
    </row>
    <row r="21" spans="1:9" x14ac:dyDescent="0.2">
      <c r="A21" s="27" t="s">
        <v>1218</v>
      </c>
      <c r="B21" s="27" t="s">
        <v>1219</v>
      </c>
      <c r="C21" s="27" t="s">
        <v>1100</v>
      </c>
      <c r="D21" s="31">
        <v>400</v>
      </c>
      <c r="E21" s="29">
        <v>399.17200000000003</v>
      </c>
      <c r="F21" s="30">
        <v>0.41635671193596702</v>
      </c>
      <c r="G21" s="29">
        <v>10.136200000000001</v>
      </c>
      <c r="H21" s="58">
        <v>10.247690833950001</v>
      </c>
    </row>
    <row r="22" spans="1:9" x14ac:dyDescent="0.2">
      <c r="A22" s="26" t="s">
        <v>35</v>
      </c>
      <c r="B22" s="26"/>
      <c r="C22" s="26"/>
      <c r="D22" s="32"/>
      <c r="E22" s="33">
        <f>SUM(E6:E21)</f>
        <v>74745.100345999992</v>
      </c>
      <c r="F22" s="34">
        <f>SUM(F6:F21)</f>
        <v>77.962943827183508</v>
      </c>
      <c r="G22" s="33"/>
      <c r="H22" s="30"/>
      <c r="I22" s="18"/>
    </row>
    <row r="23" spans="1:9" x14ac:dyDescent="0.2">
      <c r="A23" s="27"/>
      <c r="B23" s="27"/>
      <c r="C23" s="27"/>
      <c r="D23" s="28"/>
      <c r="E23" s="29"/>
      <c r="F23" s="30"/>
      <c r="G23" s="29"/>
      <c r="H23" s="30"/>
    </row>
    <row r="24" spans="1:9" x14ac:dyDescent="0.2">
      <c r="A24" s="26" t="s">
        <v>1065</v>
      </c>
      <c r="B24" s="27"/>
      <c r="C24" s="27"/>
      <c r="D24" s="28"/>
      <c r="E24" s="29"/>
      <c r="F24" s="30"/>
      <c r="G24" s="29"/>
      <c r="H24" s="34"/>
    </row>
    <row r="25" spans="1:9" x14ac:dyDescent="0.2">
      <c r="A25" s="27" t="s">
        <v>1120</v>
      </c>
      <c r="B25" s="27" t="s">
        <v>1121</v>
      </c>
      <c r="C25" s="27" t="s">
        <v>1122</v>
      </c>
      <c r="D25" s="31">
        <v>580</v>
      </c>
      <c r="E25" s="29">
        <v>5169.8897280000001</v>
      </c>
      <c r="F25" s="30">
        <v>5.39245810883933</v>
      </c>
      <c r="G25" s="29">
        <v>10.95</v>
      </c>
      <c r="H25" s="30"/>
    </row>
    <row r="26" spans="1:9" x14ac:dyDescent="0.2">
      <c r="A26" s="27" t="s">
        <v>1125</v>
      </c>
      <c r="B26" s="27" t="s">
        <v>1126</v>
      </c>
      <c r="C26" s="27" t="s">
        <v>1122</v>
      </c>
      <c r="D26" s="31">
        <v>130</v>
      </c>
      <c r="E26" s="29">
        <v>1140.1194310000001</v>
      </c>
      <c r="F26" s="30">
        <v>1.18920259313145</v>
      </c>
      <c r="G26" s="29">
        <v>10.494999999999999</v>
      </c>
      <c r="H26" s="30"/>
    </row>
    <row r="27" spans="1:9" x14ac:dyDescent="0.2">
      <c r="A27" s="27" t="s">
        <v>1232</v>
      </c>
      <c r="B27" s="27" t="s">
        <v>1233</v>
      </c>
      <c r="C27" s="27" t="s">
        <v>1129</v>
      </c>
      <c r="D27" s="31">
        <v>750</v>
      </c>
      <c r="E27" s="29">
        <v>7.5000000000000002E-6</v>
      </c>
      <c r="F27" s="30">
        <v>7.8228817139472597E-9</v>
      </c>
      <c r="G27" s="29">
        <v>0</v>
      </c>
      <c r="H27" s="30"/>
    </row>
    <row r="28" spans="1:9" x14ac:dyDescent="0.2">
      <c r="A28" s="27" t="s">
        <v>1187</v>
      </c>
      <c r="B28" s="27" t="s">
        <v>1188</v>
      </c>
      <c r="C28" s="27" t="s">
        <v>1129</v>
      </c>
      <c r="D28" s="31">
        <v>150</v>
      </c>
      <c r="E28" s="29">
        <v>1.5E-6</v>
      </c>
      <c r="F28" s="30">
        <v>1.5645763427894499E-9</v>
      </c>
      <c r="G28" s="29">
        <v>0</v>
      </c>
      <c r="H28" s="58"/>
    </row>
    <row r="29" spans="1:9" x14ac:dyDescent="0.2">
      <c r="A29" s="26" t="s">
        <v>35</v>
      </c>
      <c r="B29" s="26"/>
      <c r="C29" s="26"/>
      <c r="D29" s="32"/>
      <c r="E29" s="33">
        <f>SUM(E24:E28)</f>
        <v>6310.0091679999996</v>
      </c>
      <c r="F29" s="34">
        <f>SUM(F24:F28)</f>
        <v>6.5816607113582375</v>
      </c>
      <c r="G29" s="33"/>
      <c r="H29" s="30"/>
      <c r="I29" s="18"/>
    </row>
    <row r="30" spans="1:9" x14ac:dyDescent="0.2">
      <c r="A30" s="27"/>
      <c r="B30" s="27"/>
      <c r="C30" s="27"/>
      <c r="D30" s="28"/>
      <c r="E30" s="29"/>
      <c r="F30" s="30"/>
      <c r="G30" s="29"/>
      <c r="H30" s="30"/>
    </row>
    <row r="31" spans="1:9" x14ac:dyDescent="0.2">
      <c r="A31" s="26" t="s">
        <v>36</v>
      </c>
      <c r="B31" s="27"/>
      <c r="C31" s="27"/>
      <c r="D31" s="28"/>
      <c r="E31" s="29"/>
      <c r="F31" s="30"/>
      <c r="G31" s="29"/>
      <c r="H31" s="30"/>
    </row>
    <row r="32" spans="1:9" x14ac:dyDescent="0.2">
      <c r="A32" s="27" t="s">
        <v>1134</v>
      </c>
      <c r="B32" s="27" t="s">
        <v>1135</v>
      </c>
      <c r="C32" s="27" t="s">
        <v>1136</v>
      </c>
      <c r="D32" s="31">
        <v>310849.54499999998</v>
      </c>
      <c r="E32" s="29">
        <v>10528.48683</v>
      </c>
      <c r="F32" s="30">
        <v>10.9817476130589</v>
      </c>
      <c r="G32" s="29">
        <v>3.1389</v>
      </c>
      <c r="H32" s="30"/>
    </row>
    <row r="33" spans="1:9" x14ac:dyDescent="0.2">
      <c r="A33" s="26" t="s">
        <v>35</v>
      </c>
      <c r="B33" s="26"/>
      <c r="C33" s="26"/>
      <c r="D33" s="32"/>
      <c r="E33" s="33">
        <f>SUM(E32:E32)</f>
        <v>10528.48683</v>
      </c>
      <c r="F33" s="34">
        <f>SUM(F32:F32)</f>
        <v>10.9817476130589</v>
      </c>
      <c r="G33" s="33"/>
      <c r="H33" s="30"/>
      <c r="I33" s="18"/>
    </row>
    <row r="34" spans="1:9" x14ac:dyDescent="0.2">
      <c r="A34" s="27"/>
      <c r="B34" s="27"/>
      <c r="C34" s="27"/>
      <c r="D34" s="28"/>
      <c r="E34" s="29"/>
      <c r="F34" s="30"/>
      <c r="G34" s="29"/>
      <c r="H34" s="29"/>
    </row>
    <row r="35" spans="1:9" x14ac:dyDescent="0.2">
      <c r="A35" s="26" t="s">
        <v>37</v>
      </c>
      <c r="B35" s="26"/>
      <c r="C35" s="26"/>
      <c r="D35" s="32"/>
      <c r="E35" s="33">
        <f>E22+E29+E33</f>
        <v>91583.59634399999</v>
      </c>
      <c r="F35" s="34">
        <f>F22+F29+F33</f>
        <v>95.526352151600648</v>
      </c>
      <c r="G35" s="33"/>
      <c r="H35" s="29"/>
      <c r="I35" s="18"/>
    </row>
    <row r="36" spans="1:9" x14ac:dyDescent="0.2">
      <c r="A36" s="26"/>
      <c r="B36" s="26"/>
      <c r="C36" s="26"/>
      <c r="D36" s="32"/>
      <c r="E36" s="33"/>
      <c r="F36" s="34"/>
      <c r="G36" s="33"/>
      <c r="H36" s="29"/>
      <c r="I36" s="18"/>
    </row>
    <row r="37" spans="1:9" x14ac:dyDescent="0.2">
      <c r="A37" s="26" t="s">
        <v>39</v>
      </c>
      <c r="B37" s="26"/>
      <c r="C37" s="26"/>
      <c r="D37" s="32"/>
      <c r="E37" s="33">
        <f>E39-(E22+E29+E33)</f>
        <v>4289.0024533000105</v>
      </c>
      <c r="F37" s="34">
        <f>F39-(F22+F29+F33)</f>
        <v>4.4736478483993523</v>
      </c>
      <c r="G37" s="33"/>
      <c r="H37" s="29"/>
      <c r="I37" s="18"/>
    </row>
    <row r="38" spans="1:9" x14ac:dyDescent="0.2">
      <c r="A38" s="26"/>
      <c r="B38" s="26"/>
      <c r="C38" s="26"/>
      <c r="D38" s="32"/>
      <c r="E38" s="33"/>
      <c r="F38" s="34"/>
      <c r="G38" s="33"/>
      <c r="H38" s="29"/>
      <c r="I38" s="18"/>
    </row>
    <row r="39" spans="1:9" x14ac:dyDescent="0.2">
      <c r="A39" s="35" t="s">
        <v>38</v>
      </c>
      <c r="B39" s="35"/>
      <c r="C39" s="35"/>
      <c r="D39" s="36"/>
      <c r="E39" s="37">
        <v>95872.598797300001</v>
      </c>
      <c r="F39" s="38">
        <v>100</v>
      </c>
      <c r="G39" s="37"/>
      <c r="H39" s="61"/>
      <c r="I39" s="18"/>
    </row>
    <row r="40" spans="1:9" x14ac:dyDescent="0.2">
      <c r="H40" s="62"/>
    </row>
    <row r="41" spans="1:9" x14ac:dyDescent="0.2">
      <c r="A41" s="18" t="s">
        <v>40</v>
      </c>
      <c r="H41" s="62"/>
    </row>
    <row r="42" spans="1:9" x14ac:dyDescent="0.2">
      <c r="A42" s="47" t="s">
        <v>1137</v>
      </c>
      <c r="H42" s="62"/>
    </row>
    <row r="44" spans="1:9" x14ac:dyDescent="0.2">
      <c r="A44" s="18" t="s">
        <v>41</v>
      </c>
    </row>
    <row r="45" spans="1:9" x14ac:dyDescent="0.2">
      <c r="A45" s="18" t="s">
        <v>42</v>
      </c>
    </row>
    <row r="46" spans="1:9" x14ac:dyDescent="0.2">
      <c r="A46" s="18" t="s">
        <v>43</v>
      </c>
      <c r="B46" s="18"/>
      <c r="C46" s="39" t="s">
        <v>45</v>
      </c>
      <c r="D46" s="19" t="s">
        <v>44</v>
      </c>
    </row>
    <row r="47" spans="1:9" x14ac:dyDescent="0.2">
      <c r="A47" s="9" t="s">
        <v>68</v>
      </c>
      <c r="C47" s="40">
        <v>20.069600000000001</v>
      </c>
      <c r="D47" s="40">
        <v>21.000900000000001</v>
      </c>
    </row>
    <row r="48" spans="1:9" x14ac:dyDescent="0.2">
      <c r="A48" s="9" t="s">
        <v>74</v>
      </c>
      <c r="C48" s="40">
        <v>10.7624</v>
      </c>
      <c r="D48" s="40">
        <v>11.261699999999999</v>
      </c>
    </row>
    <row r="49" spans="1:7" x14ac:dyDescent="0.2">
      <c r="A49" s="9" t="s">
        <v>71</v>
      </c>
      <c r="C49" s="40">
        <v>21.362400000000001</v>
      </c>
      <c r="D49" s="40">
        <v>22.3704</v>
      </c>
    </row>
    <row r="50" spans="1:7" x14ac:dyDescent="0.2">
      <c r="A50" s="9" t="s">
        <v>75</v>
      </c>
      <c r="C50" s="40">
        <v>11.7073</v>
      </c>
      <c r="D50" s="40">
        <v>12.2597</v>
      </c>
    </row>
    <row r="52" spans="1:7" x14ac:dyDescent="0.2">
      <c r="A52" s="9" t="s">
        <v>46</v>
      </c>
    </row>
    <row r="54" spans="1:7" x14ac:dyDescent="0.2">
      <c r="A54" s="18" t="s">
        <v>47</v>
      </c>
      <c r="D54" s="41" t="s">
        <v>48</v>
      </c>
    </row>
    <row r="56" spans="1:7" x14ac:dyDescent="0.2">
      <c r="A56" s="18" t="s">
        <v>816</v>
      </c>
      <c r="D56" s="42">
        <v>2.7692228453972598</v>
      </c>
      <c r="E56" s="13" t="s">
        <v>49</v>
      </c>
    </row>
    <row r="58" spans="1:7" x14ac:dyDescent="0.2">
      <c r="A58" s="18" t="s">
        <v>727</v>
      </c>
      <c r="D58" s="41" t="s">
        <v>48</v>
      </c>
    </row>
    <row r="59" spans="1:7" x14ac:dyDescent="0.2">
      <c r="A59" s="9" t="s">
        <v>723</v>
      </c>
    </row>
    <row r="60" spans="1:7" x14ac:dyDescent="0.2">
      <c r="A60" s="57" t="s">
        <v>1138</v>
      </c>
    </row>
    <row r="62" spans="1:7" ht="25.5" customHeight="1" x14ac:dyDescent="0.3">
      <c r="A62" s="78" t="s">
        <v>1234</v>
      </c>
      <c r="B62" s="79"/>
      <c r="C62" s="79"/>
      <c r="D62" s="79"/>
      <c r="E62" s="79"/>
      <c r="F62" s="79"/>
      <c r="G62" s="79"/>
    </row>
    <row r="64" spans="1:7" ht="36" customHeight="1" x14ac:dyDescent="0.3">
      <c r="A64" s="78" t="s">
        <v>1235</v>
      </c>
      <c r="B64" s="79"/>
      <c r="C64" s="79"/>
      <c r="D64" s="79"/>
      <c r="E64" s="79"/>
      <c r="F64" s="79"/>
      <c r="G64" s="79"/>
    </row>
    <row r="66" spans="1:7" ht="36" customHeight="1" x14ac:dyDescent="0.3">
      <c r="A66" s="78" t="s">
        <v>1236</v>
      </c>
      <c r="B66" s="79"/>
      <c r="C66" s="79"/>
      <c r="D66" s="79"/>
      <c r="E66" s="79"/>
      <c r="F66" s="79"/>
      <c r="G66" s="79"/>
    </row>
    <row r="67" spans="1:7" x14ac:dyDescent="0.2">
      <c r="A67" s="57" t="s">
        <v>1142</v>
      </c>
    </row>
    <row r="69" spans="1:7" ht="26.25" customHeight="1" x14ac:dyDescent="0.3">
      <c r="A69" s="78" t="s">
        <v>1143</v>
      </c>
      <c r="B69" s="79"/>
      <c r="C69" s="79"/>
      <c r="D69" s="79"/>
      <c r="E69" s="79"/>
      <c r="F69" s="79"/>
      <c r="G69" s="79"/>
    </row>
    <row r="71" spans="1:7" x14ac:dyDescent="0.2">
      <c r="A71" s="18" t="s">
        <v>1144</v>
      </c>
    </row>
    <row r="72" spans="1:7" x14ac:dyDescent="0.2">
      <c r="A72" s="57" t="s">
        <v>51</v>
      </c>
    </row>
    <row r="74" spans="1:7" x14ac:dyDescent="0.2">
      <c r="A74" s="18" t="s">
        <v>739</v>
      </c>
    </row>
    <row r="76" spans="1:7" s="1" customFormat="1" ht="13.8" x14ac:dyDescent="0.2">
      <c r="A76" s="72" t="s">
        <v>1237</v>
      </c>
      <c r="B76" s="73"/>
      <c r="C76" s="73"/>
      <c r="D76" s="73"/>
      <c r="E76" s="73"/>
      <c r="F76" s="73"/>
      <c r="G76" s="73"/>
    </row>
    <row r="77" spans="1:7" x14ac:dyDescent="0.2">
      <c r="A77" s="18" t="s">
        <v>7</v>
      </c>
    </row>
    <row r="78" spans="1:7" s="1" customFormat="1" ht="17.399999999999999" customHeight="1" x14ac:dyDescent="0.2">
      <c r="A78" s="8" t="s">
        <v>2</v>
      </c>
      <c r="B78" s="8" t="s">
        <v>0</v>
      </c>
      <c r="C78" s="17" t="s">
        <v>742</v>
      </c>
      <c r="D78" s="16" t="s">
        <v>1</v>
      </c>
      <c r="E78" s="15" t="s">
        <v>3</v>
      </c>
      <c r="F78" s="15" t="s">
        <v>4</v>
      </c>
      <c r="G78" s="15" t="s">
        <v>6</v>
      </c>
    </row>
    <row r="79" spans="1:7" x14ac:dyDescent="0.2">
      <c r="A79" s="21" t="s">
        <v>31</v>
      </c>
      <c r="B79" s="22"/>
      <c r="C79" s="22"/>
      <c r="D79" s="23"/>
      <c r="E79" s="24"/>
      <c r="F79" s="25"/>
      <c r="G79" s="24"/>
    </row>
    <row r="80" spans="1:7" x14ac:dyDescent="0.2">
      <c r="A80" s="26" t="s">
        <v>32</v>
      </c>
      <c r="B80" s="27"/>
      <c r="C80" s="27"/>
      <c r="D80" s="28"/>
      <c r="E80" s="29"/>
      <c r="F80" s="30"/>
      <c r="G80" s="29"/>
    </row>
    <row r="81" spans="1:9" x14ac:dyDescent="0.2">
      <c r="A81" s="27" t="s">
        <v>1146</v>
      </c>
      <c r="B81" s="27" t="s">
        <v>1147</v>
      </c>
      <c r="C81" s="27" t="s">
        <v>1148</v>
      </c>
      <c r="D81" s="31">
        <v>3370</v>
      </c>
      <c r="E81" s="29">
        <v>0</v>
      </c>
      <c r="F81" s="30">
        <v>100</v>
      </c>
      <c r="G81" s="29">
        <v>0</v>
      </c>
    </row>
    <row r="82" spans="1:9" x14ac:dyDescent="0.2">
      <c r="A82" s="26" t="s">
        <v>35</v>
      </c>
      <c r="B82" s="26"/>
      <c r="C82" s="26"/>
      <c r="D82" s="32"/>
      <c r="E82" s="33">
        <v>0</v>
      </c>
      <c r="F82" s="34">
        <v>100</v>
      </c>
      <c r="G82" s="33"/>
      <c r="H82" s="18"/>
      <c r="I82" s="18"/>
    </row>
    <row r="83" spans="1:9" x14ac:dyDescent="0.2">
      <c r="A83" s="27"/>
      <c r="B83" s="27"/>
      <c r="C83" s="27"/>
      <c r="D83" s="28"/>
      <c r="E83" s="29"/>
      <c r="F83" s="30"/>
      <c r="G83" s="29"/>
    </row>
    <row r="84" spans="1:9" x14ac:dyDescent="0.2">
      <c r="A84" s="26" t="s">
        <v>37</v>
      </c>
      <c r="B84" s="26"/>
      <c r="C84" s="26"/>
      <c r="D84" s="32"/>
      <c r="E84" s="33">
        <v>0</v>
      </c>
      <c r="F84" s="34">
        <v>100</v>
      </c>
      <c r="G84" s="33"/>
      <c r="H84" s="18"/>
      <c r="I84" s="18"/>
    </row>
    <row r="85" spans="1:9" x14ac:dyDescent="0.2">
      <c r="A85" s="26"/>
      <c r="B85" s="26"/>
      <c r="C85" s="26"/>
      <c r="D85" s="32"/>
      <c r="E85" s="33"/>
      <c r="F85" s="34"/>
      <c r="G85" s="33"/>
      <c r="H85" s="18"/>
      <c r="I85" s="18"/>
    </row>
    <row r="86" spans="1:9" x14ac:dyDescent="0.2">
      <c r="A86" s="26" t="s">
        <v>39</v>
      </c>
      <c r="B86" s="26"/>
      <c r="C86" s="26"/>
      <c r="D86" s="32"/>
      <c r="E86" s="33">
        <v>3.9999999999999998E-7</v>
      </c>
      <c r="F86" s="34">
        <v>0</v>
      </c>
      <c r="G86" s="33"/>
      <c r="H86" s="18"/>
      <c r="I86" s="18"/>
    </row>
    <row r="87" spans="1:9" x14ac:dyDescent="0.2">
      <c r="A87" s="26"/>
      <c r="B87" s="26"/>
      <c r="C87" s="26"/>
      <c r="D87" s="32"/>
      <c r="E87" s="33"/>
      <c r="F87" s="34"/>
      <c r="G87" s="33"/>
      <c r="H87" s="18"/>
      <c r="I87" s="18"/>
    </row>
    <row r="88" spans="1:9" x14ac:dyDescent="0.2">
      <c r="A88" s="35" t="s">
        <v>38</v>
      </c>
      <c r="B88" s="35"/>
      <c r="C88" s="35"/>
      <c r="D88" s="36"/>
      <c r="E88" s="37">
        <v>3.9999999999999998E-7</v>
      </c>
      <c r="F88" s="38">
        <v>100</v>
      </c>
      <c r="G88" s="37"/>
      <c r="H88" s="18"/>
      <c r="I88" s="18"/>
    </row>
    <row r="90" spans="1:9" x14ac:dyDescent="0.2">
      <c r="A90" s="18" t="s">
        <v>40</v>
      </c>
    </row>
    <row r="91" spans="1:9" x14ac:dyDescent="0.2">
      <c r="A91" s="47" t="s">
        <v>1137</v>
      </c>
    </row>
    <row r="92" spans="1:9" x14ac:dyDescent="0.2">
      <c r="A92" s="18" t="s">
        <v>1149</v>
      </c>
    </row>
    <row r="94" spans="1:9" x14ac:dyDescent="0.2">
      <c r="A94" s="18" t="s">
        <v>41</v>
      </c>
    </row>
    <row r="95" spans="1:9" x14ac:dyDescent="0.2">
      <c r="A95" s="18" t="s">
        <v>42</v>
      </c>
    </row>
    <row r="96" spans="1:9" x14ac:dyDescent="0.2">
      <c r="A96" s="18" t="s">
        <v>43</v>
      </c>
      <c r="B96" s="18"/>
      <c r="C96" s="39" t="s">
        <v>45</v>
      </c>
      <c r="D96" s="19" t="s">
        <v>44</v>
      </c>
    </row>
    <row r="97" spans="1:7" x14ac:dyDescent="0.2">
      <c r="A97" s="9" t="s">
        <v>68</v>
      </c>
      <c r="C97" s="40">
        <v>0</v>
      </c>
      <c r="D97" s="40">
        <v>0</v>
      </c>
    </row>
    <row r="98" spans="1:7" x14ac:dyDescent="0.2">
      <c r="A98" s="9" t="s">
        <v>74</v>
      </c>
      <c r="C98" s="40">
        <v>0</v>
      </c>
      <c r="D98" s="40">
        <v>0</v>
      </c>
    </row>
    <row r="99" spans="1:7" x14ac:dyDescent="0.2">
      <c r="A99" s="9" t="s">
        <v>71</v>
      </c>
      <c r="C99" s="40">
        <v>0</v>
      </c>
      <c r="D99" s="40">
        <v>0</v>
      </c>
    </row>
    <row r="100" spans="1:7" x14ac:dyDescent="0.2">
      <c r="A100" s="9" t="s">
        <v>75</v>
      </c>
      <c r="C100" s="40">
        <v>0</v>
      </c>
      <c r="D100" s="40">
        <v>0</v>
      </c>
    </row>
    <row r="102" spans="1:7" x14ac:dyDescent="0.2">
      <c r="A102" s="9" t="s">
        <v>46</v>
      </c>
    </row>
    <row r="104" spans="1:7" x14ac:dyDescent="0.2">
      <c r="A104" s="18" t="s">
        <v>727</v>
      </c>
      <c r="D104" s="41" t="s">
        <v>48</v>
      </c>
    </row>
    <row r="105" spans="1:7" x14ac:dyDescent="0.2">
      <c r="A105" s="9" t="s">
        <v>723</v>
      </c>
    </row>
    <row r="106" spans="1:7" x14ac:dyDescent="0.2">
      <c r="A106" s="50" t="s">
        <v>724</v>
      </c>
    </row>
    <row r="108" spans="1:7" x14ac:dyDescent="0.2">
      <c r="A108" s="18" t="s">
        <v>1151</v>
      </c>
    </row>
    <row r="109" spans="1:7" x14ac:dyDescent="0.2">
      <c r="A109" s="50" t="s">
        <v>51</v>
      </c>
    </row>
    <row r="111" spans="1:7" s="1" customFormat="1" ht="13.8" x14ac:dyDescent="0.2">
      <c r="A111" s="72" t="s">
        <v>1238</v>
      </c>
      <c r="B111" s="73"/>
      <c r="C111" s="73"/>
      <c r="D111" s="73"/>
      <c r="E111" s="73"/>
      <c r="F111" s="73"/>
      <c r="G111" s="73"/>
    </row>
    <row r="112" spans="1:7" x14ac:dyDescent="0.2">
      <c r="A112" s="18" t="s">
        <v>7</v>
      </c>
    </row>
    <row r="113" spans="1:9" s="1" customFormat="1" ht="17.399999999999999" customHeight="1" x14ac:dyDescent="0.2">
      <c r="A113" s="8" t="s">
        <v>2</v>
      </c>
      <c r="B113" s="8" t="s">
        <v>0</v>
      </c>
      <c r="C113" s="17" t="s">
        <v>742</v>
      </c>
      <c r="D113" s="16" t="s">
        <v>1</v>
      </c>
      <c r="E113" s="15" t="s">
        <v>3</v>
      </c>
      <c r="F113" s="15" t="s">
        <v>4</v>
      </c>
      <c r="G113" s="15" t="s">
        <v>6</v>
      </c>
    </row>
    <row r="114" spans="1:9" x14ac:dyDescent="0.2">
      <c r="A114" s="21" t="s">
        <v>31</v>
      </c>
      <c r="B114" s="22"/>
      <c r="C114" s="22"/>
      <c r="D114" s="23"/>
      <c r="E114" s="24"/>
      <c r="F114" s="25"/>
      <c r="G114" s="24"/>
    </row>
    <row r="115" spans="1:9" x14ac:dyDescent="0.2">
      <c r="A115" s="26" t="s">
        <v>32</v>
      </c>
      <c r="B115" s="27"/>
      <c r="C115" s="27"/>
      <c r="D115" s="28"/>
      <c r="E115" s="29"/>
      <c r="F115" s="30"/>
      <c r="G115" s="29"/>
    </row>
    <row r="116" spans="1:9" ht="20.399999999999999" x14ac:dyDescent="0.2">
      <c r="A116" s="27" t="s">
        <v>1153</v>
      </c>
      <c r="B116" s="27" t="s">
        <v>1154</v>
      </c>
      <c r="C116" s="52" t="s">
        <v>1155</v>
      </c>
      <c r="D116" s="31">
        <v>1695</v>
      </c>
      <c r="E116" s="29">
        <v>0</v>
      </c>
      <c r="F116" s="65">
        <v>100</v>
      </c>
      <c r="G116" s="29">
        <v>0</v>
      </c>
    </row>
    <row r="117" spans="1:9" x14ac:dyDescent="0.2">
      <c r="A117" s="26" t="s">
        <v>35</v>
      </c>
      <c r="B117" s="26"/>
      <c r="C117" s="26"/>
      <c r="D117" s="32"/>
      <c r="E117" s="33">
        <f>SUM(E115:E116)</f>
        <v>0</v>
      </c>
      <c r="F117" s="66">
        <f>SUM(F115:F116)</f>
        <v>100</v>
      </c>
      <c r="G117" s="33"/>
      <c r="H117" s="18"/>
      <c r="I117" s="18"/>
    </row>
    <row r="118" spans="1:9" x14ac:dyDescent="0.2">
      <c r="A118" s="27"/>
      <c r="B118" s="27"/>
      <c r="C118" s="27"/>
      <c r="D118" s="28"/>
      <c r="E118" s="29"/>
      <c r="F118" s="67"/>
      <c r="G118" s="29"/>
    </row>
    <row r="119" spans="1:9" x14ac:dyDescent="0.2">
      <c r="A119" s="26" t="s">
        <v>37</v>
      </c>
      <c r="B119" s="26"/>
      <c r="C119" s="26"/>
      <c r="D119" s="32"/>
      <c r="E119" s="33">
        <f>E117</f>
        <v>0</v>
      </c>
      <c r="F119" s="66">
        <f>F117</f>
        <v>100</v>
      </c>
      <c r="G119" s="33"/>
      <c r="H119" s="18"/>
      <c r="I119" s="18"/>
    </row>
    <row r="120" spans="1:9" x14ac:dyDescent="0.2">
      <c r="A120" s="26"/>
      <c r="B120" s="26"/>
      <c r="C120" s="26"/>
      <c r="D120" s="32"/>
      <c r="E120" s="33"/>
      <c r="F120" s="66"/>
      <c r="G120" s="33"/>
      <c r="H120" s="18"/>
      <c r="I120" s="18"/>
    </row>
    <row r="121" spans="1:9" x14ac:dyDescent="0.2">
      <c r="A121" s="26" t="s">
        <v>39</v>
      </c>
      <c r="B121" s="26"/>
      <c r="C121" s="26"/>
      <c r="D121" s="32"/>
      <c r="E121" s="33">
        <f>E123-(E117)</f>
        <v>3.9999999999999998E-7</v>
      </c>
      <c r="F121" s="34">
        <v>0</v>
      </c>
      <c r="G121" s="33"/>
      <c r="H121" s="18"/>
      <c r="I121" s="18"/>
    </row>
    <row r="122" spans="1:9" x14ac:dyDescent="0.2">
      <c r="A122" s="26"/>
      <c r="B122" s="26"/>
      <c r="C122" s="26"/>
      <c r="D122" s="32"/>
      <c r="E122" s="33"/>
      <c r="F122" s="66"/>
      <c r="G122" s="33"/>
      <c r="H122" s="18"/>
      <c r="I122" s="18"/>
    </row>
    <row r="123" spans="1:9" x14ac:dyDescent="0.2">
      <c r="A123" s="35" t="s">
        <v>38</v>
      </c>
      <c r="B123" s="35"/>
      <c r="C123" s="35"/>
      <c r="D123" s="36"/>
      <c r="E123" s="37">
        <v>3.9999999999999998E-7</v>
      </c>
      <c r="F123" s="68">
        <v>100</v>
      </c>
      <c r="G123" s="37"/>
      <c r="H123" s="18"/>
      <c r="I123" s="18"/>
    </row>
    <row r="125" spans="1:9" x14ac:dyDescent="0.2">
      <c r="A125" s="18" t="s">
        <v>40</v>
      </c>
    </row>
    <row r="126" spans="1:9" x14ac:dyDescent="0.2">
      <c r="A126" s="18" t="s">
        <v>1137</v>
      </c>
    </row>
    <row r="128" spans="1:9" x14ac:dyDescent="0.2">
      <c r="A128" s="18" t="s">
        <v>41</v>
      </c>
    </row>
    <row r="129" spans="1:4" x14ac:dyDescent="0.2">
      <c r="A129" s="18" t="s">
        <v>42</v>
      </c>
    </row>
    <row r="130" spans="1:4" x14ac:dyDescent="0.2">
      <c r="A130" s="18" t="s">
        <v>43</v>
      </c>
      <c r="B130" s="18"/>
      <c r="C130" s="39" t="s">
        <v>45</v>
      </c>
      <c r="D130" s="19" t="s">
        <v>44</v>
      </c>
    </row>
    <row r="131" spans="1:4" x14ac:dyDescent="0.2">
      <c r="A131" s="9" t="s">
        <v>68</v>
      </c>
      <c r="C131" s="40">
        <v>0</v>
      </c>
      <c r="D131" s="40">
        <v>0</v>
      </c>
    </row>
    <row r="132" spans="1:4" x14ac:dyDescent="0.2">
      <c r="A132" s="9" t="s">
        <v>74</v>
      </c>
      <c r="C132" s="40">
        <v>0</v>
      </c>
      <c r="D132" s="40">
        <v>0</v>
      </c>
    </row>
    <row r="133" spans="1:4" x14ac:dyDescent="0.2">
      <c r="A133" s="9" t="s">
        <v>71</v>
      </c>
      <c r="C133" s="40">
        <v>0</v>
      </c>
      <c r="D133" s="40">
        <v>0</v>
      </c>
    </row>
    <row r="134" spans="1:4" x14ac:dyDescent="0.2">
      <c r="A134" s="9" t="s">
        <v>75</v>
      </c>
      <c r="C134" s="40">
        <v>0</v>
      </c>
      <c r="D134" s="40">
        <v>0</v>
      </c>
    </row>
    <row r="136" spans="1:4" x14ac:dyDescent="0.2">
      <c r="A136" s="9" t="s">
        <v>46</v>
      </c>
    </row>
    <row r="138" spans="1:4" x14ac:dyDescent="0.2">
      <c r="A138" s="18" t="s">
        <v>727</v>
      </c>
      <c r="D138" s="41" t="s">
        <v>48</v>
      </c>
    </row>
    <row r="139" spans="1:4" x14ac:dyDescent="0.2">
      <c r="A139" s="9" t="s">
        <v>723</v>
      </c>
    </row>
    <row r="140" spans="1:4" x14ac:dyDescent="0.2">
      <c r="A140" s="50" t="s">
        <v>724</v>
      </c>
    </row>
    <row r="142" spans="1:4" x14ac:dyDescent="0.2">
      <c r="A142" s="18" t="s">
        <v>1151</v>
      </c>
    </row>
    <row r="143" spans="1:4" x14ac:dyDescent="0.2">
      <c r="A143" s="50" t="s">
        <v>51</v>
      </c>
    </row>
  </sheetData>
  <mergeCells count="7">
    <mergeCell ref="A111:G111"/>
    <mergeCell ref="A1:H1"/>
    <mergeCell ref="A62:G62"/>
    <mergeCell ref="A64:G64"/>
    <mergeCell ref="A66:G66"/>
    <mergeCell ref="A69:G69"/>
    <mergeCell ref="A76:G76"/>
  </mergeCells>
  <conditionalFormatting sqref="F2:F3 F5:F61 F63 F65 F67:F68 F77 F112 F70:F75 F89:F110 F124:F65532">
    <cfRule type="cellIs" dxfId="34" priority="6" stopIfTrue="1" operator="between">
      <formula>0.009</formula>
      <formula>-0.009</formula>
    </cfRule>
  </conditionalFormatting>
  <conditionalFormatting sqref="F79:F88">
    <cfRule type="cellIs" dxfId="33" priority="5" stopIfTrue="1" operator="between">
      <formula>0.009</formula>
      <formula>-0.009</formula>
    </cfRule>
  </conditionalFormatting>
  <conditionalFormatting sqref="F114:F115">
    <cfRule type="cellIs" dxfId="32" priority="4" stopIfTrue="1" operator="between">
      <formula>0.009</formula>
      <formula>-0.009</formula>
    </cfRule>
  </conditionalFormatting>
  <conditionalFormatting sqref="F117:F120 F122:F123">
    <cfRule type="cellIs" dxfId="31" priority="3" stopIfTrue="1" operator="between">
      <formula>0.009</formula>
      <formula>-0.009</formula>
    </cfRule>
  </conditionalFormatting>
  <conditionalFormatting sqref="H5:H24 H37 H26:H33">
    <cfRule type="cellIs" dxfId="30" priority="2" stopIfTrue="1" operator="between">
      <formula>0.009</formula>
      <formula>-0.009</formula>
    </cfRule>
  </conditionalFormatting>
  <conditionalFormatting sqref="H25">
    <cfRule type="cellIs" dxfId="29" priority="1" stopIfTrue="1" operator="between">
      <formula>0.009</formula>
      <formula>-0.009</formula>
    </cfRule>
  </conditionalFormatting>
  <hyperlinks>
    <hyperlink ref="A60" r:id="rId1" tooltip="https://www.franklintempletonindia.com/investor/reports" xr:uid="{00000000-0004-0000-1900-000000000000}"/>
    <hyperlink ref="A67" r:id="rId2" tooltip="https://www.franklintempletonindia.com/downloadsServlet/pdf/fair-valuation-reliance-big-reliance-infra-november-4-2020-kgox4tfq" xr:uid="{00000000-0004-0000-1900-000001000000}"/>
    <hyperlink ref="A72" r:id="rId3" tooltip="https://www.franklintempletonindia.com/downloadsServlet/pdf/product-labels-jg9o5k7l" xr:uid="{00000000-0004-0000-1900-000002000000}"/>
    <hyperlink ref="A109" r:id="rId4" tooltip="https://www.franklintempletonindia.com/downloadsServlet/pdf/product-labels-jg9o5k7l" xr:uid="{00000000-0004-0000-1900-000003000000}"/>
    <hyperlink ref="A143" r:id="rId5" tooltip="https://www.franklintempletonindia.com/downloadsServlet/pdf/product-labels-jg9o5k7l" xr:uid="{00000000-0004-0000-1900-000004000000}"/>
    <hyperlink ref="A106" r:id="rId6" xr:uid="{00000000-0004-0000-1900-000005000000}"/>
    <hyperlink ref="A140" r:id="rId7" xr:uid="{00000000-0004-0000-1900-000006000000}"/>
  </hyperlinks>
  <pageMargins left="0.7" right="0.7" top="0.75" bottom="0.75" header="0.3" footer="0.3"/>
  <pageSetup paperSize="9" orientation="portrait" r:id="rId8"/>
  <headerFooter>
    <oddFooter>&amp;C&amp;1#&amp;"Calibri"&amp;10&amp;K000000PUBLIC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91"/>
  <sheetViews>
    <sheetView workbookViewId="0">
      <selection sqref="A1:H1"/>
    </sheetView>
  </sheetViews>
  <sheetFormatPr defaultColWidth="9.109375" defaultRowHeight="10.199999999999999" x14ac:dyDescent="0.2"/>
  <cols>
    <col min="1" max="1" width="40.5546875" style="9" bestFit="1" customWidth="1"/>
    <col min="2" max="2" width="33.44140625" style="9" bestFit="1" customWidth="1"/>
    <col min="3" max="3" width="25.109375" style="9" bestFit="1" customWidth="1"/>
    <col min="4" max="4" width="14.6640625" style="10" bestFit="1" customWidth="1"/>
    <col min="5" max="5" width="23" style="13" bestFit="1" customWidth="1"/>
    <col min="6" max="6" width="13.5546875" style="14" bestFit="1" customWidth="1"/>
    <col min="7" max="7" width="13.5546875" style="14" customWidth="1"/>
    <col min="8" max="8" width="14.33203125" style="13" customWidth="1"/>
    <col min="9" max="16384" width="9.109375" style="9"/>
  </cols>
  <sheetData>
    <row r="1" spans="1:8" s="1" customFormat="1" ht="13.8" x14ac:dyDescent="0.2">
      <c r="A1" s="72" t="s">
        <v>8</v>
      </c>
      <c r="B1" s="73"/>
      <c r="C1" s="73"/>
      <c r="D1" s="73"/>
      <c r="E1" s="73"/>
      <c r="F1" s="73"/>
      <c r="G1" s="73"/>
      <c r="H1" s="73"/>
    </row>
    <row r="2" spans="1:8" s="1" customFormat="1" ht="11.4" x14ac:dyDescent="0.2">
      <c r="D2" s="6"/>
      <c r="E2" s="7"/>
      <c r="F2" s="12"/>
      <c r="G2" s="12"/>
      <c r="H2" s="13"/>
    </row>
    <row r="3" spans="1:8" s="1" customFormat="1" ht="12" x14ac:dyDescent="0.2">
      <c r="A3" s="11" t="s">
        <v>7</v>
      </c>
      <c r="B3" s="2"/>
      <c r="C3" s="3"/>
      <c r="D3" s="4"/>
      <c r="E3" s="5"/>
      <c r="F3" s="12"/>
      <c r="G3" s="12"/>
      <c r="H3" s="13"/>
    </row>
    <row r="4" spans="1:8" s="1" customFormat="1" ht="30.6" x14ac:dyDescent="0.2">
      <c r="A4" s="8" t="s">
        <v>2</v>
      </c>
      <c r="B4" s="8" t="s">
        <v>0</v>
      </c>
      <c r="C4" s="17" t="s">
        <v>5</v>
      </c>
      <c r="D4" s="16" t="s">
        <v>1</v>
      </c>
      <c r="E4" s="15" t="s">
        <v>3</v>
      </c>
      <c r="F4" s="46" t="s">
        <v>714</v>
      </c>
      <c r="G4" s="46" t="s">
        <v>715</v>
      </c>
      <c r="H4" s="15" t="s">
        <v>6</v>
      </c>
    </row>
    <row r="5" spans="1:8" x14ac:dyDescent="0.2">
      <c r="A5" s="21" t="s">
        <v>95</v>
      </c>
      <c r="B5" s="22"/>
      <c r="C5" s="22"/>
      <c r="D5" s="23"/>
      <c r="E5" s="24"/>
      <c r="F5" s="25"/>
      <c r="G5" s="25"/>
      <c r="H5" s="24"/>
    </row>
    <row r="6" spans="1:8" x14ac:dyDescent="0.2">
      <c r="A6" s="26" t="s">
        <v>32</v>
      </c>
      <c r="B6" s="27"/>
      <c r="C6" s="27"/>
      <c r="D6" s="28"/>
      <c r="E6" s="29"/>
      <c r="F6" s="30"/>
      <c r="G6" s="30"/>
      <c r="H6" s="29"/>
    </row>
    <row r="7" spans="1:8" x14ac:dyDescent="0.2">
      <c r="A7" s="27" t="s">
        <v>184</v>
      </c>
      <c r="B7" s="27" t="s">
        <v>183</v>
      </c>
      <c r="C7" s="27" t="s">
        <v>185</v>
      </c>
      <c r="D7" s="31">
        <v>46100</v>
      </c>
      <c r="E7" s="29">
        <v>1125.37015</v>
      </c>
      <c r="F7" s="30">
        <v>9.2931859546908093</v>
      </c>
      <c r="G7" s="30">
        <v>-8.7225999999999999</v>
      </c>
      <c r="H7" s="29"/>
    </row>
    <row r="8" spans="1:8" x14ac:dyDescent="0.2">
      <c r="A8" s="27" t="s">
        <v>103</v>
      </c>
      <c r="B8" s="27" t="s">
        <v>102</v>
      </c>
      <c r="C8" s="27" t="s">
        <v>101</v>
      </c>
      <c r="D8" s="31">
        <v>136500</v>
      </c>
      <c r="E8" s="29">
        <v>967.64850000000001</v>
      </c>
      <c r="F8" s="30">
        <v>7.9907374913735003</v>
      </c>
      <c r="G8" s="30">
        <v>-4.9389000000000003</v>
      </c>
      <c r="H8" s="29"/>
    </row>
    <row r="9" spans="1:8" x14ac:dyDescent="0.2">
      <c r="A9" s="27" t="s">
        <v>129</v>
      </c>
      <c r="B9" s="27" t="s">
        <v>128</v>
      </c>
      <c r="C9" s="27" t="s">
        <v>130</v>
      </c>
      <c r="D9" s="31">
        <v>329400</v>
      </c>
      <c r="E9" s="29">
        <v>860.22810000000004</v>
      </c>
      <c r="F9" s="30">
        <v>7.1036713535989504</v>
      </c>
      <c r="G9" s="30">
        <v>-7.1376999999999997</v>
      </c>
      <c r="H9" s="29"/>
    </row>
    <row r="10" spans="1:8" x14ac:dyDescent="0.2">
      <c r="A10" s="27" t="s">
        <v>105</v>
      </c>
      <c r="B10" s="27" t="s">
        <v>104</v>
      </c>
      <c r="C10" s="27" t="s">
        <v>101</v>
      </c>
      <c r="D10" s="31">
        <v>84061</v>
      </c>
      <c r="E10" s="29">
        <v>573.71632499999998</v>
      </c>
      <c r="F10" s="30">
        <v>4.7376878562727303</v>
      </c>
      <c r="G10" s="30">
        <v>-3.105</v>
      </c>
      <c r="H10" s="29"/>
    </row>
    <row r="11" spans="1:8" x14ac:dyDescent="0.2">
      <c r="A11" s="27" t="s">
        <v>97</v>
      </c>
      <c r="B11" s="27" t="s">
        <v>96</v>
      </c>
      <c r="C11" s="27" t="s">
        <v>98</v>
      </c>
      <c r="D11" s="31">
        <v>26745</v>
      </c>
      <c r="E11" s="29">
        <v>430.72822500000001</v>
      </c>
      <c r="F11" s="30">
        <v>3.5569074680529802</v>
      </c>
      <c r="G11" s="30"/>
      <c r="H11" s="29"/>
    </row>
    <row r="12" spans="1:8" x14ac:dyDescent="0.2">
      <c r="A12" s="27" t="s">
        <v>187</v>
      </c>
      <c r="B12" s="27" t="s">
        <v>186</v>
      </c>
      <c r="C12" s="27" t="s">
        <v>149</v>
      </c>
      <c r="D12" s="31">
        <v>4600</v>
      </c>
      <c r="E12" s="29">
        <v>320.9742</v>
      </c>
      <c r="F12" s="30">
        <v>2.65057050540937</v>
      </c>
      <c r="G12" s="30">
        <v>-2.6457999999999999</v>
      </c>
      <c r="H12" s="29"/>
    </row>
    <row r="13" spans="1:8" x14ac:dyDescent="0.2">
      <c r="A13" s="27" t="s">
        <v>146</v>
      </c>
      <c r="B13" s="27" t="s">
        <v>145</v>
      </c>
      <c r="C13" s="27" t="s">
        <v>122</v>
      </c>
      <c r="D13" s="31">
        <v>18456</v>
      </c>
      <c r="E13" s="29">
        <v>263.66241600000001</v>
      </c>
      <c r="F13" s="30">
        <v>2.1772959422737901</v>
      </c>
      <c r="G13" s="30"/>
      <c r="H13" s="29"/>
    </row>
    <row r="14" spans="1:8" x14ac:dyDescent="0.2">
      <c r="A14" s="27" t="s">
        <v>189</v>
      </c>
      <c r="B14" s="27" t="s">
        <v>188</v>
      </c>
      <c r="C14" s="27" t="s">
        <v>142</v>
      </c>
      <c r="D14" s="31">
        <v>207938</v>
      </c>
      <c r="E14" s="29">
        <v>259.92250000000001</v>
      </c>
      <c r="F14" s="30">
        <v>2.1464121172114998</v>
      </c>
      <c r="G14" s="30"/>
      <c r="H14" s="29"/>
    </row>
    <row r="15" spans="1:8" x14ac:dyDescent="0.2">
      <c r="A15" s="27" t="s">
        <v>191</v>
      </c>
      <c r="B15" s="27" t="s">
        <v>190</v>
      </c>
      <c r="C15" s="27" t="s">
        <v>192</v>
      </c>
      <c r="D15" s="31">
        <v>16100</v>
      </c>
      <c r="E15" s="29">
        <v>257.83345000000003</v>
      </c>
      <c r="F15" s="30">
        <v>2.1291609664513298</v>
      </c>
      <c r="G15" s="30">
        <v>-2.1385999999999998</v>
      </c>
      <c r="H15" s="29"/>
    </row>
    <row r="16" spans="1:8" x14ac:dyDescent="0.2">
      <c r="A16" s="27" t="s">
        <v>194</v>
      </c>
      <c r="B16" s="27" t="s">
        <v>193</v>
      </c>
      <c r="C16" s="27" t="s">
        <v>122</v>
      </c>
      <c r="D16" s="31">
        <v>41250</v>
      </c>
      <c r="E16" s="29">
        <v>247.78874999999999</v>
      </c>
      <c r="F16" s="30">
        <v>2.0462129115743801</v>
      </c>
      <c r="G16" s="30">
        <v>-2.0560999999999998</v>
      </c>
      <c r="H16" s="29"/>
    </row>
    <row r="17" spans="1:8" x14ac:dyDescent="0.2">
      <c r="A17" s="27" t="s">
        <v>135</v>
      </c>
      <c r="B17" s="27" t="s">
        <v>134</v>
      </c>
      <c r="C17" s="27" t="s">
        <v>101</v>
      </c>
      <c r="D17" s="31">
        <v>55462</v>
      </c>
      <c r="E17" s="29">
        <v>239.484916</v>
      </c>
      <c r="F17" s="30">
        <v>1.9776407413432</v>
      </c>
      <c r="G17" s="30"/>
      <c r="H17" s="29"/>
    </row>
    <row r="18" spans="1:8" x14ac:dyDescent="0.2">
      <c r="A18" s="27" t="s">
        <v>196</v>
      </c>
      <c r="B18" s="27" t="s">
        <v>195</v>
      </c>
      <c r="C18" s="27" t="s">
        <v>98</v>
      </c>
      <c r="D18" s="31">
        <v>17733</v>
      </c>
      <c r="E18" s="29">
        <v>214.48950149999999</v>
      </c>
      <c r="F18" s="30">
        <v>1.77123129022787</v>
      </c>
      <c r="G18" s="30"/>
      <c r="H18" s="29"/>
    </row>
    <row r="19" spans="1:8" x14ac:dyDescent="0.2">
      <c r="A19" s="27" t="s">
        <v>198</v>
      </c>
      <c r="B19" s="27" t="s">
        <v>197</v>
      </c>
      <c r="C19" s="27" t="s">
        <v>199</v>
      </c>
      <c r="D19" s="31">
        <v>76471</v>
      </c>
      <c r="E19" s="29">
        <v>205.28639949999999</v>
      </c>
      <c r="F19" s="30">
        <v>1.6952330613375901</v>
      </c>
      <c r="G19" s="30"/>
      <c r="H19" s="29"/>
    </row>
    <row r="20" spans="1:8" x14ac:dyDescent="0.2">
      <c r="A20" s="27" t="s">
        <v>100</v>
      </c>
      <c r="B20" s="27" t="s">
        <v>99</v>
      </c>
      <c r="C20" s="27" t="s">
        <v>101</v>
      </c>
      <c r="D20" s="31">
        <v>13878</v>
      </c>
      <c r="E20" s="29">
        <v>197.96273099999999</v>
      </c>
      <c r="F20" s="30">
        <v>1.63475499264081</v>
      </c>
      <c r="G20" s="30"/>
      <c r="H20" s="29"/>
    </row>
    <row r="21" spans="1:8" x14ac:dyDescent="0.2">
      <c r="A21" s="27" t="s">
        <v>144</v>
      </c>
      <c r="B21" s="27" t="s">
        <v>143</v>
      </c>
      <c r="C21" s="27" t="s">
        <v>142</v>
      </c>
      <c r="D21" s="31">
        <v>150349</v>
      </c>
      <c r="E21" s="29">
        <v>177.71251799999999</v>
      </c>
      <c r="F21" s="30">
        <v>1.4675309063869699</v>
      </c>
      <c r="G21" s="30"/>
      <c r="H21" s="29"/>
    </row>
    <row r="22" spans="1:8" x14ac:dyDescent="0.2">
      <c r="A22" s="27" t="s">
        <v>201</v>
      </c>
      <c r="B22" s="27" t="s">
        <v>200</v>
      </c>
      <c r="C22" s="27" t="s">
        <v>202</v>
      </c>
      <c r="D22" s="31">
        <v>122059</v>
      </c>
      <c r="E22" s="29">
        <v>177.107609</v>
      </c>
      <c r="F22" s="30">
        <v>1.46253563276729</v>
      </c>
      <c r="G22" s="30"/>
      <c r="H22" s="29"/>
    </row>
    <row r="23" spans="1:8" x14ac:dyDescent="0.2">
      <c r="A23" s="27" t="s">
        <v>204</v>
      </c>
      <c r="B23" s="27" t="s">
        <v>203</v>
      </c>
      <c r="C23" s="27" t="s">
        <v>205</v>
      </c>
      <c r="D23" s="31">
        <v>64953</v>
      </c>
      <c r="E23" s="29">
        <v>174.8859525</v>
      </c>
      <c r="F23" s="30">
        <v>1.4441894317578301</v>
      </c>
      <c r="G23" s="30"/>
      <c r="H23" s="29"/>
    </row>
    <row r="24" spans="1:8" x14ac:dyDescent="0.2">
      <c r="A24" s="27" t="s">
        <v>141</v>
      </c>
      <c r="B24" s="27" t="s">
        <v>140</v>
      </c>
      <c r="C24" s="27" t="s">
        <v>142</v>
      </c>
      <c r="D24" s="31">
        <v>94030</v>
      </c>
      <c r="E24" s="29">
        <v>160.932345</v>
      </c>
      <c r="F24" s="30">
        <v>1.32896203814314</v>
      </c>
      <c r="G24" s="30"/>
      <c r="H24" s="29"/>
    </row>
    <row r="25" spans="1:8" x14ac:dyDescent="0.2">
      <c r="A25" s="27" t="s">
        <v>207</v>
      </c>
      <c r="B25" s="27" t="s">
        <v>206</v>
      </c>
      <c r="C25" s="27" t="s">
        <v>185</v>
      </c>
      <c r="D25" s="31">
        <v>23811</v>
      </c>
      <c r="E25" s="29">
        <v>157.605009</v>
      </c>
      <c r="F25" s="30">
        <v>1.3014852544540301</v>
      </c>
      <c r="G25" s="30"/>
      <c r="H25" s="29"/>
    </row>
    <row r="26" spans="1:8" x14ac:dyDescent="0.2">
      <c r="A26" s="27" t="s">
        <v>110</v>
      </c>
      <c r="B26" s="27" t="s">
        <v>109</v>
      </c>
      <c r="C26" s="27" t="s">
        <v>111</v>
      </c>
      <c r="D26" s="31">
        <v>27951</v>
      </c>
      <c r="E26" s="29">
        <v>156.98679150000001</v>
      </c>
      <c r="F26" s="30">
        <v>1.29638008066926</v>
      </c>
      <c r="G26" s="30"/>
      <c r="H26" s="29"/>
    </row>
    <row r="27" spans="1:8" x14ac:dyDescent="0.2">
      <c r="A27" s="27" t="s">
        <v>127</v>
      </c>
      <c r="B27" s="27" t="s">
        <v>126</v>
      </c>
      <c r="C27" s="27" t="s">
        <v>125</v>
      </c>
      <c r="D27" s="31">
        <v>42933</v>
      </c>
      <c r="E27" s="29">
        <v>148.59111300000001</v>
      </c>
      <c r="F27" s="30">
        <v>1.22704946841133</v>
      </c>
      <c r="G27" s="30"/>
      <c r="H27" s="29"/>
    </row>
    <row r="28" spans="1:8" x14ac:dyDescent="0.2">
      <c r="A28" s="27" t="s">
        <v>209</v>
      </c>
      <c r="B28" s="27" t="s">
        <v>208</v>
      </c>
      <c r="C28" s="27" t="s">
        <v>185</v>
      </c>
      <c r="D28" s="31">
        <v>21957</v>
      </c>
      <c r="E28" s="29">
        <v>147.26559900000001</v>
      </c>
      <c r="F28" s="30">
        <v>1.2161035160173099</v>
      </c>
      <c r="G28" s="30"/>
      <c r="H28" s="29"/>
    </row>
    <row r="29" spans="1:8" x14ac:dyDescent="0.2">
      <c r="A29" s="27" t="s">
        <v>121</v>
      </c>
      <c r="B29" s="27" t="s">
        <v>120</v>
      </c>
      <c r="C29" s="27" t="s">
        <v>122</v>
      </c>
      <c r="D29" s="31">
        <v>7787</v>
      </c>
      <c r="E29" s="29">
        <v>132.72162800000001</v>
      </c>
      <c r="F29" s="30">
        <v>1.09600096396132</v>
      </c>
      <c r="G29" s="30"/>
      <c r="H29" s="29"/>
    </row>
    <row r="30" spans="1:8" x14ac:dyDescent="0.2">
      <c r="A30" s="27" t="s">
        <v>211</v>
      </c>
      <c r="B30" s="27" t="s">
        <v>210</v>
      </c>
      <c r="C30" s="27" t="s">
        <v>130</v>
      </c>
      <c r="D30" s="31">
        <v>121901</v>
      </c>
      <c r="E30" s="29">
        <v>125.7408815</v>
      </c>
      <c r="F30" s="30">
        <v>1.03835470834751</v>
      </c>
      <c r="G30" s="30"/>
      <c r="H30" s="29"/>
    </row>
    <row r="31" spans="1:8" x14ac:dyDescent="0.2">
      <c r="A31" s="27" t="s">
        <v>132</v>
      </c>
      <c r="B31" s="27" t="s">
        <v>131</v>
      </c>
      <c r="C31" s="27" t="s">
        <v>133</v>
      </c>
      <c r="D31" s="31">
        <v>2392</v>
      </c>
      <c r="E31" s="29">
        <v>112.69190399999999</v>
      </c>
      <c r="F31" s="30">
        <v>0.93059765221262103</v>
      </c>
      <c r="G31" s="30"/>
      <c r="H31" s="29"/>
    </row>
    <row r="32" spans="1:8" x14ac:dyDescent="0.2">
      <c r="A32" s="27" t="s">
        <v>124</v>
      </c>
      <c r="B32" s="27" t="s">
        <v>123</v>
      </c>
      <c r="C32" s="27" t="s">
        <v>125</v>
      </c>
      <c r="D32" s="31">
        <v>43156</v>
      </c>
      <c r="E32" s="29">
        <v>94.187970000000007</v>
      </c>
      <c r="F32" s="30">
        <v>0.77779415057778001</v>
      </c>
      <c r="G32" s="30"/>
      <c r="H32" s="29"/>
    </row>
    <row r="33" spans="1:10" x14ac:dyDescent="0.2">
      <c r="A33" s="27" t="s">
        <v>119</v>
      </c>
      <c r="B33" s="27" t="s">
        <v>118</v>
      </c>
      <c r="C33" s="27" t="s">
        <v>101</v>
      </c>
      <c r="D33" s="31">
        <v>5528</v>
      </c>
      <c r="E33" s="29">
        <v>91.477344000000002</v>
      </c>
      <c r="F33" s="30">
        <v>0.75541009190018005</v>
      </c>
      <c r="G33" s="30"/>
      <c r="H33" s="29"/>
    </row>
    <row r="34" spans="1:10" x14ac:dyDescent="0.2">
      <c r="A34" s="27" t="s">
        <v>213</v>
      </c>
      <c r="B34" s="27" t="s">
        <v>212</v>
      </c>
      <c r="C34" s="27" t="s">
        <v>122</v>
      </c>
      <c r="D34" s="31">
        <v>402</v>
      </c>
      <c r="E34" s="29">
        <v>71.164653000000001</v>
      </c>
      <c r="F34" s="30">
        <v>0.58767006902577301</v>
      </c>
      <c r="G34" s="30"/>
      <c r="H34" s="29"/>
    </row>
    <row r="35" spans="1:10" x14ac:dyDescent="0.2">
      <c r="A35" s="27" t="s">
        <v>215</v>
      </c>
      <c r="B35" s="27" t="s">
        <v>214</v>
      </c>
      <c r="C35" s="27" t="s">
        <v>125</v>
      </c>
      <c r="D35" s="31">
        <v>47372</v>
      </c>
      <c r="E35" s="29">
        <v>66.107625999999996</v>
      </c>
      <c r="F35" s="30">
        <v>0.545909682641887</v>
      </c>
      <c r="G35" s="30"/>
      <c r="H35" s="29"/>
    </row>
    <row r="36" spans="1:10" x14ac:dyDescent="0.2">
      <c r="A36" s="27" t="s">
        <v>217</v>
      </c>
      <c r="B36" s="27" t="s">
        <v>216</v>
      </c>
      <c r="C36" s="27" t="s">
        <v>101</v>
      </c>
      <c r="D36" s="31">
        <v>10000</v>
      </c>
      <c r="E36" s="29">
        <v>8.7449999999999992</v>
      </c>
      <c r="F36" s="30">
        <v>7.2215271725281804E-2</v>
      </c>
      <c r="G36" s="30">
        <v>-7.2400000000000006E-2</v>
      </c>
      <c r="H36" s="29"/>
    </row>
    <row r="37" spans="1:10" x14ac:dyDescent="0.2">
      <c r="A37" s="26" t="s">
        <v>35</v>
      </c>
      <c r="B37" s="26"/>
      <c r="C37" s="26"/>
      <c r="D37" s="32"/>
      <c r="E37" s="33">
        <f>SUM(E7:E36)</f>
        <v>8169.0201075000004</v>
      </c>
      <c r="F37" s="34">
        <f>SUM(F7:F36)</f>
        <v>67.458891571458324</v>
      </c>
      <c r="G37" s="34">
        <f>SUM(G7:G36)</f>
        <v>-30.8171</v>
      </c>
      <c r="H37" s="33"/>
      <c r="I37" s="18"/>
      <c r="J37" s="18"/>
    </row>
    <row r="38" spans="1:10" x14ac:dyDescent="0.2">
      <c r="A38" s="27"/>
      <c r="B38" s="27"/>
      <c r="C38" s="27"/>
      <c r="D38" s="28"/>
      <c r="E38" s="29"/>
      <c r="F38" s="30"/>
      <c r="G38" s="30"/>
      <c r="H38" s="29"/>
    </row>
    <row r="39" spans="1:10" x14ac:dyDescent="0.2">
      <c r="A39" s="26" t="s">
        <v>176</v>
      </c>
      <c r="B39" s="27"/>
      <c r="C39" s="27"/>
      <c r="D39" s="28"/>
      <c r="E39" s="29"/>
      <c r="F39" s="30"/>
      <c r="G39" s="30"/>
      <c r="H39" s="29"/>
    </row>
    <row r="40" spans="1:10" x14ac:dyDescent="0.2">
      <c r="A40" s="27" t="s">
        <v>178</v>
      </c>
      <c r="B40" s="27" t="s">
        <v>177</v>
      </c>
      <c r="C40" s="27" t="s">
        <v>360</v>
      </c>
      <c r="D40" s="31">
        <v>44600</v>
      </c>
      <c r="E40" s="29">
        <v>161.35834</v>
      </c>
      <c r="F40" s="30">
        <v>1.33247985914699</v>
      </c>
      <c r="G40" s="30"/>
      <c r="H40" s="29"/>
    </row>
    <row r="41" spans="1:10" x14ac:dyDescent="0.2">
      <c r="A41" s="26" t="s">
        <v>35</v>
      </c>
      <c r="B41" s="26"/>
      <c r="C41" s="26"/>
      <c r="D41" s="32"/>
      <c r="E41" s="33">
        <f>SUM(E39:E40)</f>
        <v>161.35834</v>
      </c>
      <c r="F41" s="34">
        <f>SUM(F39:F40)</f>
        <v>1.33247985914699</v>
      </c>
      <c r="G41" s="34"/>
      <c r="H41" s="33"/>
      <c r="I41" s="18"/>
      <c r="J41" s="18"/>
    </row>
    <row r="42" spans="1:10" x14ac:dyDescent="0.2">
      <c r="A42" s="27"/>
      <c r="B42" s="27"/>
      <c r="C42" s="27"/>
      <c r="D42" s="28"/>
      <c r="E42" s="29"/>
      <c r="F42" s="30"/>
      <c r="G42" s="30"/>
      <c r="H42" s="29"/>
    </row>
    <row r="43" spans="1:10" x14ac:dyDescent="0.2">
      <c r="A43" s="26" t="s">
        <v>713</v>
      </c>
      <c r="B43" s="27"/>
      <c r="C43" s="27"/>
      <c r="D43" s="28"/>
      <c r="E43" s="29"/>
      <c r="F43" s="30"/>
      <c r="G43" s="30"/>
      <c r="H43" s="29"/>
    </row>
    <row r="44" spans="1:10" x14ac:dyDescent="0.2">
      <c r="A44" s="27" t="s">
        <v>180</v>
      </c>
      <c r="B44" s="27" t="s">
        <v>179</v>
      </c>
      <c r="C44" s="27" t="s">
        <v>142</v>
      </c>
      <c r="D44" s="31">
        <v>49500</v>
      </c>
      <c r="E44" s="29">
        <v>58.885199999999998</v>
      </c>
      <c r="F44" s="30">
        <v>0.48626766364752</v>
      </c>
      <c r="G44" s="30"/>
      <c r="H44" s="29"/>
    </row>
    <row r="45" spans="1:10" x14ac:dyDescent="0.2">
      <c r="A45" s="26" t="s">
        <v>35</v>
      </c>
      <c r="B45" s="26"/>
      <c r="C45" s="26"/>
      <c r="D45" s="32"/>
      <c r="E45" s="33">
        <f>SUM(E43:E44)</f>
        <v>58.885199999999998</v>
      </c>
      <c r="F45" s="34">
        <f>SUM(F43:F44)</f>
        <v>0.48626766364752</v>
      </c>
      <c r="G45" s="34"/>
      <c r="H45" s="33"/>
      <c r="I45" s="18"/>
      <c r="J45" s="18"/>
    </row>
    <row r="46" spans="1:10" x14ac:dyDescent="0.2">
      <c r="A46" s="27"/>
      <c r="B46" s="27"/>
      <c r="C46" s="27"/>
      <c r="D46" s="28"/>
      <c r="E46" s="29"/>
      <c r="F46" s="30"/>
      <c r="G46" s="30"/>
      <c r="H46" s="29"/>
    </row>
    <row r="47" spans="1:10" x14ac:dyDescent="0.2">
      <c r="A47" s="26" t="s">
        <v>62</v>
      </c>
      <c r="B47" s="27"/>
      <c r="C47" s="27"/>
      <c r="D47" s="28"/>
      <c r="E47" s="29"/>
      <c r="F47" s="30"/>
      <c r="G47" s="30"/>
      <c r="H47" s="29"/>
    </row>
    <row r="48" spans="1:10" x14ac:dyDescent="0.2">
      <c r="A48" s="27" t="s">
        <v>79</v>
      </c>
      <c r="B48" s="27" t="s">
        <v>78</v>
      </c>
      <c r="C48" s="27" t="s">
        <v>63</v>
      </c>
      <c r="D48" s="31">
        <v>500000</v>
      </c>
      <c r="E48" s="29">
        <v>492.84899999999999</v>
      </c>
      <c r="F48" s="30">
        <v>4.0698941628969001</v>
      </c>
      <c r="G48" s="30"/>
      <c r="H48" s="29">
        <v>5.5278999999999998</v>
      </c>
    </row>
    <row r="49" spans="1:10" x14ac:dyDescent="0.2">
      <c r="A49" s="27" t="s">
        <v>77</v>
      </c>
      <c r="B49" s="27" t="s">
        <v>76</v>
      </c>
      <c r="C49" s="27" t="s">
        <v>63</v>
      </c>
      <c r="D49" s="31">
        <v>500000</v>
      </c>
      <c r="E49" s="29">
        <v>491.613</v>
      </c>
      <c r="F49" s="30">
        <v>4.0596874075106903</v>
      </c>
      <c r="G49" s="30"/>
      <c r="H49" s="29">
        <v>6.8277999999999999</v>
      </c>
    </row>
    <row r="50" spans="1:10" x14ac:dyDescent="0.2">
      <c r="A50" s="26" t="s">
        <v>35</v>
      </c>
      <c r="B50" s="26"/>
      <c r="C50" s="26"/>
      <c r="D50" s="32"/>
      <c r="E50" s="33">
        <f>SUM(E48:E49)</f>
        <v>984.46199999999999</v>
      </c>
      <c r="F50" s="34">
        <f>SUM(F48:F49)</f>
        <v>8.1295815704075913</v>
      </c>
      <c r="G50" s="34"/>
      <c r="H50" s="33"/>
      <c r="I50" s="18"/>
      <c r="J50" s="18"/>
    </row>
    <row r="51" spans="1:10" x14ac:dyDescent="0.2">
      <c r="A51" s="27"/>
      <c r="B51" s="27"/>
      <c r="C51" s="27"/>
      <c r="D51" s="28"/>
      <c r="E51" s="29"/>
      <c r="F51" s="30"/>
      <c r="G51" s="30"/>
      <c r="H51" s="29"/>
    </row>
    <row r="52" spans="1:10" x14ac:dyDescent="0.2">
      <c r="A52" s="26" t="s">
        <v>37</v>
      </c>
      <c r="B52" s="26"/>
      <c r="C52" s="26"/>
      <c r="D52" s="32"/>
      <c r="E52" s="33">
        <f>E37+E41+E45+E50</f>
        <v>9373.7256475000013</v>
      </c>
      <c r="F52" s="34">
        <f>F37+F41+F45+F50</f>
        <v>77.407220664660429</v>
      </c>
      <c r="G52" s="34"/>
      <c r="H52" s="33"/>
      <c r="I52" s="18"/>
      <c r="J52" s="18"/>
    </row>
    <row r="53" spans="1:10" x14ac:dyDescent="0.2">
      <c r="A53" s="26"/>
      <c r="B53" s="26"/>
      <c r="C53" s="26"/>
      <c r="D53" s="32"/>
      <c r="E53" s="33"/>
      <c r="F53" s="34"/>
      <c r="G53" s="34"/>
      <c r="H53" s="33"/>
      <c r="I53" s="18"/>
      <c r="J53" s="18"/>
    </row>
    <row r="54" spans="1:10" x14ac:dyDescent="0.2">
      <c r="A54" s="26" t="s">
        <v>39</v>
      </c>
      <c r="B54" s="26"/>
      <c r="C54" s="26"/>
      <c r="D54" s="32"/>
      <c r="E54" s="33">
        <f>E56-(E37+E41+E45+E50)</f>
        <v>2735.901292999999</v>
      </c>
      <c r="F54" s="34">
        <f>F56-(F37+F41+F45+F50)</f>
        <v>22.592779335339571</v>
      </c>
      <c r="G54" s="34"/>
      <c r="H54" s="33"/>
      <c r="I54" s="18"/>
      <c r="J54" s="18"/>
    </row>
    <row r="55" spans="1:10" x14ac:dyDescent="0.2">
      <c r="A55" s="26"/>
      <c r="B55" s="26"/>
      <c r="C55" s="26"/>
      <c r="D55" s="32"/>
      <c r="E55" s="33"/>
      <c r="F55" s="34"/>
      <c r="G55" s="34"/>
      <c r="H55" s="33"/>
      <c r="I55" s="18"/>
      <c r="J55" s="18"/>
    </row>
    <row r="56" spans="1:10" x14ac:dyDescent="0.2">
      <c r="A56" s="35" t="s">
        <v>38</v>
      </c>
      <c r="B56" s="35"/>
      <c r="C56" s="35"/>
      <c r="D56" s="36"/>
      <c r="E56" s="37">
        <v>12109.6269405</v>
      </c>
      <c r="F56" s="38">
        <v>100</v>
      </c>
      <c r="G56" s="38"/>
      <c r="H56" s="37"/>
      <c r="I56" s="18"/>
      <c r="J56" s="18"/>
    </row>
    <row r="59" spans="1:10" x14ac:dyDescent="0.2">
      <c r="A59" s="18" t="s">
        <v>41</v>
      </c>
    </row>
    <row r="60" spans="1:10" x14ac:dyDescent="0.2">
      <c r="A60" s="18" t="s">
        <v>42</v>
      </c>
    </row>
    <row r="61" spans="1:10" x14ac:dyDescent="0.2">
      <c r="A61" s="18" t="s">
        <v>43</v>
      </c>
      <c r="B61" s="18"/>
      <c r="C61" s="39" t="s">
        <v>45</v>
      </c>
      <c r="D61" s="19" t="s">
        <v>44</v>
      </c>
    </row>
    <row r="62" spans="1:10" x14ac:dyDescent="0.2">
      <c r="A62" s="9" t="s">
        <v>68</v>
      </c>
      <c r="C62" s="40">
        <v>11.2737</v>
      </c>
      <c r="D62" s="40">
        <v>12.282400000000001</v>
      </c>
    </row>
    <row r="63" spans="1:10" x14ac:dyDescent="0.2">
      <c r="A63" s="9" t="s">
        <v>74</v>
      </c>
      <c r="C63" s="40">
        <v>11.2737</v>
      </c>
      <c r="D63" s="40">
        <v>12.282400000000001</v>
      </c>
    </row>
    <row r="64" spans="1:10" x14ac:dyDescent="0.2">
      <c r="A64" s="9" t="s">
        <v>69</v>
      </c>
      <c r="C64" s="40">
        <v>11.2058</v>
      </c>
      <c r="D64" s="40">
        <v>11.772399999999999</v>
      </c>
    </row>
    <row r="65" spans="1:4" x14ac:dyDescent="0.2">
      <c r="A65" s="9" t="s">
        <v>70</v>
      </c>
      <c r="C65" s="40">
        <v>11.2737</v>
      </c>
      <c r="D65" s="40">
        <v>11.8218</v>
      </c>
    </row>
    <row r="66" spans="1:4" x14ac:dyDescent="0.2">
      <c r="A66" s="9" t="s">
        <v>71</v>
      </c>
      <c r="C66" s="40">
        <v>11.748200000000001</v>
      </c>
      <c r="D66" s="40">
        <v>12.884399999999999</v>
      </c>
    </row>
    <row r="67" spans="1:4" x14ac:dyDescent="0.2">
      <c r="A67" s="9" t="s">
        <v>75</v>
      </c>
      <c r="C67" s="40">
        <v>11.748200000000001</v>
      </c>
      <c r="D67" s="40">
        <v>12.884399999999999</v>
      </c>
    </row>
    <row r="68" spans="1:4" x14ac:dyDescent="0.2">
      <c r="A68" s="9" t="s">
        <v>72</v>
      </c>
      <c r="C68" s="40">
        <v>11.6778</v>
      </c>
      <c r="D68" s="40">
        <v>12.3681</v>
      </c>
    </row>
    <row r="69" spans="1:4" x14ac:dyDescent="0.2">
      <c r="A69" s="9" t="s">
        <v>73</v>
      </c>
      <c r="C69" s="40">
        <v>11.748200000000001</v>
      </c>
      <c r="D69" s="40">
        <v>12.420299999999999</v>
      </c>
    </row>
    <row r="71" spans="1:4" x14ac:dyDescent="0.2">
      <c r="A71" s="18" t="s">
        <v>47</v>
      </c>
    </row>
    <row r="72" spans="1:4" x14ac:dyDescent="0.2">
      <c r="A72" s="74" t="s">
        <v>65</v>
      </c>
      <c r="B72" s="75"/>
      <c r="C72" s="43" t="s">
        <v>66</v>
      </c>
    </row>
    <row r="73" spans="1:4" x14ac:dyDescent="0.2">
      <c r="A73" s="70" t="s">
        <v>69</v>
      </c>
      <c r="B73" s="71"/>
      <c r="C73" s="44">
        <v>0.35699999999999998</v>
      </c>
    </row>
    <row r="74" spans="1:4" x14ac:dyDescent="0.2">
      <c r="A74" s="70" t="s">
        <v>70</v>
      </c>
      <c r="B74" s="71"/>
      <c r="C74" s="44">
        <v>0.44</v>
      </c>
    </row>
    <row r="75" spans="1:4" x14ac:dyDescent="0.2">
      <c r="A75" s="70" t="s">
        <v>72</v>
      </c>
      <c r="B75" s="71"/>
      <c r="C75" s="44">
        <v>0.36399999999999999</v>
      </c>
    </row>
    <row r="76" spans="1:4" x14ac:dyDescent="0.2">
      <c r="A76" s="70" t="s">
        <v>73</v>
      </c>
      <c r="B76" s="71"/>
      <c r="C76" s="44">
        <v>0.44</v>
      </c>
    </row>
    <row r="77" spans="1:4" x14ac:dyDescent="0.2">
      <c r="A77" s="9" t="s">
        <v>67</v>
      </c>
    </row>
    <row r="78" spans="1:4" x14ac:dyDescent="0.2">
      <c r="A78" s="9" t="s">
        <v>46</v>
      </c>
    </row>
    <row r="80" spans="1:4" x14ac:dyDescent="0.2">
      <c r="A80" s="47" t="s">
        <v>717</v>
      </c>
      <c r="B80" s="48"/>
      <c r="C80" s="48"/>
      <c r="D80" s="49" t="s">
        <v>718</v>
      </c>
    </row>
    <row r="82" spans="1:5" x14ac:dyDescent="0.2">
      <c r="A82" s="18" t="s">
        <v>716</v>
      </c>
      <c r="D82" s="42">
        <f>-G37</f>
        <v>30.8171</v>
      </c>
    </row>
    <row r="84" spans="1:5" x14ac:dyDescent="0.2">
      <c r="A84" s="18" t="s">
        <v>1241</v>
      </c>
      <c r="D84" s="45">
        <v>2.3104</v>
      </c>
    </row>
    <row r="86" spans="1:5" x14ac:dyDescent="0.2">
      <c r="A86" s="18" t="s">
        <v>1242</v>
      </c>
      <c r="D86" s="42">
        <v>4.16177127583145</v>
      </c>
      <c r="E86" s="13" t="s">
        <v>49</v>
      </c>
    </row>
    <row r="88" spans="1:5" x14ac:dyDescent="0.2">
      <c r="A88" s="18" t="s">
        <v>1243</v>
      </c>
      <c r="D88" s="41" t="s">
        <v>48</v>
      </c>
    </row>
    <row r="89" spans="1:5" x14ac:dyDescent="0.2">
      <c r="A89" s="18"/>
      <c r="D89" s="41"/>
    </row>
    <row r="90" spans="1:5" x14ac:dyDescent="0.2">
      <c r="A90" s="18" t="s">
        <v>1169</v>
      </c>
    </row>
    <row r="91" spans="1:5" x14ac:dyDescent="0.2">
      <c r="A91" s="50" t="s">
        <v>51</v>
      </c>
    </row>
  </sheetData>
  <mergeCells count="6">
    <mergeCell ref="A76:B76"/>
    <mergeCell ref="A1:H1"/>
    <mergeCell ref="A72:B72"/>
    <mergeCell ref="A73:B73"/>
    <mergeCell ref="A74:B74"/>
    <mergeCell ref="A75:B75"/>
  </mergeCells>
  <conditionalFormatting sqref="F2:G3 F5:G65540">
    <cfRule type="cellIs" dxfId="28" priority="1" stopIfTrue="1" operator="between">
      <formula>0.009</formula>
      <formula>-0.009</formula>
    </cfRule>
  </conditionalFormatting>
  <hyperlinks>
    <hyperlink ref="A91" r:id="rId1"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20"/>
  <sheetViews>
    <sheetView workbookViewId="0">
      <selection sqref="A1:G1"/>
    </sheetView>
  </sheetViews>
  <sheetFormatPr defaultColWidth="9.109375" defaultRowHeight="10.199999999999999" x14ac:dyDescent="0.2"/>
  <cols>
    <col min="1" max="1" width="40.44140625" style="9" bestFit="1" customWidth="1"/>
    <col min="2" max="2" width="51.88671875" style="9" bestFit="1" customWidth="1"/>
    <col min="3" max="3" width="25.109375" style="9" bestFit="1" customWidth="1"/>
    <col min="4" max="4" width="14.664062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2" t="s">
        <v>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95</v>
      </c>
      <c r="B5" s="22"/>
      <c r="C5" s="22"/>
      <c r="D5" s="23"/>
      <c r="E5" s="24"/>
      <c r="F5" s="25"/>
      <c r="G5" s="24"/>
    </row>
    <row r="6" spans="1:7" x14ac:dyDescent="0.2">
      <c r="A6" s="26" t="s">
        <v>32</v>
      </c>
      <c r="B6" s="27"/>
      <c r="C6" s="27"/>
      <c r="D6" s="28"/>
      <c r="E6" s="29"/>
      <c r="F6" s="30"/>
      <c r="G6" s="29"/>
    </row>
    <row r="7" spans="1:7" x14ac:dyDescent="0.2">
      <c r="A7" s="27" t="s">
        <v>97</v>
      </c>
      <c r="B7" s="27" t="s">
        <v>96</v>
      </c>
      <c r="C7" s="27" t="s">
        <v>98</v>
      </c>
      <c r="D7" s="31">
        <v>697784</v>
      </c>
      <c r="E7" s="29">
        <v>11237.811320000001</v>
      </c>
      <c r="F7" s="30">
        <v>7.9193898143959203</v>
      </c>
      <c r="G7" s="29"/>
    </row>
    <row r="8" spans="1:7" x14ac:dyDescent="0.2">
      <c r="A8" s="27" t="s">
        <v>103</v>
      </c>
      <c r="B8" s="27" t="s">
        <v>102</v>
      </c>
      <c r="C8" s="27" t="s">
        <v>101</v>
      </c>
      <c r="D8" s="31">
        <v>1267935</v>
      </c>
      <c r="E8" s="29">
        <v>8988.3912149999996</v>
      </c>
      <c r="F8" s="30">
        <v>6.3342026137414003</v>
      </c>
      <c r="G8" s="29"/>
    </row>
    <row r="9" spans="1:7" x14ac:dyDescent="0.2">
      <c r="A9" s="27" t="s">
        <v>105</v>
      </c>
      <c r="B9" s="27" t="s">
        <v>104</v>
      </c>
      <c r="C9" s="27" t="s">
        <v>101</v>
      </c>
      <c r="D9" s="31">
        <v>1131302</v>
      </c>
      <c r="E9" s="29">
        <v>7721.1361500000003</v>
      </c>
      <c r="F9" s="30">
        <v>5.4411562216791296</v>
      </c>
      <c r="G9" s="29"/>
    </row>
    <row r="10" spans="1:7" x14ac:dyDescent="0.2">
      <c r="A10" s="27" t="s">
        <v>100</v>
      </c>
      <c r="B10" s="27" t="s">
        <v>99</v>
      </c>
      <c r="C10" s="27" t="s">
        <v>101</v>
      </c>
      <c r="D10" s="31">
        <v>483868</v>
      </c>
      <c r="E10" s="29">
        <v>6902.1350860000002</v>
      </c>
      <c r="F10" s="30">
        <v>4.86399857954307</v>
      </c>
      <c r="G10" s="29"/>
    </row>
    <row r="11" spans="1:7" x14ac:dyDescent="0.2">
      <c r="A11" s="27" t="s">
        <v>110</v>
      </c>
      <c r="B11" s="27" t="s">
        <v>109</v>
      </c>
      <c r="C11" s="27" t="s">
        <v>111</v>
      </c>
      <c r="D11" s="31">
        <v>1046271</v>
      </c>
      <c r="E11" s="29">
        <v>5876.3810720000001</v>
      </c>
      <c r="F11" s="30">
        <v>4.1411402168928504</v>
      </c>
      <c r="G11" s="29"/>
    </row>
    <row r="12" spans="1:7" x14ac:dyDescent="0.2">
      <c r="A12" s="27" t="s">
        <v>141</v>
      </c>
      <c r="B12" s="27" t="s">
        <v>140</v>
      </c>
      <c r="C12" s="27" t="s">
        <v>142</v>
      </c>
      <c r="D12" s="31">
        <v>2411692</v>
      </c>
      <c r="E12" s="29">
        <v>4127.610858</v>
      </c>
      <c r="F12" s="30">
        <v>2.9087656355699698</v>
      </c>
      <c r="G12" s="29"/>
    </row>
    <row r="13" spans="1:7" x14ac:dyDescent="0.2">
      <c r="A13" s="27" t="s">
        <v>116</v>
      </c>
      <c r="B13" s="27" t="s">
        <v>115</v>
      </c>
      <c r="C13" s="27" t="s">
        <v>117</v>
      </c>
      <c r="D13" s="31">
        <v>794188</v>
      </c>
      <c r="E13" s="29">
        <v>3532.5482240000001</v>
      </c>
      <c r="F13" s="30">
        <v>2.48941948101759</v>
      </c>
      <c r="G13" s="29"/>
    </row>
    <row r="14" spans="1:7" x14ac:dyDescent="0.2">
      <c r="A14" s="27" t="s">
        <v>127</v>
      </c>
      <c r="B14" s="27" t="s">
        <v>126</v>
      </c>
      <c r="C14" s="27" t="s">
        <v>125</v>
      </c>
      <c r="D14" s="31">
        <v>1016102</v>
      </c>
      <c r="E14" s="29">
        <v>3516.729022</v>
      </c>
      <c r="F14" s="30">
        <v>2.4782715427204098</v>
      </c>
      <c r="G14" s="29"/>
    </row>
    <row r="15" spans="1:7" x14ac:dyDescent="0.2">
      <c r="A15" s="27" t="s">
        <v>132</v>
      </c>
      <c r="B15" s="27" t="s">
        <v>131</v>
      </c>
      <c r="C15" s="27" t="s">
        <v>133</v>
      </c>
      <c r="D15" s="31">
        <v>71688</v>
      </c>
      <c r="E15" s="29">
        <v>3377.3650560000001</v>
      </c>
      <c r="F15" s="30">
        <v>2.3800604639429999</v>
      </c>
      <c r="G15" s="29"/>
    </row>
    <row r="16" spans="1:7" x14ac:dyDescent="0.2">
      <c r="A16" s="27" t="s">
        <v>191</v>
      </c>
      <c r="B16" s="27" t="s">
        <v>190</v>
      </c>
      <c r="C16" s="27" t="s">
        <v>192</v>
      </c>
      <c r="D16" s="31">
        <v>205227</v>
      </c>
      <c r="E16" s="29">
        <v>3286.6077919999998</v>
      </c>
      <c r="F16" s="30">
        <v>2.3161029786607101</v>
      </c>
      <c r="G16" s="29"/>
    </row>
    <row r="17" spans="1:7" x14ac:dyDescent="0.2">
      <c r="A17" s="27" t="s">
        <v>196</v>
      </c>
      <c r="B17" s="27" t="s">
        <v>195</v>
      </c>
      <c r="C17" s="27" t="s">
        <v>98</v>
      </c>
      <c r="D17" s="31">
        <v>243717</v>
      </c>
      <c r="E17" s="29">
        <v>2947.8789740000002</v>
      </c>
      <c r="F17" s="30">
        <v>2.0773976405191599</v>
      </c>
      <c r="G17" s="29"/>
    </row>
    <row r="18" spans="1:7" x14ac:dyDescent="0.2">
      <c r="A18" s="27" t="s">
        <v>137</v>
      </c>
      <c r="B18" s="27" t="s">
        <v>136</v>
      </c>
      <c r="C18" s="27" t="s">
        <v>98</v>
      </c>
      <c r="D18" s="31">
        <v>92416</v>
      </c>
      <c r="E18" s="29">
        <v>2927.2305919999999</v>
      </c>
      <c r="F18" s="30">
        <v>2.06284653430833</v>
      </c>
      <c r="G18" s="29"/>
    </row>
    <row r="19" spans="1:7" x14ac:dyDescent="0.2">
      <c r="A19" s="27" t="s">
        <v>135</v>
      </c>
      <c r="B19" s="27" t="s">
        <v>134</v>
      </c>
      <c r="C19" s="27" t="s">
        <v>101</v>
      </c>
      <c r="D19" s="31">
        <v>615662</v>
      </c>
      <c r="E19" s="29">
        <v>2658.4285159999999</v>
      </c>
      <c r="F19" s="30">
        <v>1.87341921949176</v>
      </c>
      <c r="G19" s="29"/>
    </row>
    <row r="20" spans="1:7" x14ac:dyDescent="0.2">
      <c r="A20" s="27" t="s">
        <v>211</v>
      </c>
      <c r="B20" s="27" t="s">
        <v>210</v>
      </c>
      <c r="C20" s="27" t="s">
        <v>130</v>
      </c>
      <c r="D20" s="31">
        <v>2568360</v>
      </c>
      <c r="E20" s="29">
        <v>2649.26334</v>
      </c>
      <c r="F20" s="30">
        <v>1.8669604350011899</v>
      </c>
      <c r="G20" s="29"/>
    </row>
    <row r="21" spans="1:7" x14ac:dyDescent="0.2">
      <c r="A21" s="27" t="s">
        <v>198</v>
      </c>
      <c r="B21" s="27" t="s">
        <v>197</v>
      </c>
      <c r="C21" s="27" t="s">
        <v>199</v>
      </c>
      <c r="D21" s="31">
        <v>921918</v>
      </c>
      <c r="E21" s="29">
        <v>2474.8888710000001</v>
      </c>
      <c r="F21" s="30">
        <v>1.7440771302039599</v>
      </c>
      <c r="G21" s="29"/>
    </row>
    <row r="22" spans="1:7" x14ac:dyDescent="0.2">
      <c r="A22" s="27" t="s">
        <v>124</v>
      </c>
      <c r="B22" s="27" t="s">
        <v>123</v>
      </c>
      <c r="C22" s="27" t="s">
        <v>125</v>
      </c>
      <c r="D22" s="31">
        <v>1103354</v>
      </c>
      <c r="E22" s="29">
        <v>2408.0701049999998</v>
      </c>
      <c r="F22" s="30">
        <v>1.6969893263778599</v>
      </c>
      <c r="G22" s="29"/>
    </row>
    <row r="23" spans="1:7" x14ac:dyDescent="0.2">
      <c r="A23" s="27" t="s">
        <v>107</v>
      </c>
      <c r="B23" s="27" t="s">
        <v>106</v>
      </c>
      <c r="C23" s="27" t="s">
        <v>108</v>
      </c>
      <c r="D23" s="31">
        <v>99000</v>
      </c>
      <c r="E23" s="29">
        <v>2350.1115</v>
      </c>
      <c r="F23" s="30">
        <v>1.6561453601442699</v>
      </c>
      <c r="G23" s="29"/>
    </row>
    <row r="24" spans="1:7" x14ac:dyDescent="0.2">
      <c r="A24" s="27" t="s">
        <v>201</v>
      </c>
      <c r="B24" s="27" t="s">
        <v>200</v>
      </c>
      <c r="C24" s="27" t="s">
        <v>202</v>
      </c>
      <c r="D24" s="31">
        <v>1583382</v>
      </c>
      <c r="E24" s="29">
        <v>2297.4872820000001</v>
      </c>
      <c r="F24" s="30">
        <v>1.61906058588061</v>
      </c>
      <c r="G24" s="29"/>
    </row>
    <row r="25" spans="1:7" x14ac:dyDescent="0.2">
      <c r="A25" s="27" t="s">
        <v>207</v>
      </c>
      <c r="B25" s="27" t="s">
        <v>206</v>
      </c>
      <c r="C25" s="27" t="s">
        <v>185</v>
      </c>
      <c r="D25" s="31">
        <v>345421</v>
      </c>
      <c r="E25" s="29">
        <v>2286.3415989999999</v>
      </c>
      <c r="F25" s="30">
        <v>1.6112061197473699</v>
      </c>
      <c r="G25" s="29"/>
    </row>
    <row r="26" spans="1:7" x14ac:dyDescent="0.2">
      <c r="A26" s="27" t="s">
        <v>209</v>
      </c>
      <c r="B26" s="27" t="s">
        <v>208</v>
      </c>
      <c r="C26" s="27" t="s">
        <v>185</v>
      </c>
      <c r="D26" s="31">
        <v>336933</v>
      </c>
      <c r="E26" s="29">
        <v>2259.8096310000001</v>
      </c>
      <c r="F26" s="30">
        <v>1.5925087959401001</v>
      </c>
      <c r="G26" s="29"/>
    </row>
    <row r="27" spans="1:7" x14ac:dyDescent="0.2">
      <c r="A27" s="27" t="s">
        <v>139</v>
      </c>
      <c r="B27" s="27" t="s">
        <v>138</v>
      </c>
      <c r="C27" s="27" t="s">
        <v>122</v>
      </c>
      <c r="D27" s="31">
        <v>95579</v>
      </c>
      <c r="E27" s="29">
        <v>2230.1448070000001</v>
      </c>
      <c r="F27" s="30">
        <v>1.5716037194673</v>
      </c>
      <c r="G27" s="29"/>
    </row>
    <row r="28" spans="1:7" x14ac:dyDescent="0.2">
      <c r="A28" s="27" t="s">
        <v>113</v>
      </c>
      <c r="B28" s="27" t="s">
        <v>112</v>
      </c>
      <c r="C28" s="27" t="s">
        <v>114</v>
      </c>
      <c r="D28" s="31">
        <v>204626</v>
      </c>
      <c r="E28" s="29">
        <v>2167.398592</v>
      </c>
      <c r="F28" s="30">
        <v>1.52738588008442</v>
      </c>
      <c r="G28" s="29"/>
    </row>
    <row r="29" spans="1:7" x14ac:dyDescent="0.2">
      <c r="A29" s="27" t="s">
        <v>144</v>
      </c>
      <c r="B29" s="27" t="s">
        <v>143</v>
      </c>
      <c r="C29" s="27" t="s">
        <v>142</v>
      </c>
      <c r="D29" s="31">
        <v>1753370</v>
      </c>
      <c r="E29" s="29">
        <v>2072.4833400000002</v>
      </c>
      <c r="F29" s="30">
        <v>1.4604982221129901</v>
      </c>
      <c r="G29" s="29"/>
    </row>
    <row r="30" spans="1:7" x14ac:dyDescent="0.2">
      <c r="A30" s="27" t="s">
        <v>146</v>
      </c>
      <c r="B30" s="27" t="s">
        <v>145</v>
      </c>
      <c r="C30" s="27" t="s">
        <v>122</v>
      </c>
      <c r="D30" s="31">
        <v>128251</v>
      </c>
      <c r="E30" s="29">
        <v>1832.193786</v>
      </c>
      <c r="F30" s="30">
        <v>1.2911639458677</v>
      </c>
      <c r="G30" s="29"/>
    </row>
    <row r="31" spans="1:7" x14ac:dyDescent="0.2">
      <c r="A31" s="27" t="s">
        <v>222</v>
      </c>
      <c r="B31" s="27" t="s">
        <v>221</v>
      </c>
      <c r="C31" s="27" t="s">
        <v>142</v>
      </c>
      <c r="D31" s="31">
        <v>6797235</v>
      </c>
      <c r="E31" s="29">
        <v>1784.2741880000001</v>
      </c>
      <c r="F31" s="30">
        <v>1.25739456093099</v>
      </c>
      <c r="G31" s="29"/>
    </row>
    <row r="32" spans="1:7" x14ac:dyDescent="0.2">
      <c r="A32" s="27" t="s">
        <v>160</v>
      </c>
      <c r="B32" s="27" t="s">
        <v>159</v>
      </c>
      <c r="C32" s="27" t="s">
        <v>101</v>
      </c>
      <c r="D32" s="31">
        <v>999697</v>
      </c>
      <c r="E32" s="29">
        <v>1502.0447429999999</v>
      </c>
      <c r="F32" s="30">
        <v>1.0585048547052101</v>
      </c>
      <c r="G32" s="29"/>
    </row>
    <row r="33" spans="1:9" x14ac:dyDescent="0.2">
      <c r="A33" s="27" t="s">
        <v>155</v>
      </c>
      <c r="B33" s="27" t="s">
        <v>154</v>
      </c>
      <c r="C33" s="27" t="s">
        <v>156</v>
      </c>
      <c r="D33" s="31">
        <v>649104</v>
      </c>
      <c r="E33" s="29">
        <v>1455.61572</v>
      </c>
      <c r="F33" s="30">
        <v>1.0257858917889899</v>
      </c>
      <c r="G33" s="29"/>
    </row>
    <row r="34" spans="1:9" x14ac:dyDescent="0.2">
      <c r="A34" s="27" t="s">
        <v>224</v>
      </c>
      <c r="B34" s="27" t="s">
        <v>223</v>
      </c>
      <c r="C34" s="27" t="s">
        <v>114</v>
      </c>
      <c r="D34" s="31">
        <v>72561</v>
      </c>
      <c r="E34" s="29">
        <v>1244.0946260000001</v>
      </c>
      <c r="F34" s="30">
        <v>0.87672501599618402</v>
      </c>
      <c r="G34" s="29"/>
    </row>
    <row r="35" spans="1:9" x14ac:dyDescent="0.2">
      <c r="A35" s="27" t="s">
        <v>148</v>
      </c>
      <c r="B35" s="27" t="s">
        <v>147</v>
      </c>
      <c r="C35" s="27" t="s">
        <v>149</v>
      </c>
      <c r="D35" s="31">
        <v>146320</v>
      </c>
      <c r="E35" s="29">
        <v>1087.3039200000001</v>
      </c>
      <c r="F35" s="30">
        <v>0.76623315199073405</v>
      </c>
      <c r="G35" s="29"/>
    </row>
    <row r="36" spans="1:9" x14ac:dyDescent="0.2">
      <c r="A36" s="27" t="s">
        <v>204</v>
      </c>
      <c r="B36" s="27" t="s">
        <v>203</v>
      </c>
      <c r="C36" s="27" t="s">
        <v>205</v>
      </c>
      <c r="D36" s="31">
        <v>377910</v>
      </c>
      <c r="E36" s="29">
        <v>1017.522675</v>
      </c>
      <c r="F36" s="30">
        <v>0.71705766175044505</v>
      </c>
      <c r="G36" s="29"/>
    </row>
    <row r="37" spans="1:9" x14ac:dyDescent="0.2">
      <c r="A37" s="27" t="s">
        <v>158</v>
      </c>
      <c r="B37" s="27" t="s">
        <v>157</v>
      </c>
      <c r="C37" s="27" t="s">
        <v>133</v>
      </c>
      <c r="D37" s="31">
        <v>73630</v>
      </c>
      <c r="E37" s="29">
        <v>431.54543000000001</v>
      </c>
      <c r="F37" s="30">
        <v>0.30411406505008898</v>
      </c>
      <c r="G37" s="29"/>
    </row>
    <row r="38" spans="1:9" x14ac:dyDescent="0.2">
      <c r="A38" s="27" t="s">
        <v>129</v>
      </c>
      <c r="B38" s="27" t="s">
        <v>128</v>
      </c>
      <c r="C38" s="27" t="s">
        <v>130</v>
      </c>
      <c r="D38" s="31">
        <v>162218</v>
      </c>
      <c r="E38" s="29">
        <v>423.63230700000003</v>
      </c>
      <c r="F38" s="30">
        <v>0.29853761391545097</v>
      </c>
      <c r="G38" s="29"/>
    </row>
    <row r="39" spans="1:9" x14ac:dyDescent="0.2">
      <c r="A39" s="27" t="s">
        <v>162</v>
      </c>
      <c r="B39" s="27" t="s">
        <v>161</v>
      </c>
      <c r="C39" s="27" t="s">
        <v>149</v>
      </c>
      <c r="D39" s="31">
        <v>101483</v>
      </c>
      <c r="E39" s="29">
        <v>298.3092785</v>
      </c>
      <c r="F39" s="30">
        <v>0.21022131395712901</v>
      </c>
      <c r="G39" s="29"/>
    </row>
    <row r="40" spans="1:9" x14ac:dyDescent="0.2">
      <c r="A40" s="27" t="s">
        <v>163</v>
      </c>
      <c r="B40" s="27" t="s">
        <v>1239</v>
      </c>
      <c r="C40" s="27" t="s">
        <v>156</v>
      </c>
      <c r="D40" s="31">
        <v>75869</v>
      </c>
      <c r="E40" s="29">
        <v>170.13623250000001</v>
      </c>
      <c r="F40" s="30">
        <v>0.119896580246214</v>
      </c>
      <c r="G40" s="29"/>
    </row>
    <row r="41" spans="1:9" x14ac:dyDescent="0.2">
      <c r="A41" s="26" t="s">
        <v>35</v>
      </c>
      <c r="B41" s="26"/>
      <c r="C41" s="26"/>
      <c r="D41" s="32"/>
      <c r="E41" s="33">
        <f>SUM(E7:E40)</f>
        <v>101542.92585000006</v>
      </c>
      <c r="F41" s="34">
        <f>SUM(F7:F40)</f>
        <v>71.5582411736425</v>
      </c>
      <c r="G41" s="33"/>
      <c r="H41" s="18"/>
      <c r="I41" s="18"/>
    </row>
    <row r="42" spans="1:9" x14ac:dyDescent="0.2">
      <c r="A42" s="27"/>
      <c r="B42" s="27"/>
      <c r="C42" s="27"/>
      <c r="D42" s="28"/>
      <c r="E42" s="29"/>
      <c r="F42" s="30"/>
      <c r="G42" s="29"/>
    </row>
    <row r="43" spans="1:9" x14ac:dyDescent="0.2">
      <c r="A43" s="26" t="s">
        <v>225</v>
      </c>
      <c r="B43" s="27"/>
      <c r="C43" s="27"/>
      <c r="D43" s="28"/>
      <c r="E43" s="29"/>
      <c r="F43" s="30"/>
      <c r="G43" s="29"/>
    </row>
    <row r="44" spans="1:9" x14ac:dyDescent="0.2">
      <c r="A44" s="27" t="s">
        <v>226</v>
      </c>
      <c r="B44" s="27" t="s">
        <v>720</v>
      </c>
      <c r="C44" s="27" t="s">
        <v>227</v>
      </c>
      <c r="D44" s="31">
        <v>270000</v>
      </c>
      <c r="E44" s="29">
        <v>2.7E-2</v>
      </c>
      <c r="F44" s="30">
        <v>1.9027150296441301E-5</v>
      </c>
      <c r="G44" s="29"/>
    </row>
    <row r="45" spans="1:9" x14ac:dyDescent="0.2">
      <c r="A45" s="27"/>
      <c r="B45" s="27" t="s">
        <v>721</v>
      </c>
      <c r="C45" s="27" t="s">
        <v>185</v>
      </c>
      <c r="D45" s="31">
        <v>27500</v>
      </c>
      <c r="E45" s="29">
        <v>2.7499999999999998E-3</v>
      </c>
      <c r="F45" s="30">
        <v>1.9379504931560601E-6</v>
      </c>
      <c r="G45" s="29"/>
    </row>
    <row r="46" spans="1:9" x14ac:dyDescent="0.2">
      <c r="A46" s="26" t="s">
        <v>35</v>
      </c>
      <c r="B46" s="26"/>
      <c r="C46" s="26"/>
      <c r="D46" s="32"/>
      <c r="E46" s="33">
        <f>SUM(E43:E45)</f>
        <v>2.9749999999999999E-2</v>
      </c>
      <c r="F46" s="34">
        <f>SUM(F43:F45)</f>
        <v>2.0965100789597361E-5</v>
      </c>
      <c r="G46" s="33"/>
      <c r="H46" s="18"/>
      <c r="I46" s="18"/>
    </row>
    <row r="47" spans="1:9" x14ac:dyDescent="0.2">
      <c r="A47" s="27"/>
      <c r="B47" s="27"/>
      <c r="C47" s="27"/>
      <c r="D47" s="28"/>
      <c r="E47" s="29"/>
      <c r="F47" s="30"/>
      <c r="G47" s="29"/>
    </row>
    <row r="48" spans="1:9" x14ac:dyDescent="0.2">
      <c r="A48" s="26" t="s">
        <v>228</v>
      </c>
      <c r="B48" s="27"/>
      <c r="C48" s="27"/>
      <c r="D48" s="28"/>
      <c r="E48" s="29"/>
      <c r="F48" s="30"/>
      <c r="G48" s="29"/>
    </row>
    <row r="49" spans="1:9" x14ac:dyDescent="0.2">
      <c r="A49" s="27" t="s">
        <v>178</v>
      </c>
      <c r="B49" s="27" t="s">
        <v>177</v>
      </c>
      <c r="C49" s="27" t="s">
        <v>360</v>
      </c>
      <c r="D49" s="31">
        <v>1053600</v>
      </c>
      <c r="E49" s="29">
        <v>3811.8194400000002</v>
      </c>
      <c r="F49" s="30">
        <v>2.6862244958435899</v>
      </c>
      <c r="G49" s="29"/>
    </row>
    <row r="50" spans="1:9" x14ac:dyDescent="0.2">
      <c r="A50" s="27" t="s">
        <v>230</v>
      </c>
      <c r="B50" s="27" t="s">
        <v>229</v>
      </c>
      <c r="C50" s="27" t="s">
        <v>360</v>
      </c>
      <c r="D50" s="31">
        <v>151400</v>
      </c>
      <c r="E50" s="29">
        <v>399.96852000000001</v>
      </c>
      <c r="F50" s="30">
        <v>0.28186152384759999</v>
      </c>
      <c r="G50" s="29"/>
    </row>
    <row r="51" spans="1:9" x14ac:dyDescent="0.2">
      <c r="A51" s="26" t="s">
        <v>35</v>
      </c>
      <c r="B51" s="26"/>
      <c r="C51" s="26"/>
      <c r="D51" s="32"/>
      <c r="E51" s="33">
        <f>SUM(E48:E50)</f>
        <v>4211.7879600000006</v>
      </c>
      <c r="F51" s="34">
        <f>SUM(F48:F50)</f>
        <v>2.96808601969119</v>
      </c>
      <c r="G51" s="33"/>
      <c r="H51" s="18"/>
      <c r="I51" s="18"/>
    </row>
    <row r="52" spans="1:9" x14ac:dyDescent="0.2">
      <c r="A52" s="27"/>
      <c r="B52" s="27"/>
      <c r="C52" s="27"/>
      <c r="D52" s="28"/>
      <c r="E52" s="29"/>
      <c r="F52" s="30"/>
      <c r="G52" s="29"/>
    </row>
    <row r="53" spans="1:9" x14ac:dyDescent="0.2">
      <c r="A53" s="26" t="s">
        <v>719</v>
      </c>
      <c r="B53" s="27"/>
      <c r="C53" s="27"/>
      <c r="D53" s="28"/>
      <c r="E53" s="29"/>
      <c r="F53" s="30"/>
      <c r="G53" s="29"/>
    </row>
    <row r="54" spans="1:9" x14ac:dyDescent="0.2">
      <c r="A54" s="27" t="s">
        <v>180</v>
      </c>
      <c r="B54" s="27" t="s">
        <v>179</v>
      </c>
      <c r="C54" s="27" t="s">
        <v>142</v>
      </c>
      <c r="D54" s="31">
        <v>569800</v>
      </c>
      <c r="E54" s="29">
        <v>677.83407999999997</v>
      </c>
      <c r="F54" s="30">
        <v>0.47767595985963102</v>
      </c>
      <c r="G54" s="29"/>
    </row>
    <row r="55" spans="1:9" x14ac:dyDescent="0.2">
      <c r="A55" s="26" t="s">
        <v>35</v>
      </c>
      <c r="B55" s="26"/>
      <c r="C55" s="26"/>
      <c r="D55" s="32"/>
      <c r="E55" s="33">
        <f>SUM(E53:E54)</f>
        <v>677.83407999999997</v>
      </c>
      <c r="F55" s="34">
        <f>SUM(F53:F54)</f>
        <v>0.47767595985963102</v>
      </c>
      <c r="G55" s="33"/>
      <c r="H55" s="18"/>
      <c r="I55" s="18"/>
    </row>
    <row r="56" spans="1:9" x14ac:dyDescent="0.2">
      <c r="A56" s="27"/>
      <c r="B56" s="27"/>
      <c r="C56" s="27"/>
      <c r="D56" s="28"/>
      <c r="E56" s="29"/>
      <c r="F56" s="30"/>
      <c r="G56" s="29"/>
    </row>
    <row r="57" spans="1:9" x14ac:dyDescent="0.2">
      <c r="A57" s="26" t="s">
        <v>31</v>
      </c>
      <c r="B57" s="27"/>
      <c r="C57" s="27"/>
      <c r="D57" s="28"/>
      <c r="E57" s="29"/>
      <c r="F57" s="30"/>
      <c r="G57" s="29"/>
    </row>
    <row r="58" spans="1:9" x14ac:dyDescent="0.2">
      <c r="A58" s="26" t="s">
        <v>32</v>
      </c>
      <c r="B58" s="27"/>
      <c r="C58" s="27"/>
      <c r="D58" s="28"/>
      <c r="E58" s="29"/>
      <c r="F58" s="30"/>
      <c r="G58" s="29"/>
    </row>
    <row r="59" spans="1:9" x14ac:dyDescent="0.2">
      <c r="A59" s="27" t="s">
        <v>91</v>
      </c>
      <c r="B59" s="27" t="s">
        <v>90</v>
      </c>
      <c r="C59" s="27" t="s">
        <v>33</v>
      </c>
      <c r="D59" s="31">
        <v>450</v>
      </c>
      <c r="E59" s="29">
        <v>4569.9930000000004</v>
      </c>
      <c r="F59" s="30">
        <v>3.2205164320253599</v>
      </c>
      <c r="G59" s="29">
        <v>8.2774000000000001</v>
      </c>
    </row>
    <row r="60" spans="1:9" x14ac:dyDescent="0.2">
      <c r="A60" s="27" t="s">
        <v>232</v>
      </c>
      <c r="B60" s="27" t="s">
        <v>231</v>
      </c>
      <c r="C60" s="27" t="s">
        <v>33</v>
      </c>
      <c r="D60" s="31">
        <v>83</v>
      </c>
      <c r="E60" s="29">
        <v>835.13271999999995</v>
      </c>
      <c r="F60" s="30">
        <v>0.58852576966354997</v>
      </c>
      <c r="G60" s="29">
        <v>7.0374999999999996</v>
      </c>
    </row>
    <row r="61" spans="1:9" x14ac:dyDescent="0.2">
      <c r="A61" s="27" t="s">
        <v>165</v>
      </c>
      <c r="B61" s="27" t="s">
        <v>164</v>
      </c>
      <c r="C61" s="27" t="s">
        <v>34</v>
      </c>
      <c r="D61" s="31">
        <v>50</v>
      </c>
      <c r="E61" s="29">
        <v>518.01800000000003</v>
      </c>
      <c r="F61" s="30">
        <v>0.36505208675044198</v>
      </c>
      <c r="G61" s="29">
        <v>4.7249999999999996</v>
      </c>
    </row>
    <row r="62" spans="1:9" x14ac:dyDescent="0.2">
      <c r="A62" s="26" t="s">
        <v>35</v>
      </c>
      <c r="B62" s="26"/>
      <c r="C62" s="26"/>
      <c r="D62" s="32"/>
      <c r="E62" s="33">
        <f>SUM(E58:E61)</f>
        <v>5923.14372</v>
      </c>
      <c r="F62" s="34">
        <f>SUM(F58:F61)</f>
        <v>4.1740942884393517</v>
      </c>
      <c r="G62" s="33"/>
      <c r="H62" s="18"/>
      <c r="I62" s="18"/>
    </row>
    <row r="63" spans="1:9" x14ac:dyDescent="0.2">
      <c r="A63" s="27"/>
      <c r="B63" s="27"/>
      <c r="C63" s="27"/>
      <c r="D63" s="28"/>
      <c r="E63" s="29"/>
      <c r="F63" s="30"/>
      <c r="G63" s="29"/>
    </row>
    <row r="64" spans="1:9" x14ac:dyDescent="0.2">
      <c r="A64" s="26" t="s">
        <v>52</v>
      </c>
      <c r="B64" s="27"/>
      <c r="C64" s="27"/>
      <c r="D64" s="28"/>
      <c r="E64" s="29"/>
      <c r="F64" s="30"/>
      <c r="G64" s="29"/>
    </row>
    <row r="65" spans="1:9" x14ac:dyDescent="0.2">
      <c r="A65" s="26" t="s">
        <v>53</v>
      </c>
      <c r="B65" s="27"/>
      <c r="C65" s="27"/>
      <c r="D65" s="28"/>
      <c r="E65" s="29"/>
      <c r="F65" s="30"/>
      <c r="G65" s="29"/>
    </row>
    <row r="66" spans="1:9" x14ac:dyDescent="0.2">
      <c r="A66" s="27" t="s">
        <v>182</v>
      </c>
      <c r="B66" s="27" t="s">
        <v>181</v>
      </c>
      <c r="C66" s="27" t="s">
        <v>55</v>
      </c>
      <c r="D66" s="31">
        <v>2500</v>
      </c>
      <c r="E66" s="29">
        <v>2450.3000000000002</v>
      </c>
      <c r="F66" s="30">
        <v>1.72674912486556</v>
      </c>
      <c r="G66" s="29">
        <v>3.665</v>
      </c>
    </row>
    <row r="67" spans="1:9" x14ac:dyDescent="0.2">
      <c r="A67" s="26" t="s">
        <v>35</v>
      </c>
      <c r="B67" s="26"/>
      <c r="C67" s="26"/>
      <c r="D67" s="32"/>
      <c r="E67" s="33">
        <f>SUM(E65:E66)</f>
        <v>2450.3000000000002</v>
      </c>
      <c r="F67" s="34">
        <f>SUM(F65:F66)</f>
        <v>1.72674912486556</v>
      </c>
      <c r="G67" s="33"/>
      <c r="H67" s="18"/>
      <c r="I67" s="18"/>
    </row>
    <row r="68" spans="1:9" x14ac:dyDescent="0.2">
      <c r="A68" s="27"/>
      <c r="B68" s="27"/>
      <c r="C68" s="27"/>
      <c r="D68" s="28"/>
      <c r="E68" s="29"/>
      <c r="F68" s="30"/>
      <c r="G68" s="29"/>
    </row>
    <row r="69" spans="1:9" x14ac:dyDescent="0.2">
      <c r="A69" s="26" t="s">
        <v>56</v>
      </c>
      <c r="B69" s="27"/>
      <c r="C69" s="27"/>
      <c r="D69" s="28"/>
      <c r="E69" s="29"/>
      <c r="F69" s="30"/>
      <c r="G69" s="29"/>
    </row>
    <row r="70" spans="1:9" x14ac:dyDescent="0.2">
      <c r="A70" s="27" t="s">
        <v>58</v>
      </c>
      <c r="B70" s="27" t="s">
        <v>57</v>
      </c>
      <c r="C70" s="27" t="s">
        <v>59</v>
      </c>
      <c r="D70" s="31">
        <v>1000</v>
      </c>
      <c r="E70" s="29">
        <v>4891.1949999999997</v>
      </c>
      <c r="F70" s="30">
        <v>3.44687045904453</v>
      </c>
      <c r="G70" s="29">
        <v>3.83</v>
      </c>
    </row>
    <row r="71" spans="1:9" x14ac:dyDescent="0.2">
      <c r="A71" s="27" t="s">
        <v>61</v>
      </c>
      <c r="B71" s="27" t="s">
        <v>60</v>
      </c>
      <c r="C71" s="27" t="s">
        <v>54</v>
      </c>
      <c r="D71" s="31">
        <v>500</v>
      </c>
      <c r="E71" s="29">
        <v>2482.59</v>
      </c>
      <c r="F71" s="30">
        <v>1.74950418720157</v>
      </c>
      <c r="G71" s="29">
        <v>3.71</v>
      </c>
    </row>
    <row r="72" spans="1:9" x14ac:dyDescent="0.2">
      <c r="A72" s="26" t="s">
        <v>35</v>
      </c>
      <c r="B72" s="26"/>
      <c r="C72" s="26"/>
      <c r="D72" s="32"/>
      <c r="E72" s="33">
        <f>SUM(E69:E71)</f>
        <v>7373.7849999999999</v>
      </c>
      <c r="F72" s="34">
        <f>SUM(F69:F71)</f>
        <v>5.1963746462460998</v>
      </c>
      <c r="G72" s="33"/>
      <c r="H72" s="18"/>
      <c r="I72" s="18"/>
    </row>
    <row r="73" spans="1:9" x14ac:dyDescent="0.2">
      <c r="A73" s="27"/>
      <c r="B73" s="27"/>
      <c r="C73" s="27"/>
      <c r="D73" s="28"/>
      <c r="E73" s="29"/>
      <c r="F73" s="30"/>
      <c r="G73" s="29"/>
    </row>
    <row r="74" spans="1:9" x14ac:dyDescent="0.2">
      <c r="A74" s="26" t="s">
        <v>62</v>
      </c>
      <c r="B74" s="27"/>
      <c r="C74" s="27"/>
      <c r="D74" s="28"/>
      <c r="E74" s="29"/>
      <c r="F74" s="30"/>
      <c r="G74" s="29"/>
    </row>
    <row r="75" spans="1:9" x14ac:dyDescent="0.2">
      <c r="A75" s="27" t="s">
        <v>79</v>
      </c>
      <c r="B75" s="27" t="s">
        <v>78</v>
      </c>
      <c r="C75" s="27" t="s">
        <v>63</v>
      </c>
      <c r="D75" s="31">
        <v>10000000</v>
      </c>
      <c r="E75" s="29">
        <v>9856.98</v>
      </c>
      <c r="F75" s="30">
        <v>6.9463051825561601</v>
      </c>
      <c r="G75" s="29">
        <v>5.5278999999999998</v>
      </c>
    </row>
    <row r="76" spans="1:9" x14ac:dyDescent="0.2">
      <c r="A76" s="27" t="s">
        <v>85</v>
      </c>
      <c r="B76" s="27" t="s">
        <v>84</v>
      </c>
      <c r="C76" s="27" t="s">
        <v>63</v>
      </c>
      <c r="D76" s="31">
        <v>2000000</v>
      </c>
      <c r="E76" s="29">
        <v>2114.846</v>
      </c>
      <c r="F76" s="30">
        <v>1.4903515813269499</v>
      </c>
      <c r="G76" s="29">
        <v>5.8490000000000002</v>
      </c>
    </row>
    <row r="77" spans="1:9" x14ac:dyDescent="0.2">
      <c r="A77" s="27" t="s">
        <v>77</v>
      </c>
      <c r="B77" s="27" t="s">
        <v>76</v>
      </c>
      <c r="C77" s="27" t="s">
        <v>63</v>
      </c>
      <c r="D77" s="31">
        <v>1500000</v>
      </c>
      <c r="E77" s="29">
        <v>1474.8389999999999</v>
      </c>
      <c r="F77" s="30">
        <v>1.0393327154093801</v>
      </c>
      <c r="G77" s="29">
        <v>6.8277999999999999</v>
      </c>
    </row>
    <row r="78" spans="1:9" x14ac:dyDescent="0.2">
      <c r="A78" s="27" t="s">
        <v>83</v>
      </c>
      <c r="B78" s="27" t="s">
        <v>82</v>
      </c>
      <c r="C78" s="27" t="s">
        <v>63</v>
      </c>
      <c r="D78" s="31">
        <v>970000</v>
      </c>
      <c r="E78" s="29">
        <v>1015.9673299999999</v>
      </c>
      <c r="F78" s="30">
        <v>0.71596159571052598</v>
      </c>
      <c r="G78" s="29">
        <v>6.2632000000000003</v>
      </c>
    </row>
    <row r="79" spans="1:9" x14ac:dyDescent="0.2">
      <c r="A79" s="27" t="s">
        <v>81</v>
      </c>
      <c r="B79" s="27" t="s">
        <v>80</v>
      </c>
      <c r="C79" s="27" t="s">
        <v>63</v>
      </c>
      <c r="D79" s="31">
        <v>900000</v>
      </c>
      <c r="E79" s="29">
        <v>930.04830000000004</v>
      </c>
      <c r="F79" s="30">
        <v>0.65541365877962099</v>
      </c>
      <c r="G79" s="29">
        <v>6.0945999999999998</v>
      </c>
    </row>
    <row r="80" spans="1:9" x14ac:dyDescent="0.2">
      <c r="A80" s="27" t="s">
        <v>167</v>
      </c>
      <c r="B80" s="27" t="s">
        <v>166</v>
      </c>
      <c r="C80" s="27" t="s">
        <v>63</v>
      </c>
      <c r="D80" s="31">
        <v>300000</v>
      </c>
      <c r="E80" s="29">
        <v>310.36619999999999</v>
      </c>
      <c r="F80" s="30">
        <v>0.218717938308717</v>
      </c>
      <c r="G80" s="29">
        <v>5.0149999999999997</v>
      </c>
    </row>
    <row r="81" spans="1:9" x14ac:dyDescent="0.2">
      <c r="A81" s="27" t="s">
        <v>93</v>
      </c>
      <c r="B81" s="27" t="s">
        <v>92</v>
      </c>
      <c r="C81" s="27" t="s">
        <v>63</v>
      </c>
      <c r="D81" s="31">
        <v>100000</v>
      </c>
      <c r="E81" s="29">
        <v>106.2529</v>
      </c>
      <c r="F81" s="30">
        <v>7.4877403619731497E-2</v>
      </c>
      <c r="G81" s="29">
        <v>4.6364000000000001</v>
      </c>
    </row>
    <row r="82" spans="1:9" x14ac:dyDescent="0.2">
      <c r="A82" s="27" t="s">
        <v>87</v>
      </c>
      <c r="B82" s="27" t="s">
        <v>86</v>
      </c>
      <c r="C82" s="27" t="s">
        <v>63</v>
      </c>
      <c r="D82" s="31">
        <v>100000</v>
      </c>
      <c r="E82" s="29">
        <v>99.237799999999993</v>
      </c>
      <c r="F82" s="30">
        <v>6.9933797618080898E-2</v>
      </c>
      <c r="G82" s="29">
        <v>5.4389000000000003</v>
      </c>
    </row>
    <row r="83" spans="1:9" x14ac:dyDescent="0.2">
      <c r="A83" s="26" t="s">
        <v>35</v>
      </c>
      <c r="B83" s="26"/>
      <c r="C83" s="26"/>
      <c r="D83" s="32"/>
      <c r="E83" s="33">
        <f>SUM(E75:E82)</f>
        <v>15908.53753</v>
      </c>
      <c r="F83" s="34">
        <f>SUM(F75:F82)</f>
        <v>11.210893873329168</v>
      </c>
      <c r="G83" s="33"/>
      <c r="H83" s="18"/>
      <c r="I83" s="18"/>
    </row>
    <row r="84" spans="1:9" x14ac:dyDescent="0.2">
      <c r="A84" s="27"/>
      <c r="B84" s="27"/>
      <c r="C84" s="27"/>
      <c r="D84" s="28"/>
      <c r="E84" s="29"/>
      <c r="F84" s="30"/>
      <c r="G84" s="29"/>
    </row>
    <row r="85" spans="1:9" x14ac:dyDescent="0.2">
      <c r="A85" s="26" t="s">
        <v>37</v>
      </c>
      <c r="B85" s="26"/>
      <c r="C85" s="26"/>
      <c r="D85" s="32"/>
      <c r="E85" s="33">
        <f>E41+E46+E51+E55+E62+E67+E72+E83</f>
        <v>138088.34389000005</v>
      </c>
      <c r="F85" s="34">
        <f>F41+F46+F51+F55+F62+F67+F72+F83</f>
        <v>97.312136051174278</v>
      </c>
      <c r="G85" s="33"/>
      <c r="H85" s="18"/>
      <c r="I85" s="18"/>
    </row>
    <row r="86" spans="1:9" x14ac:dyDescent="0.2">
      <c r="A86" s="26"/>
      <c r="B86" s="26"/>
      <c r="C86" s="26"/>
      <c r="D86" s="32"/>
      <c r="E86" s="33"/>
      <c r="F86" s="34"/>
      <c r="G86" s="33"/>
      <c r="H86" s="18"/>
      <c r="I86" s="18"/>
    </row>
    <row r="87" spans="1:9" x14ac:dyDescent="0.2">
      <c r="A87" s="26" t="s">
        <v>39</v>
      </c>
      <c r="B87" s="26"/>
      <c r="C87" s="26"/>
      <c r="D87" s="32"/>
      <c r="E87" s="33">
        <f>E89-(E41+E46+E51+E55+E62+E67+E72+E83)</f>
        <v>3814.1458645999664</v>
      </c>
      <c r="F87" s="34">
        <f>F89-(F41+F46+F51+F55+F62+F67+F72+F83)</f>
        <v>2.6878639488257221</v>
      </c>
      <c r="G87" s="33"/>
      <c r="H87" s="18"/>
      <c r="I87" s="18"/>
    </row>
    <row r="88" spans="1:9" x14ac:dyDescent="0.2">
      <c r="A88" s="26"/>
      <c r="B88" s="26"/>
      <c r="C88" s="26"/>
      <c r="D88" s="32"/>
      <c r="E88" s="33"/>
      <c r="F88" s="34"/>
      <c r="G88" s="33"/>
      <c r="H88" s="18"/>
      <c r="I88" s="18"/>
    </row>
    <row r="89" spans="1:9" x14ac:dyDescent="0.2">
      <c r="A89" s="35" t="s">
        <v>38</v>
      </c>
      <c r="B89" s="35"/>
      <c r="C89" s="35"/>
      <c r="D89" s="36"/>
      <c r="E89" s="37">
        <v>141902.48975460001</v>
      </c>
      <c r="F89" s="38">
        <v>100</v>
      </c>
      <c r="G89" s="37"/>
      <c r="H89" s="18"/>
      <c r="I89" s="18"/>
    </row>
    <row r="90" spans="1:9" x14ac:dyDescent="0.2">
      <c r="F90" s="20" t="s">
        <v>505</v>
      </c>
    </row>
    <row r="91" spans="1:9" x14ac:dyDescent="0.2">
      <c r="A91" s="18" t="s">
        <v>64</v>
      </c>
    </row>
    <row r="92" spans="1:9" x14ac:dyDescent="0.2">
      <c r="A92" s="18" t="s">
        <v>40</v>
      </c>
    </row>
    <row r="93" spans="1:9" x14ac:dyDescent="0.2">
      <c r="A93" s="18" t="s">
        <v>722</v>
      </c>
    </row>
    <row r="94" spans="1:9" x14ac:dyDescent="0.2">
      <c r="A94" s="18" t="s">
        <v>1240</v>
      </c>
    </row>
    <row r="96" spans="1:9" x14ac:dyDescent="0.2">
      <c r="A96" s="18" t="s">
        <v>41</v>
      </c>
    </row>
    <row r="97" spans="1:4" x14ac:dyDescent="0.2">
      <c r="A97" s="18" t="s">
        <v>42</v>
      </c>
    </row>
    <row r="98" spans="1:4" x14ac:dyDescent="0.2">
      <c r="A98" s="18" t="s">
        <v>43</v>
      </c>
      <c r="B98" s="18"/>
      <c r="C98" s="39" t="s">
        <v>45</v>
      </c>
      <c r="D98" s="19" t="s">
        <v>44</v>
      </c>
    </row>
    <row r="99" spans="1:4" x14ac:dyDescent="0.2">
      <c r="A99" s="9" t="s">
        <v>68</v>
      </c>
      <c r="C99" s="40">
        <v>142.41059999999999</v>
      </c>
      <c r="D99" s="40">
        <v>167.19540000000001</v>
      </c>
    </row>
    <row r="100" spans="1:4" x14ac:dyDescent="0.2">
      <c r="A100" s="9" t="s">
        <v>74</v>
      </c>
      <c r="C100" s="40">
        <v>22.6767</v>
      </c>
      <c r="D100" s="40">
        <v>24.807099999999998</v>
      </c>
    </row>
    <row r="101" spans="1:4" x14ac:dyDescent="0.2">
      <c r="A101" s="9" t="s">
        <v>71</v>
      </c>
      <c r="C101" s="40">
        <v>155.36109999999999</v>
      </c>
      <c r="D101" s="40">
        <v>183.3133</v>
      </c>
    </row>
    <row r="102" spans="1:4" x14ac:dyDescent="0.2">
      <c r="A102" s="9" t="s">
        <v>75</v>
      </c>
      <c r="C102" s="40">
        <v>25.456299999999999</v>
      </c>
      <c r="D102" s="40">
        <v>28.215800000000002</v>
      </c>
    </row>
    <row r="104" spans="1:4" x14ac:dyDescent="0.2">
      <c r="A104" s="18" t="s">
        <v>47</v>
      </c>
    </row>
    <row r="105" spans="1:4" x14ac:dyDescent="0.2">
      <c r="A105" s="74" t="s">
        <v>65</v>
      </c>
      <c r="B105" s="75"/>
      <c r="C105" s="43" t="s">
        <v>66</v>
      </c>
    </row>
    <row r="106" spans="1:4" x14ac:dyDescent="0.2">
      <c r="A106" s="70" t="s">
        <v>74</v>
      </c>
      <c r="B106" s="71"/>
      <c r="C106" s="44">
        <v>1.75</v>
      </c>
    </row>
    <row r="107" spans="1:4" x14ac:dyDescent="0.2">
      <c r="A107" s="70" t="s">
        <v>75</v>
      </c>
      <c r="B107" s="71"/>
      <c r="C107" s="44">
        <v>1.75</v>
      </c>
    </row>
    <row r="108" spans="1:4" x14ac:dyDescent="0.2">
      <c r="A108" s="9" t="s">
        <v>67</v>
      </c>
    </row>
    <row r="109" spans="1:4" x14ac:dyDescent="0.2">
      <c r="A109" s="9" t="s">
        <v>46</v>
      </c>
    </row>
    <row r="111" spans="1:4" x14ac:dyDescent="0.2">
      <c r="A111" s="18" t="s">
        <v>218</v>
      </c>
      <c r="D111" s="45">
        <v>0.34751732879776964</v>
      </c>
    </row>
    <row r="113" spans="1:5" x14ac:dyDescent="0.2">
      <c r="A113" s="18" t="s">
        <v>219</v>
      </c>
      <c r="D113" s="42">
        <v>2.8183630216317486</v>
      </c>
      <c r="E113" s="13" t="s">
        <v>49</v>
      </c>
    </row>
    <row r="115" spans="1:5" x14ac:dyDescent="0.2">
      <c r="A115" s="18" t="s">
        <v>220</v>
      </c>
      <c r="D115" s="41" t="s">
        <v>48</v>
      </c>
    </row>
    <row r="116" spans="1:5" x14ac:dyDescent="0.2">
      <c r="A116" s="9" t="s">
        <v>723</v>
      </c>
    </row>
    <row r="117" spans="1:5" x14ac:dyDescent="0.2">
      <c r="A117" s="50" t="s">
        <v>724</v>
      </c>
    </row>
    <row r="119" spans="1:5" x14ac:dyDescent="0.2">
      <c r="A119" s="18" t="s">
        <v>725</v>
      </c>
    </row>
    <row r="120" spans="1:5" x14ac:dyDescent="0.2">
      <c r="A120" s="50" t="s">
        <v>51</v>
      </c>
    </row>
  </sheetData>
  <mergeCells count="4">
    <mergeCell ref="A1:G1"/>
    <mergeCell ref="A105:B105"/>
    <mergeCell ref="A106:B106"/>
    <mergeCell ref="A107:B107"/>
  </mergeCells>
  <conditionalFormatting sqref="F2:F3 F5:F89 F91:F65539">
    <cfRule type="cellIs" dxfId="27" priority="2" stopIfTrue="1" operator="between">
      <formula>0.009</formula>
      <formula>-0.009</formula>
    </cfRule>
  </conditionalFormatting>
  <conditionalFormatting sqref="F90">
    <cfRule type="cellIs" dxfId="26" priority="1" stopIfTrue="1" operator="between">
      <formula>0.009</formula>
      <formula>-0.009</formula>
    </cfRule>
  </conditionalFormatting>
  <hyperlinks>
    <hyperlink ref="A120" r:id="rId1" xr:uid="{00000000-0004-0000-1B00-000000000000}"/>
    <hyperlink ref="A117" r:id="rId2" xr:uid="{00000000-0004-0000-1B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8"/>
  <sheetViews>
    <sheetView workbookViewId="0">
      <selection sqref="A1:F1"/>
    </sheetView>
  </sheetViews>
  <sheetFormatPr defaultColWidth="9.109375" defaultRowHeight="10.199999999999999" x14ac:dyDescent="0.2"/>
  <cols>
    <col min="1" max="1" width="40.5546875" style="9" bestFit="1" customWidth="1"/>
    <col min="2" max="2" width="25.88671875" style="9" bestFit="1" customWidth="1"/>
    <col min="3" max="3" width="20" style="9" bestFit="1" customWidth="1"/>
    <col min="4" max="4" width="14.6640625" style="10" bestFit="1" customWidth="1"/>
    <col min="5" max="5" width="23" style="13" bestFit="1" customWidth="1"/>
    <col min="6" max="6" width="13.5546875" style="14" bestFit="1" customWidth="1"/>
    <col min="7" max="16384" width="9.109375" style="9"/>
  </cols>
  <sheetData>
    <row r="1" spans="1:6" s="1" customFormat="1" ht="13.8" x14ac:dyDescent="0.2">
      <c r="A1" s="72" t="s">
        <v>10</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750000</v>
      </c>
      <c r="E7" s="29">
        <v>5118.75</v>
      </c>
      <c r="F7" s="30">
        <v>9.0229495784576397</v>
      </c>
    </row>
    <row r="8" spans="1:6" x14ac:dyDescent="0.2">
      <c r="A8" s="27" t="s">
        <v>135</v>
      </c>
      <c r="B8" s="27" t="s">
        <v>134</v>
      </c>
      <c r="C8" s="27" t="s">
        <v>101</v>
      </c>
      <c r="D8" s="31">
        <v>1000000</v>
      </c>
      <c r="E8" s="29">
        <v>4318</v>
      </c>
      <c r="F8" s="30">
        <v>7.6114473806652203</v>
      </c>
    </row>
    <row r="9" spans="1:6" x14ac:dyDescent="0.2">
      <c r="A9" s="27" t="s">
        <v>171</v>
      </c>
      <c r="B9" s="27" t="s">
        <v>170</v>
      </c>
      <c r="C9" s="27" t="s">
        <v>172</v>
      </c>
      <c r="D9" s="31">
        <v>190000</v>
      </c>
      <c r="E9" s="29">
        <v>2947.5650000000001</v>
      </c>
      <c r="F9" s="30">
        <v>5.1957470816559699</v>
      </c>
    </row>
    <row r="10" spans="1:6" x14ac:dyDescent="0.2">
      <c r="A10" s="27" t="s">
        <v>103</v>
      </c>
      <c r="B10" s="27" t="s">
        <v>102</v>
      </c>
      <c r="C10" s="27" t="s">
        <v>101</v>
      </c>
      <c r="D10" s="31">
        <v>385000</v>
      </c>
      <c r="E10" s="29">
        <v>2729.2649999999999</v>
      </c>
      <c r="F10" s="30">
        <v>4.81094417216101</v>
      </c>
    </row>
    <row r="11" spans="1:6" x14ac:dyDescent="0.2">
      <c r="A11" s="27" t="s">
        <v>110</v>
      </c>
      <c r="B11" s="27" t="s">
        <v>109</v>
      </c>
      <c r="C11" s="27" t="s">
        <v>111</v>
      </c>
      <c r="D11" s="31">
        <v>450000</v>
      </c>
      <c r="E11" s="29">
        <v>2527.4250000000002</v>
      </c>
      <c r="F11" s="30">
        <v>4.4551557193325104</v>
      </c>
    </row>
    <row r="12" spans="1:6" x14ac:dyDescent="0.2">
      <c r="A12" s="27" t="s">
        <v>234</v>
      </c>
      <c r="B12" s="27" t="s">
        <v>233</v>
      </c>
      <c r="C12" s="27" t="s">
        <v>98</v>
      </c>
      <c r="D12" s="31">
        <v>225000</v>
      </c>
      <c r="E12" s="29">
        <v>2306.1374999999998</v>
      </c>
      <c r="F12" s="30">
        <v>4.0650866683253399</v>
      </c>
    </row>
    <row r="13" spans="1:6" x14ac:dyDescent="0.2">
      <c r="A13" s="27" t="s">
        <v>144</v>
      </c>
      <c r="B13" s="27" t="s">
        <v>143</v>
      </c>
      <c r="C13" s="27" t="s">
        <v>142</v>
      </c>
      <c r="D13" s="31">
        <v>1900000</v>
      </c>
      <c r="E13" s="29">
        <v>2245.8000000000002</v>
      </c>
      <c r="F13" s="30">
        <v>3.9587282370305599</v>
      </c>
    </row>
    <row r="14" spans="1:6" x14ac:dyDescent="0.2">
      <c r="A14" s="27" t="s">
        <v>236</v>
      </c>
      <c r="B14" s="27" t="s">
        <v>235</v>
      </c>
      <c r="C14" s="27" t="s">
        <v>149</v>
      </c>
      <c r="D14" s="31">
        <v>1500000</v>
      </c>
      <c r="E14" s="29">
        <v>2096.25</v>
      </c>
      <c r="F14" s="30">
        <v>3.6951126845112201</v>
      </c>
    </row>
    <row r="15" spans="1:6" x14ac:dyDescent="0.2">
      <c r="A15" s="27" t="s">
        <v>238</v>
      </c>
      <c r="B15" s="27" t="s">
        <v>237</v>
      </c>
      <c r="C15" s="27" t="s">
        <v>239</v>
      </c>
      <c r="D15" s="31">
        <v>1100000</v>
      </c>
      <c r="E15" s="29">
        <v>2031.15</v>
      </c>
      <c r="F15" s="30">
        <v>3.5803592744877601</v>
      </c>
    </row>
    <row r="16" spans="1:6" x14ac:dyDescent="0.2">
      <c r="A16" s="27" t="s">
        <v>127</v>
      </c>
      <c r="B16" s="27" t="s">
        <v>126</v>
      </c>
      <c r="C16" s="27" t="s">
        <v>125</v>
      </c>
      <c r="D16" s="31">
        <v>550000</v>
      </c>
      <c r="E16" s="29">
        <v>1903.55</v>
      </c>
      <c r="F16" s="30">
        <v>3.3554355399410101</v>
      </c>
    </row>
    <row r="17" spans="1:6" x14ac:dyDescent="0.2">
      <c r="A17" s="27" t="s">
        <v>97</v>
      </c>
      <c r="B17" s="27" t="s">
        <v>96</v>
      </c>
      <c r="C17" s="27" t="s">
        <v>98</v>
      </c>
      <c r="D17" s="31">
        <v>100000</v>
      </c>
      <c r="E17" s="29">
        <v>1610.5</v>
      </c>
      <c r="F17" s="30">
        <v>2.8388689223162</v>
      </c>
    </row>
    <row r="18" spans="1:6" x14ac:dyDescent="0.2">
      <c r="A18" s="27" t="s">
        <v>100</v>
      </c>
      <c r="B18" s="27" t="s">
        <v>99</v>
      </c>
      <c r="C18" s="27" t="s">
        <v>101</v>
      </c>
      <c r="D18" s="31">
        <v>110000</v>
      </c>
      <c r="E18" s="29">
        <v>1569.095</v>
      </c>
      <c r="F18" s="30">
        <v>2.7658832857259998</v>
      </c>
    </row>
    <row r="19" spans="1:6" x14ac:dyDescent="0.2">
      <c r="A19" s="27" t="s">
        <v>241</v>
      </c>
      <c r="B19" s="27" t="s">
        <v>240</v>
      </c>
      <c r="C19" s="27" t="s">
        <v>205</v>
      </c>
      <c r="D19" s="31">
        <v>300000</v>
      </c>
      <c r="E19" s="29">
        <v>1566</v>
      </c>
      <c r="F19" s="30">
        <v>2.7604276512556098</v>
      </c>
    </row>
    <row r="20" spans="1:6" x14ac:dyDescent="0.2">
      <c r="A20" s="27" t="s">
        <v>243</v>
      </c>
      <c r="B20" s="27" t="s">
        <v>242</v>
      </c>
      <c r="C20" s="27" t="s">
        <v>122</v>
      </c>
      <c r="D20" s="31">
        <v>700000</v>
      </c>
      <c r="E20" s="29">
        <v>1434.65</v>
      </c>
      <c r="F20" s="30">
        <v>2.5288936972374598</v>
      </c>
    </row>
    <row r="21" spans="1:6" x14ac:dyDescent="0.2">
      <c r="A21" s="27" t="s">
        <v>211</v>
      </c>
      <c r="B21" s="27" t="s">
        <v>210</v>
      </c>
      <c r="C21" s="27" t="s">
        <v>130</v>
      </c>
      <c r="D21" s="31">
        <v>1200000</v>
      </c>
      <c r="E21" s="29">
        <v>1237.8</v>
      </c>
      <c r="F21" s="30">
        <v>2.1819012431189</v>
      </c>
    </row>
    <row r="22" spans="1:6" x14ac:dyDescent="0.2">
      <c r="A22" s="27" t="s">
        <v>217</v>
      </c>
      <c r="B22" s="27" t="s">
        <v>216</v>
      </c>
      <c r="C22" s="27" t="s">
        <v>101</v>
      </c>
      <c r="D22" s="31">
        <v>1400000</v>
      </c>
      <c r="E22" s="29">
        <v>1224.3</v>
      </c>
      <c r="F22" s="30">
        <v>2.15810445302187</v>
      </c>
    </row>
    <row r="23" spans="1:6" x14ac:dyDescent="0.2">
      <c r="A23" s="27" t="s">
        <v>196</v>
      </c>
      <c r="B23" s="27" t="s">
        <v>195</v>
      </c>
      <c r="C23" s="27" t="s">
        <v>98</v>
      </c>
      <c r="D23" s="31">
        <v>100000</v>
      </c>
      <c r="E23" s="29">
        <v>1209.55</v>
      </c>
      <c r="F23" s="30">
        <v>2.1321042564343702</v>
      </c>
    </row>
    <row r="24" spans="1:6" x14ac:dyDescent="0.2">
      <c r="A24" s="27" t="s">
        <v>245</v>
      </c>
      <c r="B24" s="27" t="s">
        <v>244</v>
      </c>
      <c r="C24" s="27" t="s">
        <v>172</v>
      </c>
      <c r="D24" s="31">
        <v>50000</v>
      </c>
      <c r="E24" s="29">
        <v>1197.05</v>
      </c>
      <c r="F24" s="30">
        <v>2.1100701915297102</v>
      </c>
    </row>
    <row r="25" spans="1:6" x14ac:dyDescent="0.2">
      <c r="A25" s="27" t="s">
        <v>141</v>
      </c>
      <c r="B25" s="27" t="s">
        <v>140</v>
      </c>
      <c r="C25" s="27" t="s">
        <v>142</v>
      </c>
      <c r="D25" s="31">
        <v>666666</v>
      </c>
      <c r="E25" s="29">
        <v>1140.998859</v>
      </c>
      <c r="F25" s="30">
        <v>2.01126743322778</v>
      </c>
    </row>
    <row r="26" spans="1:6" x14ac:dyDescent="0.2">
      <c r="A26" s="27" t="s">
        <v>215</v>
      </c>
      <c r="B26" s="27" t="s">
        <v>214</v>
      </c>
      <c r="C26" s="27" t="s">
        <v>125</v>
      </c>
      <c r="D26" s="31">
        <v>800000</v>
      </c>
      <c r="E26" s="29">
        <v>1116.4000000000001</v>
      </c>
      <c r="F26" s="30">
        <v>1.96790640476486</v>
      </c>
    </row>
    <row r="27" spans="1:6" x14ac:dyDescent="0.2">
      <c r="A27" s="27" t="s">
        <v>247</v>
      </c>
      <c r="B27" s="27" t="s">
        <v>246</v>
      </c>
      <c r="C27" s="27" t="s">
        <v>108</v>
      </c>
      <c r="D27" s="31">
        <v>7000</v>
      </c>
      <c r="E27" s="29">
        <v>1047.7774999999999</v>
      </c>
      <c r="F27" s="30">
        <v>1.84694379525126</v>
      </c>
    </row>
    <row r="28" spans="1:6" x14ac:dyDescent="0.2">
      <c r="A28" s="27" t="s">
        <v>249</v>
      </c>
      <c r="B28" s="27" t="s">
        <v>248</v>
      </c>
      <c r="C28" s="27" t="s">
        <v>250</v>
      </c>
      <c r="D28" s="31">
        <v>130000</v>
      </c>
      <c r="E28" s="29">
        <v>1034.4749999999999</v>
      </c>
      <c r="F28" s="30">
        <v>1.82349514337972</v>
      </c>
    </row>
    <row r="29" spans="1:6" x14ac:dyDescent="0.2">
      <c r="A29" s="27" t="s">
        <v>174</v>
      </c>
      <c r="B29" s="27" t="s">
        <v>173</v>
      </c>
      <c r="C29" s="27" t="s">
        <v>175</v>
      </c>
      <c r="D29" s="31">
        <v>700000</v>
      </c>
      <c r="E29" s="29">
        <v>1003.1</v>
      </c>
      <c r="F29" s="30">
        <v>1.76818964046903</v>
      </c>
    </row>
    <row r="30" spans="1:6" x14ac:dyDescent="0.2">
      <c r="A30" s="27" t="s">
        <v>151</v>
      </c>
      <c r="B30" s="27" t="s">
        <v>150</v>
      </c>
      <c r="C30" s="27" t="s">
        <v>130</v>
      </c>
      <c r="D30" s="31">
        <v>200000</v>
      </c>
      <c r="E30" s="29">
        <v>891</v>
      </c>
      <c r="F30" s="30">
        <v>1.5705881464040501</v>
      </c>
    </row>
    <row r="31" spans="1:6" x14ac:dyDescent="0.2">
      <c r="A31" s="27" t="s">
        <v>153</v>
      </c>
      <c r="B31" s="27" t="s">
        <v>152</v>
      </c>
      <c r="C31" s="27" t="s">
        <v>149</v>
      </c>
      <c r="D31" s="31">
        <v>20000</v>
      </c>
      <c r="E31" s="29">
        <v>765.92</v>
      </c>
      <c r="F31" s="30">
        <v>1.3501064793420801</v>
      </c>
    </row>
    <row r="32" spans="1:6" x14ac:dyDescent="0.2">
      <c r="A32" s="27" t="s">
        <v>148</v>
      </c>
      <c r="B32" s="27" t="s">
        <v>147</v>
      </c>
      <c r="C32" s="27" t="s">
        <v>149</v>
      </c>
      <c r="D32" s="31">
        <v>100000</v>
      </c>
      <c r="E32" s="29">
        <v>743.1</v>
      </c>
      <c r="F32" s="30">
        <v>1.3098810904521401</v>
      </c>
    </row>
    <row r="33" spans="1:9" x14ac:dyDescent="0.2">
      <c r="A33" s="27" t="s">
        <v>252</v>
      </c>
      <c r="B33" s="27" t="s">
        <v>251</v>
      </c>
      <c r="C33" s="27" t="s">
        <v>101</v>
      </c>
      <c r="D33" s="31">
        <v>350000</v>
      </c>
      <c r="E33" s="29">
        <v>675.32500000000005</v>
      </c>
      <c r="F33" s="30">
        <v>1.19041239053908</v>
      </c>
    </row>
    <row r="34" spans="1:9" x14ac:dyDescent="0.2">
      <c r="A34" s="27" t="s">
        <v>198</v>
      </c>
      <c r="B34" s="27" t="s">
        <v>197</v>
      </c>
      <c r="C34" s="27" t="s">
        <v>199</v>
      </c>
      <c r="D34" s="31">
        <v>250000</v>
      </c>
      <c r="E34" s="29">
        <v>671.125</v>
      </c>
      <c r="F34" s="30">
        <v>1.1830089447311101</v>
      </c>
    </row>
    <row r="35" spans="1:9" x14ac:dyDescent="0.2">
      <c r="A35" s="27" t="s">
        <v>254</v>
      </c>
      <c r="B35" s="27" t="s">
        <v>253</v>
      </c>
      <c r="C35" s="27" t="s">
        <v>185</v>
      </c>
      <c r="D35" s="31">
        <v>500000</v>
      </c>
      <c r="E35" s="29">
        <v>644.25</v>
      </c>
      <c r="F35" s="30">
        <v>1.1356357051860999</v>
      </c>
    </row>
    <row r="36" spans="1:9" x14ac:dyDescent="0.2">
      <c r="A36" s="27" t="s">
        <v>256</v>
      </c>
      <c r="B36" s="27" t="s">
        <v>255</v>
      </c>
      <c r="C36" s="27" t="s">
        <v>122</v>
      </c>
      <c r="D36" s="31">
        <v>100000</v>
      </c>
      <c r="E36" s="29">
        <v>640.75</v>
      </c>
      <c r="F36" s="30">
        <v>1.1294661670127899</v>
      </c>
    </row>
    <row r="37" spans="1:9" x14ac:dyDescent="0.2">
      <c r="A37" s="27" t="s">
        <v>258</v>
      </c>
      <c r="B37" s="27" t="s">
        <v>257</v>
      </c>
      <c r="C37" s="27" t="s">
        <v>239</v>
      </c>
      <c r="D37" s="31">
        <v>55000</v>
      </c>
      <c r="E37" s="29">
        <v>613.99249999999995</v>
      </c>
      <c r="F37" s="30">
        <v>1.0823000476778799</v>
      </c>
    </row>
    <row r="38" spans="1:9" x14ac:dyDescent="0.2">
      <c r="A38" s="27" t="s">
        <v>260</v>
      </c>
      <c r="B38" s="27" t="s">
        <v>259</v>
      </c>
      <c r="C38" s="27" t="s">
        <v>108</v>
      </c>
      <c r="D38" s="31">
        <v>10000</v>
      </c>
      <c r="E38" s="29">
        <v>365.36</v>
      </c>
      <c r="F38" s="30">
        <v>0.64402927628528095</v>
      </c>
    </row>
    <row r="39" spans="1:9" x14ac:dyDescent="0.2">
      <c r="A39" s="27" t="s">
        <v>262</v>
      </c>
      <c r="B39" s="27" t="s">
        <v>261</v>
      </c>
      <c r="C39" s="27" t="s">
        <v>130</v>
      </c>
      <c r="D39" s="31">
        <v>14439</v>
      </c>
      <c r="E39" s="29">
        <v>93.745207500000006</v>
      </c>
      <c r="F39" s="30">
        <v>0.165247038924454</v>
      </c>
    </row>
    <row r="40" spans="1:9" x14ac:dyDescent="0.2">
      <c r="A40" s="26" t="s">
        <v>35</v>
      </c>
      <c r="B40" s="26"/>
      <c r="C40" s="26"/>
      <c r="D40" s="32"/>
      <c r="E40" s="33">
        <f>SUM(E7:E39)</f>
        <v>50720.156566500002</v>
      </c>
      <c r="F40" s="34">
        <f>SUM(F7:F39)</f>
        <v>89.405697740855999</v>
      </c>
      <c r="G40" s="18"/>
      <c r="H40" s="18"/>
      <c r="I40" s="18"/>
    </row>
    <row r="41" spans="1:9" x14ac:dyDescent="0.2">
      <c r="A41" s="27"/>
      <c r="B41" s="27"/>
      <c r="C41" s="27"/>
      <c r="D41" s="28"/>
      <c r="E41" s="29"/>
      <c r="F41" s="30"/>
    </row>
    <row r="42" spans="1:9" x14ac:dyDescent="0.2">
      <c r="A42" s="26" t="s">
        <v>176</v>
      </c>
      <c r="B42" s="27"/>
      <c r="C42" s="27"/>
      <c r="D42" s="28"/>
      <c r="E42" s="29"/>
      <c r="F42" s="30"/>
    </row>
    <row r="43" spans="1:9" x14ac:dyDescent="0.2">
      <c r="A43" s="27" t="s">
        <v>178</v>
      </c>
      <c r="B43" s="27" t="s">
        <v>177</v>
      </c>
      <c r="C43" s="27" t="s">
        <v>360</v>
      </c>
      <c r="D43" s="31">
        <v>600000</v>
      </c>
      <c r="E43" s="29">
        <v>2170.7399999999998</v>
      </c>
      <c r="F43" s="30">
        <v>3.8264180840910602</v>
      </c>
    </row>
    <row r="44" spans="1:9" x14ac:dyDescent="0.2">
      <c r="A44" s="26" t="s">
        <v>35</v>
      </c>
      <c r="B44" s="26"/>
      <c r="C44" s="26"/>
      <c r="D44" s="32"/>
      <c r="E44" s="33">
        <f>SUM(E42:E43)</f>
        <v>2170.7399999999998</v>
      </c>
      <c r="F44" s="34">
        <f>SUM(F42:F43)</f>
        <v>3.8264180840910602</v>
      </c>
      <c r="G44" s="18"/>
      <c r="H44" s="18"/>
      <c r="I44" s="18"/>
    </row>
    <row r="45" spans="1:9" x14ac:dyDescent="0.2">
      <c r="A45" s="27"/>
      <c r="B45" s="27"/>
      <c r="C45" s="27"/>
      <c r="D45" s="28"/>
      <c r="E45" s="29"/>
      <c r="F45" s="30"/>
    </row>
    <row r="46" spans="1:9" x14ac:dyDescent="0.2">
      <c r="A46" s="26" t="s">
        <v>37</v>
      </c>
      <c r="B46" s="26"/>
      <c r="C46" s="26"/>
      <c r="D46" s="32"/>
      <c r="E46" s="33">
        <f>E40+E44</f>
        <v>52890.8965665</v>
      </c>
      <c r="F46" s="34">
        <f>F40+F44</f>
        <v>93.232115824947059</v>
      </c>
      <c r="G46" s="18"/>
      <c r="H46" s="18"/>
      <c r="I46" s="18"/>
    </row>
    <row r="47" spans="1:9" x14ac:dyDescent="0.2">
      <c r="A47" s="26"/>
      <c r="B47" s="26"/>
      <c r="C47" s="26"/>
      <c r="D47" s="32"/>
      <c r="E47" s="33"/>
      <c r="F47" s="34"/>
      <c r="G47" s="18"/>
      <c r="H47" s="18"/>
      <c r="I47" s="18"/>
    </row>
    <row r="48" spans="1:9" x14ac:dyDescent="0.2">
      <c r="A48" s="26" t="s">
        <v>39</v>
      </c>
      <c r="B48" s="26"/>
      <c r="C48" s="26"/>
      <c r="D48" s="32"/>
      <c r="E48" s="33">
        <f>E50-(E40+E44)</f>
        <v>3839.4437229000032</v>
      </c>
      <c r="F48" s="34">
        <f>F50-(F40+F44)</f>
        <v>6.7678841750529415</v>
      </c>
      <c r="G48" s="18"/>
      <c r="H48" s="18"/>
      <c r="I48" s="18"/>
    </row>
    <row r="49" spans="1:9" x14ac:dyDescent="0.2">
      <c r="A49" s="26"/>
      <c r="B49" s="26"/>
      <c r="C49" s="26"/>
      <c r="D49" s="32"/>
      <c r="E49" s="33"/>
      <c r="F49" s="34"/>
      <c r="G49" s="18"/>
      <c r="H49" s="18"/>
      <c r="I49" s="18"/>
    </row>
    <row r="50" spans="1:9" x14ac:dyDescent="0.2">
      <c r="A50" s="35" t="s">
        <v>38</v>
      </c>
      <c r="B50" s="35"/>
      <c r="C50" s="35"/>
      <c r="D50" s="36"/>
      <c r="E50" s="37">
        <v>56730.340289400003</v>
      </c>
      <c r="F50" s="38">
        <v>100</v>
      </c>
      <c r="G50" s="18"/>
      <c r="H50" s="18"/>
      <c r="I50" s="18"/>
    </row>
    <row r="53" spans="1:9" x14ac:dyDescent="0.2">
      <c r="A53" s="18" t="s">
        <v>41</v>
      </c>
    </row>
    <row r="54" spans="1:9" x14ac:dyDescent="0.2">
      <c r="A54" s="18" t="s">
        <v>42</v>
      </c>
    </row>
    <row r="55" spans="1:9" x14ac:dyDescent="0.2">
      <c r="A55" s="18" t="s">
        <v>43</v>
      </c>
      <c r="B55" s="18"/>
      <c r="C55" s="39" t="s">
        <v>45</v>
      </c>
      <c r="D55" s="19" t="s">
        <v>44</v>
      </c>
    </row>
    <row r="56" spans="1:9" x14ac:dyDescent="0.2">
      <c r="A56" s="9" t="s">
        <v>68</v>
      </c>
      <c r="C56" s="40">
        <v>281.20999999999998</v>
      </c>
      <c r="D56" s="40">
        <v>362.12810000000002</v>
      </c>
    </row>
    <row r="57" spans="1:9" x14ac:dyDescent="0.2">
      <c r="A57" s="9" t="s">
        <v>74</v>
      </c>
      <c r="C57" s="40">
        <v>56.4069</v>
      </c>
      <c r="D57" s="40">
        <v>72.638000000000005</v>
      </c>
    </row>
    <row r="58" spans="1:9" x14ac:dyDescent="0.2">
      <c r="A58" s="9" t="s">
        <v>71</v>
      </c>
      <c r="C58" s="40">
        <v>298.70229999999998</v>
      </c>
      <c r="D58" s="40">
        <v>386.32319999999999</v>
      </c>
    </row>
    <row r="59" spans="1:9" x14ac:dyDescent="0.2">
      <c r="A59" s="9" t="s">
        <v>75</v>
      </c>
      <c r="C59" s="40">
        <v>61.425199999999997</v>
      </c>
      <c r="D59" s="40">
        <v>79.432000000000002</v>
      </c>
    </row>
    <row r="61" spans="1:9" x14ac:dyDescent="0.2">
      <c r="A61" s="9" t="s">
        <v>46</v>
      </c>
    </row>
    <row r="63" spans="1:9" x14ac:dyDescent="0.2">
      <c r="A63" s="18" t="s">
        <v>47</v>
      </c>
      <c r="D63" s="41" t="s">
        <v>48</v>
      </c>
    </row>
    <row r="65" spans="1:4" x14ac:dyDescent="0.2">
      <c r="A65" s="18" t="s">
        <v>218</v>
      </c>
      <c r="D65" s="45">
        <v>0.15740000000000001</v>
      </c>
    </row>
    <row r="67" spans="1:4" x14ac:dyDescent="0.2">
      <c r="A67" s="18" t="s">
        <v>94</v>
      </c>
    </row>
    <row r="68" spans="1:4" x14ac:dyDescent="0.2">
      <c r="A68" s="50" t="s">
        <v>51</v>
      </c>
    </row>
  </sheetData>
  <mergeCells count="1">
    <mergeCell ref="A1:F1"/>
  </mergeCells>
  <conditionalFormatting sqref="F2:F3 F5:F65534">
    <cfRule type="cellIs" dxfId="25" priority="1" stopIfTrue="1" operator="between">
      <formula>0.009</formula>
      <formula>-0.009</formula>
    </cfRule>
  </conditionalFormatting>
  <hyperlinks>
    <hyperlink ref="A68" r:id="rId1"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85"/>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4.6640625" style="10" bestFit="1" customWidth="1"/>
    <col min="5" max="5" width="23" style="13" bestFit="1" customWidth="1"/>
    <col min="6" max="6" width="13.5546875" style="14" bestFit="1" customWidth="1"/>
    <col min="7" max="16384" width="9.109375" style="9"/>
  </cols>
  <sheetData>
    <row r="1" spans="1:6" s="1" customFormat="1" ht="13.8" x14ac:dyDescent="0.2">
      <c r="A1" s="72" t="s">
        <v>11</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775444</v>
      </c>
      <c r="E7" s="29">
        <v>12488.52562</v>
      </c>
      <c r="F7" s="30">
        <v>10.8784543772421</v>
      </c>
    </row>
    <row r="8" spans="1:6" x14ac:dyDescent="0.2">
      <c r="A8" s="27" t="s">
        <v>141</v>
      </c>
      <c r="B8" s="27" t="s">
        <v>140</v>
      </c>
      <c r="C8" s="27" t="s">
        <v>142</v>
      </c>
      <c r="D8" s="31">
        <v>5345405</v>
      </c>
      <c r="E8" s="29">
        <v>9148.6606580000007</v>
      </c>
      <c r="F8" s="30">
        <v>7.9691783168974704</v>
      </c>
    </row>
    <row r="9" spans="1:6" x14ac:dyDescent="0.2">
      <c r="A9" s="27" t="s">
        <v>189</v>
      </c>
      <c r="B9" s="27" t="s">
        <v>188</v>
      </c>
      <c r="C9" s="27" t="s">
        <v>142</v>
      </c>
      <c r="D9" s="31">
        <v>3347866</v>
      </c>
      <c r="E9" s="29">
        <v>4184.8325000000004</v>
      </c>
      <c r="F9" s="30">
        <v>3.6453069651988201</v>
      </c>
    </row>
    <row r="10" spans="1:6" x14ac:dyDescent="0.2">
      <c r="A10" s="27" t="s">
        <v>144</v>
      </c>
      <c r="B10" s="27" t="s">
        <v>143</v>
      </c>
      <c r="C10" s="27" t="s">
        <v>142</v>
      </c>
      <c r="D10" s="31">
        <v>3291938</v>
      </c>
      <c r="E10" s="29">
        <v>3891.0707160000002</v>
      </c>
      <c r="F10" s="30">
        <v>3.3894181387465201</v>
      </c>
    </row>
    <row r="11" spans="1:6" x14ac:dyDescent="0.2">
      <c r="A11" s="27" t="s">
        <v>222</v>
      </c>
      <c r="B11" s="27" t="s">
        <v>221</v>
      </c>
      <c r="C11" s="27" t="s">
        <v>142</v>
      </c>
      <c r="D11" s="31">
        <v>14497327</v>
      </c>
      <c r="E11" s="29">
        <v>3805.5483380000001</v>
      </c>
      <c r="F11" s="30">
        <v>3.31492165168192</v>
      </c>
    </row>
    <row r="12" spans="1:6" x14ac:dyDescent="0.2">
      <c r="A12" s="27" t="s">
        <v>265</v>
      </c>
      <c r="B12" s="27" t="s">
        <v>264</v>
      </c>
      <c r="C12" s="27" t="s">
        <v>205</v>
      </c>
      <c r="D12" s="31">
        <v>2098785</v>
      </c>
      <c r="E12" s="29">
        <v>3714.8494500000002</v>
      </c>
      <c r="F12" s="30">
        <v>3.2359160312270601</v>
      </c>
    </row>
    <row r="13" spans="1:6" x14ac:dyDescent="0.2">
      <c r="A13" s="27" t="s">
        <v>139</v>
      </c>
      <c r="B13" s="27" t="s">
        <v>138</v>
      </c>
      <c r="C13" s="27" t="s">
        <v>122</v>
      </c>
      <c r="D13" s="31">
        <v>138206</v>
      </c>
      <c r="E13" s="29">
        <v>3224.7605979999998</v>
      </c>
      <c r="F13" s="30">
        <v>2.8090114165831301</v>
      </c>
    </row>
    <row r="14" spans="1:6" x14ac:dyDescent="0.2">
      <c r="A14" s="27" t="s">
        <v>267</v>
      </c>
      <c r="B14" s="27" t="s">
        <v>266</v>
      </c>
      <c r="C14" s="27" t="s">
        <v>117</v>
      </c>
      <c r="D14" s="31">
        <v>3209748</v>
      </c>
      <c r="E14" s="29">
        <v>3001.11438</v>
      </c>
      <c r="F14" s="30">
        <v>2.6141985737236402</v>
      </c>
    </row>
    <row r="15" spans="1:6" x14ac:dyDescent="0.2">
      <c r="A15" s="27" t="s">
        <v>269</v>
      </c>
      <c r="B15" s="27" t="s">
        <v>268</v>
      </c>
      <c r="C15" s="27" t="s">
        <v>270</v>
      </c>
      <c r="D15" s="31">
        <v>136944</v>
      </c>
      <c r="E15" s="29">
        <v>2615.1510960000001</v>
      </c>
      <c r="F15" s="30">
        <v>2.27799523763403</v>
      </c>
    </row>
    <row r="16" spans="1:6" x14ac:dyDescent="0.2">
      <c r="A16" s="27" t="s">
        <v>137</v>
      </c>
      <c r="B16" s="27" t="s">
        <v>136</v>
      </c>
      <c r="C16" s="27" t="s">
        <v>98</v>
      </c>
      <c r="D16" s="31">
        <v>81194</v>
      </c>
      <c r="E16" s="29">
        <v>2571.7793529999999</v>
      </c>
      <c r="F16" s="30">
        <v>2.2402151551932898</v>
      </c>
    </row>
    <row r="17" spans="1:6" x14ac:dyDescent="0.2">
      <c r="A17" s="27" t="s">
        <v>127</v>
      </c>
      <c r="B17" s="27" t="s">
        <v>126</v>
      </c>
      <c r="C17" s="27" t="s">
        <v>125</v>
      </c>
      <c r="D17" s="31">
        <v>624255</v>
      </c>
      <c r="E17" s="29">
        <v>2160.5465549999999</v>
      </c>
      <c r="F17" s="30">
        <v>1.88200015307132</v>
      </c>
    </row>
    <row r="18" spans="1:6" x14ac:dyDescent="0.2">
      <c r="A18" s="27" t="s">
        <v>272</v>
      </c>
      <c r="B18" s="27" t="s">
        <v>271</v>
      </c>
      <c r="C18" s="27" t="s">
        <v>273</v>
      </c>
      <c r="D18" s="31">
        <v>630352</v>
      </c>
      <c r="E18" s="29">
        <v>2062.82692</v>
      </c>
      <c r="F18" s="30">
        <v>1.7968789287207101</v>
      </c>
    </row>
    <row r="19" spans="1:6" x14ac:dyDescent="0.2">
      <c r="A19" s="27" t="s">
        <v>174</v>
      </c>
      <c r="B19" s="27" t="s">
        <v>173</v>
      </c>
      <c r="C19" s="27" t="s">
        <v>175</v>
      </c>
      <c r="D19" s="31">
        <v>1247000</v>
      </c>
      <c r="E19" s="29">
        <v>1786.951</v>
      </c>
      <c r="F19" s="30">
        <v>1.5565700483278599</v>
      </c>
    </row>
    <row r="20" spans="1:6" x14ac:dyDescent="0.2">
      <c r="A20" s="27" t="s">
        <v>124</v>
      </c>
      <c r="B20" s="27" t="s">
        <v>123</v>
      </c>
      <c r="C20" s="27" t="s">
        <v>125</v>
      </c>
      <c r="D20" s="31">
        <v>803388</v>
      </c>
      <c r="E20" s="29">
        <v>1753.3943099999999</v>
      </c>
      <c r="F20" s="30">
        <v>1.5273396225495199</v>
      </c>
    </row>
    <row r="21" spans="1:6" x14ac:dyDescent="0.2">
      <c r="A21" s="27" t="s">
        <v>260</v>
      </c>
      <c r="B21" s="27" t="s">
        <v>259</v>
      </c>
      <c r="C21" s="27" t="s">
        <v>108</v>
      </c>
      <c r="D21" s="31">
        <v>46395</v>
      </c>
      <c r="E21" s="29">
        <v>1695.08772</v>
      </c>
      <c r="F21" s="30">
        <v>1.4765501539999499</v>
      </c>
    </row>
    <row r="22" spans="1:6" x14ac:dyDescent="0.2">
      <c r="A22" s="27" t="s">
        <v>275</v>
      </c>
      <c r="B22" s="27" t="s">
        <v>274</v>
      </c>
      <c r="C22" s="27" t="s">
        <v>122</v>
      </c>
      <c r="D22" s="31">
        <v>201912</v>
      </c>
      <c r="E22" s="29">
        <v>1526.9594999999999</v>
      </c>
      <c r="F22" s="30">
        <v>1.33009770425137</v>
      </c>
    </row>
    <row r="23" spans="1:6" x14ac:dyDescent="0.2">
      <c r="A23" s="27" t="s">
        <v>238</v>
      </c>
      <c r="B23" s="27" t="s">
        <v>237</v>
      </c>
      <c r="C23" s="27" t="s">
        <v>239</v>
      </c>
      <c r="D23" s="31">
        <v>821499</v>
      </c>
      <c r="E23" s="29">
        <v>1516.8979039999999</v>
      </c>
      <c r="F23" s="30">
        <v>1.32133328990986</v>
      </c>
    </row>
    <row r="24" spans="1:6" x14ac:dyDescent="0.2">
      <c r="A24" s="27" t="s">
        <v>196</v>
      </c>
      <c r="B24" s="27" t="s">
        <v>195</v>
      </c>
      <c r="C24" s="27" t="s">
        <v>98</v>
      </c>
      <c r="D24" s="31">
        <v>121952</v>
      </c>
      <c r="E24" s="29">
        <v>1475.070416</v>
      </c>
      <c r="F24" s="30">
        <v>1.2848983708675401</v>
      </c>
    </row>
    <row r="25" spans="1:6" x14ac:dyDescent="0.2">
      <c r="A25" s="27" t="s">
        <v>217</v>
      </c>
      <c r="B25" s="27" t="s">
        <v>216</v>
      </c>
      <c r="C25" s="27" t="s">
        <v>101</v>
      </c>
      <c r="D25" s="31">
        <v>1505600</v>
      </c>
      <c r="E25" s="29">
        <v>1316.6472000000001</v>
      </c>
      <c r="F25" s="30">
        <v>1.1468997167436299</v>
      </c>
    </row>
    <row r="26" spans="1:6" x14ac:dyDescent="0.2">
      <c r="A26" s="27" t="s">
        <v>277</v>
      </c>
      <c r="B26" s="27" t="s">
        <v>276</v>
      </c>
      <c r="C26" s="27" t="s">
        <v>175</v>
      </c>
      <c r="D26" s="31">
        <v>709254</v>
      </c>
      <c r="E26" s="29">
        <v>1285.1682479999999</v>
      </c>
      <c r="F26" s="30">
        <v>1.1194791585772601</v>
      </c>
    </row>
    <row r="27" spans="1:6" x14ac:dyDescent="0.2">
      <c r="A27" s="27" t="s">
        <v>279</v>
      </c>
      <c r="B27" s="27" t="s">
        <v>278</v>
      </c>
      <c r="C27" s="27" t="s">
        <v>199</v>
      </c>
      <c r="D27" s="31">
        <v>63656</v>
      </c>
      <c r="E27" s="29">
        <v>1198.64248</v>
      </c>
      <c r="F27" s="30">
        <v>1.04410864261047</v>
      </c>
    </row>
    <row r="28" spans="1:6" x14ac:dyDescent="0.2">
      <c r="A28" s="27" t="s">
        <v>281</v>
      </c>
      <c r="B28" s="27" t="s">
        <v>280</v>
      </c>
      <c r="C28" s="27" t="s">
        <v>98</v>
      </c>
      <c r="D28" s="31">
        <v>119545</v>
      </c>
      <c r="E28" s="29">
        <v>1179.5505149999999</v>
      </c>
      <c r="F28" s="30">
        <v>1.02747809097099</v>
      </c>
    </row>
    <row r="29" spans="1:6" x14ac:dyDescent="0.2">
      <c r="A29" s="27" t="s">
        <v>198</v>
      </c>
      <c r="B29" s="27" t="s">
        <v>197</v>
      </c>
      <c r="C29" s="27" t="s">
        <v>199</v>
      </c>
      <c r="D29" s="31">
        <v>439349</v>
      </c>
      <c r="E29" s="29">
        <v>1179.4323910000001</v>
      </c>
      <c r="F29" s="30">
        <v>1.02737519599492</v>
      </c>
    </row>
    <row r="30" spans="1:6" x14ac:dyDescent="0.2">
      <c r="A30" s="27" t="s">
        <v>283</v>
      </c>
      <c r="B30" s="27" t="s">
        <v>282</v>
      </c>
      <c r="C30" s="27" t="s">
        <v>284</v>
      </c>
      <c r="D30" s="31">
        <v>154134</v>
      </c>
      <c r="E30" s="29">
        <v>1176.273621</v>
      </c>
      <c r="F30" s="30">
        <v>1.0246236674014899</v>
      </c>
    </row>
    <row r="31" spans="1:6" x14ac:dyDescent="0.2">
      <c r="A31" s="27" t="s">
        <v>148</v>
      </c>
      <c r="B31" s="27" t="s">
        <v>147</v>
      </c>
      <c r="C31" s="27" t="s">
        <v>149</v>
      </c>
      <c r="D31" s="31">
        <v>155566</v>
      </c>
      <c r="E31" s="29">
        <v>1156.0109460000001</v>
      </c>
      <c r="F31" s="30">
        <v>1.0069733384310799</v>
      </c>
    </row>
    <row r="32" spans="1:6" x14ac:dyDescent="0.2">
      <c r="A32" s="27" t="s">
        <v>121</v>
      </c>
      <c r="B32" s="27" t="s">
        <v>120</v>
      </c>
      <c r="C32" s="27" t="s">
        <v>122</v>
      </c>
      <c r="D32" s="31">
        <v>64045</v>
      </c>
      <c r="E32" s="29">
        <v>1091.5829799999999</v>
      </c>
      <c r="F32" s="30">
        <v>0.95085168643822304</v>
      </c>
    </row>
    <row r="33" spans="1:9" x14ac:dyDescent="0.2">
      <c r="A33" s="27" t="s">
        <v>153</v>
      </c>
      <c r="B33" s="27" t="s">
        <v>152</v>
      </c>
      <c r="C33" s="27" t="s">
        <v>149</v>
      </c>
      <c r="D33" s="31">
        <v>28265</v>
      </c>
      <c r="E33" s="29">
        <v>1082.4364399999999</v>
      </c>
      <c r="F33" s="30">
        <v>0.94288435537551696</v>
      </c>
    </row>
    <row r="34" spans="1:9" x14ac:dyDescent="0.2">
      <c r="A34" s="27" t="s">
        <v>171</v>
      </c>
      <c r="B34" s="27" t="s">
        <v>170</v>
      </c>
      <c r="C34" s="27" t="s">
        <v>172</v>
      </c>
      <c r="D34" s="31">
        <v>64691</v>
      </c>
      <c r="E34" s="29">
        <v>1003.583829</v>
      </c>
      <c r="F34" s="30">
        <v>0.87419774196807198</v>
      </c>
    </row>
    <row r="35" spans="1:9" x14ac:dyDescent="0.2">
      <c r="A35" s="27" t="s">
        <v>211</v>
      </c>
      <c r="B35" s="27" t="s">
        <v>210</v>
      </c>
      <c r="C35" s="27" t="s">
        <v>130</v>
      </c>
      <c r="D35" s="31">
        <v>972460</v>
      </c>
      <c r="E35" s="29">
        <v>1003.09249</v>
      </c>
      <c r="F35" s="30">
        <v>0.873769748379565</v>
      </c>
    </row>
    <row r="36" spans="1:9" x14ac:dyDescent="0.2">
      <c r="A36" s="27" t="s">
        <v>286</v>
      </c>
      <c r="B36" s="27" t="s">
        <v>285</v>
      </c>
      <c r="C36" s="27" t="s">
        <v>149</v>
      </c>
      <c r="D36" s="31">
        <v>739545</v>
      </c>
      <c r="E36" s="29">
        <v>982.11576000000002</v>
      </c>
      <c r="F36" s="30">
        <v>0.85549742326832201</v>
      </c>
    </row>
    <row r="37" spans="1:9" x14ac:dyDescent="0.2">
      <c r="A37" s="27" t="s">
        <v>132</v>
      </c>
      <c r="B37" s="27" t="s">
        <v>131</v>
      </c>
      <c r="C37" s="27" t="s">
        <v>133</v>
      </c>
      <c r="D37" s="31">
        <v>20000</v>
      </c>
      <c r="E37" s="29">
        <v>942.24</v>
      </c>
      <c r="F37" s="30">
        <v>0.82076260755691799</v>
      </c>
    </row>
    <row r="38" spans="1:9" x14ac:dyDescent="0.2">
      <c r="A38" s="27" t="s">
        <v>236</v>
      </c>
      <c r="B38" s="27" t="s">
        <v>235</v>
      </c>
      <c r="C38" s="27" t="s">
        <v>149</v>
      </c>
      <c r="D38" s="31">
        <v>658906</v>
      </c>
      <c r="E38" s="29">
        <v>920.82113500000003</v>
      </c>
      <c r="F38" s="30">
        <v>0.80210514927844401</v>
      </c>
    </row>
    <row r="39" spans="1:9" x14ac:dyDescent="0.2">
      <c r="A39" s="27" t="s">
        <v>129</v>
      </c>
      <c r="B39" s="27" t="s">
        <v>128</v>
      </c>
      <c r="C39" s="27" t="s">
        <v>130</v>
      </c>
      <c r="D39" s="31">
        <v>339633</v>
      </c>
      <c r="E39" s="29">
        <v>886.95157949999998</v>
      </c>
      <c r="F39" s="30">
        <v>0.77260219388600304</v>
      </c>
    </row>
    <row r="40" spans="1:9" x14ac:dyDescent="0.2">
      <c r="A40" s="27" t="s">
        <v>288</v>
      </c>
      <c r="B40" s="27" t="s">
        <v>287</v>
      </c>
      <c r="C40" s="27" t="s">
        <v>289</v>
      </c>
      <c r="D40" s="31">
        <v>753071</v>
      </c>
      <c r="E40" s="29">
        <v>868.29086299999994</v>
      </c>
      <c r="F40" s="30">
        <v>0.75634729244537102</v>
      </c>
    </row>
    <row r="41" spans="1:9" x14ac:dyDescent="0.2">
      <c r="A41" s="27" t="s">
        <v>215</v>
      </c>
      <c r="B41" s="27" t="s">
        <v>214</v>
      </c>
      <c r="C41" s="27" t="s">
        <v>125</v>
      </c>
      <c r="D41" s="31">
        <v>621258</v>
      </c>
      <c r="E41" s="29">
        <v>866.96553900000004</v>
      </c>
      <c r="F41" s="30">
        <v>0.75519283457678399</v>
      </c>
    </row>
    <row r="42" spans="1:9" x14ac:dyDescent="0.2">
      <c r="A42" s="27" t="s">
        <v>291</v>
      </c>
      <c r="B42" s="27" t="s">
        <v>290</v>
      </c>
      <c r="C42" s="27" t="s">
        <v>142</v>
      </c>
      <c r="D42" s="31">
        <v>100000</v>
      </c>
      <c r="E42" s="29">
        <v>838.8</v>
      </c>
      <c r="F42" s="30">
        <v>0.73065851080270705</v>
      </c>
    </row>
    <row r="43" spans="1:9" x14ac:dyDescent="0.2">
      <c r="A43" s="26" t="s">
        <v>35</v>
      </c>
      <c r="B43" s="26"/>
      <c r="C43" s="26"/>
      <c r="D43" s="32"/>
      <c r="E43" s="33">
        <f>SUM(E7:E42)</f>
        <v>81602.633050500008</v>
      </c>
      <c r="F43" s="34">
        <f>SUM(F7:F42)</f>
        <v>71.08209149053188</v>
      </c>
      <c r="G43" s="18"/>
      <c r="H43" s="18"/>
      <c r="I43" s="18"/>
    </row>
    <row r="44" spans="1:9" x14ac:dyDescent="0.2">
      <c r="A44" s="27"/>
      <c r="B44" s="27"/>
      <c r="C44" s="27"/>
      <c r="D44" s="28"/>
      <c r="E44" s="29"/>
      <c r="F44" s="30"/>
    </row>
    <row r="45" spans="1:9" x14ac:dyDescent="0.2">
      <c r="A45" s="26" t="s">
        <v>176</v>
      </c>
      <c r="B45" s="27"/>
      <c r="C45" s="27"/>
      <c r="D45" s="28"/>
      <c r="E45" s="29"/>
      <c r="F45" s="30"/>
    </row>
    <row r="46" spans="1:9" x14ac:dyDescent="0.2">
      <c r="A46" s="27" t="s">
        <v>178</v>
      </c>
      <c r="B46" s="27" t="s">
        <v>177</v>
      </c>
      <c r="C46" s="27" t="s">
        <v>360</v>
      </c>
      <c r="D46" s="31">
        <v>1483400</v>
      </c>
      <c r="E46" s="29">
        <v>5366.7928599999996</v>
      </c>
      <c r="F46" s="30">
        <v>4.6748842142038596</v>
      </c>
    </row>
    <row r="47" spans="1:9" x14ac:dyDescent="0.2">
      <c r="A47" s="27" t="s">
        <v>230</v>
      </c>
      <c r="B47" s="27" t="s">
        <v>229</v>
      </c>
      <c r="C47" s="27" t="s">
        <v>360</v>
      </c>
      <c r="D47" s="31">
        <v>1671600</v>
      </c>
      <c r="E47" s="29">
        <v>4416.0328799999997</v>
      </c>
      <c r="F47" s="30">
        <v>3.8467000569344201</v>
      </c>
    </row>
    <row r="48" spans="1:9" x14ac:dyDescent="0.2">
      <c r="A48" s="26" t="s">
        <v>35</v>
      </c>
      <c r="B48" s="26"/>
      <c r="C48" s="26"/>
      <c r="D48" s="32"/>
      <c r="E48" s="33">
        <f>SUM(E45:E47)</f>
        <v>9782.8257400000002</v>
      </c>
      <c r="F48" s="34">
        <f>SUM(F45:F47)</f>
        <v>8.5215842711382805</v>
      </c>
      <c r="G48" s="18"/>
      <c r="H48" s="18"/>
      <c r="I48" s="18"/>
    </row>
    <row r="49" spans="1:9" x14ac:dyDescent="0.2">
      <c r="A49" s="27"/>
      <c r="B49" s="27"/>
      <c r="C49" s="27"/>
      <c r="D49" s="28"/>
      <c r="E49" s="29"/>
      <c r="F49" s="30"/>
    </row>
    <row r="50" spans="1:9" x14ac:dyDescent="0.2">
      <c r="A50" s="26" t="s">
        <v>292</v>
      </c>
      <c r="B50" s="27"/>
      <c r="C50" s="27"/>
      <c r="D50" s="28"/>
      <c r="E50" s="29"/>
      <c r="F50" s="30"/>
    </row>
    <row r="51" spans="1:9" x14ac:dyDescent="0.2">
      <c r="A51" s="27" t="s">
        <v>294</v>
      </c>
      <c r="B51" s="27" t="s">
        <v>293</v>
      </c>
      <c r="C51" s="27" t="s">
        <v>122</v>
      </c>
      <c r="D51" s="31">
        <v>86900</v>
      </c>
      <c r="E51" s="29">
        <v>3719.6248449999998</v>
      </c>
      <c r="F51" s="30">
        <v>3.2400757629857502</v>
      </c>
    </row>
    <row r="52" spans="1:9" x14ac:dyDescent="0.2">
      <c r="A52" s="27" t="s">
        <v>296</v>
      </c>
      <c r="B52" s="27" t="s">
        <v>295</v>
      </c>
      <c r="C52" s="27" t="s">
        <v>205</v>
      </c>
      <c r="D52" s="31">
        <v>187038</v>
      </c>
      <c r="E52" s="29">
        <v>2545.6598819999999</v>
      </c>
      <c r="F52" s="30">
        <v>2.21746311205569</v>
      </c>
    </row>
    <row r="53" spans="1:9" x14ac:dyDescent="0.2">
      <c r="A53" s="27" t="s">
        <v>298</v>
      </c>
      <c r="B53" s="27" t="s">
        <v>297</v>
      </c>
      <c r="C53" s="27" t="s">
        <v>114</v>
      </c>
      <c r="D53" s="31">
        <v>2297307</v>
      </c>
      <c r="E53" s="29">
        <v>2371.261559</v>
      </c>
      <c r="F53" s="30">
        <v>2.0655489263503202</v>
      </c>
    </row>
    <row r="54" spans="1:9" x14ac:dyDescent="0.2">
      <c r="A54" s="27" t="s">
        <v>300</v>
      </c>
      <c r="B54" s="27" t="s">
        <v>299</v>
      </c>
      <c r="C54" s="27" t="s">
        <v>301</v>
      </c>
      <c r="D54" s="31">
        <v>1575983</v>
      </c>
      <c r="E54" s="29">
        <v>2354.0614270000001</v>
      </c>
      <c r="F54" s="30">
        <v>2.0505663049474401</v>
      </c>
    </row>
    <row r="55" spans="1:9" x14ac:dyDescent="0.2">
      <c r="A55" s="27" t="s">
        <v>303</v>
      </c>
      <c r="B55" s="27" t="s">
        <v>302</v>
      </c>
      <c r="C55" s="27" t="s">
        <v>304</v>
      </c>
      <c r="D55" s="31">
        <v>2562198</v>
      </c>
      <c r="E55" s="29">
        <v>1842.7349079999999</v>
      </c>
      <c r="F55" s="30">
        <v>1.6051620692458799</v>
      </c>
    </row>
    <row r="56" spans="1:9" x14ac:dyDescent="0.2">
      <c r="A56" s="27" t="s">
        <v>306</v>
      </c>
      <c r="B56" s="27" t="s">
        <v>305</v>
      </c>
      <c r="C56" s="27" t="s">
        <v>307</v>
      </c>
      <c r="D56" s="31">
        <v>500000</v>
      </c>
      <c r="E56" s="29">
        <v>819.02045529999998</v>
      </c>
      <c r="F56" s="30">
        <v>0.71342902501961503</v>
      </c>
    </row>
    <row r="57" spans="1:9" x14ac:dyDescent="0.2">
      <c r="A57" s="27" t="s">
        <v>309</v>
      </c>
      <c r="B57" s="27" t="s">
        <v>308</v>
      </c>
      <c r="C57" s="27" t="s">
        <v>98</v>
      </c>
      <c r="D57" s="31">
        <v>633055</v>
      </c>
      <c r="E57" s="29">
        <v>800.12352339999995</v>
      </c>
      <c r="F57" s="30">
        <v>0.69696836202391399</v>
      </c>
    </row>
    <row r="58" spans="1:9" x14ac:dyDescent="0.2">
      <c r="A58" s="26" t="s">
        <v>35</v>
      </c>
      <c r="B58" s="26"/>
      <c r="C58" s="26"/>
      <c r="D58" s="32"/>
      <c r="E58" s="33">
        <f>SUM(E50:E57)</f>
        <v>14452.486599700002</v>
      </c>
      <c r="F58" s="34">
        <f>SUM(F50:F57)</f>
        <v>12.589213562628608</v>
      </c>
      <c r="G58" s="18"/>
      <c r="H58" s="18"/>
      <c r="I58" s="18"/>
    </row>
    <row r="59" spans="1:9" x14ac:dyDescent="0.2">
      <c r="A59" s="27"/>
      <c r="B59" s="27"/>
      <c r="C59" s="27"/>
      <c r="D59" s="28"/>
      <c r="E59" s="29"/>
      <c r="F59" s="30"/>
    </row>
    <row r="60" spans="1:9" x14ac:dyDescent="0.2">
      <c r="A60" s="26" t="s">
        <v>37</v>
      </c>
      <c r="B60" s="26"/>
      <c r="C60" s="26"/>
      <c r="D60" s="32"/>
      <c r="E60" s="33">
        <f>E43+E48+E58</f>
        <v>105837.94539020001</v>
      </c>
      <c r="F60" s="34">
        <f>F43+F48+F58</f>
        <v>92.192889324298761</v>
      </c>
      <c r="G60" s="18"/>
      <c r="H60" s="18"/>
      <c r="I60" s="18"/>
    </row>
    <row r="61" spans="1:9" x14ac:dyDescent="0.2">
      <c r="A61" s="26"/>
      <c r="B61" s="26"/>
      <c r="C61" s="26"/>
      <c r="D61" s="32"/>
      <c r="E61" s="33"/>
      <c r="F61" s="34"/>
      <c r="G61" s="18"/>
      <c r="H61" s="18"/>
      <c r="I61" s="18"/>
    </row>
    <row r="62" spans="1:9" x14ac:dyDescent="0.2">
      <c r="A62" s="26" t="s">
        <v>39</v>
      </c>
      <c r="B62" s="26"/>
      <c r="C62" s="26"/>
      <c r="D62" s="32"/>
      <c r="E62" s="33">
        <f>E64-(E43+E48+E58)</f>
        <v>8962.6061120999948</v>
      </c>
      <c r="F62" s="34">
        <f>F64-(F43+F48+F58)</f>
        <v>7.8071106757012387</v>
      </c>
      <c r="G62" s="18"/>
      <c r="H62" s="18"/>
      <c r="I62" s="18"/>
    </row>
    <row r="63" spans="1:9" x14ac:dyDescent="0.2">
      <c r="A63" s="26"/>
      <c r="B63" s="26"/>
      <c r="C63" s="26"/>
      <c r="D63" s="32"/>
      <c r="E63" s="33"/>
      <c r="F63" s="34"/>
      <c r="G63" s="18"/>
      <c r="H63" s="18"/>
      <c r="I63" s="18"/>
    </row>
    <row r="64" spans="1:9" x14ac:dyDescent="0.2">
      <c r="A64" s="35" t="s">
        <v>38</v>
      </c>
      <c r="B64" s="35"/>
      <c r="C64" s="35"/>
      <c r="D64" s="36"/>
      <c r="E64" s="37">
        <v>114800.5515023</v>
      </c>
      <c r="F64" s="38">
        <v>100</v>
      </c>
      <c r="G64" s="18"/>
      <c r="H64" s="18"/>
      <c r="I64" s="18"/>
    </row>
    <row r="67" spans="1:4" x14ac:dyDescent="0.2">
      <c r="A67" s="18" t="s">
        <v>41</v>
      </c>
    </row>
    <row r="68" spans="1:4" x14ac:dyDescent="0.2">
      <c r="A68" s="18" t="s">
        <v>42</v>
      </c>
    </row>
    <row r="69" spans="1:4" x14ac:dyDescent="0.2">
      <c r="A69" s="18" t="s">
        <v>43</v>
      </c>
      <c r="B69" s="18"/>
      <c r="C69" s="39" t="s">
        <v>45</v>
      </c>
      <c r="D69" s="19" t="s">
        <v>44</v>
      </c>
    </row>
    <row r="70" spans="1:4" x14ac:dyDescent="0.2">
      <c r="A70" s="9" t="s">
        <v>68</v>
      </c>
      <c r="C70" s="40">
        <v>56.622700000000002</v>
      </c>
      <c r="D70" s="40">
        <v>74.391599999999997</v>
      </c>
    </row>
    <row r="71" spans="1:4" x14ac:dyDescent="0.2">
      <c r="A71" s="9" t="s">
        <v>74</v>
      </c>
      <c r="C71" s="40">
        <v>15.548500000000001</v>
      </c>
      <c r="D71" s="40">
        <v>19.5518</v>
      </c>
    </row>
    <row r="72" spans="1:4" x14ac:dyDescent="0.2">
      <c r="A72" s="9" t="s">
        <v>71</v>
      </c>
      <c r="C72" s="40">
        <v>59.8386</v>
      </c>
      <c r="D72" s="40">
        <v>78.901799999999994</v>
      </c>
    </row>
    <row r="73" spans="1:4" x14ac:dyDescent="0.2">
      <c r="A73" s="9" t="s">
        <v>75</v>
      </c>
      <c r="C73" s="40">
        <v>16.767499999999998</v>
      </c>
      <c r="D73" s="40">
        <v>21.2271</v>
      </c>
    </row>
    <row r="75" spans="1:4" x14ac:dyDescent="0.2">
      <c r="A75" s="18" t="s">
        <v>47</v>
      </c>
    </row>
    <row r="76" spans="1:4" x14ac:dyDescent="0.2">
      <c r="A76" s="74" t="s">
        <v>65</v>
      </c>
      <c r="B76" s="75"/>
      <c r="C76" s="43" t="s">
        <v>66</v>
      </c>
    </row>
    <row r="77" spans="1:4" x14ac:dyDescent="0.2">
      <c r="A77" s="70" t="s">
        <v>74</v>
      </c>
      <c r="B77" s="71"/>
      <c r="C77" s="44">
        <v>0.75</v>
      </c>
    </row>
    <row r="78" spans="1:4" x14ac:dyDescent="0.2">
      <c r="A78" s="70" t="s">
        <v>75</v>
      </c>
      <c r="B78" s="71"/>
      <c r="C78" s="44">
        <v>0.75</v>
      </c>
    </row>
    <row r="79" spans="1:4" x14ac:dyDescent="0.2">
      <c r="A79" s="9" t="s">
        <v>67</v>
      </c>
    </row>
    <row r="80" spans="1:4" x14ac:dyDescent="0.2">
      <c r="A80" s="9" t="s">
        <v>46</v>
      </c>
    </row>
    <row r="82" spans="1:4" x14ac:dyDescent="0.2">
      <c r="A82" s="18" t="s">
        <v>218</v>
      </c>
      <c r="D82" s="45">
        <v>0.12920000000000001</v>
      </c>
    </row>
    <row r="84" spans="1:4" x14ac:dyDescent="0.2">
      <c r="A84" s="18" t="s">
        <v>94</v>
      </c>
    </row>
    <row r="85" spans="1:4" x14ac:dyDescent="0.2">
      <c r="A85" s="50" t="s">
        <v>51</v>
      </c>
    </row>
  </sheetData>
  <mergeCells count="4">
    <mergeCell ref="A1:F1"/>
    <mergeCell ref="A76:B76"/>
    <mergeCell ref="A77:B77"/>
    <mergeCell ref="A78:B78"/>
  </mergeCells>
  <conditionalFormatting sqref="F2:F3 F5:F65534">
    <cfRule type="cellIs" dxfId="24" priority="1" stopIfTrue="1" operator="between">
      <formula>0.009</formula>
      <formula>-0.009</formula>
    </cfRule>
  </conditionalFormatting>
  <hyperlinks>
    <hyperlink ref="A85" r:id="rId1"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74"/>
  <sheetViews>
    <sheetView workbookViewId="0">
      <selection sqref="A1:F1"/>
    </sheetView>
  </sheetViews>
  <sheetFormatPr defaultColWidth="9.109375" defaultRowHeight="10.199999999999999" x14ac:dyDescent="0.2"/>
  <cols>
    <col min="1" max="1" width="38.6640625" style="9" bestFit="1" customWidth="1"/>
    <col min="2" max="2" width="33.109375" style="9" bestFit="1" customWidth="1"/>
    <col min="3" max="3" width="26.88671875" style="9" bestFit="1" customWidth="1"/>
    <col min="4" max="4" width="14.6640625" style="10" bestFit="1" customWidth="1"/>
    <col min="5" max="5" width="23" style="13" bestFit="1" customWidth="1"/>
    <col min="6" max="6" width="13.5546875" style="14" bestFit="1" customWidth="1"/>
    <col min="7" max="16384" width="9.109375" style="9"/>
  </cols>
  <sheetData>
    <row r="1" spans="1:6" s="1" customFormat="1" ht="13.8" x14ac:dyDescent="0.2">
      <c r="A1" s="72" t="s">
        <v>12</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945647</v>
      </c>
      <c r="E7" s="29">
        <v>15229.64494</v>
      </c>
      <c r="F7" s="30">
        <v>23.898948315605899</v>
      </c>
    </row>
    <row r="8" spans="1:6" x14ac:dyDescent="0.2">
      <c r="A8" s="27" t="s">
        <v>234</v>
      </c>
      <c r="B8" s="27" t="s">
        <v>233</v>
      </c>
      <c r="C8" s="27" t="s">
        <v>98</v>
      </c>
      <c r="D8" s="31">
        <v>570000</v>
      </c>
      <c r="E8" s="29">
        <v>5842.2150000000001</v>
      </c>
      <c r="F8" s="30">
        <v>9.1678299056693309</v>
      </c>
    </row>
    <row r="9" spans="1:6" x14ac:dyDescent="0.2">
      <c r="A9" s="27" t="s">
        <v>137</v>
      </c>
      <c r="B9" s="27" t="s">
        <v>136</v>
      </c>
      <c r="C9" s="27" t="s">
        <v>98</v>
      </c>
      <c r="D9" s="31">
        <v>176000</v>
      </c>
      <c r="E9" s="29">
        <v>5574.7120000000004</v>
      </c>
      <c r="F9" s="30">
        <v>8.7480538441487798</v>
      </c>
    </row>
    <row r="10" spans="1:6" x14ac:dyDescent="0.2">
      <c r="A10" s="27" t="s">
        <v>196</v>
      </c>
      <c r="B10" s="27" t="s">
        <v>195</v>
      </c>
      <c r="C10" s="27" t="s">
        <v>98</v>
      </c>
      <c r="D10" s="31">
        <v>320000</v>
      </c>
      <c r="E10" s="29">
        <v>3870.56</v>
      </c>
      <c r="F10" s="30">
        <v>6.07383256516363</v>
      </c>
    </row>
    <row r="11" spans="1:6" x14ac:dyDescent="0.2">
      <c r="A11" s="27" t="s">
        <v>311</v>
      </c>
      <c r="B11" s="27" t="s">
        <v>310</v>
      </c>
      <c r="C11" s="27" t="s">
        <v>156</v>
      </c>
      <c r="D11" s="31">
        <v>73229</v>
      </c>
      <c r="E11" s="29">
        <v>3818.7458919999999</v>
      </c>
      <c r="F11" s="30">
        <v>5.9925238613829697</v>
      </c>
    </row>
    <row r="12" spans="1:6" x14ac:dyDescent="0.2">
      <c r="A12" s="27" t="s">
        <v>110</v>
      </c>
      <c r="B12" s="27" t="s">
        <v>109</v>
      </c>
      <c r="C12" s="27" t="s">
        <v>111</v>
      </c>
      <c r="D12" s="31">
        <v>600000</v>
      </c>
      <c r="E12" s="29">
        <v>3369.9</v>
      </c>
      <c r="F12" s="30">
        <v>5.28817751471232</v>
      </c>
    </row>
    <row r="13" spans="1:6" x14ac:dyDescent="0.2">
      <c r="A13" s="27" t="s">
        <v>281</v>
      </c>
      <c r="B13" s="27" t="s">
        <v>280</v>
      </c>
      <c r="C13" s="27" t="s">
        <v>98</v>
      </c>
      <c r="D13" s="31">
        <v>200000</v>
      </c>
      <c r="E13" s="29">
        <v>1973.4</v>
      </c>
      <c r="F13" s="30">
        <v>3.0967356620473301</v>
      </c>
    </row>
    <row r="14" spans="1:6" x14ac:dyDescent="0.2">
      <c r="A14" s="27" t="s">
        <v>313</v>
      </c>
      <c r="B14" s="27" t="s">
        <v>312</v>
      </c>
      <c r="C14" s="27" t="s">
        <v>156</v>
      </c>
      <c r="D14" s="31">
        <v>1322618</v>
      </c>
      <c r="E14" s="29">
        <v>1765.6950300000001</v>
      </c>
      <c r="F14" s="30">
        <v>2.7707969837340301</v>
      </c>
    </row>
    <row r="15" spans="1:6" x14ac:dyDescent="0.2">
      <c r="A15" s="27" t="s">
        <v>315</v>
      </c>
      <c r="B15" s="27" t="s">
        <v>314</v>
      </c>
      <c r="C15" s="27" t="s">
        <v>98</v>
      </c>
      <c r="D15" s="31">
        <v>31000</v>
      </c>
      <c r="E15" s="29">
        <v>1452.1485</v>
      </c>
      <c r="F15" s="30">
        <v>2.2787676327853101</v>
      </c>
    </row>
    <row r="16" spans="1:6" x14ac:dyDescent="0.2">
      <c r="A16" s="27" t="s">
        <v>317</v>
      </c>
      <c r="B16" s="27" t="s">
        <v>316</v>
      </c>
      <c r="C16" s="27" t="s">
        <v>156</v>
      </c>
      <c r="D16" s="31">
        <v>6000</v>
      </c>
      <c r="E16" s="29">
        <v>428.71499999999997</v>
      </c>
      <c r="F16" s="30">
        <v>0.67275617176174196</v>
      </c>
    </row>
    <row r="17" spans="1:9" x14ac:dyDescent="0.2">
      <c r="A17" s="27" t="s">
        <v>319</v>
      </c>
      <c r="B17" s="27" t="s">
        <v>318</v>
      </c>
      <c r="C17" s="27" t="s">
        <v>98</v>
      </c>
      <c r="D17" s="31">
        <v>7500</v>
      </c>
      <c r="E17" s="29">
        <v>313.89375000000001</v>
      </c>
      <c r="F17" s="30">
        <v>0.49257422201214601</v>
      </c>
    </row>
    <row r="18" spans="1:9" x14ac:dyDescent="0.2">
      <c r="A18" s="27" t="s">
        <v>321</v>
      </c>
      <c r="B18" s="27" t="s">
        <v>320</v>
      </c>
      <c r="C18" s="27" t="s">
        <v>98</v>
      </c>
      <c r="D18" s="31">
        <v>63629</v>
      </c>
      <c r="E18" s="29">
        <v>262.62869749999999</v>
      </c>
      <c r="F18" s="30">
        <v>0.41212711737371599</v>
      </c>
    </row>
    <row r="19" spans="1:9" x14ac:dyDescent="0.2">
      <c r="A19" s="26" t="s">
        <v>35</v>
      </c>
      <c r="B19" s="26"/>
      <c r="C19" s="26"/>
      <c r="D19" s="32"/>
      <c r="E19" s="33">
        <f>SUM(E7:E18)</f>
        <v>43902.25880950001</v>
      </c>
      <c r="F19" s="34">
        <f>SUM(F7:F18)</f>
        <v>68.893123796397205</v>
      </c>
      <c r="G19" s="18"/>
      <c r="H19" s="18"/>
      <c r="I19" s="18"/>
    </row>
    <row r="20" spans="1:9" x14ac:dyDescent="0.2">
      <c r="A20" s="27"/>
      <c r="B20" s="27"/>
      <c r="C20" s="27"/>
      <c r="D20" s="28"/>
      <c r="E20" s="29"/>
      <c r="F20" s="30"/>
    </row>
    <row r="21" spans="1:9" x14ac:dyDescent="0.2">
      <c r="A21" s="26" t="s">
        <v>225</v>
      </c>
      <c r="B21" s="27"/>
      <c r="C21" s="27"/>
      <c r="D21" s="28"/>
      <c r="E21" s="29"/>
      <c r="F21" s="30"/>
    </row>
    <row r="22" spans="1:9" x14ac:dyDescent="0.2">
      <c r="A22" s="27"/>
      <c r="B22" s="27" t="s">
        <v>726</v>
      </c>
      <c r="C22" s="27" t="s">
        <v>98</v>
      </c>
      <c r="D22" s="31">
        <v>970000</v>
      </c>
      <c r="E22" s="29">
        <v>9.7000000000000003E-2</v>
      </c>
      <c r="F22" s="30">
        <v>1.5221615446366199E-4</v>
      </c>
    </row>
    <row r="23" spans="1:9" x14ac:dyDescent="0.2">
      <c r="A23" s="26" t="s">
        <v>35</v>
      </c>
      <c r="B23" s="26"/>
      <c r="C23" s="26"/>
      <c r="D23" s="32"/>
      <c r="E23" s="33">
        <f>SUM(E21:E22)</f>
        <v>9.7000000000000003E-2</v>
      </c>
      <c r="F23" s="34">
        <f>SUM(F21:F22)</f>
        <v>1.5221615446366199E-4</v>
      </c>
      <c r="G23" s="18"/>
      <c r="H23" s="18"/>
      <c r="I23" s="18"/>
    </row>
    <row r="24" spans="1:9" x14ac:dyDescent="0.2">
      <c r="A24" s="27"/>
      <c r="B24" s="27"/>
      <c r="C24" s="27"/>
      <c r="D24" s="28"/>
      <c r="E24" s="29"/>
      <c r="F24" s="30"/>
    </row>
    <row r="25" spans="1:9" x14ac:dyDescent="0.2">
      <c r="A25" s="26" t="s">
        <v>292</v>
      </c>
      <c r="B25" s="27"/>
      <c r="C25" s="27"/>
      <c r="D25" s="28"/>
      <c r="E25" s="29"/>
      <c r="F25" s="30"/>
    </row>
    <row r="26" spans="1:9" x14ac:dyDescent="0.2">
      <c r="A26" s="27" t="s">
        <v>323</v>
      </c>
      <c r="B26" s="27" t="s">
        <v>322</v>
      </c>
      <c r="C26" s="27" t="s">
        <v>98</v>
      </c>
      <c r="D26" s="31">
        <v>82135</v>
      </c>
      <c r="E26" s="29">
        <v>1739.4968369999999</v>
      </c>
      <c r="F26" s="30">
        <v>2.7296857652561202</v>
      </c>
    </row>
    <row r="27" spans="1:9" x14ac:dyDescent="0.2">
      <c r="A27" s="27" t="s">
        <v>325</v>
      </c>
      <c r="B27" s="27" t="s">
        <v>324</v>
      </c>
      <c r="C27" s="27" t="s">
        <v>307</v>
      </c>
      <c r="D27" s="31">
        <v>78000</v>
      </c>
      <c r="E27" s="29">
        <v>1204.958875</v>
      </c>
      <c r="F27" s="30">
        <v>1.89086810556042</v>
      </c>
    </row>
    <row r="28" spans="1:9" x14ac:dyDescent="0.2">
      <c r="A28" s="27" t="s">
        <v>327</v>
      </c>
      <c r="B28" s="27" t="s">
        <v>326</v>
      </c>
      <c r="C28" s="27" t="s">
        <v>328</v>
      </c>
      <c r="D28" s="31">
        <v>5173</v>
      </c>
      <c r="E28" s="29">
        <v>931.30661970000006</v>
      </c>
      <c r="F28" s="30">
        <v>1.4614423946112001</v>
      </c>
    </row>
    <row r="29" spans="1:9" x14ac:dyDescent="0.2">
      <c r="A29" s="27" t="s">
        <v>330</v>
      </c>
      <c r="B29" s="27" t="s">
        <v>329</v>
      </c>
      <c r="C29" s="27" t="s">
        <v>331</v>
      </c>
      <c r="D29" s="31">
        <v>8200</v>
      </c>
      <c r="E29" s="29">
        <v>914.08409400000005</v>
      </c>
      <c r="F29" s="30">
        <v>1.4344161406709399</v>
      </c>
    </row>
    <row r="30" spans="1:9" x14ac:dyDescent="0.2">
      <c r="A30" s="27" t="s">
        <v>333</v>
      </c>
      <c r="B30" s="27" t="s">
        <v>332</v>
      </c>
      <c r="C30" s="27" t="s">
        <v>307</v>
      </c>
      <c r="D30" s="31">
        <v>37000</v>
      </c>
      <c r="E30" s="29">
        <v>896.79410499999994</v>
      </c>
      <c r="F30" s="30">
        <v>1.40728402070909</v>
      </c>
    </row>
    <row r="31" spans="1:9" x14ac:dyDescent="0.2">
      <c r="A31" s="27" t="s">
        <v>335</v>
      </c>
      <c r="B31" s="27" t="s">
        <v>334</v>
      </c>
      <c r="C31" s="27" t="s">
        <v>307</v>
      </c>
      <c r="D31" s="31">
        <v>6000</v>
      </c>
      <c r="E31" s="29">
        <v>870.61085100000003</v>
      </c>
      <c r="F31" s="30">
        <v>1.3661962450882099</v>
      </c>
    </row>
    <row r="32" spans="1:9" x14ac:dyDescent="0.2">
      <c r="A32" s="27" t="s">
        <v>337</v>
      </c>
      <c r="B32" s="27" t="s">
        <v>336</v>
      </c>
      <c r="C32" s="27" t="s">
        <v>307</v>
      </c>
      <c r="D32" s="31">
        <v>17000</v>
      </c>
      <c r="E32" s="29">
        <v>864.736896</v>
      </c>
      <c r="F32" s="30">
        <v>1.35697860754602</v>
      </c>
    </row>
    <row r="33" spans="1:9" x14ac:dyDescent="0.2">
      <c r="A33" s="27" t="s">
        <v>339</v>
      </c>
      <c r="B33" s="27" t="s">
        <v>338</v>
      </c>
      <c r="C33" s="27" t="s">
        <v>98</v>
      </c>
      <c r="D33" s="31">
        <v>3100</v>
      </c>
      <c r="E33" s="29">
        <v>657.24890719999996</v>
      </c>
      <c r="F33" s="30">
        <v>1.0313804245301901</v>
      </c>
    </row>
    <row r="34" spans="1:9" x14ac:dyDescent="0.2">
      <c r="A34" s="27" t="s">
        <v>341</v>
      </c>
      <c r="B34" s="27" t="s">
        <v>340</v>
      </c>
      <c r="C34" s="27" t="s">
        <v>307</v>
      </c>
      <c r="D34" s="31">
        <v>14982</v>
      </c>
      <c r="E34" s="29">
        <v>598.91650670000001</v>
      </c>
      <c r="F34" s="30">
        <v>0.93984296386272403</v>
      </c>
    </row>
    <row r="35" spans="1:9" x14ac:dyDescent="0.2">
      <c r="A35" s="27" t="s">
        <v>343</v>
      </c>
      <c r="B35" s="27" t="s">
        <v>342</v>
      </c>
      <c r="C35" s="27" t="s">
        <v>98</v>
      </c>
      <c r="D35" s="31">
        <v>267</v>
      </c>
      <c r="E35" s="29">
        <v>535.37091139999995</v>
      </c>
      <c r="F35" s="30">
        <v>0.84012475613416504</v>
      </c>
    </row>
    <row r="36" spans="1:9" x14ac:dyDescent="0.2">
      <c r="A36" s="27" t="s">
        <v>345</v>
      </c>
      <c r="B36" s="27" t="s">
        <v>344</v>
      </c>
      <c r="C36" s="27" t="s">
        <v>98</v>
      </c>
      <c r="D36" s="31">
        <v>14000</v>
      </c>
      <c r="E36" s="29">
        <v>452.77062599999999</v>
      </c>
      <c r="F36" s="30">
        <v>0.71050519117345401</v>
      </c>
    </row>
    <row r="37" spans="1:9" x14ac:dyDescent="0.2">
      <c r="A37" s="27" t="s">
        <v>347</v>
      </c>
      <c r="B37" s="27" t="s">
        <v>346</v>
      </c>
      <c r="C37" s="27" t="s">
        <v>156</v>
      </c>
      <c r="D37" s="31">
        <v>23400</v>
      </c>
      <c r="E37" s="29">
        <v>423.46675970000001</v>
      </c>
      <c r="F37" s="30">
        <v>0.66452042994558502</v>
      </c>
    </row>
    <row r="38" spans="1:9" x14ac:dyDescent="0.2">
      <c r="A38" s="27" t="s">
        <v>349</v>
      </c>
      <c r="B38" s="27" t="s">
        <v>348</v>
      </c>
      <c r="C38" s="27" t="s">
        <v>98</v>
      </c>
      <c r="D38" s="31">
        <v>1310</v>
      </c>
      <c r="E38" s="29">
        <v>291.1251724</v>
      </c>
      <c r="F38" s="30">
        <v>0.45684488876596602</v>
      </c>
    </row>
    <row r="39" spans="1:9" x14ac:dyDescent="0.2">
      <c r="A39" s="27" t="s">
        <v>351</v>
      </c>
      <c r="B39" s="27" t="s">
        <v>350</v>
      </c>
      <c r="C39" s="27" t="s">
        <v>98</v>
      </c>
      <c r="D39" s="31">
        <v>110</v>
      </c>
      <c r="E39" s="29">
        <v>272.38487079999999</v>
      </c>
      <c r="F39" s="30">
        <v>0.42743688213667502</v>
      </c>
    </row>
    <row r="40" spans="1:9" x14ac:dyDescent="0.2">
      <c r="A40" s="26" t="s">
        <v>35</v>
      </c>
      <c r="B40" s="26"/>
      <c r="C40" s="26"/>
      <c r="D40" s="32"/>
      <c r="E40" s="33">
        <f>SUM(E25:E39)</f>
        <v>10653.2720319</v>
      </c>
      <c r="F40" s="34">
        <f>SUM(F25:F39)</f>
        <v>16.717526815990759</v>
      </c>
      <c r="G40" s="18"/>
      <c r="H40" s="18"/>
      <c r="I40" s="18"/>
    </row>
    <row r="41" spans="1:9" x14ac:dyDescent="0.2">
      <c r="A41" s="27"/>
      <c r="B41" s="27"/>
      <c r="C41" s="27"/>
      <c r="D41" s="28"/>
      <c r="E41" s="29"/>
      <c r="F41" s="30"/>
    </row>
    <row r="42" spans="1:9" x14ac:dyDescent="0.2">
      <c r="A42" s="26" t="s">
        <v>352</v>
      </c>
      <c r="B42" s="27"/>
      <c r="C42" s="27"/>
      <c r="D42" s="28"/>
      <c r="E42" s="29"/>
      <c r="F42" s="30"/>
    </row>
    <row r="43" spans="1:9" x14ac:dyDescent="0.2">
      <c r="A43" s="27" t="s">
        <v>354</v>
      </c>
      <c r="B43" s="27" t="s">
        <v>353</v>
      </c>
      <c r="C43" s="27" t="s">
        <v>355</v>
      </c>
      <c r="D43" s="31">
        <v>116868.481</v>
      </c>
      <c r="E43" s="29">
        <v>5621.5908429999999</v>
      </c>
      <c r="F43" s="30">
        <v>8.8216179390680107</v>
      </c>
    </row>
    <row r="44" spans="1:9" x14ac:dyDescent="0.2">
      <c r="A44" s="26" t="s">
        <v>35</v>
      </c>
      <c r="B44" s="26"/>
      <c r="C44" s="26"/>
      <c r="D44" s="32"/>
      <c r="E44" s="33">
        <f>SUM(E43:E43)</f>
        <v>5621.5908429999999</v>
      </c>
      <c r="F44" s="34">
        <f>SUM(F43:F43)</f>
        <v>8.8216179390680107</v>
      </c>
      <c r="G44" s="18"/>
      <c r="H44" s="18"/>
      <c r="I44" s="18"/>
    </row>
    <row r="45" spans="1:9" x14ac:dyDescent="0.2">
      <c r="A45" s="27"/>
      <c r="B45" s="27"/>
      <c r="C45" s="27"/>
      <c r="D45" s="28"/>
      <c r="E45" s="29"/>
      <c r="F45" s="30"/>
    </row>
    <row r="46" spans="1:9" x14ac:dyDescent="0.2">
      <c r="A46" s="26" t="s">
        <v>37</v>
      </c>
      <c r="B46" s="26"/>
      <c r="C46" s="26"/>
      <c r="D46" s="32"/>
      <c r="E46" s="33">
        <f>E19+E23+E40+E44</f>
        <v>60177.21868440001</v>
      </c>
      <c r="F46" s="34">
        <f>F19+F23+F40+F44</f>
        <v>94.432420767610438</v>
      </c>
      <c r="G46" s="18"/>
      <c r="H46" s="18"/>
      <c r="I46" s="18"/>
    </row>
    <row r="47" spans="1:9" x14ac:dyDescent="0.2">
      <c r="A47" s="26"/>
      <c r="B47" s="26"/>
      <c r="C47" s="26"/>
      <c r="D47" s="32"/>
      <c r="E47" s="33"/>
      <c r="F47" s="34"/>
      <c r="G47" s="18"/>
      <c r="H47" s="18"/>
      <c r="I47" s="18"/>
    </row>
    <row r="48" spans="1:9" x14ac:dyDescent="0.2">
      <c r="A48" s="26" t="s">
        <v>39</v>
      </c>
      <c r="B48" s="26"/>
      <c r="C48" s="26"/>
      <c r="D48" s="32"/>
      <c r="E48" s="33">
        <f>E50-(E19+E23+E40+E44)</f>
        <v>3547.9492136999907</v>
      </c>
      <c r="F48" s="34">
        <f>F50-(F19+F23+F40+F44)</f>
        <v>5.5675792323895621</v>
      </c>
      <c r="G48" s="18"/>
      <c r="H48" s="18"/>
      <c r="I48" s="18"/>
    </row>
    <row r="49" spans="1:9" x14ac:dyDescent="0.2">
      <c r="A49" s="26"/>
      <c r="B49" s="26"/>
      <c r="C49" s="26"/>
      <c r="D49" s="32"/>
      <c r="E49" s="33"/>
      <c r="F49" s="34"/>
      <c r="G49" s="18"/>
      <c r="H49" s="18"/>
      <c r="I49" s="18"/>
    </row>
    <row r="50" spans="1:9" x14ac:dyDescent="0.2">
      <c r="A50" s="35" t="s">
        <v>38</v>
      </c>
      <c r="B50" s="35"/>
      <c r="C50" s="35"/>
      <c r="D50" s="36"/>
      <c r="E50" s="37">
        <v>63725.1678981</v>
      </c>
      <c r="F50" s="38">
        <v>100</v>
      </c>
      <c r="G50" s="18"/>
      <c r="H50" s="18"/>
      <c r="I50" s="18"/>
    </row>
    <row r="51" spans="1:9" x14ac:dyDescent="0.2">
      <c r="F51" s="20" t="s">
        <v>505</v>
      </c>
    </row>
    <row r="52" spans="1:9" x14ac:dyDescent="0.2">
      <c r="A52" s="18" t="s">
        <v>40</v>
      </c>
    </row>
    <row r="53" spans="1:9" x14ac:dyDescent="0.2">
      <c r="A53" s="18" t="s">
        <v>722</v>
      </c>
    </row>
    <row r="55" spans="1:9" x14ac:dyDescent="0.2">
      <c r="A55" s="18" t="s">
        <v>41</v>
      </c>
    </row>
    <row r="56" spans="1:9" x14ac:dyDescent="0.2">
      <c r="A56" s="18" t="s">
        <v>42</v>
      </c>
    </row>
    <row r="57" spans="1:9" x14ac:dyDescent="0.2">
      <c r="A57" s="18" t="s">
        <v>43</v>
      </c>
      <c r="B57" s="18"/>
      <c r="C57" s="39" t="s">
        <v>45</v>
      </c>
      <c r="D57" s="19" t="s">
        <v>44</v>
      </c>
    </row>
    <row r="58" spans="1:9" x14ac:dyDescent="0.2">
      <c r="A58" s="9" t="s">
        <v>68</v>
      </c>
      <c r="C58" s="40">
        <v>265.46170000000001</v>
      </c>
      <c r="D58" s="40">
        <v>316.30450000000002</v>
      </c>
    </row>
    <row r="59" spans="1:9" x14ac:dyDescent="0.2">
      <c r="A59" s="9" t="s">
        <v>74</v>
      </c>
      <c r="C59" s="40">
        <v>35.767600000000002</v>
      </c>
      <c r="D59" s="40">
        <v>42.619399999999999</v>
      </c>
    </row>
    <row r="60" spans="1:9" x14ac:dyDescent="0.2">
      <c r="A60" s="9" t="s">
        <v>71</v>
      </c>
      <c r="C60" s="40">
        <v>279.41079999999999</v>
      </c>
      <c r="D60" s="40">
        <v>334.2971</v>
      </c>
    </row>
    <row r="61" spans="1:9" x14ac:dyDescent="0.2">
      <c r="A61" s="9" t="s">
        <v>75</v>
      </c>
      <c r="C61" s="40">
        <v>38.124400000000001</v>
      </c>
      <c r="D61" s="40">
        <v>45.6036</v>
      </c>
    </row>
    <row r="63" spans="1:9" x14ac:dyDescent="0.2">
      <c r="A63" s="9" t="s">
        <v>46</v>
      </c>
    </row>
    <row r="65" spans="1:4" x14ac:dyDescent="0.2">
      <c r="A65" s="18" t="s">
        <v>47</v>
      </c>
      <c r="D65" s="41" t="s">
        <v>48</v>
      </c>
    </row>
    <row r="67" spans="1:4" x14ac:dyDescent="0.2">
      <c r="A67" s="18" t="s">
        <v>218</v>
      </c>
      <c r="D67" s="45">
        <v>9.1899999999999996E-2</v>
      </c>
    </row>
    <row r="69" spans="1:4" x14ac:dyDescent="0.2">
      <c r="A69" s="18" t="s">
        <v>727</v>
      </c>
      <c r="D69" s="41" t="s">
        <v>48</v>
      </c>
    </row>
    <row r="70" spans="1:4" x14ac:dyDescent="0.2">
      <c r="A70" s="9" t="s">
        <v>723</v>
      </c>
    </row>
    <row r="71" spans="1:4" x14ac:dyDescent="0.2">
      <c r="A71" s="50" t="s">
        <v>724</v>
      </c>
    </row>
    <row r="73" spans="1:4" x14ac:dyDescent="0.2">
      <c r="A73" s="18" t="s">
        <v>728</v>
      </c>
    </row>
    <row r="74" spans="1:4" x14ac:dyDescent="0.2">
      <c r="A74" s="50" t="s">
        <v>51</v>
      </c>
    </row>
  </sheetData>
  <mergeCells count="1">
    <mergeCell ref="A1:F1"/>
  </mergeCells>
  <conditionalFormatting sqref="F2:F3 F5:F50 F52:F65537">
    <cfRule type="cellIs" dxfId="23" priority="2" stopIfTrue="1" operator="between">
      <formula>0.009</formula>
      <formula>-0.009</formula>
    </cfRule>
  </conditionalFormatting>
  <conditionalFormatting sqref="F51">
    <cfRule type="cellIs" dxfId="22" priority="1" stopIfTrue="1" operator="between">
      <formula>0.009</formula>
      <formula>-0.009</formula>
    </cfRule>
  </conditionalFormatting>
  <hyperlinks>
    <hyperlink ref="A74" r:id="rId1" xr:uid="{00000000-0004-0000-1E00-000000000000}"/>
    <hyperlink ref="A71" r:id="rId2" xr:uid="{00000000-0004-0000-1E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96"/>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4.6640625" style="10" bestFit="1" customWidth="1"/>
    <col min="5" max="5" width="23" style="13" bestFit="1" customWidth="1"/>
    <col min="6" max="6" width="13.5546875" style="14" bestFit="1" customWidth="1"/>
    <col min="7" max="16384" width="9.109375" style="9"/>
  </cols>
  <sheetData>
    <row r="1" spans="1:6" s="1" customFormat="1" ht="13.8" x14ac:dyDescent="0.2">
      <c r="A1" s="72" t="s">
        <v>13</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357</v>
      </c>
      <c r="B7" s="27" t="s">
        <v>356</v>
      </c>
      <c r="C7" s="27" t="s">
        <v>284</v>
      </c>
      <c r="D7" s="31">
        <v>2382967</v>
      </c>
      <c r="E7" s="29">
        <v>48593.463060000002</v>
      </c>
      <c r="F7" s="30">
        <v>6.7357258492172196</v>
      </c>
    </row>
    <row r="8" spans="1:6" x14ac:dyDescent="0.2">
      <c r="A8" s="27" t="s">
        <v>359</v>
      </c>
      <c r="B8" s="27" t="s">
        <v>358</v>
      </c>
      <c r="C8" s="27" t="s">
        <v>360</v>
      </c>
      <c r="D8" s="31">
        <v>7537595</v>
      </c>
      <c r="E8" s="29">
        <v>24591.403689999999</v>
      </c>
      <c r="F8" s="30">
        <v>3.4087085602182001</v>
      </c>
    </row>
    <row r="9" spans="1:6" x14ac:dyDescent="0.2">
      <c r="A9" s="27" t="s">
        <v>362</v>
      </c>
      <c r="B9" s="27" t="s">
        <v>361</v>
      </c>
      <c r="C9" s="27" t="s">
        <v>122</v>
      </c>
      <c r="D9" s="31">
        <v>5376976</v>
      </c>
      <c r="E9" s="29">
        <v>23793.1188</v>
      </c>
      <c r="F9" s="30">
        <v>3.29805523711642</v>
      </c>
    </row>
    <row r="10" spans="1:6" x14ac:dyDescent="0.2">
      <c r="A10" s="27" t="s">
        <v>281</v>
      </c>
      <c r="B10" s="27" t="s">
        <v>280</v>
      </c>
      <c r="C10" s="27" t="s">
        <v>98</v>
      </c>
      <c r="D10" s="31">
        <v>2312170</v>
      </c>
      <c r="E10" s="29">
        <v>22814.181390000002</v>
      </c>
      <c r="F10" s="30">
        <v>3.1623609769818599</v>
      </c>
    </row>
    <row r="11" spans="1:6" x14ac:dyDescent="0.2">
      <c r="A11" s="27" t="s">
        <v>254</v>
      </c>
      <c r="B11" s="27" t="s">
        <v>253</v>
      </c>
      <c r="C11" s="27" t="s">
        <v>185</v>
      </c>
      <c r="D11" s="31">
        <v>17172603</v>
      </c>
      <c r="E11" s="29">
        <v>22126.898969999998</v>
      </c>
      <c r="F11" s="30">
        <v>3.0670941309785098</v>
      </c>
    </row>
    <row r="12" spans="1:6" x14ac:dyDescent="0.2">
      <c r="A12" s="27" t="s">
        <v>364</v>
      </c>
      <c r="B12" s="27" t="s">
        <v>363</v>
      </c>
      <c r="C12" s="27" t="s">
        <v>133</v>
      </c>
      <c r="D12" s="31">
        <v>1211988</v>
      </c>
      <c r="E12" s="29">
        <v>21976.37241</v>
      </c>
      <c r="F12" s="30">
        <v>3.0462290685330902</v>
      </c>
    </row>
    <row r="13" spans="1:6" x14ac:dyDescent="0.2">
      <c r="A13" s="27" t="s">
        <v>366</v>
      </c>
      <c r="B13" s="27" t="s">
        <v>365</v>
      </c>
      <c r="C13" s="27" t="s">
        <v>367</v>
      </c>
      <c r="D13" s="31">
        <v>2385139</v>
      </c>
      <c r="E13" s="29">
        <v>20735.205900000001</v>
      </c>
      <c r="F13" s="30">
        <v>2.8741862294732998</v>
      </c>
    </row>
    <row r="14" spans="1:6" x14ac:dyDescent="0.2">
      <c r="A14" s="27" t="s">
        <v>279</v>
      </c>
      <c r="B14" s="27" t="s">
        <v>278</v>
      </c>
      <c r="C14" s="27" t="s">
        <v>199</v>
      </c>
      <c r="D14" s="31">
        <v>1070866</v>
      </c>
      <c r="E14" s="29">
        <v>20164.406780000001</v>
      </c>
      <c r="F14" s="30">
        <v>2.7950655793861201</v>
      </c>
    </row>
    <row r="15" spans="1:6" x14ac:dyDescent="0.2">
      <c r="A15" s="27" t="s">
        <v>241</v>
      </c>
      <c r="B15" s="27" t="s">
        <v>240</v>
      </c>
      <c r="C15" s="27" t="s">
        <v>205</v>
      </c>
      <c r="D15" s="31">
        <v>3812021</v>
      </c>
      <c r="E15" s="29">
        <v>19898.749619999999</v>
      </c>
      <c r="F15" s="30">
        <v>2.7582418239474098</v>
      </c>
    </row>
    <row r="16" spans="1:6" x14ac:dyDescent="0.2">
      <c r="A16" s="27" t="s">
        <v>369</v>
      </c>
      <c r="B16" s="27" t="s">
        <v>368</v>
      </c>
      <c r="C16" s="27" t="s">
        <v>122</v>
      </c>
      <c r="D16" s="31">
        <v>10263765</v>
      </c>
      <c r="E16" s="29">
        <v>17474.05991</v>
      </c>
      <c r="F16" s="30">
        <v>2.42214630558906</v>
      </c>
    </row>
    <row r="17" spans="1:6" x14ac:dyDescent="0.2">
      <c r="A17" s="27" t="s">
        <v>371</v>
      </c>
      <c r="B17" s="27" t="s">
        <v>370</v>
      </c>
      <c r="C17" s="27" t="s">
        <v>227</v>
      </c>
      <c r="D17" s="31">
        <v>378107</v>
      </c>
      <c r="E17" s="29">
        <v>16108.49252</v>
      </c>
      <c r="F17" s="30">
        <v>2.2328597845540399</v>
      </c>
    </row>
    <row r="18" spans="1:6" x14ac:dyDescent="0.2">
      <c r="A18" s="27" t="s">
        <v>373</v>
      </c>
      <c r="B18" s="27" t="s">
        <v>372</v>
      </c>
      <c r="C18" s="27" t="s">
        <v>98</v>
      </c>
      <c r="D18" s="31">
        <v>5500639</v>
      </c>
      <c r="E18" s="29">
        <v>15498.050380000001</v>
      </c>
      <c r="F18" s="30">
        <v>2.14824406377751</v>
      </c>
    </row>
    <row r="19" spans="1:6" x14ac:dyDescent="0.2">
      <c r="A19" s="27" t="s">
        <v>375</v>
      </c>
      <c r="B19" s="27" t="s">
        <v>374</v>
      </c>
      <c r="C19" s="27" t="s">
        <v>227</v>
      </c>
      <c r="D19" s="31">
        <v>2531192</v>
      </c>
      <c r="E19" s="29">
        <v>15426.34964</v>
      </c>
      <c r="F19" s="30">
        <v>2.1383053498556501</v>
      </c>
    </row>
    <row r="20" spans="1:6" x14ac:dyDescent="0.2">
      <c r="A20" s="27" t="s">
        <v>105</v>
      </c>
      <c r="B20" s="27" t="s">
        <v>104</v>
      </c>
      <c r="C20" s="27" t="s">
        <v>101</v>
      </c>
      <c r="D20" s="31">
        <v>2259945</v>
      </c>
      <c r="E20" s="29">
        <v>15424.12463</v>
      </c>
      <c r="F20" s="30">
        <v>2.1379969327059301</v>
      </c>
    </row>
    <row r="21" spans="1:6" x14ac:dyDescent="0.2">
      <c r="A21" s="27" t="s">
        <v>377</v>
      </c>
      <c r="B21" s="27" t="s">
        <v>376</v>
      </c>
      <c r="C21" s="27" t="s">
        <v>360</v>
      </c>
      <c r="D21" s="31">
        <v>2504248</v>
      </c>
      <c r="E21" s="29">
        <v>14931.5787</v>
      </c>
      <c r="F21" s="30">
        <v>2.0697232567069301</v>
      </c>
    </row>
    <row r="22" spans="1:6" x14ac:dyDescent="0.2">
      <c r="A22" s="27" t="s">
        <v>379</v>
      </c>
      <c r="B22" s="27" t="s">
        <v>378</v>
      </c>
      <c r="C22" s="27" t="s">
        <v>133</v>
      </c>
      <c r="D22" s="31">
        <v>1875900</v>
      </c>
      <c r="E22" s="29">
        <v>14833.679249999999</v>
      </c>
      <c r="F22" s="30">
        <v>2.0561530393471399</v>
      </c>
    </row>
    <row r="23" spans="1:6" x14ac:dyDescent="0.2">
      <c r="A23" s="27" t="s">
        <v>381</v>
      </c>
      <c r="B23" s="27" t="s">
        <v>380</v>
      </c>
      <c r="C23" s="27" t="s">
        <v>114</v>
      </c>
      <c r="D23" s="31">
        <v>1708713</v>
      </c>
      <c r="E23" s="29">
        <v>14403.596229999999</v>
      </c>
      <c r="F23" s="30">
        <v>1.99653758630675</v>
      </c>
    </row>
    <row r="24" spans="1:6" x14ac:dyDescent="0.2">
      <c r="A24" s="27" t="s">
        <v>383</v>
      </c>
      <c r="B24" s="27" t="s">
        <v>382</v>
      </c>
      <c r="C24" s="27" t="s">
        <v>284</v>
      </c>
      <c r="D24" s="31">
        <v>3786227</v>
      </c>
      <c r="E24" s="29">
        <v>14124.51982</v>
      </c>
      <c r="F24" s="30">
        <v>1.9578537372791001</v>
      </c>
    </row>
    <row r="25" spans="1:6" x14ac:dyDescent="0.2">
      <c r="A25" s="27" t="s">
        <v>385</v>
      </c>
      <c r="B25" s="27" t="s">
        <v>384</v>
      </c>
      <c r="C25" s="27" t="s">
        <v>360</v>
      </c>
      <c r="D25" s="31">
        <v>5211254</v>
      </c>
      <c r="E25" s="29">
        <v>14114.68146</v>
      </c>
      <c r="F25" s="30">
        <v>1.95649000455472</v>
      </c>
    </row>
    <row r="26" spans="1:6" x14ac:dyDescent="0.2">
      <c r="A26" s="27" t="s">
        <v>129</v>
      </c>
      <c r="B26" s="27" t="s">
        <v>128</v>
      </c>
      <c r="C26" s="27" t="s">
        <v>130</v>
      </c>
      <c r="D26" s="31">
        <v>5289744</v>
      </c>
      <c r="E26" s="29">
        <v>13814.16646</v>
      </c>
      <c r="F26" s="30">
        <v>1.91483447053612</v>
      </c>
    </row>
    <row r="27" spans="1:6" x14ac:dyDescent="0.2">
      <c r="A27" s="27" t="s">
        <v>113</v>
      </c>
      <c r="B27" s="27" t="s">
        <v>112</v>
      </c>
      <c r="C27" s="27" t="s">
        <v>114</v>
      </c>
      <c r="D27" s="31">
        <v>1261210</v>
      </c>
      <c r="E27" s="29">
        <v>13358.73632</v>
      </c>
      <c r="F27" s="30">
        <v>1.85170555620616</v>
      </c>
    </row>
    <row r="28" spans="1:6" x14ac:dyDescent="0.2">
      <c r="A28" s="27" t="s">
        <v>387</v>
      </c>
      <c r="B28" s="27" t="s">
        <v>386</v>
      </c>
      <c r="C28" s="27" t="s">
        <v>205</v>
      </c>
      <c r="D28" s="31">
        <v>1942883</v>
      </c>
      <c r="E28" s="29">
        <v>13074.631149999999</v>
      </c>
      <c r="F28" s="30">
        <v>1.8123246515132301</v>
      </c>
    </row>
    <row r="29" spans="1:6" x14ac:dyDescent="0.2">
      <c r="A29" s="27" t="s">
        <v>389</v>
      </c>
      <c r="B29" s="27" t="s">
        <v>388</v>
      </c>
      <c r="C29" s="27" t="s">
        <v>360</v>
      </c>
      <c r="D29" s="31">
        <v>3134035</v>
      </c>
      <c r="E29" s="29">
        <v>12263.47896</v>
      </c>
      <c r="F29" s="30">
        <v>1.69988774272396</v>
      </c>
    </row>
    <row r="30" spans="1:6" x14ac:dyDescent="0.2">
      <c r="A30" s="27" t="s">
        <v>100</v>
      </c>
      <c r="B30" s="27" t="s">
        <v>99</v>
      </c>
      <c r="C30" s="27" t="s">
        <v>101</v>
      </c>
      <c r="D30" s="31">
        <v>822910</v>
      </c>
      <c r="E30" s="29">
        <v>11738.3997</v>
      </c>
      <c r="F30" s="30">
        <v>1.62710449737051</v>
      </c>
    </row>
    <row r="31" spans="1:6" x14ac:dyDescent="0.2">
      <c r="A31" s="27" t="s">
        <v>391</v>
      </c>
      <c r="B31" s="27" t="s">
        <v>390</v>
      </c>
      <c r="C31" s="27" t="s">
        <v>108</v>
      </c>
      <c r="D31" s="31">
        <v>1000416</v>
      </c>
      <c r="E31" s="29">
        <v>11198.6567</v>
      </c>
      <c r="F31" s="30">
        <v>1.5522886549074</v>
      </c>
    </row>
    <row r="32" spans="1:6" x14ac:dyDescent="0.2">
      <c r="A32" s="27" t="s">
        <v>132</v>
      </c>
      <c r="B32" s="27" t="s">
        <v>131</v>
      </c>
      <c r="C32" s="27" t="s">
        <v>133</v>
      </c>
      <c r="D32" s="31">
        <v>235825</v>
      </c>
      <c r="E32" s="29">
        <v>11110.187400000001</v>
      </c>
      <c r="F32" s="30">
        <v>1.5400255867219399</v>
      </c>
    </row>
    <row r="33" spans="1:6" x14ac:dyDescent="0.2">
      <c r="A33" s="27" t="s">
        <v>393</v>
      </c>
      <c r="B33" s="27" t="s">
        <v>392</v>
      </c>
      <c r="C33" s="27" t="s">
        <v>101</v>
      </c>
      <c r="D33" s="31">
        <v>9949095</v>
      </c>
      <c r="E33" s="29">
        <v>10446.54975</v>
      </c>
      <c r="F33" s="30">
        <v>1.44803623276091</v>
      </c>
    </row>
    <row r="34" spans="1:6" x14ac:dyDescent="0.2">
      <c r="A34" s="27" t="s">
        <v>395</v>
      </c>
      <c r="B34" s="27" t="s">
        <v>394</v>
      </c>
      <c r="C34" s="27" t="s">
        <v>172</v>
      </c>
      <c r="D34" s="31">
        <v>1488061</v>
      </c>
      <c r="E34" s="29">
        <v>10296.63809</v>
      </c>
      <c r="F34" s="30">
        <v>1.4272564039572999</v>
      </c>
    </row>
    <row r="35" spans="1:6" x14ac:dyDescent="0.2">
      <c r="A35" s="27" t="s">
        <v>397</v>
      </c>
      <c r="B35" s="27" t="s">
        <v>396</v>
      </c>
      <c r="C35" s="27" t="s">
        <v>398</v>
      </c>
      <c r="D35" s="31">
        <v>594140</v>
      </c>
      <c r="E35" s="29">
        <v>9525.5495499999997</v>
      </c>
      <c r="F35" s="30">
        <v>1.32037287099115</v>
      </c>
    </row>
    <row r="36" spans="1:6" x14ac:dyDescent="0.2">
      <c r="A36" s="27" t="s">
        <v>400</v>
      </c>
      <c r="B36" s="27" t="s">
        <v>399</v>
      </c>
      <c r="C36" s="27" t="s">
        <v>202</v>
      </c>
      <c r="D36" s="31">
        <v>23086857</v>
      </c>
      <c r="E36" s="29">
        <v>9511.7850839999992</v>
      </c>
      <c r="F36" s="30">
        <v>1.3184649256915399</v>
      </c>
    </row>
    <row r="37" spans="1:6" x14ac:dyDescent="0.2">
      <c r="A37" s="27" t="s">
        <v>402</v>
      </c>
      <c r="B37" s="27" t="s">
        <v>401</v>
      </c>
      <c r="C37" s="27" t="s">
        <v>101</v>
      </c>
      <c r="D37" s="31">
        <v>19398917</v>
      </c>
      <c r="E37" s="29">
        <v>9447.2725790000004</v>
      </c>
      <c r="F37" s="30">
        <v>1.30952260052756</v>
      </c>
    </row>
    <row r="38" spans="1:6" x14ac:dyDescent="0.2">
      <c r="A38" s="27" t="s">
        <v>404</v>
      </c>
      <c r="B38" s="27" t="s">
        <v>403</v>
      </c>
      <c r="C38" s="27" t="s">
        <v>101</v>
      </c>
      <c r="D38" s="31">
        <v>14244569</v>
      </c>
      <c r="E38" s="29">
        <v>8974.0784700000004</v>
      </c>
      <c r="F38" s="30">
        <v>1.24393135448377</v>
      </c>
    </row>
    <row r="39" spans="1:6" x14ac:dyDescent="0.2">
      <c r="A39" s="27" t="s">
        <v>406</v>
      </c>
      <c r="B39" s="27" t="s">
        <v>405</v>
      </c>
      <c r="C39" s="27" t="s">
        <v>202</v>
      </c>
      <c r="D39" s="31">
        <v>1600000</v>
      </c>
      <c r="E39" s="29">
        <v>8964</v>
      </c>
      <c r="F39" s="30">
        <v>1.2425343391935499</v>
      </c>
    </row>
    <row r="40" spans="1:6" x14ac:dyDescent="0.2">
      <c r="A40" s="27" t="s">
        <v>408</v>
      </c>
      <c r="B40" s="27" t="s">
        <v>407</v>
      </c>
      <c r="C40" s="27" t="s">
        <v>114</v>
      </c>
      <c r="D40" s="31">
        <v>100265</v>
      </c>
      <c r="E40" s="29">
        <v>8767.0713350000005</v>
      </c>
      <c r="F40" s="30">
        <v>1.2152373034244699</v>
      </c>
    </row>
    <row r="41" spans="1:6" x14ac:dyDescent="0.2">
      <c r="A41" s="27" t="s">
        <v>410</v>
      </c>
      <c r="B41" s="27" t="s">
        <v>409</v>
      </c>
      <c r="C41" s="27" t="s">
        <v>205</v>
      </c>
      <c r="D41" s="31">
        <v>1131703</v>
      </c>
      <c r="E41" s="29">
        <v>8652.4352870000002</v>
      </c>
      <c r="F41" s="30">
        <v>1.1993471621762</v>
      </c>
    </row>
    <row r="42" spans="1:6" x14ac:dyDescent="0.2">
      <c r="A42" s="27" t="s">
        <v>412</v>
      </c>
      <c r="B42" s="27" t="s">
        <v>411</v>
      </c>
      <c r="C42" s="27" t="s">
        <v>413</v>
      </c>
      <c r="D42" s="31">
        <v>293240</v>
      </c>
      <c r="E42" s="29">
        <v>8341.9449000000004</v>
      </c>
      <c r="F42" s="30">
        <v>1.1563089015964401</v>
      </c>
    </row>
    <row r="43" spans="1:6" x14ac:dyDescent="0.2">
      <c r="A43" s="27" t="s">
        <v>415</v>
      </c>
      <c r="B43" s="27" t="s">
        <v>414</v>
      </c>
      <c r="C43" s="27" t="s">
        <v>398</v>
      </c>
      <c r="D43" s="31">
        <v>1054022</v>
      </c>
      <c r="E43" s="29">
        <v>7653.780753</v>
      </c>
      <c r="F43" s="30">
        <v>1.06091983603984</v>
      </c>
    </row>
    <row r="44" spans="1:6" x14ac:dyDescent="0.2">
      <c r="A44" s="27" t="s">
        <v>417</v>
      </c>
      <c r="B44" s="27" t="s">
        <v>416</v>
      </c>
      <c r="C44" s="27" t="s">
        <v>114</v>
      </c>
      <c r="D44" s="31">
        <v>1846602</v>
      </c>
      <c r="E44" s="29">
        <v>7497.2041200000003</v>
      </c>
      <c r="F44" s="30">
        <v>1.0392161498263399</v>
      </c>
    </row>
    <row r="45" spans="1:6" x14ac:dyDescent="0.2">
      <c r="A45" s="27" t="s">
        <v>317</v>
      </c>
      <c r="B45" s="27" t="s">
        <v>316</v>
      </c>
      <c r="C45" s="27" t="s">
        <v>156</v>
      </c>
      <c r="D45" s="31">
        <v>103243</v>
      </c>
      <c r="E45" s="29">
        <v>7376.9704579999998</v>
      </c>
      <c r="F45" s="30">
        <v>1.0225501018832399</v>
      </c>
    </row>
    <row r="46" spans="1:6" x14ac:dyDescent="0.2">
      <c r="A46" s="27" t="s">
        <v>419</v>
      </c>
      <c r="B46" s="27" t="s">
        <v>418</v>
      </c>
      <c r="C46" s="27" t="s">
        <v>420</v>
      </c>
      <c r="D46" s="31">
        <v>2464730</v>
      </c>
      <c r="E46" s="29">
        <v>7217.9618049999999</v>
      </c>
      <c r="F46" s="30">
        <v>1.00050930407184</v>
      </c>
    </row>
    <row r="47" spans="1:6" x14ac:dyDescent="0.2">
      <c r="A47" s="27" t="s">
        <v>422</v>
      </c>
      <c r="B47" s="27" t="s">
        <v>421</v>
      </c>
      <c r="C47" s="27" t="s">
        <v>185</v>
      </c>
      <c r="D47" s="31">
        <v>1503836</v>
      </c>
      <c r="E47" s="29">
        <v>7154.4997700000004</v>
      </c>
      <c r="F47" s="30">
        <v>0.99171258857400002</v>
      </c>
    </row>
    <row r="48" spans="1:6" x14ac:dyDescent="0.2">
      <c r="A48" s="27" t="s">
        <v>424</v>
      </c>
      <c r="B48" s="27" t="s">
        <v>423</v>
      </c>
      <c r="C48" s="27" t="s">
        <v>122</v>
      </c>
      <c r="D48" s="31">
        <v>1667102</v>
      </c>
      <c r="E48" s="29">
        <v>7150.2004779999997</v>
      </c>
      <c r="F48" s="30">
        <v>0.99111664725938398</v>
      </c>
    </row>
    <row r="49" spans="1:6" x14ac:dyDescent="0.2">
      <c r="A49" s="27" t="s">
        <v>426</v>
      </c>
      <c r="B49" s="27" t="s">
        <v>425</v>
      </c>
      <c r="C49" s="27" t="s">
        <v>284</v>
      </c>
      <c r="D49" s="31">
        <v>77642</v>
      </c>
      <c r="E49" s="29">
        <v>7029.2020069999999</v>
      </c>
      <c r="F49" s="30">
        <v>0.97434458621438003</v>
      </c>
    </row>
    <row r="50" spans="1:6" x14ac:dyDescent="0.2">
      <c r="A50" s="27" t="s">
        <v>262</v>
      </c>
      <c r="B50" s="27" t="s">
        <v>261</v>
      </c>
      <c r="C50" s="27" t="s">
        <v>130</v>
      </c>
      <c r="D50" s="31">
        <v>1057947</v>
      </c>
      <c r="E50" s="29">
        <v>6868.7208979999996</v>
      </c>
      <c r="F50" s="30">
        <v>0.95209968564271996</v>
      </c>
    </row>
    <row r="51" spans="1:6" x14ac:dyDescent="0.2">
      <c r="A51" s="27" t="s">
        <v>428</v>
      </c>
      <c r="B51" s="27" t="s">
        <v>427</v>
      </c>
      <c r="C51" s="27" t="s">
        <v>360</v>
      </c>
      <c r="D51" s="31">
        <v>6313159</v>
      </c>
      <c r="E51" s="29">
        <v>6780.3327660000004</v>
      </c>
      <c r="F51" s="30">
        <v>0.93984786846432</v>
      </c>
    </row>
    <row r="52" spans="1:6" x14ac:dyDescent="0.2">
      <c r="A52" s="27" t="s">
        <v>160</v>
      </c>
      <c r="B52" s="27" t="s">
        <v>159</v>
      </c>
      <c r="C52" s="27" t="s">
        <v>101</v>
      </c>
      <c r="D52" s="31">
        <v>4408453</v>
      </c>
      <c r="E52" s="29">
        <v>6623.7006330000004</v>
      </c>
      <c r="F52" s="30">
        <v>0.91813648918346003</v>
      </c>
    </row>
    <row r="53" spans="1:6" x14ac:dyDescent="0.2">
      <c r="A53" s="27" t="s">
        <v>265</v>
      </c>
      <c r="B53" s="27" t="s">
        <v>264</v>
      </c>
      <c r="C53" s="27" t="s">
        <v>205</v>
      </c>
      <c r="D53" s="31">
        <v>3705630</v>
      </c>
      <c r="E53" s="29">
        <v>6558.9651000000003</v>
      </c>
      <c r="F53" s="30">
        <v>0.90916324925502501</v>
      </c>
    </row>
    <row r="54" spans="1:6" x14ac:dyDescent="0.2">
      <c r="A54" s="27" t="s">
        <v>430</v>
      </c>
      <c r="B54" s="27" t="s">
        <v>429</v>
      </c>
      <c r="C54" s="27" t="s">
        <v>156</v>
      </c>
      <c r="D54" s="31">
        <v>988899</v>
      </c>
      <c r="E54" s="29">
        <v>6458.0049200000003</v>
      </c>
      <c r="F54" s="30">
        <v>0.89516877239858095</v>
      </c>
    </row>
    <row r="55" spans="1:6" x14ac:dyDescent="0.2">
      <c r="A55" s="27" t="s">
        <v>432</v>
      </c>
      <c r="B55" s="27" t="s">
        <v>431</v>
      </c>
      <c r="C55" s="27" t="s">
        <v>172</v>
      </c>
      <c r="D55" s="31">
        <v>2406212</v>
      </c>
      <c r="E55" s="29">
        <v>6368.0400579999996</v>
      </c>
      <c r="F55" s="30">
        <v>0.882698398641797</v>
      </c>
    </row>
    <row r="56" spans="1:6" x14ac:dyDescent="0.2">
      <c r="A56" s="27" t="s">
        <v>434</v>
      </c>
      <c r="B56" s="27" t="s">
        <v>433</v>
      </c>
      <c r="C56" s="27" t="s">
        <v>192</v>
      </c>
      <c r="D56" s="31">
        <v>2017424</v>
      </c>
      <c r="E56" s="29">
        <v>6191.4742560000004</v>
      </c>
      <c r="F56" s="30">
        <v>0.85822393722811496</v>
      </c>
    </row>
    <row r="57" spans="1:6" x14ac:dyDescent="0.2">
      <c r="A57" s="27" t="s">
        <v>436</v>
      </c>
      <c r="B57" s="27" t="s">
        <v>435</v>
      </c>
      <c r="C57" s="27" t="s">
        <v>437</v>
      </c>
      <c r="D57" s="31">
        <v>5149633</v>
      </c>
      <c r="E57" s="29">
        <v>5134.1841009999998</v>
      </c>
      <c r="F57" s="30">
        <v>0.71166890330589605</v>
      </c>
    </row>
    <row r="58" spans="1:6" x14ac:dyDescent="0.2">
      <c r="A58" s="27" t="s">
        <v>439</v>
      </c>
      <c r="B58" s="27" t="s">
        <v>438</v>
      </c>
      <c r="C58" s="27" t="s">
        <v>185</v>
      </c>
      <c r="D58" s="31">
        <v>8715663</v>
      </c>
      <c r="E58" s="29">
        <v>5055.0845399999998</v>
      </c>
      <c r="F58" s="30">
        <v>0.70070461049491495</v>
      </c>
    </row>
    <row r="59" spans="1:6" x14ac:dyDescent="0.2">
      <c r="A59" s="27" t="s">
        <v>269</v>
      </c>
      <c r="B59" s="27" t="s">
        <v>268</v>
      </c>
      <c r="C59" s="27" t="s">
        <v>270</v>
      </c>
      <c r="D59" s="31">
        <v>262564</v>
      </c>
      <c r="E59" s="29">
        <v>5014.0534260000004</v>
      </c>
      <c r="F59" s="30">
        <v>0.695017130784923</v>
      </c>
    </row>
    <row r="60" spans="1:6" x14ac:dyDescent="0.2">
      <c r="A60" s="27" t="s">
        <v>441</v>
      </c>
      <c r="B60" s="27" t="s">
        <v>440</v>
      </c>
      <c r="C60" s="27" t="s">
        <v>420</v>
      </c>
      <c r="D60" s="31">
        <v>18921468</v>
      </c>
      <c r="E60" s="29">
        <v>4683.06333</v>
      </c>
      <c r="F60" s="30">
        <v>0.64913732710208405</v>
      </c>
    </row>
    <row r="61" spans="1:6" x14ac:dyDescent="0.2">
      <c r="A61" s="27" t="s">
        <v>443</v>
      </c>
      <c r="B61" s="27" t="s">
        <v>442</v>
      </c>
      <c r="C61" s="27" t="s">
        <v>192</v>
      </c>
      <c r="D61" s="31">
        <v>149704</v>
      </c>
      <c r="E61" s="29">
        <v>3711.386716</v>
      </c>
      <c r="F61" s="30">
        <v>0.51444951368326297</v>
      </c>
    </row>
    <row r="62" spans="1:6" x14ac:dyDescent="0.2">
      <c r="A62" s="27" t="s">
        <v>445</v>
      </c>
      <c r="B62" s="27" t="s">
        <v>444</v>
      </c>
      <c r="C62" s="27" t="s">
        <v>360</v>
      </c>
      <c r="D62" s="31">
        <v>160465</v>
      </c>
      <c r="E62" s="29">
        <v>2779.7351950000002</v>
      </c>
      <c r="F62" s="30">
        <v>0.38530973155425802</v>
      </c>
    </row>
    <row r="63" spans="1:6" x14ac:dyDescent="0.2">
      <c r="A63" s="27" t="s">
        <v>447</v>
      </c>
      <c r="B63" s="27" t="s">
        <v>446</v>
      </c>
      <c r="C63" s="27" t="s">
        <v>133</v>
      </c>
      <c r="D63" s="31">
        <v>612700</v>
      </c>
      <c r="E63" s="29">
        <v>2755.3119000000002</v>
      </c>
      <c r="F63" s="30">
        <v>0.38192432518280001</v>
      </c>
    </row>
    <row r="64" spans="1:6" x14ac:dyDescent="0.2">
      <c r="A64" s="27" t="s">
        <v>198</v>
      </c>
      <c r="B64" s="27" t="s">
        <v>197</v>
      </c>
      <c r="C64" s="27" t="s">
        <v>199</v>
      </c>
      <c r="D64" s="31">
        <v>991266</v>
      </c>
      <c r="E64" s="29">
        <v>2661.0535770000001</v>
      </c>
      <c r="F64" s="30">
        <v>0.368858818368621</v>
      </c>
    </row>
    <row r="65" spans="1:9" x14ac:dyDescent="0.2">
      <c r="A65" s="27" t="s">
        <v>449</v>
      </c>
      <c r="B65" s="27" t="s">
        <v>448</v>
      </c>
      <c r="C65" s="27" t="s">
        <v>98</v>
      </c>
      <c r="D65" s="31">
        <v>200000</v>
      </c>
      <c r="E65" s="29">
        <v>1063.7</v>
      </c>
      <c r="F65" s="30">
        <v>0.14744352706382999</v>
      </c>
    </row>
    <row r="66" spans="1:9" x14ac:dyDescent="0.2">
      <c r="A66" s="27" t="s">
        <v>451</v>
      </c>
      <c r="B66" s="27" t="s">
        <v>450</v>
      </c>
      <c r="C66" s="27" t="s">
        <v>452</v>
      </c>
      <c r="D66" s="31">
        <v>3236378</v>
      </c>
      <c r="E66" s="29">
        <v>995.18623500000001</v>
      </c>
      <c r="F66" s="30">
        <v>0.137946571941124</v>
      </c>
    </row>
    <row r="67" spans="1:9" x14ac:dyDescent="0.2">
      <c r="A67" s="27" t="s">
        <v>454</v>
      </c>
      <c r="B67" s="27" t="s">
        <v>453</v>
      </c>
      <c r="C67" s="27" t="s">
        <v>301</v>
      </c>
      <c r="D67" s="31">
        <v>45772</v>
      </c>
      <c r="E67" s="29">
        <v>881.38563199999999</v>
      </c>
      <c r="F67" s="30">
        <v>0.12217223492099601</v>
      </c>
    </row>
    <row r="68" spans="1:9" x14ac:dyDescent="0.2">
      <c r="A68" s="27" t="s">
        <v>456</v>
      </c>
      <c r="B68" s="27" t="s">
        <v>455</v>
      </c>
      <c r="C68" s="27" t="s">
        <v>205</v>
      </c>
      <c r="D68" s="31">
        <v>44358</v>
      </c>
      <c r="E68" s="29">
        <v>368.415369</v>
      </c>
      <c r="F68" s="30">
        <v>5.1067463974694499E-2</v>
      </c>
    </row>
    <row r="69" spans="1:9" x14ac:dyDescent="0.2">
      <c r="A69" s="26" t="s">
        <v>35</v>
      </c>
      <c r="B69" s="26"/>
      <c r="C69" s="26"/>
      <c r="D69" s="32"/>
      <c r="E69" s="33">
        <f>SUM(E7:E68)</f>
        <v>688550.13293800002</v>
      </c>
      <c r="F69" s="34">
        <f>SUM(F7:F68)</f>
        <v>95.442568544371625</v>
      </c>
      <c r="G69" s="18"/>
      <c r="H69" s="18"/>
      <c r="I69" s="18"/>
    </row>
    <row r="70" spans="1:9" x14ac:dyDescent="0.2">
      <c r="A70" s="27"/>
      <c r="B70" s="27"/>
      <c r="C70" s="27"/>
      <c r="D70" s="28"/>
      <c r="E70" s="29"/>
      <c r="F70" s="30"/>
    </row>
    <row r="71" spans="1:9" x14ac:dyDescent="0.2">
      <c r="A71" s="26" t="s">
        <v>37</v>
      </c>
      <c r="B71" s="26"/>
      <c r="C71" s="26"/>
      <c r="D71" s="32"/>
      <c r="E71" s="33">
        <f>E69</f>
        <v>688550.13293800002</v>
      </c>
      <c r="F71" s="34">
        <f>F69</f>
        <v>95.442568544371625</v>
      </c>
      <c r="G71" s="18"/>
      <c r="H71" s="18"/>
      <c r="I71" s="18"/>
    </row>
    <row r="72" spans="1:9" x14ac:dyDescent="0.2">
      <c r="A72" s="26"/>
      <c r="B72" s="26"/>
      <c r="C72" s="26"/>
      <c r="D72" s="32"/>
      <c r="E72" s="33"/>
      <c r="F72" s="34"/>
      <c r="G72" s="18"/>
      <c r="H72" s="18"/>
      <c r="I72" s="18"/>
    </row>
    <row r="73" spans="1:9" x14ac:dyDescent="0.2">
      <c r="A73" s="26" t="s">
        <v>39</v>
      </c>
      <c r="B73" s="26"/>
      <c r="C73" s="26"/>
      <c r="D73" s="32"/>
      <c r="E73" s="33">
        <f>E75-(E69)</f>
        <v>32878.620960099972</v>
      </c>
      <c r="F73" s="34">
        <f>F75-(F69)</f>
        <v>4.5574314556283753</v>
      </c>
      <c r="G73" s="18"/>
      <c r="H73" s="18"/>
      <c r="I73" s="18"/>
    </row>
    <row r="74" spans="1:9" x14ac:dyDescent="0.2">
      <c r="A74" s="26"/>
      <c r="B74" s="26"/>
      <c r="C74" s="26"/>
      <c r="D74" s="32"/>
      <c r="E74" s="33"/>
      <c r="F74" s="34"/>
      <c r="G74" s="18"/>
      <c r="H74" s="18"/>
      <c r="I74" s="18"/>
    </row>
    <row r="75" spans="1:9" x14ac:dyDescent="0.2">
      <c r="A75" s="35" t="s">
        <v>38</v>
      </c>
      <c r="B75" s="35"/>
      <c r="C75" s="35"/>
      <c r="D75" s="36"/>
      <c r="E75" s="37">
        <v>721428.7538981</v>
      </c>
      <c r="F75" s="38">
        <v>100</v>
      </c>
      <c r="G75" s="18"/>
      <c r="H75" s="18"/>
      <c r="I75" s="18"/>
    </row>
    <row r="78" spans="1:9" x14ac:dyDescent="0.2">
      <c r="A78" s="18" t="s">
        <v>41</v>
      </c>
    </row>
    <row r="79" spans="1:9" x14ac:dyDescent="0.2">
      <c r="A79" s="18" t="s">
        <v>42</v>
      </c>
    </row>
    <row r="80" spans="1:9" x14ac:dyDescent="0.2">
      <c r="A80" s="18" t="s">
        <v>43</v>
      </c>
      <c r="B80" s="18"/>
      <c r="C80" s="39" t="s">
        <v>45</v>
      </c>
      <c r="D80" s="19" t="s">
        <v>44</v>
      </c>
    </row>
    <row r="81" spans="1:4" x14ac:dyDescent="0.2">
      <c r="A81" s="9" t="s">
        <v>68</v>
      </c>
      <c r="C81" s="40">
        <v>59.811799999999998</v>
      </c>
      <c r="D81" s="40">
        <v>83.871700000000004</v>
      </c>
    </row>
    <row r="82" spans="1:4" x14ac:dyDescent="0.2">
      <c r="A82" s="9" t="s">
        <v>74</v>
      </c>
      <c r="C82" s="40">
        <v>25.202300000000001</v>
      </c>
      <c r="D82" s="40">
        <v>33.6663</v>
      </c>
    </row>
    <row r="83" spans="1:4" x14ac:dyDescent="0.2">
      <c r="A83" s="9" t="s">
        <v>71</v>
      </c>
      <c r="C83" s="40">
        <v>65.205699999999993</v>
      </c>
      <c r="D83" s="40">
        <v>91.818299999999994</v>
      </c>
    </row>
    <row r="84" spans="1:4" x14ac:dyDescent="0.2">
      <c r="A84" s="9" t="s">
        <v>75</v>
      </c>
      <c r="C84" s="40">
        <v>28.307099999999998</v>
      </c>
      <c r="D84" s="40">
        <v>38.18</v>
      </c>
    </row>
    <row r="86" spans="1:4" x14ac:dyDescent="0.2">
      <c r="A86" s="18" t="s">
        <v>47</v>
      </c>
    </row>
    <row r="87" spans="1:4" x14ac:dyDescent="0.2">
      <c r="A87" s="74" t="s">
        <v>65</v>
      </c>
      <c r="B87" s="75"/>
      <c r="C87" s="43" t="s">
        <v>66</v>
      </c>
    </row>
    <row r="88" spans="1:4" x14ac:dyDescent="0.2">
      <c r="A88" s="70" t="s">
        <v>74</v>
      </c>
      <c r="B88" s="71"/>
      <c r="C88" s="44">
        <v>1.3</v>
      </c>
    </row>
    <row r="89" spans="1:4" x14ac:dyDescent="0.2">
      <c r="A89" s="70" t="s">
        <v>75</v>
      </c>
      <c r="B89" s="71"/>
      <c r="C89" s="44">
        <v>1.3</v>
      </c>
    </row>
    <row r="90" spans="1:4" x14ac:dyDescent="0.2">
      <c r="A90" s="9" t="s">
        <v>67</v>
      </c>
    </row>
    <row r="91" spans="1:4" x14ac:dyDescent="0.2">
      <c r="A91" s="9" t="s">
        <v>46</v>
      </c>
    </row>
    <row r="93" spans="1:4" x14ac:dyDescent="0.2">
      <c r="A93" s="18" t="s">
        <v>218</v>
      </c>
      <c r="D93" s="45">
        <v>9.9299999999999999E-2</v>
      </c>
    </row>
    <row r="95" spans="1:4" x14ac:dyDescent="0.2">
      <c r="A95" s="18" t="s">
        <v>94</v>
      </c>
    </row>
    <row r="96" spans="1:4" x14ac:dyDescent="0.2">
      <c r="A96" s="50" t="s">
        <v>51</v>
      </c>
    </row>
  </sheetData>
  <mergeCells count="4">
    <mergeCell ref="A1:F1"/>
    <mergeCell ref="A87:B87"/>
    <mergeCell ref="A88:B88"/>
    <mergeCell ref="A89:B89"/>
  </mergeCells>
  <conditionalFormatting sqref="F2:F3 F5:F65534">
    <cfRule type="cellIs" dxfId="21" priority="1" stopIfTrue="1" operator="between">
      <formula>0.009</formula>
      <formula>-0.009</formula>
    </cfRule>
  </conditionalFormatting>
  <hyperlinks>
    <hyperlink ref="A96" r:id="rId1"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4"/>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4.6640625" style="9" bestFit="1" customWidth="1"/>
    <col min="4" max="4" width="14.6640625" style="10" bestFit="1" customWidth="1"/>
    <col min="5" max="5" width="23" style="13" bestFit="1" customWidth="1"/>
    <col min="6" max="6" width="14.6640625" style="14" bestFit="1" customWidth="1"/>
    <col min="7" max="16384" width="9.109375" style="9"/>
  </cols>
  <sheetData>
    <row r="1" spans="1:6" s="1" customFormat="1" ht="13.8" x14ac:dyDescent="0.2">
      <c r="A1" s="72" t="s">
        <v>14</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458</v>
      </c>
      <c r="B7" s="27" t="s">
        <v>457</v>
      </c>
      <c r="C7" s="27" t="s">
        <v>114</v>
      </c>
      <c r="D7" s="31">
        <v>7391052</v>
      </c>
      <c r="E7" s="29">
        <v>36001.814290000002</v>
      </c>
      <c r="F7" s="30">
        <v>4.5751623755113897</v>
      </c>
    </row>
    <row r="8" spans="1:6" x14ac:dyDescent="0.2">
      <c r="A8" s="27" t="s">
        <v>105</v>
      </c>
      <c r="B8" s="27" t="s">
        <v>104</v>
      </c>
      <c r="C8" s="27" t="s">
        <v>101</v>
      </c>
      <c r="D8" s="31">
        <v>4463996</v>
      </c>
      <c r="E8" s="29">
        <v>30466.772700000001</v>
      </c>
      <c r="F8" s="30">
        <v>3.8717613239568101</v>
      </c>
    </row>
    <row r="9" spans="1:6" x14ac:dyDescent="0.2">
      <c r="A9" s="27" t="s">
        <v>113</v>
      </c>
      <c r="B9" s="27" t="s">
        <v>112</v>
      </c>
      <c r="C9" s="27" t="s">
        <v>114</v>
      </c>
      <c r="D9" s="31">
        <v>2622087</v>
      </c>
      <c r="E9" s="29">
        <v>27773.145499999999</v>
      </c>
      <c r="F9" s="30">
        <v>3.5294513025833201</v>
      </c>
    </row>
    <row r="10" spans="1:6" x14ac:dyDescent="0.2">
      <c r="A10" s="27" t="s">
        <v>460</v>
      </c>
      <c r="B10" s="27" t="s">
        <v>459</v>
      </c>
      <c r="C10" s="27" t="s">
        <v>172</v>
      </c>
      <c r="D10" s="31">
        <v>2293543</v>
      </c>
      <c r="E10" s="29">
        <v>25073.01208</v>
      </c>
      <c r="F10" s="30">
        <v>3.18631446140818</v>
      </c>
    </row>
    <row r="11" spans="1:6" x14ac:dyDescent="0.2">
      <c r="A11" s="27" t="s">
        <v>462</v>
      </c>
      <c r="B11" s="27" t="s">
        <v>461</v>
      </c>
      <c r="C11" s="27" t="s">
        <v>98</v>
      </c>
      <c r="D11" s="31">
        <v>957514</v>
      </c>
      <c r="E11" s="29">
        <v>24892.970219999999</v>
      </c>
      <c r="F11" s="30">
        <v>3.1634344827144898</v>
      </c>
    </row>
    <row r="12" spans="1:6" x14ac:dyDescent="0.2">
      <c r="A12" s="27" t="s">
        <v>100</v>
      </c>
      <c r="B12" s="27" t="s">
        <v>99</v>
      </c>
      <c r="C12" s="27" t="s">
        <v>101</v>
      </c>
      <c r="D12" s="31">
        <v>1730636</v>
      </c>
      <c r="E12" s="29">
        <v>24686.657220000001</v>
      </c>
      <c r="F12" s="30">
        <v>3.1372159297389302</v>
      </c>
    </row>
    <row r="13" spans="1:6" x14ac:dyDescent="0.2">
      <c r="A13" s="27" t="s">
        <v>311</v>
      </c>
      <c r="B13" s="27" t="s">
        <v>310</v>
      </c>
      <c r="C13" s="27" t="s">
        <v>156</v>
      </c>
      <c r="D13" s="31">
        <v>458016</v>
      </c>
      <c r="E13" s="29">
        <v>23884.61837</v>
      </c>
      <c r="F13" s="30">
        <v>3.0352916783481398</v>
      </c>
    </row>
    <row r="14" spans="1:6" x14ac:dyDescent="0.2">
      <c r="A14" s="27" t="s">
        <v>357</v>
      </c>
      <c r="B14" s="27" t="s">
        <v>356</v>
      </c>
      <c r="C14" s="27" t="s">
        <v>284</v>
      </c>
      <c r="D14" s="31">
        <v>1125123</v>
      </c>
      <c r="E14" s="29">
        <v>22943.50822</v>
      </c>
      <c r="F14" s="30">
        <v>2.9156940459952598</v>
      </c>
    </row>
    <row r="15" spans="1:6" x14ac:dyDescent="0.2">
      <c r="A15" s="27" t="s">
        <v>107</v>
      </c>
      <c r="B15" s="27" t="s">
        <v>106</v>
      </c>
      <c r="C15" s="27" t="s">
        <v>108</v>
      </c>
      <c r="D15" s="31">
        <v>936879</v>
      </c>
      <c r="E15" s="29">
        <v>22240.102139999999</v>
      </c>
      <c r="F15" s="30">
        <v>2.82630418897309</v>
      </c>
    </row>
    <row r="16" spans="1:6" x14ac:dyDescent="0.2">
      <c r="A16" s="27" t="s">
        <v>169</v>
      </c>
      <c r="B16" s="27" t="s">
        <v>168</v>
      </c>
      <c r="C16" s="27" t="s">
        <v>122</v>
      </c>
      <c r="D16" s="31">
        <v>3548612</v>
      </c>
      <c r="E16" s="29">
        <v>22212.536810000001</v>
      </c>
      <c r="F16" s="30">
        <v>2.8228011471633501</v>
      </c>
    </row>
    <row r="17" spans="1:6" x14ac:dyDescent="0.2">
      <c r="A17" s="27" t="s">
        <v>464</v>
      </c>
      <c r="B17" s="27" t="s">
        <v>463</v>
      </c>
      <c r="C17" s="27" t="s">
        <v>413</v>
      </c>
      <c r="D17" s="31">
        <v>525865</v>
      </c>
      <c r="E17" s="29">
        <v>21218.652750000001</v>
      </c>
      <c r="F17" s="30">
        <v>2.69649693037293</v>
      </c>
    </row>
    <row r="18" spans="1:6" x14ac:dyDescent="0.2">
      <c r="A18" s="27" t="s">
        <v>238</v>
      </c>
      <c r="B18" s="27" t="s">
        <v>237</v>
      </c>
      <c r="C18" s="27" t="s">
        <v>239</v>
      </c>
      <c r="D18" s="31">
        <v>11487252</v>
      </c>
      <c r="E18" s="29">
        <v>21211.21082</v>
      </c>
      <c r="F18" s="30">
        <v>2.6955511991977499</v>
      </c>
    </row>
    <row r="19" spans="1:6" x14ac:dyDescent="0.2">
      <c r="A19" s="27" t="s">
        <v>217</v>
      </c>
      <c r="B19" s="27" t="s">
        <v>216</v>
      </c>
      <c r="C19" s="27" t="s">
        <v>101</v>
      </c>
      <c r="D19" s="31">
        <v>23869927</v>
      </c>
      <c r="E19" s="29">
        <v>20874.25116</v>
      </c>
      <c r="F19" s="30">
        <v>2.6527298806364401</v>
      </c>
    </row>
    <row r="20" spans="1:6" x14ac:dyDescent="0.2">
      <c r="A20" s="27" t="s">
        <v>286</v>
      </c>
      <c r="B20" s="27" t="s">
        <v>285</v>
      </c>
      <c r="C20" s="27" t="s">
        <v>149</v>
      </c>
      <c r="D20" s="31">
        <v>15289858</v>
      </c>
      <c r="E20" s="29">
        <v>20304.931420000001</v>
      </c>
      <c r="F20" s="30">
        <v>2.5803799086849599</v>
      </c>
    </row>
    <row r="21" spans="1:6" x14ac:dyDescent="0.2">
      <c r="A21" s="27" t="s">
        <v>160</v>
      </c>
      <c r="B21" s="27" t="s">
        <v>159</v>
      </c>
      <c r="C21" s="27" t="s">
        <v>101</v>
      </c>
      <c r="D21" s="31">
        <v>13160416</v>
      </c>
      <c r="E21" s="29">
        <v>19773.52504</v>
      </c>
      <c r="F21" s="30">
        <v>2.5128480210889999</v>
      </c>
    </row>
    <row r="22" spans="1:6" x14ac:dyDescent="0.2">
      <c r="A22" s="27" t="s">
        <v>275</v>
      </c>
      <c r="B22" s="27" t="s">
        <v>274</v>
      </c>
      <c r="C22" s="27" t="s">
        <v>122</v>
      </c>
      <c r="D22" s="31">
        <v>2435553</v>
      </c>
      <c r="E22" s="29">
        <v>18418.869559999999</v>
      </c>
      <c r="F22" s="30">
        <v>2.3406964530054499</v>
      </c>
    </row>
    <row r="23" spans="1:6" x14ac:dyDescent="0.2">
      <c r="A23" s="27" t="s">
        <v>466</v>
      </c>
      <c r="B23" s="27" t="s">
        <v>465</v>
      </c>
      <c r="C23" s="27" t="s">
        <v>172</v>
      </c>
      <c r="D23" s="31">
        <v>557739</v>
      </c>
      <c r="E23" s="29">
        <v>18177.550620000002</v>
      </c>
      <c r="F23" s="30">
        <v>2.3100292947924599</v>
      </c>
    </row>
    <row r="24" spans="1:6" x14ac:dyDescent="0.2">
      <c r="A24" s="27" t="s">
        <v>207</v>
      </c>
      <c r="B24" s="27" t="s">
        <v>206</v>
      </c>
      <c r="C24" s="27" t="s">
        <v>185</v>
      </c>
      <c r="D24" s="31">
        <v>2730269</v>
      </c>
      <c r="E24" s="29">
        <v>18071.650509999999</v>
      </c>
      <c r="F24" s="30">
        <v>2.2965713563971399</v>
      </c>
    </row>
    <row r="25" spans="1:6" x14ac:dyDescent="0.2">
      <c r="A25" s="27" t="s">
        <v>201</v>
      </c>
      <c r="B25" s="27" t="s">
        <v>200</v>
      </c>
      <c r="C25" s="27" t="s">
        <v>202</v>
      </c>
      <c r="D25" s="31">
        <v>12240848</v>
      </c>
      <c r="E25" s="29">
        <v>17761.470450000001</v>
      </c>
      <c r="F25" s="30">
        <v>2.2571532279463198</v>
      </c>
    </row>
    <row r="26" spans="1:6" x14ac:dyDescent="0.2">
      <c r="A26" s="27" t="s">
        <v>468</v>
      </c>
      <c r="B26" s="27" t="s">
        <v>467</v>
      </c>
      <c r="C26" s="27" t="s">
        <v>360</v>
      </c>
      <c r="D26" s="31">
        <v>2606125</v>
      </c>
      <c r="E26" s="29">
        <v>17523.584500000001</v>
      </c>
      <c r="F26" s="30">
        <v>2.2269223390434401</v>
      </c>
    </row>
    <row r="27" spans="1:6" x14ac:dyDescent="0.2">
      <c r="A27" s="27" t="s">
        <v>470</v>
      </c>
      <c r="B27" s="27" t="s">
        <v>469</v>
      </c>
      <c r="C27" s="27" t="s">
        <v>122</v>
      </c>
      <c r="D27" s="31">
        <v>3091673</v>
      </c>
      <c r="E27" s="29">
        <v>17277.814559999999</v>
      </c>
      <c r="F27" s="30">
        <v>2.1956895413443598</v>
      </c>
    </row>
    <row r="28" spans="1:6" x14ac:dyDescent="0.2">
      <c r="A28" s="27" t="s">
        <v>151</v>
      </c>
      <c r="B28" s="27" t="s">
        <v>150</v>
      </c>
      <c r="C28" s="27" t="s">
        <v>130</v>
      </c>
      <c r="D28" s="31">
        <v>3864460</v>
      </c>
      <c r="E28" s="29">
        <v>17216.169300000001</v>
      </c>
      <c r="F28" s="30">
        <v>2.1878555729807401</v>
      </c>
    </row>
    <row r="29" spans="1:6" x14ac:dyDescent="0.2">
      <c r="A29" s="27" t="s">
        <v>119</v>
      </c>
      <c r="B29" s="27" t="s">
        <v>118</v>
      </c>
      <c r="C29" s="27" t="s">
        <v>101</v>
      </c>
      <c r="D29" s="31">
        <v>1001436</v>
      </c>
      <c r="E29" s="29">
        <v>16571.762930000001</v>
      </c>
      <c r="F29" s="30">
        <v>2.1059634840205801</v>
      </c>
    </row>
    <row r="30" spans="1:6" x14ac:dyDescent="0.2">
      <c r="A30" s="27" t="s">
        <v>472</v>
      </c>
      <c r="B30" s="27" t="s">
        <v>471</v>
      </c>
      <c r="C30" s="27" t="s">
        <v>156</v>
      </c>
      <c r="D30" s="31">
        <v>1736049</v>
      </c>
      <c r="E30" s="29">
        <v>16021.996220000001</v>
      </c>
      <c r="F30" s="30">
        <v>2.0360983392631602</v>
      </c>
    </row>
    <row r="31" spans="1:6" x14ac:dyDescent="0.2">
      <c r="A31" s="27" t="s">
        <v>474</v>
      </c>
      <c r="B31" s="27" t="s">
        <v>473</v>
      </c>
      <c r="C31" s="27" t="s">
        <v>185</v>
      </c>
      <c r="D31" s="31">
        <v>584279</v>
      </c>
      <c r="E31" s="29">
        <v>15238.28846</v>
      </c>
      <c r="F31" s="30">
        <v>1.9365036291725599</v>
      </c>
    </row>
    <row r="32" spans="1:6" x14ac:dyDescent="0.2">
      <c r="A32" s="27" t="s">
        <v>476</v>
      </c>
      <c r="B32" s="27" t="s">
        <v>475</v>
      </c>
      <c r="C32" s="27" t="s">
        <v>133</v>
      </c>
      <c r="D32" s="31">
        <v>721075</v>
      </c>
      <c r="E32" s="29">
        <v>15174.302299999999</v>
      </c>
      <c r="F32" s="30">
        <v>1.9283721758678001</v>
      </c>
    </row>
    <row r="33" spans="1:6" x14ac:dyDescent="0.2">
      <c r="A33" s="27" t="s">
        <v>254</v>
      </c>
      <c r="B33" s="27" t="s">
        <v>253</v>
      </c>
      <c r="C33" s="27" t="s">
        <v>185</v>
      </c>
      <c r="D33" s="31">
        <v>11253507</v>
      </c>
      <c r="E33" s="29">
        <v>14500.143770000001</v>
      </c>
      <c r="F33" s="30">
        <v>1.8426991395941099</v>
      </c>
    </row>
    <row r="34" spans="1:6" x14ac:dyDescent="0.2">
      <c r="A34" s="27" t="s">
        <v>478</v>
      </c>
      <c r="B34" s="27" t="s">
        <v>477</v>
      </c>
      <c r="C34" s="27" t="s">
        <v>479</v>
      </c>
      <c r="D34" s="31">
        <v>1536228</v>
      </c>
      <c r="E34" s="29">
        <v>14102.573039999999</v>
      </c>
      <c r="F34" s="30">
        <v>1.79217527902284</v>
      </c>
    </row>
    <row r="35" spans="1:6" x14ac:dyDescent="0.2">
      <c r="A35" s="27" t="s">
        <v>481</v>
      </c>
      <c r="B35" s="27" t="s">
        <v>480</v>
      </c>
      <c r="C35" s="27" t="s">
        <v>108</v>
      </c>
      <c r="D35" s="31">
        <v>1705821</v>
      </c>
      <c r="E35" s="29">
        <v>13026.50207</v>
      </c>
      <c r="F35" s="30">
        <v>1.6554266314222801</v>
      </c>
    </row>
    <row r="36" spans="1:6" x14ac:dyDescent="0.2">
      <c r="A36" s="27" t="s">
        <v>127</v>
      </c>
      <c r="B36" s="27" t="s">
        <v>126</v>
      </c>
      <c r="C36" s="27" t="s">
        <v>125</v>
      </c>
      <c r="D36" s="31">
        <v>3751482</v>
      </c>
      <c r="E36" s="29">
        <v>12983.879199999999</v>
      </c>
      <c r="F36" s="30">
        <v>1.6500100557577999</v>
      </c>
    </row>
    <row r="37" spans="1:6" x14ac:dyDescent="0.2">
      <c r="A37" s="27" t="s">
        <v>483</v>
      </c>
      <c r="B37" s="27" t="s">
        <v>482</v>
      </c>
      <c r="C37" s="27" t="s">
        <v>304</v>
      </c>
      <c r="D37" s="31">
        <v>1940126</v>
      </c>
      <c r="E37" s="29">
        <v>12492.471310000001</v>
      </c>
      <c r="F37" s="30">
        <v>1.5875612338387901</v>
      </c>
    </row>
    <row r="38" spans="1:6" x14ac:dyDescent="0.2">
      <c r="A38" s="27" t="s">
        <v>485</v>
      </c>
      <c r="B38" s="27" t="s">
        <v>484</v>
      </c>
      <c r="C38" s="27" t="s">
        <v>486</v>
      </c>
      <c r="D38" s="31">
        <v>411716</v>
      </c>
      <c r="E38" s="29">
        <v>12146.44543</v>
      </c>
      <c r="F38" s="30">
        <v>1.54358776699135</v>
      </c>
    </row>
    <row r="39" spans="1:6" x14ac:dyDescent="0.2">
      <c r="A39" s="27" t="s">
        <v>488</v>
      </c>
      <c r="B39" s="27" t="s">
        <v>487</v>
      </c>
      <c r="C39" s="27" t="s">
        <v>108</v>
      </c>
      <c r="D39" s="31">
        <v>5263737</v>
      </c>
      <c r="E39" s="29">
        <v>11761.82033</v>
      </c>
      <c r="F39" s="30">
        <v>1.4947090557124501</v>
      </c>
    </row>
    <row r="40" spans="1:6" x14ac:dyDescent="0.2">
      <c r="A40" s="27" t="s">
        <v>247</v>
      </c>
      <c r="B40" s="27" t="s">
        <v>246</v>
      </c>
      <c r="C40" s="27" t="s">
        <v>108</v>
      </c>
      <c r="D40" s="31">
        <v>68736</v>
      </c>
      <c r="E40" s="29">
        <v>10288.57632</v>
      </c>
      <c r="F40" s="30">
        <v>1.3074870865582</v>
      </c>
    </row>
    <row r="41" spans="1:6" x14ac:dyDescent="0.2">
      <c r="A41" s="27" t="s">
        <v>252</v>
      </c>
      <c r="B41" s="27" t="s">
        <v>251</v>
      </c>
      <c r="C41" s="27" t="s">
        <v>101</v>
      </c>
      <c r="D41" s="31">
        <v>5234341</v>
      </c>
      <c r="E41" s="29">
        <v>10099.660959999999</v>
      </c>
      <c r="F41" s="30">
        <v>1.28347945071335</v>
      </c>
    </row>
    <row r="42" spans="1:6" x14ac:dyDescent="0.2">
      <c r="A42" s="27" t="s">
        <v>490</v>
      </c>
      <c r="B42" s="27" t="s">
        <v>489</v>
      </c>
      <c r="C42" s="27" t="s">
        <v>114</v>
      </c>
      <c r="D42" s="31">
        <v>968720</v>
      </c>
      <c r="E42" s="29">
        <v>9631.4986000000008</v>
      </c>
      <c r="F42" s="30">
        <v>1.22398470420282</v>
      </c>
    </row>
    <row r="43" spans="1:6" x14ac:dyDescent="0.2">
      <c r="A43" s="27" t="s">
        <v>412</v>
      </c>
      <c r="B43" s="27" t="s">
        <v>411</v>
      </c>
      <c r="C43" s="27" t="s">
        <v>413</v>
      </c>
      <c r="D43" s="31">
        <v>337834</v>
      </c>
      <c r="E43" s="29">
        <v>9610.5327149999994</v>
      </c>
      <c r="F43" s="30">
        <v>1.2213203293619199</v>
      </c>
    </row>
    <row r="44" spans="1:6" x14ac:dyDescent="0.2">
      <c r="A44" s="27" t="s">
        <v>492</v>
      </c>
      <c r="B44" s="27" t="s">
        <v>491</v>
      </c>
      <c r="C44" s="27" t="s">
        <v>149</v>
      </c>
      <c r="D44" s="31">
        <v>799918</v>
      </c>
      <c r="E44" s="29">
        <v>9473.8288329999996</v>
      </c>
      <c r="F44" s="30">
        <v>1.20394780328657</v>
      </c>
    </row>
    <row r="45" spans="1:6" x14ac:dyDescent="0.2">
      <c r="A45" s="27" t="s">
        <v>155</v>
      </c>
      <c r="B45" s="27" t="s">
        <v>154</v>
      </c>
      <c r="C45" s="27" t="s">
        <v>156</v>
      </c>
      <c r="D45" s="31">
        <v>4168223</v>
      </c>
      <c r="E45" s="29">
        <v>9347.2400780000007</v>
      </c>
      <c r="F45" s="30">
        <v>1.18786072210856</v>
      </c>
    </row>
    <row r="46" spans="1:6" x14ac:dyDescent="0.2">
      <c r="A46" s="27" t="s">
        <v>494</v>
      </c>
      <c r="B46" s="27" t="s">
        <v>493</v>
      </c>
      <c r="C46" s="27" t="s">
        <v>284</v>
      </c>
      <c r="D46" s="31">
        <v>932234</v>
      </c>
      <c r="E46" s="29">
        <v>8714.523432</v>
      </c>
      <c r="F46" s="30">
        <v>1.1074541800987301</v>
      </c>
    </row>
    <row r="47" spans="1:6" x14ac:dyDescent="0.2">
      <c r="A47" s="27" t="s">
        <v>496</v>
      </c>
      <c r="B47" s="27" t="s">
        <v>495</v>
      </c>
      <c r="C47" s="27" t="s">
        <v>98</v>
      </c>
      <c r="D47" s="31">
        <v>228304</v>
      </c>
      <c r="E47" s="29">
        <v>7176.0513279999996</v>
      </c>
      <c r="F47" s="30">
        <v>0.91194293087955702</v>
      </c>
    </row>
    <row r="48" spans="1:6" x14ac:dyDescent="0.2">
      <c r="A48" s="27" t="s">
        <v>498</v>
      </c>
      <c r="B48" s="27" t="s">
        <v>497</v>
      </c>
      <c r="C48" s="27" t="s">
        <v>360</v>
      </c>
      <c r="D48" s="31">
        <v>821062</v>
      </c>
      <c r="E48" s="29">
        <v>7091.1019630000001</v>
      </c>
      <c r="F48" s="30">
        <v>0.90114744331215602</v>
      </c>
    </row>
    <row r="49" spans="1:9" x14ac:dyDescent="0.2">
      <c r="A49" s="27" t="s">
        <v>500</v>
      </c>
      <c r="B49" s="27" t="s">
        <v>499</v>
      </c>
      <c r="C49" s="27" t="s">
        <v>114</v>
      </c>
      <c r="D49" s="31">
        <v>408468</v>
      </c>
      <c r="E49" s="29">
        <v>6613.9138560000001</v>
      </c>
      <c r="F49" s="30">
        <v>0.84050569188258095</v>
      </c>
    </row>
    <row r="50" spans="1:9" x14ac:dyDescent="0.2">
      <c r="A50" s="27" t="s">
        <v>402</v>
      </c>
      <c r="B50" s="27" t="s">
        <v>401</v>
      </c>
      <c r="C50" s="27" t="s">
        <v>101</v>
      </c>
      <c r="D50" s="31">
        <v>12530441</v>
      </c>
      <c r="E50" s="29">
        <v>6102.3247670000001</v>
      </c>
      <c r="F50" s="30">
        <v>0.77549221414890201</v>
      </c>
    </row>
    <row r="51" spans="1:9" x14ac:dyDescent="0.2">
      <c r="A51" s="27" t="s">
        <v>502</v>
      </c>
      <c r="B51" s="27" t="s">
        <v>501</v>
      </c>
      <c r="C51" s="27" t="s">
        <v>205</v>
      </c>
      <c r="D51" s="31">
        <v>293622</v>
      </c>
      <c r="E51" s="29">
        <v>5874.4953539999997</v>
      </c>
      <c r="F51" s="30">
        <v>0.74653932444184201</v>
      </c>
    </row>
    <row r="52" spans="1:9" x14ac:dyDescent="0.2">
      <c r="A52" s="27" t="s">
        <v>504</v>
      </c>
      <c r="B52" s="27" t="s">
        <v>503</v>
      </c>
      <c r="C52" s="27" t="s">
        <v>205</v>
      </c>
      <c r="D52" s="31">
        <v>2053763</v>
      </c>
      <c r="E52" s="29">
        <v>5063.5526769999997</v>
      </c>
      <c r="F52" s="30">
        <v>0.64348356190107903</v>
      </c>
    </row>
    <row r="53" spans="1:9" x14ac:dyDescent="0.2">
      <c r="A53" s="27" t="s">
        <v>241</v>
      </c>
      <c r="B53" s="27" t="s">
        <v>240</v>
      </c>
      <c r="C53" s="27" t="s">
        <v>205</v>
      </c>
      <c r="D53" s="31">
        <v>793381</v>
      </c>
      <c r="E53" s="29">
        <v>4141.4488199999996</v>
      </c>
      <c r="F53" s="30">
        <v>0.52630127661741299</v>
      </c>
    </row>
    <row r="54" spans="1:9" x14ac:dyDescent="0.2">
      <c r="A54" s="27" t="s">
        <v>426</v>
      </c>
      <c r="B54" s="27" t="s">
        <v>425</v>
      </c>
      <c r="C54" s="27" t="s">
        <v>284</v>
      </c>
      <c r="D54" s="31">
        <v>44595</v>
      </c>
      <c r="E54" s="29">
        <v>4037.3414330000001</v>
      </c>
      <c r="F54" s="30">
        <v>0.51307116004110798</v>
      </c>
    </row>
    <row r="55" spans="1:9" x14ac:dyDescent="0.2">
      <c r="A55" s="27" t="s">
        <v>163</v>
      </c>
      <c r="B55" s="69" t="s">
        <v>1239</v>
      </c>
      <c r="C55" s="27" t="s">
        <v>156</v>
      </c>
      <c r="D55" s="31">
        <v>387844</v>
      </c>
      <c r="E55" s="29">
        <v>869.74017000000003</v>
      </c>
      <c r="F55" s="30">
        <v>0.110527832575375</v>
      </c>
    </row>
    <row r="56" spans="1:9" x14ac:dyDescent="0.2">
      <c r="A56" s="26" t="s">
        <v>35</v>
      </c>
      <c r="B56" s="26"/>
      <c r="C56" s="26"/>
      <c r="D56" s="32"/>
      <c r="E56" s="33">
        <f>SUM(E7:E55)</f>
        <v>756160.83460600034</v>
      </c>
      <c r="F56" s="34">
        <f>SUM(F7:F55)</f>
        <v>96.094007164677805</v>
      </c>
      <c r="G56" s="18"/>
      <c r="H56" s="18"/>
      <c r="I56" s="18"/>
    </row>
    <row r="57" spans="1:9" x14ac:dyDescent="0.2">
      <c r="A57" s="27"/>
      <c r="B57" s="27"/>
      <c r="C57" s="27"/>
      <c r="D57" s="28"/>
      <c r="E57" s="29"/>
      <c r="F57" s="30"/>
    </row>
    <row r="58" spans="1:9" x14ac:dyDescent="0.2">
      <c r="A58" s="26" t="s">
        <v>225</v>
      </c>
      <c r="B58" s="27"/>
      <c r="C58" s="27"/>
      <c r="D58" s="28"/>
      <c r="E58" s="29"/>
      <c r="F58" s="30"/>
    </row>
    <row r="59" spans="1:9" x14ac:dyDescent="0.2">
      <c r="A59" s="27"/>
      <c r="B59" s="27" t="s">
        <v>721</v>
      </c>
      <c r="C59" s="27" t="s">
        <v>185</v>
      </c>
      <c r="D59" s="31">
        <v>8100</v>
      </c>
      <c r="E59" s="29">
        <v>8.0999999999999996E-4</v>
      </c>
      <c r="F59" s="30">
        <v>1.02935965790857E-7</v>
      </c>
    </row>
    <row r="60" spans="1:9" x14ac:dyDescent="0.2">
      <c r="A60" s="26" t="s">
        <v>35</v>
      </c>
      <c r="B60" s="26"/>
      <c r="C60" s="26"/>
      <c r="D60" s="32"/>
      <c r="E60" s="33">
        <f>SUM(E58:E59)</f>
        <v>8.0999999999999996E-4</v>
      </c>
      <c r="F60" s="34">
        <f>SUM(F58:F59)</f>
        <v>1.02935965790857E-7</v>
      </c>
      <c r="G60" s="18"/>
      <c r="H60" s="18"/>
      <c r="I60" s="18"/>
    </row>
    <row r="61" spans="1:9" x14ac:dyDescent="0.2">
      <c r="A61" s="27"/>
      <c r="B61" s="27"/>
      <c r="C61" s="27"/>
      <c r="D61" s="28"/>
      <c r="E61" s="29"/>
      <c r="F61" s="30"/>
    </row>
    <row r="62" spans="1:9" x14ac:dyDescent="0.2">
      <c r="A62" s="26" t="s">
        <v>37</v>
      </c>
      <c r="B62" s="26"/>
      <c r="C62" s="26"/>
      <c r="D62" s="32"/>
      <c r="E62" s="33">
        <f>E56+E60</f>
        <v>756160.83541600034</v>
      </c>
      <c r="F62" s="34">
        <f>F56+F60</f>
        <v>96.094007267613776</v>
      </c>
      <c r="G62" s="18"/>
      <c r="H62" s="18"/>
      <c r="I62" s="18"/>
    </row>
    <row r="63" spans="1:9" x14ac:dyDescent="0.2">
      <c r="A63" s="26"/>
      <c r="B63" s="26"/>
      <c r="C63" s="26"/>
      <c r="D63" s="32"/>
      <c r="E63" s="33"/>
      <c r="F63" s="34"/>
      <c r="G63" s="18"/>
      <c r="H63" s="18"/>
      <c r="I63" s="18"/>
    </row>
    <row r="64" spans="1:9" x14ac:dyDescent="0.2">
      <c r="A64" s="26" t="s">
        <v>39</v>
      </c>
      <c r="B64" s="26"/>
      <c r="C64" s="26"/>
      <c r="D64" s="32"/>
      <c r="E64" s="33">
        <f>E66-(E56+E60)</f>
        <v>30736.138617099612</v>
      </c>
      <c r="F64" s="34">
        <f>F66-(F56+F60)</f>
        <v>3.905992732386224</v>
      </c>
      <c r="G64" s="18"/>
      <c r="H64" s="18"/>
      <c r="I64" s="18"/>
    </row>
    <row r="65" spans="1:9" x14ac:dyDescent="0.2">
      <c r="A65" s="26"/>
      <c r="B65" s="26"/>
      <c r="C65" s="26"/>
      <c r="D65" s="32"/>
      <c r="E65" s="33"/>
      <c r="F65" s="34"/>
      <c r="G65" s="18"/>
      <c r="H65" s="18"/>
      <c r="I65" s="18"/>
    </row>
    <row r="66" spans="1:9" x14ac:dyDescent="0.2">
      <c r="A66" s="35" t="s">
        <v>38</v>
      </c>
      <c r="B66" s="35"/>
      <c r="C66" s="35"/>
      <c r="D66" s="36"/>
      <c r="E66" s="37">
        <v>786896.97403309995</v>
      </c>
      <c r="F66" s="38">
        <v>100</v>
      </c>
      <c r="G66" s="18"/>
      <c r="H66" s="18"/>
      <c r="I66" s="18"/>
    </row>
    <row r="67" spans="1:9" x14ac:dyDescent="0.2">
      <c r="F67" s="20" t="s">
        <v>505</v>
      </c>
    </row>
    <row r="68" spans="1:9" x14ac:dyDescent="0.2">
      <c r="A68" s="18" t="s">
        <v>40</v>
      </c>
      <c r="F68" s="20"/>
    </row>
    <row r="69" spans="1:9" x14ac:dyDescent="0.2">
      <c r="A69" s="18" t="s">
        <v>722</v>
      </c>
      <c r="F69" s="20"/>
    </row>
    <row r="70" spans="1:9" x14ac:dyDescent="0.2">
      <c r="A70" s="18" t="s">
        <v>1240</v>
      </c>
    </row>
    <row r="71" spans="1:9" x14ac:dyDescent="0.2">
      <c r="A71" s="18"/>
    </row>
    <row r="72" spans="1:9" x14ac:dyDescent="0.2">
      <c r="A72" s="18" t="s">
        <v>41</v>
      </c>
    </row>
    <row r="73" spans="1:9" x14ac:dyDescent="0.2">
      <c r="A73" s="18" t="s">
        <v>42</v>
      </c>
    </row>
    <row r="74" spans="1:9" x14ac:dyDescent="0.2">
      <c r="A74" s="18" t="s">
        <v>43</v>
      </c>
      <c r="B74" s="18"/>
      <c r="C74" s="39" t="s">
        <v>45</v>
      </c>
      <c r="D74" s="19" t="s">
        <v>44</v>
      </c>
    </row>
    <row r="75" spans="1:9" x14ac:dyDescent="0.2">
      <c r="A75" s="9" t="s">
        <v>68</v>
      </c>
      <c r="C75" s="40">
        <v>1128.3936000000001</v>
      </c>
      <c r="D75" s="40">
        <v>1438.5924</v>
      </c>
    </row>
    <row r="76" spans="1:9" x14ac:dyDescent="0.2">
      <c r="A76" s="9" t="s">
        <v>74</v>
      </c>
      <c r="C76" s="40">
        <v>59.233699999999999</v>
      </c>
      <c r="D76" s="40">
        <v>69.313400000000001</v>
      </c>
    </row>
    <row r="77" spans="1:9" x14ac:dyDescent="0.2">
      <c r="A77" s="9" t="s">
        <v>71</v>
      </c>
      <c r="C77" s="40">
        <v>1223.0214000000001</v>
      </c>
      <c r="D77" s="40">
        <v>1565.5713000000001</v>
      </c>
    </row>
    <row r="78" spans="1:9" x14ac:dyDescent="0.2">
      <c r="A78" s="9" t="s">
        <v>75</v>
      </c>
      <c r="C78" s="40">
        <v>66.692099999999996</v>
      </c>
      <c r="D78" s="40">
        <v>79.160899999999998</v>
      </c>
    </row>
    <row r="80" spans="1:9" x14ac:dyDescent="0.2">
      <c r="A80" s="18" t="s">
        <v>47</v>
      </c>
    </row>
    <row r="81" spans="1:4" x14ac:dyDescent="0.2">
      <c r="A81" s="74" t="s">
        <v>65</v>
      </c>
      <c r="B81" s="75"/>
      <c r="C81" s="43" t="s">
        <v>66</v>
      </c>
    </row>
    <row r="82" spans="1:4" x14ac:dyDescent="0.2">
      <c r="A82" s="70" t="s">
        <v>74</v>
      </c>
      <c r="B82" s="71"/>
      <c r="C82" s="44">
        <v>6</v>
      </c>
    </row>
    <row r="83" spans="1:4" x14ac:dyDescent="0.2">
      <c r="A83" s="70" t="s">
        <v>75</v>
      </c>
      <c r="B83" s="71"/>
      <c r="C83" s="44">
        <v>6</v>
      </c>
    </row>
    <row r="84" spans="1:4" x14ac:dyDescent="0.2">
      <c r="A84" s="9" t="s">
        <v>67</v>
      </c>
    </row>
    <row r="85" spans="1:4" x14ac:dyDescent="0.2">
      <c r="A85" s="9" t="s">
        <v>46</v>
      </c>
    </row>
    <row r="87" spans="1:4" x14ac:dyDescent="0.2">
      <c r="A87" s="18" t="s">
        <v>218</v>
      </c>
      <c r="D87" s="45">
        <v>4.4911334408897045E-2</v>
      </c>
    </row>
    <row r="89" spans="1:4" x14ac:dyDescent="0.2">
      <c r="A89" s="18" t="s">
        <v>727</v>
      </c>
      <c r="D89" s="41" t="s">
        <v>48</v>
      </c>
    </row>
    <row r="90" spans="1:4" x14ac:dyDescent="0.2">
      <c r="A90" s="9" t="s">
        <v>723</v>
      </c>
    </row>
    <row r="91" spans="1:4" x14ac:dyDescent="0.2">
      <c r="A91" s="50" t="s">
        <v>724</v>
      </c>
    </row>
    <row r="93" spans="1:4" x14ac:dyDescent="0.2">
      <c r="A93" s="18" t="s">
        <v>728</v>
      </c>
    </row>
    <row r="94" spans="1:4" x14ac:dyDescent="0.2">
      <c r="A94" s="50" t="s">
        <v>51</v>
      </c>
    </row>
  </sheetData>
  <mergeCells count="4">
    <mergeCell ref="A1:F1"/>
    <mergeCell ref="A81:B81"/>
    <mergeCell ref="A82:B82"/>
    <mergeCell ref="A83:B83"/>
  </mergeCells>
  <conditionalFormatting sqref="F2:F3 F5:F65539">
    <cfRule type="cellIs" dxfId="20" priority="1" stopIfTrue="1" operator="between">
      <formula>0.009</formula>
      <formula>-0.009</formula>
    </cfRule>
  </conditionalFormatting>
  <hyperlinks>
    <hyperlink ref="A94" r:id="rId1" xr:uid="{00000000-0004-0000-2000-000000000000}"/>
    <hyperlink ref="A91" r:id="rId2" xr:uid="{00000000-0004-0000-20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6"/>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0" style="9" bestFit="1" customWidth="1"/>
    <col min="4" max="4" width="14.6640625" style="10" bestFit="1" customWidth="1"/>
    <col min="5" max="5" width="23" style="13" bestFit="1" customWidth="1"/>
    <col min="6" max="6" width="14.6640625" style="14" bestFit="1" customWidth="1"/>
    <col min="7" max="16384" width="9.109375" style="9"/>
  </cols>
  <sheetData>
    <row r="1" spans="1:6" s="1" customFormat="1" ht="13.8" x14ac:dyDescent="0.2">
      <c r="A1" s="72" t="s">
        <v>15</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405492</v>
      </c>
      <c r="E7" s="29">
        <v>6530.44866</v>
      </c>
      <c r="F7" s="30">
        <v>9.8308896327768291</v>
      </c>
    </row>
    <row r="8" spans="1:6" x14ac:dyDescent="0.2">
      <c r="A8" s="27" t="s">
        <v>100</v>
      </c>
      <c r="B8" s="27" t="s">
        <v>99</v>
      </c>
      <c r="C8" s="27" t="s">
        <v>101</v>
      </c>
      <c r="D8" s="31">
        <v>395485</v>
      </c>
      <c r="E8" s="29">
        <v>5641.3957829999999</v>
      </c>
      <c r="F8" s="30">
        <v>8.4925159364908893</v>
      </c>
    </row>
    <row r="9" spans="1:6" x14ac:dyDescent="0.2">
      <c r="A9" s="27" t="s">
        <v>311</v>
      </c>
      <c r="B9" s="27" t="s">
        <v>310</v>
      </c>
      <c r="C9" s="27" t="s">
        <v>156</v>
      </c>
      <c r="D9" s="31">
        <v>87910</v>
      </c>
      <c r="E9" s="29">
        <v>4584.33068</v>
      </c>
      <c r="F9" s="30">
        <v>6.9012178644449804</v>
      </c>
    </row>
    <row r="10" spans="1:6" x14ac:dyDescent="0.2">
      <c r="A10" s="27" t="s">
        <v>105</v>
      </c>
      <c r="B10" s="27" t="s">
        <v>104</v>
      </c>
      <c r="C10" s="27" t="s">
        <v>101</v>
      </c>
      <c r="D10" s="31">
        <v>583651</v>
      </c>
      <c r="E10" s="29">
        <v>3983.418075</v>
      </c>
      <c r="F10" s="30">
        <v>5.9966084254513303</v>
      </c>
    </row>
    <row r="11" spans="1:6" x14ac:dyDescent="0.2">
      <c r="A11" s="27" t="s">
        <v>103</v>
      </c>
      <c r="B11" s="27" t="s">
        <v>102</v>
      </c>
      <c r="C11" s="27" t="s">
        <v>101</v>
      </c>
      <c r="D11" s="31">
        <v>458037</v>
      </c>
      <c r="E11" s="29">
        <v>3247.0242929999999</v>
      </c>
      <c r="F11" s="30">
        <v>4.8880466138490704</v>
      </c>
    </row>
    <row r="12" spans="1:6" x14ac:dyDescent="0.2">
      <c r="A12" s="27" t="s">
        <v>247</v>
      </c>
      <c r="B12" s="27" t="s">
        <v>246</v>
      </c>
      <c r="C12" s="27" t="s">
        <v>108</v>
      </c>
      <c r="D12" s="31">
        <v>21180</v>
      </c>
      <c r="E12" s="29">
        <v>3170.2753499999999</v>
      </c>
      <c r="F12" s="30">
        <v>4.7725093165900399</v>
      </c>
    </row>
    <row r="13" spans="1:6" x14ac:dyDescent="0.2">
      <c r="A13" s="27" t="s">
        <v>119</v>
      </c>
      <c r="B13" s="27" t="s">
        <v>118</v>
      </c>
      <c r="C13" s="27" t="s">
        <v>101</v>
      </c>
      <c r="D13" s="31">
        <v>169031</v>
      </c>
      <c r="E13" s="29">
        <v>2797.124988</v>
      </c>
      <c r="F13" s="30">
        <v>4.2107714917875496</v>
      </c>
    </row>
    <row r="14" spans="1:6" x14ac:dyDescent="0.2">
      <c r="A14" s="27" t="s">
        <v>234</v>
      </c>
      <c r="B14" s="27" t="s">
        <v>233</v>
      </c>
      <c r="C14" s="27" t="s">
        <v>98</v>
      </c>
      <c r="D14" s="31">
        <v>269692</v>
      </c>
      <c r="E14" s="29">
        <v>2764.2081539999999</v>
      </c>
      <c r="F14" s="30">
        <v>4.1612187307197601</v>
      </c>
    </row>
    <row r="15" spans="1:6" x14ac:dyDescent="0.2">
      <c r="A15" s="27" t="s">
        <v>191</v>
      </c>
      <c r="B15" s="27" t="s">
        <v>190</v>
      </c>
      <c r="C15" s="27" t="s">
        <v>192</v>
      </c>
      <c r="D15" s="31">
        <v>148885</v>
      </c>
      <c r="E15" s="29">
        <v>2384.3188329999998</v>
      </c>
      <c r="F15" s="30">
        <v>3.58933612634423</v>
      </c>
    </row>
    <row r="16" spans="1:6" x14ac:dyDescent="0.2">
      <c r="A16" s="27" t="s">
        <v>151</v>
      </c>
      <c r="B16" s="27" t="s">
        <v>150</v>
      </c>
      <c r="C16" s="27" t="s">
        <v>130</v>
      </c>
      <c r="D16" s="31">
        <v>523765</v>
      </c>
      <c r="E16" s="29">
        <v>2333.373075</v>
      </c>
      <c r="F16" s="30">
        <v>3.5126427549953498</v>
      </c>
    </row>
    <row r="17" spans="1:6" x14ac:dyDescent="0.2">
      <c r="A17" s="27" t="s">
        <v>313</v>
      </c>
      <c r="B17" s="27" t="s">
        <v>312</v>
      </c>
      <c r="C17" s="27" t="s">
        <v>156</v>
      </c>
      <c r="D17" s="31">
        <v>1652430</v>
      </c>
      <c r="E17" s="29">
        <v>2205.9940499999998</v>
      </c>
      <c r="F17" s="30">
        <v>3.3208873027282002</v>
      </c>
    </row>
    <row r="18" spans="1:6" x14ac:dyDescent="0.2">
      <c r="A18" s="27" t="s">
        <v>507</v>
      </c>
      <c r="B18" s="27" t="s">
        <v>506</v>
      </c>
      <c r="C18" s="27" t="s">
        <v>122</v>
      </c>
      <c r="D18" s="31">
        <v>73037</v>
      </c>
      <c r="E18" s="29">
        <v>2160.7631270000002</v>
      </c>
      <c r="F18" s="30">
        <v>3.2527970021757602</v>
      </c>
    </row>
    <row r="19" spans="1:6" x14ac:dyDescent="0.2">
      <c r="A19" s="27" t="s">
        <v>466</v>
      </c>
      <c r="B19" s="27" t="s">
        <v>465</v>
      </c>
      <c r="C19" s="27" t="s">
        <v>172</v>
      </c>
      <c r="D19" s="31">
        <v>60992</v>
      </c>
      <c r="E19" s="29">
        <v>1987.820768</v>
      </c>
      <c r="F19" s="30">
        <v>2.9924508402688601</v>
      </c>
    </row>
    <row r="20" spans="1:6" x14ac:dyDescent="0.2">
      <c r="A20" s="27" t="s">
        <v>132</v>
      </c>
      <c r="B20" s="27" t="s">
        <v>131</v>
      </c>
      <c r="C20" s="27" t="s">
        <v>133</v>
      </c>
      <c r="D20" s="31">
        <v>38978</v>
      </c>
      <c r="E20" s="29">
        <v>1836.3315359999999</v>
      </c>
      <c r="F20" s="30">
        <v>2.76440005878609</v>
      </c>
    </row>
    <row r="21" spans="1:6" x14ac:dyDescent="0.2">
      <c r="A21" s="27" t="s">
        <v>254</v>
      </c>
      <c r="B21" s="27" t="s">
        <v>253</v>
      </c>
      <c r="C21" s="27" t="s">
        <v>185</v>
      </c>
      <c r="D21" s="31">
        <v>1247117</v>
      </c>
      <c r="E21" s="29">
        <v>1606.910255</v>
      </c>
      <c r="F21" s="30">
        <v>2.4190309409280699</v>
      </c>
    </row>
    <row r="22" spans="1:6" x14ac:dyDescent="0.2">
      <c r="A22" s="27" t="s">
        <v>171</v>
      </c>
      <c r="B22" s="27" t="s">
        <v>170</v>
      </c>
      <c r="C22" s="27" t="s">
        <v>172</v>
      </c>
      <c r="D22" s="31">
        <v>93194</v>
      </c>
      <c r="E22" s="29">
        <v>1445.7651189999999</v>
      </c>
      <c r="F22" s="30">
        <v>2.1764442322110602</v>
      </c>
    </row>
    <row r="23" spans="1:6" x14ac:dyDescent="0.2">
      <c r="A23" s="27" t="s">
        <v>129</v>
      </c>
      <c r="B23" s="27" t="s">
        <v>128</v>
      </c>
      <c r="C23" s="27" t="s">
        <v>130</v>
      </c>
      <c r="D23" s="31">
        <v>551423</v>
      </c>
      <c r="E23" s="29">
        <v>1440.0411650000001</v>
      </c>
      <c r="F23" s="30">
        <v>2.16782743373874</v>
      </c>
    </row>
    <row r="24" spans="1:6" x14ac:dyDescent="0.2">
      <c r="A24" s="27" t="s">
        <v>162</v>
      </c>
      <c r="B24" s="27" t="s">
        <v>161</v>
      </c>
      <c r="C24" s="27" t="s">
        <v>149</v>
      </c>
      <c r="D24" s="31">
        <v>484457</v>
      </c>
      <c r="E24" s="29">
        <v>1424.0613519999999</v>
      </c>
      <c r="F24" s="30">
        <v>2.1437715401647401</v>
      </c>
    </row>
    <row r="25" spans="1:6" x14ac:dyDescent="0.2">
      <c r="A25" s="27" t="s">
        <v>110</v>
      </c>
      <c r="B25" s="27" t="s">
        <v>109</v>
      </c>
      <c r="C25" s="27" t="s">
        <v>111</v>
      </c>
      <c r="D25" s="31">
        <v>242272</v>
      </c>
      <c r="E25" s="29">
        <v>1360.7206880000001</v>
      </c>
      <c r="F25" s="30">
        <v>2.0484189680107101</v>
      </c>
    </row>
    <row r="26" spans="1:6" x14ac:dyDescent="0.2">
      <c r="A26" s="27" t="s">
        <v>428</v>
      </c>
      <c r="B26" s="27" t="s">
        <v>427</v>
      </c>
      <c r="C26" s="27" t="s">
        <v>360</v>
      </c>
      <c r="D26" s="31">
        <v>1262673</v>
      </c>
      <c r="E26" s="29">
        <v>1356.1108019999999</v>
      </c>
      <c r="F26" s="30">
        <v>2.0414792793545198</v>
      </c>
    </row>
    <row r="27" spans="1:6" x14ac:dyDescent="0.2">
      <c r="A27" s="27" t="s">
        <v>397</v>
      </c>
      <c r="B27" s="27" t="s">
        <v>396</v>
      </c>
      <c r="C27" s="27" t="s">
        <v>398</v>
      </c>
      <c r="D27" s="31">
        <v>82066</v>
      </c>
      <c r="E27" s="29">
        <v>1315.7231449999999</v>
      </c>
      <c r="F27" s="30">
        <v>1.9806799960027599</v>
      </c>
    </row>
    <row r="28" spans="1:6" x14ac:dyDescent="0.2">
      <c r="A28" s="27" t="s">
        <v>509</v>
      </c>
      <c r="B28" s="27" t="s">
        <v>508</v>
      </c>
      <c r="C28" s="27" t="s">
        <v>133</v>
      </c>
      <c r="D28" s="31">
        <v>129673</v>
      </c>
      <c r="E28" s="29">
        <v>1147.2170309999999</v>
      </c>
      <c r="F28" s="30">
        <v>1.7270121248610999</v>
      </c>
    </row>
    <row r="29" spans="1:6" x14ac:dyDescent="0.2">
      <c r="A29" s="27" t="s">
        <v>511</v>
      </c>
      <c r="B29" s="27" t="s">
        <v>510</v>
      </c>
      <c r="C29" s="27" t="s">
        <v>185</v>
      </c>
      <c r="D29" s="31">
        <v>471967</v>
      </c>
      <c r="E29" s="29">
        <v>1126.1132620000001</v>
      </c>
      <c r="F29" s="30">
        <v>1.69524266541409</v>
      </c>
    </row>
    <row r="30" spans="1:6" x14ac:dyDescent="0.2">
      <c r="A30" s="27" t="s">
        <v>513</v>
      </c>
      <c r="B30" s="27" t="s">
        <v>512</v>
      </c>
      <c r="C30" s="27" t="s">
        <v>420</v>
      </c>
      <c r="D30" s="31">
        <v>583460</v>
      </c>
      <c r="E30" s="29">
        <v>1117.3259</v>
      </c>
      <c r="F30" s="30">
        <v>1.68201423495197</v>
      </c>
    </row>
    <row r="31" spans="1:6" x14ac:dyDescent="0.2">
      <c r="A31" s="27" t="s">
        <v>148</v>
      </c>
      <c r="B31" s="27" t="s">
        <v>147</v>
      </c>
      <c r="C31" s="27" t="s">
        <v>149</v>
      </c>
      <c r="D31" s="31">
        <v>129322</v>
      </c>
      <c r="E31" s="29">
        <v>960.99178199999994</v>
      </c>
      <c r="F31" s="30">
        <v>1.44666999753238</v>
      </c>
    </row>
    <row r="32" spans="1:6" x14ac:dyDescent="0.2">
      <c r="A32" s="27" t="s">
        <v>317</v>
      </c>
      <c r="B32" s="27" t="s">
        <v>316</v>
      </c>
      <c r="C32" s="27" t="s">
        <v>156</v>
      </c>
      <c r="D32" s="31">
        <v>11431</v>
      </c>
      <c r="E32" s="29">
        <v>816.7735275</v>
      </c>
      <c r="F32" s="30">
        <v>1.22956489238005</v>
      </c>
    </row>
    <row r="33" spans="1:9" x14ac:dyDescent="0.2">
      <c r="A33" s="27" t="s">
        <v>275</v>
      </c>
      <c r="B33" s="27" t="s">
        <v>274</v>
      </c>
      <c r="C33" s="27" t="s">
        <v>122</v>
      </c>
      <c r="D33" s="31">
        <v>106104</v>
      </c>
      <c r="E33" s="29">
        <v>802.41150000000005</v>
      </c>
      <c r="F33" s="30">
        <v>1.2079444012612299</v>
      </c>
    </row>
    <row r="34" spans="1:9" x14ac:dyDescent="0.2">
      <c r="A34" s="27" t="s">
        <v>319</v>
      </c>
      <c r="B34" s="27" t="s">
        <v>318</v>
      </c>
      <c r="C34" s="27" t="s">
        <v>98</v>
      </c>
      <c r="D34" s="31">
        <v>15714</v>
      </c>
      <c r="E34" s="29">
        <v>657.67018499999995</v>
      </c>
      <c r="F34" s="30">
        <v>0.99005188465916505</v>
      </c>
    </row>
    <row r="35" spans="1:9" x14ac:dyDescent="0.2">
      <c r="A35" s="27" t="s">
        <v>155</v>
      </c>
      <c r="B35" s="27" t="s">
        <v>154</v>
      </c>
      <c r="C35" s="27" t="s">
        <v>156</v>
      </c>
      <c r="D35" s="31">
        <v>226247</v>
      </c>
      <c r="E35" s="29">
        <v>507.35889750000001</v>
      </c>
      <c r="F35" s="30">
        <v>0.76377437220826905</v>
      </c>
    </row>
    <row r="36" spans="1:9" x14ac:dyDescent="0.2">
      <c r="A36" s="27" t="s">
        <v>515</v>
      </c>
      <c r="B36" s="27" t="s">
        <v>514</v>
      </c>
      <c r="C36" s="27" t="s">
        <v>185</v>
      </c>
      <c r="D36" s="31">
        <v>3125</v>
      </c>
      <c r="E36" s="29">
        <v>63.875</v>
      </c>
      <c r="F36" s="30">
        <v>9.6156957658958098E-2</v>
      </c>
    </row>
    <row r="37" spans="1:9" x14ac:dyDescent="0.2">
      <c r="A37" s="27" t="s">
        <v>163</v>
      </c>
      <c r="B37" s="69" t="s">
        <v>1239</v>
      </c>
      <c r="C37" s="27" t="s">
        <v>156</v>
      </c>
      <c r="D37" s="31">
        <v>26444</v>
      </c>
      <c r="E37" s="29">
        <v>59.300669999999997</v>
      </c>
      <c r="F37" s="30">
        <v>8.9270794745015203E-2</v>
      </c>
    </row>
    <row r="38" spans="1:9" x14ac:dyDescent="0.2">
      <c r="A38" s="26" t="s">
        <v>35</v>
      </c>
      <c r="B38" s="26"/>
      <c r="C38" s="26"/>
      <c r="D38" s="32"/>
      <c r="E38" s="33">
        <f>SUM(E7:E37)</f>
        <v>62835.197653000017</v>
      </c>
      <c r="F38" s="34">
        <f>SUM(F7:F37)</f>
        <v>94.591646813491778</v>
      </c>
      <c r="G38" s="18"/>
      <c r="H38" s="18"/>
      <c r="I38" s="18"/>
    </row>
    <row r="39" spans="1:9" x14ac:dyDescent="0.2">
      <c r="A39" s="27"/>
      <c r="B39" s="27"/>
      <c r="C39" s="27"/>
      <c r="D39" s="28"/>
      <c r="E39" s="29"/>
      <c r="F39" s="30"/>
    </row>
    <row r="40" spans="1:9" x14ac:dyDescent="0.2">
      <c r="A40" s="26" t="s">
        <v>225</v>
      </c>
      <c r="B40" s="27"/>
      <c r="C40" s="27"/>
      <c r="D40" s="28"/>
      <c r="E40" s="29"/>
      <c r="F40" s="30"/>
    </row>
    <row r="41" spans="1:9" x14ac:dyDescent="0.2">
      <c r="A41" s="27"/>
      <c r="B41" s="27" t="s">
        <v>726</v>
      </c>
      <c r="C41" s="27" t="s">
        <v>98</v>
      </c>
      <c r="D41" s="31">
        <v>489000</v>
      </c>
      <c r="E41" s="29">
        <v>4.8899999999999999E-2</v>
      </c>
      <c r="F41" s="30">
        <v>7.3613702223452904E-5</v>
      </c>
    </row>
    <row r="42" spans="1:9" x14ac:dyDescent="0.2">
      <c r="A42" s="27"/>
      <c r="B42" s="27" t="s">
        <v>721</v>
      </c>
      <c r="C42" s="27" t="s">
        <v>185</v>
      </c>
      <c r="D42" s="31">
        <v>98000</v>
      </c>
      <c r="E42" s="29">
        <v>9.7999999999999997E-3</v>
      </c>
      <c r="F42" s="30">
        <v>1.47528482983607E-5</v>
      </c>
    </row>
    <row r="43" spans="1:9" x14ac:dyDescent="0.2">
      <c r="A43" s="27" t="s">
        <v>516</v>
      </c>
      <c r="B43" s="27" t="s">
        <v>729</v>
      </c>
      <c r="C43" s="27" t="s">
        <v>367</v>
      </c>
      <c r="D43" s="31">
        <v>44170</v>
      </c>
      <c r="E43" s="29">
        <v>4.4169999999999999E-3</v>
      </c>
      <c r="F43" s="30">
        <v>6.6493194830468601E-6</v>
      </c>
    </row>
    <row r="44" spans="1:9" x14ac:dyDescent="0.2">
      <c r="A44" s="27"/>
      <c r="B44" s="27" t="s">
        <v>730</v>
      </c>
      <c r="C44" s="27" t="s">
        <v>98</v>
      </c>
      <c r="D44" s="31">
        <v>23815</v>
      </c>
      <c r="E44" s="29">
        <v>2.3814999999999999E-3</v>
      </c>
      <c r="F44" s="30">
        <v>3.58509267577E-6</v>
      </c>
    </row>
    <row r="45" spans="1:9" x14ac:dyDescent="0.2">
      <c r="A45" s="26" t="s">
        <v>35</v>
      </c>
      <c r="B45" s="26"/>
      <c r="C45" s="26"/>
      <c r="D45" s="32"/>
      <c r="E45" s="33">
        <f>SUM(E40:E44)</f>
        <v>6.5498500000000001E-2</v>
      </c>
      <c r="F45" s="34">
        <f>SUM(F40:F44)</f>
        <v>9.8600962680630468E-5</v>
      </c>
      <c r="G45" s="18"/>
      <c r="H45" s="18"/>
      <c r="I45" s="18"/>
    </row>
    <row r="46" spans="1:9" x14ac:dyDescent="0.2">
      <c r="A46" s="27"/>
      <c r="B46" s="27"/>
      <c r="C46" s="27"/>
      <c r="D46" s="28"/>
      <c r="E46" s="29"/>
      <c r="F46" s="30"/>
    </row>
    <row r="47" spans="1:9" x14ac:dyDescent="0.2">
      <c r="A47" s="26" t="s">
        <v>37</v>
      </c>
      <c r="B47" s="26"/>
      <c r="C47" s="26"/>
      <c r="D47" s="32"/>
      <c r="E47" s="33">
        <f>E38+E45</f>
        <v>62835.263151500018</v>
      </c>
      <c r="F47" s="34">
        <f>F38+F45</f>
        <v>94.591745414454465</v>
      </c>
      <c r="G47" s="18"/>
      <c r="H47" s="18"/>
      <c r="I47" s="18"/>
    </row>
    <row r="48" spans="1:9" x14ac:dyDescent="0.2">
      <c r="A48" s="26"/>
      <c r="B48" s="26"/>
      <c r="C48" s="26"/>
      <c r="D48" s="32"/>
      <c r="E48" s="33"/>
      <c r="F48" s="34"/>
      <c r="G48" s="18"/>
      <c r="H48" s="18"/>
      <c r="I48" s="18"/>
    </row>
    <row r="49" spans="1:9" x14ac:dyDescent="0.2">
      <c r="A49" s="26" t="s">
        <v>39</v>
      </c>
      <c r="B49" s="26"/>
      <c r="C49" s="26"/>
      <c r="D49" s="32"/>
      <c r="E49" s="33">
        <f>E51-(E38+E45)</f>
        <v>3592.5872662999827</v>
      </c>
      <c r="F49" s="34">
        <f>F51-(F38+F45)</f>
        <v>5.4082545855455351</v>
      </c>
      <c r="G49" s="18"/>
      <c r="H49" s="18"/>
      <c r="I49" s="18"/>
    </row>
    <row r="50" spans="1:9" x14ac:dyDescent="0.2">
      <c r="A50" s="26"/>
      <c r="B50" s="26"/>
      <c r="C50" s="26"/>
      <c r="D50" s="32"/>
      <c r="E50" s="33"/>
      <c r="F50" s="34"/>
      <c r="G50" s="18"/>
      <c r="H50" s="18"/>
      <c r="I50" s="18"/>
    </row>
    <row r="51" spans="1:9" x14ac:dyDescent="0.2">
      <c r="A51" s="35" t="s">
        <v>38</v>
      </c>
      <c r="B51" s="35"/>
      <c r="C51" s="35"/>
      <c r="D51" s="36"/>
      <c r="E51" s="37">
        <v>66427.8504178</v>
      </c>
      <c r="F51" s="38">
        <v>100</v>
      </c>
      <c r="G51" s="18"/>
      <c r="H51" s="18"/>
      <c r="I51" s="18"/>
    </row>
    <row r="52" spans="1:9" x14ac:dyDescent="0.2">
      <c r="F52" s="20" t="s">
        <v>505</v>
      </c>
    </row>
    <row r="53" spans="1:9" x14ac:dyDescent="0.2">
      <c r="A53" s="18" t="s">
        <v>40</v>
      </c>
      <c r="F53" s="20"/>
    </row>
    <row r="54" spans="1:9" x14ac:dyDescent="0.2">
      <c r="A54" s="18" t="s">
        <v>722</v>
      </c>
      <c r="F54" s="20"/>
    </row>
    <row r="55" spans="1:9" x14ac:dyDescent="0.2">
      <c r="A55" s="18" t="s">
        <v>1240</v>
      </c>
      <c r="F55" s="20"/>
    </row>
    <row r="57" spans="1:9" x14ac:dyDescent="0.2">
      <c r="A57" s="18" t="s">
        <v>41</v>
      </c>
    </row>
    <row r="58" spans="1:9" x14ac:dyDescent="0.2">
      <c r="A58" s="18" t="s">
        <v>42</v>
      </c>
    </row>
    <row r="59" spans="1:9" x14ac:dyDescent="0.2">
      <c r="A59" s="18" t="s">
        <v>43</v>
      </c>
      <c r="B59" s="18"/>
      <c r="C59" s="39" t="s">
        <v>45</v>
      </c>
      <c r="D59" s="19" t="s">
        <v>44</v>
      </c>
    </row>
    <row r="60" spans="1:9" x14ac:dyDescent="0.2">
      <c r="A60" s="9" t="s">
        <v>68</v>
      </c>
      <c r="C60" s="40">
        <v>93.4011</v>
      </c>
      <c r="D60" s="40">
        <v>111.4278</v>
      </c>
    </row>
    <row r="61" spans="1:9" x14ac:dyDescent="0.2">
      <c r="A61" s="9" t="s">
        <v>74</v>
      </c>
      <c r="C61" s="40">
        <v>20.597799999999999</v>
      </c>
      <c r="D61" s="40">
        <v>24.5733</v>
      </c>
    </row>
    <row r="62" spans="1:9" x14ac:dyDescent="0.2">
      <c r="A62" s="9" t="s">
        <v>71</v>
      </c>
      <c r="C62" s="40">
        <v>98.814099999999996</v>
      </c>
      <c r="D62" s="40">
        <v>118.2838</v>
      </c>
    </row>
    <row r="63" spans="1:9" x14ac:dyDescent="0.2">
      <c r="A63" s="9" t="s">
        <v>75</v>
      </c>
      <c r="C63" s="40">
        <v>22.200900000000001</v>
      </c>
      <c r="D63" s="40">
        <v>26.572299999999998</v>
      </c>
    </row>
    <row r="65" spans="1:4" x14ac:dyDescent="0.2">
      <c r="A65" s="9" t="s">
        <v>46</v>
      </c>
    </row>
    <row r="67" spans="1:4" x14ac:dyDescent="0.2">
      <c r="A67" s="18" t="s">
        <v>47</v>
      </c>
      <c r="D67" s="41" t="s">
        <v>48</v>
      </c>
    </row>
    <row r="69" spans="1:4" x14ac:dyDescent="0.2">
      <c r="A69" s="18" t="s">
        <v>218</v>
      </c>
      <c r="D69" s="45">
        <v>9.817163315861456E-2</v>
      </c>
    </row>
    <row r="71" spans="1:4" x14ac:dyDescent="0.2">
      <c r="A71" s="18" t="s">
        <v>727</v>
      </c>
      <c r="D71" s="41" t="s">
        <v>48</v>
      </c>
    </row>
    <row r="72" spans="1:4" x14ac:dyDescent="0.2">
      <c r="A72" s="9" t="s">
        <v>723</v>
      </c>
    </row>
    <row r="73" spans="1:4" x14ac:dyDescent="0.2">
      <c r="A73" s="50" t="s">
        <v>724</v>
      </c>
    </row>
    <row r="75" spans="1:4" x14ac:dyDescent="0.2">
      <c r="A75" s="18" t="s">
        <v>728</v>
      </c>
    </row>
    <row r="76" spans="1:4" x14ac:dyDescent="0.2">
      <c r="A76" s="50" t="s">
        <v>51</v>
      </c>
    </row>
  </sheetData>
  <mergeCells count="1">
    <mergeCell ref="A1:F1"/>
  </mergeCells>
  <conditionalFormatting sqref="F2:F3 F5:F65538">
    <cfRule type="cellIs" dxfId="19" priority="1" stopIfTrue="1" operator="between">
      <formula>0.009</formula>
      <formula>-0.009</formula>
    </cfRule>
  </conditionalFormatting>
  <hyperlinks>
    <hyperlink ref="A76" r:id="rId1" xr:uid="{00000000-0004-0000-2100-000000000000}"/>
    <hyperlink ref="A73" r:id="rId2" xr:uid="{00000000-0004-0000-21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57"/>
  <sheetViews>
    <sheetView workbookViewId="0">
      <selection sqref="A1:F1"/>
    </sheetView>
  </sheetViews>
  <sheetFormatPr defaultColWidth="9.109375" defaultRowHeight="10.199999999999999" x14ac:dyDescent="0.2"/>
  <cols>
    <col min="1" max="1" width="38.6640625" style="9" bestFit="1" customWidth="1"/>
    <col min="2" max="2" width="24.109375" style="9" bestFit="1" customWidth="1"/>
    <col min="3" max="3" width="20" style="9" bestFit="1" customWidth="1"/>
    <col min="4" max="4" width="14.6640625" style="10" bestFit="1" customWidth="1"/>
    <col min="5" max="5" width="23" style="13" bestFit="1" customWidth="1"/>
    <col min="6" max="6" width="13.5546875" style="14" bestFit="1" customWidth="1"/>
    <col min="7" max="16384" width="9.109375" style="9"/>
  </cols>
  <sheetData>
    <row r="1" spans="1:6" s="1" customFormat="1" ht="13.8" x14ac:dyDescent="0.2">
      <c r="A1" s="72" t="s">
        <v>16</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12000000</v>
      </c>
      <c r="E7" s="29">
        <v>81900</v>
      </c>
      <c r="F7" s="30">
        <v>10.849090697095299</v>
      </c>
    </row>
    <row r="8" spans="1:6" x14ac:dyDescent="0.2">
      <c r="A8" s="27" t="s">
        <v>135</v>
      </c>
      <c r="B8" s="27" t="s">
        <v>134</v>
      </c>
      <c r="C8" s="27" t="s">
        <v>101</v>
      </c>
      <c r="D8" s="31">
        <v>17200000</v>
      </c>
      <c r="E8" s="29">
        <v>74269.600000000006</v>
      </c>
      <c r="F8" s="30">
        <v>9.8383104571061306</v>
      </c>
    </row>
    <row r="9" spans="1:6" x14ac:dyDescent="0.2">
      <c r="A9" s="27" t="s">
        <v>103</v>
      </c>
      <c r="B9" s="27" t="s">
        <v>102</v>
      </c>
      <c r="C9" s="27" t="s">
        <v>101</v>
      </c>
      <c r="D9" s="31">
        <v>6812500</v>
      </c>
      <c r="E9" s="29">
        <v>48293.8125</v>
      </c>
      <c r="F9" s="30">
        <v>6.3973620503176596</v>
      </c>
    </row>
    <row r="10" spans="1:6" x14ac:dyDescent="0.2">
      <c r="A10" s="27" t="s">
        <v>110</v>
      </c>
      <c r="B10" s="27" t="s">
        <v>109</v>
      </c>
      <c r="C10" s="27" t="s">
        <v>111</v>
      </c>
      <c r="D10" s="31">
        <v>7000000</v>
      </c>
      <c r="E10" s="29">
        <v>39315.5</v>
      </c>
      <c r="F10" s="30">
        <v>5.2080271709603396</v>
      </c>
    </row>
    <row r="11" spans="1:6" x14ac:dyDescent="0.2">
      <c r="A11" s="27" t="s">
        <v>191</v>
      </c>
      <c r="B11" s="27" t="s">
        <v>190</v>
      </c>
      <c r="C11" s="27" t="s">
        <v>192</v>
      </c>
      <c r="D11" s="31">
        <v>2300000</v>
      </c>
      <c r="E11" s="29">
        <v>36833.35</v>
      </c>
      <c r="F11" s="30">
        <v>4.8792228916710201</v>
      </c>
    </row>
    <row r="12" spans="1:6" x14ac:dyDescent="0.2">
      <c r="A12" s="27" t="s">
        <v>144</v>
      </c>
      <c r="B12" s="27" t="s">
        <v>143</v>
      </c>
      <c r="C12" s="27" t="s">
        <v>142</v>
      </c>
      <c r="D12" s="31">
        <v>31000000</v>
      </c>
      <c r="E12" s="29">
        <v>36642</v>
      </c>
      <c r="F12" s="30">
        <v>4.8538752298286596</v>
      </c>
    </row>
    <row r="13" spans="1:6" x14ac:dyDescent="0.2">
      <c r="A13" s="27" t="s">
        <v>217</v>
      </c>
      <c r="B13" s="27" t="s">
        <v>216</v>
      </c>
      <c r="C13" s="27" t="s">
        <v>101</v>
      </c>
      <c r="D13" s="31">
        <v>38000000</v>
      </c>
      <c r="E13" s="29">
        <v>33231</v>
      </c>
      <c r="F13" s="30">
        <v>4.4020284854111704</v>
      </c>
    </row>
    <row r="14" spans="1:6" x14ac:dyDescent="0.2">
      <c r="A14" s="27" t="s">
        <v>151</v>
      </c>
      <c r="B14" s="27" t="s">
        <v>150</v>
      </c>
      <c r="C14" s="27" t="s">
        <v>130</v>
      </c>
      <c r="D14" s="31">
        <v>7300000</v>
      </c>
      <c r="E14" s="29">
        <v>32521.5</v>
      </c>
      <c r="F14" s="30">
        <v>4.3080427729619801</v>
      </c>
    </row>
    <row r="15" spans="1:6" x14ac:dyDescent="0.2">
      <c r="A15" s="27" t="s">
        <v>100</v>
      </c>
      <c r="B15" s="27" t="s">
        <v>99</v>
      </c>
      <c r="C15" s="27" t="s">
        <v>101</v>
      </c>
      <c r="D15" s="31">
        <v>1900000</v>
      </c>
      <c r="E15" s="29">
        <v>27102.55</v>
      </c>
      <c r="F15" s="30">
        <v>3.5902078519238199</v>
      </c>
    </row>
    <row r="16" spans="1:6" x14ac:dyDescent="0.2">
      <c r="A16" s="27" t="s">
        <v>377</v>
      </c>
      <c r="B16" s="27" t="s">
        <v>376</v>
      </c>
      <c r="C16" s="27" t="s">
        <v>360</v>
      </c>
      <c r="D16" s="31">
        <v>4517863</v>
      </c>
      <c r="E16" s="29">
        <v>26937.758140000002</v>
      </c>
      <c r="F16" s="30">
        <v>3.5683782812854501</v>
      </c>
    </row>
    <row r="17" spans="1:6" x14ac:dyDescent="0.2">
      <c r="A17" s="27" t="s">
        <v>245</v>
      </c>
      <c r="B17" s="27" t="s">
        <v>244</v>
      </c>
      <c r="C17" s="27" t="s">
        <v>172</v>
      </c>
      <c r="D17" s="31">
        <v>1125000</v>
      </c>
      <c r="E17" s="29">
        <v>26933.625</v>
      </c>
      <c r="F17" s="30">
        <v>3.5678307744389999</v>
      </c>
    </row>
    <row r="18" spans="1:6" x14ac:dyDescent="0.2">
      <c r="A18" s="27" t="s">
        <v>211</v>
      </c>
      <c r="B18" s="27" t="s">
        <v>210</v>
      </c>
      <c r="C18" s="27" t="s">
        <v>130</v>
      </c>
      <c r="D18" s="31">
        <v>25000000</v>
      </c>
      <c r="E18" s="29">
        <v>25787.5</v>
      </c>
      <c r="F18" s="30">
        <v>3.4160064267563599</v>
      </c>
    </row>
    <row r="19" spans="1:6" x14ac:dyDescent="0.2">
      <c r="A19" s="27" t="s">
        <v>518</v>
      </c>
      <c r="B19" s="27" t="s">
        <v>517</v>
      </c>
      <c r="C19" s="27" t="s">
        <v>133</v>
      </c>
      <c r="D19" s="31">
        <v>2800000</v>
      </c>
      <c r="E19" s="29">
        <v>25761.4</v>
      </c>
      <c r="F19" s="30">
        <v>3.4125490242265202</v>
      </c>
    </row>
    <row r="20" spans="1:6" x14ac:dyDescent="0.2">
      <c r="A20" s="27" t="s">
        <v>395</v>
      </c>
      <c r="B20" s="27" t="s">
        <v>394</v>
      </c>
      <c r="C20" s="27" t="s">
        <v>172</v>
      </c>
      <c r="D20" s="31">
        <v>3181557</v>
      </c>
      <c r="E20" s="29">
        <v>22014.783660000001</v>
      </c>
      <c r="F20" s="30">
        <v>2.91624401226218</v>
      </c>
    </row>
    <row r="21" spans="1:6" x14ac:dyDescent="0.2">
      <c r="A21" s="27" t="s">
        <v>520</v>
      </c>
      <c r="B21" s="27" t="s">
        <v>519</v>
      </c>
      <c r="C21" s="27" t="s">
        <v>205</v>
      </c>
      <c r="D21" s="31">
        <v>3000000</v>
      </c>
      <c r="E21" s="29">
        <v>21264</v>
      </c>
      <c r="F21" s="30">
        <v>2.8167895553484201</v>
      </c>
    </row>
    <row r="22" spans="1:6" x14ac:dyDescent="0.2">
      <c r="A22" s="27" t="s">
        <v>522</v>
      </c>
      <c r="B22" s="27" t="s">
        <v>521</v>
      </c>
      <c r="C22" s="27" t="s">
        <v>133</v>
      </c>
      <c r="D22" s="31">
        <v>1800000</v>
      </c>
      <c r="E22" s="29">
        <v>19933.2</v>
      </c>
      <c r="F22" s="30">
        <v>2.6405017665853601</v>
      </c>
    </row>
    <row r="23" spans="1:6" x14ac:dyDescent="0.2">
      <c r="A23" s="27" t="s">
        <v>524</v>
      </c>
      <c r="B23" s="27" t="s">
        <v>523</v>
      </c>
      <c r="C23" s="27" t="s">
        <v>304</v>
      </c>
      <c r="D23" s="31">
        <v>1200000</v>
      </c>
      <c r="E23" s="29">
        <v>19768.2</v>
      </c>
      <c r="F23" s="30">
        <v>2.6186446241553099</v>
      </c>
    </row>
    <row r="24" spans="1:6" x14ac:dyDescent="0.2">
      <c r="A24" s="27" t="s">
        <v>215</v>
      </c>
      <c r="B24" s="27" t="s">
        <v>214</v>
      </c>
      <c r="C24" s="27" t="s">
        <v>125</v>
      </c>
      <c r="D24" s="31">
        <v>12500000</v>
      </c>
      <c r="E24" s="29">
        <v>17443.75</v>
      </c>
      <c r="F24" s="30">
        <v>2.31073047432792</v>
      </c>
    </row>
    <row r="25" spans="1:6" x14ac:dyDescent="0.2">
      <c r="A25" s="27" t="s">
        <v>526</v>
      </c>
      <c r="B25" s="27" t="s">
        <v>525</v>
      </c>
      <c r="C25" s="27" t="s">
        <v>172</v>
      </c>
      <c r="D25" s="31">
        <v>8247690</v>
      </c>
      <c r="E25" s="29">
        <v>13175.68478</v>
      </c>
      <c r="F25" s="30">
        <v>1.74535041727178</v>
      </c>
    </row>
    <row r="26" spans="1:6" x14ac:dyDescent="0.2">
      <c r="A26" s="27" t="s">
        <v>464</v>
      </c>
      <c r="B26" s="27" t="s">
        <v>463</v>
      </c>
      <c r="C26" s="27" t="s">
        <v>413</v>
      </c>
      <c r="D26" s="31">
        <v>325000</v>
      </c>
      <c r="E26" s="29">
        <v>13113.75</v>
      </c>
      <c r="F26" s="30">
        <v>1.7371460699515699</v>
      </c>
    </row>
    <row r="27" spans="1:6" x14ac:dyDescent="0.2">
      <c r="A27" s="27" t="s">
        <v>528</v>
      </c>
      <c r="B27" s="27" t="s">
        <v>527</v>
      </c>
      <c r="C27" s="27" t="s">
        <v>360</v>
      </c>
      <c r="D27" s="31">
        <v>15000000</v>
      </c>
      <c r="E27" s="29">
        <v>12855</v>
      </c>
      <c r="F27" s="30">
        <v>1.70287009659537</v>
      </c>
    </row>
    <row r="28" spans="1:6" x14ac:dyDescent="0.2">
      <c r="A28" s="27" t="s">
        <v>530</v>
      </c>
      <c r="B28" s="27" t="s">
        <v>529</v>
      </c>
      <c r="C28" s="27" t="s">
        <v>114</v>
      </c>
      <c r="D28" s="31">
        <v>1645573</v>
      </c>
      <c r="E28" s="29">
        <v>11653.947990000001</v>
      </c>
      <c r="F28" s="30">
        <v>1.54376970357438</v>
      </c>
    </row>
    <row r="29" spans="1:6" x14ac:dyDescent="0.2">
      <c r="A29" s="27" t="s">
        <v>256</v>
      </c>
      <c r="B29" s="27" t="s">
        <v>255</v>
      </c>
      <c r="C29" s="27" t="s">
        <v>122</v>
      </c>
      <c r="D29" s="31">
        <v>1400000</v>
      </c>
      <c r="E29" s="29">
        <v>8970.5</v>
      </c>
      <c r="F29" s="30">
        <v>1.1882999767801401</v>
      </c>
    </row>
    <row r="30" spans="1:6" x14ac:dyDescent="0.2">
      <c r="A30" s="27" t="s">
        <v>153</v>
      </c>
      <c r="B30" s="27" t="s">
        <v>152</v>
      </c>
      <c r="C30" s="27" t="s">
        <v>149</v>
      </c>
      <c r="D30" s="31">
        <v>200000</v>
      </c>
      <c r="E30" s="29">
        <v>7659.2</v>
      </c>
      <c r="F30" s="30">
        <v>1.01459530484973</v>
      </c>
    </row>
    <row r="31" spans="1:6" x14ac:dyDescent="0.2">
      <c r="A31" s="27" t="s">
        <v>258</v>
      </c>
      <c r="B31" s="27" t="s">
        <v>257</v>
      </c>
      <c r="C31" s="27" t="s">
        <v>239</v>
      </c>
      <c r="D31" s="31">
        <v>300000</v>
      </c>
      <c r="E31" s="29">
        <v>3349.05</v>
      </c>
      <c r="F31" s="30">
        <v>0.44364038094147901</v>
      </c>
    </row>
    <row r="32" spans="1:6" x14ac:dyDescent="0.2">
      <c r="A32" s="27" t="s">
        <v>532</v>
      </c>
      <c r="B32" s="27" t="s">
        <v>531</v>
      </c>
      <c r="C32" s="27" t="s">
        <v>533</v>
      </c>
      <c r="D32" s="31">
        <v>120879</v>
      </c>
      <c r="E32" s="29">
        <v>1327.976694</v>
      </c>
      <c r="F32" s="30">
        <v>0.17591379239114599</v>
      </c>
    </row>
    <row r="33" spans="1:9" x14ac:dyDescent="0.2">
      <c r="A33" s="26" t="s">
        <v>35</v>
      </c>
      <c r="B33" s="26"/>
      <c r="C33" s="26"/>
      <c r="D33" s="32"/>
      <c r="E33" s="33">
        <f>SUM(E7:E32)</f>
        <v>688058.63876399992</v>
      </c>
      <c r="F33" s="34">
        <f>SUM(F7:F32)</f>
        <v>91.145428289018213</v>
      </c>
      <c r="G33" s="18"/>
      <c r="H33" s="18"/>
      <c r="I33" s="18"/>
    </row>
    <row r="34" spans="1:9" x14ac:dyDescent="0.2">
      <c r="A34" s="27"/>
      <c r="B34" s="27"/>
      <c r="C34" s="27"/>
      <c r="D34" s="28"/>
      <c r="E34" s="29"/>
      <c r="F34" s="30"/>
    </row>
    <row r="35" spans="1:9" x14ac:dyDescent="0.2">
      <c r="A35" s="26" t="s">
        <v>37</v>
      </c>
      <c r="B35" s="26"/>
      <c r="C35" s="26"/>
      <c r="D35" s="32"/>
      <c r="E35" s="33">
        <f>E33</f>
        <v>688058.63876399992</v>
      </c>
      <c r="F35" s="34">
        <f>F33</f>
        <v>91.145428289018213</v>
      </c>
      <c r="G35" s="18"/>
      <c r="H35" s="18"/>
      <c r="I35" s="18"/>
    </row>
    <row r="36" spans="1:9" x14ac:dyDescent="0.2">
      <c r="A36" s="26"/>
      <c r="B36" s="26"/>
      <c r="C36" s="26"/>
      <c r="D36" s="32"/>
      <c r="E36" s="33"/>
      <c r="F36" s="34"/>
      <c r="G36" s="18"/>
      <c r="H36" s="18"/>
      <c r="I36" s="18"/>
    </row>
    <row r="37" spans="1:9" x14ac:dyDescent="0.2">
      <c r="A37" s="26" t="s">
        <v>39</v>
      </c>
      <c r="B37" s="26"/>
      <c r="C37" s="26"/>
      <c r="D37" s="32"/>
      <c r="E37" s="33">
        <f>E39-(E33)</f>
        <v>66843.336771400063</v>
      </c>
      <c r="F37" s="34">
        <f>F39-(F33)</f>
        <v>8.8545717109817872</v>
      </c>
      <c r="G37" s="18"/>
      <c r="H37" s="18"/>
      <c r="I37" s="18"/>
    </row>
    <row r="38" spans="1:9" x14ac:dyDescent="0.2">
      <c r="A38" s="26"/>
      <c r="B38" s="26"/>
      <c r="C38" s="26"/>
      <c r="D38" s="32"/>
      <c r="E38" s="33"/>
      <c r="F38" s="34"/>
      <c r="G38" s="18"/>
      <c r="H38" s="18"/>
      <c r="I38" s="18"/>
    </row>
    <row r="39" spans="1:9" x14ac:dyDescent="0.2">
      <c r="A39" s="35" t="s">
        <v>38</v>
      </c>
      <c r="B39" s="35"/>
      <c r="C39" s="35"/>
      <c r="D39" s="36"/>
      <c r="E39" s="37">
        <v>754901.97553539998</v>
      </c>
      <c r="F39" s="38">
        <v>100</v>
      </c>
      <c r="G39" s="18"/>
      <c r="H39" s="18"/>
      <c r="I39" s="18"/>
    </row>
    <row r="42" spans="1:9" x14ac:dyDescent="0.2">
      <c r="A42" s="18" t="s">
        <v>41</v>
      </c>
    </row>
    <row r="43" spans="1:9" x14ac:dyDescent="0.2">
      <c r="A43" s="18" t="s">
        <v>42</v>
      </c>
    </row>
    <row r="44" spans="1:9" x14ac:dyDescent="0.2">
      <c r="A44" s="18" t="s">
        <v>43</v>
      </c>
      <c r="B44" s="18"/>
      <c r="C44" s="39" t="s">
        <v>45</v>
      </c>
      <c r="D44" s="19" t="s">
        <v>44</v>
      </c>
    </row>
    <row r="45" spans="1:9" x14ac:dyDescent="0.2">
      <c r="A45" s="9" t="s">
        <v>68</v>
      </c>
      <c r="C45" s="40">
        <v>47.474400000000003</v>
      </c>
      <c r="D45" s="40">
        <v>60.2684</v>
      </c>
    </row>
    <row r="46" spans="1:9" x14ac:dyDescent="0.2">
      <c r="A46" s="9" t="s">
        <v>74</v>
      </c>
      <c r="C46" s="40">
        <v>23.8568</v>
      </c>
      <c r="D46" s="40">
        <v>30.286100000000001</v>
      </c>
    </row>
    <row r="47" spans="1:9" x14ac:dyDescent="0.2">
      <c r="A47" s="9" t="s">
        <v>71</v>
      </c>
      <c r="C47" s="40">
        <v>51.5779</v>
      </c>
      <c r="D47" s="40">
        <v>65.747299999999996</v>
      </c>
    </row>
    <row r="48" spans="1:9" x14ac:dyDescent="0.2">
      <c r="A48" s="9" t="s">
        <v>75</v>
      </c>
      <c r="C48" s="40">
        <v>26.778500000000001</v>
      </c>
      <c r="D48" s="40">
        <v>34.134999999999998</v>
      </c>
    </row>
    <row r="50" spans="1:4" x14ac:dyDescent="0.2">
      <c r="A50" s="9" t="s">
        <v>46</v>
      </c>
    </row>
    <row r="52" spans="1:4" x14ac:dyDescent="0.2">
      <c r="A52" s="18" t="s">
        <v>47</v>
      </c>
      <c r="D52" s="41" t="s">
        <v>48</v>
      </c>
    </row>
    <row r="54" spans="1:4" x14ac:dyDescent="0.2">
      <c r="A54" s="18" t="s">
        <v>218</v>
      </c>
      <c r="D54" s="45">
        <v>4.7500000000000001E-2</v>
      </c>
    </row>
    <row r="56" spans="1:4" x14ac:dyDescent="0.2">
      <c r="A56" s="18" t="s">
        <v>94</v>
      </c>
    </row>
    <row r="57" spans="1:4" x14ac:dyDescent="0.2">
      <c r="A57" s="50" t="s">
        <v>51</v>
      </c>
    </row>
  </sheetData>
  <mergeCells count="1">
    <mergeCell ref="A1:F1"/>
  </mergeCells>
  <conditionalFormatting sqref="F2:F3 F5:F65534">
    <cfRule type="cellIs" dxfId="18" priority="1" stopIfTrue="1" operator="between">
      <formula>0.009</formula>
      <formula>-0.009</formula>
    </cfRule>
  </conditionalFormatting>
  <hyperlinks>
    <hyperlink ref="A57" r:id="rId1"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2"/>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4.6640625" style="9" bestFit="1" customWidth="1"/>
    <col min="4" max="4" width="14.6640625" style="10" bestFit="1" customWidth="1"/>
    <col min="5" max="5" width="23" style="13" bestFit="1" customWidth="1"/>
    <col min="6" max="6" width="14.6640625" style="14" bestFit="1" customWidth="1"/>
    <col min="7" max="16384" width="9.109375" style="9"/>
  </cols>
  <sheetData>
    <row r="1" spans="1:6" s="1" customFormat="1" ht="15" customHeight="1" x14ac:dyDescent="0.2">
      <c r="A1" s="72" t="s">
        <v>731</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10800000</v>
      </c>
      <c r="E7" s="29">
        <v>73710</v>
      </c>
      <c r="F7" s="30">
        <v>7.6632180722214898</v>
      </c>
    </row>
    <row r="8" spans="1:6" x14ac:dyDescent="0.2">
      <c r="A8" s="27" t="s">
        <v>97</v>
      </c>
      <c r="B8" s="27" t="s">
        <v>96</v>
      </c>
      <c r="C8" s="27" t="s">
        <v>98</v>
      </c>
      <c r="D8" s="31">
        <v>4500000</v>
      </c>
      <c r="E8" s="29">
        <v>72472.5</v>
      </c>
      <c r="F8" s="30">
        <v>7.5345620911555002</v>
      </c>
    </row>
    <row r="9" spans="1:6" x14ac:dyDescent="0.2">
      <c r="A9" s="27" t="s">
        <v>100</v>
      </c>
      <c r="B9" s="27" t="s">
        <v>99</v>
      </c>
      <c r="C9" s="27" t="s">
        <v>101</v>
      </c>
      <c r="D9" s="31">
        <v>5000000</v>
      </c>
      <c r="E9" s="29">
        <v>71322.5</v>
      </c>
      <c r="F9" s="30">
        <v>7.4150029976396299</v>
      </c>
    </row>
    <row r="10" spans="1:6" x14ac:dyDescent="0.2">
      <c r="A10" s="27" t="s">
        <v>110</v>
      </c>
      <c r="B10" s="27" t="s">
        <v>109</v>
      </c>
      <c r="C10" s="27" t="s">
        <v>111</v>
      </c>
      <c r="D10" s="31">
        <v>10800000</v>
      </c>
      <c r="E10" s="29">
        <v>60658.2</v>
      </c>
      <c r="F10" s="30">
        <v>6.3062951359167796</v>
      </c>
    </row>
    <row r="11" spans="1:6" x14ac:dyDescent="0.2">
      <c r="A11" s="27" t="s">
        <v>103</v>
      </c>
      <c r="B11" s="27" t="s">
        <v>102</v>
      </c>
      <c r="C11" s="27" t="s">
        <v>101</v>
      </c>
      <c r="D11" s="31">
        <v>8500000</v>
      </c>
      <c r="E11" s="29">
        <v>60256.5</v>
      </c>
      <c r="F11" s="30">
        <v>6.2645326247295401</v>
      </c>
    </row>
    <row r="12" spans="1:6" x14ac:dyDescent="0.2">
      <c r="A12" s="27" t="s">
        <v>191</v>
      </c>
      <c r="B12" s="27" t="s">
        <v>190</v>
      </c>
      <c r="C12" s="27" t="s">
        <v>192</v>
      </c>
      <c r="D12" s="31">
        <v>2900000</v>
      </c>
      <c r="E12" s="29">
        <v>46442.05</v>
      </c>
      <c r="F12" s="30">
        <v>4.8283212165379803</v>
      </c>
    </row>
    <row r="13" spans="1:6" x14ac:dyDescent="0.2">
      <c r="A13" s="27" t="s">
        <v>135</v>
      </c>
      <c r="B13" s="27" t="s">
        <v>134</v>
      </c>
      <c r="C13" s="27" t="s">
        <v>101</v>
      </c>
      <c r="D13" s="31">
        <v>9500000</v>
      </c>
      <c r="E13" s="29">
        <v>41021</v>
      </c>
      <c r="F13" s="30">
        <v>4.2647248479256303</v>
      </c>
    </row>
    <row r="14" spans="1:6" x14ac:dyDescent="0.2">
      <c r="A14" s="27" t="s">
        <v>146</v>
      </c>
      <c r="B14" s="27" t="s">
        <v>145</v>
      </c>
      <c r="C14" s="27" t="s">
        <v>122</v>
      </c>
      <c r="D14" s="31">
        <v>1950000</v>
      </c>
      <c r="E14" s="29">
        <v>27857.7</v>
      </c>
      <c r="F14" s="30">
        <v>2.8962098777713301</v>
      </c>
    </row>
    <row r="15" spans="1:6" x14ac:dyDescent="0.2">
      <c r="A15" s="27" t="s">
        <v>234</v>
      </c>
      <c r="B15" s="27" t="s">
        <v>233</v>
      </c>
      <c r="C15" s="27" t="s">
        <v>98</v>
      </c>
      <c r="D15" s="31">
        <v>2600000</v>
      </c>
      <c r="E15" s="29">
        <v>26648.7</v>
      </c>
      <c r="F15" s="30">
        <v>2.7705168829359499</v>
      </c>
    </row>
    <row r="16" spans="1:6" x14ac:dyDescent="0.2">
      <c r="A16" s="27" t="s">
        <v>162</v>
      </c>
      <c r="B16" s="27" t="s">
        <v>161</v>
      </c>
      <c r="C16" s="27" t="s">
        <v>149</v>
      </c>
      <c r="D16" s="31">
        <v>9000000</v>
      </c>
      <c r="E16" s="29">
        <v>26455.5</v>
      </c>
      <c r="F16" s="30">
        <v>2.7504309552252799</v>
      </c>
    </row>
    <row r="17" spans="1:6" x14ac:dyDescent="0.2">
      <c r="A17" s="27" t="s">
        <v>144</v>
      </c>
      <c r="B17" s="27" t="s">
        <v>143</v>
      </c>
      <c r="C17" s="27" t="s">
        <v>142</v>
      </c>
      <c r="D17" s="31">
        <v>21000000</v>
      </c>
      <c r="E17" s="29">
        <v>24822</v>
      </c>
      <c r="F17" s="30">
        <v>2.58060506021818</v>
      </c>
    </row>
    <row r="18" spans="1:6" x14ac:dyDescent="0.2">
      <c r="A18" s="27" t="s">
        <v>171</v>
      </c>
      <c r="B18" s="27" t="s">
        <v>170</v>
      </c>
      <c r="C18" s="27" t="s">
        <v>172</v>
      </c>
      <c r="D18" s="31">
        <v>1600000</v>
      </c>
      <c r="E18" s="29">
        <v>24821.599999999999</v>
      </c>
      <c r="F18" s="30">
        <v>2.58056347444652</v>
      </c>
    </row>
    <row r="19" spans="1:6" x14ac:dyDescent="0.2">
      <c r="A19" s="27" t="s">
        <v>256</v>
      </c>
      <c r="B19" s="27" t="s">
        <v>255</v>
      </c>
      <c r="C19" s="27" t="s">
        <v>122</v>
      </c>
      <c r="D19" s="31">
        <v>3600000</v>
      </c>
      <c r="E19" s="29">
        <v>23067</v>
      </c>
      <c r="F19" s="30">
        <v>2.3981474870700499</v>
      </c>
    </row>
    <row r="20" spans="1:6" x14ac:dyDescent="0.2">
      <c r="A20" s="27" t="s">
        <v>535</v>
      </c>
      <c r="B20" s="27" t="s">
        <v>534</v>
      </c>
      <c r="C20" s="27" t="s">
        <v>122</v>
      </c>
      <c r="D20" s="31">
        <v>4200000</v>
      </c>
      <c r="E20" s="29">
        <v>22961.4</v>
      </c>
      <c r="F20" s="30">
        <v>2.3871688433524199</v>
      </c>
    </row>
    <row r="21" spans="1:6" x14ac:dyDescent="0.2">
      <c r="A21" s="27" t="s">
        <v>155</v>
      </c>
      <c r="B21" s="27" t="s">
        <v>154</v>
      </c>
      <c r="C21" s="27" t="s">
        <v>156</v>
      </c>
      <c r="D21" s="31">
        <v>9500000</v>
      </c>
      <c r="E21" s="29">
        <v>21303.75</v>
      </c>
      <c r="F21" s="30">
        <v>2.2148322073814799</v>
      </c>
    </row>
    <row r="22" spans="1:6" x14ac:dyDescent="0.2">
      <c r="A22" s="27" t="s">
        <v>113</v>
      </c>
      <c r="B22" s="27" t="s">
        <v>112</v>
      </c>
      <c r="C22" s="27" t="s">
        <v>114</v>
      </c>
      <c r="D22" s="31">
        <v>2000000</v>
      </c>
      <c r="E22" s="29">
        <v>21184</v>
      </c>
      <c r="F22" s="30">
        <v>2.20238246699145</v>
      </c>
    </row>
    <row r="23" spans="1:6" x14ac:dyDescent="0.2">
      <c r="A23" s="27" t="s">
        <v>196</v>
      </c>
      <c r="B23" s="27" t="s">
        <v>195</v>
      </c>
      <c r="C23" s="27" t="s">
        <v>98</v>
      </c>
      <c r="D23" s="31">
        <v>1600000</v>
      </c>
      <c r="E23" s="29">
        <v>19352.8</v>
      </c>
      <c r="F23" s="30">
        <v>2.0120028043425302</v>
      </c>
    </row>
    <row r="24" spans="1:6" x14ac:dyDescent="0.2">
      <c r="A24" s="27" t="s">
        <v>129</v>
      </c>
      <c r="B24" s="27" t="s">
        <v>128</v>
      </c>
      <c r="C24" s="27" t="s">
        <v>130</v>
      </c>
      <c r="D24" s="31">
        <v>7400000</v>
      </c>
      <c r="E24" s="29">
        <v>19325.099999999999</v>
      </c>
      <c r="F24" s="30">
        <v>2.0091229896552401</v>
      </c>
    </row>
    <row r="25" spans="1:6" x14ac:dyDescent="0.2">
      <c r="A25" s="27" t="s">
        <v>148</v>
      </c>
      <c r="B25" s="27" t="s">
        <v>147</v>
      </c>
      <c r="C25" s="27" t="s">
        <v>149</v>
      </c>
      <c r="D25" s="31">
        <v>2500000</v>
      </c>
      <c r="E25" s="29">
        <v>18577.5</v>
      </c>
      <c r="F25" s="30">
        <v>1.93139918242701</v>
      </c>
    </row>
    <row r="26" spans="1:6" x14ac:dyDescent="0.2">
      <c r="A26" s="27" t="s">
        <v>537</v>
      </c>
      <c r="B26" s="27" t="s">
        <v>536</v>
      </c>
      <c r="C26" s="27" t="s">
        <v>133</v>
      </c>
      <c r="D26" s="31">
        <v>2300000</v>
      </c>
      <c r="E26" s="29">
        <v>17800.849999999999</v>
      </c>
      <c r="F26" s="30">
        <v>1.8506552085321399</v>
      </c>
    </row>
    <row r="27" spans="1:6" x14ac:dyDescent="0.2">
      <c r="A27" s="27" t="s">
        <v>369</v>
      </c>
      <c r="B27" s="27" t="s">
        <v>368</v>
      </c>
      <c r="C27" s="27" t="s">
        <v>122</v>
      </c>
      <c r="D27" s="31">
        <v>9200000</v>
      </c>
      <c r="E27" s="29">
        <v>15663</v>
      </c>
      <c r="F27" s="30">
        <v>1.6283948536861399</v>
      </c>
    </row>
    <row r="28" spans="1:6" x14ac:dyDescent="0.2">
      <c r="A28" s="27" t="s">
        <v>313</v>
      </c>
      <c r="B28" s="27" t="s">
        <v>312</v>
      </c>
      <c r="C28" s="27" t="s">
        <v>156</v>
      </c>
      <c r="D28" s="31">
        <v>10788765</v>
      </c>
      <c r="E28" s="29">
        <v>14403.00128</v>
      </c>
      <c r="F28" s="30">
        <v>1.49739980603887</v>
      </c>
    </row>
    <row r="29" spans="1:6" x14ac:dyDescent="0.2">
      <c r="A29" s="27" t="s">
        <v>132</v>
      </c>
      <c r="B29" s="27" t="s">
        <v>131</v>
      </c>
      <c r="C29" s="27" t="s">
        <v>133</v>
      </c>
      <c r="D29" s="31">
        <v>300000</v>
      </c>
      <c r="E29" s="29">
        <v>14133.6</v>
      </c>
      <c r="F29" s="30">
        <v>1.4693916557529501</v>
      </c>
    </row>
    <row r="30" spans="1:6" x14ac:dyDescent="0.2">
      <c r="A30" s="27" t="s">
        <v>539</v>
      </c>
      <c r="B30" s="27" t="s">
        <v>538</v>
      </c>
      <c r="C30" s="27" t="s">
        <v>185</v>
      </c>
      <c r="D30" s="31">
        <v>12000000</v>
      </c>
      <c r="E30" s="29">
        <v>13896</v>
      </c>
      <c r="F30" s="30">
        <v>1.4446897073882801</v>
      </c>
    </row>
    <row r="31" spans="1:6" x14ac:dyDescent="0.2">
      <c r="A31" s="27" t="s">
        <v>249</v>
      </c>
      <c r="B31" s="27" t="s">
        <v>248</v>
      </c>
      <c r="C31" s="27" t="s">
        <v>250</v>
      </c>
      <c r="D31" s="31">
        <v>1600000</v>
      </c>
      <c r="E31" s="29">
        <v>12732</v>
      </c>
      <c r="F31" s="30">
        <v>1.3236751118643899</v>
      </c>
    </row>
    <row r="32" spans="1:6" x14ac:dyDescent="0.2">
      <c r="A32" s="27" t="s">
        <v>215</v>
      </c>
      <c r="B32" s="27" t="s">
        <v>214</v>
      </c>
      <c r="C32" s="27" t="s">
        <v>125</v>
      </c>
      <c r="D32" s="31">
        <v>9000000</v>
      </c>
      <c r="E32" s="29">
        <v>12559.5</v>
      </c>
      <c r="F32" s="30">
        <v>1.3057412478370101</v>
      </c>
    </row>
    <row r="33" spans="1:6" x14ac:dyDescent="0.2">
      <c r="A33" s="27" t="s">
        <v>245</v>
      </c>
      <c r="B33" s="27" t="s">
        <v>244</v>
      </c>
      <c r="C33" s="27" t="s">
        <v>172</v>
      </c>
      <c r="D33" s="31">
        <v>500000</v>
      </c>
      <c r="E33" s="29">
        <v>11970.5</v>
      </c>
      <c r="F33" s="30">
        <v>1.24450619907105</v>
      </c>
    </row>
    <row r="34" spans="1:6" x14ac:dyDescent="0.2">
      <c r="A34" s="27" t="s">
        <v>238</v>
      </c>
      <c r="B34" s="27" t="s">
        <v>237</v>
      </c>
      <c r="C34" s="27" t="s">
        <v>239</v>
      </c>
      <c r="D34" s="31">
        <v>6145427</v>
      </c>
      <c r="E34" s="29">
        <v>11347.53096</v>
      </c>
      <c r="F34" s="30">
        <v>1.1797395784529201</v>
      </c>
    </row>
    <row r="35" spans="1:6" x14ac:dyDescent="0.2">
      <c r="A35" s="27" t="s">
        <v>541</v>
      </c>
      <c r="B35" s="27" t="s">
        <v>540</v>
      </c>
      <c r="C35" s="27" t="s">
        <v>205</v>
      </c>
      <c r="D35" s="31">
        <v>354390</v>
      </c>
      <c r="E35" s="29">
        <v>10187.64933</v>
      </c>
      <c r="F35" s="30">
        <v>1.0591531469150901</v>
      </c>
    </row>
    <row r="36" spans="1:6" x14ac:dyDescent="0.2">
      <c r="A36" s="27" t="s">
        <v>522</v>
      </c>
      <c r="B36" s="27" t="s">
        <v>521</v>
      </c>
      <c r="C36" s="27" t="s">
        <v>133</v>
      </c>
      <c r="D36" s="31">
        <v>900000</v>
      </c>
      <c r="E36" s="29">
        <v>9966.6</v>
      </c>
      <c r="F36" s="30">
        <v>1.0361718795089201</v>
      </c>
    </row>
    <row r="37" spans="1:6" x14ac:dyDescent="0.2">
      <c r="A37" s="27" t="s">
        <v>543</v>
      </c>
      <c r="B37" s="27" t="s">
        <v>542</v>
      </c>
      <c r="C37" s="27" t="s">
        <v>185</v>
      </c>
      <c r="D37" s="31">
        <v>950000</v>
      </c>
      <c r="E37" s="29">
        <v>9849.125</v>
      </c>
      <c r="F37" s="30">
        <v>1.0239586581952</v>
      </c>
    </row>
    <row r="38" spans="1:6" x14ac:dyDescent="0.2">
      <c r="A38" s="27" t="s">
        <v>236</v>
      </c>
      <c r="B38" s="27" t="s">
        <v>235</v>
      </c>
      <c r="C38" s="27" t="s">
        <v>149</v>
      </c>
      <c r="D38" s="31">
        <v>6000000</v>
      </c>
      <c r="E38" s="29">
        <v>8385</v>
      </c>
      <c r="F38" s="30">
        <v>0.87174173837440205</v>
      </c>
    </row>
    <row r="39" spans="1:6" x14ac:dyDescent="0.2">
      <c r="A39" s="27" t="s">
        <v>211</v>
      </c>
      <c r="B39" s="27" t="s">
        <v>210</v>
      </c>
      <c r="C39" s="27" t="s">
        <v>130</v>
      </c>
      <c r="D39" s="31">
        <v>8000000</v>
      </c>
      <c r="E39" s="29">
        <v>8252</v>
      </c>
      <c r="F39" s="30">
        <v>0.85791446929821902</v>
      </c>
    </row>
    <row r="40" spans="1:6" x14ac:dyDescent="0.2">
      <c r="A40" s="27" t="s">
        <v>458</v>
      </c>
      <c r="B40" s="27" t="s">
        <v>457</v>
      </c>
      <c r="C40" s="27" t="s">
        <v>114</v>
      </c>
      <c r="D40" s="31">
        <v>1500000</v>
      </c>
      <c r="E40" s="29">
        <v>7306.5</v>
      </c>
      <c r="F40" s="30">
        <v>0.75961610154234604</v>
      </c>
    </row>
    <row r="41" spans="1:6" x14ac:dyDescent="0.2">
      <c r="A41" s="27" t="s">
        <v>265</v>
      </c>
      <c r="B41" s="27" t="s">
        <v>264</v>
      </c>
      <c r="C41" s="27" t="s">
        <v>205</v>
      </c>
      <c r="D41" s="31">
        <v>4000000</v>
      </c>
      <c r="E41" s="29">
        <v>7080</v>
      </c>
      <c r="F41" s="30">
        <v>0.736068158341177</v>
      </c>
    </row>
    <row r="42" spans="1:6" x14ac:dyDescent="0.2">
      <c r="A42" s="27" t="s">
        <v>545</v>
      </c>
      <c r="B42" s="27" t="s">
        <v>544</v>
      </c>
      <c r="C42" s="27" t="s">
        <v>156</v>
      </c>
      <c r="D42" s="31">
        <v>3213663</v>
      </c>
      <c r="E42" s="29">
        <v>6755.1196259999997</v>
      </c>
      <c r="F42" s="30">
        <v>0.702292155718102</v>
      </c>
    </row>
    <row r="43" spans="1:6" x14ac:dyDescent="0.2">
      <c r="A43" s="27" t="s">
        <v>262</v>
      </c>
      <c r="B43" s="27" t="s">
        <v>261</v>
      </c>
      <c r="C43" s="27" t="s">
        <v>130</v>
      </c>
      <c r="D43" s="31">
        <v>1000000</v>
      </c>
      <c r="E43" s="29">
        <v>6492.5</v>
      </c>
      <c r="F43" s="30">
        <v>0.67498905621894001</v>
      </c>
    </row>
    <row r="44" spans="1:6" x14ac:dyDescent="0.2">
      <c r="A44" s="27" t="s">
        <v>500</v>
      </c>
      <c r="B44" s="27" t="s">
        <v>499</v>
      </c>
      <c r="C44" s="27" t="s">
        <v>114</v>
      </c>
      <c r="D44" s="31">
        <v>400000</v>
      </c>
      <c r="E44" s="29">
        <v>6476.8</v>
      </c>
      <c r="F44" s="30">
        <v>0.67335681468137498</v>
      </c>
    </row>
    <row r="45" spans="1:6" x14ac:dyDescent="0.2">
      <c r="A45" s="27" t="s">
        <v>119</v>
      </c>
      <c r="B45" s="27" t="s">
        <v>118</v>
      </c>
      <c r="C45" s="27" t="s">
        <v>101</v>
      </c>
      <c r="D45" s="31">
        <v>230000</v>
      </c>
      <c r="E45" s="29">
        <v>3806.04</v>
      </c>
      <c r="F45" s="30">
        <v>0.39569277590012097</v>
      </c>
    </row>
    <row r="46" spans="1:6" x14ac:dyDescent="0.2">
      <c r="A46" s="27" t="s">
        <v>247</v>
      </c>
      <c r="B46" s="27" t="s">
        <v>246</v>
      </c>
      <c r="C46" s="27" t="s">
        <v>108</v>
      </c>
      <c r="D46" s="31">
        <v>25000</v>
      </c>
      <c r="E46" s="29">
        <v>3742.0625</v>
      </c>
      <c r="F46" s="30">
        <v>0.38904139163454499</v>
      </c>
    </row>
    <row r="47" spans="1:6" x14ac:dyDescent="0.2">
      <c r="A47" s="27" t="s">
        <v>163</v>
      </c>
      <c r="B47" s="27" t="s">
        <v>1239</v>
      </c>
      <c r="C47" s="27" t="s">
        <v>156</v>
      </c>
      <c r="D47" s="31">
        <v>1344155</v>
      </c>
      <c r="E47" s="29">
        <v>3014.2675880000002</v>
      </c>
      <c r="F47" s="30">
        <v>0.31337660907438702</v>
      </c>
    </row>
    <row r="48" spans="1:6" x14ac:dyDescent="0.2">
      <c r="A48" s="27" t="s">
        <v>406</v>
      </c>
      <c r="B48" s="27" t="s">
        <v>405</v>
      </c>
      <c r="C48" s="27" t="s">
        <v>202</v>
      </c>
      <c r="D48" s="31">
        <v>500000</v>
      </c>
      <c r="E48" s="29">
        <v>2801.25</v>
      </c>
      <c r="F48" s="30">
        <v>0.291230357140286</v>
      </c>
    </row>
    <row r="49" spans="1:9" x14ac:dyDescent="0.2">
      <c r="A49" s="27" t="s">
        <v>402</v>
      </c>
      <c r="B49" s="27" t="s">
        <v>401</v>
      </c>
      <c r="C49" s="27" t="s">
        <v>101</v>
      </c>
      <c r="D49" s="31">
        <v>4500000</v>
      </c>
      <c r="E49" s="29">
        <v>2191.5</v>
      </c>
      <c r="F49" s="30">
        <v>0.227838046469589</v>
      </c>
    </row>
    <row r="50" spans="1:9" x14ac:dyDescent="0.2">
      <c r="A50" s="26" t="s">
        <v>35</v>
      </c>
      <c r="B50" s="26"/>
      <c r="C50" s="26"/>
      <c r="D50" s="32"/>
      <c r="E50" s="33">
        <f>SUM(E7:E49)</f>
        <v>923072.19628400006</v>
      </c>
      <c r="F50" s="34">
        <f>SUM(F7:F49)</f>
        <v>95.966673945580439</v>
      </c>
      <c r="G50" s="18"/>
      <c r="H50" s="18"/>
      <c r="I50" s="18"/>
    </row>
    <row r="51" spans="1:9" x14ac:dyDescent="0.2">
      <c r="A51" s="27"/>
      <c r="B51" s="27"/>
      <c r="C51" s="27"/>
      <c r="D51" s="28"/>
      <c r="E51" s="29"/>
      <c r="F51" s="30"/>
    </row>
    <row r="52" spans="1:9" x14ac:dyDescent="0.2">
      <c r="A52" s="26" t="s">
        <v>225</v>
      </c>
      <c r="B52" s="27"/>
      <c r="C52" s="27"/>
      <c r="D52" s="28"/>
      <c r="E52" s="29"/>
      <c r="F52" s="30"/>
    </row>
    <row r="53" spans="1:9" x14ac:dyDescent="0.2">
      <c r="A53" s="27"/>
      <c r="B53" s="27" t="s">
        <v>721</v>
      </c>
      <c r="C53" s="27" t="s">
        <v>185</v>
      </c>
      <c r="D53" s="31">
        <v>73500</v>
      </c>
      <c r="E53" s="29">
        <v>7.3499999999999998E-3</v>
      </c>
      <c r="F53" s="30">
        <v>7.6413855421011998E-7</v>
      </c>
    </row>
    <row r="54" spans="1:9" x14ac:dyDescent="0.2">
      <c r="A54" s="27"/>
      <c r="B54" s="27" t="s">
        <v>732</v>
      </c>
      <c r="C54" s="27" t="s">
        <v>98</v>
      </c>
      <c r="D54" s="31">
        <v>45000</v>
      </c>
      <c r="E54" s="29">
        <v>4.4999999999999997E-3</v>
      </c>
      <c r="F54" s="30">
        <v>4.6783993114905302E-7</v>
      </c>
    </row>
    <row r="55" spans="1:9" x14ac:dyDescent="0.2">
      <c r="A55" s="27" t="s">
        <v>516</v>
      </c>
      <c r="B55" s="27" t="s">
        <v>729</v>
      </c>
      <c r="C55" s="27" t="s">
        <v>367</v>
      </c>
      <c r="D55" s="31">
        <v>38000</v>
      </c>
      <c r="E55" s="29">
        <v>3.8E-3</v>
      </c>
      <c r="F55" s="30">
        <v>3.9506483074808901E-7</v>
      </c>
    </row>
    <row r="56" spans="1:9" x14ac:dyDescent="0.2">
      <c r="A56" s="26" t="s">
        <v>35</v>
      </c>
      <c r="B56" s="26"/>
      <c r="C56" s="26"/>
      <c r="D56" s="32"/>
      <c r="E56" s="33">
        <f>SUM(E52:E55)</f>
        <v>1.5650000000000001E-2</v>
      </c>
      <c r="F56" s="34">
        <f>SUM(F52:F55)</f>
        <v>1.627043316107262E-6</v>
      </c>
      <c r="G56" s="18"/>
      <c r="H56" s="18"/>
      <c r="I56" s="18"/>
    </row>
    <row r="57" spans="1:9" x14ac:dyDescent="0.2">
      <c r="A57" s="27"/>
      <c r="B57" s="27"/>
      <c r="C57" s="27"/>
      <c r="D57" s="28"/>
      <c r="E57" s="29"/>
      <c r="F57" s="30"/>
    </row>
    <row r="58" spans="1:9" x14ac:dyDescent="0.2">
      <c r="A58" s="26" t="s">
        <v>37</v>
      </c>
      <c r="B58" s="26"/>
      <c r="C58" s="26"/>
      <c r="D58" s="32"/>
      <c r="E58" s="33">
        <f>E50+E56</f>
        <v>923072.21193400002</v>
      </c>
      <c r="F58" s="34">
        <f>F50+F56</f>
        <v>95.966675572623757</v>
      </c>
      <c r="G58" s="18"/>
      <c r="H58" s="18"/>
      <c r="I58" s="18"/>
    </row>
    <row r="59" spans="1:9" x14ac:dyDescent="0.2">
      <c r="A59" s="26"/>
      <c r="B59" s="26"/>
      <c r="C59" s="26"/>
      <c r="D59" s="32"/>
      <c r="E59" s="33"/>
      <c r="F59" s="34"/>
      <c r="G59" s="18"/>
      <c r="H59" s="18"/>
      <c r="I59" s="18"/>
    </row>
    <row r="60" spans="1:9" x14ac:dyDescent="0.2">
      <c r="A60" s="26" t="s">
        <v>39</v>
      </c>
      <c r="B60" s="26"/>
      <c r="C60" s="26"/>
      <c r="D60" s="32"/>
      <c r="E60" s="33">
        <f>E62-(E50+E56)</f>
        <v>38795.23468340002</v>
      </c>
      <c r="F60" s="34">
        <f>F62-(F50+F56)</f>
        <v>4.0333244273762432</v>
      </c>
      <c r="G60" s="18"/>
      <c r="H60" s="18"/>
      <c r="I60" s="18"/>
    </row>
    <row r="61" spans="1:9" x14ac:dyDescent="0.2">
      <c r="A61" s="26"/>
      <c r="B61" s="26"/>
      <c r="C61" s="26"/>
      <c r="D61" s="32"/>
      <c r="E61" s="33"/>
      <c r="F61" s="34"/>
      <c r="G61" s="18"/>
      <c r="H61" s="18"/>
      <c r="I61" s="18"/>
    </row>
    <row r="62" spans="1:9" x14ac:dyDescent="0.2">
      <c r="A62" s="35" t="s">
        <v>38</v>
      </c>
      <c r="B62" s="35"/>
      <c r="C62" s="35"/>
      <c r="D62" s="36"/>
      <c r="E62" s="37">
        <v>961867.44661740004</v>
      </c>
      <c r="F62" s="38">
        <v>100</v>
      </c>
      <c r="G62" s="18"/>
      <c r="H62" s="18"/>
      <c r="I62" s="18"/>
    </row>
    <row r="63" spans="1:9" x14ac:dyDescent="0.2">
      <c r="F63" s="20" t="s">
        <v>505</v>
      </c>
    </row>
    <row r="64" spans="1:9" x14ac:dyDescent="0.2">
      <c r="A64" s="18" t="s">
        <v>40</v>
      </c>
      <c r="F64" s="20"/>
    </row>
    <row r="65" spans="1:6" x14ac:dyDescent="0.2">
      <c r="A65" s="18" t="s">
        <v>722</v>
      </c>
      <c r="F65" s="20"/>
    </row>
    <row r="66" spans="1:6" x14ac:dyDescent="0.2">
      <c r="A66" s="18" t="s">
        <v>1240</v>
      </c>
      <c r="F66" s="20"/>
    </row>
    <row r="68" spans="1:6" x14ac:dyDescent="0.2">
      <c r="A68" s="18" t="s">
        <v>41</v>
      </c>
    </row>
    <row r="69" spans="1:6" x14ac:dyDescent="0.2">
      <c r="A69" s="18" t="s">
        <v>42</v>
      </c>
    </row>
    <row r="70" spans="1:6" x14ac:dyDescent="0.2">
      <c r="A70" s="18" t="s">
        <v>43</v>
      </c>
      <c r="B70" s="18"/>
      <c r="C70" s="39" t="s">
        <v>45</v>
      </c>
      <c r="D70" s="19" t="s">
        <v>44</v>
      </c>
    </row>
    <row r="71" spans="1:6" x14ac:dyDescent="0.2">
      <c r="A71" s="9" t="s">
        <v>68</v>
      </c>
      <c r="C71" s="40">
        <v>706.95399999999995</v>
      </c>
      <c r="D71" s="40">
        <v>864.66240000000005</v>
      </c>
    </row>
    <row r="72" spans="1:6" x14ac:dyDescent="0.2">
      <c r="A72" s="9" t="s">
        <v>74</v>
      </c>
      <c r="C72" s="40">
        <v>39.894399999999997</v>
      </c>
      <c r="D72" s="40">
        <v>45.792000000000002</v>
      </c>
    </row>
    <row r="73" spans="1:6" x14ac:dyDescent="0.2">
      <c r="A73" s="9" t="s">
        <v>71</v>
      </c>
      <c r="C73" s="40">
        <v>760.88409999999999</v>
      </c>
      <c r="D73" s="40">
        <v>934.04309999999998</v>
      </c>
    </row>
    <row r="74" spans="1:6" x14ac:dyDescent="0.2">
      <c r="A74" s="9" t="s">
        <v>75</v>
      </c>
      <c r="C74" s="40">
        <v>43.963999999999999</v>
      </c>
      <c r="D74" s="40">
        <v>50.958300000000001</v>
      </c>
    </row>
    <row r="76" spans="1:6" x14ac:dyDescent="0.2">
      <c r="A76" s="18" t="s">
        <v>47</v>
      </c>
    </row>
    <row r="77" spans="1:6" x14ac:dyDescent="0.2">
      <c r="A77" s="74" t="s">
        <v>65</v>
      </c>
      <c r="B77" s="75"/>
      <c r="C77" s="43" t="s">
        <v>66</v>
      </c>
    </row>
    <row r="78" spans="1:6" x14ac:dyDescent="0.2">
      <c r="A78" s="70" t="s">
        <v>74</v>
      </c>
      <c r="B78" s="71"/>
      <c r="C78" s="44">
        <v>2.75</v>
      </c>
    </row>
    <row r="79" spans="1:6" x14ac:dyDescent="0.2">
      <c r="A79" s="70" t="s">
        <v>75</v>
      </c>
      <c r="B79" s="71"/>
      <c r="C79" s="44">
        <v>2.75</v>
      </c>
    </row>
    <row r="80" spans="1:6" x14ac:dyDescent="0.2">
      <c r="A80" s="9" t="s">
        <v>67</v>
      </c>
    </row>
    <row r="81" spans="1:4" x14ac:dyDescent="0.2">
      <c r="A81" s="9" t="s">
        <v>46</v>
      </c>
    </row>
    <row r="83" spans="1:4" x14ac:dyDescent="0.2">
      <c r="A83" s="18" t="s">
        <v>218</v>
      </c>
      <c r="D83" s="45">
        <v>6.7396604165750176E-2</v>
      </c>
    </row>
    <row r="85" spans="1:4" x14ac:dyDescent="0.2">
      <c r="A85" s="18" t="s">
        <v>727</v>
      </c>
      <c r="D85" s="41" t="s">
        <v>48</v>
      </c>
    </row>
    <row r="86" spans="1:4" x14ac:dyDescent="0.2">
      <c r="A86" s="9" t="s">
        <v>723</v>
      </c>
    </row>
    <row r="87" spans="1:4" x14ac:dyDescent="0.2">
      <c r="A87" s="50" t="s">
        <v>724</v>
      </c>
    </row>
    <row r="89" spans="1:4" x14ac:dyDescent="0.2">
      <c r="A89" s="18" t="s">
        <v>728</v>
      </c>
    </row>
    <row r="90" spans="1:4" x14ac:dyDescent="0.2">
      <c r="A90" s="50" t="s">
        <v>51</v>
      </c>
    </row>
    <row r="92" spans="1:4" x14ac:dyDescent="0.2">
      <c r="A92" s="18" t="s">
        <v>733</v>
      </c>
    </row>
  </sheetData>
  <mergeCells count="4">
    <mergeCell ref="A1:F1"/>
    <mergeCell ref="A77:B77"/>
    <mergeCell ref="A78:B78"/>
    <mergeCell ref="A79:B79"/>
  </mergeCells>
  <conditionalFormatting sqref="F2:F3 F5:F65539">
    <cfRule type="cellIs" dxfId="17" priority="1" stopIfTrue="1" operator="between">
      <formula>0.009</formula>
      <formula>-0.009</formula>
    </cfRule>
  </conditionalFormatting>
  <hyperlinks>
    <hyperlink ref="A90" r:id="rId1" xr:uid="{00000000-0004-0000-2300-000000000000}"/>
    <hyperlink ref="A87" r:id="rId2" xr:uid="{00000000-0004-0000-23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85"/>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4.6640625" style="9" bestFit="1" customWidth="1"/>
    <col min="4" max="4" width="14.6640625" style="10" bestFit="1" customWidth="1"/>
    <col min="5" max="5" width="23" style="13" bestFit="1" customWidth="1"/>
    <col min="6" max="6" width="13.5546875" style="14" bestFit="1" customWidth="1"/>
    <col min="7" max="16384" width="9.109375" style="9"/>
  </cols>
  <sheetData>
    <row r="1" spans="1:6" s="1" customFormat="1" ht="13.8" x14ac:dyDescent="0.2">
      <c r="A1" s="72" t="s">
        <v>17</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1729339</v>
      </c>
      <c r="E7" s="29">
        <v>27851.0046</v>
      </c>
      <c r="F7" s="30">
        <v>10.1783654251226</v>
      </c>
    </row>
    <row r="8" spans="1:6" x14ac:dyDescent="0.2">
      <c r="A8" s="27" t="s">
        <v>100</v>
      </c>
      <c r="B8" s="27" t="s">
        <v>99</v>
      </c>
      <c r="C8" s="27" t="s">
        <v>101</v>
      </c>
      <c r="D8" s="31">
        <v>1288046</v>
      </c>
      <c r="E8" s="29">
        <v>18373.332170000001</v>
      </c>
      <c r="F8" s="30">
        <v>6.71467660105235</v>
      </c>
    </row>
    <row r="9" spans="1:6" x14ac:dyDescent="0.2">
      <c r="A9" s="27" t="s">
        <v>103</v>
      </c>
      <c r="B9" s="27" t="s">
        <v>102</v>
      </c>
      <c r="C9" s="27" t="s">
        <v>101</v>
      </c>
      <c r="D9" s="31">
        <v>2494468</v>
      </c>
      <c r="E9" s="29">
        <v>17683.283650000001</v>
      </c>
      <c r="F9" s="30">
        <v>6.4624930228116897</v>
      </c>
    </row>
    <row r="10" spans="1:6" x14ac:dyDescent="0.2">
      <c r="A10" s="27" t="s">
        <v>105</v>
      </c>
      <c r="B10" s="27" t="s">
        <v>104</v>
      </c>
      <c r="C10" s="27" t="s">
        <v>101</v>
      </c>
      <c r="D10" s="31">
        <v>2285871</v>
      </c>
      <c r="E10" s="29">
        <v>15601.069579999999</v>
      </c>
      <c r="F10" s="30">
        <v>5.7015317576014697</v>
      </c>
    </row>
    <row r="11" spans="1:6" x14ac:dyDescent="0.2">
      <c r="A11" s="27" t="s">
        <v>189</v>
      </c>
      <c r="B11" s="27" t="s">
        <v>188</v>
      </c>
      <c r="C11" s="27" t="s">
        <v>142</v>
      </c>
      <c r="D11" s="31">
        <v>9377483</v>
      </c>
      <c r="E11" s="29">
        <v>11721.85375</v>
      </c>
      <c r="F11" s="30">
        <v>4.2838422757412502</v>
      </c>
    </row>
    <row r="12" spans="1:6" x14ac:dyDescent="0.2">
      <c r="A12" s="27" t="s">
        <v>201</v>
      </c>
      <c r="B12" s="27" t="s">
        <v>200</v>
      </c>
      <c r="C12" s="27" t="s">
        <v>202</v>
      </c>
      <c r="D12" s="31">
        <v>6017530</v>
      </c>
      <c r="E12" s="29">
        <v>8731.4360300000008</v>
      </c>
      <c r="F12" s="30">
        <v>3.19097094973091</v>
      </c>
    </row>
    <row r="13" spans="1:6" x14ac:dyDescent="0.2">
      <c r="A13" s="27" t="s">
        <v>110</v>
      </c>
      <c r="B13" s="27" t="s">
        <v>109</v>
      </c>
      <c r="C13" s="27" t="s">
        <v>111</v>
      </c>
      <c r="D13" s="31">
        <v>1433873</v>
      </c>
      <c r="E13" s="29">
        <v>8053.3477050000001</v>
      </c>
      <c r="F13" s="30">
        <v>2.94315831742251</v>
      </c>
    </row>
    <row r="14" spans="1:6" x14ac:dyDescent="0.2">
      <c r="A14" s="27" t="s">
        <v>217</v>
      </c>
      <c r="B14" s="27" t="s">
        <v>216</v>
      </c>
      <c r="C14" s="27" t="s">
        <v>101</v>
      </c>
      <c r="D14" s="31">
        <v>9130054</v>
      </c>
      <c r="E14" s="29">
        <v>7984.232223</v>
      </c>
      <c r="F14" s="30">
        <v>2.9178995290077698</v>
      </c>
    </row>
    <row r="15" spans="1:6" x14ac:dyDescent="0.2">
      <c r="A15" s="27" t="s">
        <v>160</v>
      </c>
      <c r="B15" s="27" t="s">
        <v>159</v>
      </c>
      <c r="C15" s="27" t="s">
        <v>101</v>
      </c>
      <c r="D15" s="31">
        <v>4986879</v>
      </c>
      <c r="E15" s="29">
        <v>7492.7856979999997</v>
      </c>
      <c r="F15" s="30">
        <v>2.7382965886399901</v>
      </c>
    </row>
    <row r="16" spans="1:6" x14ac:dyDescent="0.2">
      <c r="A16" s="27" t="s">
        <v>146</v>
      </c>
      <c r="B16" s="27" t="s">
        <v>145</v>
      </c>
      <c r="C16" s="27" t="s">
        <v>122</v>
      </c>
      <c r="D16" s="31">
        <v>497050</v>
      </c>
      <c r="E16" s="29">
        <v>7100.8563000000004</v>
      </c>
      <c r="F16" s="30">
        <v>2.5950629534090202</v>
      </c>
    </row>
    <row r="17" spans="1:6" x14ac:dyDescent="0.2">
      <c r="A17" s="27" t="s">
        <v>127</v>
      </c>
      <c r="B17" s="27" t="s">
        <v>126</v>
      </c>
      <c r="C17" s="27" t="s">
        <v>125</v>
      </c>
      <c r="D17" s="31">
        <v>1965841</v>
      </c>
      <c r="E17" s="29">
        <v>6803.7757009999996</v>
      </c>
      <c r="F17" s="30">
        <v>2.4864925466763199</v>
      </c>
    </row>
    <row r="18" spans="1:6" x14ac:dyDescent="0.2">
      <c r="A18" s="27" t="s">
        <v>238</v>
      </c>
      <c r="B18" s="27" t="s">
        <v>237</v>
      </c>
      <c r="C18" s="27" t="s">
        <v>239</v>
      </c>
      <c r="D18" s="31">
        <v>3644411</v>
      </c>
      <c r="E18" s="29">
        <v>6729.404912</v>
      </c>
      <c r="F18" s="30">
        <v>2.4593131655994598</v>
      </c>
    </row>
    <row r="19" spans="1:6" x14ac:dyDescent="0.2">
      <c r="A19" s="27" t="s">
        <v>204</v>
      </c>
      <c r="B19" s="27" t="s">
        <v>203</v>
      </c>
      <c r="C19" s="27" t="s">
        <v>205</v>
      </c>
      <c r="D19" s="31">
        <v>2493349</v>
      </c>
      <c r="E19" s="29">
        <v>6713.3421829999997</v>
      </c>
      <c r="F19" s="30">
        <v>2.4534429168298102</v>
      </c>
    </row>
    <row r="20" spans="1:6" x14ac:dyDescent="0.2">
      <c r="A20" s="27" t="s">
        <v>107</v>
      </c>
      <c r="B20" s="27" t="s">
        <v>106</v>
      </c>
      <c r="C20" s="27" t="s">
        <v>108</v>
      </c>
      <c r="D20" s="31">
        <v>282387</v>
      </c>
      <c r="E20" s="29">
        <v>6703.4438</v>
      </c>
      <c r="F20" s="30">
        <v>2.4498254760682001</v>
      </c>
    </row>
    <row r="21" spans="1:6" x14ac:dyDescent="0.2">
      <c r="A21" s="27" t="s">
        <v>209</v>
      </c>
      <c r="B21" s="27" t="s">
        <v>208</v>
      </c>
      <c r="C21" s="27" t="s">
        <v>185</v>
      </c>
      <c r="D21" s="31">
        <v>974352</v>
      </c>
      <c r="E21" s="29">
        <v>6534.9788639999997</v>
      </c>
      <c r="F21" s="30">
        <v>2.3882586599136499</v>
      </c>
    </row>
    <row r="22" spans="1:6" x14ac:dyDescent="0.2">
      <c r="A22" s="27" t="s">
        <v>191</v>
      </c>
      <c r="B22" s="27" t="s">
        <v>190</v>
      </c>
      <c r="C22" s="27" t="s">
        <v>192</v>
      </c>
      <c r="D22" s="31">
        <v>399838</v>
      </c>
      <c r="E22" s="29">
        <v>6403.2056510000002</v>
      </c>
      <c r="F22" s="30">
        <v>2.3401011182228002</v>
      </c>
    </row>
    <row r="23" spans="1:6" x14ac:dyDescent="0.2">
      <c r="A23" s="27" t="s">
        <v>464</v>
      </c>
      <c r="B23" s="27" t="s">
        <v>463</v>
      </c>
      <c r="C23" s="27" t="s">
        <v>413</v>
      </c>
      <c r="D23" s="31">
        <v>157232</v>
      </c>
      <c r="E23" s="29">
        <v>6344.3112000000001</v>
      </c>
      <c r="F23" s="30">
        <v>2.3185776847811899</v>
      </c>
    </row>
    <row r="24" spans="1:6" x14ac:dyDescent="0.2">
      <c r="A24" s="27" t="s">
        <v>286</v>
      </c>
      <c r="B24" s="27" t="s">
        <v>285</v>
      </c>
      <c r="C24" s="27" t="s">
        <v>149</v>
      </c>
      <c r="D24" s="31">
        <v>3769680</v>
      </c>
      <c r="E24" s="29">
        <v>5006.1350400000001</v>
      </c>
      <c r="F24" s="30">
        <v>1.82953083870558</v>
      </c>
    </row>
    <row r="25" spans="1:6" x14ac:dyDescent="0.2">
      <c r="A25" s="27" t="s">
        <v>139</v>
      </c>
      <c r="B25" s="27" t="s">
        <v>138</v>
      </c>
      <c r="C25" s="27" t="s">
        <v>122</v>
      </c>
      <c r="D25" s="31">
        <v>210633</v>
      </c>
      <c r="E25" s="29">
        <v>4914.6997890000002</v>
      </c>
      <c r="F25" s="30">
        <v>1.79611511777263</v>
      </c>
    </row>
    <row r="26" spans="1:6" x14ac:dyDescent="0.2">
      <c r="A26" s="27" t="s">
        <v>275</v>
      </c>
      <c r="B26" s="27" t="s">
        <v>274</v>
      </c>
      <c r="C26" s="27" t="s">
        <v>122</v>
      </c>
      <c r="D26" s="31">
        <v>641207</v>
      </c>
      <c r="E26" s="29">
        <v>4849.1279379999996</v>
      </c>
      <c r="F26" s="30">
        <v>1.77215137676346</v>
      </c>
    </row>
    <row r="27" spans="1:6" x14ac:dyDescent="0.2">
      <c r="A27" s="27" t="s">
        <v>113</v>
      </c>
      <c r="B27" s="27" t="s">
        <v>112</v>
      </c>
      <c r="C27" s="27" t="s">
        <v>114</v>
      </c>
      <c r="D27" s="31">
        <v>448797</v>
      </c>
      <c r="E27" s="29">
        <v>4753.6578239999999</v>
      </c>
      <c r="F27" s="30">
        <v>1.7372610838844</v>
      </c>
    </row>
    <row r="28" spans="1:6" x14ac:dyDescent="0.2">
      <c r="A28" s="27" t="s">
        <v>547</v>
      </c>
      <c r="B28" s="27" t="s">
        <v>546</v>
      </c>
      <c r="C28" s="27" t="s">
        <v>101</v>
      </c>
      <c r="D28" s="31">
        <v>480528</v>
      </c>
      <c r="E28" s="29">
        <v>4713.9796800000004</v>
      </c>
      <c r="F28" s="30">
        <v>1.72276039872697</v>
      </c>
    </row>
    <row r="29" spans="1:6" x14ac:dyDescent="0.2">
      <c r="A29" s="27" t="s">
        <v>478</v>
      </c>
      <c r="B29" s="27" t="s">
        <v>477</v>
      </c>
      <c r="C29" s="27" t="s">
        <v>479</v>
      </c>
      <c r="D29" s="31">
        <v>511291</v>
      </c>
      <c r="E29" s="29">
        <v>4693.6513800000002</v>
      </c>
      <c r="F29" s="30">
        <v>1.71533126398504</v>
      </c>
    </row>
    <row r="30" spans="1:6" x14ac:dyDescent="0.2">
      <c r="A30" s="27" t="s">
        <v>211</v>
      </c>
      <c r="B30" s="27" t="s">
        <v>210</v>
      </c>
      <c r="C30" s="27" t="s">
        <v>130</v>
      </c>
      <c r="D30" s="31">
        <v>3938381</v>
      </c>
      <c r="E30" s="29">
        <v>4062.4400019999998</v>
      </c>
      <c r="F30" s="30">
        <v>1.4846501751679</v>
      </c>
    </row>
    <row r="31" spans="1:6" x14ac:dyDescent="0.2">
      <c r="A31" s="27" t="s">
        <v>207</v>
      </c>
      <c r="B31" s="27" t="s">
        <v>206</v>
      </c>
      <c r="C31" s="27" t="s">
        <v>185</v>
      </c>
      <c r="D31" s="31">
        <v>560390</v>
      </c>
      <c r="E31" s="29">
        <v>3709.2214100000001</v>
      </c>
      <c r="F31" s="30">
        <v>1.35556370392717</v>
      </c>
    </row>
    <row r="32" spans="1:6" x14ac:dyDescent="0.2">
      <c r="A32" s="27" t="s">
        <v>194</v>
      </c>
      <c r="B32" s="27" t="s">
        <v>193</v>
      </c>
      <c r="C32" s="27" t="s">
        <v>122</v>
      </c>
      <c r="D32" s="31">
        <v>602514</v>
      </c>
      <c r="E32" s="29">
        <v>3619.301598</v>
      </c>
      <c r="F32" s="30">
        <v>1.32270181191864</v>
      </c>
    </row>
    <row r="33" spans="1:6" x14ac:dyDescent="0.2">
      <c r="A33" s="27" t="s">
        <v>522</v>
      </c>
      <c r="B33" s="27" t="s">
        <v>521</v>
      </c>
      <c r="C33" s="27" t="s">
        <v>133</v>
      </c>
      <c r="D33" s="31">
        <v>311893</v>
      </c>
      <c r="E33" s="29">
        <v>3453.9030819999998</v>
      </c>
      <c r="F33" s="30">
        <v>1.2622556427122</v>
      </c>
    </row>
    <row r="34" spans="1:6" x14ac:dyDescent="0.2">
      <c r="A34" s="27" t="s">
        <v>283</v>
      </c>
      <c r="B34" s="27" t="s">
        <v>282</v>
      </c>
      <c r="C34" s="27" t="s">
        <v>284</v>
      </c>
      <c r="D34" s="31">
        <v>451059</v>
      </c>
      <c r="E34" s="29">
        <v>3442.2567589999999</v>
      </c>
      <c r="F34" s="30">
        <v>1.2579994037342701</v>
      </c>
    </row>
    <row r="35" spans="1:6" x14ac:dyDescent="0.2">
      <c r="A35" s="27" t="s">
        <v>196</v>
      </c>
      <c r="B35" s="27" t="s">
        <v>195</v>
      </c>
      <c r="C35" s="27" t="s">
        <v>98</v>
      </c>
      <c r="D35" s="31">
        <v>283932</v>
      </c>
      <c r="E35" s="29">
        <v>3434.2995059999998</v>
      </c>
      <c r="F35" s="30">
        <v>1.2550913639713399</v>
      </c>
    </row>
    <row r="36" spans="1:6" x14ac:dyDescent="0.2">
      <c r="A36" s="27" t="s">
        <v>236</v>
      </c>
      <c r="B36" s="27" t="s">
        <v>235</v>
      </c>
      <c r="C36" s="27" t="s">
        <v>149</v>
      </c>
      <c r="D36" s="31">
        <v>2415915</v>
      </c>
      <c r="E36" s="29">
        <v>3376.2412129999998</v>
      </c>
      <c r="F36" s="30">
        <v>1.23387351094952</v>
      </c>
    </row>
    <row r="37" spans="1:6" x14ac:dyDescent="0.2">
      <c r="A37" s="27" t="s">
        <v>158</v>
      </c>
      <c r="B37" s="27" t="s">
        <v>157</v>
      </c>
      <c r="C37" s="27" t="s">
        <v>133</v>
      </c>
      <c r="D37" s="31">
        <v>552564</v>
      </c>
      <c r="E37" s="29">
        <v>3238.5776040000001</v>
      </c>
      <c r="F37" s="30">
        <v>1.1835632784007399</v>
      </c>
    </row>
    <row r="38" spans="1:6" x14ac:dyDescent="0.2">
      <c r="A38" s="27" t="s">
        <v>222</v>
      </c>
      <c r="B38" s="27" t="s">
        <v>221</v>
      </c>
      <c r="C38" s="27" t="s">
        <v>142</v>
      </c>
      <c r="D38" s="31">
        <v>12217899</v>
      </c>
      <c r="E38" s="29">
        <v>3207.198488</v>
      </c>
      <c r="F38" s="30">
        <v>1.1720955373281099</v>
      </c>
    </row>
    <row r="39" spans="1:6" x14ac:dyDescent="0.2">
      <c r="A39" s="27" t="s">
        <v>132</v>
      </c>
      <c r="B39" s="27" t="s">
        <v>131</v>
      </c>
      <c r="C39" s="27" t="s">
        <v>133</v>
      </c>
      <c r="D39" s="31">
        <v>67295</v>
      </c>
      <c r="E39" s="29">
        <v>3170.4020399999999</v>
      </c>
      <c r="F39" s="30">
        <v>1.1586479903017299</v>
      </c>
    </row>
    <row r="40" spans="1:6" x14ac:dyDescent="0.2">
      <c r="A40" s="27" t="s">
        <v>483</v>
      </c>
      <c r="B40" s="27" t="s">
        <v>482</v>
      </c>
      <c r="C40" s="27" t="s">
        <v>304</v>
      </c>
      <c r="D40" s="31">
        <v>491969</v>
      </c>
      <c r="E40" s="29">
        <v>3167.788391</v>
      </c>
      <c r="F40" s="30">
        <v>1.15769281202371</v>
      </c>
    </row>
    <row r="41" spans="1:6" x14ac:dyDescent="0.2">
      <c r="A41" s="27" t="s">
        <v>476</v>
      </c>
      <c r="B41" s="27" t="s">
        <v>475</v>
      </c>
      <c r="C41" s="27" t="s">
        <v>133</v>
      </c>
      <c r="D41" s="31">
        <v>134897</v>
      </c>
      <c r="E41" s="29">
        <v>2838.7724680000001</v>
      </c>
      <c r="F41" s="30">
        <v>1.0374513936951899</v>
      </c>
    </row>
    <row r="42" spans="1:6" x14ac:dyDescent="0.2">
      <c r="A42" s="27" t="s">
        <v>541</v>
      </c>
      <c r="B42" s="27" t="s">
        <v>540</v>
      </c>
      <c r="C42" s="27" t="s">
        <v>205</v>
      </c>
      <c r="D42" s="31">
        <v>90000</v>
      </c>
      <c r="E42" s="29">
        <v>2587.23</v>
      </c>
      <c r="F42" s="30">
        <v>0.94552324977318902</v>
      </c>
    </row>
    <row r="43" spans="1:6" x14ac:dyDescent="0.2">
      <c r="A43" s="27" t="s">
        <v>400</v>
      </c>
      <c r="B43" s="27" t="s">
        <v>399</v>
      </c>
      <c r="C43" s="27" t="s">
        <v>202</v>
      </c>
      <c r="D43" s="31">
        <v>5150797</v>
      </c>
      <c r="E43" s="29">
        <v>2122.1283640000001</v>
      </c>
      <c r="F43" s="30">
        <v>0.77554825321488297</v>
      </c>
    </row>
    <row r="44" spans="1:6" x14ac:dyDescent="0.2">
      <c r="A44" s="27" t="s">
        <v>169</v>
      </c>
      <c r="B44" s="27" t="s">
        <v>168</v>
      </c>
      <c r="C44" s="27" t="s">
        <v>122</v>
      </c>
      <c r="D44" s="31">
        <v>312320</v>
      </c>
      <c r="E44" s="29">
        <v>1954.96704</v>
      </c>
      <c r="F44" s="30">
        <v>0.71445785216632096</v>
      </c>
    </row>
    <row r="45" spans="1:6" x14ac:dyDescent="0.2">
      <c r="A45" s="27" t="s">
        <v>241</v>
      </c>
      <c r="B45" s="27" t="s">
        <v>240</v>
      </c>
      <c r="C45" s="27" t="s">
        <v>205</v>
      </c>
      <c r="D45" s="31">
        <v>360275</v>
      </c>
      <c r="E45" s="29">
        <v>1880.6355000000001</v>
      </c>
      <c r="F45" s="30">
        <v>0.687292814940622</v>
      </c>
    </row>
    <row r="46" spans="1:6" x14ac:dyDescent="0.2">
      <c r="A46" s="27" t="s">
        <v>155</v>
      </c>
      <c r="B46" s="27" t="s">
        <v>154</v>
      </c>
      <c r="C46" s="27" t="s">
        <v>156</v>
      </c>
      <c r="D46" s="31">
        <v>805716</v>
      </c>
      <c r="E46" s="29">
        <v>1806.8181300000001</v>
      </c>
      <c r="F46" s="30">
        <v>0.66031568512529504</v>
      </c>
    </row>
    <row r="47" spans="1:6" x14ac:dyDescent="0.2">
      <c r="A47" s="27" t="s">
        <v>198</v>
      </c>
      <c r="B47" s="27" t="s">
        <v>197</v>
      </c>
      <c r="C47" s="27" t="s">
        <v>199</v>
      </c>
      <c r="D47" s="31">
        <v>656332</v>
      </c>
      <c r="E47" s="29">
        <v>1761.923254</v>
      </c>
      <c r="F47" s="30">
        <v>0.64390850483839202</v>
      </c>
    </row>
    <row r="48" spans="1:6" x14ac:dyDescent="0.2">
      <c r="A48" s="27" t="s">
        <v>148</v>
      </c>
      <c r="B48" s="27" t="s">
        <v>147</v>
      </c>
      <c r="C48" s="27" t="s">
        <v>149</v>
      </c>
      <c r="D48" s="31">
        <v>226570</v>
      </c>
      <c r="E48" s="29">
        <v>1683.64167</v>
      </c>
      <c r="F48" s="30">
        <v>0.61529989342731795</v>
      </c>
    </row>
    <row r="49" spans="1:9" x14ac:dyDescent="0.2">
      <c r="A49" s="27" t="s">
        <v>391</v>
      </c>
      <c r="B49" s="27" t="s">
        <v>390</v>
      </c>
      <c r="C49" s="27" t="s">
        <v>108</v>
      </c>
      <c r="D49" s="31">
        <v>150123</v>
      </c>
      <c r="E49" s="29">
        <v>1680.476862</v>
      </c>
      <c r="F49" s="30">
        <v>0.61414328982227695</v>
      </c>
    </row>
    <row r="50" spans="1:9" x14ac:dyDescent="0.2">
      <c r="A50" s="27" t="s">
        <v>260</v>
      </c>
      <c r="B50" s="27" t="s">
        <v>259</v>
      </c>
      <c r="C50" s="27" t="s">
        <v>108</v>
      </c>
      <c r="D50" s="31">
        <v>42129</v>
      </c>
      <c r="E50" s="29">
        <v>1539.225144</v>
      </c>
      <c r="F50" s="30">
        <v>0.56252175503820101</v>
      </c>
    </row>
    <row r="51" spans="1:9" x14ac:dyDescent="0.2">
      <c r="A51" s="27" t="s">
        <v>254</v>
      </c>
      <c r="B51" s="27" t="s">
        <v>253</v>
      </c>
      <c r="C51" s="27" t="s">
        <v>185</v>
      </c>
      <c r="D51" s="31">
        <v>1113029</v>
      </c>
      <c r="E51" s="29">
        <v>1434.1378669999999</v>
      </c>
      <c r="F51" s="30">
        <v>0.52411679542546596</v>
      </c>
    </row>
    <row r="52" spans="1:9" x14ac:dyDescent="0.2">
      <c r="A52" s="27" t="s">
        <v>279</v>
      </c>
      <c r="B52" s="27" t="s">
        <v>278</v>
      </c>
      <c r="C52" s="27" t="s">
        <v>199</v>
      </c>
      <c r="D52" s="31">
        <v>67110</v>
      </c>
      <c r="E52" s="29">
        <v>1263.6813</v>
      </c>
      <c r="F52" s="30">
        <v>0.46182212229048403</v>
      </c>
    </row>
    <row r="53" spans="1:9" x14ac:dyDescent="0.2">
      <c r="A53" s="27" t="s">
        <v>124</v>
      </c>
      <c r="B53" s="27" t="s">
        <v>123</v>
      </c>
      <c r="C53" s="27" t="s">
        <v>125</v>
      </c>
      <c r="D53" s="31">
        <v>432307</v>
      </c>
      <c r="E53" s="29">
        <v>943.51002749999998</v>
      </c>
      <c r="F53" s="30">
        <v>0.344813050016964</v>
      </c>
    </row>
    <row r="54" spans="1:9" x14ac:dyDescent="0.2">
      <c r="A54" s="27" t="s">
        <v>129</v>
      </c>
      <c r="B54" s="27" t="s">
        <v>128</v>
      </c>
      <c r="C54" s="27" t="s">
        <v>130</v>
      </c>
      <c r="D54" s="31">
        <v>275067</v>
      </c>
      <c r="E54" s="29">
        <v>718.33747049999999</v>
      </c>
      <c r="F54" s="30">
        <v>0.262521994388211</v>
      </c>
    </row>
    <row r="55" spans="1:9" x14ac:dyDescent="0.2">
      <c r="A55" s="27" t="s">
        <v>163</v>
      </c>
      <c r="B55" s="27" t="s">
        <v>1239</v>
      </c>
      <c r="C55" s="27" t="s">
        <v>156</v>
      </c>
      <c r="D55" s="31">
        <v>94174</v>
      </c>
      <c r="E55" s="29">
        <v>211.18519499999999</v>
      </c>
      <c r="F55" s="30">
        <v>7.7179265809527803E-2</v>
      </c>
    </row>
    <row r="56" spans="1:9" x14ac:dyDescent="0.2">
      <c r="A56" s="27" t="s">
        <v>549</v>
      </c>
      <c r="B56" s="27" t="s">
        <v>548</v>
      </c>
      <c r="C56" s="27" t="s">
        <v>133</v>
      </c>
      <c r="D56" s="31">
        <v>363</v>
      </c>
      <c r="E56" s="29">
        <v>69.016282500000003</v>
      </c>
      <c r="F56" s="30">
        <v>2.5222535188856199E-2</v>
      </c>
    </row>
    <row r="57" spans="1:9" x14ac:dyDescent="0.2">
      <c r="A57" s="26" t="s">
        <v>35</v>
      </c>
      <c r="B57" s="26"/>
      <c r="C57" s="26"/>
      <c r="D57" s="32"/>
      <c r="E57" s="33">
        <f>SUM(E7:E56)</f>
        <v>268134.23233549995</v>
      </c>
      <c r="F57" s="34">
        <f>SUM(F7:F56)</f>
        <v>97.991732754065637</v>
      </c>
      <c r="G57" s="18"/>
      <c r="H57" s="18"/>
      <c r="I57" s="18"/>
    </row>
    <row r="58" spans="1:9" x14ac:dyDescent="0.2">
      <c r="A58" s="27"/>
      <c r="B58" s="27"/>
      <c r="C58" s="27"/>
      <c r="D58" s="28"/>
      <c r="E58" s="29"/>
      <c r="F58" s="30"/>
    </row>
    <row r="59" spans="1:9" x14ac:dyDescent="0.2">
      <c r="A59" s="26" t="s">
        <v>37</v>
      </c>
      <c r="B59" s="26"/>
      <c r="C59" s="26"/>
      <c r="D59" s="32"/>
      <c r="E59" s="33">
        <f>E57</f>
        <v>268134.23233549995</v>
      </c>
      <c r="F59" s="34">
        <f>F57</f>
        <v>97.991732754065637</v>
      </c>
      <c r="G59" s="18"/>
      <c r="H59" s="18"/>
      <c r="I59" s="18"/>
    </row>
    <row r="60" spans="1:9" x14ac:dyDescent="0.2">
      <c r="A60" s="26"/>
      <c r="B60" s="26"/>
      <c r="C60" s="26"/>
      <c r="D60" s="32"/>
      <c r="E60" s="33"/>
      <c r="F60" s="34"/>
      <c r="G60" s="18"/>
      <c r="H60" s="18"/>
      <c r="I60" s="18"/>
    </row>
    <row r="61" spans="1:9" x14ac:dyDescent="0.2">
      <c r="A61" s="26" t="s">
        <v>39</v>
      </c>
      <c r="B61" s="26"/>
      <c r="C61" s="26"/>
      <c r="D61" s="32"/>
      <c r="E61" s="33">
        <f>E63-(E57)</f>
        <v>5495.2104752000305</v>
      </c>
      <c r="F61" s="34">
        <f>F63-(F57)</f>
        <v>2.0082672459343627</v>
      </c>
      <c r="G61" s="18"/>
      <c r="H61" s="18"/>
      <c r="I61" s="18"/>
    </row>
    <row r="62" spans="1:9" x14ac:dyDescent="0.2">
      <c r="A62" s="26"/>
      <c r="B62" s="26"/>
      <c r="C62" s="26"/>
      <c r="D62" s="32"/>
      <c r="E62" s="33"/>
      <c r="F62" s="34"/>
      <c r="G62" s="18"/>
      <c r="H62" s="18"/>
      <c r="I62" s="18"/>
    </row>
    <row r="63" spans="1:9" x14ac:dyDescent="0.2">
      <c r="A63" s="35" t="s">
        <v>38</v>
      </c>
      <c r="B63" s="35"/>
      <c r="C63" s="35"/>
      <c r="D63" s="36"/>
      <c r="E63" s="37">
        <v>273629.44281069998</v>
      </c>
      <c r="F63" s="38">
        <v>100</v>
      </c>
      <c r="G63" s="18"/>
      <c r="H63" s="18"/>
      <c r="I63" s="18"/>
    </row>
    <row r="65" spans="1:4" x14ac:dyDescent="0.2">
      <c r="A65" s="18" t="s">
        <v>1240</v>
      </c>
    </row>
    <row r="66" spans="1:4" x14ac:dyDescent="0.2">
      <c r="A66" s="18"/>
    </row>
    <row r="67" spans="1:4" x14ac:dyDescent="0.2">
      <c r="A67" s="18" t="s">
        <v>41</v>
      </c>
    </row>
    <row r="68" spans="1:4" x14ac:dyDescent="0.2">
      <c r="A68" s="18" t="s">
        <v>42</v>
      </c>
    </row>
    <row r="69" spans="1:4" x14ac:dyDescent="0.2">
      <c r="A69" s="18" t="s">
        <v>43</v>
      </c>
      <c r="B69" s="18"/>
      <c r="C69" s="39" t="s">
        <v>45</v>
      </c>
      <c r="D69" s="19" t="s">
        <v>44</v>
      </c>
    </row>
    <row r="70" spans="1:4" x14ac:dyDescent="0.2">
      <c r="A70" s="9" t="s">
        <v>68</v>
      </c>
      <c r="C70" s="40">
        <v>90.697199999999995</v>
      </c>
      <c r="D70" s="40">
        <v>113.8115</v>
      </c>
    </row>
    <row r="71" spans="1:4" x14ac:dyDescent="0.2">
      <c r="A71" s="9" t="s">
        <v>74</v>
      </c>
      <c r="C71" s="40">
        <v>15.8995</v>
      </c>
      <c r="D71" s="40">
        <v>18.222200000000001</v>
      </c>
    </row>
    <row r="72" spans="1:4" x14ac:dyDescent="0.2">
      <c r="A72" s="9" t="s">
        <v>71</v>
      </c>
      <c r="C72" s="40">
        <v>96.419300000000007</v>
      </c>
      <c r="D72" s="40">
        <v>121.4314</v>
      </c>
    </row>
    <row r="73" spans="1:4" x14ac:dyDescent="0.2">
      <c r="A73" s="9" t="s">
        <v>75</v>
      </c>
      <c r="C73" s="40">
        <v>17.3246</v>
      </c>
      <c r="D73" s="40">
        <v>20.084700000000002</v>
      </c>
    </row>
    <row r="75" spans="1:4" x14ac:dyDescent="0.2">
      <c r="A75" s="18" t="s">
        <v>47</v>
      </c>
    </row>
    <row r="76" spans="1:4" x14ac:dyDescent="0.2">
      <c r="A76" s="74" t="s">
        <v>65</v>
      </c>
      <c r="B76" s="75"/>
      <c r="C76" s="43" t="s">
        <v>66</v>
      </c>
    </row>
    <row r="77" spans="1:4" x14ac:dyDescent="0.2">
      <c r="A77" s="70" t="s">
        <v>74</v>
      </c>
      <c r="B77" s="71"/>
      <c r="C77" s="44">
        <v>1.5</v>
      </c>
    </row>
    <row r="78" spans="1:4" x14ac:dyDescent="0.2">
      <c r="A78" s="70" t="s">
        <v>75</v>
      </c>
      <c r="B78" s="71"/>
      <c r="C78" s="44">
        <v>1.5</v>
      </c>
    </row>
    <row r="79" spans="1:4" x14ac:dyDescent="0.2">
      <c r="A79" s="9" t="s">
        <v>67</v>
      </c>
    </row>
    <row r="80" spans="1:4" x14ac:dyDescent="0.2">
      <c r="A80" s="9" t="s">
        <v>46</v>
      </c>
    </row>
    <row r="82" spans="1:4" x14ac:dyDescent="0.2">
      <c r="A82" s="18" t="s">
        <v>218</v>
      </c>
      <c r="D82" s="45">
        <v>6.3639634032283857E-2</v>
      </c>
    </row>
    <row r="84" spans="1:4" x14ac:dyDescent="0.2">
      <c r="A84" s="18" t="s">
        <v>94</v>
      </c>
    </row>
    <row r="85" spans="1:4" x14ac:dyDescent="0.2">
      <c r="A85" s="50" t="s">
        <v>51</v>
      </c>
    </row>
  </sheetData>
  <mergeCells count="4">
    <mergeCell ref="A1:F1"/>
    <mergeCell ref="A76:B76"/>
    <mergeCell ref="A77:B77"/>
    <mergeCell ref="A78:B78"/>
  </mergeCells>
  <conditionalFormatting sqref="F2:F3 F5:F65535">
    <cfRule type="cellIs" dxfId="16" priority="1" stopIfTrue="1" operator="between">
      <formula>0.009</formula>
      <formula>-0.009</formula>
    </cfRule>
  </conditionalFormatting>
  <hyperlinks>
    <hyperlink ref="A85" r:id="rId1" xr:uid="{00000000-0004-0000-2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57"/>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0" style="9" bestFit="1" customWidth="1"/>
    <col min="4" max="4" width="14.6640625" style="10" bestFit="1" customWidth="1"/>
    <col min="5" max="5" width="23" style="13" bestFit="1" customWidth="1"/>
    <col min="6" max="6" width="13.5546875" style="14" bestFit="1" customWidth="1"/>
    <col min="7" max="16384" width="9.109375" style="9"/>
  </cols>
  <sheetData>
    <row r="1" spans="1:6" s="1" customFormat="1" ht="13.8" x14ac:dyDescent="0.2">
      <c r="A1" s="72" t="s">
        <v>18</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9500000</v>
      </c>
      <c r="E7" s="29">
        <v>64837.5</v>
      </c>
      <c r="F7" s="30">
        <v>10.0309675306386</v>
      </c>
    </row>
    <row r="8" spans="1:6" x14ac:dyDescent="0.2">
      <c r="A8" s="27" t="s">
        <v>135</v>
      </c>
      <c r="B8" s="27" t="s">
        <v>134</v>
      </c>
      <c r="C8" s="27" t="s">
        <v>101</v>
      </c>
      <c r="D8" s="31">
        <v>13500000</v>
      </c>
      <c r="E8" s="29">
        <v>58293</v>
      </c>
      <c r="F8" s="30">
        <v>9.0184721845153906</v>
      </c>
    </row>
    <row r="9" spans="1:6" x14ac:dyDescent="0.2">
      <c r="A9" s="27" t="s">
        <v>103</v>
      </c>
      <c r="B9" s="27" t="s">
        <v>102</v>
      </c>
      <c r="C9" s="27" t="s">
        <v>101</v>
      </c>
      <c r="D9" s="31">
        <v>5887500</v>
      </c>
      <c r="E9" s="29">
        <v>41736.487500000003</v>
      </c>
      <c r="F9" s="30">
        <v>6.4570248846023404</v>
      </c>
    </row>
    <row r="10" spans="1:6" x14ac:dyDescent="0.2">
      <c r="A10" s="27" t="s">
        <v>97</v>
      </c>
      <c r="B10" s="27" t="s">
        <v>96</v>
      </c>
      <c r="C10" s="27" t="s">
        <v>98</v>
      </c>
      <c r="D10" s="31">
        <v>2300000</v>
      </c>
      <c r="E10" s="29">
        <v>37041.5</v>
      </c>
      <c r="F10" s="30">
        <v>5.73066641659765</v>
      </c>
    </row>
    <row r="11" spans="1:6" x14ac:dyDescent="0.2">
      <c r="A11" s="27" t="s">
        <v>191</v>
      </c>
      <c r="B11" s="27" t="s">
        <v>190</v>
      </c>
      <c r="C11" s="27" t="s">
        <v>192</v>
      </c>
      <c r="D11" s="31">
        <v>2100000</v>
      </c>
      <c r="E11" s="29">
        <v>33630.449999999997</v>
      </c>
      <c r="F11" s="30">
        <v>5.2029450856489703</v>
      </c>
    </row>
    <row r="12" spans="1:6" x14ac:dyDescent="0.2">
      <c r="A12" s="27" t="s">
        <v>110</v>
      </c>
      <c r="B12" s="27" t="s">
        <v>109</v>
      </c>
      <c r="C12" s="27" t="s">
        <v>111</v>
      </c>
      <c r="D12" s="31">
        <v>5500000</v>
      </c>
      <c r="E12" s="29">
        <v>30890.75</v>
      </c>
      <c r="F12" s="30">
        <v>4.7790878773406504</v>
      </c>
    </row>
    <row r="13" spans="1:6" x14ac:dyDescent="0.2">
      <c r="A13" s="27" t="s">
        <v>144</v>
      </c>
      <c r="B13" s="27" t="s">
        <v>143</v>
      </c>
      <c r="C13" s="27" t="s">
        <v>142</v>
      </c>
      <c r="D13" s="31">
        <v>23503715</v>
      </c>
      <c r="E13" s="29">
        <v>27781.39113</v>
      </c>
      <c r="F13" s="30">
        <v>4.2980409852477601</v>
      </c>
    </row>
    <row r="14" spans="1:6" x14ac:dyDescent="0.2">
      <c r="A14" s="27" t="s">
        <v>100</v>
      </c>
      <c r="B14" s="27" t="s">
        <v>99</v>
      </c>
      <c r="C14" s="27" t="s">
        <v>101</v>
      </c>
      <c r="D14" s="31">
        <v>1900000</v>
      </c>
      <c r="E14" s="29">
        <v>27102.55</v>
      </c>
      <c r="F14" s="30">
        <v>4.19301791474855</v>
      </c>
    </row>
    <row r="15" spans="1:6" x14ac:dyDescent="0.2">
      <c r="A15" s="27" t="s">
        <v>245</v>
      </c>
      <c r="B15" s="27" t="s">
        <v>244</v>
      </c>
      <c r="C15" s="27" t="s">
        <v>172</v>
      </c>
      <c r="D15" s="31">
        <v>1000000</v>
      </c>
      <c r="E15" s="29">
        <v>23941</v>
      </c>
      <c r="F15" s="30">
        <v>3.7038965668173298</v>
      </c>
    </row>
    <row r="16" spans="1:6" x14ac:dyDescent="0.2">
      <c r="A16" s="27" t="s">
        <v>518</v>
      </c>
      <c r="B16" s="27" t="s">
        <v>517</v>
      </c>
      <c r="C16" s="27" t="s">
        <v>133</v>
      </c>
      <c r="D16" s="31">
        <v>2450000</v>
      </c>
      <c r="E16" s="29">
        <v>22541.224999999999</v>
      </c>
      <c r="F16" s="30">
        <v>3.4873382853413402</v>
      </c>
    </row>
    <row r="17" spans="1:6" x14ac:dyDescent="0.2">
      <c r="A17" s="27" t="s">
        <v>151</v>
      </c>
      <c r="B17" s="27" t="s">
        <v>150</v>
      </c>
      <c r="C17" s="27" t="s">
        <v>130</v>
      </c>
      <c r="D17" s="31">
        <v>4700000</v>
      </c>
      <c r="E17" s="29">
        <v>20938.5</v>
      </c>
      <c r="F17" s="30">
        <v>3.2393817411263002</v>
      </c>
    </row>
    <row r="18" spans="1:6" x14ac:dyDescent="0.2">
      <c r="A18" s="27" t="s">
        <v>217</v>
      </c>
      <c r="B18" s="27" t="s">
        <v>216</v>
      </c>
      <c r="C18" s="27" t="s">
        <v>101</v>
      </c>
      <c r="D18" s="31">
        <v>20000000</v>
      </c>
      <c r="E18" s="29">
        <v>17490</v>
      </c>
      <c r="F18" s="30">
        <v>2.70586654499124</v>
      </c>
    </row>
    <row r="19" spans="1:6" x14ac:dyDescent="0.2">
      <c r="A19" s="27" t="s">
        <v>215</v>
      </c>
      <c r="B19" s="27" t="s">
        <v>214</v>
      </c>
      <c r="C19" s="27" t="s">
        <v>125</v>
      </c>
      <c r="D19" s="31">
        <v>12000000</v>
      </c>
      <c r="E19" s="29">
        <v>16746</v>
      </c>
      <c r="F19" s="30">
        <v>2.5907627880173401</v>
      </c>
    </row>
    <row r="20" spans="1:6" x14ac:dyDescent="0.2">
      <c r="A20" s="27" t="s">
        <v>211</v>
      </c>
      <c r="B20" s="27" t="s">
        <v>210</v>
      </c>
      <c r="C20" s="27" t="s">
        <v>130</v>
      </c>
      <c r="D20" s="31">
        <v>16000000</v>
      </c>
      <c r="E20" s="29">
        <v>16504</v>
      </c>
      <c r="F20" s="30">
        <v>2.5533231251306701</v>
      </c>
    </row>
    <row r="21" spans="1:6" x14ac:dyDescent="0.2">
      <c r="A21" s="27" t="s">
        <v>522</v>
      </c>
      <c r="B21" s="27" t="s">
        <v>521</v>
      </c>
      <c r="C21" s="27" t="s">
        <v>133</v>
      </c>
      <c r="D21" s="31">
        <v>1400000</v>
      </c>
      <c r="E21" s="29">
        <v>15503.6</v>
      </c>
      <c r="F21" s="30">
        <v>2.39855189061899</v>
      </c>
    </row>
    <row r="22" spans="1:6" x14ac:dyDescent="0.2">
      <c r="A22" s="27" t="s">
        <v>532</v>
      </c>
      <c r="B22" s="27" t="s">
        <v>531</v>
      </c>
      <c r="C22" s="27" t="s">
        <v>533</v>
      </c>
      <c r="D22" s="31">
        <v>1400000</v>
      </c>
      <c r="E22" s="29">
        <v>15380.4</v>
      </c>
      <c r="F22" s="30">
        <v>2.3794916986039598</v>
      </c>
    </row>
    <row r="23" spans="1:6" x14ac:dyDescent="0.2">
      <c r="A23" s="27" t="s">
        <v>524</v>
      </c>
      <c r="B23" s="27" t="s">
        <v>523</v>
      </c>
      <c r="C23" s="27" t="s">
        <v>304</v>
      </c>
      <c r="D23" s="31">
        <v>900000</v>
      </c>
      <c r="E23" s="29">
        <v>14826.15</v>
      </c>
      <c r="F23" s="30">
        <v>2.2937440409389298</v>
      </c>
    </row>
    <row r="24" spans="1:6" x14ac:dyDescent="0.2">
      <c r="A24" s="27" t="s">
        <v>256</v>
      </c>
      <c r="B24" s="27" t="s">
        <v>255</v>
      </c>
      <c r="C24" s="27" t="s">
        <v>122</v>
      </c>
      <c r="D24" s="31">
        <v>2200000</v>
      </c>
      <c r="E24" s="29">
        <v>14096.5</v>
      </c>
      <c r="F24" s="30">
        <v>2.1808603631486001</v>
      </c>
    </row>
    <row r="25" spans="1:6" x14ac:dyDescent="0.2">
      <c r="A25" s="27" t="s">
        <v>153</v>
      </c>
      <c r="B25" s="27" t="s">
        <v>152</v>
      </c>
      <c r="C25" s="27" t="s">
        <v>149</v>
      </c>
      <c r="D25" s="31">
        <v>350000</v>
      </c>
      <c r="E25" s="29">
        <v>13403.6</v>
      </c>
      <c r="F25" s="30">
        <v>2.0736622539991201</v>
      </c>
    </row>
    <row r="26" spans="1:6" x14ac:dyDescent="0.2">
      <c r="A26" s="27" t="s">
        <v>551</v>
      </c>
      <c r="B26" s="27" t="s">
        <v>550</v>
      </c>
      <c r="C26" s="27" t="s">
        <v>172</v>
      </c>
      <c r="D26" s="31">
        <v>175000</v>
      </c>
      <c r="E26" s="29">
        <v>13333.6</v>
      </c>
      <c r="F26" s="30">
        <v>2.06283259944512</v>
      </c>
    </row>
    <row r="27" spans="1:6" x14ac:dyDescent="0.2">
      <c r="A27" s="27" t="s">
        <v>171</v>
      </c>
      <c r="B27" s="27" t="s">
        <v>170</v>
      </c>
      <c r="C27" s="27" t="s">
        <v>172</v>
      </c>
      <c r="D27" s="31">
        <v>750000</v>
      </c>
      <c r="E27" s="29">
        <v>11635.125</v>
      </c>
      <c r="F27" s="30">
        <v>1.8000626348937201</v>
      </c>
    </row>
    <row r="28" spans="1:6" x14ac:dyDescent="0.2">
      <c r="A28" s="27" t="s">
        <v>464</v>
      </c>
      <c r="B28" s="27" t="s">
        <v>463</v>
      </c>
      <c r="C28" s="27" t="s">
        <v>413</v>
      </c>
      <c r="D28" s="31">
        <v>275000</v>
      </c>
      <c r="E28" s="29">
        <v>11096.25</v>
      </c>
      <c r="F28" s="30">
        <v>1.7166936334967999</v>
      </c>
    </row>
    <row r="29" spans="1:6" x14ac:dyDescent="0.2">
      <c r="A29" s="27" t="s">
        <v>132</v>
      </c>
      <c r="B29" s="27" t="s">
        <v>131</v>
      </c>
      <c r="C29" s="27" t="s">
        <v>133</v>
      </c>
      <c r="D29" s="31">
        <v>225000</v>
      </c>
      <c r="E29" s="29">
        <v>10600.2</v>
      </c>
      <c r="F29" s="30">
        <v>1.6399500600466601</v>
      </c>
    </row>
    <row r="30" spans="1:6" x14ac:dyDescent="0.2">
      <c r="A30" s="27" t="s">
        <v>141</v>
      </c>
      <c r="B30" s="27" t="s">
        <v>140</v>
      </c>
      <c r="C30" s="27" t="s">
        <v>142</v>
      </c>
      <c r="D30" s="31">
        <v>6000000</v>
      </c>
      <c r="E30" s="29">
        <v>10269</v>
      </c>
      <c r="F30" s="30">
        <v>1.5887103230711801</v>
      </c>
    </row>
    <row r="31" spans="1:6" x14ac:dyDescent="0.2">
      <c r="A31" s="27" t="s">
        <v>553</v>
      </c>
      <c r="B31" s="27" t="s">
        <v>552</v>
      </c>
      <c r="C31" s="27" t="s">
        <v>172</v>
      </c>
      <c r="D31" s="31">
        <v>1600000</v>
      </c>
      <c r="E31" s="29">
        <v>6578.4</v>
      </c>
      <c r="F31" s="30">
        <v>1.01773999311437</v>
      </c>
    </row>
    <row r="32" spans="1:6" x14ac:dyDescent="0.2">
      <c r="A32" s="27" t="s">
        <v>116</v>
      </c>
      <c r="B32" s="27" t="s">
        <v>115</v>
      </c>
      <c r="C32" s="27" t="s">
        <v>117</v>
      </c>
      <c r="D32" s="31">
        <v>1200000</v>
      </c>
      <c r="E32" s="29">
        <v>5337.6</v>
      </c>
      <c r="F32" s="30">
        <v>0.82577663067725704</v>
      </c>
    </row>
    <row r="33" spans="1:9" x14ac:dyDescent="0.2">
      <c r="A33" s="26" t="s">
        <v>35</v>
      </c>
      <c r="B33" s="26"/>
      <c r="C33" s="26"/>
      <c r="D33" s="32"/>
      <c r="E33" s="33">
        <f>SUM(E7:E32)</f>
        <v>581534.77862999996</v>
      </c>
      <c r="F33" s="34">
        <f>SUM(F7:F32)</f>
        <v>89.968868052818834</v>
      </c>
      <c r="G33" s="18"/>
      <c r="H33" s="18"/>
      <c r="I33" s="18"/>
    </row>
    <row r="34" spans="1:9" x14ac:dyDescent="0.2">
      <c r="A34" s="27"/>
      <c r="B34" s="27"/>
      <c r="C34" s="27"/>
      <c r="D34" s="28"/>
      <c r="E34" s="29"/>
      <c r="F34" s="30"/>
    </row>
    <row r="35" spans="1:9" x14ac:dyDescent="0.2">
      <c r="A35" s="26" t="s">
        <v>37</v>
      </c>
      <c r="B35" s="26"/>
      <c r="C35" s="26"/>
      <c r="D35" s="32"/>
      <c r="E35" s="33">
        <f>E33</f>
        <v>581534.77862999996</v>
      </c>
      <c r="F35" s="34">
        <f>F33</f>
        <v>89.968868052818834</v>
      </c>
      <c r="G35" s="18"/>
      <c r="H35" s="18"/>
      <c r="I35" s="18"/>
    </row>
    <row r="36" spans="1:9" x14ac:dyDescent="0.2">
      <c r="A36" s="26"/>
      <c r="B36" s="26"/>
      <c r="C36" s="26"/>
      <c r="D36" s="32"/>
      <c r="E36" s="33"/>
      <c r="F36" s="34"/>
      <c r="G36" s="18"/>
      <c r="H36" s="18"/>
      <c r="I36" s="18"/>
    </row>
    <row r="37" spans="1:9" x14ac:dyDescent="0.2">
      <c r="A37" s="26" t="s">
        <v>39</v>
      </c>
      <c r="B37" s="26"/>
      <c r="C37" s="26"/>
      <c r="D37" s="32"/>
      <c r="E37" s="33">
        <f>E39-(E33)</f>
        <v>64838.562744700001</v>
      </c>
      <c r="F37" s="34">
        <f>F39-(F33)</f>
        <v>10.031131947181166</v>
      </c>
      <c r="G37" s="18"/>
      <c r="H37" s="18"/>
      <c r="I37" s="18"/>
    </row>
    <row r="38" spans="1:9" x14ac:dyDescent="0.2">
      <c r="A38" s="26"/>
      <c r="B38" s="26"/>
      <c r="C38" s="26"/>
      <c r="D38" s="32"/>
      <c r="E38" s="33"/>
      <c r="F38" s="34"/>
      <c r="G38" s="18"/>
      <c r="H38" s="18"/>
      <c r="I38" s="18"/>
    </row>
    <row r="39" spans="1:9" x14ac:dyDescent="0.2">
      <c r="A39" s="35" t="s">
        <v>38</v>
      </c>
      <c r="B39" s="35"/>
      <c r="C39" s="35"/>
      <c r="D39" s="36"/>
      <c r="E39" s="37">
        <v>646373.34137469996</v>
      </c>
      <c r="F39" s="38">
        <v>100</v>
      </c>
      <c r="G39" s="18"/>
      <c r="H39" s="18"/>
      <c r="I39" s="18"/>
    </row>
    <row r="42" spans="1:9" x14ac:dyDescent="0.2">
      <c r="A42" s="18" t="s">
        <v>41</v>
      </c>
    </row>
    <row r="43" spans="1:9" x14ac:dyDescent="0.2">
      <c r="A43" s="18" t="s">
        <v>42</v>
      </c>
    </row>
    <row r="44" spans="1:9" x14ac:dyDescent="0.2">
      <c r="A44" s="18" t="s">
        <v>43</v>
      </c>
      <c r="B44" s="18"/>
      <c r="C44" s="39" t="s">
        <v>45</v>
      </c>
      <c r="D44" s="19" t="s">
        <v>44</v>
      </c>
    </row>
    <row r="45" spans="1:9" x14ac:dyDescent="0.2">
      <c r="A45" s="9" t="s">
        <v>68</v>
      </c>
      <c r="C45" s="40">
        <v>542.10950000000003</v>
      </c>
      <c r="D45" s="40">
        <v>663.35749999999996</v>
      </c>
    </row>
    <row r="46" spans="1:9" x14ac:dyDescent="0.2">
      <c r="A46" s="9" t="s">
        <v>74</v>
      </c>
      <c r="C46" s="40">
        <v>36.535499999999999</v>
      </c>
      <c r="D46" s="40">
        <v>44.707500000000003</v>
      </c>
    </row>
    <row r="47" spans="1:9" x14ac:dyDescent="0.2">
      <c r="A47" s="9" t="s">
        <v>71</v>
      </c>
      <c r="C47" s="40">
        <v>579.25390000000004</v>
      </c>
      <c r="D47" s="40">
        <v>711.37239999999997</v>
      </c>
    </row>
    <row r="48" spans="1:9" x14ac:dyDescent="0.2">
      <c r="A48" s="9" t="s">
        <v>75</v>
      </c>
      <c r="C48" s="40">
        <v>40.464300000000001</v>
      </c>
      <c r="D48" s="40">
        <v>49.693300000000001</v>
      </c>
    </row>
    <row r="50" spans="1:4" x14ac:dyDescent="0.2">
      <c r="A50" s="9" t="s">
        <v>46</v>
      </c>
    </row>
    <row r="52" spans="1:4" x14ac:dyDescent="0.2">
      <c r="A52" s="18" t="s">
        <v>47</v>
      </c>
      <c r="D52" s="41" t="s">
        <v>48</v>
      </c>
    </row>
    <row r="54" spans="1:4" x14ac:dyDescent="0.2">
      <c r="A54" s="18" t="s">
        <v>218</v>
      </c>
      <c r="D54" s="45">
        <v>9.69E-2</v>
      </c>
    </row>
    <row r="56" spans="1:4" x14ac:dyDescent="0.2">
      <c r="A56" s="18" t="s">
        <v>94</v>
      </c>
    </row>
    <row r="57" spans="1:4" x14ac:dyDescent="0.2">
      <c r="A57" s="50" t="s">
        <v>51</v>
      </c>
    </row>
  </sheetData>
  <mergeCells count="1">
    <mergeCell ref="A1:F1"/>
  </mergeCells>
  <conditionalFormatting sqref="F2:F3 F5:F65534">
    <cfRule type="cellIs" dxfId="15" priority="1" stopIfTrue="1" operator="between">
      <formula>0.009</formula>
      <formula>-0.009</formula>
    </cfRule>
  </conditionalFormatting>
  <hyperlinks>
    <hyperlink ref="A57" r:id="rId1"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57"/>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0" style="9" bestFit="1" customWidth="1"/>
    <col min="4" max="4" width="14.6640625" style="10" bestFit="1" customWidth="1"/>
    <col min="5" max="5" width="23" style="13" bestFit="1" customWidth="1"/>
    <col min="6" max="6" width="13.5546875" style="14" bestFit="1" customWidth="1"/>
    <col min="7" max="16384" width="9.109375" style="9"/>
  </cols>
  <sheetData>
    <row r="1" spans="1:6" s="1" customFormat="1" ht="13.8" x14ac:dyDescent="0.2">
      <c r="A1" s="72" t="s">
        <v>19</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135</v>
      </c>
      <c r="B7" s="27" t="s">
        <v>134</v>
      </c>
      <c r="C7" s="27" t="s">
        <v>101</v>
      </c>
      <c r="D7" s="31">
        <v>2500000</v>
      </c>
      <c r="E7" s="29">
        <v>10795</v>
      </c>
      <c r="F7" s="30">
        <v>10.1860867039816</v>
      </c>
    </row>
    <row r="8" spans="1:6" x14ac:dyDescent="0.2">
      <c r="A8" s="27" t="s">
        <v>105</v>
      </c>
      <c r="B8" s="27" t="s">
        <v>104</v>
      </c>
      <c r="C8" s="27" t="s">
        <v>101</v>
      </c>
      <c r="D8" s="31">
        <v>1500000</v>
      </c>
      <c r="E8" s="29">
        <v>10237.5</v>
      </c>
      <c r="F8" s="30">
        <v>9.6600335925902598</v>
      </c>
    </row>
    <row r="9" spans="1:6" x14ac:dyDescent="0.2">
      <c r="A9" s="27" t="s">
        <v>103</v>
      </c>
      <c r="B9" s="27" t="s">
        <v>102</v>
      </c>
      <c r="C9" s="27" t="s">
        <v>101</v>
      </c>
      <c r="D9" s="31">
        <v>1100000</v>
      </c>
      <c r="E9" s="29">
        <v>7797.9</v>
      </c>
      <c r="F9" s="30">
        <v>7.3580440490021601</v>
      </c>
    </row>
    <row r="10" spans="1:6" x14ac:dyDescent="0.2">
      <c r="A10" s="27" t="s">
        <v>110</v>
      </c>
      <c r="B10" s="27" t="s">
        <v>109</v>
      </c>
      <c r="C10" s="27" t="s">
        <v>111</v>
      </c>
      <c r="D10" s="31">
        <v>1000000</v>
      </c>
      <c r="E10" s="29">
        <v>5616.5</v>
      </c>
      <c r="F10" s="30">
        <v>5.2996902244476898</v>
      </c>
    </row>
    <row r="11" spans="1:6" x14ac:dyDescent="0.2">
      <c r="A11" s="27" t="s">
        <v>144</v>
      </c>
      <c r="B11" s="27" t="s">
        <v>143</v>
      </c>
      <c r="C11" s="27" t="s">
        <v>142</v>
      </c>
      <c r="D11" s="31">
        <v>4600000</v>
      </c>
      <c r="E11" s="29">
        <v>5437.2</v>
      </c>
      <c r="F11" s="30">
        <v>5.13050399508003</v>
      </c>
    </row>
    <row r="12" spans="1:6" x14ac:dyDescent="0.2">
      <c r="A12" s="27" t="s">
        <v>395</v>
      </c>
      <c r="B12" s="27" t="s">
        <v>394</v>
      </c>
      <c r="C12" s="27" t="s">
        <v>172</v>
      </c>
      <c r="D12" s="31">
        <v>675000</v>
      </c>
      <c r="E12" s="29">
        <v>4670.6625000000004</v>
      </c>
      <c r="F12" s="30">
        <v>4.4072045567425304</v>
      </c>
    </row>
    <row r="13" spans="1:6" x14ac:dyDescent="0.2">
      <c r="A13" s="27" t="s">
        <v>211</v>
      </c>
      <c r="B13" s="27" t="s">
        <v>210</v>
      </c>
      <c r="C13" s="27" t="s">
        <v>130</v>
      </c>
      <c r="D13" s="31">
        <v>4500000</v>
      </c>
      <c r="E13" s="29">
        <v>4641.75</v>
      </c>
      <c r="F13" s="30">
        <v>4.3799229234096098</v>
      </c>
    </row>
    <row r="14" spans="1:6" x14ac:dyDescent="0.2">
      <c r="A14" s="27" t="s">
        <v>151</v>
      </c>
      <c r="B14" s="27" t="s">
        <v>150</v>
      </c>
      <c r="C14" s="27" t="s">
        <v>130</v>
      </c>
      <c r="D14" s="31">
        <v>1000000</v>
      </c>
      <c r="E14" s="29">
        <v>4455</v>
      </c>
      <c r="F14" s="30">
        <v>4.2037069260063102</v>
      </c>
    </row>
    <row r="15" spans="1:6" x14ac:dyDescent="0.2">
      <c r="A15" s="27" t="s">
        <v>245</v>
      </c>
      <c r="B15" s="27" t="s">
        <v>244</v>
      </c>
      <c r="C15" s="27" t="s">
        <v>172</v>
      </c>
      <c r="D15" s="31">
        <v>175000</v>
      </c>
      <c r="E15" s="29">
        <v>4189.6750000000002</v>
      </c>
      <c r="F15" s="30">
        <v>3.9533481066701501</v>
      </c>
    </row>
    <row r="16" spans="1:6" x14ac:dyDescent="0.2">
      <c r="A16" s="27" t="s">
        <v>377</v>
      </c>
      <c r="B16" s="27" t="s">
        <v>376</v>
      </c>
      <c r="C16" s="27" t="s">
        <v>360</v>
      </c>
      <c r="D16" s="31">
        <v>700000</v>
      </c>
      <c r="E16" s="29">
        <v>4173.75</v>
      </c>
      <c r="F16" s="30">
        <v>3.9383213877483398</v>
      </c>
    </row>
    <row r="17" spans="1:6" x14ac:dyDescent="0.2">
      <c r="A17" s="27" t="s">
        <v>520</v>
      </c>
      <c r="B17" s="27" t="s">
        <v>519</v>
      </c>
      <c r="C17" s="27" t="s">
        <v>205</v>
      </c>
      <c r="D17" s="31">
        <v>575000</v>
      </c>
      <c r="E17" s="29">
        <v>4075.6</v>
      </c>
      <c r="F17" s="30">
        <v>3.84570773235271</v>
      </c>
    </row>
    <row r="18" spans="1:6" x14ac:dyDescent="0.2">
      <c r="A18" s="27" t="s">
        <v>191</v>
      </c>
      <c r="B18" s="27" t="s">
        <v>190</v>
      </c>
      <c r="C18" s="27" t="s">
        <v>192</v>
      </c>
      <c r="D18" s="31">
        <v>235000</v>
      </c>
      <c r="E18" s="29">
        <v>3763.4074999999998</v>
      </c>
      <c r="F18" s="30">
        <v>3.5511250669212302</v>
      </c>
    </row>
    <row r="19" spans="1:6" x14ac:dyDescent="0.2">
      <c r="A19" s="27" t="s">
        <v>530</v>
      </c>
      <c r="B19" s="27" t="s">
        <v>529</v>
      </c>
      <c r="C19" s="27" t="s">
        <v>114</v>
      </c>
      <c r="D19" s="31">
        <v>500000</v>
      </c>
      <c r="E19" s="29">
        <v>3541</v>
      </c>
      <c r="F19" s="30">
        <v>3.3412629012319499</v>
      </c>
    </row>
    <row r="20" spans="1:6" x14ac:dyDescent="0.2">
      <c r="A20" s="27" t="s">
        <v>215</v>
      </c>
      <c r="B20" s="27" t="s">
        <v>214</v>
      </c>
      <c r="C20" s="27" t="s">
        <v>125</v>
      </c>
      <c r="D20" s="31">
        <v>2400000</v>
      </c>
      <c r="E20" s="29">
        <v>3349.2</v>
      </c>
      <c r="F20" s="30">
        <v>3.1602817590528298</v>
      </c>
    </row>
    <row r="21" spans="1:6" x14ac:dyDescent="0.2">
      <c r="A21" s="27" t="s">
        <v>524</v>
      </c>
      <c r="B21" s="27" t="s">
        <v>523</v>
      </c>
      <c r="C21" s="27" t="s">
        <v>304</v>
      </c>
      <c r="D21" s="31">
        <v>175000</v>
      </c>
      <c r="E21" s="29">
        <v>2882.8625000000002</v>
      </c>
      <c r="F21" s="30">
        <v>2.72024894679548</v>
      </c>
    </row>
    <row r="22" spans="1:6" x14ac:dyDescent="0.2">
      <c r="A22" s="27" t="s">
        <v>241</v>
      </c>
      <c r="B22" s="27" t="s">
        <v>240</v>
      </c>
      <c r="C22" s="27" t="s">
        <v>205</v>
      </c>
      <c r="D22" s="31">
        <v>525000</v>
      </c>
      <c r="E22" s="29">
        <v>2740.5</v>
      </c>
      <c r="F22" s="30">
        <v>2.5859166847856998</v>
      </c>
    </row>
    <row r="23" spans="1:6" x14ac:dyDescent="0.2">
      <c r="A23" s="27" t="s">
        <v>555</v>
      </c>
      <c r="B23" s="27" t="s">
        <v>554</v>
      </c>
      <c r="C23" s="27" t="s">
        <v>360</v>
      </c>
      <c r="D23" s="31">
        <v>2000000</v>
      </c>
      <c r="E23" s="29">
        <v>2198</v>
      </c>
      <c r="F23" s="30">
        <v>2.0740174687680999</v>
      </c>
    </row>
    <row r="24" spans="1:6" x14ac:dyDescent="0.2">
      <c r="A24" s="27" t="s">
        <v>410</v>
      </c>
      <c r="B24" s="27" t="s">
        <v>409</v>
      </c>
      <c r="C24" s="27" t="s">
        <v>205</v>
      </c>
      <c r="D24" s="31">
        <v>250000</v>
      </c>
      <c r="E24" s="29">
        <v>1911.375</v>
      </c>
      <c r="F24" s="30">
        <v>1.80356011800119</v>
      </c>
    </row>
    <row r="25" spans="1:6" x14ac:dyDescent="0.2">
      <c r="A25" s="27" t="s">
        <v>528</v>
      </c>
      <c r="B25" s="27" t="s">
        <v>527</v>
      </c>
      <c r="C25" s="27" t="s">
        <v>360</v>
      </c>
      <c r="D25" s="31">
        <v>2100000</v>
      </c>
      <c r="E25" s="29">
        <v>1799.7</v>
      </c>
      <c r="F25" s="30">
        <v>1.6981843669435599</v>
      </c>
    </row>
    <row r="26" spans="1:6" x14ac:dyDescent="0.2">
      <c r="A26" s="27" t="s">
        <v>557</v>
      </c>
      <c r="B26" s="27" t="s">
        <v>556</v>
      </c>
      <c r="C26" s="27" t="s">
        <v>205</v>
      </c>
      <c r="D26" s="31">
        <v>1200000</v>
      </c>
      <c r="E26" s="29">
        <v>1679.4</v>
      </c>
      <c r="F26" s="30">
        <v>1.5846701260460201</v>
      </c>
    </row>
    <row r="27" spans="1:6" x14ac:dyDescent="0.2">
      <c r="A27" s="27" t="s">
        <v>559</v>
      </c>
      <c r="B27" s="27" t="s">
        <v>558</v>
      </c>
      <c r="C27" s="27" t="s">
        <v>304</v>
      </c>
      <c r="D27" s="31">
        <v>1500000</v>
      </c>
      <c r="E27" s="29">
        <v>1662</v>
      </c>
      <c r="F27" s="30">
        <v>1.5682516074124599</v>
      </c>
    </row>
    <row r="28" spans="1:6" x14ac:dyDescent="0.2">
      <c r="A28" s="27" t="s">
        <v>288</v>
      </c>
      <c r="B28" s="27" t="s">
        <v>287</v>
      </c>
      <c r="C28" s="27" t="s">
        <v>289</v>
      </c>
      <c r="D28" s="31">
        <v>1400000</v>
      </c>
      <c r="E28" s="29">
        <v>1614.2</v>
      </c>
      <c r="F28" s="30">
        <v>1.52314786082141</v>
      </c>
    </row>
    <row r="29" spans="1:6" x14ac:dyDescent="0.2">
      <c r="A29" s="27" t="s">
        <v>483</v>
      </c>
      <c r="B29" s="27" t="s">
        <v>482</v>
      </c>
      <c r="C29" s="27" t="s">
        <v>304</v>
      </c>
      <c r="D29" s="31">
        <v>200000</v>
      </c>
      <c r="E29" s="29">
        <v>1287.8</v>
      </c>
      <c r="F29" s="30">
        <v>1.2151590974884201</v>
      </c>
    </row>
    <row r="30" spans="1:6" x14ac:dyDescent="0.2">
      <c r="A30" s="27" t="s">
        <v>141</v>
      </c>
      <c r="B30" s="27" t="s">
        <v>140</v>
      </c>
      <c r="C30" s="27" t="s">
        <v>142</v>
      </c>
      <c r="D30" s="31">
        <v>666666</v>
      </c>
      <c r="E30" s="29">
        <v>1140.998859</v>
      </c>
      <c r="F30" s="30">
        <v>1.07663856479093</v>
      </c>
    </row>
    <row r="31" spans="1:6" x14ac:dyDescent="0.2">
      <c r="A31" s="27" t="s">
        <v>561</v>
      </c>
      <c r="B31" s="27" t="s">
        <v>560</v>
      </c>
      <c r="C31" s="27" t="s">
        <v>304</v>
      </c>
      <c r="D31" s="31">
        <v>400000</v>
      </c>
      <c r="E31" s="29">
        <v>1128</v>
      </c>
      <c r="F31" s="30">
        <v>1.06437293210665</v>
      </c>
    </row>
    <row r="32" spans="1:6" x14ac:dyDescent="0.2">
      <c r="A32" s="27" t="s">
        <v>563</v>
      </c>
      <c r="B32" s="27" t="s">
        <v>562</v>
      </c>
      <c r="C32" s="27" t="s">
        <v>533</v>
      </c>
      <c r="D32" s="31">
        <v>600000</v>
      </c>
      <c r="E32" s="29">
        <v>970.5</v>
      </c>
      <c r="F32" s="30">
        <v>0.91575703068218295</v>
      </c>
    </row>
    <row r="33" spans="1:9" x14ac:dyDescent="0.2">
      <c r="A33" s="26" t="s">
        <v>35</v>
      </c>
      <c r="B33" s="26"/>
      <c r="C33" s="26"/>
      <c r="D33" s="32"/>
      <c r="E33" s="33">
        <f>SUM(E7:E32)</f>
        <v>97759.481358999998</v>
      </c>
      <c r="F33" s="34">
        <f>SUM(F7:F32)</f>
        <v>92.245164729879519</v>
      </c>
      <c r="G33" s="18"/>
      <c r="H33" s="18"/>
      <c r="I33" s="18"/>
    </row>
    <row r="34" spans="1:9" x14ac:dyDescent="0.2">
      <c r="A34" s="27"/>
      <c r="B34" s="27"/>
      <c r="C34" s="27"/>
      <c r="D34" s="28"/>
      <c r="E34" s="29"/>
      <c r="F34" s="30"/>
    </row>
    <row r="35" spans="1:9" x14ac:dyDescent="0.2">
      <c r="A35" s="26" t="s">
        <v>37</v>
      </c>
      <c r="B35" s="26"/>
      <c r="C35" s="26"/>
      <c r="D35" s="32"/>
      <c r="E35" s="33">
        <f>E33</f>
        <v>97759.481358999998</v>
      </c>
      <c r="F35" s="34">
        <f>F33</f>
        <v>92.245164729879519</v>
      </c>
      <c r="G35" s="18"/>
      <c r="H35" s="18"/>
      <c r="I35" s="18"/>
    </row>
    <row r="36" spans="1:9" x14ac:dyDescent="0.2">
      <c r="A36" s="26"/>
      <c r="B36" s="26"/>
      <c r="C36" s="26"/>
      <c r="D36" s="32"/>
      <c r="E36" s="33"/>
      <c r="F36" s="34"/>
      <c r="G36" s="18"/>
      <c r="H36" s="18"/>
      <c r="I36" s="18"/>
    </row>
    <row r="37" spans="1:9" x14ac:dyDescent="0.2">
      <c r="A37" s="26" t="s">
        <v>39</v>
      </c>
      <c r="B37" s="26"/>
      <c r="C37" s="26"/>
      <c r="D37" s="32"/>
      <c r="E37" s="33">
        <f>E39-(E33)</f>
        <v>8218.4109731000062</v>
      </c>
      <c r="F37" s="34">
        <f>F39-(F33)</f>
        <v>7.7548352701204806</v>
      </c>
      <c r="G37" s="18"/>
      <c r="H37" s="18"/>
      <c r="I37" s="18"/>
    </row>
    <row r="38" spans="1:9" x14ac:dyDescent="0.2">
      <c r="A38" s="26"/>
      <c r="B38" s="26"/>
      <c r="C38" s="26"/>
      <c r="D38" s="32"/>
      <c r="E38" s="33"/>
      <c r="F38" s="34"/>
      <c r="G38" s="18"/>
      <c r="H38" s="18"/>
      <c r="I38" s="18"/>
    </row>
    <row r="39" spans="1:9" x14ac:dyDescent="0.2">
      <c r="A39" s="35" t="s">
        <v>38</v>
      </c>
      <c r="B39" s="35"/>
      <c r="C39" s="35"/>
      <c r="D39" s="36"/>
      <c r="E39" s="37">
        <v>105977.8923321</v>
      </c>
      <c r="F39" s="38">
        <v>100</v>
      </c>
      <c r="G39" s="18"/>
      <c r="H39" s="18"/>
      <c r="I39" s="18"/>
    </row>
    <row r="42" spans="1:9" x14ac:dyDescent="0.2">
      <c r="A42" s="18" t="s">
        <v>41</v>
      </c>
    </row>
    <row r="43" spans="1:9" x14ac:dyDescent="0.2">
      <c r="A43" s="18" t="s">
        <v>42</v>
      </c>
    </row>
    <row r="44" spans="1:9" x14ac:dyDescent="0.2">
      <c r="A44" s="18" t="s">
        <v>43</v>
      </c>
      <c r="B44" s="18"/>
      <c r="C44" s="39" t="s">
        <v>45</v>
      </c>
      <c r="D44" s="19" t="s">
        <v>44</v>
      </c>
    </row>
    <row r="45" spans="1:9" x14ac:dyDescent="0.2">
      <c r="A45" s="9" t="s">
        <v>68</v>
      </c>
      <c r="C45" s="40">
        <v>44.726700000000001</v>
      </c>
      <c r="D45" s="40">
        <v>58.813200000000002</v>
      </c>
    </row>
    <row r="46" spans="1:9" x14ac:dyDescent="0.2">
      <c r="A46" s="9" t="s">
        <v>74</v>
      </c>
      <c r="C46" s="40">
        <v>19.624500000000001</v>
      </c>
      <c r="D46" s="40">
        <v>25.805199999999999</v>
      </c>
    </row>
    <row r="47" spans="1:9" x14ac:dyDescent="0.2">
      <c r="A47" s="9" t="s">
        <v>71</v>
      </c>
      <c r="C47" s="40">
        <v>49.115000000000002</v>
      </c>
      <c r="D47" s="40">
        <v>64.909499999999994</v>
      </c>
    </row>
    <row r="48" spans="1:9" x14ac:dyDescent="0.2">
      <c r="A48" s="9" t="s">
        <v>75</v>
      </c>
      <c r="C48" s="40">
        <v>22.487500000000001</v>
      </c>
      <c r="D48" s="40">
        <v>29.718299999999999</v>
      </c>
    </row>
    <row r="50" spans="1:4" x14ac:dyDescent="0.2">
      <c r="A50" s="9" t="s">
        <v>46</v>
      </c>
    </row>
    <row r="52" spans="1:4" x14ac:dyDescent="0.2">
      <c r="A52" s="18" t="s">
        <v>47</v>
      </c>
      <c r="D52" s="41" t="s">
        <v>48</v>
      </c>
    </row>
    <row r="54" spans="1:4" x14ac:dyDescent="0.2">
      <c r="A54" s="18" t="s">
        <v>218</v>
      </c>
      <c r="D54" s="45">
        <v>1.47E-2</v>
      </c>
    </row>
    <row r="56" spans="1:4" x14ac:dyDescent="0.2">
      <c r="A56" s="18" t="s">
        <v>94</v>
      </c>
    </row>
    <row r="57" spans="1:4" x14ac:dyDescent="0.2">
      <c r="A57" s="50" t="s">
        <v>51</v>
      </c>
    </row>
  </sheetData>
  <mergeCells count="1">
    <mergeCell ref="A1:F1"/>
  </mergeCells>
  <conditionalFormatting sqref="F2:F3 F5:F65534">
    <cfRule type="cellIs" dxfId="14" priority="1" stopIfTrue="1" operator="between">
      <formula>0.009</formula>
      <formula>-0.009</formula>
    </cfRule>
  </conditionalFormatting>
  <hyperlinks>
    <hyperlink ref="A57"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95"/>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35.6640625" style="9" bestFit="1" customWidth="1"/>
    <col min="4" max="4" width="14.6640625" style="10" bestFit="1" customWidth="1"/>
    <col min="5" max="5" width="23" style="13" bestFit="1" customWidth="1"/>
    <col min="6" max="6" width="14.6640625" style="14" bestFit="1" customWidth="1"/>
    <col min="7" max="16384" width="9.109375" style="9"/>
  </cols>
  <sheetData>
    <row r="1" spans="1:6" s="1" customFormat="1" ht="13.8" x14ac:dyDescent="0.2">
      <c r="A1" s="72" t="s">
        <v>20</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105</v>
      </c>
      <c r="B7" s="27" t="s">
        <v>104</v>
      </c>
      <c r="C7" s="27" t="s">
        <v>101</v>
      </c>
      <c r="D7" s="31">
        <v>114959</v>
      </c>
      <c r="E7" s="29">
        <v>784.59517500000004</v>
      </c>
      <c r="F7" s="30">
        <v>2.7368369483868999</v>
      </c>
    </row>
    <row r="8" spans="1:6" x14ac:dyDescent="0.2">
      <c r="A8" s="27" t="s">
        <v>100</v>
      </c>
      <c r="B8" s="27" t="s">
        <v>99</v>
      </c>
      <c r="C8" s="27" t="s">
        <v>101</v>
      </c>
      <c r="D8" s="31">
        <v>39897</v>
      </c>
      <c r="E8" s="29">
        <v>569.11075649999998</v>
      </c>
      <c r="F8" s="30">
        <v>1.98518088785547</v>
      </c>
    </row>
    <row r="9" spans="1:6" x14ac:dyDescent="0.2">
      <c r="A9" s="27" t="s">
        <v>119</v>
      </c>
      <c r="B9" s="27" t="s">
        <v>118</v>
      </c>
      <c r="C9" s="27" t="s">
        <v>101</v>
      </c>
      <c r="D9" s="31">
        <v>26999</v>
      </c>
      <c r="E9" s="29">
        <v>446.77945199999999</v>
      </c>
      <c r="F9" s="30">
        <v>1.5584629513094499</v>
      </c>
    </row>
    <row r="10" spans="1:6" x14ac:dyDescent="0.2">
      <c r="A10" s="27" t="s">
        <v>191</v>
      </c>
      <c r="B10" s="27" t="s">
        <v>190</v>
      </c>
      <c r="C10" s="27" t="s">
        <v>192</v>
      </c>
      <c r="D10" s="31">
        <v>27303</v>
      </c>
      <c r="E10" s="29">
        <v>437.24389350000001</v>
      </c>
      <c r="F10" s="30">
        <v>1.52520086959156</v>
      </c>
    </row>
    <row r="11" spans="1:6" x14ac:dyDescent="0.2">
      <c r="A11" s="27" t="s">
        <v>201</v>
      </c>
      <c r="B11" s="27" t="s">
        <v>200</v>
      </c>
      <c r="C11" s="27" t="s">
        <v>202</v>
      </c>
      <c r="D11" s="31">
        <v>235400</v>
      </c>
      <c r="E11" s="29">
        <v>341.56540000000001</v>
      </c>
      <c r="F11" s="30">
        <v>1.19145367802007</v>
      </c>
    </row>
    <row r="12" spans="1:6" x14ac:dyDescent="0.2">
      <c r="A12" s="27" t="s">
        <v>565</v>
      </c>
      <c r="B12" s="27" t="s">
        <v>564</v>
      </c>
      <c r="C12" s="27" t="s">
        <v>360</v>
      </c>
      <c r="D12" s="31">
        <v>20861</v>
      </c>
      <c r="E12" s="29">
        <v>334.2662335</v>
      </c>
      <c r="F12" s="30">
        <v>1.16599261324915</v>
      </c>
    </row>
    <row r="13" spans="1:6" x14ac:dyDescent="0.2">
      <c r="A13" s="27" t="s">
        <v>116</v>
      </c>
      <c r="B13" s="27" t="s">
        <v>115</v>
      </c>
      <c r="C13" s="27" t="s">
        <v>117</v>
      </c>
      <c r="D13" s="31">
        <v>72567</v>
      </c>
      <c r="E13" s="29">
        <v>322.77801599999998</v>
      </c>
      <c r="F13" s="30">
        <v>1.12591923639578</v>
      </c>
    </row>
    <row r="14" spans="1:6" x14ac:dyDescent="0.2">
      <c r="A14" s="27" t="s">
        <v>567</v>
      </c>
      <c r="B14" s="27" t="s">
        <v>566</v>
      </c>
      <c r="C14" s="27" t="s">
        <v>398</v>
      </c>
      <c r="D14" s="31">
        <v>32972</v>
      </c>
      <c r="E14" s="29">
        <v>310.958932</v>
      </c>
      <c r="F14" s="30">
        <v>1.0846917259318201</v>
      </c>
    </row>
    <row r="15" spans="1:6" x14ac:dyDescent="0.2">
      <c r="A15" s="27" t="s">
        <v>275</v>
      </c>
      <c r="B15" s="27" t="s">
        <v>274</v>
      </c>
      <c r="C15" s="27" t="s">
        <v>122</v>
      </c>
      <c r="D15" s="31">
        <v>40295</v>
      </c>
      <c r="E15" s="29">
        <v>304.73093749999998</v>
      </c>
      <c r="F15" s="30">
        <v>1.0629671397948399</v>
      </c>
    </row>
    <row r="16" spans="1:6" x14ac:dyDescent="0.2">
      <c r="A16" s="27" t="s">
        <v>472</v>
      </c>
      <c r="B16" s="27" t="s">
        <v>471</v>
      </c>
      <c r="C16" s="27" t="s">
        <v>156</v>
      </c>
      <c r="D16" s="31">
        <v>31095</v>
      </c>
      <c r="E16" s="29">
        <v>286.97575499999999</v>
      </c>
      <c r="F16" s="30">
        <v>1.0010332393074199</v>
      </c>
    </row>
    <row r="17" spans="1:9" x14ac:dyDescent="0.2">
      <c r="A17" s="27" t="s">
        <v>256</v>
      </c>
      <c r="B17" s="27" t="s">
        <v>255</v>
      </c>
      <c r="C17" s="27" t="s">
        <v>122</v>
      </c>
      <c r="D17" s="31">
        <v>31928</v>
      </c>
      <c r="E17" s="29">
        <v>204.57866000000001</v>
      </c>
      <c r="F17" s="30">
        <v>0.71361442611405401</v>
      </c>
    </row>
    <row r="18" spans="1:9" x14ac:dyDescent="0.2">
      <c r="A18" s="27" t="s">
        <v>468</v>
      </c>
      <c r="B18" s="27" t="s">
        <v>467</v>
      </c>
      <c r="C18" s="27" t="s">
        <v>360</v>
      </c>
      <c r="D18" s="31">
        <v>27579</v>
      </c>
      <c r="E18" s="29">
        <v>185.44119599999999</v>
      </c>
      <c r="F18" s="30">
        <v>0.64685883005316303</v>
      </c>
    </row>
    <row r="19" spans="1:9" x14ac:dyDescent="0.2">
      <c r="A19" s="27" t="s">
        <v>464</v>
      </c>
      <c r="B19" s="27" t="s">
        <v>463</v>
      </c>
      <c r="C19" s="27" t="s">
        <v>413</v>
      </c>
      <c r="D19" s="31">
        <v>4528</v>
      </c>
      <c r="E19" s="29">
        <v>182.70480000000001</v>
      </c>
      <c r="F19" s="30">
        <v>0.63731369146851902</v>
      </c>
    </row>
    <row r="20" spans="1:9" x14ac:dyDescent="0.2">
      <c r="A20" s="27" t="s">
        <v>311</v>
      </c>
      <c r="B20" s="27" t="s">
        <v>310</v>
      </c>
      <c r="C20" s="27" t="s">
        <v>156</v>
      </c>
      <c r="D20" s="31">
        <v>2435</v>
      </c>
      <c r="E20" s="29">
        <v>126.98038</v>
      </c>
      <c r="F20" s="30">
        <v>0.44293491315978201</v>
      </c>
    </row>
    <row r="21" spans="1:9" x14ac:dyDescent="0.2">
      <c r="A21" s="27" t="s">
        <v>313</v>
      </c>
      <c r="B21" s="27" t="s">
        <v>312</v>
      </c>
      <c r="C21" s="27" t="s">
        <v>156</v>
      </c>
      <c r="D21" s="31">
        <v>21507</v>
      </c>
      <c r="E21" s="29">
        <v>28.711845</v>
      </c>
      <c r="F21" s="30">
        <v>0.10015309901996</v>
      </c>
    </row>
    <row r="22" spans="1:9" x14ac:dyDescent="0.2">
      <c r="A22" s="26" t="s">
        <v>35</v>
      </c>
      <c r="B22" s="26"/>
      <c r="C22" s="26"/>
      <c r="D22" s="32"/>
      <c r="E22" s="33">
        <f>SUM(E7:E21)</f>
        <v>4867.421432000001</v>
      </c>
      <c r="F22" s="34">
        <f>SUM(F7:F21)</f>
        <v>16.978614249657937</v>
      </c>
      <c r="G22" s="18"/>
      <c r="H22" s="18"/>
      <c r="I22" s="18"/>
    </row>
    <row r="23" spans="1:9" x14ac:dyDescent="0.2">
      <c r="A23" s="27"/>
      <c r="B23" s="27"/>
      <c r="C23" s="27"/>
      <c r="D23" s="28"/>
      <c r="E23" s="29"/>
      <c r="F23" s="30"/>
    </row>
    <row r="24" spans="1:9" x14ac:dyDescent="0.2">
      <c r="A24" s="26" t="s">
        <v>292</v>
      </c>
      <c r="B24" s="27"/>
      <c r="C24" s="27"/>
      <c r="D24" s="28"/>
      <c r="E24" s="29"/>
      <c r="F24" s="30"/>
    </row>
    <row r="25" spans="1:9" x14ac:dyDescent="0.2">
      <c r="A25" s="27" t="s">
        <v>325</v>
      </c>
      <c r="B25" s="27" t="s">
        <v>324</v>
      </c>
      <c r="C25" s="27" t="s">
        <v>307</v>
      </c>
      <c r="D25" s="31">
        <v>177714</v>
      </c>
      <c r="E25" s="29">
        <v>2745.359762</v>
      </c>
      <c r="F25" s="30">
        <v>9.5764061170223993</v>
      </c>
    </row>
    <row r="26" spans="1:9" x14ac:dyDescent="0.2">
      <c r="A26" s="27" t="s">
        <v>337</v>
      </c>
      <c r="B26" s="27" t="s">
        <v>336</v>
      </c>
      <c r="C26" s="27" t="s">
        <v>307</v>
      </c>
      <c r="D26" s="31">
        <v>53064</v>
      </c>
      <c r="E26" s="29">
        <v>2699.19992</v>
      </c>
      <c r="F26" s="30">
        <v>9.4153906466974604</v>
      </c>
    </row>
    <row r="27" spans="1:9" x14ac:dyDescent="0.2">
      <c r="A27" s="27" t="s">
        <v>569</v>
      </c>
      <c r="B27" s="27" t="s">
        <v>568</v>
      </c>
      <c r="C27" s="27" t="s">
        <v>98</v>
      </c>
      <c r="D27" s="31">
        <v>44900</v>
      </c>
      <c r="E27" s="29">
        <v>2059.3184890000002</v>
      </c>
      <c r="F27" s="30">
        <v>7.1833464043307096</v>
      </c>
    </row>
    <row r="28" spans="1:9" x14ac:dyDescent="0.2">
      <c r="A28" s="27" t="s">
        <v>347</v>
      </c>
      <c r="B28" s="27" t="s">
        <v>346</v>
      </c>
      <c r="C28" s="27" t="s">
        <v>156</v>
      </c>
      <c r="D28" s="31">
        <v>95604</v>
      </c>
      <c r="E28" s="29">
        <v>1730.133167</v>
      </c>
      <c r="F28" s="30">
        <v>6.0350771046676899</v>
      </c>
    </row>
    <row r="29" spans="1:9" x14ac:dyDescent="0.2">
      <c r="A29" s="27" t="s">
        <v>571</v>
      </c>
      <c r="B29" s="27" t="s">
        <v>570</v>
      </c>
      <c r="C29" s="27" t="s">
        <v>185</v>
      </c>
      <c r="D29" s="31">
        <v>144124</v>
      </c>
      <c r="E29" s="29">
        <v>1284.776701</v>
      </c>
      <c r="F29" s="30">
        <v>4.4815778349942397</v>
      </c>
    </row>
    <row r="30" spans="1:9" x14ac:dyDescent="0.2">
      <c r="A30" s="27" t="s">
        <v>573</v>
      </c>
      <c r="B30" s="27" t="s">
        <v>572</v>
      </c>
      <c r="C30" s="27" t="s">
        <v>98</v>
      </c>
      <c r="D30" s="31">
        <v>3076</v>
      </c>
      <c r="E30" s="29">
        <v>864.05391899999995</v>
      </c>
      <c r="F30" s="30">
        <v>3.0140061604606498</v>
      </c>
    </row>
    <row r="31" spans="1:9" x14ac:dyDescent="0.2">
      <c r="A31" s="27" t="s">
        <v>575</v>
      </c>
      <c r="B31" s="27" t="s">
        <v>574</v>
      </c>
      <c r="C31" s="27" t="s">
        <v>101</v>
      </c>
      <c r="D31" s="31">
        <v>106500</v>
      </c>
      <c r="E31" s="29">
        <v>603.68860549999999</v>
      </c>
      <c r="F31" s="30">
        <v>2.1057958721866501</v>
      </c>
    </row>
    <row r="32" spans="1:9" x14ac:dyDescent="0.2">
      <c r="A32" s="27" t="s">
        <v>577</v>
      </c>
      <c r="B32" s="27" t="s">
        <v>576</v>
      </c>
      <c r="C32" s="27" t="s">
        <v>185</v>
      </c>
      <c r="D32" s="31">
        <v>82810</v>
      </c>
      <c r="E32" s="29">
        <v>540.36885400000006</v>
      </c>
      <c r="F32" s="30">
        <v>1.8849229418020399</v>
      </c>
    </row>
    <row r="33" spans="1:6" x14ac:dyDescent="0.2">
      <c r="A33" s="27" t="s">
        <v>579</v>
      </c>
      <c r="B33" s="27" t="s">
        <v>578</v>
      </c>
      <c r="C33" s="27" t="s">
        <v>101</v>
      </c>
      <c r="D33" s="31">
        <v>347029</v>
      </c>
      <c r="E33" s="29">
        <v>533.00001150000003</v>
      </c>
      <c r="F33" s="30">
        <v>1.85921883213702</v>
      </c>
    </row>
    <row r="34" spans="1:6" x14ac:dyDescent="0.2">
      <c r="A34" s="27" t="s">
        <v>581</v>
      </c>
      <c r="B34" s="27" t="s">
        <v>580</v>
      </c>
      <c r="C34" s="27" t="s">
        <v>284</v>
      </c>
      <c r="D34" s="31">
        <v>902</v>
      </c>
      <c r="E34" s="29">
        <v>492.1347596</v>
      </c>
      <c r="F34" s="30">
        <v>1.7166720323748901</v>
      </c>
    </row>
    <row r="35" spans="1:6" x14ac:dyDescent="0.2">
      <c r="A35" s="27" t="s">
        <v>333</v>
      </c>
      <c r="B35" s="27" t="s">
        <v>332</v>
      </c>
      <c r="C35" s="27" t="s">
        <v>307</v>
      </c>
      <c r="D35" s="31">
        <v>19000</v>
      </c>
      <c r="E35" s="29">
        <v>460.51589180000002</v>
      </c>
      <c r="F35" s="30">
        <v>1.6063786117440499</v>
      </c>
    </row>
    <row r="36" spans="1:6" x14ac:dyDescent="0.2">
      <c r="A36" s="27" t="s">
        <v>583</v>
      </c>
      <c r="B36" s="27" t="s">
        <v>582</v>
      </c>
      <c r="C36" s="27" t="s">
        <v>122</v>
      </c>
      <c r="D36" s="31">
        <v>112000</v>
      </c>
      <c r="E36" s="29">
        <v>452.01959920000002</v>
      </c>
      <c r="F36" s="30">
        <v>1.5767417133117001</v>
      </c>
    </row>
    <row r="37" spans="1:6" x14ac:dyDescent="0.2">
      <c r="A37" s="27" t="s">
        <v>585</v>
      </c>
      <c r="B37" s="27" t="s">
        <v>584</v>
      </c>
      <c r="C37" s="27" t="s">
        <v>301</v>
      </c>
      <c r="D37" s="31">
        <v>43260</v>
      </c>
      <c r="E37" s="29">
        <v>428.26206389999999</v>
      </c>
      <c r="F37" s="30">
        <v>1.49387031353328</v>
      </c>
    </row>
    <row r="38" spans="1:6" x14ac:dyDescent="0.2">
      <c r="A38" s="27" t="s">
        <v>587</v>
      </c>
      <c r="B38" s="27" t="s">
        <v>586</v>
      </c>
      <c r="C38" s="27" t="s">
        <v>98</v>
      </c>
      <c r="D38" s="31">
        <v>15550</v>
      </c>
      <c r="E38" s="29">
        <v>411.83593009999998</v>
      </c>
      <c r="F38" s="30">
        <v>1.43657242114822</v>
      </c>
    </row>
    <row r="39" spans="1:6" x14ac:dyDescent="0.2">
      <c r="A39" s="27" t="s">
        <v>589</v>
      </c>
      <c r="B39" s="27" t="s">
        <v>588</v>
      </c>
      <c r="C39" s="27" t="s">
        <v>98</v>
      </c>
      <c r="D39" s="31">
        <v>1900</v>
      </c>
      <c r="E39" s="29">
        <v>402.97136389999997</v>
      </c>
      <c r="F39" s="30">
        <v>1.4056509050841199</v>
      </c>
    </row>
    <row r="40" spans="1:6" x14ac:dyDescent="0.2">
      <c r="A40" s="27" t="s">
        <v>591</v>
      </c>
      <c r="B40" s="27" t="s">
        <v>590</v>
      </c>
      <c r="C40" s="27" t="s">
        <v>114</v>
      </c>
      <c r="D40" s="31">
        <v>55000</v>
      </c>
      <c r="E40" s="29">
        <v>402.47010260000002</v>
      </c>
      <c r="F40" s="30">
        <v>1.4039023977132501</v>
      </c>
    </row>
    <row r="41" spans="1:6" x14ac:dyDescent="0.2">
      <c r="A41" s="27" t="s">
        <v>593</v>
      </c>
      <c r="B41" s="27" t="s">
        <v>592</v>
      </c>
      <c r="C41" s="27" t="s">
        <v>156</v>
      </c>
      <c r="D41" s="31">
        <v>29521</v>
      </c>
      <c r="E41" s="29">
        <v>392.62231079999998</v>
      </c>
      <c r="F41" s="30">
        <v>1.3695511789993899</v>
      </c>
    </row>
    <row r="42" spans="1:6" x14ac:dyDescent="0.2">
      <c r="A42" s="27" t="s">
        <v>595</v>
      </c>
      <c r="B42" s="27" t="s">
        <v>594</v>
      </c>
      <c r="C42" s="27" t="s">
        <v>122</v>
      </c>
      <c r="D42" s="31">
        <v>2000</v>
      </c>
      <c r="E42" s="29">
        <v>386.90730309999998</v>
      </c>
      <c r="F42" s="30">
        <v>1.34961600130259</v>
      </c>
    </row>
    <row r="43" spans="1:6" x14ac:dyDescent="0.2">
      <c r="A43" s="27" t="s">
        <v>597</v>
      </c>
      <c r="B43" s="27" t="s">
        <v>596</v>
      </c>
      <c r="C43" s="27" t="s">
        <v>307</v>
      </c>
      <c r="D43" s="31">
        <v>5116</v>
      </c>
      <c r="E43" s="29">
        <v>372.94816070000002</v>
      </c>
      <c r="F43" s="30">
        <v>1.3009235062358</v>
      </c>
    </row>
    <row r="44" spans="1:6" x14ac:dyDescent="0.2">
      <c r="A44" s="27" t="s">
        <v>599</v>
      </c>
      <c r="B44" s="27" t="s">
        <v>598</v>
      </c>
      <c r="C44" s="27" t="s">
        <v>122</v>
      </c>
      <c r="D44" s="31">
        <v>7700</v>
      </c>
      <c r="E44" s="29">
        <v>357.54919200000001</v>
      </c>
      <c r="F44" s="30">
        <v>1.24720858693973</v>
      </c>
    </row>
    <row r="45" spans="1:6" x14ac:dyDescent="0.2">
      <c r="A45" s="27" t="s">
        <v>601</v>
      </c>
      <c r="B45" s="27" t="s">
        <v>600</v>
      </c>
      <c r="C45" s="27" t="s">
        <v>227</v>
      </c>
      <c r="D45" s="31">
        <v>57000</v>
      </c>
      <c r="E45" s="29">
        <v>344.11342070000001</v>
      </c>
      <c r="F45" s="30">
        <v>1.20034172298799</v>
      </c>
    </row>
    <row r="46" spans="1:6" x14ac:dyDescent="0.2">
      <c r="A46" s="27" t="s">
        <v>603</v>
      </c>
      <c r="B46" s="27" t="s">
        <v>602</v>
      </c>
      <c r="C46" s="27" t="s">
        <v>604</v>
      </c>
      <c r="D46" s="31">
        <v>57650</v>
      </c>
      <c r="E46" s="29">
        <v>337.96773130000003</v>
      </c>
      <c r="F46" s="30">
        <v>1.1789042347658301</v>
      </c>
    </row>
    <row r="47" spans="1:6" x14ac:dyDescent="0.2">
      <c r="A47" s="27" t="s">
        <v>606</v>
      </c>
      <c r="B47" s="27" t="s">
        <v>605</v>
      </c>
      <c r="C47" s="27" t="s">
        <v>360</v>
      </c>
      <c r="D47" s="31">
        <v>132000</v>
      </c>
      <c r="E47" s="29">
        <v>328.61618040000002</v>
      </c>
      <c r="F47" s="30">
        <v>1.1462840111864001</v>
      </c>
    </row>
    <row r="48" spans="1:6" x14ac:dyDescent="0.2">
      <c r="A48" s="27" t="s">
        <v>608</v>
      </c>
      <c r="B48" s="27" t="s">
        <v>607</v>
      </c>
      <c r="C48" s="27" t="s">
        <v>156</v>
      </c>
      <c r="D48" s="31">
        <v>15200</v>
      </c>
      <c r="E48" s="29">
        <v>312.91307619999998</v>
      </c>
      <c r="F48" s="30">
        <v>1.0915082017647699</v>
      </c>
    </row>
    <row r="49" spans="1:6" x14ac:dyDescent="0.2">
      <c r="A49" s="27" t="s">
        <v>610</v>
      </c>
      <c r="B49" s="27" t="s">
        <v>609</v>
      </c>
      <c r="C49" s="27" t="s">
        <v>122</v>
      </c>
      <c r="D49" s="31">
        <v>144400</v>
      </c>
      <c r="E49" s="29">
        <v>300.03270070000002</v>
      </c>
      <c r="F49" s="30">
        <v>1.04657867797883</v>
      </c>
    </row>
    <row r="50" spans="1:6" x14ac:dyDescent="0.2">
      <c r="A50" s="27" t="s">
        <v>612</v>
      </c>
      <c r="B50" s="27" t="s">
        <v>611</v>
      </c>
      <c r="C50" s="27" t="s">
        <v>101</v>
      </c>
      <c r="D50" s="31">
        <v>17400</v>
      </c>
      <c r="E50" s="29">
        <v>291.16357900000003</v>
      </c>
      <c r="F50" s="30">
        <v>1.0156412713496099</v>
      </c>
    </row>
    <row r="51" spans="1:6" x14ac:dyDescent="0.2">
      <c r="A51" s="27" t="s">
        <v>614</v>
      </c>
      <c r="B51" s="27" t="s">
        <v>613</v>
      </c>
      <c r="C51" s="27" t="s">
        <v>172</v>
      </c>
      <c r="D51" s="31">
        <v>662300</v>
      </c>
      <c r="E51" s="29">
        <v>262.39925299999999</v>
      </c>
      <c r="F51" s="30">
        <v>0.91530510729883297</v>
      </c>
    </row>
    <row r="52" spans="1:6" x14ac:dyDescent="0.2">
      <c r="A52" s="27" t="s">
        <v>616</v>
      </c>
      <c r="B52" s="27" t="s">
        <v>615</v>
      </c>
      <c r="C52" s="27" t="s">
        <v>185</v>
      </c>
      <c r="D52" s="31">
        <v>19235</v>
      </c>
      <c r="E52" s="29">
        <v>260.69986280000001</v>
      </c>
      <c r="F52" s="30">
        <v>0.90937726828416299</v>
      </c>
    </row>
    <row r="53" spans="1:6" x14ac:dyDescent="0.2">
      <c r="A53" s="27" t="s">
        <v>618</v>
      </c>
      <c r="B53" s="27" t="s">
        <v>617</v>
      </c>
      <c r="C53" s="27" t="s">
        <v>172</v>
      </c>
      <c r="D53" s="31">
        <v>27012</v>
      </c>
      <c r="E53" s="29">
        <v>253.21179480000001</v>
      </c>
      <c r="F53" s="30">
        <v>0.88325727439759105</v>
      </c>
    </row>
    <row r="54" spans="1:6" x14ac:dyDescent="0.2">
      <c r="A54" s="27" t="s">
        <v>620</v>
      </c>
      <c r="B54" s="27" t="s">
        <v>619</v>
      </c>
      <c r="C54" s="27" t="s">
        <v>172</v>
      </c>
      <c r="D54" s="31">
        <v>510800</v>
      </c>
      <c r="E54" s="29">
        <v>231.2867081</v>
      </c>
      <c r="F54" s="30">
        <v>0.80677784998977997</v>
      </c>
    </row>
    <row r="55" spans="1:6" x14ac:dyDescent="0.2">
      <c r="A55" s="27" t="s">
        <v>622</v>
      </c>
      <c r="B55" s="27" t="s">
        <v>621</v>
      </c>
      <c r="C55" s="27" t="s">
        <v>284</v>
      </c>
      <c r="D55" s="31">
        <v>19500</v>
      </c>
      <c r="E55" s="29">
        <v>226.79147939999999</v>
      </c>
      <c r="F55" s="30">
        <v>0.79109752414835599</v>
      </c>
    </row>
    <row r="56" spans="1:6" x14ac:dyDescent="0.2">
      <c r="A56" s="27" t="s">
        <v>323</v>
      </c>
      <c r="B56" s="27" t="s">
        <v>322</v>
      </c>
      <c r="C56" s="27" t="s">
        <v>98</v>
      </c>
      <c r="D56" s="31">
        <v>9800</v>
      </c>
      <c r="E56" s="29">
        <v>218.63424660000001</v>
      </c>
      <c r="F56" s="30">
        <v>0.762643339321597</v>
      </c>
    </row>
    <row r="57" spans="1:6" x14ac:dyDescent="0.2">
      <c r="A57" s="27" t="s">
        <v>624</v>
      </c>
      <c r="B57" s="27" t="s">
        <v>623</v>
      </c>
      <c r="C57" s="27" t="s">
        <v>625</v>
      </c>
      <c r="D57" s="31">
        <v>308946</v>
      </c>
      <c r="E57" s="29">
        <v>208.1116518</v>
      </c>
      <c r="F57" s="30">
        <v>0.72593826241165504</v>
      </c>
    </row>
    <row r="58" spans="1:6" x14ac:dyDescent="0.2">
      <c r="A58" s="27" t="s">
        <v>627</v>
      </c>
      <c r="B58" s="27" t="s">
        <v>626</v>
      </c>
      <c r="C58" s="27" t="s">
        <v>304</v>
      </c>
      <c r="D58" s="31">
        <v>9838</v>
      </c>
      <c r="E58" s="29">
        <v>203.08308919999999</v>
      </c>
      <c r="F58" s="30">
        <v>0.70839755306309704</v>
      </c>
    </row>
    <row r="59" spans="1:6" x14ac:dyDescent="0.2">
      <c r="A59" s="27" t="s">
        <v>629</v>
      </c>
      <c r="B59" s="27" t="s">
        <v>628</v>
      </c>
      <c r="C59" s="27" t="s">
        <v>172</v>
      </c>
      <c r="D59" s="31">
        <v>306000</v>
      </c>
      <c r="E59" s="29">
        <v>187.81104110000001</v>
      </c>
      <c r="F59" s="30">
        <v>0.65512536015466805</v>
      </c>
    </row>
    <row r="60" spans="1:6" x14ac:dyDescent="0.2">
      <c r="A60" s="27" t="s">
        <v>631</v>
      </c>
      <c r="B60" s="27" t="s">
        <v>630</v>
      </c>
      <c r="C60" s="27" t="s">
        <v>205</v>
      </c>
      <c r="D60" s="31">
        <v>97000</v>
      </c>
      <c r="E60" s="29">
        <v>157.89279759999999</v>
      </c>
      <c r="F60" s="30">
        <v>0.55076408334508797</v>
      </c>
    </row>
    <row r="61" spans="1:6" x14ac:dyDescent="0.2">
      <c r="A61" s="27" t="s">
        <v>633</v>
      </c>
      <c r="B61" s="27" t="s">
        <v>632</v>
      </c>
      <c r="C61" s="27" t="s">
        <v>156</v>
      </c>
      <c r="D61" s="31">
        <v>2265900</v>
      </c>
      <c r="E61" s="29">
        <v>153.89757789999999</v>
      </c>
      <c r="F61" s="30">
        <v>0.53682789658242602</v>
      </c>
    </row>
    <row r="62" spans="1:6" x14ac:dyDescent="0.2">
      <c r="A62" s="27" t="s">
        <v>635</v>
      </c>
      <c r="B62" s="27" t="s">
        <v>634</v>
      </c>
      <c r="C62" s="27" t="s">
        <v>413</v>
      </c>
      <c r="D62" s="31">
        <v>253100</v>
      </c>
      <c r="E62" s="29">
        <v>128.94411109999999</v>
      </c>
      <c r="F62" s="30">
        <v>0.44978483016465798</v>
      </c>
    </row>
    <row r="63" spans="1:6" x14ac:dyDescent="0.2">
      <c r="A63" s="27" t="s">
        <v>637</v>
      </c>
      <c r="B63" s="27" t="s">
        <v>636</v>
      </c>
      <c r="C63" s="27" t="s">
        <v>413</v>
      </c>
      <c r="D63" s="31">
        <v>84000</v>
      </c>
      <c r="E63" s="29">
        <v>97.160084699999999</v>
      </c>
      <c r="F63" s="30">
        <v>0.33891530076687099</v>
      </c>
    </row>
    <row r="64" spans="1:6" x14ac:dyDescent="0.2">
      <c r="A64" s="27" t="s">
        <v>300</v>
      </c>
      <c r="B64" s="27" t="s">
        <v>299</v>
      </c>
      <c r="C64" s="27" t="s">
        <v>301</v>
      </c>
      <c r="D64" s="31">
        <v>46613</v>
      </c>
      <c r="E64" s="29">
        <v>69.626300099999995</v>
      </c>
      <c r="F64" s="30">
        <v>0.24287153014056501</v>
      </c>
    </row>
    <row r="65" spans="1:9" x14ac:dyDescent="0.2">
      <c r="A65" s="27" t="s">
        <v>639</v>
      </c>
      <c r="B65" s="27" t="s">
        <v>638</v>
      </c>
      <c r="C65" s="27" t="s">
        <v>133</v>
      </c>
      <c r="D65" s="31">
        <v>13280</v>
      </c>
      <c r="E65" s="29">
        <v>66.958267899999996</v>
      </c>
      <c r="F65" s="30">
        <v>0.23356485921380801</v>
      </c>
    </row>
    <row r="66" spans="1:9" x14ac:dyDescent="0.2">
      <c r="A66" s="27" t="s">
        <v>641</v>
      </c>
      <c r="B66" s="27" t="s">
        <v>640</v>
      </c>
      <c r="C66" s="27" t="s">
        <v>227</v>
      </c>
      <c r="D66" s="31">
        <v>646</v>
      </c>
      <c r="E66" s="29">
        <v>2.9102735000000002</v>
      </c>
      <c r="F66" s="30">
        <v>1.0151660752580101E-2</v>
      </c>
    </row>
    <row r="67" spans="1:9" x14ac:dyDescent="0.2">
      <c r="A67" s="27" t="s">
        <v>643</v>
      </c>
      <c r="B67" s="27" t="s">
        <v>642</v>
      </c>
      <c r="C67" s="27" t="s">
        <v>625</v>
      </c>
      <c r="D67" s="31">
        <v>8388</v>
      </c>
      <c r="E67" s="29">
        <v>1.6998409999999999</v>
      </c>
      <c r="F67" s="30">
        <v>5.92941150215834E-3</v>
      </c>
    </row>
    <row r="68" spans="1:9" x14ac:dyDescent="0.2">
      <c r="A68" s="27" t="s">
        <v>644</v>
      </c>
      <c r="B68" s="27" t="s">
        <v>734</v>
      </c>
      <c r="C68" s="27" t="s">
        <v>625</v>
      </c>
      <c r="D68" s="31">
        <v>7501</v>
      </c>
      <c r="E68" s="29">
        <v>0.80165589999999998</v>
      </c>
      <c r="F68" s="30">
        <v>2.7963484315492401E-3</v>
      </c>
    </row>
    <row r="69" spans="1:9" x14ac:dyDescent="0.2">
      <c r="A69" s="27" t="s">
        <v>645</v>
      </c>
      <c r="B69" s="27" t="s">
        <v>735</v>
      </c>
      <c r="C69" s="27" t="s">
        <v>625</v>
      </c>
      <c r="D69" s="31">
        <v>6798</v>
      </c>
      <c r="E69" s="29">
        <v>0.5910704</v>
      </c>
      <c r="F69" s="30">
        <v>2.0617808538241698E-3</v>
      </c>
    </row>
    <row r="70" spans="1:9" x14ac:dyDescent="0.2">
      <c r="A70" s="27" t="s">
        <v>647</v>
      </c>
      <c r="B70" s="27" t="s">
        <v>646</v>
      </c>
      <c r="C70" s="27" t="s">
        <v>625</v>
      </c>
      <c r="D70" s="31">
        <v>8195</v>
      </c>
      <c r="E70" s="29">
        <v>7.6078099999999996E-2</v>
      </c>
      <c r="F70" s="30">
        <v>2.6537679771363999E-4</v>
      </c>
    </row>
    <row r="71" spans="1:9" x14ac:dyDescent="0.2">
      <c r="A71" s="26" t="s">
        <v>35</v>
      </c>
      <c r="B71" s="26"/>
      <c r="C71" s="26"/>
      <c r="D71" s="32"/>
      <c r="E71" s="33">
        <f>SUM(E24:E70)</f>
        <v>22267.529980000014</v>
      </c>
      <c r="F71" s="34">
        <f>SUM(F24:F70)</f>
        <v>77.673940320340279</v>
      </c>
      <c r="G71" s="18"/>
      <c r="H71" s="18"/>
      <c r="I71" s="18"/>
    </row>
    <row r="72" spans="1:9" x14ac:dyDescent="0.2">
      <c r="A72" s="27"/>
      <c r="B72" s="27"/>
      <c r="C72" s="27"/>
      <c r="D72" s="28"/>
      <c r="E72" s="29"/>
      <c r="F72" s="30"/>
    </row>
    <row r="73" spans="1:9" x14ac:dyDescent="0.2">
      <c r="A73" s="26" t="s">
        <v>37</v>
      </c>
      <c r="B73" s="26"/>
      <c r="C73" s="26"/>
      <c r="D73" s="32"/>
      <c r="E73" s="33">
        <f>E22+E71</f>
        <v>27134.951412000017</v>
      </c>
      <c r="F73" s="34">
        <f>F22+F71</f>
        <v>94.652554569998216</v>
      </c>
      <c r="G73" s="18"/>
      <c r="H73" s="18"/>
      <c r="I73" s="18"/>
    </row>
    <row r="74" spans="1:9" x14ac:dyDescent="0.2">
      <c r="A74" s="26"/>
      <c r="B74" s="26"/>
      <c r="C74" s="26"/>
      <c r="D74" s="32"/>
      <c r="E74" s="33"/>
      <c r="F74" s="34"/>
      <c r="G74" s="18"/>
      <c r="H74" s="18"/>
      <c r="I74" s="18"/>
    </row>
    <row r="75" spans="1:9" x14ac:dyDescent="0.2">
      <c r="A75" s="26" t="s">
        <v>39</v>
      </c>
      <c r="B75" s="26"/>
      <c r="C75" s="26"/>
      <c r="D75" s="32"/>
      <c r="E75" s="33">
        <f>E77-(E22+E71)</f>
        <v>1533.0032303999833</v>
      </c>
      <c r="F75" s="34">
        <f>F77-(F22+F71)</f>
        <v>5.347445430001784</v>
      </c>
      <c r="G75" s="18"/>
      <c r="H75" s="18"/>
      <c r="I75" s="18"/>
    </row>
    <row r="76" spans="1:9" x14ac:dyDescent="0.2">
      <c r="A76" s="26"/>
      <c r="B76" s="26"/>
      <c r="C76" s="26"/>
      <c r="D76" s="32"/>
      <c r="E76" s="33"/>
      <c r="F76" s="34"/>
      <c r="G76" s="18"/>
      <c r="H76" s="18"/>
      <c r="I76" s="18"/>
    </row>
    <row r="77" spans="1:9" x14ac:dyDescent="0.2">
      <c r="A77" s="35" t="s">
        <v>38</v>
      </c>
      <c r="B77" s="35"/>
      <c r="C77" s="35"/>
      <c r="D77" s="36"/>
      <c r="E77" s="37">
        <v>28667.9546424</v>
      </c>
      <c r="F77" s="38">
        <v>100</v>
      </c>
      <c r="G77" s="18"/>
      <c r="H77" s="18"/>
      <c r="I77" s="18"/>
    </row>
    <row r="78" spans="1:9" x14ac:dyDescent="0.2">
      <c r="F78" s="20" t="s">
        <v>505</v>
      </c>
    </row>
    <row r="80" spans="1:9" x14ac:dyDescent="0.2">
      <c r="A80" s="18" t="s">
        <v>41</v>
      </c>
    </row>
    <row r="81" spans="1:4" x14ac:dyDescent="0.2">
      <c r="A81" s="18" t="s">
        <v>42</v>
      </c>
    </row>
    <row r="82" spans="1:4" x14ac:dyDescent="0.2">
      <c r="A82" s="18" t="s">
        <v>43</v>
      </c>
      <c r="B82" s="18"/>
      <c r="C82" s="39" t="s">
        <v>45</v>
      </c>
      <c r="D82" s="19" t="s">
        <v>44</v>
      </c>
    </row>
    <row r="83" spans="1:4" x14ac:dyDescent="0.2">
      <c r="A83" s="9" t="s">
        <v>68</v>
      </c>
      <c r="C83" s="40">
        <v>32.103499999999997</v>
      </c>
      <c r="D83" s="40">
        <v>29.895499999999998</v>
      </c>
    </row>
    <row r="84" spans="1:4" x14ac:dyDescent="0.2">
      <c r="A84" s="9" t="s">
        <v>74</v>
      </c>
      <c r="C84" s="40">
        <v>16.889600000000002</v>
      </c>
      <c r="D84" s="40">
        <v>15.7281</v>
      </c>
    </row>
    <row r="85" spans="1:4" x14ac:dyDescent="0.2">
      <c r="A85" s="9" t="s">
        <v>71</v>
      </c>
      <c r="C85" s="40">
        <v>33.776400000000002</v>
      </c>
      <c r="D85" s="40">
        <v>31.561399999999999</v>
      </c>
    </row>
    <row r="86" spans="1:4" x14ac:dyDescent="0.2">
      <c r="A86" s="9" t="s">
        <v>75</v>
      </c>
      <c r="C86" s="40">
        <v>17.9467</v>
      </c>
      <c r="D86" s="40">
        <v>16.767499999999998</v>
      </c>
    </row>
    <row r="88" spans="1:4" x14ac:dyDescent="0.2">
      <c r="A88" s="9" t="s">
        <v>46</v>
      </c>
    </row>
    <row r="90" spans="1:4" x14ac:dyDescent="0.2">
      <c r="A90" s="18" t="s">
        <v>47</v>
      </c>
      <c r="D90" s="41" t="s">
        <v>48</v>
      </c>
    </row>
    <row r="92" spans="1:4" x14ac:dyDescent="0.2">
      <c r="A92" s="18" t="s">
        <v>218</v>
      </c>
      <c r="D92" s="45">
        <v>8.77E-2</v>
      </c>
    </row>
    <row r="94" spans="1:4" x14ac:dyDescent="0.2">
      <c r="A94" s="18" t="s">
        <v>94</v>
      </c>
    </row>
    <row r="95" spans="1:4" x14ac:dyDescent="0.2">
      <c r="A95" s="50" t="s">
        <v>51</v>
      </c>
    </row>
  </sheetData>
  <mergeCells count="1">
    <mergeCell ref="A1:F1"/>
  </mergeCells>
  <conditionalFormatting sqref="F2:F3 F5:F65534">
    <cfRule type="cellIs" dxfId="13" priority="1" stopIfTrue="1" operator="between">
      <formula>0.009</formula>
      <formula>-0.009</formula>
    </cfRule>
  </conditionalFormatting>
  <hyperlinks>
    <hyperlink ref="A95" r:id="rId1" xr:uid="{00000000-0004-0000-2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2"/>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0" style="9" bestFit="1" customWidth="1"/>
    <col min="4" max="4" width="14.6640625" style="10" bestFit="1" customWidth="1"/>
    <col min="5" max="5" width="23" style="13" bestFit="1" customWidth="1"/>
    <col min="6" max="6" width="14.6640625" style="14" bestFit="1" customWidth="1"/>
    <col min="7" max="16384" width="9.109375" style="9"/>
  </cols>
  <sheetData>
    <row r="1" spans="1:6" s="1" customFormat="1" ht="13.8" x14ac:dyDescent="0.2">
      <c r="A1" s="72" t="s">
        <v>21</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649</v>
      </c>
      <c r="B7" s="27" t="s">
        <v>648</v>
      </c>
      <c r="C7" s="27" t="s">
        <v>130</v>
      </c>
      <c r="D7" s="31">
        <v>199567</v>
      </c>
      <c r="E7" s="29">
        <v>4061.787151</v>
      </c>
      <c r="F7" s="30">
        <v>9.6567573384446703</v>
      </c>
    </row>
    <row r="8" spans="1:6" x14ac:dyDescent="0.2">
      <c r="A8" s="27" t="s">
        <v>100</v>
      </c>
      <c r="B8" s="27" t="s">
        <v>99</v>
      </c>
      <c r="C8" s="27" t="s">
        <v>101</v>
      </c>
      <c r="D8" s="31">
        <v>268691</v>
      </c>
      <c r="E8" s="29">
        <v>3832.7427699999998</v>
      </c>
      <c r="F8" s="30">
        <v>9.1122123081845992</v>
      </c>
    </row>
    <row r="9" spans="1:6" x14ac:dyDescent="0.2">
      <c r="A9" s="27" t="s">
        <v>97</v>
      </c>
      <c r="B9" s="27" t="s">
        <v>96</v>
      </c>
      <c r="C9" s="27" t="s">
        <v>98</v>
      </c>
      <c r="D9" s="31">
        <v>228126</v>
      </c>
      <c r="E9" s="29">
        <v>3673.9692300000002</v>
      </c>
      <c r="F9" s="30">
        <v>8.7347337524290705</v>
      </c>
    </row>
    <row r="10" spans="1:6" x14ac:dyDescent="0.2">
      <c r="A10" s="27" t="s">
        <v>105</v>
      </c>
      <c r="B10" s="27" t="s">
        <v>104</v>
      </c>
      <c r="C10" s="27" t="s">
        <v>101</v>
      </c>
      <c r="D10" s="31">
        <v>426099</v>
      </c>
      <c r="E10" s="29">
        <v>2908.1256749999998</v>
      </c>
      <c r="F10" s="30">
        <v>6.9139674013350598</v>
      </c>
    </row>
    <row r="11" spans="1:6" x14ac:dyDescent="0.2">
      <c r="A11" s="27" t="s">
        <v>184</v>
      </c>
      <c r="B11" s="27" t="s">
        <v>183</v>
      </c>
      <c r="C11" s="27" t="s">
        <v>185</v>
      </c>
      <c r="D11" s="31">
        <v>111171</v>
      </c>
      <c r="E11" s="29">
        <v>2713.8508670000001</v>
      </c>
      <c r="F11" s="30">
        <v>6.45208581865118</v>
      </c>
    </row>
    <row r="12" spans="1:6" x14ac:dyDescent="0.2">
      <c r="A12" s="27" t="s">
        <v>137</v>
      </c>
      <c r="B12" s="27" t="s">
        <v>136</v>
      </c>
      <c r="C12" s="27" t="s">
        <v>98</v>
      </c>
      <c r="D12" s="31">
        <v>63891</v>
      </c>
      <c r="E12" s="29">
        <v>2023.7154800000001</v>
      </c>
      <c r="F12" s="30">
        <v>4.8113129974333502</v>
      </c>
    </row>
    <row r="13" spans="1:6" x14ac:dyDescent="0.2">
      <c r="A13" s="27" t="s">
        <v>119</v>
      </c>
      <c r="B13" s="27" t="s">
        <v>118</v>
      </c>
      <c r="C13" s="27" t="s">
        <v>101</v>
      </c>
      <c r="D13" s="31">
        <v>90908</v>
      </c>
      <c r="E13" s="29">
        <v>1504.3455839999999</v>
      </c>
      <c r="F13" s="30">
        <v>3.5765291773775698</v>
      </c>
    </row>
    <row r="14" spans="1:6" x14ac:dyDescent="0.2">
      <c r="A14" s="27" t="s">
        <v>139</v>
      </c>
      <c r="B14" s="27" t="s">
        <v>138</v>
      </c>
      <c r="C14" s="27" t="s">
        <v>122</v>
      </c>
      <c r="D14" s="31">
        <v>55027</v>
      </c>
      <c r="E14" s="29">
        <v>1283.9449910000001</v>
      </c>
      <c r="F14" s="30">
        <v>3.0525344517242798</v>
      </c>
    </row>
    <row r="15" spans="1:6" x14ac:dyDescent="0.2">
      <c r="A15" s="27" t="s">
        <v>191</v>
      </c>
      <c r="B15" s="27" t="s">
        <v>190</v>
      </c>
      <c r="C15" s="27" t="s">
        <v>192</v>
      </c>
      <c r="D15" s="31">
        <v>74721</v>
      </c>
      <c r="E15" s="29">
        <v>1196.619455</v>
      </c>
      <c r="F15" s="30">
        <v>2.8449210344643499</v>
      </c>
    </row>
    <row r="16" spans="1:6" x14ac:dyDescent="0.2">
      <c r="A16" s="27" t="s">
        <v>243</v>
      </c>
      <c r="B16" s="27" t="s">
        <v>242</v>
      </c>
      <c r="C16" s="27" t="s">
        <v>122</v>
      </c>
      <c r="D16" s="31">
        <v>534697</v>
      </c>
      <c r="E16" s="29">
        <v>1095.861502</v>
      </c>
      <c r="F16" s="30">
        <v>2.60537251410432</v>
      </c>
    </row>
    <row r="17" spans="1:6" x14ac:dyDescent="0.2">
      <c r="A17" s="27" t="s">
        <v>103</v>
      </c>
      <c r="B17" s="27" t="s">
        <v>102</v>
      </c>
      <c r="C17" s="27" t="s">
        <v>101</v>
      </c>
      <c r="D17" s="31">
        <v>151079</v>
      </c>
      <c r="E17" s="29">
        <v>1070.9990310000001</v>
      </c>
      <c r="F17" s="30">
        <v>2.5462628561248302</v>
      </c>
    </row>
    <row r="18" spans="1:6" x14ac:dyDescent="0.2">
      <c r="A18" s="27" t="s">
        <v>651</v>
      </c>
      <c r="B18" s="27" t="s">
        <v>650</v>
      </c>
      <c r="C18" s="27" t="s">
        <v>185</v>
      </c>
      <c r="D18" s="31">
        <v>16372</v>
      </c>
      <c r="E18" s="29">
        <v>1019.664532</v>
      </c>
      <c r="F18" s="30">
        <v>2.4242168745150798</v>
      </c>
    </row>
    <row r="19" spans="1:6" x14ac:dyDescent="0.2">
      <c r="A19" s="27" t="s">
        <v>135</v>
      </c>
      <c r="B19" s="27" t="s">
        <v>134</v>
      </c>
      <c r="C19" s="27" t="s">
        <v>101</v>
      </c>
      <c r="D19" s="31">
        <v>223694</v>
      </c>
      <c r="E19" s="29">
        <v>965.91069200000004</v>
      </c>
      <c r="F19" s="30">
        <v>2.29641899402748</v>
      </c>
    </row>
    <row r="20" spans="1:6" x14ac:dyDescent="0.2">
      <c r="A20" s="27" t="s">
        <v>507</v>
      </c>
      <c r="B20" s="27" t="s">
        <v>506</v>
      </c>
      <c r="C20" s="27" t="s">
        <v>122</v>
      </c>
      <c r="D20" s="31">
        <v>27774</v>
      </c>
      <c r="E20" s="29">
        <v>821.67990299999997</v>
      </c>
      <c r="F20" s="30">
        <v>1.9535153217455601</v>
      </c>
    </row>
    <row r="21" spans="1:6" x14ac:dyDescent="0.2">
      <c r="A21" s="27" t="s">
        <v>110</v>
      </c>
      <c r="B21" s="27" t="s">
        <v>109</v>
      </c>
      <c r="C21" s="27" t="s">
        <v>111</v>
      </c>
      <c r="D21" s="31">
        <v>143659</v>
      </c>
      <c r="E21" s="29">
        <v>806.86077350000005</v>
      </c>
      <c r="F21" s="30">
        <v>1.9182833580240599</v>
      </c>
    </row>
    <row r="22" spans="1:6" x14ac:dyDescent="0.2">
      <c r="A22" s="27" t="s">
        <v>234</v>
      </c>
      <c r="B22" s="27" t="s">
        <v>233</v>
      </c>
      <c r="C22" s="27" t="s">
        <v>98</v>
      </c>
      <c r="D22" s="31">
        <v>67654</v>
      </c>
      <c r="E22" s="29">
        <v>693.41967299999999</v>
      </c>
      <c r="F22" s="30">
        <v>1.6485810966771299</v>
      </c>
    </row>
    <row r="23" spans="1:6" x14ac:dyDescent="0.2">
      <c r="A23" s="27" t="s">
        <v>653</v>
      </c>
      <c r="B23" s="27" t="s">
        <v>652</v>
      </c>
      <c r="C23" s="27" t="s">
        <v>654</v>
      </c>
      <c r="D23" s="31">
        <v>46210</v>
      </c>
      <c r="E23" s="29">
        <v>662.79003</v>
      </c>
      <c r="F23" s="30">
        <v>1.57576018833845</v>
      </c>
    </row>
    <row r="24" spans="1:6" x14ac:dyDescent="0.2">
      <c r="A24" s="27" t="s">
        <v>187</v>
      </c>
      <c r="B24" s="27" t="s">
        <v>186</v>
      </c>
      <c r="C24" s="27" t="s">
        <v>149</v>
      </c>
      <c r="D24" s="31">
        <v>8243</v>
      </c>
      <c r="E24" s="29">
        <v>575.17181100000005</v>
      </c>
      <c r="F24" s="30">
        <v>1.3674509274503199</v>
      </c>
    </row>
    <row r="25" spans="1:6" x14ac:dyDescent="0.2">
      <c r="A25" s="27" t="s">
        <v>551</v>
      </c>
      <c r="B25" s="27" t="s">
        <v>550</v>
      </c>
      <c r="C25" s="27" t="s">
        <v>172</v>
      </c>
      <c r="D25" s="31">
        <v>6984</v>
      </c>
      <c r="E25" s="29">
        <v>532.12492799999995</v>
      </c>
      <c r="F25" s="30">
        <v>1.2651084639351999</v>
      </c>
    </row>
    <row r="26" spans="1:6" x14ac:dyDescent="0.2">
      <c r="A26" s="27" t="s">
        <v>656</v>
      </c>
      <c r="B26" s="27" t="s">
        <v>655</v>
      </c>
      <c r="C26" s="27" t="s">
        <v>533</v>
      </c>
      <c r="D26" s="31">
        <v>3706</v>
      </c>
      <c r="E26" s="29">
        <v>527.07473200000004</v>
      </c>
      <c r="F26" s="30">
        <v>1.25310179901885</v>
      </c>
    </row>
    <row r="27" spans="1:6" x14ac:dyDescent="0.2">
      <c r="A27" s="27" t="s">
        <v>658</v>
      </c>
      <c r="B27" s="27" t="s">
        <v>657</v>
      </c>
      <c r="C27" s="27" t="s">
        <v>98</v>
      </c>
      <c r="D27" s="31">
        <v>87723</v>
      </c>
      <c r="E27" s="29">
        <v>515.06559449999997</v>
      </c>
      <c r="F27" s="30">
        <v>1.22455049330778</v>
      </c>
    </row>
    <row r="28" spans="1:6" x14ac:dyDescent="0.2">
      <c r="A28" s="27" t="s">
        <v>537</v>
      </c>
      <c r="B28" s="27" t="s">
        <v>536</v>
      </c>
      <c r="C28" s="27" t="s">
        <v>133</v>
      </c>
      <c r="D28" s="31">
        <v>66051</v>
      </c>
      <c r="E28" s="29">
        <v>511.20171449999998</v>
      </c>
      <c r="F28" s="30">
        <v>1.21536425332086</v>
      </c>
    </row>
    <row r="29" spans="1:6" x14ac:dyDescent="0.2">
      <c r="A29" s="27" t="s">
        <v>196</v>
      </c>
      <c r="B29" s="27" t="s">
        <v>195</v>
      </c>
      <c r="C29" s="27" t="s">
        <v>98</v>
      </c>
      <c r="D29" s="31">
        <v>37572</v>
      </c>
      <c r="E29" s="29">
        <v>454.45212600000002</v>
      </c>
      <c r="F29" s="30">
        <v>1.08044408522043</v>
      </c>
    </row>
    <row r="30" spans="1:6" x14ac:dyDescent="0.2">
      <c r="A30" s="27" t="s">
        <v>224</v>
      </c>
      <c r="B30" s="27" t="s">
        <v>223</v>
      </c>
      <c r="C30" s="27" t="s">
        <v>114</v>
      </c>
      <c r="D30" s="31">
        <v>25701</v>
      </c>
      <c r="E30" s="29">
        <v>440.65649550000001</v>
      </c>
      <c r="F30" s="30">
        <v>1.0476454546874201</v>
      </c>
    </row>
    <row r="31" spans="1:6" x14ac:dyDescent="0.2">
      <c r="A31" s="27" t="s">
        <v>148</v>
      </c>
      <c r="B31" s="27" t="s">
        <v>147</v>
      </c>
      <c r="C31" s="27" t="s">
        <v>149</v>
      </c>
      <c r="D31" s="31">
        <v>58902</v>
      </c>
      <c r="E31" s="29">
        <v>437.700762</v>
      </c>
      <c r="F31" s="30">
        <v>1.0406183013419901</v>
      </c>
    </row>
    <row r="32" spans="1:6" x14ac:dyDescent="0.2">
      <c r="A32" s="27" t="s">
        <v>660</v>
      </c>
      <c r="B32" s="27" t="s">
        <v>659</v>
      </c>
      <c r="C32" s="27" t="s">
        <v>654</v>
      </c>
      <c r="D32" s="31">
        <v>58927</v>
      </c>
      <c r="E32" s="29">
        <v>434.26252649999998</v>
      </c>
      <c r="F32" s="30">
        <v>1.03244401631384</v>
      </c>
    </row>
    <row r="33" spans="1:6" x14ac:dyDescent="0.2">
      <c r="A33" s="27" t="s">
        <v>213</v>
      </c>
      <c r="B33" s="27" t="s">
        <v>212</v>
      </c>
      <c r="C33" s="27" t="s">
        <v>122</v>
      </c>
      <c r="D33" s="31">
        <v>2189</v>
      </c>
      <c r="E33" s="29">
        <v>387.5110085</v>
      </c>
      <c r="F33" s="30">
        <v>0.92129391224726698</v>
      </c>
    </row>
    <row r="34" spans="1:6" x14ac:dyDescent="0.2">
      <c r="A34" s="27" t="s">
        <v>116</v>
      </c>
      <c r="B34" s="27" t="s">
        <v>115</v>
      </c>
      <c r="C34" s="27" t="s">
        <v>117</v>
      </c>
      <c r="D34" s="31">
        <v>85899</v>
      </c>
      <c r="E34" s="29">
        <v>382.07875200000001</v>
      </c>
      <c r="F34" s="30">
        <v>0.9083789118126</v>
      </c>
    </row>
    <row r="35" spans="1:6" x14ac:dyDescent="0.2">
      <c r="A35" s="27" t="s">
        <v>662</v>
      </c>
      <c r="B35" s="27" t="s">
        <v>661</v>
      </c>
      <c r="C35" s="27" t="s">
        <v>133</v>
      </c>
      <c r="D35" s="31">
        <v>7753</v>
      </c>
      <c r="E35" s="29">
        <v>380.369933</v>
      </c>
      <c r="F35" s="30">
        <v>0.90431625421758999</v>
      </c>
    </row>
    <row r="36" spans="1:6" x14ac:dyDescent="0.2">
      <c r="A36" s="27" t="s">
        <v>171</v>
      </c>
      <c r="B36" s="27" t="s">
        <v>170</v>
      </c>
      <c r="C36" s="27" t="s">
        <v>172</v>
      </c>
      <c r="D36" s="31">
        <v>23263</v>
      </c>
      <c r="E36" s="29">
        <v>360.89055050000002</v>
      </c>
      <c r="F36" s="30">
        <v>0.85800470146699004</v>
      </c>
    </row>
    <row r="37" spans="1:6" x14ac:dyDescent="0.2">
      <c r="A37" s="27" t="s">
        <v>141</v>
      </c>
      <c r="B37" s="27" t="s">
        <v>140</v>
      </c>
      <c r="C37" s="27" t="s">
        <v>142</v>
      </c>
      <c r="D37" s="31">
        <v>208086</v>
      </c>
      <c r="E37" s="29">
        <v>356.13918899999999</v>
      </c>
      <c r="F37" s="30">
        <v>0.84670850515561202</v>
      </c>
    </row>
    <row r="38" spans="1:6" x14ac:dyDescent="0.2">
      <c r="A38" s="27" t="s">
        <v>132</v>
      </c>
      <c r="B38" s="27" t="s">
        <v>131</v>
      </c>
      <c r="C38" s="27" t="s">
        <v>133</v>
      </c>
      <c r="D38" s="31">
        <v>7297</v>
      </c>
      <c r="E38" s="29">
        <v>343.77626400000003</v>
      </c>
      <c r="F38" s="30">
        <v>0.817316081997988</v>
      </c>
    </row>
    <row r="39" spans="1:6" x14ac:dyDescent="0.2">
      <c r="A39" s="27" t="s">
        <v>547</v>
      </c>
      <c r="B39" s="27" t="s">
        <v>546</v>
      </c>
      <c r="C39" s="27" t="s">
        <v>101</v>
      </c>
      <c r="D39" s="31">
        <v>34804</v>
      </c>
      <c r="E39" s="29">
        <v>341.42723999999998</v>
      </c>
      <c r="F39" s="30">
        <v>0.81173135933604401</v>
      </c>
    </row>
    <row r="40" spans="1:6" x14ac:dyDescent="0.2">
      <c r="A40" s="27" t="s">
        <v>144</v>
      </c>
      <c r="B40" s="27" t="s">
        <v>143</v>
      </c>
      <c r="C40" s="27" t="s">
        <v>142</v>
      </c>
      <c r="D40" s="31">
        <v>284678</v>
      </c>
      <c r="E40" s="29">
        <v>336.489396</v>
      </c>
      <c r="F40" s="30">
        <v>0.79999180738257603</v>
      </c>
    </row>
    <row r="41" spans="1:6" x14ac:dyDescent="0.2">
      <c r="A41" s="27" t="s">
        <v>664</v>
      </c>
      <c r="B41" s="27" t="s">
        <v>663</v>
      </c>
      <c r="C41" s="27" t="s">
        <v>533</v>
      </c>
      <c r="D41" s="31">
        <v>49238</v>
      </c>
      <c r="E41" s="29">
        <v>326.96493900000002</v>
      </c>
      <c r="F41" s="30">
        <v>0.77734774293257003</v>
      </c>
    </row>
    <row r="42" spans="1:6" x14ac:dyDescent="0.2">
      <c r="A42" s="27" t="s">
        <v>162</v>
      </c>
      <c r="B42" s="27" t="s">
        <v>161</v>
      </c>
      <c r="C42" s="27" t="s">
        <v>149</v>
      </c>
      <c r="D42" s="31">
        <v>108853</v>
      </c>
      <c r="E42" s="29">
        <v>319.97339349999999</v>
      </c>
      <c r="F42" s="30">
        <v>0.76072558726457196</v>
      </c>
    </row>
    <row r="43" spans="1:6" x14ac:dyDescent="0.2">
      <c r="A43" s="27" t="s">
        <v>153</v>
      </c>
      <c r="B43" s="27" t="s">
        <v>152</v>
      </c>
      <c r="C43" s="27" t="s">
        <v>149</v>
      </c>
      <c r="D43" s="31">
        <v>8023</v>
      </c>
      <c r="E43" s="29">
        <v>307.248808</v>
      </c>
      <c r="F43" s="30">
        <v>0.73047332887738903</v>
      </c>
    </row>
    <row r="44" spans="1:6" x14ac:dyDescent="0.2">
      <c r="A44" s="27" t="s">
        <v>666</v>
      </c>
      <c r="B44" s="27" t="s">
        <v>665</v>
      </c>
      <c r="C44" s="27" t="s">
        <v>304</v>
      </c>
      <c r="D44" s="31">
        <v>45543</v>
      </c>
      <c r="E44" s="29">
        <v>307.18753500000003</v>
      </c>
      <c r="F44" s="30">
        <v>0.730327654456155</v>
      </c>
    </row>
    <row r="45" spans="1:6" x14ac:dyDescent="0.2">
      <c r="A45" s="27" t="s">
        <v>518</v>
      </c>
      <c r="B45" s="27" t="s">
        <v>517</v>
      </c>
      <c r="C45" s="27" t="s">
        <v>133</v>
      </c>
      <c r="D45" s="31">
        <v>30814</v>
      </c>
      <c r="E45" s="29">
        <v>283.50420700000001</v>
      </c>
      <c r="F45" s="30">
        <v>0.67402136784867295</v>
      </c>
    </row>
    <row r="46" spans="1:6" x14ac:dyDescent="0.2">
      <c r="A46" s="27" t="s">
        <v>668</v>
      </c>
      <c r="B46" s="27" t="s">
        <v>667</v>
      </c>
      <c r="C46" s="27" t="s">
        <v>486</v>
      </c>
      <c r="D46" s="31">
        <v>32142</v>
      </c>
      <c r="E46" s="29">
        <v>259.884141</v>
      </c>
      <c r="F46" s="30">
        <v>0.61786548444057998</v>
      </c>
    </row>
    <row r="47" spans="1:6" x14ac:dyDescent="0.2">
      <c r="A47" s="27" t="s">
        <v>532</v>
      </c>
      <c r="B47" s="27" t="s">
        <v>531</v>
      </c>
      <c r="C47" s="27" t="s">
        <v>533</v>
      </c>
      <c r="D47" s="31">
        <v>23408</v>
      </c>
      <c r="E47" s="29">
        <v>257.16028799999998</v>
      </c>
      <c r="F47" s="30">
        <v>0.61138961889944299</v>
      </c>
    </row>
    <row r="48" spans="1:6" x14ac:dyDescent="0.2">
      <c r="A48" s="27" t="s">
        <v>275</v>
      </c>
      <c r="B48" s="27" t="s">
        <v>274</v>
      </c>
      <c r="C48" s="27" t="s">
        <v>122</v>
      </c>
      <c r="D48" s="31">
        <v>33313</v>
      </c>
      <c r="E48" s="29">
        <v>251.9295625</v>
      </c>
      <c r="F48" s="30">
        <v>0.59895375139095497</v>
      </c>
    </row>
    <row r="49" spans="1:9" x14ac:dyDescent="0.2">
      <c r="A49" s="27" t="s">
        <v>670</v>
      </c>
      <c r="B49" s="27" t="s">
        <v>669</v>
      </c>
      <c r="C49" s="27" t="s">
        <v>122</v>
      </c>
      <c r="D49" s="31">
        <v>7175</v>
      </c>
      <c r="E49" s="29">
        <v>245.62895</v>
      </c>
      <c r="F49" s="30">
        <v>0.58397426484127402</v>
      </c>
    </row>
    <row r="50" spans="1:9" x14ac:dyDescent="0.2">
      <c r="A50" s="27" t="s">
        <v>288</v>
      </c>
      <c r="B50" s="27" t="s">
        <v>287</v>
      </c>
      <c r="C50" s="27" t="s">
        <v>289</v>
      </c>
      <c r="D50" s="31">
        <v>210784</v>
      </c>
      <c r="E50" s="29">
        <v>243.033952</v>
      </c>
      <c r="F50" s="30">
        <v>0.577804747570144</v>
      </c>
    </row>
    <row r="51" spans="1:9" x14ac:dyDescent="0.2">
      <c r="A51" s="27" t="s">
        <v>672</v>
      </c>
      <c r="B51" s="27" t="s">
        <v>671</v>
      </c>
      <c r="C51" s="27" t="s">
        <v>172</v>
      </c>
      <c r="D51" s="31">
        <v>781</v>
      </c>
      <c r="E51" s="29">
        <v>220.75550749999999</v>
      </c>
      <c r="F51" s="30">
        <v>0.52483852250304697</v>
      </c>
    </row>
    <row r="52" spans="1:9" x14ac:dyDescent="0.2">
      <c r="A52" s="27" t="s">
        <v>674</v>
      </c>
      <c r="B52" s="27" t="s">
        <v>673</v>
      </c>
      <c r="C52" s="27" t="s">
        <v>149</v>
      </c>
      <c r="D52" s="31">
        <v>7692</v>
      </c>
      <c r="E52" s="29">
        <v>212.55303599999999</v>
      </c>
      <c r="F52" s="30">
        <v>0.50533743248864105</v>
      </c>
    </row>
    <row r="53" spans="1:9" x14ac:dyDescent="0.2">
      <c r="A53" s="27" t="s">
        <v>676</v>
      </c>
      <c r="B53" s="27" t="s">
        <v>675</v>
      </c>
      <c r="C53" s="27" t="s">
        <v>149</v>
      </c>
      <c r="D53" s="31">
        <v>8296</v>
      </c>
      <c r="E53" s="29">
        <v>209.90953999999999</v>
      </c>
      <c r="F53" s="30">
        <v>0.49905261291337999</v>
      </c>
    </row>
    <row r="54" spans="1:9" x14ac:dyDescent="0.2">
      <c r="A54" s="27" t="s">
        <v>151</v>
      </c>
      <c r="B54" s="27" t="s">
        <v>150</v>
      </c>
      <c r="C54" s="27" t="s">
        <v>130</v>
      </c>
      <c r="D54" s="31">
        <v>47078</v>
      </c>
      <c r="E54" s="29">
        <v>209.73249000000001</v>
      </c>
      <c r="F54" s="30">
        <v>0.49863168271117803</v>
      </c>
    </row>
    <row r="55" spans="1:9" x14ac:dyDescent="0.2">
      <c r="A55" s="27" t="s">
        <v>174</v>
      </c>
      <c r="B55" s="27" t="s">
        <v>173</v>
      </c>
      <c r="C55" s="27" t="s">
        <v>175</v>
      </c>
      <c r="D55" s="31">
        <v>123394</v>
      </c>
      <c r="E55" s="29">
        <v>176.82360199999999</v>
      </c>
      <c r="F55" s="30">
        <v>0.42039194885023101</v>
      </c>
    </row>
    <row r="56" spans="1:9" x14ac:dyDescent="0.2">
      <c r="A56" s="27" t="s">
        <v>211</v>
      </c>
      <c r="B56" s="27" t="s">
        <v>210</v>
      </c>
      <c r="C56" s="27" t="s">
        <v>130</v>
      </c>
      <c r="D56" s="31">
        <v>146180</v>
      </c>
      <c r="E56" s="29">
        <v>150.78467000000001</v>
      </c>
      <c r="F56" s="30">
        <v>0.35848529586021599</v>
      </c>
    </row>
    <row r="57" spans="1:9" x14ac:dyDescent="0.2">
      <c r="A57" s="27" t="s">
        <v>678</v>
      </c>
      <c r="B57" s="27" t="s">
        <v>677</v>
      </c>
      <c r="C57" s="27" t="s">
        <v>101</v>
      </c>
      <c r="D57" s="31">
        <v>92088</v>
      </c>
      <c r="E57" s="29">
        <v>9.2088000000000003E-5</v>
      </c>
      <c r="F57" s="30">
        <v>2.1893600937798001E-7</v>
      </c>
    </row>
    <row r="58" spans="1:9" x14ac:dyDescent="0.2">
      <c r="A58" s="26" t="s">
        <v>35</v>
      </c>
      <c r="B58" s="26"/>
      <c r="C58" s="26"/>
      <c r="D58" s="32"/>
      <c r="E58" s="33">
        <f>SUM(E7:E57)</f>
        <v>41635.755076087975</v>
      </c>
      <c r="F58" s="34">
        <f>SUM(F7:F57)</f>
        <v>98.987556074598899</v>
      </c>
      <c r="G58" s="18"/>
      <c r="H58" s="18"/>
      <c r="I58" s="18"/>
    </row>
    <row r="59" spans="1:9" x14ac:dyDescent="0.2">
      <c r="A59" s="27"/>
      <c r="B59" s="27"/>
      <c r="C59" s="27"/>
      <c r="D59" s="28"/>
      <c r="E59" s="29"/>
      <c r="F59" s="30"/>
    </row>
    <row r="60" spans="1:9" x14ac:dyDescent="0.2">
      <c r="A60" s="26" t="s">
        <v>37</v>
      </c>
      <c r="B60" s="26"/>
      <c r="C60" s="26"/>
      <c r="D60" s="32"/>
      <c r="E60" s="33">
        <f>E58</f>
        <v>41635.755076087975</v>
      </c>
      <c r="F60" s="34">
        <f>F58</f>
        <v>98.987556074598899</v>
      </c>
      <c r="G60" s="18"/>
      <c r="H60" s="18"/>
      <c r="I60" s="18"/>
    </row>
    <row r="61" spans="1:9" x14ac:dyDescent="0.2">
      <c r="A61" s="26"/>
      <c r="B61" s="26"/>
      <c r="C61" s="26"/>
      <c r="D61" s="32"/>
      <c r="E61" s="33"/>
      <c r="F61" s="34"/>
      <c r="G61" s="18"/>
      <c r="H61" s="18"/>
      <c r="I61" s="18"/>
    </row>
    <row r="62" spans="1:9" x14ac:dyDescent="0.2">
      <c r="A62" s="26" t="s">
        <v>39</v>
      </c>
      <c r="B62" s="26"/>
      <c r="C62" s="26"/>
      <c r="D62" s="32"/>
      <c r="E62" s="33">
        <f>E64-(E58)</f>
        <v>425.85016721202555</v>
      </c>
      <c r="F62" s="34">
        <f>F64-(F58)</f>
        <v>1.0124439254011008</v>
      </c>
      <c r="G62" s="18"/>
      <c r="H62" s="18"/>
      <c r="I62" s="18"/>
    </row>
    <row r="63" spans="1:9" x14ac:dyDescent="0.2">
      <c r="A63" s="26"/>
      <c r="B63" s="26"/>
      <c r="C63" s="26"/>
      <c r="D63" s="32"/>
      <c r="E63" s="33"/>
      <c r="F63" s="34"/>
      <c r="G63" s="18"/>
      <c r="H63" s="18"/>
      <c r="I63" s="18"/>
    </row>
    <row r="64" spans="1:9" x14ac:dyDescent="0.2">
      <c r="A64" s="35" t="s">
        <v>38</v>
      </c>
      <c r="B64" s="35"/>
      <c r="C64" s="35"/>
      <c r="D64" s="36"/>
      <c r="E64" s="37">
        <v>42061.6052433</v>
      </c>
      <c r="F64" s="38">
        <v>100</v>
      </c>
      <c r="G64" s="18"/>
      <c r="H64" s="18"/>
      <c r="I64" s="18"/>
    </row>
    <row r="65" spans="1:6" x14ac:dyDescent="0.2">
      <c r="F65" s="20" t="s">
        <v>505</v>
      </c>
    </row>
    <row r="67" spans="1:6" x14ac:dyDescent="0.2">
      <c r="A67" s="18" t="s">
        <v>41</v>
      </c>
    </row>
    <row r="68" spans="1:6" x14ac:dyDescent="0.2">
      <c r="A68" s="18" t="s">
        <v>42</v>
      </c>
    </row>
    <row r="69" spans="1:6" x14ac:dyDescent="0.2">
      <c r="A69" s="18" t="s">
        <v>43</v>
      </c>
      <c r="B69" s="18"/>
      <c r="C69" s="39" t="s">
        <v>45</v>
      </c>
      <c r="D69" s="19" t="s">
        <v>44</v>
      </c>
    </row>
    <row r="70" spans="1:6" x14ac:dyDescent="0.2">
      <c r="A70" s="9" t="s">
        <v>68</v>
      </c>
      <c r="C70" s="40">
        <v>107.61320000000001</v>
      </c>
      <c r="D70" s="40">
        <v>124.7119</v>
      </c>
    </row>
    <row r="71" spans="1:6" x14ac:dyDescent="0.2">
      <c r="A71" s="9" t="s">
        <v>74</v>
      </c>
      <c r="C71" s="40">
        <v>107.61320000000001</v>
      </c>
      <c r="D71" s="40">
        <v>124.7119</v>
      </c>
    </row>
    <row r="72" spans="1:6" x14ac:dyDescent="0.2">
      <c r="A72" s="9" t="s">
        <v>71</v>
      </c>
      <c r="C72" s="40">
        <v>111.1181</v>
      </c>
      <c r="D72" s="40">
        <v>129.0394</v>
      </c>
    </row>
    <row r="73" spans="1:6" x14ac:dyDescent="0.2">
      <c r="A73" s="9" t="s">
        <v>75</v>
      </c>
      <c r="C73" s="40">
        <v>111.1181</v>
      </c>
      <c r="D73" s="40">
        <v>129.0394</v>
      </c>
    </row>
    <row r="75" spans="1:6" x14ac:dyDescent="0.2">
      <c r="A75" s="9" t="s">
        <v>46</v>
      </c>
    </row>
    <row r="77" spans="1:6" x14ac:dyDescent="0.2">
      <c r="A77" s="18" t="s">
        <v>47</v>
      </c>
      <c r="D77" s="41" t="s">
        <v>48</v>
      </c>
    </row>
    <row r="79" spans="1:6" x14ac:dyDescent="0.2">
      <c r="A79" s="18" t="s">
        <v>218</v>
      </c>
      <c r="D79" s="45">
        <v>5.5999999999999999E-3</v>
      </c>
    </row>
    <row r="81" spans="1:1" x14ac:dyDescent="0.2">
      <c r="A81" s="18" t="s">
        <v>94</v>
      </c>
    </row>
    <row r="82" spans="1:1" x14ac:dyDescent="0.2">
      <c r="A82" s="50" t="s">
        <v>51</v>
      </c>
    </row>
  </sheetData>
  <mergeCells count="1">
    <mergeCell ref="A1:F1"/>
  </mergeCells>
  <conditionalFormatting sqref="F2:F3 F5:F65534">
    <cfRule type="cellIs" dxfId="12" priority="1" stopIfTrue="1" operator="between">
      <formula>0.009</formula>
      <formula>-0.009</formula>
    </cfRule>
  </conditionalFormatting>
  <hyperlinks>
    <hyperlink ref="A82" r:id="rId1"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99"/>
  <sheetViews>
    <sheetView workbookViewId="0">
      <selection sqref="A1:F1"/>
    </sheetView>
  </sheetViews>
  <sheetFormatPr defaultColWidth="9.109375" defaultRowHeight="10.199999999999999" x14ac:dyDescent="0.2"/>
  <cols>
    <col min="1" max="1" width="38.6640625" style="9" bestFit="1" customWidth="1"/>
    <col min="2" max="2" width="36.33203125" style="9" bestFit="1" customWidth="1"/>
    <col min="3" max="3" width="24.6640625" style="9" bestFit="1" customWidth="1"/>
    <col min="4" max="4" width="14.6640625" style="10" bestFit="1" customWidth="1"/>
    <col min="5" max="5" width="23" style="13" bestFit="1" customWidth="1"/>
    <col min="6" max="6" width="14.6640625" style="14" bestFit="1" customWidth="1"/>
    <col min="7" max="16384" width="9.109375" style="9"/>
  </cols>
  <sheetData>
    <row r="1" spans="1:6" s="1" customFormat="1" ht="13.8" x14ac:dyDescent="0.2">
      <c r="A1" s="72" t="s">
        <v>22</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263</v>
      </c>
      <c r="D4" s="16" t="s">
        <v>1</v>
      </c>
      <c r="E4" s="15" t="s">
        <v>3</v>
      </c>
      <c r="F4" s="15" t="s">
        <v>4</v>
      </c>
    </row>
    <row r="5" spans="1:6" x14ac:dyDescent="0.2">
      <c r="A5" s="21" t="s">
        <v>95</v>
      </c>
      <c r="B5" s="22"/>
      <c r="C5" s="22"/>
      <c r="D5" s="23"/>
      <c r="E5" s="24"/>
      <c r="F5" s="25"/>
    </row>
    <row r="6" spans="1:6" x14ac:dyDescent="0.2">
      <c r="A6" s="26" t="s">
        <v>32</v>
      </c>
      <c r="B6" s="27"/>
      <c r="C6" s="27"/>
      <c r="D6" s="28"/>
      <c r="E6" s="29"/>
      <c r="F6" s="30"/>
    </row>
    <row r="7" spans="1:6" x14ac:dyDescent="0.2">
      <c r="A7" s="27" t="s">
        <v>97</v>
      </c>
      <c r="B7" s="27" t="s">
        <v>96</v>
      </c>
      <c r="C7" s="27" t="s">
        <v>98</v>
      </c>
      <c r="D7" s="31">
        <v>2778479</v>
      </c>
      <c r="E7" s="29">
        <v>44747.404300000002</v>
      </c>
      <c r="F7" s="30">
        <v>9.4573023255463795</v>
      </c>
    </row>
    <row r="8" spans="1:6" x14ac:dyDescent="0.2">
      <c r="A8" s="27" t="s">
        <v>103</v>
      </c>
      <c r="B8" s="27" t="s">
        <v>102</v>
      </c>
      <c r="C8" s="27" t="s">
        <v>101</v>
      </c>
      <c r="D8" s="31">
        <v>5129842</v>
      </c>
      <c r="E8" s="29">
        <v>36365.449939999999</v>
      </c>
      <c r="F8" s="30">
        <v>7.6857878052851101</v>
      </c>
    </row>
    <row r="9" spans="1:6" x14ac:dyDescent="0.2">
      <c r="A9" s="27" t="s">
        <v>100</v>
      </c>
      <c r="B9" s="27" t="s">
        <v>99</v>
      </c>
      <c r="C9" s="27" t="s">
        <v>101</v>
      </c>
      <c r="D9" s="31">
        <v>2380104</v>
      </c>
      <c r="E9" s="29">
        <v>33950.99351</v>
      </c>
      <c r="F9" s="30">
        <v>7.1754957611414598</v>
      </c>
    </row>
    <row r="10" spans="1:6" x14ac:dyDescent="0.2">
      <c r="A10" s="27" t="s">
        <v>105</v>
      </c>
      <c r="B10" s="27" t="s">
        <v>104</v>
      </c>
      <c r="C10" s="27" t="s">
        <v>101</v>
      </c>
      <c r="D10" s="31">
        <v>4283052</v>
      </c>
      <c r="E10" s="29">
        <v>29231.829900000001</v>
      </c>
      <c r="F10" s="30">
        <v>6.1781070258246498</v>
      </c>
    </row>
    <row r="11" spans="1:6" x14ac:dyDescent="0.2">
      <c r="A11" s="27" t="s">
        <v>141</v>
      </c>
      <c r="B11" s="27" t="s">
        <v>140</v>
      </c>
      <c r="C11" s="27" t="s">
        <v>142</v>
      </c>
      <c r="D11" s="31">
        <v>10825630</v>
      </c>
      <c r="E11" s="29">
        <v>18528.065750000002</v>
      </c>
      <c r="F11" s="30">
        <v>3.91588120130023</v>
      </c>
    </row>
    <row r="12" spans="1:6" x14ac:dyDescent="0.2">
      <c r="A12" s="27" t="s">
        <v>189</v>
      </c>
      <c r="B12" s="27" t="s">
        <v>188</v>
      </c>
      <c r="C12" s="27" t="s">
        <v>142</v>
      </c>
      <c r="D12" s="31">
        <v>13474428</v>
      </c>
      <c r="E12" s="29">
        <v>16843.035</v>
      </c>
      <c r="F12" s="30">
        <v>3.5597522709213099</v>
      </c>
    </row>
    <row r="13" spans="1:6" x14ac:dyDescent="0.2">
      <c r="A13" s="27" t="s">
        <v>171</v>
      </c>
      <c r="B13" s="27" t="s">
        <v>170</v>
      </c>
      <c r="C13" s="27" t="s">
        <v>172</v>
      </c>
      <c r="D13" s="31">
        <v>831440</v>
      </c>
      <c r="E13" s="29">
        <v>12898.54444</v>
      </c>
      <c r="F13" s="30">
        <v>2.7260896187575101</v>
      </c>
    </row>
    <row r="14" spans="1:6" x14ac:dyDescent="0.2">
      <c r="A14" s="27" t="s">
        <v>110</v>
      </c>
      <c r="B14" s="27" t="s">
        <v>109</v>
      </c>
      <c r="C14" s="27" t="s">
        <v>111</v>
      </c>
      <c r="D14" s="31">
        <v>2294619</v>
      </c>
      <c r="E14" s="29">
        <v>12887.72761</v>
      </c>
      <c r="F14" s="30">
        <v>2.7238034966211702</v>
      </c>
    </row>
    <row r="15" spans="1:6" x14ac:dyDescent="0.2">
      <c r="A15" s="27" t="s">
        <v>146</v>
      </c>
      <c r="B15" s="27" t="s">
        <v>145</v>
      </c>
      <c r="C15" s="27" t="s">
        <v>122</v>
      </c>
      <c r="D15" s="31">
        <v>871834</v>
      </c>
      <c r="E15" s="29">
        <v>12455.02052</v>
      </c>
      <c r="F15" s="30">
        <v>2.6323514485626598</v>
      </c>
    </row>
    <row r="16" spans="1:6" x14ac:dyDescent="0.2">
      <c r="A16" s="27" t="s">
        <v>191</v>
      </c>
      <c r="B16" s="27" t="s">
        <v>190</v>
      </c>
      <c r="C16" s="27" t="s">
        <v>192</v>
      </c>
      <c r="D16" s="31">
        <v>757133</v>
      </c>
      <c r="E16" s="29">
        <v>12125.10643</v>
      </c>
      <c r="F16" s="30">
        <v>2.5626245596090702</v>
      </c>
    </row>
    <row r="17" spans="1:6" x14ac:dyDescent="0.2">
      <c r="A17" s="27" t="s">
        <v>116</v>
      </c>
      <c r="B17" s="27" t="s">
        <v>115</v>
      </c>
      <c r="C17" s="27" t="s">
        <v>117</v>
      </c>
      <c r="D17" s="31">
        <v>2549242</v>
      </c>
      <c r="E17" s="29">
        <v>11339.028420000001</v>
      </c>
      <c r="F17" s="30">
        <v>2.3964880538534898</v>
      </c>
    </row>
    <row r="18" spans="1:6" x14ac:dyDescent="0.2">
      <c r="A18" s="27" t="s">
        <v>139</v>
      </c>
      <c r="B18" s="27" t="s">
        <v>138</v>
      </c>
      <c r="C18" s="27" t="s">
        <v>122</v>
      </c>
      <c r="D18" s="31">
        <v>456440</v>
      </c>
      <c r="E18" s="29">
        <v>10650.114519999999</v>
      </c>
      <c r="F18" s="30">
        <v>2.2508870490468</v>
      </c>
    </row>
    <row r="19" spans="1:6" x14ac:dyDescent="0.2">
      <c r="A19" s="27" t="s">
        <v>119</v>
      </c>
      <c r="B19" s="27" t="s">
        <v>118</v>
      </c>
      <c r="C19" s="27" t="s">
        <v>101</v>
      </c>
      <c r="D19" s="31">
        <v>624652</v>
      </c>
      <c r="E19" s="29">
        <v>10336.7413</v>
      </c>
      <c r="F19" s="30">
        <v>2.1846560502071699</v>
      </c>
    </row>
    <row r="20" spans="1:6" x14ac:dyDescent="0.2">
      <c r="A20" s="27" t="s">
        <v>201</v>
      </c>
      <c r="B20" s="27" t="s">
        <v>200</v>
      </c>
      <c r="C20" s="27" t="s">
        <v>202</v>
      </c>
      <c r="D20" s="31">
        <v>6223868</v>
      </c>
      <c r="E20" s="29">
        <v>9030.8324680000005</v>
      </c>
      <c r="F20" s="30">
        <v>1.9086540155187499</v>
      </c>
    </row>
    <row r="21" spans="1:6" x14ac:dyDescent="0.2">
      <c r="A21" s="27" t="s">
        <v>160</v>
      </c>
      <c r="B21" s="27" t="s">
        <v>159</v>
      </c>
      <c r="C21" s="27" t="s">
        <v>101</v>
      </c>
      <c r="D21" s="31">
        <v>5914508</v>
      </c>
      <c r="E21" s="29">
        <v>8886.5482699999993</v>
      </c>
      <c r="F21" s="30">
        <v>1.8781597488091899</v>
      </c>
    </row>
    <row r="22" spans="1:6" x14ac:dyDescent="0.2">
      <c r="A22" s="27" t="s">
        <v>135</v>
      </c>
      <c r="B22" s="27" t="s">
        <v>134</v>
      </c>
      <c r="C22" s="27" t="s">
        <v>101</v>
      </c>
      <c r="D22" s="31">
        <v>1935519</v>
      </c>
      <c r="E22" s="29">
        <v>8357.5710419999996</v>
      </c>
      <c r="F22" s="30">
        <v>1.7663611395538701</v>
      </c>
    </row>
    <row r="23" spans="1:6" x14ac:dyDescent="0.2">
      <c r="A23" s="27" t="s">
        <v>209</v>
      </c>
      <c r="B23" s="27" t="s">
        <v>208</v>
      </c>
      <c r="C23" s="27" t="s">
        <v>185</v>
      </c>
      <c r="D23" s="31">
        <v>1158898</v>
      </c>
      <c r="E23" s="29">
        <v>7772.7288859999999</v>
      </c>
      <c r="F23" s="30">
        <v>1.6427555546369299</v>
      </c>
    </row>
    <row r="24" spans="1:6" x14ac:dyDescent="0.2">
      <c r="A24" s="27" t="s">
        <v>207</v>
      </c>
      <c r="B24" s="27" t="s">
        <v>206</v>
      </c>
      <c r="C24" s="27" t="s">
        <v>185</v>
      </c>
      <c r="D24" s="31">
        <v>1115794</v>
      </c>
      <c r="E24" s="29">
        <v>7385.4404860000004</v>
      </c>
      <c r="F24" s="30">
        <v>1.5609026842129501</v>
      </c>
    </row>
    <row r="25" spans="1:6" x14ac:dyDescent="0.2">
      <c r="A25" s="27" t="s">
        <v>238</v>
      </c>
      <c r="B25" s="27" t="s">
        <v>237</v>
      </c>
      <c r="C25" s="27" t="s">
        <v>239</v>
      </c>
      <c r="D25" s="31">
        <v>3970503</v>
      </c>
      <c r="E25" s="29">
        <v>7331.5337900000004</v>
      </c>
      <c r="F25" s="30">
        <v>1.5495095781899699</v>
      </c>
    </row>
    <row r="26" spans="1:6" x14ac:dyDescent="0.2">
      <c r="A26" s="27" t="s">
        <v>194</v>
      </c>
      <c r="B26" s="27" t="s">
        <v>193</v>
      </c>
      <c r="C26" s="27" t="s">
        <v>122</v>
      </c>
      <c r="D26" s="31">
        <v>1219231</v>
      </c>
      <c r="E26" s="29">
        <v>7323.9206169999998</v>
      </c>
      <c r="F26" s="30">
        <v>1.54790054455228</v>
      </c>
    </row>
    <row r="27" spans="1:6" x14ac:dyDescent="0.2">
      <c r="A27" s="27" t="s">
        <v>107</v>
      </c>
      <c r="B27" s="27" t="s">
        <v>106</v>
      </c>
      <c r="C27" s="27" t="s">
        <v>108</v>
      </c>
      <c r="D27" s="31">
        <v>302972</v>
      </c>
      <c r="E27" s="29">
        <v>7192.1008220000003</v>
      </c>
      <c r="F27" s="30">
        <v>1.5200406122655199</v>
      </c>
    </row>
    <row r="28" spans="1:6" x14ac:dyDescent="0.2">
      <c r="A28" s="27" t="s">
        <v>127</v>
      </c>
      <c r="B28" s="27" t="s">
        <v>126</v>
      </c>
      <c r="C28" s="27" t="s">
        <v>125</v>
      </c>
      <c r="D28" s="31">
        <v>2045176</v>
      </c>
      <c r="E28" s="29">
        <v>7078.3541359999999</v>
      </c>
      <c r="F28" s="30">
        <v>1.4960004066969701</v>
      </c>
    </row>
    <row r="29" spans="1:6" x14ac:dyDescent="0.2">
      <c r="A29" s="27" t="s">
        <v>204</v>
      </c>
      <c r="B29" s="27" t="s">
        <v>203</v>
      </c>
      <c r="C29" s="27" t="s">
        <v>205</v>
      </c>
      <c r="D29" s="31">
        <v>2627584</v>
      </c>
      <c r="E29" s="29">
        <v>7074.7699199999997</v>
      </c>
      <c r="F29" s="30">
        <v>1.4952428875773101</v>
      </c>
    </row>
    <row r="30" spans="1:6" x14ac:dyDescent="0.2">
      <c r="A30" s="27" t="s">
        <v>124</v>
      </c>
      <c r="B30" s="27" t="s">
        <v>123</v>
      </c>
      <c r="C30" s="27" t="s">
        <v>125</v>
      </c>
      <c r="D30" s="31">
        <v>3078627</v>
      </c>
      <c r="E30" s="29">
        <v>6719.1034280000003</v>
      </c>
      <c r="F30" s="30">
        <v>1.4200732638968101</v>
      </c>
    </row>
    <row r="31" spans="1:6" x14ac:dyDescent="0.2">
      <c r="A31" s="27" t="s">
        <v>129</v>
      </c>
      <c r="B31" s="27" t="s">
        <v>128</v>
      </c>
      <c r="C31" s="27" t="s">
        <v>130</v>
      </c>
      <c r="D31" s="31">
        <v>2520962</v>
      </c>
      <c r="E31" s="29">
        <v>6583.4922630000001</v>
      </c>
      <c r="F31" s="30">
        <v>1.3914120307775399</v>
      </c>
    </row>
    <row r="32" spans="1:6" x14ac:dyDescent="0.2">
      <c r="A32" s="27" t="s">
        <v>184</v>
      </c>
      <c r="B32" s="27" t="s">
        <v>183</v>
      </c>
      <c r="C32" s="27" t="s">
        <v>185</v>
      </c>
      <c r="D32" s="31">
        <v>268692</v>
      </c>
      <c r="E32" s="29">
        <v>6559.1747580000001</v>
      </c>
      <c r="F32" s="30">
        <v>1.3862725595571199</v>
      </c>
    </row>
    <row r="33" spans="1:6" x14ac:dyDescent="0.2">
      <c r="A33" s="27" t="s">
        <v>196</v>
      </c>
      <c r="B33" s="27" t="s">
        <v>195</v>
      </c>
      <c r="C33" s="27" t="s">
        <v>98</v>
      </c>
      <c r="D33" s="31">
        <v>530548</v>
      </c>
      <c r="E33" s="29">
        <v>6417.2433339999998</v>
      </c>
      <c r="F33" s="30">
        <v>1.356275548395</v>
      </c>
    </row>
    <row r="34" spans="1:6" x14ac:dyDescent="0.2">
      <c r="A34" s="27" t="s">
        <v>148</v>
      </c>
      <c r="B34" s="27" t="s">
        <v>147</v>
      </c>
      <c r="C34" s="27" t="s">
        <v>149</v>
      </c>
      <c r="D34" s="31">
        <v>829699</v>
      </c>
      <c r="E34" s="29">
        <v>6165.4932689999996</v>
      </c>
      <c r="F34" s="30">
        <v>1.3030685185700099</v>
      </c>
    </row>
    <row r="35" spans="1:6" x14ac:dyDescent="0.2">
      <c r="A35" s="27" t="s">
        <v>211</v>
      </c>
      <c r="B35" s="27" t="s">
        <v>210</v>
      </c>
      <c r="C35" s="27" t="s">
        <v>130</v>
      </c>
      <c r="D35" s="31">
        <v>5948967</v>
      </c>
      <c r="E35" s="29">
        <v>6136.359461</v>
      </c>
      <c r="F35" s="30">
        <v>1.29691112833787</v>
      </c>
    </row>
    <row r="36" spans="1:6" x14ac:dyDescent="0.2">
      <c r="A36" s="27" t="s">
        <v>132</v>
      </c>
      <c r="B36" s="27" t="s">
        <v>131</v>
      </c>
      <c r="C36" s="27" t="s">
        <v>133</v>
      </c>
      <c r="D36" s="31">
        <v>127107</v>
      </c>
      <c r="E36" s="29">
        <v>5988.2649840000004</v>
      </c>
      <c r="F36" s="30">
        <v>1.2656115644046699</v>
      </c>
    </row>
    <row r="37" spans="1:6" x14ac:dyDescent="0.2">
      <c r="A37" s="27" t="s">
        <v>547</v>
      </c>
      <c r="B37" s="27" t="s">
        <v>546</v>
      </c>
      <c r="C37" s="27" t="s">
        <v>101</v>
      </c>
      <c r="D37" s="31">
        <v>605270</v>
      </c>
      <c r="E37" s="29">
        <v>5937.6986999999999</v>
      </c>
      <c r="F37" s="30">
        <v>1.2549244498614101</v>
      </c>
    </row>
    <row r="38" spans="1:6" x14ac:dyDescent="0.2">
      <c r="A38" s="27" t="s">
        <v>653</v>
      </c>
      <c r="B38" s="27" t="s">
        <v>652</v>
      </c>
      <c r="C38" s="27" t="s">
        <v>654</v>
      </c>
      <c r="D38" s="31">
        <v>410704</v>
      </c>
      <c r="E38" s="29">
        <v>5890.7274719999996</v>
      </c>
      <c r="F38" s="30">
        <v>1.24499714545689</v>
      </c>
    </row>
    <row r="39" spans="1:6" x14ac:dyDescent="0.2">
      <c r="A39" s="27" t="s">
        <v>256</v>
      </c>
      <c r="B39" s="27" t="s">
        <v>255</v>
      </c>
      <c r="C39" s="27" t="s">
        <v>122</v>
      </c>
      <c r="D39" s="31">
        <v>896279</v>
      </c>
      <c r="E39" s="29">
        <v>5742.9076930000001</v>
      </c>
      <c r="F39" s="30">
        <v>1.213755638568</v>
      </c>
    </row>
    <row r="40" spans="1:6" x14ac:dyDescent="0.2">
      <c r="A40" s="27" t="s">
        <v>522</v>
      </c>
      <c r="B40" s="27" t="s">
        <v>521</v>
      </c>
      <c r="C40" s="27" t="s">
        <v>133</v>
      </c>
      <c r="D40" s="31">
        <v>503898</v>
      </c>
      <c r="E40" s="29">
        <v>5580.1664520000004</v>
      </c>
      <c r="F40" s="30">
        <v>1.17936050121762</v>
      </c>
    </row>
    <row r="41" spans="1:6" x14ac:dyDescent="0.2">
      <c r="A41" s="27" t="s">
        <v>241</v>
      </c>
      <c r="B41" s="27" t="s">
        <v>240</v>
      </c>
      <c r="C41" s="27" t="s">
        <v>205</v>
      </c>
      <c r="D41" s="31">
        <v>990217</v>
      </c>
      <c r="E41" s="29">
        <v>5168.9327400000002</v>
      </c>
      <c r="F41" s="30">
        <v>1.0924468220516399</v>
      </c>
    </row>
    <row r="42" spans="1:6" x14ac:dyDescent="0.2">
      <c r="A42" s="27" t="s">
        <v>144</v>
      </c>
      <c r="B42" s="27" t="s">
        <v>143</v>
      </c>
      <c r="C42" s="27" t="s">
        <v>142</v>
      </c>
      <c r="D42" s="31">
        <v>3977486</v>
      </c>
      <c r="E42" s="29">
        <v>4701.3884520000001</v>
      </c>
      <c r="F42" s="30">
        <v>0.99363198013245402</v>
      </c>
    </row>
    <row r="43" spans="1:6" x14ac:dyDescent="0.2">
      <c r="A43" s="27" t="s">
        <v>137</v>
      </c>
      <c r="B43" s="27" t="s">
        <v>136</v>
      </c>
      <c r="C43" s="27" t="s">
        <v>98</v>
      </c>
      <c r="D43" s="31">
        <v>148117</v>
      </c>
      <c r="E43" s="29">
        <v>4691.5319170000002</v>
      </c>
      <c r="F43" s="30">
        <v>0.99154881502297898</v>
      </c>
    </row>
    <row r="44" spans="1:6" x14ac:dyDescent="0.2">
      <c r="A44" s="27" t="s">
        <v>162</v>
      </c>
      <c r="B44" s="27" t="s">
        <v>161</v>
      </c>
      <c r="C44" s="27" t="s">
        <v>149</v>
      </c>
      <c r="D44" s="31">
        <v>1546634</v>
      </c>
      <c r="E44" s="29">
        <v>4546.3306430000002</v>
      </c>
      <c r="F44" s="30">
        <v>0.96086072556272595</v>
      </c>
    </row>
    <row r="45" spans="1:6" x14ac:dyDescent="0.2">
      <c r="A45" s="27" t="s">
        <v>158</v>
      </c>
      <c r="B45" s="27" t="s">
        <v>157</v>
      </c>
      <c r="C45" s="27" t="s">
        <v>133</v>
      </c>
      <c r="D45" s="31">
        <v>720735</v>
      </c>
      <c r="E45" s="29">
        <v>4224.2278349999997</v>
      </c>
      <c r="F45" s="30">
        <v>0.89278474031136701</v>
      </c>
    </row>
    <row r="46" spans="1:6" x14ac:dyDescent="0.2">
      <c r="A46" s="27" t="s">
        <v>215</v>
      </c>
      <c r="B46" s="27" t="s">
        <v>214</v>
      </c>
      <c r="C46" s="27" t="s">
        <v>125</v>
      </c>
      <c r="D46" s="31">
        <v>2792178</v>
      </c>
      <c r="E46" s="29">
        <v>3896.4843989999999</v>
      </c>
      <c r="F46" s="30">
        <v>0.82351661609381599</v>
      </c>
    </row>
    <row r="47" spans="1:6" x14ac:dyDescent="0.2">
      <c r="A47" s="27" t="s">
        <v>169</v>
      </c>
      <c r="B47" s="27" t="s">
        <v>168</v>
      </c>
      <c r="C47" s="27" t="s">
        <v>122</v>
      </c>
      <c r="D47" s="31">
        <v>607174</v>
      </c>
      <c r="E47" s="29">
        <v>3800.6056530000001</v>
      </c>
      <c r="F47" s="30">
        <v>0.80325277505765003</v>
      </c>
    </row>
    <row r="48" spans="1:6" x14ac:dyDescent="0.2">
      <c r="A48" s="27" t="s">
        <v>198</v>
      </c>
      <c r="B48" s="27" t="s">
        <v>197</v>
      </c>
      <c r="C48" s="27" t="s">
        <v>199</v>
      </c>
      <c r="D48" s="31">
        <v>1278633</v>
      </c>
      <c r="E48" s="29">
        <v>3432.4902889999998</v>
      </c>
      <c r="F48" s="30">
        <v>0.72545209940982103</v>
      </c>
    </row>
    <row r="49" spans="1:9" x14ac:dyDescent="0.2">
      <c r="A49" s="27" t="s">
        <v>153</v>
      </c>
      <c r="B49" s="27" t="s">
        <v>152</v>
      </c>
      <c r="C49" s="27" t="s">
        <v>149</v>
      </c>
      <c r="D49" s="31">
        <v>87369</v>
      </c>
      <c r="E49" s="29">
        <v>3345.8832240000002</v>
      </c>
      <c r="F49" s="30">
        <v>0.70714781539499905</v>
      </c>
    </row>
    <row r="50" spans="1:9" x14ac:dyDescent="0.2">
      <c r="A50" s="27" t="s">
        <v>113</v>
      </c>
      <c r="B50" s="27" t="s">
        <v>112</v>
      </c>
      <c r="C50" s="27" t="s">
        <v>114</v>
      </c>
      <c r="D50" s="31">
        <v>300000</v>
      </c>
      <c r="E50" s="29">
        <v>3177.6</v>
      </c>
      <c r="F50" s="30">
        <v>0.67158138756343799</v>
      </c>
    </row>
    <row r="51" spans="1:9" x14ac:dyDescent="0.2">
      <c r="A51" s="27" t="s">
        <v>217</v>
      </c>
      <c r="B51" s="27" t="s">
        <v>216</v>
      </c>
      <c r="C51" s="27" t="s">
        <v>101</v>
      </c>
      <c r="D51" s="31">
        <v>3293517</v>
      </c>
      <c r="E51" s="29">
        <v>2880.180617</v>
      </c>
      <c r="F51" s="30">
        <v>0.60872221022097805</v>
      </c>
    </row>
    <row r="52" spans="1:9" x14ac:dyDescent="0.2">
      <c r="A52" s="27" t="s">
        <v>680</v>
      </c>
      <c r="B52" s="27" t="s">
        <v>679</v>
      </c>
      <c r="C52" s="27" t="s">
        <v>360</v>
      </c>
      <c r="D52" s="31">
        <v>771008</v>
      </c>
      <c r="E52" s="29">
        <v>2626.438752</v>
      </c>
      <c r="F52" s="30">
        <v>0.55509421620674304</v>
      </c>
    </row>
    <row r="53" spans="1:9" x14ac:dyDescent="0.2">
      <c r="A53" s="27" t="s">
        <v>400</v>
      </c>
      <c r="B53" s="27" t="s">
        <v>399</v>
      </c>
      <c r="C53" s="27" t="s">
        <v>202</v>
      </c>
      <c r="D53" s="31">
        <v>6320734</v>
      </c>
      <c r="E53" s="29">
        <v>2604.1424080000002</v>
      </c>
      <c r="F53" s="30">
        <v>0.55038191458252606</v>
      </c>
    </row>
    <row r="54" spans="1:9" x14ac:dyDescent="0.2">
      <c r="A54" s="27" t="s">
        <v>236</v>
      </c>
      <c r="B54" s="27" t="s">
        <v>235</v>
      </c>
      <c r="C54" s="27" t="s">
        <v>149</v>
      </c>
      <c r="D54" s="31">
        <v>1791828</v>
      </c>
      <c r="E54" s="29">
        <v>2504.0796300000002</v>
      </c>
      <c r="F54" s="30">
        <v>0.52923378414046496</v>
      </c>
    </row>
    <row r="55" spans="1:9" x14ac:dyDescent="0.2">
      <c r="A55" s="27" t="s">
        <v>155</v>
      </c>
      <c r="B55" s="27" t="s">
        <v>154</v>
      </c>
      <c r="C55" s="27" t="s">
        <v>156</v>
      </c>
      <c r="D55" s="31">
        <v>1075124</v>
      </c>
      <c r="E55" s="29">
        <v>2410.9655699999998</v>
      </c>
      <c r="F55" s="30">
        <v>0.50955425568613899</v>
      </c>
    </row>
    <row r="56" spans="1:9" x14ac:dyDescent="0.2">
      <c r="A56" s="27" t="s">
        <v>281</v>
      </c>
      <c r="B56" s="27" t="s">
        <v>280</v>
      </c>
      <c r="C56" s="27" t="s">
        <v>98</v>
      </c>
      <c r="D56" s="31">
        <v>241063</v>
      </c>
      <c r="E56" s="29">
        <v>2378.5686209999999</v>
      </c>
      <c r="F56" s="30">
        <v>0.50270720509379196</v>
      </c>
    </row>
    <row r="57" spans="1:9" x14ac:dyDescent="0.2">
      <c r="A57" s="27" t="s">
        <v>254</v>
      </c>
      <c r="B57" s="27" t="s">
        <v>253</v>
      </c>
      <c r="C57" s="27" t="s">
        <v>185</v>
      </c>
      <c r="D57" s="31">
        <v>1695647</v>
      </c>
      <c r="E57" s="29">
        <v>2184.8411599999999</v>
      </c>
      <c r="F57" s="30">
        <v>0.46176317278402301</v>
      </c>
    </row>
    <row r="58" spans="1:9" x14ac:dyDescent="0.2">
      <c r="A58" s="27" t="s">
        <v>163</v>
      </c>
      <c r="B58" s="27" t="s">
        <v>1239</v>
      </c>
      <c r="C58" s="27" t="s">
        <v>156</v>
      </c>
      <c r="D58" s="31">
        <v>125663</v>
      </c>
      <c r="E58" s="29">
        <v>281.79927750000002</v>
      </c>
      <c r="F58" s="30">
        <v>5.95578895385903E-2</v>
      </c>
    </row>
    <row r="59" spans="1:9" x14ac:dyDescent="0.2">
      <c r="A59" s="26" t="s">
        <v>35</v>
      </c>
      <c r="B59" s="26"/>
      <c r="C59" s="26"/>
      <c r="D59" s="32"/>
      <c r="E59" s="33">
        <f>SUM(E7:E58)</f>
        <v>466369.98507850006</v>
      </c>
      <c r="F59" s="34">
        <f>SUM(F7:F58)</f>
        <v>98.566654612587811</v>
      </c>
      <c r="G59" s="18"/>
      <c r="H59" s="18"/>
      <c r="I59" s="18"/>
    </row>
    <row r="60" spans="1:9" x14ac:dyDescent="0.2">
      <c r="A60" s="27"/>
      <c r="B60" s="27"/>
      <c r="C60" s="27"/>
      <c r="D60" s="28"/>
      <c r="E60" s="29"/>
      <c r="F60" s="30"/>
    </row>
    <row r="61" spans="1:9" x14ac:dyDescent="0.2">
      <c r="A61" s="26" t="s">
        <v>225</v>
      </c>
      <c r="B61" s="27"/>
      <c r="C61" s="27"/>
      <c r="D61" s="28"/>
      <c r="E61" s="29"/>
      <c r="F61" s="30"/>
    </row>
    <row r="62" spans="1:9" x14ac:dyDescent="0.2">
      <c r="A62" s="27" t="s">
        <v>226</v>
      </c>
      <c r="B62" s="27" t="s">
        <v>720</v>
      </c>
      <c r="C62" s="27" t="s">
        <v>227</v>
      </c>
      <c r="D62" s="31">
        <v>30000</v>
      </c>
      <c r="E62" s="29">
        <v>3.0000000000000001E-3</v>
      </c>
      <c r="F62" s="30">
        <v>6.34045871944334E-7</v>
      </c>
    </row>
    <row r="63" spans="1:9" x14ac:dyDescent="0.2">
      <c r="A63" s="27" t="s">
        <v>516</v>
      </c>
      <c r="B63" s="27" t="s">
        <v>729</v>
      </c>
      <c r="C63" s="27" t="s">
        <v>367</v>
      </c>
      <c r="D63" s="31">
        <v>3500</v>
      </c>
      <c r="E63" s="29">
        <v>3.5E-4</v>
      </c>
      <c r="F63" s="30">
        <v>7.3972018393505601E-8</v>
      </c>
    </row>
    <row r="64" spans="1:9" x14ac:dyDescent="0.2">
      <c r="A64" s="27"/>
      <c r="B64" s="27" t="s">
        <v>721</v>
      </c>
      <c r="C64" s="27" t="s">
        <v>185</v>
      </c>
      <c r="D64" s="31">
        <v>2900</v>
      </c>
      <c r="E64" s="29">
        <v>2.9E-4</v>
      </c>
      <c r="F64" s="30">
        <v>6.1291100954618898E-8</v>
      </c>
    </row>
    <row r="65" spans="1:9" x14ac:dyDescent="0.2">
      <c r="A65" s="26" t="s">
        <v>35</v>
      </c>
      <c r="B65" s="26"/>
      <c r="C65" s="26"/>
      <c r="D65" s="32"/>
      <c r="E65" s="33">
        <f>SUM(E61:E64)</f>
        <v>3.64E-3</v>
      </c>
      <c r="F65" s="34">
        <f>SUM(F61:F64)</f>
        <v>7.6930899129245855E-7</v>
      </c>
      <c r="G65" s="18"/>
      <c r="H65" s="18"/>
      <c r="I65" s="18"/>
    </row>
    <row r="66" spans="1:9" x14ac:dyDescent="0.2">
      <c r="A66" s="27"/>
      <c r="B66" s="27"/>
      <c r="C66" s="27"/>
      <c r="D66" s="28"/>
      <c r="E66" s="29"/>
      <c r="F66" s="30"/>
    </row>
    <row r="67" spans="1:9" x14ac:dyDescent="0.2">
      <c r="A67" s="26" t="s">
        <v>37</v>
      </c>
      <c r="B67" s="26"/>
      <c r="C67" s="26"/>
      <c r="D67" s="32"/>
      <c r="E67" s="33">
        <f>E59+E65</f>
        <v>466369.98871850007</v>
      </c>
      <c r="F67" s="34">
        <f>F59+F65</f>
        <v>98.566655381896808</v>
      </c>
      <c r="G67" s="18"/>
      <c r="H67" s="18"/>
      <c r="I67" s="18"/>
    </row>
    <row r="68" spans="1:9" x14ac:dyDescent="0.2">
      <c r="A68" s="26"/>
      <c r="B68" s="26"/>
      <c r="C68" s="26"/>
      <c r="D68" s="32"/>
      <c r="E68" s="33"/>
      <c r="F68" s="34"/>
      <c r="G68" s="18"/>
      <c r="H68" s="18"/>
      <c r="I68" s="18"/>
    </row>
    <row r="69" spans="1:9" x14ac:dyDescent="0.2">
      <c r="A69" s="26" t="s">
        <v>39</v>
      </c>
      <c r="B69" s="26"/>
      <c r="C69" s="26"/>
      <c r="D69" s="32"/>
      <c r="E69" s="33">
        <f>E71-(E59+E65)</f>
        <v>6781.8970906999311</v>
      </c>
      <c r="F69" s="34">
        <f>F71-(F59+F65)</f>
        <v>1.4333446181031917</v>
      </c>
      <c r="G69" s="18"/>
      <c r="H69" s="18"/>
      <c r="I69" s="18"/>
    </row>
    <row r="70" spans="1:9" x14ac:dyDescent="0.2">
      <c r="A70" s="26"/>
      <c r="B70" s="26"/>
      <c r="C70" s="26"/>
      <c r="D70" s="32"/>
      <c r="E70" s="33"/>
      <c r="F70" s="34"/>
      <c r="G70" s="18"/>
      <c r="H70" s="18"/>
      <c r="I70" s="18"/>
    </row>
    <row r="71" spans="1:9" x14ac:dyDescent="0.2">
      <c r="A71" s="35" t="s">
        <v>38</v>
      </c>
      <c r="B71" s="35"/>
      <c r="C71" s="35"/>
      <c r="D71" s="36"/>
      <c r="E71" s="37">
        <v>473151.8858092</v>
      </c>
      <c r="F71" s="38">
        <v>100</v>
      </c>
      <c r="G71" s="18"/>
      <c r="H71" s="18"/>
      <c r="I71" s="18"/>
    </row>
    <row r="72" spans="1:9" x14ac:dyDescent="0.2">
      <c r="F72" s="20" t="s">
        <v>505</v>
      </c>
    </row>
    <row r="73" spans="1:9" x14ac:dyDescent="0.2">
      <c r="A73" s="18" t="s">
        <v>40</v>
      </c>
      <c r="F73" s="20"/>
    </row>
    <row r="74" spans="1:9" x14ac:dyDescent="0.2">
      <c r="A74" s="18" t="s">
        <v>722</v>
      </c>
      <c r="F74" s="20"/>
    </row>
    <row r="75" spans="1:9" x14ac:dyDescent="0.2">
      <c r="A75" s="18" t="s">
        <v>1240</v>
      </c>
    </row>
    <row r="76" spans="1:9" x14ac:dyDescent="0.2">
      <c r="A76" s="18"/>
    </row>
    <row r="77" spans="1:9" x14ac:dyDescent="0.2">
      <c r="A77" s="18" t="s">
        <v>41</v>
      </c>
    </row>
    <row r="78" spans="1:9" x14ac:dyDescent="0.2">
      <c r="A78" s="18" t="s">
        <v>42</v>
      </c>
    </row>
    <row r="79" spans="1:9" x14ac:dyDescent="0.2">
      <c r="A79" s="18" t="s">
        <v>43</v>
      </c>
      <c r="B79" s="18"/>
      <c r="C79" s="39" t="s">
        <v>45</v>
      </c>
      <c r="D79" s="19" t="s">
        <v>44</v>
      </c>
    </row>
    <row r="80" spans="1:9" x14ac:dyDescent="0.2">
      <c r="A80" s="9" t="s">
        <v>68</v>
      </c>
      <c r="C80" s="40">
        <v>637.82950000000005</v>
      </c>
      <c r="D80" s="40">
        <v>785.63210000000004</v>
      </c>
    </row>
    <row r="81" spans="1:4" x14ac:dyDescent="0.2">
      <c r="A81" s="9" t="s">
        <v>74</v>
      </c>
      <c r="C81" s="40">
        <v>42.417499999999997</v>
      </c>
      <c r="D81" s="40">
        <v>48.108199999999997</v>
      </c>
    </row>
    <row r="82" spans="1:4" x14ac:dyDescent="0.2">
      <c r="A82" s="9" t="s">
        <v>71</v>
      </c>
      <c r="C82" s="40">
        <v>685.49379999999996</v>
      </c>
      <c r="D82" s="40">
        <v>847.92690000000005</v>
      </c>
    </row>
    <row r="83" spans="1:4" x14ac:dyDescent="0.2">
      <c r="A83" s="9" t="s">
        <v>75</v>
      </c>
      <c r="C83" s="40">
        <v>46.719000000000001</v>
      </c>
      <c r="D83" s="40">
        <v>53.633099999999999</v>
      </c>
    </row>
    <row r="85" spans="1:4" x14ac:dyDescent="0.2">
      <c r="A85" s="18" t="s">
        <v>47</v>
      </c>
    </row>
    <row r="86" spans="1:4" x14ac:dyDescent="0.2">
      <c r="A86" s="74" t="s">
        <v>65</v>
      </c>
      <c r="B86" s="75"/>
      <c r="C86" s="43" t="s">
        <v>66</v>
      </c>
    </row>
    <row r="87" spans="1:4" x14ac:dyDescent="0.2">
      <c r="A87" s="70" t="s">
        <v>74</v>
      </c>
      <c r="B87" s="71"/>
      <c r="C87" s="44">
        <v>3.5</v>
      </c>
    </row>
    <row r="88" spans="1:4" x14ac:dyDescent="0.2">
      <c r="A88" s="70" t="s">
        <v>75</v>
      </c>
      <c r="B88" s="71"/>
      <c r="C88" s="44">
        <v>3.5</v>
      </c>
    </row>
    <row r="89" spans="1:4" x14ac:dyDescent="0.2">
      <c r="A89" s="9" t="s">
        <v>67</v>
      </c>
    </row>
    <row r="90" spans="1:4" x14ac:dyDescent="0.2">
      <c r="A90" s="9" t="s">
        <v>46</v>
      </c>
    </row>
    <row r="92" spans="1:4" x14ac:dyDescent="0.2">
      <c r="A92" s="18" t="s">
        <v>218</v>
      </c>
      <c r="D92" s="45">
        <v>6.6493078293843044E-2</v>
      </c>
    </row>
    <row r="94" spans="1:4" x14ac:dyDescent="0.2">
      <c r="A94" s="18" t="s">
        <v>727</v>
      </c>
      <c r="D94" s="41" t="s">
        <v>48</v>
      </c>
    </row>
    <row r="95" spans="1:4" x14ac:dyDescent="0.2">
      <c r="A95" s="9" t="s">
        <v>723</v>
      </c>
      <c r="D95" s="41"/>
    </row>
    <row r="96" spans="1:4" x14ac:dyDescent="0.2">
      <c r="A96" s="50" t="s">
        <v>724</v>
      </c>
      <c r="D96" s="41"/>
    </row>
    <row r="98" spans="1:1" x14ac:dyDescent="0.2">
      <c r="A98" s="18" t="s">
        <v>728</v>
      </c>
    </row>
    <row r="99" spans="1:1" x14ac:dyDescent="0.2">
      <c r="A99" s="50" t="s">
        <v>51</v>
      </c>
    </row>
  </sheetData>
  <mergeCells count="4">
    <mergeCell ref="A1:F1"/>
    <mergeCell ref="A86:B86"/>
    <mergeCell ref="A87:B87"/>
    <mergeCell ref="A88:B88"/>
  </mergeCells>
  <conditionalFormatting sqref="F2:F3 F5:F65537">
    <cfRule type="cellIs" dxfId="11" priority="1" stopIfTrue="1" operator="between">
      <formula>0.009</formula>
      <formula>-0.009</formula>
    </cfRule>
  </conditionalFormatting>
  <hyperlinks>
    <hyperlink ref="A96" r:id="rId1" xr:uid="{00000000-0004-0000-2900-000000000000}"/>
    <hyperlink ref="A99" r:id="rId2" xr:uid="{00000000-0004-0000-29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31"/>
  <sheetViews>
    <sheetView workbookViewId="0">
      <selection sqref="A1:E1"/>
    </sheetView>
  </sheetViews>
  <sheetFormatPr defaultColWidth="9.109375" defaultRowHeight="10.199999999999999" x14ac:dyDescent="0.2"/>
  <cols>
    <col min="1" max="1" width="31.6640625" style="9" bestFit="1" customWidth="1"/>
    <col min="2" max="2" width="33.554687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3.8" x14ac:dyDescent="0.2">
      <c r="A1" s="72" t="s">
        <v>23</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352</v>
      </c>
      <c r="B5" s="22"/>
      <c r="C5" s="23"/>
      <c r="D5" s="24"/>
      <c r="E5" s="25"/>
    </row>
    <row r="6" spans="1:8" x14ac:dyDescent="0.2">
      <c r="A6" s="27" t="s">
        <v>682</v>
      </c>
      <c r="B6" s="27" t="s">
        <v>681</v>
      </c>
      <c r="C6" s="31">
        <v>5984634.0889999997</v>
      </c>
      <c r="D6" s="29">
        <v>375694.34597999998</v>
      </c>
      <c r="E6" s="30">
        <v>99.811468638652798</v>
      </c>
    </row>
    <row r="7" spans="1:8" x14ac:dyDescent="0.2">
      <c r="A7" s="26" t="s">
        <v>35</v>
      </c>
      <c r="B7" s="26"/>
      <c r="C7" s="32"/>
      <c r="D7" s="33">
        <f>SUM(D6:D6)</f>
        <v>375694.34597999998</v>
      </c>
      <c r="E7" s="34">
        <f>SUM(E6:E6)</f>
        <v>99.811468638652798</v>
      </c>
      <c r="F7" s="18"/>
      <c r="G7" s="18"/>
      <c r="H7" s="18"/>
    </row>
    <row r="8" spans="1:8" x14ac:dyDescent="0.2">
      <c r="A8" s="27"/>
      <c r="B8" s="27"/>
      <c r="C8" s="28"/>
      <c r="D8" s="29"/>
      <c r="E8" s="30"/>
    </row>
    <row r="9" spans="1:8" x14ac:dyDescent="0.2">
      <c r="A9" s="26" t="s">
        <v>37</v>
      </c>
      <c r="B9" s="26"/>
      <c r="C9" s="32"/>
      <c r="D9" s="33">
        <f>D7</f>
        <v>375694.34597999998</v>
      </c>
      <c r="E9" s="34">
        <f>E7</f>
        <v>99.811468638652798</v>
      </c>
      <c r="F9" s="18"/>
      <c r="G9" s="18"/>
      <c r="H9" s="18"/>
    </row>
    <row r="10" spans="1:8" x14ac:dyDescent="0.2">
      <c r="A10" s="26"/>
      <c r="B10" s="26"/>
      <c r="C10" s="32"/>
      <c r="D10" s="33"/>
      <c r="E10" s="34"/>
      <c r="F10" s="18"/>
      <c r="G10" s="18"/>
      <c r="H10" s="18"/>
    </row>
    <row r="11" spans="1:8" x14ac:dyDescent="0.2">
      <c r="A11" s="26" t="s">
        <v>39</v>
      </c>
      <c r="B11" s="26"/>
      <c r="C11" s="32"/>
      <c r="D11" s="33">
        <f>D13-(D7)</f>
        <v>709.63955810002517</v>
      </c>
      <c r="E11" s="34">
        <f>E13-(E7)</f>
        <v>0.18853136134720216</v>
      </c>
      <c r="F11" s="18"/>
      <c r="G11" s="18"/>
      <c r="H11" s="18"/>
    </row>
    <row r="12" spans="1:8" x14ac:dyDescent="0.2">
      <c r="A12" s="26"/>
      <c r="B12" s="26"/>
      <c r="C12" s="32"/>
      <c r="D12" s="33"/>
      <c r="E12" s="34"/>
      <c r="F12" s="18"/>
      <c r="G12" s="18"/>
      <c r="H12" s="18"/>
    </row>
    <row r="13" spans="1:8" x14ac:dyDescent="0.2">
      <c r="A13" s="35" t="s">
        <v>38</v>
      </c>
      <c r="B13" s="35"/>
      <c r="C13" s="36"/>
      <c r="D13" s="37">
        <v>376403.98553810001</v>
      </c>
      <c r="E13" s="38">
        <v>100</v>
      </c>
      <c r="F13" s="18"/>
      <c r="G13" s="18"/>
      <c r="H13" s="18"/>
    </row>
    <row r="16" spans="1:8" x14ac:dyDescent="0.2">
      <c r="A16" s="18" t="s">
        <v>41</v>
      </c>
    </row>
    <row r="17" spans="1:4" x14ac:dyDescent="0.2">
      <c r="A17" s="18" t="s">
        <v>42</v>
      </c>
    </row>
    <row r="18" spans="1:4" x14ac:dyDescent="0.2">
      <c r="A18" s="18" t="s">
        <v>43</v>
      </c>
      <c r="B18" s="18"/>
      <c r="C18" s="39" t="s">
        <v>45</v>
      </c>
      <c r="D18" s="41" t="s">
        <v>44</v>
      </c>
    </row>
    <row r="19" spans="1:4" x14ac:dyDescent="0.2">
      <c r="A19" s="9" t="s">
        <v>68</v>
      </c>
      <c r="C19" s="40">
        <v>49.109400000000001</v>
      </c>
      <c r="D19" s="40">
        <v>58.346499999999999</v>
      </c>
    </row>
    <row r="20" spans="1:4" x14ac:dyDescent="0.2">
      <c r="A20" s="9" t="s">
        <v>74</v>
      </c>
      <c r="C20" s="40">
        <v>49.109400000000001</v>
      </c>
      <c r="D20" s="40">
        <v>58.346499999999999</v>
      </c>
    </row>
    <row r="21" spans="1:4" x14ac:dyDescent="0.2">
      <c r="A21" s="9" t="s">
        <v>71</v>
      </c>
      <c r="C21" s="40">
        <v>53.100499999999997</v>
      </c>
      <c r="D21" s="40">
        <v>63.410200000000003</v>
      </c>
    </row>
    <row r="22" spans="1:4" x14ac:dyDescent="0.2">
      <c r="A22" s="9" t="s">
        <v>75</v>
      </c>
      <c r="C22" s="40">
        <v>53.100499999999997</v>
      </c>
      <c r="D22" s="40">
        <v>63.410200000000003</v>
      </c>
    </row>
    <row r="24" spans="1:4" x14ac:dyDescent="0.2">
      <c r="A24" s="9" t="s">
        <v>46</v>
      </c>
    </row>
    <row r="26" spans="1:4" x14ac:dyDescent="0.2">
      <c r="A26" s="18" t="s">
        <v>47</v>
      </c>
      <c r="D26" s="41" t="s">
        <v>48</v>
      </c>
    </row>
    <row r="28" spans="1:4" x14ac:dyDescent="0.2">
      <c r="A28" s="18" t="s">
        <v>218</v>
      </c>
      <c r="D28" s="45">
        <v>1E-3</v>
      </c>
    </row>
    <row r="30" spans="1:4" x14ac:dyDescent="0.2">
      <c r="A30" s="18" t="s">
        <v>94</v>
      </c>
    </row>
    <row r="31" spans="1:4" x14ac:dyDescent="0.2">
      <c r="A31" s="50" t="s">
        <v>51</v>
      </c>
    </row>
  </sheetData>
  <mergeCells count="1">
    <mergeCell ref="A1:E1"/>
  </mergeCells>
  <conditionalFormatting sqref="E5:E13">
    <cfRule type="cellIs" dxfId="10" priority="1" stopIfTrue="1" operator="between">
      <formula>0.009</formula>
      <formula>-0.009</formula>
    </cfRule>
  </conditionalFormatting>
  <hyperlinks>
    <hyperlink ref="A31" r:id="rId1" xr:uid="{00000000-0004-0000-2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31"/>
  <sheetViews>
    <sheetView workbookViewId="0">
      <selection sqref="A1:E1"/>
    </sheetView>
  </sheetViews>
  <sheetFormatPr defaultColWidth="9.109375" defaultRowHeight="10.199999999999999" x14ac:dyDescent="0.2"/>
  <cols>
    <col min="1" max="1" width="31.6640625" style="9" bestFit="1" customWidth="1"/>
    <col min="2" max="2" width="39.3320312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5" customHeight="1" x14ac:dyDescent="0.2">
      <c r="A1" s="72" t="s">
        <v>736</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352</v>
      </c>
      <c r="B5" s="22"/>
      <c r="C5" s="23"/>
      <c r="D5" s="24"/>
      <c r="E5" s="25"/>
    </row>
    <row r="6" spans="1:8" x14ac:dyDescent="0.2">
      <c r="A6" s="27" t="s">
        <v>684</v>
      </c>
      <c r="B6" s="27" t="s">
        <v>683</v>
      </c>
      <c r="C6" s="31">
        <v>86811.486000000004</v>
      </c>
      <c r="D6" s="29">
        <v>2303.3603240000002</v>
      </c>
      <c r="E6" s="30">
        <v>96.660053783087307</v>
      </c>
    </row>
    <row r="7" spans="1:8" x14ac:dyDescent="0.2">
      <c r="A7" s="26" t="s">
        <v>35</v>
      </c>
      <c r="B7" s="26"/>
      <c r="C7" s="32"/>
      <c r="D7" s="33">
        <f>SUM(D6:D6)</f>
        <v>2303.3603240000002</v>
      </c>
      <c r="E7" s="34">
        <f>SUM(E6:E6)</f>
        <v>96.660053783087307</v>
      </c>
      <c r="F7" s="18"/>
      <c r="G7" s="18"/>
      <c r="H7" s="18"/>
    </row>
    <row r="8" spans="1:8" x14ac:dyDescent="0.2">
      <c r="A8" s="27"/>
      <c r="B8" s="27"/>
      <c r="C8" s="28"/>
      <c r="D8" s="29"/>
      <c r="E8" s="30"/>
    </row>
    <row r="9" spans="1:8" x14ac:dyDescent="0.2">
      <c r="A9" s="26" t="s">
        <v>37</v>
      </c>
      <c r="B9" s="26"/>
      <c r="C9" s="32"/>
      <c r="D9" s="33">
        <f>D7</f>
        <v>2303.3603240000002</v>
      </c>
      <c r="E9" s="34">
        <f>E7</f>
        <v>96.660053783087307</v>
      </c>
      <c r="F9" s="18"/>
      <c r="G9" s="18"/>
      <c r="H9" s="18"/>
    </row>
    <row r="10" spans="1:8" x14ac:dyDescent="0.2">
      <c r="A10" s="26"/>
      <c r="B10" s="26"/>
      <c r="C10" s="32"/>
      <c r="D10" s="33"/>
      <c r="E10" s="34"/>
      <c r="F10" s="18"/>
      <c r="G10" s="18"/>
      <c r="H10" s="18"/>
    </row>
    <row r="11" spans="1:8" x14ac:dyDescent="0.2">
      <c r="A11" s="26" t="s">
        <v>39</v>
      </c>
      <c r="B11" s="26"/>
      <c r="C11" s="32"/>
      <c r="D11" s="33">
        <f>D13-(D7)</f>
        <v>79.589233599999716</v>
      </c>
      <c r="E11" s="34">
        <f>E13-(E7)</f>
        <v>3.3399462169126934</v>
      </c>
      <c r="F11" s="18"/>
      <c r="G11" s="18"/>
      <c r="H11" s="18"/>
    </row>
    <row r="12" spans="1:8" x14ac:dyDescent="0.2">
      <c r="A12" s="26"/>
      <c r="B12" s="26"/>
      <c r="C12" s="32"/>
      <c r="D12" s="33"/>
      <c r="E12" s="34"/>
      <c r="F12" s="18"/>
      <c r="G12" s="18"/>
      <c r="H12" s="18"/>
    </row>
    <row r="13" spans="1:8" x14ac:dyDescent="0.2">
      <c r="A13" s="35" t="s">
        <v>38</v>
      </c>
      <c r="B13" s="35"/>
      <c r="C13" s="36"/>
      <c r="D13" s="37">
        <v>2382.9495575999999</v>
      </c>
      <c r="E13" s="38">
        <v>100</v>
      </c>
      <c r="F13" s="18"/>
      <c r="G13" s="18"/>
      <c r="H13" s="18"/>
    </row>
    <row r="16" spans="1:8" x14ac:dyDescent="0.2">
      <c r="A16" s="18" t="s">
        <v>41</v>
      </c>
    </row>
    <row r="17" spans="1:4" x14ac:dyDescent="0.2">
      <c r="A17" s="18" t="s">
        <v>42</v>
      </c>
    </row>
    <row r="18" spans="1:4" x14ac:dyDescent="0.2">
      <c r="A18" s="18" t="s">
        <v>43</v>
      </c>
      <c r="B18" s="18"/>
      <c r="C18" s="39" t="s">
        <v>45</v>
      </c>
      <c r="D18" s="41" t="s">
        <v>44</v>
      </c>
    </row>
    <row r="19" spans="1:4" x14ac:dyDescent="0.2">
      <c r="A19" s="9" t="s">
        <v>68</v>
      </c>
      <c r="C19" s="40">
        <v>8.8360000000000003</v>
      </c>
      <c r="D19" s="40">
        <v>9.9197000000000006</v>
      </c>
    </row>
    <row r="20" spans="1:4" x14ac:dyDescent="0.2">
      <c r="A20" s="9" t="s">
        <v>74</v>
      </c>
      <c r="C20" s="40">
        <v>8.8360000000000003</v>
      </c>
      <c r="D20" s="40">
        <v>9.9197000000000006</v>
      </c>
    </row>
    <row r="21" spans="1:4" x14ac:dyDescent="0.2">
      <c r="A21" s="9" t="s">
        <v>71</v>
      </c>
      <c r="C21" s="40">
        <v>9.5753000000000004</v>
      </c>
      <c r="D21" s="40">
        <v>10.7944</v>
      </c>
    </row>
    <row r="22" spans="1:4" x14ac:dyDescent="0.2">
      <c r="A22" s="9" t="s">
        <v>75</v>
      </c>
      <c r="C22" s="40">
        <v>9.5753000000000004</v>
      </c>
      <c r="D22" s="40">
        <v>10.7944</v>
      </c>
    </row>
    <row r="24" spans="1:4" x14ac:dyDescent="0.2">
      <c r="A24" s="9" t="s">
        <v>46</v>
      </c>
    </row>
    <row r="26" spans="1:4" x14ac:dyDescent="0.2">
      <c r="A26" s="18" t="s">
        <v>47</v>
      </c>
      <c r="D26" s="41" t="s">
        <v>48</v>
      </c>
    </row>
    <row r="28" spans="1:4" x14ac:dyDescent="0.2">
      <c r="A28" s="18" t="s">
        <v>218</v>
      </c>
      <c r="D28" s="45">
        <v>9.8500000000000004E-2</v>
      </c>
    </row>
    <row r="30" spans="1:4" x14ac:dyDescent="0.2">
      <c r="A30" s="18" t="s">
        <v>94</v>
      </c>
    </row>
    <row r="31" spans="1:4" x14ac:dyDescent="0.2">
      <c r="A31" s="50" t="s">
        <v>51</v>
      </c>
    </row>
  </sheetData>
  <mergeCells count="1">
    <mergeCell ref="A1:E1"/>
  </mergeCells>
  <conditionalFormatting sqref="E5:E13">
    <cfRule type="cellIs" dxfId="9" priority="1" stopIfTrue="1" operator="between">
      <formula>0.009</formula>
      <formula>-0.009</formula>
    </cfRule>
  </conditionalFormatting>
  <hyperlinks>
    <hyperlink ref="A31" r:id="rId1" xr:uid="{00000000-0004-0000-2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40"/>
  <sheetViews>
    <sheetView workbookViewId="0">
      <selection sqref="A1:E1"/>
    </sheetView>
  </sheetViews>
  <sheetFormatPr defaultColWidth="9.109375" defaultRowHeight="10.199999999999999" x14ac:dyDescent="0.2"/>
  <cols>
    <col min="1" max="1" width="31.6640625" style="9" bestFit="1" customWidth="1"/>
    <col min="2" max="2" width="55.6640625" style="9" customWidth="1"/>
    <col min="3" max="3" width="15.109375" style="9" bestFit="1" customWidth="1"/>
    <col min="4" max="4" width="23" style="10" bestFit="1" customWidth="1"/>
    <col min="5" max="5" width="13.5546875" style="13" customWidth="1"/>
    <col min="6" max="16384" width="9.109375" style="9"/>
  </cols>
  <sheetData>
    <row r="1" spans="1:8" s="1" customFormat="1" ht="13.8" x14ac:dyDescent="0.2">
      <c r="A1" s="72" t="s">
        <v>24</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51"/>
      <c r="C5" s="23"/>
      <c r="D5" s="24"/>
      <c r="E5" s="25"/>
    </row>
    <row r="6" spans="1:8" x14ac:dyDescent="0.2">
      <c r="A6" s="27" t="s">
        <v>686</v>
      </c>
      <c r="B6" s="52" t="s">
        <v>685</v>
      </c>
      <c r="C6" s="31">
        <v>243655.11199999999</v>
      </c>
      <c r="D6" s="29">
        <v>1733.295218</v>
      </c>
      <c r="E6" s="30">
        <v>33.947355412313499</v>
      </c>
    </row>
    <row r="7" spans="1:8" x14ac:dyDescent="0.2">
      <c r="A7" s="27" t="s">
        <v>688</v>
      </c>
      <c r="B7" s="52" t="s">
        <v>687</v>
      </c>
      <c r="C7" s="31">
        <v>3175312</v>
      </c>
      <c r="D7" s="29">
        <v>1331.09079</v>
      </c>
      <c r="E7" s="30">
        <v>26.070003346762299</v>
      </c>
    </row>
    <row r="8" spans="1:8" ht="20.399999999999999" x14ac:dyDescent="0.2">
      <c r="A8" s="27" t="s">
        <v>689</v>
      </c>
      <c r="B8" s="52" t="s">
        <v>737</v>
      </c>
      <c r="C8" s="31">
        <v>9625.5300000000007</v>
      </c>
      <c r="D8" s="29">
        <v>227.8733823</v>
      </c>
      <c r="E8" s="30">
        <v>4.4630012346483499</v>
      </c>
    </row>
    <row r="9" spans="1:8" x14ac:dyDescent="0.2">
      <c r="A9" s="27" t="s">
        <v>691</v>
      </c>
      <c r="B9" s="52" t="s">
        <v>690</v>
      </c>
      <c r="C9" s="31">
        <v>5761.8739999999998</v>
      </c>
      <c r="D9" s="29">
        <v>180.09502939999999</v>
      </c>
      <c r="E9" s="30">
        <v>3.5272410074997702</v>
      </c>
    </row>
    <row r="10" spans="1:8" ht="20.399999999999999" x14ac:dyDescent="0.2">
      <c r="A10" s="27" t="s">
        <v>693</v>
      </c>
      <c r="B10" s="52" t="s">
        <v>692</v>
      </c>
      <c r="C10" s="31">
        <v>23973.544999999998</v>
      </c>
      <c r="D10" s="29">
        <v>0</v>
      </c>
      <c r="E10" s="29">
        <v>0</v>
      </c>
    </row>
    <row r="11" spans="1:8" ht="20.399999999999999" x14ac:dyDescent="0.2">
      <c r="A11" s="27" t="s">
        <v>695</v>
      </c>
      <c r="B11" s="52" t="s">
        <v>694</v>
      </c>
      <c r="C11" s="31">
        <v>22876.138999999999</v>
      </c>
      <c r="D11" s="29">
        <v>0</v>
      </c>
      <c r="E11" s="29">
        <v>0</v>
      </c>
    </row>
    <row r="12" spans="1:8" x14ac:dyDescent="0.2">
      <c r="A12" s="26" t="s">
        <v>35</v>
      </c>
      <c r="B12" s="53"/>
      <c r="C12" s="32"/>
      <c r="D12" s="33">
        <f>SUM(D6:D11)</f>
        <v>3472.3544196999997</v>
      </c>
      <c r="E12" s="34">
        <f>SUM(E6:E11)</f>
        <v>68.007601001223918</v>
      </c>
      <c r="F12" s="18"/>
      <c r="G12" s="18"/>
      <c r="H12" s="18"/>
    </row>
    <row r="13" spans="1:8" x14ac:dyDescent="0.2">
      <c r="A13" s="27"/>
      <c r="B13" s="52"/>
      <c r="C13" s="28"/>
      <c r="D13" s="29"/>
      <c r="E13" s="30"/>
    </row>
    <row r="14" spans="1:8" x14ac:dyDescent="0.2">
      <c r="A14" s="26" t="s">
        <v>37</v>
      </c>
      <c r="B14" s="53"/>
      <c r="C14" s="32"/>
      <c r="D14" s="33">
        <f>D12</f>
        <v>3472.3544196999997</v>
      </c>
      <c r="E14" s="34">
        <f>E12</f>
        <v>68.007601001223918</v>
      </c>
      <c r="F14" s="18"/>
      <c r="G14" s="18"/>
      <c r="H14" s="18"/>
    </row>
    <row r="15" spans="1:8" x14ac:dyDescent="0.2">
      <c r="A15" s="26"/>
      <c r="B15" s="53"/>
      <c r="C15" s="32"/>
      <c r="D15" s="33"/>
      <c r="E15" s="34"/>
      <c r="F15" s="18"/>
      <c r="G15" s="18"/>
      <c r="H15" s="18"/>
    </row>
    <row r="16" spans="1:8" x14ac:dyDescent="0.2">
      <c r="A16" s="26" t="s">
        <v>39</v>
      </c>
      <c r="B16" s="53"/>
      <c r="C16" s="32"/>
      <c r="D16" s="33">
        <f>D18-(D12)</f>
        <v>1633.4784116000005</v>
      </c>
      <c r="E16" s="34">
        <f>E18-(E12)</f>
        <v>31.992398998776082</v>
      </c>
      <c r="F16" s="18"/>
      <c r="G16" s="18"/>
      <c r="H16" s="18"/>
    </row>
    <row r="17" spans="1:8" x14ac:dyDescent="0.2">
      <c r="A17" s="26"/>
      <c r="B17" s="53"/>
      <c r="C17" s="32"/>
      <c r="D17" s="33"/>
      <c r="E17" s="34"/>
      <c r="F17" s="18"/>
      <c r="G17" s="18"/>
      <c r="H17" s="18"/>
    </row>
    <row r="18" spans="1:8" x14ac:dyDescent="0.2">
      <c r="A18" s="35" t="s">
        <v>38</v>
      </c>
      <c r="B18" s="54"/>
      <c r="C18" s="36"/>
      <c r="D18" s="37">
        <v>5105.8328313000002</v>
      </c>
      <c r="E18" s="38">
        <v>100</v>
      </c>
      <c r="F18" s="18"/>
      <c r="G18" s="18"/>
      <c r="H18" s="18"/>
    </row>
    <row r="19" spans="1:8" x14ac:dyDescent="0.2">
      <c r="C19" s="10"/>
      <c r="D19" s="13"/>
      <c r="E19" s="20"/>
    </row>
    <row r="20" spans="1:8" x14ac:dyDescent="0.2">
      <c r="A20" s="18" t="s">
        <v>738</v>
      </c>
    </row>
    <row r="21" spans="1:8" ht="27.75" customHeight="1" x14ac:dyDescent="0.3">
      <c r="A21" s="82" t="s">
        <v>739</v>
      </c>
      <c r="B21" s="83"/>
      <c r="C21" s="83"/>
      <c r="D21" s="83"/>
      <c r="E21" s="83"/>
    </row>
    <row r="23" spans="1:8" x14ac:dyDescent="0.2">
      <c r="A23" s="18" t="s">
        <v>41</v>
      </c>
    </row>
    <row r="24" spans="1:8" x14ac:dyDescent="0.2">
      <c r="A24" s="18" t="s">
        <v>42</v>
      </c>
    </row>
    <row r="25" spans="1:8" x14ac:dyDescent="0.2">
      <c r="A25" s="18" t="s">
        <v>43</v>
      </c>
      <c r="B25" s="18"/>
      <c r="C25" s="39" t="s">
        <v>45</v>
      </c>
      <c r="D25" s="41" t="s">
        <v>44</v>
      </c>
    </row>
    <row r="26" spans="1:8" x14ac:dyDescent="0.2">
      <c r="A26" s="9" t="s">
        <v>68</v>
      </c>
      <c r="C26" s="40">
        <v>11.3491</v>
      </c>
      <c r="D26" s="40">
        <v>13.4337</v>
      </c>
    </row>
    <row r="27" spans="1:8" x14ac:dyDescent="0.2">
      <c r="A27" s="9" t="s">
        <v>74</v>
      </c>
      <c r="C27" s="40">
        <v>11.3491</v>
      </c>
      <c r="D27" s="40">
        <v>13.4337</v>
      </c>
    </row>
    <row r="28" spans="1:8" x14ac:dyDescent="0.2">
      <c r="A28" s="9" t="s">
        <v>71</v>
      </c>
      <c r="C28" s="40">
        <v>12.2658</v>
      </c>
      <c r="D28" s="40">
        <v>14.584</v>
      </c>
    </row>
    <row r="29" spans="1:8" x14ac:dyDescent="0.2">
      <c r="A29" s="9" t="s">
        <v>75</v>
      </c>
      <c r="C29" s="40">
        <v>12.2658</v>
      </c>
      <c r="D29" s="40">
        <v>14.584</v>
      </c>
    </row>
    <row r="31" spans="1:8" x14ac:dyDescent="0.2">
      <c r="A31" s="9" t="s">
        <v>46</v>
      </c>
    </row>
    <row r="33" spans="1:4" x14ac:dyDescent="0.2">
      <c r="A33" s="18" t="s">
        <v>47</v>
      </c>
      <c r="D33" s="41" t="s">
        <v>48</v>
      </c>
    </row>
    <row r="35" spans="1:4" x14ac:dyDescent="0.2">
      <c r="A35" s="18" t="s">
        <v>218</v>
      </c>
      <c r="D35" s="45">
        <v>0.60980000000000001</v>
      </c>
    </row>
    <row r="37" spans="1:4" x14ac:dyDescent="0.2">
      <c r="A37" s="18" t="s">
        <v>727</v>
      </c>
      <c r="D37" s="41" t="s">
        <v>1244</v>
      </c>
    </row>
    <row r="39" spans="1:4" x14ac:dyDescent="0.2">
      <c r="A39" s="18" t="s">
        <v>728</v>
      </c>
    </row>
    <row r="40" spans="1:4" x14ac:dyDescent="0.2">
      <c r="A40" s="50" t="s">
        <v>51</v>
      </c>
    </row>
  </sheetData>
  <mergeCells count="2">
    <mergeCell ref="A1:E1"/>
    <mergeCell ref="A21:E21"/>
  </mergeCells>
  <conditionalFormatting sqref="E5:E9 E12:E19">
    <cfRule type="cellIs" dxfId="8" priority="1" stopIfTrue="1" operator="between">
      <formula>0.009</formula>
      <formula>-0.009</formula>
    </cfRule>
  </conditionalFormatting>
  <hyperlinks>
    <hyperlink ref="A40" r:id="rId1" xr:uid="{00000000-0004-0000-2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36"/>
  <sheetViews>
    <sheetView workbookViewId="0">
      <selection sqref="A1:E1"/>
    </sheetView>
  </sheetViews>
  <sheetFormatPr defaultColWidth="9.109375" defaultRowHeight="10.199999999999999" x14ac:dyDescent="0.2"/>
  <cols>
    <col min="1" max="1" width="31.6640625" style="9" bestFit="1" customWidth="1"/>
    <col min="2" max="2" width="34.44140625" style="9" bestFit="1"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2" t="s">
        <v>25</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697</v>
      </c>
      <c r="B6" s="27" t="s">
        <v>696</v>
      </c>
      <c r="C6" s="31">
        <v>3849026.304</v>
      </c>
      <c r="D6" s="29">
        <v>1557.83951</v>
      </c>
      <c r="E6" s="30">
        <v>78.464788823950798</v>
      </c>
    </row>
    <row r="7" spans="1:8" x14ac:dyDescent="0.2">
      <c r="A7" s="27" t="s">
        <v>699</v>
      </c>
      <c r="B7" s="27" t="s">
        <v>698</v>
      </c>
      <c r="C7" s="31">
        <v>50861.754999999997</v>
      </c>
      <c r="D7" s="29">
        <v>196.4907595</v>
      </c>
      <c r="E7" s="30">
        <v>9.8967870894641798</v>
      </c>
    </row>
    <row r="8" spans="1:8" x14ac:dyDescent="0.2">
      <c r="A8" s="27" t="s">
        <v>686</v>
      </c>
      <c r="B8" s="27" t="s">
        <v>685</v>
      </c>
      <c r="C8" s="31">
        <v>27371.242999999999</v>
      </c>
      <c r="D8" s="29">
        <v>194.71146820000001</v>
      </c>
      <c r="E8" s="30">
        <v>9.8071682839231702</v>
      </c>
    </row>
    <row r="9" spans="1:8" x14ac:dyDescent="0.2">
      <c r="A9" s="26" t="s">
        <v>35</v>
      </c>
      <c r="B9" s="26"/>
      <c r="C9" s="32"/>
      <c r="D9" s="33">
        <f>SUM(D6:D8)</f>
        <v>1949.0417376999999</v>
      </c>
      <c r="E9" s="34">
        <f>SUM(E6:E8)</f>
        <v>98.168744197338157</v>
      </c>
      <c r="F9" s="18"/>
      <c r="G9" s="18"/>
      <c r="H9" s="18"/>
    </row>
    <row r="10" spans="1:8" x14ac:dyDescent="0.2">
      <c r="A10" s="27"/>
      <c r="B10" s="27"/>
      <c r="C10" s="28"/>
      <c r="D10" s="29"/>
      <c r="E10" s="30"/>
    </row>
    <row r="11" spans="1:8" x14ac:dyDescent="0.2">
      <c r="A11" s="26" t="s">
        <v>37</v>
      </c>
      <c r="B11" s="26"/>
      <c r="C11" s="32"/>
      <c r="D11" s="33">
        <f>D9</f>
        <v>1949.0417376999999</v>
      </c>
      <c r="E11" s="34">
        <f>E9</f>
        <v>98.168744197338157</v>
      </c>
      <c r="F11" s="18"/>
      <c r="G11" s="18"/>
      <c r="H11" s="18"/>
    </row>
    <row r="12" spans="1:8" x14ac:dyDescent="0.2">
      <c r="A12" s="26"/>
      <c r="B12" s="26"/>
      <c r="C12" s="32"/>
      <c r="D12" s="33"/>
      <c r="E12" s="34"/>
      <c r="F12" s="18"/>
      <c r="G12" s="18"/>
      <c r="H12" s="18"/>
    </row>
    <row r="13" spans="1:8" x14ac:dyDescent="0.2">
      <c r="A13" s="26" t="s">
        <v>39</v>
      </c>
      <c r="B13" s="26"/>
      <c r="C13" s="32"/>
      <c r="D13" s="33">
        <f>D15-(D9)</f>
        <v>36.357743200000186</v>
      </c>
      <c r="E13" s="34">
        <f>E15-(E9)</f>
        <v>1.8312558026618433</v>
      </c>
      <c r="F13" s="18"/>
      <c r="G13" s="18"/>
      <c r="H13" s="18"/>
    </row>
    <row r="14" spans="1:8" x14ac:dyDescent="0.2">
      <c r="A14" s="26"/>
      <c r="B14" s="26"/>
      <c r="C14" s="32"/>
      <c r="D14" s="33"/>
      <c r="E14" s="34"/>
      <c r="F14" s="18"/>
      <c r="G14" s="18"/>
      <c r="H14" s="18"/>
    </row>
    <row r="15" spans="1:8" x14ac:dyDescent="0.2">
      <c r="A15" s="35" t="s">
        <v>38</v>
      </c>
      <c r="B15" s="35"/>
      <c r="C15" s="36"/>
      <c r="D15" s="37">
        <v>1985.3994809000001</v>
      </c>
      <c r="E15" s="38">
        <v>100</v>
      </c>
      <c r="F15" s="18"/>
      <c r="G15" s="18"/>
      <c r="H15" s="18"/>
    </row>
    <row r="18" spans="1:4" x14ac:dyDescent="0.2">
      <c r="A18" s="18" t="s">
        <v>41</v>
      </c>
    </row>
    <row r="19" spans="1:4" x14ac:dyDescent="0.2">
      <c r="A19" s="18" t="s">
        <v>42</v>
      </c>
    </row>
    <row r="20" spans="1:4" x14ac:dyDescent="0.2">
      <c r="A20" s="18" t="s">
        <v>43</v>
      </c>
      <c r="B20" s="18"/>
      <c r="C20" s="39" t="s">
        <v>45</v>
      </c>
      <c r="D20" s="41" t="s">
        <v>44</v>
      </c>
    </row>
    <row r="21" spans="1:4" x14ac:dyDescent="0.2">
      <c r="A21" s="9" t="s">
        <v>88</v>
      </c>
      <c r="C21" s="40">
        <v>42.758000000000003</v>
      </c>
      <c r="D21" s="40">
        <v>45.315100000000001</v>
      </c>
    </row>
    <row r="22" spans="1:4" x14ac:dyDescent="0.2">
      <c r="A22" s="9" t="s">
        <v>700</v>
      </c>
      <c r="C22" s="40">
        <v>14.0936</v>
      </c>
      <c r="D22" s="40">
        <v>14.3955</v>
      </c>
    </row>
    <row r="23" spans="1:4" x14ac:dyDescent="0.2">
      <c r="A23" s="9" t="s">
        <v>89</v>
      </c>
      <c r="C23" s="40">
        <v>44.298699999999997</v>
      </c>
      <c r="D23" s="40">
        <v>47.090899999999998</v>
      </c>
    </row>
    <row r="24" spans="1:4" x14ac:dyDescent="0.2">
      <c r="A24" s="9" t="s">
        <v>701</v>
      </c>
      <c r="C24" s="40">
        <v>14.6503</v>
      </c>
      <c r="D24" s="40">
        <v>15.0131</v>
      </c>
    </row>
    <row r="26" spans="1:4" x14ac:dyDescent="0.2">
      <c r="A26" s="18" t="s">
        <v>47</v>
      </c>
    </row>
    <row r="27" spans="1:4" x14ac:dyDescent="0.2">
      <c r="A27" s="74" t="s">
        <v>65</v>
      </c>
      <c r="B27" s="75"/>
      <c r="C27" s="43" t="s">
        <v>66</v>
      </c>
    </row>
    <row r="28" spans="1:4" x14ac:dyDescent="0.2">
      <c r="A28" s="70" t="s">
        <v>700</v>
      </c>
      <c r="B28" s="71"/>
      <c r="C28" s="44">
        <v>0.53</v>
      </c>
    </row>
    <row r="29" spans="1:4" x14ac:dyDescent="0.2">
      <c r="A29" s="70" t="s">
        <v>701</v>
      </c>
      <c r="B29" s="71"/>
      <c r="C29" s="44">
        <v>0.53</v>
      </c>
    </row>
    <row r="30" spans="1:4" x14ac:dyDescent="0.2">
      <c r="A30" s="9" t="s">
        <v>67</v>
      </c>
    </row>
    <row r="31" spans="1:4" x14ac:dyDescent="0.2">
      <c r="A31" s="9" t="s">
        <v>46</v>
      </c>
    </row>
    <row r="33" spans="1:4" x14ac:dyDescent="0.2">
      <c r="A33" s="18" t="s">
        <v>218</v>
      </c>
      <c r="D33" s="45">
        <v>6.5600000000000006E-2</v>
      </c>
    </row>
    <row r="35" spans="1:4" x14ac:dyDescent="0.2">
      <c r="A35" s="18" t="s">
        <v>94</v>
      </c>
    </row>
    <row r="36" spans="1:4" x14ac:dyDescent="0.2">
      <c r="A36" s="50" t="s">
        <v>51</v>
      </c>
    </row>
  </sheetData>
  <mergeCells count="4">
    <mergeCell ref="A1:E1"/>
    <mergeCell ref="A27:B27"/>
    <mergeCell ref="A28:B28"/>
    <mergeCell ref="A29:B29"/>
  </mergeCells>
  <conditionalFormatting sqref="E5:E15">
    <cfRule type="cellIs" dxfId="7" priority="1" stopIfTrue="1" operator="between">
      <formula>0.009</formula>
      <formula>-0.009</formula>
    </cfRule>
  </conditionalFormatting>
  <hyperlinks>
    <hyperlink ref="A36" r:id="rId1" xr:uid="{00000000-0004-0000-2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43"/>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2" t="s">
        <v>26</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703</v>
      </c>
      <c r="B6" s="52" t="s">
        <v>702</v>
      </c>
      <c r="C6" s="31">
        <v>1506807.125</v>
      </c>
      <c r="D6" s="29">
        <v>1254.356659</v>
      </c>
      <c r="E6" s="30">
        <v>75.566113510416798</v>
      </c>
    </row>
    <row r="7" spans="1:8" x14ac:dyDescent="0.2">
      <c r="A7" s="27" t="s">
        <v>699</v>
      </c>
      <c r="B7" s="52" t="s">
        <v>698</v>
      </c>
      <c r="C7" s="31">
        <v>42545.351000000002</v>
      </c>
      <c r="D7" s="29">
        <v>164.3625614</v>
      </c>
      <c r="E7" s="30">
        <v>9.9016813778602106</v>
      </c>
    </row>
    <row r="8" spans="1:8" x14ac:dyDescent="0.2">
      <c r="A8" s="27" t="s">
        <v>686</v>
      </c>
      <c r="B8" s="52" t="s">
        <v>685</v>
      </c>
      <c r="C8" s="31">
        <v>22851.739000000001</v>
      </c>
      <c r="D8" s="29">
        <v>162.5609642</v>
      </c>
      <c r="E8" s="30">
        <v>9.7931478937522893</v>
      </c>
    </row>
    <row r="9" spans="1:8" ht="20.399999999999999" x14ac:dyDescent="0.2">
      <c r="A9" s="27" t="s">
        <v>704</v>
      </c>
      <c r="B9" s="52" t="s">
        <v>740</v>
      </c>
      <c r="C9" s="31">
        <v>117831.45600000001</v>
      </c>
      <c r="D9" s="29">
        <v>48.102806600000001</v>
      </c>
      <c r="E9" s="30">
        <v>2.8978537464799499</v>
      </c>
    </row>
    <row r="10" spans="1:8" ht="20.399999999999999" x14ac:dyDescent="0.2">
      <c r="A10" s="27" t="s">
        <v>706</v>
      </c>
      <c r="B10" s="52" t="s">
        <v>705</v>
      </c>
      <c r="C10" s="31">
        <v>489502.28</v>
      </c>
      <c r="D10" s="29">
        <v>0</v>
      </c>
      <c r="E10" s="29">
        <v>0</v>
      </c>
    </row>
    <row r="11" spans="1:8" ht="20.399999999999999" x14ac:dyDescent="0.2">
      <c r="A11" s="27" t="s">
        <v>708</v>
      </c>
      <c r="B11" s="52" t="s">
        <v>707</v>
      </c>
      <c r="C11" s="31">
        <v>371180.549</v>
      </c>
      <c r="D11" s="29">
        <v>0</v>
      </c>
      <c r="E11" s="29">
        <v>0</v>
      </c>
    </row>
    <row r="12" spans="1:8" x14ac:dyDescent="0.2">
      <c r="A12" s="26" t="s">
        <v>35</v>
      </c>
      <c r="B12" s="26"/>
      <c r="C12" s="32"/>
      <c r="D12" s="33">
        <f>SUM(D6:D11)</f>
        <v>1629.3829911999999</v>
      </c>
      <c r="E12" s="34">
        <f>SUM(E6:E11)</f>
        <v>98.158796528509257</v>
      </c>
      <c r="F12" s="18"/>
      <c r="G12" s="18"/>
      <c r="H12" s="18"/>
    </row>
    <row r="13" spans="1:8" x14ac:dyDescent="0.2">
      <c r="A13" s="27"/>
      <c r="B13" s="27"/>
      <c r="C13" s="28"/>
      <c r="D13" s="29"/>
      <c r="E13" s="30"/>
    </row>
    <row r="14" spans="1:8" x14ac:dyDescent="0.2">
      <c r="A14" s="26" t="s">
        <v>37</v>
      </c>
      <c r="B14" s="26"/>
      <c r="C14" s="32"/>
      <c r="D14" s="33">
        <f>D12</f>
        <v>1629.3829911999999</v>
      </c>
      <c r="E14" s="34">
        <f>E12</f>
        <v>98.158796528509257</v>
      </c>
      <c r="F14" s="18"/>
      <c r="G14" s="18"/>
      <c r="H14" s="18"/>
    </row>
    <row r="15" spans="1:8" x14ac:dyDescent="0.2">
      <c r="A15" s="26"/>
      <c r="B15" s="26"/>
      <c r="C15" s="32"/>
      <c r="D15" s="33"/>
      <c r="E15" s="34"/>
      <c r="F15" s="18"/>
      <c r="G15" s="18"/>
      <c r="H15" s="18"/>
    </row>
    <row r="16" spans="1:8" x14ac:dyDescent="0.2">
      <c r="A16" s="26" t="s">
        <v>39</v>
      </c>
      <c r="B16" s="26"/>
      <c r="C16" s="32"/>
      <c r="D16" s="33">
        <f>D18-(D12)</f>
        <v>30.562982900000179</v>
      </c>
      <c r="E16" s="34">
        <f>E18-(E12)</f>
        <v>1.8412034714907435</v>
      </c>
      <c r="F16" s="18"/>
      <c r="G16" s="18"/>
      <c r="H16" s="18"/>
    </row>
    <row r="17" spans="1:8" x14ac:dyDescent="0.2">
      <c r="A17" s="26"/>
      <c r="B17" s="26"/>
      <c r="C17" s="32"/>
      <c r="D17" s="33"/>
      <c r="E17" s="34"/>
      <c r="F17" s="18"/>
      <c r="G17" s="18"/>
      <c r="H17" s="18"/>
    </row>
    <row r="18" spans="1:8" x14ac:dyDescent="0.2">
      <c r="A18" s="35" t="s">
        <v>38</v>
      </c>
      <c r="B18" s="35"/>
      <c r="C18" s="36"/>
      <c r="D18" s="37">
        <v>1659.9459741000001</v>
      </c>
      <c r="E18" s="38">
        <v>100</v>
      </c>
      <c r="F18" s="18"/>
      <c r="G18" s="18"/>
      <c r="H18" s="18"/>
    </row>
    <row r="20" spans="1:8" x14ac:dyDescent="0.2">
      <c r="A20" s="18" t="s">
        <v>738</v>
      </c>
    </row>
    <row r="21" spans="1:8" ht="30.75" customHeight="1" x14ac:dyDescent="0.3">
      <c r="A21" s="82" t="s">
        <v>739</v>
      </c>
      <c r="B21" s="83"/>
      <c r="C21" s="83"/>
      <c r="D21" s="83"/>
      <c r="E21" s="83"/>
    </row>
    <row r="23" spans="1:8" x14ac:dyDescent="0.2">
      <c r="A23" s="18" t="s">
        <v>41</v>
      </c>
    </row>
    <row r="24" spans="1:8" x14ac:dyDescent="0.2">
      <c r="A24" s="18" t="s">
        <v>42</v>
      </c>
    </row>
    <row r="25" spans="1:8" x14ac:dyDescent="0.2">
      <c r="A25" s="18" t="s">
        <v>43</v>
      </c>
      <c r="B25" s="18"/>
      <c r="C25" s="39" t="s">
        <v>45</v>
      </c>
      <c r="D25" s="41" t="s">
        <v>44</v>
      </c>
    </row>
    <row r="26" spans="1:8" x14ac:dyDescent="0.2">
      <c r="A26" s="9" t="s">
        <v>88</v>
      </c>
      <c r="C26" s="40">
        <v>29.982099999999999</v>
      </c>
      <c r="D26" s="40">
        <v>34.315100000000001</v>
      </c>
    </row>
    <row r="27" spans="1:8" x14ac:dyDescent="0.2">
      <c r="A27" s="9" t="s">
        <v>700</v>
      </c>
      <c r="C27" s="40">
        <v>10.2658</v>
      </c>
      <c r="D27" s="40">
        <v>11.288500000000001</v>
      </c>
    </row>
    <row r="28" spans="1:8" x14ac:dyDescent="0.2">
      <c r="A28" s="9" t="s">
        <v>89</v>
      </c>
      <c r="C28" s="40">
        <v>31.655999999999999</v>
      </c>
      <c r="D28" s="40">
        <v>36.380800000000001</v>
      </c>
    </row>
    <row r="29" spans="1:8" x14ac:dyDescent="0.2">
      <c r="A29" s="9" t="s">
        <v>701</v>
      </c>
      <c r="C29" s="40">
        <v>10.856999999999999</v>
      </c>
      <c r="D29" s="40">
        <v>12.015000000000001</v>
      </c>
    </row>
    <row r="31" spans="1:8" x14ac:dyDescent="0.2">
      <c r="A31" s="18" t="s">
        <v>47</v>
      </c>
    </row>
    <row r="32" spans="1:8" x14ac:dyDescent="0.2">
      <c r="A32" s="74" t="s">
        <v>65</v>
      </c>
      <c r="B32" s="75"/>
      <c r="C32" s="43" t="s">
        <v>66</v>
      </c>
    </row>
    <row r="33" spans="1:4" x14ac:dyDescent="0.2">
      <c r="A33" s="70" t="s">
        <v>700</v>
      </c>
      <c r="B33" s="71"/>
      <c r="C33" s="44">
        <v>0.44</v>
      </c>
    </row>
    <row r="34" spans="1:4" x14ac:dyDescent="0.2">
      <c r="A34" s="70" t="s">
        <v>701</v>
      </c>
      <c r="B34" s="71"/>
      <c r="C34" s="44">
        <v>0.44</v>
      </c>
    </row>
    <row r="35" spans="1:4" x14ac:dyDescent="0.2">
      <c r="A35" s="9" t="s">
        <v>67</v>
      </c>
    </row>
    <row r="36" spans="1:4" x14ac:dyDescent="0.2">
      <c r="A36" s="9" t="s">
        <v>46</v>
      </c>
    </row>
    <row r="38" spans="1:4" x14ac:dyDescent="0.2">
      <c r="A38" s="18" t="s">
        <v>218</v>
      </c>
      <c r="D38" s="45">
        <v>0.1716</v>
      </c>
    </row>
    <row r="40" spans="1:4" x14ac:dyDescent="0.2">
      <c r="A40" s="18" t="s">
        <v>727</v>
      </c>
      <c r="D40" s="41" t="s">
        <v>1244</v>
      </c>
    </row>
    <row r="42" spans="1:4" x14ac:dyDescent="0.2">
      <c r="A42" s="18" t="s">
        <v>728</v>
      </c>
    </row>
    <row r="43" spans="1:4" x14ac:dyDescent="0.2">
      <c r="A43" s="50" t="s">
        <v>51</v>
      </c>
    </row>
  </sheetData>
  <mergeCells count="5">
    <mergeCell ref="A1:E1"/>
    <mergeCell ref="A32:B32"/>
    <mergeCell ref="A33:B33"/>
    <mergeCell ref="A34:B34"/>
    <mergeCell ref="A21:E21"/>
  </mergeCells>
  <conditionalFormatting sqref="E5:E9 E12:E18">
    <cfRule type="cellIs" dxfId="6" priority="1" stopIfTrue="1" operator="between">
      <formula>0.009</formula>
      <formula>-0.009</formula>
    </cfRule>
  </conditionalFormatting>
  <hyperlinks>
    <hyperlink ref="A43" r:id="rId1" xr:uid="{00000000-0004-0000-2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41"/>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15.109375" style="9" bestFit="1" customWidth="1"/>
    <col min="4" max="4" width="23" style="10" bestFit="1" customWidth="1"/>
    <col min="5" max="5" width="13.5546875" style="13" customWidth="1"/>
    <col min="6" max="16384" width="9.109375" style="9"/>
  </cols>
  <sheetData>
    <row r="1" spans="1:8" s="1" customFormat="1" ht="13.8" x14ac:dyDescent="0.2">
      <c r="A1" s="72" t="s">
        <v>27</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703</v>
      </c>
      <c r="B6" s="52" t="s">
        <v>702</v>
      </c>
      <c r="C6" s="31">
        <v>1435944.3060000001</v>
      </c>
      <c r="D6" s="29">
        <v>1195.3661970000001</v>
      </c>
      <c r="E6" s="30">
        <v>60.506612372181898</v>
      </c>
    </row>
    <row r="7" spans="1:8" x14ac:dyDescent="0.2">
      <c r="A7" s="27" t="s">
        <v>686</v>
      </c>
      <c r="B7" s="52" t="s">
        <v>685</v>
      </c>
      <c r="C7" s="31">
        <v>40461.771999999997</v>
      </c>
      <c r="D7" s="29">
        <v>287.83387859999999</v>
      </c>
      <c r="E7" s="30">
        <v>14.569470814667699</v>
      </c>
    </row>
    <row r="8" spans="1:8" x14ac:dyDescent="0.2">
      <c r="A8" s="27" t="s">
        <v>699</v>
      </c>
      <c r="B8" s="52" t="s">
        <v>698</v>
      </c>
      <c r="C8" s="31">
        <v>50234.512000000002</v>
      </c>
      <c r="D8" s="29">
        <v>194.06757429999999</v>
      </c>
      <c r="E8" s="30">
        <v>9.82324205055275</v>
      </c>
    </row>
    <row r="9" spans="1:8" x14ac:dyDescent="0.2">
      <c r="A9" s="27" t="s">
        <v>710</v>
      </c>
      <c r="B9" s="52" t="s">
        <v>709</v>
      </c>
      <c r="C9" s="31">
        <v>12390.195</v>
      </c>
      <c r="D9" s="29">
        <v>193.97733690000001</v>
      </c>
      <c r="E9" s="30">
        <v>9.8186744465858808</v>
      </c>
    </row>
    <row r="10" spans="1:8" ht="20.399999999999999" x14ac:dyDescent="0.2">
      <c r="A10" s="27" t="s">
        <v>704</v>
      </c>
      <c r="B10" s="52" t="s">
        <v>740</v>
      </c>
      <c r="C10" s="31">
        <v>153383.95499999999</v>
      </c>
      <c r="D10" s="29">
        <v>62.616545500000001</v>
      </c>
      <c r="E10" s="30">
        <v>3.16950157714188</v>
      </c>
    </row>
    <row r="11" spans="1:8" ht="20.399999999999999" x14ac:dyDescent="0.2">
      <c r="A11" s="27" t="s">
        <v>706</v>
      </c>
      <c r="B11" s="52" t="s">
        <v>705</v>
      </c>
      <c r="C11" s="31">
        <v>631308.71</v>
      </c>
      <c r="D11" s="29">
        <v>0</v>
      </c>
      <c r="E11" s="29">
        <v>0</v>
      </c>
    </row>
    <row r="12" spans="1:8" ht="20.399999999999999" x14ac:dyDescent="0.2">
      <c r="A12" s="27" t="s">
        <v>708</v>
      </c>
      <c r="B12" s="52" t="s">
        <v>707</v>
      </c>
      <c r="C12" s="31">
        <v>584729.58299999998</v>
      </c>
      <c r="D12" s="29">
        <v>0</v>
      </c>
      <c r="E12" s="29">
        <v>0</v>
      </c>
    </row>
    <row r="13" spans="1:8" x14ac:dyDescent="0.2">
      <c r="A13" s="26" t="s">
        <v>35</v>
      </c>
      <c r="B13" s="26"/>
      <c r="C13" s="32"/>
      <c r="D13" s="33">
        <f>SUM(D6:D12)</f>
        <v>1933.8615322999999</v>
      </c>
      <c r="E13" s="34">
        <f>SUM(E6:E12)</f>
        <v>97.887501261130126</v>
      </c>
      <c r="F13" s="18"/>
      <c r="G13" s="18"/>
      <c r="H13" s="18"/>
    </row>
    <row r="14" spans="1:8" x14ac:dyDescent="0.2">
      <c r="A14" s="27"/>
      <c r="B14" s="27"/>
      <c r="C14" s="28"/>
      <c r="D14" s="29"/>
      <c r="E14" s="30"/>
    </row>
    <row r="15" spans="1:8" x14ac:dyDescent="0.2">
      <c r="A15" s="26" t="s">
        <v>37</v>
      </c>
      <c r="B15" s="26"/>
      <c r="C15" s="32"/>
      <c r="D15" s="33">
        <f>D13</f>
        <v>1933.8615322999999</v>
      </c>
      <c r="E15" s="34">
        <f>E13</f>
        <v>97.887501261130126</v>
      </c>
      <c r="F15" s="18"/>
      <c r="G15" s="18"/>
      <c r="H15" s="18"/>
    </row>
    <row r="16" spans="1:8" x14ac:dyDescent="0.2">
      <c r="A16" s="26"/>
      <c r="B16" s="26"/>
      <c r="C16" s="32"/>
      <c r="D16" s="33"/>
      <c r="E16" s="34"/>
      <c r="F16" s="18"/>
      <c r="G16" s="18"/>
      <c r="H16" s="18"/>
    </row>
    <row r="17" spans="1:8" x14ac:dyDescent="0.2">
      <c r="A17" s="26" t="s">
        <v>39</v>
      </c>
      <c r="B17" s="26"/>
      <c r="C17" s="32"/>
      <c r="D17" s="33">
        <f>D19-(D13)</f>
        <v>41.734440000000177</v>
      </c>
      <c r="E17" s="34">
        <f>E19-(E13)</f>
        <v>2.1124987388698742</v>
      </c>
      <c r="F17" s="18"/>
      <c r="G17" s="18"/>
      <c r="H17" s="18"/>
    </row>
    <row r="18" spans="1:8" x14ac:dyDescent="0.2">
      <c r="A18" s="26"/>
      <c r="B18" s="26"/>
      <c r="C18" s="32"/>
      <c r="D18" s="33"/>
      <c r="E18" s="34"/>
      <c r="F18" s="18"/>
      <c r="G18" s="18"/>
      <c r="H18" s="18"/>
    </row>
    <row r="19" spans="1:8" x14ac:dyDescent="0.2">
      <c r="A19" s="35" t="s">
        <v>38</v>
      </c>
      <c r="B19" s="35"/>
      <c r="C19" s="36"/>
      <c r="D19" s="37">
        <v>1975.5959723000001</v>
      </c>
      <c r="E19" s="38">
        <v>100</v>
      </c>
      <c r="F19" s="18"/>
      <c r="G19" s="18"/>
      <c r="H19" s="18"/>
    </row>
    <row r="21" spans="1:8" x14ac:dyDescent="0.2">
      <c r="A21" s="18" t="s">
        <v>738</v>
      </c>
      <c r="C21" s="10"/>
      <c r="D21" s="13"/>
      <c r="E21" s="14"/>
    </row>
    <row r="22" spans="1:8" ht="25.5" customHeight="1" x14ac:dyDescent="0.3">
      <c r="A22" s="82" t="s">
        <v>739</v>
      </c>
      <c r="B22" s="83"/>
      <c r="C22" s="83"/>
      <c r="D22" s="83"/>
      <c r="E22" s="83"/>
    </row>
    <row r="24" spans="1:8" x14ac:dyDescent="0.2">
      <c r="A24" s="18" t="s">
        <v>41</v>
      </c>
    </row>
    <row r="25" spans="1:8" x14ac:dyDescent="0.2">
      <c r="A25" s="18" t="s">
        <v>42</v>
      </c>
    </row>
    <row r="26" spans="1:8" x14ac:dyDescent="0.2">
      <c r="A26" s="18" t="s">
        <v>43</v>
      </c>
      <c r="B26" s="18"/>
      <c r="C26" s="39" t="s">
        <v>45</v>
      </c>
      <c r="D26" s="41" t="s">
        <v>44</v>
      </c>
    </row>
    <row r="27" spans="1:8" x14ac:dyDescent="0.2">
      <c r="A27" s="9" t="s">
        <v>88</v>
      </c>
      <c r="C27" s="40">
        <v>45.354300000000002</v>
      </c>
      <c r="D27" s="40">
        <v>54.064999999999998</v>
      </c>
    </row>
    <row r="28" spans="1:8" x14ac:dyDescent="0.2">
      <c r="A28" s="9" t="s">
        <v>700</v>
      </c>
      <c r="C28" s="40">
        <v>11.8691</v>
      </c>
      <c r="D28" s="40">
        <v>14.1486</v>
      </c>
    </row>
    <row r="29" spans="1:8" x14ac:dyDescent="0.2">
      <c r="A29" s="9" t="s">
        <v>89</v>
      </c>
      <c r="C29" s="40">
        <v>47.835299999999997</v>
      </c>
      <c r="D29" s="40">
        <v>57.249400000000001</v>
      </c>
    </row>
    <row r="30" spans="1:8" x14ac:dyDescent="0.2">
      <c r="A30" s="9" t="s">
        <v>701</v>
      </c>
      <c r="C30" s="40">
        <v>12.510899999999999</v>
      </c>
      <c r="D30" s="40">
        <v>14.9664</v>
      </c>
    </row>
    <row r="32" spans="1:8" x14ac:dyDescent="0.2">
      <c r="A32" s="9" t="s">
        <v>46</v>
      </c>
    </row>
    <row r="34" spans="1:4" x14ac:dyDescent="0.2">
      <c r="A34" s="18" t="s">
        <v>47</v>
      </c>
      <c r="D34" s="41" t="s">
        <v>48</v>
      </c>
    </row>
    <row r="36" spans="1:4" x14ac:dyDescent="0.2">
      <c r="A36" s="18" t="s">
        <v>218</v>
      </c>
      <c r="D36" s="45">
        <v>0.21659999999999999</v>
      </c>
    </row>
    <row r="38" spans="1:4" x14ac:dyDescent="0.2">
      <c r="A38" s="18" t="s">
        <v>727</v>
      </c>
      <c r="D38" s="41" t="s">
        <v>1244</v>
      </c>
    </row>
    <row r="40" spans="1:4" x14ac:dyDescent="0.2">
      <c r="A40" s="18" t="s">
        <v>728</v>
      </c>
    </row>
    <row r="41" spans="1:4" x14ac:dyDescent="0.2">
      <c r="A41" s="50" t="s">
        <v>51</v>
      </c>
    </row>
  </sheetData>
  <mergeCells count="2">
    <mergeCell ref="A1:E1"/>
    <mergeCell ref="A22:E22"/>
  </mergeCells>
  <conditionalFormatting sqref="E5:E10 E13:E19">
    <cfRule type="cellIs" dxfId="5" priority="2" stopIfTrue="1" operator="between">
      <formula>0.009</formula>
      <formula>-0.009</formula>
    </cfRule>
  </conditionalFormatting>
  <conditionalFormatting sqref="E21">
    <cfRule type="cellIs" dxfId="4" priority="1" stopIfTrue="1" operator="between">
      <formula>0.009</formula>
      <formula>-0.009</formula>
    </cfRule>
  </conditionalFormatting>
  <hyperlinks>
    <hyperlink ref="A41" r:id="rId1" xr:uid="{00000000-0004-0000-2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41"/>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15.109375" style="9" bestFit="1" customWidth="1"/>
    <col min="4" max="4" width="23" style="10" bestFit="1" customWidth="1"/>
    <col min="5" max="5" width="13.5546875" style="13" customWidth="1"/>
    <col min="6" max="16384" width="9.109375" style="9"/>
  </cols>
  <sheetData>
    <row r="1" spans="1:8" s="1" customFormat="1" ht="13.8" x14ac:dyDescent="0.2">
      <c r="A1" s="72" t="s">
        <v>28</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703</v>
      </c>
      <c r="B6" s="52" t="s">
        <v>702</v>
      </c>
      <c r="C6" s="31">
        <v>301370.46100000001</v>
      </c>
      <c r="D6" s="29">
        <v>250.87885399999999</v>
      </c>
      <c r="E6" s="30">
        <v>40.890671192503198</v>
      </c>
    </row>
    <row r="7" spans="1:8" x14ac:dyDescent="0.2">
      <c r="A7" s="27" t="s">
        <v>686</v>
      </c>
      <c r="B7" s="52" t="s">
        <v>685</v>
      </c>
      <c r="C7" s="31">
        <v>29422.054</v>
      </c>
      <c r="D7" s="29">
        <v>209.3003717</v>
      </c>
      <c r="E7" s="30">
        <v>34.113806497431597</v>
      </c>
    </row>
    <row r="8" spans="1:8" x14ac:dyDescent="0.2">
      <c r="A8" s="27" t="s">
        <v>699</v>
      </c>
      <c r="B8" s="52" t="s">
        <v>698</v>
      </c>
      <c r="C8" s="31">
        <v>15569.022000000001</v>
      </c>
      <c r="D8" s="29">
        <v>60.146743999999998</v>
      </c>
      <c r="E8" s="30">
        <v>9.8033002502620796</v>
      </c>
    </row>
    <row r="9" spans="1:8" x14ac:dyDescent="0.2">
      <c r="A9" s="27" t="s">
        <v>710</v>
      </c>
      <c r="B9" s="52" t="s">
        <v>709</v>
      </c>
      <c r="C9" s="31">
        <v>3834.4720000000002</v>
      </c>
      <c r="D9" s="29">
        <v>60.031393100000003</v>
      </c>
      <c r="E9" s="30">
        <v>9.7844992407371407</v>
      </c>
    </row>
    <row r="10" spans="1:8" ht="20.399999999999999" x14ac:dyDescent="0.2">
      <c r="A10" s="27" t="s">
        <v>704</v>
      </c>
      <c r="B10" s="52" t="s">
        <v>740</v>
      </c>
      <c r="C10" s="31">
        <v>45732.618999999999</v>
      </c>
      <c r="D10" s="29">
        <v>18.669609999999999</v>
      </c>
      <c r="E10" s="30">
        <v>3.0429542850282201</v>
      </c>
    </row>
    <row r="11" spans="1:8" ht="20.399999999999999" x14ac:dyDescent="0.2">
      <c r="A11" s="27" t="s">
        <v>706</v>
      </c>
      <c r="B11" s="52" t="s">
        <v>705</v>
      </c>
      <c r="C11" s="31">
        <v>196087.27</v>
      </c>
      <c r="D11" s="29">
        <v>0</v>
      </c>
      <c r="E11" s="29">
        <v>0</v>
      </c>
    </row>
    <row r="12" spans="1:8" ht="20.399999999999999" x14ac:dyDescent="0.2">
      <c r="A12" s="27" t="s">
        <v>708</v>
      </c>
      <c r="B12" s="52" t="s">
        <v>707</v>
      </c>
      <c r="C12" s="31">
        <v>177292.25099999999</v>
      </c>
      <c r="D12" s="29">
        <v>0</v>
      </c>
      <c r="E12" s="29">
        <v>0</v>
      </c>
    </row>
    <row r="13" spans="1:8" x14ac:dyDescent="0.2">
      <c r="A13" s="26" t="s">
        <v>35</v>
      </c>
      <c r="B13" s="26"/>
      <c r="C13" s="32"/>
      <c r="D13" s="33">
        <f>SUM(D6:D12)</f>
        <v>599.02697279999995</v>
      </c>
      <c r="E13" s="34">
        <f>SUM(E6:E12)</f>
        <v>97.635231465962235</v>
      </c>
      <c r="F13" s="18"/>
      <c r="G13" s="18"/>
      <c r="H13" s="18"/>
    </row>
    <row r="14" spans="1:8" x14ac:dyDescent="0.2">
      <c r="A14" s="27"/>
      <c r="B14" s="27"/>
      <c r="C14" s="28"/>
      <c r="D14" s="29"/>
      <c r="E14" s="30"/>
    </row>
    <row r="15" spans="1:8" x14ac:dyDescent="0.2">
      <c r="A15" s="26" t="s">
        <v>37</v>
      </c>
      <c r="B15" s="26"/>
      <c r="C15" s="32"/>
      <c r="D15" s="33">
        <f>D13</f>
        <v>599.02697279999995</v>
      </c>
      <c r="E15" s="34">
        <f>E13</f>
        <v>97.635231465962235</v>
      </c>
      <c r="F15" s="18"/>
      <c r="G15" s="18"/>
      <c r="H15" s="18"/>
    </row>
    <row r="16" spans="1:8" x14ac:dyDescent="0.2">
      <c r="A16" s="26"/>
      <c r="B16" s="26"/>
      <c r="C16" s="32"/>
      <c r="D16" s="33"/>
      <c r="E16" s="34"/>
      <c r="F16" s="18"/>
      <c r="G16" s="18"/>
      <c r="H16" s="18"/>
    </row>
    <row r="17" spans="1:8" x14ac:dyDescent="0.2">
      <c r="A17" s="26" t="s">
        <v>39</v>
      </c>
      <c r="B17" s="26"/>
      <c r="C17" s="32"/>
      <c r="D17" s="33">
        <f>D19-(D13)</f>
        <v>14.508698500000037</v>
      </c>
      <c r="E17" s="34">
        <f>E19-(E13)</f>
        <v>2.3647685340377649</v>
      </c>
      <c r="F17" s="18"/>
      <c r="G17" s="18"/>
      <c r="H17" s="18"/>
    </row>
    <row r="18" spans="1:8" x14ac:dyDescent="0.2">
      <c r="A18" s="26"/>
      <c r="B18" s="26"/>
      <c r="C18" s="32"/>
      <c r="D18" s="33"/>
      <c r="E18" s="34"/>
      <c r="F18" s="18"/>
      <c r="G18" s="18"/>
      <c r="H18" s="18"/>
    </row>
    <row r="19" spans="1:8" x14ac:dyDescent="0.2">
      <c r="A19" s="35" t="s">
        <v>38</v>
      </c>
      <c r="B19" s="35"/>
      <c r="C19" s="36"/>
      <c r="D19" s="37">
        <v>613.53567129999999</v>
      </c>
      <c r="E19" s="38">
        <v>100</v>
      </c>
      <c r="F19" s="18"/>
      <c r="G19" s="18"/>
      <c r="H19" s="18"/>
    </row>
    <row r="21" spans="1:8" x14ac:dyDescent="0.2">
      <c r="A21" s="18" t="s">
        <v>738</v>
      </c>
    </row>
    <row r="22" spans="1:8" ht="27.75" customHeight="1" x14ac:dyDescent="0.3">
      <c r="A22" s="82" t="s">
        <v>739</v>
      </c>
      <c r="B22" s="83"/>
      <c r="C22" s="83"/>
      <c r="D22" s="83"/>
      <c r="E22" s="83"/>
    </row>
    <row r="24" spans="1:8" x14ac:dyDescent="0.2">
      <c r="A24" s="18" t="s">
        <v>41</v>
      </c>
    </row>
    <row r="25" spans="1:8" x14ac:dyDescent="0.2">
      <c r="A25" s="18" t="s">
        <v>42</v>
      </c>
    </row>
    <row r="26" spans="1:8" x14ac:dyDescent="0.2">
      <c r="A26" s="18" t="s">
        <v>43</v>
      </c>
      <c r="B26" s="18"/>
      <c r="C26" s="39" t="s">
        <v>45</v>
      </c>
      <c r="D26" s="19" t="s">
        <v>44</v>
      </c>
    </row>
    <row r="27" spans="1:8" x14ac:dyDescent="0.2">
      <c r="A27" s="9" t="s">
        <v>88</v>
      </c>
      <c r="C27" s="40">
        <v>59.995399999999997</v>
      </c>
      <c r="D27" s="40">
        <v>73.796499999999995</v>
      </c>
    </row>
    <row r="28" spans="1:8" x14ac:dyDescent="0.2">
      <c r="A28" s="9" t="s">
        <v>700</v>
      </c>
      <c r="C28" s="40">
        <v>19.476700000000001</v>
      </c>
      <c r="D28" s="40">
        <v>23.957100000000001</v>
      </c>
    </row>
    <row r="29" spans="1:8" x14ac:dyDescent="0.2">
      <c r="A29" s="9" t="s">
        <v>89</v>
      </c>
      <c r="C29" s="40">
        <v>62.903799999999997</v>
      </c>
      <c r="D29" s="40">
        <v>77.568100000000001</v>
      </c>
    </row>
    <row r="30" spans="1:8" x14ac:dyDescent="0.2">
      <c r="A30" s="9" t="s">
        <v>701</v>
      </c>
      <c r="C30" s="40">
        <v>20.7498</v>
      </c>
      <c r="D30" s="40">
        <v>25.5778</v>
      </c>
    </row>
    <row r="32" spans="1:8" x14ac:dyDescent="0.2">
      <c r="A32" s="9" t="s">
        <v>46</v>
      </c>
    </row>
    <row r="34" spans="1:4" x14ac:dyDescent="0.2">
      <c r="A34" s="18" t="s">
        <v>47</v>
      </c>
      <c r="D34" s="41" t="s">
        <v>48</v>
      </c>
    </row>
    <row r="36" spans="1:4" x14ac:dyDescent="0.2">
      <c r="A36" s="18" t="s">
        <v>218</v>
      </c>
      <c r="D36" s="45">
        <v>0.2248</v>
      </c>
    </row>
    <row r="38" spans="1:4" x14ac:dyDescent="0.2">
      <c r="A38" s="18" t="s">
        <v>727</v>
      </c>
      <c r="D38" s="41" t="s">
        <v>1244</v>
      </c>
    </row>
    <row r="40" spans="1:4" x14ac:dyDescent="0.2">
      <c r="A40" s="18" t="s">
        <v>728</v>
      </c>
    </row>
    <row r="41" spans="1:4" x14ac:dyDescent="0.2">
      <c r="A41" s="50" t="s">
        <v>51</v>
      </c>
    </row>
  </sheetData>
  <mergeCells count="2">
    <mergeCell ref="A1:E1"/>
    <mergeCell ref="A22:E22"/>
  </mergeCells>
  <conditionalFormatting sqref="E5:E10 E13:E19">
    <cfRule type="cellIs" dxfId="3" priority="1" stopIfTrue="1" operator="between">
      <formula>0.009</formula>
      <formula>-0.009</formula>
    </cfRule>
  </conditionalFormatting>
  <hyperlinks>
    <hyperlink ref="A41" r:id="rId1" xr:uid="{00000000-0004-0000-3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41"/>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15.109375" style="9" bestFit="1" customWidth="1"/>
    <col min="4" max="4" width="23" style="10" bestFit="1" customWidth="1"/>
    <col min="5" max="5" width="13.5546875" style="13" customWidth="1"/>
    <col min="6" max="16384" width="9.109375" style="9"/>
  </cols>
  <sheetData>
    <row r="1" spans="1:8" s="1" customFormat="1" ht="13.8" x14ac:dyDescent="0.2">
      <c r="A1" s="72" t="s">
        <v>29</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x14ac:dyDescent="0.2">
      <c r="A6" s="27" t="s">
        <v>686</v>
      </c>
      <c r="B6" s="52" t="s">
        <v>685</v>
      </c>
      <c r="C6" s="31">
        <v>96665.054000000004</v>
      </c>
      <c r="D6" s="29">
        <v>687.6485146</v>
      </c>
      <c r="E6" s="30">
        <v>52.591906709005997</v>
      </c>
    </row>
    <row r="7" spans="1:8" x14ac:dyDescent="0.2">
      <c r="A7" s="27" t="s">
        <v>703</v>
      </c>
      <c r="B7" s="52" t="s">
        <v>702</v>
      </c>
      <c r="C7" s="31">
        <v>312404.67800000001</v>
      </c>
      <c r="D7" s="29">
        <v>260.06439820000003</v>
      </c>
      <c r="E7" s="30">
        <v>19.8899325426801</v>
      </c>
    </row>
    <row r="8" spans="1:8" x14ac:dyDescent="0.2">
      <c r="A8" s="27" t="s">
        <v>710</v>
      </c>
      <c r="B8" s="52" t="s">
        <v>709</v>
      </c>
      <c r="C8" s="31">
        <v>13340.894</v>
      </c>
      <c r="D8" s="29">
        <v>208.8612076</v>
      </c>
      <c r="E8" s="30">
        <v>15.9738716975475</v>
      </c>
    </row>
    <row r="9" spans="1:8" x14ac:dyDescent="0.2">
      <c r="A9" s="27" t="s">
        <v>699</v>
      </c>
      <c r="B9" s="52" t="s">
        <v>698</v>
      </c>
      <c r="C9" s="31">
        <v>53623.561999999998</v>
      </c>
      <c r="D9" s="29">
        <v>207.16026070000001</v>
      </c>
      <c r="E9" s="30">
        <v>15.843781922346301</v>
      </c>
    </row>
    <row r="10" spans="1:8" ht="20.399999999999999" x14ac:dyDescent="0.2">
      <c r="A10" s="27" t="s">
        <v>704</v>
      </c>
      <c r="B10" s="52" t="s">
        <v>740</v>
      </c>
      <c r="C10" s="31">
        <v>35222.603000000003</v>
      </c>
      <c r="D10" s="29">
        <v>14.379064100000001</v>
      </c>
      <c r="E10" s="30">
        <v>1.09972228784629</v>
      </c>
    </row>
    <row r="11" spans="1:8" ht="20.399999999999999" x14ac:dyDescent="0.2">
      <c r="A11" s="27" t="s">
        <v>706</v>
      </c>
      <c r="B11" s="52" t="s">
        <v>705</v>
      </c>
      <c r="C11" s="31">
        <v>167004.62</v>
      </c>
      <c r="D11" s="29">
        <v>0</v>
      </c>
      <c r="E11" s="29">
        <v>0</v>
      </c>
    </row>
    <row r="12" spans="1:8" ht="20.399999999999999" x14ac:dyDescent="0.2">
      <c r="A12" s="27" t="s">
        <v>708</v>
      </c>
      <c r="B12" s="52" t="s">
        <v>707</v>
      </c>
      <c r="C12" s="31">
        <v>147479.853</v>
      </c>
      <c r="D12" s="29">
        <v>0</v>
      </c>
      <c r="E12" s="29">
        <v>0</v>
      </c>
    </row>
    <row r="13" spans="1:8" x14ac:dyDescent="0.2">
      <c r="A13" s="26" t="s">
        <v>35</v>
      </c>
      <c r="B13" s="26"/>
      <c r="C13" s="32"/>
      <c r="D13" s="33">
        <f>SUM(D6:D12)</f>
        <v>1378.1134452000001</v>
      </c>
      <c r="E13" s="34">
        <f>SUM(E6:E12)</f>
        <v>105.39921515942618</v>
      </c>
      <c r="F13" s="18"/>
      <c r="G13" s="18"/>
      <c r="H13" s="18"/>
    </row>
    <row r="14" spans="1:8" x14ac:dyDescent="0.2">
      <c r="A14" s="27"/>
      <c r="B14" s="27"/>
      <c r="C14" s="28"/>
      <c r="D14" s="29"/>
      <c r="E14" s="30"/>
    </row>
    <row r="15" spans="1:8" x14ac:dyDescent="0.2">
      <c r="A15" s="26" t="s">
        <v>37</v>
      </c>
      <c r="B15" s="26"/>
      <c r="C15" s="32"/>
      <c r="D15" s="33">
        <f>D13</f>
        <v>1378.1134452000001</v>
      </c>
      <c r="E15" s="34">
        <f>E13</f>
        <v>105.39921515942618</v>
      </c>
      <c r="F15" s="18"/>
      <c r="G15" s="18"/>
      <c r="H15" s="18"/>
    </row>
    <row r="16" spans="1:8" x14ac:dyDescent="0.2">
      <c r="A16" s="26"/>
      <c r="B16" s="26"/>
      <c r="C16" s="32"/>
      <c r="D16" s="33"/>
      <c r="E16" s="34"/>
      <c r="F16" s="18"/>
      <c r="G16" s="18"/>
      <c r="H16" s="18"/>
    </row>
    <row r="17" spans="1:8" x14ac:dyDescent="0.2">
      <c r="A17" s="26" t="s">
        <v>39</v>
      </c>
      <c r="B17" s="26"/>
      <c r="C17" s="32"/>
      <c r="D17" s="33">
        <f>D19-(D13)</f>
        <v>-70.595696500000031</v>
      </c>
      <c r="E17" s="34">
        <f>E19-(E13)</f>
        <v>-5.399215159426177</v>
      </c>
      <c r="F17" s="18"/>
      <c r="G17" s="18"/>
      <c r="H17" s="18"/>
    </row>
    <row r="18" spans="1:8" x14ac:dyDescent="0.2">
      <c r="A18" s="26"/>
      <c r="B18" s="26"/>
      <c r="C18" s="32"/>
      <c r="D18" s="33"/>
      <c r="E18" s="34"/>
      <c r="F18" s="18"/>
      <c r="G18" s="18"/>
      <c r="H18" s="18"/>
    </row>
    <row r="19" spans="1:8" x14ac:dyDescent="0.2">
      <c r="A19" s="35" t="s">
        <v>38</v>
      </c>
      <c r="B19" s="35"/>
      <c r="C19" s="36"/>
      <c r="D19" s="37">
        <v>1307.5177487000001</v>
      </c>
      <c r="E19" s="38">
        <v>100</v>
      </c>
      <c r="F19" s="18"/>
      <c r="G19" s="18"/>
      <c r="H19" s="18"/>
    </row>
    <row r="21" spans="1:8" x14ac:dyDescent="0.2">
      <c r="A21" s="18" t="s">
        <v>738</v>
      </c>
    </row>
    <row r="22" spans="1:8" ht="27" customHeight="1" x14ac:dyDescent="0.3">
      <c r="A22" s="82" t="s">
        <v>739</v>
      </c>
      <c r="B22" s="83"/>
      <c r="C22" s="83"/>
      <c r="D22" s="83"/>
      <c r="E22" s="83"/>
    </row>
    <row r="24" spans="1:8" x14ac:dyDescent="0.2">
      <c r="A24" s="18" t="s">
        <v>41</v>
      </c>
    </row>
    <row r="25" spans="1:8" x14ac:dyDescent="0.2">
      <c r="A25" s="18" t="s">
        <v>42</v>
      </c>
    </row>
    <row r="26" spans="1:8" x14ac:dyDescent="0.2">
      <c r="A26" s="18" t="s">
        <v>43</v>
      </c>
      <c r="B26" s="18"/>
      <c r="C26" s="39" t="s">
        <v>45</v>
      </c>
      <c r="D26" s="41" t="s">
        <v>44</v>
      </c>
    </row>
    <row r="27" spans="1:8" x14ac:dyDescent="0.2">
      <c r="A27" s="9" t="s">
        <v>68</v>
      </c>
      <c r="C27" s="40">
        <v>90.434600000000003</v>
      </c>
      <c r="D27" s="40">
        <v>110.84050000000001</v>
      </c>
    </row>
    <row r="28" spans="1:8" x14ac:dyDescent="0.2">
      <c r="A28" s="9" t="s">
        <v>74</v>
      </c>
      <c r="C28" s="40">
        <v>27.203399999999998</v>
      </c>
      <c r="D28" s="40">
        <v>33.3416</v>
      </c>
    </row>
    <row r="29" spans="1:8" x14ac:dyDescent="0.2">
      <c r="A29" s="9" t="s">
        <v>71</v>
      </c>
      <c r="C29" s="40">
        <v>93.992099999999994</v>
      </c>
      <c r="D29" s="40">
        <v>115.4605</v>
      </c>
    </row>
    <row r="30" spans="1:8" x14ac:dyDescent="0.2">
      <c r="A30" s="9" t="s">
        <v>75</v>
      </c>
      <c r="C30" s="40">
        <v>28.6252</v>
      </c>
      <c r="D30" s="40">
        <v>35.153100000000002</v>
      </c>
    </row>
    <row r="32" spans="1:8" x14ac:dyDescent="0.2">
      <c r="A32" s="9" t="s">
        <v>46</v>
      </c>
    </row>
    <row r="34" spans="1:4" x14ac:dyDescent="0.2">
      <c r="A34" s="18" t="s">
        <v>47</v>
      </c>
      <c r="D34" s="41" t="s">
        <v>48</v>
      </c>
    </row>
    <row r="36" spans="1:4" x14ac:dyDescent="0.2">
      <c r="A36" s="18" t="s">
        <v>218</v>
      </c>
      <c r="D36" s="45">
        <v>0.1532</v>
      </c>
    </row>
    <row r="38" spans="1:4" x14ac:dyDescent="0.2">
      <c r="A38" s="18" t="s">
        <v>727</v>
      </c>
      <c r="D38" s="41" t="s">
        <v>1244</v>
      </c>
    </row>
    <row r="40" spans="1:4" x14ac:dyDescent="0.2">
      <c r="A40" s="18" t="s">
        <v>728</v>
      </c>
    </row>
    <row r="41" spans="1:4" x14ac:dyDescent="0.2">
      <c r="A41" s="50" t="s">
        <v>51</v>
      </c>
    </row>
  </sheetData>
  <mergeCells count="2">
    <mergeCell ref="A1:E1"/>
    <mergeCell ref="A22:E22"/>
  </mergeCells>
  <conditionalFormatting sqref="E5:E10 E13:E19">
    <cfRule type="cellIs" dxfId="2" priority="1" stopIfTrue="1" operator="between">
      <formula>0.009</formula>
      <formula>-0.009</formula>
    </cfRule>
  </conditionalFormatting>
  <hyperlinks>
    <hyperlink ref="A41" r:id="rId1" xr:uid="{00000000-0004-0000-3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1"/>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2" t="s">
        <v>30</v>
      </c>
      <c r="B1" s="73"/>
      <c r="C1" s="73"/>
      <c r="D1" s="73"/>
      <c r="E1" s="73"/>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v>
      </c>
      <c r="B5" s="22"/>
      <c r="C5" s="23"/>
      <c r="D5" s="24"/>
      <c r="E5" s="25"/>
    </row>
    <row r="6" spans="1:8" ht="20.399999999999999" x14ac:dyDescent="0.2">
      <c r="A6" s="27" t="s">
        <v>712</v>
      </c>
      <c r="B6" s="52" t="s">
        <v>711</v>
      </c>
      <c r="C6" s="31">
        <v>5430142.1799999997</v>
      </c>
      <c r="D6" s="29">
        <v>50719.868349999997</v>
      </c>
      <c r="E6" s="30">
        <v>46.244388004765803</v>
      </c>
    </row>
    <row r="7" spans="1:8" ht="20.399999999999999" x14ac:dyDescent="0.2">
      <c r="A7" s="27" t="s">
        <v>689</v>
      </c>
      <c r="B7" s="52" t="s">
        <v>737</v>
      </c>
      <c r="C7" s="31">
        <v>238685.56899999999</v>
      </c>
      <c r="D7" s="29">
        <v>5650.6070739999996</v>
      </c>
      <c r="E7" s="30">
        <v>5.1520020554732104</v>
      </c>
    </row>
    <row r="8" spans="1:8" ht="20.399999999999999" x14ac:dyDescent="0.2">
      <c r="A8" s="27" t="s">
        <v>693</v>
      </c>
      <c r="B8" s="52" t="s">
        <v>692</v>
      </c>
      <c r="C8" s="31">
        <v>1370528.45</v>
      </c>
      <c r="D8" s="29">
        <v>0</v>
      </c>
      <c r="E8" s="29">
        <v>0</v>
      </c>
    </row>
    <row r="9" spans="1:8" ht="20.399999999999999" x14ac:dyDescent="0.2">
      <c r="A9" s="27" t="s">
        <v>695</v>
      </c>
      <c r="B9" s="52" t="s">
        <v>694</v>
      </c>
      <c r="C9" s="31">
        <v>1235134.5419999999</v>
      </c>
      <c r="D9" s="29">
        <v>0</v>
      </c>
      <c r="E9" s="29">
        <v>0</v>
      </c>
    </row>
    <row r="10" spans="1:8" x14ac:dyDescent="0.2">
      <c r="A10" s="26" t="s">
        <v>35</v>
      </c>
      <c r="B10" s="26"/>
      <c r="C10" s="32"/>
      <c r="D10" s="33">
        <f>SUM(D6:D9)</f>
        <v>56370.475423999997</v>
      </c>
      <c r="E10" s="34">
        <f>SUM(E6:E9)</f>
        <v>51.396390060239014</v>
      </c>
      <c r="F10" s="18"/>
      <c r="G10" s="18"/>
      <c r="H10" s="18"/>
    </row>
    <row r="11" spans="1:8" x14ac:dyDescent="0.2">
      <c r="A11" s="27"/>
      <c r="B11" s="27"/>
      <c r="C11" s="28"/>
      <c r="D11" s="29"/>
      <c r="E11" s="30"/>
    </row>
    <row r="12" spans="1:8" x14ac:dyDescent="0.2">
      <c r="A12" s="26" t="s">
        <v>37</v>
      </c>
      <c r="B12" s="26"/>
      <c r="C12" s="32"/>
      <c r="D12" s="33">
        <f>D10</f>
        <v>56370.475423999997</v>
      </c>
      <c r="E12" s="34">
        <f>E10</f>
        <v>51.396390060239014</v>
      </c>
      <c r="F12" s="18"/>
      <c r="G12" s="18"/>
      <c r="H12" s="18"/>
    </row>
    <row r="13" spans="1:8" x14ac:dyDescent="0.2">
      <c r="A13" s="26"/>
      <c r="B13" s="26"/>
      <c r="C13" s="32"/>
      <c r="D13" s="33"/>
      <c r="E13" s="34"/>
      <c r="F13" s="18"/>
      <c r="G13" s="18"/>
      <c r="H13" s="18"/>
    </row>
    <row r="14" spans="1:8" x14ac:dyDescent="0.2">
      <c r="A14" s="26" t="s">
        <v>39</v>
      </c>
      <c r="B14" s="26"/>
      <c r="C14" s="32"/>
      <c r="D14" s="33">
        <f>D16-(D10)</f>
        <v>53307.413155199996</v>
      </c>
      <c r="E14" s="34">
        <f>E16-(E10)</f>
        <v>48.603609939760986</v>
      </c>
      <c r="F14" s="18"/>
      <c r="G14" s="18"/>
      <c r="H14" s="18"/>
    </row>
    <row r="15" spans="1:8" x14ac:dyDescent="0.2">
      <c r="A15" s="26"/>
      <c r="B15" s="26"/>
      <c r="C15" s="32"/>
      <c r="D15" s="33"/>
      <c r="E15" s="34"/>
      <c r="F15" s="18"/>
      <c r="G15" s="18"/>
      <c r="H15" s="18"/>
    </row>
    <row r="16" spans="1:8" x14ac:dyDescent="0.2">
      <c r="A16" s="35" t="s">
        <v>38</v>
      </c>
      <c r="B16" s="35"/>
      <c r="C16" s="36"/>
      <c r="D16" s="37">
        <v>109677.88857919999</v>
      </c>
      <c r="E16" s="38">
        <v>100</v>
      </c>
      <c r="F16" s="18"/>
      <c r="G16" s="18"/>
      <c r="H16" s="18"/>
    </row>
    <row r="18" spans="1:5" x14ac:dyDescent="0.2">
      <c r="A18" s="18" t="s">
        <v>738</v>
      </c>
      <c r="C18" s="10"/>
      <c r="D18" s="13"/>
      <c r="E18" s="14"/>
    </row>
    <row r="19" spans="1:5" ht="26.25" customHeight="1" x14ac:dyDescent="0.3">
      <c r="A19" s="82" t="s">
        <v>739</v>
      </c>
      <c r="B19" s="83"/>
      <c r="C19" s="83"/>
      <c r="D19" s="83"/>
      <c r="E19" s="83"/>
    </row>
    <row r="21" spans="1:5" x14ac:dyDescent="0.2">
      <c r="A21" s="18" t="s">
        <v>41</v>
      </c>
    </row>
    <row r="22" spans="1:5" x14ac:dyDescent="0.2">
      <c r="A22" s="18" t="s">
        <v>42</v>
      </c>
    </row>
    <row r="23" spans="1:5" x14ac:dyDescent="0.2">
      <c r="A23" s="18" t="s">
        <v>43</v>
      </c>
      <c r="B23" s="18"/>
      <c r="C23" s="39" t="s">
        <v>45</v>
      </c>
      <c r="D23" s="41" t="s">
        <v>44</v>
      </c>
    </row>
    <row r="24" spans="1:5" x14ac:dyDescent="0.2">
      <c r="A24" s="9" t="s">
        <v>68</v>
      </c>
      <c r="C24" s="40">
        <v>80.940200000000004</v>
      </c>
      <c r="D24" s="40">
        <v>99.186300000000003</v>
      </c>
    </row>
    <row r="25" spans="1:5" x14ac:dyDescent="0.2">
      <c r="A25" s="9" t="s">
        <v>74</v>
      </c>
      <c r="C25" s="40">
        <v>30.1219</v>
      </c>
      <c r="D25" s="40">
        <v>35.295400000000001</v>
      </c>
    </row>
    <row r="26" spans="1:5" x14ac:dyDescent="0.2">
      <c r="A26" s="9" t="s">
        <v>71</v>
      </c>
      <c r="C26" s="40">
        <v>87.702600000000004</v>
      </c>
      <c r="D26" s="40">
        <v>108.03019999999999</v>
      </c>
    </row>
    <row r="27" spans="1:5" x14ac:dyDescent="0.2">
      <c r="A27" s="9" t="s">
        <v>75</v>
      </c>
      <c r="C27" s="40">
        <v>33.772799999999997</v>
      </c>
      <c r="D27" s="40">
        <v>39.980699999999999</v>
      </c>
    </row>
    <row r="29" spans="1:5" x14ac:dyDescent="0.2">
      <c r="A29" s="18" t="s">
        <v>47</v>
      </c>
    </row>
    <row r="30" spans="1:5" x14ac:dyDescent="0.2">
      <c r="A30" s="74" t="s">
        <v>65</v>
      </c>
      <c r="B30" s="75"/>
      <c r="C30" s="43" t="s">
        <v>66</v>
      </c>
    </row>
    <row r="31" spans="1:5" x14ac:dyDescent="0.2">
      <c r="A31" s="70" t="s">
        <v>74</v>
      </c>
      <c r="B31" s="71"/>
      <c r="C31" s="44">
        <v>0.9</v>
      </c>
    </row>
    <row r="32" spans="1:5" x14ac:dyDescent="0.2">
      <c r="A32" s="70" t="s">
        <v>75</v>
      </c>
      <c r="B32" s="71"/>
      <c r="C32" s="44">
        <v>0.9</v>
      </c>
    </row>
    <row r="33" spans="1:4" x14ac:dyDescent="0.2">
      <c r="A33" s="9" t="s">
        <v>67</v>
      </c>
    </row>
    <row r="34" spans="1:4" x14ac:dyDescent="0.2">
      <c r="A34" s="9" t="s">
        <v>46</v>
      </c>
    </row>
    <row r="36" spans="1:4" x14ac:dyDescent="0.2">
      <c r="A36" s="18" t="s">
        <v>218</v>
      </c>
      <c r="D36" s="45">
        <v>0.1057</v>
      </c>
    </row>
    <row r="38" spans="1:4" x14ac:dyDescent="0.2">
      <c r="A38" s="18" t="s">
        <v>727</v>
      </c>
      <c r="D38" s="41" t="s">
        <v>1244</v>
      </c>
    </row>
    <row r="40" spans="1:4" x14ac:dyDescent="0.2">
      <c r="A40" s="18" t="s">
        <v>728</v>
      </c>
    </row>
    <row r="41" spans="1:4" x14ac:dyDescent="0.2">
      <c r="A41" s="50" t="s">
        <v>51</v>
      </c>
    </row>
  </sheetData>
  <mergeCells count="5">
    <mergeCell ref="A1:E1"/>
    <mergeCell ref="A30:B30"/>
    <mergeCell ref="A31:B31"/>
    <mergeCell ref="A32:B32"/>
    <mergeCell ref="A19:E19"/>
  </mergeCells>
  <conditionalFormatting sqref="E5:E7 E10:E16">
    <cfRule type="cellIs" dxfId="1" priority="2" stopIfTrue="1" operator="between">
      <formula>0.009</formula>
      <formula>-0.009</formula>
    </cfRule>
  </conditionalFormatting>
  <conditionalFormatting sqref="E18">
    <cfRule type="cellIs" dxfId="0" priority="1" stopIfTrue="1" operator="between">
      <formula>0.009</formula>
      <formula>-0.009</formula>
    </cfRule>
  </conditionalFormatting>
  <hyperlinks>
    <hyperlink ref="A41" r:id="rId1" xr:uid="{00000000-0004-0000-3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FMPS4E</vt:lpstr>
      <vt:lpstr>FMPS4D</vt:lpstr>
      <vt:lpstr>FMPS4C</vt:lpstr>
      <vt:lpstr>FIPP</vt:lpstr>
      <vt:lpstr>FIDHY</vt:lpstr>
      <vt:lpstr>FIDA</vt:lpstr>
      <vt:lpstr>FILDF</vt:lpstr>
      <vt:lpstr>FISTIP</vt:lpstr>
      <vt:lpstr>FIUBF</vt:lpstr>
      <vt:lpstr>FIIOF</vt:lpstr>
      <vt:lpstr>FICRF</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July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2021-08-09T10:40:57Z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2021-08-06T16:05:29Z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541bd600-3067-4f4a-8e22-b717c57b5d27</vt:lpwstr>
  </property>
  <property fmtid="{D5CDD505-2E9C-101B-9397-08002B2CF9AE}" pid="10" name="MSIP_Label_3486a02c-2dfb-4efe-823f-aa2d1f0e6ab7_ContentBits">
    <vt:lpwstr>2</vt:lpwstr>
  </property>
  <property fmtid="{D5CDD505-2E9C-101B-9397-08002B2CF9AE}" pid="11" name="Classification">
    <vt:lpwstr>PUBLIC</vt:lpwstr>
  </property>
</Properties>
</file>