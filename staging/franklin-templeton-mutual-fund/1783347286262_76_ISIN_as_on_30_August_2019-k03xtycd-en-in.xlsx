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IND\SEBI Reports\2019-2020\Aug\ISIN\Final\"/>
    </mc:Choice>
  </mc:AlternateContent>
  <xr:revisionPtr revIDLastSave="0" documentId="13_ncr:1_{9D8C6966-F51B-475A-8D85-EAF13B82F3B6}" xr6:coauthVersionLast="43" xr6:coauthVersionMax="43" xr10:uidLastSave="{00000000-0000-0000-0000-000000000000}"/>
  <bookViews>
    <workbookView xWindow="-120" yWindow="-120" windowWidth="29040" windowHeight="15840" xr2:uid="{3202B7B0-CC6E-4E2B-9618-F438B3353C46}"/>
  </bookViews>
  <sheets>
    <sheet name="TIVF" sheetId="25" r:id="rId1"/>
    <sheet name="FITX" sheetId="23" r:id="rId2"/>
    <sheet name="FITF" sheetId="22" r:id="rId3"/>
    <sheet name="FISMF" sheetId="21" r:id="rId4"/>
    <sheet name="FIPF" sheetId="20" r:id="rId5"/>
    <sheet name="FIOF" sheetId="19" r:id="rId6"/>
    <sheet name="FIFEF" sheetId="11" r:id="rId7"/>
    <sheet name="FIEIF" sheetId="9" r:id="rId8"/>
    <sheet name="FIEF" sheetId="8" r:id="rId9"/>
    <sheet name="FIEAF" sheetId="7" r:id="rId10"/>
    <sheet name="FIBF" sheetId="6" r:id="rId11"/>
    <sheet name="FBIF" sheetId="3" r:id="rId12"/>
    <sheet name="FAEF" sheetId="2" r:id="rId13"/>
    <sheet name="FIESF" sheetId="10" r:id="rId14"/>
    <sheet name="FIIF-NSE" sheetId="17" r:id="rId15"/>
    <sheet name="FIUS" sheetId="24" r:id="rId16"/>
    <sheet name="FEGF" sheetId="4" r:id="rId17"/>
    <sheet name="FIMAS" sheetId="18" r:id="rId18"/>
    <sheet name="FF" sheetId="5" r:id="rId19"/>
    <sheet name="FIFOF-50's+" sheetId="16" r:id="rId20"/>
    <sheet name="FIFOF-50's" sheetId="15" r:id="rId21"/>
    <sheet name="FIFOF-40's" sheetId="14" r:id="rId22"/>
    <sheet name="FIFOF-30's" sheetId="13" r:id="rId23"/>
    <sheet name="FIFOF-20's" sheetId="12" r:id="rId24"/>
    <sheet name="FIUBF" sheetId="26" r:id="rId25"/>
    <sheet name="FISTIP" sheetId="27" r:id="rId26"/>
    <sheet name="FISF" sheetId="28" r:id="rId27"/>
    <sheet name="FIONF" sheetId="29" r:id="rId28"/>
    <sheet name="FILF" sheetId="30" r:id="rId29"/>
    <sheet name="FILDF" sheetId="31" r:id="rId30"/>
    <sheet name="FIGSF" sheetId="32" r:id="rId31"/>
    <sheet name="FIFRF" sheetId="33" r:id="rId32"/>
    <sheet name="FICRF" sheetId="34" r:id="rId33"/>
    <sheet name="FICDF" sheetId="35" r:id="rId34"/>
    <sheet name="FBPF" sheetId="36" r:id="rId35"/>
    <sheet name="TIIOF" sheetId="37" r:id="rId36"/>
    <sheet name="FIDA" sheetId="38" r:id="rId37"/>
    <sheet name="FMPS6C" sheetId="39" r:id="rId38"/>
    <sheet name="FMPS5F" sheetId="40" r:id="rId39"/>
    <sheet name="FMPS5E" sheetId="41" r:id="rId40"/>
    <sheet name="FMPS5D" sheetId="42" r:id="rId41"/>
    <sheet name="FMPS5C" sheetId="43" r:id="rId42"/>
    <sheet name="FMPS5B" sheetId="44" r:id="rId43"/>
    <sheet name="FMPS5A" sheetId="45" r:id="rId44"/>
    <sheet name="FMPS4F" sheetId="46" r:id="rId45"/>
    <sheet name="FMPS4E" sheetId="47" r:id="rId46"/>
    <sheet name="FMPS4D" sheetId="48" r:id="rId47"/>
    <sheet name="FMPS4C" sheetId="49" r:id="rId48"/>
    <sheet name="FMPS4B" sheetId="50" r:id="rId49"/>
    <sheet name="FMPS4A" sheetId="51" r:id="rId50"/>
    <sheet name="FMPS3F" sheetId="52" r:id="rId51"/>
    <sheet name="FMPS3E" sheetId="53" r:id="rId52"/>
    <sheet name="FMPS3D" sheetId="54" r:id="rId53"/>
    <sheet name="FMPS3C" sheetId="55" r:id="rId54"/>
    <sheet name="FMPS3B" sheetId="56" r:id="rId55"/>
    <sheet name="FMPS3A" sheetId="57" r:id="rId56"/>
    <sheet name="FMPS2C" sheetId="58" r:id="rId57"/>
    <sheet name="FMPS2B" sheetId="59" r:id="rId58"/>
    <sheet name="FMPS2A" sheetId="60" r:id="rId59"/>
    <sheet name="FMPS1B" sheetId="61" r:id="rId60"/>
    <sheet name="FMPS1A" sheetId="62" r:id="rId61"/>
    <sheet name="FIPP" sheetId="63" r:id="rId62"/>
    <sheet name="FIDHY" sheetId="64" r:id="rId63"/>
    <sheet name="FIEHF" sheetId="65" r:id="rId64"/>
  </sheets>
  <externalReferences>
    <externalReference r:id="rId65"/>
  </externalReferences>
  <definedNames>
    <definedName name="_xlnm._FilterDatabase" localSheetId="7" hidden="1">FIEIF!$A$51:$F$69</definedName>
    <definedName name="_xlnm._FilterDatabase" localSheetId="13" hidden="1">FIESF!$A$7:$G$58</definedName>
    <definedName name="_xlnm._FilterDatabase" localSheetId="2" hidden="1">FITF!$A$26:$F$33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80" i="65" l="1"/>
  <c r="B79" i="65"/>
  <c r="B78" i="65"/>
  <c r="E75" i="65"/>
  <c r="B74" i="65"/>
  <c r="B73" i="65"/>
  <c r="B72" i="65"/>
  <c r="B71" i="65"/>
  <c r="B70" i="65"/>
  <c r="B69" i="65"/>
  <c r="B68" i="65"/>
  <c r="B67" i="65"/>
  <c r="B66" i="65"/>
  <c r="B65" i="65"/>
  <c r="B64" i="65"/>
  <c r="B63" i="65"/>
  <c r="B62" i="65"/>
  <c r="B61" i="65"/>
  <c r="B60" i="65"/>
  <c r="B59" i="65"/>
  <c r="B58" i="65"/>
  <c r="E53" i="65"/>
  <c r="E49" i="65"/>
  <c r="E44" i="65"/>
  <c r="E82" i="65" s="1"/>
  <c r="E86" i="65" s="1"/>
  <c r="E57" i="64"/>
  <c r="B56" i="64"/>
  <c r="B55" i="64"/>
  <c r="B54" i="64"/>
  <c r="B53" i="64"/>
  <c r="B52" i="64"/>
  <c r="B51" i="64"/>
  <c r="B50" i="64"/>
  <c r="B49" i="64"/>
  <c r="B48" i="64"/>
  <c r="B47" i="64"/>
  <c r="B46" i="64"/>
  <c r="B45" i="64"/>
  <c r="B44" i="64"/>
  <c r="B43" i="64"/>
  <c r="B42" i="64"/>
  <c r="B41" i="64"/>
  <c r="B40" i="64"/>
  <c r="B39" i="64"/>
  <c r="E34" i="64"/>
  <c r="E59" i="64" s="1"/>
  <c r="E63" i="64" s="1"/>
  <c r="F71" i="63"/>
  <c r="F67" i="63"/>
  <c r="E67" i="63"/>
  <c r="B66" i="63"/>
  <c r="E63" i="63"/>
  <c r="E69" i="63" s="1"/>
  <c r="F62" i="63"/>
  <c r="B62" i="63"/>
  <c r="F61" i="63"/>
  <c r="B61" i="63"/>
  <c r="F60" i="63"/>
  <c r="B60" i="63"/>
  <c r="F59" i="63"/>
  <c r="B59" i="63"/>
  <c r="F58" i="63"/>
  <c r="B58" i="63"/>
  <c r="F57" i="63"/>
  <c r="B57" i="63"/>
  <c r="F56" i="63"/>
  <c r="B56" i="63"/>
  <c r="F55" i="63"/>
  <c r="B55" i="63"/>
  <c r="F54" i="63"/>
  <c r="B54" i="63"/>
  <c r="F53" i="63"/>
  <c r="B53" i="63"/>
  <c r="F52" i="63"/>
  <c r="B52" i="63"/>
  <c r="F51" i="63"/>
  <c r="B51" i="63"/>
  <c r="F50" i="63"/>
  <c r="B50" i="63"/>
  <c r="F49" i="63"/>
  <c r="B49" i="63"/>
  <c r="F48" i="63"/>
  <c r="B48" i="63"/>
  <c r="F47" i="63"/>
  <c r="B47" i="63"/>
  <c r="F46" i="63"/>
  <c r="B46" i="63"/>
  <c r="F45" i="63"/>
  <c r="F63" i="63" s="1"/>
  <c r="B45" i="63"/>
  <c r="E40" i="63"/>
  <c r="F39" i="63"/>
  <c r="F38" i="63"/>
  <c r="F37" i="63"/>
  <c r="F36" i="63"/>
  <c r="F35" i="63"/>
  <c r="F34" i="63"/>
  <c r="F33" i="63"/>
  <c r="F32" i="63"/>
  <c r="F31" i="63"/>
  <c r="F30" i="63"/>
  <c r="F29" i="63"/>
  <c r="F28" i="63"/>
  <c r="F27" i="63"/>
  <c r="F26" i="63"/>
  <c r="F25" i="63"/>
  <c r="F24" i="63"/>
  <c r="F23" i="63"/>
  <c r="F22" i="63"/>
  <c r="F21" i="63"/>
  <c r="F20" i="63"/>
  <c r="F19" i="63"/>
  <c r="F18" i="63"/>
  <c r="F17" i="63"/>
  <c r="F16" i="63"/>
  <c r="F15" i="63"/>
  <c r="F14" i="63"/>
  <c r="F13" i="63"/>
  <c r="F12" i="63"/>
  <c r="F11" i="63"/>
  <c r="F10" i="63"/>
  <c r="F9" i="63"/>
  <c r="F8" i="63"/>
  <c r="F7" i="63"/>
  <c r="F40" i="63" s="1"/>
  <c r="F31" i="62"/>
  <c r="F35" i="62" s="1"/>
  <c r="F29" i="62"/>
  <c r="E29" i="62"/>
  <c r="B28" i="62"/>
  <c r="B27" i="62"/>
  <c r="B26" i="62"/>
  <c r="F23" i="62"/>
  <c r="E23" i="62"/>
  <c r="E31" i="62" s="1"/>
  <c r="E35" i="62" s="1"/>
  <c r="B22" i="62"/>
  <c r="F19" i="62"/>
  <c r="E19" i="62"/>
  <c r="B18" i="62"/>
  <c r="B17" i="62"/>
  <c r="B16" i="62"/>
  <c r="B15" i="62"/>
  <c r="B14" i="62"/>
  <c r="B13" i="62"/>
  <c r="B12" i="62"/>
  <c r="B11" i="62"/>
  <c r="B10" i="62"/>
  <c r="B9" i="62"/>
  <c r="B8" i="62"/>
  <c r="F29" i="61"/>
  <c r="E29" i="61"/>
  <c r="B28" i="61"/>
  <c r="B27" i="61"/>
  <c r="B26" i="61"/>
  <c r="F23" i="61"/>
  <c r="F31" i="61" s="1"/>
  <c r="F35" i="61" s="1"/>
  <c r="E23" i="61"/>
  <c r="B22" i="61"/>
  <c r="F19" i="61"/>
  <c r="E19" i="61"/>
  <c r="E31" i="61" s="1"/>
  <c r="E35" i="61" s="1"/>
  <c r="B18" i="61"/>
  <c r="B17" i="61"/>
  <c r="B16" i="61"/>
  <c r="B15" i="61"/>
  <c r="B14" i="61"/>
  <c r="B13" i="61"/>
  <c r="B12" i="61"/>
  <c r="B11" i="61"/>
  <c r="B10" i="61"/>
  <c r="B9" i="61"/>
  <c r="B8" i="61"/>
  <c r="F40" i="60"/>
  <c r="F34" i="60"/>
  <c r="E34" i="60"/>
  <c r="B33" i="60"/>
  <c r="B32" i="60"/>
  <c r="F29" i="60"/>
  <c r="F36" i="60" s="1"/>
  <c r="E29" i="60"/>
  <c r="E36" i="60" s="1"/>
  <c r="E40" i="60" s="1"/>
  <c r="B28" i="60"/>
  <c r="B27" i="60"/>
  <c r="B26" i="60"/>
  <c r="B25" i="60"/>
  <c r="B24" i="60"/>
  <c r="B23" i="60"/>
  <c r="B22" i="60"/>
  <c r="B21" i="60"/>
  <c r="B20" i="60"/>
  <c r="B19" i="60"/>
  <c r="B18" i="60"/>
  <c r="B17" i="60"/>
  <c r="B16" i="60"/>
  <c r="B15" i="60"/>
  <c r="B14" i="60"/>
  <c r="B13" i="60"/>
  <c r="B12" i="60"/>
  <c r="B11" i="60"/>
  <c r="B10" i="60"/>
  <c r="B9" i="60"/>
  <c r="B8" i="60"/>
  <c r="E36" i="59"/>
  <c r="F30" i="59"/>
  <c r="E30" i="59"/>
  <c r="B29" i="59"/>
  <c r="B28" i="59"/>
  <c r="F25" i="59"/>
  <c r="F32" i="59" s="1"/>
  <c r="F36" i="59" s="1"/>
  <c r="E25" i="59"/>
  <c r="E32" i="59" s="1"/>
  <c r="B24" i="59"/>
  <c r="B23" i="59"/>
  <c r="B22" i="59"/>
  <c r="B21" i="59"/>
  <c r="B20" i="59"/>
  <c r="B19" i="59"/>
  <c r="B18" i="59"/>
  <c r="B17" i="59"/>
  <c r="B16" i="59"/>
  <c r="B15" i="59"/>
  <c r="B14" i="59"/>
  <c r="B13" i="59"/>
  <c r="B12" i="59"/>
  <c r="B11" i="59"/>
  <c r="B10" i="59"/>
  <c r="B9" i="59"/>
  <c r="B8" i="59"/>
  <c r="F35" i="58"/>
  <c r="F39" i="58" s="1"/>
  <c r="F33" i="58"/>
  <c r="E33" i="58"/>
  <c r="B32" i="58"/>
  <c r="B31" i="58"/>
  <c r="B30" i="58"/>
  <c r="F27" i="58"/>
  <c r="E27" i="58"/>
  <c r="E35" i="58" s="1"/>
  <c r="E39" i="58" s="1"/>
  <c r="B26" i="58"/>
  <c r="B25" i="58"/>
  <c r="B24" i="58"/>
  <c r="B23" i="58"/>
  <c r="B22" i="58"/>
  <c r="B21" i="58"/>
  <c r="B20" i="58"/>
  <c r="B19" i="58"/>
  <c r="B18" i="58"/>
  <c r="B17" i="58"/>
  <c r="B16" i="58"/>
  <c r="B15" i="58"/>
  <c r="B14" i="58"/>
  <c r="B13" i="58"/>
  <c r="B12" i="58"/>
  <c r="B11" i="58"/>
  <c r="B10" i="58"/>
  <c r="B9" i="58"/>
  <c r="B8" i="58"/>
  <c r="F29" i="57"/>
  <c r="F31" i="57" s="1"/>
  <c r="F35" i="57" s="1"/>
  <c r="E29" i="57"/>
  <c r="B28" i="57"/>
  <c r="B27" i="57"/>
  <c r="B26" i="57"/>
  <c r="F23" i="57"/>
  <c r="E23" i="57"/>
  <c r="E31" i="57" s="1"/>
  <c r="E35" i="57" s="1"/>
  <c r="B22" i="57"/>
  <c r="B21" i="57"/>
  <c r="B20" i="57"/>
  <c r="B19" i="57"/>
  <c r="B18" i="57"/>
  <c r="B17" i="57"/>
  <c r="B16" i="57"/>
  <c r="B15" i="57"/>
  <c r="B14" i="57"/>
  <c r="B13" i="57"/>
  <c r="B12" i="57"/>
  <c r="B11" i="57"/>
  <c r="B10" i="57"/>
  <c r="B9" i="57"/>
  <c r="B8" i="57"/>
  <c r="F31" i="56"/>
  <c r="F35" i="56" s="1"/>
  <c r="E31" i="56"/>
  <c r="E35" i="56" s="1"/>
  <c r="F29" i="56"/>
  <c r="E29" i="56"/>
  <c r="B28" i="56"/>
  <c r="B27" i="56"/>
  <c r="F24" i="56"/>
  <c r="E24" i="56"/>
  <c r="B23" i="56"/>
  <c r="B22" i="56"/>
  <c r="B21" i="56"/>
  <c r="B20" i="56"/>
  <c r="B19" i="56"/>
  <c r="B18" i="56"/>
  <c r="B17" i="56"/>
  <c r="B16" i="56"/>
  <c r="B15" i="56"/>
  <c r="B14" i="56"/>
  <c r="B13" i="56"/>
  <c r="B12" i="56"/>
  <c r="B11" i="56"/>
  <c r="B10" i="56"/>
  <c r="B9" i="56"/>
  <c r="B8" i="56"/>
  <c r="E33" i="55"/>
  <c r="E37" i="55" s="1"/>
  <c r="F31" i="55"/>
  <c r="E31" i="55"/>
  <c r="B30" i="55"/>
  <c r="B29" i="55"/>
  <c r="F26" i="55"/>
  <c r="F33" i="55" s="1"/>
  <c r="F37" i="55" s="1"/>
  <c r="E26" i="55"/>
  <c r="B25" i="55"/>
  <c r="B24" i="55"/>
  <c r="B23" i="55"/>
  <c r="B22" i="55"/>
  <c r="B21" i="55"/>
  <c r="B20" i="55"/>
  <c r="B19" i="55"/>
  <c r="B18" i="55"/>
  <c r="B17" i="55"/>
  <c r="B16" i="55"/>
  <c r="B15" i="55"/>
  <c r="B14" i="55"/>
  <c r="B13" i="55"/>
  <c r="B12" i="55"/>
  <c r="B11" i="55"/>
  <c r="B10" i="55"/>
  <c r="B9" i="55"/>
  <c r="B8" i="55"/>
  <c r="F26" i="54"/>
  <c r="E26" i="54"/>
  <c r="B25" i="54"/>
  <c r="B24" i="54"/>
  <c r="F21" i="54"/>
  <c r="F28" i="54" s="1"/>
  <c r="F32" i="54" s="1"/>
  <c r="E21" i="54"/>
  <c r="E28" i="54" s="1"/>
  <c r="E32" i="54" s="1"/>
  <c r="B20" i="54"/>
  <c r="B19" i="54"/>
  <c r="B18" i="54"/>
  <c r="B17" i="54"/>
  <c r="B16" i="54"/>
  <c r="B15" i="54"/>
  <c r="B14" i="54"/>
  <c r="B13" i="54"/>
  <c r="B12" i="54"/>
  <c r="B11" i="54"/>
  <c r="B10" i="54"/>
  <c r="B9" i="54"/>
  <c r="B8" i="54"/>
  <c r="E35" i="53"/>
  <c r="F29" i="53"/>
  <c r="E29" i="53"/>
  <c r="E31" i="53" s="1"/>
  <c r="B28" i="53"/>
  <c r="B27" i="53"/>
  <c r="B26" i="53"/>
  <c r="F23" i="53"/>
  <c r="F31" i="53" s="1"/>
  <c r="F35" i="53" s="1"/>
  <c r="E23" i="53"/>
  <c r="B22" i="53"/>
  <c r="B21" i="53"/>
  <c r="B20" i="53"/>
  <c r="B19" i="53"/>
  <c r="B18" i="53"/>
  <c r="B17" i="53"/>
  <c r="B16" i="53"/>
  <c r="B15" i="53"/>
  <c r="B14" i="53"/>
  <c r="B13" i="53"/>
  <c r="B12" i="53"/>
  <c r="B11" i="53"/>
  <c r="B10" i="53"/>
  <c r="B9" i="53"/>
  <c r="B8" i="53"/>
  <c r="E33" i="52"/>
  <c r="E37" i="52" s="1"/>
  <c r="F31" i="52"/>
  <c r="E31" i="52"/>
  <c r="B30" i="52"/>
  <c r="B29" i="52"/>
  <c r="F26" i="52"/>
  <c r="F33" i="52" s="1"/>
  <c r="F37" i="52" s="1"/>
  <c r="E26" i="52"/>
  <c r="B25" i="52"/>
  <c r="B24" i="52"/>
  <c r="B23" i="52"/>
  <c r="B22" i="52"/>
  <c r="B21" i="52"/>
  <c r="B20" i="52"/>
  <c r="B19" i="52"/>
  <c r="B18" i="52"/>
  <c r="B17" i="52"/>
  <c r="B16" i="52"/>
  <c r="B15" i="52"/>
  <c r="B14" i="52"/>
  <c r="B13" i="52"/>
  <c r="B12" i="52"/>
  <c r="B11" i="52"/>
  <c r="B10" i="52"/>
  <c r="B9" i="52"/>
  <c r="B8" i="52"/>
  <c r="F31" i="51"/>
  <c r="F35" i="51" s="1"/>
  <c r="E31" i="51"/>
  <c r="E35" i="51" s="1"/>
  <c r="F29" i="51"/>
  <c r="E29" i="51"/>
  <c r="B28" i="51"/>
  <c r="F25" i="51"/>
  <c r="E25" i="51"/>
  <c r="B24" i="51"/>
  <c r="B23" i="51"/>
  <c r="B22" i="51"/>
  <c r="B21" i="51"/>
  <c r="B20" i="51"/>
  <c r="B19" i="51"/>
  <c r="B18" i="51"/>
  <c r="B17" i="51"/>
  <c r="B16" i="51"/>
  <c r="B15" i="51"/>
  <c r="B14" i="51"/>
  <c r="B13" i="51"/>
  <c r="B12" i="51"/>
  <c r="B11" i="51"/>
  <c r="B10" i="51"/>
  <c r="B9" i="51"/>
  <c r="B8" i="51"/>
  <c r="E37" i="50"/>
  <c r="F31" i="50"/>
  <c r="E31" i="50"/>
  <c r="B30" i="50"/>
  <c r="F27" i="50"/>
  <c r="F33" i="50" s="1"/>
  <c r="F37" i="50" s="1"/>
  <c r="E27" i="50"/>
  <c r="E33" i="50" s="1"/>
  <c r="B26" i="50"/>
  <c r="B25" i="50"/>
  <c r="B24" i="50"/>
  <c r="B23" i="50"/>
  <c r="B22" i="50"/>
  <c r="B21" i="50"/>
  <c r="B20" i="50"/>
  <c r="B19" i="50"/>
  <c r="B18" i="50"/>
  <c r="B17" i="50"/>
  <c r="B16" i="50"/>
  <c r="B15" i="50"/>
  <c r="B14" i="50"/>
  <c r="B13" i="50"/>
  <c r="B12" i="50"/>
  <c r="B11" i="50"/>
  <c r="B10" i="50"/>
  <c r="B9" i="50"/>
  <c r="B8" i="50"/>
  <c r="F29" i="49"/>
  <c r="F23" i="49"/>
  <c r="E23" i="49"/>
  <c r="B22" i="49"/>
  <c r="B21" i="49"/>
  <c r="B20" i="49"/>
  <c r="B19" i="49"/>
  <c r="B18" i="49"/>
  <c r="B17" i="49"/>
  <c r="B16" i="49"/>
  <c r="B15" i="49"/>
  <c r="B14" i="49"/>
  <c r="B13" i="49"/>
  <c r="B12" i="49"/>
  <c r="B11" i="49"/>
  <c r="B10" i="49"/>
  <c r="B9" i="49"/>
  <c r="B8" i="49"/>
  <c r="F24" i="48"/>
  <c r="F28" i="48" s="1"/>
  <c r="E24" i="48"/>
  <c r="E28" i="48" s="1"/>
  <c r="F22" i="48"/>
  <c r="E22" i="48"/>
  <c r="B21" i="48"/>
  <c r="B20" i="48"/>
  <c r="F17" i="48"/>
  <c r="E17" i="48"/>
  <c r="B16" i="48"/>
  <c r="B15" i="48"/>
  <c r="B14" i="48"/>
  <c r="B13" i="48"/>
  <c r="B12" i="48"/>
  <c r="B11" i="48"/>
  <c r="B10" i="48"/>
  <c r="B9" i="48"/>
  <c r="B8" i="48"/>
  <c r="F24" i="47"/>
  <c r="E24" i="47"/>
  <c r="B23" i="47"/>
  <c r="F20" i="47"/>
  <c r="F26" i="47" s="1"/>
  <c r="F30" i="47" s="1"/>
  <c r="E20" i="47"/>
  <c r="E26" i="47" s="1"/>
  <c r="E30" i="47" s="1"/>
  <c r="B19" i="47"/>
  <c r="B18" i="47"/>
  <c r="B17" i="47"/>
  <c r="B16" i="47"/>
  <c r="B15" i="47"/>
  <c r="B14" i="47"/>
  <c r="B13" i="47"/>
  <c r="B12" i="47"/>
  <c r="B11" i="47"/>
  <c r="B10" i="47"/>
  <c r="B9" i="47"/>
  <c r="B8" i="47"/>
  <c r="F28" i="46"/>
  <c r="F32" i="46" s="1"/>
  <c r="E28" i="46"/>
  <c r="E32" i="46" s="1"/>
  <c r="F26" i="46"/>
  <c r="E26" i="46"/>
  <c r="B25" i="46"/>
  <c r="F22" i="46"/>
  <c r="E22" i="46"/>
  <c r="B21" i="46"/>
  <c r="B20" i="46"/>
  <c r="B19" i="46"/>
  <c r="B18" i="46"/>
  <c r="B17" i="46"/>
  <c r="B16" i="46"/>
  <c r="B15" i="46"/>
  <c r="B14" i="46"/>
  <c r="B13" i="46"/>
  <c r="B12" i="46"/>
  <c r="B11" i="46"/>
  <c r="B10" i="46"/>
  <c r="B9" i="46"/>
  <c r="B8" i="46"/>
  <c r="F22" i="45"/>
  <c r="F24" i="45" s="1"/>
  <c r="F28" i="45" s="1"/>
  <c r="E22" i="45"/>
  <c r="E24" i="45" s="1"/>
  <c r="B21" i="45"/>
  <c r="F18" i="45"/>
  <c r="E18" i="45"/>
  <c r="B17" i="45"/>
  <c r="B16" i="45"/>
  <c r="B15" i="45"/>
  <c r="B14" i="45"/>
  <c r="B13" i="45"/>
  <c r="B12" i="45"/>
  <c r="B11" i="45"/>
  <c r="B10" i="45"/>
  <c r="B9" i="45"/>
  <c r="B8" i="45"/>
  <c r="F28" i="44"/>
  <c r="F22" i="44"/>
  <c r="E22" i="44"/>
  <c r="B21" i="44"/>
  <c r="B20" i="44"/>
  <c r="B19" i="44"/>
  <c r="B18" i="44"/>
  <c r="B17" i="44"/>
  <c r="B16" i="44"/>
  <c r="B15" i="44"/>
  <c r="B14" i="44"/>
  <c r="B13" i="44"/>
  <c r="B12" i="44"/>
  <c r="B11" i="44"/>
  <c r="B10" i="44"/>
  <c r="B9" i="44"/>
  <c r="B8" i="44"/>
  <c r="F29" i="43"/>
  <c r="F23" i="43"/>
  <c r="E23" i="43"/>
  <c r="B22" i="43"/>
  <c r="B21" i="43"/>
  <c r="B20" i="43"/>
  <c r="B19" i="43"/>
  <c r="B18" i="43"/>
  <c r="B17" i="43"/>
  <c r="B16" i="43"/>
  <c r="B15" i="43"/>
  <c r="B14" i="43"/>
  <c r="B13" i="43"/>
  <c r="B12" i="43"/>
  <c r="B11" i="43"/>
  <c r="B10" i="43"/>
  <c r="B9" i="43"/>
  <c r="B8" i="43"/>
  <c r="F26" i="42"/>
  <c r="F20" i="42"/>
  <c r="E20" i="42"/>
  <c r="B19" i="42"/>
  <c r="B18" i="42"/>
  <c r="B17" i="42"/>
  <c r="B16" i="42"/>
  <c r="B15" i="42"/>
  <c r="B14" i="42"/>
  <c r="B13" i="42"/>
  <c r="B12" i="42"/>
  <c r="B11" i="42"/>
  <c r="B10" i="42"/>
  <c r="B9" i="42"/>
  <c r="B8" i="42"/>
  <c r="F26" i="41"/>
  <c r="F20" i="41"/>
  <c r="E20" i="41"/>
  <c r="B19" i="41"/>
  <c r="B18" i="41"/>
  <c r="B17" i="41"/>
  <c r="B16" i="41"/>
  <c r="B15" i="41"/>
  <c r="B14" i="41"/>
  <c r="B13" i="41"/>
  <c r="B12" i="41"/>
  <c r="B11" i="41"/>
  <c r="B10" i="41"/>
  <c r="B9" i="41"/>
  <c r="B8" i="41"/>
  <c r="F27" i="40"/>
  <c r="F21" i="40"/>
  <c r="E21" i="40"/>
  <c r="B20" i="40"/>
  <c r="B19" i="40"/>
  <c r="B18" i="40"/>
  <c r="B17" i="40"/>
  <c r="B16" i="40"/>
  <c r="B15" i="40"/>
  <c r="B14" i="40"/>
  <c r="B13" i="40"/>
  <c r="B12" i="40"/>
  <c r="B11" i="40"/>
  <c r="B10" i="40"/>
  <c r="B9" i="40"/>
  <c r="B8" i="40"/>
  <c r="F27" i="39"/>
  <c r="F21" i="39"/>
  <c r="E21" i="39"/>
  <c r="B20" i="39"/>
  <c r="B19" i="39"/>
  <c r="B18" i="39"/>
  <c r="B17" i="39"/>
  <c r="B16" i="39"/>
  <c r="B15" i="39"/>
  <c r="B14" i="39"/>
  <c r="B13" i="39"/>
  <c r="B12" i="39"/>
  <c r="B11" i="39"/>
  <c r="B10" i="39"/>
  <c r="B9" i="39"/>
  <c r="B8" i="39"/>
  <c r="E108" i="38"/>
  <c r="F102" i="38"/>
  <c r="F104" i="38" s="1"/>
  <c r="F108" i="38" s="1"/>
  <c r="E102" i="38"/>
  <c r="E104" i="38" s="1"/>
  <c r="B101" i="38"/>
  <c r="B100" i="38"/>
  <c r="B99" i="38"/>
  <c r="B98" i="38"/>
  <c r="B97" i="38"/>
  <c r="B96" i="38"/>
  <c r="B95" i="38"/>
  <c r="B94" i="38"/>
  <c r="B93" i="38"/>
  <c r="B92" i="38"/>
  <c r="B91" i="38"/>
  <c r="B90" i="38"/>
  <c r="B89" i="38"/>
  <c r="B88" i="38"/>
  <c r="B87" i="38"/>
  <c r="B86" i="38"/>
  <c r="B85" i="38"/>
  <c r="B84" i="38"/>
  <c r="B83" i="38"/>
  <c r="B82" i="38"/>
  <c r="B81" i="38"/>
  <c r="B80" i="38"/>
  <c r="B79" i="38"/>
  <c r="B78" i="38"/>
  <c r="B77" i="38"/>
  <c r="B76" i="38"/>
  <c r="B75" i="38"/>
  <c r="B74" i="38"/>
  <c r="B73" i="38"/>
  <c r="B72" i="38"/>
  <c r="B71" i="38"/>
  <c r="B70" i="38"/>
  <c r="B69" i="38"/>
  <c r="B68" i="38"/>
  <c r="B67" i="38"/>
  <c r="B66" i="38"/>
  <c r="B65" i="38"/>
  <c r="B64" i="38"/>
  <c r="F61" i="38"/>
  <c r="E61" i="38"/>
  <c r="B60" i="38"/>
  <c r="B59" i="38"/>
  <c r="B58" i="38"/>
  <c r="B57" i="38"/>
  <c r="B56" i="38"/>
  <c r="B55" i="38"/>
  <c r="B54" i="38"/>
  <c r="B53" i="38"/>
  <c r="B52" i="38"/>
  <c r="B51" i="38"/>
  <c r="B50" i="38"/>
  <c r="B49" i="38"/>
  <c r="B48" i="38"/>
  <c r="B47" i="38"/>
  <c r="B46" i="38"/>
  <c r="B45" i="38"/>
  <c r="B44" i="38"/>
  <c r="B43" i="38"/>
  <c r="B42" i="38"/>
  <c r="B41" i="38"/>
  <c r="B40" i="38"/>
  <c r="B39" i="38"/>
  <c r="B38" i="38"/>
  <c r="B37" i="38"/>
  <c r="B36" i="38"/>
  <c r="B35" i="38"/>
  <c r="B34" i="38"/>
  <c r="B33" i="38"/>
  <c r="B32" i="38"/>
  <c r="B31" i="38"/>
  <c r="B30" i="38"/>
  <c r="B29" i="38"/>
  <c r="B28" i="38"/>
  <c r="B27" i="38"/>
  <c r="B26" i="38"/>
  <c r="B25" i="38"/>
  <c r="B24" i="38"/>
  <c r="B23" i="38"/>
  <c r="B22" i="38"/>
  <c r="B21" i="38"/>
  <c r="B20" i="38"/>
  <c r="B19" i="38"/>
  <c r="B18" i="38"/>
  <c r="B17" i="38"/>
  <c r="B16" i="38"/>
  <c r="B15" i="38"/>
  <c r="B14" i="38"/>
  <c r="B13" i="38"/>
  <c r="B12" i="38"/>
  <c r="B11" i="38"/>
  <c r="B10" i="38"/>
  <c r="B9" i="38"/>
  <c r="B8" i="38"/>
  <c r="F75" i="37"/>
  <c r="E75" i="37"/>
  <c r="B74" i="37"/>
  <c r="B73" i="37"/>
  <c r="B72" i="37"/>
  <c r="B71" i="37"/>
  <c r="B70" i="37"/>
  <c r="B69" i="37"/>
  <c r="B68" i="37"/>
  <c r="B67" i="37"/>
  <c r="B66" i="37"/>
  <c r="B65" i="37"/>
  <c r="B64" i="37"/>
  <c r="B63" i="37"/>
  <c r="B62" i="37"/>
  <c r="B61" i="37"/>
  <c r="B60" i="37"/>
  <c r="B59" i="37"/>
  <c r="B58" i="37"/>
  <c r="B57" i="37"/>
  <c r="B56" i="37"/>
  <c r="B55" i="37"/>
  <c r="B54" i="37"/>
  <c r="B53" i="37"/>
  <c r="B52" i="37"/>
  <c r="F49" i="37"/>
  <c r="F77" i="37" s="1"/>
  <c r="F81" i="37" s="1"/>
  <c r="E49" i="37"/>
  <c r="E77" i="37" s="1"/>
  <c r="E81" i="37" s="1"/>
  <c r="B48" i="37"/>
  <c r="B47" i="37"/>
  <c r="B46" i="37"/>
  <c r="B45" i="37"/>
  <c r="B44" i="37"/>
  <c r="B43" i="37"/>
  <c r="B42" i="37"/>
  <c r="B41" i="37"/>
  <c r="B40" i="37"/>
  <c r="B39" i="37"/>
  <c r="B38" i="37"/>
  <c r="B37" i="37"/>
  <c r="B36" i="37"/>
  <c r="B35" i="37"/>
  <c r="B34" i="37"/>
  <c r="B33" i="37"/>
  <c r="B32" i="37"/>
  <c r="B31" i="37"/>
  <c r="B30" i="37"/>
  <c r="B29" i="37"/>
  <c r="B28" i="37"/>
  <c r="B27" i="37"/>
  <c r="B26" i="37"/>
  <c r="B25" i="37"/>
  <c r="B24" i="37"/>
  <c r="B23" i="37"/>
  <c r="B22" i="37"/>
  <c r="B21" i="37"/>
  <c r="B20" i="37"/>
  <c r="B19" i="37"/>
  <c r="B18" i="37"/>
  <c r="B17" i="37"/>
  <c r="B16" i="37"/>
  <c r="B15" i="37"/>
  <c r="B14" i="37"/>
  <c r="B13" i="37"/>
  <c r="B12" i="37"/>
  <c r="B11" i="37"/>
  <c r="B10" i="37"/>
  <c r="B9" i="37"/>
  <c r="B8" i="37"/>
  <c r="F51" i="36"/>
  <c r="F45" i="36"/>
  <c r="E45" i="36"/>
  <c r="B44" i="36"/>
  <c r="F41" i="36"/>
  <c r="F47" i="36" s="1"/>
  <c r="E41" i="36"/>
  <c r="E47" i="36" s="1"/>
  <c r="E51" i="36" s="1"/>
  <c r="B40" i="36"/>
  <c r="B39" i="36"/>
  <c r="B38" i="36"/>
  <c r="B37" i="36"/>
  <c r="B36" i="36"/>
  <c r="B35" i="36"/>
  <c r="B34" i="36"/>
  <c r="B33" i="36"/>
  <c r="B32" i="36"/>
  <c r="B31" i="36"/>
  <c r="B30" i="36"/>
  <c r="B29" i="36"/>
  <c r="B28" i="36"/>
  <c r="B27" i="36"/>
  <c r="B26" i="36"/>
  <c r="B25" i="36"/>
  <c r="B24" i="36"/>
  <c r="B23" i="36"/>
  <c r="B22" i="36"/>
  <c r="B21" i="36"/>
  <c r="B20" i="36"/>
  <c r="B19" i="36"/>
  <c r="B18" i="36"/>
  <c r="B17" i="36"/>
  <c r="B16" i="36"/>
  <c r="B15" i="36"/>
  <c r="B14" i="36"/>
  <c r="B13" i="36"/>
  <c r="B12" i="36"/>
  <c r="B11" i="36"/>
  <c r="B10" i="36"/>
  <c r="B9" i="36"/>
  <c r="B8" i="36"/>
  <c r="E72" i="35"/>
  <c r="E76" i="35" s="1"/>
  <c r="E70" i="35"/>
  <c r="F69" i="35"/>
  <c r="B69" i="35"/>
  <c r="B68" i="35"/>
  <c r="B67" i="35"/>
  <c r="E64" i="35"/>
  <c r="B63" i="35"/>
  <c r="B62" i="35"/>
  <c r="B61" i="35"/>
  <c r="B60" i="35"/>
  <c r="B59" i="35"/>
  <c r="B58" i="35"/>
  <c r="B57" i="35"/>
  <c r="B56" i="35"/>
  <c r="B55" i="35"/>
  <c r="B54" i="35"/>
  <c r="B53" i="35"/>
  <c r="B52" i="35"/>
  <c r="B51" i="35"/>
  <c r="B50" i="35"/>
  <c r="B49" i="35"/>
  <c r="B48" i="35"/>
  <c r="B47" i="35"/>
  <c r="B46" i="35"/>
  <c r="B45" i="35"/>
  <c r="B44" i="35"/>
  <c r="B43" i="35"/>
  <c r="B42" i="35"/>
  <c r="B41" i="35"/>
  <c r="B40" i="35"/>
  <c r="B39" i="35"/>
  <c r="B38" i="35"/>
  <c r="B37" i="35"/>
  <c r="B36" i="35"/>
  <c r="B35" i="35"/>
  <c r="B34" i="35"/>
  <c r="B33" i="35"/>
  <c r="B32" i="35"/>
  <c r="B31" i="35"/>
  <c r="B30" i="35"/>
  <c r="B29" i="35"/>
  <c r="B28" i="35"/>
  <c r="B27" i="35"/>
  <c r="B26" i="35"/>
  <c r="B25" i="35"/>
  <c r="B24" i="35"/>
  <c r="B23" i="35"/>
  <c r="B22" i="35"/>
  <c r="B21" i="35"/>
  <c r="B20" i="35"/>
  <c r="B19" i="35"/>
  <c r="B18" i="35"/>
  <c r="B17" i="35"/>
  <c r="B16" i="35"/>
  <c r="B15" i="35"/>
  <c r="B14" i="35"/>
  <c r="B13" i="35"/>
  <c r="B12" i="35"/>
  <c r="B11" i="35"/>
  <c r="B10" i="35"/>
  <c r="B9" i="35"/>
  <c r="B8" i="35"/>
  <c r="E117" i="34"/>
  <c r="E121" i="34" s="1"/>
  <c r="E115" i="34"/>
  <c r="B114" i="34"/>
  <c r="B113" i="34"/>
  <c r="B112" i="34"/>
  <c r="B111" i="34"/>
  <c r="B110" i="34"/>
  <c r="B109" i="34"/>
  <c r="B108" i="34"/>
  <c r="B107" i="34"/>
  <c r="B106" i="34"/>
  <c r="B105" i="34"/>
  <c r="B104" i="34"/>
  <c r="B103" i="34"/>
  <c r="B102" i="34"/>
  <c r="B101" i="34"/>
  <c r="B100" i="34"/>
  <c r="B99" i="34"/>
  <c r="B98" i="34"/>
  <c r="B97" i="34"/>
  <c r="B96" i="34"/>
  <c r="B95" i="34"/>
  <c r="B94" i="34"/>
  <c r="B93" i="34"/>
  <c r="B92" i="34"/>
  <c r="B91" i="34"/>
  <c r="B90" i="34"/>
  <c r="B89" i="34"/>
  <c r="B88" i="34"/>
  <c r="B87" i="34"/>
  <c r="B86" i="34"/>
  <c r="B85" i="34"/>
  <c r="B84" i="34"/>
  <c r="B83" i="34"/>
  <c r="E80" i="34"/>
  <c r="B79" i="34"/>
  <c r="B78" i="34"/>
  <c r="B77" i="34"/>
  <c r="B76" i="34"/>
  <c r="B75" i="34"/>
  <c r="B74" i="34"/>
  <c r="B73" i="34"/>
  <c r="B72" i="34"/>
  <c r="B71" i="34"/>
  <c r="B70" i="34"/>
  <c r="B69" i="34"/>
  <c r="B68" i="34"/>
  <c r="B67" i="34"/>
  <c r="B66" i="34"/>
  <c r="B65" i="34"/>
  <c r="B64" i="34"/>
  <c r="B63" i="34"/>
  <c r="B62" i="34"/>
  <c r="B61" i="34"/>
  <c r="B60" i="34"/>
  <c r="B59" i="34"/>
  <c r="B58" i="34"/>
  <c r="B57" i="34"/>
  <c r="B56" i="34"/>
  <c r="B55" i="34"/>
  <c r="B54" i="34"/>
  <c r="B53" i="34"/>
  <c r="B52" i="34"/>
  <c r="B51" i="34"/>
  <c r="B50" i="34"/>
  <c r="B49" i="34"/>
  <c r="B48" i="34"/>
  <c r="B47" i="34"/>
  <c r="B46" i="34"/>
  <c r="B45" i="34"/>
  <c r="B44" i="34"/>
  <c r="B43" i="34"/>
  <c r="B42" i="34"/>
  <c r="B41" i="34"/>
  <c r="B40" i="34"/>
  <c r="B39" i="34"/>
  <c r="B38" i="34"/>
  <c r="B37" i="34"/>
  <c r="B36" i="34"/>
  <c r="B35" i="34"/>
  <c r="B34" i="34"/>
  <c r="B33" i="34"/>
  <c r="B32" i="34"/>
  <c r="B31" i="34"/>
  <c r="B30" i="34"/>
  <c r="B29" i="34"/>
  <c r="B28" i="34"/>
  <c r="B27" i="34"/>
  <c r="B26" i="34"/>
  <c r="B25" i="34"/>
  <c r="B24" i="34"/>
  <c r="B23" i="34"/>
  <c r="B22" i="34"/>
  <c r="B21" i="34"/>
  <c r="B20" i="34"/>
  <c r="B19" i="34"/>
  <c r="B18" i="34"/>
  <c r="B17" i="34"/>
  <c r="B16" i="34"/>
  <c r="B15" i="34"/>
  <c r="B14" i="34"/>
  <c r="B13" i="34"/>
  <c r="B12" i="34"/>
  <c r="B11" i="34"/>
  <c r="B10" i="34"/>
  <c r="B9" i="34"/>
  <c r="B8" i="34"/>
  <c r="E32" i="33"/>
  <c r="B31" i="33"/>
  <c r="E28" i="33"/>
  <c r="B27" i="33"/>
  <c r="B26" i="33"/>
  <c r="E22" i="33"/>
  <c r="B21" i="33"/>
  <c r="E18" i="33"/>
  <c r="E34" i="33" s="1"/>
  <c r="E38" i="33" s="1"/>
  <c r="B17" i="33"/>
  <c r="B16" i="33"/>
  <c r="B15" i="33"/>
  <c r="B14" i="33"/>
  <c r="B13" i="33"/>
  <c r="B12" i="33"/>
  <c r="B11" i="33"/>
  <c r="B10" i="33"/>
  <c r="B9" i="33"/>
  <c r="B8" i="33"/>
  <c r="F13" i="32"/>
  <c r="F7" i="32"/>
  <c r="E7" i="32"/>
  <c r="B6" i="32"/>
  <c r="F111" i="31"/>
  <c r="F105" i="31"/>
  <c r="E105" i="31"/>
  <c r="B104" i="31"/>
  <c r="B103" i="31"/>
  <c r="B102" i="31"/>
  <c r="B101" i="31"/>
  <c r="B100" i="31"/>
  <c r="B99" i="31"/>
  <c r="B98" i="31"/>
  <c r="B97" i="31"/>
  <c r="B96" i="31"/>
  <c r="B95" i="31"/>
  <c r="B94" i="31"/>
  <c r="B93" i="31"/>
  <c r="B92" i="31"/>
  <c r="B91" i="31"/>
  <c r="F88" i="31"/>
  <c r="E88" i="31"/>
  <c r="B87" i="31"/>
  <c r="B86" i="31"/>
  <c r="B85" i="31"/>
  <c r="B84" i="31"/>
  <c r="F80" i="31"/>
  <c r="E80" i="31"/>
  <c r="B79" i="31"/>
  <c r="B78" i="31"/>
  <c r="B77" i="31"/>
  <c r="B76" i="31"/>
  <c r="B75" i="31"/>
  <c r="B74" i="31"/>
  <c r="B73" i="31"/>
  <c r="B72" i="31"/>
  <c r="B71" i="31"/>
  <c r="B70" i="31"/>
  <c r="B69" i="31"/>
  <c r="B68" i="31"/>
  <c r="B67" i="31"/>
  <c r="B66" i="31"/>
  <c r="B65" i="31"/>
  <c r="B64" i="31"/>
  <c r="B63" i="31"/>
  <c r="B62" i="31"/>
  <c r="B61" i="31"/>
  <c r="B60" i="31"/>
  <c r="B59" i="31"/>
  <c r="B58" i="31"/>
  <c r="B57" i="31"/>
  <c r="B56" i="31"/>
  <c r="B55" i="31"/>
  <c r="F52" i="31"/>
  <c r="E52" i="31"/>
  <c r="B51" i="31"/>
  <c r="B50" i="31"/>
  <c r="B49" i="31"/>
  <c r="B48" i="31"/>
  <c r="B47" i="31"/>
  <c r="B46" i="31"/>
  <c r="B45" i="31"/>
  <c r="B44" i="31"/>
  <c r="B43" i="31"/>
  <c r="B42" i="31"/>
  <c r="B41" i="31"/>
  <c r="B40" i="31"/>
  <c r="B39" i="31"/>
  <c r="B38" i="31"/>
  <c r="B37" i="31"/>
  <c r="B36" i="31"/>
  <c r="B35" i="31"/>
  <c r="B34" i="31"/>
  <c r="B33" i="31"/>
  <c r="B32" i="31"/>
  <c r="B31" i="31"/>
  <c r="B30" i="31"/>
  <c r="B29" i="31"/>
  <c r="B28" i="31"/>
  <c r="B27" i="31"/>
  <c r="B26" i="31"/>
  <c r="B25" i="31"/>
  <c r="B24" i="31"/>
  <c r="B23" i="31"/>
  <c r="B22" i="31"/>
  <c r="B21" i="31"/>
  <c r="B20" i="31"/>
  <c r="B19" i="31"/>
  <c r="B18" i="31"/>
  <c r="B17" i="31"/>
  <c r="B16" i="31"/>
  <c r="B15" i="31"/>
  <c r="B14" i="31"/>
  <c r="B13" i="31"/>
  <c r="B12" i="31"/>
  <c r="B11" i="31"/>
  <c r="B10" i="31"/>
  <c r="B9" i="31"/>
  <c r="B8" i="31"/>
  <c r="F73" i="30"/>
  <c r="F67" i="30"/>
  <c r="E67" i="30"/>
  <c r="F62" i="30"/>
  <c r="E62" i="30"/>
  <c r="B61" i="30"/>
  <c r="B60" i="30"/>
  <c r="B59" i="30"/>
  <c r="B58" i="30"/>
  <c r="B57" i="30"/>
  <c r="B56" i="30"/>
  <c r="B55" i="30"/>
  <c r="B54" i="30"/>
  <c r="B53" i="30"/>
  <c r="B52" i="30"/>
  <c r="B51" i="30"/>
  <c r="B50" i="30"/>
  <c r="B49" i="30"/>
  <c r="B48" i="30"/>
  <c r="B47" i="30"/>
  <c r="B46" i="30"/>
  <c r="B45" i="30"/>
  <c r="B44" i="30"/>
  <c r="B43" i="30"/>
  <c r="B42" i="30"/>
  <c r="B41" i="30"/>
  <c r="B40" i="30"/>
  <c r="B39" i="30"/>
  <c r="B38" i="30"/>
  <c r="B37" i="30"/>
  <c r="B36" i="30"/>
  <c r="B35" i="30"/>
  <c r="B34" i="30"/>
  <c r="B33" i="30"/>
  <c r="B32" i="30"/>
  <c r="B31" i="30"/>
  <c r="B30" i="30"/>
  <c r="B29" i="30"/>
  <c r="B28" i="30"/>
  <c r="B27" i="30"/>
  <c r="F24" i="30"/>
  <c r="E24" i="30"/>
  <c r="B23" i="30"/>
  <c r="B22" i="30"/>
  <c r="F18" i="30"/>
  <c r="E18" i="30"/>
  <c r="B17" i="30"/>
  <c r="B16" i="30"/>
  <c r="B15" i="30"/>
  <c r="B14" i="30"/>
  <c r="B13" i="30"/>
  <c r="B12" i="30"/>
  <c r="B11" i="30"/>
  <c r="B10" i="30"/>
  <c r="B9" i="30"/>
  <c r="B8" i="30"/>
  <c r="F7" i="29"/>
  <c r="F59" i="28"/>
  <c r="F53" i="28"/>
  <c r="E53" i="28"/>
  <c r="B52" i="28"/>
  <c r="B51" i="28"/>
  <c r="B50" i="28"/>
  <c r="B49" i="28"/>
  <c r="B48" i="28"/>
  <c r="B47" i="28"/>
  <c r="B46" i="28"/>
  <c r="B45" i="28"/>
  <c r="B44" i="28"/>
  <c r="B43" i="28"/>
  <c r="B42" i="28"/>
  <c r="B41" i="28"/>
  <c r="B40" i="28"/>
  <c r="B39" i="28"/>
  <c r="B38" i="28"/>
  <c r="B37" i="28"/>
  <c r="B36" i="28"/>
  <c r="B35" i="28"/>
  <c r="B34" i="28"/>
  <c r="B33" i="28"/>
  <c r="B32" i="28"/>
  <c r="B31" i="28"/>
  <c r="B30" i="28"/>
  <c r="B29" i="28"/>
  <c r="F26" i="28"/>
  <c r="E26" i="28"/>
  <c r="B25" i="28"/>
  <c r="B24" i="28"/>
  <c r="B23" i="28"/>
  <c r="B22" i="28"/>
  <c r="B21" i="28"/>
  <c r="B20" i="28"/>
  <c r="B19" i="28"/>
  <c r="B18" i="28"/>
  <c r="B17" i="28"/>
  <c r="B16" i="28"/>
  <c r="B15" i="28"/>
  <c r="B14" i="28"/>
  <c r="B13" i="28"/>
  <c r="B12" i="28"/>
  <c r="B11" i="28"/>
  <c r="B10" i="28"/>
  <c r="B9" i="28"/>
  <c r="B8" i="28"/>
  <c r="B7" i="28"/>
  <c r="E164" i="27"/>
  <c r="B163" i="27"/>
  <c r="B162" i="27"/>
  <c r="B161" i="27"/>
  <c r="B160" i="27"/>
  <c r="B159" i="27"/>
  <c r="B158" i="27"/>
  <c r="B157" i="27"/>
  <c r="B156" i="27"/>
  <c r="B155" i="27"/>
  <c r="B154" i="27"/>
  <c r="B153" i="27"/>
  <c r="B152" i="27"/>
  <c r="F151" i="27"/>
  <c r="B151" i="27"/>
  <c r="B150" i="27"/>
  <c r="B149" i="27"/>
  <c r="B148" i="27"/>
  <c r="B147" i="27"/>
  <c r="B146" i="27"/>
  <c r="B145" i="27"/>
  <c r="B144" i="27"/>
  <c r="B143" i="27"/>
  <c r="B142" i="27"/>
  <c r="B141" i="27"/>
  <c r="B140" i="27"/>
  <c r="B139" i="27"/>
  <c r="B138" i="27"/>
  <c r="B137" i="27"/>
  <c r="B136" i="27"/>
  <c r="B135" i="27"/>
  <c r="B134" i="27"/>
  <c r="B133" i="27"/>
  <c r="B132" i="27"/>
  <c r="B131" i="27"/>
  <c r="B130" i="27"/>
  <c r="B129" i="27"/>
  <c r="B128" i="27"/>
  <c r="B127" i="27"/>
  <c r="B126" i="27"/>
  <c r="B125" i="27"/>
  <c r="F124" i="27"/>
  <c r="B124" i="27"/>
  <c r="B123" i="27"/>
  <c r="B122" i="27"/>
  <c r="B121" i="27"/>
  <c r="B120" i="27"/>
  <c r="B119" i="27"/>
  <c r="B118" i="27"/>
  <c r="B117" i="27"/>
  <c r="B116" i="27"/>
  <c r="B115" i="27"/>
  <c r="B114" i="27"/>
  <c r="B113" i="27"/>
  <c r="B112" i="27"/>
  <c r="B111" i="27"/>
  <c r="B110" i="27"/>
  <c r="B109" i="27"/>
  <c r="F108" i="27"/>
  <c r="B108" i="27"/>
  <c r="B107" i="27"/>
  <c r="B106" i="27"/>
  <c r="B105" i="27"/>
  <c r="E102" i="27"/>
  <c r="E166" i="27" s="1"/>
  <c r="E170" i="27" s="1"/>
  <c r="B101" i="27"/>
  <c r="B100" i="27"/>
  <c r="B99" i="27"/>
  <c r="B98" i="27"/>
  <c r="B97" i="27"/>
  <c r="F96" i="27"/>
  <c r="B96" i="27"/>
  <c r="B95" i="27"/>
  <c r="B94" i="27"/>
  <c r="B93" i="27"/>
  <c r="F92" i="27"/>
  <c r="B92" i="27"/>
  <c r="B91" i="27"/>
  <c r="B90" i="27"/>
  <c r="B89" i="27"/>
  <c r="F88" i="27"/>
  <c r="B88" i="27"/>
  <c r="B87" i="27"/>
  <c r="B86" i="27"/>
  <c r="B85" i="27"/>
  <c r="B84" i="27"/>
  <c r="B83" i="27"/>
  <c r="B82" i="27"/>
  <c r="B81" i="27"/>
  <c r="F80" i="27"/>
  <c r="B80" i="27"/>
  <c r="B79" i="27"/>
  <c r="B78" i="27"/>
  <c r="B77" i="27"/>
  <c r="B76" i="27"/>
  <c r="B75" i="27"/>
  <c r="B74" i="27"/>
  <c r="B73" i="27"/>
  <c r="F72" i="27"/>
  <c r="B72" i="27"/>
  <c r="B71" i="27"/>
  <c r="B70" i="27"/>
  <c r="B69" i="27"/>
  <c r="F68" i="27"/>
  <c r="B68" i="27"/>
  <c r="B67" i="27"/>
  <c r="B66" i="27"/>
  <c r="B65" i="27"/>
  <c r="F64" i="27"/>
  <c r="B64" i="27"/>
  <c r="B63" i="27"/>
  <c r="B62" i="27"/>
  <c r="B61" i="27"/>
  <c r="F60" i="27"/>
  <c r="B60" i="27"/>
  <c r="B59" i="27"/>
  <c r="B58" i="27"/>
  <c r="B57" i="27"/>
  <c r="F56" i="27"/>
  <c r="B56" i="27"/>
  <c r="B55" i="27"/>
  <c r="B54" i="27"/>
  <c r="B53" i="27"/>
  <c r="B52" i="27"/>
  <c r="B51" i="27"/>
  <c r="B50" i="27"/>
  <c r="B49" i="27"/>
  <c r="F48" i="27"/>
  <c r="B48" i="27"/>
  <c r="B47" i="27"/>
  <c r="B46" i="27"/>
  <c r="B45" i="27"/>
  <c r="F44" i="27"/>
  <c r="B44" i="27"/>
  <c r="B43" i="27"/>
  <c r="B42" i="27"/>
  <c r="B41" i="27"/>
  <c r="F40" i="27"/>
  <c r="B40" i="27"/>
  <c r="B39" i="27"/>
  <c r="B38" i="27"/>
  <c r="B37" i="27"/>
  <c r="F36" i="27"/>
  <c r="B36" i="27"/>
  <c r="B35" i="27"/>
  <c r="B34" i="27"/>
  <c r="B33" i="27"/>
  <c r="F32" i="27"/>
  <c r="B32" i="27"/>
  <c r="B31" i="27"/>
  <c r="B30" i="27"/>
  <c r="B29" i="27"/>
  <c r="F28" i="27"/>
  <c r="B28" i="27"/>
  <c r="B27" i="27"/>
  <c r="B26" i="27"/>
  <c r="B25" i="27"/>
  <c r="F24" i="27"/>
  <c r="B24" i="27"/>
  <c r="B23" i="27"/>
  <c r="B22" i="27"/>
  <c r="B21" i="27"/>
  <c r="F20" i="27"/>
  <c r="B20" i="27"/>
  <c r="B19" i="27"/>
  <c r="B18" i="27"/>
  <c r="B17" i="27"/>
  <c r="F16" i="27"/>
  <c r="B16" i="27"/>
  <c r="B15" i="27"/>
  <c r="B14" i="27"/>
  <c r="B13" i="27"/>
  <c r="F12" i="27"/>
  <c r="B12" i="27"/>
  <c r="B11" i="27"/>
  <c r="B10" i="27"/>
  <c r="B9" i="27"/>
  <c r="F8" i="27"/>
  <c r="B8" i="27"/>
  <c r="E155" i="26"/>
  <c r="B154" i="26"/>
  <c r="B153" i="26"/>
  <c r="B152" i="26"/>
  <c r="B151" i="26"/>
  <c r="B150" i="26"/>
  <c r="B149" i="26"/>
  <c r="B148" i="26"/>
  <c r="B147" i="26"/>
  <c r="B146" i="26"/>
  <c r="B145" i="26"/>
  <c r="B144" i="26"/>
  <c r="B143" i="26"/>
  <c r="E140" i="26"/>
  <c r="B139" i="26"/>
  <c r="B138" i="26"/>
  <c r="E134" i="26"/>
  <c r="B133" i="26"/>
  <c r="B132" i="26"/>
  <c r="B131" i="26"/>
  <c r="B130" i="26"/>
  <c r="B129" i="26"/>
  <c r="B128" i="26"/>
  <c r="B127" i="26"/>
  <c r="B126" i="26"/>
  <c r="B125" i="26"/>
  <c r="B124" i="26"/>
  <c r="B123" i="26"/>
  <c r="B122" i="26"/>
  <c r="B121" i="26"/>
  <c r="B120" i="26"/>
  <c r="B119" i="26"/>
  <c r="B118" i="26"/>
  <c r="B117" i="26"/>
  <c r="B116" i="26"/>
  <c r="B115" i="26"/>
  <c r="B114" i="26"/>
  <c r="B113" i="26"/>
  <c r="B112" i="26"/>
  <c r="B111" i="26"/>
  <c r="B110" i="26"/>
  <c r="B109" i="26"/>
  <c r="B108" i="26"/>
  <c r="B107" i="26"/>
  <c r="B106" i="26"/>
  <c r="B105" i="26"/>
  <c r="B104" i="26"/>
  <c r="B103" i="26"/>
  <c r="B102" i="26"/>
  <c r="B101" i="26"/>
  <c r="B100" i="26"/>
  <c r="B99" i="26"/>
  <c r="B98" i="26"/>
  <c r="B97" i="26"/>
  <c r="B96" i="26"/>
  <c r="B95" i="26"/>
  <c r="E92" i="26"/>
  <c r="B91" i="26"/>
  <c r="B90" i="26"/>
  <c r="B89" i="26"/>
  <c r="B88" i="26"/>
  <c r="B87" i="26"/>
  <c r="B86" i="26"/>
  <c r="B85" i="26"/>
  <c r="B84" i="26"/>
  <c r="B83" i="26"/>
  <c r="B82" i="26"/>
  <c r="B81" i="26"/>
  <c r="B80" i="26"/>
  <c r="B79" i="26"/>
  <c r="B78" i="26"/>
  <c r="B77" i="26"/>
  <c r="B76" i="26"/>
  <c r="B75" i="26"/>
  <c r="B74" i="26"/>
  <c r="B73" i="26"/>
  <c r="B72" i="26"/>
  <c r="B71" i="26"/>
  <c r="B70" i="26"/>
  <c r="B69" i="26"/>
  <c r="B68" i="26"/>
  <c r="B67" i="26"/>
  <c r="B66" i="26"/>
  <c r="B65" i="26"/>
  <c r="B64" i="26"/>
  <c r="B63" i="26"/>
  <c r="B62" i="26"/>
  <c r="B61" i="26"/>
  <c r="B60" i="26"/>
  <c r="B59" i="26"/>
  <c r="B58" i="26"/>
  <c r="B57" i="26"/>
  <c r="B56" i="26"/>
  <c r="B55" i="26"/>
  <c r="B54" i="26"/>
  <c r="B53" i="26"/>
  <c r="B52" i="26"/>
  <c r="B51" i="26"/>
  <c r="B50" i="26"/>
  <c r="B49" i="26"/>
  <c r="B48" i="26"/>
  <c r="B47" i="26"/>
  <c r="B46" i="26"/>
  <c r="B45" i="26"/>
  <c r="B44" i="26"/>
  <c r="B43" i="26"/>
  <c r="B42" i="26"/>
  <c r="B41" i="26"/>
  <c r="B40" i="26"/>
  <c r="B39" i="26"/>
  <c r="B38" i="26"/>
  <c r="B37" i="26"/>
  <c r="B36" i="26"/>
  <c r="B35" i="26"/>
  <c r="B34" i="26"/>
  <c r="B33" i="26"/>
  <c r="B32" i="26"/>
  <c r="B31" i="26"/>
  <c r="B30" i="26"/>
  <c r="B29" i="26"/>
  <c r="B28" i="26"/>
  <c r="B27" i="26"/>
  <c r="B26" i="26"/>
  <c r="B25" i="26"/>
  <c r="B24" i="26"/>
  <c r="B23" i="26"/>
  <c r="B22" i="26"/>
  <c r="B21" i="26"/>
  <c r="B20" i="26"/>
  <c r="B19" i="26"/>
  <c r="B18" i="26"/>
  <c r="B17" i="26"/>
  <c r="B16" i="26"/>
  <c r="B15" i="26"/>
  <c r="B14" i="26"/>
  <c r="B13" i="26"/>
  <c r="B12" i="26"/>
  <c r="B11" i="26"/>
  <c r="B10" i="26"/>
  <c r="B9" i="26"/>
  <c r="B8" i="26"/>
  <c r="F111" i="34" l="1"/>
  <c r="F107" i="34"/>
  <c r="F103" i="34"/>
  <c r="F99" i="34"/>
  <c r="F95" i="34"/>
  <c r="F91" i="34"/>
  <c r="F87" i="34"/>
  <c r="F83" i="34"/>
  <c r="F77" i="34"/>
  <c r="F73" i="34"/>
  <c r="F69" i="34"/>
  <c r="F65" i="34"/>
  <c r="F61" i="34"/>
  <c r="F57" i="34"/>
  <c r="F53" i="34"/>
  <c r="F49" i="34"/>
  <c r="F45" i="34"/>
  <c r="F41" i="34"/>
  <c r="F37" i="34"/>
  <c r="F33" i="34"/>
  <c r="F29" i="34"/>
  <c r="F25" i="34"/>
  <c r="F21" i="34"/>
  <c r="F17" i="34"/>
  <c r="F13" i="34"/>
  <c r="F9" i="34"/>
  <c r="F114" i="34"/>
  <c r="F110" i="34"/>
  <c r="F106" i="34"/>
  <c r="F102" i="34"/>
  <c r="F98" i="34"/>
  <c r="F94" i="34"/>
  <c r="F90" i="34"/>
  <c r="F86" i="34"/>
  <c r="F76" i="34"/>
  <c r="F72" i="34"/>
  <c r="F68" i="34"/>
  <c r="F64" i="34"/>
  <c r="F60" i="34"/>
  <c r="F56" i="34"/>
  <c r="F52" i="34"/>
  <c r="F48" i="34"/>
  <c r="F44" i="34"/>
  <c r="F40" i="34"/>
  <c r="F36" i="34"/>
  <c r="F32" i="34"/>
  <c r="F28" i="34"/>
  <c r="F24" i="34"/>
  <c r="F20" i="34"/>
  <c r="F16" i="34"/>
  <c r="F12" i="34"/>
  <c r="F8" i="34"/>
  <c r="F113" i="34"/>
  <c r="F109" i="34"/>
  <c r="F105" i="34"/>
  <c r="F101" i="34"/>
  <c r="F97" i="34"/>
  <c r="F93" i="34"/>
  <c r="F89" i="34"/>
  <c r="F85" i="34"/>
  <c r="F79" i="34"/>
  <c r="F75" i="34"/>
  <c r="F71" i="34"/>
  <c r="F67" i="34"/>
  <c r="F63" i="34"/>
  <c r="F59" i="34"/>
  <c r="F55" i="34"/>
  <c r="F51" i="34"/>
  <c r="F47" i="34"/>
  <c r="F43" i="34"/>
  <c r="F39" i="34"/>
  <c r="F35" i="34"/>
  <c r="F31" i="34"/>
  <c r="F27" i="34"/>
  <c r="F23" i="34"/>
  <c r="F19" i="34"/>
  <c r="F15" i="34"/>
  <c r="F11" i="34"/>
  <c r="F112" i="34"/>
  <c r="F108" i="34"/>
  <c r="F104" i="34"/>
  <c r="F100" i="34"/>
  <c r="F96" i="34"/>
  <c r="F92" i="34"/>
  <c r="F88" i="34"/>
  <c r="F84" i="34"/>
  <c r="F78" i="34"/>
  <c r="F74" i="34"/>
  <c r="F70" i="34"/>
  <c r="F66" i="34"/>
  <c r="F62" i="34"/>
  <c r="F58" i="34"/>
  <c r="F54" i="34"/>
  <c r="F50" i="34"/>
  <c r="F46" i="34"/>
  <c r="F42" i="34"/>
  <c r="F38" i="34"/>
  <c r="F34" i="34"/>
  <c r="F30" i="34"/>
  <c r="F26" i="34"/>
  <c r="F22" i="34"/>
  <c r="F18" i="34"/>
  <c r="F14" i="34"/>
  <c r="F10" i="34"/>
  <c r="F158" i="27"/>
  <c r="F154" i="27"/>
  <c r="F150" i="27"/>
  <c r="F146" i="27"/>
  <c r="F142" i="27"/>
  <c r="F138" i="27"/>
  <c r="F134" i="27"/>
  <c r="F130" i="27"/>
  <c r="F126" i="27"/>
  <c r="F122" i="27"/>
  <c r="F118" i="27"/>
  <c r="F114" i="27"/>
  <c r="F110" i="27"/>
  <c r="F106" i="27"/>
  <c r="F161" i="27"/>
  <c r="F157" i="27"/>
  <c r="F153" i="27"/>
  <c r="F149" i="27"/>
  <c r="F145" i="27"/>
  <c r="F141" i="27"/>
  <c r="F137" i="27"/>
  <c r="F133" i="27"/>
  <c r="F129" i="27"/>
  <c r="F125" i="27"/>
  <c r="F121" i="27"/>
  <c r="F117" i="27"/>
  <c r="F113" i="27"/>
  <c r="F109" i="27"/>
  <c r="F105" i="27"/>
  <c r="F95" i="27"/>
  <c r="F91" i="27"/>
  <c r="F87" i="27"/>
  <c r="F83" i="27"/>
  <c r="F79" i="27"/>
  <c r="F75" i="27"/>
  <c r="F71" i="27"/>
  <c r="F67" i="27"/>
  <c r="F63" i="27"/>
  <c r="F59" i="27"/>
  <c r="F55" i="27"/>
  <c r="F51" i="27"/>
  <c r="F47" i="27"/>
  <c r="F43" i="27"/>
  <c r="F39" i="27"/>
  <c r="F35" i="27"/>
  <c r="F31" i="27"/>
  <c r="F27" i="27"/>
  <c r="F23" i="27"/>
  <c r="F19" i="27"/>
  <c r="F15" i="27"/>
  <c r="F11" i="27"/>
  <c r="F116" i="27"/>
  <c r="F111" i="27"/>
  <c r="F97" i="27"/>
  <c r="F85" i="27"/>
  <c r="F73" i="27"/>
  <c r="F57" i="27"/>
  <c r="F45" i="27"/>
  <c r="F33" i="27"/>
  <c r="F17" i="27"/>
  <c r="F147" i="27"/>
  <c r="F131" i="27"/>
  <c r="F120" i="27"/>
  <c r="F115" i="27"/>
  <c r="F168" i="27"/>
  <c r="F160" i="27"/>
  <c r="F155" i="27"/>
  <c r="F144" i="27"/>
  <c r="F139" i="27"/>
  <c r="F128" i="27"/>
  <c r="F123" i="27"/>
  <c r="F112" i="27"/>
  <c r="F107" i="27"/>
  <c r="F81" i="27"/>
  <c r="F61" i="27"/>
  <c r="F37" i="27"/>
  <c r="F21" i="27"/>
  <c r="F9" i="27"/>
  <c r="F98" i="27"/>
  <c r="F94" i="27"/>
  <c r="F90" i="27"/>
  <c r="F86" i="27"/>
  <c r="F82" i="27"/>
  <c r="F78" i="27"/>
  <c r="F74" i="27"/>
  <c r="F70" i="27"/>
  <c r="F66" i="27"/>
  <c r="F62" i="27"/>
  <c r="F58" i="27"/>
  <c r="F54" i="27"/>
  <c r="F50" i="27"/>
  <c r="F46" i="27"/>
  <c r="F42" i="27"/>
  <c r="F38" i="27"/>
  <c r="F34" i="27"/>
  <c r="F30" i="27"/>
  <c r="F26" i="27"/>
  <c r="F22" i="27"/>
  <c r="F18" i="27"/>
  <c r="F14" i="27"/>
  <c r="F10" i="27"/>
  <c r="F152" i="27"/>
  <c r="F136" i="27"/>
  <c r="F159" i="27"/>
  <c r="F148" i="27"/>
  <c r="F143" i="27"/>
  <c r="F132" i="27"/>
  <c r="F127" i="27"/>
  <c r="F93" i="27"/>
  <c r="F77" i="27"/>
  <c r="F65" i="27"/>
  <c r="F49" i="27"/>
  <c r="F25" i="27"/>
  <c r="F89" i="27"/>
  <c r="F69" i="27"/>
  <c r="F53" i="27"/>
  <c r="F41" i="27"/>
  <c r="F29" i="27"/>
  <c r="F13" i="27"/>
  <c r="F102" i="27" s="1"/>
  <c r="F76" i="27"/>
  <c r="F119" i="27"/>
  <c r="F140" i="27"/>
  <c r="F52" i="27"/>
  <c r="F84" i="27"/>
  <c r="F135" i="27"/>
  <c r="F156" i="27"/>
  <c r="F26" i="33"/>
  <c r="F28" i="33" s="1"/>
  <c r="F17" i="33"/>
  <c r="F13" i="33"/>
  <c r="F9" i="33"/>
  <c r="F31" i="33"/>
  <c r="F32" i="33" s="1"/>
  <c r="F16" i="33"/>
  <c r="F12" i="33"/>
  <c r="F8" i="33"/>
  <c r="F18" i="33" s="1"/>
  <c r="F36" i="33"/>
  <c r="F15" i="33"/>
  <c r="F10" i="33"/>
  <c r="F21" i="33"/>
  <c r="F22" i="33" s="1"/>
  <c r="F14" i="33"/>
  <c r="F27" i="33"/>
  <c r="F11" i="33"/>
  <c r="F43" i="65"/>
  <c r="F35" i="65"/>
  <c r="F27" i="65"/>
  <c r="F19" i="65"/>
  <c r="F11" i="65"/>
  <c r="F78" i="65"/>
  <c r="F80" i="65" s="1"/>
  <c r="F72" i="65"/>
  <c r="F68" i="65"/>
  <c r="F64" i="65"/>
  <c r="F60" i="65"/>
  <c r="F52" i="65"/>
  <c r="F53" i="65" s="1"/>
  <c r="F42" i="65"/>
  <c r="F34" i="65"/>
  <c r="F26" i="65"/>
  <c r="F18" i="65"/>
  <c r="F10" i="65"/>
  <c r="F84" i="65"/>
  <c r="F49" i="65"/>
  <c r="F41" i="65"/>
  <c r="F33" i="65"/>
  <c r="F25" i="65"/>
  <c r="F17" i="65"/>
  <c r="F9" i="65"/>
  <c r="F71" i="65"/>
  <c r="F67" i="65"/>
  <c r="F63" i="65"/>
  <c r="F59" i="65"/>
  <c r="F40" i="65"/>
  <c r="F32" i="65"/>
  <c r="F24" i="65"/>
  <c r="F16" i="65"/>
  <c r="F8" i="65"/>
  <c r="F48" i="65"/>
  <c r="F39" i="65"/>
  <c r="F31" i="65"/>
  <c r="F23" i="65"/>
  <c r="F15" i="65"/>
  <c r="F7" i="65"/>
  <c r="F74" i="65"/>
  <c r="F70" i="65"/>
  <c r="F66" i="65"/>
  <c r="F62" i="65"/>
  <c r="F58" i="65"/>
  <c r="F47" i="65"/>
  <c r="F38" i="65"/>
  <c r="F30" i="65"/>
  <c r="F22" i="65"/>
  <c r="F14" i="65"/>
  <c r="F37" i="65"/>
  <c r="F29" i="65"/>
  <c r="F21" i="65"/>
  <c r="F13" i="65"/>
  <c r="F79" i="65"/>
  <c r="F73" i="65"/>
  <c r="F69" i="65"/>
  <c r="F65" i="65"/>
  <c r="F61" i="65"/>
  <c r="F36" i="65"/>
  <c r="F28" i="65"/>
  <c r="F20" i="65"/>
  <c r="F12" i="65"/>
  <c r="F57" i="35"/>
  <c r="F53" i="35"/>
  <c r="F49" i="35"/>
  <c r="F45" i="35"/>
  <c r="F41" i="35"/>
  <c r="F37" i="35"/>
  <c r="F33" i="35"/>
  <c r="F29" i="35"/>
  <c r="F25" i="35"/>
  <c r="F21" i="35"/>
  <c r="F17" i="35"/>
  <c r="F13" i="35"/>
  <c r="F9" i="35"/>
  <c r="F68" i="35"/>
  <c r="F60" i="35"/>
  <c r="F56" i="35"/>
  <c r="F52" i="35"/>
  <c r="F48" i="35"/>
  <c r="F44" i="35"/>
  <c r="F40" i="35"/>
  <c r="F36" i="35"/>
  <c r="F32" i="35"/>
  <c r="F28" i="35"/>
  <c r="F24" i="35"/>
  <c r="F20" i="35"/>
  <c r="F16" i="35"/>
  <c r="F12" i="35"/>
  <c r="F8" i="35"/>
  <c r="F64" i="35" s="1"/>
  <c r="F72" i="35" s="1"/>
  <c r="F76" i="35" s="1"/>
  <c r="F67" i="35"/>
  <c r="F70" i="35" s="1"/>
  <c r="F59" i="35"/>
  <c r="F55" i="35"/>
  <c r="F51" i="35"/>
  <c r="F47" i="35"/>
  <c r="F43" i="35"/>
  <c r="F39" i="35"/>
  <c r="F35" i="35"/>
  <c r="F31" i="35"/>
  <c r="F27" i="35"/>
  <c r="F23" i="35"/>
  <c r="F19" i="35"/>
  <c r="F15" i="35"/>
  <c r="F11" i="35"/>
  <c r="F58" i="35"/>
  <c r="F54" i="35"/>
  <c r="F50" i="35"/>
  <c r="F46" i="35"/>
  <c r="F42" i="35"/>
  <c r="F38" i="35"/>
  <c r="F34" i="35"/>
  <c r="F30" i="35"/>
  <c r="F26" i="35"/>
  <c r="F22" i="35"/>
  <c r="F18" i="35"/>
  <c r="F14" i="35"/>
  <c r="F10" i="35"/>
  <c r="F69" i="63"/>
  <c r="F73" i="63" s="1"/>
  <c r="F26" i="64"/>
  <c r="F18" i="64"/>
  <c r="F10" i="64"/>
  <c r="F53" i="64"/>
  <c r="F49" i="64"/>
  <c r="F45" i="64"/>
  <c r="F41" i="64"/>
  <c r="F33" i="64"/>
  <c r="F25" i="64"/>
  <c r="F17" i="64"/>
  <c r="F9" i="64"/>
  <c r="F32" i="64"/>
  <c r="F24" i="64"/>
  <c r="F16" i="64"/>
  <c r="F8" i="64"/>
  <c r="F56" i="64"/>
  <c r="F52" i="64"/>
  <c r="F48" i="64"/>
  <c r="F44" i="64"/>
  <c r="F40" i="64"/>
  <c r="F31" i="64"/>
  <c r="F23" i="64"/>
  <c r="F15" i="64"/>
  <c r="F7" i="64"/>
  <c r="F30" i="64"/>
  <c r="F22" i="64"/>
  <c r="F14" i="64"/>
  <c r="F55" i="64"/>
  <c r="F51" i="64"/>
  <c r="F47" i="64"/>
  <c r="F43" i="64"/>
  <c r="F39" i="64"/>
  <c r="F29" i="64"/>
  <c r="F21" i="64"/>
  <c r="F13" i="64"/>
  <c r="F28" i="64"/>
  <c r="F20" i="64"/>
  <c r="F12" i="64"/>
  <c r="F54" i="64"/>
  <c r="F50" i="64"/>
  <c r="F46" i="64"/>
  <c r="F42" i="64"/>
  <c r="F27" i="64"/>
  <c r="F19" i="64"/>
  <c r="F11" i="64"/>
  <c r="E157" i="26"/>
  <c r="E161" i="26" s="1"/>
  <c r="F115" i="34" l="1"/>
  <c r="F164" i="27"/>
  <c r="F166" i="27" s="1"/>
  <c r="F170" i="27" s="1"/>
  <c r="F44" i="65"/>
  <c r="F80" i="34"/>
  <c r="F117" i="34" s="1"/>
  <c r="F121" i="34" s="1"/>
  <c r="F57" i="64"/>
  <c r="F34" i="64"/>
  <c r="F59" i="64" s="1"/>
  <c r="F63" i="64" s="1"/>
  <c r="F34" i="33"/>
  <c r="F38" i="33" s="1"/>
  <c r="F152" i="26"/>
  <c r="F148" i="26"/>
  <c r="F144" i="26"/>
  <c r="F138" i="26"/>
  <c r="F131" i="26"/>
  <c r="F127" i="26"/>
  <c r="F123" i="26"/>
  <c r="F119" i="26"/>
  <c r="F115" i="26"/>
  <c r="F111" i="26"/>
  <c r="F107" i="26"/>
  <c r="F103" i="26"/>
  <c r="F99" i="26"/>
  <c r="F95" i="26"/>
  <c r="F89" i="26"/>
  <c r="F85" i="26"/>
  <c r="F81" i="26"/>
  <c r="F77" i="26"/>
  <c r="F73" i="26"/>
  <c r="F69" i="26"/>
  <c r="F65" i="26"/>
  <c r="F61" i="26"/>
  <c r="F57" i="26"/>
  <c r="F53" i="26"/>
  <c r="F49" i="26"/>
  <c r="F45" i="26"/>
  <c r="F41" i="26"/>
  <c r="F37" i="26"/>
  <c r="F33" i="26"/>
  <c r="F29" i="26"/>
  <c r="F25" i="26"/>
  <c r="F21" i="26"/>
  <c r="F17" i="26"/>
  <c r="F13" i="26"/>
  <c r="F9" i="26"/>
  <c r="F154" i="26"/>
  <c r="F133" i="26"/>
  <c r="F121" i="26"/>
  <c r="F105" i="26"/>
  <c r="F87" i="26"/>
  <c r="F71" i="26"/>
  <c r="F55" i="26"/>
  <c r="F31" i="26"/>
  <c r="F23" i="26"/>
  <c r="F11" i="26"/>
  <c r="F118" i="26"/>
  <c r="F106" i="26"/>
  <c r="F98" i="26"/>
  <c r="F88" i="26"/>
  <c r="F84" i="26"/>
  <c r="F76" i="26"/>
  <c r="F72" i="26"/>
  <c r="F64" i="26"/>
  <c r="F60" i="26"/>
  <c r="F52" i="26"/>
  <c r="F48" i="26"/>
  <c r="F40" i="26"/>
  <c r="F32" i="26"/>
  <c r="F28" i="26"/>
  <c r="F20" i="26"/>
  <c r="F16" i="26"/>
  <c r="F8" i="26"/>
  <c r="F113" i="26"/>
  <c r="F91" i="26"/>
  <c r="F75" i="26"/>
  <c r="F59" i="26"/>
  <c r="F39" i="26"/>
  <c r="F19" i="26"/>
  <c r="F151" i="26"/>
  <c r="F147" i="26"/>
  <c r="F143" i="26"/>
  <c r="F130" i="26"/>
  <c r="F126" i="26"/>
  <c r="F122" i="26"/>
  <c r="F114" i="26"/>
  <c r="F110" i="26"/>
  <c r="F102" i="26"/>
  <c r="F80" i="26"/>
  <c r="F68" i="26"/>
  <c r="F56" i="26"/>
  <c r="F44" i="26"/>
  <c r="F36" i="26"/>
  <c r="F24" i="26"/>
  <c r="F12" i="26"/>
  <c r="F47" i="26"/>
  <c r="F146" i="26"/>
  <c r="F125" i="26"/>
  <c r="F109" i="26"/>
  <c r="F97" i="26"/>
  <c r="F79" i="26"/>
  <c r="F63" i="26"/>
  <c r="F43" i="26"/>
  <c r="F27" i="26"/>
  <c r="F150" i="26"/>
  <c r="F129" i="26"/>
  <c r="F117" i="26"/>
  <c r="F101" i="26"/>
  <c r="F83" i="26"/>
  <c r="F67" i="26"/>
  <c r="F51" i="26"/>
  <c r="F35" i="26"/>
  <c r="F15" i="26"/>
  <c r="F132" i="26"/>
  <c r="F100" i="26"/>
  <c r="F66" i="26"/>
  <c r="F34" i="26"/>
  <c r="F145" i="26"/>
  <c r="F10" i="26"/>
  <c r="F120" i="26"/>
  <c r="F86" i="26"/>
  <c r="F149" i="26"/>
  <c r="F112" i="26"/>
  <c r="F78" i="26"/>
  <c r="F46" i="26"/>
  <c r="F14" i="26"/>
  <c r="F58" i="26"/>
  <c r="F18" i="26"/>
  <c r="F96" i="26"/>
  <c r="F30" i="26"/>
  <c r="F124" i="26"/>
  <c r="F90" i="26"/>
  <c r="F26" i="26"/>
  <c r="F70" i="26"/>
  <c r="F128" i="26"/>
  <c r="F62" i="26"/>
  <c r="F139" i="26"/>
  <c r="F104" i="26"/>
  <c r="F38" i="26"/>
  <c r="F74" i="26"/>
  <c r="F42" i="26"/>
  <c r="F54" i="26"/>
  <c r="F153" i="26"/>
  <c r="F116" i="26"/>
  <c r="F82" i="26"/>
  <c r="F50" i="26"/>
  <c r="F108" i="26"/>
  <c r="F22" i="26"/>
  <c r="F75" i="65"/>
  <c r="F140" i="26" l="1"/>
  <c r="F82" i="65"/>
  <c r="F86" i="65" s="1"/>
  <c r="F155" i="26"/>
  <c r="F92" i="26"/>
  <c r="F134" i="26"/>
  <c r="F157" i="26" l="1"/>
  <c r="F161" i="26" s="1"/>
  <c r="F49" i="19" l="1"/>
  <c r="B63" i="17" l="1"/>
  <c r="B68" i="10"/>
  <c r="B69" i="10"/>
  <c r="B70" i="10"/>
  <c r="B71" i="10"/>
  <c r="B72" i="10"/>
  <c r="B73" i="10"/>
  <c r="B67" i="10"/>
  <c r="G58" i="10" l="1"/>
  <c r="E62" i="10"/>
  <c r="F70" i="8" l="1"/>
  <c r="F64" i="23" l="1"/>
  <c r="F58" i="2" l="1"/>
  <c r="E58" i="2"/>
  <c r="F43" i="3"/>
  <c r="F45" i="3" s="1"/>
  <c r="E43" i="3"/>
  <c r="E45" i="3" s="1"/>
  <c r="E7" i="4"/>
  <c r="E9" i="4" s="1"/>
  <c r="E13" i="4" s="1"/>
  <c r="D7" i="4"/>
  <c r="D9" i="4" s="1"/>
  <c r="D13" i="4" s="1"/>
  <c r="E46" i="6"/>
  <c r="E63" i="7"/>
  <c r="E70" i="9"/>
  <c r="E48" i="9"/>
  <c r="E39" i="11"/>
  <c r="E49" i="19"/>
  <c r="E76" i="20"/>
  <c r="E68" i="20"/>
  <c r="F34" i="22"/>
  <c r="E34" i="22"/>
  <c r="F20" i="22"/>
  <c r="E20" i="22"/>
  <c r="E24" i="22"/>
  <c r="F38" i="22"/>
  <c r="E38" i="22"/>
  <c r="E64" i="23"/>
  <c r="F58" i="23"/>
  <c r="F66" i="23" s="1"/>
  <c r="E58" i="23"/>
  <c r="E66" i="23" s="1"/>
  <c r="E70" i="23" s="1"/>
  <c r="E7" i="24"/>
  <c r="D7" i="24"/>
  <c r="F49" i="25"/>
  <c r="F51" i="25" s="1"/>
  <c r="E49" i="25"/>
  <c r="E49" i="3" l="1"/>
  <c r="D9" i="24"/>
  <c r="E9" i="24"/>
  <c r="F49" i="3"/>
  <c r="F55" i="25"/>
  <c r="E51" i="25"/>
  <c r="F70" i="23"/>
  <c r="F40" i="22"/>
  <c r="E40" i="22"/>
  <c r="F82" i="21"/>
  <c r="E82" i="21"/>
  <c r="E84" i="21" s="1"/>
  <c r="E88" i="21" s="1"/>
  <c r="E72" i="20"/>
  <c r="E78" i="20" s="1"/>
  <c r="E82" i="20" s="1"/>
  <c r="F55" i="19"/>
  <c r="F42" i="19"/>
  <c r="E42" i="19"/>
  <c r="D10" i="18"/>
  <c r="D12" i="18" s="1"/>
  <c r="F70" i="17"/>
  <c r="F58" i="17"/>
  <c r="F64" i="17"/>
  <c r="E64" i="17"/>
  <c r="E58" i="17"/>
  <c r="E15" i="16"/>
  <c r="E9" i="16"/>
  <c r="D9" i="16"/>
  <c r="E16" i="15"/>
  <c r="E10" i="15"/>
  <c r="D10" i="15"/>
  <c r="E17" i="14"/>
  <c r="E11" i="14"/>
  <c r="D11" i="14"/>
  <c r="E17" i="13"/>
  <c r="E11" i="13"/>
  <c r="D11" i="13"/>
  <c r="E17" i="12"/>
  <c r="E11" i="12"/>
  <c r="D11" i="12"/>
  <c r="E35" i="11"/>
  <c r="E41" i="11" s="1"/>
  <c r="E45" i="11" s="1"/>
  <c r="E74" i="10"/>
  <c r="E58" i="10"/>
  <c r="E44" i="9"/>
  <c r="E72" i="9" s="1"/>
  <c r="F76" i="8"/>
  <c r="F64" i="8"/>
  <c r="E70" i="8"/>
  <c r="E64" i="8"/>
  <c r="E59" i="7"/>
  <c r="E65" i="7" s="1"/>
  <c r="E42" i="6"/>
  <c r="E48" i="6" s="1"/>
  <c r="E14" i="5"/>
  <c r="E8" i="5"/>
  <c r="D8" i="5"/>
  <c r="E20" i="2"/>
  <c r="E60" i="2" s="1"/>
  <c r="E69" i="7" l="1"/>
  <c r="F54" i="7" s="1"/>
  <c r="F14" i="7"/>
  <c r="F37" i="7"/>
  <c r="F67" i="7"/>
  <c r="F44" i="7"/>
  <c r="F56" i="7"/>
  <c r="F24" i="7"/>
  <c r="F27" i="7"/>
  <c r="F11" i="7"/>
  <c r="F50" i="7"/>
  <c r="F34" i="7"/>
  <c r="F33" i="7"/>
  <c r="F40" i="7"/>
  <c r="F33" i="11"/>
  <c r="F25" i="11"/>
  <c r="F17" i="11"/>
  <c r="F9" i="11"/>
  <c r="F24" i="11"/>
  <c r="F8" i="11"/>
  <c r="F22" i="11"/>
  <c r="F21" i="11"/>
  <c r="F10" i="11"/>
  <c r="F32" i="11"/>
  <c r="F16" i="11"/>
  <c r="F20" i="11"/>
  <c r="F19" i="11"/>
  <c r="F26" i="11"/>
  <c r="F31" i="11"/>
  <c r="F23" i="11"/>
  <c r="F15" i="11"/>
  <c r="F30" i="11"/>
  <c r="F14" i="11"/>
  <c r="F29" i="11"/>
  <c r="F13" i="11"/>
  <c r="F28" i="11"/>
  <c r="F12" i="11"/>
  <c r="F43" i="11"/>
  <c r="F34" i="11"/>
  <c r="F38" i="11"/>
  <c r="F39" i="11" s="1"/>
  <c r="F27" i="11"/>
  <c r="F11" i="11"/>
  <c r="F18" i="11"/>
  <c r="F67" i="20"/>
  <c r="F51" i="20"/>
  <c r="F35" i="20"/>
  <c r="F19" i="20"/>
  <c r="F43" i="20"/>
  <c r="F55" i="20"/>
  <c r="F75" i="20"/>
  <c r="F76" i="20" s="1"/>
  <c r="F65" i="20"/>
  <c r="F49" i="20"/>
  <c r="F33" i="20"/>
  <c r="F17" i="20"/>
  <c r="F27" i="20"/>
  <c r="F9" i="20"/>
  <c r="F63" i="20"/>
  <c r="F47" i="20"/>
  <c r="F31" i="20"/>
  <c r="F15" i="20"/>
  <c r="F41" i="20"/>
  <c r="F37" i="20"/>
  <c r="F80" i="20"/>
  <c r="F61" i="20"/>
  <c r="F45" i="20"/>
  <c r="F29" i="20"/>
  <c r="F13" i="20"/>
  <c r="F11" i="20"/>
  <c r="F25" i="20"/>
  <c r="F23" i="20"/>
  <c r="F21" i="20"/>
  <c r="F59" i="20"/>
  <c r="F57" i="20"/>
  <c r="F39" i="20"/>
  <c r="F53" i="20"/>
  <c r="F8" i="20"/>
  <c r="F24" i="20"/>
  <c r="F40" i="20"/>
  <c r="F56" i="20"/>
  <c r="F12" i="20"/>
  <c r="F52" i="20"/>
  <c r="F38" i="20"/>
  <c r="F10" i="20"/>
  <c r="F68" i="20" s="1"/>
  <c r="F26" i="20"/>
  <c r="F42" i="20"/>
  <c r="F58" i="20"/>
  <c r="F28" i="20"/>
  <c r="F44" i="20"/>
  <c r="F60" i="20"/>
  <c r="F14" i="20"/>
  <c r="F30" i="20"/>
  <c r="F46" i="20"/>
  <c r="F62" i="20"/>
  <c r="F16" i="20"/>
  <c r="F32" i="20"/>
  <c r="F48" i="20"/>
  <c r="F64" i="20"/>
  <c r="F18" i="20"/>
  <c r="F34" i="20"/>
  <c r="F66" i="20"/>
  <c r="F36" i="20"/>
  <c r="F22" i="20"/>
  <c r="F20" i="20"/>
  <c r="F54" i="20"/>
  <c r="F50" i="20"/>
  <c r="D16" i="18"/>
  <c r="D13" i="24"/>
  <c r="E13" i="24"/>
  <c r="E52" i="6"/>
  <c r="E44" i="22"/>
  <c r="E55" i="25"/>
  <c r="E64" i="2"/>
  <c r="F15" i="2" s="1"/>
  <c r="F17" i="2"/>
  <c r="F9" i="2"/>
  <c r="F11" i="2"/>
  <c r="E76" i="10"/>
  <c r="E76" i="9"/>
  <c r="F74" i="9" s="1"/>
  <c r="F18" i="9"/>
  <c r="F16" i="9"/>
  <c r="F84" i="21"/>
  <c r="F44" i="22"/>
  <c r="F9" i="9" l="1"/>
  <c r="F42" i="9"/>
  <c r="F8" i="9"/>
  <c r="F9" i="7"/>
  <c r="F42" i="7"/>
  <c r="F19" i="7"/>
  <c r="F32" i="7"/>
  <c r="F52" i="7"/>
  <c r="F45" i="7"/>
  <c r="F17" i="7"/>
  <c r="F25" i="7"/>
  <c r="F15" i="7"/>
  <c r="F12" i="7"/>
  <c r="F47" i="7"/>
  <c r="F30" i="7"/>
  <c r="F49" i="7"/>
  <c r="F58" i="7"/>
  <c r="F53" i="7"/>
  <c r="F22" i="7"/>
  <c r="F57" i="7"/>
  <c r="F43" i="7"/>
  <c r="F31" i="7"/>
  <c r="F10" i="7"/>
  <c r="F8" i="7"/>
  <c r="F59" i="7" s="1"/>
  <c r="F65" i="7" s="1"/>
  <c r="F51" i="7"/>
  <c r="F20" i="7"/>
  <c r="F13" i="7"/>
  <c r="F38" i="7"/>
  <c r="F39" i="7"/>
  <c r="F35" i="7"/>
  <c r="F55" i="7"/>
  <c r="F18" i="7"/>
  <c r="F48" i="7"/>
  <c r="F62" i="7"/>
  <c r="F63" i="7" s="1"/>
  <c r="F28" i="7"/>
  <c r="F21" i="7"/>
  <c r="F46" i="7"/>
  <c r="F16" i="7"/>
  <c r="F26" i="7"/>
  <c r="F41" i="7"/>
  <c r="F23" i="7"/>
  <c r="F36" i="7"/>
  <c r="F29" i="7"/>
  <c r="F35" i="11"/>
  <c r="F41" i="11" s="1"/>
  <c r="F45" i="11" s="1"/>
  <c r="F78" i="20"/>
  <c r="F82" i="20" s="1"/>
  <c r="E8" i="18"/>
  <c r="E7" i="18"/>
  <c r="E9" i="18"/>
  <c r="E14" i="18"/>
  <c r="E6" i="18"/>
  <c r="E10" i="18" s="1"/>
  <c r="E12" i="18" s="1"/>
  <c r="F13" i="2"/>
  <c r="F8" i="2"/>
  <c r="F20" i="2" s="1"/>
  <c r="F60" i="2" s="1"/>
  <c r="F19" i="2"/>
  <c r="F62" i="2"/>
  <c r="F16" i="2"/>
  <c r="F50" i="6"/>
  <c r="F32" i="6"/>
  <c r="F16" i="6"/>
  <c r="F40" i="6"/>
  <c r="F30" i="6"/>
  <c r="F14" i="6"/>
  <c r="F26" i="6"/>
  <c r="F24" i="6"/>
  <c r="F28" i="6"/>
  <c r="F12" i="6"/>
  <c r="F10" i="6"/>
  <c r="F45" i="6"/>
  <c r="F46" i="6" s="1"/>
  <c r="F8" i="6"/>
  <c r="F38" i="6"/>
  <c r="F22" i="6"/>
  <c r="F34" i="6"/>
  <c r="F36" i="6"/>
  <c r="F20" i="6"/>
  <c r="F18" i="6"/>
  <c r="F15" i="6"/>
  <c r="F31" i="6"/>
  <c r="F17" i="6"/>
  <c r="F33" i="6"/>
  <c r="F19" i="6"/>
  <c r="F35" i="6"/>
  <c r="F21" i="6"/>
  <c r="F23" i="6"/>
  <c r="F25" i="6"/>
  <c r="F11" i="6"/>
  <c r="F37" i="6"/>
  <c r="F39" i="6"/>
  <c r="F41" i="6"/>
  <c r="F29" i="6"/>
  <c r="F9" i="6"/>
  <c r="F13" i="6"/>
  <c r="F27" i="6"/>
  <c r="F12" i="2"/>
  <c r="F10" i="2"/>
  <c r="F18" i="2"/>
  <c r="F14" i="2"/>
  <c r="F35" i="9"/>
  <c r="F26" i="9"/>
  <c r="F17" i="9"/>
  <c r="F21" i="9"/>
  <c r="F14" i="9"/>
  <c r="F22" i="9"/>
  <c r="F11" i="9"/>
  <c r="F30" i="9"/>
  <c r="F19" i="9"/>
  <c r="F10" i="9"/>
  <c r="F28" i="9"/>
  <c r="F36" i="9"/>
  <c r="F15" i="9"/>
  <c r="F23" i="9"/>
  <c r="F29" i="9"/>
  <c r="F27" i="9"/>
  <c r="F37" i="9"/>
  <c r="E81" i="10"/>
  <c r="F31" i="9"/>
  <c r="F39" i="9"/>
  <c r="F38" i="9"/>
  <c r="F25" i="9"/>
  <c r="F43" i="9"/>
  <c r="F32" i="9"/>
  <c r="F34" i="9"/>
  <c r="F40" i="9"/>
  <c r="F41" i="9"/>
  <c r="F24" i="9"/>
  <c r="F12" i="9"/>
  <c r="F70" i="9"/>
  <c r="F33" i="9"/>
  <c r="F13" i="9"/>
  <c r="F20" i="9"/>
  <c r="F47" i="9"/>
  <c r="F48" i="9" s="1"/>
  <c r="F88" i="21"/>
  <c r="F78" i="10" l="1"/>
  <c r="F79" i="10"/>
  <c r="F69" i="7"/>
  <c r="E16" i="18"/>
  <c r="F42" i="6"/>
  <c r="F48" i="6" s="1"/>
  <c r="F64" i="2"/>
  <c r="F44" i="9"/>
  <c r="F72" i="9" s="1"/>
  <c r="F70" i="10"/>
  <c r="F54" i="10"/>
  <c r="F46" i="10"/>
  <c r="F38" i="10"/>
  <c r="F69" i="10"/>
  <c r="F53" i="10"/>
  <c r="F45" i="10"/>
  <c r="F37" i="10"/>
  <c r="F29" i="10"/>
  <c r="F21" i="10"/>
  <c r="F13" i="10"/>
  <c r="F20" i="10"/>
  <c r="F67" i="10"/>
  <c r="F51" i="10"/>
  <c r="F43" i="10"/>
  <c r="F27" i="10"/>
  <c r="F19" i="10"/>
  <c r="F55" i="10"/>
  <c r="F23" i="10"/>
  <c r="F22" i="10"/>
  <c r="F68" i="10"/>
  <c r="F52" i="10"/>
  <c r="F44" i="10"/>
  <c r="F36" i="10"/>
  <c r="F28" i="10"/>
  <c r="F12" i="10"/>
  <c r="F11" i="10"/>
  <c r="F39" i="10"/>
  <c r="F35" i="10"/>
  <c r="F47" i="10"/>
  <c r="F15" i="10"/>
  <c r="F14" i="10"/>
  <c r="F61" i="10"/>
  <c r="F62" i="10" s="1"/>
  <c r="F50" i="10"/>
  <c r="F42" i="10"/>
  <c r="F34" i="10"/>
  <c r="F26" i="10"/>
  <c r="F18" i="10"/>
  <c r="F10" i="10"/>
  <c r="F9" i="10"/>
  <c r="F73" i="10"/>
  <c r="F57" i="10"/>
  <c r="F49" i="10"/>
  <c r="F41" i="10"/>
  <c r="F33" i="10"/>
  <c r="F25" i="10"/>
  <c r="F17" i="10"/>
  <c r="F71" i="10"/>
  <c r="F31" i="10"/>
  <c r="F30" i="10"/>
  <c r="F72" i="10"/>
  <c r="F56" i="10"/>
  <c r="F48" i="10"/>
  <c r="F40" i="10"/>
  <c r="F32" i="10"/>
  <c r="F24" i="10"/>
  <c r="F16" i="10"/>
  <c r="F8" i="10"/>
  <c r="F52" i="6" l="1"/>
  <c r="F74" i="10"/>
  <c r="F58" i="10"/>
  <c r="F76" i="9"/>
  <c r="F76" i="10" l="1"/>
  <c r="F81" i="10" l="1"/>
</calcChain>
</file>

<file path=xl/sharedStrings.xml><?xml version="1.0" encoding="utf-8"?>
<sst xmlns="http://schemas.openxmlformats.org/spreadsheetml/2006/main" count="7490" uniqueCount="1415">
  <si>
    <t>Franklin Asian Equity Fund As of Date -  30Aug2019</t>
  </si>
  <si>
    <t>ISIN Number</t>
  </si>
  <si>
    <t>Instrument Name</t>
  </si>
  <si>
    <t>Industry Classification</t>
  </si>
  <si>
    <t>Quantity</t>
  </si>
  <si>
    <t xml:space="preserve">Market Value(Rs. in Lakhs) </t>
  </si>
  <si>
    <t>% to Net Assets</t>
  </si>
  <si>
    <t>Equity &amp; Equity Related</t>
  </si>
  <si>
    <t>(a) Listed / awaiting listing on Stock Exchanges</t>
  </si>
  <si>
    <t xml:space="preserve"> Non - Traded / Thinly Traded Scrips</t>
  </si>
  <si>
    <t>INE040A01026</t>
  </si>
  <si>
    <t>HDFC Bank Ltd.</t>
  </si>
  <si>
    <t>Banks</t>
  </si>
  <si>
    <t>INE849A01020</t>
  </si>
  <si>
    <t>Trent Ltd.</t>
  </si>
  <si>
    <t>Retailing</t>
  </si>
  <si>
    <t>INE053A01029</t>
  </si>
  <si>
    <t>Indian Hotels Co. Ltd.</t>
  </si>
  <si>
    <t>INE093I01010</t>
  </si>
  <si>
    <t>Oberoi Realty Ltd.</t>
  </si>
  <si>
    <t>Construction</t>
  </si>
  <si>
    <t>INE237A01028</t>
  </si>
  <si>
    <t>Kotak Mahindra Bank Ltd.</t>
  </si>
  <si>
    <t>INE038A01020</t>
  </si>
  <si>
    <t>Hindalco Industries Ltd.</t>
  </si>
  <si>
    <t>Non - Ferrous Metals</t>
  </si>
  <si>
    <t>INE338I01027</t>
  </si>
  <si>
    <t>Motilal Oswal Financial Services Ltd.</t>
  </si>
  <si>
    <t>Finance</t>
  </si>
  <si>
    <t>INE298A01020</t>
  </si>
  <si>
    <t>Cummins India Ltd.</t>
  </si>
  <si>
    <t>Industrial Products</t>
  </si>
  <si>
    <t>INE410P01011</t>
  </si>
  <si>
    <t>Narayana Hrudayalaya Ltd., Reg S</t>
  </si>
  <si>
    <t>Healthcare Services</t>
  </si>
  <si>
    <t>INE192A01025</t>
  </si>
  <si>
    <t>Tata Global Beverages Ltd.</t>
  </si>
  <si>
    <t>Consumer Non Durables</t>
  </si>
  <si>
    <t>INE155A01022</t>
  </si>
  <si>
    <t>Tata Motors Ltd.</t>
  </si>
  <si>
    <t>Auto</t>
  </si>
  <si>
    <t>INE669E01016</t>
  </si>
  <si>
    <t>Vodafone Idea Ltd.</t>
  </si>
  <si>
    <t>Telecom - Services</t>
  </si>
  <si>
    <t>Total</t>
  </si>
  <si>
    <t>Foreign Equity Securities</t>
  </si>
  <si>
    <t>CNE1000002M1</t>
  </si>
  <si>
    <t>CNE1000003X6</t>
  </si>
  <si>
    <t>HK0000069689</t>
  </si>
  <si>
    <t>HK0669013440</t>
  </si>
  <si>
    <t>HK0883013259</t>
  </si>
  <si>
    <t>Oil</t>
  </si>
  <si>
    <t>ID1000061302</t>
  </si>
  <si>
    <t>Cement</t>
  </si>
  <si>
    <t>ID1000106800</t>
  </si>
  <si>
    <t>ID1000109507</t>
  </si>
  <si>
    <t>ID1000125503</t>
  </si>
  <si>
    <t>KYG2108Y1052</t>
  </si>
  <si>
    <t>KYG210961051</t>
  </si>
  <si>
    <t>KYG2121R1039</t>
  </si>
  <si>
    <t>Media &amp; Entertainment</t>
  </si>
  <si>
    <t>KYG4387E1070</t>
  </si>
  <si>
    <t>KYG8586D1097</t>
  </si>
  <si>
    <t>KYG875721634</t>
  </si>
  <si>
    <t>Software</t>
  </si>
  <si>
    <t>LU0633102719</t>
  </si>
  <si>
    <t>SG1L01001701</t>
  </si>
  <si>
    <t>TH0003010Z12</t>
  </si>
  <si>
    <t>TH0128B10Z17</t>
  </si>
  <si>
    <t>TH0737010Y16</t>
  </si>
  <si>
    <t>TW0002330008</t>
  </si>
  <si>
    <t>TW0003008009</t>
  </si>
  <si>
    <t>Consumer Durables</t>
  </si>
  <si>
    <t>TW0006414006</t>
  </si>
  <si>
    <t>US01609W1027</t>
  </si>
  <si>
    <t>US6475811070</t>
  </si>
  <si>
    <t>Call, Cash &amp; Other Assets</t>
  </si>
  <si>
    <t>Net Asset</t>
  </si>
  <si>
    <t>Note</t>
  </si>
  <si>
    <t>a) NAV at the beginning and at the end of the Half-year ended 30Aug2019</t>
  </si>
  <si>
    <t>NAV as on 28-Feb-2019</t>
  </si>
  <si>
    <t>NAV as on 30-Aug-2019</t>
  </si>
  <si>
    <t>b) Dividends declared during the Half - year ended 30-Aug-2019</t>
  </si>
  <si>
    <t>Nil</t>
  </si>
  <si>
    <t>Franklin Build India Fund As of Date -  30Aug2019</t>
  </si>
  <si>
    <t>INE090A01021</t>
  </si>
  <si>
    <t>ICICI Bank Ltd.</t>
  </si>
  <si>
    <t>INE062A01020</t>
  </si>
  <si>
    <t>State Bank of India</t>
  </si>
  <si>
    <t>INE397D01024</t>
  </si>
  <si>
    <t>Bharti Airtel Ltd.</t>
  </si>
  <si>
    <t>INE733E01010</t>
  </si>
  <si>
    <t>NTPC Ltd.</t>
  </si>
  <si>
    <t>Power</t>
  </si>
  <si>
    <t>INE029A01011</t>
  </si>
  <si>
    <t>Bharat Petroleum Corp. Ltd.</t>
  </si>
  <si>
    <t>Petroleum Products</t>
  </si>
  <si>
    <t>INE238A01034</t>
  </si>
  <si>
    <t>Axis Bank Ltd.</t>
  </si>
  <si>
    <t>INE878B01027</t>
  </si>
  <si>
    <t>KEI Industries Ltd.</t>
  </si>
  <si>
    <t>INE347G01014</t>
  </si>
  <si>
    <t>Petronet LNG Ltd.</t>
  </si>
  <si>
    <t>Gas</t>
  </si>
  <si>
    <t>INE242A01010</t>
  </si>
  <si>
    <t>Indian Oil Corp. Ltd.</t>
  </si>
  <si>
    <t>INE481G01011</t>
  </si>
  <si>
    <t>UltraTech Cement Ltd.</t>
  </si>
  <si>
    <t>INE285B01017</t>
  </si>
  <si>
    <t>SpiceJet Ltd.</t>
  </si>
  <si>
    <t>Transportation</t>
  </si>
  <si>
    <t>INE671H01015</t>
  </si>
  <si>
    <t>Sobha Ltd.</t>
  </si>
  <si>
    <t>INE012A01025</t>
  </si>
  <si>
    <t>ACC Ltd.</t>
  </si>
  <si>
    <t>INE129A01019</t>
  </si>
  <si>
    <t>GAIL India Ltd.</t>
  </si>
  <si>
    <t>INE786A01032</t>
  </si>
  <si>
    <t>JK Lakshmi Cement Ltd.</t>
  </si>
  <si>
    <t>INE213A01029</t>
  </si>
  <si>
    <t>Oil &amp; Natural Gas Corp. Ltd.</t>
  </si>
  <si>
    <t>INE158A01026</t>
  </si>
  <si>
    <t>Hero Motocorp Ltd.</t>
  </si>
  <si>
    <t>INE774D01024</t>
  </si>
  <si>
    <t>Mahindra &amp; Mahindra Financial Services Ltd.</t>
  </si>
  <si>
    <t>INE235A01022</t>
  </si>
  <si>
    <t>Finolex Cables Ltd.</t>
  </si>
  <si>
    <t>INE349A01021</t>
  </si>
  <si>
    <t>NRB Bearings Ltd.</t>
  </si>
  <si>
    <t>INE355A01028</t>
  </si>
  <si>
    <t>Somany Ceramics Ltd.</t>
  </si>
  <si>
    <t>INE517F01014</t>
  </si>
  <si>
    <t>Gujarat Pipavav Port Ltd.</t>
  </si>
  <si>
    <t>INE139A01034</t>
  </si>
  <si>
    <t>National Aluminium Co. Ltd.</t>
  </si>
  <si>
    <t>INE686A01026</t>
  </si>
  <si>
    <t>ITD Cementation India Ltd.</t>
  </si>
  <si>
    <t>INE513A01014</t>
  </si>
  <si>
    <t>Schaeffler India Ltd.</t>
  </si>
  <si>
    <t>INE323I01011</t>
  </si>
  <si>
    <t>Puravankara Projects Ltd.</t>
  </si>
  <si>
    <t>IN9155A01020</t>
  </si>
  <si>
    <t>INE111A01025</t>
  </si>
  <si>
    <t>Container Corp. of India Ltd.</t>
  </si>
  <si>
    <t>INE227C01017</t>
  </si>
  <si>
    <t>M.M. Forgings Ltd.</t>
  </si>
  <si>
    <t>INE160A01022</t>
  </si>
  <si>
    <t>Punjab National Bank Ltd.</t>
  </si>
  <si>
    <t>INE470Y01017</t>
  </si>
  <si>
    <t>The New India Assurance Co. Ltd., Reg S</t>
  </si>
  <si>
    <t>INE871K01015</t>
  </si>
  <si>
    <t>Hindustan Media Ventures Ltd.</t>
  </si>
  <si>
    <r>
      <t>Franklin India Feeder - Franklin European Growth F</t>
    </r>
    <r>
      <rPr>
        <b/>
        <sz val="8"/>
        <color theme="1"/>
        <rFont val="Arial"/>
        <family val="2"/>
      </rPr>
      <t>und As of Date -  30Aug2019</t>
    </r>
  </si>
  <si>
    <t>INF090I01GK1</t>
  </si>
  <si>
    <t>INF090I01FN7</t>
  </si>
  <si>
    <r>
      <t>Franklin India Dynamic PE Ratio Fund of Funds As o</t>
    </r>
    <r>
      <rPr>
        <b/>
        <sz val="8"/>
        <color theme="1"/>
        <rFont val="Arial"/>
        <family val="2"/>
      </rPr>
      <t>f Date -  30Aug2019</t>
    </r>
  </si>
  <si>
    <t>INE009A01021</t>
  </si>
  <si>
    <t>Infosys Ltd.</t>
  </si>
  <si>
    <t>INE860A01027</t>
  </si>
  <si>
    <t>HCL Technologies Ltd.</t>
  </si>
  <si>
    <t>INE089A01023</t>
  </si>
  <si>
    <t>Dr Reddy's Laboratories Ltd.</t>
  </si>
  <si>
    <t>Pharmaceuticals</t>
  </si>
  <si>
    <t>INE101A01026</t>
  </si>
  <si>
    <t>Mahindra &amp; Mahindra Ltd.</t>
  </si>
  <si>
    <t>INE018A01030</t>
  </si>
  <si>
    <t>Larsen &amp; Toubro Ltd.</t>
  </si>
  <si>
    <t>Construction Project</t>
  </si>
  <si>
    <t>INE646L01027</t>
  </si>
  <si>
    <t>InterGlobe Aviation Ltd., Reg S</t>
  </si>
  <si>
    <t>INE326A01037</t>
  </si>
  <si>
    <t>Lupin Ltd.</t>
  </si>
  <si>
    <t>INE047A01021</t>
  </si>
  <si>
    <t>Grasim Industries Ltd.</t>
  </si>
  <si>
    <t>INE079A01024</t>
  </si>
  <si>
    <t>Ambuja Cements Ltd.</t>
  </si>
  <si>
    <t>INE686F01025</t>
  </si>
  <si>
    <t>United Breweries Ltd.</t>
  </si>
  <si>
    <t>INE010B01027</t>
  </si>
  <si>
    <t>Cadila Healthcare Ltd.</t>
  </si>
  <si>
    <t>INE123W01016</t>
  </si>
  <si>
    <t>SBI Life Insurance Co. Ltd.</t>
  </si>
  <si>
    <t>INE196A01026</t>
  </si>
  <si>
    <t>Marico Ltd.</t>
  </si>
  <si>
    <t>INE528G01027</t>
  </si>
  <si>
    <t>Yes Bank Ltd.</t>
  </si>
  <si>
    <t>INE726G01019</t>
  </si>
  <si>
    <t>ICICI Prudential Life Insurance Co. Ltd., Reg S</t>
  </si>
  <si>
    <r>
      <t>Franklin India BlueChip Fund As of Date -  30Aug20</t>
    </r>
    <r>
      <rPr>
        <b/>
        <sz val="8"/>
        <color theme="1"/>
        <rFont val="Arial"/>
        <family val="2"/>
      </rPr>
      <t>19</t>
    </r>
  </si>
  <si>
    <t>INE149A01033</t>
  </si>
  <si>
    <t>Cholamandalam Financial Holdings Ltd.</t>
  </si>
  <si>
    <t>INE531A01024</t>
  </si>
  <si>
    <t>Kansai Nerolac Paints Ltd.</t>
  </si>
  <si>
    <t>INE246F01010</t>
  </si>
  <si>
    <t>Gujarat State Petronet Ltd.</t>
  </si>
  <si>
    <t>INE259A01022</t>
  </si>
  <si>
    <t>Colgate-Palmolive India Ltd.</t>
  </si>
  <si>
    <t>INE245A01021</t>
  </si>
  <si>
    <t>Tata Power Co. Ltd.</t>
  </si>
  <si>
    <t>INE752E01010</t>
  </si>
  <si>
    <t>Power Grid Corp. of India Ltd.</t>
  </si>
  <si>
    <t>INE572E01012</t>
  </si>
  <si>
    <t>PNB Housing Finance Ltd.</t>
  </si>
  <si>
    <t>INE169A01031</t>
  </si>
  <si>
    <t>Coromandel International Ltd.</t>
  </si>
  <si>
    <t>Fertilisers</t>
  </si>
  <si>
    <t>INE486A01013</t>
  </si>
  <si>
    <t>CESC Ltd.</t>
  </si>
  <si>
    <t>INE437A01024</t>
  </si>
  <si>
    <t>Apollo Hospitals Enterprise Ltd.</t>
  </si>
  <si>
    <t>INE811K01011</t>
  </si>
  <si>
    <t>Prestige Estates Projects Ltd.</t>
  </si>
  <si>
    <t>INE094A01015</t>
  </si>
  <si>
    <t>Hindustan Petroleum Corp. Ltd.</t>
  </si>
  <si>
    <t>INE438A01022</t>
  </si>
  <si>
    <t>Apollo Tyres Ltd.</t>
  </si>
  <si>
    <t>Auto Ancillaries</t>
  </si>
  <si>
    <t>INE536H01010</t>
  </si>
  <si>
    <t>Mahindra CIE Automotive Ltd.</t>
  </si>
  <si>
    <t>INE092A01019</t>
  </si>
  <si>
    <t>Tata Chemicals Ltd.</t>
  </si>
  <si>
    <t>Chemicals</t>
  </si>
  <si>
    <t>INE055A01016</t>
  </si>
  <si>
    <t>Century Textiles &amp; Industries Ltd.</t>
  </si>
  <si>
    <t>INE239A01016</t>
  </si>
  <si>
    <t>Nestle India Ltd.</t>
  </si>
  <si>
    <t>INE152A01029</t>
  </si>
  <si>
    <t>Thermax Ltd.</t>
  </si>
  <si>
    <t>Industrial Capital Goods</t>
  </si>
  <si>
    <t>INE562A01011</t>
  </si>
  <si>
    <t>Indian Bank</t>
  </si>
  <si>
    <t>INE171A01029</t>
  </si>
  <si>
    <t>Federal Bank Ltd.</t>
  </si>
  <si>
    <t>INE787D01026</t>
  </si>
  <si>
    <t>Balkrishna Industries Ltd.</t>
  </si>
  <si>
    <t>INE669C01036</t>
  </si>
  <si>
    <t>Tech Mahindra Ltd.</t>
  </si>
  <si>
    <t>INE988K01017</t>
  </si>
  <si>
    <t>Equitas Holdings Ltd.</t>
  </si>
  <si>
    <t>INE647O01011</t>
  </si>
  <si>
    <t>Aditya Birla Fashion and Retail Ltd.</t>
  </si>
  <si>
    <t>INE970X01018</t>
  </si>
  <si>
    <t>Lemon Tree Hotels Ltd., Reg S</t>
  </si>
  <si>
    <t>INE081A01012</t>
  </si>
  <si>
    <t>Tata Steel Ltd.</t>
  </si>
  <si>
    <t>Ferrous Metals</t>
  </si>
  <si>
    <t>INE836F01026</t>
  </si>
  <si>
    <t>Dish TV India Ltd.</t>
  </si>
  <si>
    <t>INE199G01027</t>
  </si>
  <si>
    <t>Jagran Prakashan Ltd.</t>
  </si>
  <si>
    <t>INE049A01027</t>
  </si>
  <si>
    <t>Himatsingka Seide Ltd.</t>
  </si>
  <si>
    <t>Textile Products</t>
  </si>
  <si>
    <t>INE208A01029</t>
  </si>
  <si>
    <t>Ashok Leyland Ltd.</t>
  </si>
  <si>
    <t>INE020801028</t>
  </si>
  <si>
    <t>Spencers Retail Ltd.</t>
  </si>
  <si>
    <r>
      <t>Franklin India Equity Advantage Fund  As of Date -</t>
    </r>
    <r>
      <rPr>
        <b/>
        <sz val="8"/>
        <color theme="1"/>
        <rFont val="Arial"/>
        <family val="2"/>
      </rPr>
      <t xml:space="preserve">  30Aug2019</t>
    </r>
  </si>
  <si>
    <t>Franklin India Equity Fund As of Date -  30Aug2019</t>
  </si>
  <si>
    <t>INE226A01021</t>
  </si>
  <si>
    <t>Voltas Ltd.</t>
  </si>
  <si>
    <t>INE016A01026</t>
  </si>
  <si>
    <t>Dabur India Ltd.</t>
  </si>
  <si>
    <t>INE044A01036</t>
  </si>
  <si>
    <t>Sun Pharmaceutical Industries Ltd.</t>
  </si>
  <si>
    <t>INE494B01023</t>
  </si>
  <si>
    <t>TVS Motor Co. Ltd.</t>
  </si>
  <si>
    <t>INE668F01031</t>
  </si>
  <si>
    <t>Jyothy Labs Ltd.</t>
  </si>
  <si>
    <t>INE183A01016</t>
  </si>
  <si>
    <t>Finolex Industries Ltd.</t>
  </si>
  <si>
    <t>INE465A01025</t>
  </si>
  <si>
    <t>Bharat Forge Ltd.</t>
  </si>
  <si>
    <t>INE797F01012</t>
  </si>
  <si>
    <t>Jubilant Foodworks Ltd.</t>
  </si>
  <si>
    <t>INE663F01024</t>
  </si>
  <si>
    <t>Info Edge India Ltd.</t>
  </si>
  <si>
    <t>INE176A01028</t>
  </si>
  <si>
    <t>Bata India Ltd.</t>
  </si>
  <si>
    <t>INE955V01021</t>
  </si>
  <si>
    <t>Arvind Fashions Ltd.</t>
  </si>
  <si>
    <t>INE674K01013</t>
  </si>
  <si>
    <t>Aditya Birla Capital Ltd.</t>
  </si>
  <si>
    <t>INE036D01028</t>
  </si>
  <si>
    <t>Karur Vysya Bank Ltd.</t>
  </si>
  <si>
    <t>INE034A01011</t>
  </si>
  <si>
    <t>Arvind Ltd.</t>
  </si>
  <si>
    <t>INE854D01024</t>
  </si>
  <si>
    <t>United Spirits Ltd.</t>
  </si>
  <si>
    <t>INE067A01029</t>
  </si>
  <si>
    <t>CG Power and Industrial Solutions Ltd.</t>
  </si>
  <si>
    <t>INE299U01018</t>
  </si>
  <si>
    <t>Crompton Greaves Consumer Electricals Ltd.</t>
  </si>
  <si>
    <t>INE462A01022</t>
  </si>
  <si>
    <t>Bayer Cropscience Ltd.</t>
  </si>
  <si>
    <t>Pesticides</t>
  </si>
  <si>
    <t>INE763G01038</t>
  </si>
  <si>
    <t>ICICI Securities Ltd.</t>
  </si>
  <si>
    <t>(b)Unlisted</t>
  </si>
  <si>
    <t/>
  </si>
  <si>
    <t>Numero Uno International Ltd.</t>
  </si>
  <si>
    <t>Quantum Information Systems</t>
  </si>
  <si>
    <t>INE696201123</t>
  </si>
  <si>
    <t>Quantum Information Services</t>
  </si>
  <si>
    <t>INE672A01018</t>
  </si>
  <si>
    <t>Tata Investment Corp. Ltd.</t>
  </si>
  <si>
    <t>INE891D01026</t>
  </si>
  <si>
    <t>Redington India Ltd.</t>
  </si>
  <si>
    <t>INE522F01014</t>
  </si>
  <si>
    <t>Coal India Ltd.</t>
  </si>
  <si>
    <t>Minerals/mining</t>
  </si>
  <si>
    <t>INE823G01014</t>
  </si>
  <si>
    <t>JK Cement Ltd.</t>
  </si>
  <si>
    <t>INE00R701025</t>
  </si>
  <si>
    <t>Dalmia Bharat Ltd.</t>
  </si>
  <si>
    <t>INE825A01012</t>
  </si>
  <si>
    <t>Vardhman Textiles Ltd.</t>
  </si>
  <si>
    <t>Textiles - Cotton</t>
  </si>
  <si>
    <t>INE376G01013</t>
  </si>
  <si>
    <t>Biocon Ltd.</t>
  </si>
  <si>
    <t>INE917I01010</t>
  </si>
  <si>
    <t>Bajaj Auto Ltd.</t>
  </si>
  <si>
    <t>INE017A01032</t>
  </si>
  <si>
    <t>Great Eastern Shipping Co. Ltd.</t>
  </si>
  <si>
    <t>BMG2442N1048</t>
  </si>
  <si>
    <t>BMG4977W1038</t>
  </si>
  <si>
    <t>BMG570071099</t>
  </si>
  <si>
    <t>CNE1000004J3</t>
  </si>
  <si>
    <t>HK0165000859</t>
  </si>
  <si>
    <t>KYG982771092</t>
  </si>
  <si>
    <t>KYG9829N1025</t>
  </si>
  <si>
    <t>TH0999010Z11</t>
  </si>
  <si>
    <t>TW0001565000</t>
  </si>
  <si>
    <t>TW0003034005</t>
  </si>
  <si>
    <t>TW0004126008</t>
  </si>
  <si>
    <t>TW0004915004</t>
  </si>
  <si>
    <r>
      <t>Templeton India Equity Income Fund As of Date -  3</t>
    </r>
    <r>
      <rPr>
        <b/>
        <sz val="8"/>
        <color theme="1"/>
        <rFont val="Arial"/>
        <family val="2"/>
      </rPr>
      <t>0Aug2019</t>
    </r>
  </si>
  <si>
    <t>INE002A01018</t>
  </si>
  <si>
    <t>Reliance Industries Ltd.</t>
  </si>
  <si>
    <t>INE001A01036</t>
  </si>
  <si>
    <t>Housing Development Finance Corp. Ltd.</t>
  </si>
  <si>
    <t>INE030A01027</t>
  </si>
  <si>
    <t>Hindustan Unilever Ltd.</t>
  </si>
  <si>
    <t>INE296A01024</t>
  </si>
  <si>
    <t>Bajaj Finance Ltd.</t>
  </si>
  <si>
    <t>INE280A01028</t>
  </si>
  <si>
    <t>Titan Co. Ltd.</t>
  </si>
  <si>
    <t>INE021A01026</t>
  </si>
  <si>
    <t>Asian Paints Ltd.</t>
  </si>
  <si>
    <t>INE028A01039</t>
  </si>
  <si>
    <t>Bank of Baroda</t>
  </si>
  <si>
    <t>INE154A01025</t>
  </si>
  <si>
    <t>ITC Ltd.</t>
  </si>
  <si>
    <t>INE406A01037</t>
  </si>
  <si>
    <t>Aurobindo Pharma Ltd.</t>
  </si>
  <si>
    <t>INE463A01038</t>
  </si>
  <si>
    <t>Berger Paints India Ltd.</t>
  </si>
  <si>
    <t>INE918I01018</t>
  </si>
  <si>
    <t>Bajaj Finserv Ltd.</t>
  </si>
  <si>
    <t>Debt Instruments</t>
  </si>
  <si>
    <t>INE134E08HV7</t>
  </si>
  <si>
    <t>CRISIL AAA</t>
  </si>
  <si>
    <t>INE906B07FE6</t>
  </si>
  <si>
    <t>INE295J08014</t>
  </si>
  <si>
    <t>CARE AA(SO)</t>
  </si>
  <si>
    <t>INE134E08IW3</t>
  </si>
  <si>
    <t>INE523H07866</t>
  </si>
  <si>
    <t>ICRA AA</t>
  </si>
  <si>
    <t>INE020B08BQ7</t>
  </si>
  <si>
    <t>INE205A07030</t>
  </si>
  <si>
    <t>CRISIL AA</t>
  </si>
  <si>
    <r>
      <t>Franklin India Equity Savings Fund As of Date -  3</t>
    </r>
    <r>
      <rPr>
        <b/>
        <sz val="8"/>
        <color theme="1"/>
        <rFont val="Arial"/>
        <family val="2"/>
      </rPr>
      <t>0Aug2019</t>
    </r>
  </si>
  <si>
    <t>INE358A01014</t>
  </si>
  <si>
    <t>Abbott India Ltd.</t>
  </si>
  <si>
    <t>INE987B01026</t>
  </si>
  <si>
    <t>Natco Pharma Ltd.</t>
  </si>
  <si>
    <t>INE876N01018</t>
  </si>
  <si>
    <t>Orient Cement Ltd.</t>
  </si>
  <si>
    <t>INE373A01013</t>
  </si>
  <si>
    <t>BASF India Ltd.</t>
  </si>
  <si>
    <t>INE334L01012</t>
  </si>
  <si>
    <t>Ujjivan Financial Services Ltd.</t>
  </si>
  <si>
    <r>
      <t>Franklin India Focused Equity Fund As of Date -  3</t>
    </r>
    <r>
      <rPr>
        <b/>
        <sz val="8"/>
        <color theme="1"/>
        <rFont val="Arial"/>
        <family val="2"/>
      </rPr>
      <t>0Aug2019</t>
    </r>
  </si>
  <si>
    <t>INF090I01FH9</t>
  </si>
  <si>
    <t>INF090I01GY2</t>
  </si>
  <si>
    <t>INF090I01FW8</t>
  </si>
  <si>
    <t>INF090I01HB8</t>
  </si>
  <si>
    <r>
      <t>Franklin India Life Stage Fund of Funds - The 20's</t>
    </r>
    <r>
      <rPr>
        <b/>
        <sz val="8"/>
        <color theme="1"/>
        <rFont val="Arial"/>
        <family val="2"/>
      </rPr>
      <t xml:space="preserve"> Plan As of Date -  30Aug2019</t>
    </r>
  </si>
  <si>
    <r>
      <t>Franklin India Lifestage Fund of Funds - 30's Plan</t>
    </r>
    <r>
      <rPr>
        <b/>
        <sz val="8"/>
        <color theme="1"/>
        <rFont val="Arial"/>
        <family val="2"/>
      </rPr>
      <t xml:space="preserve"> As of Date -  30Aug2019</t>
    </r>
  </si>
  <si>
    <r>
      <t xml:space="preserve">Franklin India Life Stage Fund of Funds - The 40s </t>
    </r>
    <r>
      <rPr>
        <b/>
        <sz val="8"/>
        <color theme="1"/>
        <rFont val="Arial"/>
        <family val="2"/>
      </rPr>
      <t>Plan As of Date -  30Aug2019</t>
    </r>
  </si>
  <si>
    <r>
      <t xml:space="preserve">Franklin India Life Stage Fund of Funds - The 50s </t>
    </r>
    <r>
      <rPr>
        <b/>
        <sz val="8"/>
        <color theme="1"/>
        <rFont val="Arial"/>
        <family val="2"/>
      </rPr>
      <t>Plus As of Date -  30Aug2019</t>
    </r>
  </si>
  <si>
    <t>INF090I01GV8</t>
  </si>
  <si>
    <r>
      <t xml:space="preserve">Franklin India Life Stage Fund Of Funds - The 50S </t>
    </r>
    <r>
      <rPr>
        <b/>
        <sz val="8"/>
        <color theme="1"/>
        <rFont val="Arial"/>
        <family val="2"/>
      </rPr>
      <t>Plus Floating Rate Plan As of Date -  30Aug2019</t>
    </r>
  </si>
  <si>
    <t>INE467B01029</t>
  </si>
  <si>
    <t>Tata Consultancy Services Ltd.</t>
  </si>
  <si>
    <t>INE585B01010</t>
  </si>
  <si>
    <t>Maruti Suzuki India Ltd.</t>
  </si>
  <si>
    <t>INE095A01012</t>
  </si>
  <si>
    <t>IndusInd Bank Ltd.</t>
  </si>
  <si>
    <t>INE075A01022</t>
  </si>
  <si>
    <t>Wipro Ltd.</t>
  </si>
  <si>
    <t>INE216A01030</t>
  </si>
  <si>
    <t>Britannia Industries Ltd.</t>
  </si>
  <si>
    <t>INE628A01036</t>
  </si>
  <si>
    <t>UPL Ltd.</t>
  </si>
  <si>
    <t>INE742F01042</t>
  </si>
  <si>
    <t>Adani Ports And Special Economic Zone Ltd.</t>
  </si>
  <si>
    <t>INE205A01025</t>
  </si>
  <si>
    <t>Vedanta Ltd.</t>
  </si>
  <si>
    <t>INE059A01026</t>
  </si>
  <si>
    <t>Cipla Ltd.</t>
  </si>
  <si>
    <t>INE066A01013</t>
  </si>
  <si>
    <t>Eicher Motors Ltd.</t>
  </si>
  <si>
    <t>INE256A01028</t>
  </si>
  <si>
    <t>Zee Entertainment Enterprises Ltd.</t>
  </si>
  <si>
    <t>INE019A01038</t>
  </si>
  <si>
    <t>JSW Steel Ltd.</t>
  </si>
  <si>
    <t>INE121J01017</t>
  </si>
  <si>
    <t>Bharti Infratel Ltd.</t>
  </si>
  <si>
    <t>Telecom -  Equipment &amp; Accessories</t>
  </si>
  <si>
    <t>INE148I01020</t>
  </si>
  <si>
    <t>Indiabulls Housing Finance Ltd.</t>
  </si>
  <si>
    <t>INE216A07052</t>
  </si>
  <si>
    <r>
      <t>Franklin India Index Fund - NSE Nifty Plan As of D</t>
    </r>
    <r>
      <rPr>
        <b/>
        <sz val="8"/>
        <color theme="1"/>
        <rFont val="Arial"/>
        <family val="2"/>
      </rPr>
      <t>ate -  30Aug2019</t>
    </r>
  </si>
  <si>
    <t>INF090I01JV2</t>
  </si>
  <si>
    <r>
      <t>Franklin India Multi-Asset Solution Fund As of Dat</t>
    </r>
    <r>
      <rPr>
        <b/>
        <sz val="8"/>
        <color theme="1"/>
        <rFont val="Arial"/>
        <family val="2"/>
      </rPr>
      <t>e -  30Aug2019</t>
    </r>
  </si>
  <si>
    <t>INE342J01019</t>
  </si>
  <si>
    <t>Wabco India Ltd.</t>
  </si>
  <si>
    <t>INE442H01029</t>
  </si>
  <si>
    <t>Ashoka Buildcon Ltd.</t>
  </si>
  <si>
    <t>INE612J01015</t>
  </si>
  <si>
    <t>Repco Home Finance Ltd.</t>
  </si>
  <si>
    <t>INE435A01028</t>
  </si>
  <si>
    <t>International Paper APPM Ltd.</t>
  </si>
  <si>
    <t>Paper</t>
  </si>
  <si>
    <t>INE813H01021</t>
  </si>
  <si>
    <t>Torrent Power Ltd.</t>
  </si>
  <si>
    <t>INE264A01014</t>
  </si>
  <si>
    <t>GlaxoSmithKline Consumer Healthcare Ltd.</t>
  </si>
  <si>
    <t>INE202Z01029</t>
  </si>
  <si>
    <t>Sundaram Finance Holdings Ltd.</t>
  </si>
  <si>
    <t>INE029L01018</t>
  </si>
  <si>
    <t>Kalyani Investment Co. Ltd.</t>
  </si>
  <si>
    <t>INE425Y01011</t>
  </si>
  <si>
    <t>CESC Ventures Ltd.</t>
  </si>
  <si>
    <t>Brillio Technologies Pvt. Ltd.</t>
  </si>
  <si>
    <t>Chennai Interactive Business Services Pvt Ltd.</t>
  </si>
  <si>
    <r>
      <t>Franklin India Opportunities Fund As of Date -  30</t>
    </r>
    <r>
      <rPr>
        <b/>
        <sz val="8"/>
        <color theme="1"/>
        <rFont val="Arial"/>
        <family val="2"/>
      </rPr>
      <t>Aug2019</t>
    </r>
  </si>
  <si>
    <t>Franklin India Prima Fund As of Date -  30Aug2019</t>
  </si>
  <si>
    <t>INE331A01037</t>
  </si>
  <si>
    <t>Ramco Cements Ltd.</t>
  </si>
  <si>
    <t>INE491A01021</t>
  </si>
  <si>
    <t>City Union Bank Ltd.</t>
  </si>
  <si>
    <t>INE640A01023</t>
  </si>
  <si>
    <t>SKF India Ltd.</t>
  </si>
  <si>
    <t>INE603J01030</t>
  </si>
  <si>
    <t>PI Industries Ltd.</t>
  </si>
  <si>
    <t>INE660A01013</t>
  </si>
  <si>
    <t>Sundaram Finance Ltd.</t>
  </si>
  <si>
    <t>INE263A01024</t>
  </si>
  <si>
    <t>Bharat Electronics Ltd.</t>
  </si>
  <si>
    <t>INE548C01032</t>
  </si>
  <si>
    <t>Emami Ltd.</t>
  </si>
  <si>
    <t>INE976G01028</t>
  </si>
  <si>
    <t>RBL Bank Ltd., Reg S</t>
  </si>
  <si>
    <t>INE212H01026</t>
  </si>
  <si>
    <t>AIA Engineering Ltd.</t>
  </si>
  <si>
    <t>INE217B01036</t>
  </si>
  <si>
    <t>Kajaria Ceramics Ltd.</t>
  </si>
  <si>
    <t>INE115A01026</t>
  </si>
  <si>
    <t>LIC Housing Finance Ltd.</t>
  </si>
  <si>
    <t>INE769A01020</t>
  </si>
  <si>
    <t>Aarti Industries Ltd.</t>
  </si>
  <si>
    <t>INE058A01010</t>
  </si>
  <si>
    <t>Sanofi India Ltd.</t>
  </si>
  <si>
    <t>INE685A01028</t>
  </si>
  <si>
    <t>Torrent Pharmaceuticals Ltd.</t>
  </si>
  <si>
    <t>INE018I01017</t>
  </si>
  <si>
    <t>Mindtree Ltd.</t>
  </si>
  <si>
    <t>INE294Z01018</t>
  </si>
  <si>
    <t>The Anup Engineering Ltd.</t>
  </si>
  <si>
    <t>INE09EO01013</t>
  </si>
  <si>
    <t>INE791I01019</t>
  </si>
  <si>
    <t>Brigade Enterprises Ltd.</t>
  </si>
  <si>
    <t>INE288B01029</t>
  </si>
  <si>
    <t>Deepak Nitrite Ltd.</t>
  </si>
  <si>
    <t>INE317F01035</t>
  </si>
  <si>
    <t>Nesco Ltd.</t>
  </si>
  <si>
    <t>Commercial Services</t>
  </si>
  <si>
    <t>INE572A01028</t>
  </si>
  <si>
    <t>J.B. Chemicals &amp; Pharmaceuticals Ltd.</t>
  </si>
  <si>
    <t>INE136B01020</t>
  </si>
  <si>
    <t>Cyient Ltd.</t>
  </si>
  <si>
    <t>INE100A01010</t>
  </si>
  <si>
    <t>Atul Ltd.</t>
  </si>
  <si>
    <t>INE503A01015</t>
  </si>
  <si>
    <t>DCB Bank Ltd.</t>
  </si>
  <si>
    <t>INE600L01024</t>
  </si>
  <si>
    <t>Dr Lal PathLabs Ltd.</t>
  </si>
  <si>
    <t>INE635Q01029</t>
  </si>
  <si>
    <t>Gulf Oil Lubricants India Ltd.</t>
  </si>
  <si>
    <t>INE060A01024</t>
  </si>
  <si>
    <t>Navneet Education Ltd.</t>
  </si>
  <si>
    <t>INE758C01029</t>
  </si>
  <si>
    <t>Ahluwalia Contracts India Ltd.</t>
  </si>
  <si>
    <t>INE930H01023</t>
  </si>
  <si>
    <t>KPR Mill Ltd.</t>
  </si>
  <si>
    <t>INE985S01024</t>
  </si>
  <si>
    <t>TeamLease Services Ltd.</t>
  </si>
  <si>
    <t>INE739E01017</t>
  </si>
  <si>
    <t>Cera Sanitaryware Ltd.</t>
  </si>
  <si>
    <t>INE472A01039</t>
  </si>
  <si>
    <t>Blue Star Ltd.</t>
  </si>
  <si>
    <t>INE054A01027</t>
  </si>
  <si>
    <t>VIP Industries Ltd.</t>
  </si>
  <si>
    <t>INE120A01034</t>
  </si>
  <si>
    <t>Carborundum Universal Ltd.</t>
  </si>
  <si>
    <t>INE421D01022</t>
  </si>
  <si>
    <t>CCL Products India Ltd.</t>
  </si>
  <si>
    <t>INE152M01016</t>
  </si>
  <si>
    <t>Triveni Turbine Ltd.</t>
  </si>
  <si>
    <t>INE919I01024</t>
  </si>
  <si>
    <t>Music Broadcast Ltd.</t>
  </si>
  <si>
    <t>INE038F01029</t>
  </si>
  <si>
    <t>TV Today Network Ltd.</t>
  </si>
  <si>
    <t>INE539A01019</t>
  </si>
  <si>
    <t>GHCL Ltd.</t>
  </si>
  <si>
    <t>INE613A01020</t>
  </si>
  <si>
    <t>Rallis India Ltd.</t>
  </si>
  <si>
    <t>INE019C01026</t>
  </si>
  <si>
    <t>Himadri Speciality Chemicals Ltd.</t>
  </si>
  <si>
    <t>INE738I01010</t>
  </si>
  <si>
    <t>eClerx Services Ltd.</t>
  </si>
  <si>
    <t>INE634I01029</t>
  </si>
  <si>
    <t>KNR Constructions Ltd.</t>
  </si>
  <si>
    <t>INE131A01031</t>
  </si>
  <si>
    <t>Gujarat Mineral Development Corp. Ltd.</t>
  </si>
  <si>
    <t>INE752H01013</t>
  </si>
  <si>
    <t>Care Ratings Ltd.</t>
  </si>
  <si>
    <t>INE269B01029</t>
  </si>
  <si>
    <t>Lakshmi Machine Works Ltd.</t>
  </si>
  <si>
    <t>INE285K01026</t>
  </si>
  <si>
    <t>Techno Electric &amp; Engineering Co. Ltd.</t>
  </si>
  <si>
    <t>INE399G01015</t>
  </si>
  <si>
    <t>Ramkrishna Forgings Ltd.</t>
  </si>
  <si>
    <t>INE999B01013</t>
  </si>
  <si>
    <t>Sanghi Industries Ltd.</t>
  </si>
  <si>
    <t>INE455K01017</t>
  </si>
  <si>
    <t>Polycab India Ltd.</t>
  </si>
  <si>
    <t>INE075I01017</t>
  </si>
  <si>
    <t>Healthcare Global Enterprises Ltd.</t>
  </si>
  <si>
    <t>INE274V01019</t>
  </si>
  <si>
    <t>Shankara Building Products Ltd.</t>
  </si>
  <si>
    <t>INE501G01024</t>
  </si>
  <si>
    <t>HT Media Ltd.</t>
  </si>
  <si>
    <t>INE932A01024</t>
  </si>
  <si>
    <t>Pennar Industries Ltd.</t>
  </si>
  <si>
    <t>INE213C01025</t>
  </si>
  <si>
    <t>Banco Products India Ltd.</t>
  </si>
  <si>
    <t>INE265F01028</t>
  </si>
  <si>
    <t>Entertainment Network India Ltd.</t>
  </si>
  <si>
    <t>INE834I01025</t>
  </si>
  <si>
    <t>Khadim India Ltd.</t>
  </si>
  <si>
    <t>INE03JI01017</t>
  </si>
  <si>
    <t>Digicontent Ltd.</t>
  </si>
  <si>
    <t>INE429I01024</t>
  </si>
  <si>
    <t>Consolidated Construction Consortium Ltd.</t>
  </si>
  <si>
    <r>
      <t>Franklin India Smaller Companies Fund As of Date -</t>
    </r>
    <r>
      <rPr>
        <b/>
        <sz val="8"/>
        <color theme="1"/>
        <rFont val="Arial"/>
        <family val="2"/>
      </rPr>
      <t xml:space="preserve">  30Aug2019</t>
    </r>
  </si>
  <si>
    <t>INE214T01019</t>
  </si>
  <si>
    <t>Larsen &amp; Toubro Infotech Ltd., Reg S</t>
  </si>
  <si>
    <t>US90184L1026</t>
  </si>
  <si>
    <r>
      <t>Franklin India Technology Fund As of Date -  30Aug</t>
    </r>
    <r>
      <rPr>
        <b/>
        <sz val="8"/>
        <color theme="1"/>
        <rFont val="Arial"/>
        <family val="2"/>
      </rPr>
      <t>2019</t>
    </r>
  </si>
  <si>
    <t>Franklin India Taxshield As of Date -  30Aug2019</t>
  </si>
  <si>
    <t>INE671B01018</t>
  </si>
  <si>
    <t>Globsyn Technologies Ltd.</t>
  </si>
  <si>
    <r>
      <t>Franklin India Feeder - Franklin U.S. Opportunitie</t>
    </r>
    <r>
      <rPr>
        <b/>
        <sz val="8"/>
        <color theme="1"/>
        <rFont val="Arial"/>
        <family val="2"/>
      </rPr>
      <t>s Fund As of Date -  30Aug2019</t>
    </r>
  </si>
  <si>
    <t>Templeton India Value Fund As of Date -  30Aug2019</t>
  </si>
  <si>
    <t>INE576I01022</t>
  </si>
  <si>
    <t>J. Kumar Infraprojects Ltd.</t>
  </si>
  <si>
    <t>INE064C01014</t>
  </si>
  <si>
    <t>Trident Ltd.</t>
  </si>
  <si>
    <t>INE128A01029</t>
  </si>
  <si>
    <t>Eveready Industries India Ltd.</t>
  </si>
  <si>
    <t>Foreign Mutual Fund Units</t>
  </si>
  <si>
    <t>Franklin U.S. Opportunities Fund, Class I (Acc)</t>
  </si>
  <si>
    <t>Foreign Mutual Fund units</t>
  </si>
  <si>
    <t>Franklin Technology Fund, Class J</t>
  </si>
  <si>
    <t>b) Unlisted</t>
  </si>
  <si>
    <t>US1924461023</t>
  </si>
  <si>
    <t>US67066G1040</t>
  </si>
  <si>
    <t>US7475251036</t>
  </si>
  <si>
    <t>KR7005930003</t>
  </si>
  <si>
    <t>MU0295S00016</t>
  </si>
  <si>
    <t>Mutual Fund Units</t>
  </si>
  <si>
    <t>R*Shares Gold BeES</t>
  </si>
  <si>
    <t>Embassy Office Parks REIT</t>
  </si>
  <si>
    <t>AEA002301017</t>
  </si>
  <si>
    <t>US30712A1034</t>
  </si>
  <si>
    <t>BRLEVEACNOR2</t>
  </si>
  <si>
    <t>KR7086900008</t>
  </si>
  <si>
    <t>GB00BF5SDZ96</t>
  </si>
  <si>
    <t>Franklin European Growth Fund, Class I (Acc)</t>
  </si>
  <si>
    <t>PHY077751022</t>
  </si>
  <si>
    <t>US22943F1003</t>
  </si>
  <si>
    <t>CNE0000018R8</t>
  </si>
  <si>
    <t>TH0128051909</t>
  </si>
  <si>
    <t>KR7006400006</t>
  </si>
  <si>
    <t>KR7055550008</t>
  </si>
  <si>
    <t>PHY8076N1120</t>
  </si>
  <si>
    <t>PHY9297P1004</t>
  </si>
  <si>
    <t>Services</t>
  </si>
  <si>
    <t>0.00*</t>
  </si>
  <si>
    <t>* Less than 0.01%</t>
  </si>
  <si>
    <t>LU0626261944</t>
  </si>
  <si>
    <t>INF732E01102</t>
  </si>
  <si>
    <t xml:space="preserve">(b) Units of Real Eastate Investment Trusts (REITs) </t>
  </si>
  <si>
    <t>INE041025011</t>
  </si>
  <si>
    <t>LU0195948665</t>
  </si>
  <si>
    <t>LU0195949390</t>
  </si>
  <si>
    <t>** Non - Traded / Thinly Traded Scrips</t>
  </si>
  <si>
    <t>Margin on Derivatives</t>
  </si>
  <si>
    <t xml:space="preserve">(b) Real Eastate Investment Trusts (REITs) </t>
  </si>
  <si>
    <t>% to Net Assets Derivative</t>
  </si>
  <si>
    <t>Franklin India Short Term Income Plan</t>
  </si>
  <si>
    <t>Franklin India Bluechip Fund</t>
  </si>
  <si>
    <t>Franklin India Liquid Fund</t>
  </si>
  <si>
    <t>Franklin India Prima Fund</t>
  </si>
  <si>
    <t>Templeton India Value Fund</t>
  </si>
  <si>
    <t>Franklin India Corporate Debt Fund</t>
  </si>
  <si>
    <t>Franklin India Dynamic Accrual Fund</t>
  </si>
  <si>
    <t>Franklin India Savings Fund</t>
  </si>
  <si>
    <t>Hardware</t>
  </si>
  <si>
    <t xml:space="preserve">Cement </t>
  </si>
  <si>
    <t>Hotels, Resorts And Other Recreational Activities</t>
  </si>
  <si>
    <t>Diversified Consumer Service</t>
  </si>
  <si>
    <t>Semiconductors</t>
  </si>
  <si>
    <t>Telecom - Equipment &amp; Accessories</t>
  </si>
  <si>
    <t>Minor International PCL, fgn - Warrants</t>
  </si>
  <si>
    <t>Growth Plan</t>
  </si>
  <si>
    <t>Dividend Plan</t>
  </si>
  <si>
    <t>Direct Growth Plan</t>
  </si>
  <si>
    <t>Direct Dividend Plan</t>
  </si>
  <si>
    <t>Plan Name</t>
  </si>
  <si>
    <t xml:space="preserve">Dividend per unit </t>
  </si>
  <si>
    <t>Individual/HUF</t>
  </si>
  <si>
    <t>Others</t>
  </si>
  <si>
    <t>c) Portfolio Turnover Ratio during the Half - year  30-Aug-2019</t>
  </si>
  <si>
    <t>c) Average Maturity as on 30-Aug-2019</t>
  </si>
  <si>
    <t>(In Years)</t>
  </si>
  <si>
    <t>d) Average Maturity as on 30-Aug-2019</t>
  </si>
  <si>
    <t>a) NAV at the beginning and at the end of the Half-year ended 30-Aug-2019</t>
  </si>
  <si>
    <t>Monthly Dividend Plan</t>
  </si>
  <si>
    <t>Quarterly Dividend Plan</t>
  </si>
  <si>
    <t>Direct Monthly Dividend Plan</t>
  </si>
  <si>
    <t>Direct Quarterly Dividend Plan</t>
  </si>
  <si>
    <t>d) Portfolio Turnover Ratio during the Half - year 30-Aug-2019</t>
  </si>
  <si>
    <t>Mutual Fund Units / ETF</t>
  </si>
  <si>
    <t>Cognizant Technology Solutions Corp., A</t>
  </si>
  <si>
    <t>Twitter Inc.</t>
  </si>
  <si>
    <t>Taiwan Semiconductor Manufacturing Co. Ltd.</t>
  </si>
  <si>
    <t>Samsung Electronics Co. Ltd.</t>
  </si>
  <si>
    <t>Qualcomm Inc.</t>
  </si>
  <si>
    <t>Sunny Optical Technology Group Co. Ltd.</t>
  </si>
  <si>
    <t>Nvidia Corp.</t>
  </si>
  <si>
    <t>MakeMyTrip Ltd.</t>
  </si>
  <si>
    <t>#Awaiting Listing</t>
  </si>
  <si>
    <t>Arti Surfactants Ltd.#</t>
  </si>
  <si>
    <t>Tata Motors Ltd., DVR</t>
  </si>
  <si>
    <t>Alibaba Group Holding Ltd., ADR</t>
  </si>
  <si>
    <t>Tencent Holdings Ltd.</t>
  </si>
  <si>
    <t>AIA Group Ltd.</t>
  </si>
  <si>
    <t>Ping An Insurance (Group) Co. of China Ltd.</t>
  </si>
  <si>
    <t>Bank Central Asia Tbk PT</t>
  </si>
  <si>
    <t>New Oriental Education &amp; Technology Group Inc., ADR</t>
  </si>
  <si>
    <t>BDO Unibank Inc.</t>
  </si>
  <si>
    <t>Ctrip.com International Ltd., ADR</t>
  </si>
  <si>
    <t>The Siam Cement PCL, fgn.</t>
  </si>
  <si>
    <t>China Merchants Bank Co. Ltd., H</t>
  </si>
  <si>
    <t>DBS Group Holdings Ltd.</t>
  </si>
  <si>
    <t>Universal Robina Corp.</t>
  </si>
  <si>
    <t>Techtronic Industries Co. Ltd.</t>
  </si>
  <si>
    <t>CNOOC Ltd.</t>
  </si>
  <si>
    <t>CP All PCL</t>
  </si>
  <si>
    <t>Minor International PCL, fgn.</t>
  </si>
  <si>
    <t>Kweichow Moutai Co. Ltd., A</t>
  </si>
  <si>
    <t>ACE Hardware Indonesia Tbk PT</t>
  </si>
  <si>
    <t>Semen Indonesia (Persero) Tbk PT</t>
  </si>
  <si>
    <t>China Mengniu Dairy Co. Ltd.</t>
  </si>
  <si>
    <t>SM Prime Holdings Inc.</t>
  </si>
  <si>
    <t>Indocement Tunggal Prakarsa Tbk PT</t>
  </si>
  <si>
    <t>Samsonite International SA</t>
  </si>
  <si>
    <t>Samsung SDI Co. Ltd.</t>
  </si>
  <si>
    <t>Shinhan Financial Group Co. Ltd.</t>
  </si>
  <si>
    <t>Largan Precision Co. Ltd.</t>
  </si>
  <si>
    <t>Ennoconn Corp.</t>
  </si>
  <si>
    <t>Health &amp; Happiness H&amp;H International Holdings Ltd.</t>
  </si>
  <si>
    <t>China Resources Land Ltd.</t>
  </si>
  <si>
    <t>China Literature Ltd.</t>
  </si>
  <si>
    <t>Xinyi Solar Holdings Ltd.</t>
  </si>
  <si>
    <t>Aramex PJSC</t>
  </si>
  <si>
    <t>Stock Spirits Group PLC</t>
  </si>
  <si>
    <t>Luye Pharma Group Ltd.</t>
  </si>
  <si>
    <t>Mahle-Metal Leve SA</t>
  </si>
  <si>
    <t>Xtep International Holdings Ltd.</t>
  </si>
  <si>
    <t>COSCO Shipping Ports Ltd.</t>
  </si>
  <si>
    <t>Medy-tox Inc.</t>
  </si>
  <si>
    <t>Pacific Hospital Supply Co. Ltd.</t>
  </si>
  <si>
    <t>TravelSky Technology Ltd., H</t>
  </si>
  <si>
    <t>Novatek Microelectronics Corp. Ltd.</t>
  </si>
  <si>
    <t>St. Shine Optical Co. Ltd.</t>
  </si>
  <si>
    <t>TISCO Financial Group PCL, fgn.</t>
  </si>
  <si>
    <t>Primax Electronics Ltd.</t>
  </si>
  <si>
    <t>I.T Ltd.</t>
  </si>
  <si>
    <t>Fanhua Inc., ADR</t>
  </si>
  <si>
    <t>China Everbright Ltd.</t>
  </si>
  <si>
    <r>
      <t>Franklin India Ultra Short Bond Fund As of -30Aug2</t>
    </r>
    <r>
      <rPr>
        <b/>
        <sz val="8"/>
        <color theme="1"/>
        <rFont val="Arial"/>
        <family val="2"/>
      </rPr>
      <t>019</t>
    </r>
  </si>
  <si>
    <t>Rating</t>
  </si>
  <si>
    <t>INE003S07213</t>
  </si>
  <si>
    <t>CARE A+</t>
  </si>
  <si>
    <t>INE651J07739</t>
  </si>
  <si>
    <t>INE896L07561</t>
  </si>
  <si>
    <t>CARE AA-</t>
  </si>
  <si>
    <t>INE657N07597</t>
  </si>
  <si>
    <t>ICRA AA-</t>
  </si>
  <si>
    <t>INE657N07605</t>
  </si>
  <si>
    <t>INE397D08029</t>
  </si>
  <si>
    <t>INE403D08025</t>
  </si>
  <si>
    <t>CRISIL AA+</t>
  </si>
  <si>
    <t>INE721A07MA5</t>
  </si>
  <si>
    <t>IND AA+</t>
  </si>
  <si>
    <t>INE540P07285</t>
  </si>
  <si>
    <t>CRISIL A+(SO)</t>
  </si>
  <si>
    <t>INE371K08128</t>
  </si>
  <si>
    <t>INE540P07194</t>
  </si>
  <si>
    <t>INE658R08149</t>
  </si>
  <si>
    <t>CRISIL AA-</t>
  </si>
  <si>
    <t>INE081A08181</t>
  </si>
  <si>
    <t>CARE AA</t>
  </si>
  <si>
    <t>INE540P07277</t>
  </si>
  <si>
    <t>INE252T07040</t>
  </si>
  <si>
    <t>ICRA A+</t>
  </si>
  <si>
    <t>INE548V07039</t>
  </si>
  <si>
    <t>INE658R07257</t>
  </si>
  <si>
    <t>INE155A08316</t>
  </si>
  <si>
    <t>INE721A07OI4</t>
  </si>
  <si>
    <t>INE134E08GS5</t>
  </si>
  <si>
    <t>INE657N07415</t>
  </si>
  <si>
    <t>INE081A08165</t>
  </si>
  <si>
    <t>INE245A08091</t>
  </si>
  <si>
    <t>INE945W07019</t>
  </si>
  <si>
    <t>CARE A</t>
  </si>
  <si>
    <t>INE155A08365</t>
  </si>
  <si>
    <t>INE146O08043</t>
  </si>
  <si>
    <t>IND AA-</t>
  </si>
  <si>
    <t>INE623B07107</t>
  </si>
  <si>
    <t>INE623B07115</t>
  </si>
  <si>
    <t>INE548V07021</t>
  </si>
  <si>
    <t>INE850M07111</t>
  </si>
  <si>
    <t>INE205A07048</t>
  </si>
  <si>
    <t>INE694L07107</t>
  </si>
  <si>
    <t>CRISIL AA(SO)</t>
  </si>
  <si>
    <t>INE905O07028</t>
  </si>
  <si>
    <t>INE572E09429</t>
  </si>
  <si>
    <t>CARE AA+</t>
  </si>
  <si>
    <t>INE271C07137</t>
  </si>
  <si>
    <t>INE020B08864</t>
  </si>
  <si>
    <t>INE540P07293</t>
  </si>
  <si>
    <t>INE657N07183</t>
  </si>
  <si>
    <t>INE850M08077</t>
  </si>
  <si>
    <t>INE850M08069</t>
  </si>
  <si>
    <t>INE850M08051</t>
  </si>
  <si>
    <t>INE265J07183</t>
  </si>
  <si>
    <t>INE572E09460</t>
  </si>
  <si>
    <t>INE694L07123</t>
  </si>
  <si>
    <t>INE155A08357</t>
  </si>
  <si>
    <t>INE945W07027</t>
  </si>
  <si>
    <t>INE572E09411</t>
  </si>
  <si>
    <t>INE572E09361</t>
  </si>
  <si>
    <t>INE941D08065</t>
  </si>
  <si>
    <t>INE146O08050</t>
  </si>
  <si>
    <t>INE459T07066</t>
  </si>
  <si>
    <t>BWR A</t>
  </si>
  <si>
    <t>INE459T07074</t>
  </si>
  <si>
    <t>INE949L08152</t>
  </si>
  <si>
    <t>INE155A08068</t>
  </si>
  <si>
    <t>INE155A08340</t>
  </si>
  <si>
    <t>INE124N07150</t>
  </si>
  <si>
    <t>INE245A08034</t>
  </si>
  <si>
    <t>INE134E08GQ9</t>
  </si>
  <si>
    <t>INE020B07EY7</t>
  </si>
  <si>
    <t>INE205A07105</t>
  </si>
  <si>
    <t>INE146O07052</t>
  </si>
  <si>
    <t>INE721A07NR7</t>
  </si>
  <si>
    <t>INE155A08043</t>
  </si>
  <si>
    <t>INE115A07FS6</t>
  </si>
  <si>
    <t>INE572E09601</t>
  </si>
  <si>
    <t>INE091A07174</t>
  </si>
  <si>
    <t>INE252T07057</t>
  </si>
  <si>
    <t>INE721A07NV9</t>
  </si>
  <si>
    <t>INE01XX07026</t>
  </si>
  <si>
    <t>INE572E09478</t>
  </si>
  <si>
    <t>INE721A07MW9</t>
  </si>
  <si>
    <t>INE804I08601</t>
  </si>
  <si>
    <t>INE016P07112</t>
  </si>
  <si>
    <t>ICRA A-</t>
  </si>
  <si>
    <t>INE514E08FK7</t>
  </si>
  <si>
    <t>INE134E08GN6</t>
  </si>
  <si>
    <t>INE434A08067</t>
  </si>
  <si>
    <t>INE090A08TW2</t>
  </si>
  <si>
    <t>INE616U07036</t>
  </si>
  <si>
    <t>INE540P07301</t>
  </si>
  <si>
    <t>INE572E09270</t>
  </si>
  <si>
    <t>INE756I07CA5</t>
  </si>
  <si>
    <t>INE752E07MI5</t>
  </si>
  <si>
    <t>INE752E07LT4</t>
  </si>
  <si>
    <t>(b) Privately Placed / Unlisted</t>
  </si>
  <si>
    <t>INE713G08046</t>
  </si>
  <si>
    <t>CRISIL A</t>
  </si>
  <si>
    <t>INE392R08020</t>
  </si>
  <si>
    <t>BWR A-(SO)</t>
  </si>
  <si>
    <t>INE896L07660</t>
  </si>
  <si>
    <t>INE680R07012</t>
  </si>
  <si>
    <t>ICRA A+(SO)</t>
  </si>
  <si>
    <t>INE081T08090</t>
  </si>
  <si>
    <t>INE567W07011</t>
  </si>
  <si>
    <t>CARE A+(SO)</t>
  </si>
  <si>
    <t>INE529N07010</t>
  </si>
  <si>
    <t>INE157D08027</t>
  </si>
  <si>
    <t>INE081T08108</t>
  </si>
  <si>
    <t>INE316W07013</t>
  </si>
  <si>
    <t>INE157D08019</t>
  </si>
  <si>
    <t>INE598K07011</t>
  </si>
  <si>
    <t>ICRA A(SO)</t>
  </si>
  <si>
    <t>INE357U08019</t>
  </si>
  <si>
    <t>INE081T07027</t>
  </si>
  <si>
    <t>INE567W07029</t>
  </si>
  <si>
    <t>INE918T07038</t>
  </si>
  <si>
    <t>INE918T07020</t>
  </si>
  <si>
    <t>INE423Y07013</t>
  </si>
  <si>
    <t>ICRA A</t>
  </si>
  <si>
    <t>INE582L07138</t>
  </si>
  <si>
    <t>INE137K07018</t>
  </si>
  <si>
    <t>ICRA AA+</t>
  </si>
  <si>
    <t>INE125X07016</t>
  </si>
  <si>
    <t>INE587B08037</t>
  </si>
  <si>
    <t>INE157D08035</t>
  </si>
  <si>
    <t>INE157D08068</t>
  </si>
  <si>
    <t>INE157D08050</t>
  </si>
  <si>
    <t>INE139S07025</t>
  </si>
  <si>
    <t>INE311S08143</t>
  </si>
  <si>
    <t>BWR A+ (SO)</t>
  </si>
  <si>
    <t>INE582L07104</t>
  </si>
  <si>
    <t>INE157D08043</t>
  </si>
  <si>
    <t>INE003S07155</t>
  </si>
  <si>
    <t>INE311S08150</t>
  </si>
  <si>
    <t>INE960S07065</t>
  </si>
  <si>
    <t>BWR AA- (SO)</t>
  </si>
  <si>
    <t>INE960S07073</t>
  </si>
  <si>
    <t>INE971Z07026</t>
  </si>
  <si>
    <t>INE960S07081</t>
  </si>
  <si>
    <t>INE922K07013</t>
  </si>
  <si>
    <t>INE311S08168</t>
  </si>
  <si>
    <t>INE321N07244</t>
  </si>
  <si>
    <t>INE285T07073</t>
  </si>
  <si>
    <t>Money Market Instruments</t>
  </si>
  <si>
    <t>Certificate of Deposit</t>
  </si>
  <si>
    <t>INE480Q16283</t>
  </si>
  <si>
    <t>ICRA A1+</t>
  </si>
  <si>
    <t>INE238A160K7</t>
  </si>
  <si>
    <t>CRISIL A1+</t>
  </si>
  <si>
    <t>Commercial Paper</t>
  </si>
  <si>
    <t>INE020B14623</t>
  </si>
  <si>
    <t>CARE A1+</t>
  </si>
  <si>
    <t>INE691I14IZ4</t>
  </si>
  <si>
    <t>INE476M14BW4</t>
  </si>
  <si>
    <t>INE623B14AL9</t>
  </si>
  <si>
    <t>INE752P14AF8</t>
  </si>
  <si>
    <t>INE371K14902</t>
  </si>
  <si>
    <t>INE371K14910</t>
  </si>
  <si>
    <t>INE371K14928</t>
  </si>
  <si>
    <t>INE001A14UH6</t>
  </si>
  <si>
    <t>INE371K14894</t>
  </si>
  <si>
    <t>INE001A14UJ2</t>
  </si>
  <si>
    <t>INE001A14UV7</t>
  </si>
  <si>
    <t>* Less Than 0.01 %</t>
  </si>
  <si>
    <t>Super Institutional Plan Growth Option</t>
  </si>
  <si>
    <t>Super Institutional Plan Daily Dividend Option</t>
  </si>
  <si>
    <t>Super Institutional Plan Weekly Dividend Option</t>
  </si>
  <si>
    <t>Direct Super Institutional Plan Growth Option</t>
  </si>
  <si>
    <t>Direct Super Institutional Plan Daily Dividend Option</t>
  </si>
  <si>
    <t>Direct Super Institutional Plan Weekly Dividend Option</t>
  </si>
  <si>
    <t>Retail Plan Growth Option</t>
  </si>
  <si>
    <t>Retail Plan Daily Dividend Option</t>
  </si>
  <si>
    <t>Retail Plan Weekly Dividend Option</t>
  </si>
  <si>
    <t>Institutional Plan Growth Option</t>
  </si>
  <si>
    <t>Institutional Plan Daily Dividend Option</t>
  </si>
  <si>
    <t>Super Institutional Plan Daily Dividend Reinvestment Option</t>
  </si>
  <si>
    <t>Direct Super Institutional Plan Daily Dividend Reinvestment Option</t>
  </si>
  <si>
    <t>Institutional Plan Daily Dividend Reinvestment Option</t>
  </si>
  <si>
    <r>
      <t>Franklin India Short Term Income Plan As of -30Aug</t>
    </r>
    <r>
      <rPr>
        <b/>
        <sz val="8"/>
        <color theme="1"/>
        <rFont val="Arial"/>
        <family val="2"/>
      </rPr>
      <t>2019</t>
    </r>
  </si>
  <si>
    <t>INE721A08DC8</t>
  </si>
  <si>
    <t>INE669E08318</t>
  </si>
  <si>
    <t>INE516Y07105</t>
  </si>
  <si>
    <t>INE134E08JX9</t>
  </si>
  <si>
    <t>INE528G08352</t>
  </si>
  <si>
    <t>CARE A-</t>
  </si>
  <si>
    <t>INE140A07401</t>
  </si>
  <si>
    <t>INE140A07435</t>
  </si>
  <si>
    <t>INE01E708024</t>
  </si>
  <si>
    <t>INE434A08083</t>
  </si>
  <si>
    <t>INE01E708016</t>
  </si>
  <si>
    <t>INE615S07065</t>
  </si>
  <si>
    <t>IND A+</t>
  </si>
  <si>
    <t>INE01HV07015</t>
  </si>
  <si>
    <t>INE219X07033</t>
  </si>
  <si>
    <t>INE020B08BP9</t>
  </si>
  <si>
    <t>CARE AAA</t>
  </si>
  <si>
    <t>INE852O07097</t>
  </si>
  <si>
    <t>INE265J07357</t>
  </si>
  <si>
    <t>INE721A08DF1</t>
  </si>
  <si>
    <t>INE128S07374</t>
  </si>
  <si>
    <t>INE124N07309</t>
  </si>
  <si>
    <t>INE657N07381</t>
  </si>
  <si>
    <t>INE852O07089</t>
  </si>
  <si>
    <t>INE540P07319</t>
  </si>
  <si>
    <t>INE540P07327</t>
  </si>
  <si>
    <t>INE134E08KC1</t>
  </si>
  <si>
    <t>INE265J07365</t>
  </si>
  <si>
    <t>INE128S07390</t>
  </si>
  <si>
    <t>INE540P07335</t>
  </si>
  <si>
    <t>INE020B08BS3</t>
  </si>
  <si>
    <t>INE016P07146</t>
  </si>
  <si>
    <t>INE852O07055</t>
  </si>
  <si>
    <t>INE146O08159</t>
  </si>
  <si>
    <t>INE128S07358</t>
  </si>
  <si>
    <t>INE124N07200</t>
  </si>
  <si>
    <t>INE124N07168</t>
  </si>
  <si>
    <t>INE459T07082</t>
  </si>
  <si>
    <t>INE459T07090</t>
  </si>
  <si>
    <t>INE459T07033</t>
  </si>
  <si>
    <t>INE295J08022</t>
  </si>
  <si>
    <t>INE01E708032</t>
  </si>
  <si>
    <t>INE134E08JY7</t>
  </si>
  <si>
    <t>INE146O08068</t>
  </si>
  <si>
    <t>INE134E08JZ4</t>
  </si>
  <si>
    <t>INE540P07202</t>
  </si>
  <si>
    <t>INE459T07025</t>
  </si>
  <si>
    <t>INE608A08025</t>
  </si>
  <si>
    <t>INE936D07075</t>
  </si>
  <si>
    <t>INE852O07048</t>
  </si>
  <si>
    <t>INE657N07407</t>
  </si>
  <si>
    <t>INE128S07333</t>
  </si>
  <si>
    <t>INE265J07316</t>
  </si>
  <si>
    <t>INE852O07063</t>
  </si>
  <si>
    <t>INE146O08100</t>
  </si>
  <si>
    <t>INE020B08BU9</t>
  </si>
  <si>
    <t>INE020B08BG8</t>
  </si>
  <si>
    <t>INE128S07408</t>
  </si>
  <si>
    <t>INE146O08092</t>
  </si>
  <si>
    <t>INE667A08070</t>
  </si>
  <si>
    <t>INE503A08028</t>
  </si>
  <si>
    <t>INE155A08225</t>
  </si>
  <si>
    <t>INE146O08027</t>
  </si>
  <si>
    <t>INE694L07099</t>
  </si>
  <si>
    <t>INE134E08FQ1</t>
  </si>
  <si>
    <t>INE110L07096</t>
  </si>
  <si>
    <t>INE540P07343</t>
  </si>
  <si>
    <t>INE540P07350</t>
  </si>
  <si>
    <t>INE028A08083</t>
  </si>
  <si>
    <t>INE146O08084</t>
  </si>
  <si>
    <t>INE128S07317</t>
  </si>
  <si>
    <t>INE261F08477</t>
  </si>
  <si>
    <t>INE020B08823</t>
  </si>
  <si>
    <t>ICRA AAA</t>
  </si>
  <si>
    <t>INE535H07AU7</t>
  </si>
  <si>
    <t>INE261F08AL1</t>
  </si>
  <si>
    <t>INE774D07RY7</t>
  </si>
  <si>
    <t>IND AAA</t>
  </si>
  <si>
    <t>INE110L07070</t>
  </si>
  <si>
    <t>INE001A07QF2</t>
  </si>
  <si>
    <t>INE705A08094</t>
  </si>
  <si>
    <t>INE00U207051</t>
  </si>
  <si>
    <t>INE01EA07016</t>
  </si>
  <si>
    <t>IND A</t>
  </si>
  <si>
    <t>INE660N07047</t>
  </si>
  <si>
    <t>INE003S07189</t>
  </si>
  <si>
    <t>INE209W07010</t>
  </si>
  <si>
    <t>INE498F07063</t>
  </si>
  <si>
    <t>BWR BBB-(SO)</t>
  </si>
  <si>
    <t>INE575P08016</t>
  </si>
  <si>
    <t>INE720G08074</t>
  </si>
  <si>
    <t>ICRA BBB+</t>
  </si>
  <si>
    <t>INE964Q07012</t>
  </si>
  <si>
    <t>INE082T07025</t>
  </si>
  <si>
    <t>ICRA BBB-(SO)</t>
  </si>
  <si>
    <t>INE720G08082</t>
  </si>
  <si>
    <t>INE316W07039</t>
  </si>
  <si>
    <t>INE971Z07109</t>
  </si>
  <si>
    <t>INE428K07011</t>
  </si>
  <si>
    <t>BWR D</t>
  </si>
  <si>
    <t>INE971Z07042</t>
  </si>
  <si>
    <t>INE003S07122</t>
  </si>
  <si>
    <t>INE03VJ07017</t>
  </si>
  <si>
    <t>INE507R07033</t>
  </si>
  <si>
    <t>INE660N07062</t>
  </si>
  <si>
    <t>INE082T07033</t>
  </si>
  <si>
    <t>INE971Z07034</t>
  </si>
  <si>
    <t>INE498F07071</t>
  </si>
  <si>
    <t>INE946S07122</t>
  </si>
  <si>
    <t>INE311S08135</t>
  </si>
  <si>
    <t>INE082T07017</t>
  </si>
  <si>
    <t>INE764L07181</t>
  </si>
  <si>
    <t>CARE A(SO)</t>
  </si>
  <si>
    <t>INE445K07106</t>
  </si>
  <si>
    <t>CARE BBB(SO)</t>
  </si>
  <si>
    <t>INE333T07055</t>
  </si>
  <si>
    <t>INE285T07099</t>
  </si>
  <si>
    <t>INE971Z07083</t>
  </si>
  <si>
    <t>INE659X07014</t>
  </si>
  <si>
    <t>INE971Z07091</t>
  </si>
  <si>
    <t>INE080T07060</t>
  </si>
  <si>
    <t>INE00MX08011</t>
  </si>
  <si>
    <t>INE971Z07075</t>
  </si>
  <si>
    <t>INE946S07114</t>
  </si>
  <si>
    <t>INE080T07052</t>
  </si>
  <si>
    <t>INE946S07098</t>
  </si>
  <si>
    <t>INE209W07028</t>
  </si>
  <si>
    <t>INE971Z07067</t>
  </si>
  <si>
    <t>INE139S07017</t>
  </si>
  <si>
    <t>INE080T07045</t>
  </si>
  <si>
    <t>INE321N07152</t>
  </si>
  <si>
    <t>INE946S07106</t>
  </si>
  <si>
    <t>INE918T07046</t>
  </si>
  <si>
    <t>INE333T07048</t>
  </si>
  <si>
    <t>INE895D08634</t>
  </si>
  <si>
    <t>INE895D08766</t>
  </si>
  <si>
    <t>Retail Plan Monthly Dividend Option</t>
  </si>
  <si>
    <t>Retail Plan Quarterly Dividend Option</t>
  </si>
  <si>
    <t>Direct Retail Plan Growth Option</t>
  </si>
  <si>
    <t>Direct Retail Plan Weekly Dividend Option</t>
  </si>
  <si>
    <t>Direct Retail Plan Monthly Dividend Option</t>
  </si>
  <si>
    <t>Direct Retail Plan Quarterly Dividend Option</t>
  </si>
  <si>
    <t>Franklin India Savings Fund As of -30Aug2019</t>
  </si>
  <si>
    <t>INE090A162V7</t>
  </si>
  <si>
    <t>INE556F16648</t>
  </si>
  <si>
    <t>INE028A16BO0</t>
  </si>
  <si>
    <t>IND A1+</t>
  </si>
  <si>
    <t>INE261F16454</t>
  </si>
  <si>
    <t>INE040A16CE4</t>
  </si>
  <si>
    <t>INE028A16BF8</t>
  </si>
  <si>
    <t>INE261F16389</t>
  </si>
  <si>
    <t>INE095A16A17</t>
  </si>
  <si>
    <t>INE480Q16416</t>
  </si>
  <si>
    <t>INE090A162T1</t>
  </si>
  <si>
    <t>INE556F16630</t>
  </si>
  <si>
    <t>INE562A16JS2</t>
  </si>
  <si>
    <t>INE238A160Q4</t>
  </si>
  <si>
    <t>INE556F16531</t>
  </si>
  <si>
    <t>INE238A162L1</t>
  </si>
  <si>
    <t>INE261F16405</t>
  </si>
  <si>
    <t>INE238A162K3</t>
  </si>
  <si>
    <t>INE261F16371</t>
  </si>
  <si>
    <t>INE134E14AL1</t>
  </si>
  <si>
    <t>INE115A14BV5</t>
  </si>
  <si>
    <t>INE742O14BU9</t>
  </si>
  <si>
    <t>INE001A14VO0</t>
  </si>
  <si>
    <t>INE535H14HW4</t>
  </si>
  <si>
    <t>INE020B14607</t>
  </si>
  <si>
    <t>INE667F14EX4</t>
  </si>
  <si>
    <t>INE790I14BE4</t>
  </si>
  <si>
    <t>INE001A14VS1</t>
  </si>
  <si>
    <t>INE027E14HI8</t>
  </si>
  <si>
    <t>INE477A14AC1</t>
  </si>
  <si>
    <t>INE027E14HK4</t>
  </si>
  <si>
    <t>INE691I14IJ8</t>
  </si>
  <si>
    <t>INE121A14QU3</t>
  </si>
  <si>
    <t>INE115A14BT9</t>
  </si>
  <si>
    <t>INE020B14631</t>
  </si>
  <si>
    <t>INE001A14VQ5</t>
  </si>
  <si>
    <t>INE001A14VH4</t>
  </si>
  <si>
    <t>INE523H14P25</t>
  </si>
  <si>
    <t>INE975F14RH6</t>
  </si>
  <si>
    <t>INE523H14Q24</t>
  </si>
  <si>
    <t>INE691I14IR1</t>
  </si>
  <si>
    <t>Direct Retail Plan Daily Dividend Option</t>
  </si>
  <si>
    <t>Institutional Plan Dividend Option</t>
  </si>
  <si>
    <t>Franklin India overnight Fund As of -30Aug2019</t>
  </si>
  <si>
    <t>NA****</t>
  </si>
  <si>
    <t>Direct Super Institutional Growth Option</t>
  </si>
  <si>
    <t>Direct Daily Dividend Reinvestment Option</t>
  </si>
  <si>
    <t>Direct Super Institutional Weekly Dividend Option</t>
  </si>
  <si>
    <t>Regular Plan Growth Option</t>
  </si>
  <si>
    <t>Regular Plan Daily Dividend Reinvestment Option</t>
  </si>
  <si>
    <t>Regular Plan Weekly Dividend Option</t>
  </si>
  <si>
    <t>Direct Super Institutional Plan Daily Divdend Reinvestment Option</t>
  </si>
  <si>
    <t>Regular Plan Daily Divdend Reinvestment Option</t>
  </si>
  <si>
    <t>****Allotment date for the scheme was May 08, 2019</t>
  </si>
  <si>
    <t>Franklin India Liquid Fund As of -30Aug2019</t>
  </si>
  <si>
    <t>INE572E09536</t>
  </si>
  <si>
    <t>INE115A07FQ0</t>
  </si>
  <si>
    <t>INE651J07481</t>
  </si>
  <si>
    <t>INE572E09395</t>
  </si>
  <si>
    <t>INE115A07FT4</t>
  </si>
  <si>
    <t>INE155A08217</t>
  </si>
  <si>
    <t>INE001A07RA1</t>
  </si>
  <si>
    <t>INE851M07135</t>
  </si>
  <si>
    <t>INE860H07DV1</t>
  </si>
  <si>
    <t>INE238A165G4</t>
  </si>
  <si>
    <t>INE261F16314</t>
  </si>
  <si>
    <t>INE020B14581</t>
  </si>
  <si>
    <t>INE09OL14078</t>
  </si>
  <si>
    <t>INE742O14CT9</t>
  </si>
  <si>
    <t>INE027E14IF2</t>
  </si>
  <si>
    <t>INE742O14CM4</t>
  </si>
  <si>
    <t>INE476M14CI1</t>
  </si>
  <si>
    <t>INE535H14HU8</t>
  </si>
  <si>
    <t>INE742F14JO3</t>
  </si>
  <si>
    <t>INE742O14CP7</t>
  </si>
  <si>
    <t>INE511C14UJ6</t>
  </si>
  <si>
    <t>INE493F14326</t>
  </si>
  <si>
    <t>INE338I14AW6</t>
  </si>
  <si>
    <t>INE338I14AV8</t>
  </si>
  <si>
    <t>INE501G14AT9</t>
  </si>
  <si>
    <t>INE501G14AV5</t>
  </si>
  <si>
    <t>INE511C14UK4</t>
  </si>
  <si>
    <t>INE371K14860</t>
  </si>
  <si>
    <t>INE582L14ET1</t>
  </si>
  <si>
    <t>INE742F14IL1</t>
  </si>
  <si>
    <t>INE742F14JN5</t>
  </si>
  <si>
    <t>INE09OL14102</t>
  </si>
  <si>
    <t>INE742F14JX4</t>
  </si>
  <si>
    <t>INE306N14QX7</t>
  </si>
  <si>
    <t>INE742O14CO0</t>
  </si>
  <si>
    <t>INE692Q14AG2</t>
  </si>
  <si>
    <t>INE582L14EV7</t>
  </si>
  <si>
    <t>INE069P14224</t>
  </si>
  <si>
    <t>INE012I14KW6</t>
  </si>
  <si>
    <t>INE901W14AV4</t>
  </si>
  <si>
    <t>INE674K14800</t>
  </si>
  <si>
    <t>INE031A14408</t>
  </si>
  <si>
    <t>INE975F14QB1</t>
  </si>
  <si>
    <t>INE482A14775</t>
  </si>
  <si>
    <t>INE012I14KZ9</t>
  </si>
  <si>
    <t>Government Securities</t>
  </si>
  <si>
    <t>IN002019U025</t>
  </si>
  <si>
    <t>33 DCMB (16-Sep-2019)</t>
  </si>
  <si>
    <t>SOVEREIGN</t>
  </si>
  <si>
    <t>IN002018Z315</t>
  </si>
  <si>
    <t>364 DTB (31-Oct-2019)</t>
  </si>
  <si>
    <t>Direct Super Institutional Daily Dividend Reinvestment Option</t>
  </si>
  <si>
    <t>Institutional Plan Weekly Dividend Option</t>
  </si>
  <si>
    <t>Unclaimed Dividend Plan - Growth</t>
  </si>
  <si>
    <t>Unclaimed Redemption Plan - Growth</t>
  </si>
  <si>
    <t>Franklin India Low Duration Fund As of -30Aug2019</t>
  </si>
  <si>
    <t>INE516Y07071</t>
  </si>
  <si>
    <t>INE265J07324</t>
  </si>
  <si>
    <t>INE516Y07097</t>
  </si>
  <si>
    <t>INE245A08042</t>
  </si>
  <si>
    <t>INE764L07173</t>
  </si>
  <si>
    <t>INE721A08DE4</t>
  </si>
  <si>
    <t>INE945W07035</t>
  </si>
  <si>
    <t>INE516Y07089</t>
  </si>
  <si>
    <t>INE002A08526</t>
  </si>
  <si>
    <t>INE476S08045</t>
  </si>
  <si>
    <t>INE918T07053</t>
  </si>
  <si>
    <t>INE840S07085</t>
  </si>
  <si>
    <t>INE095A16ZK6</t>
  </si>
  <si>
    <t>INE238A166Q1</t>
  </si>
  <si>
    <t>INE725H14905</t>
  </si>
  <si>
    <t>INE001A14UT1</t>
  </si>
  <si>
    <t>INE371K14886</t>
  </si>
  <si>
    <t>INE001A14UX3</t>
  </si>
  <si>
    <r>
      <t>Franklin India Government Securities Fund As of -3</t>
    </r>
    <r>
      <rPr>
        <b/>
        <sz val="8"/>
        <color theme="1"/>
        <rFont val="Arial"/>
        <family val="2"/>
      </rPr>
      <t>0Aug2019</t>
    </r>
  </si>
  <si>
    <t>IN0020180488</t>
  </si>
  <si>
    <t>Growth Option</t>
  </si>
  <si>
    <t>Quarterly Dividend Option</t>
  </si>
  <si>
    <t>Direct Growth Option</t>
  </si>
  <si>
    <t>Direct Quarterly Dividend Option</t>
  </si>
  <si>
    <t>Franklin India Floating Rate Fund As of -30Aug2019</t>
  </si>
  <si>
    <t>INE081A08207</t>
  </si>
  <si>
    <t>BWR AA</t>
  </si>
  <si>
    <t>IN0020092071</t>
  </si>
  <si>
    <t>Franklin India Credit Risk Fund As of -30Aug2019</t>
  </si>
  <si>
    <t>INE01E708040</t>
  </si>
  <si>
    <t>INE146O08118</t>
  </si>
  <si>
    <t>INE922K07039</t>
  </si>
  <si>
    <t>INE016P07120</t>
  </si>
  <si>
    <t>INE016P07138</t>
  </si>
  <si>
    <t>INE128S07325</t>
  </si>
  <si>
    <t>INE128S07341</t>
  </si>
  <si>
    <t>INE540P07210</t>
  </si>
  <si>
    <t>INE265J07373</t>
  </si>
  <si>
    <t>INE852O07071</t>
  </si>
  <si>
    <t>INE090A08UC2</t>
  </si>
  <si>
    <t>INE641O08035</t>
  </si>
  <si>
    <t>INE027E07709</t>
  </si>
  <si>
    <t>INE001A07OO9</t>
  </si>
  <si>
    <t>INE503A08044</t>
  </si>
  <si>
    <t>INE053F07AK6</t>
  </si>
  <si>
    <t>INE003S07171</t>
  </si>
  <si>
    <t>INE660N07054</t>
  </si>
  <si>
    <t>INE458O07036</t>
  </si>
  <si>
    <t>INE946S07130</t>
  </si>
  <si>
    <t>INE285T07081</t>
  </si>
  <si>
    <t>INE946S07080</t>
  </si>
  <si>
    <t>INE333T07063</t>
  </si>
  <si>
    <t>INE840S07093</t>
  </si>
  <si>
    <t>INE080T07037</t>
  </si>
  <si>
    <t>INE575P08024</t>
  </si>
  <si>
    <r>
      <t>Franklin India Corporate Debt Fund As of -30Aug201</t>
    </r>
    <r>
      <rPr>
        <b/>
        <sz val="8"/>
        <color theme="1"/>
        <rFont val="Arial"/>
        <family val="2"/>
      </rPr>
      <t>9</t>
    </r>
  </si>
  <si>
    <t>INE047A08141</t>
  </si>
  <si>
    <t>INE062A08140</t>
  </si>
  <si>
    <t>INE163N08065</t>
  </si>
  <si>
    <t>CARE AAA(SO)</t>
  </si>
  <si>
    <t>INE090A08UB4</t>
  </si>
  <si>
    <t>INE110L08037</t>
  </si>
  <si>
    <t>INE438A07144</t>
  </si>
  <si>
    <t>INE163N08073</t>
  </si>
  <si>
    <t>INE752E07MQ8</t>
  </si>
  <si>
    <t>INE115A07NM3</t>
  </si>
  <si>
    <t>INE941D07125</t>
  </si>
  <si>
    <t>INE733E07JO9</t>
  </si>
  <si>
    <t>INE556F08JL5</t>
  </si>
  <si>
    <t>INE295J08055</t>
  </si>
  <si>
    <t>INE261F08AI7</t>
  </si>
  <si>
    <t>INE752E07KN9</t>
  </si>
  <si>
    <t>INE134E08JW1</t>
  </si>
  <si>
    <t>INE031A08731</t>
  </si>
  <si>
    <t>INE535H07AG6</t>
  </si>
  <si>
    <t>INE916DA7MX1</t>
  </si>
  <si>
    <t>INE115A07NW2</t>
  </si>
  <si>
    <t>INE134E08IH4</t>
  </si>
  <si>
    <t>INE752E07MZ9</t>
  </si>
  <si>
    <t>INE756I07CD9</t>
  </si>
  <si>
    <t>INE514E08FL5</t>
  </si>
  <si>
    <t>INE134E08GT3</t>
  </si>
  <si>
    <t>INE296A07QQ5</t>
  </si>
  <si>
    <t>INE861G08035</t>
  </si>
  <si>
    <t>CRISIL AAA(SO)</t>
  </si>
  <si>
    <t>INE020B08AS5</t>
  </si>
  <si>
    <t>INE261F08BN5</t>
  </si>
  <si>
    <t>INE848E07815</t>
  </si>
  <si>
    <t>INE481G08057</t>
  </si>
  <si>
    <t>INE296A07ON7</t>
  </si>
  <si>
    <t>INE053F09HR2</t>
  </si>
  <si>
    <t>INE860H07GE0</t>
  </si>
  <si>
    <t>INE029A07075</t>
  </si>
  <si>
    <t>INE053F07942</t>
  </si>
  <si>
    <t>INE752E07MN5</t>
  </si>
  <si>
    <t>INE556F08JD2</t>
  </si>
  <si>
    <t>INE020B08AO4</t>
  </si>
  <si>
    <t>INE801J08019</t>
  </si>
  <si>
    <t>Half Yearly Dividend Plan</t>
  </si>
  <si>
    <t>Annual Dividend Plan</t>
  </si>
  <si>
    <t>Direct Half Yearly Dividend Plan</t>
  </si>
  <si>
    <t>Direct Annual Dividend Plan</t>
  </si>
  <si>
    <r>
      <t>Franklin India Banking &amp; PSU Debt Fund As of -30Au</t>
    </r>
    <r>
      <rPr>
        <b/>
        <sz val="8"/>
        <color theme="1"/>
        <rFont val="Arial"/>
        <family val="2"/>
      </rPr>
      <t>g2019</t>
    </r>
  </si>
  <si>
    <t>INE094A08036</t>
  </si>
  <si>
    <t>INE029A08040</t>
  </si>
  <si>
    <t>INE261F08BI5</t>
  </si>
  <si>
    <t>INE053F07934</t>
  </si>
  <si>
    <t>INE976G08064</t>
  </si>
  <si>
    <t>INE556F08JI1</t>
  </si>
  <si>
    <t>INE020B08BM6</t>
  </si>
  <si>
    <t>INE752E07NN3</t>
  </si>
  <si>
    <t>IN0020190016</t>
  </si>
  <si>
    <t>Dividend Option</t>
  </si>
  <si>
    <t>Direct Dividend Option</t>
  </si>
  <si>
    <r>
      <t>Franklin India Income Opportunities Fund As of -30</t>
    </r>
    <r>
      <rPr>
        <b/>
        <sz val="8"/>
        <color theme="1"/>
        <rFont val="Arial"/>
        <family val="2"/>
      </rPr>
      <t>Aug2019</t>
    </r>
  </si>
  <si>
    <t>INE01E708057</t>
  </si>
  <si>
    <t>INE146O08134</t>
  </si>
  <si>
    <t>INE271C07178</t>
  </si>
  <si>
    <t>INE607M08048</t>
  </si>
  <si>
    <t>INE459T07041</t>
  </si>
  <si>
    <t>INE459T07058</t>
  </si>
  <si>
    <t>INE038A07266</t>
  </si>
  <si>
    <t>INE971Z07059</t>
  </si>
  <si>
    <t>INE003S07098</t>
  </si>
  <si>
    <t>INE946S07148</t>
  </si>
  <si>
    <t>INE080T07078</t>
  </si>
  <si>
    <t>INE598K07029</t>
  </si>
  <si>
    <t>(In Year)</t>
  </si>
  <si>
    <r>
      <t>Franklin India Dynamic Accrual Fund As of -30Aug20</t>
    </r>
    <r>
      <rPr>
        <b/>
        <sz val="8"/>
        <color theme="1"/>
        <rFont val="Arial"/>
        <family val="2"/>
      </rPr>
      <t>19</t>
    </r>
  </si>
  <si>
    <t>INE124N07143</t>
  </si>
  <si>
    <t>INE658R08024</t>
  </si>
  <si>
    <t>INE540P07228</t>
  </si>
  <si>
    <t>INE658R08032</t>
  </si>
  <si>
    <t>INE949L08137</t>
  </si>
  <si>
    <t>INE316W07021</t>
  </si>
  <si>
    <r>
      <t>Franklin India Fixed Maturity Plans-Series 6 – Pla</t>
    </r>
    <r>
      <rPr>
        <b/>
        <sz val="8"/>
        <color theme="1"/>
        <rFont val="Arial"/>
        <family val="2"/>
      </rPr>
      <t>n C As of -30Aug2019</t>
    </r>
  </si>
  <si>
    <t>INE891K07416</t>
  </si>
  <si>
    <t>INE377Y07052</t>
  </si>
  <si>
    <t>INE774D07SQ1</t>
  </si>
  <si>
    <t>INE031A08657</t>
  </si>
  <si>
    <t>INE535H07AT9</t>
  </si>
  <si>
    <t>(In years)</t>
  </si>
  <si>
    <t>****Allotment date for the scheme was March 19, 2019</t>
  </si>
  <si>
    <r>
      <t>Franklin India Fixed Maturity Plans-Series 5 – Pla</t>
    </r>
    <r>
      <rPr>
        <b/>
        <sz val="8"/>
        <color theme="1"/>
        <rFont val="Arial"/>
        <family val="2"/>
      </rPr>
      <t>n F As of -30Aug2019</t>
    </r>
  </si>
  <si>
    <t>INE020B08BF0</t>
  </si>
  <si>
    <t>INE831R07235</t>
  </si>
  <si>
    <r>
      <t>Franklin India Fixed Maturity Plans-Series 5 – Pla</t>
    </r>
    <r>
      <rPr>
        <b/>
        <sz val="8"/>
        <color theme="1"/>
        <rFont val="Arial"/>
        <family val="2"/>
      </rPr>
      <t>n E As of -30Aug2019</t>
    </r>
  </si>
  <si>
    <t>INE377Y07086</t>
  </si>
  <si>
    <t>INE756I07CI8</t>
  </si>
  <si>
    <t>INE906B07FG1</t>
  </si>
  <si>
    <t>INE306N07KG9</t>
  </si>
  <si>
    <r>
      <t>Franklin India Fixed Maturity Plans – Series 5 – P</t>
    </r>
    <r>
      <rPr>
        <b/>
        <sz val="8"/>
        <color theme="1"/>
        <rFont val="Arial"/>
        <family val="2"/>
      </rPr>
      <t>lan D As of -30Aug2019</t>
    </r>
  </si>
  <si>
    <t>INE774D07SS7</t>
  </si>
  <si>
    <r>
      <t>Franklin India Fixed Maturity Plans - Series 5 -Pl</t>
    </r>
    <r>
      <rPr>
        <b/>
        <sz val="8"/>
        <color theme="1"/>
        <rFont val="Arial"/>
        <family val="2"/>
      </rPr>
      <t>an C As of -30Aug2019</t>
    </r>
  </si>
  <si>
    <t>INE535H07AQ5</t>
  </si>
  <si>
    <t>INE476M07BR8</t>
  </si>
  <si>
    <r>
      <t>Franklin India Fixed Maturity Plans – Series 5 - P</t>
    </r>
    <r>
      <rPr>
        <b/>
        <sz val="8"/>
        <color theme="1"/>
        <rFont val="Arial"/>
        <family val="2"/>
      </rPr>
      <t>lan B As of -30Aug2019</t>
    </r>
  </si>
  <si>
    <t>INE033L07GA4</t>
  </si>
  <si>
    <r>
      <t>Franklin India Fixed Maturity Plans – Series 5 – P</t>
    </r>
    <r>
      <rPr>
        <b/>
        <sz val="8"/>
        <color theme="1"/>
        <rFont val="Arial"/>
        <family val="2"/>
      </rPr>
      <t>lan A As of -30Aug2019</t>
    </r>
  </si>
  <si>
    <t>INE580B07463</t>
  </si>
  <si>
    <r>
      <t>Franklin India Fixed Maturity Plans – Series 4 – P</t>
    </r>
    <r>
      <rPr>
        <b/>
        <sz val="8"/>
        <color theme="1"/>
        <rFont val="Arial"/>
        <family val="2"/>
      </rPr>
      <t>lan F As of -30Aug2019</t>
    </r>
  </si>
  <si>
    <t>INE115A07LM7</t>
  </si>
  <si>
    <t>INE134E08IN2</t>
  </si>
  <si>
    <t>INE895D08790</t>
  </si>
  <si>
    <r>
      <t>Franklin India Fixed Maturity Plans-Series 4 – Pla</t>
    </r>
    <r>
      <rPr>
        <b/>
        <sz val="8"/>
        <color theme="1"/>
        <rFont val="Arial"/>
        <family val="2"/>
      </rPr>
      <t>n E As of -30Aug2019</t>
    </r>
  </si>
  <si>
    <t>INE556F08JH3</t>
  </si>
  <si>
    <t>INE261F08AM9</t>
  </si>
  <si>
    <t>INE660A07PT8</t>
  </si>
  <si>
    <t>INE860H07FW4</t>
  </si>
  <si>
    <r>
      <t>Franklin India Fixed Maturity Plans – Series 4 – P</t>
    </r>
    <r>
      <rPr>
        <b/>
        <sz val="8"/>
        <color theme="1"/>
        <rFont val="Arial"/>
        <family val="2"/>
      </rPr>
      <t>lan D As of -30Aug2019</t>
    </r>
  </si>
  <si>
    <t>INE377Y07045</t>
  </si>
  <si>
    <t>Growth</t>
  </si>
  <si>
    <t>Dividend</t>
  </si>
  <si>
    <t>Quarterly Dividend</t>
  </si>
  <si>
    <t>Direct Growth</t>
  </si>
  <si>
    <r>
      <t>Franklin India Fixed Maturity Plans – Series 4 – P</t>
    </r>
    <r>
      <rPr>
        <b/>
        <sz val="8"/>
        <color theme="1"/>
        <rFont val="Arial"/>
        <family val="2"/>
      </rPr>
      <t>lan C As of -30Aug2019</t>
    </r>
  </si>
  <si>
    <t>INE115A07MX2</t>
  </si>
  <si>
    <t>INE891K07440</t>
  </si>
  <si>
    <t>INE831R07201</t>
  </si>
  <si>
    <t>Direct Quarterly Dividend</t>
  </si>
  <si>
    <r>
      <t>Franklin India Fixed Maturity Plans – Series 4 – P</t>
    </r>
    <r>
      <rPr>
        <b/>
        <sz val="8"/>
        <color theme="1"/>
        <rFont val="Arial"/>
        <family val="2"/>
      </rPr>
      <t>lan B As of -30Aug2019</t>
    </r>
  </si>
  <si>
    <t>INE020B07IW2</t>
  </si>
  <si>
    <t>INE134E08DN3</t>
  </si>
  <si>
    <t>INE535H07AK8</t>
  </si>
  <si>
    <t>INE027E07642</t>
  </si>
  <si>
    <t>INE134E08ID3</t>
  </si>
  <si>
    <t>INE660A07PN1</t>
  </si>
  <si>
    <t>INE071G08940</t>
  </si>
  <si>
    <t>INE377Y07029</t>
  </si>
  <si>
    <t>INE115A07MT0</t>
  </si>
  <si>
    <r>
      <t>Franklin India Fixed Maturity Plans – Series 4 – P</t>
    </r>
    <r>
      <rPr>
        <b/>
        <sz val="8"/>
        <color theme="1"/>
        <rFont val="Arial"/>
        <family val="2"/>
      </rPr>
      <t>lan A As of -30Aug2019</t>
    </r>
  </si>
  <si>
    <t>INE110L07112</t>
  </si>
  <si>
    <t>INE891K07390</t>
  </si>
  <si>
    <t>INE556F08JF7</t>
  </si>
  <si>
    <t>INE020B08AW7</t>
  </si>
  <si>
    <t>INE476M07BM9</t>
  </si>
  <si>
    <r>
      <t>Franklin India Fixed Maturity Plans - Series 3 - P</t>
    </r>
    <r>
      <rPr>
        <b/>
        <sz val="8"/>
        <color theme="1"/>
        <rFont val="Arial"/>
        <family val="2"/>
      </rPr>
      <t>lan F As of -30Aug2019</t>
    </r>
  </si>
  <si>
    <t>INE031A08566</t>
  </si>
  <si>
    <t>INE774D07SB3</t>
  </si>
  <si>
    <t>INE883A07174</t>
  </si>
  <si>
    <t>INE134E08DM5</t>
  </si>
  <si>
    <t>INE756I07BW1</t>
  </si>
  <si>
    <t>INE115A07IO9</t>
  </si>
  <si>
    <t>INE244N07065</t>
  </si>
  <si>
    <r>
      <t>Franklin India Fixed Maturity Plans - Series 3 - P</t>
    </r>
    <r>
      <rPr>
        <b/>
        <sz val="8"/>
        <color theme="1"/>
        <rFont val="Arial"/>
        <family val="2"/>
      </rPr>
      <t>lan E As of -30Aug2019</t>
    </r>
  </si>
  <si>
    <t>INE134E08JM2</t>
  </si>
  <si>
    <t>INE031A08590</t>
  </si>
  <si>
    <t>INE916DA7PO3</t>
  </si>
  <si>
    <t>INE261F08956</t>
  </si>
  <si>
    <t>INE895D08899</t>
  </si>
  <si>
    <r>
      <t>Franklin India Fixed Maturity Plans - Series 3 - P</t>
    </r>
    <r>
      <rPr>
        <b/>
        <sz val="8"/>
        <color theme="1"/>
        <rFont val="Arial"/>
        <family val="2"/>
      </rPr>
      <t>lan D As of -30Aug2019</t>
    </r>
  </si>
  <si>
    <t>INE916DA7PI5</t>
  </si>
  <si>
    <r>
      <t>Franklin India Fixed Maturity Plans - Series 3 - P</t>
    </r>
    <r>
      <rPr>
        <b/>
        <sz val="8"/>
        <color theme="1"/>
        <rFont val="Arial"/>
        <family val="2"/>
      </rPr>
      <t>lan C As of -30Aug2019</t>
    </r>
  </si>
  <si>
    <t>INE134E08JK6</t>
  </si>
  <si>
    <t>INE556F08JA8</t>
  </si>
  <si>
    <t>INE020B08AR7</t>
  </si>
  <si>
    <t>INE752E07GX6</t>
  </si>
  <si>
    <t>INE895D08881</t>
  </si>
  <si>
    <r>
      <t>Franklin India Fixed Maturity Plans - Series 3 - P</t>
    </r>
    <r>
      <rPr>
        <b/>
        <sz val="8"/>
        <color theme="1"/>
        <rFont val="Arial"/>
        <family val="2"/>
      </rPr>
      <t>lan B As of -30Aug2019</t>
    </r>
  </si>
  <si>
    <t>INE296A07QB7</t>
  </si>
  <si>
    <r>
      <t xml:space="preserve">Franklin India Fixed Maturity Plans-Series 3-Plan </t>
    </r>
    <r>
      <rPr>
        <b/>
        <sz val="8"/>
        <color theme="1"/>
        <rFont val="Arial"/>
        <family val="2"/>
      </rPr>
      <t>A As of -30Aug2019</t>
    </r>
  </si>
  <si>
    <t>INE115A07AL2</t>
  </si>
  <si>
    <t>INE031A08541</t>
  </si>
  <si>
    <r>
      <t>Franklin India Fixed Maturity Plans – Series 2 – P</t>
    </r>
    <r>
      <rPr>
        <b/>
        <sz val="8"/>
        <color theme="1"/>
        <rFont val="Arial"/>
        <family val="2"/>
      </rPr>
      <t>lan C As of -30Aug2019</t>
    </r>
  </si>
  <si>
    <t>INE756I07BU5</t>
  </si>
  <si>
    <r>
      <t>Franklin India Fixed Maturity Plans – Series 2 – P</t>
    </r>
    <r>
      <rPr>
        <b/>
        <sz val="8"/>
        <color theme="1"/>
        <rFont val="Arial"/>
        <family val="2"/>
      </rPr>
      <t>lan B As of -30Aug2019</t>
    </r>
  </si>
  <si>
    <t>INE477A07274</t>
  </si>
  <si>
    <t>INE115A07JB4</t>
  </si>
  <si>
    <t>INE895D08725</t>
  </si>
  <si>
    <t xml:space="preserve">Dividend Plan </t>
  </si>
  <si>
    <r>
      <t>Franklin India Fixed Maturity Plans - Series 2 - P</t>
    </r>
    <r>
      <rPr>
        <b/>
        <sz val="8"/>
        <color theme="1"/>
        <rFont val="Arial"/>
        <family val="2"/>
      </rPr>
      <t>lan A As of -30Aug2019</t>
    </r>
  </si>
  <si>
    <t>INE733E07JZ5</t>
  </si>
  <si>
    <t>INE134E07505</t>
  </si>
  <si>
    <t>INE537P07117</t>
  </si>
  <si>
    <t>INE235P07167</t>
  </si>
  <si>
    <t>INE848E07419</t>
  </si>
  <si>
    <t>INE752E07ER3</t>
  </si>
  <si>
    <t>INE514E08951</t>
  </si>
  <si>
    <t>INE514E08928</t>
  </si>
  <si>
    <t>INE115A07LK1</t>
  </si>
  <si>
    <r>
      <t>Franklin India Fixed Maturity Plans - Series 1 - P</t>
    </r>
    <r>
      <rPr>
        <b/>
        <sz val="8"/>
        <color theme="1"/>
        <rFont val="Arial"/>
        <family val="2"/>
      </rPr>
      <t>lan B As of -30Aug2019</t>
    </r>
  </si>
  <si>
    <t>INE733E07CF2</t>
  </si>
  <si>
    <t>INE134E08GX5</t>
  </si>
  <si>
    <t>INE053F07959</t>
  </si>
  <si>
    <t>Quarterly Direct Dividend Plan</t>
  </si>
  <si>
    <r>
      <t>Franklin India Fixed Maturity Plans – Series 1 – P</t>
    </r>
    <r>
      <rPr>
        <b/>
        <sz val="8"/>
        <color theme="1"/>
        <rFont val="Arial"/>
        <family val="2"/>
      </rPr>
      <t>lan A As of -30Aug2019</t>
    </r>
  </si>
  <si>
    <t>Franklin India Pension Plan As of -30Aug2019</t>
  </si>
  <si>
    <t>Industry/Rating</t>
  </si>
  <si>
    <t>INE062A08124</t>
  </si>
  <si>
    <t>INE146O08035</t>
  </si>
  <si>
    <t>INE053F07AC3</t>
  </si>
  <si>
    <t>INE245A08067</t>
  </si>
  <si>
    <t>Franklin India Debt Hybrid Fund As of -30Aug2019</t>
  </si>
  <si>
    <t>INE434A09149</t>
  </si>
  <si>
    <t>INE528G09061</t>
  </si>
  <si>
    <t>Franklin India Equity Hybrid Fund As of -30Aug2019</t>
  </si>
  <si>
    <t>Hotels/ Resorts And Other Recreational Activities</t>
  </si>
  <si>
    <t xml:space="preserve">(c) Real Eastate Investment Trusts (REITs) </t>
  </si>
  <si>
    <t>INE020B08740</t>
  </si>
  <si>
    <t>INE265J07282</t>
  </si>
  <si>
    <t>c) Average Maturity as on 31-Jul-2019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</si>
</sst>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_(* #,##0.00_);_(* \(#,##0.00\);_(* &quot;-&quot;??_);_(@_)"/>
    <numFmt numFmtId="165" formatCode="0.0000"/>
    <numFmt numFmtId="166" formatCode="_(* #,##0_);_(* \(#,##0\);_(* &quot;-&quot;??_);_(@_)"/>
    <numFmt numFmtId="167" formatCode="_-* #,##0.00_-;\-* #,##0.00_-;_-* &quot;-&quot;??_-;_-@_-"/>
    <numFmt numFmtId="168" formatCode="_-* #,##0_-;\-* #,##0_-;_-* &quot;-&quot;??_-;_-@_-"/>
    <numFmt numFmtId="169" formatCode="_(* #,##0.0000_);_(* \(#,##0.0000\);_(* &quot;-&quot;??_);_(@_)"/>
    <numFmt numFmtId="170" formatCode="0.0000%"/>
    <numFmt numFmtId="171" formatCode="_ * #,##0.0000_ ;_ * \-#,##0.0000_ ;_ * &quot;-&quot;??_ ;_ @_ "/>
  </numFmts>
  <fonts count="12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i/>
      <u/>
      <sz val="11"/>
      <color rgb="FF7F7F7F"/>
      <name val="Calibri"/>
      <family val="2"/>
      <scheme val="minor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164" fontId="4" fillId="0" borderId="0" applyFont="0" applyFill="0" applyBorder="0" applyAlignment="0" applyProtection="0"/>
    <xf numFmtId="0" fontId="6" fillId="0" borderId="0"/>
    <xf numFmtId="0" fontId="5" fillId="3" borderId="4"/>
    <xf numFmtId="43" fontId="4" fillId="0" borderId="0" applyFont="0" applyFill="0" applyBorder="0" applyAlignment="0" applyProtection="0"/>
    <xf numFmtId="0" fontId="4" fillId="0" borderId="0"/>
    <xf numFmtId="0" fontId="9" fillId="0" borderId="0"/>
    <xf numFmtId="9" fontId="4" fillId="0" borderId="0" applyFont="0" applyFill="0" applyBorder="0" applyAlignment="0" applyProtection="0"/>
  </cellStyleXfs>
  <cellXfs count="113">
    <xf numFmtId="0" fontId="0" fillId="0" borderId="0" xfId="0"/>
    <xf numFmtId="2" fontId="2" fillId="0" borderId="0" xfId="0" applyNumberFormat="1" applyFont="1"/>
    <xf numFmtId="0" fontId="2" fillId="0" borderId="0" xfId="0" applyFont="1"/>
    <xf numFmtId="2" fontId="3" fillId="0" borderId="1" xfId="0" applyNumberFormat="1" applyFont="1" applyBorder="1"/>
    <xf numFmtId="0" fontId="3" fillId="0" borderId="0" xfId="0" applyFont="1"/>
    <xf numFmtId="2" fontId="2" fillId="0" borderId="3" xfId="0" applyNumberFormat="1" applyFont="1" applyBorder="1"/>
    <xf numFmtId="2" fontId="3" fillId="0" borderId="2" xfId="0" applyNumberFormat="1" applyFont="1" applyBorder="1"/>
    <xf numFmtId="2" fontId="2" fillId="0" borderId="2" xfId="0" applyNumberFormat="1" applyFont="1" applyBorder="1"/>
    <xf numFmtId="2" fontId="3" fillId="0" borderId="3" xfId="0" applyNumberFormat="1" applyFont="1" applyBorder="1"/>
    <xf numFmtId="2" fontId="3" fillId="0" borderId="0" xfId="0" applyNumberFormat="1" applyFont="1"/>
    <xf numFmtId="165" fontId="2" fillId="0" borderId="0" xfId="0" applyNumberFormat="1" applyFont="1"/>
    <xf numFmtId="2" fontId="2" fillId="0" borderId="0" xfId="0" applyNumberFormat="1" applyFont="1" applyAlignment="1">
      <alignment horizontal="right"/>
    </xf>
    <xf numFmtId="164" fontId="3" fillId="0" borderId="1" xfId="1" applyFont="1" applyBorder="1"/>
    <xf numFmtId="164" fontId="2" fillId="0" borderId="3" xfId="1" applyFont="1" applyBorder="1"/>
    <xf numFmtId="164" fontId="2" fillId="0" borderId="2" xfId="1" applyFont="1" applyBorder="1"/>
    <xf numFmtId="164" fontId="2" fillId="0" borderId="0" xfId="1" applyFont="1"/>
    <xf numFmtId="166" fontId="3" fillId="0" borderId="1" xfId="1" applyNumberFormat="1" applyFont="1" applyBorder="1"/>
    <xf numFmtId="166" fontId="2" fillId="0" borderId="3" xfId="1" applyNumberFormat="1" applyFont="1" applyBorder="1"/>
    <xf numFmtId="166" fontId="2" fillId="0" borderId="2" xfId="1" applyNumberFormat="1" applyFont="1" applyBorder="1"/>
    <xf numFmtId="166" fontId="2" fillId="0" borderId="0" xfId="1" applyNumberFormat="1" applyFont="1"/>
    <xf numFmtId="164" fontId="3" fillId="0" borderId="2" xfId="1" applyFont="1" applyBorder="1"/>
    <xf numFmtId="164" fontId="3" fillId="0" borderId="3" xfId="1" applyFont="1" applyBorder="1"/>
    <xf numFmtId="0" fontId="7" fillId="0" borderId="2" xfId="0" applyNumberFormat="1" applyFont="1" applyFill="1" applyBorder="1"/>
    <xf numFmtId="3" fontId="7" fillId="0" borderId="2" xfId="0" applyNumberFormat="1" applyFont="1" applyFill="1" applyBorder="1"/>
    <xf numFmtId="164" fontId="7" fillId="0" borderId="2" xfId="1" applyFont="1" applyFill="1" applyBorder="1"/>
    <xf numFmtId="164" fontId="8" fillId="0" borderId="2" xfId="0" applyNumberFormat="1" applyFont="1" applyFill="1" applyBorder="1"/>
    <xf numFmtId="2" fontId="3" fillId="0" borderId="2" xfId="0" applyNumberFormat="1" applyFont="1" applyFill="1" applyBorder="1"/>
    <xf numFmtId="2" fontId="2" fillId="0" borderId="2" xfId="0" applyNumberFormat="1" applyFont="1" applyFill="1" applyBorder="1"/>
    <xf numFmtId="2" fontId="2" fillId="4" borderId="2" xfId="0" applyNumberFormat="1" applyFont="1" applyFill="1" applyBorder="1"/>
    <xf numFmtId="166" fontId="2" fillId="0" borderId="2" xfId="1" applyNumberFormat="1" applyFont="1" applyFill="1" applyBorder="1"/>
    <xf numFmtId="164" fontId="2" fillId="0" borderId="2" xfId="1" applyFont="1" applyFill="1" applyBorder="1"/>
    <xf numFmtId="0" fontId="2" fillId="0" borderId="0" xfId="0" applyFont="1" applyFill="1"/>
    <xf numFmtId="164" fontId="2" fillId="0" borderId="2" xfId="1" applyFont="1" applyFill="1" applyBorder="1" applyAlignment="1">
      <alignment horizontal="right"/>
    </xf>
    <xf numFmtId="4" fontId="2" fillId="0" borderId="2" xfId="0" applyNumberFormat="1" applyFont="1" applyBorder="1" applyAlignment="1">
      <alignment horizontal="right"/>
    </xf>
    <xf numFmtId="4" fontId="3" fillId="0" borderId="2" xfId="0" applyNumberFormat="1" applyFont="1" applyBorder="1"/>
    <xf numFmtId="167" fontId="2" fillId="0" borderId="2" xfId="0" applyNumberFormat="1" applyFont="1" applyBorder="1" applyAlignment="1">
      <alignment horizontal="right"/>
    </xf>
    <xf numFmtId="164" fontId="3" fillId="0" borderId="2" xfId="1" applyFont="1" applyFill="1" applyBorder="1"/>
    <xf numFmtId="2" fontId="2" fillId="0" borderId="0" xfId="0" applyNumberFormat="1" applyFont="1" applyBorder="1"/>
    <xf numFmtId="0" fontId="3" fillId="0" borderId="2" xfId="0" applyFont="1" applyBorder="1"/>
    <xf numFmtId="0" fontId="2" fillId="0" borderId="2" xfId="0" applyFont="1" applyBorder="1"/>
    <xf numFmtId="0" fontId="2" fillId="0" borderId="2" xfId="0" applyFont="1" applyBorder="1" applyAlignment="1">
      <alignment horizontal="left"/>
    </xf>
    <xf numFmtId="168" fontId="2" fillId="0" borderId="2" xfId="4" applyNumberFormat="1" applyFont="1" applyBorder="1" applyAlignment="1">
      <alignment horizontal="right"/>
    </xf>
    <xf numFmtId="43" fontId="3" fillId="0" borderId="2" xfId="4" applyFont="1" applyBorder="1" applyAlignment="1">
      <alignment horizontal="right"/>
    </xf>
    <xf numFmtId="43" fontId="2" fillId="0" borderId="2" xfId="4" applyFont="1" applyBorder="1" applyAlignment="1">
      <alignment horizontal="right"/>
    </xf>
    <xf numFmtId="0" fontId="2" fillId="0" borderId="0" xfId="0" applyFont="1" applyAlignment="1">
      <alignment horizontal="right"/>
    </xf>
    <xf numFmtId="0" fontId="3" fillId="0" borderId="5" xfId="5" applyFont="1" applyBorder="1"/>
    <xf numFmtId="0" fontId="2" fillId="0" borderId="6" xfId="5" applyFont="1" applyBorder="1"/>
    <xf numFmtId="0" fontId="3" fillId="0" borderId="7" xfId="5" applyFont="1" applyBorder="1" applyAlignment="1">
      <alignment horizontal="center"/>
    </xf>
    <xf numFmtId="0" fontId="10" fillId="0" borderId="5" xfId="6" applyFont="1" applyBorder="1" applyAlignment="1">
      <alignment vertical="center"/>
    </xf>
    <xf numFmtId="0" fontId="10" fillId="0" borderId="6" xfId="6" applyFont="1" applyBorder="1" applyAlignment="1">
      <alignment vertical="center"/>
    </xf>
    <xf numFmtId="169" fontId="10" fillId="0" borderId="3" xfId="6" applyNumberFormat="1" applyFont="1" applyBorder="1"/>
    <xf numFmtId="10" fontId="2" fillId="0" borderId="0" xfId="0" applyNumberFormat="1" applyFont="1"/>
    <xf numFmtId="0" fontId="11" fillId="0" borderId="0" xfId="0" applyFont="1"/>
    <xf numFmtId="4" fontId="2" fillId="0" borderId="0" xfId="0" applyNumberFormat="1" applyFont="1"/>
    <xf numFmtId="169" fontId="10" fillId="0" borderId="7" xfId="6" applyNumberFormat="1" applyFont="1" applyBorder="1"/>
    <xf numFmtId="2" fontId="3" fillId="0" borderId="0" xfId="0" applyNumberFormat="1" applyFont="1" applyBorder="1"/>
    <xf numFmtId="166" fontId="2" fillId="0" borderId="0" xfId="1" applyNumberFormat="1" applyFont="1" applyBorder="1"/>
    <xf numFmtId="164" fontId="3" fillId="0" borderId="0" xfId="1" applyFont="1" applyBorder="1"/>
    <xf numFmtId="166" fontId="2" fillId="4" borderId="2" xfId="1" applyNumberFormat="1" applyFont="1" applyFill="1" applyBorder="1"/>
    <xf numFmtId="164" fontId="2" fillId="4" borderId="2" xfId="1" applyFont="1" applyFill="1" applyBorder="1"/>
    <xf numFmtId="0" fontId="7" fillId="0" borderId="0" xfId="0" applyFont="1" applyAlignment="1">
      <alignment horizontal="left"/>
    </xf>
    <xf numFmtId="2" fontId="2" fillId="0" borderId="2" xfId="0" applyNumberFormat="1" applyFont="1" applyBorder="1" applyAlignment="1">
      <alignment wrapText="1"/>
    </xf>
    <xf numFmtId="0" fontId="10" fillId="0" borderId="5" xfId="6" applyFont="1" applyBorder="1" applyAlignment="1">
      <alignment horizontal="left"/>
    </xf>
    <xf numFmtId="0" fontId="10" fillId="0" borderId="6" xfId="6" applyFont="1" applyBorder="1" applyAlignment="1">
      <alignment horizontal="left"/>
    </xf>
    <xf numFmtId="0" fontId="3" fillId="0" borderId="1" xfId="0" applyFont="1" applyBorder="1"/>
    <xf numFmtId="43" fontId="3" fillId="0" borderId="1" xfId="4" applyFont="1" applyBorder="1"/>
    <xf numFmtId="0" fontId="2" fillId="0" borderId="3" xfId="0" applyFont="1" applyBorder="1"/>
    <xf numFmtId="43" fontId="2" fillId="0" borderId="3" xfId="4" applyFont="1" applyBorder="1"/>
    <xf numFmtId="43" fontId="2" fillId="0" borderId="2" xfId="4" applyFont="1" applyBorder="1"/>
    <xf numFmtId="43" fontId="3" fillId="0" borderId="2" xfId="4" applyFont="1" applyBorder="1"/>
    <xf numFmtId="170" fontId="2" fillId="0" borderId="0" xfId="0" applyNumberFormat="1" applyFont="1"/>
    <xf numFmtId="0" fontId="3" fillId="0" borderId="3" xfId="0" applyFont="1" applyBorder="1"/>
    <xf numFmtId="43" fontId="3" fillId="0" borderId="3" xfId="4" applyFont="1" applyBorder="1"/>
    <xf numFmtId="43" fontId="2" fillId="0" borderId="0" xfId="4" applyFont="1"/>
    <xf numFmtId="43" fontId="3" fillId="0" borderId="0" xfId="4" applyFont="1"/>
    <xf numFmtId="0" fontId="3" fillId="0" borderId="8" xfId="5" applyFont="1" applyBorder="1"/>
    <xf numFmtId="0" fontId="2" fillId="0" borderId="9" xfId="5" applyFont="1" applyBorder="1"/>
    <xf numFmtId="0" fontId="10" fillId="0" borderId="0" xfId="6" applyFont="1" applyAlignment="1">
      <alignment vertical="center"/>
    </xf>
    <xf numFmtId="169" fontId="10" fillId="0" borderId="0" xfId="6" applyNumberFormat="1" applyFont="1"/>
    <xf numFmtId="0" fontId="3" fillId="0" borderId="7" xfId="5" applyFont="1" applyBorder="1"/>
    <xf numFmtId="0" fontId="2" fillId="0" borderId="7" xfId="5" applyFont="1" applyBorder="1"/>
    <xf numFmtId="4" fontId="2" fillId="0" borderId="2" xfId="0" applyNumberFormat="1" applyFont="1" applyBorder="1"/>
    <xf numFmtId="3" fontId="2" fillId="0" borderId="2" xfId="0" applyNumberFormat="1" applyFont="1" applyBorder="1"/>
    <xf numFmtId="0" fontId="2" fillId="0" borderId="12" xfId="0" applyFont="1" applyBorder="1"/>
    <xf numFmtId="2" fontId="3" fillId="0" borderId="5" xfId="5" applyNumberFormat="1" applyFont="1" applyBorder="1"/>
    <xf numFmtId="2" fontId="3" fillId="0" borderId="6" xfId="5" applyNumberFormat="1" applyFont="1" applyBorder="1"/>
    <xf numFmtId="0" fontId="10" fillId="0" borderId="5" xfId="6" applyFont="1" applyBorder="1"/>
    <xf numFmtId="0" fontId="10" fillId="0" borderId="6" xfId="6" applyFont="1" applyBorder="1"/>
    <xf numFmtId="165" fontId="2" fillId="0" borderId="0" xfId="0" applyNumberFormat="1" applyFont="1" applyAlignment="1">
      <alignment horizontal="right"/>
    </xf>
    <xf numFmtId="169" fontId="2" fillId="0" borderId="3" xfId="4" applyNumberFormat="1" applyFont="1" applyBorder="1" applyAlignment="1">
      <alignment horizontal="center"/>
    </xf>
    <xf numFmtId="43" fontId="2" fillId="0" borderId="3" xfId="4" applyFont="1" applyBorder="1" applyAlignment="1">
      <alignment horizontal="center"/>
    </xf>
    <xf numFmtId="0" fontId="10" fillId="0" borderId="0" xfId="6" applyFont="1" applyAlignment="1">
      <alignment horizontal="left"/>
    </xf>
    <xf numFmtId="165" fontId="2" fillId="0" borderId="0" xfId="5" applyNumberFormat="1" applyFont="1" applyAlignment="1">
      <alignment horizontal="center"/>
    </xf>
    <xf numFmtId="0" fontId="2" fillId="0" borderId="13" xfId="0" applyFont="1" applyBorder="1"/>
    <xf numFmtId="0" fontId="3" fillId="0" borderId="0" xfId="0" applyFont="1" applyAlignment="1">
      <alignment horizontal="right"/>
    </xf>
    <xf numFmtId="171" fontId="2" fillId="0" borderId="3" xfId="4" applyNumberFormat="1" applyFont="1" applyBorder="1" applyAlignment="1">
      <alignment horizontal="center"/>
    </xf>
    <xf numFmtId="0" fontId="2" fillId="0" borderId="2" xfId="4" applyNumberFormat="1" applyFont="1" applyBorder="1" applyAlignment="1">
      <alignment horizontal="right"/>
    </xf>
    <xf numFmtId="4" fontId="2" fillId="0" borderId="2" xfId="4" applyNumberFormat="1" applyFont="1" applyBorder="1" applyAlignment="1">
      <alignment horizontal="right"/>
    </xf>
    <xf numFmtId="10" fontId="2" fillId="0" borderId="0" xfId="7" applyNumberFormat="1" applyFont="1"/>
    <xf numFmtId="2" fontId="1" fillId="2" borderId="0" xfId="0" applyNumberFormat="1" applyFont="1" applyFill="1" applyAlignment="1">
      <alignment horizontal="center"/>
    </xf>
    <xf numFmtId="2" fontId="3" fillId="0" borderId="5" xfId="5" applyNumberFormat="1" applyFont="1" applyBorder="1" applyAlignment="1">
      <alignment horizontal="center"/>
    </xf>
    <xf numFmtId="2" fontId="3" fillId="0" borderId="6" xfId="5" applyNumberFormat="1" applyFont="1" applyBorder="1" applyAlignment="1">
      <alignment horizontal="center"/>
    </xf>
    <xf numFmtId="0" fontId="10" fillId="0" borderId="5" xfId="6" applyFont="1" applyBorder="1" applyAlignment="1">
      <alignment horizontal="left"/>
    </xf>
    <xf numFmtId="0" fontId="10" fillId="0" borderId="6" xfId="6" applyFont="1" applyBorder="1" applyAlignment="1">
      <alignment horizontal="left"/>
    </xf>
    <xf numFmtId="2" fontId="3" fillId="0" borderId="1" xfId="0" applyNumberFormat="1" applyFont="1" applyBorder="1" applyAlignment="1">
      <alignment horizontal="left" vertical="top" wrapText="1"/>
    </xf>
    <xf numFmtId="2" fontId="3" fillId="0" borderId="3" xfId="0" applyNumberFormat="1" applyFont="1" applyBorder="1" applyAlignment="1">
      <alignment horizontal="left" vertical="top" wrapText="1"/>
    </xf>
    <xf numFmtId="0" fontId="3" fillId="0" borderId="5" xfId="5" applyFont="1" applyBorder="1" applyAlignment="1">
      <alignment horizontal="left"/>
    </xf>
    <xf numFmtId="0" fontId="3" fillId="0" borderId="6" xfId="5" applyFont="1" applyBorder="1" applyAlignment="1">
      <alignment horizontal="left"/>
    </xf>
    <xf numFmtId="0" fontId="1" fillId="2" borderId="0" xfId="0" applyFont="1" applyFill="1" applyAlignment="1">
      <alignment horizontal="center"/>
    </xf>
    <xf numFmtId="2" fontId="3" fillId="0" borderId="7" xfId="5" applyNumberFormat="1" applyFont="1" applyBorder="1" applyAlignment="1">
      <alignment horizontal="center"/>
    </xf>
    <xf numFmtId="0" fontId="10" fillId="0" borderId="7" xfId="6" applyFont="1" applyBorder="1" applyAlignment="1">
      <alignment horizontal="left"/>
    </xf>
    <xf numFmtId="0" fontId="10" fillId="0" borderId="10" xfId="6" applyFont="1" applyBorder="1" applyAlignment="1">
      <alignment horizontal="left"/>
    </xf>
    <xf numFmtId="0" fontId="10" fillId="0" borderId="11" xfId="6" applyFont="1" applyBorder="1" applyAlignment="1">
      <alignment horizontal="left"/>
    </xf>
  </cellXfs>
  <cellStyles count="8">
    <cellStyle name="Comma" xfId="1" builtinId="3"/>
    <cellStyle name="Comma 3" xfId="4" xr:uid="{A32E1F68-C131-4D6F-B86C-69838234E804}"/>
    <cellStyle name="Normal" xfId="0" builtinId="0"/>
    <cellStyle name="Normal 2" xfId="6" xr:uid="{E3972FAC-932F-4CDD-A8C1-9800F4C23BCC}"/>
    <cellStyle name="Normal 3" xfId="5" xr:uid="{8A7A5842-7BD8-4ABC-B281-440981D437CB}"/>
    <cellStyle name="Percent" xfId="7" builtinId="5"/>
    <cellStyle name="SK Argument Label" xfId="2" xr:uid="{6B0BFDED-63B0-4BD4-89CB-F5CE56CE642E}"/>
    <cellStyle name="SK Argument Value" xfId="3" xr:uid="{4E65A8E6-16AD-4B7F-A11D-47ED59A394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ND/SEBI%20Reports/2019-2020/Aug/ISIN/Traded/ISIN%20Aug%202019%20Trad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nds"/>
      <sheetName val="Sheet5"/>
      <sheetName val="CPCD"/>
      <sheetName val="India PM Report"/>
      <sheetName val="Sheet6"/>
      <sheetName val="CRISIL&amp;ICRA Traded"/>
      <sheetName val="changes done"/>
      <sheetName val="SM master"/>
      <sheetName val="Sheet3"/>
      <sheetName val="Sheet4"/>
      <sheetName val="Debt Denomination"/>
      <sheetName val="Sheet1"/>
      <sheetName val="Sheet2"/>
    </sheetNames>
    <sheetDataSet>
      <sheetData sheetId="0">
        <row r="1">
          <cell r="B1" t="str">
            <v>tradesys.sm.isin</v>
          </cell>
          <cell r="C1" t="str">
            <v>tradesys.sm.sectype</v>
          </cell>
          <cell r="D1" t="str">
            <v>tradesys.sm.issue1</v>
          </cell>
          <cell r="E1" t="str">
            <v>tradesys.sm.issue2</v>
          </cell>
          <cell r="F1" t="str">
            <v>Maturity Date</v>
          </cell>
          <cell r="I1" t="str">
            <v>Final Name</v>
          </cell>
          <cell r="J1" t="str">
            <v>Names</v>
          </cell>
          <cell r="K1" t="str">
            <v>Traded</v>
          </cell>
        </row>
        <row r="2">
          <cell r="B2" t="str">
            <v>INE146O08050</v>
          </cell>
          <cell r="C2" t="str">
            <v>CRPN</v>
          </cell>
          <cell r="D2" t="str">
            <v xml:space="preserve">HINDUJA LEYLAND FINANCE LTD                     </v>
          </cell>
          <cell r="E2" t="str">
            <v xml:space="preserve">12.4% HINDUJA LEYLAND FINANCE LTD (26-APR-2020) </v>
          </cell>
          <cell r="F2">
            <v>43947</v>
          </cell>
          <cell r="G2" t="str">
            <v>12.40</v>
          </cell>
          <cell r="H2" t="str">
            <v>26-Apr-2020</v>
          </cell>
          <cell r="I2" t="str">
            <v>12.40% HINDUJA LEYLAND FINANCE LTD (26-Apr-2020)</v>
          </cell>
          <cell r="J2" t="str">
            <v>12.40% Hinduja Leyland Finance Ltd (26-Apr-2020)</v>
          </cell>
          <cell r="K2" t="str">
            <v>12.40% Hinduja Leyland Finance Ltd (26-Apr-2020) **</v>
          </cell>
        </row>
        <row r="3">
          <cell r="B3" t="str">
            <v>INE146O08043</v>
          </cell>
          <cell r="C3" t="str">
            <v>CRPN</v>
          </cell>
          <cell r="D3" t="str">
            <v xml:space="preserve">HINDUJA LEYLAND FINANCE LTD                     </v>
          </cell>
          <cell r="E3" t="str">
            <v xml:space="preserve">12.4% HINDUJA LEYLAND FINANCE LTD (03-APR-2020) </v>
          </cell>
          <cell r="F3">
            <v>43924</v>
          </cell>
          <cell r="G3" t="str">
            <v>12.40</v>
          </cell>
          <cell r="H3" t="str">
            <v>03-Apr-2020</v>
          </cell>
          <cell r="I3" t="str">
            <v>12.40% HINDUJA LEYLAND FINANCE LTD (03-Apr-2020)</v>
          </cell>
          <cell r="J3" t="str">
            <v>12.40% Hinduja Leyland Finance Ltd (03-Apr-2020)</v>
          </cell>
          <cell r="K3" t="str">
            <v>12.40% Hinduja Leyland Finance Ltd (03-Apr-2020) **</v>
          </cell>
        </row>
        <row r="4">
          <cell r="B4" t="str">
            <v>INE146O08035</v>
          </cell>
          <cell r="C4" t="str">
            <v>CRPN</v>
          </cell>
          <cell r="D4" t="str">
            <v xml:space="preserve">HINDUJA LEYLAND FINANCE LTD                     </v>
          </cell>
          <cell r="E4" t="str">
            <v xml:space="preserve">12.4% HINDUJA LEYLAND FINANCE LTD (03-NOV-2019) </v>
          </cell>
          <cell r="F4">
            <v>43772</v>
          </cell>
          <cell r="G4" t="str">
            <v>12.40</v>
          </cell>
          <cell r="H4" t="str">
            <v>03-Nov-2019</v>
          </cell>
          <cell r="I4" t="str">
            <v>12.40% HINDUJA LEYLAND FINANCE LTD (03-Nov-2019)</v>
          </cell>
          <cell r="J4" t="str">
            <v>12.40% Hinduja Leyland Finance Ltd (03-Nov-2019)</v>
          </cell>
          <cell r="K4" t="str">
            <v>12.40% Hinduja Leyland Finance Ltd (03-Nov-2019) **</v>
          </cell>
        </row>
        <row r="5">
          <cell r="B5" t="str">
            <v>INE146O08027</v>
          </cell>
          <cell r="C5" t="str">
            <v>CRPN</v>
          </cell>
          <cell r="D5" t="str">
            <v xml:space="preserve">HINDUJA LEYLAND FINANCE LTD                     </v>
          </cell>
          <cell r="E5" t="str">
            <v xml:space="preserve">12.00% HINDUJA LEYLAND SD (28MAR2021)           </v>
          </cell>
          <cell r="F5">
            <v>44283</v>
          </cell>
          <cell r="G5" t="str">
            <v>12.00</v>
          </cell>
          <cell r="H5" t="str">
            <v>28-Mar-2021</v>
          </cell>
          <cell r="I5" t="str">
            <v>12.00% HINDUJA LEYLAND FINANCE LTD (28-Mar-2021)</v>
          </cell>
          <cell r="J5" t="str">
            <v>12.00% Hinduja Leyland Finance Ltd (28-Mar-2021)</v>
          </cell>
          <cell r="K5" t="str">
            <v>12.00% Hinduja Leyland Finance Ltd (28-Mar-2021) **</v>
          </cell>
        </row>
        <row r="6">
          <cell r="B6" t="str">
            <v>INE752E07LT4</v>
          </cell>
          <cell r="C6" t="str">
            <v>CRPN</v>
          </cell>
          <cell r="D6" t="str">
            <v xml:space="preserve">POWER GRID CORP OF INDIA LTD                    </v>
          </cell>
          <cell r="E6" t="str">
            <v xml:space="preserve">8.93% PGC (20OCT2019)                           </v>
          </cell>
          <cell r="F6">
            <v>43758</v>
          </cell>
          <cell r="G6">
            <v>8.93</v>
          </cell>
          <cell r="H6" t="str">
            <v>20-Oct-2019</v>
          </cell>
          <cell r="I6" t="str">
            <v>8.93% POWER GRID CORP OF INDIA LTD (20-Oct-2019)</v>
          </cell>
          <cell r="J6" t="str">
            <v>8.93% Power Grid Corp Of India Ltd (20-Oct-2019)</v>
          </cell>
          <cell r="K6" t="str">
            <v>8.93% Power Grid Corp Of India Ltd (20-Oct-2019) **</v>
          </cell>
        </row>
        <row r="7">
          <cell r="B7" t="str">
            <v>INE720G08074</v>
          </cell>
          <cell r="C7" t="str">
            <v>CFLT</v>
          </cell>
          <cell r="D7" t="str">
            <v xml:space="preserve">JINDAL POWER LTD                                </v>
          </cell>
          <cell r="E7" t="str">
            <v xml:space="preserve">9.65% JPL (SBI+100 BPS) 20DEC2019               </v>
          </cell>
          <cell r="F7">
            <v>43819</v>
          </cell>
          <cell r="H7" t="str">
            <v>20-Dec-2019</v>
          </cell>
          <cell r="I7" t="str">
            <v>JINDAL POWER LTD (SBI+100 bps) (20-Dec-2019)</v>
          </cell>
          <cell r="J7" t="str">
            <v>Jindal Power Ltd (Sbi+100 Bps) (20-Dec-2019)</v>
          </cell>
          <cell r="K7" t="str">
            <v>Jindal Power Ltd (Sbi+100 Bps) (20-Dec-2019) **</v>
          </cell>
        </row>
        <row r="8">
          <cell r="B8" t="str">
            <v>INE720G08082</v>
          </cell>
          <cell r="C8" t="str">
            <v>CFLT</v>
          </cell>
          <cell r="D8" t="str">
            <v xml:space="preserve">JINDAL POWER LTD                                </v>
          </cell>
          <cell r="E8" t="str">
            <v xml:space="preserve">9.65% JPL (SBI+100 BPS) 22DEC2020               </v>
          </cell>
          <cell r="F8">
            <v>44187</v>
          </cell>
          <cell r="H8" t="str">
            <v>22-Dec-2020</v>
          </cell>
          <cell r="I8" t="str">
            <v>JINDAL POWER LTD (SBI+100 bps) (22-Dec-2020)</v>
          </cell>
          <cell r="J8" t="str">
            <v>Jindal Power Ltd (Sbi+100 Bps) (22-Dec-2020)</v>
          </cell>
          <cell r="K8" t="str">
            <v>Jindal Power Ltd (Sbi+100 Bps) (22-Dec-2020) **</v>
          </cell>
        </row>
        <row r="9">
          <cell r="B9" t="str">
            <v>INE146O07052</v>
          </cell>
          <cell r="C9" t="str">
            <v>CRPN</v>
          </cell>
          <cell r="D9" t="str">
            <v xml:space="preserve">HINDUJA LEYLAND FINANCE LTD                     </v>
          </cell>
          <cell r="E9" t="str">
            <v xml:space="preserve">10.65% HINDUJA LEYLAND (SERIES 3) 16FEB2020     </v>
          </cell>
          <cell r="F9">
            <v>43877</v>
          </cell>
          <cell r="G9">
            <v>10.65</v>
          </cell>
          <cell r="H9" t="str">
            <v>16-Feb-2020</v>
          </cell>
          <cell r="I9" t="str">
            <v>10.65% HINDUJA LEYLAND FINANCE LTD (16-Feb-2020)</v>
          </cell>
          <cell r="J9" t="str">
            <v>10.65% Hinduja Leyland Finance Ltd (16-Feb-2020)</v>
          </cell>
          <cell r="K9" t="str">
            <v>10.65% Hinduja Leyland Finance Ltd (16-Feb-2020) **</v>
          </cell>
        </row>
        <row r="10">
          <cell r="B10" t="str">
            <v>INE003S07122</v>
          </cell>
          <cell r="C10" t="str">
            <v>CRPN</v>
          </cell>
          <cell r="D10" t="str">
            <v xml:space="preserve">RENEW POWER LIMITED                             </v>
          </cell>
          <cell r="E10" t="str">
            <v xml:space="preserve">13.01% RENEW SERIES VI (23MAR2020)              </v>
          </cell>
          <cell r="F10">
            <v>43913</v>
          </cell>
          <cell r="G10">
            <v>12.29</v>
          </cell>
          <cell r="H10" t="str">
            <v>23-Mar-2020</v>
          </cell>
          <cell r="I10" t="str">
            <v>12.29% RENEW POWER LIMITED (23-Mar-2020)</v>
          </cell>
          <cell r="J10" t="str">
            <v>13.01% Renew Power Ltd., Series VI, (23-Mar-2020)</v>
          </cell>
          <cell r="K10" t="str">
            <v>13.01% Renew Power Ltd., Series VI, (23-Mar-2020) **</v>
          </cell>
        </row>
        <row r="11"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>
            <v>43913</v>
          </cell>
          <cell r="G11">
            <v>12.29</v>
          </cell>
          <cell r="H11" t="str">
            <v>23-Mar-2020</v>
          </cell>
          <cell r="I11" t="e">
            <v>#N/A</v>
          </cell>
          <cell r="J11" t="str">
            <v>13.01% Renew Power Ltd., Series V, (23-Mar-2020)</v>
          </cell>
          <cell r="K11" t="e">
            <v>#N/A</v>
          </cell>
        </row>
        <row r="12"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>
            <v>43913</v>
          </cell>
          <cell r="G12">
            <v>12.29</v>
          </cell>
          <cell r="H12" t="str">
            <v>23-Mar-2020</v>
          </cell>
          <cell r="I12" t="e">
            <v>#N/A</v>
          </cell>
          <cell r="J12" t="str">
            <v>13.01% Renew Power Ltd., Series IV, (23-Mar-2020)</v>
          </cell>
          <cell r="K12" t="e">
            <v>#N/A</v>
          </cell>
        </row>
        <row r="13">
          <cell r="B13" t="str">
            <v>INE003S07098</v>
          </cell>
          <cell r="C13" t="str">
            <v>CRPN</v>
          </cell>
          <cell r="D13" t="str">
            <v xml:space="preserve">RENEW POWER LIMITED                             </v>
          </cell>
          <cell r="E13" t="str">
            <v xml:space="preserve">12.68% RENEW SERIES III 23MAR2020               </v>
          </cell>
          <cell r="F13">
            <v>43913</v>
          </cell>
          <cell r="G13" t="str">
            <v>12.00</v>
          </cell>
          <cell r="H13" t="str">
            <v>23-Mar-2020</v>
          </cell>
          <cell r="I13" t="str">
            <v>12.00% RENEW POWER LIMITED (23-Mar-2020)</v>
          </cell>
          <cell r="J13" t="str">
            <v>12.68% Renew Power Ltd., Series III, (23-Mar-2020)</v>
          </cell>
          <cell r="K13" t="str">
            <v>12.68% Renew Power Ltd., Series III, (23-Mar-2020) **</v>
          </cell>
        </row>
        <row r="14"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>
            <v>43913</v>
          </cell>
          <cell r="G14" t="str">
            <v>12.00</v>
          </cell>
          <cell r="H14" t="str">
            <v>23-Mar-2020</v>
          </cell>
          <cell r="I14" t="e">
            <v>#N/A</v>
          </cell>
          <cell r="J14" t="str">
            <v>12.68% Renew Power Ltd., Series II, (23-Mar-2020)</v>
          </cell>
          <cell r="K14" t="e">
            <v>#N/A</v>
          </cell>
        </row>
        <row r="15">
          <cell r="B15" t="e">
            <v>#N/A</v>
          </cell>
          <cell r="C15" t="e">
            <v>#N/A</v>
          </cell>
          <cell r="D15" t="e">
            <v>#N/A</v>
          </cell>
          <cell r="E15" t="e">
            <v>#N/A</v>
          </cell>
          <cell r="F15">
            <v>43913</v>
          </cell>
          <cell r="G15" t="str">
            <v>12.00</v>
          </cell>
          <cell r="H15" t="str">
            <v>23-Mar-2020</v>
          </cell>
          <cell r="I15" t="e">
            <v>#N/A</v>
          </cell>
          <cell r="J15" t="str">
            <v>12.68% Renew Power Ltd., Series I, (23-Mar-2020)</v>
          </cell>
          <cell r="K15" t="e">
            <v>#N/A</v>
          </cell>
        </row>
        <row r="16">
          <cell r="B16" t="str">
            <v>INE623B07107</v>
          </cell>
          <cell r="C16" t="str">
            <v>CRPN</v>
          </cell>
          <cell r="D16" t="str">
            <v xml:space="preserve">FUTURE ENTERPRISES LTD                          </v>
          </cell>
          <cell r="E16" t="str">
            <v>10.25% FUTURE ENTERPRISE SERIES B 06APR2020 (P/C</v>
          </cell>
          <cell r="F16">
            <v>43927</v>
          </cell>
          <cell r="G16">
            <v>10.25</v>
          </cell>
          <cell r="H16" t="str">
            <v>06-Apr-2020</v>
          </cell>
          <cell r="I16" t="str">
            <v>10.25% FUTURE ENTERPRISES LTD (06-Apr-2020)</v>
          </cell>
          <cell r="J16" t="str">
            <v>10.25% Future Enterprise Ltd, Series B (06-Apr-2020)</v>
          </cell>
          <cell r="K16" t="str">
            <v>10.25% Future Enterprise Ltd, Series B (06-Apr-2020) **</v>
          </cell>
        </row>
        <row r="17">
          <cell r="B17" t="str">
            <v>INE623B07115</v>
          </cell>
          <cell r="C17" t="str">
            <v>CRPN</v>
          </cell>
          <cell r="D17" t="str">
            <v xml:space="preserve">FUTURE ENTERPRISES LTD                          </v>
          </cell>
          <cell r="E17" t="str">
            <v xml:space="preserve">10.25% FUTURE ENTERPRISE SERIES C 06APR2020     </v>
          </cell>
          <cell r="F17">
            <v>43927</v>
          </cell>
          <cell r="G17">
            <v>10.25</v>
          </cell>
          <cell r="H17" t="str">
            <v>06-Apr-2020</v>
          </cell>
          <cell r="I17" t="str">
            <v>10.25% FUTURE ENTERPRISES LTD (06-Apr-2020)</v>
          </cell>
          <cell r="J17" t="str">
            <v>10.25% Future Enterprise Ltd, Series C (06-Apr-2020)</v>
          </cell>
          <cell r="K17" t="str">
            <v>10.25% Future Enterprise Ltd, Series C (06-Apr-2020) **</v>
          </cell>
        </row>
        <row r="18">
          <cell r="B18" t="str">
            <v>INE498F07063</v>
          </cell>
          <cell r="C18" t="str">
            <v>ZERO</v>
          </cell>
          <cell r="D18" t="str">
            <v xml:space="preserve">ESSEL INFRAPROJECTS LTD                         </v>
          </cell>
          <cell r="E18" t="str">
            <v xml:space="preserve">0% ESSEL INFRA 22MAY2020 (P/C 30MAY2018)        </v>
          </cell>
          <cell r="F18">
            <v>43973</v>
          </cell>
          <cell r="G18" t="str">
            <v>0.00</v>
          </cell>
          <cell r="H18" t="str">
            <v>22-May-2020</v>
          </cell>
          <cell r="I18" t="str">
            <v>0.00% ESSEL INFRAPROJECTS LTD (22-May-2020)</v>
          </cell>
          <cell r="J18" t="str">
            <v>0.00% Essel Infraprojects Ltd, Series I (22-May-2020)</v>
          </cell>
          <cell r="K18" t="str">
            <v>0.00% Essel Infraprojects Ltd, Series I (22-May-2020) **</v>
          </cell>
        </row>
        <row r="19">
          <cell r="B19" t="e">
            <v>#N/A</v>
          </cell>
          <cell r="C19" t="e">
            <v>#N/A</v>
          </cell>
          <cell r="D19" t="e">
            <v>#N/A</v>
          </cell>
          <cell r="E19" t="e">
            <v>#N/A</v>
          </cell>
          <cell r="F19">
            <v>43616</v>
          </cell>
          <cell r="G19" t="str">
            <v>11.90</v>
          </cell>
          <cell r="H19" t="str">
            <v>31-May-2019</v>
          </cell>
          <cell r="I19" t="e">
            <v>#N/A</v>
          </cell>
          <cell r="J19" t="e">
            <v>#N/A</v>
          </cell>
          <cell r="K19" t="e">
            <v>#N/A</v>
          </cell>
        </row>
        <row r="20">
          <cell r="B20" t="str">
            <v>INE840S07085</v>
          </cell>
          <cell r="C20" t="str">
            <v>CRPN</v>
          </cell>
          <cell r="D20" t="str">
            <v xml:space="preserve">RIVAAZ TRADE VENTURES PVT LTD                   </v>
          </cell>
          <cell r="E20" t="str">
            <v xml:space="preserve">11.90 RIVAAZ SERIES H (30NOV2019)               </v>
          </cell>
          <cell r="F20">
            <v>43799</v>
          </cell>
          <cell r="G20" t="str">
            <v>11.90</v>
          </cell>
          <cell r="H20" t="str">
            <v>30-Nov-2019</v>
          </cell>
          <cell r="I20" t="str">
            <v>11.90% RIVAAZ TRADE VENTURES PVT LTD (30-Nov-2019)</v>
          </cell>
          <cell r="J20" t="str">
            <v>11.90% Rivaaz Trade Ventures Pvt Ltd (30-Nov-2019)</v>
          </cell>
          <cell r="K20" t="str">
            <v>11.90% Rivaaz Trade Ventures Pvt Ltd (30-Nov-2019) **</v>
          </cell>
        </row>
        <row r="21">
          <cell r="B21" t="str">
            <v>INE840S07093</v>
          </cell>
          <cell r="C21" t="str">
            <v>CRPN</v>
          </cell>
          <cell r="D21" t="str">
            <v xml:space="preserve">RIVAAZ TRADE VENTURES PVT LTD                   </v>
          </cell>
          <cell r="E21" t="str">
            <v xml:space="preserve">11.90 RIVAAZ SERIES I (11MAY2020)               </v>
          </cell>
          <cell r="F21">
            <v>43962</v>
          </cell>
          <cell r="G21" t="str">
            <v>11.90</v>
          </cell>
          <cell r="H21" t="str">
            <v>11-May-2020</v>
          </cell>
          <cell r="I21" t="str">
            <v>11.90% RIVAAZ TRADE VENTURES PVT LTD (11-May-2020)</v>
          </cell>
          <cell r="J21" t="str">
            <v>11.90% Rivaaz Trade Ventures Pvt Ltd (11-May-2020)</v>
          </cell>
          <cell r="K21" t="str">
            <v>11.90% Rivaaz Trade Ventures Pvt Ltd (11-May-2020) **</v>
          </cell>
        </row>
        <row r="22">
          <cell r="B22" t="e">
            <v>#N/A</v>
          </cell>
          <cell r="C22" t="e">
            <v>#N/A</v>
          </cell>
          <cell r="D22" t="e">
            <v>#N/A</v>
          </cell>
          <cell r="E22" t="e">
            <v>#N/A</v>
          </cell>
          <cell r="F22">
            <v>43598</v>
          </cell>
          <cell r="G22" t="str">
            <v>9.50</v>
          </cell>
          <cell r="H22" t="str">
            <v>13-May-2019</v>
          </cell>
          <cell r="I22" t="e">
            <v>#N/A</v>
          </cell>
          <cell r="J22" t="e">
            <v>#N/A</v>
          </cell>
          <cell r="K22" t="e">
            <v>#N/A</v>
          </cell>
        </row>
        <row r="23">
          <cell r="B23" t="e">
            <v>#N/A</v>
          </cell>
          <cell r="C23" t="e">
            <v>#N/A</v>
          </cell>
          <cell r="D23" t="e">
            <v>#N/A</v>
          </cell>
          <cell r="E23" t="e">
            <v>#N/A</v>
          </cell>
          <cell r="F23">
            <v>43616</v>
          </cell>
          <cell r="G23">
            <v>12.15</v>
          </cell>
          <cell r="H23" t="str">
            <v>31-May-2019</v>
          </cell>
          <cell r="I23" t="e">
            <v>#N/A</v>
          </cell>
          <cell r="J23" t="e">
            <v>#N/A</v>
          </cell>
          <cell r="K23" t="e">
            <v>#N/A</v>
          </cell>
        </row>
        <row r="24">
          <cell r="B24" t="str">
            <v>INE946S07080</v>
          </cell>
          <cell r="C24" t="str">
            <v>CRPN</v>
          </cell>
          <cell r="D24" t="str">
            <v xml:space="preserve">NUFUTURE DIGITAL (INDIA) LTD                    </v>
          </cell>
          <cell r="E24" t="str">
            <v xml:space="preserve">12.15% NUFUTURE SERIES H (30NOV2019)            </v>
          </cell>
          <cell r="F24">
            <v>43799</v>
          </cell>
          <cell r="G24">
            <v>12.15</v>
          </cell>
          <cell r="H24" t="str">
            <v>30-Nov-2019</v>
          </cell>
          <cell r="I24" t="str">
            <v>12.15% NUFUTURE DIGITAL (INDIA) LTD (30-Nov-2019)</v>
          </cell>
          <cell r="J24" t="str">
            <v>12.15% Nufuture Digital (India) Ltd (30-Nov-2019)</v>
          </cell>
          <cell r="K24" t="str">
            <v>12.15% Nufuture Digital (India) Ltd (30-Nov-2019) **</v>
          </cell>
        </row>
        <row r="25">
          <cell r="B25" t="str">
            <v>INE946S07098</v>
          </cell>
          <cell r="C25" t="str">
            <v>CRPN</v>
          </cell>
          <cell r="D25" t="str">
            <v xml:space="preserve">NUFUTURE DIGITAL (INDIA) LTD                    </v>
          </cell>
          <cell r="E25" t="str">
            <v xml:space="preserve">12.15% NUFUTURE SERIES I (02JUN2020)            </v>
          </cell>
          <cell r="F25">
            <v>43984</v>
          </cell>
          <cell r="G25">
            <v>12.15</v>
          </cell>
          <cell r="H25" t="str">
            <v>02-Jun-2020</v>
          </cell>
          <cell r="I25" t="str">
            <v>12.15% NUFUTURE DIGITAL (INDIA) LTD (02-Jun-2020)</v>
          </cell>
          <cell r="J25" t="str">
            <v>12.15% Nufuture Digital (India) Ltd (02-Jun-2020)</v>
          </cell>
          <cell r="K25" t="str">
            <v>12.15% Nufuture Digital (India) Ltd (02-Jun-2020) **</v>
          </cell>
        </row>
        <row r="26">
          <cell r="B26" t="e">
            <v>#N/A</v>
          </cell>
          <cell r="C26" t="e">
            <v>#N/A</v>
          </cell>
          <cell r="D26" t="e">
            <v>#N/A</v>
          </cell>
          <cell r="E26" t="e">
            <v>#N/A</v>
          </cell>
          <cell r="F26">
            <v>43539</v>
          </cell>
          <cell r="G26" t="str">
            <v>0.00</v>
          </cell>
          <cell r="H26" t="str">
            <v>15-Mar-2019</v>
          </cell>
          <cell r="I26" t="e">
            <v>#N/A</v>
          </cell>
          <cell r="J26" t="str">
            <v>0.00% JSW Logistics Infrastructure Pvt Ltd (15-Mar-2019)</v>
          </cell>
          <cell r="K26" t="e">
            <v>#N/A</v>
          </cell>
        </row>
        <row r="27">
          <cell r="B27" t="e">
            <v>#N/A</v>
          </cell>
          <cell r="C27" t="e">
            <v>#N/A</v>
          </cell>
          <cell r="D27" t="e">
            <v>#N/A</v>
          </cell>
          <cell r="E27" t="e">
            <v>#N/A</v>
          </cell>
          <cell r="F27">
            <v>43630</v>
          </cell>
          <cell r="G27" t="str">
            <v>0.00</v>
          </cell>
          <cell r="H27" t="str">
            <v>14-Jun-2019</v>
          </cell>
          <cell r="I27" t="e">
            <v>#N/A</v>
          </cell>
          <cell r="J27" t="str">
            <v>0.00% JSW Logistics Infrastructure Pvt Ltd (14-Jun-2019)</v>
          </cell>
          <cell r="K27" t="e">
            <v>#N/A</v>
          </cell>
        </row>
        <row r="28">
          <cell r="B28" t="str">
            <v>INE960S07065</v>
          </cell>
          <cell r="C28" t="str">
            <v>ZERO</v>
          </cell>
          <cell r="D28" t="str">
            <v xml:space="preserve">JSW LOGISTICS INFRASTRUCTURE PVT LTD            </v>
          </cell>
          <cell r="E28" t="str">
            <v xml:space="preserve">0% JSW LOGISTICS SERIES 6 (16SEP2019)           </v>
          </cell>
          <cell r="F28">
            <v>43721</v>
          </cell>
          <cell r="G28" t="str">
            <v>0.00</v>
          </cell>
          <cell r="H28" t="str">
            <v>13-Sep-2019</v>
          </cell>
          <cell r="I28" t="str">
            <v>0.00% JSW LOGISTICS INFRASTRUCTURE PVT LTD (13-Sep-2019)</v>
          </cell>
          <cell r="J28" t="str">
            <v>0.00% JSW Logistics Infrastructure Pvt Ltd (13-Sep-2019)</v>
          </cell>
          <cell r="K28" t="str">
            <v>0.00% JSW Logistics Infrastructure Pvt Ltd (13-Sep-2019) **</v>
          </cell>
        </row>
        <row r="29">
          <cell r="B29" t="str">
            <v>INE960S07073</v>
          </cell>
          <cell r="C29" t="str">
            <v>ZERO</v>
          </cell>
          <cell r="D29" t="str">
            <v xml:space="preserve">JSW LOGISTICS INFRASTRUCTURE PVT LTD            </v>
          </cell>
          <cell r="E29" t="str">
            <v xml:space="preserve">0% JSW LOGISTICS SERIES 7 (16DEC2019)           </v>
          </cell>
          <cell r="F29">
            <v>43812</v>
          </cell>
          <cell r="G29" t="str">
            <v>0.00</v>
          </cell>
          <cell r="H29" t="str">
            <v>13-Dec-2019</v>
          </cell>
          <cell r="I29" t="str">
            <v>0.00% JSW LOGISTICS INFRASTRUCTURE PVT LTD (13-Dec-2019)</v>
          </cell>
          <cell r="J29" t="str">
            <v>0.00% JSW Logistics Infrastructure Pvt Ltd (13-Dec-2019)</v>
          </cell>
          <cell r="K29" t="str">
            <v>0.00% JSW Logistics Infrastructure Pvt Ltd (13-Dec-2019) **</v>
          </cell>
        </row>
        <row r="30">
          <cell r="B30" t="str">
            <v>INE960S07081</v>
          </cell>
          <cell r="C30" t="str">
            <v>ZERO</v>
          </cell>
          <cell r="D30" t="str">
            <v xml:space="preserve">JSW LOGISTICS INFRASTRUCTURE PVT LTD            </v>
          </cell>
          <cell r="E30" t="str">
            <v xml:space="preserve">0% JSW LOGISTICS SERIES 8 (16MAR2020)           </v>
          </cell>
          <cell r="F30">
            <v>43903</v>
          </cell>
          <cell r="G30" t="str">
            <v>0.00</v>
          </cell>
          <cell r="H30" t="str">
            <v>13-Mar-2020</v>
          </cell>
          <cell r="I30" t="str">
            <v>0.00% JSW LOGISTICS INFRASTRUCTURE PVT LTD (13-Mar-2020)</v>
          </cell>
          <cell r="J30" t="str">
            <v>0.00% JSW Logistics Infrastructure Pvt Ltd (13-Mar-2020)</v>
          </cell>
          <cell r="K30" t="str">
            <v>0.00% JSW Logistics Infrastructure Pvt Ltd (13-Mar-2020) **</v>
          </cell>
        </row>
        <row r="31">
          <cell r="B31" t="str">
            <v>INE498F07071</v>
          </cell>
          <cell r="C31" t="str">
            <v>ZERO</v>
          </cell>
          <cell r="D31" t="str">
            <v xml:space="preserve">ESSEL INFRAPROJECTS LTD                         </v>
          </cell>
          <cell r="E31" t="str">
            <v>0% ESSEL INFRA SERIES II (22MAY2020 P/C 30MAY201</v>
          </cell>
          <cell r="F31">
            <v>43973</v>
          </cell>
          <cell r="G31" t="str">
            <v>0.00</v>
          </cell>
          <cell r="H31" t="str">
            <v>22-May-2020</v>
          </cell>
          <cell r="I31" t="str">
            <v>0.00% ESSEL INFRAPROJECTS LTD (22-May-2020)</v>
          </cell>
          <cell r="J31" t="str">
            <v>0.00% Essel Infraprojects Ltd, Series II (22-May-2020)</v>
          </cell>
          <cell r="K31" t="str">
            <v>0.00% Essel Infraprojects Ltd, Series II (22-May-2020) **</v>
          </cell>
        </row>
        <row r="32">
          <cell r="B32" t="str">
            <v>INE080T07037</v>
          </cell>
          <cell r="C32" t="str">
            <v>CRPN</v>
          </cell>
          <cell r="D32" t="str">
            <v xml:space="preserve">FUTURE IDEAS COMPANY LTD                        </v>
          </cell>
          <cell r="E32" t="str">
            <v xml:space="preserve">12.75% FUTURE IDEAS (30JUN20) SERIES C          </v>
          </cell>
          <cell r="F32">
            <v>44012</v>
          </cell>
          <cell r="G32">
            <v>12.75</v>
          </cell>
          <cell r="H32" t="str">
            <v>30-Jun-2020</v>
          </cell>
          <cell r="I32" t="str">
            <v>12.75% FUTURE IDEAS COMPANY LTD (30-Jun-2020)</v>
          </cell>
          <cell r="J32" t="str">
            <v>12.75% Future Ideas Company Ltd (30-Jun-2020)</v>
          </cell>
          <cell r="K32" t="str">
            <v>12.75% Future Ideas Company Ltd (30-Jun-2020) **</v>
          </cell>
        </row>
        <row r="33">
          <cell r="B33" t="e">
            <v>#N/A</v>
          </cell>
          <cell r="C33" t="e">
            <v>#N/A</v>
          </cell>
          <cell r="D33" t="e">
            <v>#N/A</v>
          </cell>
          <cell r="E33" t="e">
            <v>#N/A</v>
          </cell>
          <cell r="F33">
            <v>43677</v>
          </cell>
          <cell r="G33">
            <v>12.75</v>
          </cell>
          <cell r="H33" t="str">
            <v>31-Jul-2019</v>
          </cell>
          <cell r="I33" t="e">
            <v>#N/A</v>
          </cell>
          <cell r="J33" t="e">
            <v>#N/A</v>
          </cell>
          <cell r="K33" t="e">
            <v>#N/A</v>
          </cell>
        </row>
        <row r="34">
          <cell r="B34" t="str">
            <v>INE082T07017</v>
          </cell>
          <cell r="C34" t="str">
            <v>ZERO</v>
          </cell>
          <cell r="D34" t="str">
            <v xml:space="preserve">DILIGENT MEDIA CORPORATION LIMITED              </v>
          </cell>
          <cell r="E34" t="str">
            <v xml:space="preserve">0% DILIGENT MEDIA CORP (30JUN2020) SERIES A P/C </v>
          </cell>
          <cell r="F34">
            <v>44012</v>
          </cell>
          <cell r="G34" t="str">
            <v>0.00</v>
          </cell>
          <cell r="H34" t="str">
            <v>30-Jun-2020</v>
          </cell>
          <cell r="I34" t="str">
            <v>0.00% DILIGENT MEDIA CORPORATION LIMITED (30-Jun-2020)</v>
          </cell>
          <cell r="J34" t="str">
            <v>0.00% Diligent Media Corp Ltd. Series A (30-Jun-2020)</v>
          </cell>
          <cell r="K34" t="str">
            <v>0.00% Diligent Media Corp Ltd. Series A (30-Jun-2020) **</v>
          </cell>
        </row>
        <row r="35">
          <cell r="B35" t="str">
            <v>INE082T07025</v>
          </cell>
          <cell r="C35" t="str">
            <v>ZERO</v>
          </cell>
          <cell r="D35" t="str">
            <v xml:space="preserve">DILIGENT MEDIA CORPORATION LIMITED              </v>
          </cell>
          <cell r="E35" t="str">
            <v xml:space="preserve">0% DILIGENT MEDIA CORP (30JUN2020) SERIES B P/C </v>
          </cell>
          <cell r="F35">
            <v>44012</v>
          </cell>
          <cell r="G35" t="str">
            <v>0.00</v>
          </cell>
          <cell r="H35" t="str">
            <v>30-Jun-2020</v>
          </cell>
          <cell r="I35" t="str">
            <v>0.00% DILIGENT MEDIA CORPORATION LIMITED (30-Jun-2020)</v>
          </cell>
          <cell r="J35" t="str">
            <v>0.00% Diligent Media Corp Ltd. Series B (30-Jun-2020)</v>
          </cell>
          <cell r="K35" t="str">
            <v>0.00% Diligent Media Corp Ltd. Series B (30-Jun-2020) **</v>
          </cell>
        </row>
        <row r="36">
          <cell r="B36" t="str">
            <v>INE082T07033</v>
          </cell>
          <cell r="C36" t="str">
            <v>ZERO</v>
          </cell>
          <cell r="D36" t="str">
            <v xml:space="preserve">DILIGENT MEDIA CORPORATION LIMITED              </v>
          </cell>
          <cell r="E36" t="str">
            <v xml:space="preserve">0% DILIGENT MEDIA CORP (30JUN2020)  SERIES C    </v>
          </cell>
          <cell r="F36">
            <v>44012</v>
          </cell>
          <cell r="G36" t="str">
            <v>0.00</v>
          </cell>
          <cell r="H36" t="str">
            <v>30-Jun-2020</v>
          </cell>
          <cell r="I36" t="str">
            <v>0.00% DILIGENT MEDIA CORPORATION LIMITED (30-Jun-2020)</v>
          </cell>
          <cell r="J36" t="str">
            <v>0.00% Diligent Media Corp Ltd. Series C (30-Jun-2020)</v>
          </cell>
          <cell r="K36" t="str">
            <v>0.00% Diligent Media Corp Ltd. Series C (30-Jun-2020) **</v>
          </cell>
        </row>
        <row r="37">
          <cell r="B37" t="e">
            <v>#N/A</v>
          </cell>
          <cell r="C37" t="e">
            <v>#N/A</v>
          </cell>
          <cell r="D37" t="e">
            <v>#N/A</v>
          </cell>
          <cell r="E37" t="e">
            <v>#N/A</v>
          </cell>
          <cell r="F37">
            <v>43666</v>
          </cell>
          <cell r="G37" t="str">
            <v>9.50</v>
          </cell>
          <cell r="H37" t="str">
            <v>20-Jul-2019</v>
          </cell>
          <cell r="I37" t="e">
            <v>#N/A</v>
          </cell>
          <cell r="J37" t="e">
            <v>#N/A</v>
          </cell>
          <cell r="K37" t="e">
            <v>#N/A</v>
          </cell>
        </row>
        <row r="38">
          <cell r="B38" t="str">
            <v>INE445K07106</v>
          </cell>
          <cell r="C38" t="str">
            <v>CRPN</v>
          </cell>
          <cell r="D38" t="str">
            <v xml:space="preserve">RELIANCE BROADCAST NETWORK LTD                  </v>
          </cell>
          <cell r="E38" t="str">
            <v xml:space="preserve">9.50% RBNL SERIES C (20JUL2020)                 </v>
          </cell>
          <cell r="F38">
            <v>44032</v>
          </cell>
          <cell r="G38" t="str">
            <v>9.50</v>
          </cell>
          <cell r="H38" t="str">
            <v>20-Jul-2020</v>
          </cell>
          <cell r="I38" t="str">
            <v>9.50% RELIANCE BROADCAST NETWORK LTD (20-Jul-2020)</v>
          </cell>
          <cell r="J38" t="str">
            <v>9.50% Reliance Broadcast Network Ltd (20-Jul-2020)</v>
          </cell>
          <cell r="K38" t="str">
            <v>9.50% Reliance Broadcast Network Ltd (20-Jul-2020) **</v>
          </cell>
        </row>
        <row r="39">
          <cell r="B39" t="str">
            <v>INE285T07073</v>
          </cell>
          <cell r="C39" t="str">
            <v>CRPN</v>
          </cell>
          <cell r="D39" t="str">
            <v xml:space="preserve">RIVAAZ TRADE VENTURES PVT LTD                   </v>
          </cell>
          <cell r="E39" t="str">
            <v xml:space="preserve">11.90% RIVAAZ SERIES G (31AUG2019)              </v>
          </cell>
          <cell r="F39">
            <v>43708</v>
          </cell>
          <cell r="G39" t="str">
            <v>11.90</v>
          </cell>
          <cell r="H39" t="str">
            <v>31-Aug-2019</v>
          </cell>
          <cell r="I39" t="str">
            <v>11.90% RIVAAZ TRADE VENTURES PVT LTD (31-Aug-2019)</v>
          </cell>
          <cell r="J39" t="str">
            <v>11.90% Rivaaz Trade Ventures Pvt Ltd (31-Aug-2019)</v>
          </cell>
          <cell r="K39" t="str">
            <v>11.90% Rivaaz Trade Ventures Pvt Ltd (31-Aug-2019) **</v>
          </cell>
        </row>
        <row r="40">
          <cell r="B40" t="str">
            <v>INE285T07081</v>
          </cell>
          <cell r="C40" t="str">
            <v>CRPN</v>
          </cell>
          <cell r="D40" t="str">
            <v xml:space="preserve">RIVAAZ TRADE VENTURES PVT LTD                   </v>
          </cell>
          <cell r="E40" t="str">
            <v xml:space="preserve">11.90% RIVAAZ SERIES H (29FEB2020)              </v>
          </cell>
          <cell r="F40">
            <v>43890</v>
          </cell>
          <cell r="G40" t="str">
            <v>11.90</v>
          </cell>
          <cell r="H40" t="str">
            <v>29-Feb-2020</v>
          </cell>
          <cell r="I40" t="str">
            <v>11.90% RIVAAZ TRADE VENTURES PVT LTD (29-Feb-2020)</v>
          </cell>
          <cell r="J40" t="str">
            <v>11.90% Rivaaz Trade Ventures Pvt Ltd (29-Feb-2020)</v>
          </cell>
          <cell r="K40" t="str">
            <v>11.90% Rivaaz Trade Ventures Pvt Ltd (29-Feb-2020) **</v>
          </cell>
        </row>
        <row r="41">
          <cell r="B41" t="e">
            <v>#N/A</v>
          </cell>
          <cell r="C41" t="e">
            <v>#N/A</v>
          </cell>
          <cell r="D41" t="e">
            <v>#N/A</v>
          </cell>
          <cell r="E41" t="e">
            <v>#N/A</v>
          </cell>
          <cell r="F41">
            <v>43686</v>
          </cell>
          <cell r="G41">
            <v>12.25</v>
          </cell>
          <cell r="H41" t="str">
            <v>09-Aug-2019</v>
          </cell>
          <cell r="I41" t="e">
            <v>#N/A</v>
          </cell>
          <cell r="J41" t="str">
            <v>12.25% DLF Ltd, Series III (09-Aug-2019)</v>
          </cell>
          <cell r="K41" t="e">
            <v>#N/A</v>
          </cell>
        </row>
        <row r="42">
          <cell r="B42" t="str">
            <v>INE271C07137</v>
          </cell>
          <cell r="C42" t="str">
            <v>CRPN</v>
          </cell>
          <cell r="D42" t="str">
            <v xml:space="preserve">DLF LTD                                         </v>
          </cell>
          <cell r="E42" t="str">
            <v xml:space="preserve">12.25% DLF SERIES IV (11AUG2020)                </v>
          </cell>
          <cell r="F42">
            <v>44054</v>
          </cell>
          <cell r="G42">
            <v>12.25</v>
          </cell>
          <cell r="H42" t="str">
            <v>11-Aug-2020</v>
          </cell>
          <cell r="I42" t="str">
            <v>12.25% DLF LTD (11-Aug-2020)</v>
          </cell>
          <cell r="J42" t="str">
            <v>12.25% DLF Ltd, Series IV (11-Aug-2020)</v>
          </cell>
          <cell r="K42" t="str">
            <v>12.25% DLF Ltd, Series IV (11-Aug-2020) **</v>
          </cell>
        </row>
        <row r="43">
          <cell r="B43" t="e">
            <v>#N/A</v>
          </cell>
          <cell r="C43" t="e">
            <v>#N/A</v>
          </cell>
          <cell r="D43" t="e">
            <v>#N/A</v>
          </cell>
          <cell r="E43" t="e">
            <v>#N/A</v>
          </cell>
          <cell r="F43">
            <v>43686</v>
          </cell>
          <cell r="G43">
            <v>12.25</v>
          </cell>
          <cell r="H43" t="str">
            <v>09-Aug-2019</v>
          </cell>
          <cell r="I43" t="e">
            <v>#N/A</v>
          </cell>
          <cell r="J43" t="str">
            <v>12.25% DLF Ltd, Tranche II Series III (09-Aug-2019)</v>
          </cell>
          <cell r="K43" t="e">
            <v>#N/A</v>
          </cell>
        </row>
        <row r="44">
          <cell r="B44" t="str">
            <v>INE271C07178</v>
          </cell>
          <cell r="C44" t="str">
            <v>CRPN</v>
          </cell>
          <cell r="D44" t="str">
            <v xml:space="preserve">DLF LTD                                         </v>
          </cell>
          <cell r="E44" t="str">
            <v xml:space="preserve">12.25% DLF TRANCHE 2 SERIES IV (11AUG2020)      </v>
          </cell>
          <cell r="F44">
            <v>44054</v>
          </cell>
          <cell r="G44">
            <v>12.25</v>
          </cell>
          <cell r="H44" t="str">
            <v>11-Aug-2020</v>
          </cell>
          <cell r="I44" t="str">
            <v>12.25% DLF LTD (11-Aug-2020)</v>
          </cell>
          <cell r="J44" t="str">
            <v>12.25% DLF Ltd., Tranche II Series IV, (11-Aug-2020)</v>
          </cell>
          <cell r="K44" t="str">
            <v>12.25% DLF Ltd., Tranche II Series IV, (11-Aug-2020) **</v>
          </cell>
        </row>
        <row r="45">
          <cell r="B45" t="str">
            <v>INE003S07171</v>
          </cell>
          <cell r="C45" t="str">
            <v>CFLT</v>
          </cell>
          <cell r="D45" t="str">
            <v xml:space="preserve">RENEW POWER LIMITED                             </v>
          </cell>
          <cell r="E45" t="str">
            <v xml:space="preserve">9.5% RENEW (09SEP2020)                          </v>
          </cell>
          <cell r="F45">
            <v>44083</v>
          </cell>
          <cell r="G45" t="str">
            <v>9.50</v>
          </cell>
          <cell r="H45" t="str">
            <v>09-Sep-2020</v>
          </cell>
          <cell r="I45" t="str">
            <v>9.50% RENEW POWER LIMITED (09-Sep-2020)</v>
          </cell>
          <cell r="J45" t="str">
            <v>9.50% Renew Power Limited (09-Sep-2020)</v>
          </cell>
          <cell r="K45" t="str">
            <v>9.50% Renew Power Limited (09-Sep-2020) **</v>
          </cell>
        </row>
        <row r="46">
          <cell r="B46" t="str">
            <v>INE134E08HV7</v>
          </cell>
          <cell r="C46" t="str">
            <v>CRPN</v>
          </cell>
          <cell r="D46" t="str">
            <v xml:space="preserve">POWER FINANCE CORP LTD                          </v>
          </cell>
          <cell r="E46" t="str">
            <v xml:space="preserve">8.36% PFC (4SEP2020)                            </v>
          </cell>
          <cell r="F46">
            <v>44078</v>
          </cell>
          <cell r="G46">
            <v>8.36</v>
          </cell>
          <cell r="H46" t="str">
            <v>04-Sep-2020</v>
          </cell>
          <cell r="I46" t="str">
            <v>8.36% POWER FINANCE CORP LTD (04-Sep-2020)</v>
          </cell>
          <cell r="J46" t="str">
            <v>8.36% Power Finance Corp Ltd (04-Sep-2020)</v>
          </cell>
          <cell r="K46" t="str">
            <v>8.36% Power Finance Corp Ltd (04-Sep-2020) **</v>
          </cell>
        </row>
        <row r="47">
          <cell r="B47" t="str">
            <v>INE949L08152</v>
          </cell>
          <cell r="C47" t="str">
            <v>CRPN</v>
          </cell>
          <cell r="D47" t="str">
            <v xml:space="preserve">AU SMALL FINANCE BANK LTD                       </v>
          </cell>
          <cell r="E47" t="str">
            <v xml:space="preserve">11.75% AU SMALL FINANCE BANK LTD  (04MAY2021)   </v>
          </cell>
          <cell r="F47">
            <v>44320</v>
          </cell>
          <cell r="G47">
            <v>11.75</v>
          </cell>
          <cell r="H47" t="str">
            <v>04-May-2021</v>
          </cell>
          <cell r="I47" t="str">
            <v>11.75% AU SMALL FINANCE BANK LTD (04-May-2021)</v>
          </cell>
          <cell r="J47" t="str">
            <v>11.75% AU Small Finance Bank Ltd (04-May-2021)</v>
          </cell>
          <cell r="K47" t="str">
            <v>11.75% AU Small Finance Bank Ltd (04-May-2021) **</v>
          </cell>
        </row>
        <row r="48">
          <cell r="B48" t="str">
            <v>INE146O08068</v>
          </cell>
          <cell r="C48" t="str">
            <v>CRPN</v>
          </cell>
          <cell r="D48" t="str">
            <v xml:space="preserve">HINDUJA LEYLAND FINANCE LTD                     </v>
          </cell>
          <cell r="E48" t="str">
            <v xml:space="preserve">11.50% HINDUJA LEYLAND FIN (SD) (31MAY2021)     </v>
          </cell>
          <cell r="F48">
            <v>44347</v>
          </cell>
          <cell r="G48" t="str">
            <v>11.50</v>
          </cell>
          <cell r="H48" t="str">
            <v>31-May-2021</v>
          </cell>
          <cell r="I48" t="str">
            <v>11.50% HINDUJA LEYLAND FINANCE LTD (31-May-2021)</v>
          </cell>
          <cell r="J48" t="str">
            <v>11.50% Hinduja Leyland Finance Ltd (31-May-2021)</v>
          </cell>
          <cell r="K48" t="str">
            <v>11.50% Hinduja Leyland Finance Ltd (31-May-2021) **</v>
          </cell>
        </row>
        <row r="49">
          <cell r="B49" t="str">
            <v>INE146O08084</v>
          </cell>
          <cell r="C49" t="str">
            <v>CRPN</v>
          </cell>
          <cell r="D49" t="str">
            <v xml:space="preserve">HINDUJA LEYLAND FINANCE LTD                     </v>
          </cell>
          <cell r="E49" t="str">
            <v xml:space="preserve">11.30% HINDUJA LEYLAND FIN (SD) (21JUL2021)     </v>
          </cell>
          <cell r="F49">
            <v>44398</v>
          </cell>
          <cell r="G49" t="str">
            <v>11.30</v>
          </cell>
          <cell r="H49" t="str">
            <v>21-Jul-2021</v>
          </cell>
          <cell r="I49" t="str">
            <v>11.30% HINDUJA LEYLAND FINANCE LTD (21-Jul-2021)</v>
          </cell>
          <cell r="J49" t="str">
            <v>11.30% Hinduja Leyland Finance Ltd (21-Jul-2021)</v>
          </cell>
          <cell r="K49" t="str">
            <v>11.30% Hinduja Leyland Finance Ltd (21-Jul-2021) **</v>
          </cell>
        </row>
        <row r="50">
          <cell r="B50" t="e">
            <v>#N/A</v>
          </cell>
          <cell r="C50" t="e">
            <v>#N/A</v>
          </cell>
          <cell r="D50" t="e">
            <v>#N/A</v>
          </cell>
          <cell r="E50" t="e">
            <v>#N/A</v>
          </cell>
          <cell r="F50">
            <v>43659</v>
          </cell>
          <cell r="G50" t="str">
            <v>8.50</v>
          </cell>
          <cell r="H50" t="str">
            <v>13-Jul-2019</v>
          </cell>
          <cell r="I50" t="e">
            <v>#N/A</v>
          </cell>
          <cell r="J50" t="str">
            <v>8.50% NHPC Ltd (13-Jul-2019)</v>
          </cell>
          <cell r="K50" t="e">
            <v>#N/A</v>
          </cell>
        </row>
        <row r="51">
          <cell r="B51" t="str">
            <v>INE392R08020</v>
          </cell>
          <cell r="C51" t="str">
            <v>ZERO</v>
          </cell>
          <cell r="D51" t="str">
            <v xml:space="preserve">DOLVI MINERALS AND METALS PVT LIMITED           </v>
          </cell>
          <cell r="E51" t="str">
            <v xml:space="preserve">0% DMML (22OCT2019)                             </v>
          </cell>
          <cell r="F51">
            <v>43760</v>
          </cell>
          <cell r="G51" t="str">
            <v>0.00</v>
          </cell>
          <cell r="H51" t="str">
            <v>22-Oct-2019</v>
          </cell>
          <cell r="I51" t="str">
            <v>0.00% DOLVI MINERALS AND METALS PVT LIMITED (22-Oct-2019)</v>
          </cell>
          <cell r="J51" t="str">
            <v>0.00% Dolvi Minerals And Metals Pvt Limited (22-Oct-2019)</v>
          </cell>
          <cell r="K51" t="str">
            <v>0.00% Dolvi Minerals And Metals Pvt Limited (22-Oct-2019) **</v>
          </cell>
        </row>
        <row r="52">
          <cell r="B52" t="e">
            <v>#N/A</v>
          </cell>
          <cell r="C52" t="e">
            <v>#N/A</v>
          </cell>
          <cell r="D52" t="e">
            <v>#N/A</v>
          </cell>
          <cell r="E52" t="e">
            <v>#N/A</v>
          </cell>
          <cell r="F52">
            <v>43626</v>
          </cell>
          <cell r="G52">
            <v>8.1199999999999992</v>
          </cell>
          <cell r="H52" t="str">
            <v>10-Jun-2019</v>
          </cell>
          <cell r="I52" t="e">
            <v>#N/A</v>
          </cell>
          <cell r="J52" t="str">
            <v>8.12% ONGC Mangalore Petrochemicals Ltd (10-Jun-2019)</v>
          </cell>
          <cell r="K52" t="e">
            <v>#N/A</v>
          </cell>
        </row>
        <row r="53">
          <cell r="B53" t="str">
            <v>INE949L08137</v>
          </cell>
          <cell r="C53" t="str">
            <v>CRPN</v>
          </cell>
          <cell r="D53" t="str">
            <v xml:space="preserve">AU SMALL FINANCE BANK LTD                       </v>
          </cell>
          <cell r="E53" t="str">
            <v xml:space="preserve">13.00% AU SMALL FINANCE BANK  LTD (19SEP2019)   </v>
          </cell>
          <cell r="F53">
            <v>43727</v>
          </cell>
          <cell r="G53" t="str">
            <v>13.00</v>
          </cell>
          <cell r="H53" t="str">
            <v>19-Sep-2019</v>
          </cell>
          <cell r="I53" t="str">
            <v>13.00% AU SMALL FINANCE BANK LTD (19-Sep-2019)</v>
          </cell>
          <cell r="J53" t="str">
            <v>13.00% AU Small Finance Bank Ltd (19-Sep-2019)</v>
          </cell>
          <cell r="K53" t="str">
            <v>13.00% AU Small Finance Bank Ltd (19-Sep-2019) **</v>
          </cell>
        </row>
        <row r="54">
          <cell r="B54" t="str">
            <v>INE245A08067</v>
          </cell>
          <cell r="C54" t="str">
            <v>CRPN</v>
          </cell>
          <cell r="D54" t="str">
            <v xml:space="preserve">THE TATA POWER CO LTD                           </v>
          </cell>
          <cell r="E54" t="str">
            <v xml:space="preserve">9.48% TATA POWER (17NOV2019)                    </v>
          </cell>
          <cell r="F54">
            <v>43786</v>
          </cell>
          <cell r="G54">
            <v>9.48</v>
          </cell>
          <cell r="H54" t="str">
            <v>17-Nov-2019</v>
          </cell>
          <cell r="I54" t="str">
            <v>9.48% THE TATA POWER CO LTD (17-Nov-2019)</v>
          </cell>
          <cell r="J54" t="str">
            <v>9.48% The Tata Power Co Ltd (17-Nov-2019)</v>
          </cell>
          <cell r="K54" t="str">
            <v>9.48% The Tata Power Co Ltd (17-Nov-2019) **</v>
          </cell>
        </row>
        <row r="55">
          <cell r="B55" t="e">
            <v>#N/A</v>
          </cell>
          <cell r="C55" t="e">
            <v>#N/A</v>
          </cell>
          <cell r="D55" t="e">
            <v>#N/A</v>
          </cell>
          <cell r="E55" t="e">
            <v>#N/A</v>
          </cell>
          <cell r="F55">
            <v>45128</v>
          </cell>
          <cell r="H55" t="str">
            <v>21-Jul-2023</v>
          </cell>
          <cell r="I55" t="e">
            <v>#N/A</v>
          </cell>
          <cell r="J55" t="str">
            <v>Motilal Oswal Home Finance Ltd (SBI + 145 Bps) (21-Jul-2023)</v>
          </cell>
          <cell r="K55" t="e">
            <v>#N/A</v>
          </cell>
        </row>
        <row r="56">
          <cell r="B56" t="e">
            <v>#N/A</v>
          </cell>
          <cell r="C56" t="e">
            <v>#N/A</v>
          </cell>
          <cell r="D56" t="e">
            <v>#N/A</v>
          </cell>
          <cell r="E56" t="e">
            <v>#N/A</v>
          </cell>
          <cell r="F56">
            <v>43553</v>
          </cell>
          <cell r="G56">
            <v>9.69</v>
          </cell>
          <cell r="H56" t="str">
            <v>29-Mar-2019</v>
          </cell>
          <cell r="I56" t="e">
            <v>#N/A</v>
          </cell>
          <cell r="J56" t="e">
            <v>#N/A</v>
          </cell>
          <cell r="K56" t="e">
            <v>#N/A</v>
          </cell>
        </row>
        <row r="57">
          <cell r="B57" t="e">
            <v>#N/A</v>
          </cell>
          <cell r="C57" t="e">
            <v>#N/A</v>
          </cell>
          <cell r="D57" t="e">
            <v>#N/A</v>
          </cell>
          <cell r="E57" t="e">
            <v>#N/A</v>
          </cell>
          <cell r="F57">
            <v>44521</v>
          </cell>
          <cell r="G57" t="str">
            <v>10.90</v>
          </cell>
          <cell r="H57" t="str">
            <v>21-Nov-2021</v>
          </cell>
          <cell r="I57" t="e">
            <v>#N/A</v>
          </cell>
          <cell r="J57" t="str">
            <v>10.90% DLF Emporio Ltd (21-Nov-2021)</v>
          </cell>
          <cell r="K57" t="e">
            <v>#N/A</v>
          </cell>
        </row>
        <row r="58">
          <cell r="B58" t="e">
            <v>#N/A</v>
          </cell>
          <cell r="C58" t="e">
            <v>#N/A</v>
          </cell>
          <cell r="D58" t="e">
            <v>#N/A</v>
          </cell>
          <cell r="E58" t="e">
            <v>#N/A</v>
          </cell>
          <cell r="F58">
            <v>43679</v>
          </cell>
          <cell r="G58" t="str">
            <v>10.4361</v>
          </cell>
          <cell r="H58" t="str">
            <v>02-Aug-2019</v>
          </cell>
          <cell r="I58" t="e">
            <v>#N/A</v>
          </cell>
          <cell r="J58" t="str">
            <v>10.44% Northern Arc Capital Ltd Series B (02-Aug-2019)</v>
          </cell>
          <cell r="K58" t="e">
            <v>#N/A</v>
          </cell>
        </row>
        <row r="59">
          <cell r="B59" t="e">
            <v>#N/A</v>
          </cell>
          <cell r="C59" t="e">
            <v>#N/A</v>
          </cell>
          <cell r="D59" t="e">
            <v>#N/A</v>
          </cell>
          <cell r="E59" t="e">
            <v>#N/A</v>
          </cell>
          <cell r="F59">
            <v>44541</v>
          </cell>
          <cell r="G59">
            <v>10.9</v>
          </cell>
          <cell r="H59" t="str">
            <v>11-Dec-2021</v>
          </cell>
          <cell r="I59" t="e">
            <v>#N/A</v>
          </cell>
          <cell r="J59" t="str">
            <v>10.90% DLF Promenade Ltd (11-Dec-2021)</v>
          </cell>
          <cell r="K59" t="e">
            <v>#N/A</v>
          </cell>
        </row>
        <row r="60">
          <cell r="B60" t="e">
            <v>#N/A</v>
          </cell>
          <cell r="C60" t="e">
            <v>#N/A</v>
          </cell>
          <cell r="D60" t="e">
            <v>#N/A</v>
          </cell>
          <cell r="E60" t="e">
            <v>#N/A</v>
          </cell>
          <cell r="F60">
            <v>43679</v>
          </cell>
          <cell r="G60" t="str">
            <v>10.4361</v>
          </cell>
          <cell r="H60" t="str">
            <v>02-Aug-2019</v>
          </cell>
          <cell r="I60" t="e">
            <v>#N/A</v>
          </cell>
          <cell r="J60" t="str">
            <v>10.44% Northern Arc Capital Ltd Series A (02-Aug-2019)</v>
          </cell>
          <cell r="K60" t="e">
            <v>#N/A</v>
          </cell>
        </row>
        <row r="61">
          <cell r="B61" t="e">
            <v>#N/A</v>
          </cell>
          <cell r="C61" t="e">
            <v>#N/A</v>
          </cell>
          <cell r="D61" t="e">
            <v>#N/A</v>
          </cell>
          <cell r="E61" t="e">
            <v>#N/A</v>
          </cell>
          <cell r="F61">
            <v>43679</v>
          </cell>
          <cell r="G61" t="str">
            <v>10.4361</v>
          </cell>
          <cell r="H61" t="str">
            <v>02-Aug-2019</v>
          </cell>
          <cell r="I61" t="e">
            <v>#N/A</v>
          </cell>
          <cell r="J61" t="str">
            <v>10.44% Northern Arc Capital Ltd Series C (02-Aug-2019)</v>
          </cell>
          <cell r="K61" t="e">
            <v>#N/A</v>
          </cell>
        </row>
        <row r="62">
          <cell r="B62" t="e">
            <v>#N/A</v>
          </cell>
          <cell r="C62" t="e">
            <v>#N/A</v>
          </cell>
          <cell r="D62" t="e">
            <v>#N/A</v>
          </cell>
          <cell r="E62" t="e">
            <v>#N/A</v>
          </cell>
          <cell r="F62">
            <v>43728</v>
          </cell>
          <cell r="G62" t="str">
            <v>0.00</v>
          </cell>
          <cell r="H62" t="str">
            <v>20-Sep-2019</v>
          </cell>
          <cell r="I62" t="e">
            <v>#N/A</v>
          </cell>
          <cell r="J62" t="e">
            <v>#N/A</v>
          </cell>
          <cell r="K62" t="e">
            <v>#N/A</v>
          </cell>
        </row>
        <row r="63">
          <cell r="B63" t="str">
            <v>INE003S07155</v>
          </cell>
          <cell r="C63" t="str">
            <v>CRPN</v>
          </cell>
          <cell r="D63" t="str">
            <v xml:space="preserve">RENEW POWER LIMITED                             </v>
          </cell>
          <cell r="E63" t="str">
            <v xml:space="preserve">10.80% RENEW (28SEP2022 P/C 27SEP2019)          </v>
          </cell>
          <cell r="F63">
            <v>44832</v>
          </cell>
          <cell r="G63" t="str">
            <v>10.30</v>
          </cell>
          <cell r="H63" t="str">
            <v>28-Sep-2022</v>
          </cell>
          <cell r="I63" t="str">
            <v>10.30% RENEW POWER LIMITED (28-Sep-2022)</v>
          </cell>
          <cell r="J63" t="str">
            <v>10.30% Renew Power Limited (28-Sep-2022)</v>
          </cell>
          <cell r="K63" t="str">
            <v>10.30% Renew Power Limited (28-Sep-2022) **</v>
          </cell>
        </row>
        <row r="64">
          <cell r="B64" t="str">
            <v>INE139S07017</v>
          </cell>
          <cell r="C64" t="str">
            <v>CRPN</v>
          </cell>
          <cell r="D64" t="str">
            <v xml:space="preserve">RENEW SOLAR POWER PRIVATE LIMITED               </v>
          </cell>
          <cell r="E64" t="str">
            <v xml:space="preserve">11.96% RENEWSOLAR (01NOV2022 P/C 01NOV2019)     </v>
          </cell>
          <cell r="F64">
            <v>44866</v>
          </cell>
          <cell r="G64">
            <v>11.35</v>
          </cell>
          <cell r="H64" t="str">
            <v>01-Nov-2022</v>
          </cell>
          <cell r="I64" t="str">
            <v>11.35% RENEW SOLAR POWER PRIVATE LIMITED (01-Nov-2022)</v>
          </cell>
          <cell r="J64" t="str">
            <v>11.35% Renew Solar Power Private Limited (01-Nov-2022)</v>
          </cell>
          <cell r="K64" t="str">
            <v>11.35% Renew Solar Power Private Limited (01-Nov-2022) **</v>
          </cell>
        </row>
        <row r="65">
          <cell r="B65" t="str">
            <v>INE081T08108</v>
          </cell>
          <cell r="C65" t="str">
            <v>CFLT</v>
          </cell>
          <cell r="D65" t="str">
            <v xml:space="preserve">AASAN CORPORATE SOLUTIONS PVT LTD               </v>
          </cell>
          <cell r="E65" t="str">
            <v xml:space="preserve">9.60 AASAN (P/C 24MAR2017) 20DEC2019            </v>
          </cell>
          <cell r="F65">
            <v>43819</v>
          </cell>
          <cell r="G65" t="str">
            <v>10.90</v>
          </cell>
          <cell r="H65" t="str">
            <v>20-Dec-2019</v>
          </cell>
          <cell r="I65" t="str">
            <v>10.90% AASAN CORPORATE SOLUTIONS PVT LTD (20-Dec-2019)</v>
          </cell>
          <cell r="J65" t="str">
            <v>10.90% Aasan Corporate Solutions Pvt Ltd (20-Dec-2019)</v>
          </cell>
          <cell r="K65" t="str">
            <v>10.90% Aasan Corporate Solutions Pvt Ltd (20-Dec-2019) **</v>
          </cell>
        </row>
        <row r="66">
          <cell r="B66" t="str">
            <v>INE081T08090</v>
          </cell>
          <cell r="C66" t="str">
            <v>CFLT</v>
          </cell>
          <cell r="D66" t="str">
            <v xml:space="preserve">AASAN CORPORATE SOLUTIONS PVT LTD               </v>
          </cell>
          <cell r="E66" t="str">
            <v xml:space="preserve">9.60 AASAN (P/C 15MAR2017) 13DEC2019            </v>
          </cell>
          <cell r="F66">
            <v>43812</v>
          </cell>
          <cell r="G66" t="str">
            <v>10.90</v>
          </cell>
          <cell r="H66" t="str">
            <v>13-Dec-2019</v>
          </cell>
          <cell r="I66" t="str">
            <v>10.90% AASAN CORPORATE SOLUTIONS PVT LTD (13-Dec-2019)</v>
          </cell>
          <cell r="J66" t="str">
            <v>10.90% Aasan Corporate Solutions Pvt Ltd (13-Dec-2019)</v>
          </cell>
          <cell r="K66" t="str">
            <v>10.90% Aasan Corporate Solutions Pvt Ltd (13-Dec-2019) **</v>
          </cell>
        </row>
        <row r="67">
          <cell r="B67" t="str">
            <v>INE139S07025</v>
          </cell>
          <cell r="C67" t="str">
            <v>CRPN</v>
          </cell>
          <cell r="D67" t="str">
            <v xml:space="preserve">RENEW SOLAR POWER PRIVATE LIMITED               </v>
          </cell>
          <cell r="E67" t="str">
            <v xml:space="preserve">10.75% RENEWSOLAR (29NOV2019 P/C 29NOV2017)     </v>
          </cell>
          <cell r="F67">
            <v>43798</v>
          </cell>
          <cell r="G67">
            <v>10.25</v>
          </cell>
          <cell r="H67" t="str">
            <v>29-Nov-2019</v>
          </cell>
          <cell r="I67" t="str">
            <v>10.25% RENEW SOLAR POWER PRIVATE LIMITED (29-Nov-2019)</v>
          </cell>
          <cell r="J67" t="str">
            <v>10.25% Renew Solar Power Private Limited (29-Nov-2019)</v>
          </cell>
          <cell r="K67" t="str">
            <v>10.25% Renew Solar Power Private Limited (29-Nov-2019) **</v>
          </cell>
        </row>
        <row r="68">
          <cell r="B68" t="str">
            <v>INE850M07111</v>
          </cell>
          <cell r="C68" t="str">
            <v>CRPN</v>
          </cell>
          <cell r="D68" t="str">
            <v xml:space="preserve">NORTHERN ARC CAPITAL LTD                        </v>
          </cell>
          <cell r="E68" t="str">
            <v xml:space="preserve">9.6% NORTHERN ARC (27DEC2019 PO 29JUN2018)      </v>
          </cell>
          <cell r="F68">
            <v>43826</v>
          </cell>
          <cell r="G68" t="str">
            <v>9.60</v>
          </cell>
          <cell r="H68" t="str">
            <v>27-Dec-2019</v>
          </cell>
          <cell r="I68" t="str">
            <v>9.60% NORTHERN ARC CAPITAL LTD (27-Dec-2019)</v>
          </cell>
          <cell r="J68" t="str">
            <v>9.60% Northern ARC Capital Ltd (27-Dec-2019)</v>
          </cell>
          <cell r="K68" t="str">
            <v>9.60% Northern ARC Capital Ltd (27-Dec-2019) **</v>
          </cell>
        </row>
        <row r="69">
          <cell r="B69" t="str">
            <v>INE038A07266</v>
          </cell>
          <cell r="C69" t="str">
            <v>CRPN</v>
          </cell>
          <cell r="D69" t="str">
            <v xml:space="preserve">HINDALCO INDUSTRIES LTD                         </v>
          </cell>
          <cell r="E69" t="str">
            <v xml:space="preserve">9.55% HINDALCO INDUSTRIES (27JUN2022)           </v>
          </cell>
          <cell r="F69">
            <v>44739</v>
          </cell>
          <cell r="G69">
            <v>9.5500000000000007</v>
          </cell>
          <cell r="H69" t="str">
            <v>27-Jun-2022</v>
          </cell>
          <cell r="I69" t="str">
            <v>9.55% HINDALCO INDUSTRIES LTD (27-Jun-2022)</v>
          </cell>
          <cell r="J69" t="str">
            <v>9.55% Hindalco Industries Ltd (27-Jun-2022)</v>
          </cell>
          <cell r="K69" t="str">
            <v>9.55% Hindalco Industries Ltd (27-Jun-2022) **</v>
          </cell>
        </row>
        <row r="70">
          <cell r="B70" t="str">
            <v>INE285T07099</v>
          </cell>
          <cell r="C70" t="str">
            <v>CRPN</v>
          </cell>
          <cell r="D70" t="str">
            <v xml:space="preserve">RIVAAZ TRADE VENTURES PVT LTD                   </v>
          </cell>
          <cell r="E70" t="str">
            <v xml:space="preserve">11.90% RIVAAZ SERIES I (07AUG2020)              </v>
          </cell>
          <cell r="F70">
            <v>44050</v>
          </cell>
          <cell r="G70">
            <v>11.9</v>
          </cell>
          <cell r="H70" t="str">
            <v>07-Aug-2020</v>
          </cell>
          <cell r="I70" t="str">
            <v>11.9% RIVAAZ TRADE VENTURES PVT LTD (07-Aug-2020)</v>
          </cell>
          <cell r="J70" t="str">
            <v>11.9% Rivaaz Trade Ventures Pvt Ltd (07-Aug-2020)</v>
          </cell>
          <cell r="K70" t="str">
            <v>11.9% Rivaaz Trade Ventures Pvt Ltd (07-Aug-2020) **</v>
          </cell>
        </row>
        <row r="71">
          <cell r="B71" t="str">
            <v>INE316W07013</v>
          </cell>
          <cell r="C71" t="str">
            <v>ZERO</v>
          </cell>
          <cell r="D71" t="str">
            <v xml:space="preserve">HERO SOLAR ENERGY PRIVATE LIMITED               </v>
          </cell>
          <cell r="E71" t="str">
            <v xml:space="preserve">0% HEROSOLAR (21JUN2022 P/C 20DEC2019 20JUN2020 </v>
          </cell>
          <cell r="F71">
            <v>44733</v>
          </cell>
          <cell r="G71" t="str">
            <v>0.00</v>
          </cell>
          <cell r="H71" t="str">
            <v>21-Jun-2022</v>
          </cell>
          <cell r="I71" t="str">
            <v>0.00% HERO SOLAR ENERGY PRIVATE LIMITED (21-Jun-2022)</v>
          </cell>
          <cell r="J71" t="str">
            <v>0.00% Hero Solar Energy Private Limited (21-Jun-2022)</v>
          </cell>
          <cell r="K71" t="str">
            <v>0.00% Hero Solar Energy Private Limited (21-Jun-2022) **</v>
          </cell>
        </row>
        <row r="72">
          <cell r="B72" t="str">
            <v>INE918T07020</v>
          </cell>
          <cell r="C72" t="str">
            <v>ZERO</v>
          </cell>
          <cell r="D72" t="str">
            <v xml:space="preserve">HERO WIND ENERGY PVT LTD                        </v>
          </cell>
          <cell r="E72" t="str">
            <v xml:space="preserve">0% HEROWIND (08FEB2022 P/C 07FEB2020)           </v>
          </cell>
          <cell r="F72">
            <v>44600</v>
          </cell>
          <cell r="G72" t="str">
            <v>0.00</v>
          </cell>
          <cell r="H72" t="str">
            <v>08-Feb-2022</v>
          </cell>
          <cell r="I72" t="str">
            <v>0.00% HERO WIND ENERGY PVT LTD (08-Feb-2022)</v>
          </cell>
          <cell r="J72" t="str">
            <v>0.00% Hero Wind Energy Pvt Ltd (08-Feb-2022)</v>
          </cell>
          <cell r="K72" t="str">
            <v>0.00% Hero Wind Energy Pvt Ltd (08-Feb-2022) **</v>
          </cell>
        </row>
        <row r="73">
          <cell r="B73" t="str">
            <v>INE918T07038</v>
          </cell>
          <cell r="C73" t="str">
            <v>ZERO</v>
          </cell>
          <cell r="D73" t="str">
            <v xml:space="preserve">HERO WIND ENERGY PVT LTD                        </v>
          </cell>
          <cell r="E73" t="str">
            <v>0% HEROWIND (21JUN2022 P/C 20DEC2019 20JUN2020 2</v>
          </cell>
          <cell r="F73">
            <v>44733</v>
          </cell>
          <cell r="G73" t="str">
            <v>0.00</v>
          </cell>
          <cell r="H73" t="str">
            <v>21-Jun-2022</v>
          </cell>
          <cell r="I73" t="str">
            <v>0.00% HERO WIND ENERGY PVT LTD (21-Jun-2022)</v>
          </cell>
          <cell r="J73" t="str">
            <v>0.00% Hero Wind Energy Pvt Ltd (21-Jun-2022)</v>
          </cell>
          <cell r="K73" t="str">
            <v>0.00% Hero Wind Energy Pvt Ltd (21-Jun-2022) **</v>
          </cell>
        </row>
        <row r="74">
          <cell r="B74" t="e">
            <v>#N/A</v>
          </cell>
          <cell r="C74" t="e">
            <v>#N/A</v>
          </cell>
          <cell r="D74" t="e">
            <v>#N/A</v>
          </cell>
          <cell r="E74" t="e">
            <v>#N/A</v>
          </cell>
          <cell r="F74">
            <v>43563</v>
          </cell>
          <cell r="G74" t="str">
            <v>0.00</v>
          </cell>
          <cell r="H74" t="str">
            <v>08-Apr-2019</v>
          </cell>
          <cell r="I74" t="e">
            <v>#N/A</v>
          </cell>
          <cell r="J74" t="e">
            <v>#N/A</v>
          </cell>
          <cell r="K74" t="e">
            <v>#N/A</v>
          </cell>
        </row>
        <row r="75">
          <cell r="B75" t="e">
            <v>#N/A</v>
          </cell>
          <cell r="C75" t="e">
            <v>#N/A</v>
          </cell>
          <cell r="D75" t="e">
            <v>#N/A</v>
          </cell>
          <cell r="E75" t="e">
            <v>#N/A</v>
          </cell>
          <cell r="F75">
            <v>44006</v>
          </cell>
          <cell r="G75" t="str">
            <v>0.00</v>
          </cell>
          <cell r="H75" t="str">
            <v>24-Jun-2020</v>
          </cell>
          <cell r="I75" t="e">
            <v>#N/A</v>
          </cell>
          <cell r="J75" t="e">
            <v>#N/A</v>
          </cell>
          <cell r="K75" t="e">
            <v>#N/A</v>
          </cell>
        </row>
        <row r="76">
          <cell r="B76" t="str">
            <v>INE567W07011</v>
          </cell>
          <cell r="C76" t="str">
            <v>CRPN</v>
          </cell>
          <cell r="D76" t="str">
            <v xml:space="preserve">GREENKO SOLAR ENERGY PRIVATE LIMITED            </v>
          </cell>
          <cell r="E76" t="str">
            <v xml:space="preserve">13.15% GREENKO SOLAR 18MAY2020 (CO 13FEB2020)   </v>
          </cell>
          <cell r="F76">
            <v>43969</v>
          </cell>
          <cell r="G76">
            <v>13.15</v>
          </cell>
          <cell r="H76" t="str">
            <v>18-May-2020</v>
          </cell>
          <cell r="I76" t="str">
            <v>13.15% GREENKO SOLAR ENERGY PRIVATE LIMITED (18-May-2020)</v>
          </cell>
          <cell r="J76" t="str">
            <v>13.15% Greenko Solar Energy Private Limited (18-May-2020)</v>
          </cell>
          <cell r="K76" t="str">
            <v>13.15% Greenko Solar Energy Private Limited (18-May-2020) **</v>
          </cell>
        </row>
        <row r="77">
          <cell r="B77" t="str">
            <v>INE528G08352</v>
          </cell>
          <cell r="C77" t="str">
            <v>PERP</v>
          </cell>
          <cell r="D77" t="str">
            <v xml:space="preserve">YES BANK LTD                                    </v>
          </cell>
          <cell r="E77" t="str">
            <v xml:space="preserve">9.50% YES BANK PERPERTUAL (CO 23DEC2021)        </v>
          </cell>
          <cell r="F77">
            <v>44553</v>
          </cell>
          <cell r="G77" t="str">
            <v>9.50</v>
          </cell>
          <cell r="H77" t="str">
            <v>23-Dec-2021</v>
          </cell>
          <cell r="I77" t="str">
            <v>9.50% YES BANK LTD (23-Dec-2021)</v>
          </cell>
          <cell r="J77" t="str">
            <v>9.50% Yes Bank Ltd (23-12-2021)</v>
          </cell>
          <cell r="K77" t="str">
            <v>9.50% Yes Bank Ltd (23-12-2021) **</v>
          </cell>
        </row>
        <row r="78">
          <cell r="B78" t="str">
            <v>INE906B07FE6</v>
          </cell>
          <cell r="C78" t="str">
            <v>CRPN</v>
          </cell>
          <cell r="D78" t="str">
            <v xml:space="preserve">NATIONAL HIGHWAYS AUTHORITY OF INDIA            </v>
          </cell>
          <cell r="E78" t="str">
            <v xml:space="preserve">7.17% NHAI (23DEC2021)                          </v>
          </cell>
          <cell r="F78">
            <v>44553</v>
          </cell>
          <cell r="G78">
            <v>7.17</v>
          </cell>
          <cell r="H78" t="str">
            <v>23-Dec-2021</v>
          </cell>
          <cell r="I78" t="str">
            <v>7.17% NATIONAL HIGHWAYS AUTHORITY OF INDIA (23-Dec-2021)</v>
          </cell>
          <cell r="J78" t="str">
            <v>7.17% National Highways Authority Of India (23-Dec-2021)</v>
          </cell>
          <cell r="K78" t="str">
            <v>7.17% National Highways Authority Of India (23-Dec-2021) **</v>
          </cell>
        </row>
        <row r="79">
          <cell r="B79" t="str">
            <v>INE081A08207</v>
          </cell>
          <cell r="C79" t="str">
            <v>CRPN</v>
          </cell>
          <cell r="D79" t="str">
            <v xml:space="preserve">TATA STEEL LTD                                  </v>
          </cell>
          <cell r="E79" t="str">
            <v xml:space="preserve">9.15%  TATA STEEL (25JAN2021)                   </v>
          </cell>
          <cell r="F79">
            <v>44220</v>
          </cell>
          <cell r="G79" t="str">
            <v>9.15</v>
          </cell>
          <cell r="H79" t="str">
            <v>24-Jan-2021</v>
          </cell>
          <cell r="I79" t="str">
            <v>9.15% TATA STEEL LTD (24-Jan-2021)</v>
          </cell>
          <cell r="J79" t="str">
            <v>9.15% Tata Steel Ltd (24-Jan-2021)</v>
          </cell>
          <cell r="K79" t="str">
            <v>9.15% Tata Steel Ltd (24-Jan-2021) **</v>
          </cell>
        </row>
        <row r="80">
          <cell r="B80" t="str">
            <v>INE053F07942</v>
          </cell>
          <cell r="C80" t="str">
            <v>CRPN</v>
          </cell>
          <cell r="D80" t="str">
            <v xml:space="preserve">INDIAN RAILWAY FINANCE CORP LTD                 </v>
          </cell>
          <cell r="E80" t="str">
            <v xml:space="preserve">6.70% IRFC (24NOV2021)                          </v>
          </cell>
          <cell r="F80">
            <v>44524</v>
          </cell>
          <cell r="G80" t="str">
            <v>6.70</v>
          </cell>
          <cell r="H80" t="str">
            <v>24-Nov-2021</v>
          </cell>
          <cell r="I80" t="str">
            <v>6.70% INDIAN RAILWAY FINANCE CORP LTD (24-Nov-2021)</v>
          </cell>
          <cell r="J80" t="str">
            <v>6.70% Indian Railway Finance Corp Ltd (24-Nov-2021)</v>
          </cell>
          <cell r="K80" t="str">
            <v>6.70% Indian Railway Finance Corp Ltd (24-Nov-2021) **</v>
          </cell>
        </row>
        <row r="81">
          <cell r="B81" t="str">
            <v>INE311S08150</v>
          </cell>
          <cell r="C81" t="str">
            <v>CFLT</v>
          </cell>
          <cell r="D81" t="str">
            <v xml:space="preserve">MA MULTI-TRADE PVT LTD                          </v>
          </cell>
          <cell r="E81" t="str">
            <v>9.80% MA MULTI SERIES B2 17FEB2020 (P/C 16FEB201</v>
          </cell>
          <cell r="F81">
            <v>43878</v>
          </cell>
          <cell r="G81" t="str">
            <v>9.80</v>
          </cell>
          <cell r="H81" t="str">
            <v>17-Feb-2020</v>
          </cell>
          <cell r="I81" t="str">
            <v>9.80% MA MULTI-TRADE PVT LTD (17-Feb-2020)</v>
          </cell>
          <cell r="J81" t="str">
            <v>9.80% Ma Multi-Trade Pvt Ltd  Series B2 (17-Feb-2020)</v>
          </cell>
          <cell r="K81" t="str">
            <v>9.80% Ma Multi-Trade Pvt Ltd  Series B2 (17-Feb-2020) **</v>
          </cell>
        </row>
        <row r="82">
          <cell r="B82" t="str">
            <v>INE311S08143</v>
          </cell>
          <cell r="C82" t="str">
            <v>CRPN</v>
          </cell>
          <cell r="D82" t="str">
            <v xml:space="preserve">MA MULTI-TRADE PVT LTD                          </v>
          </cell>
          <cell r="E82" t="str">
            <v>9.8% MA MULTI SERIES B1 17FEB2020 (P/C 15FEB2019</v>
          </cell>
          <cell r="F82">
            <v>43878</v>
          </cell>
          <cell r="G82" t="str">
            <v>9.80</v>
          </cell>
          <cell r="H82" t="str">
            <v>17-Feb-2020</v>
          </cell>
          <cell r="I82" t="str">
            <v>9.80% MA MULTI-TRADE PVT LTD (17-Feb-2020)</v>
          </cell>
          <cell r="J82" t="str">
            <v>9.80% Ma Multi-Trade Pvt Ltd Series B1 (17-Feb-2020)</v>
          </cell>
          <cell r="K82" t="str">
            <v>9.80% Ma Multi-Trade Pvt Ltd Series B1 (17-Feb-2020) **</v>
          </cell>
        </row>
        <row r="83">
          <cell r="B83" t="str">
            <v>INE529N07010</v>
          </cell>
          <cell r="C83" t="str">
            <v>CRPN</v>
          </cell>
          <cell r="D83" t="str">
            <v xml:space="preserve">GREENKO WIND PROJECTS PVT LTD                   </v>
          </cell>
          <cell r="E83" t="str">
            <v xml:space="preserve">12.25% GREENKO WIND (13DEC2019)                 </v>
          </cell>
          <cell r="F83">
            <v>43813</v>
          </cell>
          <cell r="G83" t="str">
            <v>12.25</v>
          </cell>
          <cell r="H83" t="str">
            <v>14-Dec-2019</v>
          </cell>
          <cell r="I83" t="str">
            <v>12.25% GREENKO WIND PROJECTS PVT LTD (14-Dec-2019)</v>
          </cell>
          <cell r="J83" t="str">
            <v>12.25% Greenko Wind Projects Pvt Ltd (14-Dec-2019)</v>
          </cell>
          <cell r="K83" t="str">
            <v>12.25% Greenko Wind Projects Pvt Ltd (14-Dec-2019) **</v>
          </cell>
        </row>
        <row r="84">
          <cell r="B84" t="str">
            <v>INE680R07012</v>
          </cell>
          <cell r="C84" t="str">
            <v>CFLT</v>
          </cell>
          <cell r="D84" t="str">
            <v xml:space="preserve">PIRAMAL REALTY PRIVATE LIMITED                  </v>
          </cell>
          <cell r="E84" t="str">
            <v>9.60 PIRAMAL REALTY SERIES I 13MAR2020 (P/C RATE</v>
          </cell>
          <cell r="F84">
            <v>43903</v>
          </cell>
          <cell r="G84" t="str">
            <v>10.90</v>
          </cell>
          <cell r="H84" t="str">
            <v>13-Mar-2020</v>
          </cell>
          <cell r="I84" t="str">
            <v>10.90% PIRAMAL REALTY PRIVATE LIMITED (13-Mar-2020)</v>
          </cell>
          <cell r="J84" t="str">
            <v>10.90% Piramal Realty Private Limited (13-Mar-2020)</v>
          </cell>
          <cell r="K84" t="str">
            <v>10.90% Piramal Realty Private Limited (13-Mar-2020) **</v>
          </cell>
        </row>
        <row r="85">
          <cell r="B85" t="str">
            <v>INE296A07ON7</v>
          </cell>
          <cell r="C85" t="str">
            <v>CRPN</v>
          </cell>
          <cell r="D85" t="str">
            <v xml:space="preserve">BAJAJ FINANCE LTD                               </v>
          </cell>
          <cell r="E85" t="str">
            <v xml:space="preserve">7.8535% BAJAJ FINANCE (07APR2020)               </v>
          </cell>
          <cell r="F85">
            <v>43928</v>
          </cell>
          <cell r="G85" t="str">
            <v>7.8535</v>
          </cell>
          <cell r="H85" t="str">
            <v>07-Apr-2020</v>
          </cell>
          <cell r="I85" t="str">
            <v>7.8535% BAJAJ FINANCE LTD (07-Apr-2020)</v>
          </cell>
          <cell r="J85" t="str">
            <v>7.8535% Bajaj Finance Ltd (07-Apr-2020)</v>
          </cell>
          <cell r="K85" t="str">
            <v>7.8535% Bajaj Finance Ltd (07-Apr-2020) **</v>
          </cell>
        </row>
        <row r="86">
          <cell r="B86" t="str">
            <v>INE567W07029</v>
          </cell>
          <cell r="C86" t="str">
            <v>CRPN</v>
          </cell>
          <cell r="D86" t="str">
            <v xml:space="preserve">GREENKO SOLAR ENERGY PRIVATE LIMITED            </v>
          </cell>
          <cell r="E86" t="str">
            <v>13.15% GREENKO SOLAR 15JUN2020 (CO 14MAR18 14SEP</v>
          </cell>
          <cell r="F86">
            <v>43997</v>
          </cell>
          <cell r="G86" t="str">
            <v>13.15</v>
          </cell>
          <cell r="H86" t="str">
            <v>15-Jun-2020</v>
          </cell>
          <cell r="I86" t="str">
            <v>13.15% GREENKO SOLAR ENERGY PRIVATE LIMITED (15-Jun-2020)</v>
          </cell>
          <cell r="J86" t="str">
            <v>13.15% Greenko Solar Energy Private Limited (15-Jun-2020)</v>
          </cell>
          <cell r="K86" t="str">
            <v>13.15% Greenko Solar Energy Private Limited (15-Jun-2020) **</v>
          </cell>
        </row>
        <row r="87">
          <cell r="B87" t="str">
            <v>INE001A07QF2</v>
          </cell>
          <cell r="C87" t="str">
            <v>CRPN</v>
          </cell>
          <cell r="D87" t="str">
            <v xml:space="preserve">HOUSING DEVELOPMENT FINANCE CORP LTD            </v>
          </cell>
          <cell r="E87" t="str">
            <v xml:space="preserve">7.78% HDFC (24MAR2020)                          </v>
          </cell>
          <cell r="F87">
            <v>43914</v>
          </cell>
          <cell r="G87" t="str">
            <v>7.78</v>
          </cell>
          <cell r="H87" t="str">
            <v>24-Mar-2020</v>
          </cell>
          <cell r="I87" t="str">
            <v>7.78% HOUSING DEVELOPMENT FINANCE CORP LTD (24-Mar-2020)</v>
          </cell>
          <cell r="J87" t="str">
            <v>7.78% Housing Development Finance Corp Ltd (24-Mar-2020)</v>
          </cell>
          <cell r="K87" t="str">
            <v>7.78% Housing Development Finance Corp Ltd (24-Mar-2020) **</v>
          </cell>
        </row>
        <row r="88">
          <cell r="B88" t="str">
            <v>INE053F07959</v>
          </cell>
          <cell r="C88" t="str">
            <v>CRPN</v>
          </cell>
          <cell r="D88" t="str">
            <v xml:space="preserve">INDIAN RAILWAY FINANCE CORP LTD                 </v>
          </cell>
          <cell r="E88" t="str">
            <v xml:space="preserve">6.73% IRFC (23MAR2020)                          </v>
          </cell>
          <cell r="F88">
            <v>43913</v>
          </cell>
          <cell r="G88" t="str">
            <v>6.73</v>
          </cell>
          <cell r="H88" t="str">
            <v>23-Mar-2020</v>
          </cell>
          <cell r="I88" t="str">
            <v>6.73% INDIAN RAILWAY FINANCE CORP LTD (23-Mar-2020)</v>
          </cell>
          <cell r="J88" t="str">
            <v>6.73% Indian Railway Finance Corp Ltd (23-Mar-2020)</v>
          </cell>
          <cell r="K88" t="str">
            <v>6.73% Indian Railway Finance Corp Ltd (23-Mar-2020) **</v>
          </cell>
        </row>
        <row r="89">
          <cell r="B89" t="str">
            <v>INE916DA7MX1</v>
          </cell>
          <cell r="C89" t="str">
            <v>CRPN</v>
          </cell>
          <cell r="D89" t="str">
            <v xml:space="preserve">KOTAK MAHINDRA PRIME LTD                        </v>
          </cell>
          <cell r="E89" t="str">
            <v xml:space="preserve">7.8526% KMP (07APR2020)                         </v>
          </cell>
          <cell r="F89">
            <v>43928</v>
          </cell>
          <cell r="G89" t="str">
            <v>7.8526</v>
          </cell>
          <cell r="H89" t="str">
            <v>07-Apr-2020</v>
          </cell>
          <cell r="I89" t="str">
            <v>7.8526% KOTAK MAHINDRA PRIME LTD (07-Apr-2020)</v>
          </cell>
          <cell r="J89" t="str">
            <v>7.8526% Kotak Mahindra Prime Ltd (07-Apr-2020)</v>
          </cell>
          <cell r="K89" t="str">
            <v>7.8526% Kotak Mahindra Prime Ltd (07-Apr-2020) **</v>
          </cell>
        </row>
        <row r="90">
          <cell r="B90" t="str">
            <v>INE115A07LK1</v>
          </cell>
          <cell r="C90" t="str">
            <v>CRPN</v>
          </cell>
          <cell r="D90" t="str">
            <v xml:space="preserve">LIC HOUSING FINANCE LTD                         </v>
          </cell>
          <cell r="E90" t="str">
            <v xml:space="preserve">7.80% LIC HOUSING FINANCE (19MAR2020)           </v>
          </cell>
          <cell r="F90">
            <v>43909</v>
          </cell>
          <cell r="G90" t="str">
            <v>7.80</v>
          </cell>
          <cell r="H90" t="str">
            <v>19-Mar-2020</v>
          </cell>
          <cell r="I90" t="str">
            <v>7.80% LIC HOUSING FINANCE LTD (19-Mar-2020)</v>
          </cell>
          <cell r="J90" t="str">
            <v>7.80% LIC Housing Finance Ltd (19-Mar-2020)</v>
          </cell>
          <cell r="K90" t="str">
            <v>7.80% LIC Housing Finance Ltd (19-Mar-2020) **</v>
          </cell>
        </row>
        <row r="91">
          <cell r="B91" t="str">
            <v>INE261F08477</v>
          </cell>
          <cell r="C91" t="str">
            <v>CRPN</v>
          </cell>
          <cell r="D91" t="str">
            <v>NATIONAL BANK FOR AGRICULTURE AND RURAL DEVELOPMENT</v>
          </cell>
          <cell r="E91" t="str">
            <v xml:space="preserve">8.15% NABARD (04MAR2020 PO 04MAY2018)           </v>
          </cell>
          <cell r="F91">
            <v>43894</v>
          </cell>
          <cell r="G91" t="str">
            <v>8.15</v>
          </cell>
          <cell r="H91" t="str">
            <v>04-Mar-2020</v>
          </cell>
          <cell r="I91" t="str">
            <v>8.15% NATIONAL BANK FOR AGRICULTURE AND RURAL DEVELOPMENT (04-Mar-2020)</v>
          </cell>
          <cell r="J91" t="str">
            <v>8.15% National Bank For Agriculture And Rural Development (04-Mar-2020)</v>
          </cell>
          <cell r="K91" t="str">
            <v>8.15% National Bank For Agriculture And Rural Development (04-Mar-2020) **</v>
          </cell>
        </row>
        <row r="92">
          <cell r="B92" t="str">
            <v>INE733E07CF2</v>
          </cell>
          <cell r="C92" t="str">
            <v>CRPN</v>
          </cell>
          <cell r="D92" t="str">
            <v xml:space="preserve">NTPC LTD                                        </v>
          </cell>
          <cell r="E92" t="str">
            <v xml:space="preserve">8.78% NTPC (09MR2020)                           </v>
          </cell>
          <cell r="F92">
            <v>43899</v>
          </cell>
          <cell r="G92" t="str">
            <v>8.78</v>
          </cell>
          <cell r="H92" t="str">
            <v>09-Mar-2020</v>
          </cell>
          <cell r="I92" t="str">
            <v>8.78% NTPC LTD (09-Mar-2020)</v>
          </cell>
          <cell r="J92" t="str">
            <v>8.78% NTPC Ltd (09-Mar-2020)</v>
          </cell>
          <cell r="K92" t="str">
            <v>8.78% NTPC Ltd (09-Mar-2020) **</v>
          </cell>
        </row>
        <row r="93">
          <cell r="B93" t="str">
            <v>INE134E08GX5</v>
          </cell>
          <cell r="C93" t="str">
            <v>CRPN</v>
          </cell>
          <cell r="D93" t="str">
            <v xml:space="preserve">POWER FINANCE CORP LTD                          </v>
          </cell>
          <cell r="E93" t="str">
            <v xml:space="preserve">8.36% PFC (26FEB2020)                           </v>
          </cell>
          <cell r="F93">
            <v>43887</v>
          </cell>
          <cell r="G93" t="str">
            <v>8.36</v>
          </cell>
          <cell r="H93" t="str">
            <v>26-Feb-2020</v>
          </cell>
          <cell r="I93" t="str">
            <v>8.36% POWER FINANCE CORP LTD (26-Feb-2020)</v>
          </cell>
          <cell r="J93" t="str">
            <v>8.36% Power Finance Corp Ltd (26-Feb-2020)</v>
          </cell>
          <cell r="K93" t="str">
            <v>8.36% Power Finance Corp Ltd (26-Feb-2020) **</v>
          </cell>
        </row>
        <row r="94">
          <cell r="B94" t="str">
            <v>INE752E07MI5</v>
          </cell>
          <cell r="C94" t="str">
            <v>CRPN</v>
          </cell>
          <cell r="D94" t="str">
            <v xml:space="preserve">POWER GRID CORP OF INDIA LTD                    </v>
          </cell>
          <cell r="E94" t="str">
            <v xml:space="preserve">8.15% PGC (09MAR2020)                           </v>
          </cell>
          <cell r="F94">
            <v>43899</v>
          </cell>
          <cell r="G94" t="str">
            <v>8.15</v>
          </cell>
          <cell r="H94" t="str">
            <v>09-Mar-2020</v>
          </cell>
          <cell r="I94" t="str">
            <v>8.15% POWER GRID CORP OF INDIA LTD (09-Mar-2020)</v>
          </cell>
          <cell r="J94" t="str">
            <v>8.15% Power Grid Corp Of India Ltd (09-Mar-2020)</v>
          </cell>
          <cell r="K94" t="str">
            <v>8.15% Power Grid Corp Of India Ltd (09-Mar-2020) **</v>
          </cell>
        </row>
        <row r="95">
          <cell r="B95" t="str">
            <v>INE020B08823</v>
          </cell>
          <cell r="C95" t="str">
            <v>CRPN</v>
          </cell>
          <cell r="D95" t="str">
            <v xml:space="preserve">REC LTD                                         </v>
          </cell>
          <cell r="E95" t="str">
            <v xml:space="preserve">8.87% REC (08MAR2020)                           </v>
          </cell>
          <cell r="F95">
            <v>43898</v>
          </cell>
          <cell r="G95" t="str">
            <v>8.87</v>
          </cell>
          <cell r="H95" t="str">
            <v>08-Mar-2020</v>
          </cell>
          <cell r="I95" t="str">
            <v>8.87% REC LTD (08-Mar-2020)</v>
          </cell>
          <cell r="J95" t="str">
            <v>8.87% Rec Ltd (08-Mar-2020)</v>
          </cell>
          <cell r="K95" t="str">
            <v>8.87% Rec Ltd (08-Mar-2020) **</v>
          </cell>
        </row>
        <row r="96">
          <cell r="B96" t="str">
            <v>INE895D08766</v>
          </cell>
          <cell r="C96" t="str">
            <v>CRPN</v>
          </cell>
          <cell r="D96" t="str">
            <v xml:space="preserve">TATA SONS PVT LTD                               </v>
          </cell>
          <cell r="E96" t="str">
            <v xml:space="preserve">7.90% TATA SONS (06MAR2020)                     </v>
          </cell>
          <cell r="F96">
            <v>43896</v>
          </cell>
          <cell r="G96" t="str">
            <v>7.90</v>
          </cell>
          <cell r="H96" t="str">
            <v>06-Mar-2020</v>
          </cell>
          <cell r="I96" t="str">
            <v>7.90% TATA SONS PVT LTD (06-Mar-2020)</v>
          </cell>
          <cell r="J96" t="str">
            <v>7.90% Tata Sons Pvt Ltd (06-Mar-2020)</v>
          </cell>
          <cell r="K96" t="str">
            <v>7.90% Tata Sons Pvt Ltd (06-Mar-2020) **</v>
          </cell>
        </row>
        <row r="97">
          <cell r="B97" t="str">
            <v>INE081T07027</v>
          </cell>
          <cell r="C97" t="str">
            <v>CFLT</v>
          </cell>
          <cell r="D97" t="str">
            <v xml:space="preserve">AASAN CORPORATE SOLUTIONS PVT LTD               </v>
          </cell>
          <cell r="E97" t="str">
            <v>9.60 AASAN SERIES II 13MAR2020 (P/C RATE REST EV</v>
          </cell>
          <cell r="F97">
            <v>43903</v>
          </cell>
          <cell r="G97" t="str">
            <v>10.90</v>
          </cell>
          <cell r="H97" t="str">
            <v>13-Mar-2020</v>
          </cell>
          <cell r="I97" t="str">
            <v>10.90% AASAN CORPORATE SOLUTIONS PVT LTD (13-Mar-2020)</v>
          </cell>
          <cell r="J97" t="str">
            <v>10.90% Aasan Corporate Solutions Pvt Ltd (13-Mar-2020)</v>
          </cell>
          <cell r="K97" t="str">
            <v>10.90% Aasan Corporate Solutions Pvt Ltd (13-Mar-2020) **</v>
          </cell>
        </row>
        <row r="98">
          <cell r="B98" t="e">
            <v>#N/A</v>
          </cell>
          <cell r="C98" t="e">
            <v>#N/A</v>
          </cell>
          <cell r="D98" t="e">
            <v>#N/A</v>
          </cell>
          <cell r="E98" t="e">
            <v>#N/A</v>
          </cell>
          <cell r="F98">
            <v>43951</v>
          </cell>
          <cell r="G98" t="str">
            <v>0.00</v>
          </cell>
          <cell r="H98" t="str">
            <v>30-Apr-2020</v>
          </cell>
          <cell r="I98" t="e">
            <v>#N/A</v>
          </cell>
          <cell r="J98" t="str">
            <v>0.00% RKN Retail Pvt Ltd Tranche 1 (30-Apr-2020)</v>
          </cell>
          <cell r="K98" t="e">
            <v>#N/A</v>
          </cell>
        </row>
        <row r="99">
          <cell r="B99" t="e">
            <v>#N/A</v>
          </cell>
          <cell r="C99" t="e">
            <v>#N/A</v>
          </cell>
          <cell r="D99" t="e">
            <v>#N/A</v>
          </cell>
          <cell r="E99" t="e">
            <v>#N/A</v>
          </cell>
          <cell r="F99">
            <v>44775</v>
          </cell>
          <cell r="G99" t="str">
            <v>0.00</v>
          </cell>
          <cell r="H99" t="str">
            <v>02-Aug-2022</v>
          </cell>
          <cell r="I99" t="e">
            <v>#N/A</v>
          </cell>
          <cell r="J99" t="e">
            <v>#N/A</v>
          </cell>
          <cell r="K99" t="e">
            <v>#N/A</v>
          </cell>
        </row>
        <row r="100">
          <cell r="B100" t="e">
            <v>#N/A</v>
          </cell>
          <cell r="C100" t="e">
            <v>#N/A</v>
          </cell>
          <cell r="D100" t="e">
            <v>#N/A</v>
          </cell>
          <cell r="E100" t="e">
            <v>#N/A</v>
          </cell>
          <cell r="F100">
            <v>44043</v>
          </cell>
          <cell r="G100" t="str">
            <v>0.00</v>
          </cell>
          <cell r="H100" t="str">
            <v>31-Jul-2020</v>
          </cell>
          <cell r="I100" t="e">
            <v>#N/A</v>
          </cell>
          <cell r="J100" t="e">
            <v>#N/A</v>
          </cell>
          <cell r="K100" t="e">
            <v>#N/A</v>
          </cell>
        </row>
        <row r="101">
          <cell r="B101" t="str">
            <v>INE514E08FL5</v>
          </cell>
          <cell r="C101" t="str">
            <v>PERP</v>
          </cell>
          <cell r="D101" t="str">
            <v xml:space="preserve">EXPORT-IMPORT BANK OF INDIA                     </v>
          </cell>
          <cell r="E101" t="str">
            <v xml:space="preserve">8.60% EXIM AT1 (CO 31MAR2022)                   </v>
          </cell>
          <cell r="F101">
            <v>44651</v>
          </cell>
          <cell r="G101" t="str">
            <v>8.60</v>
          </cell>
          <cell r="H101" t="str">
            <v>31-Mar-2022</v>
          </cell>
          <cell r="I101" t="str">
            <v>8.60% EXPORT-IMPORT BANK OF INDIA (31-Mar-2022)</v>
          </cell>
          <cell r="J101" t="str">
            <v>8.60% Export-Import Bank Of India (31-Mar-2022)</v>
          </cell>
          <cell r="K101" t="str">
            <v>8.60% Export-Import Bank Of India (31-Mar-2022) **</v>
          </cell>
        </row>
        <row r="102">
          <cell r="B102" t="str">
            <v>INE321N07244</v>
          </cell>
          <cell r="C102" t="str">
            <v>ZERO</v>
          </cell>
          <cell r="D102" t="str">
            <v xml:space="preserve">KKR INDIA FINANCIAL SERVICES PVT LTD            </v>
          </cell>
          <cell r="E102" t="str">
            <v xml:space="preserve">0% KKR SERIES II (10MAR2021)                    </v>
          </cell>
          <cell r="F102">
            <v>44265</v>
          </cell>
          <cell r="G102" t="str">
            <v>0.00</v>
          </cell>
          <cell r="H102" t="str">
            <v>10-Mar-2021</v>
          </cell>
          <cell r="I102" t="str">
            <v>0.00% KKR INDIA FINANCIAL SERVICES PVT LTD (10-Mar-2021)</v>
          </cell>
          <cell r="J102" t="str">
            <v>0.00% KKR India Financial Services Pvt Ltd (10-Mar-2021)</v>
          </cell>
          <cell r="K102" t="str">
            <v>0.00% KKR India Financial Services Pvt Ltd (10-Mar-2021) **</v>
          </cell>
        </row>
        <row r="103">
          <cell r="B103" t="e">
            <v>#N/A</v>
          </cell>
          <cell r="C103" t="e">
            <v>#N/A</v>
          </cell>
          <cell r="D103" t="e">
            <v>#N/A</v>
          </cell>
          <cell r="E103" t="e">
            <v>#N/A</v>
          </cell>
          <cell r="F103">
            <v>43951</v>
          </cell>
          <cell r="G103" t="str">
            <v>0.00</v>
          </cell>
          <cell r="H103" t="str">
            <v>30-Apr-2020</v>
          </cell>
          <cell r="I103" t="e">
            <v>#N/A</v>
          </cell>
          <cell r="J103" t="str">
            <v>0.00% RKN Retail Pvt Ltd Tranche 2 (30-Apr-2020)</v>
          </cell>
          <cell r="K103" t="e">
            <v>#N/A</v>
          </cell>
        </row>
        <row r="104">
          <cell r="B104" t="str">
            <v>INE146O08092</v>
          </cell>
          <cell r="C104" t="str">
            <v>CRPN</v>
          </cell>
          <cell r="D104" t="str">
            <v xml:space="preserve">HINDUJA LEYLAND FINANCE LTD                     </v>
          </cell>
          <cell r="E104" t="str">
            <v xml:space="preserve">11.10% HINDUJA LEYLAND SD (08APR2022)           </v>
          </cell>
          <cell r="F104">
            <v>44659</v>
          </cell>
          <cell r="G104" t="str">
            <v>11.10</v>
          </cell>
          <cell r="H104" t="str">
            <v>08-Apr-2022</v>
          </cell>
          <cell r="I104" t="str">
            <v>11.10% HINDUJA LEYLAND FINANCE LTD (08-Apr-2022)</v>
          </cell>
          <cell r="J104" t="str">
            <v>11.10% Hinduja Leyland Finance Ltd (08-Apr-2022)</v>
          </cell>
          <cell r="K104" t="str">
            <v>11.10% Hinduja Leyland Finance Ltd (08-Apr-2022) **</v>
          </cell>
        </row>
        <row r="105">
          <cell r="B105" t="str">
            <v>INE125X07016</v>
          </cell>
          <cell r="C105" t="str">
            <v>CRPN</v>
          </cell>
          <cell r="D105" t="str">
            <v xml:space="preserve">TRPL ROADWAYS PVT LTD                           </v>
          </cell>
          <cell r="E105" t="str">
            <v xml:space="preserve">9.75%  TRPL ROAD (25MAR2022 P/C 27MAR2020)      </v>
          </cell>
          <cell r="F105">
            <v>44645</v>
          </cell>
          <cell r="G105" t="str">
            <v>9.75</v>
          </cell>
          <cell r="H105" t="str">
            <v>25-Mar-2022</v>
          </cell>
          <cell r="I105" t="str">
            <v>9.75% TRPL ROADWAYS PVT LTD (25-Mar-2022)</v>
          </cell>
          <cell r="J105" t="str">
            <v>9.75% TRPL Roadways Pvt Ltd (25-Mar-2022)</v>
          </cell>
          <cell r="K105" t="str">
            <v>9.75% TRPL Roadways Pvt Ltd (25-Mar-2022) **</v>
          </cell>
        </row>
        <row r="106">
          <cell r="B106" t="str">
            <v>INE658R08032</v>
          </cell>
          <cell r="C106" t="str">
            <v>CRPN</v>
          </cell>
          <cell r="D106" t="str">
            <v xml:space="preserve">MOTILAL OSWAL HOME FINANCE LTD                  </v>
          </cell>
          <cell r="E106" t="str">
            <v>MOTILAL OSWAL HOME FINANCE LIMITED SR-B (2015-16</v>
          </cell>
          <cell r="F106">
            <v>44332</v>
          </cell>
          <cell r="G106" t="str">
            <v>11.00</v>
          </cell>
          <cell r="H106" t="str">
            <v>16-May-2021</v>
          </cell>
          <cell r="I106" t="str">
            <v>11.00% MOTILAL OSWAL HOME FINANCE LTD (16-May-2021)</v>
          </cell>
          <cell r="J106" t="str">
            <v>11.00% Motilal Oswal Home Finance Ltd (16-May-2021)</v>
          </cell>
          <cell r="K106" t="str">
            <v>11.00% Motilal Oswal Home Finance Ltd (16-May-2021) **</v>
          </cell>
        </row>
        <row r="107">
          <cell r="B107" t="str">
            <v>INE658R08024</v>
          </cell>
          <cell r="C107" t="str">
            <v>CRPN</v>
          </cell>
          <cell r="D107" t="str">
            <v xml:space="preserve">MOTILAL OSWAL HOME FINANCE LTD                  </v>
          </cell>
          <cell r="E107" t="str">
            <v>MOTILAL OSWAL HOME FINANCE LIMITED SR-B 11 NCD 0</v>
          </cell>
          <cell r="F107">
            <v>44319</v>
          </cell>
          <cell r="G107" t="str">
            <v>11.00</v>
          </cell>
          <cell r="H107" t="str">
            <v>03-May-2021</v>
          </cell>
          <cell r="I107" t="str">
            <v>11.00% MOTILAL OSWAL HOME FINANCE LTD (03-May-2021)</v>
          </cell>
          <cell r="J107" t="str">
            <v>11.00% Motilal Oswal Home Finance Ltd (03-May-2021)</v>
          </cell>
          <cell r="K107" t="str">
            <v>11.00% Motilal Oswal Home Finance Ltd (03-May-2021) **</v>
          </cell>
        </row>
        <row r="108">
          <cell r="B108" t="str">
            <v>INE311S08168</v>
          </cell>
          <cell r="C108" t="str">
            <v>CFLT</v>
          </cell>
          <cell r="D108" t="str">
            <v>MA MULTI-TRADE PVT LTD</v>
          </cell>
          <cell r="E108" t="str">
            <v>9.80% MA MULTI SERIES B3 17FEB2020 (P/C 18MAY201</v>
          </cell>
          <cell r="F108">
            <v>42942</v>
          </cell>
          <cell r="G108" t="str">
            <v>9.80</v>
          </cell>
          <cell r="H108" t="str">
            <v>26-Jul-2017</v>
          </cell>
          <cell r="I108" t="str">
            <v>9.80% MA MULTI-TRADE PVT LTD (26-Jul-2017)</v>
          </cell>
          <cell r="J108" t="str">
            <v>9.80% Ma Multi-Trade Pvt Ltd (26-Jul-2017)</v>
          </cell>
          <cell r="K108" t="str">
            <v>9.80% Ma Multi-Trade Pvt Ltd Series B (26-Jul-2017) **</v>
          </cell>
        </row>
        <row r="109">
          <cell r="B109" t="str">
            <v>INE321N07152</v>
          </cell>
          <cell r="C109" t="str">
            <v>ZERO</v>
          </cell>
          <cell r="D109" t="str">
            <v xml:space="preserve">KKR INDIA FINANCIAL SERVICES PVT LTD            </v>
          </cell>
          <cell r="E109" t="str">
            <v xml:space="preserve">0% KKR SERIES II (14APR2020)                    </v>
          </cell>
          <cell r="F109">
            <v>43935</v>
          </cell>
          <cell r="G109" t="str">
            <v>0.00</v>
          </cell>
          <cell r="H109" t="str">
            <v>14-Apr-2020</v>
          </cell>
          <cell r="I109" t="str">
            <v>0.00% KKR INDIA FINANCIAL SERVICES PVT LTD (14-Apr-2020)</v>
          </cell>
          <cell r="J109" t="str">
            <v>0.00% KKR India Financial Services Pvt Ltd (14-Apr-2020)</v>
          </cell>
          <cell r="K109" t="str">
            <v>0.00% KKR India Financial Services Pvt Ltd (14-Apr-2020) **</v>
          </cell>
        </row>
        <row r="110">
          <cell r="B110" t="str">
            <v>INE616U07036</v>
          </cell>
          <cell r="C110" t="str">
            <v>CRPN</v>
          </cell>
          <cell r="D110" t="str">
            <v xml:space="preserve">EDELWEISS RURAL &amp; CORPORATE SERVICES LTD        </v>
          </cell>
          <cell r="E110" t="str">
            <v>EDELWEISS RURAL &amp; CORPORATE SERVICES LIMITED 8.7</v>
          </cell>
          <cell r="F110">
            <v>46568</v>
          </cell>
          <cell r="G110" t="str">
            <v>8.70</v>
          </cell>
          <cell r="H110" t="str">
            <v>30-Jun-2027</v>
          </cell>
          <cell r="I110" t="str">
            <v>8.70% EDELWEISS RURAL &amp; CORPORATE SERVICES LTD (30-Jun-2027)</v>
          </cell>
          <cell r="J110" t="str">
            <v>8.70% Edelweiss Rural &amp; Corporate Services Ltd (30-Jun-2027)</v>
          </cell>
          <cell r="K110" t="str">
            <v>8.70% Edelweiss Rural &amp; Corporate Services Ltd (30-Jun-2027) **</v>
          </cell>
        </row>
        <row r="111">
          <cell r="B111" t="str">
            <v>INE657N07381</v>
          </cell>
          <cell r="C111" t="str">
            <v>CRPN</v>
          </cell>
          <cell r="D111" t="str">
            <v xml:space="preserve">EDELWEISS RURAL &amp; CORPORATE SERVICES LTD        </v>
          </cell>
          <cell r="E111" t="str">
            <v>8.7% EDELWEISS COMM (P/C 30JUN2020 30JUN2022 28J</v>
          </cell>
          <cell r="F111">
            <v>46568</v>
          </cell>
          <cell r="G111" t="str">
            <v>8.70</v>
          </cell>
          <cell r="H111" t="str">
            <v>30-Jun-2027</v>
          </cell>
          <cell r="I111" t="str">
            <v>8.70% EDELWEISS RURAL &amp; CORPORATE SERVICES LTD (30-Jun-2027)</v>
          </cell>
          <cell r="J111" t="str">
            <v>8.70% Edelweiss Rural &amp; Corporate Services Ltd (30-Jun-2027)</v>
          </cell>
          <cell r="K111" t="str">
            <v>8.70% Edelweiss Rural &amp; Corporate Services Ltd (30-Jun-2027) **</v>
          </cell>
        </row>
        <row r="112">
          <cell r="B112" t="str">
            <v>INE641O08035</v>
          </cell>
          <cell r="C112" t="str">
            <v>CRPN</v>
          </cell>
          <cell r="D112" t="str">
            <v xml:space="preserve">PIRAMAL CAPITAL &amp; HOUSING FINANCE LTD           </v>
          </cell>
          <cell r="E112" t="str">
            <v xml:space="preserve">9.55% PIRAMAL HFC SD 8MAR2027                   </v>
          </cell>
          <cell r="F112">
            <v>46454</v>
          </cell>
          <cell r="G112" t="str">
            <v>9.55</v>
          </cell>
          <cell r="H112" t="str">
            <v>08-Mar-2027</v>
          </cell>
          <cell r="I112" t="str">
            <v>9.55% PIRAMAL CAPITAL &amp; HOUSING FINANCE LTD (08-Mar-2027)</v>
          </cell>
          <cell r="J112" t="str">
            <v>9.55% Piramal Capital &amp; Housing Finance Ltd (08-Mar-2027)</v>
          </cell>
          <cell r="K112" t="str">
            <v>9.55% Piramal Capital &amp; Housing Finance Ltd (08-Mar-2027) **</v>
          </cell>
        </row>
        <row r="113">
          <cell r="B113" t="str">
            <v>INE976G08064</v>
          </cell>
          <cell r="C113" t="str">
            <v>CRPN</v>
          </cell>
          <cell r="D113" t="str">
            <v xml:space="preserve">RBL BANK LTD                                    </v>
          </cell>
          <cell r="E113" t="str">
            <v xml:space="preserve">10.20% RBL BANK (15APR2023)                     </v>
          </cell>
          <cell r="F113">
            <v>45031</v>
          </cell>
          <cell r="G113" t="str">
            <v>10.20</v>
          </cell>
          <cell r="H113" t="str">
            <v>15-Apr-2023</v>
          </cell>
          <cell r="I113" t="str">
            <v>10.20% RBL BANK LTD (15-Apr-2023)</v>
          </cell>
          <cell r="J113" t="str">
            <v>10.20% RBL Bank Ltd (15-Apr-2023)</v>
          </cell>
          <cell r="K113" t="str">
            <v>10.20% RBL Bank Ltd (15-Apr-2023) **</v>
          </cell>
        </row>
        <row r="114">
          <cell r="B114" t="str">
            <v>INE062A08124</v>
          </cell>
          <cell r="C114" t="str">
            <v>PERP</v>
          </cell>
          <cell r="D114" t="str">
            <v xml:space="preserve">STATE BANK OF INDIA                             </v>
          </cell>
          <cell r="E114" t="str">
            <v xml:space="preserve">9.0% SBI AT1 (CO 06SEP2021)                     </v>
          </cell>
          <cell r="F114">
            <v>44445</v>
          </cell>
          <cell r="G114" t="str">
            <v>9.00</v>
          </cell>
          <cell r="H114" t="str">
            <v>06-Sep-2021</v>
          </cell>
          <cell r="I114" t="str">
            <v>9.00% STATE BANK OF INDIA (06-Sep-2021)</v>
          </cell>
          <cell r="J114" t="str">
            <v>9.00% State Bank Of India (06-Sep-2021)</v>
          </cell>
          <cell r="K114" t="str">
            <v>9.00% State Bank Of India (06-Sep-2021) **</v>
          </cell>
        </row>
        <row r="115">
          <cell r="B115" t="e">
            <v>#N/A</v>
          </cell>
          <cell r="C115" t="e">
            <v>#N/A</v>
          </cell>
          <cell r="D115" t="e">
            <v>#N/A</v>
          </cell>
          <cell r="E115" t="e">
            <v>#N/A</v>
          </cell>
          <cell r="F115">
            <v>43671</v>
          </cell>
          <cell r="G115" t="str">
            <v>8.70</v>
          </cell>
          <cell r="H115" t="str">
            <v>25-Jul-2019</v>
          </cell>
          <cell r="I115" t="e">
            <v>#N/A</v>
          </cell>
          <cell r="J115" t="str">
            <v>8.70% JM Financial Products Ltd (25-Jul-2019)</v>
          </cell>
          <cell r="K115" t="e">
            <v>#N/A</v>
          </cell>
        </row>
        <row r="116">
          <cell r="B116" t="e">
            <v>#N/A</v>
          </cell>
          <cell r="C116" t="e">
            <v>#N/A</v>
          </cell>
          <cell r="D116" t="e">
            <v>#N/A</v>
          </cell>
          <cell r="E116" t="e">
            <v>#N/A</v>
          </cell>
          <cell r="F116">
            <v>43777</v>
          </cell>
          <cell r="G116" t="str">
            <v>8.70</v>
          </cell>
          <cell r="H116" t="str">
            <v>08-Nov-2019</v>
          </cell>
          <cell r="I116" t="e">
            <v>#N/A</v>
          </cell>
          <cell r="J116" t="str">
            <v>8.70% LIC Housing Finance Ltd (08-Nov-2019)</v>
          </cell>
          <cell r="K116" t="e">
            <v>#N/A</v>
          </cell>
        </row>
        <row r="117">
          <cell r="B117" t="e">
            <v>#N/A</v>
          </cell>
          <cell r="C117" t="e">
            <v>#N/A</v>
          </cell>
          <cell r="D117" t="e">
            <v>#N/A</v>
          </cell>
          <cell r="E117" t="e">
            <v>#N/A</v>
          </cell>
          <cell r="F117">
            <v>43613</v>
          </cell>
          <cell r="G117" t="str">
            <v>10.00</v>
          </cell>
          <cell r="H117" t="str">
            <v>28-May-2019</v>
          </cell>
          <cell r="I117" t="e">
            <v>#N/A</v>
          </cell>
          <cell r="J117" t="e">
            <v>#N/A</v>
          </cell>
          <cell r="K117" t="e">
            <v>#N/A</v>
          </cell>
        </row>
        <row r="118">
          <cell r="B118" t="str">
            <v>INE146O08100</v>
          </cell>
          <cell r="C118" t="str">
            <v>CRPN</v>
          </cell>
          <cell r="D118" t="str">
            <v xml:space="preserve">HINDUJA LEYLAND FINANCE LTD                     </v>
          </cell>
          <cell r="E118" t="str">
            <v>9.40% HINDUJA LEYLAND FIN SERIES I SD (28AUG2024</v>
          </cell>
          <cell r="F118">
            <v>45532</v>
          </cell>
          <cell r="G118" t="str">
            <v>9.40</v>
          </cell>
          <cell r="H118" t="str">
            <v>28-Aug-2024</v>
          </cell>
          <cell r="I118" t="str">
            <v>9.40% HINDUJA LEYLAND FINANCE LTD (28-Aug-2024)</v>
          </cell>
          <cell r="J118" t="str">
            <v>9.40% Hinduja Leyland Finance Ltd (28-Aug-2024)</v>
          </cell>
          <cell r="K118" t="str">
            <v>9.40% Hinduja Leyland Finance Ltd (28-Aug-2024) **</v>
          </cell>
        </row>
        <row r="119">
          <cell r="B119" t="e">
            <v>#N/A</v>
          </cell>
          <cell r="C119" t="e">
            <v>#N/A</v>
          </cell>
          <cell r="D119" t="e">
            <v>#N/A</v>
          </cell>
          <cell r="E119" t="e">
            <v>#N/A</v>
          </cell>
          <cell r="F119">
            <v>44620</v>
          </cell>
          <cell r="G119" t="str">
            <v>7.46</v>
          </cell>
          <cell r="H119" t="str">
            <v>28-Feb-2022</v>
          </cell>
          <cell r="I119" t="e">
            <v>#N/A</v>
          </cell>
          <cell r="J119" t="e">
            <v>#N/A</v>
          </cell>
          <cell r="K119" t="e">
            <v>#N/A</v>
          </cell>
        </row>
        <row r="120">
          <cell r="B120" t="str">
            <v>INE657N07407</v>
          </cell>
          <cell r="C120" t="str">
            <v>CRPN</v>
          </cell>
          <cell r="D120" t="str">
            <v xml:space="preserve">EDELWEISS RURAL &amp; CORPORATE SERVICES LTD        </v>
          </cell>
          <cell r="E120" t="str">
            <v xml:space="preserve">8.45% EDELWEISS COMM (11AUG2020)                </v>
          </cell>
          <cell r="F120">
            <v>44054</v>
          </cell>
          <cell r="G120" t="str">
            <v>8.45</v>
          </cell>
          <cell r="H120" t="str">
            <v>11-Aug-2020</v>
          </cell>
          <cell r="I120" t="str">
            <v>8.45% EDELWEISS RURAL &amp; CORPORATE SERVICES LTD (11-Aug-2020)</v>
          </cell>
          <cell r="J120" t="str">
            <v>8.45% Edelweiss Rural &amp; Corporate Services Ltd (11-Aug-2020)</v>
          </cell>
          <cell r="K120" t="str">
            <v>8.45% Edelweiss Rural &amp; Corporate Services Ltd (11-Aug-2020) **</v>
          </cell>
        </row>
        <row r="121">
          <cell r="B121" t="e">
            <v>#N/A</v>
          </cell>
          <cell r="C121" t="e">
            <v>#N/A</v>
          </cell>
          <cell r="D121" t="e">
            <v>#N/A</v>
          </cell>
          <cell r="E121" t="e">
            <v>#N/A</v>
          </cell>
          <cell r="F121">
            <v>43686</v>
          </cell>
          <cell r="G121" t="str">
            <v>8.40</v>
          </cell>
          <cell r="H121" t="str">
            <v>09-Aug-2019</v>
          </cell>
          <cell r="I121" t="e">
            <v>#N/A</v>
          </cell>
          <cell r="J121" t="e">
            <v>#N/A</v>
          </cell>
          <cell r="K121" t="e">
            <v>#N/A</v>
          </cell>
        </row>
        <row r="122">
          <cell r="B122" t="str">
            <v>INE115A07FQ0</v>
          </cell>
          <cell r="C122" t="str">
            <v>ZERO</v>
          </cell>
          <cell r="D122" t="str">
            <v xml:space="preserve">LIC HOUSING FINANCE LTD                         </v>
          </cell>
          <cell r="E122" t="str">
            <v xml:space="preserve">0% LIC HOUSING FINANCE (2SEP2019)               </v>
          </cell>
          <cell r="F122">
            <v>43710</v>
          </cell>
          <cell r="G122" t="str">
            <v>0.00</v>
          </cell>
          <cell r="H122" t="str">
            <v>02-Sep-2019</v>
          </cell>
          <cell r="I122" t="str">
            <v>0.00% LIC HOUSING FINANCE LTD (02-Sep-2019)</v>
          </cell>
          <cell r="J122" t="str">
            <v>0.00% LIC Housing Finance Ltd (02-Sep-2019)</v>
          </cell>
          <cell r="K122" t="str">
            <v>0.00% LIC Housing Finance Ltd (02-Sep-2019) **</v>
          </cell>
        </row>
        <row r="123">
          <cell r="B123" t="str">
            <v>INE598K07011</v>
          </cell>
          <cell r="C123" t="str">
            <v>CRPN</v>
          </cell>
          <cell r="D123" t="str">
            <v xml:space="preserve">PUNE SOLAPUR EXPRESSWAYS PVT LTD                </v>
          </cell>
          <cell r="E123" t="str">
            <v>9% PUNE SOLAPUR SERIES A 31MAR2029 (P/C 17SEPT20</v>
          </cell>
          <cell r="F123">
            <v>47208</v>
          </cell>
          <cell r="G123" t="str">
            <v>9.00</v>
          </cell>
          <cell r="H123" t="str">
            <v>31-Mar-2029</v>
          </cell>
          <cell r="I123" t="str">
            <v>9.00% PUNE SOLAPUR EXPRESSWAYS PVT LTD (31-Mar-2029)</v>
          </cell>
          <cell r="J123" t="str">
            <v>9.00% Pune Solapur Expressways Pvt Ltd Series A (31-Mar-2029)</v>
          </cell>
          <cell r="K123" t="str">
            <v>9.00% Pune Solapur Expressways Pvt Ltd Series A (31-Mar-2029) **</v>
          </cell>
        </row>
        <row r="124">
          <cell r="B124" t="str">
            <v>INE003S07189</v>
          </cell>
          <cell r="C124" t="str">
            <v>CRPN</v>
          </cell>
          <cell r="D124" t="str">
            <v xml:space="preserve">RENEW POWER LIMITED                             </v>
          </cell>
          <cell r="E124" t="str">
            <v>9.45% RENEW 31JUL2025 (CO 31JUL2021 P/C 31JUL202</v>
          </cell>
          <cell r="F124">
            <v>45869</v>
          </cell>
          <cell r="G124" t="str">
            <v>9.45</v>
          </cell>
          <cell r="H124" t="str">
            <v>31-Jul-2025</v>
          </cell>
          <cell r="I124" t="str">
            <v>9.45% RENEW POWER LIMITED (31-Jul-2025)</v>
          </cell>
          <cell r="J124" t="str">
            <v>9.45% Renew Power Limited (31-Jul-2025)</v>
          </cell>
          <cell r="K124" t="str">
            <v>9.45% Renew Power Limited (31-Jul-2025) **</v>
          </cell>
        </row>
        <row r="125">
          <cell r="B125" t="str">
            <v>INE423Y07013</v>
          </cell>
          <cell r="C125" t="str">
            <v>CRPN</v>
          </cell>
          <cell r="D125" t="str">
            <v xml:space="preserve">SMALL BUSINESS FINCREDIT INDIA PVT LTD          </v>
          </cell>
          <cell r="E125" t="str">
            <v xml:space="preserve">9.40% SBFPL 28SEP2020                           </v>
          </cell>
          <cell r="F125">
            <v>44102</v>
          </cell>
          <cell r="G125" t="str">
            <v>9.40</v>
          </cell>
          <cell r="H125" t="str">
            <v>28-Sep-2020</v>
          </cell>
          <cell r="I125" t="str">
            <v>9.40% SMALL BUSINESS FINCREDIT INDIA PVT LTD (28-Sep-2020)</v>
          </cell>
          <cell r="J125" t="str">
            <v>9.40% Small Business Fincredit India Pvt Ltd (28-Sep-2020)</v>
          </cell>
          <cell r="K125" t="str">
            <v>9.40% Small Business Fincredit India Pvt Ltd (28-Sep-2020) **</v>
          </cell>
        </row>
        <row r="126">
          <cell r="B126" t="str">
            <v>INE265J07183</v>
          </cell>
          <cell r="C126" t="str">
            <v>CRPN</v>
          </cell>
          <cell r="D126" t="str">
            <v xml:space="preserve">JM FINANCIAL ASSET RECONSTRUCTION CO LTD        </v>
          </cell>
          <cell r="E126" t="str">
            <v xml:space="preserve">9.10% JMARC (26SEP2019)                         </v>
          </cell>
          <cell r="F126">
            <v>43734</v>
          </cell>
          <cell r="G126" t="str">
            <v>9.10</v>
          </cell>
          <cell r="H126" t="str">
            <v>26-Sep-2019</v>
          </cell>
          <cell r="I126" t="str">
            <v>9.10% JM FINANCIAL ASSET RECONSTRUCTION CO LTD (26-Sep-2019)</v>
          </cell>
          <cell r="J126" t="str">
            <v>9.10% JM Financial Asset Reconstruction Co Ltd (26-Sep-2019)</v>
          </cell>
          <cell r="K126" t="str">
            <v>9.10% JM Financial Asset Reconstruction Co Ltd (26-Sep-2019) **</v>
          </cell>
        </row>
        <row r="127">
          <cell r="B127" t="e">
            <v>#N/A</v>
          </cell>
          <cell r="C127" t="e">
            <v>#N/A</v>
          </cell>
          <cell r="D127" t="e">
            <v>#N/A</v>
          </cell>
          <cell r="E127" t="e">
            <v>#N/A</v>
          </cell>
          <cell r="F127">
            <v>43616</v>
          </cell>
          <cell r="G127" t="str">
            <v>7.60</v>
          </cell>
          <cell r="H127" t="str">
            <v>31-May-2019</v>
          </cell>
          <cell r="I127" t="e">
            <v>#N/A</v>
          </cell>
          <cell r="J127" t="e">
            <v>#N/A</v>
          </cell>
          <cell r="K127" t="e">
            <v>#N/A</v>
          </cell>
        </row>
        <row r="128">
          <cell r="B128" t="str">
            <v>INE053F07AC3</v>
          </cell>
          <cell r="C128" t="str">
            <v>CRPN</v>
          </cell>
          <cell r="D128" t="str">
            <v xml:space="preserve">INDIAN RAILWAY FINANCE CORP LTD                 </v>
          </cell>
          <cell r="E128" t="str">
            <v xml:space="preserve">7.33% IRFC (27AUG2027)                          </v>
          </cell>
          <cell r="F128">
            <v>46626</v>
          </cell>
          <cell r="G128" t="str">
            <v>7.33</v>
          </cell>
          <cell r="H128" t="str">
            <v>27-Aug-2027</v>
          </cell>
          <cell r="I128" t="str">
            <v>7.33% INDIAN RAILWAY FINANCE CORP LTD (27-Aug-2027)</v>
          </cell>
          <cell r="J128" t="str">
            <v>7.33% Indian Railway Finance Corp Ltd (27-Aug-2027)</v>
          </cell>
          <cell r="K128" t="str">
            <v>7.33% Indian Railway Finance Corp Ltd (27-Aug-2027) **</v>
          </cell>
        </row>
        <row r="129">
          <cell r="B129" t="str">
            <v>INE523H07866</v>
          </cell>
          <cell r="C129" t="str">
            <v>CRPN</v>
          </cell>
          <cell r="D129" t="str">
            <v xml:space="preserve">JM FINANCIAL PRODUCTS LTD                       </v>
          </cell>
          <cell r="E129" t="str">
            <v xml:space="preserve">8.80% JMFPL (28SEP2020)                         </v>
          </cell>
          <cell r="F129">
            <v>44102</v>
          </cell>
          <cell r="G129" t="str">
            <v>8.80</v>
          </cell>
          <cell r="H129" t="str">
            <v>28-Sep-2020</v>
          </cell>
          <cell r="I129" t="str">
            <v>8.80% JM FINANCIAL PRODUCTS LTD (28-Sep-2020)</v>
          </cell>
          <cell r="J129" t="str">
            <v>8.80% JM Financial Products Ltd (28-Sep-2020)</v>
          </cell>
          <cell r="K129" t="str">
            <v>8.80% JM Financial Products Ltd (28-Sep-2020) **</v>
          </cell>
        </row>
        <row r="130">
          <cell r="B130" t="str">
            <v>INE146O08118</v>
          </cell>
          <cell r="C130" t="str">
            <v>CRPN</v>
          </cell>
          <cell r="D130" t="str">
            <v xml:space="preserve">HINDUJA LEYLAND FINANCE LTD                     </v>
          </cell>
          <cell r="E130" t="str">
            <v xml:space="preserve">9.20% HINDUJA LEYLAND FIN SD 13SEP2024          </v>
          </cell>
          <cell r="F130">
            <v>45548</v>
          </cell>
          <cell r="G130" t="str">
            <v>9.20</v>
          </cell>
          <cell r="H130" t="str">
            <v>13-Sep-2024</v>
          </cell>
          <cell r="I130" t="str">
            <v>9.20% HINDUJA LEYLAND FINANCE LTD (13-Sep-2024)</v>
          </cell>
          <cell r="J130" t="str">
            <v>9.20% Hinduja Leyland Finance Ltd (13-Sep-2024)</v>
          </cell>
          <cell r="K130" t="str">
            <v>9.20% Hinduja Leyland Finance Ltd (13-Sep-2024) **</v>
          </cell>
        </row>
        <row r="131">
          <cell r="B131" t="str">
            <v>INE598K07029</v>
          </cell>
          <cell r="C131" t="str">
            <v>CRPN</v>
          </cell>
          <cell r="D131" t="str">
            <v xml:space="preserve">PUNE SOLAPUR EXPRESSWAYS PVT LTD                </v>
          </cell>
          <cell r="E131" t="str">
            <v>9% PUNE SOLAPUR SERIES B 31MAR2029 (P/C 17SEPT20</v>
          </cell>
          <cell r="F131">
            <v>47208</v>
          </cell>
          <cell r="G131" t="str">
            <v>9.00</v>
          </cell>
          <cell r="H131" t="str">
            <v>31-Mar-2029</v>
          </cell>
          <cell r="I131" t="str">
            <v>9.00% PUNE SOLAPUR EXPRESSWAYS PVT LTD (31-Mar-2029)</v>
          </cell>
          <cell r="J131" t="str">
            <v>9.00% Pune Solapur Expressways Pvt Ltd Series B (31-Mar-2029)</v>
          </cell>
          <cell r="K131" t="str">
            <v>9.00% Pune Solapur Expressways Pvt Ltd Series B (31-Mar-2029) **</v>
          </cell>
        </row>
        <row r="132">
          <cell r="B132" t="str">
            <v>INE575P08016</v>
          </cell>
          <cell r="C132" t="str">
            <v>CRPN</v>
          </cell>
          <cell r="D132" t="str">
            <v xml:space="preserve">STAR HEALTH &amp; ALLIED INSURANCE CO LTD           </v>
          </cell>
          <cell r="E132" t="str">
            <v xml:space="preserve">10.25% STARHEALTH 06SEP2024 (CO 06SEP2022)      </v>
          </cell>
          <cell r="F132">
            <v>45541</v>
          </cell>
          <cell r="G132" t="str">
            <v>10.25</v>
          </cell>
          <cell r="H132" t="str">
            <v>06-Sep-2024</v>
          </cell>
          <cell r="I132" t="str">
            <v>10.25% STAR HEALTH &amp; ALLIED INSURANCE CO LTD (06-Sep-2024)</v>
          </cell>
          <cell r="J132" t="str">
            <v>10.25% Star Health &amp; Allied Insurance Co Ltd (06-Sep-2024)</v>
          </cell>
          <cell r="K132" t="str">
            <v>10.25% Star Health &amp; Allied Insurance Co Ltd (06-Sep-2024) **</v>
          </cell>
        </row>
        <row r="133">
          <cell r="B133" t="str">
            <v>INE528G09061</v>
          </cell>
          <cell r="C133" t="str">
            <v>PERP</v>
          </cell>
          <cell r="D133" t="str">
            <v xml:space="preserve">YES BANK LTD                                    </v>
          </cell>
          <cell r="E133" t="str">
            <v xml:space="preserve">10.25% YES BANK AT1 (CO 05MAR2020)              </v>
          </cell>
          <cell r="F133">
            <v>43895</v>
          </cell>
          <cell r="G133" t="str">
            <v>10.25</v>
          </cell>
          <cell r="H133" t="str">
            <v>05-Mar-2020</v>
          </cell>
          <cell r="I133" t="str">
            <v>10.25% YES BANK LTD (05-Mar-2020)</v>
          </cell>
          <cell r="J133" t="str">
            <v>10.25% Yes Bank Ltd (05-Mar-2020)</v>
          </cell>
          <cell r="K133" t="str">
            <v>10.25% Yes Bank Ltd (05-Mar-2020) **</v>
          </cell>
        </row>
        <row r="134">
          <cell r="B134" t="str">
            <v>INE357U08019</v>
          </cell>
          <cell r="C134" t="str">
            <v>ZERO</v>
          </cell>
          <cell r="D134" t="str">
            <v xml:space="preserve">YES CAPITAL INDIA PVT LTD                       </v>
          </cell>
          <cell r="E134" t="str">
            <v xml:space="preserve">0% YESCAPITAL 12OCT2020 P/C (11APR2019)         </v>
          </cell>
          <cell r="F134">
            <v>44116</v>
          </cell>
          <cell r="G134" t="str">
            <v>0.00</v>
          </cell>
          <cell r="H134" t="str">
            <v>12-Oct-2020</v>
          </cell>
          <cell r="I134" t="str">
            <v>0.00% YES CAPITAL INDIA PVT LTD (12-Oct-2020)</v>
          </cell>
          <cell r="J134" t="str">
            <v>0.00% Yes Capital India Pvt Ltd (12-Oct-2020)</v>
          </cell>
          <cell r="K134" t="str">
            <v>0.00% Yes Capital India Pvt Ltd (12-Oct-2020) **</v>
          </cell>
        </row>
        <row r="135">
          <cell r="B135" t="str">
            <v>INE458O07036</v>
          </cell>
          <cell r="C135" t="str">
            <v>CFLT</v>
          </cell>
          <cell r="D135" t="str">
            <v xml:space="preserve">RENEW WIND ENERGY DELHI PVT LTD                 </v>
          </cell>
          <cell r="E135" t="str">
            <v xml:space="preserve">9.41% QUARTERLY RENEW WIND DELHI 30SEP2030 (P/C </v>
          </cell>
          <cell r="F135">
            <v>47756</v>
          </cell>
          <cell r="G135" t="str">
            <v>9.41</v>
          </cell>
          <cell r="H135" t="str">
            <v>30-Sep-2030</v>
          </cell>
          <cell r="I135" t="str">
            <v>9.41% RENEW WIND ENERGY DELHI PVT LTD (30-Sep-2030)</v>
          </cell>
          <cell r="J135" t="str">
            <v>9.41% Renew Wind Energy Delhi Pvt Ltd (30-Sep-2030)</v>
          </cell>
          <cell r="K135" t="str">
            <v>9.41% Renew Wind Energy Delhi Pvt Ltd (30-Sep-2030) **</v>
          </cell>
        </row>
        <row r="136">
          <cell r="B136" t="str">
            <v>INE507R07033</v>
          </cell>
          <cell r="C136" t="str">
            <v>CFLT</v>
          </cell>
          <cell r="D136" t="str">
            <v xml:space="preserve">OPJ TRADING PRIVATE LTD                         </v>
          </cell>
          <cell r="E136" t="str">
            <v>13% OPJ TRADING 16OCT2020 (P/C 16OCT2018 16OCT20</v>
          </cell>
          <cell r="F136">
            <v>44120</v>
          </cell>
          <cell r="G136" t="str">
            <v>13.50</v>
          </cell>
          <cell r="H136" t="str">
            <v>16-Oct-2020</v>
          </cell>
          <cell r="I136" t="str">
            <v>13.50% OPJ TRADING PRIVATE LTD (16-Oct-2020)</v>
          </cell>
          <cell r="J136" t="str">
            <v>13.50% Opj Trading Private Ltd (16-Oct-2020)</v>
          </cell>
          <cell r="K136" t="str">
            <v>13.50% Opj Trading Private Ltd (16-Oct-2020) **</v>
          </cell>
        </row>
        <row r="137">
          <cell r="B137" t="str">
            <v>INE657N07415</v>
          </cell>
          <cell r="C137" t="str">
            <v>CRPN</v>
          </cell>
          <cell r="D137" t="str">
            <v xml:space="preserve">EDELWEISS RURAL &amp; CORPORATE SERVICES LTD        </v>
          </cell>
          <cell r="E137" t="str">
            <v xml:space="preserve">8.40% EDELWEISS COMM (26OCT2020 P/C 25OCT2019)  </v>
          </cell>
          <cell r="F137">
            <v>44130</v>
          </cell>
          <cell r="G137" t="str">
            <v>8.40</v>
          </cell>
          <cell r="H137" t="str">
            <v>26-Oct-2020</v>
          </cell>
          <cell r="I137" t="str">
            <v>8.40% EDELWEISS RURAL &amp; CORPORATE SERVICES LTD (26-Oct-2020)</v>
          </cell>
          <cell r="J137" t="str">
            <v>8.40% Edelweiss Rural &amp; Corporate Services Ltd (26-Oct-2020)</v>
          </cell>
          <cell r="K137" t="str">
            <v>8.40% Edelweiss Rural &amp; Corporate Services Ltd (26-Oct-2020) **</v>
          </cell>
        </row>
        <row r="138">
          <cell r="B138" t="str">
            <v>INE575P08024</v>
          </cell>
          <cell r="C138" t="str">
            <v>CRPN</v>
          </cell>
          <cell r="D138" t="str">
            <v xml:space="preserve">STAR HEALTH &amp; ALLIED INSURANCE CO LTD           </v>
          </cell>
          <cell r="E138" t="str">
            <v xml:space="preserve">10.20% STARHEALTH 31OCT2024 (CO 31OCT2022)      </v>
          </cell>
          <cell r="F138">
            <v>45596</v>
          </cell>
          <cell r="G138" t="str">
            <v>10.20</v>
          </cell>
          <cell r="H138" t="str">
            <v>31-Oct-2024</v>
          </cell>
          <cell r="I138" t="str">
            <v>10.20% STAR HEALTH &amp; ALLIED INSURANCE CO LTD (31-Oct-2024)</v>
          </cell>
          <cell r="J138" t="str">
            <v>10.20% Star Health &amp; Allied Insurance Co Ltd (31-Oct-2024)</v>
          </cell>
          <cell r="K138" t="str">
            <v>10.20% Star Health &amp; Allied Insurance Co Ltd (31-Oct-2024) **</v>
          </cell>
        </row>
        <row r="139">
          <cell r="B139" t="str">
            <v>INE205A07048</v>
          </cell>
          <cell r="C139" t="str">
            <v>CRPN</v>
          </cell>
          <cell r="D139" t="str">
            <v xml:space="preserve">VEDANTA LTD                                     </v>
          </cell>
          <cell r="E139" t="str">
            <v xml:space="preserve">8.67784% VEDANTA (20APR2020)                    </v>
          </cell>
          <cell r="F139">
            <v>43941</v>
          </cell>
          <cell r="G139" t="str">
            <v>8.68</v>
          </cell>
          <cell r="H139" t="str">
            <v>20-Apr-2020</v>
          </cell>
          <cell r="I139" t="str">
            <v>8.68% VEDANTA LTD (20-Apr-2020)</v>
          </cell>
          <cell r="J139" t="str">
            <v>8.68% Vedanta Ltd (20-Apr-2020)</v>
          </cell>
          <cell r="K139" t="str">
            <v>8.68% Vedanta Ltd (20-Apr-2020)</v>
          </cell>
        </row>
        <row r="140">
          <cell r="B140" t="e">
            <v>#N/A</v>
          </cell>
          <cell r="C140" t="e">
            <v>#N/A</v>
          </cell>
          <cell r="D140" t="e">
            <v>#N/A</v>
          </cell>
          <cell r="E140" t="e">
            <v>#N/A</v>
          </cell>
          <cell r="F140">
            <v>44767</v>
          </cell>
          <cell r="G140" t="str">
            <v>9.80</v>
          </cell>
          <cell r="H140" t="str">
            <v>25-Jul-2022</v>
          </cell>
          <cell r="I140" t="e">
            <v>#N/A</v>
          </cell>
          <cell r="J140" t="e">
            <v>#N/A</v>
          </cell>
          <cell r="K140" t="e">
            <v>#N/A</v>
          </cell>
        </row>
        <row r="141">
          <cell r="B141" t="str">
            <v>INE434A08067</v>
          </cell>
          <cell r="C141" t="str">
            <v>PERP</v>
          </cell>
          <cell r="D141" t="str">
            <v xml:space="preserve">ANDHRA BANK                                     </v>
          </cell>
          <cell r="E141" t="str">
            <v xml:space="preserve">10.99% ANDHRA BANK AT1 (CO 05AUG2021)           </v>
          </cell>
          <cell r="F141">
            <v>44413</v>
          </cell>
          <cell r="G141" t="str">
            <v>10.99</v>
          </cell>
          <cell r="H141" t="str">
            <v>05-Aug-2021</v>
          </cell>
          <cell r="I141" t="str">
            <v>10.99% ANDHRA BANK (05-Aug-2021)</v>
          </cell>
          <cell r="J141" t="str">
            <v>10.99% Andhra Bank (05-Aug-2021)</v>
          </cell>
          <cell r="K141" t="str">
            <v>10.99% Andhra Bank (05-Aug-2021) **</v>
          </cell>
        </row>
        <row r="142">
          <cell r="B142" t="str">
            <v>INE434A09149</v>
          </cell>
          <cell r="C142" t="str">
            <v>PERP</v>
          </cell>
          <cell r="D142" t="str">
            <v xml:space="preserve">ANDHRA BANK                                     </v>
          </cell>
          <cell r="E142" t="str">
            <v xml:space="preserve">9.55% ANDHRA BANK AT1 (CO 26DEC2019)            </v>
          </cell>
          <cell r="F142">
            <v>43825</v>
          </cell>
          <cell r="G142" t="str">
            <v>9.55</v>
          </cell>
          <cell r="H142" t="str">
            <v>26-Dec-2019</v>
          </cell>
          <cell r="I142" t="str">
            <v>9.55% ANDHRA BANK (26-Dec-2019)</v>
          </cell>
          <cell r="J142" t="str">
            <v>9.55% Andhra Bank (26-Dec-2019)</v>
          </cell>
          <cell r="K142" t="str">
            <v>9.55% Andhra Bank (26-Dec-2019) **</v>
          </cell>
        </row>
        <row r="143">
          <cell r="B143" t="str">
            <v>INE434A08083</v>
          </cell>
          <cell r="C143" t="str">
            <v>PERP</v>
          </cell>
          <cell r="D143" t="str">
            <v xml:space="preserve">ANDHRA BANK                                     </v>
          </cell>
          <cell r="E143" t="str">
            <v xml:space="preserve">9.20% ANDHRA BANK AT1 (CO 31OCT2022)            </v>
          </cell>
          <cell r="F143">
            <v>44865</v>
          </cell>
          <cell r="G143" t="str">
            <v>9.20</v>
          </cell>
          <cell r="H143" t="str">
            <v>31-Oct-2022</v>
          </cell>
          <cell r="I143" t="str">
            <v>9.20% ANDHRA BANK (31-Oct-2022)</v>
          </cell>
          <cell r="J143" t="str">
            <v>9.20% Andhra Bank (31-Oct-2022)</v>
          </cell>
          <cell r="K143" t="str">
            <v>9.20% Andhra Bank (31-Oct-2022) **</v>
          </cell>
        </row>
        <row r="144">
          <cell r="B144" t="str">
            <v>INE667A08070</v>
          </cell>
          <cell r="C144" t="str">
            <v>PERP</v>
          </cell>
          <cell r="D144" t="str">
            <v xml:space="preserve">SYNDICATE BANK                                  </v>
          </cell>
          <cell r="E144" t="str">
            <v xml:space="preserve">11.25% SYNDICATE BANK (CO 15JUL2021)            </v>
          </cell>
          <cell r="F144">
            <v>44392</v>
          </cell>
          <cell r="G144" t="str">
            <v>11.25</v>
          </cell>
          <cell r="H144" t="str">
            <v>15-Jul-2021</v>
          </cell>
          <cell r="I144" t="str">
            <v>11.25% SYNDICATE BANK (15-Jul-2021)</v>
          </cell>
          <cell r="J144" t="str">
            <v>11.25% Syndicate Bank (15-Jul-2021)</v>
          </cell>
          <cell r="K144" t="str">
            <v>11.25% Syndicate Bank (15-Jul-2021) **</v>
          </cell>
        </row>
        <row r="145">
          <cell r="B145" t="str">
            <v>INE705A08094</v>
          </cell>
          <cell r="C145" t="str">
            <v>PERP</v>
          </cell>
          <cell r="D145" t="str">
            <v xml:space="preserve">BANK OF BARODA                                  </v>
          </cell>
          <cell r="E145" t="str">
            <v xml:space="preserve">BANK OF BARODA SRIV10.49PBD31DC50               </v>
          </cell>
          <cell r="F145">
            <v>44578</v>
          </cell>
          <cell r="G145" t="str">
            <v>10.49</v>
          </cell>
          <cell r="H145" t="str">
            <v>17-Jan-2022</v>
          </cell>
          <cell r="I145" t="str">
            <v>10.49% BANK OF BARODA (17-Jan-2022)</v>
          </cell>
          <cell r="J145" t="str">
            <v>10.49% Bank Of Baroda (17-Jan-2022)</v>
          </cell>
          <cell r="K145" t="str">
            <v>10.49% Bank Of Baroda (17-Jan-2022) **</v>
          </cell>
        </row>
        <row r="146">
          <cell r="B146" t="e">
            <v>#N/A</v>
          </cell>
          <cell r="C146" t="e">
            <v>#N/A</v>
          </cell>
          <cell r="D146" t="e">
            <v>#N/A</v>
          </cell>
          <cell r="E146" t="e">
            <v>#N/A</v>
          </cell>
          <cell r="F146">
            <v>46708</v>
          </cell>
          <cell r="G146" t="str">
            <v>9.85</v>
          </cell>
          <cell r="H146" t="str">
            <v>17-Nov-2027</v>
          </cell>
          <cell r="I146" t="e">
            <v>#N/A</v>
          </cell>
          <cell r="J146" t="str">
            <v>9.85% DCB Bank Ltd (17-Nov-2027)</v>
          </cell>
          <cell r="K146" t="e">
            <v>#N/A</v>
          </cell>
        </row>
        <row r="147">
          <cell r="B147" t="e">
            <v>#N/A</v>
          </cell>
          <cell r="C147" t="e">
            <v>#N/A</v>
          </cell>
          <cell r="D147" t="e">
            <v>#N/A</v>
          </cell>
          <cell r="E147" t="e">
            <v>#N/A</v>
          </cell>
          <cell r="F147">
            <v>43790</v>
          </cell>
          <cell r="G147" t="str">
            <v>9.20</v>
          </cell>
          <cell r="H147" t="str">
            <v>21-Nov-2019</v>
          </cell>
          <cell r="I147" t="e">
            <v>#N/A</v>
          </cell>
          <cell r="J147" t="str">
            <v>9.20% Dlf Home Developers Ltd Series II (21-Nov-2019)</v>
          </cell>
          <cell r="K147" t="e">
            <v>#N/A</v>
          </cell>
        </row>
        <row r="148">
          <cell r="B148" t="e">
            <v>#N/A</v>
          </cell>
          <cell r="C148" t="e">
            <v>#N/A</v>
          </cell>
          <cell r="D148" t="e">
            <v>#N/A</v>
          </cell>
          <cell r="E148" t="e">
            <v>#N/A</v>
          </cell>
          <cell r="F148">
            <v>43581</v>
          </cell>
          <cell r="G148" t="str">
            <v>11.28</v>
          </cell>
          <cell r="H148" t="str">
            <v>26-Apr-2019</v>
          </cell>
          <cell r="I148" t="e">
            <v>#N/A</v>
          </cell>
          <cell r="J148" t="e">
            <v>#N/A</v>
          </cell>
          <cell r="K148" t="e">
            <v>#N/A</v>
          </cell>
        </row>
        <row r="149">
          <cell r="B149" t="e">
            <v>#N/A</v>
          </cell>
          <cell r="C149" t="e">
            <v>#N/A</v>
          </cell>
          <cell r="D149" t="e">
            <v>#N/A</v>
          </cell>
          <cell r="E149" t="e">
            <v>#N/A</v>
          </cell>
          <cell r="F149">
            <v>43790</v>
          </cell>
          <cell r="G149" t="str">
            <v>9.20</v>
          </cell>
          <cell r="H149" t="str">
            <v>21-Nov-2019</v>
          </cell>
          <cell r="I149" t="e">
            <v>#N/A</v>
          </cell>
          <cell r="J149" t="str">
            <v>9.20% Dlf Home Developers Ltd Series IV (21-Nov-2019)</v>
          </cell>
          <cell r="K149" t="e">
            <v>#N/A</v>
          </cell>
        </row>
        <row r="150">
          <cell r="B150" t="e">
            <v>#N/A</v>
          </cell>
          <cell r="C150" t="e">
            <v>#N/A</v>
          </cell>
          <cell r="D150" t="e">
            <v>#N/A</v>
          </cell>
          <cell r="E150" t="e">
            <v>#N/A</v>
          </cell>
          <cell r="F150">
            <v>43790</v>
          </cell>
          <cell r="G150" t="str">
            <v>9.20</v>
          </cell>
          <cell r="H150" t="str">
            <v>21-Nov-2019</v>
          </cell>
          <cell r="I150" t="e">
            <v>#N/A</v>
          </cell>
          <cell r="J150" t="str">
            <v>9.20% Dlf Home Developers Ltd III (21-Nov-2019)</v>
          </cell>
          <cell r="K150" t="e">
            <v>#N/A</v>
          </cell>
        </row>
        <row r="151">
          <cell r="B151" t="str">
            <v>INE608A08025</v>
          </cell>
          <cell r="C151" t="str">
            <v>PERP</v>
          </cell>
          <cell r="D151" t="str">
            <v xml:space="preserve">PUNJAB &amp; SINDH BANK LTD                         </v>
          </cell>
          <cell r="E151" t="str">
            <v xml:space="preserve">10.90% P&amp;S BANK AT1 (CO 07MAY2022)              </v>
          </cell>
          <cell r="F151">
            <v>44688</v>
          </cell>
          <cell r="G151" t="str">
            <v>10.90</v>
          </cell>
          <cell r="H151" t="str">
            <v>07-May-2022</v>
          </cell>
          <cell r="I151" t="str">
            <v>10.90% PUNJAB &amp; SINDH BANK LTD (07-May-2022)</v>
          </cell>
          <cell r="J151" t="str">
            <v>10.90% Punjab &amp; Sindh Bank Ltd (07-May-2022)</v>
          </cell>
          <cell r="K151" t="str">
            <v>10.90% Punjab &amp; Sindh Bank Ltd (07-May-2022) **</v>
          </cell>
        </row>
        <row r="152">
          <cell r="B152" t="e">
            <v>#N/A</v>
          </cell>
          <cell r="C152" t="e">
            <v>#N/A</v>
          </cell>
          <cell r="D152" t="e">
            <v>#N/A</v>
          </cell>
          <cell r="E152" t="e">
            <v>#N/A</v>
          </cell>
          <cell r="F152">
            <v>43790</v>
          </cell>
          <cell r="G152" t="str">
            <v>9.20</v>
          </cell>
          <cell r="H152" t="str">
            <v>21-Nov-2019</v>
          </cell>
          <cell r="I152" t="e">
            <v>#N/A</v>
          </cell>
          <cell r="J152" t="str">
            <v>9.20% Dlf Home Developers Ltd Series I (21-Nov-2019)</v>
          </cell>
          <cell r="K152" t="e">
            <v>#N/A</v>
          </cell>
        </row>
        <row r="153">
          <cell r="B153" t="str">
            <v>INE235P07167</v>
          </cell>
          <cell r="C153" t="str">
            <v>CRPN</v>
          </cell>
          <cell r="D153" t="str">
            <v xml:space="preserve">L&amp;T INFRASTRUCTURE DEBT FUND LTD                </v>
          </cell>
          <cell r="E153" t="str">
            <v xml:space="preserve">8.70% L&amp;T INFRA DEBT (24FEB2021)                </v>
          </cell>
          <cell r="F153">
            <v>44251</v>
          </cell>
          <cell r="G153" t="str">
            <v>8.70</v>
          </cell>
          <cell r="H153" t="str">
            <v>24-Feb-2021</v>
          </cell>
          <cell r="I153" t="str">
            <v>8.70% L&amp;T INFRASTRUCTURE DEBT FUND LTD (24-Feb-2021)</v>
          </cell>
          <cell r="J153" t="str">
            <v>8.70% L&amp;T Infrastructure Debt Fund Ltd (24-Feb-2021)</v>
          </cell>
          <cell r="K153" t="str">
            <v>8.70% L&amp;T Infrastructure Debt Fund Ltd (24-Feb-2021) **</v>
          </cell>
        </row>
        <row r="154">
          <cell r="B154" t="str">
            <v>INE895D08725</v>
          </cell>
          <cell r="C154" t="str">
            <v>CRPN</v>
          </cell>
          <cell r="D154" t="str">
            <v xml:space="preserve">TATA SONS PVT LTD                               </v>
          </cell>
          <cell r="E154" t="str">
            <v xml:space="preserve">7.85% TATA SONS (31JAN2021)                     </v>
          </cell>
          <cell r="F154">
            <v>44227</v>
          </cell>
          <cell r="G154" t="str">
            <v>7.85</v>
          </cell>
          <cell r="H154" t="str">
            <v>31-Jan-2021</v>
          </cell>
          <cell r="I154" t="str">
            <v>7.85% TATA SONS PVT LTD (31-Jan-2021)</v>
          </cell>
          <cell r="J154" t="str">
            <v>7.85% Tata Sons Pvt Ltd (31-Jan-2021)</v>
          </cell>
          <cell r="K154" t="str">
            <v>7.85% Tata Sons Pvt Ltd (31-Jan-2021) **</v>
          </cell>
        </row>
        <row r="155">
          <cell r="B155" t="str">
            <v>INE311S08135</v>
          </cell>
          <cell r="C155" t="str">
            <v>CRPN</v>
          </cell>
          <cell r="D155" t="str">
            <v xml:space="preserve">MA MULTI-TRADE PVT LTD                          </v>
          </cell>
          <cell r="E155" t="str">
            <v xml:space="preserve">10% MA MULTI 27NOV2020                          </v>
          </cell>
          <cell r="F155">
            <v>44162</v>
          </cell>
          <cell r="G155" t="str">
            <v>10.00</v>
          </cell>
          <cell r="H155" t="str">
            <v>27-Nov-2020</v>
          </cell>
          <cell r="I155" t="str">
            <v>10.00% MA MULTI-TRADE PVT LTD (27-Nov-2020)</v>
          </cell>
          <cell r="J155" t="str">
            <v>10.00% Ma Multi-Trade Pvt Ltd (27-Nov-2020)</v>
          </cell>
          <cell r="K155" t="str">
            <v>10.00% Ma Multi-Trade Pvt Ltd (27-Nov-2020) **</v>
          </cell>
        </row>
        <row r="156">
          <cell r="B156" t="str">
            <v>INE477A07274</v>
          </cell>
          <cell r="C156" t="str">
            <v>CRPN</v>
          </cell>
          <cell r="D156" t="str">
            <v xml:space="preserve">CAN FIN HOMES LTD                               </v>
          </cell>
          <cell r="E156" t="str">
            <v xml:space="preserve">7.64% CAN FIN HOMES (28FEB2021)                 </v>
          </cell>
          <cell r="F156">
            <v>44255</v>
          </cell>
          <cell r="G156">
            <v>7.64</v>
          </cell>
          <cell r="H156" t="str">
            <v>28-Feb-2021</v>
          </cell>
          <cell r="I156" t="str">
            <v>7.64% CAN FIN HOMES LTD (28-Feb-2021)</v>
          </cell>
          <cell r="J156" t="str">
            <v>7.64% Can Fin Homes Ltd (28-Feb-2021)</v>
          </cell>
          <cell r="K156" t="str">
            <v>7.64% Can Fin Homes Ltd (28-Feb-2021) **</v>
          </cell>
        </row>
        <row r="157">
          <cell r="B157" t="str">
            <v>INE537P07117</v>
          </cell>
          <cell r="C157" t="str">
            <v>CRPN</v>
          </cell>
          <cell r="D157" t="str">
            <v xml:space="preserve">INDIA INFRADEBT LTD                             </v>
          </cell>
          <cell r="E157" t="str">
            <v xml:space="preserve">8.62% INDIA INFRADEBT (08MAR2021)               </v>
          </cell>
          <cell r="F157">
            <v>44263</v>
          </cell>
          <cell r="G157">
            <v>8.6199999999999992</v>
          </cell>
          <cell r="H157" t="str">
            <v>08-Mar-2021</v>
          </cell>
          <cell r="I157" t="str">
            <v>8.62% INDIA INFRADEBT LTD (08-Mar-2021)</v>
          </cell>
          <cell r="J157" t="str">
            <v>8.62% India Infradebt Ltd (08-Mar-2021)</v>
          </cell>
          <cell r="K157" t="str">
            <v>8.62% India Infradebt Ltd (08-Mar-2021) **</v>
          </cell>
        </row>
        <row r="158">
          <cell r="B158" t="str">
            <v>INE031A08541</v>
          </cell>
          <cell r="C158" t="str">
            <v>CRPN</v>
          </cell>
          <cell r="D158" t="str">
            <v xml:space="preserve">HOUSING &amp; URBAN DEVELOPMENT CORP LTD            </v>
          </cell>
          <cell r="E158" t="str">
            <v xml:space="preserve">7.14% HUDCO (22DEC2020)                         </v>
          </cell>
          <cell r="F158">
            <v>44187</v>
          </cell>
          <cell r="G158">
            <v>7.14</v>
          </cell>
          <cell r="H158" t="str">
            <v>22-Dec-2020</v>
          </cell>
          <cell r="I158" t="str">
            <v>7.14% HOUSING &amp; URBAN DEVELOPMENT CORP LTD (22-Dec-2020)</v>
          </cell>
          <cell r="J158" t="str">
            <v>7.14% Housing &amp; Urban Development Corp Ltd (22-Dec-2020)</v>
          </cell>
          <cell r="K158" t="str">
            <v>7.14% Housing &amp; Urban Development Corp Ltd (22-Dec-2020) **</v>
          </cell>
        </row>
        <row r="159">
          <cell r="B159" t="str">
            <v>INE001A07OO9</v>
          </cell>
          <cell r="C159" t="str">
            <v>CRPN</v>
          </cell>
          <cell r="D159" t="str">
            <v xml:space="preserve">HOUSING DEVELOPMENT FINANCE CORP LTD            </v>
          </cell>
          <cell r="E159" t="str">
            <v xml:space="preserve">8.75% HDFC (04MAR2021)                          </v>
          </cell>
          <cell r="F159">
            <v>44259</v>
          </cell>
          <cell r="G159">
            <v>8.75</v>
          </cell>
          <cell r="H159" t="str">
            <v>04-Mar-2021</v>
          </cell>
          <cell r="I159" t="str">
            <v>8.75% HOUSING DEVELOPMENT FINANCE CORP LTD (04-Mar-2021)</v>
          </cell>
          <cell r="J159" t="str">
            <v>8.75% Housing Development Finance Corp Ltd (04-Mar-2021)</v>
          </cell>
          <cell r="K159" t="str">
            <v>8.75% Housing Development Finance Corp Ltd (04-Mar-2021) **</v>
          </cell>
        </row>
        <row r="160">
          <cell r="B160" t="str">
            <v>INE514E08928</v>
          </cell>
          <cell r="C160" t="str">
            <v>CRPN</v>
          </cell>
          <cell r="D160" t="str">
            <v xml:space="preserve">EXPORT-IMPORT BANK OF INDIA                     </v>
          </cell>
          <cell r="E160" t="str">
            <v xml:space="preserve">9.15% EXIM (25FEB2021)                          </v>
          </cell>
          <cell r="F160">
            <v>44252</v>
          </cell>
          <cell r="G160">
            <v>9.15</v>
          </cell>
          <cell r="H160" t="str">
            <v>25-Feb-2021</v>
          </cell>
          <cell r="I160" t="str">
            <v>9.15% EXPORT-IMPORT BANK OF INDIA (25-Feb-2021)</v>
          </cell>
          <cell r="J160" t="str">
            <v>9.15% Export-Import Bank Of India (25-Feb-2021)</v>
          </cell>
          <cell r="K160" t="str">
            <v>9.15% Export-Import Bank Of India (25-Feb-2021) **</v>
          </cell>
        </row>
        <row r="161">
          <cell r="B161" t="str">
            <v>INE752E07ER3</v>
          </cell>
          <cell r="C161" t="str">
            <v>CRPN</v>
          </cell>
          <cell r="D161" t="str">
            <v xml:space="preserve">POWER GRID CORP OF INDIA LTD                    </v>
          </cell>
          <cell r="E161" t="str">
            <v xml:space="preserve">9.47% PGC (31MAR2021)                           </v>
          </cell>
          <cell r="F161">
            <v>44286</v>
          </cell>
          <cell r="G161">
            <v>9.4700000000000006</v>
          </cell>
          <cell r="H161" t="str">
            <v>31-Mar-2021</v>
          </cell>
          <cell r="I161" t="str">
            <v>9.47% POWER GRID CORP OF INDIA LTD (31-Mar-2021)</v>
          </cell>
          <cell r="J161" t="str">
            <v>9.47% Power Grid Corp Of India Ltd (31-Mar-2021)</v>
          </cell>
          <cell r="K161" t="str">
            <v>9.47% Power Grid Corp Of India Ltd (31-Mar-2021) **</v>
          </cell>
        </row>
        <row r="162">
          <cell r="B162" t="str">
            <v>INE134E07505</v>
          </cell>
          <cell r="C162" t="str">
            <v>CRPN</v>
          </cell>
          <cell r="D162" t="str">
            <v xml:space="preserve">POWER FINANCE CORP LTD                          </v>
          </cell>
          <cell r="E162" t="str">
            <v xml:space="preserve">9.70% PFC (30JAN2021)                           </v>
          </cell>
          <cell r="F162">
            <v>44226</v>
          </cell>
          <cell r="G162">
            <v>9.6999999999999993</v>
          </cell>
          <cell r="H162" t="str">
            <v>30-Jan-2021</v>
          </cell>
          <cell r="I162" t="str">
            <v>9.7% POWER FINANCE CORP LTD (30-Jan-2021)</v>
          </cell>
          <cell r="J162" t="str">
            <v>9.7% Power Finance Corp Ltd (30-Jan-2021)</v>
          </cell>
          <cell r="K162" t="str">
            <v>9.7% Power Finance Corp Ltd (30-Jan-2021) **</v>
          </cell>
        </row>
        <row r="163">
          <cell r="B163" t="str">
            <v>INE733E07JZ5</v>
          </cell>
          <cell r="C163" t="str">
            <v>CRPN</v>
          </cell>
          <cell r="D163" t="str">
            <v xml:space="preserve">NTPC LTD                                        </v>
          </cell>
          <cell r="E163" t="str">
            <v xml:space="preserve">8.33% NTPC (24FEB2021)                          </v>
          </cell>
          <cell r="F163">
            <v>44251</v>
          </cell>
          <cell r="G163">
            <v>8.33</v>
          </cell>
          <cell r="H163" t="str">
            <v>24-Feb-2021</v>
          </cell>
          <cell r="I163" t="str">
            <v>8.33% NTPC LTD (24-Feb-2021)</v>
          </cell>
          <cell r="J163" t="str">
            <v>8.33% NTPC Ltd (24-Feb-2021)</v>
          </cell>
          <cell r="K163" t="str">
            <v>8.33% NTPC Ltd (24-Feb-2021) **</v>
          </cell>
        </row>
        <row r="164">
          <cell r="B164" t="str">
            <v>INE514E08951</v>
          </cell>
          <cell r="C164" t="str">
            <v>CRPN</v>
          </cell>
          <cell r="D164" t="str">
            <v xml:space="preserve">EXPORT-IMPORT BANK OF INDIA                     </v>
          </cell>
          <cell r="E164" t="str">
            <v xml:space="preserve">9.15% EXIM (18MAR2021)                          </v>
          </cell>
          <cell r="F164">
            <v>44273</v>
          </cell>
          <cell r="G164">
            <v>9.15</v>
          </cell>
          <cell r="H164" t="str">
            <v>18-Mar-2021</v>
          </cell>
          <cell r="I164" t="str">
            <v>9.15% EXPORT-IMPORT BANK OF INDIA (18-Mar-2021)</v>
          </cell>
          <cell r="J164" t="str">
            <v>9.15% Export-Import Bank Of India (18-Mar-2021)</v>
          </cell>
          <cell r="K164" t="str">
            <v>9.15% Export-Import Bank Of India (18-Mar-2021) **</v>
          </cell>
        </row>
        <row r="165">
          <cell r="B165" t="str">
            <v>INE848E07419</v>
          </cell>
          <cell r="C165" t="str">
            <v>CRPN</v>
          </cell>
          <cell r="D165" t="str">
            <v xml:space="preserve">NHPC LTD                                        </v>
          </cell>
          <cell r="E165" t="str">
            <v xml:space="preserve">8.78% NHPC (11FEB2021)                          </v>
          </cell>
          <cell r="F165">
            <v>44238</v>
          </cell>
          <cell r="G165">
            <v>8.7799999999999994</v>
          </cell>
          <cell r="H165" t="str">
            <v>11-Feb-2021</v>
          </cell>
          <cell r="I165" t="str">
            <v>8.78% NHPC LTD (11-Feb-2021)</v>
          </cell>
          <cell r="J165" t="str">
            <v>8.78% NHPC Ltd (11-Feb-2021)</v>
          </cell>
          <cell r="K165" t="str">
            <v>8.78% NHPC Ltd (11-Feb-2021) **</v>
          </cell>
        </row>
        <row r="166">
          <cell r="B166" t="str">
            <v>INE244N07065</v>
          </cell>
          <cell r="C166" t="str">
            <v>CRPN</v>
          </cell>
          <cell r="D166" t="str">
            <v xml:space="preserve">MAHINDRA VEHICLE MANUFACTURES LTD               </v>
          </cell>
          <cell r="E166" t="str">
            <v xml:space="preserve">8.19% MVML (23FEB2021)                          </v>
          </cell>
          <cell r="F166">
            <v>44250</v>
          </cell>
          <cell r="G166">
            <v>8.19</v>
          </cell>
          <cell r="H166" t="str">
            <v>23-Feb-2021</v>
          </cell>
          <cell r="I166" t="str">
            <v>8.19% MAHINDRA VEHICLE MANUFACTURES LTD (23-Feb-2021)</v>
          </cell>
          <cell r="J166" t="str">
            <v>8.19% Mahindra Vehicle Manufactures Ltd (23-Feb-2021)</v>
          </cell>
          <cell r="K166" t="str">
            <v>8.19% Mahindra Vehicle Manufactures Ltd (23-Feb-2021) **</v>
          </cell>
        </row>
        <row r="167">
          <cell r="B167" t="str">
            <v>INE333T07048</v>
          </cell>
          <cell r="C167" t="str">
            <v>CRPN</v>
          </cell>
          <cell r="D167" t="str">
            <v xml:space="preserve">RELIANCE BIG PVT LTD                            </v>
          </cell>
          <cell r="E167" t="str">
            <v xml:space="preserve">11.49% RBPL SERIES 1 (14JAN2021 P/C QUARTERLY)  </v>
          </cell>
          <cell r="F167">
            <v>44210</v>
          </cell>
          <cell r="G167">
            <v>11.49</v>
          </cell>
          <cell r="H167" t="str">
            <v>14-Jan-2021</v>
          </cell>
          <cell r="I167" t="str">
            <v>11.49% RELIANCE BIG PVT LTD (14-Jan-2021)</v>
          </cell>
          <cell r="J167" t="str">
            <v>11.49% Reliance Big Pvt Ltd  Series 1 (14-Jan-2021)</v>
          </cell>
          <cell r="K167" t="str">
            <v>11.49% Reliance Big Pvt Ltd  Series 1 (14-Jan-2021) **</v>
          </cell>
        </row>
        <row r="168">
          <cell r="B168" t="str">
            <v>INE333T07055</v>
          </cell>
          <cell r="C168" t="str">
            <v>CRPN</v>
          </cell>
          <cell r="D168" t="str">
            <v xml:space="preserve">RELIANCE BIG PVT LTD                            </v>
          </cell>
          <cell r="E168" t="str">
            <v xml:space="preserve">11.49% RBPL SERIES 2 (14JAN2021 P/C QUARTERLY)  </v>
          </cell>
          <cell r="F168">
            <v>44210</v>
          </cell>
          <cell r="G168">
            <v>11.49</v>
          </cell>
          <cell r="H168" t="str">
            <v>14-Jan-2021</v>
          </cell>
          <cell r="I168" t="str">
            <v>11.49% RELIANCE BIG PVT LTD (14-Jan-2021)</v>
          </cell>
          <cell r="J168" t="str">
            <v>11.49% Reliance Big Pvt Ltd Series 2 (14-Jan-2021)</v>
          </cell>
          <cell r="K168" t="str">
            <v>11.49% Reliance Big Pvt Ltd Series 2 (14-Jan-2021) **</v>
          </cell>
        </row>
        <row r="169">
          <cell r="B169" t="str">
            <v>INE333T07063</v>
          </cell>
          <cell r="C169" t="str">
            <v>CRPN</v>
          </cell>
          <cell r="D169" t="str">
            <v xml:space="preserve">RELIANCE BIG PVT LTD                            </v>
          </cell>
          <cell r="E169" t="str">
            <v xml:space="preserve">11.49% RBPL SERIES 3 (14JAN2021 P/C QUARTERLY)  </v>
          </cell>
          <cell r="F169">
            <v>44210</v>
          </cell>
          <cell r="G169">
            <v>11.49</v>
          </cell>
          <cell r="H169" t="str">
            <v>14-Jan-2021</v>
          </cell>
          <cell r="I169" t="str">
            <v>11.49% RELIANCE BIG PVT LTD (14-Jan-2021)</v>
          </cell>
          <cell r="J169" t="str">
            <v>11.49% Reliance Big Pvt Ltd Series 3 (14-Jan-2021)</v>
          </cell>
          <cell r="K169" t="str">
            <v>11.49% Reliance Big Pvt Ltd Series 3 (14-Jan-2021) **</v>
          </cell>
        </row>
        <row r="170">
          <cell r="B170" t="str">
            <v>INE428K07011</v>
          </cell>
          <cell r="C170" t="str">
            <v>CRPN</v>
          </cell>
          <cell r="D170" t="str">
            <v xml:space="preserve">RELIANCE INFRASTRUCTURE CONSULTING &amp; ENGINEERS  </v>
          </cell>
          <cell r="E170" t="str">
            <v>11.49% RICEPL (15JAN2021 P/C 14DEC2018 16DEC2019</v>
          </cell>
          <cell r="F170">
            <v>44211</v>
          </cell>
          <cell r="G170">
            <v>11.49</v>
          </cell>
          <cell r="H170" t="str">
            <v>15-Jan-2021</v>
          </cell>
          <cell r="I170" t="str">
            <v>11.49% RELIANCE INFRASTRUCTURE CONSULTING &amp; ENGINEERS (15-Jan-2021)</v>
          </cell>
          <cell r="J170" t="str">
            <v>11.49% Reliance Infrastructure Consulting &amp; Engineers (15-Jan-2021)</v>
          </cell>
          <cell r="K170" t="str">
            <v>11.49% Reliance Infrastructure Consulting &amp; Engineers (15-Jan-2021) **</v>
          </cell>
        </row>
        <row r="171">
          <cell r="B171" t="str">
            <v>INE134E08DM5</v>
          </cell>
          <cell r="C171" t="str">
            <v>CRPN</v>
          </cell>
          <cell r="D171" t="str">
            <v xml:space="preserve">POWER FINANCE CORP LTD                          </v>
          </cell>
          <cell r="E171" t="str">
            <v xml:space="preserve">9.18% PFC (15APR2021)                           </v>
          </cell>
          <cell r="F171">
            <v>44301</v>
          </cell>
          <cell r="G171">
            <v>9.18</v>
          </cell>
          <cell r="H171" t="str">
            <v>15-Apr-2021</v>
          </cell>
          <cell r="I171" t="str">
            <v>9.18% POWER FINANCE CORP LTD (15-Apr-2021)</v>
          </cell>
          <cell r="J171" t="str">
            <v>9.18% Power Finance Corp Ltd (15-Apr-2021)</v>
          </cell>
          <cell r="K171" t="str">
            <v>9.18% Power Finance Corp Ltd (15-Apr-2021) **</v>
          </cell>
        </row>
        <row r="172">
          <cell r="B172" t="str">
            <v>INE261F08956</v>
          </cell>
          <cell r="C172" t="str">
            <v>CRPN</v>
          </cell>
          <cell r="D172" t="str">
            <v>NATIONAL BANK FOR AGRICULTURE AND RURAL DEVELOPMENT</v>
          </cell>
          <cell r="E172" t="str">
            <v xml:space="preserve">7.40% NABARD (01FEB2021)                        </v>
          </cell>
          <cell r="F172">
            <v>44228</v>
          </cell>
          <cell r="G172" t="str">
            <v>7.40</v>
          </cell>
          <cell r="H172" t="str">
            <v>01-Feb-2021</v>
          </cell>
          <cell r="I172" t="str">
            <v>7.40% NATIONAL BANK FOR AGRICULTURE AND RURAL DEVELOPMENT (01-Feb-2021)</v>
          </cell>
          <cell r="J172" t="str">
            <v>7.40% National Bank For Agriculture And Rural Development (01-Feb-2021)</v>
          </cell>
          <cell r="K172" t="str">
            <v>7.40% National Bank For Agriculture And Rural Development (01-Feb-2021) **</v>
          </cell>
        </row>
        <row r="173">
          <cell r="B173" t="str">
            <v>INE002A08526</v>
          </cell>
          <cell r="C173" t="str">
            <v>CRPN</v>
          </cell>
          <cell r="D173" t="str">
            <v xml:space="preserve">RELIANCE INDUSTRIES LTD                         </v>
          </cell>
          <cell r="E173" t="str">
            <v xml:space="preserve">7.07% RIL (24DEC2020)                           </v>
          </cell>
          <cell r="F173">
            <v>44189</v>
          </cell>
          <cell r="G173">
            <v>7.07</v>
          </cell>
          <cell r="H173" t="str">
            <v>24-Dec-2020</v>
          </cell>
          <cell r="I173" t="str">
            <v>7.07% RELIANCE INDUSTRIES LTD (24-Dec-2020)</v>
          </cell>
          <cell r="J173" t="str">
            <v>7.07% Reliance Industries Ltd (24-Dec-2020)</v>
          </cell>
          <cell r="K173" t="str">
            <v>7.07% Reliance Industries Ltd (24-Dec-2020) **</v>
          </cell>
        </row>
        <row r="174">
          <cell r="B174" t="e">
            <v>#N/A</v>
          </cell>
          <cell r="C174" t="e">
            <v>#N/A</v>
          </cell>
          <cell r="D174" t="e">
            <v>#N/A</v>
          </cell>
          <cell r="E174" t="e">
            <v>#N/A</v>
          </cell>
          <cell r="F174">
            <v>44196</v>
          </cell>
          <cell r="G174">
            <v>6.99</v>
          </cell>
          <cell r="H174" t="str">
            <v>31-Dec-2020</v>
          </cell>
          <cell r="I174" t="e">
            <v>#N/A</v>
          </cell>
          <cell r="J174" t="e">
            <v>#N/A</v>
          </cell>
          <cell r="K174" t="e">
            <v>#N/A</v>
          </cell>
        </row>
        <row r="175">
          <cell r="B175" t="str">
            <v>INE115A07JB4</v>
          </cell>
          <cell r="C175" t="str">
            <v>CRPN</v>
          </cell>
          <cell r="D175" t="str">
            <v xml:space="preserve">LIC HOUSING FINANCE LTD                         </v>
          </cell>
          <cell r="E175" t="str">
            <v xml:space="preserve">8.75% LIC HOUSING FINANCE (12FEB2021)           </v>
          </cell>
          <cell r="F175">
            <v>44239</v>
          </cell>
          <cell r="G175">
            <v>8.75</v>
          </cell>
          <cell r="H175" t="str">
            <v>12-Feb-2021</v>
          </cell>
          <cell r="I175" t="str">
            <v>8.75% LIC HOUSING FINANCE LTD (12-Feb-2021)</v>
          </cell>
          <cell r="J175" t="str">
            <v>8.75% Lic Housing Finance Ltd (12-Feb-2021)</v>
          </cell>
          <cell r="K175" t="str">
            <v>8.75% Lic Housing Finance Ltd (12-Feb-2021) **</v>
          </cell>
        </row>
        <row r="176">
          <cell r="B176" t="str">
            <v>INE115A07IO9</v>
          </cell>
          <cell r="C176" t="str">
            <v>CRPN</v>
          </cell>
          <cell r="D176" t="str">
            <v xml:space="preserve">LIC HOUSING FINANCE LTD                         </v>
          </cell>
          <cell r="E176" t="str">
            <v xml:space="preserve">8.50% LIC HOUSING FINANCE (05JAN2021)           </v>
          </cell>
          <cell r="F176">
            <v>44201</v>
          </cell>
          <cell r="G176" t="str">
            <v>8.50</v>
          </cell>
          <cell r="H176" t="str">
            <v>05-Jan-2021</v>
          </cell>
          <cell r="I176" t="str">
            <v>8.50% LIC HOUSING FINANCE LTD (05-Jan-2021)</v>
          </cell>
          <cell r="J176" t="str">
            <v>8.50% Lic Housing Finance Ltd (05-Jan-2021)</v>
          </cell>
          <cell r="K176" t="str">
            <v>8.50% Lic Housing Finance Ltd (05-Jan-2021) **</v>
          </cell>
        </row>
        <row r="177">
          <cell r="B177" t="str">
            <v>INE852O07048</v>
          </cell>
          <cell r="C177" t="str">
            <v>CFLT</v>
          </cell>
          <cell r="D177" t="str">
            <v xml:space="preserve">APTUS VALUE HOUSING FINANCE INDIA LTD           </v>
          </cell>
          <cell r="E177" t="str">
            <v xml:space="preserve">10% APTUS TRANCHE I 26DEC2024 (P/C 26DEC2022)   </v>
          </cell>
          <cell r="F177">
            <v>45652</v>
          </cell>
          <cell r="G177" t="str">
            <v>10.00</v>
          </cell>
          <cell r="H177" t="str">
            <v>26-Dec-2024</v>
          </cell>
          <cell r="I177" t="str">
            <v>10.00% APTUS VALUE HOUSING FINANCE INDIA LTD (26-Dec-2024)</v>
          </cell>
          <cell r="J177" t="str">
            <v>10.00% Aptus Value Housing Finance India Ltd (26-Dec-2024)</v>
          </cell>
          <cell r="K177" t="str">
            <v>10.00% Aptus Value Housing Finance India Ltd (26-Dec-2024) **</v>
          </cell>
        </row>
        <row r="178">
          <cell r="B178" t="str">
            <v>INE209W07010</v>
          </cell>
          <cell r="C178" t="str">
            <v>CRPN</v>
          </cell>
          <cell r="D178" t="str">
            <v xml:space="preserve">NARMADA WIND ENERGY PVT LTD                     </v>
          </cell>
          <cell r="E178" t="str">
            <v>9.60 RENEW NARMADA TRANCHE 1 31MAR2023 (CO 28DEC</v>
          </cell>
          <cell r="F178">
            <v>45016</v>
          </cell>
          <cell r="G178" t="str">
            <v>9.60</v>
          </cell>
          <cell r="H178" t="str">
            <v>31-Mar-2023</v>
          </cell>
          <cell r="I178" t="str">
            <v>9.60% NARMADA WIND ENERGY PVT LTD (31-Mar-2023)</v>
          </cell>
          <cell r="J178" t="str">
            <v>9.60% Narmada Wind Energy Pvt Ltd (31-Mar-2023)</v>
          </cell>
          <cell r="K178" t="str">
            <v>9.60% Narmada Wind Energy Pvt Ltd (31-Mar-2023) **</v>
          </cell>
        </row>
        <row r="179">
          <cell r="B179" t="str">
            <v>INE964Q07012</v>
          </cell>
          <cell r="C179" t="str">
            <v>CRPN</v>
          </cell>
          <cell r="D179" t="str">
            <v xml:space="preserve">RENEW WIND ENERGY (RAJASTHAN ONE) PVT LTD       </v>
          </cell>
          <cell r="E179" t="str">
            <v>9.60% RENEW RAJ ONE 31MAR2023 (CO 28DEC21 28MAR2</v>
          </cell>
          <cell r="F179">
            <v>45016</v>
          </cell>
          <cell r="G179" t="str">
            <v>9.60</v>
          </cell>
          <cell r="H179" t="str">
            <v>31-Mar-2023</v>
          </cell>
          <cell r="I179" t="str">
            <v>9.60% RENEW WIND ENERGY (RAJASTHAN ONE) PVT LTD (31-Mar-2023)</v>
          </cell>
          <cell r="J179" t="str">
            <v>9.60% Renew Wind Energy (Rajasthan One) Pvt Ltd (31-Mar-2023)</v>
          </cell>
          <cell r="K179" t="str">
            <v>9.60% Renew Wind Energy (Rajasthan One) Pvt Ltd (31-Mar-2023) **</v>
          </cell>
        </row>
        <row r="180">
          <cell r="B180" t="str">
            <v>INE296A07QB7</v>
          </cell>
          <cell r="C180" t="str">
            <v>CRPN</v>
          </cell>
          <cell r="D180" t="str">
            <v xml:space="preserve">BAJAJ FINANCE LTD                               </v>
          </cell>
          <cell r="E180" t="str">
            <v xml:space="preserve">7.50% BAJAJ FINANCE (10AUG2020)                 </v>
          </cell>
          <cell r="F180">
            <v>44053</v>
          </cell>
          <cell r="G180" t="str">
            <v>7.50</v>
          </cell>
          <cell r="H180" t="str">
            <v>10-Aug-2020</v>
          </cell>
          <cell r="I180" t="str">
            <v>7.50% BAJAJ FINANCE LTD (10-Aug-2020)</v>
          </cell>
          <cell r="J180" t="str">
            <v>7.50% Bajaj Finance Ltd (10-Aug-2020)</v>
          </cell>
          <cell r="K180" t="str">
            <v>7.50% Bajaj Finance Ltd (10-Aug-2020) **</v>
          </cell>
        </row>
        <row r="181">
          <cell r="B181" t="str">
            <v>INE245A08042</v>
          </cell>
          <cell r="C181" t="str">
            <v>PERP</v>
          </cell>
          <cell r="D181" t="str">
            <v xml:space="preserve">THE TATA POWER CO LTD                           </v>
          </cell>
          <cell r="E181" t="str">
            <v xml:space="preserve">10.75% TATA POWER PERP (CO 21AUG2022) (STEP UP) </v>
          </cell>
          <cell r="F181">
            <v>44794</v>
          </cell>
          <cell r="G181">
            <v>10.75</v>
          </cell>
          <cell r="H181" t="str">
            <v>21-Aug-2022</v>
          </cell>
          <cell r="I181" t="str">
            <v>10.75% THE TATA POWER CO LTD (21-Aug-2022)</v>
          </cell>
          <cell r="J181" t="str">
            <v>10.75% The Tata Power Co Ltd (21-Aug-2022)</v>
          </cell>
          <cell r="K181" t="str">
            <v>10.75% The Tata Power Co Ltd (21-Aug-2022) **</v>
          </cell>
        </row>
        <row r="182">
          <cell r="B182" t="str">
            <v>INE752E07NN3</v>
          </cell>
          <cell r="C182" t="str">
            <v>CRPN</v>
          </cell>
          <cell r="D182" t="str">
            <v xml:space="preserve">POWER GRID CORP OF INDIA LTD                    </v>
          </cell>
          <cell r="E182" t="str">
            <v xml:space="preserve">8.13% PGC (23APR2021)                           </v>
          </cell>
          <cell r="F182">
            <v>44309</v>
          </cell>
          <cell r="G182">
            <v>8.1300000000000008</v>
          </cell>
          <cell r="H182" t="str">
            <v>23-Apr-2021</v>
          </cell>
          <cell r="I182" t="str">
            <v>8.13% POWER GRID CORP OF INDIA LTD (23-Apr-2021)</v>
          </cell>
          <cell r="J182" t="str">
            <v>8.13% Power Grid Corp Of India Ltd (23-Apr-2021)</v>
          </cell>
          <cell r="K182" t="str">
            <v>8.13% Power Grid Corp Of India Ltd (23-Apr-2021) **</v>
          </cell>
        </row>
        <row r="183">
          <cell r="B183" t="str">
            <v>INE503A08044</v>
          </cell>
          <cell r="C183" t="str">
            <v>CRPN</v>
          </cell>
          <cell r="D183" t="str">
            <v xml:space="preserve">DCB BANK LTD                                    </v>
          </cell>
          <cell r="E183" t="str">
            <v xml:space="preserve">9.85% DCB BANK 12JAN2028 (CO 12JAN2023)         </v>
          </cell>
          <cell r="F183">
            <v>46764</v>
          </cell>
          <cell r="G183">
            <v>9.85</v>
          </cell>
          <cell r="H183" t="str">
            <v>12-Jan-2028</v>
          </cell>
          <cell r="I183" t="str">
            <v>9.85% DCB BANK LTD (12-Jan-2028)</v>
          </cell>
          <cell r="J183" t="str">
            <v>9.85% DCB Bank Ltd (12-Jan-2028)</v>
          </cell>
          <cell r="K183" t="str">
            <v>9.85% DCB Bank Ltd (12-Jan-2028) **</v>
          </cell>
        </row>
        <row r="184">
          <cell r="B184" t="e">
            <v>#N/A</v>
          </cell>
          <cell r="C184" t="e">
            <v>#N/A</v>
          </cell>
          <cell r="D184" t="e">
            <v>#N/A</v>
          </cell>
          <cell r="E184" t="e">
            <v>#N/A</v>
          </cell>
          <cell r="F184">
            <v>44623</v>
          </cell>
          <cell r="G184">
            <v>8.9499999999999993</v>
          </cell>
          <cell r="H184" t="str">
            <v>03-Mar-2022</v>
          </cell>
          <cell r="I184" t="e">
            <v>#N/A</v>
          </cell>
          <cell r="J184" t="e">
            <v>#N/A</v>
          </cell>
          <cell r="K184" t="e">
            <v>#N/A</v>
          </cell>
        </row>
        <row r="185">
          <cell r="B185" t="e">
            <v>#N/A</v>
          </cell>
          <cell r="C185" t="e">
            <v>#N/A</v>
          </cell>
          <cell r="D185" t="e">
            <v>#N/A</v>
          </cell>
          <cell r="E185" t="e">
            <v>#N/A</v>
          </cell>
          <cell r="F185">
            <v>44089</v>
          </cell>
          <cell r="G185">
            <v>8.9499999999999993</v>
          </cell>
          <cell r="H185" t="str">
            <v>15-Sep-2020</v>
          </cell>
          <cell r="I185" t="e">
            <v>#N/A</v>
          </cell>
          <cell r="J185" t="e">
            <v>#N/A</v>
          </cell>
          <cell r="K185" t="e">
            <v>#N/A</v>
          </cell>
        </row>
        <row r="186">
          <cell r="B186" t="str">
            <v>INE155A08365</v>
          </cell>
          <cell r="C186" t="str">
            <v>CRPN</v>
          </cell>
          <cell r="D186" t="str">
            <v xml:space="preserve">TATA MOTORS LTD                                 </v>
          </cell>
          <cell r="E186" t="str">
            <v xml:space="preserve">7.40% TAMO (29JUN2021)                          </v>
          </cell>
          <cell r="F186">
            <v>44376</v>
          </cell>
          <cell r="G186" t="str">
            <v>7.40</v>
          </cell>
          <cell r="H186" t="str">
            <v>29-Jun-2021</v>
          </cell>
          <cell r="I186" t="str">
            <v>7.40% TATA MOTORS LTD (29-Jun-2021)</v>
          </cell>
          <cell r="J186" t="str">
            <v>7.40% Tata Motors Ltd (29-Jun-2021)</v>
          </cell>
          <cell r="K186" t="str">
            <v>7.40% Tata Motors Ltd (29-Jun-2021) **</v>
          </cell>
        </row>
        <row r="187">
          <cell r="B187" t="str">
            <v>INE115A07MT0</v>
          </cell>
          <cell r="C187" t="str">
            <v>CRPN</v>
          </cell>
          <cell r="D187" t="str">
            <v xml:space="preserve">LIC HOUSING FINANCE LTD                         </v>
          </cell>
          <cell r="E187" t="str">
            <v xml:space="preserve">7.88% LIC HOUSING FINANCE (28JAN2021)           </v>
          </cell>
          <cell r="F187">
            <v>44224</v>
          </cell>
          <cell r="G187">
            <v>7.88</v>
          </cell>
          <cell r="H187" t="str">
            <v>28-Jan-2021</v>
          </cell>
          <cell r="I187" t="str">
            <v>7.88% LIC HOUSING FINANCE LTD (28-Jan-2021)</v>
          </cell>
          <cell r="J187" t="str">
            <v>7.88% LIC Housing Finance Ltd (28-Jan-2021)</v>
          </cell>
          <cell r="K187" t="str">
            <v>7.88% LIC Housing Finance Ltd (28-Jan-2021) **</v>
          </cell>
        </row>
        <row r="188">
          <cell r="B188" t="str">
            <v>INE115A07AL2</v>
          </cell>
          <cell r="C188" t="str">
            <v>CRPN</v>
          </cell>
          <cell r="D188" t="str">
            <v xml:space="preserve">LIC HOUSING FINANCE LTD                         </v>
          </cell>
          <cell r="E188" t="str">
            <v xml:space="preserve">9.60% LIC HOUSING FINANCE (07MAR2021)           </v>
          </cell>
          <cell r="F188">
            <v>44262</v>
          </cell>
          <cell r="G188" t="str">
            <v>9.60</v>
          </cell>
          <cell r="H188" t="str">
            <v>07-Mar-2021</v>
          </cell>
          <cell r="I188" t="str">
            <v>9.60% LIC HOUSING FINANCE LTD (07-Mar-2021)</v>
          </cell>
          <cell r="J188" t="str">
            <v>9.60% LIC Housing Finance Ltd (07-Mar-2021)</v>
          </cell>
          <cell r="K188" t="str">
            <v>9.60% LIC Housing Finance Ltd (07-Mar-2021) **</v>
          </cell>
        </row>
        <row r="189">
          <cell r="B189" t="str">
            <v>INE883A07174</v>
          </cell>
          <cell r="C189" t="str">
            <v>CRPN</v>
          </cell>
          <cell r="D189" t="str">
            <v xml:space="preserve">MRF LTD                                         </v>
          </cell>
          <cell r="E189" t="str">
            <v xml:space="preserve">10.09% MRF LTD (27MAY2021)                      </v>
          </cell>
          <cell r="F189">
            <v>44343</v>
          </cell>
          <cell r="G189">
            <v>10.09</v>
          </cell>
          <cell r="H189" t="str">
            <v>27-May-2021</v>
          </cell>
          <cell r="I189" t="str">
            <v>10.09% MRF LTD (27-May-2021)</v>
          </cell>
          <cell r="J189" t="str">
            <v>10.09% MRF Ltd (27-May-2021)</v>
          </cell>
          <cell r="K189" t="str">
            <v>10.09% MRF Ltd (27-May-2021) **</v>
          </cell>
        </row>
        <row r="190">
          <cell r="B190" t="str">
            <v>INE852O07055</v>
          </cell>
          <cell r="C190" t="str">
            <v>CFLT</v>
          </cell>
          <cell r="D190" t="str">
            <v xml:space="preserve">APTUS VALUE HOUSING FINANCE INDIA LTD           </v>
          </cell>
          <cell r="E190" t="str">
            <v xml:space="preserve">10% APTUS TRANCHE II 24JAN2025 (P/C 25JAN2023)  </v>
          </cell>
          <cell r="F190">
            <v>45681</v>
          </cell>
          <cell r="G190" t="str">
            <v>10.00</v>
          </cell>
          <cell r="H190" t="str">
            <v>24-Jan-2025</v>
          </cell>
          <cell r="I190" t="str">
            <v>10.00% APTUS VALUE HOUSING FINANCE INDIA LTD (24-Jan-2025)</v>
          </cell>
          <cell r="J190" t="str">
            <v>10.00% Aptus Value Housing Finance India Ltd (24-Jan-2025)</v>
          </cell>
          <cell r="K190" t="str">
            <v>10.00% Aptus Value Housing Finance India Ltd (24-Jan-2025) **</v>
          </cell>
        </row>
        <row r="191">
          <cell r="B191" t="str">
            <v>INE377Y07029</v>
          </cell>
          <cell r="C191" t="str">
            <v>ZERO</v>
          </cell>
          <cell r="D191" t="str">
            <v xml:space="preserve">BAJAJ HOUSING FINANCE LTD                       </v>
          </cell>
          <cell r="E191" t="str">
            <v xml:space="preserve">0% BAJAJ HSG FIN IS 2 (6APR2021)                </v>
          </cell>
          <cell r="F191">
            <v>44292</v>
          </cell>
          <cell r="G191" t="str">
            <v>0.00</v>
          </cell>
          <cell r="H191" t="str">
            <v>06-Apr-2021</v>
          </cell>
          <cell r="I191" t="str">
            <v>0.00% BAJAJ HOUSING FINANCE LTD (06-Apr-2021)</v>
          </cell>
          <cell r="J191" t="str">
            <v>0.00% Bajaj Housing Finance Ltd (06-Apr-2021)</v>
          </cell>
          <cell r="K191" t="str">
            <v>0.00% Bajaj Housing Finance Ltd (06-Apr-2021) **</v>
          </cell>
        </row>
        <row r="192">
          <cell r="B192" t="str">
            <v>INE134E08IH4</v>
          </cell>
          <cell r="C192" t="str">
            <v>CRPN</v>
          </cell>
          <cell r="D192" t="str">
            <v xml:space="preserve">POWER FINANCE CORP LTD                          </v>
          </cell>
          <cell r="E192" t="str">
            <v xml:space="preserve">7.50% PFC (16AUG2021)                           </v>
          </cell>
          <cell r="F192">
            <v>44424</v>
          </cell>
          <cell r="G192" t="str">
            <v>7.50</v>
          </cell>
          <cell r="H192" t="str">
            <v>16-Aug-2021</v>
          </cell>
          <cell r="I192" t="str">
            <v>7.50% POWER FINANCE CORP LTD (16-Aug-2021)</v>
          </cell>
          <cell r="J192" t="str">
            <v>7.50% Power Finance Corp Ltd (16-Aug-2021)</v>
          </cell>
          <cell r="K192" t="str">
            <v>7.50% Power Finance Corp Ltd (16-Aug-2021) **</v>
          </cell>
        </row>
        <row r="193">
          <cell r="B193" t="str">
            <v>INE134E08IW3</v>
          </cell>
          <cell r="C193" t="str">
            <v>CRPN</v>
          </cell>
          <cell r="D193" t="str">
            <v xml:space="preserve">POWER FINANCE CORP LTD                          </v>
          </cell>
          <cell r="E193" t="str">
            <v xml:space="preserve">7.50% PFC (17SEP2020)                           </v>
          </cell>
          <cell r="F193">
            <v>44091</v>
          </cell>
          <cell r="G193" t="str">
            <v>7.50</v>
          </cell>
          <cell r="H193" t="str">
            <v>17-Sep-2020</v>
          </cell>
          <cell r="I193" t="str">
            <v>7.50% POWER FINANCE CORP LTD (17-Sep-2020)</v>
          </cell>
          <cell r="J193" t="str">
            <v>7.50% Power Finance Corp Ltd (17-Sep-2020)</v>
          </cell>
          <cell r="K193" t="str">
            <v>7.50% Power Finance Corp Ltd (17-Sep-2020) **</v>
          </cell>
        </row>
        <row r="194">
          <cell r="B194" t="str">
            <v>INE752E07GX6</v>
          </cell>
          <cell r="C194" t="str">
            <v>CRPN</v>
          </cell>
          <cell r="D194" t="str">
            <v xml:space="preserve">POWER GRID CORP OF INDIA LTD                    </v>
          </cell>
          <cell r="E194" t="str">
            <v xml:space="preserve">8.84% PGC (29MAR2021)                           </v>
          </cell>
          <cell r="F194">
            <v>44284</v>
          </cell>
          <cell r="G194">
            <v>8.84</v>
          </cell>
          <cell r="H194" t="str">
            <v>29-Mar-2021</v>
          </cell>
          <cell r="I194" t="str">
            <v>8.84% POWER GRID CORP OF INDIA LTD (29-Mar-2021)</v>
          </cell>
          <cell r="J194" t="str">
            <v>8.84% Power Grid Corp Of India Ltd (29-Mar-2021)</v>
          </cell>
          <cell r="K194" t="str">
            <v>8.84% Power Grid Corp Of India Ltd (29-Mar-2021) **</v>
          </cell>
        </row>
        <row r="195">
          <cell r="B195" t="str">
            <v>INE941D08065</v>
          </cell>
          <cell r="C195" t="str">
            <v>CRPN</v>
          </cell>
          <cell r="D195" t="str">
            <v xml:space="preserve">SIKKA PORTS &amp; TERMINALS LIMITED                 </v>
          </cell>
          <cell r="E195" t="str">
            <v xml:space="preserve">10.25% SPTL (22AUG2021)                         </v>
          </cell>
          <cell r="F195">
            <v>44430</v>
          </cell>
          <cell r="G195">
            <v>10.25</v>
          </cell>
          <cell r="H195" t="str">
            <v>22-Aug-2021</v>
          </cell>
          <cell r="I195" t="str">
            <v>10.25% SIKKA PORTS &amp; TERMINALS LIMITED (22-Aug-2021)</v>
          </cell>
          <cell r="J195" t="str">
            <v>10.25% Sikka Ports &amp; Terminals Limited (22-Aug-2021)</v>
          </cell>
          <cell r="K195" t="str">
            <v>10.25% Sikka Ports &amp; Terminals Limited (22-Aug-2021) **</v>
          </cell>
        </row>
        <row r="196">
          <cell r="B196" t="str">
            <v>INE110L07070</v>
          </cell>
          <cell r="C196" t="str">
            <v>CRPN</v>
          </cell>
          <cell r="D196" t="str">
            <v xml:space="preserve">RELIANCE JIO INFOCOMM LIMITED                   </v>
          </cell>
          <cell r="E196" t="str">
            <v xml:space="preserve">8.32% RELIANCE JIO (08JUL2021)                  </v>
          </cell>
          <cell r="F196">
            <v>44385</v>
          </cell>
          <cell r="G196">
            <v>8.32</v>
          </cell>
          <cell r="H196" t="str">
            <v>08-Jul-2021</v>
          </cell>
          <cell r="I196" t="str">
            <v>8.32% RELIANCE JIO INFOCOMM LIMITED (08-Jul-2021)</v>
          </cell>
          <cell r="J196" t="str">
            <v>8.32% Reliance Jio Infocomm Limited (08-Jul-2021)</v>
          </cell>
          <cell r="K196" t="str">
            <v>8.32% Reliance Jio Infocomm Limited (08-Jul-2021) **</v>
          </cell>
        </row>
        <row r="197">
          <cell r="B197" t="str">
            <v>INE020B08AR7</v>
          </cell>
          <cell r="C197" t="str">
            <v>CRPN</v>
          </cell>
          <cell r="D197" t="str">
            <v xml:space="preserve">REC LTD                                         </v>
          </cell>
          <cell r="E197" t="str">
            <v xml:space="preserve">7.60% REC (17APR2021)                           </v>
          </cell>
          <cell r="F197">
            <v>44303</v>
          </cell>
          <cell r="G197" t="str">
            <v>7.60</v>
          </cell>
          <cell r="H197" t="str">
            <v>17-Apr-2021</v>
          </cell>
          <cell r="I197" t="str">
            <v>7.60% REC LTD (17-Apr-2021)</v>
          </cell>
          <cell r="J197" t="str">
            <v>7.60% Rec Ltd (17-Apr-2021)</v>
          </cell>
          <cell r="K197" t="str">
            <v>7.60% Rec Ltd (17-Apr-2021) **</v>
          </cell>
        </row>
        <row r="198">
          <cell r="B198" t="str">
            <v>INE556F08JA8</v>
          </cell>
          <cell r="C198" t="str">
            <v>CRPN</v>
          </cell>
          <cell r="D198" t="str">
            <v xml:space="preserve">SMALL INDUSTRIES DEVELOPMENT BANK OF INDIA      </v>
          </cell>
          <cell r="E198" t="str">
            <v xml:space="preserve">7.52% SIDBI (10FEB2021)                         </v>
          </cell>
          <cell r="F198">
            <v>44237</v>
          </cell>
          <cell r="G198">
            <v>7.52</v>
          </cell>
          <cell r="H198" t="str">
            <v>10-Feb-2021</v>
          </cell>
          <cell r="I198" t="str">
            <v>7.52% SMALL INDUSTRIES DEVELOPMENT BANK OF INDIA (10-Feb-2021)</v>
          </cell>
          <cell r="J198" t="str">
            <v>7.52% Small Industries Development Bank Of India (10-Feb-2021)</v>
          </cell>
          <cell r="K198" t="str">
            <v>7.52% Small Industries Development Bank Of India (10-Feb-2021) **</v>
          </cell>
        </row>
        <row r="199">
          <cell r="B199" t="str">
            <v>INE155A08068</v>
          </cell>
          <cell r="C199" t="str">
            <v>CRPN</v>
          </cell>
          <cell r="D199" t="str">
            <v xml:space="preserve">TATA MOTORS LTD                                 </v>
          </cell>
          <cell r="E199" t="str">
            <v xml:space="preserve">9.70% TATA MOTORS (18JUN2020)                   </v>
          </cell>
          <cell r="F199">
            <v>44000</v>
          </cell>
          <cell r="G199" t="str">
            <v>9.70</v>
          </cell>
          <cell r="H199" t="str">
            <v>18-Jun-2020</v>
          </cell>
          <cell r="I199" t="str">
            <v>9.70% TATA MOTORS LTD (18-Jun-2020)</v>
          </cell>
          <cell r="J199" t="str">
            <v>9.70% Tata Motors Ltd (18-Jun-2020)</v>
          </cell>
          <cell r="K199" t="str">
            <v>9.70% Tata Motors Ltd (18-Jun-2020) **</v>
          </cell>
        </row>
        <row r="200">
          <cell r="B200" t="str">
            <v>INE895D08881</v>
          </cell>
          <cell r="C200" t="str">
            <v>CRPN</v>
          </cell>
          <cell r="D200" t="str">
            <v xml:space="preserve">TATA SONS PVT LTD                               </v>
          </cell>
          <cell r="E200" t="str">
            <v xml:space="preserve">8.25% TATA SONS (23MAR2021)                     </v>
          </cell>
          <cell r="F200">
            <v>44278</v>
          </cell>
          <cell r="G200">
            <v>8.25</v>
          </cell>
          <cell r="H200" t="str">
            <v>23-Mar-2021</v>
          </cell>
          <cell r="I200" t="str">
            <v>8.25% TATA SONS PVT LTD (23-Mar-2021)</v>
          </cell>
          <cell r="J200" t="str">
            <v>8.25% Tata Sons Pvt Ltd (23-Mar-2021)</v>
          </cell>
          <cell r="K200" t="str">
            <v>8.25% Tata Sons Pvt Ltd (23-Mar-2021) **</v>
          </cell>
        </row>
        <row r="201">
          <cell r="B201" t="str">
            <v>INE916DA7PI5</v>
          </cell>
          <cell r="C201" t="str">
            <v>ZERO</v>
          </cell>
          <cell r="D201" t="str">
            <v xml:space="preserve">KOTAK MAHINDRA PRIME LTD                        </v>
          </cell>
          <cell r="E201" t="str">
            <v xml:space="preserve">0% KMPL (26APR2021)                             </v>
          </cell>
          <cell r="F201">
            <v>44312</v>
          </cell>
          <cell r="G201" t="str">
            <v>0.00</v>
          </cell>
          <cell r="H201" t="str">
            <v>26-Apr-2021</v>
          </cell>
          <cell r="I201" t="str">
            <v>0.00% KOTAK MAHINDRA PRIME LTD (26-Apr-2021)</v>
          </cell>
          <cell r="J201" t="str">
            <v>0.00% Kotak Mahindra Prime Ltd (26-Apr-2021)</v>
          </cell>
          <cell r="K201" t="str">
            <v>0.00% Kotak Mahindra Prime Ltd (26-Apr-2021) **</v>
          </cell>
        </row>
        <row r="202">
          <cell r="B202" t="str">
            <v>INE756I07BU5</v>
          </cell>
          <cell r="C202" t="str">
            <v>CRPN</v>
          </cell>
          <cell r="D202" t="str">
            <v xml:space="preserve">HDB FINANCIAL SERVICES LTD                      </v>
          </cell>
          <cell r="E202" t="str">
            <v xml:space="preserve">7.9407% HDB FINANCIAL (15APR2021)               </v>
          </cell>
          <cell r="F202">
            <v>44301</v>
          </cell>
          <cell r="G202">
            <v>7.9406999999999996</v>
          </cell>
          <cell r="H202" t="str">
            <v>15-Apr-2021</v>
          </cell>
          <cell r="I202" t="str">
            <v>7.9407% HDB FINANCIAL SERVICES LTD (15-Apr-2021)</v>
          </cell>
          <cell r="J202" t="str">
            <v>7.94% HDB Financial Services Limited (15-Apr-2021)</v>
          </cell>
          <cell r="K202" t="str">
            <v>7.94% HDB Financial Services Limited (15-Apr-2021) **</v>
          </cell>
        </row>
        <row r="203">
          <cell r="B203" t="str">
            <v>INE134E08JK6</v>
          </cell>
          <cell r="C203" t="str">
            <v>CRPN</v>
          </cell>
          <cell r="D203" t="str">
            <v xml:space="preserve">POWER FINANCE CORP LTD                          </v>
          </cell>
          <cell r="E203" t="str">
            <v xml:space="preserve">7.73% PFC OPTION B (05APR2021)                  </v>
          </cell>
          <cell r="F203">
            <v>44291</v>
          </cell>
          <cell r="G203">
            <v>7.7299999999999995</v>
          </cell>
          <cell r="H203" t="str">
            <v>05-Apr-2021</v>
          </cell>
          <cell r="I203" t="str">
            <v>7.73% POWER FINANCE CORP LTD (05-Apr-2021)</v>
          </cell>
          <cell r="J203" t="str">
            <v>7.73% Power Finance Corp Ltd (05-Apr-2021)</v>
          </cell>
          <cell r="K203" t="str">
            <v>7.73% Power Finance Corp Ltd (05-Apr-2021) **</v>
          </cell>
        </row>
        <row r="204">
          <cell r="B204" t="str">
            <v>INE020B08AS5</v>
          </cell>
          <cell r="C204" t="str">
            <v>CRPN</v>
          </cell>
          <cell r="D204" t="str">
            <v xml:space="preserve">REC LTD                                         </v>
          </cell>
          <cell r="E204" t="str">
            <v xml:space="preserve">7.70% REC (15MAR2021)                           </v>
          </cell>
          <cell r="F204">
            <v>44270</v>
          </cell>
          <cell r="G204" t="str">
            <v>7.70</v>
          </cell>
          <cell r="H204" t="str">
            <v>15-Mar-2021</v>
          </cell>
          <cell r="I204" t="str">
            <v>7.70% REC LTD (15-Mar-2021)</v>
          </cell>
          <cell r="J204" t="str">
            <v>7.70% Rec Ltd (15-Mar-2021)</v>
          </cell>
          <cell r="K204" t="str">
            <v>7.70% Rec Ltd (15-Mar-2021) **</v>
          </cell>
        </row>
        <row r="205">
          <cell r="B205" t="e">
            <v>#N/A</v>
          </cell>
          <cell r="C205" t="e">
            <v>#N/A</v>
          </cell>
          <cell r="D205" t="e">
            <v>#N/A</v>
          </cell>
          <cell r="E205" t="e">
            <v>#N/A</v>
          </cell>
          <cell r="F205">
            <v>46760</v>
          </cell>
          <cell r="H205" t="str">
            <v>08-Jan-2028</v>
          </cell>
          <cell r="I205" t="e">
            <v>#N/A</v>
          </cell>
          <cell r="J205" t="e">
            <v>#N/A</v>
          </cell>
          <cell r="K205" t="str">
            <v>7.17% GOI 2028 (08-Jan-2028)</v>
          </cell>
        </row>
        <row r="206">
          <cell r="B206" t="str">
            <v>INE503A08028</v>
          </cell>
          <cell r="C206" t="str">
            <v>CRPN</v>
          </cell>
          <cell r="D206" t="str">
            <v xml:space="preserve">DCB BANK LTD                                    </v>
          </cell>
          <cell r="E206" t="str">
            <v xml:space="preserve">9.85% DCB BANK (18NOV2026 CO 18NOV2021)         </v>
          </cell>
          <cell r="F206">
            <v>46344</v>
          </cell>
          <cell r="G206">
            <v>9.85</v>
          </cell>
          <cell r="H206" t="str">
            <v>18-Nov-2026</v>
          </cell>
          <cell r="I206" t="str">
            <v>9.85% DCB BANK LTD (18-Nov-2026)</v>
          </cell>
          <cell r="J206" t="str">
            <v>9.85% DCB Bank Ltd (18-Nov-2026)</v>
          </cell>
          <cell r="K206" t="str">
            <v>9.85% DCB Bank Ltd (18-Nov-2026) **</v>
          </cell>
        </row>
        <row r="207">
          <cell r="B207" t="str">
            <v>INE031A08566</v>
          </cell>
          <cell r="C207" t="str">
            <v>CRPN</v>
          </cell>
          <cell r="D207" t="str">
            <v xml:space="preserve">HOUSING &amp; URBAN DEVELOPMENT CORP LTD            </v>
          </cell>
          <cell r="E207" t="str">
            <v xml:space="preserve">7.73% HUDCO (15APR2021) (SERIES D)              </v>
          </cell>
          <cell r="F207">
            <v>44301</v>
          </cell>
          <cell r="G207">
            <v>7.7299999999999995</v>
          </cell>
          <cell r="H207" t="str">
            <v>15-Apr-2021</v>
          </cell>
          <cell r="I207" t="str">
            <v>7.73% HOUSING &amp; URBAN DEVELOPMENT CORP LTD (15-Apr-2021)</v>
          </cell>
          <cell r="J207" t="str">
            <v>7.73% Housing &amp; Urban Development Corp Ltd (15-Apr-2021)</v>
          </cell>
          <cell r="K207" t="str">
            <v>7.73% Housing &amp; Urban Development Corp Ltd (15-Apr-2021) **</v>
          </cell>
        </row>
        <row r="208">
          <cell r="B208" t="str">
            <v>INE852O07063</v>
          </cell>
          <cell r="C208" t="str">
            <v>CFLT</v>
          </cell>
          <cell r="D208" t="str">
            <v xml:space="preserve">APTUS VALUE HOUSING FINANCE INDIA LTD           </v>
          </cell>
          <cell r="E208" t="str">
            <v xml:space="preserve">10% APTUS TRANCHE III 26FEB2025 (P/C 24FEB2023) </v>
          </cell>
          <cell r="F208">
            <v>45714</v>
          </cell>
          <cell r="G208" t="str">
            <v>10.00</v>
          </cell>
          <cell r="H208" t="str">
            <v>26-Feb-2025</v>
          </cell>
          <cell r="I208" t="str">
            <v>10.00% APTUS VALUE HOUSING FINANCE INDIA LTD (26-Feb-2025)</v>
          </cell>
          <cell r="J208" t="str">
            <v>10.00% Aptus Value Housing Finance India Ltd (26-Feb-2025)</v>
          </cell>
          <cell r="K208" t="str">
            <v>10.00% Aptus Value Housing Finance India Ltd (26-Feb-2025) **</v>
          </cell>
        </row>
        <row r="209">
          <cell r="B209" t="str">
            <v>INE003S07213</v>
          </cell>
          <cell r="C209" t="str">
            <v>CFLT</v>
          </cell>
          <cell r="D209" t="str">
            <v xml:space="preserve">RENEW POWER LIMITED                             </v>
          </cell>
          <cell r="E209" t="str">
            <v>9.60% RENEW QTRLY (26FEB2021 DCO 26AUG2018 CO 26</v>
          </cell>
          <cell r="F209">
            <v>44253</v>
          </cell>
          <cell r="G209" t="str">
            <v>9.60</v>
          </cell>
          <cell r="H209" t="str">
            <v>26-Feb-2021</v>
          </cell>
          <cell r="I209" t="str">
            <v>9.60% RENEW POWER LIMITED (26-Feb-2021)</v>
          </cell>
          <cell r="J209" t="str">
            <v>9.60% Renew Power Limited (26-Feb-2021)</v>
          </cell>
          <cell r="K209" t="str">
            <v>9.60% Renew Power Limited (26-Feb-2021) **</v>
          </cell>
        </row>
        <row r="210">
          <cell r="B210" t="str">
            <v>INE459T07025</v>
          </cell>
          <cell r="C210" t="str">
            <v>CRPN</v>
          </cell>
          <cell r="D210" t="str">
            <v xml:space="preserve">VASTU HOUSING FINANCE CORP LTD                  </v>
          </cell>
          <cell r="E210" t="str">
            <v>9.95% VASTU HOUSING 27FEB2025 SERIES A (P/C 27FE</v>
          </cell>
          <cell r="F210">
            <v>45715</v>
          </cell>
          <cell r="G210">
            <v>9.9500000000000011</v>
          </cell>
          <cell r="H210" t="str">
            <v>27-Feb-2025</v>
          </cell>
          <cell r="I210" t="str">
            <v>9.95% VASTU HOUSING FINANCE CORP LTD (27-Feb-2025)</v>
          </cell>
          <cell r="J210" t="str">
            <v>9.95% Vastu Housing Finance Corp Ltd (27-Feb-2025)</v>
          </cell>
          <cell r="K210" t="str">
            <v>9.95% Vastu Housing Finance Corp Ltd (27-Feb-2025) **</v>
          </cell>
        </row>
        <row r="211">
          <cell r="B211" t="str">
            <v>INE053F07AK6</v>
          </cell>
          <cell r="C211" t="str">
            <v>CRPN</v>
          </cell>
          <cell r="D211" t="str">
            <v xml:space="preserve">INDIAN RAILWAY FINANCE CORP LTD                 </v>
          </cell>
          <cell r="E211" t="str">
            <v xml:space="preserve">7.65% IRFC (15MAR2021)                          </v>
          </cell>
          <cell r="F211">
            <v>44270</v>
          </cell>
          <cell r="G211">
            <v>7.6499999999999995</v>
          </cell>
          <cell r="H211" t="str">
            <v>15-Mar-2021</v>
          </cell>
          <cell r="I211" t="str">
            <v>7.65% INDIAN RAILWAY FINANCE CORP LTD (15-Mar-2021)</v>
          </cell>
          <cell r="J211" t="str">
            <v>7.65% Indian Railway Finance Corp Ltd (15-Mar-2021)</v>
          </cell>
          <cell r="K211" t="str">
            <v>7.65% Indian Railway Finance Corp Ltd (15-Mar-2021) **</v>
          </cell>
        </row>
        <row r="212">
          <cell r="B212" t="e">
            <v>#N/A</v>
          </cell>
          <cell r="C212" t="e">
            <v>#N/A</v>
          </cell>
          <cell r="D212" t="e">
            <v>#N/A</v>
          </cell>
          <cell r="E212" t="e">
            <v>#N/A</v>
          </cell>
          <cell r="F212">
            <v>43623</v>
          </cell>
          <cell r="G212">
            <v>7.7200000000000006</v>
          </cell>
          <cell r="H212" t="str">
            <v>07-Jun-2019</v>
          </cell>
          <cell r="I212" t="e">
            <v>#N/A</v>
          </cell>
          <cell r="J212" t="e">
            <v>#N/A</v>
          </cell>
          <cell r="K212" t="e">
            <v>#N/A</v>
          </cell>
        </row>
        <row r="213">
          <cell r="B213" t="str">
            <v>INE115A07MX2</v>
          </cell>
          <cell r="C213" t="str">
            <v>ZERO</v>
          </cell>
          <cell r="D213" t="str">
            <v xml:space="preserve">LIC HOUSING FINANCE LTD                         </v>
          </cell>
          <cell r="E213" t="str">
            <v xml:space="preserve">0% LIC HOUSING FINANCE (25MAR2021)              </v>
          </cell>
          <cell r="F213">
            <v>44280</v>
          </cell>
          <cell r="G213" t="str">
            <v>0.00</v>
          </cell>
          <cell r="H213" t="str">
            <v>25-Mar-2021</v>
          </cell>
          <cell r="I213" t="str">
            <v>0.00% LIC HOUSING FINANCE LTD (25-Mar-2021)</v>
          </cell>
          <cell r="J213" t="str">
            <v>0.00% LIC Housing Finance Ltd (25-Mar-2021)</v>
          </cell>
          <cell r="K213" t="str">
            <v>0.00% LIC Housing Finance Ltd (25-Mar-2021) **</v>
          </cell>
        </row>
        <row r="214">
          <cell r="B214" t="str">
            <v>INE756I07BW1</v>
          </cell>
          <cell r="C214" t="str">
            <v>ZERO</v>
          </cell>
          <cell r="D214" t="str">
            <v xml:space="preserve">HDB FINANCIAL SERVICES LTD                      </v>
          </cell>
          <cell r="E214" t="str">
            <v xml:space="preserve">0% HDB FINANCIAL (OPTION2) (06APR2021)          </v>
          </cell>
          <cell r="F214">
            <v>44292</v>
          </cell>
          <cell r="G214" t="str">
            <v>0.00</v>
          </cell>
          <cell r="H214" t="str">
            <v>06-Apr-2021</v>
          </cell>
          <cell r="I214" t="str">
            <v>0.00% HDB FINANCIAL SERVICES LTD (06-Apr-2021)</v>
          </cell>
          <cell r="J214" t="str">
            <v>0.00% HDB Financial Services Limited (06-Apr-2021)</v>
          </cell>
          <cell r="K214" t="str">
            <v>0.00% HDB Financial Services Limited (06-Apr-2021) **</v>
          </cell>
        </row>
        <row r="215">
          <cell r="B215" t="str">
            <v>INE134E08JM2</v>
          </cell>
          <cell r="C215" t="str">
            <v>CRPN</v>
          </cell>
          <cell r="D215" t="str">
            <v xml:space="preserve">POWER FINANCE CORP LTD                          </v>
          </cell>
          <cell r="E215" t="str">
            <v xml:space="preserve">7.75% PFC (15APR2021)                           </v>
          </cell>
          <cell r="F215">
            <v>44301</v>
          </cell>
          <cell r="G215">
            <v>7.75</v>
          </cell>
          <cell r="H215" t="str">
            <v>15-Apr-2021</v>
          </cell>
          <cell r="I215" t="str">
            <v>7.75% POWER FINANCE CORP LTD (15-Apr-2021)</v>
          </cell>
          <cell r="J215" t="str">
            <v>7.75% Power Finance Corp Ltd (15-Apr-2021)</v>
          </cell>
          <cell r="K215" t="str">
            <v>7.75% Power Finance Corp Ltd (15-Apr-2021) **</v>
          </cell>
        </row>
        <row r="216">
          <cell r="B216" t="str">
            <v>INE945W07019</v>
          </cell>
          <cell r="C216" t="str">
            <v>CRPN</v>
          </cell>
          <cell r="D216" t="str">
            <v xml:space="preserve">INCRED FINANCIAL SERVICES PRIVATE LIMITED       </v>
          </cell>
          <cell r="E216" t="str">
            <v xml:space="preserve">10.75% INCRED (22JUN2020)                       </v>
          </cell>
          <cell r="F216">
            <v>44004</v>
          </cell>
          <cell r="G216">
            <v>10.75</v>
          </cell>
          <cell r="H216" t="str">
            <v>22-Jun-2020</v>
          </cell>
          <cell r="I216" t="str">
            <v>10.75% INCRED FINANCIAL SERVICES PRIVATE LIMITED (22-Jun-2020)</v>
          </cell>
          <cell r="J216" t="str">
            <v>10.75% Incred Financial Services Private Limited (22-Jun-2020)</v>
          </cell>
          <cell r="K216" t="str">
            <v>10.75% Incred Financial Services Private Limited (22-Jun-2020) **</v>
          </cell>
        </row>
        <row r="217">
          <cell r="B217" t="str">
            <v>INE945W07027</v>
          </cell>
          <cell r="C217" t="str">
            <v>ZERO</v>
          </cell>
          <cell r="D217" t="str">
            <v xml:space="preserve">INCRED FINANCIAL SERVICES PRIVATE LIMITED       </v>
          </cell>
          <cell r="E217" t="str">
            <v xml:space="preserve">0% INCRED (22JUN2020 P/C 20SEP2019)             </v>
          </cell>
          <cell r="F217">
            <v>44004</v>
          </cell>
          <cell r="G217" t="str">
            <v>0.00</v>
          </cell>
          <cell r="H217" t="str">
            <v>22-Jun-2020</v>
          </cell>
          <cell r="I217" t="str">
            <v>0.00% INCRED FINANCIAL SERVICES PRIVATE LIMITED (22-Jun-2020)</v>
          </cell>
          <cell r="J217" t="str">
            <v>0.00% Incred Financial Services Private Limited (22-Jun-2020)</v>
          </cell>
          <cell r="K217" t="str">
            <v>0.00% Incred Financial Services Private Limited (22-Jun-2020) **</v>
          </cell>
        </row>
        <row r="218">
          <cell r="B218" t="str">
            <v>INE535H07AG6</v>
          </cell>
          <cell r="C218" t="str">
            <v>ZERO</v>
          </cell>
          <cell r="D218" t="str">
            <v xml:space="preserve">FULLERTON INDIA CREDIT CO LTD                   </v>
          </cell>
          <cell r="E218" t="str">
            <v xml:space="preserve">0% FULLERTON INDIA (08APR2021)                  </v>
          </cell>
          <cell r="F218">
            <v>44294</v>
          </cell>
          <cell r="G218" t="str">
            <v>0.00</v>
          </cell>
          <cell r="H218" t="str">
            <v>08-Apr-2021</v>
          </cell>
          <cell r="I218" t="str">
            <v>0.00% FULLERTON INDIA CREDIT CO LTD (08-Apr-2021)</v>
          </cell>
          <cell r="J218" t="str">
            <v>0.00% Fullerton India Credit Co Ltd (08-Apr-2021)</v>
          </cell>
          <cell r="K218" t="str">
            <v>0.00% Fullerton India Credit Co Ltd (08-Apr-2021) **</v>
          </cell>
        </row>
        <row r="219">
          <cell r="B219" t="str">
            <v>INE252T07040</v>
          </cell>
          <cell r="C219" t="str">
            <v>CRPN</v>
          </cell>
          <cell r="D219" t="str">
            <v xml:space="preserve">XANDER FINANCE PVT LTD                          </v>
          </cell>
          <cell r="E219" t="str">
            <v xml:space="preserve">9.7% XANDER FINANCE SERIES III 15MAR2021        </v>
          </cell>
          <cell r="F219">
            <v>44270</v>
          </cell>
          <cell r="G219" t="str">
            <v>9.70</v>
          </cell>
          <cell r="H219" t="str">
            <v>15-Mar-2021</v>
          </cell>
          <cell r="I219" t="str">
            <v>9.70% XANDER FINANCE PVT LTD (15-Mar-2021)</v>
          </cell>
          <cell r="J219" t="str">
            <v>9.70% Xander Finance Pvt Ltd (15-Mar-2021)</v>
          </cell>
          <cell r="K219" t="str">
            <v>9.70% Xander Finance Pvt Ltd (15-Mar-2021) **</v>
          </cell>
        </row>
        <row r="220">
          <cell r="B220" t="str">
            <v>INE774D07RY7</v>
          </cell>
          <cell r="C220" t="str">
            <v>ZERO</v>
          </cell>
          <cell r="D220" t="str">
            <v xml:space="preserve">MAHINDRA &amp; MAHINDRA FINANCIAL SERVICES LTD      </v>
          </cell>
          <cell r="E220" t="str">
            <v xml:space="preserve">0% MMFSL (07APR2021)                            </v>
          </cell>
          <cell r="F220">
            <v>44293</v>
          </cell>
          <cell r="G220" t="str">
            <v>0.00</v>
          </cell>
          <cell r="H220" t="str">
            <v>07-Apr-2021</v>
          </cell>
          <cell r="I220" t="str">
            <v>0.00% MAHINDRA &amp; MAHINDRA FINANCIAL SERVICES LTD (07-Apr-2021)</v>
          </cell>
          <cell r="J220" t="str">
            <v>0.00% Mahindra &amp; Mahindra Financial Services Ltd (07-Apr-2021)</v>
          </cell>
          <cell r="K220" t="str">
            <v>0.00% Mahindra &amp; Mahindra Financial Services Ltd (07-Apr-2021) **</v>
          </cell>
        </row>
        <row r="221">
          <cell r="B221" t="str">
            <v>INE556F08JD2</v>
          </cell>
          <cell r="C221" t="str">
            <v>CRPN</v>
          </cell>
          <cell r="D221" t="str">
            <v xml:space="preserve">SMALL INDUSTRIES DEVELOPMENT BANK OF INDIA      </v>
          </cell>
          <cell r="E221" t="str">
            <v xml:space="preserve">7.65% SIDBI (15APR2021)                         </v>
          </cell>
          <cell r="F221">
            <v>44301</v>
          </cell>
          <cell r="G221">
            <v>7.6499999999999995</v>
          </cell>
          <cell r="H221" t="str">
            <v>15-Apr-2021</v>
          </cell>
          <cell r="I221" t="str">
            <v>7.65% SMALL INDUSTRIES DEVELOPMENT BANK OF INDIA (15-Apr-2021)</v>
          </cell>
          <cell r="J221" t="str">
            <v>7.65% Small Industries Development Bank Of India (15-Apr-2021)</v>
          </cell>
          <cell r="K221" t="str">
            <v>7.65% Small Industries Development Bank Of India (15-Apr-2021) **</v>
          </cell>
        </row>
        <row r="222">
          <cell r="B222" t="str">
            <v>INE540P07194</v>
          </cell>
          <cell r="C222" t="str">
            <v>CRPN</v>
          </cell>
          <cell r="D222" t="str">
            <v xml:space="preserve">UTTAR PRADESH POWER CORP LTD                    </v>
          </cell>
          <cell r="E222" t="str">
            <v xml:space="preserve">9.75% UPPCL SUB-SERIES B 20OCT2020              </v>
          </cell>
          <cell r="F222">
            <v>44124</v>
          </cell>
          <cell r="G222">
            <v>9.75</v>
          </cell>
          <cell r="H222" t="str">
            <v>20-Oct-2020</v>
          </cell>
          <cell r="I222" t="str">
            <v>9.75% UTTAR PRADESH POWER CORP LTD (20-Oct-2020)</v>
          </cell>
          <cell r="J222" t="str">
            <v>9.75% Uttar Pradesh Power Corp Ltd (20-Oct-2020)</v>
          </cell>
          <cell r="K222" t="str">
            <v>9.75% Uttar Pradesh Power Corp Ltd (20-Oct-2020) **</v>
          </cell>
        </row>
        <row r="223">
          <cell r="B223" t="str">
            <v>INE540P07202</v>
          </cell>
          <cell r="C223" t="str">
            <v>CRPN</v>
          </cell>
          <cell r="D223" t="str">
            <v xml:space="preserve">UTTAR PRADESH POWER CORP LTD                    </v>
          </cell>
          <cell r="E223" t="str">
            <v xml:space="preserve">9.75% UPPCL SUB-SERIES C 20OCT2021              </v>
          </cell>
          <cell r="F223">
            <v>44489</v>
          </cell>
          <cell r="G223">
            <v>9.75</v>
          </cell>
          <cell r="H223" t="str">
            <v>20-Oct-2021</v>
          </cell>
          <cell r="I223" t="str">
            <v>9.75% UTTAR PRADESH POWER CORP LTD (20-Oct-2021)</v>
          </cell>
          <cell r="J223" t="str">
            <v>9.75% Uttar Pradesh Power Corp Ltd (20-Oct-2021)</v>
          </cell>
          <cell r="K223" t="str">
            <v>9.75% Uttar Pradesh Power Corp Ltd (20-Oct-2021) **</v>
          </cell>
        </row>
        <row r="224">
          <cell r="B224" t="str">
            <v>INE540P07210</v>
          </cell>
          <cell r="C224" t="str">
            <v>CRPN</v>
          </cell>
          <cell r="D224" t="str">
            <v xml:space="preserve">UTTAR PRADESH POWER CORP LTD                    </v>
          </cell>
          <cell r="E224" t="str">
            <v xml:space="preserve">9.75% UPPCL SUB-SERIES D 20OCT2022              </v>
          </cell>
          <cell r="F224">
            <v>44854</v>
          </cell>
          <cell r="G224">
            <v>9.75</v>
          </cell>
          <cell r="H224" t="str">
            <v>20-Oct-2022</v>
          </cell>
          <cell r="I224" t="str">
            <v>9.75% UTTAR PRADESH POWER CORP LTD (20-Oct-2022)</v>
          </cell>
          <cell r="J224" t="str">
            <v>9.75% Uttar Pradesh Power Corp Ltd (20-Oct-2022)</v>
          </cell>
          <cell r="K224" t="str">
            <v>9.75% Uttar Pradesh Power Corp Ltd (20-Oct-2022) **</v>
          </cell>
        </row>
        <row r="225">
          <cell r="B225" t="str">
            <v>INE146O08134</v>
          </cell>
          <cell r="C225" t="str">
            <v>CRPN</v>
          </cell>
          <cell r="D225" t="str">
            <v xml:space="preserve">HINDUJA LEYLAND FINANCE LTD                     </v>
          </cell>
          <cell r="E225" t="str">
            <v xml:space="preserve">10.15% HINDUJA LEYLAND FIN SD (27MAR2025)       </v>
          </cell>
          <cell r="F225">
            <v>45743</v>
          </cell>
          <cell r="G225">
            <v>10.15</v>
          </cell>
          <cell r="H225" t="str">
            <v>27-Mar-2025</v>
          </cell>
          <cell r="I225" t="str">
            <v>10.15% HINDUJA LEYLAND FINANCE LTD (27-Mar-2025)</v>
          </cell>
          <cell r="J225" t="str">
            <v>10.15% Hinduja Leyland Finance Ltd (27-Mar-2025)</v>
          </cell>
          <cell r="K225" t="str">
            <v>10.15% Hinduja Leyland Finance Ltd (27-Mar-2025) **</v>
          </cell>
        </row>
        <row r="226">
          <cell r="B226" t="str">
            <v>INE128S07317</v>
          </cell>
          <cell r="C226" t="str">
            <v>CRPN</v>
          </cell>
          <cell r="D226" t="str">
            <v xml:space="preserve">FIVE-STAR BUSINESS FINANCE LTD                  </v>
          </cell>
          <cell r="E226" t="str">
            <v>10.21% FIVE STAR SERIES A (28MAR2023 P/C 28JAN20</v>
          </cell>
          <cell r="F226">
            <v>45013</v>
          </cell>
          <cell r="G226">
            <v>10.209999999999999</v>
          </cell>
          <cell r="H226" t="str">
            <v>28-Mar-2023</v>
          </cell>
          <cell r="I226" t="str">
            <v>10.21% FIVE-STAR BUSINESS FINANCE LTD (28-Mar-2023)</v>
          </cell>
          <cell r="J226" t="str">
            <v>10.21% Five-Star Business Finance Ltd (28-Mar-2023)</v>
          </cell>
          <cell r="K226" t="str">
            <v>10.21% Five-Star Business Finance Ltd (28-Mar-2023) **</v>
          </cell>
        </row>
        <row r="227">
          <cell r="B227" t="str">
            <v>INE971Z07059</v>
          </cell>
          <cell r="C227" t="str">
            <v>CRPN</v>
          </cell>
          <cell r="D227" t="str">
            <v xml:space="preserve">RIVAAZ TRADE VENTURES PVT LTD                   </v>
          </cell>
          <cell r="E227" t="str">
            <v xml:space="preserve">11.5 RIVAAZ SERIES E 30MAR2023                  </v>
          </cell>
          <cell r="F227">
            <v>45015</v>
          </cell>
          <cell r="G227">
            <v>11.5</v>
          </cell>
          <cell r="H227" t="str">
            <v>30-Mar-2023</v>
          </cell>
          <cell r="I227" t="str">
            <v>11.5% RIVAAZ TRADE VENTURES PVT LTD (30-Mar-2023)</v>
          </cell>
          <cell r="J227" t="str">
            <v>11.5% Rivaaz Trade Ventures Pvt Ltd (30-Mar-2023)</v>
          </cell>
          <cell r="K227" t="str">
            <v>11.5% Rivaaz Trade Ventures Pvt Ltd (30-Mar-2023) **</v>
          </cell>
        </row>
        <row r="228">
          <cell r="B228" t="e">
            <v>#N/A</v>
          </cell>
          <cell r="C228" t="e">
            <v>#N/A</v>
          </cell>
          <cell r="D228" t="e">
            <v>#N/A</v>
          </cell>
          <cell r="E228" t="e">
            <v>#N/A</v>
          </cell>
          <cell r="F228">
            <v>43554</v>
          </cell>
          <cell r="G228">
            <v>11.5</v>
          </cell>
          <cell r="H228" t="str">
            <v>30-Mar-2019</v>
          </cell>
          <cell r="I228" t="e">
            <v>#N/A</v>
          </cell>
          <cell r="J228" t="e">
            <v>#N/A</v>
          </cell>
          <cell r="K228" t="e">
            <v>#N/A</v>
          </cell>
        </row>
        <row r="229">
          <cell r="B229" t="str">
            <v>INE971Z07026</v>
          </cell>
          <cell r="C229" t="str">
            <v>CRPN</v>
          </cell>
          <cell r="D229" t="str">
            <v xml:space="preserve">RIVAAZ TRADE VENTURES PVT LTD                   </v>
          </cell>
          <cell r="E229" t="str">
            <v xml:space="preserve">11.50 RIVAAZ SERIES B 30MAR2020                 </v>
          </cell>
          <cell r="F229">
            <v>43920</v>
          </cell>
          <cell r="G229">
            <v>11.5</v>
          </cell>
          <cell r="H229" t="str">
            <v>30-Mar-2020</v>
          </cell>
          <cell r="I229" t="str">
            <v>11.5% RIVAAZ TRADE VENTURES PVT LTD (30-Mar-2020)</v>
          </cell>
          <cell r="J229" t="str">
            <v>11.5% Rivaaz Trade Ventures Pvt Ltd (30-Mar-2020)</v>
          </cell>
          <cell r="K229" t="str">
            <v>11.5% Rivaaz Trade Ventures Pvt Ltd (30-Mar-2020) **</v>
          </cell>
        </row>
        <row r="230">
          <cell r="B230" t="str">
            <v>INE971Z07034</v>
          </cell>
          <cell r="C230" t="str">
            <v>CRPN</v>
          </cell>
          <cell r="D230" t="str">
            <v xml:space="preserve">RIVAAZ TRADE VENTURES PVT LTD                   </v>
          </cell>
          <cell r="E230" t="str">
            <v xml:space="preserve">11.50 RIVAAZ SERIES C 30MAR2021                 </v>
          </cell>
          <cell r="F230">
            <v>44285</v>
          </cell>
          <cell r="G230">
            <v>11.5</v>
          </cell>
          <cell r="H230" t="str">
            <v>30-Mar-2021</v>
          </cell>
          <cell r="I230" t="str">
            <v>11.5% RIVAAZ TRADE VENTURES PVT LTD (30-Mar-2021)</v>
          </cell>
          <cell r="J230" t="str">
            <v>11.5% Rivaaz Trade Ventures Pvt Ltd (30-Mar-2021)</v>
          </cell>
          <cell r="K230" t="str">
            <v>11.5% Rivaaz Trade Ventures Pvt Ltd (30-Mar-2021) **</v>
          </cell>
        </row>
        <row r="231">
          <cell r="B231" t="str">
            <v>INE971Z07042</v>
          </cell>
          <cell r="C231" t="str">
            <v>CRPN</v>
          </cell>
          <cell r="D231" t="str">
            <v xml:space="preserve">RIVAAZ TRADE VENTURES PVT LTD                   </v>
          </cell>
          <cell r="E231" t="str">
            <v xml:space="preserve">11.50 RIVAAZ SERIES D 30MAR2022                 </v>
          </cell>
          <cell r="F231">
            <v>44650</v>
          </cell>
          <cell r="G231">
            <v>11.5</v>
          </cell>
          <cell r="H231" t="str">
            <v>30-Mar-2022</v>
          </cell>
          <cell r="I231" t="str">
            <v>11.5% RIVAAZ TRADE VENTURES PVT LTD (30-Mar-2022)</v>
          </cell>
          <cell r="J231" t="str">
            <v>11.5% Rivaaz Trade Ventures Pvt Ltd (30-Mar-2022)</v>
          </cell>
          <cell r="K231" t="str">
            <v>11.5% Rivaaz Trade Ventures Pvt Ltd (30-Mar-2022) **</v>
          </cell>
        </row>
        <row r="232">
          <cell r="B232" t="str">
            <v>INE459T07033</v>
          </cell>
          <cell r="C232" t="str">
            <v>CRPN</v>
          </cell>
          <cell r="D232" t="str">
            <v xml:space="preserve">VASTU HOUSING FINANCE CORP LTD                  </v>
          </cell>
          <cell r="E232" t="str">
            <v>9.95% VASTU HOUSING SERIES B (27FEB2025 P/C 27FE</v>
          </cell>
          <cell r="F232">
            <v>45715</v>
          </cell>
          <cell r="G232">
            <v>9.9500000000000011</v>
          </cell>
          <cell r="H232" t="str">
            <v>27-Feb-2025</v>
          </cell>
          <cell r="I232" t="str">
            <v>9.95% VASTU HOUSING FINANCE CORP LTD (27-Feb-2025)</v>
          </cell>
          <cell r="J232" t="str">
            <v>9.95% Vastu Housing Finance Corp Ltd (27-Feb-2025)</v>
          </cell>
          <cell r="K232" t="str">
            <v>9.95% Vastu Housing Finance Corp Ltd (27-Feb-2025) **</v>
          </cell>
        </row>
        <row r="233">
          <cell r="B233" t="str">
            <v>INE540P07228</v>
          </cell>
          <cell r="C233" t="str">
            <v>CRPN</v>
          </cell>
          <cell r="D233" t="str">
            <v xml:space="preserve">UTTAR PRADESH POWER CORP LTD                    </v>
          </cell>
          <cell r="E233" t="str">
            <v xml:space="preserve">9.75% UPPCL SUB-SERIES E 20OCT2023              </v>
          </cell>
          <cell r="F233">
            <v>45219</v>
          </cell>
          <cell r="G233">
            <v>9.75</v>
          </cell>
          <cell r="H233" t="str">
            <v>20-Oct-2023</v>
          </cell>
          <cell r="I233" t="str">
            <v>9.75% UTTAR PRADESH POWER CORP LTD (20-Oct-2023)</v>
          </cell>
          <cell r="J233" t="str">
            <v>9.75% Uttar Pradesh Power Corp Ltd (20-Oct-2023)</v>
          </cell>
          <cell r="K233" t="str">
            <v>9.75% Uttar Pradesh Power Corp Ltd (20-Oct-2023) **</v>
          </cell>
        </row>
        <row r="234">
          <cell r="B234" t="str">
            <v>INE922K07013</v>
          </cell>
          <cell r="C234" t="str">
            <v>CRPN</v>
          </cell>
          <cell r="D234" t="str">
            <v xml:space="preserve">INDIA SHELTER FINANCE CORP LTD                  </v>
          </cell>
          <cell r="E234" t="str">
            <v xml:space="preserve">9.99% INDIASHELTER 10FEB2022 (CO 10DEC2020)     </v>
          </cell>
          <cell r="F234">
            <v>44602</v>
          </cell>
          <cell r="G234">
            <v>9.99</v>
          </cell>
          <cell r="H234" t="str">
            <v>10-Feb-2022</v>
          </cell>
          <cell r="I234" t="str">
            <v>9.99% INDIA SHELTER FINANCE CORP LTD (10-Feb-2022)</v>
          </cell>
          <cell r="J234" t="str">
            <v>9.99% India Shelter Finance Corp Ltd (10-Feb-2022)</v>
          </cell>
          <cell r="K234" t="str">
            <v>9.99% India Shelter Finance Corp Ltd (10-Feb-2022) **</v>
          </cell>
        </row>
        <row r="235">
          <cell r="B235" t="str">
            <v>INE540P07277</v>
          </cell>
          <cell r="C235" t="str">
            <v>CRPN</v>
          </cell>
          <cell r="D235" t="str">
            <v xml:space="preserve">UTTAR PRADESH POWER CORP LTD                    </v>
          </cell>
          <cell r="E235" t="str">
            <v xml:space="preserve">10.15 UPPCL SERIES II SUB SERIES A 20JAN2020    </v>
          </cell>
          <cell r="F235">
            <v>43850</v>
          </cell>
          <cell r="G235">
            <v>10.15</v>
          </cell>
          <cell r="H235" t="str">
            <v>20-Jan-2020</v>
          </cell>
          <cell r="I235" t="str">
            <v>10.15% UTTAR PRADESH POWER CORP LTD (20-Jan-2020)</v>
          </cell>
          <cell r="J235" t="str">
            <v>10.15% Uttar Pradesh Power Corp Ltd (20-Jan-2020)</v>
          </cell>
          <cell r="K235" t="str">
            <v>10.15% Uttar Pradesh Power Corp Ltd (20-Jan-2020) **</v>
          </cell>
        </row>
        <row r="236">
          <cell r="B236" t="str">
            <v>INE540P07285</v>
          </cell>
          <cell r="C236" t="str">
            <v>CRPN</v>
          </cell>
          <cell r="D236" t="str">
            <v xml:space="preserve">UTTAR PRADESH POWER CORP LTD                    </v>
          </cell>
          <cell r="E236" t="str">
            <v xml:space="preserve">10.15 UPPCL SERIES II SUBSERIES B 20JAN2021     </v>
          </cell>
          <cell r="F236">
            <v>44216</v>
          </cell>
          <cell r="G236">
            <v>10.15</v>
          </cell>
          <cell r="H236" t="str">
            <v>20-Jan-2021</v>
          </cell>
          <cell r="I236" t="str">
            <v>10.15% UTTAR PRADESH POWER CORP LTD (20-Jan-2021)</v>
          </cell>
          <cell r="J236" t="str">
            <v>10.15% Uttar Pradesh Power Corp Ltd (20-Jan-2021)</v>
          </cell>
          <cell r="K236" t="str">
            <v>10.15% Uttar Pradesh Power Corp Ltd (20-Jan-2021) **</v>
          </cell>
        </row>
        <row r="237">
          <cell r="B237" t="str">
            <v>INE540P07293</v>
          </cell>
          <cell r="C237" t="str">
            <v>CRPN</v>
          </cell>
          <cell r="D237" t="str">
            <v xml:space="preserve">UTTAR PRADESH POWER CORP LTD                    </v>
          </cell>
          <cell r="E237" t="str">
            <v xml:space="preserve">10.15 UPPCL SERIES II SUBSERIES C 20JAN2022     </v>
          </cell>
          <cell r="F237">
            <v>44581</v>
          </cell>
          <cell r="G237">
            <v>10.15</v>
          </cell>
          <cell r="H237" t="str">
            <v>20-Jan-2022</v>
          </cell>
          <cell r="I237" t="str">
            <v>10.15% UTTAR PRADESH POWER CORP LTD (20-Jan-2022)</v>
          </cell>
          <cell r="J237" t="str">
            <v>10.15% Uttar Pradesh Power Corp Ltd (20-Jan-2022)</v>
          </cell>
          <cell r="K237" t="str">
            <v>10.15% Uttar Pradesh Power Corp Ltd (20-Jan-2022) **</v>
          </cell>
        </row>
        <row r="238">
          <cell r="B238" t="str">
            <v>INE540P07301</v>
          </cell>
          <cell r="C238" t="str">
            <v>CRPN</v>
          </cell>
          <cell r="D238" t="str">
            <v xml:space="preserve">UTTAR PRADESH POWER CORP LTD                    </v>
          </cell>
          <cell r="E238" t="str">
            <v xml:space="preserve">10.15 UPPCL SERIES II SUBSERIES D 20JAN2023     </v>
          </cell>
          <cell r="F238">
            <v>44946</v>
          </cell>
          <cell r="G238">
            <v>10.15</v>
          </cell>
          <cell r="H238" t="str">
            <v>20-Jan-2023</v>
          </cell>
          <cell r="I238" t="str">
            <v>10.15% UTTAR PRADESH POWER CORP LTD (20-Jan-2023)</v>
          </cell>
          <cell r="J238" t="str">
            <v>10.15% Uttar Pradesh Power Corp Ltd (20-Jan-2023)</v>
          </cell>
          <cell r="K238" t="str">
            <v>10.15% Uttar Pradesh Power Corp Ltd (20-Jan-2023) **</v>
          </cell>
        </row>
        <row r="239">
          <cell r="B239" t="str">
            <v>INE752E07MN5</v>
          </cell>
          <cell r="C239" t="str">
            <v>CRPN</v>
          </cell>
          <cell r="D239" t="str">
            <v xml:space="preserve">POWER GRID CORP OF INDIA LTD                    </v>
          </cell>
          <cell r="E239" t="str">
            <v xml:space="preserve">8.40% PGC (27MAY2021)                           </v>
          </cell>
          <cell r="F239">
            <v>44343</v>
          </cell>
          <cell r="G239" t="str">
            <v>8.40</v>
          </cell>
          <cell r="H239" t="str">
            <v>27-May-2021</v>
          </cell>
          <cell r="I239" t="str">
            <v>8.40% POWER GRID CORP OF INDIA LTD (27-May-2021)</v>
          </cell>
          <cell r="J239" t="str">
            <v>8.40% Power Grid Corp Of India Ltd (27-May-2021)</v>
          </cell>
          <cell r="K239" t="str">
            <v>8.40% Power Grid Corp Of India Ltd (27-May-2021) **</v>
          </cell>
        </row>
        <row r="240">
          <cell r="B240" t="str">
            <v>INE205A07030</v>
          </cell>
          <cell r="C240" t="str">
            <v>CRPN</v>
          </cell>
          <cell r="D240" t="str">
            <v xml:space="preserve">VEDANTA LTD                                     </v>
          </cell>
          <cell r="E240" t="str">
            <v xml:space="preserve">9.45% VEDANTA (17AUG2020)                       </v>
          </cell>
          <cell r="F240">
            <v>44060</v>
          </cell>
          <cell r="G240">
            <v>9.4499999999999993</v>
          </cell>
          <cell r="H240" t="str">
            <v>17-Aug-2020</v>
          </cell>
          <cell r="I240" t="str">
            <v>9.45% VEDANTA LTD (17-Aug-2020)</v>
          </cell>
          <cell r="J240" t="str">
            <v>9.45% Vedanta Ltd (17-Aug-2020)</v>
          </cell>
          <cell r="K240" t="str">
            <v>9.45% Vedanta Ltd (17-Aug-2020) **</v>
          </cell>
        </row>
        <row r="241">
          <cell r="B241" t="str">
            <v>INE540P07319</v>
          </cell>
          <cell r="C241" t="str">
            <v>CRPN</v>
          </cell>
          <cell r="D241" t="str">
            <v xml:space="preserve">UTTAR PRADESH POWER CORP LTD                    </v>
          </cell>
          <cell r="E241" t="str">
            <v xml:space="preserve">10.15 UPPCL SERIES II SUB SERIES E 19JAN2024    </v>
          </cell>
          <cell r="F241">
            <v>45310</v>
          </cell>
          <cell r="G241">
            <v>10.15</v>
          </cell>
          <cell r="H241" t="str">
            <v>19-Jan-2024</v>
          </cell>
          <cell r="I241" t="str">
            <v>10.15% UTTAR PRADESH POWER CORP LTD (19-Jan-2024)</v>
          </cell>
          <cell r="J241" t="str">
            <v>10.15% Uttar Pradesh Power Corp Ltd (19-Jan-2024)</v>
          </cell>
          <cell r="K241" t="str">
            <v>10.15% Uttar Pradesh Power Corp Ltd (19-Jan-2024) **</v>
          </cell>
        </row>
        <row r="242">
          <cell r="B242" t="str">
            <v>INE540P07327</v>
          </cell>
          <cell r="C242" t="str">
            <v>CRPN</v>
          </cell>
          <cell r="D242" t="str">
            <v xml:space="preserve">UTTAR PRADESH POWER CORP LTD                    </v>
          </cell>
          <cell r="E242" t="str">
            <v xml:space="preserve">10.15 UPPCL SERIES II SUB SERIES F 20JAN2025    </v>
          </cell>
          <cell r="F242">
            <v>45677</v>
          </cell>
          <cell r="G242">
            <v>10.15</v>
          </cell>
          <cell r="H242" t="str">
            <v>20-Jan-2025</v>
          </cell>
          <cell r="I242" t="str">
            <v>10.15% UTTAR PRADESH POWER CORP LTD (20-Jan-2025)</v>
          </cell>
          <cell r="J242" t="str">
            <v>10.15% Uttar Pradesh Power Corp Ltd (20-Jan-2025)</v>
          </cell>
          <cell r="K242" t="str">
            <v>10.15% Uttar Pradesh Power Corp Ltd (20-Jan-2025) **</v>
          </cell>
        </row>
        <row r="243">
          <cell r="B243" t="str">
            <v>INE540P07335</v>
          </cell>
          <cell r="C243" t="str">
            <v>CRPN</v>
          </cell>
          <cell r="D243" t="str">
            <v xml:space="preserve">UTTAR PRADESH POWER CORP LTD                    </v>
          </cell>
          <cell r="E243" t="str">
            <v xml:space="preserve">10.15 UPPCL SERIES II SUB SERIES G 20JAN2026    </v>
          </cell>
          <cell r="F243">
            <v>46042</v>
          </cell>
          <cell r="G243">
            <v>10.15</v>
          </cell>
          <cell r="H243" t="str">
            <v>20-Jan-2026</v>
          </cell>
          <cell r="I243" t="str">
            <v>10.15% UTTAR PRADESH POWER CORP LTD (20-Jan-2026)</v>
          </cell>
          <cell r="J243" t="str">
            <v>10.15% Uttar Pradesh Power Corp Ltd (20-Jan-2026)</v>
          </cell>
          <cell r="K243" t="str">
            <v>10.15% Uttar Pradesh Power Corp Ltd (20-Jan-2026) **</v>
          </cell>
        </row>
        <row r="244">
          <cell r="B244" t="str">
            <v>INE540P07343</v>
          </cell>
          <cell r="C244" t="str">
            <v>CRPN</v>
          </cell>
          <cell r="D244" t="str">
            <v xml:space="preserve">UTTAR PRADESH POWER CORP LTD                    </v>
          </cell>
          <cell r="E244" t="str">
            <v xml:space="preserve">10.15 UPPCL SERIES II SUB SERIES H 20JAN2027    </v>
          </cell>
          <cell r="F244">
            <v>46407</v>
          </cell>
          <cell r="G244">
            <v>10.15</v>
          </cell>
          <cell r="H244" t="str">
            <v>20-Jan-2027</v>
          </cell>
          <cell r="I244" t="str">
            <v>10.15% UTTAR PRADESH POWER CORP LTD (20-Jan-2027)</v>
          </cell>
          <cell r="J244" t="str">
            <v>10.15% Uttar Pradesh Power Corp Ltd (20-Jan-2027)</v>
          </cell>
          <cell r="K244" t="str">
            <v>10.15% Uttar Pradesh Power Corp Ltd (20-Jan-2027) **</v>
          </cell>
        </row>
        <row r="245">
          <cell r="B245" t="str">
            <v>INE540P07350</v>
          </cell>
          <cell r="C245" t="str">
            <v>CRPN</v>
          </cell>
          <cell r="D245" t="str">
            <v xml:space="preserve">UTTAR PRADESH POWER CORP LTD                    </v>
          </cell>
          <cell r="E245" t="str">
            <v xml:space="preserve">10.15 UPPCL SERIES II SUB SERIES I 20JAN2028    </v>
          </cell>
          <cell r="F245">
            <v>46772</v>
          </cell>
          <cell r="G245">
            <v>10.15</v>
          </cell>
          <cell r="H245" t="str">
            <v>20-Jan-2028</v>
          </cell>
          <cell r="I245" t="str">
            <v>10.15% UTTAR PRADESH POWER CORP LTD (20-Jan-2028)</v>
          </cell>
          <cell r="J245" t="str">
            <v>10.15% Uttar Pradesh Power Corp Ltd (20-Jan-2028)</v>
          </cell>
          <cell r="K245" t="str">
            <v>10.15% Uttar Pradesh Power Corp Ltd (20-Jan-2028) **</v>
          </cell>
        </row>
        <row r="246">
          <cell r="B246" t="str">
            <v>INE659X07014</v>
          </cell>
          <cell r="C246" t="str">
            <v>CRPN</v>
          </cell>
          <cell r="D246" t="str">
            <v xml:space="preserve">MOLAGAVALLI RENEWABLE PVT LTD                   </v>
          </cell>
          <cell r="E246" t="str">
            <v xml:space="preserve">9.95 RENEW MOLAGAVALLI 31MAR2023                </v>
          </cell>
          <cell r="F246">
            <v>45016</v>
          </cell>
          <cell r="G246">
            <v>9.9500000000000011</v>
          </cell>
          <cell r="H246" t="str">
            <v>31-Mar-2023</v>
          </cell>
          <cell r="I246" t="str">
            <v>9.95% MOLAGAVALLI RENEWABLE PVT LTD (31-Mar-2023)</v>
          </cell>
          <cell r="J246" t="str">
            <v>9.95% Molagavalli Renewable Pvt Ltd (31-Mar-2023)</v>
          </cell>
          <cell r="K246" t="str">
            <v>9.95% Molagavalli Renewable Pvt Ltd (31-Mar-2023) **</v>
          </cell>
        </row>
        <row r="247">
          <cell r="B247" t="str">
            <v>INE764L07173</v>
          </cell>
          <cell r="C247" t="str">
            <v>ZERO</v>
          </cell>
          <cell r="D247" t="str">
            <v xml:space="preserve">SADBHAV INFRASTRUCTURE PROJECT LTD              </v>
          </cell>
          <cell r="E247" t="str">
            <v xml:space="preserve">0% SIPL SERIES I 23APRIL2023 (P/C 23APRIL2021   </v>
          </cell>
          <cell r="F247">
            <v>45039</v>
          </cell>
          <cell r="G247" t="str">
            <v>0.00</v>
          </cell>
          <cell r="H247" t="str">
            <v>23-Apr-2023</v>
          </cell>
          <cell r="I247" t="str">
            <v>0.00% SADBHAV INFRASTRUCTURE PROJECT LTD (23-Apr-2023)</v>
          </cell>
          <cell r="J247" t="str">
            <v>0.00% Sadbhav Infrastructure Project Ltd (23-Apr-2023)</v>
          </cell>
          <cell r="K247" t="str">
            <v>0.00% Sadbhav Infrastructure Project Ltd (23-Apr-2023) **</v>
          </cell>
        </row>
        <row r="248">
          <cell r="B248" t="str">
            <v>INE945W07035</v>
          </cell>
          <cell r="C248" t="str">
            <v>CRPN</v>
          </cell>
          <cell r="D248" t="str">
            <v xml:space="preserve">INCRED FINANCIAL SERVICES PRIVATE LIMITED       </v>
          </cell>
          <cell r="E248" t="str">
            <v xml:space="preserve">10.25% INCRED SERIES 1 (26APR2021)              </v>
          </cell>
          <cell r="F248">
            <v>44312</v>
          </cell>
          <cell r="G248">
            <v>10.25</v>
          </cell>
          <cell r="H248" t="str">
            <v>26-Apr-2021</v>
          </cell>
          <cell r="I248" t="str">
            <v>10.25% INCRED FINANCIAL SERVICES PRIVATE LIMITED (26-Apr-2021)</v>
          </cell>
          <cell r="J248" t="str">
            <v>10.25% Incred Financial Services Private Limited (26-Apr-2021)</v>
          </cell>
          <cell r="K248" t="str">
            <v>10.25% Incred Financial Services Private Limited (26-Apr-2021) **</v>
          </cell>
        </row>
        <row r="249">
          <cell r="B249" t="e">
            <v>#N/A</v>
          </cell>
          <cell r="C249" t="e">
            <v>#N/A</v>
          </cell>
          <cell r="D249" t="e">
            <v>#N/A</v>
          </cell>
          <cell r="E249" t="e">
            <v>#N/A</v>
          </cell>
          <cell r="F249">
            <v>43642</v>
          </cell>
          <cell r="G249" t="str">
            <v>0.00</v>
          </cell>
          <cell r="H249" t="str">
            <v>26-Jun-2019</v>
          </cell>
          <cell r="I249" t="e">
            <v>#N/A</v>
          </cell>
          <cell r="J249" t="e">
            <v>#N/A</v>
          </cell>
          <cell r="K249" t="e">
            <v>#N/A</v>
          </cell>
        </row>
        <row r="250">
          <cell r="B250" t="str">
            <v>INE209W07028</v>
          </cell>
          <cell r="C250" t="str">
            <v>CRPN</v>
          </cell>
          <cell r="D250" t="str">
            <v xml:space="preserve">NARMADA WIND ENERGY PVT LTD                     </v>
          </cell>
          <cell r="E250" t="str">
            <v>9.95 RENEW NARMADA TRANCHE 2 31MAR2023 (CO 28MAR</v>
          </cell>
          <cell r="F250">
            <v>45016</v>
          </cell>
          <cell r="G250">
            <v>9.9500000000000011</v>
          </cell>
          <cell r="H250" t="str">
            <v>31-Mar-2023</v>
          </cell>
          <cell r="I250" t="str">
            <v>9.95% NARMADA WIND ENERGY PVT LTD (31-Mar-2023)</v>
          </cell>
          <cell r="J250" t="str">
            <v>9.95% Narmada Wind Energy Pvt Ltd (31-Mar-2023)</v>
          </cell>
          <cell r="K250" t="str">
            <v>9.95% Narmada Wind Energy Pvt Ltd (31-Mar-2023) **</v>
          </cell>
        </row>
        <row r="251">
          <cell r="B251" t="str">
            <v>INE128S07325</v>
          </cell>
          <cell r="C251" t="str">
            <v>CRPN</v>
          </cell>
          <cell r="D251" t="str">
            <v xml:space="preserve">FIVE-STAR BUSINESS FINANCE LTD                  </v>
          </cell>
          <cell r="E251" t="str">
            <v>10.21% FIVE STAR SERIES B (28MAR2023 P/C 28JAN20</v>
          </cell>
          <cell r="F251">
            <v>45013</v>
          </cell>
          <cell r="G251">
            <v>10.209999999999999</v>
          </cell>
          <cell r="H251" t="str">
            <v>28-Mar-2023</v>
          </cell>
          <cell r="I251" t="str">
            <v>10.21% FIVE-STAR BUSINESS FINANCE LTD (28-Mar-2023)</v>
          </cell>
          <cell r="J251" t="str">
            <v>10.21% Five-Star Business Finance Ltd (28-Mar-2023)</v>
          </cell>
          <cell r="K251" t="str">
            <v>10.21% Five-Star Business Finance Ltd (28-Mar-2023) **</v>
          </cell>
        </row>
        <row r="252">
          <cell r="B252" t="str">
            <v>INE459T07041</v>
          </cell>
          <cell r="C252" t="str">
            <v>CRPN</v>
          </cell>
          <cell r="D252" t="str">
            <v xml:space="preserve">VASTU HOUSING FINANCE CORP LTD                  </v>
          </cell>
          <cell r="E252" t="str">
            <v>9.95% VASTU HOUSING  SERIES C (27FEB2025 P/C 27F</v>
          </cell>
          <cell r="F252">
            <v>45715</v>
          </cell>
          <cell r="G252">
            <v>9.9500000000000011</v>
          </cell>
          <cell r="H252" t="str">
            <v>27-Feb-2025</v>
          </cell>
          <cell r="I252" t="str">
            <v>9.95% VASTU HOUSING FINANCE CORP LTD (27-Feb-2025)</v>
          </cell>
          <cell r="J252" t="str">
            <v>9.95% Vastu Housing Finance Corp Ltd (27-Feb-2025)</v>
          </cell>
          <cell r="K252" t="str">
            <v>9.95% Vastu Housing Finance Corp Ltd (27-Feb-2025) **</v>
          </cell>
        </row>
        <row r="253">
          <cell r="B253" t="str">
            <v>INE657N07183</v>
          </cell>
          <cell r="C253" t="str">
            <v>CRPN</v>
          </cell>
          <cell r="D253" t="str">
            <v xml:space="preserve">EDELWEISS RURAL &amp; CORPORATE SERVICES LTD        </v>
          </cell>
          <cell r="E253" t="str">
            <v xml:space="preserve">9.00%  EDELWEISS COMM 17APR2020 (P/C 19APR2018) </v>
          </cell>
          <cell r="F253">
            <v>43938</v>
          </cell>
          <cell r="G253" t="str">
            <v>9.00</v>
          </cell>
          <cell r="H253" t="str">
            <v>17-Apr-2020</v>
          </cell>
          <cell r="I253" t="str">
            <v>9.00% EDELWEISS RURAL &amp; CORPORATE SERVICES LTD (17-Apr-2020)</v>
          </cell>
          <cell r="J253" t="str">
            <v>9.00% Edelweiss Rural &amp; Corporate Services Ltd (17-Apr-2020)</v>
          </cell>
          <cell r="K253" t="str">
            <v>9.00% Edelweiss Rural &amp; Corporate Services Ltd (17-Apr-2020) **</v>
          </cell>
        </row>
        <row r="254">
          <cell r="B254" t="str">
            <v>INE459T07058</v>
          </cell>
          <cell r="C254" t="str">
            <v>CRPN</v>
          </cell>
          <cell r="D254" t="str">
            <v xml:space="preserve">VASTU HOUSING FINANCE CORP LTD                  </v>
          </cell>
          <cell r="E254" t="str">
            <v>9.95% VASTU HOUSING  SERIES D (27FEB2025 P/C 27F</v>
          </cell>
          <cell r="F254">
            <v>45715</v>
          </cell>
          <cell r="G254">
            <v>9.9499999999999993</v>
          </cell>
          <cell r="H254" t="str">
            <v>27-Feb-2025</v>
          </cell>
          <cell r="I254" t="str">
            <v>9.95% VASTU HOUSING FINANCE CORP LTD (27-Feb-2025)</v>
          </cell>
          <cell r="J254" t="str">
            <v>9.95% Vastu Housing Finance Corp Ltd (27-Feb-2025)</v>
          </cell>
          <cell r="K254" t="str">
            <v>9.95% Vastu Housing Finance Corp Ltd (27-Feb-2025) **</v>
          </cell>
        </row>
        <row r="255">
          <cell r="B255" t="str">
            <v>INE252T07057</v>
          </cell>
          <cell r="C255" t="str">
            <v>CRPN</v>
          </cell>
          <cell r="D255" t="str">
            <v xml:space="preserve">XANDER FINANCE PVT LTD                          </v>
          </cell>
          <cell r="E255" t="str">
            <v xml:space="preserve">9.70% XANDER FINANCE SERIES IV 30APR2021        </v>
          </cell>
          <cell r="F255">
            <v>44316</v>
          </cell>
          <cell r="G255" t="str">
            <v>9.70</v>
          </cell>
          <cell r="H255" t="str">
            <v>30-Apr-2021</v>
          </cell>
          <cell r="I255" t="str">
            <v>9.70% XANDER FINANCE PVT LTD (30-Apr-2021)</v>
          </cell>
          <cell r="J255" t="str">
            <v>9.70% Xander Finance Pvt Ltd (30-Apr-2021)</v>
          </cell>
          <cell r="K255" t="str">
            <v>9.70% Xander Finance Pvt Ltd (30-Apr-2021) **</v>
          </cell>
        </row>
        <row r="256">
          <cell r="B256" t="str">
            <v>INE157D08019</v>
          </cell>
          <cell r="C256" t="str">
            <v>CFLT</v>
          </cell>
          <cell r="D256" t="str">
            <v xml:space="preserve">CLIX CAPITAL SERVICES PVT LTD                   </v>
          </cell>
          <cell r="E256" t="str">
            <v>9% CLIX CAPITAL SERIES A 25MAY2023 (P/C 25MAY201</v>
          </cell>
          <cell r="F256">
            <v>45071</v>
          </cell>
          <cell r="G256" t="str">
            <v>10.75</v>
          </cell>
          <cell r="H256" t="str">
            <v>25-May-2023</v>
          </cell>
          <cell r="I256" t="str">
            <v>10.75% CLIX CAPITAL SERVICES PVT LTD (25-May-2023)</v>
          </cell>
          <cell r="J256" t="str">
            <v>10.75% Clix Capital Services Pvt Ltd (25-May-2023)</v>
          </cell>
          <cell r="K256" t="str">
            <v>10.75% Clix Capital Services Pvt Ltd (25-May-2023) **</v>
          </cell>
        </row>
        <row r="257">
          <cell r="B257" t="str">
            <v>INE128S07333</v>
          </cell>
          <cell r="C257" t="str">
            <v>CRPN</v>
          </cell>
          <cell r="D257" t="str">
            <v xml:space="preserve">FIVE-STAR BUSINESS FINANCE LTD                  </v>
          </cell>
          <cell r="E257" t="str">
            <v>10.21% FIVE STAR SERIES C (28MAR2023 P/C 28MAR20</v>
          </cell>
          <cell r="F257">
            <v>45013</v>
          </cell>
          <cell r="G257">
            <v>10.210000000000001</v>
          </cell>
          <cell r="H257" t="str">
            <v>28-Mar-2023</v>
          </cell>
          <cell r="I257" t="str">
            <v>10.21% FIVE-STAR BUSINESS FINANCE LTD (28-Mar-2023)</v>
          </cell>
          <cell r="J257" t="str">
            <v>10.21% Five-Star Business Finance Ltd (28-Mar-2023)</v>
          </cell>
          <cell r="K257" t="str">
            <v>10.21% Five-Star Business Finance Ltd (28-Mar-2023) **</v>
          </cell>
        </row>
        <row r="258">
          <cell r="B258" t="str">
            <v>INE896L07561</v>
          </cell>
          <cell r="C258" t="str">
            <v>CFLT</v>
          </cell>
          <cell r="D258" t="str">
            <v xml:space="preserve">INDOSTAR CAPITAL FINANCE LTD                    </v>
          </cell>
          <cell r="E258" t="str">
            <v>INDOSTAR CAPITAL (SBI MCLR + SPREAD) 02MAY2023 (</v>
          </cell>
          <cell r="F258">
            <v>45048</v>
          </cell>
          <cell r="H258" t="str">
            <v>02-May-2023</v>
          </cell>
          <cell r="I258" t="str">
            <v>% INDOSTAR CAPITAL FINANCE LTD (02-May-2023)</v>
          </cell>
          <cell r="J258" t="str">
            <v>Indostar Capital Finance Ltd (1Y SBI MCLR + 200 Bps) (02-May-2023)</v>
          </cell>
          <cell r="K258" t="str">
            <v>Indostar Capital Finance Ltd (1Y SBI MCLR + 200 Bps) (02-May-2023) **</v>
          </cell>
        </row>
        <row r="259">
          <cell r="B259" t="str">
            <v>INE031A08590</v>
          </cell>
          <cell r="C259" t="str">
            <v>CRPN</v>
          </cell>
          <cell r="D259" t="str">
            <v xml:space="preserve">HOUSING &amp; URBAN DEVELOPMENT CORP LTD            </v>
          </cell>
          <cell r="E259" t="str">
            <v xml:space="preserve">7.68% HUDCO (05APR2021)                         </v>
          </cell>
          <cell r="F259">
            <v>44291</v>
          </cell>
          <cell r="G259">
            <v>7.68</v>
          </cell>
          <cell r="H259" t="str">
            <v>05-Apr-2021</v>
          </cell>
          <cell r="I259" t="str">
            <v>7.68% HOUSING &amp; URBAN DEVELOPMENT CORP LTD (05-Apr-2021)</v>
          </cell>
          <cell r="J259" t="str">
            <v>7.68% Housing &amp; Urban Development Corp Ltd (05-Apr-2021)</v>
          </cell>
          <cell r="K259" t="str">
            <v>7.68% Housing &amp; Urban Development Corp Ltd (05-Apr-2021) **</v>
          </cell>
        </row>
        <row r="260">
          <cell r="B260" t="str">
            <v>INE071G08940</v>
          </cell>
          <cell r="C260" t="str">
            <v>CRPN</v>
          </cell>
          <cell r="D260" t="str">
            <v xml:space="preserve">ICICI HOME FINANCE COMPANY LIMITED              </v>
          </cell>
          <cell r="E260" t="str">
            <v xml:space="preserve">8.22% ICICI HOME FIN (27MAY2021)                </v>
          </cell>
          <cell r="F260">
            <v>44343</v>
          </cell>
          <cell r="G260">
            <v>8.2200000000000006</v>
          </cell>
          <cell r="H260" t="str">
            <v>27-May-2021</v>
          </cell>
          <cell r="I260" t="str">
            <v>8.22% ICICI HOME FINANCE COMPANY LIMITED (27-May-2021)</v>
          </cell>
          <cell r="J260" t="str">
            <v>9.00% ICICI Home Finance Company Ltd (27-May-2021)</v>
          </cell>
          <cell r="K260" t="str">
            <v>9.00% ICICI Home Finance Company Ltd (27-May-2021) **</v>
          </cell>
        </row>
        <row r="261">
          <cell r="B261" t="str">
            <v>INE774D07SB3</v>
          </cell>
          <cell r="C261" t="str">
            <v>CRPN</v>
          </cell>
          <cell r="D261" t="str">
            <v xml:space="preserve">MAHINDRA &amp; MAHINDRA FINANCIAL SERVICES LTD      </v>
          </cell>
          <cell r="E261" t="str">
            <v xml:space="preserve">8.10% MMFSL (19APR2021)                         </v>
          </cell>
          <cell r="F261">
            <v>44305</v>
          </cell>
          <cell r="G261" t="str">
            <v>8.10</v>
          </cell>
          <cell r="H261" t="str">
            <v>19-Apr-2021</v>
          </cell>
          <cell r="I261" t="str">
            <v>8.10% MAHINDRA &amp; MAHINDRA FINANCIAL SERVICES LTD (19-Apr-2021)</v>
          </cell>
          <cell r="J261" t="str">
            <v>8.10% Mahindra &amp; Mahindra Financial Services Ltd (19-Apr-2021)</v>
          </cell>
          <cell r="K261" t="str">
            <v>8.10% Mahindra &amp; Mahindra Financial Services Ltd (19-Apr-2021) **</v>
          </cell>
        </row>
        <row r="262">
          <cell r="B262" t="str">
            <v>INE895D08899</v>
          </cell>
          <cell r="C262" t="str">
            <v>CRPN</v>
          </cell>
          <cell r="D262" t="str">
            <v xml:space="preserve">TATA SONS PVT LTD                               </v>
          </cell>
          <cell r="E262" t="str">
            <v xml:space="preserve">8.25% TATA SONS LIMITED  (24MAR2021)            </v>
          </cell>
          <cell r="F262">
            <v>44279</v>
          </cell>
          <cell r="G262">
            <v>8.25</v>
          </cell>
          <cell r="H262" t="str">
            <v>24-Mar-2021</v>
          </cell>
          <cell r="I262" t="str">
            <v>8.25% TATA SONS PVT LTD (24-Mar-2021)</v>
          </cell>
          <cell r="J262" t="str">
            <v>8.25% Tata Sons Pvt Ltd (24-Mar-2021)</v>
          </cell>
          <cell r="K262" t="str">
            <v>8.25% Tata Sons Pvt Ltd (24-Mar-2021) **</v>
          </cell>
        </row>
        <row r="263">
          <cell r="B263" t="str">
            <v>INE124N07143</v>
          </cell>
          <cell r="C263" t="str">
            <v>CRPN</v>
          </cell>
          <cell r="D263" t="str">
            <v>ESSKAY FINCORP LTD</v>
          </cell>
          <cell r="E263" t="str">
            <v xml:space="preserve">10.9007 ESSKAY (11JUN2021 PO 29MAY2020)         </v>
          </cell>
          <cell r="F263">
            <v>44358</v>
          </cell>
          <cell r="G263" t="str">
            <v>10.9007</v>
          </cell>
          <cell r="H263" t="str">
            <v>11-Jun-2021</v>
          </cell>
          <cell r="I263" t="str">
            <v>10.9007% ESSKAY FINCORP LTD (11-Jun-2021)</v>
          </cell>
          <cell r="J263" t="str">
            <v>10.9007% Esskay Fincorp Ltd (11-Jun-2021)</v>
          </cell>
          <cell r="K263" t="str">
            <v>10.9007% Esskay Fincorp Ltd (11-Jun-2021) **</v>
          </cell>
        </row>
        <row r="264">
          <cell r="B264" t="str">
            <v>INE764L07181</v>
          </cell>
          <cell r="C264" t="str">
            <v>ZERO</v>
          </cell>
          <cell r="D264" t="str">
            <v xml:space="preserve">SADBHAV INFRASTRUCTURE PROJECT LTD              </v>
          </cell>
          <cell r="E264" t="str">
            <v xml:space="preserve">0% SIPL SERIES II 06JUN2023 (P/C 06JUN2021)     </v>
          </cell>
          <cell r="F264">
            <v>45083</v>
          </cell>
          <cell r="G264" t="str">
            <v>0.00</v>
          </cell>
          <cell r="H264" t="str">
            <v>06-Jun-2023</v>
          </cell>
          <cell r="I264" t="str">
            <v>0.00% SADBHAV INFRASTRUCTURE PROJECT LTD (06-Jun-2023)</v>
          </cell>
          <cell r="J264" t="str">
            <v>0.00% Sadbhav Infrastructure Project Ltd (06-Jun-2023)</v>
          </cell>
          <cell r="K264" t="str">
            <v>0.00% Sadbhav Infrastructure Project Ltd (06-Jun-2023) **</v>
          </cell>
        </row>
        <row r="265">
          <cell r="B265" t="e">
            <v>#N/A</v>
          </cell>
          <cell r="C265" t="e">
            <v>#N/A</v>
          </cell>
          <cell r="D265" t="e">
            <v>#N/A</v>
          </cell>
          <cell r="E265" t="e">
            <v>#N/A</v>
          </cell>
          <cell r="F265">
            <v>43621</v>
          </cell>
          <cell r="G265" t="str">
            <v>10.95</v>
          </cell>
          <cell r="H265" t="str">
            <v>05-Jun-2019</v>
          </cell>
          <cell r="I265" t="e">
            <v>#N/A</v>
          </cell>
          <cell r="J265" t="e">
            <v>#N/A</v>
          </cell>
          <cell r="K265" t="e">
            <v>#N/A</v>
          </cell>
        </row>
        <row r="266">
          <cell r="B266" t="str">
            <v>INE157D08027</v>
          </cell>
          <cell r="C266" t="str">
            <v>CFLT</v>
          </cell>
          <cell r="D266" t="str">
            <v xml:space="preserve">CLIX CAPITAL SERVICES PVT LTD                   </v>
          </cell>
          <cell r="E266" t="str">
            <v>9% CLIX CAPITAL SERIES B 27JUN2023 (P/C 27JUN201</v>
          </cell>
          <cell r="F266">
            <v>45104</v>
          </cell>
          <cell r="G266" t="str">
            <v>9.00</v>
          </cell>
          <cell r="H266" t="str">
            <v>27-Jun-2023</v>
          </cell>
          <cell r="I266" t="str">
            <v>9.00% CLIX CAPITAL SERVICES PVT LTD (27-Jun-2023)</v>
          </cell>
          <cell r="J266" t="str">
            <v>9.00% Clix Capital Services Pvt Ltd (27-Jun-2023)</v>
          </cell>
          <cell r="K266" t="str">
            <v>9.00% Clix Capital Services Pvt Ltd (27-Jun-2023) **</v>
          </cell>
        </row>
        <row r="267">
          <cell r="B267" t="str">
            <v>INE124N07150</v>
          </cell>
          <cell r="C267" t="str">
            <v>CRPN</v>
          </cell>
          <cell r="D267" t="str">
            <v xml:space="preserve">ESS KAY FINCORP LIMITED                         </v>
          </cell>
          <cell r="E267" t="str">
            <v xml:space="preserve">10.434553%  ESSKAY 27SEP2019                    </v>
          </cell>
          <cell r="F267">
            <v>43735</v>
          </cell>
          <cell r="G267">
            <v>10.4346</v>
          </cell>
          <cell r="H267" t="str">
            <v>27-Sep-2019</v>
          </cell>
          <cell r="I267" t="str">
            <v>10.4346% ESS KAY FINCORP LIMITED (27-Sep-2019)</v>
          </cell>
          <cell r="J267" t="str">
            <v>10.4346% Ess Kay Fincorp Limited (27-Sep-2019)</v>
          </cell>
          <cell r="K267" t="str">
            <v>10.4346% Ess Kay Fincorp Limited (27-Sep-2019) **</v>
          </cell>
        </row>
        <row r="268">
          <cell r="B268" t="e">
            <v>#N/A</v>
          </cell>
          <cell r="C268" t="e">
            <v>#N/A</v>
          </cell>
          <cell r="D268" t="e">
            <v>#N/A</v>
          </cell>
          <cell r="E268" t="e">
            <v>#N/A</v>
          </cell>
          <cell r="F268">
            <v>44291</v>
          </cell>
          <cell r="G268" t="str">
            <v>8.50</v>
          </cell>
          <cell r="H268" t="str">
            <v>05-Apr-2021</v>
          </cell>
          <cell r="I268" t="e">
            <v>#N/A</v>
          </cell>
          <cell r="J268" t="e">
            <v>#N/A</v>
          </cell>
          <cell r="K268" t="e">
            <v>#N/A</v>
          </cell>
        </row>
        <row r="269">
          <cell r="B269" t="str">
            <v>INE438A07144</v>
          </cell>
          <cell r="C269" t="str">
            <v>CFLT</v>
          </cell>
          <cell r="D269" t="str">
            <v xml:space="preserve">APOLLO TYRES LTD                                </v>
          </cell>
          <cell r="E269" t="str">
            <v xml:space="preserve">7.80% APOLLO TYRES (29APR2022)                  </v>
          </cell>
          <cell r="F269">
            <v>44680</v>
          </cell>
          <cell r="G269" t="str">
            <v>7.80</v>
          </cell>
          <cell r="H269" t="str">
            <v>29-Apr-2022</v>
          </cell>
          <cell r="I269" t="str">
            <v>7.80% APOLLO TYRES LTD (29-Apr-2022)</v>
          </cell>
          <cell r="J269" t="str">
            <v>7.80% Apollo Tyres Ltd (29-Apr-2022)</v>
          </cell>
          <cell r="K269" t="str">
            <v>7.80% Apollo Tyres Ltd (29-Apr-2022) **</v>
          </cell>
        </row>
        <row r="270">
          <cell r="B270" t="str">
            <v>INE090A08UB4</v>
          </cell>
          <cell r="C270" t="str">
            <v>PERP</v>
          </cell>
          <cell r="D270" t="str">
            <v xml:space="preserve">ICICI BANK LTD                                  </v>
          </cell>
          <cell r="E270" t="str">
            <v xml:space="preserve">9.15% ICICI BANK AT1 (CO 20JUN2023)             </v>
          </cell>
          <cell r="F270">
            <v>45097</v>
          </cell>
          <cell r="G270">
            <v>9.15</v>
          </cell>
          <cell r="H270" t="str">
            <v>20-Jun-2023</v>
          </cell>
          <cell r="I270" t="str">
            <v>9.15% ICICI BANK LTD (20-Jun-2023)</v>
          </cell>
          <cell r="J270" t="str">
            <v>9.15% ICICI Bank Ltd (20-Jun-2023)</v>
          </cell>
          <cell r="K270" t="str">
            <v>9.15% ICICI Bank Ltd (20-Jun-2023) **</v>
          </cell>
        </row>
        <row r="271">
          <cell r="B271" t="str">
            <v>INE090A08TW2</v>
          </cell>
          <cell r="C271" t="str">
            <v>PERP</v>
          </cell>
          <cell r="D271" t="str">
            <v xml:space="preserve">ICICI BANK LTD                                  </v>
          </cell>
          <cell r="E271" t="str">
            <v xml:space="preserve">9.20% ICICI BANK AT1 (CO 17MAR2022)             </v>
          </cell>
          <cell r="F271">
            <v>44637</v>
          </cell>
          <cell r="G271" t="str">
            <v>9.20</v>
          </cell>
          <cell r="H271" t="str">
            <v>17-Mar-2022</v>
          </cell>
          <cell r="I271" t="str">
            <v>9.20% ICICI BANK LTD (17-Mar-2022)</v>
          </cell>
          <cell r="J271" t="str">
            <v>9.20% ICICI Bank Ltd (17-Mar-2022)</v>
          </cell>
          <cell r="K271" t="str">
            <v>9.20% ICICI Bank Ltd (17-Mar-2022) **</v>
          </cell>
        </row>
        <row r="272">
          <cell r="B272" t="str">
            <v>INE134E08ID3</v>
          </cell>
          <cell r="C272" t="str">
            <v>CRPN</v>
          </cell>
          <cell r="D272" t="str">
            <v xml:space="preserve">POWER FINANCE CORP LTD                          </v>
          </cell>
          <cell r="E272" t="str">
            <v xml:space="preserve">8.05% PFC (27APR2021)                           </v>
          </cell>
          <cell r="F272">
            <v>44313</v>
          </cell>
          <cell r="G272">
            <v>8.0500000000000007</v>
          </cell>
          <cell r="H272" t="str">
            <v>27-Apr-2021</v>
          </cell>
          <cell r="I272" t="str">
            <v>8.05% POWER FINANCE CORP LTD (27-Apr-2021)</v>
          </cell>
          <cell r="J272" t="str">
            <v>8.05% Power Finance Corp Ltd (27-Apr-2021)</v>
          </cell>
          <cell r="K272" t="str">
            <v>8.05% Power Finance Corp Ltd (27-Apr-2021) **</v>
          </cell>
        </row>
        <row r="273">
          <cell r="B273" t="str">
            <v>INE020B08AO4</v>
          </cell>
          <cell r="C273" t="str">
            <v>CRPN</v>
          </cell>
          <cell r="D273" t="str">
            <v xml:space="preserve">REC LTD                                         </v>
          </cell>
          <cell r="E273" t="str">
            <v xml:space="preserve">7.18% REC (21MAY2021)                           </v>
          </cell>
          <cell r="F273">
            <v>44337</v>
          </cell>
          <cell r="G273">
            <v>7.1800000000000006</v>
          </cell>
          <cell r="H273" t="str">
            <v>21-May-2021</v>
          </cell>
          <cell r="I273" t="str">
            <v>7.18% REC LTD (21-May-2021)</v>
          </cell>
          <cell r="J273" t="str">
            <v>7.18% Rec Ltd (21-May-2021)</v>
          </cell>
          <cell r="K273" t="str">
            <v>7.18% Rec Ltd (21-May-2021) **</v>
          </cell>
        </row>
        <row r="274">
          <cell r="B274" t="e">
            <v>#N/A</v>
          </cell>
          <cell r="C274" t="e">
            <v>#N/A</v>
          </cell>
          <cell r="D274" t="e">
            <v>#N/A</v>
          </cell>
          <cell r="E274" t="e">
            <v>#N/A</v>
          </cell>
          <cell r="F274">
            <v>43707</v>
          </cell>
          <cell r="G274" t="str">
            <v>10.75</v>
          </cell>
          <cell r="H274" t="str">
            <v>30-Aug-2019</v>
          </cell>
          <cell r="I274" t="e">
            <v>#N/A</v>
          </cell>
          <cell r="J274" t="e">
            <v>#N/A</v>
          </cell>
          <cell r="K274" t="e">
            <v>#N/A</v>
          </cell>
        </row>
        <row r="275">
          <cell r="B275" t="str">
            <v>INE713G08046</v>
          </cell>
          <cell r="C275" t="str">
            <v>CRPN</v>
          </cell>
          <cell r="D275" t="str">
            <v xml:space="preserve">VODAFONE IDEA LTD                               </v>
          </cell>
          <cell r="E275" t="str">
            <v xml:space="preserve">8.25% VODA IDEA 10JUL2020                       </v>
          </cell>
          <cell r="F275">
            <v>44022</v>
          </cell>
          <cell r="G275">
            <v>8.25</v>
          </cell>
          <cell r="H275" t="str">
            <v>10-Jul-2020</v>
          </cell>
          <cell r="I275" t="str">
            <v>8.25% VODAFONE IDEA LTD (10-Jul-2020)</v>
          </cell>
          <cell r="J275" t="str">
            <v>8.25% Vodafone Idea Ltd (10-Jul-2020)</v>
          </cell>
          <cell r="K275" t="str">
            <v>8.25% Vodafone Idea Ltd (10-Jul-2020) **</v>
          </cell>
        </row>
        <row r="276">
          <cell r="B276" t="str">
            <v>INE110L08037</v>
          </cell>
          <cell r="C276" t="str">
            <v>CRPN</v>
          </cell>
          <cell r="D276" t="str">
            <v xml:space="preserve">RELIANCE JIO INFOCOMM LIMITED                   </v>
          </cell>
          <cell r="E276" t="str">
            <v xml:space="preserve">9.25% RELIANCE JIO (17JUN2024)                  </v>
          </cell>
          <cell r="F276">
            <v>45460</v>
          </cell>
          <cell r="G276">
            <v>9.25</v>
          </cell>
          <cell r="H276" t="str">
            <v>17-Jun-2024</v>
          </cell>
          <cell r="I276" t="str">
            <v>9.25% RELIANCE JIO INFOCOMM LIMITED (17-Jun-2024)</v>
          </cell>
          <cell r="J276" t="str">
            <v>9.25% Reliance Jio Infocomm Limited (17-Jun-2024)</v>
          </cell>
          <cell r="K276" t="str">
            <v>9.25% Reliance Jio Infocomm Limited (17-Jun-2024) **</v>
          </cell>
        </row>
        <row r="277">
          <cell r="B277" t="str">
            <v>INE852O07071</v>
          </cell>
          <cell r="C277" t="str">
            <v>CFLT</v>
          </cell>
          <cell r="D277" t="str">
            <v xml:space="preserve">APTUS VALUE HOUSING FINANCE INDIA LTD           </v>
          </cell>
          <cell r="E277" t="str">
            <v xml:space="preserve">10% APTUS TRANCHE 1 (20JUN2025 P/C 20JUN2023)   </v>
          </cell>
          <cell r="F277">
            <v>45828</v>
          </cell>
          <cell r="G277" t="str">
            <v>10.00</v>
          </cell>
          <cell r="H277" t="str">
            <v>20-Jun-2025</v>
          </cell>
          <cell r="I277" t="str">
            <v>10.00% APTUS VALUE HOUSING FINANCE INDIA LTD (20-Jun-2025)</v>
          </cell>
          <cell r="J277" t="str">
            <v>10.00% Aptus Value Housing Finance India Ltd (20-Jun-2025)</v>
          </cell>
          <cell r="K277" t="str">
            <v>10.00% Aptus Value Housing Finance India Ltd (20-Jun-2025) **</v>
          </cell>
        </row>
        <row r="278">
          <cell r="B278" t="str">
            <v>INE128S07341</v>
          </cell>
          <cell r="C278" t="str">
            <v>CRPN</v>
          </cell>
          <cell r="D278" t="str">
            <v xml:space="preserve">FIVE-STAR BUSINESS FINANCE LTD                  </v>
          </cell>
          <cell r="E278" t="str">
            <v>10.21% FIVE STAR SERIES D (28MAR2023 P/C 28MAY20</v>
          </cell>
          <cell r="F278">
            <v>45013</v>
          </cell>
          <cell r="G278">
            <v>10.209999999999999</v>
          </cell>
          <cell r="H278" t="str">
            <v>28-Mar-2023</v>
          </cell>
          <cell r="I278" t="str">
            <v>10.21% FIVE-STAR BUSINESS FINANCE LTD (28-Mar-2023)</v>
          </cell>
          <cell r="J278" t="str">
            <v>10.21% Five-Star Business Finance Ltd (28-Mar-2023)</v>
          </cell>
          <cell r="K278" t="str">
            <v>10.21% Five-Star Business Finance Ltd (28-Mar-2023) **</v>
          </cell>
        </row>
        <row r="279">
          <cell r="B279" t="str">
            <v>INE016P07120</v>
          </cell>
          <cell r="C279" t="str">
            <v>CRPN</v>
          </cell>
          <cell r="D279" t="str">
            <v xml:space="preserve">VISTAAR FINANCIAL SERVICES PRIVATE LTD          </v>
          </cell>
          <cell r="E279" t="str">
            <v xml:space="preserve">10.5 VISTAAR 22JUN2023 (P/C 22JUN2021)          </v>
          </cell>
          <cell r="F279">
            <v>45099</v>
          </cell>
          <cell r="G279" t="str">
            <v>10.50</v>
          </cell>
          <cell r="H279" t="str">
            <v>22-Jun-2023</v>
          </cell>
          <cell r="I279" t="str">
            <v>10.50% VISTAAR FINANCIAL SERVICES PRIVATE LTD (22-Jun-2023)</v>
          </cell>
          <cell r="J279" t="str">
            <v>10.50% Vistaar Financial Services Private Ltd (22-Jun-2023)</v>
          </cell>
          <cell r="K279" t="str">
            <v>10.50% Vistaar Financial Services Private Ltd (22-Jun-2023) **</v>
          </cell>
        </row>
        <row r="280">
          <cell r="B280" t="str">
            <v>INE090A08TW2</v>
          </cell>
          <cell r="C280" t="str">
            <v>PERP</v>
          </cell>
          <cell r="D280" t="str">
            <v xml:space="preserve">ICICI BANK LTD                                  </v>
          </cell>
          <cell r="E280" t="str">
            <v xml:space="preserve">9.20% ICICI BANK AT1 (CO 17MAR2022)             </v>
          </cell>
          <cell r="F280">
            <v>44637</v>
          </cell>
          <cell r="G280">
            <v>9.1999999999999993</v>
          </cell>
          <cell r="H280" t="str">
            <v>17-Mar-2022</v>
          </cell>
          <cell r="I280" t="str">
            <v>9.2% ICICI BANK LTD (17-Mar-2022)</v>
          </cell>
          <cell r="J280" t="str">
            <v>9.20% ICICI Bank Ltd (17-Mar-2022)</v>
          </cell>
          <cell r="K280" t="str">
            <v>9.20% ICICI Bank Ltd (17-Mar-2022) **</v>
          </cell>
        </row>
        <row r="281">
          <cell r="B281" t="str">
            <v>INE916DA7PO3</v>
          </cell>
          <cell r="C281" t="str">
            <v>ZERO</v>
          </cell>
          <cell r="D281" t="str">
            <v xml:space="preserve">KOTAK MAHINDRA PRIME LTD                        </v>
          </cell>
          <cell r="E281" t="str">
            <v xml:space="preserve">0% KMP (SERIES II) (27MAY2021)                  </v>
          </cell>
          <cell r="F281">
            <v>44343</v>
          </cell>
          <cell r="G281" t="str">
            <v>0.00</v>
          </cell>
          <cell r="H281" t="str">
            <v>27-May-2021</v>
          </cell>
          <cell r="I281" t="str">
            <v>0.00% KOTAK MAHINDRA PRIME LTD (27-May-2021)</v>
          </cell>
          <cell r="J281" t="str">
            <v>0.00% Kotak Mahindra Prime Ltd (27-May-2021)</v>
          </cell>
          <cell r="K281" t="str">
            <v>0.00% Kotak Mahindra Prime Ltd (27-May-2021) **</v>
          </cell>
        </row>
        <row r="282">
          <cell r="B282" t="str">
            <v>INE891K07390</v>
          </cell>
          <cell r="C282" t="str">
            <v>ZERO</v>
          </cell>
          <cell r="D282" t="str">
            <v xml:space="preserve">AXIS FINANCE LTD                                </v>
          </cell>
          <cell r="E282" t="str">
            <v xml:space="preserve">0% AXIS FINANCE (14JUN2021)                     </v>
          </cell>
          <cell r="F282">
            <v>44361</v>
          </cell>
          <cell r="G282" t="str">
            <v>0.00</v>
          </cell>
          <cell r="H282" t="str">
            <v>14-Jun-2021</v>
          </cell>
          <cell r="I282" t="str">
            <v>0.00% AXIS FINANCE LTD (14-Jun-2021)</v>
          </cell>
          <cell r="J282" t="str">
            <v>0.00% Axis Finance Ltd (14-Jun-2021)</v>
          </cell>
          <cell r="K282" t="str">
            <v>0.00% Axis Finance Ltd (14-Jun-2021) **</v>
          </cell>
        </row>
        <row r="283">
          <cell r="B283" t="str">
            <v>INE020B08AO4</v>
          </cell>
          <cell r="C283" t="str">
            <v>CRPN</v>
          </cell>
          <cell r="D283" t="str">
            <v xml:space="preserve">REC LTD                                         </v>
          </cell>
          <cell r="E283" t="str">
            <v xml:space="preserve">7.18% REC (21MAY2021)                           </v>
          </cell>
          <cell r="F283">
            <v>44337</v>
          </cell>
          <cell r="G283">
            <v>7.1800000000000006</v>
          </cell>
          <cell r="H283" t="str">
            <v>21-May-2021</v>
          </cell>
          <cell r="I283" t="str">
            <v>7.18% REC LTD (21-May-2021)</v>
          </cell>
          <cell r="J283" t="str">
            <v>7.18% Rec Ltd (21-May-2021)</v>
          </cell>
          <cell r="K283" t="str">
            <v>7.18% Rec Ltd (21-May-2021) **</v>
          </cell>
        </row>
        <row r="284">
          <cell r="B284" t="str">
            <v>INE134E08DN3</v>
          </cell>
          <cell r="C284" t="str">
            <v>CRPN</v>
          </cell>
          <cell r="D284" t="str">
            <v xml:space="preserve">POWER FINANCE CORP LTD                          </v>
          </cell>
          <cell r="E284" t="str">
            <v xml:space="preserve">9.70% PFC (09JUN2021)                           </v>
          </cell>
          <cell r="F284">
            <v>44356</v>
          </cell>
          <cell r="G284" t="str">
            <v>9.70</v>
          </cell>
          <cell r="H284" t="str">
            <v>09-Jun-2021</v>
          </cell>
          <cell r="I284" t="str">
            <v>9.70% POWER FINANCE CORP LTD (09-Jun-2021)</v>
          </cell>
          <cell r="J284" t="str">
            <v>9.70% Power Finance Corp Ltd (09-Jun-2021)</v>
          </cell>
          <cell r="K284" t="str">
            <v>9.70% Power Finance Corp Ltd (09-Jun-2021) **</v>
          </cell>
        </row>
        <row r="285">
          <cell r="B285" t="str">
            <v>INE020B08AW7</v>
          </cell>
          <cell r="C285" t="str">
            <v>CRPN</v>
          </cell>
          <cell r="D285" t="str">
            <v xml:space="preserve">REC LTD                                         </v>
          </cell>
          <cell r="E285" t="str">
            <v xml:space="preserve">7.73% REC (15JUN2021)                           </v>
          </cell>
          <cell r="F285">
            <v>44362</v>
          </cell>
          <cell r="G285">
            <v>7.7299999999999995</v>
          </cell>
          <cell r="H285" t="str">
            <v>15-Jun-2021</v>
          </cell>
          <cell r="I285" t="str">
            <v>7.73% REC LTD (15-Jun-2021)</v>
          </cell>
          <cell r="J285" t="str">
            <v>7.73% Rec Ltd (15-Jun-2021)</v>
          </cell>
          <cell r="K285" t="str">
            <v>7.73% Rec Ltd (15-Jun-2021) **</v>
          </cell>
        </row>
        <row r="286">
          <cell r="B286" t="str">
            <v>INE556F08JF7</v>
          </cell>
          <cell r="C286" t="str">
            <v>CRPN</v>
          </cell>
          <cell r="D286" t="str">
            <v xml:space="preserve">SMALL INDUSTRIES DEVELOPMENT BANK OF INDIA      </v>
          </cell>
          <cell r="E286" t="str">
            <v xml:space="preserve">8.50% SIDBI (21JUN2021)                         </v>
          </cell>
          <cell r="F286">
            <v>44368</v>
          </cell>
          <cell r="G286" t="str">
            <v>8.50</v>
          </cell>
          <cell r="H286" t="str">
            <v>21-Jun-2021</v>
          </cell>
          <cell r="I286" t="str">
            <v>8.50% SMALL INDUSTRIES DEVELOPMENT BANK OF INDIA (21-Jun-2021)</v>
          </cell>
          <cell r="J286" t="str">
            <v>8.50% Small Industries Development Bank Of India (21-Jun-2021)</v>
          </cell>
          <cell r="K286" t="str">
            <v>8.50% Small Industries Development Bank Of India (21-Jun-2021) **</v>
          </cell>
        </row>
        <row r="287">
          <cell r="B287" t="str">
            <v>IN0020092071</v>
          </cell>
          <cell r="C287" t="str">
            <v>GFLT</v>
          </cell>
          <cell r="D287" t="str">
            <v xml:space="preserve">GOI FRB 2020 (21DEC2020)                        </v>
          </cell>
          <cell r="E287" t="str">
            <v xml:space="preserve">GOI FRB 2020 (21DEC2020)                        </v>
          </cell>
          <cell r="F287">
            <v>44186</v>
          </cell>
          <cell r="H287" t="str">
            <v>21-Dec-2020</v>
          </cell>
          <cell r="I287" t="str">
            <v>GOI FRB 2020 (21DEC2020)</v>
          </cell>
          <cell r="J287" t="str">
            <v>Goi Frb 2020 (21Dec2020)</v>
          </cell>
          <cell r="K287" t="str">
            <v>GOI FRB 2020 (21-Dec-2020)</v>
          </cell>
        </row>
        <row r="288">
          <cell r="B288" t="str">
            <v>INE756I07CA5</v>
          </cell>
          <cell r="C288" t="str">
            <v>CFLT</v>
          </cell>
          <cell r="D288" t="str">
            <v xml:space="preserve">HDB FINANCIAL SERVICES LTD                      </v>
          </cell>
          <cell r="E288" t="str">
            <v xml:space="preserve">HDB FINANCIAL (91DTB + 205 BPS) (12JUL2021)     </v>
          </cell>
          <cell r="F288">
            <v>44389</v>
          </cell>
          <cell r="H288" t="str">
            <v>12-Jul-2021</v>
          </cell>
          <cell r="I288" t="str">
            <v xml:space="preserve">HDB FINANCIAL (91DTB + 205 BPS) (12JUL2021)     </v>
          </cell>
          <cell r="J288" t="str">
            <v>HDB Financial (91DTB + 205 Bps) (12Jul2021)</v>
          </cell>
          <cell r="K288" t="str">
            <v>HDB Financial (91DTB + 205 Bps) (12Jul2021) **</v>
          </cell>
        </row>
        <row r="289">
          <cell r="B289" t="str">
            <v>INE850M08077</v>
          </cell>
          <cell r="C289" t="str">
            <v>CFLT</v>
          </cell>
          <cell r="D289" t="str">
            <v xml:space="preserve">NORTHERN ARC CAPITAL LTD                        </v>
          </cell>
          <cell r="E289" t="str">
            <v>NORTHERN ARC (6M SBI MCLR + SPREAD) SERIES C 16J</v>
          </cell>
          <cell r="F289">
            <v>44393</v>
          </cell>
          <cell r="H289" t="str">
            <v>16-Jul-2021</v>
          </cell>
          <cell r="I289" t="str">
            <v>% NORTHERN ARC CAPITAL LTD (16-Jul-2021)</v>
          </cell>
          <cell r="J289" t="str">
            <v>Northern Arc Capital Ltd (6M SBI MCLR + 305 Bps) Series C (16-Jul-2021)</v>
          </cell>
          <cell r="K289" t="str">
            <v>Northern Arc Capital Ltd (6M SBI MCLR + 305 Bps) Series C (16-Jul-2021) **</v>
          </cell>
        </row>
        <row r="290">
          <cell r="B290" t="e">
            <v>#N/A</v>
          </cell>
          <cell r="C290" t="e">
            <v>#N/A</v>
          </cell>
          <cell r="D290" t="e">
            <v>#N/A</v>
          </cell>
          <cell r="E290" t="e">
            <v>#N/A</v>
          </cell>
          <cell r="F290">
            <v>44389</v>
          </cell>
          <cell r="G290">
            <v>10.5</v>
          </cell>
          <cell r="H290" t="str">
            <v>12-Jul-2021</v>
          </cell>
          <cell r="I290" t="e">
            <v>#N/A</v>
          </cell>
          <cell r="J290" t="e">
            <v>#N/A</v>
          </cell>
          <cell r="K290" t="e">
            <v>#N/A</v>
          </cell>
        </row>
        <row r="291">
          <cell r="B291" t="e">
            <v>#N/A</v>
          </cell>
          <cell r="C291" t="e">
            <v>#N/A</v>
          </cell>
          <cell r="D291" t="e">
            <v>#N/A</v>
          </cell>
          <cell r="E291" t="e">
            <v>#N/A</v>
          </cell>
          <cell r="F291">
            <v>44270</v>
          </cell>
          <cell r="H291" t="str">
            <v>15-Mar-2021</v>
          </cell>
          <cell r="I291" t="e">
            <v>#N/A</v>
          </cell>
          <cell r="J291" t="str">
            <v xml:space="preserve"> 8.39% Rajasthan Sdl Uday (15Mar2021) (15-Mar-2021)</v>
          </cell>
          <cell r="K291" t="str">
            <v xml:space="preserve"> 8.39% Rajasthan SDL Uday (15-Mar-2021)</v>
          </cell>
        </row>
        <row r="292">
          <cell r="B292" t="str">
            <v>INE831R07201</v>
          </cell>
          <cell r="C292" t="str">
            <v>ZERO</v>
          </cell>
          <cell r="D292" t="str">
            <v xml:space="preserve">ADITYA BIRLA HOUSING FINANCE LTD                </v>
          </cell>
          <cell r="E292" t="str">
            <v>0% ADITYA BIRLA HOUSING FIN (SERIES D1) (26JUL20</v>
          </cell>
          <cell r="F292">
            <v>44403</v>
          </cell>
          <cell r="G292" t="str">
            <v>0.00</v>
          </cell>
          <cell r="H292" t="str">
            <v>26-Jul-2021</v>
          </cell>
          <cell r="I292" t="str">
            <v>0.00% ADITYA BIRLA HOUSING FINANCE LTD (26-Jul-2021)</v>
          </cell>
          <cell r="J292" t="str">
            <v>0.00% Aditya Birla Housing Finance Ltd (26-Jul-2021)</v>
          </cell>
          <cell r="K292" t="str">
            <v>0.00% Aditya Birla Housing Finance Ltd (26-Jul-2021) **</v>
          </cell>
        </row>
        <row r="293">
          <cell r="B293" t="str">
            <v>INE053F09HR2</v>
          </cell>
          <cell r="C293" t="str">
            <v>CRPN</v>
          </cell>
          <cell r="D293" t="str">
            <v xml:space="preserve">INDIAN RAILWAY FINANCE CORP LTD                 </v>
          </cell>
          <cell r="E293" t="str">
            <v xml:space="preserve">9.57% IRFC (31MAY2021)                          </v>
          </cell>
          <cell r="F293">
            <v>44347</v>
          </cell>
          <cell r="G293">
            <v>9.57</v>
          </cell>
          <cell r="H293" t="str">
            <v>31-May-2021</v>
          </cell>
          <cell r="I293" t="str">
            <v>9.57% INDIAN RAILWAY FINANCE CORP LTD (31-May-2021)</v>
          </cell>
          <cell r="J293" t="str">
            <v>9.57% Indian Railway Finance Corp Ltd (31-May-2021)</v>
          </cell>
          <cell r="K293" t="str">
            <v>9.57% Indian Railway Finance Corp Ltd (31-May-2021) **</v>
          </cell>
        </row>
        <row r="294">
          <cell r="B294" t="str">
            <v>INE261F08AL1</v>
          </cell>
          <cell r="C294" t="str">
            <v>CRPN</v>
          </cell>
          <cell r="D294" t="str">
            <v>NATIONAL BANK FOR AGRICULTURE AND RURAL DEVELOPMENT</v>
          </cell>
          <cell r="E294" t="str">
            <v xml:space="preserve">8.39% NABARD (19JUL2021)                        </v>
          </cell>
          <cell r="F294">
            <v>44396</v>
          </cell>
          <cell r="G294">
            <v>8.39</v>
          </cell>
          <cell r="H294" t="str">
            <v>19-Jul-2021</v>
          </cell>
          <cell r="I294" t="str">
            <v>8.39% NATIONAL BANK FOR AGRICULTURE AND RURAL DEVELOPMENT (19-Jul-2021)</v>
          </cell>
          <cell r="J294" t="str">
            <v>8.39% National Bank For Agriculture And Rural Development (19-Jul-2021)</v>
          </cell>
          <cell r="K294" t="str">
            <v>8.39% National Bank For Agriculture And Rural Development (19-Jul-2021) **</v>
          </cell>
        </row>
        <row r="295">
          <cell r="B295" t="str">
            <v>INE848E07815</v>
          </cell>
          <cell r="C295" t="str">
            <v>CRPN</v>
          </cell>
          <cell r="D295" t="str">
            <v xml:space="preserve">NHPC LTD                                        </v>
          </cell>
          <cell r="E295" t="str">
            <v xml:space="preserve">8.50% NHPC (14JUL2021)                          </v>
          </cell>
          <cell r="F295">
            <v>44391</v>
          </cell>
          <cell r="G295">
            <v>8.5</v>
          </cell>
          <cell r="H295" t="str">
            <v>14-Jul-2021</v>
          </cell>
          <cell r="I295" t="str">
            <v>8.5% NHPC LTD (14-Jul-2021)</v>
          </cell>
          <cell r="J295" t="str">
            <v>8.50% NHPC Ltd (14-Jul-2021)</v>
          </cell>
          <cell r="K295" t="str">
            <v>8.50% NHPC Ltd (14-Jul-2021) **</v>
          </cell>
        </row>
        <row r="296">
          <cell r="B296" t="str">
            <v>INE110L07112</v>
          </cell>
          <cell r="C296" t="str">
            <v>CRPN</v>
          </cell>
          <cell r="D296" t="str">
            <v xml:space="preserve">RELIANCE JIO INFOCOMM LIMITED                   </v>
          </cell>
          <cell r="E296" t="str">
            <v xml:space="preserve">8.70% RELIANCE JIO (15JUN2021)                  </v>
          </cell>
          <cell r="F296">
            <v>44362</v>
          </cell>
          <cell r="G296" t="str">
            <v>8.70</v>
          </cell>
          <cell r="H296" t="str">
            <v>15-Jun-2021</v>
          </cell>
          <cell r="I296" t="str">
            <v>8.70% RELIANCE JIO INFOCOMM LIMITED (15-Jun-2021)</v>
          </cell>
          <cell r="J296" t="str">
            <v>8.70% Reliance Jio Infocomm Limited (15-Jun-2021)</v>
          </cell>
          <cell r="K296" t="str">
            <v>8.70% Reliance Jio Infocomm Limited (15-Jun-2021) **</v>
          </cell>
        </row>
        <row r="297">
          <cell r="B297" t="str">
            <v>INE941D07125</v>
          </cell>
          <cell r="C297" t="str">
            <v>CRPN</v>
          </cell>
          <cell r="D297" t="str">
            <v xml:space="preserve">SIKKA PORTS &amp; TERMINALS LIMITED                 </v>
          </cell>
          <cell r="E297" t="str">
            <v xml:space="preserve">10.40% SPTL (18JUL2021)                         </v>
          </cell>
          <cell r="F297">
            <v>44395</v>
          </cell>
          <cell r="G297" t="str">
            <v>10.40</v>
          </cell>
          <cell r="H297" t="str">
            <v>18-Jul-2021</v>
          </cell>
          <cell r="I297" t="str">
            <v>10.40% SIKKA PORTS &amp; TERMINALS LIMITED (18-Jul-2021)</v>
          </cell>
          <cell r="J297" t="str">
            <v>10.40% Sikka Ports &amp; Terminals Limited (18-Jul-2021)</v>
          </cell>
          <cell r="K297" t="str">
            <v>10.40% Sikka Ports &amp; Terminals Limited (18-Jul-2021) **</v>
          </cell>
        </row>
        <row r="298">
          <cell r="B298" t="str">
            <v>INE660A07PN1</v>
          </cell>
          <cell r="C298" t="str">
            <v>ZERO</v>
          </cell>
          <cell r="D298" t="str">
            <v xml:space="preserve">SUNDARAM FINANCE LTD                            </v>
          </cell>
          <cell r="E298" t="str">
            <v xml:space="preserve">0% SUNDARAM FINANCE (15JUN2021)                 </v>
          </cell>
          <cell r="F298">
            <v>44362</v>
          </cell>
          <cell r="G298" t="str">
            <v>0.00</v>
          </cell>
          <cell r="H298" t="str">
            <v>15-Jun-2021</v>
          </cell>
          <cell r="I298" t="str">
            <v>0.00% SUNDARAM FINANCE LTD (15-Jun-2021)</v>
          </cell>
          <cell r="J298" t="str">
            <v>0.00% Sundaram Finance Ltd (15-Jun-2021)</v>
          </cell>
          <cell r="K298" t="str">
            <v>0.00% Sundaram Finance Ltd (15-Jun-2021) **</v>
          </cell>
        </row>
        <row r="299">
          <cell r="B299" t="str">
            <v>INE852O07089</v>
          </cell>
          <cell r="C299" t="str">
            <v>CFLT</v>
          </cell>
          <cell r="D299" t="str">
            <v xml:space="preserve">APTUS VALUE HOUSING FINANCE INDIA LTD           </v>
          </cell>
          <cell r="E299" t="str">
            <v xml:space="preserve">10% APTUS TRANCHE 2 (20JUL2025 P/C 20JUL2023)   </v>
          </cell>
          <cell r="F299">
            <v>45858</v>
          </cell>
          <cell r="G299" t="str">
            <v>10.00</v>
          </cell>
          <cell r="H299" t="str">
            <v>20-Jul-2025</v>
          </cell>
          <cell r="I299" t="str">
            <v>10.00% APTUS VALUE HOUSING FINANCE INDIA LTD (20-Jul-2025)</v>
          </cell>
          <cell r="J299" t="str">
            <v>10.00% Aptus Value Housing Finance India Ltd (20-Jul-2025)</v>
          </cell>
          <cell r="K299" t="str">
            <v>10.00% Aptus Value Housing Finance India Ltd (20-Jul-2025) **</v>
          </cell>
        </row>
        <row r="300">
          <cell r="B300" t="str">
            <v>INE124N07168</v>
          </cell>
          <cell r="C300" t="str">
            <v>CRPN</v>
          </cell>
          <cell r="D300" t="str">
            <v xml:space="preserve">ESS KAY FINCORP LIMITED                         </v>
          </cell>
          <cell r="E300" t="str">
            <v xml:space="preserve">10.9007 ESSKAY SERIES B 11JUN2021               </v>
          </cell>
          <cell r="F300">
            <v>44358</v>
          </cell>
          <cell r="G300">
            <v>10.900700000000001</v>
          </cell>
          <cell r="H300" t="str">
            <v>11-Jun-2021</v>
          </cell>
          <cell r="I300" t="str">
            <v>10.9007% ESS KAY FINCORP LIMITED (11-Jun-2021)</v>
          </cell>
          <cell r="J300" t="str">
            <v>10.9007% Ess Kay Fincorp Limited (11-Jun-2021)</v>
          </cell>
          <cell r="K300" t="str">
            <v>10.9007% Ess Kay Fincorp Limited (11-Jun-2021) **</v>
          </cell>
        </row>
        <row r="301">
          <cell r="B301" t="str">
            <v>INE00MX08011</v>
          </cell>
          <cell r="C301" t="str">
            <v>CRPN</v>
          </cell>
          <cell r="D301" t="str">
            <v xml:space="preserve">SVANTANTRA MICROFIN PRIVATE LIMITED             </v>
          </cell>
          <cell r="E301" t="str">
            <v xml:space="preserve">11.70% SVATANTRA SUBDEBT (30NOV2023)            </v>
          </cell>
          <cell r="F301">
            <v>45260</v>
          </cell>
          <cell r="G301">
            <v>11.7</v>
          </cell>
          <cell r="H301" t="str">
            <v>30-Nov-2023</v>
          </cell>
          <cell r="I301" t="str">
            <v>11.7% SVANTANTRA MICROFIN PRIVATE LIMITED (30-Nov-2023)</v>
          </cell>
          <cell r="J301" t="str">
            <v>11.7% Svantantra Microfin Private Limited (30-Nov-2023)</v>
          </cell>
          <cell r="K301" t="str">
            <v>11.7% Svantantra Microfin Private Limited (30-Nov-2023) **</v>
          </cell>
        </row>
        <row r="302">
          <cell r="B302" t="str">
            <v>INE850M08051</v>
          </cell>
          <cell r="C302" t="str">
            <v>CFLT</v>
          </cell>
          <cell r="D302" t="str">
            <v xml:space="preserve">NORTHERN ARC CAPITAL LTD                        </v>
          </cell>
          <cell r="E302" t="str">
            <v>NORTHERN ARC (6M SBI MCLR + SPREAD) SERIES A 16J</v>
          </cell>
          <cell r="F302">
            <v>44393</v>
          </cell>
          <cell r="H302" t="str">
            <v>16-Jul-2021</v>
          </cell>
          <cell r="I302" t="str">
            <v>% NORTHERN ARC CAPITAL LTD (16-Jul-2021)</v>
          </cell>
          <cell r="J302" t="str">
            <v>Northern Arc Capital Ltd (6M SBI MCLR + 305 Bps) Series A (16-Jul-2021)</v>
          </cell>
          <cell r="K302" t="str">
            <v>Northern Arc Capital Ltd (6M SBI MCLR + 305 Bps) Series A (16-Jul-2021) **</v>
          </cell>
        </row>
        <row r="303">
          <cell r="B303" t="str">
            <v>INE850M08069</v>
          </cell>
          <cell r="C303" t="str">
            <v>CFLT</v>
          </cell>
          <cell r="D303" t="str">
            <v xml:space="preserve">NORTHERN ARC CAPITAL LTD                        </v>
          </cell>
          <cell r="E303" t="str">
            <v>NORTHERN ARC (6M SBI MCLR + SPREAD) SERIES B 16J</v>
          </cell>
          <cell r="F303">
            <v>44393</v>
          </cell>
          <cell r="H303" t="str">
            <v>16-Jul-2021</v>
          </cell>
          <cell r="I303" t="str">
            <v>% NORTHERN ARC CAPITAL LTD (16-Jul-2021)</v>
          </cell>
          <cell r="J303" t="str">
            <v>Northern Arc Capital Ltd (6M SBI MCLR + 305 Bps) Series B (16-Jul-2021)</v>
          </cell>
          <cell r="K303" t="str">
            <v>Northern Arc Capital Ltd (6M SBI MCLR + 305 Bps) Series B (16-Jul-2021) **</v>
          </cell>
        </row>
        <row r="304">
          <cell r="B304" t="str">
            <v>INE016P07112</v>
          </cell>
          <cell r="C304" t="str">
            <v>CRPN</v>
          </cell>
          <cell r="D304" t="str">
            <v xml:space="preserve">VISTAAR FINANCIAL SERVICES PRIVATE LTD          </v>
          </cell>
          <cell r="E304" t="str">
            <v xml:space="preserve">11.45% VISTAAR SERIES III (06JAN2020)           </v>
          </cell>
          <cell r="F304">
            <v>43836</v>
          </cell>
          <cell r="G304">
            <v>11.45</v>
          </cell>
          <cell r="H304" t="str">
            <v>06-Jan-2020</v>
          </cell>
          <cell r="I304" t="str">
            <v>11.45% VISTAAR FINANCIAL SERVICES PRIVATE LTD (06-Jan-2020)</v>
          </cell>
          <cell r="J304" t="str">
            <v>11.45% Vistaar Financial Services Private Ltd (06-Jan-2020)</v>
          </cell>
          <cell r="K304" t="str">
            <v>11.45% Vistaar Financial Services Private Ltd (06-Jan-2020) **</v>
          </cell>
        </row>
        <row r="305">
          <cell r="B305" t="str">
            <v>INE922K07039</v>
          </cell>
          <cell r="C305" t="str">
            <v>ZERO</v>
          </cell>
          <cell r="D305" t="str">
            <v xml:space="preserve">INDIA SHELTER FINANCE CORP LTD                  </v>
          </cell>
          <cell r="E305" t="str">
            <v>0% INDIA SHELTER TRANCHE 1 02MAY2025 (P/C 04MAY2</v>
          </cell>
          <cell r="F305">
            <v>45779</v>
          </cell>
          <cell r="G305" t="str">
            <v>0.00</v>
          </cell>
          <cell r="H305" t="str">
            <v>02-May-2025</v>
          </cell>
          <cell r="I305" t="str">
            <v>0.00% INDIA SHELTER FINANCE CORP LTD (02-May-2025)</v>
          </cell>
          <cell r="J305" t="str">
            <v>0.00% India Shelter Finance Corp Ltd (02-May-2025)</v>
          </cell>
          <cell r="K305" t="str">
            <v>0.00% India Shelter Finance Corp Ltd (02-May-2025) **</v>
          </cell>
        </row>
        <row r="306">
          <cell r="B306" t="str">
            <v>INE016P07138</v>
          </cell>
          <cell r="C306" t="str">
            <v>CRPN</v>
          </cell>
          <cell r="D306" t="str">
            <v xml:space="preserve">VISTAAR FINANCIAL SERVICES PRIVATE LTD          </v>
          </cell>
          <cell r="E306" t="str">
            <v>10.50% VISTAAR SERIES II (23JUL2024 P/C 23JUL202</v>
          </cell>
          <cell r="F306">
            <v>45496</v>
          </cell>
          <cell r="G306">
            <v>10.5</v>
          </cell>
          <cell r="H306" t="str">
            <v>23-Jul-2024</v>
          </cell>
          <cell r="I306" t="str">
            <v>10.5% VISTAAR FINANCIAL SERVICES PRIVATE LTD (23-Jul-2024)</v>
          </cell>
          <cell r="J306" t="str">
            <v>10.5% Vistaar Financial Services Private Ltd (23-Jul-2024)</v>
          </cell>
          <cell r="K306" t="str">
            <v>10.5% Vistaar Financial Services Private Ltd (23-Jul-2024) **</v>
          </cell>
        </row>
        <row r="307">
          <cell r="B307" t="str">
            <v>INE476M07BM9</v>
          </cell>
          <cell r="C307" t="str">
            <v>CRPN</v>
          </cell>
          <cell r="D307" t="str">
            <v xml:space="preserve">L&amp;T HOUSING FINANCE LIMITED                     </v>
          </cell>
          <cell r="E307" t="str">
            <v>8.80% L&amp;T HOUSING FINANCE (OPTION 2-B) (23JUN202</v>
          </cell>
          <cell r="F307">
            <v>44370</v>
          </cell>
          <cell r="G307" t="str">
            <v>8.80</v>
          </cell>
          <cell r="H307" t="str">
            <v>23-Jun-2021</v>
          </cell>
          <cell r="I307" t="str">
            <v>8.80% L&amp;T HOUSING FINANCE LIMITED (23-Jun-2021)</v>
          </cell>
          <cell r="J307" t="str">
            <v>8.80% L&amp;T Housing Finance Limited (23-Jun-2021)</v>
          </cell>
          <cell r="K307" t="str">
            <v>8.80% L&amp;T Housing Finance Limited (23-Jun-2021) **</v>
          </cell>
        </row>
        <row r="308">
          <cell r="B308" t="str">
            <v>INE027E07642</v>
          </cell>
          <cell r="C308" t="str">
            <v>CRPN</v>
          </cell>
          <cell r="D308" t="str">
            <v xml:space="preserve">L&amp;T FINANCE LTD                                 </v>
          </cell>
          <cell r="E308" t="str">
            <v xml:space="preserve">8.25% L&amp;T FINANCE (SERIES W) (21JUN2021)        </v>
          </cell>
          <cell r="F308">
            <v>44368</v>
          </cell>
          <cell r="G308">
            <v>8.25</v>
          </cell>
          <cell r="H308" t="str">
            <v>21-Jun-2021</v>
          </cell>
          <cell r="I308" t="str">
            <v>8.25% L&amp;T FINANCE LTD (21-Jun-2021)</v>
          </cell>
          <cell r="J308" t="str">
            <v>8.25% L&amp;T Finance Ltd (21-Jun-2021)</v>
          </cell>
          <cell r="K308" t="str">
            <v>8.25% L&amp;T Finance Ltd (21-Jun-2021) **</v>
          </cell>
        </row>
        <row r="309">
          <cell r="B309" t="str">
            <v>INE020B07IW2</v>
          </cell>
          <cell r="C309" t="str">
            <v>CRPN</v>
          </cell>
          <cell r="D309" t="str">
            <v xml:space="preserve">REC LTD                                         </v>
          </cell>
          <cell r="E309" t="str">
            <v xml:space="preserve">9.40% REC (17JUL2021)                           </v>
          </cell>
          <cell r="F309">
            <v>44394</v>
          </cell>
          <cell r="G309" t="str">
            <v>9.40</v>
          </cell>
          <cell r="H309" t="str">
            <v>17-Jul-2021</v>
          </cell>
          <cell r="I309" t="str">
            <v>9.40% REC LTD (17-Jul-2021)</v>
          </cell>
          <cell r="J309" t="str">
            <v>9.40% Rec Ltd (17-Jul-2021)</v>
          </cell>
          <cell r="K309" t="str">
            <v>9.40% Rec Ltd (17-Jul-2021) **</v>
          </cell>
        </row>
        <row r="310">
          <cell r="B310" t="str">
            <v>INE658R07257</v>
          </cell>
          <cell r="C310" t="str">
            <v>CFLT</v>
          </cell>
          <cell r="D310" t="str">
            <v xml:space="preserve">MOTILAL OSWAL HOME FINANCE LTD                  </v>
          </cell>
          <cell r="E310" t="str">
            <v>MOTILAL OSWAL HOME FINANCE LIMITED SR A-1 BR NCD</v>
          </cell>
          <cell r="F310">
            <v>45162</v>
          </cell>
          <cell r="H310" t="str">
            <v>24-Aug-2023</v>
          </cell>
          <cell r="I310" t="str">
            <v>% MOTILAL OSWAL HOME FINANCE LTD (24-Aug-2023)</v>
          </cell>
          <cell r="J310" t="str">
            <v>Motilal Oswal Home Finance Ltd (SBI MCLR + 200 Bps) (24-Aug-2023)</v>
          </cell>
          <cell r="K310" t="str">
            <v>Motilal Oswal Home Finance Ltd (SBI MCLR + 200 Bps) (24-Aug-2023) **</v>
          </cell>
        </row>
        <row r="311">
          <cell r="B311" t="str">
            <v>INE295J08022</v>
          </cell>
          <cell r="C311" t="str">
            <v>CRPN</v>
          </cell>
          <cell r="D311" t="str">
            <v xml:space="preserve">COASTAL GUJARAT POWER LTD                       </v>
          </cell>
          <cell r="E311" t="str">
            <v xml:space="preserve">9.90% CGPL 25AUG2028                            </v>
          </cell>
          <cell r="F311">
            <v>46990</v>
          </cell>
          <cell r="G311" t="str">
            <v>9.90</v>
          </cell>
          <cell r="H311" t="str">
            <v>25-Aug-2028</v>
          </cell>
          <cell r="I311" t="str">
            <v>9.90% COASTAL GUJARAT POWER LTD (25-Aug-2028)</v>
          </cell>
          <cell r="J311" t="str">
            <v>9.90% Coastal Gujarat Power Ltd (25-Aug-2028)</v>
          </cell>
          <cell r="K311" t="str">
            <v>9.90% Coastal Gujarat Power Ltd (25-Aug-2028) **</v>
          </cell>
        </row>
        <row r="312">
          <cell r="B312" t="str">
            <v>INE459T07066</v>
          </cell>
          <cell r="C312" t="str">
            <v>CFLT</v>
          </cell>
          <cell r="D312" t="str">
            <v xml:space="preserve">VASTU HOUSING FINANCE CORP LTD                  </v>
          </cell>
          <cell r="E312" t="str">
            <v xml:space="preserve">VASTU HOUSING (SBI + SPREAD) SERIES A 25AUG2023 </v>
          </cell>
          <cell r="F312">
            <v>45163</v>
          </cell>
          <cell r="H312" t="str">
            <v>25-Aug-2023</v>
          </cell>
          <cell r="I312" t="str">
            <v>% VASTU HOUSING FINANCE CORP LTD (25-Aug-2023)</v>
          </cell>
          <cell r="J312" t="str">
            <v>Vastu Housing Finance Corp Ltd (6M SBI MCLR + 350 Bps) (25-Aug-2023)</v>
          </cell>
          <cell r="K312" t="str">
            <v>Vastu Housing Finance Corp Ltd (6M SBI MCLR + 350 Bps) (25-Aug-2023) **</v>
          </cell>
        </row>
        <row r="313">
          <cell r="B313" t="str">
            <v>INE295J08014</v>
          </cell>
          <cell r="C313" t="str">
            <v>CRPN</v>
          </cell>
          <cell r="D313" t="str">
            <v xml:space="preserve">COASTAL GUJARAT POWER LTD                       </v>
          </cell>
          <cell r="E313" t="str">
            <v xml:space="preserve">9.70% CGPL 25AUG2023                            </v>
          </cell>
          <cell r="F313">
            <v>45163</v>
          </cell>
          <cell r="G313" t="str">
            <v>9.70</v>
          </cell>
          <cell r="H313" t="str">
            <v>25-Aug-2023</v>
          </cell>
          <cell r="I313" t="str">
            <v>9.70% COASTAL GUJARAT POWER LTD (25-Aug-2023)</v>
          </cell>
          <cell r="J313" t="str">
            <v>9.70% Coastal Gujarat Power Ltd (25-Aug-2023)</v>
          </cell>
          <cell r="K313" t="str">
            <v>9.70% Coastal Gujarat Power Ltd (25-Aug-2023) **</v>
          </cell>
        </row>
        <row r="314">
          <cell r="B314" t="str">
            <v>INE265J07282</v>
          </cell>
          <cell r="C314" t="str">
            <v>CRPN</v>
          </cell>
          <cell r="D314" t="str">
            <v xml:space="preserve">JM FINANCIAL ASSET RECONSTRUCTION CO LTD        </v>
          </cell>
          <cell r="E314" t="str">
            <v xml:space="preserve">10.25% JMFARC OPT B (31AUG2021)                 </v>
          </cell>
          <cell r="F314">
            <v>44439</v>
          </cell>
          <cell r="G314">
            <v>10.25</v>
          </cell>
          <cell r="H314" t="str">
            <v>31-Aug-2021</v>
          </cell>
          <cell r="I314" t="str">
            <v>10.25% JM FINANCIAL ASSET RECONSTRUCTION CO LTD (31-Aug-2021)</v>
          </cell>
          <cell r="J314" t="str">
            <v>10.25% Jm Financial Asset Reconstruction Co Ltd (31-Aug-2021)</v>
          </cell>
          <cell r="K314" t="str">
            <v>10.25% Jm Financial Asset Reconstruction Co Ltd (31-Aug-2021) **</v>
          </cell>
        </row>
        <row r="315">
          <cell r="B315" t="str">
            <v>INE261F08AM9</v>
          </cell>
          <cell r="C315" t="str">
            <v>CRPN</v>
          </cell>
          <cell r="D315" t="str">
            <v>NATIONAL BANK FOR AGRICULTURE AND RURAL DEVELOPMENT</v>
          </cell>
          <cell r="E315" t="str">
            <v xml:space="preserve">8.37% NABARD (03AUG2021)                        </v>
          </cell>
          <cell r="F315">
            <v>44411</v>
          </cell>
          <cell r="G315">
            <v>8.3699999999999992</v>
          </cell>
          <cell r="H315" t="str">
            <v>03-Aug-2021</v>
          </cell>
          <cell r="I315" t="str">
            <v>8.37% NATIONAL BANK FOR AGRICULTURE AND RURAL DEVELOPMENT (03-Aug-2021)</v>
          </cell>
          <cell r="J315" t="str">
            <v>8.37% National Bank For Agriculture And Rural Development (03-Aug-2021)</v>
          </cell>
          <cell r="K315" t="str">
            <v>8.37% National Bank For Agriculture And Rural Development (03-Aug-2021) **</v>
          </cell>
        </row>
        <row r="316">
          <cell r="B316" t="str">
            <v>INE752E07MZ9</v>
          </cell>
          <cell r="C316" t="str">
            <v>CRPN</v>
          </cell>
          <cell r="D316" t="str">
            <v xml:space="preserve">POWER GRID CORP OF INDIA LTD                    </v>
          </cell>
          <cell r="E316" t="str">
            <v xml:space="preserve">8.40% PGC (14SEP2021)                           </v>
          </cell>
          <cell r="F316">
            <v>44453</v>
          </cell>
          <cell r="G316" t="str">
            <v>8.40</v>
          </cell>
          <cell r="H316" t="str">
            <v>14-Sep-2021</v>
          </cell>
          <cell r="I316" t="str">
            <v>8.40% POWER GRID CORP OF INDIA LTD (14-Sep-2021)</v>
          </cell>
          <cell r="J316" t="str">
            <v>8.40% Power Grid Corp Of India Ltd (14-Sep-2021)</v>
          </cell>
          <cell r="K316" t="str">
            <v>8.40% Power Grid Corp Of India Ltd (14-Sep-2021) **</v>
          </cell>
        </row>
        <row r="317">
          <cell r="B317" t="str">
            <v>INE556F08JH3</v>
          </cell>
          <cell r="C317" t="str">
            <v>CRPN</v>
          </cell>
          <cell r="D317" t="str">
            <v xml:space="preserve">SMALL INDUSTRIES DEVELOPMENT BANK OF INDIA      </v>
          </cell>
          <cell r="E317" t="str">
            <v xml:space="preserve">8.40% SIDBI  (10AUG2021)                        </v>
          </cell>
          <cell r="F317">
            <v>44418</v>
          </cell>
          <cell r="G317" t="str">
            <v>8.40</v>
          </cell>
          <cell r="H317" t="str">
            <v>10-Aug-2021</v>
          </cell>
          <cell r="I317" t="str">
            <v>8.40% SMALL INDUSTRIES DEVELOPMENT BANK OF INDIA (10-Aug-2021)</v>
          </cell>
          <cell r="J317" t="str">
            <v>8.40% Small Industries Development Bank Of India (10-Aug-2021)</v>
          </cell>
          <cell r="K317" t="str">
            <v>8.40% Small Industries Development Bank Of India (10-Aug-2021) **</v>
          </cell>
        </row>
        <row r="318">
          <cell r="B318" t="str">
            <v>INE860H07FW4</v>
          </cell>
          <cell r="C318" t="str">
            <v>ZERO</v>
          </cell>
          <cell r="D318" t="str">
            <v xml:space="preserve">ADITYA BIRLA FINANCE LTD                        </v>
          </cell>
          <cell r="E318" t="str">
            <v xml:space="preserve">0% ABFL (SERIES E1) (26JUL2021)                 </v>
          </cell>
          <cell r="F318">
            <v>44403</v>
          </cell>
          <cell r="G318" t="str">
            <v>0.00</v>
          </cell>
          <cell r="H318" t="str">
            <v>26-Jul-2021</v>
          </cell>
          <cell r="I318" t="str">
            <v>0.00% ADITYA BIRLA FINANCE LTD (26-Jul-2021)</v>
          </cell>
          <cell r="J318" t="str">
            <v>0.00% Aditya Birla Finance Ltd (26-Jul-2021)</v>
          </cell>
          <cell r="K318" t="str">
            <v>0.00% Aditya Birla Finance Ltd (26-Jul-2021) **</v>
          </cell>
        </row>
        <row r="319">
          <cell r="B319" t="str">
            <v>INE852O07097</v>
          </cell>
          <cell r="C319" t="str">
            <v>CFLT</v>
          </cell>
          <cell r="D319" t="str">
            <v xml:space="preserve">APTUS VALUE HOUSING FINANCE INDIA LTD           </v>
          </cell>
          <cell r="E319" t="str">
            <v xml:space="preserve">10% APTUS TRANCHE 3 (20AUG2025 P/C 20AUG2023)   </v>
          </cell>
          <cell r="F319">
            <v>45889</v>
          </cell>
          <cell r="G319" t="str">
            <v>10.00</v>
          </cell>
          <cell r="H319" t="str">
            <v>20-Aug-2025</v>
          </cell>
          <cell r="I319" t="str">
            <v>10.00% APTUS VALUE HOUSING FINANCE INDIA LTD (20-Aug-2025)</v>
          </cell>
          <cell r="J319" t="str">
            <v>10.00% Aptus Value Housing Finance India Ltd (20-Aug-2025)</v>
          </cell>
          <cell r="K319" t="str">
            <v>10.00% Aptus Value Housing Finance India Ltd (20-Aug-2025) **</v>
          </cell>
        </row>
        <row r="320">
          <cell r="B320" t="str">
            <v>INE481G08057</v>
          </cell>
          <cell r="C320" t="str">
            <v>CRPN</v>
          </cell>
          <cell r="D320" t="str">
            <v xml:space="preserve">ULTRATECH CEMENT LTD                            </v>
          </cell>
          <cell r="E320" t="str">
            <v xml:space="preserve">8.36% ULTRATECH  (07JUN2021)                    </v>
          </cell>
          <cell r="F320">
            <v>44354</v>
          </cell>
          <cell r="G320">
            <v>8.36</v>
          </cell>
          <cell r="H320" t="str">
            <v>07-Jun-2021</v>
          </cell>
          <cell r="I320" t="str">
            <v>8.36% ULTRATECH CEMENT LTD (07-Jun-2021)</v>
          </cell>
          <cell r="J320" t="str">
            <v>8.36% Ultratech Cement Ltd (07-Jun-2021)</v>
          </cell>
          <cell r="K320" t="str">
            <v>8.36% Ultratech Cement Ltd (07-Jun-2021) **</v>
          </cell>
        </row>
        <row r="321">
          <cell r="B321" t="str">
            <v>INE016P07146</v>
          </cell>
          <cell r="C321" t="str">
            <v>CRPN</v>
          </cell>
          <cell r="D321" t="str">
            <v xml:space="preserve">VISTAAR FINANCIAL SERVICES PRIVATE LTD          </v>
          </cell>
          <cell r="E321" t="str">
            <v>10.50% VISTAAR SERIES III 24AUG2025 (P/C 24AUG20</v>
          </cell>
          <cell r="F321">
            <v>45893</v>
          </cell>
          <cell r="G321">
            <v>10.5</v>
          </cell>
          <cell r="H321" t="str">
            <v>24-Aug-2025</v>
          </cell>
          <cell r="I321" t="str">
            <v>10.5% VISTAAR FINANCIAL SERVICES PRIVATE LTD (24-Aug-2025)</v>
          </cell>
          <cell r="J321" t="str">
            <v>10.5% Vistaar Financial Services Private Ltd (24-Aug-2025)</v>
          </cell>
          <cell r="K321" t="str">
            <v>10.5% Vistaar Financial Services Private Ltd (24-Aug-2025) **</v>
          </cell>
        </row>
        <row r="322">
          <cell r="B322" t="e">
            <v>#N/A</v>
          </cell>
          <cell r="C322" t="e">
            <v>#N/A</v>
          </cell>
          <cell r="D322" t="e">
            <v>#N/A</v>
          </cell>
          <cell r="E322" t="e">
            <v>#N/A</v>
          </cell>
          <cell r="F322">
            <v>43552</v>
          </cell>
          <cell r="G322">
            <v>7.9</v>
          </cell>
          <cell r="H322" t="str">
            <v>28-Mar-2019</v>
          </cell>
          <cell r="I322" t="e">
            <v>#N/A</v>
          </cell>
          <cell r="J322" t="e">
            <v>#N/A</v>
          </cell>
          <cell r="K322" t="e">
            <v>#N/A</v>
          </cell>
        </row>
        <row r="323">
          <cell r="B323" t="str">
            <v>INE535H07AK8</v>
          </cell>
          <cell r="C323" t="str">
            <v>ZERO</v>
          </cell>
          <cell r="D323" t="str">
            <v xml:space="preserve">FULLERTON INDIA CREDIT CO LTD                   </v>
          </cell>
          <cell r="E323" t="str">
            <v xml:space="preserve">0% FULLERTON INDIA  (15JUL2021)                 </v>
          </cell>
          <cell r="F323">
            <v>44392</v>
          </cell>
          <cell r="G323" t="str">
            <v>0.00</v>
          </cell>
          <cell r="H323" t="str">
            <v>15-Jul-2021</v>
          </cell>
          <cell r="I323" t="str">
            <v>0.00% FULLERTON INDIA CREDIT CO LTD (15-Jul-2021)</v>
          </cell>
          <cell r="J323" t="str">
            <v>0.00% Fullerton India Credit Co Ltd (15-Jul-2021)</v>
          </cell>
          <cell r="K323" t="str">
            <v>0.00% Fullerton India Credit Co Ltd (15-Jul-2021) **</v>
          </cell>
        </row>
        <row r="324">
          <cell r="B324" t="str">
            <v>INE00U207051</v>
          </cell>
          <cell r="C324" t="str">
            <v>ZERO</v>
          </cell>
          <cell r="D324" t="str">
            <v xml:space="preserve">ADANI RAIL INFRA PRIVATE LIMITED                </v>
          </cell>
          <cell r="E324" t="str">
            <v xml:space="preserve">0% ADANI RAIL INFRA (28APR2023 P/C 07NOV2020)   </v>
          </cell>
          <cell r="F324">
            <v>45044</v>
          </cell>
          <cell r="G324" t="str">
            <v>0.00</v>
          </cell>
          <cell r="H324" t="str">
            <v>28-Apr-2023</v>
          </cell>
          <cell r="I324" t="str">
            <v>0.00% ADANI RAIL INFRA PRIVATE LIMITED (28-Apr-2023)</v>
          </cell>
          <cell r="J324" t="str">
            <v>0.00% Adani Rail Infra Private Limited (28-Apr-2023)</v>
          </cell>
          <cell r="K324" t="str">
            <v>0.00% Adani Rail Infra Private Limited (28-Apr-2023) **</v>
          </cell>
        </row>
        <row r="325">
          <cell r="B325" t="str">
            <v>INE658R08149</v>
          </cell>
          <cell r="C325" t="str">
            <v>CFLT</v>
          </cell>
          <cell r="D325" t="str">
            <v xml:space="preserve">MOTILAL OSWAL HOME FINANCE LTD                  </v>
          </cell>
          <cell r="E325" t="str">
            <v>MOTILAL OSWAL HOME FINANCE LIMITED SR A-2 BR NCD</v>
          </cell>
          <cell r="F325">
            <v>45197</v>
          </cell>
          <cell r="H325" t="str">
            <v>28-Sep-2023</v>
          </cell>
          <cell r="I325" t="str">
            <v>% MOTILAL OSWAL HOME FINANCE LTD (28-Sep-2023)</v>
          </cell>
          <cell r="J325" t="str">
            <v>Motilal Oswal Home Finance Ltd (SBI MCLR + 205 Bps) (28-Sep-2023)</v>
          </cell>
          <cell r="K325" t="str">
            <v>Motilal Oswal Home Finance Ltd (SBI MCLR + 205 Bps) (28-Sep-2023) **</v>
          </cell>
        </row>
        <row r="326">
          <cell r="B326" t="str">
            <v>INE124N07200</v>
          </cell>
          <cell r="C326" t="str">
            <v>CRPN</v>
          </cell>
          <cell r="D326" t="str">
            <v xml:space="preserve">ESS KAY FINCORP LIMITED                         </v>
          </cell>
          <cell r="E326" t="str">
            <v>10.9007 ESSKAY SERIES C 11JUN2021 (PO 29MAY2020)</v>
          </cell>
          <cell r="F326">
            <v>44358</v>
          </cell>
          <cell r="G326">
            <v>10.900700000000001</v>
          </cell>
          <cell r="H326" t="str">
            <v>11-Jun-2021</v>
          </cell>
          <cell r="I326" t="str">
            <v>10.9007% ESS KAY FINCORP LIMITED (11-Jun-2021)</v>
          </cell>
          <cell r="J326" t="str">
            <v>10.9007% Ess Kay Fincorp Limited (11-Jun-2021)</v>
          </cell>
          <cell r="K326" t="str">
            <v>10.9007% Ess Kay Fincorp Limited (11-Jun-2021) **</v>
          </cell>
        </row>
        <row r="327">
          <cell r="B327" t="str">
            <v>INE946S07148</v>
          </cell>
          <cell r="C327" t="str">
            <v>CRPN</v>
          </cell>
          <cell r="D327" t="str">
            <v xml:space="preserve">NUFUTURE DIGITAL (INDIA) LTD                    </v>
          </cell>
          <cell r="E327" t="str">
            <v xml:space="preserve">12.80% NUFUTURE SERIES E 30SEP2023              </v>
          </cell>
          <cell r="F327">
            <v>45199</v>
          </cell>
          <cell r="G327" t="str">
            <v>12.80</v>
          </cell>
          <cell r="H327" t="str">
            <v>30-Sep-2023</v>
          </cell>
          <cell r="I327" t="str">
            <v>12.80% NUFUTURE DIGITAL (INDIA) LTD (30-Sep-2023)</v>
          </cell>
          <cell r="J327" t="str">
            <v>12.80% Nufuture Digital (India) Ltd (30-Sep-2023)</v>
          </cell>
          <cell r="K327" t="str">
            <v>12.80% Nufuture Digital (India) Ltd (30-Sep-2023) **</v>
          </cell>
        </row>
        <row r="328">
          <cell r="B328" t="str">
            <v>INE971Z07109</v>
          </cell>
          <cell r="C328" t="str">
            <v>CRPN</v>
          </cell>
          <cell r="D328" t="str">
            <v xml:space="preserve">RIVAAZ TRADE VENTURES PVT LTD                   </v>
          </cell>
          <cell r="E328" t="str">
            <v xml:space="preserve">12.25% RIVAAZ SERIES E 30SEP2023                </v>
          </cell>
          <cell r="F328">
            <v>45199</v>
          </cell>
          <cell r="G328">
            <v>12.25</v>
          </cell>
          <cell r="H328" t="str">
            <v>30-Sep-2023</v>
          </cell>
          <cell r="I328" t="str">
            <v>12.25% RIVAAZ TRADE VENTURES PVT LTD (30-Sep-2023)</v>
          </cell>
          <cell r="J328" t="str">
            <v>12.25% Rivaaz Trade Ventures Pvt Ltd (30-Sep-2023)</v>
          </cell>
          <cell r="K328" t="str">
            <v>12.25% Rivaaz Trade Ventures Pvt Ltd (30-Sep-2023) **</v>
          </cell>
        </row>
        <row r="329">
          <cell r="B329" t="str">
            <v>INE669E08318</v>
          </cell>
          <cell r="C329" t="str">
            <v>CFLT</v>
          </cell>
          <cell r="D329" t="str">
            <v xml:space="preserve">VODAFONE IDEA LTD                               </v>
          </cell>
          <cell r="E329" t="str">
            <v xml:space="preserve">10.90% VODA IDEA 02SEP2023 (P/C 03SEP2021)      </v>
          </cell>
          <cell r="F329">
            <v>45171</v>
          </cell>
          <cell r="G329" t="str">
            <v>10.90</v>
          </cell>
          <cell r="H329" t="str">
            <v>02-Sep-2023</v>
          </cell>
          <cell r="I329" t="str">
            <v>10.90% VODAFONE IDEA LTD (02-Sep-2023)</v>
          </cell>
          <cell r="J329" t="str">
            <v>10.90% Vodafone Idea Ltd (02-Sep-2023)</v>
          </cell>
          <cell r="K329" t="str">
            <v>10.90% Vodafone Idea Ltd (02-Sep-2023) **</v>
          </cell>
        </row>
        <row r="330">
          <cell r="B330" t="str">
            <v>INE245A08091</v>
          </cell>
          <cell r="C330" t="str">
            <v>CRPN</v>
          </cell>
          <cell r="D330" t="str">
            <v xml:space="preserve">THE TATA POWER CO LTD                           </v>
          </cell>
          <cell r="E330" t="str">
            <v xml:space="preserve">7.99% TATA POWER LTD 16NOV2020                  </v>
          </cell>
          <cell r="F330">
            <v>44151</v>
          </cell>
          <cell r="G330">
            <v>7.99</v>
          </cell>
          <cell r="H330" t="str">
            <v>16-Nov-2020</v>
          </cell>
          <cell r="I330" t="str">
            <v>7.99% THE TATA POWER CO LTD (16-Nov-2020)</v>
          </cell>
          <cell r="J330" t="str">
            <v>7.99% The Tata Power Co Ltd (16-Nov-2020)</v>
          </cell>
          <cell r="K330" t="str">
            <v>7.99% The Tata Power Co Ltd (16-Nov-2020) **</v>
          </cell>
        </row>
        <row r="331">
          <cell r="B331" t="e">
            <v>#N/A</v>
          </cell>
          <cell r="C331" t="e">
            <v>#N/A</v>
          </cell>
          <cell r="D331" t="e">
            <v>#N/A</v>
          </cell>
          <cell r="E331" t="e">
            <v>#N/A</v>
          </cell>
          <cell r="F331">
            <v>44448</v>
          </cell>
          <cell r="G331">
            <v>9.15</v>
          </cell>
          <cell r="H331" t="str">
            <v>09-Sep-2021</v>
          </cell>
          <cell r="I331" t="e">
            <v>#N/A</v>
          </cell>
          <cell r="J331" t="e">
            <v>#N/A</v>
          </cell>
          <cell r="K331" t="e">
            <v>#N/A</v>
          </cell>
        </row>
        <row r="332">
          <cell r="B332" t="str">
            <v>INE080T07045</v>
          </cell>
          <cell r="C332" t="str">
            <v>CRPN</v>
          </cell>
          <cell r="D332" t="str">
            <v xml:space="preserve">FUTURE IDEAS COMPANY LTD                        </v>
          </cell>
          <cell r="E332" t="str">
            <v xml:space="preserve">13.40% FUTURE IDEAS SERIES A 31OCT2020          </v>
          </cell>
          <cell r="F332">
            <v>44135</v>
          </cell>
          <cell r="G332" t="str">
            <v>13.40</v>
          </cell>
          <cell r="H332" t="str">
            <v>31-Oct-2020</v>
          </cell>
          <cell r="I332" t="str">
            <v>13.40% FUTURE IDEAS COMPANY LTD (31-Oct-2020)</v>
          </cell>
          <cell r="J332" t="str">
            <v>13.40% Future Ideas Company Ltd (31-Oct-2020)</v>
          </cell>
          <cell r="K332" t="str">
            <v>13.40% Future Ideas Company Ltd (31-Oct-2020) **</v>
          </cell>
        </row>
        <row r="333">
          <cell r="B333" t="str">
            <v>INE080T07052</v>
          </cell>
          <cell r="C333" t="str">
            <v>CRPN</v>
          </cell>
          <cell r="D333" t="str">
            <v xml:space="preserve">FUTURE IDEAS COMPANY LTD                        </v>
          </cell>
          <cell r="E333" t="str">
            <v xml:space="preserve">13.40% FUTURE IDEAS SERIES B 31OCT2021          </v>
          </cell>
          <cell r="F333">
            <v>44500</v>
          </cell>
          <cell r="G333" t="str">
            <v>13.40</v>
          </cell>
          <cell r="H333" t="str">
            <v>31-Oct-2021</v>
          </cell>
          <cell r="I333" t="str">
            <v>13.40% FUTURE IDEAS COMPANY LTD (31-Oct-2021)</v>
          </cell>
          <cell r="J333" t="str">
            <v>13.40% Future Ideas Company Ltd (31-Oct-2021)</v>
          </cell>
          <cell r="K333" t="str">
            <v>13.40% Future Ideas Company Ltd (31-Oct-2021) **</v>
          </cell>
        </row>
        <row r="334">
          <cell r="B334" t="str">
            <v>INE080T07060</v>
          </cell>
          <cell r="C334" t="str">
            <v>CRPN</v>
          </cell>
          <cell r="D334" t="str">
            <v xml:space="preserve">FUTURE IDEAS COMPANY LTD                        </v>
          </cell>
          <cell r="E334" t="str">
            <v xml:space="preserve">13.40% FUTURE IDEAS SERIES C 31OCT2022          </v>
          </cell>
          <cell r="F334">
            <v>44865</v>
          </cell>
          <cell r="G334" t="str">
            <v>13.40</v>
          </cell>
          <cell r="H334" t="str">
            <v>31-Oct-2022</v>
          </cell>
          <cell r="I334" t="str">
            <v>13.40% FUTURE IDEAS COMPANY LTD (31-Oct-2022)</v>
          </cell>
          <cell r="J334" t="str">
            <v>13.40% Future Ideas Company Ltd (31-Oct-2022)</v>
          </cell>
          <cell r="K334" t="str">
            <v>13.40% Future Ideas Company Ltd (31-Oct-2022) **</v>
          </cell>
        </row>
        <row r="335">
          <cell r="B335" t="str">
            <v>INE946S07106</v>
          </cell>
          <cell r="C335" t="str">
            <v>CRPN</v>
          </cell>
          <cell r="D335" t="str">
            <v xml:space="preserve">NUFUTURE DIGITAL (INDIA) LTD                    </v>
          </cell>
          <cell r="E335" t="str">
            <v xml:space="preserve">12.80% NUFUTURE SERIES A 30SEP2019              </v>
          </cell>
          <cell r="F335">
            <v>43738</v>
          </cell>
          <cell r="G335" t="str">
            <v>12.80</v>
          </cell>
          <cell r="H335" t="str">
            <v>30-Sep-2019</v>
          </cell>
          <cell r="I335" t="str">
            <v>12.80% NUFUTURE DIGITAL (INDIA) LTD (30-Sep-2019)</v>
          </cell>
          <cell r="J335" t="str">
            <v>12.80% Nufuture Digital (India) Ltd (30-Sep-2019)</v>
          </cell>
          <cell r="K335" t="str">
            <v>12.80% Nufuture Digital (India) Ltd (30-Sep-2019) **</v>
          </cell>
        </row>
        <row r="336">
          <cell r="B336" t="str">
            <v>INE946S07114</v>
          </cell>
          <cell r="C336" t="str">
            <v>CRPN</v>
          </cell>
          <cell r="D336" t="str">
            <v xml:space="preserve">NUFUTURE DIGITAL (INDIA) LTD                    </v>
          </cell>
          <cell r="E336" t="str">
            <v xml:space="preserve">12.80% NUFUTURE SERIES B 30SEP2020              </v>
          </cell>
          <cell r="F336">
            <v>44104</v>
          </cell>
          <cell r="G336" t="str">
            <v>12.80</v>
          </cell>
          <cell r="H336" t="str">
            <v>30-Sep-2020</v>
          </cell>
          <cell r="I336" t="str">
            <v>12.80% NUFUTURE DIGITAL (INDIA) LTD (30-Sep-2020)</v>
          </cell>
          <cell r="J336" t="str">
            <v>12.80% Nufuture Digital (India) Ltd (30-Sep-2020)</v>
          </cell>
          <cell r="K336" t="str">
            <v>12.80% Nufuture Digital (India) Ltd (30-Sep-2020) **</v>
          </cell>
        </row>
        <row r="337">
          <cell r="B337" t="str">
            <v>INE946S07122</v>
          </cell>
          <cell r="C337" t="str">
            <v>CRPN</v>
          </cell>
          <cell r="D337" t="str">
            <v xml:space="preserve">NUFUTURE DIGITAL (INDIA) LTD                    </v>
          </cell>
          <cell r="E337" t="str">
            <v xml:space="preserve">12.80% NUFUTURE SERIES C 30SEP2021              </v>
          </cell>
          <cell r="F337">
            <v>44469</v>
          </cell>
          <cell r="G337" t="str">
            <v>12.80</v>
          </cell>
          <cell r="H337" t="str">
            <v>30-Sep-2021</v>
          </cell>
          <cell r="I337" t="str">
            <v>12.80% NUFUTURE DIGITAL (INDIA) LTD (30-Sep-2021)</v>
          </cell>
          <cell r="J337" t="str">
            <v>12.80% Nufuture Digital (India) Ltd (30-Sep-2021)</v>
          </cell>
          <cell r="K337" t="str">
            <v>12.80% Nufuture Digital (India) Ltd (30-Sep-2021) **</v>
          </cell>
        </row>
        <row r="338">
          <cell r="B338" t="str">
            <v>INE971Z07067</v>
          </cell>
          <cell r="C338" t="str">
            <v>CRPN</v>
          </cell>
          <cell r="D338" t="str">
            <v xml:space="preserve">RIVAAZ TRADE VENTURES PVT LTD                   </v>
          </cell>
          <cell r="E338" t="str">
            <v xml:space="preserve">12.25% RIVAAZ SERIES A 30SEP2019                </v>
          </cell>
          <cell r="F338">
            <v>43738</v>
          </cell>
          <cell r="G338">
            <v>12.25</v>
          </cell>
          <cell r="H338" t="str">
            <v>30-Sep-2019</v>
          </cell>
          <cell r="I338" t="str">
            <v>12.25% RIVAAZ TRADE VENTURES PVT LTD (30-Sep-2019)</v>
          </cell>
          <cell r="J338" t="str">
            <v>12.25% Rivaaz Trade Ventures Pvt Ltd (30-Sep-2019)</v>
          </cell>
          <cell r="K338" t="str">
            <v>12.25% Rivaaz Trade Ventures Pvt Ltd (30-Sep-2019) **</v>
          </cell>
        </row>
        <row r="339">
          <cell r="B339" t="str">
            <v>INE971Z07075</v>
          </cell>
          <cell r="C339" t="str">
            <v>CRPN</v>
          </cell>
          <cell r="D339" t="str">
            <v xml:space="preserve">RIVAAZ TRADE VENTURES PVT LTD                   </v>
          </cell>
          <cell r="E339" t="str">
            <v xml:space="preserve">12.25% RIVAAZ SERIES B 30SEP2020                </v>
          </cell>
          <cell r="F339">
            <v>44104</v>
          </cell>
          <cell r="G339">
            <v>12.25</v>
          </cell>
          <cell r="H339" t="str">
            <v>30-Sep-2020</v>
          </cell>
          <cell r="I339" t="str">
            <v>12.25% RIVAAZ TRADE VENTURES PVT LTD (30-Sep-2020)</v>
          </cell>
          <cell r="J339" t="str">
            <v>12.25% Rivaaz Trade Ventures Pvt Ltd (30-Sep-2020)</v>
          </cell>
          <cell r="K339" t="str">
            <v>12.25% Rivaaz Trade Ventures Pvt Ltd (30-Sep-2020) **</v>
          </cell>
        </row>
        <row r="340">
          <cell r="B340" t="str">
            <v>INE971Z07091</v>
          </cell>
          <cell r="C340" t="str">
            <v>CRPN</v>
          </cell>
          <cell r="D340" t="str">
            <v xml:space="preserve">RIVAAZ TRADE VENTURES PVT LTD                   </v>
          </cell>
          <cell r="E340" t="str">
            <v xml:space="preserve">12.25% RIVAAZ SERIES D 30SEP2022                </v>
          </cell>
          <cell r="F340">
            <v>44834</v>
          </cell>
          <cell r="G340">
            <v>12.25</v>
          </cell>
          <cell r="H340" t="str">
            <v>30-Sep-2022</v>
          </cell>
          <cell r="I340" t="str">
            <v>12.25% RIVAAZ TRADE VENTURES PVT LTD (30-Sep-2022)</v>
          </cell>
          <cell r="J340" t="str">
            <v>12.25% Rivaaz Trade Ventures Pvt Ltd (30-Sep-2022)</v>
          </cell>
          <cell r="K340" t="str">
            <v>12.25% Rivaaz Trade Ventures Pvt Ltd (30-Sep-2022) **</v>
          </cell>
        </row>
        <row r="341">
          <cell r="B341" t="str">
            <v>INE971Z07083</v>
          </cell>
          <cell r="C341" t="str">
            <v>CRPN</v>
          </cell>
          <cell r="D341" t="str">
            <v xml:space="preserve">RIVAAZ TRADE VENTURES PVT LTD                   </v>
          </cell>
          <cell r="E341" t="str">
            <v xml:space="preserve">12.25% RIVAAZ SERIES C 30SEP2021                </v>
          </cell>
          <cell r="F341">
            <v>44469</v>
          </cell>
          <cell r="G341">
            <v>12.25</v>
          </cell>
          <cell r="H341" t="str">
            <v>30-Sep-2021</v>
          </cell>
          <cell r="I341" t="str">
            <v>12.25% RIVAAZ TRADE VENTURES PVT LTD (30-Sep-2021)</v>
          </cell>
          <cell r="J341" t="str">
            <v>12.25% Rivaaz Trade Ventures Pvt Ltd (30-Sep-2021)</v>
          </cell>
          <cell r="K341" t="str">
            <v>12.25% Rivaaz Trade Ventures Pvt Ltd (30-Sep-2021) **</v>
          </cell>
        </row>
        <row r="342">
          <cell r="B342" t="str">
            <v>INE721A07NV9</v>
          </cell>
          <cell r="C342" t="str">
            <v>CRPN</v>
          </cell>
          <cell r="D342" t="str">
            <v xml:space="preserve">SHRIRAM TRANSPORT FINANCE CO LTD                </v>
          </cell>
          <cell r="E342" t="str">
            <v>9.10% SHRIRAM TRANSPORT (SERIES III) (12JUL2021)</v>
          </cell>
          <cell r="F342">
            <v>44389</v>
          </cell>
          <cell r="G342" t="str">
            <v>9.10</v>
          </cell>
          <cell r="H342" t="str">
            <v>12-Jul-2021</v>
          </cell>
          <cell r="I342" t="str">
            <v>9.10% SHRIRAM TRANSPORT FINANCE CO LTD (12-Jul-2021)</v>
          </cell>
          <cell r="J342" t="str">
            <v>9.10% Shriram Transport Finance Co Ltd (12-Jul-2021)</v>
          </cell>
          <cell r="K342" t="str">
            <v>9.10% Shriram Transport Finance Co Ltd (12-Jul-2021) **</v>
          </cell>
        </row>
        <row r="343">
          <cell r="B343" t="str">
            <v>INE895D08634</v>
          </cell>
          <cell r="C343" t="str">
            <v>CRPN</v>
          </cell>
          <cell r="D343" t="str">
            <v xml:space="preserve">TATA SONS PVT LTD                               </v>
          </cell>
          <cell r="E343" t="str">
            <v xml:space="preserve">8.01% TATA SONS (02SEP2021)                     </v>
          </cell>
          <cell r="F343">
            <v>44441</v>
          </cell>
          <cell r="G343">
            <v>8.01</v>
          </cell>
          <cell r="H343" t="str">
            <v>02-Sep-2021</v>
          </cell>
          <cell r="I343" t="str">
            <v>8.01% TATA SONS PVT LTD (02-Sep-2021)</v>
          </cell>
          <cell r="J343" t="str">
            <v>8.01% Tata Sons Pvt Ltd (02-Sep-2021)</v>
          </cell>
          <cell r="K343" t="str">
            <v>8.01% Tata Sons Pvt Ltd (02-Sep-2021) **</v>
          </cell>
        </row>
        <row r="344">
          <cell r="B344" t="str">
            <v>INE080T07078</v>
          </cell>
          <cell r="C344" t="str">
            <v>CRPN</v>
          </cell>
          <cell r="D344" t="str">
            <v xml:space="preserve">FUTURE IDEAS COMPANY LTD                        </v>
          </cell>
          <cell r="E344" t="str">
            <v xml:space="preserve">13.40% FUTURE IDEAS SERIES D 30SEP2023          </v>
          </cell>
          <cell r="F344">
            <v>45199</v>
          </cell>
          <cell r="G344" t="str">
            <v>13.40</v>
          </cell>
          <cell r="H344" t="str">
            <v>30-Sep-2023</v>
          </cell>
          <cell r="I344" t="str">
            <v>13.40% FUTURE IDEAS COMPANY LTD (30-Sep-2023)</v>
          </cell>
          <cell r="J344" t="str">
            <v>13.40% Future Ideas Company Ltd (30-Sep-2023)</v>
          </cell>
          <cell r="K344" t="str">
            <v>13.40% Future Ideas Company Ltd (30-Sep-2023) **</v>
          </cell>
        </row>
        <row r="345">
          <cell r="B345" t="str">
            <v>INE027E07709</v>
          </cell>
          <cell r="C345" t="str">
            <v>CRPN</v>
          </cell>
          <cell r="D345" t="str">
            <v xml:space="preserve">L&amp;T FINANCE LTD                                 </v>
          </cell>
          <cell r="E345" t="str">
            <v xml:space="preserve">8.9492% L&amp;T FINANCE (16AUG2021)                 </v>
          </cell>
          <cell r="F345">
            <v>44424</v>
          </cell>
          <cell r="G345">
            <v>8.9491999999999994</v>
          </cell>
          <cell r="H345" t="str">
            <v>16-Aug-2021</v>
          </cell>
          <cell r="I345" t="str">
            <v>8.9492% L&amp;T FINANCE LTD (16-Aug-2021)</v>
          </cell>
          <cell r="J345" t="str">
            <v>8.9492% L&amp;T Finance Ltd (16-Aug-2021)</v>
          </cell>
          <cell r="K345" t="str">
            <v>8.9492% L&amp;T Finance Ltd (16-Aug-2021) **</v>
          </cell>
        </row>
        <row r="346">
          <cell r="B346" t="str">
            <v>INE946S07130</v>
          </cell>
          <cell r="C346" t="str">
            <v>CRPN</v>
          </cell>
          <cell r="D346" t="str">
            <v xml:space="preserve">NUFUTURE DIGITAL (INDIA) LTD                    </v>
          </cell>
          <cell r="E346" t="str">
            <v xml:space="preserve">12.80% NUFUTURE SERIES D 30SEP2022              </v>
          </cell>
          <cell r="F346">
            <v>44834</v>
          </cell>
          <cell r="G346" t="str">
            <v>12.80</v>
          </cell>
          <cell r="H346" t="str">
            <v>30-Sep-2022</v>
          </cell>
          <cell r="I346" t="str">
            <v>12.80% NUFUTURE DIGITAL (INDIA) LTD (30-Sep-2022)</v>
          </cell>
          <cell r="J346" t="str">
            <v>12.80% Nufuture Digital (India) Ltd (30-Sep-2022)</v>
          </cell>
          <cell r="K346" t="str">
            <v>12.80% Nufuture Digital (India) Ltd (30-Sep-2022) **</v>
          </cell>
        </row>
        <row r="347">
          <cell r="B347" t="str">
            <v>INE891K07440</v>
          </cell>
          <cell r="C347" t="str">
            <v>ZERO</v>
          </cell>
          <cell r="D347" t="str">
            <v xml:space="preserve">AXIS FINANCE LTD                                </v>
          </cell>
          <cell r="E347" t="str">
            <v xml:space="preserve">0% AXIS FINANCE (31AUG2021)                     </v>
          </cell>
          <cell r="F347">
            <v>44439</v>
          </cell>
          <cell r="G347" t="str">
            <v>0.00</v>
          </cell>
          <cell r="H347" t="str">
            <v>31-Aug-2021</v>
          </cell>
          <cell r="I347" t="str">
            <v>0.00% AXIS FINANCE LTD (31-Aug-2021)</v>
          </cell>
          <cell r="J347" t="str">
            <v>0.00% Axis Finance Ltd (31-Aug-2021)</v>
          </cell>
          <cell r="K347" t="str">
            <v>0.00% Axis Finance Ltd (31-Aug-2021) **</v>
          </cell>
        </row>
        <row r="348">
          <cell r="B348" t="str">
            <v>INE377Y07045</v>
          </cell>
          <cell r="C348" t="str">
            <v>CRPN</v>
          </cell>
          <cell r="D348" t="str">
            <v xml:space="preserve">BAJAJ HOUSING FINANCE LTD                       </v>
          </cell>
          <cell r="E348" t="str">
            <v xml:space="preserve">8.1352% BAJAJ HOUSING FINANCE (04JUN2021)       </v>
          </cell>
          <cell r="F348">
            <v>44351</v>
          </cell>
          <cell r="G348">
            <v>8.1351999999999993</v>
          </cell>
          <cell r="H348" t="str">
            <v>04-Jun-2021</v>
          </cell>
          <cell r="I348" t="str">
            <v>8.1352% BAJAJ HOUSING FINANCE LTD (04-Jun-2021)</v>
          </cell>
          <cell r="J348" t="str">
            <v>8.1352% Bajaj Housing Finance Ltd (04-Jun-2021)</v>
          </cell>
          <cell r="K348" t="str">
            <v>8.1352% Bajaj Housing Finance Ltd (04-Jun-2021) **</v>
          </cell>
        </row>
        <row r="349">
          <cell r="B349" t="str">
            <v>INE660A07PT8</v>
          </cell>
          <cell r="C349" t="str">
            <v>ZERO</v>
          </cell>
          <cell r="D349" t="str">
            <v xml:space="preserve">SUNDARAM FINANCE LTD                            </v>
          </cell>
          <cell r="E349" t="str">
            <v xml:space="preserve">0% SUNDARAM FINANCE (31AUG2021)                 </v>
          </cell>
          <cell r="F349">
            <v>44439</v>
          </cell>
          <cell r="G349" t="str">
            <v>0.00</v>
          </cell>
          <cell r="H349" t="str">
            <v>31-Aug-2021</v>
          </cell>
          <cell r="I349" t="str">
            <v>0.00% SUNDARAM FINANCE LTD (31-Aug-2021)</v>
          </cell>
          <cell r="J349" t="str">
            <v>0.00% Sundaram Finance Ltd (31-Aug-2021)</v>
          </cell>
          <cell r="K349" t="str">
            <v>0.00% Sundaram Finance Ltd (31-Aug-2021) **</v>
          </cell>
        </row>
        <row r="350">
          <cell r="B350" t="e">
            <v>#N/A</v>
          </cell>
          <cell r="C350" t="e">
            <v>#N/A</v>
          </cell>
          <cell r="D350" t="e">
            <v>#N/A</v>
          </cell>
          <cell r="E350" t="e">
            <v>#N/A</v>
          </cell>
          <cell r="F350">
            <v>43587</v>
          </cell>
          <cell r="G350">
            <v>9.69</v>
          </cell>
          <cell r="H350" t="str">
            <v>02-May-2019</v>
          </cell>
          <cell r="I350" t="e">
            <v>#N/A</v>
          </cell>
          <cell r="J350" t="e">
            <v>#N/A</v>
          </cell>
          <cell r="K350" t="e">
            <v>#N/A</v>
          </cell>
        </row>
        <row r="351">
          <cell r="B351" t="str">
            <v>INE01EA07016</v>
          </cell>
          <cell r="C351" t="str">
            <v>CFLT</v>
          </cell>
          <cell r="D351" t="str">
            <v xml:space="preserve">RISHANTH WHOLESALE TRADING PRIVATE LTD          </v>
          </cell>
          <cell r="E351" t="str">
            <v xml:space="preserve">11.90 RISHANTH WHOLESALE SERIES B 20OCT2023     </v>
          </cell>
          <cell r="F351">
            <v>45219</v>
          </cell>
          <cell r="G351" t="str">
            <v>11.90</v>
          </cell>
          <cell r="H351" t="str">
            <v>20-Oct-2023</v>
          </cell>
          <cell r="I351" t="str">
            <v>11.90% RISHANTH WHOLESALE TRADING PRIVATE LTD (20-Oct-2023)</v>
          </cell>
          <cell r="J351" t="str">
            <v>11.90% Rishanth Wholesale Trading Private Ltd (20-Oct-2023)</v>
          </cell>
          <cell r="K351" t="str">
            <v>11.90% Rishanth Wholesale Trading Private Ltd (20-Oct-2023) **</v>
          </cell>
        </row>
        <row r="352">
          <cell r="B352" t="str">
            <v>INE459T07074</v>
          </cell>
          <cell r="C352" t="str">
            <v>CFLT</v>
          </cell>
          <cell r="D352" t="str">
            <v xml:space="preserve">VASTU HOUSING FINANCE CORP LTD                  </v>
          </cell>
          <cell r="E352" t="str">
            <v xml:space="preserve">VASTU HOUSING (SBI + SPREAD) SERIES B 25AUG2023 </v>
          </cell>
          <cell r="F352">
            <v>45163</v>
          </cell>
          <cell r="H352" t="str">
            <v>25-Aug-2023</v>
          </cell>
          <cell r="I352" t="str">
            <v>% VASTU HOUSING FINANCE CORP LTD (25-Aug-2023)</v>
          </cell>
          <cell r="J352" t="str">
            <v>Vastu Housing Finance Corp Ltd (6M SBI MCLR + 185 Bps) (25-Aug-2023)</v>
          </cell>
          <cell r="K352" t="str">
            <v>Vastu Housing Finance Corp Ltd (6M SBI MCLR + 185 Bps) (25-Aug-2023) **</v>
          </cell>
        </row>
        <row r="353">
          <cell r="B353" t="e">
            <v>#N/A</v>
          </cell>
          <cell r="C353" t="e">
            <v>#N/A</v>
          </cell>
          <cell r="D353" t="e">
            <v>#N/A</v>
          </cell>
          <cell r="E353" t="e">
            <v>#N/A</v>
          </cell>
          <cell r="F353">
            <v>45032</v>
          </cell>
          <cell r="H353" t="str">
            <v>16-Apr-2023</v>
          </cell>
          <cell r="I353" t="e">
            <v>#N/A</v>
          </cell>
          <cell r="J353" t="e">
            <v>#N/A</v>
          </cell>
          <cell r="K353" t="str">
            <v>7.37% GOI 2023 (16-Apr-2023)</v>
          </cell>
        </row>
        <row r="354">
          <cell r="B354" t="str">
            <v>INE861G08035</v>
          </cell>
          <cell r="C354" t="str">
            <v>CRPN</v>
          </cell>
          <cell r="D354" t="str">
            <v xml:space="preserve">FOOD CORPORATION OF INDIA                       </v>
          </cell>
          <cell r="E354" t="str">
            <v xml:space="preserve">9.95% FOOD CORPORATION OF INDIA (07-MAR-2022)   </v>
          </cell>
          <cell r="F354">
            <v>44627</v>
          </cell>
          <cell r="G354">
            <v>9.9499999999999993</v>
          </cell>
          <cell r="H354" t="str">
            <v>07-Mar-2022</v>
          </cell>
          <cell r="I354" t="str">
            <v>9.95% FOOD CORPORATION OF INDIA (07-Mar-2022)</v>
          </cell>
          <cell r="J354" t="str">
            <v>9.95% Food Corporation Of India (07-Mar-2022)</v>
          </cell>
          <cell r="K354" t="str">
            <v>9.95% Food Corporation Of India (07-Mar-2022) **</v>
          </cell>
        </row>
        <row r="355">
          <cell r="B355" t="str">
            <v>INE756I07CD9</v>
          </cell>
          <cell r="C355" t="str">
            <v>ZERO</v>
          </cell>
          <cell r="D355" t="str">
            <v xml:space="preserve">HDB FINANCIAL SERVICES LTD                      </v>
          </cell>
          <cell r="E355" t="str">
            <v>0% HDB FINANCIAL (SERIES 2018 A/0 (ZC)/124) (29O</v>
          </cell>
          <cell r="F355">
            <v>44498</v>
          </cell>
          <cell r="G355" t="str">
            <v>0.00</v>
          </cell>
          <cell r="H355" t="str">
            <v>29-Oct-2021</v>
          </cell>
          <cell r="I355" t="str">
            <v>0.00% HDB FINANCIAL SERVICES LTD (29-Oct-2021)</v>
          </cell>
          <cell r="J355" t="str">
            <v>0.00% Hdb Financial Services Ltd (29-Oct-2021)</v>
          </cell>
          <cell r="K355" t="str">
            <v>0.00% Hdb Financial Services Ltd (29-Oct-2021) **</v>
          </cell>
        </row>
        <row r="356">
          <cell r="B356" t="str">
            <v>INE476M07BR8</v>
          </cell>
          <cell r="C356" t="str">
            <v>CRPN</v>
          </cell>
          <cell r="D356" t="str">
            <v xml:space="preserve">L&amp;T HOUSING FINANCE LIMITED                     </v>
          </cell>
          <cell r="E356" t="str">
            <v>9.3772% L&amp;T HSG FIN (SERIES E1 OPTION3) (11MAR20</v>
          </cell>
          <cell r="F356">
            <v>44631</v>
          </cell>
          <cell r="G356">
            <v>9.3772000000000002</v>
          </cell>
          <cell r="H356" t="str">
            <v>11-Mar-2022</v>
          </cell>
          <cell r="I356" t="str">
            <v>9.3772% L&amp;T HOUSING FINANCE LIMITED (11-Mar-2022)</v>
          </cell>
          <cell r="J356" t="str">
            <v>9.3772% L&amp;T Housing Finance Limited (11-Mar-2022)</v>
          </cell>
          <cell r="K356" t="str">
            <v>9.3772% L&amp;T Housing Finance Limited (11-Mar-2022) **</v>
          </cell>
        </row>
        <row r="357">
          <cell r="B357" t="str">
            <v>INE261F08AI7</v>
          </cell>
          <cell r="C357" t="str">
            <v>CRPN</v>
          </cell>
          <cell r="D357" t="str">
            <v>NATIONAL BANK FOR AGRICULTURE AND RURAL DEVELOPMENT</v>
          </cell>
          <cell r="E357" t="str">
            <v xml:space="preserve">8.60% NABARD (31JAN2022)                        </v>
          </cell>
          <cell r="F357">
            <v>44592</v>
          </cell>
          <cell r="G357" t="str">
            <v>8.60</v>
          </cell>
          <cell r="H357" t="str">
            <v>31-Jan-2022</v>
          </cell>
          <cell r="I357" t="str">
            <v>8.60% NATIONAL BANK FOR AGRICULTURE AND RURAL DEVELOPMENT (31-Jan-2022)</v>
          </cell>
          <cell r="J357" t="str">
            <v>8.60% National Bank For Agriculture And Rural Development (31-Jan-2022)</v>
          </cell>
          <cell r="K357" t="str">
            <v>8.60% National Bank For Agriculture And Rural Development (31-Jan-2022)</v>
          </cell>
        </row>
        <row r="358">
          <cell r="B358" t="str">
            <v>INE556F08JI1</v>
          </cell>
          <cell r="C358" t="str">
            <v>CRPN</v>
          </cell>
          <cell r="D358" t="str">
            <v xml:space="preserve">SMALL INDUSTRIES DEVELOPMENT BANK OF INDIA      </v>
          </cell>
          <cell r="E358" t="str">
            <v xml:space="preserve">8.81% SIDBI (25JAN2022)                         </v>
          </cell>
          <cell r="F358">
            <v>44586</v>
          </cell>
          <cell r="G358" t="str">
            <v>8.81</v>
          </cell>
          <cell r="H358" t="str">
            <v>25-Jan-2022</v>
          </cell>
          <cell r="I358" t="str">
            <v>8.81% SMALL INDUSTRIES DEVELOPMENT BANK OF INDIA (25-Jan-2022)</v>
          </cell>
          <cell r="J358" t="str">
            <v>8.81% Small Industries Development Bank Of India (25-Jan-2022)</v>
          </cell>
          <cell r="K358" t="str">
            <v>8.81% Small Industries Development Bank Of India (25-Jan-2022) **</v>
          </cell>
        </row>
        <row r="359">
          <cell r="B359" t="e">
            <v>#N/A</v>
          </cell>
          <cell r="C359" t="e">
            <v>#N/A</v>
          </cell>
          <cell r="D359" t="e">
            <v>#N/A</v>
          </cell>
          <cell r="E359" t="e">
            <v>#N/A</v>
          </cell>
          <cell r="F359">
            <v>43582</v>
          </cell>
          <cell r="G359" t="str">
            <v>0.00</v>
          </cell>
          <cell r="H359" t="str">
            <v>27-Apr-2019</v>
          </cell>
          <cell r="I359" t="e">
            <v>#N/A</v>
          </cell>
          <cell r="J359" t="e">
            <v>#N/A</v>
          </cell>
          <cell r="K359" t="e">
            <v>#N/A</v>
          </cell>
        </row>
        <row r="360">
          <cell r="B360" t="str">
            <v>INE134E08IN2</v>
          </cell>
          <cell r="C360" t="str">
            <v>CRPN</v>
          </cell>
          <cell r="D360" t="str">
            <v xml:space="preserve">POWER FINANCE CORP LTD                          </v>
          </cell>
          <cell r="E360" t="str">
            <v xml:space="preserve">7.27  PFC (22DEC2021)                           </v>
          </cell>
          <cell r="F360">
            <v>44552</v>
          </cell>
          <cell r="G360">
            <v>7.27</v>
          </cell>
          <cell r="H360" t="str">
            <v>22-Dec-2021</v>
          </cell>
          <cell r="I360" t="str">
            <v>7.27% POWER FINANCE CORP LTD (22-Dec-2021)</v>
          </cell>
          <cell r="J360" t="str">
            <v>7.27% Power Finance Corp Ltd (22-Dec-2021)</v>
          </cell>
          <cell r="K360" t="str">
            <v>7.27% Power Finance Corp Ltd (22-Dec-2021)</v>
          </cell>
        </row>
        <row r="361">
          <cell r="B361" t="str">
            <v>INE860H07GE0</v>
          </cell>
          <cell r="C361" t="str">
            <v>ZERO</v>
          </cell>
          <cell r="D361" t="str">
            <v xml:space="preserve">ADITYA BIRLA FINANCE LTD                        </v>
          </cell>
          <cell r="E361" t="str">
            <v xml:space="preserve">0% ABFL (SERIES G5) (08APR2022)                 </v>
          </cell>
          <cell r="F361">
            <v>44659</v>
          </cell>
          <cell r="G361" t="str">
            <v>0.00</v>
          </cell>
          <cell r="H361" t="str">
            <v>08-Apr-2022</v>
          </cell>
          <cell r="I361" t="str">
            <v>0.00% ADITYA BIRLA FINANCE LTD (08-Apr-2022)</v>
          </cell>
          <cell r="J361" t="str">
            <v>0.00% Aditya Birla Finance Ltd (08-Apr-2022)</v>
          </cell>
          <cell r="K361" t="str">
            <v>0.00% Aditya Birla Finance Ltd (08-Apr-2022) **</v>
          </cell>
        </row>
        <row r="362">
          <cell r="B362" t="str">
            <v>INE115A07LM7</v>
          </cell>
          <cell r="C362" t="str">
            <v>CRPN</v>
          </cell>
          <cell r="D362" t="str">
            <v xml:space="preserve">LIC HOUSING FINANCE LTD                         </v>
          </cell>
          <cell r="E362" t="str">
            <v xml:space="preserve">7.95% LIC HOUSING FINANCE (24MAR2022)           </v>
          </cell>
          <cell r="F362">
            <v>44644</v>
          </cell>
          <cell r="G362">
            <v>7.95</v>
          </cell>
          <cell r="H362" t="str">
            <v>24-Mar-2022</v>
          </cell>
          <cell r="I362" t="str">
            <v>7.95% LIC HOUSING FINANCE LTD (24-Mar-2022)</v>
          </cell>
          <cell r="J362" t="str">
            <v>7.95% Lic Housing Finance Ltd (24-Mar-2022)</v>
          </cell>
          <cell r="K362" t="str">
            <v>7.95% Lic Housing Finance Ltd (24-Mar-2022) **</v>
          </cell>
        </row>
        <row r="363">
          <cell r="B363" t="str">
            <v>INE895D08790</v>
          </cell>
          <cell r="C363" t="str">
            <v>CRPN</v>
          </cell>
          <cell r="D363" t="str">
            <v xml:space="preserve">TATA SONS PVT LTD                               </v>
          </cell>
          <cell r="E363" t="str">
            <v xml:space="preserve">8.25% TATA SONS (23MAR2022)                     </v>
          </cell>
          <cell r="F363">
            <v>44643</v>
          </cell>
          <cell r="G363">
            <v>8.25</v>
          </cell>
          <cell r="H363" t="str">
            <v>23-Mar-2022</v>
          </cell>
          <cell r="I363" t="str">
            <v>8.25% TATA SONS PVT LTD (23-Mar-2022)</v>
          </cell>
          <cell r="J363" t="str">
            <v>8.25% Tata Sons Pvt Ltd (23-Mar-2022)</v>
          </cell>
          <cell r="K363" t="str">
            <v>8.25% Tata Sons Pvt Ltd (23-Mar-2022) **</v>
          </cell>
        </row>
        <row r="364">
          <cell r="B364" t="str">
            <v>INE01E708057</v>
          </cell>
          <cell r="C364" t="str">
            <v>CRPN</v>
          </cell>
          <cell r="D364" t="str">
            <v>ANDHRA PRADESH CAPITAL REGION DEVELOPMENT AUTHORity</v>
          </cell>
          <cell r="E364" t="str">
            <v xml:space="preserve">10.32% APCRDA STRPP E (16AUG2028)               </v>
          </cell>
          <cell r="F364">
            <v>46981</v>
          </cell>
          <cell r="G364">
            <v>10.32</v>
          </cell>
          <cell r="H364" t="str">
            <v>16-Aug-2028</v>
          </cell>
          <cell r="I364" t="str">
            <v>10.32% ANDHRA PRADESH CAPITAL REGION DEVELOPMENT AUTHORity (16-Aug-2028)</v>
          </cell>
          <cell r="J364" t="str">
            <v>10.32% Andhra Pradesh Capital Region Development Authority (16-Aug-2028)</v>
          </cell>
          <cell r="K364" t="str">
            <v>10.32% Andhra Pradesh Capital Region Development Authority (16-Aug-2028) **</v>
          </cell>
        </row>
        <row r="365">
          <cell r="B365" t="str">
            <v>INE01E708040</v>
          </cell>
          <cell r="C365" t="str">
            <v>CRPN</v>
          </cell>
          <cell r="D365" t="str">
            <v>ANDHRA PRADESH CAPITAL REGION DEVELOPMENT AUTHORity</v>
          </cell>
          <cell r="E365" t="str">
            <v xml:space="preserve">10.32% APCRDA STRPP D (16AUG2027)               </v>
          </cell>
          <cell r="F365">
            <v>46615</v>
          </cell>
          <cell r="G365">
            <v>10.32</v>
          </cell>
          <cell r="H365" t="str">
            <v>16-Aug-2027</v>
          </cell>
          <cell r="I365" t="str">
            <v>10.32% ANDHRA PRADESH CAPITAL REGION DEVELOPMENT AUTHORity (16-Aug-2027)</v>
          </cell>
          <cell r="J365" t="str">
            <v>10.32% Andhra Pradesh Capital Region Development Authority (16-Aug-2027)</v>
          </cell>
          <cell r="K365" t="str">
            <v>10.32% Andhra Pradesh Capital Region Development Authority (16-Aug-2027) **</v>
          </cell>
        </row>
        <row r="366">
          <cell r="B366" t="str">
            <v>INE721A08DC8</v>
          </cell>
          <cell r="C366" t="str">
            <v>CRPN</v>
          </cell>
          <cell r="D366" t="str">
            <v xml:space="preserve">SHRIRAM TRANSPORT FINANCE CO LTD                </v>
          </cell>
          <cell r="E366" t="str">
            <v xml:space="preserve">10.25% SHRIRAM TRANSPORT SD 26APR2024 *         </v>
          </cell>
          <cell r="F366">
            <v>45408</v>
          </cell>
          <cell r="G366">
            <v>10.25</v>
          </cell>
          <cell r="H366" t="str">
            <v>26-Apr-2024</v>
          </cell>
          <cell r="I366" t="str">
            <v>10.25% SHRIRAM TRANSPORT FINANCE CO LTD (26-Apr-2024)</v>
          </cell>
          <cell r="J366" t="str">
            <v>10.25% Shriram Transport Finance Co Ltd (26-Apr-2024)</v>
          </cell>
          <cell r="K366" t="str">
            <v>10.25% Shriram Transport Finance Co Ltd (26-Apr-2024) **</v>
          </cell>
        </row>
        <row r="367">
          <cell r="B367" t="str">
            <v>INE657N07597</v>
          </cell>
          <cell r="C367" t="str">
            <v>CFLT</v>
          </cell>
          <cell r="D367" t="str">
            <v xml:space="preserve">EDELWEISS RURAL &amp; CORPORATE SERVICES LTD        </v>
          </cell>
          <cell r="E367" t="str">
            <v>EDELWEISS COMM (SBI 1 YR MCLR + SPREAD) 29NOV202</v>
          </cell>
          <cell r="F367">
            <v>44529</v>
          </cell>
          <cell r="H367" t="str">
            <v>29-Nov-2021</v>
          </cell>
          <cell r="I367" t="str">
            <v>% EDELWEISS RURAL &amp; CORPORATE SERVICES LTD (29-Nov-2021)</v>
          </cell>
          <cell r="J367" t="str">
            <v>Edelweiss Rural &amp; Corporate Services Ltd (1Y SBI MCLR + 160 Bps) (29-Nov-2021)</v>
          </cell>
          <cell r="K367" t="str">
            <v>Edelweiss Rural &amp; Corporate Services Ltd (1Y SBI MCLR + 160 Bps) (29-Nov-2021) **</v>
          </cell>
        </row>
        <row r="368">
          <cell r="B368" t="str">
            <v>INE134E08GN6</v>
          </cell>
          <cell r="C368" t="str">
            <v>CRPN</v>
          </cell>
          <cell r="D368" t="str">
            <v xml:space="preserve">POWER FINANCE CORP LTD                          </v>
          </cell>
          <cell r="E368" t="str">
            <v xml:space="preserve">8.96% PFC (21OCT2019)                           </v>
          </cell>
          <cell r="F368">
            <v>43759</v>
          </cell>
          <cell r="G368">
            <v>8.9600000000000009</v>
          </cell>
          <cell r="H368" t="str">
            <v>21-Oct-2019</v>
          </cell>
          <cell r="I368" t="str">
            <v>8.96% POWER FINANCE CORP LTD (21-Oct-2019)</v>
          </cell>
          <cell r="J368" t="str">
            <v>8.96% Power Finance Corp Ltd (21-Oct-2019)</v>
          </cell>
          <cell r="K368" t="str">
            <v>8.96% Power Finance Corp Ltd (21-Oct-2019) **</v>
          </cell>
        </row>
        <row r="369">
          <cell r="B369" t="str">
            <v>INE801J08019</v>
          </cell>
          <cell r="C369" t="str">
            <v>CRPN</v>
          </cell>
          <cell r="D369" t="str">
            <v xml:space="preserve">BENNETT COLEMAN AND CO LTD                      </v>
          </cell>
          <cell r="E369" t="str">
            <v xml:space="preserve">7.48% BCCL (26APR2021)                          </v>
          </cell>
          <cell r="F369">
            <v>44312</v>
          </cell>
          <cell r="G369">
            <v>7.48</v>
          </cell>
          <cell r="H369" t="str">
            <v>26-Apr-2021</v>
          </cell>
          <cell r="I369" t="str">
            <v>7.48% BENNETT COLEMAN AND CO LTD (26-Apr-2021)</v>
          </cell>
          <cell r="J369" t="str">
            <v>7.48% Bennett Coleman And Co Ltd (26-Apr-2021)</v>
          </cell>
          <cell r="K369" t="str">
            <v>7.48% Bennett Coleman And Co Ltd (26-Apr-2021) **</v>
          </cell>
        </row>
        <row r="370">
          <cell r="B370" t="str">
            <v>INE029A07075</v>
          </cell>
          <cell r="C370" t="str">
            <v>CRPN</v>
          </cell>
          <cell r="D370" t="str">
            <v xml:space="preserve">BHARAT PETROLEUM CORP LTD                       </v>
          </cell>
          <cell r="E370" t="str">
            <v xml:space="preserve">7.35% BPCL (10MAR2022)                          </v>
          </cell>
          <cell r="F370">
            <v>44630</v>
          </cell>
          <cell r="G370">
            <v>7.35</v>
          </cell>
          <cell r="H370" t="str">
            <v>10-Mar-2022</v>
          </cell>
          <cell r="I370" t="str">
            <v>7.35% BHARAT PETROLEUM CORP LTD (10-Mar-2022)</v>
          </cell>
          <cell r="J370" t="str">
            <v>7.35% Bharat Petroleum Corp Ltd (10-Mar-2022)</v>
          </cell>
          <cell r="K370" t="str">
            <v>7.35% Bharat Petroleum Corp Ltd (10-Mar-2022) **</v>
          </cell>
        </row>
        <row r="371">
          <cell r="B371" t="str">
            <v>INE115A07NM3</v>
          </cell>
          <cell r="C371" t="str">
            <v>ZERO</v>
          </cell>
          <cell r="D371" t="str">
            <v xml:space="preserve">LIC HOUSING FINANCE LTD                         </v>
          </cell>
          <cell r="E371" t="str">
            <v xml:space="preserve">0% LIC HOUSING FINANCE (25FEB2022)              </v>
          </cell>
          <cell r="F371">
            <v>44617</v>
          </cell>
          <cell r="G371" t="str">
            <v>0.00</v>
          </cell>
          <cell r="H371" t="str">
            <v>25-Feb-2022</v>
          </cell>
          <cell r="I371" t="str">
            <v>0.00% LIC HOUSING FINANCE LTD (25-Feb-2022)</v>
          </cell>
          <cell r="J371" t="str">
            <v>0.00% Lic Housing Finance Ltd (25-Feb-2022)</v>
          </cell>
          <cell r="K371" t="str">
            <v>0.00% Lic Housing Finance Ltd (25-Feb-2022) **</v>
          </cell>
        </row>
        <row r="372">
          <cell r="B372" t="e">
            <v>#N/A</v>
          </cell>
          <cell r="C372" t="e">
            <v>#N/A</v>
          </cell>
          <cell r="D372" t="e">
            <v>#N/A</v>
          </cell>
          <cell r="E372" t="e">
            <v>#N/A</v>
          </cell>
          <cell r="F372">
            <v>47071</v>
          </cell>
          <cell r="G372">
            <v>8.56</v>
          </cell>
          <cell r="H372" t="str">
            <v>14-Nov-2028</v>
          </cell>
          <cell r="I372" t="e">
            <v>#N/A</v>
          </cell>
          <cell r="J372" t="e">
            <v>#N/A</v>
          </cell>
          <cell r="K372" t="e">
            <v>#N/A</v>
          </cell>
        </row>
        <row r="373">
          <cell r="B373" t="str">
            <v>INE906B07FG1</v>
          </cell>
          <cell r="C373" t="str">
            <v>CRPN</v>
          </cell>
          <cell r="D373" t="str">
            <v xml:space="preserve">NATIONAL HIGHWAYS AUTHORITY OF INDIA            </v>
          </cell>
          <cell r="E373" t="str">
            <v xml:space="preserve">7.60% NHAI (18MAR2022)                          </v>
          </cell>
          <cell r="F373">
            <v>44638</v>
          </cell>
          <cell r="G373" t="str">
            <v>7.60</v>
          </cell>
          <cell r="H373" t="str">
            <v>18-Mar-2022</v>
          </cell>
          <cell r="I373" t="str">
            <v>7.60% NATIONAL HIGHWAYS AUTHORITY OF INDIA (18-Mar-2022)</v>
          </cell>
          <cell r="J373" t="str">
            <v>7.60% National Highways Authority Of India (18-Mar-2022)</v>
          </cell>
          <cell r="K373" t="str">
            <v>7.60% National Highways Authority Of India (18-Mar-2022) **</v>
          </cell>
        </row>
        <row r="374">
          <cell r="B374" t="str">
            <v>INE134E08GN6</v>
          </cell>
          <cell r="C374" t="str">
            <v>CRPN</v>
          </cell>
          <cell r="D374" t="str">
            <v xml:space="preserve">POWER FINANCE CORP LTD                          </v>
          </cell>
          <cell r="E374" t="str">
            <v xml:space="preserve">8.96% PFC (21OCT2019)                           </v>
          </cell>
          <cell r="F374">
            <v>43759</v>
          </cell>
          <cell r="G374">
            <v>8.9600000000000009</v>
          </cell>
          <cell r="H374" t="str">
            <v>21-Oct-2019</v>
          </cell>
          <cell r="I374" t="str">
            <v>8.96% POWER FINANCE CORP LTD (21-Oct-2019)</v>
          </cell>
          <cell r="J374" t="str">
            <v>8.96% Power Finance Corp Ltd (21-Oct-2019)</v>
          </cell>
          <cell r="K374" t="str">
            <v>8.96% Power Finance Corp Ltd (21-Oct-2019) **</v>
          </cell>
        </row>
        <row r="375">
          <cell r="B375" t="str">
            <v>INE01E708032</v>
          </cell>
          <cell r="C375" t="str">
            <v>CRPN</v>
          </cell>
          <cell r="D375" t="str">
            <v>ANDHRA PRADESH CAPITAL REGION DEVELOPMENT AUTHORity</v>
          </cell>
          <cell r="E375" t="str">
            <v xml:space="preserve">10.32% APCRDA STRPP C (16AUG2026)               </v>
          </cell>
          <cell r="F375">
            <v>46250</v>
          </cell>
          <cell r="G375">
            <v>10.32</v>
          </cell>
          <cell r="H375" t="str">
            <v>16-Aug-2026</v>
          </cell>
          <cell r="I375" t="str">
            <v>10.32% ANDHRA PRADESH CAPITAL REGION DEVELOPMENT AUTHORity (16-Aug-2026)</v>
          </cell>
          <cell r="J375" t="str">
            <v>10.32% Andhra Pradesh Capital Region Development Authority (16-Aug-2026)</v>
          </cell>
          <cell r="K375" t="str">
            <v>10.32% Andhra Pradesh Capital Region Development Authority (16-Aug-2026) **</v>
          </cell>
        </row>
        <row r="376">
          <cell r="B376" t="str">
            <v>INE01E708016</v>
          </cell>
          <cell r="C376" t="str">
            <v>CRPN</v>
          </cell>
          <cell r="D376" t="str">
            <v>ANDHRA PRADESH CAPITAL REGION DEVELOPMENT AUTHORity</v>
          </cell>
          <cell r="E376" t="str">
            <v xml:space="preserve">10.32% APCRDA STRPP A (16AUG2024)               </v>
          </cell>
          <cell r="F376">
            <v>45520</v>
          </cell>
          <cell r="G376">
            <v>10.32</v>
          </cell>
          <cell r="H376" t="str">
            <v>16-Aug-2024</v>
          </cell>
          <cell r="I376" t="str">
            <v>10.32% ANDHRA PRADESH CAPITAL REGION DEVELOPMENT AUTHORity (16-Aug-2024)</v>
          </cell>
          <cell r="J376" t="str">
            <v>10.32% Andhra Pradesh Capital Region Development Authority (16-Aug-2024)</v>
          </cell>
          <cell r="K376" t="str">
            <v>10.32% Andhra Pradesh Capital Region Development Authority (16-Aug-2024) **</v>
          </cell>
        </row>
        <row r="377">
          <cell r="B377" t="str">
            <v>INE01E708024</v>
          </cell>
          <cell r="C377" t="str">
            <v>CRPN</v>
          </cell>
          <cell r="D377" t="str">
            <v>ANDHRA PRADESH CAPITAL REGION DEVELOPMENT AUTHORity</v>
          </cell>
          <cell r="E377" t="str">
            <v xml:space="preserve">10.32% APCRDA STRPP B (16AUG2025)               </v>
          </cell>
          <cell r="F377">
            <v>45885</v>
          </cell>
          <cell r="G377">
            <v>10.32</v>
          </cell>
          <cell r="H377" t="str">
            <v>16-Aug-2025</v>
          </cell>
          <cell r="I377" t="str">
            <v>10.32% ANDHRA PRADESH CAPITAL REGION DEVELOPMENT AUTHORity (16-Aug-2025)</v>
          </cell>
          <cell r="J377" t="str">
            <v>10.32% Andhra Pradesh Capital Region Development Authority (16-Aug-2025)</v>
          </cell>
          <cell r="K377" t="str">
            <v>10.32% Andhra Pradesh Capital Region Development Authority (16-Aug-2025) **</v>
          </cell>
        </row>
        <row r="378">
          <cell r="B378" t="str">
            <v>INE157D08043</v>
          </cell>
          <cell r="C378" t="str">
            <v>CFLT</v>
          </cell>
          <cell r="D378" t="str">
            <v xml:space="preserve">CLIX CAPITAL SERVICES PVT LTD                   </v>
          </cell>
          <cell r="E378" t="str">
            <v>11.50% CLIX CAPITAL SERIES D 12NOV2021 (P/C 12AU</v>
          </cell>
          <cell r="F378">
            <v>44512</v>
          </cell>
          <cell r="G378" t="str">
            <v>11.50</v>
          </cell>
          <cell r="H378" t="str">
            <v>12-Nov-2021</v>
          </cell>
          <cell r="I378" t="str">
            <v>11.50% CLIX CAPITAL SERVICES PVT LTD (12-Nov-2021)</v>
          </cell>
          <cell r="J378" t="str">
            <v>11.50% Clix Capital Services Pvt Ltd (12-Nov-2021)</v>
          </cell>
          <cell r="K378" t="str">
            <v>11.50% Clix Capital Services Pvt Ltd (12-Nov-2021) **</v>
          </cell>
        </row>
        <row r="379">
          <cell r="B379" t="str">
            <v>INE140A07401</v>
          </cell>
          <cell r="C379" t="str">
            <v>CFLT</v>
          </cell>
          <cell r="D379" t="str">
            <v xml:space="preserve">PIRAMAL ENTERPRISES LTD                         </v>
          </cell>
          <cell r="E379" t="str">
            <v>9.00% PEL 15MAY2020 (P/C 16DEC2018 16MAR2019 16J</v>
          </cell>
          <cell r="F379">
            <v>43966</v>
          </cell>
          <cell r="G379" t="str">
            <v>9.10</v>
          </cell>
          <cell r="H379" t="str">
            <v>15-May-2020</v>
          </cell>
          <cell r="I379" t="str">
            <v>9.10% PIRAMAL ENTERPRISES LTD (15-May-2020)</v>
          </cell>
          <cell r="J379" t="str">
            <v>9.10% Piramal Enterprises Ltd (15-May-2020)</v>
          </cell>
          <cell r="K379" t="str">
            <v>9.10% Piramal Enterprises Ltd (15-May-2020) **</v>
          </cell>
        </row>
        <row r="380">
          <cell r="B380" t="str">
            <v>INE721A08DC8</v>
          </cell>
          <cell r="C380" t="str">
            <v>CRPN</v>
          </cell>
          <cell r="D380" t="str">
            <v xml:space="preserve">SHRIRAM TRANSPORT FINANCE CO LTD                </v>
          </cell>
          <cell r="E380" t="str">
            <v xml:space="preserve">10.25% SHRIRAM TRANSPORT SD 26APR2024 *         </v>
          </cell>
          <cell r="F380">
            <v>45408</v>
          </cell>
          <cell r="G380">
            <v>10.25</v>
          </cell>
          <cell r="H380" t="str">
            <v>26-Apr-2024</v>
          </cell>
          <cell r="I380" t="str">
            <v>10.25% SHRIRAM TRANSPORT FINANCE CO LTD (26-Apr-2024)</v>
          </cell>
          <cell r="J380" t="str">
            <v>10.25% Shriram Transport Finance Co Ltd (26-Apr-2024)</v>
          </cell>
          <cell r="K380" t="str">
            <v>10.25% Shriram Transport Finance Co Ltd (26-Apr-2024) **</v>
          </cell>
        </row>
        <row r="381">
          <cell r="B381" t="str">
            <v>INE459T07082</v>
          </cell>
          <cell r="C381" t="str">
            <v>CRPN</v>
          </cell>
          <cell r="D381" t="str">
            <v xml:space="preserve">VASTU HOUSING FINANCE CORP LTD                  </v>
          </cell>
          <cell r="E381" t="str">
            <v>10.40% VASTU HOUSING 27NOV2025 (P/C 27NOV2021 27</v>
          </cell>
          <cell r="F381">
            <v>45988</v>
          </cell>
          <cell r="G381">
            <v>10.4</v>
          </cell>
          <cell r="H381" t="str">
            <v>27-Nov-2025</v>
          </cell>
          <cell r="I381" t="str">
            <v>10.4% VASTU HOUSING FINANCE CORP LTD (27-Nov-2025)</v>
          </cell>
          <cell r="J381" t="str">
            <v>10.4% Vastu Housing Finance Corp Ltd (27-Nov-2025)</v>
          </cell>
          <cell r="K381" t="str">
            <v>10.4% Vastu Housing Finance Corp Ltd (27-Nov-2025) **</v>
          </cell>
        </row>
        <row r="382">
          <cell r="B382" t="str">
            <v>INE157D08043</v>
          </cell>
          <cell r="C382" t="str">
            <v>CFLT</v>
          </cell>
          <cell r="D382" t="str">
            <v xml:space="preserve">CLIX CAPITAL SERVICES PVT LTD                   </v>
          </cell>
          <cell r="E382" t="str">
            <v>11.50% CLIX CAPITAL SERIES D 12NOV2021 (P/C 12AU</v>
          </cell>
          <cell r="F382">
            <v>44512</v>
          </cell>
          <cell r="G382" t="str">
            <v>11.50</v>
          </cell>
          <cell r="H382" t="str">
            <v>12-Nov-2021</v>
          </cell>
          <cell r="I382" t="str">
            <v>11.50% CLIX CAPITAL SERVICES PVT LTD (12-Nov-2021)</v>
          </cell>
          <cell r="J382" t="str">
            <v>11.50% Clix Capital Services Pvt Ltd (12-Nov-2021)</v>
          </cell>
          <cell r="K382" t="str">
            <v>11.50% Clix Capital Services Pvt Ltd (12-Nov-2021) **</v>
          </cell>
        </row>
        <row r="383">
          <cell r="B383" t="str">
            <v>INE157D08050</v>
          </cell>
          <cell r="C383" t="str">
            <v>CFLT</v>
          </cell>
          <cell r="D383" t="str">
            <v xml:space="preserve">CLIX CAPITAL SERVICES PVT LTD                   </v>
          </cell>
          <cell r="E383" t="str">
            <v>11.50% CLIX CAPITAL SERIES A 06MAY2021 (P/C 06MA</v>
          </cell>
          <cell r="F383">
            <v>44322</v>
          </cell>
          <cell r="G383" t="str">
            <v>11.50</v>
          </cell>
          <cell r="H383" t="str">
            <v>06-May-2021</v>
          </cell>
          <cell r="I383" t="str">
            <v>11.50% CLIX CAPITAL SERVICES PVT LTD (06-May-2021)</v>
          </cell>
          <cell r="J383" t="str">
            <v>11.50% Clix Capital Services Pvt Ltd (06-May-2021)</v>
          </cell>
          <cell r="K383" t="str">
            <v>11.50% Clix Capital Services Pvt Ltd (06-May-2021) **</v>
          </cell>
        </row>
        <row r="384">
          <cell r="B384" t="str">
            <v>INE157D08068</v>
          </cell>
          <cell r="C384" t="str">
            <v>CFLT</v>
          </cell>
          <cell r="D384" t="str">
            <v xml:space="preserve">CLIX CAPITAL SERVICES PVT LTD                   </v>
          </cell>
          <cell r="E384" t="str">
            <v>11.50% CLIX CAPITAL SERIES B 06JUL2021 (P/C 06MA</v>
          </cell>
          <cell r="F384">
            <v>44383</v>
          </cell>
          <cell r="G384" t="str">
            <v>11.50</v>
          </cell>
          <cell r="H384" t="str">
            <v>06-Jul-2021</v>
          </cell>
          <cell r="I384" t="str">
            <v>11.50% CLIX CAPITAL SERVICES PVT LTD (06-Jul-2021)</v>
          </cell>
          <cell r="J384" t="str">
            <v>11.50% Clix Capital Services Pvt Ltd (06-Jul-2021)</v>
          </cell>
          <cell r="K384" t="str">
            <v>11.50% Clix Capital Services Pvt Ltd (06-Jul-2021) **</v>
          </cell>
        </row>
        <row r="385">
          <cell r="B385" t="str">
            <v>INE157D08035</v>
          </cell>
          <cell r="C385" t="str">
            <v>CFLT</v>
          </cell>
          <cell r="D385" t="str">
            <v xml:space="preserve">CLIX CAPITAL SERVICES PVT LTD                   </v>
          </cell>
          <cell r="E385" t="str">
            <v>11.50% CLIX CAPITAL SERIES C 06SEP2021 (P/C 06MA</v>
          </cell>
          <cell r="F385">
            <v>44445</v>
          </cell>
          <cell r="G385" t="str">
            <v>11.50</v>
          </cell>
          <cell r="H385" t="str">
            <v>06-Sep-2021</v>
          </cell>
          <cell r="I385" t="str">
            <v>11.50% CLIX CAPITAL SERVICES PVT LTD (06-Sep-2021)</v>
          </cell>
          <cell r="J385" t="str">
            <v>11.50% Clix Capital Services Pvt Ltd (06-Sep-2021)</v>
          </cell>
          <cell r="K385" t="str">
            <v>11.50% Clix Capital Services Pvt Ltd (06-Sep-2021) **</v>
          </cell>
        </row>
        <row r="386">
          <cell r="B386" t="str">
            <v>INE587B08037</v>
          </cell>
          <cell r="C386" t="str">
            <v>CFLT</v>
          </cell>
          <cell r="D386" t="str">
            <v xml:space="preserve">CLIX FINANCE INDIA PRIVATE LIMITED              </v>
          </cell>
          <cell r="E386" t="str">
            <v>11.50% CLIX FINANCE 06JAN2022 (P/C 06MAY2019 06N</v>
          </cell>
          <cell r="F386">
            <v>44567</v>
          </cell>
          <cell r="G386" t="str">
            <v>11.50</v>
          </cell>
          <cell r="H386" t="str">
            <v>06-Jan-2022</v>
          </cell>
          <cell r="I386" t="str">
            <v>11.50% CLIX FINANCE INDIA PRIVATE LIMITED (06-Jan-2022)</v>
          </cell>
          <cell r="J386" t="str">
            <v>11.50% Clix Finance India Private Limited (06-Jan-2022)</v>
          </cell>
          <cell r="K386" t="str">
            <v>11.50% Clix Finance India Private Limited (06-Jan-2022) **</v>
          </cell>
        </row>
        <row r="387">
          <cell r="B387" t="str">
            <v>INE896L07660</v>
          </cell>
          <cell r="C387" t="str">
            <v>CFLT</v>
          </cell>
          <cell r="D387" t="str">
            <v xml:space="preserve">INDOSTAR CAPITAL FINANCE LTD                    </v>
          </cell>
          <cell r="E387" t="str">
            <v>INDOSTAR CAPITAL SR XXXI (SBI MCLR+SPREAD) QTRLY</v>
          </cell>
          <cell r="F387">
            <v>44502</v>
          </cell>
          <cell r="H387" t="str">
            <v>02-Nov-2021</v>
          </cell>
          <cell r="I387" t="str">
            <v>% INDOSTAR CAPITAL FINANCE LTD (02-Nov-2021)</v>
          </cell>
          <cell r="J387" t="str">
            <v>Indostar Capital Finance Ltd (SBI MCLR + 225 Bps) (02-Nov-2021)</v>
          </cell>
          <cell r="K387" t="str">
            <v>Indostar Capital Finance Ltd (SBI MCLR + 225 Bps) (02-Nov-2021) **</v>
          </cell>
        </row>
        <row r="388">
          <cell r="B388" t="str">
            <v>INE01E708057</v>
          </cell>
          <cell r="C388" t="str">
            <v>CRPN</v>
          </cell>
          <cell r="D388" t="str">
            <v>ANDHRA PRADESH CAPITAL REGION DEVELOPMENT AUTHORity</v>
          </cell>
          <cell r="E388" t="str">
            <v xml:space="preserve">10.32% APCRDA STRPP E (16AUG2028)               </v>
          </cell>
          <cell r="F388">
            <v>46981</v>
          </cell>
          <cell r="G388">
            <v>10.32</v>
          </cell>
          <cell r="H388" t="str">
            <v>16-Aug-2028</v>
          </cell>
          <cell r="I388" t="str">
            <v>10.32% ANDHRA PRADESH CAPITAL REGION DEVELOPMENT AUTHORity (16-Aug-2028)</v>
          </cell>
          <cell r="J388" t="str">
            <v>10.32% Andhra Pradesh Capital Region Development Authority (16-Aug-2028)</v>
          </cell>
          <cell r="K388" t="str">
            <v>10.32% Andhra Pradesh Capital Region Development Authority (16-Aug-2028) **</v>
          </cell>
        </row>
        <row r="389">
          <cell r="B389" t="str">
            <v>INE721A08DC8</v>
          </cell>
          <cell r="C389" t="str">
            <v>CRPN</v>
          </cell>
          <cell r="D389" t="str">
            <v xml:space="preserve">SHRIRAM TRANSPORT FINANCE CO LTD                </v>
          </cell>
          <cell r="E389" t="str">
            <v xml:space="preserve">10.25% SHRIRAM TRANSPORT SD 26APR2024 *         </v>
          </cell>
          <cell r="F389">
            <v>45408</v>
          </cell>
          <cell r="G389">
            <v>10.25</v>
          </cell>
          <cell r="H389" t="str">
            <v>26-Apr-2024</v>
          </cell>
          <cell r="I389" t="str">
            <v>10.25% SHRIRAM TRANSPORT FINANCE CO LTD (26-Apr-2024)</v>
          </cell>
          <cell r="J389" t="str">
            <v>10.25% Shriram Transport Finance Co Ltd (26-Apr-2024)</v>
          </cell>
          <cell r="K389" t="str">
            <v>10.25% Shriram Transport Finance Co Ltd (26-Apr-2024) **</v>
          </cell>
        </row>
        <row r="390">
          <cell r="B390" t="str">
            <v>INE01E708040</v>
          </cell>
          <cell r="C390" t="str">
            <v>CRPN</v>
          </cell>
          <cell r="D390" t="str">
            <v>ANDHRA PRADESH CAPITAL REGION DEVELOPMENT AUTHORity</v>
          </cell>
          <cell r="E390" t="str">
            <v xml:space="preserve">10.32% APCRDA STRPP D (16AUG2027)               </v>
          </cell>
          <cell r="F390">
            <v>46615</v>
          </cell>
          <cell r="G390">
            <v>10.32</v>
          </cell>
          <cell r="H390" t="str">
            <v>16-Aug-2027</v>
          </cell>
          <cell r="I390" t="str">
            <v>10.32% ANDHRA PRADESH CAPITAL REGION DEVELOPMENT AUTHORity (16-Aug-2027)</v>
          </cell>
          <cell r="J390" t="str">
            <v>10.32% Andhra Pradesh Capital Region Development Authority (16-Aug-2027)</v>
          </cell>
          <cell r="K390" t="str">
            <v>10.32% Andhra Pradesh Capital Region Development Authority (16-Aug-2027) **</v>
          </cell>
        </row>
        <row r="391">
          <cell r="B391" t="str">
            <v>INE01E708032</v>
          </cell>
          <cell r="C391" t="str">
            <v>CRPN</v>
          </cell>
          <cell r="D391" t="str">
            <v>ANDHRA PRADESH CAPITAL REGION DEVELOPMENT AUTHORity</v>
          </cell>
          <cell r="E391" t="str">
            <v xml:space="preserve">10.32% APCRDA STRPP C (16AUG2026)               </v>
          </cell>
          <cell r="F391">
            <v>46250</v>
          </cell>
          <cell r="G391">
            <v>10.32</v>
          </cell>
          <cell r="H391" t="str">
            <v>16-Aug-2026</v>
          </cell>
          <cell r="I391" t="str">
            <v>10.32% ANDHRA PRADESH CAPITAL REGION DEVELOPMENT AUTHORity (16-Aug-2026)</v>
          </cell>
          <cell r="J391" t="str">
            <v>10.32% Andhra Pradesh Capital Region Development Authority (16-Aug-2026)</v>
          </cell>
          <cell r="K391" t="str">
            <v>10.32% Andhra Pradesh Capital Region Development Authority (16-Aug-2026) **</v>
          </cell>
        </row>
        <row r="392">
          <cell r="B392" t="str">
            <v>INE140A07401</v>
          </cell>
          <cell r="C392" t="str">
            <v>CFLT</v>
          </cell>
          <cell r="D392" t="str">
            <v xml:space="preserve">PIRAMAL ENTERPRISES LTD                         </v>
          </cell>
          <cell r="E392" t="str">
            <v>9.00% PEL 15MAY2020 (P/C 16DEC2018 16MAR2019 16J</v>
          </cell>
          <cell r="F392">
            <v>43966</v>
          </cell>
          <cell r="G392" t="str">
            <v>9.10</v>
          </cell>
          <cell r="H392" t="str">
            <v>15-May-2020</v>
          </cell>
          <cell r="I392" t="str">
            <v>9.10% PIRAMAL ENTERPRISES LTD (15-May-2020)</v>
          </cell>
          <cell r="J392" t="str">
            <v>9.10% Piramal Enterprises Ltd (15-May-2020)</v>
          </cell>
          <cell r="K392" t="str">
            <v>9.10% Piramal Enterprises Ltd (15-May-2020) **</v>
          </cell>
        </row>
        <row r="393">
          <cell r="B393" t="str">
            <v>INE721A08DC8</v>
          </cell>
          <cell r="C393" t="str">
            <v>CRPN</v>
          </cell>
          <cell r="D393" t="str">
            <v xml:space="preserve">SHRIRAM TRANSPORT FINANCE CO LTD                </v>
          </cell>
          <cell r="E393" t="str">
            <v xml:space="preserve">10.25% SHRIRAM TRANSPORT SD 26APR2024 *         </v>
          </cell>
          <cell r="F393">
            <v>45408</v>
          </cell>
          <cell r="G393">
            <v>10.25</v>
          </cell>
          <cell r="H393" t="str">
            <v>26-Apr-2024</v>
          </cell>
          <cell r="I393" t="str">
            <v>10.25% SHRIRAM TRANSPORT FINANCE CO LTD (26-Apr-2024)</v>
          </cell>
          <cell r="J393" t="str">
            <v>10.25% Shriram Transport Finance Co Ltd (26-Apr-2024)</v>
          </cell>
          <cell r="K393" t="str">
            <v>10.25% Shriram Transport Finance Co Ltd (26-Apr-2024) **</v>
          </cell>
        </row>
        <row r="394">
          <cell r="B394" t="e">
            <v>#N/A</v>
          </cell>
          <cell r="C394" t="e">
            <v>#N/A</v>
          </cell>
          <cell r="D394" t="e">
            <v>#N/A</v>
          </cell>
          <cell r="E394" t="e">
            <v>#N/A</v>
          </cell>
          <cell r="F394">
            <v>47071</v>
          </cell>
          <cell r="G394">
            <v>8.56</v>
          </cell>
          <cell r="H394" t="str">
            <v>14-Nov-2028</v>
          </cell>
          <cell r="I394" t="e">
            <v>#N/A</v>
          </cell>
          <cell r="J394" t="e">
            <v>#N/A</v>
          </cell>
          <cell r="K394" t="e">
            <v>#N/A</v>
          </cell>
        </row>
        <row r="395">
          <cell r="B395" t="str">
            <v>INE535H07AQ5</v>
          </cell>
          <cell r="C395" t="str">
            <v>ZERO</v>
          </cell>
          <cell r="D395" t="str">
            <v xml:space="preserve">FULLERTON INDIA CREDIT CO LTD                   </v>
          </cell>
          <cell r="E395" t="str">
            <v xml:space="preserve">0% FULLERTON INDIA (19APR2022)                  </v>
          </cell>
          <cell r="F395">
            <v>44670</v>
          </cell>
          <cell r="G395" t="str">
            <v>0.00</v>
          </cell>
          <cell r="H395" t="str">
            <v>19-Apr-2022</v>
          </cell>
          <cell r="I395" t="str">
            <v>0.00% FULLERTON INDIA CREDIT CO LTD (19-Apr-2022)</v>
          </cell>
          <cell r="J395" t="str">
            <v>0.00% Fullerton India Credit Co Ltd (19-Apr-2022)</v>
          </cell>
          <cell r="K395" t="str">
            <v>0.00% Fullerton India Credit Co Ltd (19-Apr-2022) **</v>
          </cell>
        </row>
        <row r="396">
          <cell r="B396" t="str">
            <v>INE580B07463</v>
          </cell>
          <cell r="C396" t="str">
            <v>CRPN</v>
          </cell>
          <cell r="D396" t="str">
            <v xml:space="preserve">GRUH FINANCE LTD                                </v>
          </cell>
          <cell r="E396" t="str">
            <v xml:space="preserve">9.35% GRUH FINANCE (06APR2022)                  </v>
          </cell>
          <cell r="F396">
            <v>44657</v>
          </cell>
          <cell r="G396">
            <v>9.35</v>
          </cell>
          <cell r="H396" t="str">
            <v>06-Apr-2022</v>
          </cell>
          <cell r="I396" t="str">
            <v>9.35% GRUH FINANCE LTD (06-Apr-2022)</v>
          </cell>
          <cell r="J396" t="str">
            <v>9.35% Gruh Finance Ltd (06-Apr-2022)</v>
          </cell>
          <cell r="K396" t="str">
            <v>9.35% Gruh Finance Ltd (06-Apr-2022) **</v>
          </cell>
        </row>
        <row r="397">
          <cell r="B397" t="str">
            <v>INE029A07075</v>
          </cell>
          <cell r="C397" t="str">
            <v>CRPN</v>
          </cell>
          <cell r="D397" t="str">
            <v xml:space="preserve">BHARAT PETROLEUM CORP LTD                       </v>
          </cell>
          <cell r="E397" t="str">
            <v xml:space="preserve">7.35% BPCL (10MAR2022)                          </v>
          </cell>
          <cell r="F397">
            <v>44630</v>
          </cell>
          <cell r="G397">
            <v>7.35</v>
          </cell>
          <cell r="H397" t="str">
            <v>10-Mar-2022</v>
          </cell>
          <cell r="I397" t="str">
            <v>7.35% BHARAT PETROLEUM CORP LTD (10-Mar-2022)</v>
          </cell>
          <cell r="J397" t="str">
            <v>7.35% Bharat Petroleum Corp Ltd (10-Mar-2022)</v>
          </cell>
          <cell r="K397" t="str">
            <v>7.35% Bharat Petroleum Corp Ltd (10-Mar-2022) **</v>
          </cell>
        </row>
        <row r="398">
          <cell r="B398" t="str">
            <v>INE115A07NM3</v>
          </cell>
          <cell r="C398" t="str">
            <v>ZERO</v>
          </cell>
          <cell r="D398" t="str">
            <v xml:space="preserve">LIC HOUSING FINANCE LTD                         </v>
          </cell>
          <cell r="E398" t="str">
            <v xml:space="preserve">0% LIC HOUSING FINANCE (25FEB2022)              </v>
          </cell>
          <cell r="F398">
            <v>44617</v>
          </cell>
          <cell r="G398" t="str">
            <v>0.00</v>
          </cell>
          <cell r="H398" t="str">
            <v>25-Feb-2022</v>
          </cell>
          <cell r="I398" t="str">
            <v>0.00% LIC HOUSING FINANCE LTD (25-Feb-2022)</v>
          </cell>
          <cell r="J398" t="str">
            <v>0.00% Lic Housing Finance Ltd (25-Feb-2022)</v>
          </cell>
          <cell r="K398" t="str">
            <v>0.00% Lic Housing Finance Ltd (25-Feb-2022) **</v>
          </cell>
        </row>
        <row r="399">
          <cell r="B399" t="str">
            <v>INE906B07FG1</v>
          </cell>
          <cell r="C399" t="str">
            <v>CRPN</v>
          </cell>
          <cell r="D399" t="str">
            <v xml:space="preserve">NATIONAL HIGHWAYS AUTHORITY OF INDIA            </v>
          </cell>
          <cell r="E399" t="str">
            <v xml:space="preserve">7.60% NHAI (18MAR2022)                          </v>
          </cell>
          <cell r="F399">
            <v>44638</v>
          </cell>
          <cell r="G399" t="str">
            <v>7.60</v>
          </cell>
          <cell r="H399" t="str">
            <v>18-Mar-2022</v>
          </cell>
          <cell r="I399" t="str">
            <v>7.60% NATIONAL HIGHWAYS AUTHORITY OF INDIA (18-Mar-2022)</v>
          </cell>
          <cell r="J399" t="str">
            <v>7.60% National Highways Authority Of India (18-Mar-2022)</v>
          </cell>
          <cell r="K399" t="str">
            <v>7.60% National Highways Authority Of India (18-Mar-2022) **</v>
          </cell>
        </row>
        <row r="400">
          <cell r="B400" t="str">
            <v>INE657N07605</v>
          </cell>
          <cell r="C400" t="str">
            <v>CFLT</v>
          </cell>
          <cell r="D400" t="str">
            <v xml:space="preserve">EDELWEISS RURAL &amp; CORPORATE SERVICES LTD        </v>
          </cell>
          <cell r="E400" t="str">
            <v>EDELWEISS COMM (SBI 1 YR MCLR + SPREAD) SERIES 2</v>
          </cell>
          <cell r="F400">
            <v>44529</v>
          </cell>
          <cell r="H400" t="str">
            <v>29-Nov-2021</v>
          </cell>
          <cell r="I400" t="str">
            <v>% EDELWEISS RURAL &amp; CORPORATE SERVICES LTD (29-Nov-2021)</v>
          </cell>
          <cell r="J400" t="str">
            <v>Edelweiss Rural &amp; Corporate Services Ltd (1Y SBI MCLR + 150 Bps) (29-Nov-2021) - Series II</v>
          </cell>
          <cell r="K400" t="str">
            <v>Edelweiss Rural &amp; Corporate Services Ltd (1Y SBI MCLR + 150 Bps) (29-Nov-2021) - Series II **</v>
          </cell>
        </row>
        <row r="401">
          <cell r="B401" t="str">
            <v>INE140A07435</v>
          </cell>
          <cell r="C401" t="str">
            <v>CFLT</v>
          </cell>
          <cell r="D401" t="str">
            <v xml:space="preserve">PIRAMAL ENTERPRISES LTD                         </v>
          </cell>
          <cell r="E401" t="str">
            <v>9.00% PEL 29MAY2020 (P/C 16DEC2018 16MAR2019 16J</v>
          </cell>
          <cell r="F401">
            <v>43980</v>
          </cell>
          <cell r="G401" t="str">
            <v>9.10</v>
          </cell>
          <cell r="H401" t="str">
            <v>29-May-2020</v>
          </cell>
          <cell r="I401" t="str">
            <v>9.10% PIRAMAL ENTERPRISES LTD (29-May-2020)</v>
          </cell>
          <cell r="J401" t="str">
            <v>9.10% Piramal Enterprises Ltd (29-May-2020)</v>
          </cell>
          <cell r="K401" t="str">
            <v>9.10% Piramal Enterprises Ltd (29-May-2020) **</v>
          </cell>
        </row>
        <row r="402">
          <cell r="B402" t="str">
            <v>INE694L07099</v>
          </cell>
          <cell r="C402" t="str">
            <v>CRPN</v>
          </cell>
          <cell r="D402" t="str">
            <v xml:space="preserve">TALWANDI SABO POWER LTD                         </v>
          </cell>
          <cell r="E402" t="str">
            <v xml:space="preserve">7.75% TALWANDI SABO (20SEP2019)                 </v>
          </cell>
          <cell r="F402">
            <v>43728</v>
          </cell>
          <cell r="G402">
            <v>7.75</v>
          </cell>
          <cell r="H402" t="str">
            <v>20-Sep-2019</v>
          </cell>
          <cell r="I402" t="str">
            <v>7.75% TALWANDI SABO POWER LTD (20-Sep-2019)</v>
          </cell>
          <cell r="J402" t="str">
            <v>7.75% Talwandi Sabo Power Ltd (20-Sep-2019)</v>
          </cell>
          <cell r="K402" t="str">
            <v>7.75% Talwandi Sabo Power Ltd (20-Sep-2019) **</v>
          </cell>
        </row>
        <row r="403">
          <cell r="B403" t="str">
            <v>INE582L07104</v>
          </cell>
          <cell r="C403" t="str">
            <v>CRPN</v>
          </cell>
          <cell r="D403" t="str">
            <v xml:space="preserve">TATA HOUSING DEVELOPMENT CO LTD                 </v>
          </cell>
          <cell r="E403" t="str">
            <v xml:space="preserve">8.25% TATA HOUSING DEV (27FEB2020)              </v>
          </cell>
          <cell r="F403">
            <v>43888</v>
          </cell>
          <cell r="G403">
            <v>8.25</v>
          </cell>
          <cell r="H403" t="str">
            <v>27-Feb-2020</v>
          </cell>
          <cell r="I403" t="str">
            <v>8.25% TATA HOUSING DEVELOPMENT CO LTD (27-Feb-2020)</v>
          </cell>
          <cell r="J403" t="str">
            <v>8.25% Tata Housing Development Co Ltd (27-Feb-2020)</v>
          </cell>
          <cell r="K403" t="str">
            <v>8.25% Tata Housing Development Co Ltd (27-Feb-2020) **</v>
          </cell>
        </row>
        <row r="404">
          <cell r="B404" t="str">
            <v>INE476S08045</v>
          </cell>
          <cell r="C404" t="str">
            <v>CFLT</v>
          </cell>
          <cell r="D404" t="str">
            <v xml:space="preserve">GREENKO CLEAN ENERGY PROJECTS PRIVATE LIMITED   </v>
          </cell>
          <cell r="E404" t="str">
            <v>10.75% SEMI GREENKO CLEAN (04DEC2020 P/C 04DEC20</v>
          </cell>
          <cell r="F404">
            <v>44169</v>
          </cell>
          <cell r="G404">
            <v>10.75</v>
          </cell>
          <cell r="H404" t="str">
            <v>04-Dec-2020</v>
          </cell>
          <cell r="I404" t="str">
            <v>10.75% GREENKO CLEAN ENERGY PROJECTS PRIVATE LIMITED (04-Dec-2020)</v>
          </cell>
          <cell r="J404" t="str">
            <v>10.75% Greenko Clean Energy Projects Private Limited (04-Dec-2020)</v>
          </cell>
          <cell r="K404" t="str">
            <v>10.75% Greenko Clean Energy Projects Private Limited (04-Dec-2020) **</v>
          </cell>
        </row>
        <row r="405">
          <cell r="B405" t="str">
            <v>INE306N07KG9</v>
          </cell>
          <cell r="C405" t="str">
            <v>CRPN</v>
          </cell>
          <cell r="D405" t="str">
            <v xml:space="preserve">TATA CAPITAL FINANCIAL SERVICES LTD             </v>
          </cell>
          <cell r="E405" t="str">
            <v xml:space="preserve">9.4756% TCFSL (08APR2022)                       </v>
          </cell>
          <cell r="F405">
            <v>44659</v>
          </cell>
          <cell r="G405">
            <v>9.4756</v>
          </cell>
          <cell r="H405" t="str">
            <v>08-Apr-2022</v>
          </cell>
          <cell r="I405" t="str">
            <v>9.4756% TATA CAPITAL FINANCIAL SERVICES LTD (08-Apr-2022)</v>
          </cell>
          <cell r="J405" t="str">
            <v>9.4756% Tata Capital Financial Services Ltd (08-Apr-2022)</v>
          </cell>
          <cell r="K405" t="str">
            <v>9.4756% Tata Capital Financial Services Ltd (08-Apr-2022) **</v>
          </cell>
        </row>
        <row r="406">
          <cell r="B406" t="str">
            <v>INE028A08083</v>
          </cell>
          <cell r="C406" t="str">
            <v>PERP</v>
          </cell>
          <cell r="D406" t="str">
            <v xml:space="preserve">BANK OF BARODA                                  </v>
          </cell>
          <cell r="E406" t="str">
            <v xml:space="preserve">8.50% BOB AT1 (CO 02DEC2021)                    </v>
          </cell>
          <cell r="F406">
            <v>44532</v>
          </cell>
          <cell r="G406" t="str">
            <v>8.50</v>
          </cell>
          <cell r="H406" t="str">
            <v>02-Dec-2021</v>
          </cell>
          <cell r="I406" t="str">
            <v>8.50% BANK OF BARODA (02-Dec-2021)</v>
          </cell>
          <cell r="J406" t="str">
            <v>8.50% Bank Of Baroda (02-Dec-2021)</v>
          </cell>
          <cell r="K406" t="str">
            <v>8.50% Bank Of Baroda (02-Dec-2021) **</v>
          </cell>
        </row>
        <row r="407">
          <cell r="B407" t="str">
            <v>INE163N08065</v>
          </cell>
          <cell r="C407" t="str">
            <v>CRPN</v>
          </cell>
          <cell r="D407" t="str">
            <v xml:space="preserve">ONGC PETRO ADDITIONS LTD                        </v>
          </cell>
          <cell r="E407" t="str">
            <v xml:space="preserve">8.60% ONGC PETRO (11MAR2022)                    </v>
          </cell>
          <cell r="F407">
            <v>44631</v>
          </cell>
          <cell r="G407" t="str">
            <v>8.60</v>
          </cell>
          <cell r="H407" t="str">
            <v>11-Mar-2022</v>
          </cell>
          <cell r="I407" t="str">
            <v>8.60% ONGC PETRO ADDITIONS LTD (11-Mar-2022)</v>
          </cell>
          <cell r="J407" t="str">
            <v>8.60% Ongc Petro Additions Ltd (11-Mar-2022)</v>
          </cell>
          <cell r="K407" t="str">
            <v>8.60% Ongc Petro Additions Ltd (11-Mar-2022) **</v>
          </cell>
        </row>
        <row r="408">
          <cell r="B408" t="str">
            <v>INE020B08BF0</v>
          </cell>
          <cell r="C408" t="str">
            <v>CRPN</v>
          </cell>
          <cell r="D408" t="str">
            <v xml:space="preserve">REC LTD                                         </v>
          </cell>
          <cell r="E408" t="str">
            <v xml:space="preserve">8.45% REC (22MAR2022)                           </v>
          </cell>
          <cell r="F408">
            <v>44642</v>
          </cell>
          <cell r="G408">
            <v>8.4499999999999993</v>
          </cell>
          <cell r="H408" t="str">
            <v>22-Mar-2022</v>
          </cell>
          <cell r="I408" t="str">
            <v>8.45% REC LTD (22-Mar-2022)</v>
          </cell>
          <cell r="J408" t="str">
            <v>8.45% Rec Ltd (22-Mar-2022)</v>
          </cell>
          <cell r="K408" t="str">
            <v>8.45% Rec Ltd (22-Mar-2022)</v>
          </cell>
        </row>
        <row r="409">
          <cell r="B409" t="str">
            <v>INE459T07090</v>
          </cell>
          <cell r="C409" t="str">
            <v>CFLT</v>
          </cell>
          <cell r="D409" t="str">
            <v xml:space="preserve">VASTU HOUSING FINANCE CORP LTD                  </v>
          </cell>
          <cell r="E409" t="str">
            <v>10.40% VASTU HOUSING SERIES D 27NOV2025 (P/C 27N</v>
          </cell>
          <cell r="F409">
            <v>45988</v>
          </cell>
          <cell r="G409" t="str">
            <v>10.30</v>
          </cell>
          <cell r="H409" t="str">
            <v>27-Nov-2025</v>
          </cell>
          <cell r="I409" t="str">
            <v>10.30% VASTU HOUSING FINANCE CORP LTD (27-Nov-2025)</v>
          </cell>
          <cell r="J409" t="str">
            <v>10.30% Vastu Housing Finance Corp Ltd (27-Nov-2025)</v>
          </cell>
          <cell r="K409" t="str">
            <v>10.30% Vastu Housing Finance Corp Ltd (27-Nov-2025) **</v>
          </cell>
        </row>
        <row r="410">
          <cell r="B410" t="e">
            <v>#N/A</v>
          </cell>
          <cell r="C410" t="e">
            <v>#N/A</v>
          </cell>
          <cell r="D410" t="e">
            <v>#N/A</v>
          </cell>
          <cell r="E410" t="e">
            <v>#N/A</v>
          </cell>
          <cell r="F410">
            <v>43544</v>
          </cell>
          <cell r="G410" t="str">
            <v>7.90</v>
          </cell>
          <cell r="H410" t="str">
            <v>20-Mar-2019</v>
          </cell>
          <cell r="I410" t="e">
            <v>#N/A</v>
          </cell>
          <cell r="J410" t="e">
            <v>#N/A</v>
          </cell>
          <cell r="K410" t="e">
            <v>#N/A</v>
          </cell>
        </row>
        <row r="411">
          <cell r="B411" t="e">
            <v>#N/A</v>
          </cell>
          <cell r="C411" t="e">
            <v>#N/A</v>
          </cell>
          <cell r="D411" t="e">
            <v>#N/A</v>
          </cell>
          <cell r="E411" t="e">
            <v>#N/A</v>
          </cell>
          <cell r="F411">
            <v>43670</v>
          </cell>
          <cell r="G411">
            <v>9.51</v>
          </cell>
          <cell r="H411" t="str">
            <v>24-Jul-2019</v>
          </cell>
          <cell r="I411" t="e">
            <v>#N/A</v>
          </cell>
          <cell r="J411" t="e">
            <v>#N/A</v>
          </cell>
          <cell r="K411" t="e">
            <v>#N/A</v>
          </cell>
        </row>
        <row r="412">
          <cell r="B412" t="str">
            <v>INE115A07FS6</v>
          </cell>
          <cell r="C412" t="str">
            <v>CRPN</v>
          </cell>
          <cell r="D412" t="str">
            <v xml:space="preserve">LIC HOUSING FINANCE LTD                         </v>
          </cell>
          <cell r="E412" t="str">
            <v xml:space="preserve">9.45% LIC HOUSING FINANCE (10SEP2019)           </v>
          </cell>
          <cell r="F412">
            <v>43718</v>
          </cell>
          <cell r="G412">
            <v>9.4499999999999993</v>
          </cell>
          <cell r="H412" t="str">
            <v>10-Sep-2019</v>
          </cell>
          <cell r="I412" t="str">
            <v>9.45% LIC HOUSING FINANCE LTD (10-Sep-2019)</v>
          </cell>
          <cell r="J412" t="str">
            <v>9.45% Lic Housing Finance Ltd (10-Sep-2019)</v>
          </cell>
          <cell r="K412" t="str">
            <v>9.45% Lic Housing Finance Ltd (10-Sep-2019) **</v>
          </cell>
        </row>
        <row r="413">
          <cell r="B413" t="str">
            <v>INE115A07FT4</v>
          </cell>
          <cell r="C413" t="str">
            <v>ZERO</v>
          </cell>
          <cell r="D413" t="str">
            <v xml:space="preserve">LIC HOUSING FINANCE LTD                         </v>
          </cell>
          <cell r="E413" t="str">
            <v xml:space="preserve">0% LIC HOUSING FINANCE (10SEP2019)              </v>
          </cell>
          <cell r="F413">
            <v>43718</v>
          </cell>
          <cell r="G413" t="str">
            <v>0.00</v>
          </cell>
          <cell r="H413" t="str">
            <v>10-Sep-2019</v>
          </cell>
          <cell r="I413" t="str">
            <v>0.00% LIC HOUSING FINANCE LTD (10-Sep-2019)</v>
          </cell>
          <cell r="J413" t="str">
            <v>0.00% Lic Housing Finance Ltd (10-Sep-2019)</v>
          </cell>
          <cell r="K413" t="str">
            <v>0.00% Lic Housing Finance Ltd (10-Sep-2019) **</v>
          </cell>
        </row>
        <row r="414">
          <cell r="B414" t="str">
            <v>INE155A08217</v>
          </cell>
          <cell r="C414" t="str">
            <v>CRPN</v>
          </cell>
          <cell r="D414" t="str">
            <v xml:space="preserve">TATA MOTORS LTD                                 </v>
          </cell>
          <cell r="E414" t="str">
            <v xml:space="preserve">9.71% TATA MOTORS (1OCT2019)                    </v>
          </cell>
          <cell r="F414">
            <v>43739</v>
          </cell>
          <cell r="G414">
            <v>9.7100000000000009</v>
          </cell>
          <cell r="H414" t="str">
            <v>01-Oct-2019</v>
          </cell>
          <cell r="I414" t="str">
            <v>9.71% TATA MOTORS LTD (01-Oct-2019)</v>
          </cell>
          <cell r="J414" t="str">
            <v>9.71% Tata Motors Ltd (01-Oct-2019)</v>
          </cell>
          <cell r="K414" t="str">
            <v>9.71% Tata Motors Ltd (01-Oct-2019) **</v>
          </cell>
        </row>
        <row r="415">
          <cell r="B415" t="e">
            <v>#N/A</v>
          </cell>
          <cell r="C415" t="e">
            <v>#N/A</v>
          </cell>
          <cell r="D415" t="e">
            <v>#N/A</v>
          </cell>
          <cell r="E415" t="e">
            <v>#N/A</v>
          </cell>
          <cell r="F415">
            <v>43700</v>
          </cell>
          <cell r="G415" t="str">
            <v>9.10</v>
          </cell>
          <cell r="H415" t="str">
            <v>23-Aug-2019</v>
          </cell>
          <cell r="I415" t="e">
            <v>#N/A</v>
          </cell>
          <cell r="J415" t="e">
            <v>#N/A</v>
          </cell>
          <cell r="K415" t="e">
            <v>#N/A</v>
          </cell>
        </row>
        <row r="416">
          <cell r="B416" t="str">
            <v>INE033L07GA4</v>
          </cell>
          <cell r="C416" t="str">
            <v>CRPN</v>
          </cell>
          <cell r="D416" t="str">
            <v xml:space="preserve">TATA CAPITAL HOUSING FINANCE LTD                </v>
          </cell>
          <cell r="E416" t="str">
            <v xml:space="preserve">9.1791% TATA CAP HOUSING (13APR2022)            </v>
          </cell>
          <cell r="F416">
            <v>44664</v>
          </cell>
          <cell r="G416" t="str">
            <v>9.1791</v>
          </cell>
          <cell r="H416" t="str">
            <v>13-Apr-2022</v>
          </cell>
          <cell r="I416" t="str">
            <v>9.1791% TATA CAPITAL HOUSING FINANCE LTD (13-Apr-2022)</v>
          </cell>
          <cell r="J416" t="str">
            <v>9.1791% Tata Capital Housing Finance Ltd (13-Apr-2022)</v>
          </cell>
          <cell r="K416" t="str">
            <v>9.1791% Tata Capital Housing Finance Ltd (13-Apr-2022) **</v>
          </cell>
        </row>
        <row r="417">
          <cell r="B417" t="str">
            <v>INE516Y07089</v>
          </cell>
          <cell r="C417" t="str">
            <v>CRPN</v>
          </cell>
          <cell r="D417" t="str">
            <v xml:space="preserve">PIRAMAL CAPITAL &amp; HOUSING FINANCE LTD           </v>
          </cell>
          <cell r="E417" t="str">
            <v xml:space="preserve">9.50% PIRAMAL HFC TRANCHE 1A (21APR2022)        </v>
          </cell>
          <cell r="F417">
            <v>44672</v>
          </cell>
          <cell r="G417" t="str">
            <v>9.50</v>
          </cell>
          <cell r="H417" t="str">
            <v>21-Apr-2022</v>
          </cell>
          <cell r="I417" t="str">
            <v>9.50% PIRAMAL CAPITAL &amp; HOUSING FINANCE LTD (21-Apr-2022)</v>
          </cell>
          <cell r="J417" t="str">
            <v>9.50% Piramal Capital &amp; Housing Finance Ltd (21-Apr-2022)</v>
          </cell>
          <cell r="K417" t="str">
            <v>9.50% Piramal Capital &amp; Housing Finance Ltd (21-Apr-2022) **</v>
          </cell>
        </row>
        <row r="418">
          <cell r="B418" t="str">
            <v>INE516Y07105</v>
          </cell>
          <cell r="C418" t="str">
            <v>CRPN</v>
          </cell>
          <cell r="D418" t="str">
            <v xml:space="preserve">PIRAMAL CAPITAL &amp; HOUSING FINANCE LTD           </v>
          </cell>
          <cell r="E418" t="str">
            <v xml:space="preserve">9.50% PIRAMAL HFC TRANCHE 1 (15APR2022)         </v>
          </cell>
          <cell r="F418">
            <v>44666</v>
          </cell>
          <cell r="G418" t="str">
            <v>9.50</v>
          </cell>
          <cell r="H418" t="str">
            <v>15-Apr-2022</v>
          </cell>
          <cell r="I418" t="str">
            <v>9.50% PIRAMAL CAPITAL &amp; HOUSING FINANCE LTD (15-Apr-2022)</v>
          </cell>
          <cell r="J418" t="str">
            <v>9.50% Piramal Capital &amp; Housing Finance Ltd (15-Apr-2022)</v>
          </cell>
          <cell r="K418" t="str">
            <v>9.50% Piramal Capital &amp; Housing Finance Ltd (15-Apr-2022) **</v>
          </cell>
        </row>
        <row r="419">
          <cell r="B419" t="str">
            <v>INE516Y07097</v>
          </cell>
          <cell r="C419" t="str">
            <v>CFLT</v>
          </cell>
          <cell r="D419" t="str">
            <v xml:space="preserve">PIRAMAL CAPITAL &amp; HOUSING FINANCE LTD           </v>
          </cell>
          <cell r="E419" t="str">
            <v>9.50% PIRAMAL HFC TRANCHE 2 (29APR2022 P/C 15JAN</v>
          </cell>
          <cell r="F419">
            <v>44680</v>
          </cell>
          <cell r="G419" t="str">
            <v>9.50</v>
          </cell>
          <cell r="H419" t="str">
            <v>29-Apr-2022</v>
          </cell>
          <cell r="I419" t="str">
            <v>9.50% PIRAMAL CAPITAL &amp; HOUSING FINANCE LTD (29-Apr-2022)</v>
          </cell>
          <cell r="J419" t="str">
            <v>9.50% Piramal Capital &amp; Housing Finance Ltd (29-Apr-2022)</v>
          </cell>
          <cell r="K419" t="str">
            <v>9.50% Piramal Capital &amp; Housing Finance Ltd (29-Apr-2022) **</v>
          </cell>
        </row>
        <row r="420">
          <cell r="B420" t="str">
            <v>INE516Y07071</v>
          </cell>
          <cell r="C420" t="str">
            <v>CFLT</v>
          </cell>
          <cell r="D420" t="str">
            <v xml:space="preserve">PIRAMAL CAPITAL &amp; HOUSING FINANCE LTD           </v>
          </cell>
          <cell r="E420" t="str">
            <v>9.50% PIRAMAL HFC TRANCHE 2A (06MAY2022 P/C 21JA</v>
          </cell>
          <cell r="F420">
            <v>44687</v>
          </cell>
          <cell r="G420" t="str">
            <v>9.50</v>
          </cell>
          <cell r="H420" t="str">
            <v>06-May-2022</v>
          </cell>
          <cell r="I420" t="str">
            <v>9.50% PIRAMAL CAPITAL &amp; HOUSING FINANCE LTD (06-May-2022)</v>
          </cell>
          <cell r="J420" t="str">
            <v>9.50% Piramal Capital &amp; Housing Finance Ltd (06-May-2022)</v>
          </cell>
          <cell r="K420" t="str">
            <v>9.50% Piramal Capital &amp; Housing Finance Ltd (06-May-2022) **</v>
          </cell>
        </row>
        <row r="421">
          <cell r="B421" t="str">
            <v>INE721A08DF1</v>
          </cell>
          <cell r="C421" t="str">
            <v>CRPN</v>
          </cell>
          <cell r="D421" t="str">
            <v xml:space="preserve">SHRIRAM TRANSPORT FINANCE CO LTD                </v>
          </cell>
          <cell r="E421" t="str">
            <v xml:space="preserve">9.90% SHRIRAM TRANSPORT (21JUN2024) *           </v>
          </cell>
          <cell r="F421">
            <v>45464</v>
          </cell>
          <cell r="G421" t="str">
            <v>9.90</v>
          </cell>
          <cell r="H421" t="str">
            <v>21-Jun-2024</v>
          </cell>
          <cell r="I421" t="str">
            <v>9.90% SHRIRAM TRANSPORT FINANCE CO LTD (21-Jun-2024)</v>
          </cell>
          <cell r="J421" t="str">
            <v>9.90% Shriram Transport Finance Co Ltd (21-Jun-2024)</v>
          </cell>
          <cell r="K421" t="str">
            <v>9.90% Shriram Transport Finance Co Ltd (21-Jun-2024) **</v>
          </cell>
        </row>
        <row r="422">
          <cell r="B422" t="e">
            <v>#N/A</v>
          </cell>
          <cell r="C422" t="e">
            <v>#N/A</v>
          </cell>
          <cell r="D422" t="e">
            <v>#N/A</v>
          </cell>
          <cell r="E422" t="e">
            <v>#N/A</v>
          </cell>
          <cell r="F422">
            <v>43669</v>
          </cell>
          <cell r="G422">
            <v>9.25</v>
          </cell>
          <cell r="H422" t="str">
            <v>23-Jul-2019</v>
          </cell>
          <cell r="I422" t="e">
            <v>#N/A</v>
          </cell>
          <cell r="J422" t="e">
            <v>#N/A</v>
          </cell>
          <cell r="K422" t="e">
            <v>#N/A</v>
          </cell>
        </row>
        <row r="423">
          <cell r="B423" t="e">
            <v>#N/A</v>
          </cell>
          <cell r="C423" t="e">
            <v>#N/A</v>
          </cell>
          <cell r="D423" t="e">
            <v>#N/A</v>
          </cell>
          <cell r="E423" t="e">
            <v>#N/A</v>
          </cell>
          <cell r="F423">
            <v>44180</v>
          </cell>
          <cell r="G423" t="str">
            <v>8.70</v>
          </cell>
          <cell r="H423" t="str">
            <v>15-Dec-2020</v>
          </cell>
          <cell r="I423" t="e">
            <v>#N/A</v>
          </cell>
          <cell r="J423" t="e">
            <v>#N/A</v>
          </cell>
          <cell r="K423" t="e">
            <v>#N/A</v>
          </cell>
        </row>
        <row r="424">
          <cell r="B424" t="str">
            <v>INE831R07235</v>
          </cell>
          <cell r="C424" t="str">
            <v>ZERO</v>
          </cell>
          <cell r="D424" t="str">
            <v xml:space="preserve">ADITYA BIRLA HOUSING FINANCE LTD                </v>
          </cell>
          <cell r="E424" t="str">
            <v xml:space="preserve">0% ADITYA BIRLA HOUSING FIN (13APR2022)         </v>
          </cell>
          <cell r="F424">
            <v>44664</v>
          </cell>
          <cell r="G424" t="str">
            <v>0.00</v>
          </cell>
          <cell r="H424" t="str">
            <v>13-Apr-2022</v>
          </cell>
          <cell r="I424" t="str">
            <v>0.00% ADITYA BIRLA HOUSING FINANCE LTD (13-Apr-2022)</v>
          </cell>
          <cell r="J424" t="str">
            <v>0.00% Aditya Birla Housing Finance Ltd (13-Apr-2022)</v>
          </cell>
          <cell r="K424" t="str">
            <v>0.00% Aditya Birla Housing Finance Ltd (13-Apr-2022) **</v>
          </cell>
        </row>
        <row r="425">
          <cell r="B425" t="str">
            <v>INE535H07AT9</v>
          </cell>
          <cell r="C425" t="str">
            <v>ZERO</v>
          </cell>
          <cell r="D425" t="str">
            <v xml:space="preserve">FULLERTON INDIA CREDIT CO LTD                   </v>
          </cell>
          <cell r="E425" t="str">
            <v xml:space="preserve">0% FULLERTON INDIA (13APR2022)                  </v>
          </cell>
          <cell r="F425">
            <v>44664</v>
          </cell>
          <cell r="G425" t="str">
            <v>0.00</v>
          </cell>
          <cell r="H425" t="str">
            <v>13-Apr-2022</v>
          </cell>
          <cell r="I425" t="str">
            <v>0.00% FULLERTON INDIA CREDIT CO LTD (13-Apr-2022)</v>
          </cell>
          <cell r="J425" t="str">
            <v>0.00% Fullerton India Credit Co Ltd (13-Apr-2022)</v>
          </cell>
          <cell r="K425" t="str">
            <v>0.00% Fullerton India Credit Co Ltd (13-Apr-2022) **</v>
          </cell>
        </row>
        <row r="426">
          <cell r="B426" t="str">
            <v>INE031A08657</v>
          </cell>
          <cell r="C426" t="str">
            <v>CRPN</v>
          </cell>
          <cell r="D426" t="str">
            <v xml:space="preserve">HOUSING &amp; URBAN DEVELOPMENT CORP LTD            </v>
          </cell>
          <cell r="E426" t="str">
            <v xml:space="preserve">8.23% HUDCO (SERIES D 2018) (15APR2022)         </v>
          </cell>
          <cell r="F426">
            <v>44666</v>
          </cell>
          <cell r="G426">
            <v>8.23</v>
          </cell>
          <cell r="H426" t="str">
            <v>15-Apr-2022</v>
          </cell>
          <cell r="I426" t="str">
            <v>8.23% HOUSING &amp; URBAN DEVELOPMENT CORP LTD (15-Apr-2022)</v>
          </cell>
          <cell r="J426" t="str">
            <v>8.23% Housing &amp; Urban Development Corp Ltd (15-Apr-2022)</v>
          </cell>
          <cell r="K426" t="str">
            <v>8.23% Housing &amp; Urban Development Corp Ltd (15-Apr-2022) **</v>
          </cell>
        </row>
        <row r="427">
          <cell r="B427" t="e">
            <v>#N/A</v>
          </cell>
          <cell r="C427" t="e">
            <v>#N/A</v>
          </cell>
          <cell r="D427" t="e">
            <v>#N/A</v>
          </cell>
          <cell r="E427" t="e">
            <v>#N/A</v>
          </cell>
          <cell r="F427">
            <v>44957</v>
          </cell>
          <cell r="G427" t="str">
            <v>8.50</v>
          </cell>
          <cell r="H427" t="str">
            <v>31-Jan-2023</v>
          </cell>
          <cell r="I427" t="e">
            <v>#N/A</v>
          </cell>
          <cell r="J427" t="e">
            <v>#N/A</v>
          </cell>
          <cell r="K427" t="e">
            <v>#N/A</v>
          </cell>
        </row>
        <row r="428">
          <cell r="B428" t="str">
            <v>INE134E08GT3</v>
          </cell>
          <cell r="C428" t="str">
            <v>CRPN</v>
          </cell>
          <cell r="D428" t="str">
            <v xml:space="preserve">POWER FINANCE CORP LTD                          </v>
          </cell>
          <cell r="E428" t="str">
            <v xml:space="preserve">8.55% PFC (09DEC2021)                           </v>
          </cell>
          <cell r="F428">
            <v>44539</v>
          </cell>
          <cell r="G428">
            <v>8.5500000000000007</v>
          </cell>
          <cell r="H428" t="str">
            <v>09-Dec-2021</v>
          </cell>
          <cell r="I428" t="str">
            <v>8.55% POWER FINANCE CORP LTD (09-Dec-2021)</v>
          </cell>
          <cell r="J428" t="str">
            <v>8.55% Power Finance Corp Ltd (09-Dec-2021)</v>
          </cell>
          <cell r="K428" t="str">
            <v>8.55% Power Finance Corp Ltd (09-Dec-2021)</v>
          </cell>
        </row>
        <row r="429">
          <cell r="B429" t="e">
            <v>#N/A</v>
          </cell>
          <cell r="C429" t="e">
            <v>#N/A</v>
          </cell>
          <cell r="D429" t="e">
            <v>#N/A</v>
          </cell>
          <cell r="E429" t="e">
            <v>#N/A</v>
          </cell>
          <cell r="F429">
            <v>44722</v>
          </cell>
          <cell r="G429">
            <v>7.28</v>
          </cell>
          <cell r="H429" t="str">
            <v>10-Jun-2022</v>
          </cell>
          <cell r="I429" t="e">
            <v>#N/A</v>
          </cell>
          <cell r="J429" t="e">
            <v>#N/A</v>
          </cell>
          <cell r="K429" t="e">
            <v>#N/A</v>
          </cell>
        </row>
        <row r="430">
          <cell r="B430" t="str">
            <v>INE020B08740</v>
          </cell>
          <cell r="C430" t="str">
            <v>CRPN</v>
          </cell>
          <cell r="D430" t="str">
            <v xml:space="preserve">REC LTD                                         </v>
          </cell>
          <cell r="E430" t="str">
            <v xml:space="preserve">9.35% REC (15JUN2022)                           </v>
          </cell>
          <cell r="F430">
            <v>44727</v>
          </cell>
          <cell r="G430">
            <v>9.35</v>
          </cell>
          <cell r="H430" t="str">
            <v>15-Jun-2022</v>
          </cell>
          <cell r="I430" t="str">
            <v>9.35% REC LTD (15-Jun-2022)</v>
          </cell>
          <cell r="J430" t="str">
            <v>9.35% Rec Ltd (15-Jun-2022)</v>
          </cell>
          <cell r="K430" t="str">
            <v>9.35% Rec Ltd (15-Jun-2022)</v>
          </cell>
        </row>
        <row r="431">
          <cell r="B431" t="e">
            <v>#N/A</v>
          </cell>
          <cell r="C431" t="e">
            <v>#N/A</v>
          </cell>
          <cell r="D431" t="e">
            <v>#N/A</v>
          </cell>
          <cell r="E431" t="e">
            <v>#N/A</v>
          </cell>
          <cell r="F431">
            <v>43546</v>
          </cell>
          <cell r="G431">
            <v>7.9730999999999996</v>
          </cell>
          <cell r="H431" t="str">
            <v>22-Mar-2019</v>
          </cell>
          <cell r="I431" t="e">
            <v>#N/A</v>
          </cell>
          <cell r="J431" t="e">
            <v>#N/A</v>
          </cell>
          <cell r="K431" t="e">
            <v>#N/A</v>
          </cell>
        </row>
        <row r="432">
          <cell r="B432" t="e">
            <v>#N/A</v>
          </cell>
          <cell r="C432" t="e">
            <v>#N/A</v>
          </cell>
          <cell r="D432" t="e">
            <v>#N/A</v>
          </cell>
          <cell r="E432" t="e">
            <v>#N/A</v>
          </cell>
          <cell r="F432">
            <v>43539</v>
          </cell>
          <cell r="G432">
            <v>8.39</v>
          </cell>
          <cell r="H432" t="str">
            <v>15-Mar-2019</v>
          </cell>
          <cell r="I432" t="e">
            <v>#N/A</v>
          </cell>
          <cell r="J432" t="e">
            <v>#N/A</v>
          </cell>
          <cell r="K432" t="e">
            <v>#N/A</v>
          </cell>
        </row>
        <row r="433">
          <cell r="B433" t="e">
            <v>#N/A</v>
          </cell>
          <cell r="C433" t="e">
            <v>#N/A</v>
          </cell>
          <cell r="D433" t="e">
            <v>#N/A</v>
          </cell>
          <cell r="E433" t="e">
            <v>#N/A</v>
          </cell>
          <cell r="F433">
            <v>43552</v>
          </cell>
          <cell r="G433">
            <v>7.6292999999999997</v>
          </cell>
          <cell r="H433" t="str">
            <v>28-Mar-2019</v>
          </cell>
          <cell r="I433" t="e">
            <v>#N/A</v>
          </cell>
          <cell r="J433" t="e">
            <v>#N/A</v>
          </cell>
          <cell r="K433" t="e">
            <v>#N/A</v>
          </cell>
        </row>
        <row r="434">
          <cell r="B434" t="e">
            <v>#N/A</v>
          </cell>
          <cell r="C434" t="e">
            <v>#N/A</v>
          </cell>
          <cell r="D434" t="e">
            <v>#N/A</v>
          </cell>
          <cell r="E434" t="e">
            <v>#N/A</v>
          </cell>
          <cell r="F434">
            <v>43626</v>
          </cell>
          <cell r="G434">
            <v>7.48</v>
          </cell>
          <cell r="H434" t="str">
            <v>10-Jun-2019</v>
          </cell>
          <cell r="I434" t="e">
            <v>#N/A</v>
          </cell>
          <cell r="J434" t="e">
            <v>#N/A</v>
          </cell>
          <cell r="K434" t="e">
            <v>#N/A</v>
          </cell>
        </row>
        <row r="435">
          <cell r="B435" t="str">
            <v>INE377Y07086</v>
          </cell>
          <cell r="C435" t="str">
            <v>ZERO</v>
          </cell>
          <cell r="D435" t="str">
            <v xml:space="preserve">BAJAJ HOUSING FINANCE LTD                       </v>
          </cell>
          <cell r="E435" t="str">
            <v xml:space="preserve">0% BAJAJ HOUSING FINANCE (05MAY2022)            </v>
          </cell>
          <cell r="F435">
            <v>44686</v>
          </cell>
          <cell r="G435" t="str">
            <v>0.00</v>
          </cell>
          <cell r="H435" t="str">
            <v>05-May-2022</v>
          </cell>
          <cell r="I435" t="str">
            <v>0.00% BAJAJ HOUSING FINANCE LTD (05-May-2022)</v>
          </cell>
          <cell r="J435" t="str">
            <v>0.00% Bajaj Housing Finance Ltd (05-May-2022)</v>
          </cell>
          <cell r="K435" t="str">
            <v>0.00% Bajaj Housing Finance Ltd (05-May-2022) **</v>
          </cell>
        </row>
        <row r="436">
          <cell r="B436" t="str">
            <v>INE774D07SS7</v>
          </cell>
          <cell r="C436" t="str">
            <v>CRPN</v>
          </cell>
          <cell r="D436" t="str">
            <v xml:space="preserve">MAHINDRA &amp; MAHINDRA FINANCIAL SERVICES LTD      </v>
          </cell>
          <cell r="E436" t="str">
            <v xml:space="preserve">9.05% MMFSL (SERIES I) (18APR2022)              </v>
          </cell>
          <cell r="F436">
            <v>44669</v>
          </cell>
          <cell r="G436">
            <v>9.0500000000000007</v>
          </cell>
          <cell r="H436" t="str">
            <v>18-Apr-2022</v>
          </cell>
          <cell r="I436" t="str">
            <v>9.05% MAHINDRA &amp; MAHINDRA FINANCIAL SERVICES LTD (18-Apr-2022)</v>
          </cell>
          <cell r="J436" t="str">
            <v>9.05% Mahindra &amp; Mahindra Financial Services Ltd (18-Apr-2022)</v>
          </cell>
          <cell r="K436" t="str">
            <v>9.05% Mahindra &amp; Mahindra Financial Services Ltd (18-Apr-2022) **</v>
          </cell>
        </row>
        <row r="437">
          <cell r="B437" t="str">
            <v>INE756I07CI8</v>
          </cell>
          <cell r="C437" t="str">
            <v>ZERO</v>
          </cell>
          <cell r="D437" t="str">
            <v xml:space="preserve">HDB FINANCIAL SERVICES LTD                      </v>
          </cell>
          <cell r="E437" t="str">
            <v>0% HDB FINANCIAL (SERIES 2018 A/0(ZC)/128 (05APR</v>
          </cell>
          <cell r="F437">
            <v>44656</v>
          </cell>
          <cell r="G437" t="str">
            <v>0.00</v>
          </cell>
          <cell r="H437" t="str">
            <v>05-Apr-2022</v>
          </cell>
          <cell r="I437" t="str">
            <v>0.00% HDB FINANCIAL SERVICES LTD (05-Apr-2022)</v>
          </cell>
          <cell r="J437" t="str">
            <v>0.00% Hdb Financial Services Ltd (05-Apr-2022)</v>
          </cell>
          <cell r="K437" t="str">
            <v>0.00% Hdb Financial Services Ltd (05-Apr-2022) **</v>
          </cell>
        </row>
        <row r="438">
          <cell r="B438" t="str">
            <v>INE155A08225</v>
          </cell>
          <cell r="C438" t="str">
            <v>CRPN</v>
          </cell>
          <cell r="D438" t="str">
            <v xml:space="preserve">TATA MOTORS LTD                                 </v>
          </cell>
          <cell r="E438" t="str">
            <v xml:space="preserve">9.73% TATA MOTORS (01OCT2020)                   </v>
          </cell>
          <cell r="F438">
            <v>44105</v>
          </cell>
          <cell r="G438">
            <v>9.73</v>
          </cell>
          <cell r="H438" t="str">
            <v>01-Oct-2020</v>
          </cell>
          <cell r="I438" t="str">
            <v>9.73% TATA MOTORS LTD (01-Oct-2020)</v>
          </cell>
          <cell r="J438" t="str">
            <v>9.73% Tata Motors Ltd (01-Oct-2020)</v>
          </cell>
          <cell r="K438" t="str">
            <v>9.73% Tata Motors Ltd (01-Oct-2020) **</v>
          </cell>
        </row>
        <row r="439">
          <cell r="B439" t="str">
            <v>INE081A08165</v>
          </cell>
          <cell r="C439" t="str">
            <v>PERP</v>
          </cell>
          <cell r="D439" t="str">
            <v xml:space="preserve">TATA STEEL LTD                                  </v>
          </cell>
          <cell r="E439" t="str">
            <v xml:space="preserve">11.80% TATA STEEL PERPETUAL (CO 18MAR2021)      </v>
          </cell>
          <cell r="F439">
            <v>44273</v>
          </cell>
          <cell r="G439" t="str">
            <v>11.80</v>
          </cell>
          <cell r="H439" t="str">
            <v>18-Mar-2021</v>
          </cell>
          <cell r="I439" t="str">
            <v>11.80% TATA STEEL LTD (18-Mar-2021)</v>
          </cell>
          <cell r="J439" t="str">
            <v>11.80% Tata Steel Ltd (18-Mar-2021)</v>
          </cell>
          <cell r="K439" t="str">
            <v>11.80% Tata Steel Ltd (18-Mar-2021) **</v>
          </cell>
        </row>
        <row r="440">
          <cell r="B440" t="str">
            <v>INE115A07NW2</v>
          </cell>
          <cell r="C440" t="str">
            <v>ZERO</v>
          </cell>
          <cell r="D440" t="str">
            <v xml:space="preserve">LIC HOUSING FINANCE LTD                         </v>
          </cell>
          <cell r="E440" t="str">
            <v xml:space="preserve">0% LIC HOUSING FINANCE (04MAY2022)              </v>
          </cell>
          <cell r="F440">
            <v>44685</v>
          </cell>
          <cell r="G440" t="str">
            <v>0.00</v>
          </cell>
          <cell r="H440" t="str">
            <v>04-May-2022</v>
          </cell>
          <cell r="I440" t="str">
            <v>0.00% LIC HOUSING FINANCE LTD (04-May-2022)</v>
          </cell>
          <cell r="J440" t="str">
            <v>0.00% Lic Housing Finance Ltd (04-May-2022)</v>
          </cell>
          <cell r="K440" t="str">
            <v>0.00% Lic Housing Finance Ltd (04-May-2022) **</v>
          </cell>
        </row>
        <row r="441">
          <cell r="B441" t="str">
            <v>INE774D07SQ1</v>
          </cell>
          <cell r="C441" t="str">
            <v>ZERO</v>
          </cell>
          <cell r="D441" t="str">
            <v xml:space="preserve">MAHINDRA &amp; MAHINDRA FINANCIAL SERVICES LTD      </v>
          </cell>
          <cell r="E441" t="str">
            <v xml:space="preserve">0% MMFSL (29MAR2022)                            </v>
          </cell>
          <cell r="F441">
            <v>44649</v>
          </cell>
          <cell r="G441" t="str">
            <v>0.00</v>
          </cell>
          <cell r="H441" t="str">
            <v>29-Mar-2022</v>
          </cell>
          <cell r="I441" t="str">
            <v>0.00% MAHINDRA &amp; MAHINDRA FINANCIAL SERVICES LTD (29-Mar-2022)</v>
          </cell>
          <cell r="J441" t="str">
            <v>0.00% Mahindra &amp; Mahindra Financial Services Ltd (29-Mar-2022)</v>
          </cell>
          <cell r="K441" t="str">
            <v>0.00% Mahindra &amp; Mahindra Financial Services Ltd (29-Mar-2022) **</v>
          </cell>
        </row>
        <row r="442">
          <cell r="B442" t="e">
            <v>#N/A</v>
          </cell>
          <cell r="C442" t="e">
            <v>#N/A</v>
          </cell>
          <cell r="D442" t="e">
            <v>#N/A</v>
          </cell>
          <cell r="E442" t="e">
            <v>#N/A</v>
          </cell>
          <cell r="F442">
            <v>43530</v>
          </cell>
          <cell r="G442">
            <v>8.34</v>
          </cell>
          <cell r="H442" t="str">
            <v>06-Mar-2019</v>
          </cell>
          <cell r="I442" t="e">
            <v>#N/A</v>
          </cell>
          <cell r="J442" t="e">
            <v>#N/A</v>
          </cell>
          <cell r="K442" t="e">
            <v>#N/A</v>
          </cell>
        </row>
        <row r="443">
          <cell r="B443" t="e">
            <v>#N/A</v>
          </cell>
          <cell r="C443" t="e">
            <v>#N/A</v>
          </cell>
          <cell r="D443" t="e">
            <v>#N/A</v>
          </cell>
          <cell r="E443" t="e">
            <v>#N/A</v>
          </cell>
          <cell r="F443">
            <v>43532</v>
          </cell>
          <cell r="G443" t="str">
            <v>9.7624</v>
          </cell>
          <cell r="H443" t="str">
            <v>08-Mar-2019</v>
          </cell>
          <cell r="I443" t="e">
            <v>#N/A</v>
          </cell>
          <cell r="J443" t="e">
            <v>#N/A</v>
          </cell>
          <cell r="K443" t="e">
            <v>#N/A</v>
          </cell>
        </row>
        <row r="444">
          <cell r="B444" t="e">
            <v>#N/A</v>
          </cell>
          <cell r="C444" t="e">
            <v>#N/A</v>
          </cell>
          <cell r="D444" t="e">
            <v>#N/A</v>
          </cell>
          <cell r="E444" t="e">
            <v>#N/A</v>
          </cell>
          <cell r="F444">
            <v>43539</v>
          </cell>
          <cell r="G444" t="str">
            <v>7.60</v>
          </cell>
          <cell r="H444" t="str">
            <v>15-Mar-2019</v>
          </cell>
          <cell r="I444" t="e">
            <v>#N/A</v>
          </cell>
          <cell r="J444" t="e">
            <v>#N/A</v>
          </cell>
          <cell r="K444" t="e">
            <v>#N/A</v>
          </cell>
        </row>
        <row r="445">
          <cell r="B445" t="str">
            <v>INE535H07AU7</v>
          </cell>
          <cell r="C445" t="str">
            <v>CRPN</v>
          </cell>
          <cell r="D445" t="str">
            <v xml:space="preserve">FULLERTON INDIA CREDIT CO LTD                   </v>
          </cell>
          <cell r="E445" t="str">
            <v xml:space="preserve">9.30% FULLERTON INDIA (15MAR2021)               </v>
          </cell>
          <cell r="F445">
            <v>44270</v>
          </cell>
          <cell r="G445" t="str">
            <v>9.30</v>
          </cell>
          <cell r="H445" t="str">
            <v>15-Mar-2021</v>
          </cell>
          <cell r="I445" t="str">
            <v>9.30% FULLERTON INDIA CREDIT CO LTD (15-Mar-2021)</v>
          </cell>
          <cell r="J445" t="str">
            <v>9.30% Fullerton India Credit Co Ltd (15-Mar-2021)</v>
          </cell>
          <cell r="K445" t="str">
            <v>9.30% Fullerton India Credit Co Ltd (15-Mar-2021) **</v>
          </cell>
        </row>
        <row r="446">
          <cell r="B446" t="e">
            <v>#N/A</v>
          </cell>
          <cell r="C446" t="e">
            <v>#N/A</v>
          </cell>
          <cell r="D446" t="e">
            <v>#N/A</v>
          </cell>
          <cell r="E446" t="e">
            <v>#N/A</v>
          </cell>
          <cell r="F446">
            <v>43661</v>
          </cell>
          <cell r="G446">
            <v>8.3800000000000008</v>
          </cell>
          <cell r="H446" t="str">
            <v>15-Jul-2019</v>
          </cell>
          <cell r="I446" t="e">
            <v>#N/A</v>
          </cell>
          <cell r="J446" t="e">
            <v>#N/A</v>
          </cell>
          <cell r="K446" t="e">
            <v>#N/A</v>
          </cell>
        </row>
        <row r="447">
          <cell r="B447" t="str">
            <v>INE694L07107</v>
          </cell>
          <cell r="C447" t="str">
            <v>CRPN</v>
          </cell>
          <cell r="D447" t="str">
            <v xml:space="preserve">TALWANDI SABO POWER LTD                         </v>
          </cell>
          <cell r="E447" t="str">
            <v xml:space="preserve">7.85% TALWANDI SABO (04AUG2020)                 </v>
          </cell>
          <cell r="F447">
            <v>44047</v>
          </cell>
          <cell r="G447">
            <v>7.85</v>
          </cell>
          <cell r="H447" t="str">
            <v>04-Aug-2020</v>
          </cell>
          <cell r="I447" t="str">
            <v>7.85% TALWANDI SABO POWER LTD (04-Aug-2020)</v>
          </cell>
          <cell r="J447" t="str">
            <v>7.85% Talwandi Sabo Power Ltd (04-Aug-2020)</v>
          </cell>
          <cell r="K447" t="str">
            <v>7.85% Talwandi Sabo Power Ltd (04-Aug-2020) **</v>
          </cell>
        </row>
        <row r="448">
          <cell r="B448" t="e">
            <v>#N/A</v>
          </cell>
          <cell r="C448" t="e">
            <v>#N/A</v>
          </cell>
          <cell r="D448" t="e">
            <v>#N/A</v>
          </cell>
          <cell r="E448" t="e">
            <v>#N/A</v>
          </cell>
          <cell r="F448">
            <v>43678</v>
          </cell>
          <cell r="G448" t="str">
            <v>8.00</v>
          </cell>
          <cell r="H448" t="str">
            <v>01-Aug-2019</v>
          </cell>
          <cell r="I448" t="e">
            <v>#N/A</v>
          </cell>
          <cell r="J448" t="e">
            <v>#N/A</v>
          </cell>
          <cell r="K448" t="e">
            <v>#N/A</v>
          </cell>
        </row>
        <row r="449">
          <cell r="B449" t="e">
            <v>#N/A</v>
          </cell>
          <cell r="C449" t="e">
            <v>#N/A</v>
          </cell>
          <cell r="D449" t="e">
            <v>#N/A</v>
          </cell>
          <cell r="E449" t="e">
            <v>#N/A</v>
          </cell>
          <cell r="F449">
            <v>47183</v>
          </cell>
          <cell r="H449" t="str">
            <v>06-Mar-2029</v>
          </cell>
          <cell r="I449" t="e">
            <v>#N/A</v>
          </cell>
          <cell r="J449" t="e">
            <v>#N/A</v>
          </cell>
          <cell r="K449" t="e">
            <v>#N/A</v>
          </cell>
        </row>
        <row r="450">
          <cell r="B450" t="str">
            <v>INE020B08BP9</v>
          </cell>
          <cell r="C450" t="str">
            <v>CRPN</v>
          </cell>
          <cell r="D450" t="str">
            <v xml:space="preserve">REC LTD                                         </v>
          </cell>
          <cell r="E450" t="str">
            <v xml:space="preserve">8.97% REC SD (28MAR2029)                        </v>
          </cell>
          <cell r="F450">
            <v>47205</v>
          </cell>
          <cell r="G450">
            <v>8.9700000000000006</v>
          </cell>
          <cell r="H450" t="str">
            <v>28-Mar-2029</v>
          </cell>
          <cell r="I450" t="str">
            <v>8.97% REC LTD (28-Mar-2029)</v>
          </cell>
          <cell r="J450" t="str">
            <v>8.97% Rec Ltd (28-Mar-2029)</v>
          </cell>
          <cell r="K450" t="str">
            <v>8.97% Rec Ltd (28-Mar-2029) **</v>
          </cell>
        </row>
        <row r="451">
          <cell r="B451" t="e">
            <v>#N/A</v>
          </cell>
          <cell r="C451" t="e">
            <v>#N/A</v>
          </cell>
          <cell r="D451" t="e">
            <v>#N/A</v>
          </cell>
          <cell r="E451" t="e">
            <v>#N/A</v>
          </cell>
          <cell r="F451">
            <v>47190</v>
          </cell>
          <cell r="H451" t="str">
            <v>13-Mar-2029</v>
          </cell>
          <cell r="I451" t="e">
            <v>#N/A</v>
          </cell>
          <cell r="J451" t="e">
            <v>#N/A</v>
          </cell>
          <cell r="K451" t="str">
            <v>8.32% Karnatake SDL 2029 Mar (13-Mar-2029)</v>
          </cell>
        </row>
        <row r="452">
          <cell r="B452" t="str">
            <v>INE296A07QQ5</v>
          </cell>
          <cell r="C452" t="str">
            <v>ZERO</v>
          </cell>
          <cell r="D452" t="str">
            <v xml:space="preserve">BAJAJ FINANCE LTD                               </v>
          </cell>
          <cell r="E452" t="str">
            <v xml:space="preserve">0% BAJAJ FINANCE (05APR2022)                    </v>
          </cell>
          <cell r="F452">
            <v>44656</v>
          </cell>
          <cell r="G452" t="str">
            <v>0.00</v>
          </cell>
          <cell r="H452" t="str">
            <v>05-Apr-2022</v>
          </cell>
          <cell r="I452" t="str">
            <v>0.00% BAJAJ FINANCE LTD (05-Apr-2022)</v>
          </cell>
          <cell r="J452" t="str">
            <v>0.00% Bajaj Finance Ltd (05-Apr-2022)</v>
          </cell>
          <cell r="K452" t="str">
            <v>0.00% Bajaj Finance Ltd (05-Apr-2022) **</v>
          </cell>
        </row>
        <row r="453">
          <cell r="B453" t="e">
            <v>#N/A</v>
          </cell>
          <cell r="C453" t="e">
            <v>#N/A</v>
          </cell>
          <cell r="D453" t="e">
            <v>#N/A</v>
          </cell>
          <cell r="E453" t="e">
            <v>#N/A</v>
          </cell>
          <cell r="F453">
            <v>45362</v>
          </cell>
          <cell r="G453">
            <v>8.02</v>
          </cell>
          <cell r="H453" t="str">
            <v>11-Mar-2024</v>
          </cell>
          <cell r="I453" t="e">
            <v>#N/A</v>
          </cell>
          <cell r="J453" t="e">
            <v>#N/A</v>
          </cell>
          <cell r="K453" t="e">
            <v>#N/A</v>
          </cell>
        </row>
        <row r="454">
          <cell r="B454" t="e">
            <v>#N/A</v>
          </cell>
          <cell r="C454" t="e">
            <v>#N/A</v>
          </cell>
          <cell r="D454" t="e">
            <v>#N/A</v>
          </cell>
          <cell r="E454" t="e">
            <v>#N/A</v>
          </cell>
          <cell r="F454">
            <v>47190</v>
          </cell>
          <cell r="G454">
            <v>8.35</v>
          </cell>
          <cell r="H454" t="str">
            <v>13-Mar-2029</v>
          </cell>
          <cell r="I454" t="e">
            <v>#N/A</v>
          </cell>
          <cell r="J454" t="e">
            <v>#N/A</v>
          </cell>
          <cell r="K454" t="e">
            <v>#N/A</v>
          </cell>
        </row>
        <row r="455">
          <cell r="B455" t="str">
            <v>INE163N08073</v>
          </cell>
          <cell r="C455" t="str">
            <v>CRPN</v>
          </cell>
          <cell r="D455" t="str">
            <v xml:space="preserve">ONGC PETRO ADDITIONS LTD                        </v>
          </cell>
          <cell r="E455" t="str">
            <v xml:space="preserve">8.85% ONGC PETRO (19APR2022)                    </v>
          </cell>
          <cell r="F455">
            <v>44670</v>
          </cell>
          <cell r="G455">
            <v>8.85</v>
          </cell>
          <cell r="H455" t="str">
            <v>19-Apr-2022</v>
          </cell>
          <cell r="I455" t="str">
            <v>8.85% ONGC PETRO ADDITIONS LTD (19-Apr-2022)</v>
          </cell>
          <cell r="J455" t="str">
            <v>8.85% Ongc Petro Additions Ltd (19-Apr-2022)</v>
          </cell>
          <cell r="K455" t="str">
            <v>8.85% Ongc Petro Additions Ltd (19-Apr-2022) **</v>
          </cell>
        </row>
        <row r="456">
          <cell r="B456" t="str">
            <v>INE134E08JW1</v>
          </cell>
          <cell r="C456" t="str">
            <v>CRPN</v>
          </cell>
          <cell r="D456" t="str">
            <v xml:space="preserve">POWER FINANCE CORP LTD                          </v>
          </cell>
          <cell r="E456" t="str">
            <v xml:space="preserve">8.18% PFC (19MAR2022)                           </v>
          </cell>
          <cell r="F456">
            <v>44639</v>
          </cell>
          <cell r="G456">
            <v>8.18</v>
          </cell>
          <cell r="H456" t="str">
            <v>19-Mar-2022</v>
          </cell>
          <cell r="I456" t="str">
            <v>8.18% POWER FINANCE CORP LTD (19-Mar-2022)</v>
          </cell>
          <cell r="J456" t="str">
            <v>8.18% Power Finance Corp Ltd (19-Mar-2022)</v>
          </cell>
          <cell r="K456" t="str">
            <v>8.18% Power Finance Corp Ltd (19-Mar-2022)</v>
          </cell>
        </row>
        <row r="457">
          <cell r="B457" t="str">
            <v>INE134E08JX9</v>
          </cell>
          <cell r="C457" t="str">
            <v>CRPN</v>
          </cell>
          <cell r="D457" t="str">
            <v xml:space="preserve">POWER FINANCE CORP LTD                          </v>
          </cell>
          <cell r="E457" t="str">
            <v xml:space="preserve">9.10% PFC SD (23MAR2029)                        </v>
          </cell>
          <cell r="F457">
            <v>47200</v>
          </cell>
          <cell r="G457" t="str">
            <v>9.10</v>
          </cell>
          <cell r="H457" t="str">
            <v>23-Mar-2029</v>
          </cell>
          <cell r="I457" t="str">
            <v>9.10% POWER FINANCE CORP LTD (23-Mar-2029)</v>
          </cell>
          <cell r="J457" t="str">
            <v>9.10% Power Finance Corp Ltd (23-Mar-2029)</v>
          </cell>
          <cell r="K457" t="str">
            <v>9.10% Power Finance Corp Ltd (23-Mar-2029) **</v>
          </cell>
        </row>
        <row r="458">
          <cell r="B458" t="e">
            <v>#N/A</v>
          </cell>
          <cell r="C458" t="e">
            <v>#N/A</v>
          </cell>
          <cell r="D458" t="e">
            <v>#N/A</v>
          </cell>
          <cell r="E458" t="e">
            <v>#N/A</v>
          </cell>
          <cell r="F458">
            <v>43637</v>
          </cell>
          <cell r="G458">
            <v>7.85</v>
          </cell>
          <cell r="H458" t="str">
            <v>21-Jun-2019</v>
          </cell>
          <cell r="I458" t="e">
            <v>#N/A</v>
          </cell>
          <cell r="J458" t="e">
            <v>#N/A</v>
          </cell>
          <cell r="K458" t="e">
            <v>#N/A</v>
          </cell>
        </row>
        <row r="459">
          <cell r="B459" t="e">
            <v>#N/A</v>
          </cell>
          <cell r="C459" t="e">
            <v>#N/A</v>
          </cell>
          <cell r="D459" t="e">
            <v>#N/A</v>
          </cell>
          <cell r="E459" t="e">
            <v>#N/A</v>
          </cell>
          <cell r="F459">
            <v>43616</v>
          </cell>
          <cell r="G459">
            <v>7.85</v>
          </cell>
          <cell r="H459" t="str">
            <v>31-May-2019</v>
          </cell>
          <cell r="I459" t="e">
            <v>#N/A</v>
          </cell>
          <cell r="J459" t="e">
            <v>#N/A</v>
          </cell>
          <cell r="K459" t="e">
            <v>#N/A</v>
          </cell>
        </row>
        <row r="460">
          <cell r="B460" t="e">
            <v>#N/A</v>
          </cell>
          <cell r="C460" t="e">
            <v>#N/A</v>
          </cell>
          <cell r="D460" t="e">
            <v>#N/A</v>
          </cell>
          <cell r="E460" t="e">
            <v>#N/A</v>
          </cell>
          <cell r="F460">
            <v>47106</v>
          </cell>
          <cell r="H460" t="str">
            <v>19-Dec-2028</v>
          </cell>
          <cell r="I460" t="e">
            <v>#N/A</v>
          </cell>
          <cell r="J460" t="e">
            <v>#N/A</v>
          </cell>
          <cell r="K460" t="e">
            <v>#N/A</v>
          </cell>
        </row>
        <row r="461">
          <cell r="B461" t="e">
            <v>#N/A</v>
          </cell>
          <cell r="C461" t="e">
            <v>#N/A</v>
          </cell>
          <cell r="D461" t="e">
            <v>#N/A</v>
          </cell>
          <cell r="E461" t="e">
            <v>#N/A</v>
          </cell>
          <cell r="F461">
            <v>47155</v>
          </cell>
          <cell r="H461" t="str">
            <v>06-Feb-2029</v>
          </cell>
          <cell r="I461" t="e">
            <v>#N/A</v>
          </cell>
          <cell r="J461" t="e">
            <v>#N/A</v>
          </cell>
          <cell r="K461" t="str">
            <v>8.32% Karnataka SDL 2029 (06-Feb-2029)</v>
          </cell>
        </row>
        <row r="462">
          <cell r="B462" t="str">
            <v>INE03VJ07017</v>
          </cell>
          <cell r="C462" t="str">
            <v>CRPN</v>
          </cell>
          <cell r="D462" t="str">
            <v xml:space="preserve">AADARSHINI REAL ESTATE DEVELOPERS PVT LTD       </v>
          </cell>
          <cell r="E462" t="str">
            <v xml:space="preserve">11.25% AREDPL TRANCHE 2 (29JUL2020)             </v>
          </cell>
          <cell r="F462">
            <v>44041</v>
          </cell>
          <cell r="G462">
            <v>11.25</v>
          </cell>
          <cell r="H462" t="str">
            <v>29-Jul-2020</v>
          </cell>
          <cell r="I462" t="str">
            <v>11.25% AADARSHINI REAL ESTATE DEVELOPERS PVT LTD (29-Jul-2020)</v>
          </cell>
          <cell r="J462" t="str">
            <v>11.25% Aadarshini Real Estate Developers Pvt Ltd (29-Jul-2020)</v>
          </cell>
          <cell r="K462" t="str">
            <v>11.25% Aadarshini Real Estate Developers Pvt Ltd (29-Jul-2020) **</v>
          </cell>
        </row>
        <row r="463">
          <cell r="B463" t="str">
            <v>INE514E08FK7</v>
          </cell>
          <cell r="C463" t="str">
            <v>CRPN</v>
          </cell>
          <cell r="D463" t="str">
            <v xml:space="preserve">EXPORT-IMPORT BANK OF INDIA                     </v>
          </cell>
          <cell r="E463" t="str">
            <v xml:space="preserve">7.09% EXIM (02MAR2020)                          </v>
          </cell>
          <cell r="F463">
            <v>43892</v>
          </cell>
          <cell r="G463">
            <v>7.09</v>
          </cell>
          <cell r="H463" t="str">
            <v>02-Mar-2020</v>
          </cell>
          <cell r="I463" t="str">
            <v>7.09% EXPORT-IMPORT BANK OF INDIA (02-Mar-2020)</v>
          </cell>
          <cell r="J463" t="str">
            <v>7.09% Export-Import Bank Of India (02-Mar-2020)</v>
          </cell>
          <cell r="K463" t="str">
            <v>7.09% Export-Import Bank Of India (02-Mar-2020) **</v>
          </cell>
        </row>
        <row r="464">
          <cell r="B464" t="str">
            <v>INE128S07358</v>
          </cell>
          <cell r="C464" t="str">
            <v>CRPN</v>
          </cell>
          <cell r="D464" t="str">
            <v xml:space="preserve">FIVE-STAR BUSINESS FINANCE LTD                  </v>
          </cell>
          <cell r="E464" t="str">
            <v>12.64% FIVE STAR TRANCHE 1 (29MAR2022 P/C 29APR2</v>
          </cell>
          <cell r="F464">
            <v>44649</v>
          </cell>
          <cell r="G464">
            <v>12.64</v>
          </cell>
          <cell r="H464" t="str">
            <v>29-Mar-2022</v>
          </cell>
          <cell r="I464" t="str">
            <v>12.64% FIVE-STAR BUSINESS FINANCE LTD (29-Mar-2022)</v>
          </cell>
          <cell r="J464" t="str">
            <v>12.64% Five-Star Business Finance Ltd (29-Mar-2022)</v>
          </cell>
          <cell r="K464" t="str">
            <v>12.64% Five-Star Business Finance Ltd (29-Mar-2022) **</v>
          </cell>
        </row>
        <row r="465">
          <cell r="B465" t="str">
            <v>INE146O08159</v>
          </cell>
          <cell r="C465" t="str">
            <v>CRPN</v>
          </cell>
          <cell r="D465" t="str">
            <v xml:space="preserve">HINDUJA LEYLAND FINANCE LTD                     </v>
          </cell>
          <cell r="E465" t="str">
            <v xml:space="preserve">11.60% HINDUJA LEYLAND FIN SD (29SEP2024)       </v>
          </cell>
          <cell r="F465">
            <v>45564</v>
          </cell>
          <cell r="G465" t="str">
            <v>11.60</v>
          </cell>
          <cell r="H465" t="str">
            <v>29-Sep-2024</v>
          </cell>
          <cell r="I465" t="str">
            <v>11.60% HINDUJA LEYLAND FINANCE LTD (29-Sep-2024)</v>
          </cell>
          <cell r="J465" t="str">
            <v>11.60% Hinduja Leyland Finance Ltd (29-Sep-2024)</v>
          </cell>
          <cell r="K465" t="str">
            <v>11.60% Hinduja Leyland Finance Ltd (29-Sep-2024) **</v>
          </cell>
        </row>
        <row r="466">
          <cell r="B466" t="str">
            <v>INE265J07316</v>
          </cell>
          <cell r="C466" t="str">
            <v>CRPN</v>
          </cell>
          <cell r="D466" t="str">
            <v xml:space="preserve">JM FINANCIAL ASSET RECONSTRUCTION CO LTD        </v>
          </cell>
          <cell r="E466" t="str">
            <v xml:space="preserve">11.50% JMARC (29MAY2022)                        </v>
          </cell>
          <cell r="F466">
            <v>44710</v>
          </cell>
          <cell r="G466" t="str">
            <v>11.50</v>
          </cell>
          <cell r="H466" t="str">
            <v>29-May-2022</v>
          </cell>
          <cell r="I466" t="str">
            <v>11.50% JM FINANCIAL ASSET RECONSTRUCTION CO LTD (29-May-2022)</v>
          </cell>
          <cell r="J466" t="str">
            <v>11.50% Jm Financial Asset Reconstruction Co Ltd (29-May-2022)</v>
          </cell>
          <cell r="K466" t="str">
            <v>11.50% Jm Financial Asset Reconstruction Co Ltd (29-May-2022) **</v>
          </cell>
        </row>
        <row r="467">
          <cell r="B467" t="str">
            <v>INE134E08JZ4</v>
          </cell>
          <cell r="C467" t="str">
            <v>CRPN</v>
          </cell>
          <cell r="D467" t="str">
            <v xml:space="preserve">POWER FINANCE CORP LTD                          </v>
          </cell>
          <cell r="E467" t="str">
            <v xml:space="preserve">8.98% PFC SD (28MAR2029)                        </v>
          </cell>
          <cell r="F467">
            <v>47205</v>
          </cell>
          <cell r="G467">
            <v>8.98</v>
          </cell>
          <cell r="H467" t="str">
            <v>28-Mar-2029</v>
          </cell>
          <cell r="I467" t="str">
            <v>8.98% POWER FINANCE CORP LTD (28-Mar-2029)</v>
          </cell>
          <cell r="J467" t="str">
            <v>8.98% Power Finance Corp Ltd (28-Mar-2029)</v>
          </cell>
          <cell r="K467" t="str">
            <v>8.98% Power Finance Corp Ltd (28-Mar-2029) **</v>
          </cell>
        </row>
        <row r="468">
          <cell r="B468" t="str">
            <v>INE694L07123</v>
          </cell>
          <cell r="C468" t="str">
            <v>CRPN</v>
          </cell>
          <cell r="D468" t="str">
            <v xml:space="preserve">TALWANDI SABO POWER LTD                         </v>
          </cell>
          <cell r="E468" t="str">
            <v xml:space="preserve">9.23% TALWANDI SABO (30JUL2021)                 </v>
          </cell>
          <cell r="F468">
            <v>44407</v>
          </cell>
          <cell r="G468">
            <v>9.23</v>
          </cell>
          <cell r="H468" t="str">
            <v>30-Jul-2021</v>
          </cell>
          <cell r="I468" t="str">
            <v>9.23% TALWANDI SABO POWER LTD (30-Jul-2021)</v>
          </cell>
          <cell r="J468" t="str">
            <v>9.23% Talwandi Sabo Power Ltd (30-Jul-2021)</v>
          </cell>
          <cell r="K468" t="str">
            <v>9.23% Talwandi Sabo Power Ltd (30-Jul-2021) **</v>
          </cell>
        </row>
        <row r="469">
          <cell r="B469" t="str">
            <v>INE245A08034</v>
          </cell>
          <cell r="C469" t="str">
            <v>PERP</v>
          </cell>
          <cell r="D469" t="str">
            <v xml:space="preserve">TATA POWER CO LTD                               </v>
          </cell>
          <cell r="E469" t="str">
            <v>11.40% TATA POWER LTD PERPETUAL NCD (CALL 02JUN2</v>
          </cell>
          <cell r="F469">
            <v>44349</v>
          </cell>
          <cell r="G469" t="str">
            <v>11.40</v>
          </cell>
          <cell r="H469" t="str">
            <v>02-Jun-2021</v>
          </cell>
          <cell r="I469" t="str">
            <v>11.40% TATA POWER CO LTD (02-Jun-2021)</v>
          </cell>
          <cell r="J469" t="str">
            <v>11.40% Tata Power Co Ltd (02-Jun-2021)</v>
          </cell>
          <cell r="K469" t="str">
            <v>11.40% Tata Power Co Ltd (02-Jun-2021) **</v>
          </cell>
        </row>
        <row r="470">
          <cell r="B470" t="str">
            <v>INE01HV07015</v>
          </cell>
          <cell r="C470" t="str">
            <v>CFLT</v>
          </cell>
          <cell r="D470" t="str">
            <v xml:space="preserve">VIVRITI CAPITAL PVT LTD                         </v>
          </cell>
          <cell r="E470" t="str">
            <v xml:space="preserve">11% VIVRITI (19MAR2021 P/C 17APR2020 18SEP2020) </v>
          </cell>
          <cell r="F470">
            <v>44274</v>
          </cell>
          <cell r="G470" t="str">
            <v>11.00</v>
          </cell>
          <cell r="H470" t="str">
            <v>19-Mar-2021</v>
          </cell>
          <cell r="I470" t="str">
            <v>11.00% VIVRITI CAPITAL PVT LTD (19-Mar-2021)</v>
          </cell>
          <cell r="J470" t="str">
            <v>11.00% Vivriti Capital Pvt Ltd (19-Mar-2021)</v>
          </cell>
          <cell r="K470" t="str">
            <v>11.00% Vivriti Capital Pvt Ltd (19-Mar-2021) **</v>
          </cell>
        </row>
        <row r="471">
          <cell r="B471" t="e">
            <v>#N/A</v>
          </cell>
          <cell r="C471" t="e">
            <v>#N/A</v>
          </cell>
          <cell r="D471" t="e">
            <v>#N/A</v>
          </cell>
          <cell r="E471" t="e">
            <v>#N/A</v>
          </cell>
          <cell r="F471">
            <v>43656</v>
          </cell>
          <cell r="G471">
            <v>8.15</v>
          </cell>
          <cell r="H471" t="str">
            <v>10-Jul-2019</v>
          </cell>
          <cell r="I471" t="e">
            <v>#N/A</v>
          </cell>
          <cell r="J471" t="e">
            <v>#N/A</v>
          </cell>
          <cell r="K471" t="e">
            <v>#N/A</v>
          </cell>
        </row>
        <row r="472">
          <cell r="B472" t="str">
            <v>INE001A07RA1</v>
          </cell>
          <cell r="C472" t="str">
            <v>CRPN</v>
          </cell>
          <cell r="D472" t="str">
            <v xml:space="preserve">HOUSING DEVELOPMENT FINANCE CORP LTD            </v>
          </cell>
          <cell r="E472" t="str">
            <v xml:space="preserve">7.00% HDFC (6SEP2019)                           </v>
          </cell>
          <cell r="F472">
            <v>43714</v>
          </cell>
          <cell r="G472" t="str">
            <v>7.00</v>
          </cell>
          <cell r="H472" t="str">
            <v>06-Sep-2019</v>
          </cell>
          <cell r="I472" t="str">
            <v>7.00% HOUSING DEVELOPMENT FINANCE CORP LTD (06-Sep-2019)</v>
          </cell>
          <cell r="J472" t="str">
            <v>7.00% Housing Development Finance Corp Ltd (06-Sep-2019)</v>
          </cell>
          <cell r="K472" t="str">
            <v>7.00% Housing Development Finance Corp Ltd (06-Sep-2019) **</v>
          </cell>
        </row>
        <row r="473">
          <cell r="B473" t="e">
            <v>#N/A</v>
          </cell>
          <cell r="C473" t="e">
            <v>#N/A</v>
          </cell>
          <cell r="D473" t="e">
            <v>#N/A</v>
          </cell>
          <cell r="E473" t="e">
            <v>#N/A</v>
          </cell>
          <cell r="F473">
            <v>43703</v>
          </cell>
          <cell r="G473" t="str">
            <v>9.40</v>
          </cell>
          <cell r="H473" t="str">
            <v>26-Aug-2019</v>
          </cell>
          <cell r="I473" t="e">
            <v>#N/A</v>
          </cell>
          <cell r="J473" t="e">
            <v>#N/A</v>
          </cell>
          <cell r="K473" t="e">
            <v>#N/A</v>
          </cell>
        </row>
        <row r="474">
          <cell r="B474" t="e">
            <v>#N/A</v>
          </cell>
          <cell r="C474" t="e">
            <v>#N/A</v>
          </cell>
          <cell r="D474" t="e">
            <v>#N/A</v>
          </cell>
          <cell r="E474" t="e">
            <v>#N/A</v>
          </cell>
          <cell r="F474">
            <v>43698</v>
          </cell>
          <cell r="G474">
            <v>9.4499999999999993</v>
          </cell>
          <cell r="H474" t="str">
            <v>21-Aug-2019</v>
          </cell>
          <cell r="I474" t="e">
            <v>#N/A</v>
          </cell>
          <cell r="J474" t="e">
            <v>#N/A</v>
          </cell>
          <cell r="K474" t="e">
            <v>#N/A</v>
          </cell>
        </row>
        <row r="475">
          <cell r="B475" t="e">
            <v>#N/A</v>
          </cell>
          <cell r="C475" t="e">
            <v>#N/A</v>
          </cell>
          <cell r="D475" t="e">
            <v>#N/A</v>
          </cell>
          <cell r="E475" t="e">
            <v>#N/A</v>
          </cell>
          <cell r="F475">
            <v>43648</v>
          </cell>
          <cell r="G475">
            <v>8.75</v>
          </cell>
          <cell r="H475" t="str">
            <v>02-Jul-2019</v>
          </cell>
          <cell r="I475" t="e">
            <v>#N/A</v>
          </cell>
          <cell r="J475" t="e">
            <v>#N/A</v>
          </cell>
          <cell r="K475" t="e">
            <v>#N/A</v>
          </cell>
        </row>
        <row r="476">
          <cell r="B476" t="str">
            <v>INE572E09601</v>
          </cell>
          <cell r="C476" t="str">
            <v>CRPN</v>
          </cell>
          <cell r="D476" t="str">
            <v xml:space="preserve">PNB HOUSING FINANCE LTD                         </v>
          </cell>
          <cell r="E476" t="str">
            <v xml:space="preserve">8.75% PNB HOUSING (30AUG2021 P/C 29FEB2020)     </v>
          </cell>
          <cell r="F476">
            <v>44438</v>
          </cell>
          <cell r="G476">
            <v>8.75</v>
          </cell>
          <cell r="H476" t="str">
            <v>30-Aug-2021</v>
          </cell>
          <cell r="I476" t="str">
            <v>8.75% PNB HOUSING FINANCE LTD (30-Aug-2021)</v>
          </cell>
          <cell r="J476" t="str">
            <v>8.75% Pnb Housing Finance Ltd (30-Aug-2021)</v>
          </cell>
          <cell r="K476" t="str">
            <v>8.75% Pnb Housing Finance Ltd (30-Aug-2021) **</v>
          </cell>
        </row>
        <row r="477">
          <cell r="B477" t="str">
            <v>INE572E09395</v>
          </cell>
          <cell r="C477" t="str">
            <v>CRPN</v>
          </cell>
          <cell r="D477" t="str">
            <v xml:space="preserve">PNB HOUSING FINANCE LTD                         </v>
          </cell>
          <cell r="E477" t="str">
            <v xml:space="preserve">7.95% PNB HOUSING (18OCT2019)                   </v>
          </cell>
          <cell r="F477">
            <v>43756</v>
          </cell>
          <cell r="G477">
            <v>7.95</v>
          </cell>
          <cell r="H477" t="str">
            <v>18-Oct-2019</v>
          </cell>
          <cell r="I477" t="str">
            <v>7.95% PNB HOUSING FINANCE LTD (18-Oct-2019)</v>
          </cell>
          <cell r="J477" t="str">
            <v>7.95% Pnb Housing Finance Ltd (18-Oct-2019)</v>
          </cell>
          <cell r="K477" t="str">
            <v>7.95% Pnb Housing Finance Ltd (18-Oct-2019) **</v>
          </cell>
        </row>
        <row r="478">
          <cell r="B478" t="str">
            <v>INE572E09536</v>
          </cell>
          <cell r="C478" t="str">
            <v>CRPN</v>
          </cell>
          <cell r="D478" t="str">
            <v xml:space="preserve">PNB HOUSING FINANCE LTD                         </v>
          </cell>
          <cell r="E478" t="str">
            <v xml:space="preserve">7.44% PNB HOUSING (31OCT2019)                   </v>
          </cell>
          <cell r="F478">
            <v>43769</v>
          </cell>
          <cell r="G478">
            <v>7.44</v>
          </cell>
          <cell r="H478" t="str">
            <v>31-Oct-2019</v>
          </cell>
          <cell r="I478" t="str">
            <v>7.44% PNB HOUSING FINANCE LTD (31-Oct-2019)</v>
          </cell>
          <cell r="J478" t="str">
            <v>7.44% Pnb Housing Finance Ltd (31-Oct-2019)</v>
          </cell>
          <cell r="K478" t="str">
            <v>7.44% Pnb Housing Finance Ltd (31-Oct-2019) **</v>
          </cell>
        </row>
        <row r="479">
          <cell r="B479" t="str">
            <v>INE582L07138</v>
          </cell>
          <cell r="C479" t="str">
            <v>CRPN</v>
          </cell>
          <cell r="D479" t="str">
            <v xml:space="preserve">TATA HOUSING DEVELOPMENT CO LTD                 </v>
          </cell>
          <cell r="E479" t="str">
            <v xml:space="preserve">8.19% TATA HOUSING DEV (23APR2020)              </v>
          </cell>
          <cell r="F479">
            <v>43944</v>
          </cell>
          <cell r="G479">
            <v>8.19</v>
          </cell>
          <cell r="H479" t="str">
            <v>23-Apr-2020</v>
          </cell>
          <cell r="I479" t="str">
            <v>8.19% TATA HOUSING DEVELOPMENT CO LTD (23-Apr-2020)</v>
          </cell>
          <cell r="J479" t="str">
            <v>8.19% Tata Housing Development Co Ltd (23-Apr-2020)</v>
          </cell>
          <cell r="K479" t="str">
            <v>8.19% Tata Housing Development Co Ltd (23-Apr-2020) **</v>
          </cell>
        </row>
        <row r="480">
          <cell r="B480" t="e">
            <v>#N/A</v>
          </cell>
          <cell r="C480" t="e">
            <v>#N/A</v>
          </cell>
          <cell r="D480" t="e">
            <v>#N/A</v>
          </cell>
          <cell r="E480" t="e">
            <v>#N/A</v>
          </cell>
          <cell r="F480">
            <v>44362</v>
          </cell>
          <cell r="G480" t="str">
            <v>8.50</v>
          </cell>
          <cell r="H480" t="str">
            <v>15-Jun-2021</v>
          </cell>
          <cell r="I480" t="e">
            <v>#N/A</v>
          </cell>
          <cell r="J480" t="e">
            <v>#N/A</v>
          </cell>
          <cell r="K480" t="e">
            <v>#N/A</v>
          </cell>
        </row>
        <row r="481">
          <cell r="B481" t="str">
            <v>INE205A07105</v>
          </cell>
          <cell r="C481" t="str">
            <v>CRPN</v>
          </cell>
          <cell r="D481" t="str">
            <v xml:space="preserve">VEDANTA LTD                                     </v>
          </cell>
          <cell r="E481" t="str">
            <v xml:space="preserve">7.50% VEDANTA (29NOV2019)                       </v>
          </cell>
          <cell r="F481">
            <v>43798</v>
          </cell>
          <cell r="G481" t="str">
            <v>7.50</v>
          </cell>
          <cell r="H481" t="str">
            <v>29-Nov-2019</v>
          </cell>
          <cell r="I481" t="str">
            <v>7.50% VEDANTA LTD (29-Nov-2019)</v>
          </cell>
          <cell r="J481" t="str">
            <v>7.50% Vedanta Ltd (29-Nov-2019)</v>
          </cell>
          <cell r="K481" t="str">
            <v>7.50% Vedanta Ltd (29-Nov-2019) **</v>
          </cell>
        </row>
        <row r="482">
          <cell r="B482" t="e">
            <v>#N/A</v>
          </cell>
          <cell r="C482" t="e">
            <v>#N/A</v>
          </cell>
          <cell r="D482" t="e">
            <v>#N/A</v>
          </cell>
          <cell r="E482" t="e">
            <v>#N/A</v>
          </cell>
          <cell r="F482">
            <v>43735</v>
          </cell>
          <cell r="G482">
            <v>8.65</v>
          </cell>
          <cell r="H482" t="str">
            <v>27-Sep-2019</v>
          </cell>
          <cell r="I482" t="e">
            <v>#N/A</v>
          </cell>
          <cell r="J482" t="e">
            <v>#N/A</v>
          </cell>
          <cell r="K482" t="e">
            <v>#N/A</v>
          </cell>
        </row>
        <row r="483">
          <cell r="B483" t="e">
            <v>#N/A</v>
          </cell>
          <cell r="C483" t="e">
            <v>#N/A</v>
          </cell>
          <cell r="D483" t="e">
            <v>#N/A</v>
          </cell>
          <cell r="E483" t="e">
            <v>#N/A</v>
          </cell>
          <cell r="F483">
            <v>43766</v>
          </cell>
          <cell r="G483">
            <v>8.25</v>
          </cell>
          <cell r="H483" t="str">
            <v>28-Oct-2019</v>
          </cell>
          <cell r="I483" t="e">
            <v>#N/A</v>
          </cell>
          <cell r="J483" t="e">
            <v>#N/A</v>
          </cell>
          <cell r="K483" t="e">
            <v>#N/A</v>
          </cell>
        </row>
        <row r="484">
          <cell r="B484" t="str">
            <v>INE905O07028</v>
          </cell>
          <cell r="C484" t="str">
            <v>CRPN</v>
          </cell>
          <cell r="D484" t="str">
            <v xml:space="preserve">VIZAG GENERAL CARGO BERTH PVT LTD               </v>
          </cell>
          <cell r="E484" t="str">
            <v xml:space="preserve">8.25% VIZAG GENERAL CARGO (30SEP2020)           </v>
          </cell>
          <cell r="F484">
            <v>44104</v>
          </cell>
          <cell r="G484">
            <v>8.25</v>
          </cell>
          <cell r="H484" t="str">
            <v>30-Sep-2020</v>
          </cell>
          <cell r="I484" t="str">
            <v>8.25% VIZAG GENERAL CARGO BERTH PVT LTD (30-Sep-2020)</v>
          </cell>
          <cell r="J484" t="str">
            <v>8.25% Vizag General Cargo Berth Pvt Ltd (30-Sep-2020)</v>
          </cell>
          <cell r="K484" t="str">
            <v>8.25% Vizag General Cargo Berth Pvt Ltd (30-Sep-2020) **</v>
          </cell>
        </row>
        <row r="485">
          <cell r="B485" t="str">
            <v>INE020B08BM6</v>
          </cell>
          <cell r="C485" t="str">
            <v>CRPN</v>
          </cell>
          <cell r="D485" t="str">
            <v xml:space="preserve">REC LTD                                         </v>
          </cell>
          <cell r="E485" t="str">
            <v xml:space="preserve">8.35% REC (13MAR2022)                           </v>
          </cell>
          <cell r="F485">
            <v>44633</v>
          </cell>
          <cell r="G485">
            <v>8.35</v>
          </cell>
          <cell r="H485" t="str">
            <v>13-Mar-2022</v>
          </cell>
          <cell r="I485" t="str">
            <v>8.35% REC LTD (13-Mar-2022)</v>
          </cell>
          <cell r="J485" t="str">
            <v>8.35% Rec Ltd (13-Mar-2022)</v>
          </cell>
          <cell r="K485" t="str">
            <v>8.35% Rec Ltd (13-Mar-2022) **</v>
          </cell>
        </row>
        <row r="486">
          <cell r="B486" t="str">
            <v>INE377Y07052</v>
          </cell>
          <cell r="C486" t="str">
            <v>ZERO</v>
          </cell>
          <cell r="D486" t="str">
            <v xml:space="preserve">BAJAJ HOUSING FINANCE LTD                       </v>
          </cell>
          <cell r="E486" t="str">
            <v xml:space="preserve">0% BAJAJ HOUSING FINANCE (05APR2022)            </v>
          </cell>
          <cell r="F486">
            <v>44656</v>
          </cell>
          <cell r="G486" t="str">
            <v>0.00</v>
          </cell>
          <cell r="H486" t="str">
            <v>05-Apr-2022</v>
          </cell>
          <cell r="I486" t="str">
            <v>0.00% BAJAJ HOUSING FINANCE LTD (05-Apr-2022)</v>
          </cell>
          <cell r="J486" t="str">
            <v>0.00% Bajaj Housing Finance Ltd (05-Apr-2022)</v>
          </cell>
          <cell r="K486" t="str">
            <v>0.00% Bajaj Housing Finance Ltd (05-Apr-2022) **</v>
          </cell>
        </row>
        <row r="487">
          <cell r="B487" t="str">
            <v>INE891K07416</v>
          </cell>
          <cell r="C487" t="str">
            <v>ZERO</v>
          </cell>
          <cell r="D487" t="str">
            <v xml:space="preserve">AXIS FINANCE LTD                                </v>
          </cell>
          <cell r="E487" t="str">
            <v xml:space="preserve">0% AXIS FINANCE (19APR2022)                     </v>
          </cell>
          <cell r="F487">
            <v>44670</v>
          </cell>
          <cell r="G487" t="str">
            <v>0.00</v>
          </cell>
          <cell r="H487" t="str">
            <v>19-Apr-2022</v>
          </cell>
          <cell r="I487" t="str">
            <v>0.00% AXIS FINANCE LTD (19-Apr-2022)</v>
          </cell>
          <cell r="J487" t="str">
            <v>0.00% Axis Finance Ltd (19-Apr-2022)</v>
          </cell>
          <cell r="K487" t="str">
            <v>0.00% Axis Finance Ltd (19-Apr-2022) **</v>
          </cell>
        </row>
        <row r="488">
          <cell r="B488" t="str">
            <v>INE265J07324</v>
          </cell>
          <cell r="C488" t="str">
            <v>CRPN</v>
          </cell>
          <cell r="D488" t="str">
            <v xml:space="preserve">JM FINANCIAL ASSET RECONSTRUCTION CO LTD        </v>
          </cell>
          <cell r="E488" t="str">
            <v xml:space="preserve">11.50% JMARC (29MAR2022)                        </v>
          </cell>
          <cell r="F488">
            <v>44649</v>
          </cell>
          <cell r="G488" t="str">
            <v>11.50</v>
          </cell>
          <cell r="H488" t="str">
            <v>29-Mar-2022</v>
          </cell>
          <cell r="I488" t="str">
            <v>11.50% JM FINANCIAL ASSET RECONSTRUCTION CO LTD (29-Mar-2022)</v>
          </cell>
          <cell r="J488" t="str">
            <v>11.50% Jm Financial Asset Reconstruction Co Ltd (29-Mar-2022)</v>
          </cell>
          <cell r="K488" t="str">
            <v>11.50% Jm Financial Asset Reconstruction Co Ltd (29-Mar-2022) **</v>
          </cell>
        </row>
        <row r="489">
          <cell r="B489" t="str">
            <v>INE128S07374</v>
          </cell>
          <cell r="C489" t="str">
            <v>CRPN</v>
          </cell>
          <cell r="D489" t="str">
            <v xml:space="preserve">FIVE-STAR BUSINESS FINANCE LTD                  </v>
          </cell>
          <cell r="E489" t="str">
            <v>12.64% FIVE STAR TRANCHE 2 (16APR2022 P/C 29APR2</v>
          </cell>
          <cell r="F489">
            <v>44667</v>
          </cell>
          <cell r="G489">
            <v>12.64</v>
          </cell>
          <cell r="H489" t="str">
            <v>16-Apr-2022</v>
          </cell>
          <cell r="I489" t="str">
            <v>12.64% FIVE-STAR BUSINESS FINANCE LTD (16-Apr-2022)</v>
          </cell>
          <cell r="J489" t="str">
            <v>12.64% Five-Star Business Finance Ltd (16-Apr-2022)</v>
          </cell>
          <cell r="K489" t="str">
            <v>12.64% Five-Star Business Finance Ltd (16-Apr-2022) **</v>
          </cell>
        </row>
        <row r="490">
          <cell r="B490" t="str">
            <v>INE01XX07026</v>
          </cell>
          <cell r="C490" t="str">
            <v>CRPN</v>
          </cell>
          <cell r="D490" t="str">
            <v xml:space="preserve">PIPELINE INFRASTRUCTURE PVT LTD                 </v>
          </cell>
          <cell r="E490" t="str">
            <v xml:space="preserve">8.9508% PIPELINE INFRA (22MAR2024)              </v>
          </cell>
          <cell r="F490">
            <v>45373</v>
          </cell>
          <cell r="G490">
            <v>8.9507999999999992</v>
          </cell>
          <cell r="H490" t="str">
            <v>22-Mar-2024</v>
          </cell>
          <cell r="I490" t="str">
            <v>8.9508% PIPELINE INFRASTRUCTURE PVT LTD (22-Mar-2024)</v>
          </cell>
          <cell r="J490" t="str">
            <v>8.9508% Pipeline Infrastructure Pvt Ltd (22-Mar-2024)</v>
          </cell>
          <cell r="K490" t="str">
            <v>8.9508% Pipeline Infrastructure Pvt Ltd (22-Mar-2024)</v>
          </cell>
        </row>
        <row r="491">
          <cell r="B491" t="e">
            <v>#N/A</v>
          </cell>
          <cell r="C491" t="e">
            <v>#N/A</v>
          </cell>
          <cell r="D491" t="e">
            <v>#N/A</v>
          </cell>
          <cell r="E491" t="e">
            <v>#N/A</v>
          </cell>
          <cell r="F491">
            <v>45025</v>
          </cell>
          <cell r="G491" t="str">
            <v>8.00</v>
          </cell>
          <cell r="H491" t="str">
            <v>09-Apr-2023</v>
          </cell>
          <cell r="I491" t="e">
            <v>#N/A</v>
          </cell>
          <cell r="J491" t="e">
            <v>#N/A</v>
          </cell>
          <cell r="K491" t="e">
            <v>#N/A</v>
          </cell>
        </row>
        <row r="492">
          <cell r="B492" t="str">
            <v>INE110L07096</v>
          </cell>
          <cell r="C492" t="str">
            <v>CRPN</v>
          </cell>
          <cell r="D492" t="str">
            <v xml:space="preserve">RELIANCE JIO INFOCOMM LIMITED                   </v>
          </cell>
          <cell r="E492" t="str">
            <v xml:space="preserve">8.00% RELIANCE JIO (16APR2023)                  </v>
          </cell>
          <cell r="F492">
            <v>45032</v>
          </cell>
          <cell r="G492" t="str">
            <v>8.00</v>
          </cell>
          <cell r="H492" t="str">
            <v>16-Apr-2023</v>
          </cell>
          <cell r="I492" t="str">
            <v>8.00% RELIANCE JIO INFOCOMM LIMITED (16-Apr-2023)</v>
          </cell>
          <cell r="J492" t="str">
            <v>8.00% Reliance Jio Infocomm Limited (16-Apr-2023)</v>
          </cell>
          <cell r="K492" t="str">
            <v>8.00% Reliance Jio Infocomm Limited (16-Apr-2023) **</v>
          </cell>
        </row>
        <row r="493">
          <cell r="B493" t="e">
            <v>#N/A</v>
          </cell>
          <cell r="C493" t="e">
            <v>#N/A</v>
          </cell>
          <cell r="D493" t="e">
            <v>#N/A</v>
          </cell>
          <cell r="E493" t="e">
            <v>#N/A</v>
          </cell>
          <cell r="F493">
            <v>47132</v>
          </cell>
          <cell r="H493" t="str">
            <v>14-Jan-2029</v>
          </cell>
          <cell r="I493" t="e">
            <v>#N/A</v>
          </cell>
          <cell r="J493" t="e">
            <v>#N/A</v>
          </cell>
          <cell r="K493" t="str">
            <v>7.26% GOI 2029 (14-Jan-2029)</v>
          </cell>
        </row>
        <row r="494">
          <cell r="B494" t="e">
            <v>#N/A</v>
          </cell>
          <cell r="C494" t="e">
            <v>#N/A</v>
          </cell>
          <cell r="D494" t="str">
            <v xml:space="preserve">7.95% GOI 2032                                  </v>
          </cell>
          <cell r="E494" t="e">
            <v>#N/A</v>
          </cell>
          <cell r="F494">
            <v>48454</v>
          </cell>
          <cell r="H494" t="str">
            <v>28-Aug-2032</v>
          </cell>
          <cell r="I494" t="str">
            <v>7.95% GOI 2032 (28-Aug-2032)</v>
          </cell>
          <cell r="J494" t="str">
            <v>7.95% Goi 2032 (28-Aug-2032)</v>
          </cell>
          <cell r="K494" t="str">
            <v>7.95% GOI 2032 (28-Aug-2032)</v>
          </cell>
        </row>
        <row r="495">
          <cell r="B495" t="str">
            <v>INE047A08141</v>
          </cell>
          <cell r="C495" t="str">
            <v>CRPN</v>
          </cell>
          <cell r="D495" t="str">
            <v xml:space="preserve">GRASIM INDUSTRIES LTD                           </v>
          </cell>
          <cell r="E495" t="str">
            <v xml:space="preserve">7.85% GRASIM (15APR2024)                        </v>
          </cell>
          <cell r="F495">
            <v>45397</v>
          </cell>
          <cell r="G495">
            <v>7.85</v>
          </cell>
          <cell r="H495" t="str">
            <v>15-Apr-2024</v>
          </cell>
          <cell r="I495" t="str">
            <v>7.85% GRASIM INDUSTRIES LTD (15-Apr-2024)</v>
          </cell>
          <cell r="J495" t="str">
            <v>7.85% Grasim Industries Ltd (15-Apr-2024)</v>
          </cell>
          <cell r="K495" t="str">
            <v>7.85% Grasim Industries Ltd (15-Apr-2024) **</v>
          </cell>
        </row>
        <row r="496">
          <cell r="B496" t="e">
            <v>#N/A</v>
          </cell>
          <cell r="C496" t="e">
            <v>#N/A</v>
          </cell>
          <cell r="D496" t="e">
            <v>#N/A</v>
          </cell>
          <cell r="E496" t="e">
            <v>#N/A</v>
          </cell>
          <cell r="F496">
            <v>44666</v>
          </cell>
          <cell r="G496">
            <v>7.65</v>
          </cell>
          <cell r="H496" t="str">
            <v>15-Apr-2022</v>
          </cell>
          <cell r="I496" t="e">
            <v>#N/A</v>
          </cell>
          <cell r="J496" t="e">
            <v>#N/A</v>
          </cell>
          <cell r="K496" t="e">
            <v>#N/A</v>
          </cell>
        </row>
        <row r="497">
          <cell r="B497" t="str">
            <v>INE134E08JY7</v>
          </cell>
          <cell r="C497" t="str">
            <v>CRPN</v>
          </cell>
          <cell r="D497" t="str">
            <v xml:space="preserve">POWER FINANCE CORP LTD                          </v>
          </cell>
          <cell r="E497" t="str">
            <v xml:space="preserve">9.25% PFC SD (25SEP2024)                        </v>
          </cell>
          <cell r="F497">
            <v>45560</v>
          </cell>
          <cell r="G497">
            <v>9.25</v>
          </cell>
          <cell r="H497" t="str">
            <v>25-Sep-2024</v>
          </cell>
          <cell r="I497" t="str">
            <v>9.25% POWER FINANCE CORP LTD (25-Sep-2024)</v>
          </cell>
          <cell r="J497" t="str">
            <v>9.25% Power Finance Corp Ltd (25-Sep-2024)</v>
          </cell>
          <cell r="K497" t="str">
            <v>9.25% Power Finance Corp Ltd (25-Sep-2024) **</v>
          </cell>
        </row>
        <row r="498">
          <cell r="B498" t="str">
            <v>INE548V07021</v>
          </cell>
          <cell r="C498" t="str">
            <v>CRPN</v>
          </cell>
          <cell r="D498" t="str">
            <v xml:space="preserve">NUVOCO VISTAS CORP LTD                          </v>
          </cell>
          <cell r="E498" t="str">
            <v xml:space="preserve">8.4706% NUVOCO VISTAS (14SEP2019)               </v>
          </cell>
          <cell r="F498">
            <v>43722</v>
          </cell>
          <cell r="G498">
            <v>8.4705999999999992</v>
          </cell>
          <cell r="H498" t="str">
            <v>14-Sep-2019</v>
          </cell>
          <cell r="I498" t="str">
            <v>8.4706% NUVOCO VISTAS CORP LTD (14-Sep-2019)</v>
          </cell>
          <cell r="J498" t="str">
            <v>8.4706% Nuvoco Vistas Corp Ltd (14-Sep-2019)</v>
          </cell>
          <cell r="K498" t="str">
            <v>8.4706% Nuvoco Vistas Corp Ltd (14-Sep-2019) **</v>
          </cell>
        </row>
        <row r="499">
          <cell r="B499" t="str">
            <v>INE548V07039</v>
          </cell>
          <cell r="C499" t="str">
            <v>CRPN</v>
          </cell>
          <cell r="D499" t="str">
            <v xml:space="preserve">NUVOCO VISTAS CORP LTD                          </v>
          </cell>
          <cell r="E499" t="str">
            <v xml:space="preserve">8.5666% NUVOCO VISTAS (14SEP2020)               </v>
          </cell>
          <cell r="F499">
            <v>44088</v>
          </cell>
          <cell r="G499" t="str">
            <v>8.5666</v>
          </cell>
          <cell r="H499" t="str">
            <v>14-Sep-2020</v>
          </cell>
          <cell r="I499" t="str">
            <v>8.5666% NUVOCO VISTAS CORP LTD (14-Sep-2020)</v>
          </cell>
          <cell r="J499" t="str">
            <v>8.5666% Nuvoco Vistas Corp Ltd (14-Sep-2020)</v>
          </cell>
          <cell r="K499" t="str">
            <v>8.5666% Nuvoco Vistas Corp Ltd (14-Sep-2020) **</v>
          </cell>
        </row>
        <row r="500">
          <cell r="B500" t="str">
            <v>INE134E08GQ9</v>
          </cell>
          <cell r="C500" t="str">
            <v>CRPN</v>
          </cell>
          <cell r="D500" t="str">
            <v xml:space="preserve">POWER FINANCE CORP LTD                          </v>
          </cell>
          <cell r="E500" t="str">
            <v xml:space="preserve">8.65% PFC (28NOV2019)                           </v>
          </cell>
          <cell r="F500">
            <v>43797</v>
          </cell>
          <cell r="G500">
            <v>8.65</v>
          </cell>
          <cell r="H500" t="str">
            <v>28-Nov-2019</v>
          </cell>
          <cell r="I500" t="str">
            <v>8.65% POWER FINANCE CORP LTD (28-Nov-2019)</v>
          </cell>
          <cell r="J500" t="str">
            <v>8.65% Power Finance Corp Ltd (28-Nov-2019)</v>
          </cell>
          <cell r="K500" t="str">
            <v>8.65% Power Finance Corp Ltd (28-Nov-2019) **</v>
          </cell>
        </row>
        <row r="501">
          <cell r="B501" t="str">
            <v>INE134E08GS5</v>
          </cell>
          <cell r="C501" t="str">
            <v>CRPN</v>
          </cell>
          <cell r="D501" t="str">
            <v xml:space="preserve">POWER FINANCE CORP LTD                          </v>
          </cell>
          <cell r="E501" t="str">
            <v xml:space="preserve">8.52% PFC (9DEC2019)                            </v>
          </cell>
          <cell r="F501">
            <v>43808</v>
          </cell>
          <cell r="G501">
            <v>8.52</v>
          </cell>
          <cell r="H501" t="str">
            <v>09-Dec-2019</v>
          </cell>
          <cell r="I501" t="str">
            <v>8.52% POWER FINANCE CORP LTD (09-Dec-2019)</v>
          </cell>
          <cell r="J501" t="str">
            <v>8.52% Power Finance Corp Ltd (09-Dec-2019)</v>
          </cell>
          <cell r="K501" t="str">
            <v>8.52% Power Finance Corp Ltd (09-Dec-2019) **</v>
          </cell>
        </row>
        <row r="502">
          <cell r="B502" t="str">
            <v>INE020B07EY7</v>
          </cell>
          <cell r="C502" t="str">
            <v>CRPN</v>
          </cell>
          <cell r="D502" t="str">
            <v xml:space="preserve">REC LTD                                         </v>
          </cell>
          <cell r="E502" t="str">
            <v xml:space="preserve">8.80% REC (17NOV2019)                           </v>
          </cell>
          <cell r="F502">
            <v>43786</v>
          </cell>
          <cell r="G502" t="str">
            <v>8.80</v>
          </cell>
          <cell r="H502" t="str">
            <v>17-Nov-2019</v>
          </cell>
          <cell r="I502" t="str">
            <v>8.80% REC LTD (17-Nov-2019)</v>
          </cell>
          <cell r="J502" t="str">
            <v>8.80% Rec Ltd (17-Nov-2019)</v>
          </cell>
          <cell r="K502" t="str">
            <v>8.80% Rec Ltd (17-Nov-2019) **</v>
          </cell>
        </row>
        <row r="503">
          <cell r="B503" t="str">
            <v>INE020B08864</v>
          </cell>
          <cell r="C503" t="str">
            <v>CRPN</v>
          </cell>
          <cell r="D503" t="str">
            <v xml:space="preserve">REC LTD                                         </v>
          </cell>
          <cell r="E503" t="str">
            <v xml:space="preserve">8.56% REC (13NOV2019)                           </v>
          </cell>
          <cell r="F503">
            <v>43782</v>
          </cell>
          <cell r="G503">
            <v>8.56</v>
          </cell>
          <cell r="H503" t="str">
            <v>13-Nov-2019</v>
          </cell>
          <cell r="I503" t="str">
            <v>8.56% REC LTD (13-Nov-2019)</v>
          </cell>
          <cell r="J503" t="str">
            <v>8.56% Rec Ltd (13-Nov-2019)</v>
          </cell>
          <cell r="K503" t="str">
            <v>8.56% Rec Ltd (13-Nov-2019) **</v>
          </cell>
        </row>
        <row r="504">
          <cell r="B504" t="str">
            <v>tradesys.sm.isin</v>
          </cell>
        </row>
        <row r="505">
          <cell r="B505" t="str">
            <v>INE128S07390</v>
          </cell>
          <cell r="C505" t="str">
            <v>CRPN</v>
          </cell>
          <cell r="D505" t="str">
            <v xml:space="preserve">FIVE-STAR BUSINESS FINANCE LTD                  </v>
          </cell>
          <cell r="E505" t="str">
            <v>12.64% FIVE STAR TRANCHE 3 (28MAY2022 P/C 24MAY2</v>
          </cell>
          <cell r="F505">
            <v>44709</v>
          </cell>
          <cell r="G505">
            <v>12.64</v>
          </cell>
          <cell r="H505" t="str">
            <v>28-May-2022</v>
          </cell>
          <cell r="I505" t="str">
            <v>12.64% FIVE-STAR BUSINESS FINANCE LTD (28-May-2022)</v>
          </cell>
          <cell r="J505" t="str">
            <v>12.64% Five-Star Business Finance Ltd (28-May-2022)</v>
          </cell>
          <cell r="K505" t="str">
            <v>12.64% Five-Star Business Finance Ltd (28-May-2022) **</v>
          </cell>
        </row>
        <row r="506">
          <cell r="B506" t="str">
            <v>INE134E08KC1</v>
          </cell>
          <cell r="C506" t="str">
            <v>CRPN</v>
          </cell>
          <cell r="D506" t="str">
            <v xml:space="preserve">POWER FINANCE CORP LTD                          </v>
          </cell>
          <cell r="E506" t="str">
            <v xml:space="preserve">8.85% PFC (27MAY2029)                           </v>
          </cell>
          <cell r="F506">
            <v>47263</v>
          </cell>
          <cell r="G506">
            <v>8.85</v>
          </cell>
          <cell r="H506" t="str">
            <v>25-May-2029</v>
          </cell>
          <cell r="I506" t="str">
            <v>8.85% POWER FINANCE CORP LTD (25-May-2029)</v>
          </cell>
          <cell r="J506" t="str">
            <v>8.85% Power Finance Corp Ltd (25-May-2029)</v>
          </cell>
          <cell r="K506" t="str">
            <v>8.85% Power Finance Corp Ltd (25-May-2029)</v>
          </cell>
        </row>
        <row r="507">
          <cell r="B507" t="str">
            <v>INE936D07075</v>
          </cell>
          <cell r="C507" t="str">
            <v>CRPN</v>
          </cell>
          <cell r="D507" t="str">
            <v xml:space="preserve">Jamnagar UTILITIES &amp; POWER Pvt LTD                  </v>
          </cell>
          <cell r="E507" t="str">
            <v xml:space="preserve">9.75% RUPL (02AUG2024) NS                       </v>
          </cell>
          <cell r="F507">
            <v>45506</v>
          </cell>
          <cell r="G507">
            <v>9.75</v>
          </cell>
          <cell r="H507" t="str">
            <v>02-Aug-2024</v>
          </cell>
          <cell r="I507" t="str">
            <v>9.75% Jamnagar UTILITIES &amp; POWER Pvt LTD (02-Aug-2024)</v>
          </cell>
          <cell r="J507" t="str">
            <v>9.75% Jamnagar Utilities &amp; Power Pvt Ltd (02-Aug-2024)</v>
          </cell>
          <cell r="K507" t="str">
            <v>9.75% Jamnagar Utilities &amp; Power Pvt Ltd (02-Aug-2024) **</v>
          </cell>
        </row>
        <row r="508">
          <cell r="B508" t="str">
            <v>INE020B08BQ7</v>
          </cell>
          <cell r="C508" t="str">
            <v>CRPN</v>
          </cell>
          <cell r="D508" t="str">
            <v xml:space="preserve">REC LTD                                         </v>
          </cell>
          <cell r="E508" t="str">
            <v xml:space="preserve">8.85% REC (16APR2029)                           </v>
          </cell>
          <cell r="F508">
            <v>47224</v>
          </cell>
          <cell r="G508">
            <v>8.85</v>
          </cell>
          <cell r="H508" t="str">
            <v>16-Apr-2029</v>
          </cell>
          <cell r="I508" t="str">
            <v>8.85% REC LTD (16-Apr-2029)</v>
          </cell>
          <cell r="J508" t="str">
            <v>8.85% Rec Ltd (16-Apr-2029)</v>
          </cell>
          <cell r="K508" t="str">
            <v>8.85% Rec Ltd (16-Apr-2029) **</v>
          </cell>
        </row>
        <row r="509">
          <cell r="B509" t="str">
            <v>INE607M08048</v>
          </cell>
          <cell r="C509" t="str">
            <v>CRPN</v>
          </cell>
          <cell r="D509" t="str">
            <v xml:space="preserve">TATA POWER RENEWABLE ENERGY LTD                 </v>
          </cell>
          <cell r="E509" t="str">
            <v xml:space="preserve">8.45% TATA POWER RENEW (25MAY2022)              </v>
          </cell>
          <cell r="F509">
            <v>44706</v>
          </cell>
          <cell r="G509">
            <v>8.4499999999999993</v>
          </cell>
          <cell r="H509" t="str">
            <v>25-May-2022</v>
          </cell>
          <cell r="I509" t="str">
            <v>8.45% TATA POWER RENEWABLE ENERGY LTD (25-May-2022)</v>
          </cell>
          <cell r="J509" t="str">
            <v>8.45% Tata Power Renewable Energy Ltd (25-May-2022)</v>
          </cell>
          <cell r="K509" t="str">
            <v>8.45% Tata Power Renewable Energy Ltd (25-May-2022) **</v>
          </cell>
        </row>
        <row r="510">
          <cell r="B510" t="e">
            <v>#N/A</v>
          </cell>
          <cell r="C510" t="e">
            <v>#N/A</v>
          </cell>
          <cell r="D510" t="e">
            <v>#N/A</v>
          </cell>
          <cell r="E510" t="e">
            <v>#N/A</v>
          </cell>
          <cell r="F510" t="e">
            <v>#N/A</v>
          </cell>
          <cell r="H510" t="e">
            <v>#N/A</v>
          </cell>
          <cell r="I510" t="e">
            <v>#N/A</v>
          </cell>
          <cell r="J510" t="e">
            <v>#N/A</v>
          </cell>
          <cell r="K510" t="str">
            <v>7.57% GOI 2033 (17-Jun-2033)</v>
          </cell>
        </row>
        <row r="511">
          <cell r="B511" t="e">
            <v>#N/A</v>
          </cell>
          <cell r="C511" t="e">
            <v>#N/A</v>
          </cell>
          <cell r="D511" t="e">
            <v>#N/A</v>
          </cell>
          <cell r="E511" t="e">
            <v>#N/A</v>
          </cell>
          <cell r="F511" t="e">
            <v>#N/A</v>
          </cell>
          <cell r="G511" t="str">
            <v>8.50</v>
          </cell>
          <cell r="H511" t="e">
            <v>#N/A</v>
          </cell>
          <cell r="I511" t="e">
            <v>#N/A</v>
          </cell>
          <cell r="J511" t="e">
            <v>#N/A</v>
          </cell>
          <cell r="K511" t="e">
            <v>#N/A</v>
          </cell>
        </row>
        <row r="512">
          <cell r="B512" t="e">
            <v>#N/A</v>
          </cell>
          <cell r="C512" t="e">
            <v>#N/A</v>
          </cell>
          <cell r="D512" t="e">
            <v>#N/A</v>
          </cell>
          <cell r="E512" t="e">
            <v>#N/A</v>
          </cell>
          <cell r="F512" t="e">
            <v>#N/A</v>
          </cell>
          <cell r="G512">
            <v>10.15</v>
          </cell>
          <cell r="H512" t="e">
            <v>#N/A</v>
          </cell>
          <cell r="I512" t="e">
            <v>#N/A</v>
          </cell>
          <cell r="J512" t="e">
            <v>#N/A</v>
          </cell>
          <cell r="K512" t="e">
            <v>#N/A</v>
          </cell>
        </row>
        <row r="513">
          <cell r="B513" t="e">
            <v>#N/A</v>
          </cell>
          <cell r="C513" t="e">
            <v>#N/A</v>
          </cell>
          <cell r="D513" t="e">
            <v>#N/A</v>
          </cell>
          <cell r="E513" t="e">
            <v>#N/A</v>
          </cell>
          <cell r="F513" t="e">
            <v>#N/A</v>
          </cell>
          <cell r="G513">
            <v>8.4499999999999993</v>
          </cell>
          <cell r="H513" t="e">
            <v>#N/A</v>
          </cell>
          <cell r="I513" t="e">
            <v>#N/A</v>
          </cell>
          <cell r="J513" t="e">
            <v>#N/A</v>
          </cell>
          <cell r="K513" t="e">
            <v>#N/A</v>
          </cell>
        </row>
        <row r="514">
          <cell r="B514" t="e">
            <v>#N/A</v>
          </cell>
          <cell r="C514" t="e">
            <v>#N/A</v>
          </cell>
          <cell r="D514" t="e">
            <v>#N/A</v>
          </cell>
          <cell r="E514" t="e">
            <v>#N/A</v>
          </cell>
          <cell r="F514" t="e">
            <v>#N/A</v>
          </cell>
          <cell r="G514" t="str">
            <v>8.40</v>
          </cell>
          <cell r="H514" t="e">
            <v>#N/A</v>
          </cell>
          <cell r="I514" t="e">
            <v>#N/A</v>
          </cell>
          <cell r="J514" t="e">
            <v>#N/A</v>
          </cell>
          <cell r="K514" t="e">
            <v>#N/A</v>
          </cell>
        </row>
        <row r="515">
          <cell r="B515" t="e">
            <v>#N/A</v>
          </cell>
          <cell r="C515" t="e">
            <v>#N/A</v>
          </cell>
          <cell r="D515" t="e">
            <v>#N/A</v>
          </cell>
          <cell r="E515" t="e">
            <v>#N/A</v>
          </cell>
          <cell r="F515" t="e">
            <v>#N/A</v>
          </cell>
          <cell r="G515">
            <v>7.98</v>
          </cell>
          <cell r="H515" t="e">
            <v>#N/A</v>
          </cell>
          <cell r="I515" t="e">
            <v>#N/A</v>
          </cell>
          <cell r="J515" t="e">
            <v>#N/A</v>
          </cell>
          <cell r="K515" t="e">
            <v>#N/A</v>
          </cell>
        </row>
        <row r="516">
          <cell r="B516" t="str">
            <v>INE020B08BG8</v>
          </cell>
          <cell r="C516" t="str">
            <v>CRPN</v>
          </cell>
          <cell r="D516" t="str">
            <v xml:space="preserve">REC LTD                                         </v>
          </cell>
          <cell r="E516" t="str">
            <v xml:space="preserve">8.56% REC (29NOV2028)                           </v>
          </cell>
          <cell r="F516">
            <v>47086</v>
          </cell>
          <cell r="G516">
            <v>8.56</v>
          </cell>
          <cell r="H516" t="str">
            <v>29-Nov-2028</v>
          </cell>
          <cell r="I516" t="str">
            <v>8.56% REC LTD (29-Nov-2028)</v>
          </cell>
          <cell r="J516" t="str">
            <v>8.56% Rec Ltd (29-Nov-2028)</v>
          </cell>
          <cell r="K516" t="str">
            <v>8.56% Rec Ltd (29-Nov-2028) **</v>
          </cell>
        </row>
        <row r="517">
          <cell r="B517" t="str">
            <v>INE020B08BS3</v>
          </cell>
          <cell r="C517" t="str">
            <v>CRPN</v>
          </cell>
          <cell r="D517" t="str">
            <v xml:space="preserve">REC LTD                                         </v>
          </cell>
          <cell r="E517" t="str">
            <v xml:space="preserve">8.80% REC (14MAY2029)                           </v>
          </cell>
          <cell r="F517">
            <v>47252</v>
          </cell>
          <cell r="G517" t="str">
            <v>8.80</v>
          </cell>
          <cell r="H517" t="str">
            <v>14-May-2029</v>
          </cell>
          <cell r="I517" t="str">
            <v>8.80% REC LTD (14-May-2029)</v>
          </cell>
          <cell r="J517" t="str">
            <v>8.80% Rec Ltd (14-May-2029)</v>
          </cell>
          <cell r="K517" t="str">
            <v>8.80% Rec Ltd (14-May-2029) **</v>
          </cell>
        </row>
        <row r="518">
          <cell r="B518" t="str">
            <v>INE804I08601</v>
          </cell>
          <cell r="C518" t="str">
            <v>CRPN</v>
          </cell>
          <cell r="D518" t="str">
            <v xml:space="preserve">ECL FINANCE LTD                                 </v>
          </cell>
          <cell r="E518" t="str">
            <v xml:space="preserve">12.00% ECL FINANCE (26APR2020)                  </v>
          </cell>
          <cell r="F518">
            <v>43945</v>
          </cell>
          <cell r="G518" t="str">
            <v>12.00</v>
          </cell>
          <cell r="H518" t="str">
            <v>24-Apr-2020</v>
          </cell>
          <cell r="I518" t="str">
            <v>12.00% ECL FINANCE LTD (24-Apr-2020)</v>
          </cell>
          <cell r="J518" t="str">
            <v>12.00% Ecl Finance Ltd (24-Apr-2020)</v>
          </cell>
          <cell r="K518" t="str">
            <v>12.00% Ecl Finance Ltd (24-Apr-2020) **</v>
          </cell>
        </row>
        <row r="519">
          <cell r="B519" t="str">
            <v>INE316W07021</v>
          </cell>
          <cell r="C519" t="str">
            <v>CRPN</v>
          </cell>
          <cell r="D519" t="str">
            <v xml:space="preserve">HERO SOLAR ENERGY PRIVATE LIMITED               </v>
          </cell>
          <cell r="E519" t="str">
            <v xml:space="preserve">11.84% HERO SOLAR SERIES B (10JUN2022)          </v>
          </cell>
          <cell r="F519">
            <v>44722</v>
          </cell>
          <cell r="G519" t="str">
            <v>11.84</v>
          </cell>
          <cell r="H519" t="str">
            <v>10-Jun-2022</v>
          </cell>
          <cell r="I519" t="str">
            <v>11.84% HERO SOLAR ENERGY PRIVATE LIMITED (10-Jun-2022)</v>
          </cell>
          <cell r="J519" t="str">
            <v>11.84% Hero Solar Energy Private Limited (10-Jun-2022)</v>
          </cell>
          <cell r="K519" t="str">
            <v>11.84% Hero Solar Energy Private Limited (10-Jun-2022) **</v>
          </cell>
        </row>
        <row r="520">
          <cell r="B520" t="str">
            <v>INE219X07033</v>
          </cell>
          <cell r="C520" t="str">
            <v>CRPN</v>
          </cell>
          <cell r="D520" t="str">
            <v xml:space="preserve">INDIA GRID TRUST                                </v>
          </cell>
          <cell r="E520" t="str">
            <v xml:space="preserve">9.10% INDIGRID SERIES C (03JUN2022)             </v>
          </cell>
          <cell r="F520">
            <v>44715</v>
          </cell>
          <cell r="G520" t="str">
            <v>9.10</v>
          </cell>
          <cell r="H520" t="str">
            <v>03-Jun-2022</v>
          </cell>
          <cell r="I520" t="str">
            <v>9.10% INDIA GRID TRUST (03-Jun-2022)</v>
          </cell>
          <cell r="J520" t="str">
            <v>9.10% India Grid Trust (03-Jun-2022)</v>
          </cell>
          <cell r="K520" t="str">
            <v>9.10% India Grid Trust (03-Jun-2022)</v>
          </cell>
        </row>
        <row r="521">
          <cell r="B521" t="str">
            <v>INE020B08BU9</v>
          </cell>
          <cell r="C521" t="str">
            <v>CRPN</v>
          </cell>
          <cell r="D521" t="str">
            <v xml:space="preserve">REC LTD                                         </v>
          </cell>
          <cell r="E521" t="str">
            <v xml:space="preserve">8.30% REC (25JUN2029)                           </v>
          </cell>
          <cell r="F521">
            <v>47294</v>
          </cell>
          <cell r="G521" t="str">
            <v>8.30</v>
          </cell>
          <cell r="H521" t="str">
            <v>25-Jun-2029</v>
          </cell>
          <cell r="I521" t="str">
            <v>8.30% REC LTD (25-Jun-2029)</v>
          </cell>
          <cell r="J521" t="str">
            <v>8.30% Rec Ltd (25-Jun-2029)</v>
          </cell>
          <cell r="K521" t="str">
            <v>8.30% Rec Ltd (25-Jun-2029) **</v>
          </cell>
        </row>
        <row r="522">
          <cell r="B522" t="str">
            <v>INE660N07047</v>
          </cell>
          <cell r="C522" t="str">
            <v>CRPN</v>
          </cell>
          <cell r="D522" t="str">
            <v xml:space="preserve">S D CORPORATION PRIVATE LTD                     </v>
          </cell>
          <cell r="E522" t="str">
            <v xml:space="preserve">11.50% S.D. CORP SERIES 1A (03JUN2022)          </v>
          </cell>
          <cell r="F522">
            <v>44715</v>
          </cell>
          <cell r="G522" t="str">
            <v>11.50</v>
          </cell>
          <cell r="H522" t="str">
            <v>03-Jun-2022</v>
          </cell>
          <cell r="I522" t="str">
            <v>11.50% S D CORPORATION PRIVATE LTD (03-Jun-2022)</v>
          </cell>
          <cell r="J522" t="str">
            <v>11.50% S D Corporation Private Ltd (03-Jun-2022)</v>
          </cell>
          <cell r="K522" t="str">
            <v>11.50% S D Corporation Private Ltd (03-Jun-2022) **</v>
          </cell>
        </row>
        <row r="523">
          <cell r="B523" t="str">
            <v>INE615S07065</v>
          </cell>
          <cell r="C523" t="str">
            <v>CFLT</v>
          </cell>
          <cell r="D523" t="str">
            <v xml:space="preserve">STERLITE POWER GRID VENTURES LTD                </v>
          </cell>
          <cell r="E523" t="str">
            <v xml:space="preserve">12.30% SPGVL (28MAR2022 P/C 28MAR2021)          </v>
          </cell>
          <cell r="F523">
            <v>44648</v>
          </cell>
          <cell r="G523" t="str">
            <v>12.30</v>
          </cell>
          <cell r="H523" t="str">
            <v>28-Mar-2022</v>
          </cell>
          <cell r="I523" t="str">
            <v>12.30% STERLITE POWER GRID VENTURES LTD (28-Mar-2022)</v>
          </cell>
          <cell r="J523" t="str">
            <v>12.30% Sterlite Power Grid Ventures Ltd (28-Mar-2022)</v>
          </cell>
          <cell r="K523" t="str">
            <v>12.30% Sterlite Power Grid Ventures Ltd (28-Mar-2022) **</v>
          </cell>
        </row>
        <row r="524">
          <cell r="B524" t="e">
            <v>#N/A</v>
          </cell>
          <cell r="C524" t="e">
            <v>#N/A</v>
          </cell>
          <cell r="D524" t="e">
            <v>#N/A</v>
          </cell>
          <cell r="E524" t="e">
            <v>#N/A</v>
          </cell>
          <cell r="F524" t="e">
            <v>#N/A</v>
          </cell>
          <cell r="H524" t="e">
            <v>#N/A</v>
          </cell>
          <cell r="I524" t="e">
            <v>#N/A</v>
          </cell>
          <cell r="J524" t="str">
            <v>Shriram Transport Finance Co Ltd ( Kotak Bank Base Rate + 0 Bps) (05-Aug-2019)</v>
          </cell>
          <cell r="K524" t="e">
            <v>#N/A</v>
          </cell>
        </row>
        <row r="525">
          <cell r="B525" t="str">
            <v>INE128S07408</v>
          </cell>
          <cell r="C525" t="str">
            <v>CRPN</v>
          </cell>
          <cell r="D525" t="str">
            <v xml:space="preserve">FIVE-STAR BUSINESS FINANCE LTD                  </v>
          </cell>
          <cell r="E525" t="str">
            <v>12.64% FIVE STAR TRANCHE 4 (28JUN2022 P/C 18JUN2</v>
          </cell>
          <cell r="F525">
            <v>44740</v>
          </cell>
          <cell r="G525" t="str">
            <v>12.64</v>
          </cell>
          <cell r="H525" t="str">
            <v>28-Jun-2022</v>
          </cell>
          <cell r="I525" t="str">
            <v>12.64% FIVE-STAR BUSINESS FINANCE LTD (28-Jun-2022)</v>
          </cell>
          <cell r="J525" t="str">
            <v>12.64% Five-Star Business Finance Ltd (28-Jun-2022)</v>
          </cell>
          <cell r="K525" t="str">
            <v>12.64% Five-Star Business Finance Ltd (28-Jun-2022) **</v>
          </cell>
        </row>
        <row r="526">
          <cell r="B526" t="str">
            <v>INE918T07046</v>
          </cell>
          <cell r="C526" t="str">
            <v>CRPN</v>
          </cell>
          <cell r="D526" t="str">
            <v xml:space="preserve">HERO WIND ENERGY PVT LTD                        </v>
          </cell>
          <cell r="E526" t="str">
            <v xml:space="preserve">11.84% HEROWIND SERIES B (10JUN2022)            </v>
          </cell>
          <cell r="F526">
            <v>44722</v>
          </cell>
          <cell r="G526" t="str">
            <v>11.84</v>
          </cell>
          <cell r="H526" t="str">
            <v>10-Jun-2022</v>
          </cell>
          <cell r="I526" t="str">
            <v>11.84% HERO WIND ENERGY PVT LTD (10-Jun-2022)</v>
          </cell>
          <cell r="J526" t="str">
            <v>11.84% Hero Wind Energy Pvt Ltd (10-Jun-2022)</v>
          </cell>
          <cell r="K526" t="str">
            <v>11.84% Hero Wind Energy Pvt Ltd (10-Jun-2022) **</v>
          </cell>
        </row>
        <row r="527">
          <cell r="B527" t="str">
            <v>INE918T07053</v>
          </cell>
          <cell r="C527" t="str">
            <v>CRPN</v>
          </cell>
          <cell r="D527" t="str">
            <v xml:space="preserve">HERO WIND ENERGY PVT LTD                        </v>
          </cell>
          <cell r="E527" t="str">
            <v xml:space="preserve">11.84% HEROWIND SERIES A (10DEC2021)            </v>
          </cell>
          <cell r="F527">
            <v>44540</v>
          </cell>
          <cell r="G527" t="str">
            <v>11.84</v>
          </cell>
          <cell r="H527" t="str">
            <v>10-Dec-2021</v>
          </cell>
          <cell r="I527" t="str">
            <v>11.84% HERO WIND ENERGY PVT LTD (10-Dec-2021)</v>
          </cell>
          <cell r="J527" t="str">
            <v>11.84% Hero Wind Energy Pvt Ltd (10-Dec-2021)</v>
          </cell>
          <cell r="K527" t="str">
            <v>11.84% Hero Wind Energy Pvt Ltd (10-Dec-2021) **</v>
          </cell>
        </row>
        <row r="528">
          <cell r="B528" t="str">
            <v>INE295J08055</v>
          </cell>
          <cell r="C528" t="str">
            <v>CRPN</v>
          </cell>
          <cell r="D528" t="str">
            <v xml:space="preserve">COASTAL GUJARAT POWER LTD                       </v>
          </cell>
          <cell r="E528" t="str">
            <v xml:space="preserve">9.15% CGPL (14JUN2022)                          </v>
          </cell>
          <cell r="F528">
            <v>44726</v>
          </cell>
          <cell r="G528" t="str">
            <v>9.15</v>
          </cell>
          <cell r="H528" t="str">
            <v>14-Jun-2022</v>
          </cell>
          <cell r="I528" t="str">
            <v>9.15% COASTAL GUJARAT POWER LTD (14-Jun-2022)</v>
          </cell>
          <cell r="J528" t="str">
            <v>9.15% Coastal Gujarat Power Ltd (14-Jun-2022)</v>
          </cell>
          <cell r="K528" t="str">
            <v>9.15% Coastal Gujarat Power Ltd (14-Jun-2022)</v>
          </cell>
        </row>
        <row r="529">
          <cell r="B529" t="str">
            <v>INE752E07MQ8</v>
          </cell>
          <cell r="C529" t="str">
            <v>CRPN</v>
          </cell>
          <cell r="D529" t="str">
            <v xml:space="preserve">POWER GRID CORP OF INDIA LTD                    </v>
          </cell>
          <cell r="E529" t="str">
            <v xml:space="preserve">8.40% PGC (27MAY2024)                           </v>
          </cell>
          <cell r="F529">
            <v>45439</v>
          </cell>
          <cell r="G529" t="str">
            <v>8.40</v>
          </cell>
          <cell r="H529" t="str">
            <v>27-May-2024</v>
          </cell>
          <cell r="I529" t="str">
            <v>8.40% POWER GRID CORP OF INDIA LTD (27-May-2024)</v>
          </cell>
          <cell r="J529" t="str">
            <v>8.40% Power Grid Corp Of India Ltd (27-May-2024)</v>
          </cell>
          <cell r="K529" t="str">
            <v>8.40% Power Grid Corp Of India Ltd (27-May-2024) **</v>
          </cell>
        </row>
        <row r="530">
          <cell r="B530" t="str">
            <v>INE062A08140</v>
          </cell>
          <cell r="C530" t="str">
            <v>PERP</v>
          </cell>
          <cell r="D530" t="str">
            <v xml:space="preserve">STATE BANK OF INDIA                             </v>
          </cell>
          <cell r="E530" t="str">
            <v xml:space="preserve">8.39% SBI AT1 (CO 25OCT2021)                    </v>
          </cell>
          <cell r="F530">
            <v>54474</v>
          </cell>
          <cell r="G530" t="str">
            <v>8.39</v>
          </cell>
          <cell r="H530" t="str">
            <v>20-Feb-2049</v>
          </cell>
          <cell r="I530" t="str">
            <v>8.39% STATE BANK OF INDIA (20-Feb-2049)</v>
          </cell>
          <cell r="J530" t="str">
            <v>8.39% State Bank Of India (20-Feb-2049)</v>
          </cell>
          <cell r="K530" t="str">
            <v>8.39% State Bank Of India (20-Feb-2049) **</v>
          </cell>
        </row>
        <row r="531">
          <cell r="B531" t="e">
            <v>#N/A</v>
          </cell>
          <cell r="C531" t="e">
            <v>#N/A</v>
          </cell>
          <cell r="D531" t="e">
            <v>#N/A</v>
          </cell>
          <cell r="E531" t="e">
            <v>#N/A</v>
          </cell>
          <cell r="F531" t="e">
            <v>#N/A</v>
          </cell>
          <cell r="G531" t="str">
            <v>7.65</v>
          </cell>
          <cell r="H531" t="str">
            <v>f</v>
          </cell>
          <cell r="I531" t="e">
            <v>#N/A</v>
          </cell>
          <cell r="J531" t="e">
            <v>#N/A</v>
          </cell>
          <cell r="K531" t="e">
            <v>#N/A</v>
          </cell>
        </row>
        <row r="532">
          <cell r="B532" t="str">
            <v>INE316W07039</v>
          </cell>
          <cell r="C532" t="str">
            <v>CRPN</v>
          </cell>
          <cell r="D532" t="str">
            <v xml:space="preserve">HERO SOLAR ENERGY PRIVATE LIMITED               </v>
          </cell>
          <cell r="E532" t="str">
            <v xml:space="preserve">11.84% HERO SOLAR SERIES A (10DEC2021)          </v>
          </cell>
          <cell r="F532">
            <v>44540</v>
          </cell>
          <cell r="G532" t="str">
            <v>11.84</v>
          </cell>
          <cell r="H532" t="str">
            <v>10-Dec-2021</v>
          </cell>
          <cell r="I532" t="str">
            <v>11.84% HERO SOLAR ENERGY PRIVATE LIMITED (10-Dec-2021)</v>
          </cell>
          <cell r="J532" t="str">
            <v>11.84% Hero Solar Energy Private Limited (10-Dec-2021)</v>
          </cell>
          <cell r="K532" t="str">
            <v>11.84% Hero Solar Energy Private Limited (10-Dec-2021) **</v>
          </cell>
        </row>
        <row r="533">
          <cell r="B533" t="str">
            <v>INE651J07481</v>
          </cell>
          <cell r="C533" t="str">
            <v>CRPN</v>
          </cell>
          <cell r="D533" t="str">
            <v xml:space="preserve">JM FINANCIAL CREDIT SOLUTIONS LTD               </v>
          </cell>
          <cell r="E533" t="str">
            <v xml:space="preserve">8.75% JMFCS (12SEP2019)                         </v>
          </cell>
          <cell r="F533">
            <v>43720</v>
          </cell>
          <cell r="G533" t="str">
            <v>8.75</v>
          </cell>
          <cell r="H533" t="str">
            <v>12-Sep-2019</v>
          </cell>
          <cell r="I533" t="str">
            <v>8.75% JM FINANCIAL CREDIT SOLUTIONS LTD (12-Sep-2019)</v>
          </cell>
          <cell r="J533" t="str">
            <v>8.75% Jm Financial Credit Solutions Ltd (12-Sep-2019)</v>
          </cell>
          <cell r="K533" t="str">
            <v>8.75% Jm Financial Credit Solutions Ltd (12-Sep-2019) **</v>
          </cell>
        </row>
        <row r="534">
          <cell r="B534" t="str">
            <v>INE721A07MA5</v>
          </cell>
          <cell r="C534" t="str">
            <v>CFLT</v>
          </cell>
          <cell r="D534" t="str">
            <v xml:space="preserve">SHRIRAM TRANSPORT FINANCE CO LTD                </v>
          </cell>
          <cell r="E534" t="str">
            <v xml:space="preserve">STFC (1YRINCDFIX + SPREAD) 30MAR2020            </v>
          </cell>
          <cell r="F534">
            <v>43920</v>
          </cell>
          <cell r="H534" t="str">
            <v>30-Mar-2020</v>
          </cell>
          <cell r="I534" t="str">
            <v>% SHRIRAM TRANSPORT FINANCE CO LTD (30-Mar-2020)</v>
          </cell>
          <cell r="J534" t="str">
            <v>Shriram Transport Finance Co Ltd ( One Year CD Rate + 150 Bps) (30-Mar-2020)</v>
          </cell>
          <cell r="K534" t="str">
            <v>Shriram Transport Finance Co Ltd ( One Year CD Rate + 150 Bps) (30-Mar-2020) **</v>
          </cell>
        </row>
        <row r="535">
          <cell r="B535" t="str">
            <v>INE371K08128</v>
          </cell>
          <cell r="C535" t="str">
            <v>ZERO</v>
          </cell>
          <cell r="D535" t="str">
            <v xml:space="preserve">TATA REALTY &amp; INFRASTRUCTURE LTD                </v>
          </cell>
          <cell r="E535" t="str">
            <v xml:space="preserve">0% TRIL (4JUN2021)                              </v>
          </cell>
          <cell r="F535">
            <v>44351</v>
          </cell>
          <cell r="G535" t="str">
            <v>0.00</v>
          </cell>
          <cell r="H535" t="str">
            <v>04-Jun-2021</v>
          </cell>
          <cell r="I535" t="str">
            <v>0.00% TATA REALTY &amp; INFRASTRUCTURE LTD (04-Jun-2021)</v>
          </cell>
          <cell r="J535" t="str">
            <v>0.00% Tata Realty &amp; Infrastructure Ltd (04-Jun-2021)</v>
          </cell>
          <cell r="K535" t="str">
            <v>0.00% Tata Realty &amp; Infrastructure Ltd (04-Jun-2021) **</v>
          </cell>
        </row>
        <row r="536">
          <cell r="B536" t="str">
            <v>INE660N07054</v>
          </cell>
          <cell r="C536" t="str">
            <v>CRPN</v>
          </cell>
          <cell r="D536" t="str">
            <v xml:space="preserve">S D CORPORATION PRIVATE LTD                     </v>
          </cell>
          <cell r="E536" t="str">
            <v xml:space="preserve">11.50% S.D. CORP SERIES 1B (03JUN2022)          </v>
          </cell>
          <cell r="F536">
            <v>44715</v>
          </cell>
          <cell r="G536" t="str">
            <v>11.50</v>
          </cell>
          <cell r="H536" t="str">
            <v>03-Jun-2022</v>
          </cell>
          <cell r="I536" t="str">
            <v>11.50% S D CORPORATION PRIVATE LTD (03-Jun-2022)</v>
          </cell>
          <cell r="J536" t="str">
            <v>11.50% S D Corporation Private Ltd (03-Jun-2022)</v>
          </cell>
          <cell r="K536" t="str">
            <v>11.50% S D Corporation Private Ltd (03-Jun-2022) **</v>
          </cell>
        </row>
        <row r="537">
          <cell r="B537" t="str">
            <v>INE029A08040</v>
          </cell>
          <cell r="C537" t="str">
            <v>CRPN</v>
          </cell>
          <cell r="D537" t="str">
            <v xml:space="preserve">BHARAT PETROLEUM CORP LTD                       </v>
          </cell>
          <cell r="E537" t="str">
            <v xml:space="preserve">7.69% BPCL (16JAN2023)                          </v>
          </cell>
          <cell r="F537">
            <v>44942</v>
          </cell>
          <cell r="G537" t="str">
            <v>7.69</v>
          </cell>
          <cell r="H537" t="str">
            <v>16-Jan-2023</v>
          </cell>
          <cell r="I537" t="str">
            <v>7.69% BHARAT PETROLEUM CORP LTD (16-Jan-2023)</v>
          </cell>
          <cell r="J537" t="str">
            <v>7.69% Bharat Petroleum Corp Ltd (16-Jan-2023)</v>
          </cell>
          <cell r="K537" t="str">
            <v>7.69% Bharat Petroleum Corp Ltd (16-Jan-2023) **</v>
          </cell>
        </row>
        <row r="538">
          <cell r="B538" t="str">
            <v>INE053F07934</v>
          </cell>
          <cell r="C538" t="str">
            <v>CRPN</v>
          </cell>
          <cell r="D538" t="str">
            <v xml:space="preserve">INDIAN RAILWAY FINANCE CORP LTD                 </v>
          </cell>
          <cell r="E538" t="str">
            <v xml:space="preserve">7.24% IRFC (08NOV2021)                          </v>
          </cell>
          <cell r="F538">
            <v>44508</v>
          </cell>
          <cell r="G538" t="str">
            <v>7.24</v>
          </cell>
          <cell r="H538" t="str">
            <v>08-Nov-2021</v>
          </cell>
          <cell r="I538" t="str">
            <v>7.24% INDIAN RAILWAY FINANCE CORP LTD (08-Nov-2021)</v>
          </cell>
          <cell r="J538" t="str">
            <v>7.24% Indian Railway Finance Corp Ltd (08-Nov-2021)</v>
          </cell>
          <cell r="K538" t="str">
            <v>7.24% Indian Railway Finance Corp Ltd (08-Nov-2021) **</v>
          </cell>
        </row>
        <row r="539">
          <cell r="B539" t="str">
            <v>INE261F08BI5</v>
          </cell>
          <cell r="C539" t="str">
            <v>CRPN</v>
          </cell>
          <cell r="D539" t="str">
            <v>NATIONAL BANK FOR AGRICULTURE AND RURAL DEVELOPMent</v>
          </cell>
          <cell r="E539" t="str">
            <v xml:space="preserve">7.90% NABARD (18APR2022)                        </v>
          </cell>
          <cell r="F539">
            <v>44669</v>
          </cell>
          <cell r="G539" t="str">
            <v>7.90</v>
          </cell>
          <cell r="H539" t="str">
            <v>18-Apr-2022</v>
          </cell>
          <cell r="I539" t="str">
            <v>7.90% NATIONAL BANK FOR AGRICULTURE AND RURAL DEVELOPMent (18-Apr-2022)</v>
          </cell>
          <cell r="J539" t="str">
            <v>7.90% National Bank For Agriculture And Rural Development (18-Apr-2022)</v>
          </cell>
          <cell r="K539" t="str">
            <v>7.90% National Bank For Agriculture And Rural Development (18-Apr-2022)</v>
          </cell>
        </row>
        <row r="540">
          <cell r="B540" t="str">
            <v>INE660N07062</v>
          </cell>
          <cell r="C540" t="str">
            <v>CRPN</v>
          </cell>
          <cell r="D540" t="str">
            <v xml:space="preserve">S D CORPORATION PRIVATE LTD                     </v>
          </cell>
          <cell r="E540" t="str">
            <v xml:space="preserve">11.50% S.D. CORP SERIES 1C (03JUN2022)          </v>
          </cell>
          <cell r="F540">
            <v>44715</v>
          </cell>
          <cell r="G540" t="str">
            <v>11.50</v>
          </cell>
          <cell r="H540" t="str">
            <v>03-Jun-2022</v>
          </cell>
          <cell r="I540" t="str">
            <v>11.50% S D CORPORATION PRIVATE LTD (03-Jun-2022)</v>
          </cell>
          <cell r="J540" t="str">
            <v>11.50% S D Corporation Private Ltd (03-Jun-2022)</v>
          </cell>
          <cell r="K540" t="str">
            <v>11.50% S D Corporation Private Ltd (03-Jun-2022) **</v>
          </cell>
        </row>
        <row r="541">
          <cell r="B541" t="str">
            <v>INE651J07739</v>
          </cell>
          <cell r="C541" t="str">
            <v>CFLT</v>
          </cell>
          <cell r="D541" t="str">
            <v xml:space="preserve">JM FINANCIAL CREDIT SOLUTIONS LTD               </v>
          </cell>
          <cell r="E541" t="str">
            <v>JMFCS (1YR SBI MCLR + SPREAD) 23JUL2024 QTRLY RE</v>
          </cell>
          <cell r="F541">
            <v>45496</v>
          </cell>
          <cell r="H541" t="str">
            <v>23-Jul-2024</v>
          </cell>
          <cell r="I541" t="str">
            <v>% JM FINANCIAL CREDIT SOLUTIONS LTD (23-Jul-2024)</v>
          </cell>
          <cell r="J541" t="str">
            <v>JM Financial Credit Solutions Ltd (1Y SBI MCLR + 160 Bps) (23-Jul-2024)</v>
          </cell>
          <cell r="K541" t="str">
            <v>JM Financial Credit Solutions Ltd (1Y SBI MCLR + 160 Bps) (23-Jul-2024) **</v>
          </cell>
        </row>
        <row r="542">
          <cell r="B542" t="str">
            <v>INE721A08DE4</v>
          </cell>
          <cell r="C542" t="str">
            <v>CRPN</v>
          </cell>
          <cell r="D542" t="str">
            <v xml:space="preserve">SHRIRAM TRANSPORT FINANCE CO LTD                </v>
          </cell>
          <cell r="E542" t="str">
            <v xml:space="preserve">10.25% SHRIRAM TRANSPORT SD (27DEC2024)         </v>
          </cell>
          <cell r="F542">
            <v>45653</v>
          </cell>
          <cell r="G542">
            <v>10.25</v>
          </cell>
          <cell r="H542" t="str">
            <v>27-Dec-2024</v>
          </cell>
          <cell r="I542" t="str">
            <v>10.25% SHRIRAM TRANSPORT FINANCE CO LTD (27-Dec-2024)</v>
          </cell>
          <cell r="J542" t="str">
            <v>10.25% Shriram Transport Finance Co Ltd (27-Dec-2024)</v>
          </cell>
          <cell r="K542" t="str">
            <v>10.25% Shriram Transport Finance Co Ltd (27-Dec-2024) **</v>
          </cell>
        </row>
        <row r="543">
          <cell r="B543" t="str">
            <v>INE721A07OI4</v>
          </cell>
          <cell r="C543" t="str">
            <v>CFLT</v>
          </cell>
          <cell r="D543" t="str">
            <v xml:space="preserve">SHRIRAM TRANSPORT FINANCE CO LTD                </v>
          </cell>
          <cell r="E543" t="str">
            <v xml:space="preserve">STFC (INCD3M+SPREAD) 11MAR2021 P/C 11MAR2020    </v>
          </cell>
          <cell r="F543">
            <v>44266</v>
          </cell>
          <cell r="H543" t="str">
            <v>11-Mar-2021</v>
          </cell>
          <cell r="I543" t="str">
            <v>% SHRIRAM TRANSPORT FINANCE CO LTD (11-Mar-2021)</v>
          </cell>
          <cell r="J543" t="str">
            <v>Shriram Transport Finance Co Ltd ( 3M INCDFIX Rate + 222 Bps) (11-Mar-2021)</v>
          </cell>
          <cell r="K543" t="str">
            <v>Shriram Transport Finance Co Ltd ( 3M INCDFIX Rate + 222 Bps) (11-Mar-2021) **</v>
          </cell>
        </row>
        <row r="544">
          <cell r="B544" t="str">
            <v>INE031A08731</v>
          </cell>
          <cell r="C544" t="str">
            <v>CRPN</v>
          </cell>
          <cell r="D544" t="str">
            <v xml:space="preserve">HOUSING &amp; URBAN DEVELOPMENT CORP LTD            </v>
          </cell>
          <cell r="E544" t="str">
            <v xml:space="preserve">7.34% HUDCO (16SEP2022)                         </v>
          </cell>
          <cell r="F544">
            <v>44820</v>
          </cell>
          <cell r="G544">
            <v>7.34</v>
          </cell>
          <cell r="H544" t="str">
            <v>16-Sep-2022</v>
          </cell>
          <cell r="I544" t="str">
            <v>7.34% HOUSING &amp; URBAN DEVELOPMENT CORP LTD (16-Sep-2022)</v>
          </cell>
          <cell r="J544" t="str">
            <v>7.34% Housing &amp; Urban Development Corp Ltd (16-Sep-2022)</v>
          </cell>
          <cell r="K544" t="str">
            <v>7.34% Housing &amp; Urban Development Corp Ltd (16-Sep-2022) **</v>
          </cell>
        </row>
        <row r="545">
          <cell r="B545" t="str">
            <v>INE733E07JO9</v>
          </cell>
          <cell r="C545" t="str">
            <v>CRPN</v>
          </cell>
          <cell r="D545" t="str">
            <v xml:space="preserve">NTPC LTD                                        </v>
          </cell>
          <cell r="E545" t="str">
            <v xml:space="preserve">9.17% NTPC (22SEP2024)                          </v>
          </cell>
          <cell r="F545">
            <v>45556</v>
          </cell>
          <cell r="G545">
            <v>9.17</v>
          </cell>
          <cell r="H545" t="str">
            <v>21-Sep-2024</v>
          </cell>
          <cell r="I545" t="str">
            <v>9.17% NTPC LTD (21-Sep-2024)</v>
          </cell>
          <cell r="J545" t="str">
            <v>9.17% Ntpc Ltd (21-Sep-2024)</v>
          </cell>
          <cell r="K545" t="str">
            <v>9.17% Ntpc Ltd (21-Sep-2024)</v>
          </cell>
        </row>
        <row r="546">
          <cell r="B546" t="str">
            <v>INE134E08FQ1</v>
          </cell>
          <cell r="C546" t="str">
            <v>CRPB</v>
          </cell>
          <cell r="D546" t="str">
            <v xml:space="preserve">POWER FINANCE CORP LTD                          </v>
          </cell>
          <cell r="E546" t="str">
            <v xml:space="preserve">8.94% PFC (25MAR2028)                           </v>
          </cell>
          <cell r="F546">
            <v>46837</v>
          </cell>
          <cell r="G546">
            <v>8.94</v>
          </cell>
          <cell r="H546" t="str">
            <v>25-Mar-2028</v>
          </cell>
          <cell r="I546" t="str">
            <v>8.94% POWER FINANCE CORP LTD (25-Mar-2028)</v>
          </cell>
          <cell r="J546" t="str">
            <v>8.94% Power Finance Corp Ltd (25-Mar-2028)</v>
          </cell>
          <cell r="K546" t="str">
            <v>8.94% Power Finance Corp Ltd (25-Mar-2028) **</v>
          </cell>
        </row>
        <row r="547">
          <cell r="B547" t="e">
            <v>#N/A</v>
          </cell>
          <cell r="C547" t="e">
            <v>#N/A</v>
          </cell>
          <cell r="D547" t="e">
            <v>#N/A</v>
          </cell>
          <cell r="E547" t="e">
            <v>#N/A</v>
          </cell>
          <cell r="F547" t="e">
            <v>#N/A</v>
          </cell>
          <cell r="G547" t="str">
            <v>8.40</v>
          </cell>
          <cell r="H547" t="e">
            <v>#N/A</v>
          </cell>
          <cell r="I547" t="e">
            <v>#N/A</v>
          </cell>
          <cell r="J547" t="e">
            <v>#N/A</v>
          </cell>
          <cell r="K547" t="e">
            <v>#N/A</v>
          </cell>
        </row>
        <row r="548">
          <cell r="B548" t="str">
            <v>INE851M07135</v>
          </cell>
          <cell r="C548" t="str">
            <v>CRPN</v>
          </cell>
          <cell r="D548" t="str">
            <v xml:space="preserve">VOLKSWAGEN FINANCE PVT LTD                      </v>
          </cell>
          <cell r="E548" t="str">
            <v xml:space="preserve">8.47% VOLKSWAGEN FINANCE (20SEP2019)            </v>
          </cell>
          <cell r="F548">
            <v>43728</v>
          </cell>
          <cell r="G548">
            <v>8.4700000000000006</v>
          </cell>
          <cell r="H548" t="str">
            <v>20-Sep-2019</v>
          </cell>
          <cell r="I548" t="str">
            <v>8.47% VOLKSWAGEN FINANCE PVT LTD (20-Sep-2019)</v>
          </cell>
          <cell r="J548" t="str">
            <v>8.47% Volkswagen Finance Pvt Ltd (20-Sep-2019)</v>
          </cell>
          <cell r="K548" t="str">
            <v>8.47% Volkswagen Finance Pvt Ltd (20-Sep-2019) **</v>
          </cell>
        </row>
        <row r="549">
          <cell r="B549" t="str">
            <v>IN0020180488</v>
          </cell>
          <cell r="C549" t="str">
            <v xml:space="preserve">GOV </v>
          </cell>
          <cell r="D549" t="str">
            <v xml:space="preserve">7.32% GOI 2024                                  </v>
          </cell>
          <cell r="E549" t="str">
            <v xml:space="preserve">7.32% GOI 2024 *FOR INDIA AMC ONLY*             </v>
          </cell>
          <cell r="F549">
            <v>45319</v>
          </cell>
          <cell r="H549" t="str">
            <v>28-Jan-2024</v>
          </cell>
          <cell r="I549" t="str">
            <v>7.32% GOI 2024 (28-Jan-2024)</v>
          </cell>
          <cell r="J549" t="str">
            <v>7.32% Goi 2024 (28-Jan-2024)</v>
          </cell>
          <cell r="K549" t="str">
            <v>7.32% GOI 2024 (28-Jan-2024)</v>
          </cell>
        </row>
        <row r="550">
          <cell r="B550" t="str">
            <v>INE091A07174</v>
          </cell>
          <cell r="C550" t="str">
            <v>CRPN</v>
          </cell>
          <cell r="D550" t="str">
            <v xml:space="preserve">NIRMA LIMITED                                   </v>
          </cell>
          <cell r="E550" t="str">
            <v xml:space="preserve">7.90% NIRMA (28FEB2020)                         </v>
          </cell>
          <cell r="F550">
            <v>43889</v>
          </cell>
          <cell r="G550" t="str">
            <v>7.90</v>
          </cell>
          <cell r="H550" t="str">
            <v>28-Feb-2020</v>
          </cell>
          <cell r="I550" t="str">
            <v>7.90% NIRMA LIMITED (28-Feb-2020)</v>
          </cell>
          <cell r="J550" t="str">
            <v>7.90% Nirma Limited (28-Feb-2020)</v>
          </cell>
          <cell r="K550" t="str">
            <v>7.90% Nirma Limited (28-Feb-2020) **</v>
          </cell>
        </row>
        <row r="551">
          <cell r="B551" t="str">
            <v>INE721A07MW9</v>
          </cell>
          <cell r="C551" t="str">
            <v>CRPN</v>
          </cell>
          <cell r="D551" t="str">
            <v xml:space="preserve">SHRIRAM TRANSPORT FINANCE CO LTD                </v>
          </cell>
          <cell r="E551" t="str">
            <v xml:space="preserve">7.6414% SHRIRAM TRANSPORT (10NOV2020)           </v>
          </cell>
          <cell r="F551">
            <v>44145</v>
          </cell>
          <cell r="G551" t="str">
            <v>7.6414</v>
          </cell>
          <cell r="H551" t="str">
            <v>10-Nov-2020</v>
          </cell>
          <cell r="I551" t="str">
            <v>7.6414% SHRIRAM TRANSPORT FINANCE CO LTD (10-Nov-2020)</v>
          </cell>
          <cell r="J551" t="str">
            <v>7.6414% Shriram Transport Finance Co Ltd (10-Nov-2020)</v>
          </cell>
          <cell r="K551" t="str">
            <v>7.6414% Shriram Transport Finance Co Ltd (10-Nov-2020) **</v>
          </cell>
        </row>
        <row r="552">
          <cell r="B552" t="str">
            <v>INE721A07NR7</v>
          </cell>
          <cell r="C552" t="str">
            <v>CRPN</v>
          </cell>
          <cell r="D552" t="str">
            <v xml:space="preserve">SHRIRAM TRANSPORT FINANCE CO LTD                </v>
          </cell>
          <cell r="E552" t="str">
            <v xml:space="preserve">8.45% SHRIRAM TRANSPORT (27MAR2020)             </v>
          </cell>
          <cell r="F552">
            <v>43917</v>
          </cell>
          <cell r="G552">
            <v>8.4499999999999993</v>
          </cell>
          <cell r="H552" t="str">
            <v>27-Mar-2020</v>
          </cell>
          <cell r="I552" t="str">
            <v>8.45% SHRIRAM TRANSPORT FINANCE CO LTD (27-Mar-2020)</v>
          </cell>
          <cell r="J552" t="str">
            <v>8.45% Shriram Transport Finance Co Ltd (27-Mar-2020)</v>
          </cell>
          <cell r="K552" t="str">
            <v>8.45% Shriram Transport Finance Co Ltd (27-Mar-2020) **</v>
          </cell>
        </row>
        <row r="553">
          <cell r="B553" t="str">
            <v>INE155A08340</v>
          </cell>
          <cell r="C553" t="str">
            <v>CRPN</v>
          </cell>
          <cell r="D553" t="str">
            <v xml:space="preserve">TATA MOTORS LTD                                 </v>
          </cell>
          <cell r="E553" t="str">
            <v xml:space="preserve">7.50% TATA MOTORS (22JUN2022)                   </v>
          </cell>
          <cell r="F553">
            <v>44734</v>
          </cell>
          <cell r="G553" t="str">
            <v>7.50</v>
          </cell>
          <cell r="H553" t="str">
            <v>22-Jun-2022</v>
          </cell>
          <cell r="I553" t="str">
            <v>7.50% TATA MOTORS LTD (22-Jun-2022)</v>
          </cell>
          <cell r="J553" t="str">
            <v>7.50% Tata Motors Ltd (22-Jun-2022)</v>
          </cell>
          <cell r="K553" t="str">
            <v>7.50% Tata Motors Ltd (22-Jun-2022) **</v>
          </cell>
        </row>
        <row r="554">
          <cell r="B554" t="str">
            <v>INE155A08357</v>
          </cell>
          <cell r="C554" t="str">
            <v>CRPN</v>
          </cell>
          <cell r="D554" t="str">
            <v xml:space="preserve">TATA MOTORS LTD                                 </v>
          </cell>
          <cell r="E554" t="str">
            <v xml:space="preserve">7.28% TATA MOTORS (29JUL2020)                   </v>
          </cell>
          <cell r="F554">
            <v>44041</v>
          </cell>
          <cell r="G554">
            <v>7.28</v>
          </cell>
          <cell r="H554" t="str">
            <v>29-Jul-2020</v>
          </cell>
          <cell r="I554" t="str">
            <v>7.28% TATA MOTORS LTD (29-Jul-2020)</v>
          </cell>
          <cell r="J554" t="str">
            <v>7.28% Tata Motors Ltd (29-Jul-2020)</v>
          </cell>
          <cell r="K554" t="str">
            <v>7.28% Tata Motors Ltd (29-Jul-2020) **</v>
          </cell>
        </row>
        <row r="555">
          <cell r="B555" t="str">
            <v>INE155A08316</v>
          </cell>
          <cell r="C555" t="str">
            <v>CRPN</v>
          </cell>
          <cell r="D555" t="str">
            <v xml:space="preserve">TATA MOTORS LTD                                 </v>
          </cell>
          <cell r="E555" t="str">
            <v xml:space="preserve">7.50% TATA MOTORS (20OCT2021)                   </v>
          </cell>
          <cell r="F555">
            <v>44489</v>
          </cell>
          <cell r="G555" t="str">
            <v>7.50</v>
          </cell>
          <cell r="H555" t="str">
            <v>20-Oct-2021</v>
          </cell>
          <cell r="I555" t="str">
            <v>7.50% TATA MOTORS LTD (20-Oct-2021)</v>
          </cell>
          <cell r="J555" t="str">
            <v>7.50% Tata Motors Ltd (20-Oct-2021)</v>
          </cell>
          <cell r="K555" t="str">
            <v>7.50% Tata Motors Ltd (20-Oct-2021) **</v>
          </cell>
        </row>
        <row r="556">
          <cell r="B556" t="str">
            <v>INE265J07373</v>
          </cell>
          <cell r="C556" t="str">
            <v>CRPN</v>
          </cell>
          <cell r="D556" t="str">
            <v xml:space="preserve">JM FINANCIAL ASSET RECONSTRUCTION CO LTD        </v>
          </cell>
          <cell r="E556" t="str">
            <v xml:space="preserve">12.50% JMARC (02AUG2022)                        </v>
          </cell>
          <cell r="F556">
            <v>44775</v>
          </cell>
          <cell r="G556" t="str">
            <v>12.50</v>
          </cell>
          <cell r="H556" t="str">
            <v>02-Aug-2022</v>
          </cell>
          <cell r="I556" t="str">
            <v>12.50% JM FINANCIAL ASSET RECONSTRUCTION CO LTD (02-Aug-2022)</v>
          </cell>
          <cell r="J556" t="str">
            <v>12.50% Jm Financial Asset Reconstruction Co Ltd (02-Aug-2022)</v>
          </cell>
          <cell r="K556" t="str">
            <v>12.50% Jm Financial Asset Reconstruction Co Ltd (02-Aug-2022) **</v>
          </cell>
        </row>
        <row r="557">
          <cell r="B557" t="str">
            <v>INE216A07052</v>
          </cell>
          <cell r="C557" t="str">
            <v>CRPN</v>
          </cell>
          <cell r="D557" t="str">
            <v xml:space="preserve">BRITANNIA INDUSTRIES LTD                        </v>
          </cell>
          <cell r="E557" t="str">
            <v xml:space="preserve">8.00% BRITANNIA INDUSTRIES LTD (28 AUG 2022)    </v>
          </cell>
          <cell r="F557">
            <v>44801</v>
          </cell>
          <cell r="G557" t="str">
            <v>8.00</v>
          </cell>
          <cell r="H557" t="str">
            <v>28-Aug-2022</v>
          </cell>
          <cell r="I557" t="str">
            <v>8.00% BRITANNIA INDUSTRIES LTD (28-Aug-2022)</v>
          </cell>
          <cell r="J557" t="str">
            <v>8.00% Britannia Industries Ltd (28-Aug-2022)</v>
          </cell>
          <cell r="K557" t="str">
            <v>8.00% Britannia Industries Ltd (28-Aug-2022) **</v>
          </cell>
        </row>
        <row r="558">
          <cell r="B558" t="str">
            <v>INE572E09478</v>
          </cell>
          <cell r="C558" t="str">
            <v>CRPN</v>
          </cell>
          <cell r="D558" t="str">
            <v xml:space="preserve">PNB HOUSING FINANCE LTD                         </v>
          </cell>
          <cell r="E558" t="str">
            <v xml:space="preserve">7.50% PNB HOUSING (15SEP2020)                   </v>
          </cell>
          <cell r="F558">
            <v>44089</v>
          </cell>
          <cell r="G558" t="str">
            <v>7.50</v>
          </cell>
          <cell r="H558" t="str">
            <v>15-Sep-2020</v>
          </cell>
          <cell r="I558" t="str">
            <v>7.50% PNB HOUSING FINANCE LTD (15-Sep-2020)</v>
          </cell>
          <cell r="J558" t="str">
            <v>7.50% Pnb Housing Finance Ltd (15-Sep-2020)</v>
          </cell>
          <cell r="K558" t="str">
            <v>7.50% Pnb Housing Finance Ltd (15-Sep-2020)</v>
          </cell>
        </row>
        <row r="559">
          <cell r="B559" t="str">
            <v>INE124N07309</v>
          </cell>
          <cell r="C559" t="str">
            <v>CRPN</v>
          </cell>
          <cell r="D559" t="str">
            <v xml:space="preserve">ESS KAY FINCORP LIMITED                         </v>
          </cell>
          <cell r="E559" t="str">
            <v xml:space="preserve">12.00% ESSKAY (01AUG2023 PO 31JAN2021 31JUL2021 </v>
          </cell>
          <cell r="F559">
            <v>45139</v>
          </cell>
          <cell r="G559" t="str">
            <v>12.00</v>
          </cell>
          <cell r="H559" t="str">
            <v>01-Aug-2023</v>
          </cell>
          <cell r="I559" t="str">
            <v>12.00% ESS KAY FINCORP LIMITED (01-Aug-2023)</v>
          </cell>
          <cell r="J559" t="str">
            <v>12.00% Ess Kay Fincorp Limited (01-Aug-2023)</v>
          </cell>
          <cell r="K559" t="str">
            <v>12.00% Ess Kay Fincorp Limited (01-Aug-2023) **</v>
          </cell>
        </row>
        <row r="560">
          <cell r="B560" t="str">
            <v>INE265J07365</v>
          </cell>
          <cell r="C560" t="str">
            <v>CRPN</v>
          </cell>
          <cell r="D560" t="str">
            <v xml:space="preserve">JM FINANCIAL ASSET RECONSTRUCTION CO LTD        </v>
          </cell>
          <cell r="E560" t="str">
            <v xml:space="preserve">12.40% JMARC (02AUG2021)                        </v>
          </cell>
          <cell r="F560">
            <v>44410</v>
          </cell>
          <cell r="G560" t="str">
            <v>12.40</v>
          </cell>
          <cell r="H560" t="str">
            <v>02-Aug-2021</v>
          </cell>
          <cell r="I560" t="str">
            <v>12.40% JM FINANCIAL ASSET RECONSTRUCTION CO LTD (02-Aug-2021)</v>
          </cell>
          <cell r="J560" t="str">
            <v>12.40% Jm Financial Asset Reconstruction Co Ltd (02-Aug-2021)</v>
          </cell>
          <cell r="K560" t="str">
            <v>12.40% Jm Financial Asset Reconstruction Co Ltd (02-Aug-2021) **</v>
          </cell>
        </row>
        <row r="561">
          <cell r="B561" t="str">
            <v>INE261F08BN5</v>
          </cell>
          <cell r="C561" t="str">
            <v>CRPN</v>
          </cell>
          <cell r="D561" t="str">
            <v>NATIONAL BANK FOR AGRICULTURE AND RURAL DEVELOPMent</v>
          </cell>
          <cell r="E561" t="str">
            <v xml:space="preserve">7.18% NABARD (08AUG2022)                        </v>
          </cell>
          <cell r="F561">
            <v>44781</v>
          </cell>
          <cell r="G561">
            <v>7.18</v>
          </cell>
          <cell r="H561" t="str">
            <v>08-Aug-2022</v>
          </cell>
          <cell r="I561" t="str">
            <v>7.18% NATIONAL BANK FOR AGRICULTURE AND RURAL DEVELOPMent (08-Aug-2022)</v>
          </cell>
          <cell r="J561" t="str">
            <v>7.18% National Bank For Agriculture And Rural Development (08-Aug-2022)</v>
          </cell>
          <cell r="K561" t="str">
            <v>7.18% National Bank For Agriculture And Rural Development (08-Aug-2022) **</v>
          </cell>
        </row>
        <row r="562">
          <cell r="B562" t="str">
            <v>INE752E07KN9</v>
          </cell>
          <cell r="C562" t="str">
            <v>CRPN</v>
          </cell>
          <cell r="D562" t="str">
            <v xml:space="preserve">POWER GRID CORP OF INDIA LTD                    </v>
          </cell>
          <cell r="E562" t="str">
            <v xml:space="preserve">8.80% PGC (13MAR2023)                           </v>
          </cell>
          <cell r="F562">
            <v>44998</v>
          </cell>
          <cell r="G562" t="str">
            <v>8.80</v>
          </cell>
          <cell r="H562" t="str">
            <v>13-Mar-2023</v>
          </cell>
          <cell r="I562" t="str">
            <v>8.80% POWER GRID CORP OF INDIA LTD (13-Mar-2023)</v>
          </cell>
          <cell r="J562" t="str">
            <v>8.80% Power Grid Corp Of India Ltd (13-Mar-2023)</v>
          </cell>
          <cell r="K562" t="str">
            <v>8.80% Power Grid Corp Of India Ltd (13-Mar-2023) **</v>
          </cell>
        </row>
        <row r="563">
          <cell r="B563" t="str">
            <v>INE556F08JL5</v>
          </cell>
          <cell r="C563" t="str">
            <v>CRPN</v>
          </cell>
          <cell r="D563" t="str">
            <v xml:space="preserve">SMALL INDUSTRIES DEVELOPMENT BANK OF INDIA      </v>
          </cell>
          <cell r="E563" t="str">
            <v xml:space="preserve">7.89% SIDBI (15NOV2022 P/C 14MAY2021)           </v>
          </cell>
          <cell r="F563">
            <v>44880</v>
          </cell>
          <cell r="G563">
            <v>7.89</v>
          </cell>
          <cell r="H563" t="str">
            <v>15-Nov-2022</v>
          </cell>
          <cell r="I563" t="str">
            <v>7.89% SMALL INDUSTRIES DEVELOPMENT BANK OF INDIA (15-Nov-2022)</v>
          </cell>
          <cell r="J563" t="str">
            <v>7.89% Small Industries Development Bank Of India (15-Nov-2022)</v>
          </cell>
          <cell r="K563" t="str">
            <v>7.89% Small Industries Development Bank Of India (15-Nov-2022)</v>
          </cell>
        </row>
        <row r="564">
          <cell r="B564" t="str">
            <v>INE860H07DV1</v>
          </cell>
          <cell r="C564" t="str">
            <v>CRPN</v>
          </cell>
          <cell r="D564" t="str">
            <v xml:space="preserve">ADITYA BIRLA FINANCE LTD                        </v>
          </cell>
          <cell r="E564" t="str">
            <v xml:space="preserve">8.20% ABFL (10SEP2019)                          </v>
          </cell>
          <cell r="F564">
            <v>43718</v>
          </cell>
          <cell r="G564" t="str">
            <v>8.20</v>
          </cell>
          <cell r="H564" t="str">
            <v>10-Sep-2019</v>
          </cell>
          <cell r="I564" t="str">
            <v>8.20% ADITYA BIRLA FINANCE LTD (10-Sep-2019)</v>
          </cell>
          <cell r="J564" t="str">
            <v>8.20% Aditya Birla Finance Ltd (10-Sep-2019)</v>
          </cell>
          <cell r="K564" t="str">
            <v>8.20% Aditya Birla Finance Ltd (10-Sep-2019) **</v>
          </cell>
        </row>
        <row r="565">
          <cell r="B565" t="str">
            <v>INE137K07018</v>
          </cell>
          <cell r="C565" t="str">
            <v>CRPN</v>
          </cell>
          <cell r="D565" t="str">
            <v xml:space="preserve">HPCL-MITTAL ENERGY LTD                          </v>
          </cell>
          <cell r="E565" t="str">
            <v xml:space="preserve">4% HPCL-MITTAL ENERGY LTD (03-SEP-2020)         </v>
          </cell>
          <cell r="F565">
            <v>44077</v>
          </cell>
          <cell r="G565" t="str">
            <v>4.00</v>
          </cell>
          <cell r="H565" t="str">
            <v>03-Sep-2020</v>
          </cell>
          <cell r="I565" t="str">
            <v>4.00% HPCL-MITTAL ENERGY LTD (03-Sep-2020)</v>
          </cell>
          <cell r="J565" t="str">
            <v>4.00% Hpcl-Mittal Energy Ltd (03-Sep-2020)</v>
          </cell>
          <cell r="K565" t="str">
            <v>4.00% Hpcl-Mittal Energy Ltd (03-Sep-2020) **</v>
          </cell>
        </row>
        <row r="566">
          <cell r="B566" t="str">
            <v>INE265J07357</v>
          </cell>
          <cell r="C566" t="str">
            <v>CRPN</v>
          </cell>
          <cell r="D566" t="str">
            <v xml:space="preserve">JM FINANCIAL ASSET RECONSTRUCTION CO LTD        </v>
          </cell>
          <cell r="E566" t="str">
            <v xml:space="preserve">12.40% JMARC (02FEB2022)                        </v>
          </cell>
          <cell r="F566">
            <v>44594</v>
          </cell>
          <cell r="G566" t="str">
            <v>12.40</v>
          </cell>
          <cell r="H566" t="str">
            <v>02-Feb-2022</v>
          </cell>
          <cell r="I566" t="str">
            <v>12.40% JM FINANCIAL ASSET RECONSTRUCTION CO LTD (02-Feb-2022)</v>
          </cell>
          <cell r="J566" t="str">
            <v>12.40% Jm Financial Asset Reconstruction Co Ltd (02-Feb-2022)</v>
          </cell>
          <cell r="K566" t="str">
            <v>12.40% Jm Financial Asset Reconstruction Co Ltd (02-Feb-2022) **</v>
          </cell>
        </row>
        <row r="567">
          <cell r="B567" t="str">
            <v>INE397D08029</v>
          </cell>
          <cell r="C567" t="str">
            <v>CRPN</v>
          </cell>
          <cell r="D567" t="str">
            <v xml:space="preserve">BHARTI AIRTEL LTD                               </v>
          </cell>
          <cell r="E567" t="str">
            <v xml:space="preserve">8.25% BHARTI AIRTEL (20APR2020)                 </v>
          </cell>
          <cell r="F567">
            <v>43941</v>
          </cell>
          <cell r="G567" t="str">
            <v>8.25</v>
          </cell>
          <cell r="H567" t="str">
            <v>20-Apr-2020</v>
          </cell>
          <cell r="I567" t="str">
            <v>8.25% BHARTI AIRTEL LTD (20-Apr-2020)</v>
          </cell>
          <cell r="J567" t="str">
            <v>8.25% Bharti Airtel Ltd (20-Apr-2020)</v>
          </cell>
          <cell r="K567" t="str">
            <v>8.25% Bharti Airtel Ltd (20-Apr-2020) **</v>
          </cell>
        </row>
        <row r="568">
          <cell r="B568" t="str">
            <v>INE403D08025</v>
          </cell>
          <cell r="C568" t="str">
            <v>ZERO</v>
          </cell>
          <cell r="D568" t="str">
            <v xml:space="preserve">BHARTI TELECOM LTD                              </v>
          </cell>
          <cell r="E568" t="str">
            <v xml:space="preserve">0% BHARTI TELECOM (19FEB2021)                   </v>
          </cell>
          <cell r="F568">
            <v>44246</v>
          </cell>
          <cell r="G568" t="str">
            <v>0.00</v>
          </cell>
          <cell r="H568" t="str">
            <v>19-Feb-2021</v>
          </cell>
          <cell r="I568" t="str">
            <v>0.00% BHARTI TELECOM LTD (19-Feb-2021)</v>
          </cell>
          <cell r="J568" t="str">
            <v>0.00% Bharti Telecom Ltd (19-Feb-2021)</v>
          </cell>
          <cell r="K568" t="str">
            <v>0.00% Bharti Telecom Ltd (19-Feb-2021) **</v>
          </cell>
        </row>
        <row r="569">
          <cell r="B569" t="str">
            <v>INE572E09270</v>
          </cell>
          <cell r="C569" t="str">
            <v>CRPN</v>
          </cell>
          <cell r="D569" t="str">
            <v xml:space="preserve">PNB HOUSING FINANCE LTD                         </v>
          </cell>
          <cell r="E569" t="str">
            <v xml:space="preserve">8.59% PNB HOUSING (17JUN2020)                   </v>
          </cell>
          <cell r="F569">
            <v>43999</v>
          </cell>
          <cell r="G569" t="str">
            <v>8.59</v>
          </cell>
          <cell r="H569" t="str">
            <v>17-Jun-2020</v>
          </cell>
          <cell r="I569" t="str">
            <v>8.59% PNB HOUSING FINANCE LTD (17-Jun-2020)</v>
          </cell>
          <cell r="J569" t="str">
            <v>8.59% Pnb Housing Finance Ltd (17-Jun-2020)</v>
          </cell>
          <cell r="K569" t="str">
            <v>8.59% Pnb Housing Finance Ltd (17-Jun-2020)</v>
          </cell>
        </row>
        <row r="570">
          <cell r="B570" t="str">
            <v>INE572E09361</v>
          </cell>
          <cell r="C570" t="str">
            <v>CRPN</v>
          </cell>
          <cell r="D570" t="str">
            <v xml:space="preserve">PNB HOUSING FINANCE LTD                         </v>
          </cell>
          <cell r="E570" t="str">
            <v xml:space="preserve">8.47% PNB HOUSING (1JUL2021)                    </v>
          </cell>
          <cell r="F570">
            <v>44378</v>
          </cell>
          <cell r="G570">
            <v>8.4700000000000006</v>
          </cell>
          <cell r="H570" t="str">
            <v>01-Jul-2021</v>
          </cell>
          <cell r="I570" t="str">
            <v>8.47% PNB HOUSING FINANCE LTD (01-Jul-2021)</v>
          </cell>
          <cell r="J570" t="str">
            <v>8.47% Pnb Housing Finance Ltd (01-Jul-2021)</v>
          </cell>
          <cell r="K570" t="str">
            <v>8.47% Pnb Housing Finance Ltd (01-Jul-2021)</v>
          </cell>
        </row>
        <row r="571">
          <cell r="B571" t="str">
            <v>INE572E09411</v>
          </cell>
          <cell r="C571" t="str">
            <v>CRPN</v>
          </cell>
          <cell r="D571" t="str">
            <v xml:space="preserve">PNB HOUSING FINANCE LTD                         </v>
          </cell>
          <cell r="E571" t="str">
            <v xml:space="preserve">7.46% PNB HOUSING (30APR2020)                   </v>
          </cell>
          <cell r="F571">
            <v>43951</v>
          </cell>
          <cell r="G571">
            <v>7.46</v>
          </cell>
          <cell r="H571" t="str">
            <v>30-Apr-2020</v>
          </cell>
          <cell r="I571" t="str">
            <v>7.46% PNB HOUSING FINANCE LTD (30-Apr-2020)</v>
          </cell>
          <cell r="J571" t="str">
            <v>7.46% Pnb Housing Finance Ltd (30-Apr-2020)</v>
          </cell>
          <cell r="K571" t="str">
            <v>7.46% Pnb Housing Finance Ltd (30-Apr-2020)</v>
          </cell>
        </row>
        <row r="572">
          <cell r="B572" t="str">
            <v>INE572E09460</v>
          </cell>
          <cell r="C572" t="str">
            <v>CRPN</v>
          </cell>
          <cell r="D572" t="str">
            <v xml:space="preserve">PNB HOUSING FINANCE LTD                         </v>
          </cell>
          <cell r="E572" t="str">
            <v xml:space="preserve">7.63% PNB HOUSING (14JUL2020)                   </v>
          </cell>
          <cell r="F572">
            <v>44026</v>
          </cell>
          <cell r="G572">
            <v>7.63</v>
          </cell>
          <cell r="H572" t="str">
            <v>14-Jul-2020</v>
          </cell>
          <cell r="I572" t="str">
            <v>7.63% PNB HOUSING FINANCE LTD (14-Jul-2020)</v>
          </cell>
          <cell r="J572" t="str">
            <v>7.63% Pnb Housing Finance Ltd (14-Jul-2020)</v>
          </cell>
          <cell r="K572" t="str">
            <v>7.63% Pnb Housing Finance Ltd (14-Jul-2020)</v>
          </cell>
        </row>
        <row r="573">
          <cell r="B573" t="str">
            <v>INE572E09429</v>
          </cell>
          <cell r="C573" t="str">
            <v>CRPN</v>
          </cell>
          <cell r="D573" t="str">
            <v xml:space="preserve">PNB HOUSING FINANCE LTD                         </v>
          </cell>
          <cell r="E573" t="str">
            <v xml:space="preserve">7.80% PNB HOUSING (7MAY2021)                    </v>
          </cell>
          <cell r="F573">
            <v>44323</v>
          </cell>
          <cell r="G573" t="str">
            <v>7.80</v>
          </cell>
          <cell r="H573" t="str">
            <v>07-May-2021</v>
          </cell>
          <cell r="I573" t="str">
            <v>7.80% PNB HOUSING FINANCE LTD (07-May-2021)</v>
          </cell>
          <cell r="J573" t="str">
            <v>7.80% Pnb Housing Finance Ltd (07-May-2021)</v>
          </cell>
          <cell r="K573" t="str">
            <v>7.80% Pnb Housing Finance Ltd (07-May-2021)</v>
          </cell>
        </row>
        <row r="574">
          <cell r="B574" t="str">
            <v>INE155A08043</v>
          </cell>
          <cell r="C574" t="str">
            <v>CRPN</v>
          </cell>
          <cell r="D574" t="str">
            <v xml:space="preserve">TATA MOTORS LTD                                 </v>
          </cell>
          <cell r="E574" t="str">
            <v xml:space="preserve">9.90% TATA MOTORS (7MAY2020)                    </v>
          </cell>
          <cell r="F574">
            <v>43958</v>
          </cell>
          <cell r="G574" t="str">
            <v>9.90</v>
          </cell>
          <cell r="H574" t="str">
            <v>07-May-2020</v>
          </cell>
          <cell r="I574" t="str">
            <v>9.90% TATA MOTORS LTD (07-May-2020)</v>
          </cell>
          <cell r="J574" t="str">
            <v>9.90% Tata Motors Ltd (07-May-2020)</v>
          </cell>
          <cell r="K574" t="str">
            <v>9.90% Tata Motors Ltd (07-May-2020) **</v>
          </cell>
        </row>
        <row r="575">
          <cell r="B575" t="str">
            <v>INE081A08181</v>
          </cell>
          <cell r="C575" t="str">
            <v>CRPN</v>
          </cell>
          <cell r="D575" t="str">
            <v xml:space="preserve">TATA STEEL LTD                                  </v>
          </cell>
          <cell r="E575" t="str">
            <v xml:space="preserve">2.00% TATA STEEL (23APR2022)                    </v>
          </cell>
          <cell r="F575">
            <v>44674</v>
          </cell>
          <cell r="G575" t="str">
            <v>2.20</v>
          </cell>
          <cell r="H575" t="str">
            <v>23-Apr-2022</v>
          </cell>
          <cell r="I575" t="str">
            <v>2.20% TATA STEEL LTD (23-Apr-2022)</v>
          </cell>
          <cell r="J575" t="str">
            <v>2.20% Tata Steel Ltd (23-Apr-2022)</v>
          </cell>
          <cell r="K575" t="str">
            <v>2.20% Tata Steel Ltd (23-Apr-2022) **</v>
          </cell>
        </row>
        <row r="576">
          <cell r="B576" t="str">
            <v>INE090A08UC2</v>
          </cell>
          <cell r="C576" t="str">
            <v>PERP</v>
          </cell>
          <cell r="D576" t="str">
            <v xml:space="preserve">ICICI BANK LTD                                  </v>
          </cell>
          <cell r="E576" t="str">
            <v xml:space="preserve">9.90% ICICI BANK AT1 (CO 28DEC2023)             </v>
          </cell>
          <cell r="F576">
            <v>54474</v>
          </cell>
          <cell r="G576" t="str">
            <v>9.90</v>
          </cell>
          <cell r="H576" t="str">
            <v>20-Feb-2049</v>
          </cell>
          <cell r="I576" t="str">
            <v>9.90% ICICI BANK LTD (20-Feb-2049)</v>
          </cell>
          <cell r="J576" t="str">
            <v>9.90% Icici Bank Ltd (20-Feb-2049)</v>
          </cell>
          <cell r="K576" t="str">
            <v>9.90% Icici Bank Ltd (20-Feb-2049) **</v>
          </cell>
        </row>
        <row r="577">
          <cell r="B577" t="str">
            <v>IN0020190016</v>
          </cell>
          <cell r="C577" t="str">
            <v xml:space="preserve">GOV </v>
          </cell>
          <cell r="D577" t="str">
            <v xml:space="preserve">7.27% GOI 2026                                  </v>
          </cell>
          <cell r="E577" t="str">
            <v xml:space="preserve">7.27% GOI 2026 ***FOR INDIA AMC ONLY***         </v>
          </cell>
          <cell r="F577">
            <v>46120</v>
          </cell>
          <cell r="H577" t="str">
            <v>08-Apr-2026</v>
          </cell>
          <cell r="I577" t="str">
            <v>7.27% GOI 2026 (08-Apr-2026)</v>
          </cell>
          <cell r="J577" t="str">
            <v>7.27% Goi 2026 (08-Apr-2026)</v>
          </cell>
          <cell r="K577" t="str">
            <v>7.27% GOI 2026 (08-Apr-2026)</v>
          </cell>
        </row>
        <row r="578">
          <cell r="B578" t="str">
            <v>INE094A08036</v>
          </cell>
          <cell r="C578" t="str">
            <v>CRPN</v>
          </cell>
          <cell r="D578" t="str">
            <v xml:space="preserve">HINDUSTAN PETROLEUM CORP LTD                    </v>
          </cell>
          <cell r="E578" t="str">
            <v xml:space="preserve">7.00% HPCL (14AUG2024)                          </v>
          </cell>
          <cell r="F578">
            <v>45518</v>
          </cell>
          <cell r="G578" t="str">
            <v>7.70</v>
          </cell>
          <cell r="H578" t="str">
            <v>14-Aug-2024</v>
          </cell>
          <cell r="I578" t="str">
            <v>7.70% HINDUSTAN PETROLEUM CORP LTD (14-Aug-2024)</v>
          </cell>
          <cell r="J578" t="str">
            <v>7.70% Hindustan Petroleum Corp Ltd (14-Aug-2024)</v>
          </cell>
          <cell r="K578" t="str">
            <v>7.70% Hindustan Petroleum Corp Ltd (14-Aug-2024) **</v>
          </cell>
        </row>
      </sheetData>
      <sheetData sheetId="1"/>
      <sheetData sheetId="2">
        <row r="1">
          <cell r="B1" t="str">
            <v>ISIN</v>
          </cell>
          <cell r="C1" t="str">
            <v>Sec Type</v>
          </cell>
          <cell r="D1" t="str">
            <v>Issuer Name</v>
          </cell>
          <cell r="E1" t="str">
            <v>Mat Date</v>
          </cell>
          <cell r="G1" t="str">
            <v>Proper</v>
          </cell>
          <cell r="H1" t="str">
            <v>Traded</v>
          </cell>
        </row>
        <row r="2">
          <cell r="B2" t="e">
            <v>#N/A</v>
          </cell>
          <cell r="C2" t="e">
            <v>#N/A</v>
          </cell>
          <cell r="D2" t="e">
            <v>#N/A</v>
          </cell>
          <cell r="E2">
            <v>43685</v>
          </cell>
          <cell r="F2" t="str">
            <v>08-Aug-2019</v>
          </cell>
          <cell r="G2" t="e">
            <v>#N/A</v>
          </cell>
          <cell r="H2" t="e">
            <v>#N/A</v>
          </cell>
        </row>
        <row r="3">
          <cell r="B3" t="str">
            <v>INE480Q16283</v>
          </cell>
          <cell r="C3" t="str">
            <v xml:space="preserve">CDI </v>
          </cell>
          <cell r="D3" t="str">
            <v xml:space="preserve">COOPERATIEVE RABOBANK UA                        </v>
          </cell>
          <cell r="E3">
            <v>43797</v>
          </cell>
          <cell r="F3" t="str">
            <v>28-Nov-2019</v>
          </cell>
          <cell r="G3" t="str">
            <v>(MIBOR+160) Cooperatieve Rabobank (28-Nov-2019)</v>
          </cell>
          <cell r="H3" t="str">
            <v>(MIBOR+160) Cooperatieve Rabobank (28-Nov-2019) **</v>
          </cell>
        </row>
        <row r="4">
          <cell r="B4" t="str">
            <v>INE001A14UH6</v>
          </cell>
          <cell r="C4" t="str">
            <v xml:space="preserve">CPD </v>
          </cell>
          <cell r="D4" t="str">
            <v xml:space="preserve">HOUSING DEVELOPMENT FINANCE CORP LTD            </v>
          </cell>
          <cell r="E4">
            <v>43783</v>
          </cell>
          <cell r="F4" t="str">
            <v>14-Nov-2019</v>
          </cell>
          <cell r="G4" t="str">
            <v>Housing Development Finance Corp Ltd (14-Nov-2019)</v>
          </cell>
          <cell r="H4" t="str">
            <v>Housing Development Finance Corp Ltd (14-Nov-2019)</v>
          </cell>
        </row>
        <row r="5">
          <cell r="B5" t="str">
            <v>INE261F16314</v>
          </cell>
          <cell r="C5" t="str">
            <v xml:space="preserve">CDD </v>
          </cell>
          <cell r="D5" t="str">
            <v>NATIONAL BANK FOR AGRICULTURE AND RURAL DEVELOPMent</v>
          </cell>
          <cell r="E5">
            <v>43796</v>
          </cell>
          <cell r="F5" t="str">
            <v>27-Nov-2019</v>
          </cell>
          <cell r="G5" t="str">
            <v>National Bank For Agriculture And Rural Development (27-Nov-2019)</v>
          </cell>
          <cell r="H5" t="str">
            <v>National Bank For Agriculture And Rural Development (27-Nov-2019)</v>
          </cell>
        </row>
        <row r="6">
          <cell r="B6" t="str">
            <v>INE238A165G4</v>
          </cell>
          <cell r="C6" t="str">
            <v xml:space="preserve">CDD </v>
          </cell>
          <cell r="D6" t="str">
            <v xml:space="preserve">AXIS BANK LTD                                   </v>
          </cell>
          <cell r="E6">
            <v>43783</v>
          </cell>
          <cell r="F6" t="str">
            <v>14-Nov-2019</v>
          </cell>
          <cell r="G6" t="str">
            <v>Axis Bank Ltd (14-Nov-2019)</v>
          </cell>
          <cell r="H6" t="str">
            <v>Axis Bank Ltd (14-Nov-2019) **</v>
          </cell>
        </row>
        <row r="7">
          <cell r="B7" t="str">
            <v>INE001A14UH6</v>
          </cell>
          <cell r="C7" t="str">
            <v xml:space="preserve">CPD </v>
          </cell>
          <cell r="D7" t="str">
            <v xml:space="preserve">HOUSING DEVELOPMENT FINANCE CORP LTD            </v>
          </cell>
          <cell r="E7">
            <v>43783</v>
          </cell>
          <cell r="F7" t="str">
            <v>14-Nov-2019</v>
          </cell>
          <cell r="G7" t="str">
            <v>Housing Development Finance Corp Ltd (14-Nov-2019)</v>
          </cell>
          <cell r="H7" t="str">
            <v>Housing Development Finance Corp Ltd (14-Nov-2019)</v>
          </cell>
        </row>
        <row r="8">
          <cell r="B8" t="str">
            <v>INE480Q16283</v>
          </cell>
          <cell r="C8" t="str">
            <v xml:space="preserve">CDI </v>
          </cell>
          <cell r="D8" t="str">
            <v xml:space="preserve">COOPERATIEVE RABOBANK UA                        </v>
          </cell>
          <cell r="E8">
            <v>43797</v>
          </cell>
          <cell r="F8" t="str">
            <v>28-Nov-2019</v>
          </cell>
          <cell r="G8" t="str">
            <v>(MIBOR+160) Cooperatieve Rabobank (28-Nov-2019)</v>
          </cell>
          <cell r="H8" t="str">
            <v>(MIBOR+160) Cooperatieve Rabobank (28-Nov-2019) **</v>
          </cell>
        </row>
        <row r="9">
          <cell r="B9" t="str">
            <v>INE477A14AC1</v>
          </cell>
          <cell r="C9" t="str">
            <v xml:space="preserve">CPD </v>
          </cell>
          <cell r="D9" t="str">
            <v xml:space="preserve">CAN FIN HOMES LTD                               </v>
          </cell>
          <cell r="E9">
            <v>43825</v>
          </cell>
          <cell r="F9" t="str">
            <v>26-Dec-2019</v>
          </cell>
          <cell r="G9" t="str">
            <v>Can Fin Homes Ltd (26-Dec-2019)</v>
          </cell>
          <cell r="H9" t="str">
            <v>Can Fin Homes Ltd (26-Dec-2019) **</v>
          </cell>
        </row>
        <row r="10">
          <cell r="B10" t="str">
            <v>INE523H14P25</v>
          </cell>
          <cell r="C10" t="str">
            <v xml:space="preserve">CPD </v>
          </cell>
          <cell r="D10" t="str">
            <v xml:space="preserve">JM FINANCIAL PRODUCTS LTD                       </v>
          </cell>
          <cell r="E10">
            <v>43837</v>
          </cell>
          <cell r="F10" t="str">
            <v>07-Jan-2020</v>
          </cell>
          <cell r="G10" t="str">
            <v>Jm Financial Products Ltd (07-Jan-2020)</v>
          </cell>
          <cell r="H10" t="str">
            <v>Jm Financial Products Ltd (07-Jan-2020) **</v>
          </cell>
        </row>
        <row r="11">
          <cell r="B11" t="str">
            <v>INE095A16ZK6</v>
          </cell>
          <cell r="C11" t="str">
            <v xml:space="preserve">CDD </v>
          </cell>
          <cell r="D11" t="str">
            <v xml:space="preserve">INDUSIND BANK LTD                               </v>
          </cell>
          <cell r="E11">
            <v>43826</v>
          </cell>
          <cell r="F11" t="str">
            <v>27-Dec-2019</v>
          </cell>
          <cell r="G11" t="str">
            <v>Indusind Bank Ltd (27-Dec-2019)</v>
          </cell>
          <cell r="H11" t="str">
            <v>Indusind Bank Ltd (27-Dec-2019) **</v>
          </cell>
        </row>
        <row r="12">
          <cell r="B12" t="str">
            <v>INE476M14BW4</v>
          </cell>
          <cell r="C12" t="str">
            <v xml:space="preserve">CPD </v>
          </cell>
          <cell r="D12" t="str">
            <v xml:space="preserve">L&amp;T HOUSING FINANCE LIMITED                     </v>
          </cell>
          <cell r="E12">
            <v>43844</v>
          </cell>
          <cell r="F12" t="str">
            <v>14-Jan-2020</v>
          </cell>
          <cell r="G12" t="str">
            <v>L&amp;T Housing Finance Limited (14-Jan-2020)</v>
          </cell>
          <cell r="H12" t="str">
            <v>L&amp;T Housing Finance Limited (14-Jan-2020) **</v>
          </cell>
        </row>
        <row r="13">
          <cell r="B13" t="str">
            <v>INE001A14UJ2</v>
          </cell>
          <cell r="C13" t="str">
            <v xml:space="preserve">CPD </v>
          </cell>
          <cell r="D13" t="str">
            <v xml:space="preserve">HOUSING DEVELOPMENT FINANCE CORP LTD            </v>
          </cell>
          <cell r="E13">
            <v>43795</v>
          </cell>
          <cell r="F13" t="str">
            <v>26-Nov-2019</v>
          </cell>
          <cell r="G13" t="str">
            <v>Housing Development Finance Corp Ltd (26-Nov-2019)</v>
          </cell>
          <cell r="H13" t="str">
            <v>Housing Development Finance Corp Ltd (26-Nov-2019)</v>
          </cell>
        </row>
        <row r="14">
          <cell r="B14" t="str">
            <v>INE660N14CN8</v>
          </cell>
          <cell r="C14" t="e">
            <v>#N/A</v>
          </cell>
          <cell r="D14" t="e">
            <v>#N/A</v>
          </cell>
          <cell r="E14">
            <v>43844</v>
          </cell>
          <cell r="F14" t="str">
            <v>14-Jan-2020</v>
          </cell>
          <cell r="G14" t="e">
            <v>#N/A</v>
          </cell>
          <cell r="H14" t="e">
            <v>#N/A</v>
          </cell>
        </row>
        <row r="15">
          <cell r="B15" t="str">
            <v>INE238A160K7</v>
          </cell>
          <cell r="C15" t="str">
            <v xml:space="preserve">CDD </v>
          </cell>
          <cell r="D15" t="str">
            <v xml:space="preserve">AXIS BANK LTD                                   </v>
          </cell>
          <cell r="E15">
            <v>43868</v>
          </cell>
          <cell r="F15" t="str">
            <v>07-Feb-2020</v>
          </cell>
          <cell r="G15" t="str">
            <v>Axis Bank Ltd (07-Feb-2020)</v>
          </cell>
          <cell r="H15" t="str">
            <v>Axis Bank Ltd (07-Feb-2020) **</v>
          </cell>
        </row>
        <row r="16">
          <cell r="B16" t="str">
            <v>INE975F14RH6</v>
          </cell>
          <cell r="C16" t="str">
            <v xml:space="preserve">CPD </v>
          </cell>
          <cell r="D16" t="str">
            <v xml:space="preserve">KOTAK MAHINDRA INVESTMENTS LTD                  </v>
          </cell>
          <cell r="E16">
            <v>43882</v>
          </cell>
          <cell r="F16" t="str">
            <v>21-Feb-2020</v>
          </cell>
          <cell r="G16" t="str">
            <v>Kotak Mahindra Investments Ltd (21-Feb-2020)</v>
          </cell>
          <cell r="H16" t="str">
            <v>Kotak Mahindra Investments Ltd (21-Feb-2020) **</v>
          </cell>
        </row>
        <row r="17">
          <cell r="B17" t="str">
            <v>INE027E14HI8</v>
          </cell>
          <cell r="C17" t="str">
            <v xml:space="preserve">CPD </v>
          </cell>
          <cell r="D17" t="str">
            <v xml:space="preserve">L&amp;T FINANCE LTD                                 </v>
          </cell>
          <cell r="E17">
            <v>43804</v>
          </cell>
          <cell r="F17" t="str">
            <v>05-Dec-2019</v>
          </cell>
          <cell r="G17" t="str">
            <v>L&amp;T Finance Ltd (05-Dec-2019)</v>
          </cell>
          <cell r="H17" t="str">
            <v>L&amp;T Finance Ltd (05-Dec-2019) **</v>
          </cell>
        </row>
        <row r="18">
          <cell r="B18" t="str">
            <v>INE691I14IJ8</v>
          </cell>
          <cell r="C18" t="str">
            <v xml:space="preserve">CPD </v>
          </cell>
          <cell r="D18" t="str">
            <v xml:space="preserve">L&amp;T INFRASTRUCTURE FINANCE CO LTD               </v>
          </cell>
          <cell r="E18">
            <v>43881</v>
          </cell>
          <cell r="F18" t="str">
            <v>20-Feb-2020</v>
          </cell>
          <cell r="G18" t="str">
            <v>L&amp;T Infrastructure Finance Co Ltd (20-Feb-2020)</v>
          </cell>
          <cell r="H18" t="str">
            <v>L&amp;T Infrastructure Finance Co Ltd (20-Feb-2020) **</v>
          </cell>
        </row>
        <row r="19">
          <cell r="B19" t="str">
            <v>INE660N14CK4</v>
          </cell>
          <cell r="C19" t="e">
            <v>#N/A</v>
          </cell>
          <cell r="D19" t="e">
            <v>#N/A</v>
          </cell>
          <cell r="E19">
            <v>43854</v>
          </cell>
          <cell r="F19" t="str">
            <v>24-Jan-2020</v>
          </cell>
          <cell r="G19" t="e">
            <v>#N/A</v>
          </cell>
          <cell r="H19" t="e">
            <v>#N/A</v>
          </cell>
        </row>
        <row r="20">
          <cell r="B20" t="str">
            <v>INE660N14CI8</v>
          </cell>
          <cell r="C20" t="e">
            <v>#N/A</v>
          </cell>
          <cell r="D20" t="e">
            <v>#N/A</v>
          </cell>
          <cell r="E20">
            <v>43861</v>
          </cell>
          <cell r="F20" t="str">
            <v>31-Jan-2020</v>
          </cell>
          <cell r="G20" t="e">
            <v>#N/A</v>
          </cell>
          <cell r="H20" t="e">
            <v>#N/A</v>
          </cell>
        </row>
        <row r="21">
          <cell r="B21" t="str">
            <v>INE660N14CJ6</v>
          </cell>
          <cell r="C21" t="e">
            <v>#N/A</v>
          </cell>
          <cell r="D21" t="e">
            <v>#N/A</v>
          </cell>
          <cell r="E21">
            <v>43858</v>
          </cell>
          <cell r="F21" t="str">
            <v>28-Jan-2020</v>
          </cell>
          <cell r="G21" t="e">
            <v>#N/A</v>
          </cell>
          <cell r="H21" t="e">
            <v>#N/A</v>
          </cell>
        </row>
        <row r="22">
          <cell r="B22" t="str">
            <v>INE001A14UV7</v>
          </cell>
          <cell r="C22" t="str">
            <v xml:space="preserve">CPD </v>
          </cell>
          <cell r="D22" t="str">
            <v xml:space="preserve">HOUSING DEVELOPMENT FINANCE CORP LTD            </v>
          </cell>
          <cell r="E22">
            <v>43892</v>
          </cell>
          <cell r="F22" t="str">
            <v>02-Mar-2020</v>
          </cell>
          <cell r="G22" t="str">
            <v>Housing Development Finance Corp Ltd (02-Mar-2020)</v>
          </cell>
          <cell r="H22" t="str">
            <v>Housing Development Finance Corp Ltd (02-Mar-2020) **</v>
          </cell>
        </row>
        <row r="23">
          <cell r="B23" t="str">
            <v>INE134E14AL1</v>
          </cell>
          <cell r="C23" t="str">
            <v xml:space="preserve">CPD </v>
          </cell>
          <cell r="D23" t="str">
            <v xml:space="preserve">POWER FINANCE CORP LTD                          </v>
          </cell>
          <cell r="E23">
            <v>43896</v>
          </cell>
          <cell r="F23" t="str">
            <v>06-Mar-2020</v>
          </cell>
          <cell r="G23" t="str">
            <v>Power Finance Corp Ltd (06-Mar-2020)</v>
          </cell>
          <cell r="H23" t="str">
            <v>Power Finance Corp Ltd (06-Mar-2020) **</v>
          </cell>
        </row>
        <row r="24">
          <cell r="B24" t="str">
            <v>INE523H14Q24</v>
          </cell>
          <cell r="C24" t="str">
            <v xml:space="preserve">CPD </v>
          </cell>
          <cell r="D24" t="str">
            <v xml:space="preserve">JM FINANCIAL PRODUCTS LTD                       </v>
          </cell>
          <cell r="E24">
            <v>43903</v>
          </cell>
          <cell r="F24" t="str">
            <v>13-Mar-2020</v>
          </cell>
          <cell r="G24" t="str">
            <v>Jm Financial Products Ltd (13-Mar-2020)</v>
          </cell>
          <cell r="H24" t="str">
            <v>Jm Financial Products Ltd (13-Mar-2020) **</v>
          </cell>
        </row>
        <row r="25">
          <cell r="B25" t="str">
            <v>INE691I14IR1</v>
          </cell>
          <cell r="C25" t="str">
            <v xml:space="preserve">CPD </v>
          </cell>
          <cell r="D25" t="str">
            <v xml:space="preserve">L&amp;T INFRASTRUCTURE FINANCE CO LTD               </v>
          </cell>
          <cell r="E25">
            <v>43721</v>
          </cell>
          <cell r="F25" t="str">
            <v>13-Sep-2019</v>
          </cell>
          <cell r="G25" t="str">
            <v>L&amp;T Infrastructure Finance Co Ltd (13-Sep-2019)</v>
          </cell>
          <cell r="H25" t="str">
            <v>L&amp;T Infrastructure Finance Co Ltd (13-Sep-2019) **</v>
          </cell>
        </row>
        <row r="26">
          <cell r="B26" t="str">
            <v>INE121A14QU3</v>
          </cell>
          <cell r="C26" t="str">
            <v xml:space="preserve">CPD </v>
          </cell>
          <cell r="D26" t="str">
            <v xml:space="preserve">CHOLAMANDALAM INVESTMENT AND FINANCE CO LTD     </v>
          </cell>
          <cell r="E26">
            <v>43894</v>
          </cell>
          <cell r="F26" t="str">
            <v>04-Mar-2020</v>
          </cell>
          <cell r="G26" t="str">
            <v>Cholamandalam Investment And Finance Co Ltd (04-Mar-2020)</v>
          </cell>
          <cell r="H26" t="str">
            <v>Cholamandalam Investment And Finance Co Ltd (04-Mar-2020) **</v>
          </cell>
        </row>
        <row r="27">
          <cell r="B27" t="str">
            <v>INE480Q16416</v>
          </cell>
          <cell r="C27" t="str">
            <v xml:space="preserve">CDD </v>
          </cell>
          <cell r="D27" t="str">
            <v xml:space="preserve">COOPERATIEVE RABOBANK UA                        </v>
          </cell>
          <cell r="E27">
            <v>43906</v>
          </cell>
          <cell r="F27" t="str">
            <v>16-Mar-2020</v>
          </cell>
          <cell r="G27" t="str">
            <v>Cooperatieve Rabobank Ua (16-Mar-2020)</v>
          </cell>
          <cell r="H27" t="str">
            <v>Cooperatieve Rabobank Ua (16-Mar-2020) **</v>
          </cell>
        </row>
        <row r="28">
          <cell r="B28" t="str">
            <v>INE040A16CE4</v>
          </cell>
          <cell r="C28" t="str">
            <v xml:space="preserve">CDD </v>
          </cell>
          <cell r="D28" t="str">
            <v xml:space="preserve">HDFC BANK LTD                                   </v>
          </cell>
          <cell r="E28">
            <v>43896</v>
          </cell>
          <cell r="F28" t="str">
            <v>06-Mar-2020</v>
          </cell>
          <cell r="G28" t="str">
            <v>Hdfc Bank Ltd (06-Mar-2020)</v>
          </cell>
          <cell r="H28" t="str">
            <v>Hdfc Bank Ltd (06-Mar-2020) **</v>
          </cell>
        </row>
        <row r="29">
          <cell r="B29" t="str">
            <v>INE261F16371</v>
          </cell>
          <cell r="C29" t="str">
            <v xml:space="preserve">CDD </v>
          </cell>
          <cell r="D29" t="str">
            <v>NATIONAL BANK FOR AGRICULTURE AND RURAL DEVELOPMent</v>
          </cell>
          <cell r="E29">
            <v>43903</v>
          </cell>
          <cell r="F29" t="str">
            <v>13-Mar-2020</v>
          </cell>
          <cell r="G29" t="str">
            <v>National Bank For Agriculture And Rural Development (13-Mar-2020)</v>
          </cell>
          <cell r="H29" t="str">
            <v>National Bank For Agriculture And Rural Development (13-Mar-2020)</v>
          </cell>
        </row>
        <row r="30">
          <cell r="B30" t="str">
            <v>INE020B14607</v>
          </cell>
          <cell r="C30" t="str">
            <v xml:space="preserve">CPD </v>
          </cell>
          <cell r="D30" t="str">
            <v xml:space="preserve">REC LTD                                         </v>
          </cell>
          <cell r="E30">
            <v>43894</v>
          </cell>
          <cell r="F30" t="str">
            <v>04-Mar-2020</v>
          </cell>
          <cell r="G30" t="str">
            <v>Rec Ltd (04-Mar-2020)</v>
          </cell>
          <cell r="H30" t="str">
            <v>Rec Ltd (04-Mar-2020) **</v>
          </cell>
        </row>
        <row r="31">
          <cell r="B31" t="str">
            <v>INE033L14JD8</v>
          </cell>
          <cell r="C31" t="e">
            <v>#N/A</v>
          </cell>
          <cell r="D31" t="e">
            <v>#N/A</v>
          </cell>
          <cell r="E31">
            <v>43676</v>
          </cell>
          <cell r="F31" t="str">
            <v>30-Jul-2019</v>
          </cell>
          <cell r="G31" t="e">
            <v>#N/A</v>
          </cell>
          <cell r="H31" t="e">
            <v>#N/A</v>
          </cell>
        </row>
        <row r="32">
          <cell r="B32" t="str">
            <v>INE028A16BF8</v>
          </cell>
          <cell r="C32" t="str">
            <v xml:space="preserve">CDD </v>
          </cell>
          <cell r="D32" t="str">
            <v xml:space="preserve">BANK OF BARODA                                  </v>
          </cell>
          <cell r="E32">
            <v>43907</v>
          </cell>
          <cell r="F32" t="str">
            <v>17-Mar-2020</v>
          </cell>
          <cell r="G32" t="str">
            <v>Bank Of Baroda (17-Mar-2020)</v>
          </cell>
          <cell r="H32" t="str">
            <v>Bank Of Baroda (17-Mar-2020) **</v>
          </cell>
        </row>
        <row r="33">
          <cell r="B33" t="str">
            <v>INE031A14382</v>
          </cell>
          <cell r="C33" t="e">
            <v>#N/A</v>
          </cell>
          <cell r="D33" t="e">
            <v>#N/A</v>
          </cell>
          <cell r="E33">
            <v>43705</v>
          </cell>
          <cell r="F33" t="str">
            <v>28-Aug-2019</v>
          </cell>
          <cell r="G33" t="e">
            <v>#N/A</v>
          </cell>
          <cell r="H33" t="e">
            <v>#N/A</v>
          </cell>
        </row>
        <row r="34">
          <cell r="B34" t="str">
            <v>INE523H14Q81</v>
          </cell>
          <cell r="C34" t="e">
            <v>#N/A</v>
          </cell>
          <cell r="D34" t="e">
            <v>#N/A</v>
          </cell>
          <cell r="E34">
            <v>43671</v>
          </cell>
          <cell r="F34" t="str">
            <v>25-Jul-2019</v>
          </cell>
          <cell r="G34" t="e">
            <v>#N/A</v>
          </cell>
          <cell r="H34" t="e">
            <v>#N/A</v>
          </cell>
        </row>
        <row r="35">
          <cell r="B35" t="str">
            <v>INE523H14Q99</v>
          </cell>
          <cell r="C35" t="e">
            <v>#N/A</v>
          </cell>
          <cell r="D35" t="e">
            <v>#N/A</v>
          </cell>
          <cell r="E35">
            <v>43676</v>
          </cell>
          <cell r="F35" t="str">
            <v>30-Jul-2019</v>
          </cell>
          <cell r="G35" t="e">
            <v>#N/A</v>
          </cell>
          <cell r="H35" t="e">
            <v>#N/A</v>
          </cell>
        </row>
        <row r="36">
          <cell r="B36" t="str">
            <v>INE020B14581</v>
          </cell>
          <cell r="C36" t="str">
            <v xml:space="preserve">CPD </v>
          </cell>
          <cell r="D36" t="str">
            <v xml:space="preserve">REC LTD                                         </v>
          </cell>
          <cell r="E36">
            <v>43735</v>
          </cell>
          <cell r="F36" t="str">
            <v>27-Sep-2019</v>
          </cell>
          <cell r="G36" t="str">
            <v>Rec Ltd (27-Sep-2019)</v>
          </cell>
          <cell r="H36" t="str">
            <v>Rec Ltd (27-Sep-2019) **</v>
          </cell>
        </row>
        <row r="37">
          <cell r="B37" t="str">
            <v>INE660N14CL2</v>
          </cell>
          <cell r="C37" t="e">
            <v>#N/A</v>
          </cell>
          <cell r="D37" t="e">
            <v>#N/A</v>
          </cell>
          <cell r="E37">
            <v>43851</v>
          </cell>
          <cell r="F37" t="str">
            <v>21-Jan-2020</v>
          </cell>
          <cell r="G37" t="e">
            <v>#N/A</v>
          </cell>
          <cell r="H37" t="e">
            <v>#N/A</v>
          </cell>
        </row>
        <row r="38">
          <cell r="B38" t="str">
            <v>INE660N14CH0</v>
          </cell>
          <cell r="C38" t="e">
            <v>#N/A</v>
          </cell>
          <cell r="D38" t="e">
            <v>#N/A</v>
          </cell>
          <cell r="E38">
            <v>43847</v>
          </cell>
          <cell r="F38" t="str">
            <v>17-Jan-2020</v>
          </cell>
          <cell r="G38" t="e">
            <v>#N/A</v>
          </cell>
          <cell r="H38" t="e">
            <v>#N/A</v>
          </cell>
        </row>
        <row r="39">
          <cell r="B39" t="str">
            <v>INE238A162K3</v>
          </cell>
          <cell r="C39" t="str">
            <v xml:space="preserve">CDD </v>
          </cell>
          <cell r="D39" t="str">
            <v xml:space="preserve">AXIS BANK LTD                                   </v>
          </cell>
          <cell r="E39">
            <v>43873</v>
          </cell>
          <cell r="F39" t="str">
            <v>12-Feb-2020</v>
          </cell>
          <cell r="G39" t="str">
            <v>Axis Bank Ltd (12-Feb-2020)</v>
          </cell>
          <cell r="H39" t="str">
            <v>Axis Bank Ltd (12-Feb-2020) **</v>
          </cell>
        </row>
        <row r="40">
          <cell r="B40" t="str">
            <v>INE238A162L1</v>
          </cell>
          <cell r="C40" t="str">
            <v xml:space="preserve">CDD </v>
          </cell>
          <cell r="D40" t="str">
            <v xml:space="preserve">AXIS BANK LTD                                   </v>
          </cell>
          <cell r="E40">
            <v>43894</v>
          </cell>
          <cell r="F40" t="str">
            <v>04-Mar-2020</v>
          </cell>
          <cell r="G40" t="str">
            <v>Axis Bank Ltd (04-Mar-2020)</v>
          </cell>
          <cell r="H40" t="str">
            <v>Axis Bank Ltd (04-Mar-2020) **</v>
          </cell>
        </row>
        <row r="41">
          <cell r="B41" t="str">
            <v>INE001A14VH4</v>
          </cell>
          <cell r="C41" t="str">
            <v xml:space="preserve">CPD </v>
          </cell>
          <cell r="D41" t="str">
            <v xml:space="preserve">HOUSING DEVELOPMENT FINANCE CORP LTD            </v>
          </cell>
          <cell r="E41">
            <v>43971</v>
          </cell>
          <cell r="F41" t="str">
            <v>20-May-2020</v>
          </cell>
          <cell r="G41" t="str">
            <v>Housing Development Finance Corp Ltd (20-May-2020)</v>
          </cell>
          <cell r="H41" t="str">
            <v>Housing Development Finance Corp Ltd (20-May-2020) **</v>
          </cell>
        </row>
        <row r="42">
          <cell r="B42" t="str">
            <v>INE115A14BT9</v>
          </cell>
          <cell r="C42" t="str">
            <v xml:space="preserve">CPD </v>
          </cell>
          <cell r="D42" t="str">
            <v xml:space="preserve">LIC HOUSING FINANCE LTD                         </v>
          </cell>
          <cell r="E42">
            <v>43914</v>
          </cell>
          <cell r="F42" t="str">
            <v>24-Mar-2020</v>
          </cell>
          <cell r="G42" t="str">
            <v>Lic Housing Finance Ltd (24-Mar-2020)</v>
          </cell>
          <cell r="H42" t="str">
            <v>Lic Housing Finance Ltd (24-Mar-2020) **</v>
          </cell>
        </row>
        <row r="43">
          <cell r="B43" t="str">
            <v>INE261F16405</v>
          </cell>
          <cell r="C43" t="str">
            <v xml:space="preserve">CDD </v>
          </cell>
          <cell r="D43" t="str">
            <v>NATIONAL BANK FOR AGRICULTURE AND RURAL DEVELOPMent</v>
          </cell>
          <cell r="E43">
            <v>43966</v>
          </cell>
          <cell r="F43" t="str">
            <v>15-May-2020</v>
          </cell>
          <cell r="G43" t="str">
            <v>National Bank For Agriculture And Rural Development (15-May-2020)</v>
          </cell>
          <cell r="H43" t="str">
            <v>National Bank For Agriculture And Rural Development (15-May-2020) **</v>
          </cell>
        </row>
        <row r="44">
          <cell r="B44" t="str">
            <v>INE020B14623</v>
          </cell>
          <cell r="C44" t="str">
            <v xml:space="preserve">CPD </v>
          </cell>
          <cell r="D44" t="str">
            <v xml:space="preserve">REC LTD                                         </v>
          </cell>
          <cell r="E44">
            <v>43868</v>
          </cell>
          <cell r="F44" t="str">
            <v>07-Feb-2020</v>
          </cell>
          <cell r="G44" t="str">
            <v>Rec Ltd (07-Feb-2020)</v>
          </cell>
          <cell r="H44" t="str">
            <v>Rec Ltd (07-Feb-2020) **</v>
          </cell>
        </row>
        <row r="45">
          <cell r="B45" t="str">
            <v>INE556F16531</v>
          </cell>
          <cell r="C45" t="str">
            <v xml:space="preserve">CDD </v>
          </cell>
          <cell r="D45" t="str">
            <v xml:space="preserve">SMALL INDUSTRIES DEVELOPMENT BANK OF INDIA      </v>
          </cell>
          <cell r="E45">
            <v>43858</v>
          </cell>
          <cell r="F45" t="str">
            <v>28-Jan-2020</v>
          </cell>
          <cell r="G45" t="str">
            <v>Small Industries Development Bank Of India (28-Jan-2020)</v>
          </cell>
          <cell r="H45" t="str">
            <v>Small Industries Development Bank Of India (28-Jan-2020) **</v>
          </cell>
        </row>
        <row r="46">
          <cell r="B46" t="str">
            <v>INE674K14610</v>
          </cell>
          <cell r="C46" t="e">
            <v>#N/A</v>
          </cell>
          <cell r="D46" t="str">
            <v xml:space="preserve">ADITYA BIRLA CAPITAL LTD                        </v>
          </cell>
          <cell r="E46" t="e">
            <v>#N/A</v>
          </cell>
          <cell r="F46" t="e">
            <v>#N/A</v>
          </cell>
          <cell r="G46" t="e">
            <v>#N/A</v>
          </cell>
          <cell r="H46" t="e">
            <v>#N/A</v>
          </cell>
        </row>
        <row r="47">
          <cell r="B47" t="str">
            <v>INE238A168M6</v>
          </cell>
          <cell r="C47" t="e">
            <v>#N/A</v>
          </cell>
          <cell r="D47" t="e">
            <v>#N/A</v>
          </cell>
          <cell r="E47" t="e">
            <v>#N/A</v>
          </cell>
          <cell r="F47" t="e">
            <v>#N/A</v>
          </cell>
          <cell r="G47" t="e">
            <v>#N/A</v>
          </cell>
          <cell r="H47" t="e">
            <v>#N/A</v>
          </cell>
        </row>
        <row r="48">
          <cell r="B48" t="str">
            <v>INE756I14CD5</v>
          </cell>
          <cell r="C48" t="e">
            <v>#N/A</v>
          </cell>
          <cell r="D48" t="e">
            <v>#N/A</v>
          </cell>
          <cell r="E48" t="e">
            <v>#N/A</v>
          </cell>
          <cell r="F48" t="e">
            <v>#N/A</v>
          </cell>
          <cell r="G48" t="e">
            <v>#N/A</v>
          </cell>
          <cell r="H48" t="e">
            <v>#N/A</v>
          </cell>
        </row>
        <row r="49">
          <cell r="B49" t="str">
            <v>INE790I14AW8</v>
          </cell>
          <cell r="C49" t="e">
            <v>#N/A</v>
          </cell>
          <cell r="D49" t="e">
            <v>#N/A</v>
          </cell>
          <cell r="E49" t="e">
            <v>#N/A</v>
          </cell>
          <cell r="F49" t="e">
            <v>#N/A</v>
          </cell>
          <cell r="G49" t="e">
            <v>#N/A</v>
          </cell>
          <cell r="H49" t="e">
            <v>#N/A</v>
          </cell>
        </row>
        <row r="50">
          <cell r="B50" t="str">
            <v>INE092T16LH9</v>
          </cell>
          <cell r="C50" t="e">
            <v>#N/A</v>
          </cell>
          <cell r="D50" t="e">
            <v>#N/A</v>
          </cell>
          <cell r="E50" t="e">
            <v>#N/A</v>
          </cell>
          <cell r="F50" t="e">
            <v>#N/A</v>
          </cell>
          <cell r="G50" t="e">
            <v>#N/A</v>
          </cell>
          <cell r="H50" t="e">
            <v>#N/A</v>
          </cell>
        </row>
        <row r="51">
          <cell r="B51" t="str">
            <v>INE901W14AN1</v>
          </cell>
          <cell r="C51" t="e">
            <v>#N/A</v>
          </cell>
          <cell r="D51" t="e">
            <v>#N/A</v>
          </cell>
          <cell r="E51" t="e">
            <v>#N/A</v>
          </cell>
          <cell r="F51" t="e">
            <v>#N/A</v>
          </cell>
          <cell r="G51" t="e">
            <v>#N/A</v>
          </cell>
          <cell r="H51" t="e">
            <v>#N/A</v>
          </cell>
        </row>
        <row r="52">
          <cell r="B52" t="str">
            <v>INE901W14AP6</v>
          </cell>
          <cell r="C52" t="e">
            <v>#N/A</v>
          </cell>
          <cell r="D52" t="e">
            <v>#N/A</v>
          </cell>
          <cell r="E52" t="e">
            <v>#N/A</v>
          </cell>
          <cell r="F52" t="e">
            <v>#N/A</v>
          </cell>
          <cell r="G52" t="e">
            <v>#N/A</v>
          </cell>
          <cell r="H52" t="e">
            <v>#N/A</v>
          </cell>
        </row>
        <row r="53">
          <cell r="B53" t="str">
            <v>INE012I14KU0</v>
          </cell>
          <cell r="C53" t="e">
            <v>#N/A</v>
          </cell>
          <cell r="D53" t="e">
            <v>#N/A</v>
          </cell>
          <cell r="E53" t="e">
            <v>#N/A</v>
          </cell>
          <cell r="F53" t="e">
            <v>#N/A</v>
          </cell>
          <cell r="G53" t="e">
            <v>#N/A</v>
          </cell>
          <cell r="H53" t="e">
            <v>#N/A</v>
          </cell>
        </row>
        <row r="54">
          <cell r="B54" t="str">
            <v>INE028E14FN0</v>
          </cell>
          <cell r="C54" t="e">
            <v>#N/A</v>
          </cell>
          <cell r="D54" t="e">
            <v>#N/A</v>
          </cell>
          <cell r="E54" t="e">
            <v>#N/A</v>
          </cell>
          <cell r="F54" t="e">
            <v>#N/A</v>
          </cell>
          <cell r="G54" t="e">
            <v>#N/A</v>
          </cell>
          <cell r="H54" t="e">
            <v>#N/A</v>
          </cell>
        </row>
        <row r="55">
          <cell r="B55" t="str">
            <v>INE511C14UI8</v>
          </cell>
          <cell r="C55" t="e">
            <v>#N/A</v>
          </cell>
          <cell r="D55" t="e">
            <v>#N/A</v>
          </cell>
          <cell r="E55" t="e">
            <v>#N/A</v>
          </cell>
          <cell r="F55" t="e">
            <v>#N/A</v>
          </cell>
          <cell r="G55" t="e">
            <v>#N/A</v>
          </cell>
          <cell r="H55" t="e">
            <v>#N/A</v>
          </cell>
        </row>
        <row r="56">
          <cell r="B56" t="str">
            <v>INE511C14UH0</v>
          </cell>
          <cell r="C56" t="e">
            <v>#N/A</v>
          </cell>
          <cell r="D56" t="e">
            <v>#N/A</v>
          </cell>
          <cell r="E56" t="e">
            <v>#N/A</v>
          </cell>
          <cell r="F56" t="e">
            <v>#N/A</v>
          </cell>
          <cell r="G56" t="e">
            <v>#N/A</v>
          </cell>
          <cell r="H56" t="e">
            <v>#N/A</v>
          </cell>
        </row>
        <row r="57">
          <cell r="B57" t="str">
            <v>INE134E14AO5</v>
          </cell>
          <cell r="C57" t="e">
            <v>#N/A</v>
          </cell>
          <cell r="D57" t="e">
            <v>#N/A</v>
          </cell>
          <cell r="E57" t="e">
            <v>#N/A</v>
          </cell>
          <cell r="F57" t="e">
            <v>#N/A</v>
          </cell>
          <cell r="G57" t="e">
            <v>#N/A</v>
          </cell>
          <cell r="H57" t="e">
            <v>#N/A</v>
          </cell>
        </row>
        <row r="58">
          <cell r="B58" t="str">
            <v>INE160A16MC3</v>
          </cell>
          <cell r="C58" t="e">
            <v>#N/A</v>
          </cell>
          <cell r="D58" t="e">
            <v>#N/A</v>
          </cell>
          <cell r="E58" t="e">
            <v>#N/A</v>
          </cell>
          <cell r="F58" t="e">
            <v>#N/A</v>
          </cell>
          <cell r="G58" t="e">
            <v>#N/A</v>
          </cell>
          <cell r="H58" t="e">
            <v>#N/A</v>
          </cell>
        </row>
        <row r="59">
          <cell r="B59" t="str">
            <v>INE018E14MY4</v>
          </cell>
          <cell r="C59" t="e">
            <v>#N/A</v>
          </cell>
          <cell r="D59" t="e">
            <v>#N/A</v>
          </cell>
          <cell r="E59" t="e">
            <v>#N/A</v>
          </cell>
          <cell r="F59" t="e">
            <v>#N/A</v>
          </cell>
          <cell r="G59" t="e">
            <v>#N/A</v>
          </cell>
          <cell r="H59" t="e">
            <v>#N/A</v>
          </cell>
        </row>
        <row r="60">
          <cell r="B60" t="str">
            <v>INE493F14300</v>
          </cell>
          <cell r="C60" t="e">
            <v>#N/A</v>
          </cell>
          <cell r="D60" t="e">
            <v>#N/A</v>
          </cell>
          <cell r="E60" t="e">
            <v>#N/A</v>
          </cell>
          <cell r="F60" t="e">
            <v>#N/A</v>
          </cell>
          <cell r="G60" t="e">
            <v>#N/A</v>
          </cell>
          <cell r="H60" t="e">
            <v>#N/A</v>
          </cell>
        </row>
        <row r="61">
          <cell r="B61" t="str">
            <v>INE725H14822</v>
          </cell>
          <cell r="C61" t="e">
            <v>#N/A</v>
          </cell>
          <cell r="D61" t="e">
            <v>#N/A</v>
          </cell>
          <cell r="E61" t="e">
            <v>#N/A</v>
          </cell>
          <cell r="F61" t="e">
            <v>#N/A</v>
          </cell>
          <cell r="G61" t="e">
            <v>#N/A</v>
          </cell>
          <cell r="H61" t="e">
            <v>#N/A</v>
          </cell>
        </row>
        <row r="62">
          <cell r="B62" t="str">
            <v>INE371K14829</v>
          </cell>
          <cell r="C62" t="e">
            <v>#N/A</v>
          </cell>
          <cell r="D62" t="e">
            <v>#N/A</v>
          </cell>
          <cell r="E62" t="e">
            <v>#N/A</v>
          </cell>
          <cell r="F62" t="e">
            <v>#N/A</v>
          </cell>
          <cell r="G62" t="e">
            <v>#N/A</v>
          </cell>
          <cell r="H62" t="e">
            <v>#N/A</v>
          </cell>
        </row>
        <row r="63">
          <cell r="B63" t="str">
            <v>INE895D14426</v>
          </cell>
          <cell r="C63" t="e">
            <v>#N/A</v>
          </cell>
          <cell r="D63" t="e">
            <v>#N/A</v>
          </cell>
          <cell r="E63" t="e">
            <v>#N/A</v>
          </cell>
          <cell r="F63" t="e">
            <v>#N/A</v>
          </cell>
          <cell r="G63" t="e">
            <v>#N/A</v>
          </cell>
          <cell r="H63" t="e">
            <v>#N/A</v>
          </cell>
        </row>
        <row r="64">
          <cell r="B64" t="str">
            <v>INE476M14CI1</v>
          </cell>
          <cell r="C64" t="str">
            <v xml:space="preserve">CPD </v>
          </cell>
          <cell r="D64" t="str">
            <v xml:space="preserve">L&amp;T HOUSING FINANCE LIMITED                     </v>
          </cell>
          <cell r="E64">
            <v>43796</v>
          </cell>
          <cell r="F64" t="str">
            <v>27-Nov-2019</v>
          </cell>
          <cell r="G64" t="str">
            <v>L&amp;T Housing Finance Limited (27-Nov-2019)</v>
          </cell>
          <cell r="H64" t="str">
            <v>L&amp;T Housing Finance Limited (27-Nov-2019) **</v>
          </cell>
        </row>
        <row r="65">
          <cell r="B65" t="str">
            <v>INE115A14BV5</v>
          </cell>
          <cell r="C65" t="str">
            <v xml:space="preserve">CPD </v>
          </cell>
          <cell r="D65" t="str">
            <v xml:space="preserve">LIC HOUSING FINANCE LTD                         </v>
          </cell>
          <cell r="E65">
            <v>43979</v>
          </cell>
          <cell r="F65" t="str">
            <v>28-May-2020</v>
          </cell>
          <cell r="G65" t="str">
            <v>Lic Housing Finance Ltd (28-May-2020)</v>
          </cell>
          <cell r="H65" t="str">
            <v>Lic Housing Finance Ltd (28-May-2020) **</v>
          </cell>
        </row>
        <row r="66">
          <cell r="B66" t="str">
            <v>INE082G14408</v>
          </cell>
          <cell r="C66" t="e">
            <v>#N/A</v>
          </cell>
          <cell r="D66" t="e">
            <v>#N/A</v>
          </cell>
          <cell r="E66" t="e">
            <v>#N/A</v>
          </cell>
          <cell r="F66" t="e">
            <v>#N/A</v>
          </cell>
          <cell r="G66" t="e">
            <v>#N/A</v>
          </cell>
          <cell r="H66" t="e">
            <v>#N/A</v>
          </cell>
        </row>
        <row r="67">
          <cell r="B67" t="str">
            <v>INE870D14CF0</v>
          </cell>
          <cell r="C67" t="e">
            <v>#N/A</v>
          </cell>
          <cell r="D67" t="e">
            <v>#N/A</v>
          </cell>
          <cell r="E67" t="e">
            <v>#N/A</v>
          </cell>
          <cell r="F67" t="e">
            <v>#N/A</v>
          </cell>
          <cell r="G67" t="e">
            <v>#N/A</v>
          </cell>
          <cell r="H67" t="e">
            <v>#N/A</v>
          </cell>
        </row>
        <row r="68">
          <cell r="B68" t="str">
            <v>INE742O14BN4</v>
          </cell>
          <cell r="C68" t="e">
            <v>#N/A</v>
          </cell>
          <cell r="D68" t="e">
            <v>#N/A</v>
          </cell>
          <cell r="E68" t="e">
            <v>#N/A</v>
          </cell>
          <cell r="F68" t="e">
            <v>#N/A</v>
          </cell>
          <cell r="G68" t="e">
            <v>#N/A</v>
          </cell>
          <cell r="H68" t="e">
            <v>#N/A</v>
          </cell>
        </row>
        <row r="69">
          <cell r="B69" t="str">
            <v>INE028A16BO0</v>
          </cell>
          <cell r="C69" t="str">
            <v xml:space="preserve">CDD </v>
          </cell>
          <cell r="D69" t="str">
            <v xml:space="preserve">BANK OF BARODA                                  </v>
          </cell>
          <cell r="E69">
            <v>43983</v>
          </cell>
          <cell r="F69" t="str">
            <v>01-Jun-2020</v>
          </cell>
          <cell r="G69" t="str">
            <v>Bank Of Baroda (01-Jun-2020)</v>
          </cell>
          <cell r="H69" t="str">
            <v>Bank Of Baroda (01-Jun-2020) **</v>
          </cell>
        </row>
        <row r="70">
          <cell r="B70" t="str">
            <v>INE090A162T1</v>
          </cell>
          <cell r="C70" t="str">
            <v xml:space="preserve">CDD </v>
          </cell>
          <cell r="D70" t="str">
            <v xml:space="preserve">ICICI BANK LTD                                  </v>
          </cell>
          <cell r="E70">
            <v>43894</v>
          </cell>
          <cell r="F70" t="str">
            <v>04-Mar-2020</v>
          </cell>
          <cell r="G70" t="str">
            <v>Icici Bank Ltd (04-Mar-2020)</v>
          </cell>
          <cell r="H70" t="str">
            <v>Icici Bank Ltd (04-Mar-2020) **</v>
          </cell>
        </row>
        <row r="71">
          <cell r="B71" t="str">
            <v>INE562A16JS2</v>
          </cell>
          <cell r="C71" t="str">
            <v xml:space="preserve">CDD </v>
          </cell>
          <cell r="D71" t="str">
            <v xml:space="preserve">INDIAN BANK                                     </v>
          </cell>
          <cell r="E71">
            <v>43983</v>
          </cell>
          <cell r="F71" t="str">
            <v>01-Jun-2020</v>
          </cell>
          <cell r="G71" t="str">
            <v>Indian Bank (01-Jun-2020)</v>
          </cell>
          <cell r="H71" t="str">
            <v>Indian Bank (01-Jun-2020) **</v>
          </cell>
        </row>
        <row r="72">
          <cell r="B72" t="str">
            <v>INE095A16A17</v>
          </cell>
          <cell r="C72" t="str">
            <v xml:space="preserve">CDD </v>
          </cell>
          <cell r="D72" t="str">
            <v xml:space="preserve">INDUSIND BANK LTD                               </v>
          </cell>
          <cell r="E72">
            <v>43910</v>
          </cell>
          <cell r="F72" t="str">
            <v>20-Mar-2020</v>
          </cell>
          <cell r="G72" t="str">
            <v>Indusind Bank Ltd (20-Mar-2020)</v>
          </cell>
          <cell r="H72" t="str">
            <v>Indusind Bank Ltd (20-Mar-2020) **</v>
          </cell>
        </row>
        <row r="73">
          <cell r="B73" t="str">
            <v>INE261F16389</v>
          </cell>
          <cell r="C73" t="str">
            <v xml:space="preserve">CDD </v>
          </cell>
          <cell r="D73" t="str">
            <v>NATIONAL BANK FOR AGRICULTURE AND RURAL DEVELOPMent</v>
          </cell>
          <cell r="E73">
            <v>43908</v>
          </cell>
          <cell r="F73" t="str">
            <v>18-Mar-2020</v>
          </cell>
          <cell r="G73" t="str">
            <v>National Bank For Agriculture And Rural Development (18-Mar-2020)</v>
          </cell>
          <cell r="H73" t="str">
            <v>National Bank For Agriculture And Rural Development (18-Mar-2020) **</v>
          </cell>
        </row>
        <row r="74">
          <cell r="B74" t="str">
            <v>INE020B14631</v>
          </cell>
          <cell r="C74" t="str">
            <v xml:space="preserve">CPD </v>
          </cell>
          <cell r="D74" t="str">
            <v xml:space="preserve">REC LTD                                         </v>
          </cell>
          <cell r="E74">
            <v>44001</v>
          </cell>
          <cell r="F74" t="str">
            <v>19-Jun-2020</v>
          </cell>
          <cell r="G74" t="str">
            <v>Rec Ltd (19-Jun-2020)</v>
          </cell>
          <cell r="H74" t="str">
            <v>Rec Ltd (19-Jun-2020) **</v>
          </cell>
        </row>
        <row r="75">
          <cell r="B75" t="str">
            <v>INE742O14BU9</v>
          </cell>
          <cell r="C75" t="str">
            <v xml:space="preserve">CPD </v>
          </cell>
          <cell r="D75" t="str">
            <v xml:space="preserve">RELIANCE RETAIL LTD                             </v>
          </cell>
          <cell r="E75">
            <v>43809</v>
          </cell>
          <cell r="F75" t="str">
            <v>10-Dec-2019</v>
          </cell>
          <cell r="G75" t="str">
            <v>Reliance Retail Ltd (10-Dec-2019)</v>
          </cell>
          <cell r="H75" t="str">
            <v>Reliance Retail Ltd (10-Dec-2019) **</v>
          </cell>
        </row>
        <row r="76">
          <cell r="B76" t="str">
            <v>INE556F16630</v>
          </cell>
          <cell r="C76" t="str">
            <v xml:space="preserve">CDD </v>
          </cell>
          <cell r="D76" t="str">
            <v xml:space="preserve">SMALL INDUSTRIES DEVELOPMENT BANK OF INDIA      </v>
          </cell>
          <cell r="E76">
            <v>43966</v>
          </cell>
          <cell r="F76" t="str">
            <v>15-May-2020</v>
          </cell>
          <cell r="G76" t="str">
            <v>Small Industries Development Bank Of India (15-May-2020)</v>
          </cell>
          <cell r="H76" t="str">
            <v>Small Industries Development Bank Of India (15-May-2020)</v>
          </cell>
        </row>
        <row r="77">
          <cell r="B77" t="str">
            <v>INE001A14UX3</v>
          </cell>
          <cell r="C77" t="str">
            <v xml:space="preserve">CPD </v>
          </cell>
          <cell r="D77" t="str">
            <v xml:space="preserve">HOUSING DEVELOPMENT FINANCE CORP LTD            </v>
          </cell>
          <cell r="E77">
            <v>43889</v>
          </cell>
          <cell r="F77" t="str">
            <v>28-Feb-2020</v>
          </cell>
          <cell r="G77" t="str">
            <v>Housing Development Finance Corp Ltd (28-Feb-2020)</v>
          </cell>
          <cell r="H77" t="str">
            <v>Housing Development Finance Corp Ltd (28-Feb-2020) **</v>
          </cell>
        </row>
        <row r="78">
          <cell r="B78" t="str">
            <v>INE001A14UT1</v>
          </cell>
          <cell r="C78" t="str">
            <v xml:space="preserve">CPD </v>
          </cell>
          <cell r="D78" t="str">
            <v xml:space="preserve">HOUSING DEVELOPMENT FINANCE CORP LTD            </v>
          </cell>
          <cell r="E78">
            <v>43874</v>
          </cell>
          <cell r="F78" t="str">
            <v>13-Feb-2020</v>
          </cell>
          <cell r="G78" t="str">
            <v>Housing Development Finance Corp Ltd (13-Feb-2020)</v>
          </cell>
          <cell r="H78" t="str">
            <v>Housing Development Finance Corp Ltd (13-Feb-2020)</v>
          </cell>
        </row>
        <row r="79">
          <cell r="B79" t="str">
            <v>INE674K14651</v>
          </cell>
          <cell r="C79" t="e">
            <v>#N/A</v>
          </cell>
          <cell r="D79" t="e">
            <v>#N/A</v>
          </cell>
          <cell r="E79" t="e">
            <v>#N/A</v>
          </cell>
          <cell r="F79" t="e">
            <v>#N/A</v>
          </cell>
          <cell r="G79" t="e">
            <v>#N/A</v>
          </cell>
          <cell r="H79" t="e">
            <v>#N/A</v>
          </cell>
        </row>
        <row r="80">
          <cell r="B80" t="str">
            <v>INE238A161N9</v>
          </cell>
          <cell r="C80" t="e">
            <v>#N/A</v>
          </cell>
          <cell r="D80" t="e">
            <v>#N/A</v>
          </cell>
          <cell r="E80" t="e">
            <v>#N/A</v>
          </cell>
          <cell r="F80" t="e">
            <v>#N/A</v>
          </cell>
          <cell r="G80" t="e">
            <v>#N/A</v>
          </cell>
          <cell r="H80" t="e">
            <v>#N/A</v>
          </cell>
        </row>
        <row r="81">
          <cell r="B81" t="str">
            <v>INE238A165O8</v>
          </cell>
          <cell r="C81" t="e">
            <v>#N/A</v>
          </cell>
          <cell r="D81" t="e">
            <v>#N/A</v>
          </cell>
          <cell r="E81" t="e">
            <v>#N/A</v>
          </cell>
          <cell r="F81" t="e">
            <v>#N/A</v>
          </cell>
          <cell r="G81" t="e">
            <v>#N/A</v>
          </cell>
          <cell r="H81" t="e">
            <v>#N/A</v>
          </cell>
        </row>
        <row r="82">
          <cell r="B82" t="str">
            <v>INE028A16BQ5</v>
          </cell>
          <cell r="C82" t="e">
            <v>#N/A</v>
          </cell>
          <cell r="D82" t="e">
            <v>#N/A</v>
          </cell>
          <cell r="E82" t="e">
            <v>#N/A</v>
          </cell>
          <cell r="F82" t="e">
            <v>#N/A</v>
          </cell>
          <cell r="G82" t="e">
            <v>#N/A</v>
          </cell>
          <cell r="H82" t="e">
            <v>#N/A</v>
          </cell>
        </row>
        <row r="83">
          <cell r="B83" t="str">
            <v>INE028A16BL6</v>
          </cell>
          <cell r="C83" t="e">
            <v>#N/A</v>
          </cell>
          <cell r="D83" t="e">
            <v>#N/A</v>
          </cell>
          <cell r="E83" t="e">
            <v>#N/A</v>
          </cell>
          <cell r="F83" t="e">
            <v>#N/A</v>
          </cell>
          <cell r="G83" t="e">
            <v>#N/A</v>
          </cell>
          <cell r="H83" t="e">
            <v>#N/A</v>
          </cell>
        </row>
        <row r="84">
          <cell r="B84" t="str">
            <v>INE482A14734</v>
          </cell>
          <cell r="C84" t="e">
            <v>#N/A</v>
          </cell>
          <cell r="D84" t="e">
            <v>#N/A</v>
          </cell>
          <cell r="E84" t="e">
            <v>#N/A</v>
          </cell>
          <cell r="F84" t="e">
            <v>#N/A</v>
          </cell>
          <cell r="G84" t="e">
            <v>#N/A</v>
          </cell>
          <cell r="H84" t="e">
            <v>#N/A</v>
          </cell>
        </row>
        <row r="85">
          <cell r="B85" t="str">
            <v>INE085A14FI8</v>
          </cell>
          <cell r="C85" t="e">
            <v>#N/A</v>
          </cell>
          <cell r="D85" t="e">
            <v>#N/A</v>
          </cell>
          <cell r="E85" t="e">
            <v>#N/A</v>
          </cell>
          <cell r="F85" t="e">
            <v>#N/A</v>
          </cell>
          <cell r="G85" t="e">
            <v>#N/A</v>
          </cell>
          <cell r="H85" t="e">
            <v>#N/A</v>
          </cell>
        </row>
        <row r="86">
          <cell r="B86" t="str">
            <v>INE085A14FE7</v>
          </cell>
          <cell r="C86" t="e">
            <v>#N/A</v>
          </cell>
          <cell r="D86" t="e">
            <v>#N/A</v>
          </cell>
          <cell r="E86" t="e">
            <v>#N/A</v>
          </cell>
          <cell r="F86" t="e">
            <v>#N/A</v>
          </cell>
          <cell r="G86" t="e">
            <v>#N/A</v>
          </cell>
          <cell r="H86" t="e">
            <v>#N/A</v>
          </cell>
        </row>
        <row r="87">
          <cell r="B87" t="str">
            <v>INE178A14EJ2</v>
          </cell>
          <cell r="C87" t="e">
            <v>#N/A</v>
          </cell>
          <cell r="D87" t="e">
            <v>#N/A</v>
          </cell>
          <cell r="E87" t="e">
            <v>#N/A</v>
          </cell>
          <cell r="F87" t="e">
            <v>#N/A</v>
          </cell>
          <cell r="G87" t="e">
            <v>#N/A</v>
          </cell>
          <cell r="H87" t="e">
            <v>#N/A</v>
          </cell>
        </row>
        <row r="88">
          <cell r="B88" t="str">
            <v>INE535H14HV6</v>
          </cell>
          <cell r="C88" t="e">
            <v>#N/A</v>
          </cell>
          <cell r="D88" t="e">
            <v>#N/A</v>
          </cell>
          <cell r="E88" t="e">
            <v>#N/A</v>
          </cell>
          <cell r="F88" t="e">
            <v>#N/A</v>
          </cell>
          <cell r="G88" t="e">
            <v>#N/A</v>
          </cell>
          <cell r="H88" t="e">
            <v>#N/A</v>
          </cell>
        </row>
        <row r="89">
          <cell r="B89" t="str">
            <v>INE535H14HU8</v>
          </cell>
          <cell r="C89" t="str">
            <v xml:space="preserve">CPD </v>
          </cell>
          <cell r="D89" t="str">
            <v xml:space="preserve">FULLERTON INDIA CREDIT CO LTD                   </v>
          </cell>
          <cell r="E89">
            <v>43719</v>
          </cell>
          <cell r="F89" t="str">
            <v>11-Sep-2019</v>
          </cell>
          <cell r="G89" t="str">
            <v>Fullerton India Credit Co Ltd (11-Sep-2019)</v>
          </cell>
          <cell r="H89" t="str">
            <v>Fullerton India Credit Co Ltd (11-Sep-2019) **</v>
          </cell>
        </row>
        <row r="90">
          <cell r="B90" t="str">
            <v>INE090A169U4</v>
          </cell>
          <cell r="C90" t="e">
            <v>#N/A</v>
          </cell>
          <cell r="D90" t="e">
            <v>#N/A</v>
          </cell>
          <cell r="E90" t="e">
            <v>#N/A</v>
          </cell>
          <cell r="F90" t="e">
            <v>#N/A</v>
          </cell>
          <cell r="G90" t="e">
            <v>#N/A</v>
          </cell>
          <cell r="H90" t="e">
            <v>#N/A</v>
          </cell>
        </row>
        <row r="91">
          <cell r="B91" t="str">
            <v>INE849D14FY8</v>
          </cell>
          <cell r="C91" t="e">
            <v>#N/A</v>
          </cell>
          <cell r="D91" t="e">
            <v>#N/A</v>
          </cell>
          <cell r="E91" t="e">
            <v>#N/A</v>
          </cell>
          <cell r="F91" t="e">
            <v>#N/A</v>
          </cell>
          <cell r="G91" t="e">
            <v>#N/A</v>
          </cell>
          <cell r="H91" t="e">
            <v>#N/A</v>
          </cell>
        </row>
        <row r="92">
          <cell r="B92" t="str">
            <v>INE849D14FZ5</v>
          </cell>
          <cell r="C92" t="e">
            <v>#N/A</v>
          </cell>
          <cell r="D92" t="e">
            <v>#N/A</v>
          </cell>
          <cell r="E92" t="e">
            <v>#N/A</v>
          </cell>
          <cell r="F92" t="e">
            <v>#N/A</v>
          </cell>
          <cell r="G92" t="e">
            <v>#N/A</v>
          </cell>
          <cell r="H92" t="e">
            <v>#N/A</v>
          </cell>
        </row>
        <row r="93">
          <cell r="B93" t="str">
            <v>INE242A14MP6</v>
          </cell>
          <cell r="C93" t="e">
            <v>#N/A</v>
          </cell>
          <cell r="D93" t="e">
            <v>#N/A</v>
          </cell>
          <cell r="E93" t="e">
            <v>#N/A</v>
          </cell>
          <cell r="F93" t="e">
            <v>#N/A</v>
          </cell>
          <cell r="G93" t="e">
            <v>#N/A</v>
          </cell>
          <cell r="H93" t="e">
            <v>#N/A</v>
          </cell>
        </row>
        <row r="94">
          <cell r="B94" t="str">
            <v>INE242A14MN1</v>
          </cell>
          <cell r="C94" t="e">
            <v>#N/A</v>
          </cell>
          <cell r="D94" t="e">
            <v>#N/A</v>
          </cell>
          <cell r="E94" t="e">
            <v>#N/A</v>
          </cell>
          <cell r="F94" t="e">
            <v>#N/A</v>
          </cell>
          <cell r="G94" t="e">
            <v>#N/A</v>
          </cell>
          <cell r="H94" t="e">
            <v>#N/A</v>
          </cell>
        </row>
        <row r="95">
          <cell r="B95" t="str">
            <v>INE07Z414010</v>
          </cell>
          <cell r="C95" t="e">
            <v>#N/A</v>
          </cell>
          <cell r="D95" t="e">
            <v>#N/A</v>
          </cell>
          <cell r="E95" t="e">
            <v>#N/A</v>
          </cell>
          <cell r="F95" t="e">
            <v>#N/A</v>
          </cell>
          <cell r="G95" t="e">
            <v>#N/A</v>
          </cell>
          <cell r="H95" t="e">
            <v>#N/A</v>
          </cell>
        </row>
        <row r="96">
          <cell r="B96" t="str">
            <v>INE523H14R15</v>
          </cell>
          <cell r="C96" t="e">
            <v>#N/A</v>
          </cell>
          <cell r="D96" t="e">
            <v>#N/A</v>
          </cell>
          <cell r="E96" t="e">
            <v>#N/A</v>
          </cell>
          <cell r="F96" t="e">
            <v>#N/A</v>
          </cell>
          <cell r="G96" t="e">
            <v>#N/A</v>
          </cell>
          <cell r="H96" t="e">
            <v>#N/A</v>
          </cell>
        </row>
        <row r="97">
          <cell r="B97" t="str">
            <v>INE012I14KZ9</v>
          </cell>
          <cell r="C97" t="str">
            <v xml:space="preserve">CPD </v>
          </cell>
          <cell r="D97" t="str">
            <v xml:space="preserve">JM FINANCIAL SERVICES LTD                       </v>
          </cell>
          <cell r="E97">
            <v>43726</v>
          </cell>
          <cell r="F97" t="str">
            <v>18-Sep-2019</v>
          </cell>
          <cell r="G97" t="str">
            <v>Jm Financial Services Ltd (18-Sep-2019)</v>
          </cell>
          <cell r="H97" t="str">
            <v>Jm Financial Services Ltd (18-Sep-2019) **</v>
          </cell>
        </row>
        <row r="98">
          <cell r="B98" t="str">
            <v>INE012I14KW6</v>
          </cell>
          <cell r="C98" t="str">
            <v xml:space="preserve">CPD </v>
          </cell>
          <cell r="D98" t="str">
            <v xml:space="preserve">JM FINANCIAL SERVICES LTD                       </v>
          </cell>
          <cell r="E98">
            <v>43714</v>
          </cell>
          <cell r="F98" t="str">
            <v>06-Sep-2019</v>
          </cell>
          <cell r="G98" t="str">
            <v>Jm Financial Services Ltd (06-Sep-2019)</v>
          </cell>
          <cell r="H98" t="str">
            <v>Jm Financial Services Ltd (06-Sep-2019) **</v>
          </cell>
        </row>
        <row r="99">
          <cell r="B99" t="str">
            <v>INE975F14QB1</v>
          </cell>
          <cell r="C99" t="str">
            <v xml:space="preserve">CPD </v>
          </cell>
          <cell r="D99" t="str">
            <v xml:space="preserve">KOTAK MAHINDRA INVESTMENTS LTD                  </v>
          </cell>
          <cell r="E99">
            <v>43714</v>
          </cell>
          <cell r="F99" t="str">
            <v>06-Sep-2019</v>
          </cell>
          <cell r="G99" t="str">
            <v>Kotak Mahindra Investments Ltd (06-Sep-2019)</v>
          </cell>
          <cell r="H99" t="str">
            <v>Kotak Mahindra Investments Ltd (06-Sep-2019) **</v>
          </cell>
        </row>
        <row r="100">
          <cell r="B100" t="str">
            <v>INE498L14901</v>
          </cell>
          <cell r="C100" t="e">
            <v>#N/A</v>
          </cell>
          <cell r="D100" t="e">
            <v>#N/A</v>
          </cell>
          <cell r="E100" t="e">
            <v>#N/A</v>
          </cell>
          <cell r="F100" t="e">
            <v>#N/A</v>
          </cell>
          <cell r="G100" t="e">
            <v>#N/A</v>
          </cell>
          <cell r="H100" t="e">
            <v>#N/A</v>
          </cell>
        </row>
        <row r="101">
          <cell r="B101" t="str">
            <v>INE511C14UK4</v>
          </cell>
          <cell r="C101" t="str">
            <v xml:space="preserve">CPD </v>
          </cell>
          <cell r="D101" t="str">
            <v xml:space="preserve">MAGMA FINCORP LTD                               </v>
          </cell>
          <cell r="E101">
            <v>43717</v>
          </cell>
          <cell r="F101" t="str">
            <v>09-Sep-2019</v>
          </cell>
          <cell r="G101" t="str">
            <v>Magma Fincorp Ltd (09-Sep-2019)</v>
          </cell>
          <cell r="H101" t="str">
            <v>Magma Fincorp Ltd (09-Sep-2019) **</v>
          </cell>
        </row>
        <row r="102">
          <cell r="B102" t="str">
            <v>INE511C14UJ6</v>
          </cell>
          <cell r="C102" t="str">
            <v xml:space="preserve">CPD </v>
          </cell>
          <cell r="D102" t="str">
            <v xml:space="preserve">MAGMA FINCORP LTD                               </v>
          </cell>
          <cell r="E102">
            <v>43711</v>
          </cell>
          <cell r="F102" t="str">
            <v>03-Sep-2019</v>
          </cell>
          <cell r="G102" t="str">
            <v>Magma Fincorp Ltd (03-Sep-2019)</v>
          </cell>
          <cell r="H102" t="str">
            <v>Magma Fincorp Ltd (03-Sep-2019) **</v>
          </cell>
        </row>
        <row r="103">
          <cell r="B103" t="str">
            <v>INE110L14KN1</v>
          </cell>
          <cell r="C103" t="e">
            <v>#N/A</v>
          </cell>
          <cell r="D103" t="e">
            <v>#N/A</v>
          </cell>
          <cell r="E103" t="e">
            <v>#N/A</v>
          </cell>
          <cell r="F103" t="e">
            <v>#N/A</v>
          </cell>
          <cell r="G103" t="e">
            <v>#N/A</v>
          </cell>
          <cell r="H103" t="e">
            <v>#N/A</v>
          </cell>
        </row>
        <row r="104">
          <cell r="B104" t="str">
            <v>INE110L14KL5</v>
          </cell>
          <cell r="C104" t="e">
            <v>#N/A</v>
          </cell>
          <cell r="D104" t="e">
            <v>#N/A</v>
          </cell>
          <cell r="E104" t="e">
            <v>#N/A</v>
          </cell>
          <cell r="F104" t="e">
            <v>#N/A</v>
          </cell>
          <cell r="G104" t="e">
            <v>#N/A</v>
          </cell>
          <cell r="H104" t="e">
            <v>#N/A</v>
          </cell>
        </row>
        <row r="105">
          <cell r="B105" t="str">
            <v>INE110L14KM3</v>
          </cell>
          <cell r="C105" t="e">
            <v>#N/A</v>
          </cell>
          <cell r="D105" t="e">
            <v>#N/A</v>
          </cell>
          <cell r="E105" t="e">
            <v>#N/A</v>
          </cell>
          <cell r="F105" t="e">
            <v>#N/A</v>
          </cell>
          <cell r="G105" t="e">
            <v>#N/A</v>
          </cell>
          <cell r="H105" t="e">
            <v>#N/A</v>
          </cell>
        </row>
        <row r="106">
          <cell r="B106" t="str">
            <v>INE742O14BP9</v>
          </cell>
          <cell r="C106" t="e">
            <v>#N/A</v>
          </cell>
          <cell r="D106" t="e">
            <v>#N/A</v>
          </cell>
          <cell r="E106" t="e">
            <v>#N/A</v>
          </cell>
          <cell r="F106" t="e">
            <v>#N/A</v>
          </cell>
          <cell r="G106" t="e">
            <v>#N/A</v>
          </cell>
          <cell r="H106" t="e">
            <v>#N/A</v>
          </cell>
        </row>
        <row r="107">
          <cell r="B107" t="str">
            <v>INE667A16GJ4</v>
          </cell>
          <cell r="C107" t="e">
            <v>#N/A</v>
          </cell>
          <cell r="D107" t="e">
            <v>#N/A</v>
          </cell>
          <cell r="E107" t="e">
            <v>#N/A</v>
          </cell>
          <cell r="F107" t="e">
            <v>#N/A</v>
          </cell>
          <cell r="G107" t="e">
            <v>#N/A</v>
          </cell>
          <cell r="H107" t="e">
            <v>#N/A</v>
          </cell>
        </row>
        <row r="108">
          <cell r="B108" t="str">
            <v>INE582L14ET1</v>
          </cell>
          <cell r="C108" t="str">
            <v xml:space="preserve">CPD </v>
          </cell>
          <cell r="D108" t="str">
            <v xml:space="preserve">TATA HOUSING DEVELOPMENT CO LTD                 </v>
          </cell>
          <cell r="E108">
            <v>43721</v>
          </cell>
          <cell r="F108" t="str">
            <v>13-Sep-2019</v>
          </cell>
          <cell r="G108" t="str">
            <v>Tata Housing Development Co Ltd (13-Sep-2019)</v>
          </cell>
          <cell r="H108" t="str">
            <v>Tata Housing Development Co Ltd (13-Sep-2019) **</v>
          </cell>
        </row>
        <row r="109">
          <cell r="B109" t="str">
            <v>INE962S14703</v>
          </cell>
          <cell r="C109" t="e">
            <v>#N/A</v>
          </cell>
          <cell r="D109" t="e">
            <v>#N/A</v>
          </cell>
          <cell r="E109" t="e">
            <v>#N/A</v>
          </cell>
          <cell r="F109" t="e">
            <v>#N/A</v>
          </cell>
          <cell r="G109" t="e">
            <v>#N/A</v>
          </cell>
          <cell r="H109" t="e">
            <v>#N/A</v>
          </cell>
        </row>
        <row r="110">
          <cell r="B110" t="str">
            <v>INE791T14159</v>
          </cell>
          <cell r="C110" t="e">
            <v>#N/A</v>
          </cell>
          <cell r="D110" t="e">
            <v>#N/A</v>
          </cell>
          <cell r="E110" t="e">
            <v>#N/A</v>
          </cell>
          <cell r="F110" t="e">
            <v>#N/A</v>
          </cell>
          <cell r="G110" t="e">
            <v>#N/A</v>
          </cell>
          <cell r="H110" t="e">
            <v>#N/A</v>
          </cell>
        </row>
        <row r="111">
          <cell r="B111" t="str">
            <v>INE371K14860</v>
          </cell>
          <cell r="C111" t="str">
            <v xml:space="preserve">CPD </v>
          </cell>
          <cell r="D111" t="str">
            <v xml:space="preserve">TATA REALTY &amp; INFRASTRUCTURE LTD                </v>
          </cell>
          <cell r="E111">
            <v>43720</v>
          </cell>
          <cell r="F111" t="str">
            <v>12-Sep-2019</v>
          </cell>
          <cell r="G111" t="str">
            <v>Tata Realty &amp; Infrastructure Ltd (12-Sep-2019)</v>
          </cell>
          <cell r="H111" t="str">
            <v>Tata Realty &amp; Infrastructure Ltd (12-Sep-2019) **</v>
          </cell>
        </row>
        <row r="112">
          <cell r="B112" t="str">
            <v>INE692A16FJ4</v>
          </cell>
          <cell r="C112" t="e">
            <v>#N/A</v>
          </cell>
          <cell r="D112" t="e">
            <v>#N/A</v>
          </cell>
          <cell r="E112" t="e">
            <v>#N/A</v>
          </cell>
          <cell r="F112" t="e">
            <v>#N/A</v>
          </cell>
          <cell r="G112" t="e">
            <v>#N/A</v>
          </cell>
          <cell r="H112" t="e">
            <v>#N/A</v>
          </cell>
        </row>
        <row r="113">
          <cell r="B113" t="str">
            <v>INE623B14AL9</v>
          </cell>
          <cell r="C113" t="str">
            <v xml:space="preserve">CPD </v>
          </cell>
          <cell r="D113" t="str">
            <v xml:space="preserve">FUTURE ENTERPRISES LTD                          </v>
          </cell>
          <cell r="E113">
            <v>43711</v>
          </cell>
          <cell r="F113" t="str">
            <v>03-Sep-2019</v>
          </cell>
          <cell r="G113" t="str">
            <v>Future Enterprises Ltd (03-Sep-2019)</v>
          </cell>
          <cell r="H113" t="str">
            <v>Future Enterprises Ltd (03-Sep-2019) **</v>
          </cell>
        </row>
        <row r="114">
          <cell r="B114" t="str">
            <v>INE752P14AF8</v>
          </cell>
          <cell r="C114" t="str">
            <v xml:space="preserve">CPD </v>
          </cell>
          <cell r="D114" t="str">
            <v xml:space="preserve">FUTURE RETAIL LTD                               </v>
          </cell>
          <cell r="E114">
            <v>43712</v>
          </cell>
          <cell r="F114" t="str">
            <v>04-Sep-2019</v>
          </cell>
          <cell r="G114" t="str">
            <v>Future Retail Ltd (04-Sep-2019)</v>
          </cell>
          <cell r="H114" t="str">
            <v>Future Retail Ltd (04-Sep-2019) **</v>
          </cell>
        </row>
        <row r="115">
          <cell r="B115" t="str">
            <v>INE691I14IZ4</v>
          </cell>
          <cell r="C115" t="str">
            <v xml:space="preserve">CPD </v>
          </cell>
          <cell r="D115" t="str">
            <v xml:space="preserve">L&amp;T INFRASTRUCTURE FINANCE CO LTD               </v>
          </cell>
          <cell r="E115">
            <v>43801</v>
          </cell>
          <cell r="F115" t="str">
            <v>02-Dec-2019</v>
          </cell>
          <cell r="G115" t="str">
            <v>L&amp;T Infrastructure Finance Co Ltd (02-Dec-2019)</v>
          </cell>
          <cell r="H115" t="str">
            <v>L&amp;T Infrastructure Finance Co Ltd (02-Dec-2019) **</v>
          </cell>
        </row>
        <row r="116">
          <cell r="B116" t="str">
            <v>INE535H14HW4</v>
          </cell>
          <cell r="C116" t="str">
            <v xml:space="preserve">CPD </v>
          </cell>
          <cell r="D116" t="str">
            <v xml:space="preserve">FULLERTON INDIA CREDIT CO LTD                   </v>
          </cell>
          <cell r="E116">
            <v>44027</v>
          </cell>
          <cell r="F116" t="str">
            <v>15-Jul-2020</v>
          </cell>
          <cell r="G116" t="str">
            <v>Fullerton India Credit Co Ltd (15-Jul-2020)</v>
          </cell>
          <cell r="H116" t="str">
            <v>Fullerton India Credit Co Ltd (15-Jul-2020) **</v>
          </cell>
        </row>
        <row r="117">
          <cell r="B117" t="str">
            <v>INE001A14VO0</v>
          </cell>
          <cell r="C117" t="str">
            <v xml:space="preserve">CPD </v>
          </cell>
          <cell r="D117" t="str">
            <v xml:space="preserve">HOUSING DEVELOPMENT FINANCE CORP LTD            </v>
          </cell>
          <cell r="E117">
            <v>44022</v>
          </cell>
          <cell r="F117" t="str">
            <v>10-Jul-2020</v>
          </cell>
          <cell r="G117" t="str">
            <v>Housing Development Finance Corp Ltd (10-Jul-2020)</v>
          </cell>
          <cell r="H117" t="str">
            <v>Housing Development Finance Corp Ltd (10-Jul-2020) **</v>
          </cell>
        </row>
        <row r="118">
          <cell r="B118" t="str">
            <v>INE090A162V7</v>
          </cell>
          <cell r="C118" t="str">
            <v xml:space="preserve">CDD </v>
          </cell>
          <cell r="D118" t="str">
            <v xml:space="preserve">ICICI BANK LTD                                  </v>
          </cell>
          <cell r="E118">
            <v>44029</v>
          </cell>
          <cell r="F118" t="str">
            <v>17-Jul-2020</v>
          </cell>
          <cell r="G118" t="str">
            <v>Icici Bank Ltd (17-Jul-2020)</v>
          </cell>
          <cell r="H118" t="str">
            <v>Icici Bank Ltd (17-Jul-2020) **</v>
          </cell>
        </row>
        <row r="119">
          <cell r="B119" t="str">
            <v>INE027E14HK4</v>
          </cell>
          <cell r="C119" t="str">
            <v xml:space="preserve">CPD </v>
          </cell>
          <cell r="D119" t="str">
            <v xml:space="preserve">L&amp;T FINANCE LTD                                 </v>
          </cell>
          <cell r="E119">
            <v>43840</v>
          </cell>
          <cell r="F119" t="str">
            <v>10-Jan-2020</v>
          </cell>
          <cell r="G119" t="str">
            <v>L&amp;T Finance Ltd (10-Jan-2020)</v>
          </cell>
          <cell r="H119" t="str">
            <v>L&amp;T Finance Ltd (10-Jan-2020) **</v>
          </cell>
        </row>
        <row r="120">
          <cell r="B120" t="str">
            <v>INE667F14EX4</v>
          </cell>
          <cell r="C120" t="str">
            <v xml:space="preserve">CPD </v>
          </cell>
          <cell r="D120" t="str">
            <v xml:space="preserve">SUNDARAM BNP PARIBAS HOME FINANCE LTD           </v>
          </cell>
          <cell r="E120">
            <v>43889</v>
          </cell>
          <cell r="F120" t="str">
            <v>28-Feb-2020</v>
          </cell>
          <cell r="G120" t="str">
            <v>Sundaram Bnp Paribas Home Finance Ltd (28-Feb-2020)</v>
          </cell>
          <cell r="H120" t="str">
            <v>Sundaram Bnp Paribas Home Finance Ltd (28-Feb-2020) **</v>
          </cell>
        </row>
        <row r="121">
          <cell r="B121" t="str">
            <v>INE371K14894</v>
          </cell>
          <cell r="C121" t="str">
            <v xml:space="preserve">CPD </v>
          </cell>
          <cell r="D121" t="str">
            <v xml:space="preserve">TATA REALTY &amp; INFRASTRUCTURE LTD                </v>
          </cell>
          <cell r="E121">
            <v>43907</v>
          </cell>
          <cell r="F121" t="str">
            <v>17-Mar-2020</v>
          </cell>
          <cell r="G121" t="str">
            <v>Tata Realty &amp; Infrastructure Ltd (17-Mar-2020)</v>
          </cell>
          <cell r="H121" t="str">
            <v>Tata Realty &amp; Infrastructure Ltd (17-Mar-2020) **</v>
          </cell>
        </row>
        <row r="122">
          <cell r="B122" t="str">
            <v>INE371K14886</v>
          </cell>
          <cell r="C122" t="str">
            <v xml:space="preserve">CPD </v>
          </cell>
          <cell r="D122" t="str">
            <v xml:space="preserve">TATA REALTY &amp; INFRASTRUCTURE LTD                </v>
          </cell>
          <cell r="E122">
            <v>43914</v>
          </cell>
          <cell r="F122" t="str">
            <v>24-Mar-2020</v>
          </cell>
          <cell r="G122" t="str">
            <v>Tata Realty &amp; Infrastructure Ltd (24-Mar-2020)</v>
          </cell>
          <cell r="H122" t="str">
            <v>Tata Realty &amp; Infrastructure Ltd (24-Mar-2020) **</v>
          </cell>
        </row>
        <row r="123">
          <cell r="B123" t="str">
            <v>INE742F14JN5</v>
          </cell>
          <cell r="C123" t="str">
            <v xml:space="preserve">CPD </v>
          </cell>
          <cell r="D123" t="str">
            <v xml:space="preserve">ADANI PORTS AND SPECIAL ECONOMIC ZONE LTD       </v>
          </cell>
          <cell r="E123">
            <v>43727</v>
          </cell>
          <cell r="F123" t="str">
            <v>19-Sep-2019</v>
          </cell>
          <cell r="G123" t="str">
            <v>Adani Ports And Special Economic Zone Ltd (19-Sep-2019)</v>
          </cell>
          <cell r="H123" t="str">
            <v>Adani Ports And Special Economic Zone Ltd (19-Sep-2019) **</v>
          </cell>
        </row>
        <row r="124">
          <cell r="B124" t="str">
            <v>INE742F14IL1</v>
          </cell>
          <cell r="C124" t="str">
            <v xml:space="preserve">CPD </v>
          </cell>
          <cell r="D124" t="str">
            <v xml:space="preserve">ADANI PORTS AND SPECIAL ECONOMIC ZONE LTD       </v>
          </cell>
          <cell r="E124">
            <v>43726</v>
          </cell>
          <cell r="F124" t="str">
            <v>18-Sep-2019</v>
          </cell>
          <cell r="G124" t="str">
            <v>Adani Ports And Special Economic Zone Ltd (18-Sep-2019)</v>
          </cell>
          <cell r="H124" t="str">
            <v>Adani Ports And Special Economic Zone Ltd (18-Sep-2019) **</v>
          </cell>
        </row>
        <row r="125">
          <cell r="B125" t="str">
            <v>INE742F14JO3</v>
          </cell>
          <cell r="C125" t="str">
            <v xml:space="preserve">CPD </v>
          </cell>
          <cell r="D125" t="str">
            <v xml:space="preserve">ADANI PORTS AND SPECIAL ECONOMIC ZONE LTD       </v>
          </cell>
          <cell r="E125">
            <v>43719</v>
          </cell>
          <cell r="F125" t="str">
            <v>11-Sep-2019</v>
          </cell>
          <cell r="G125" t="str">
            <v>Adani Ports And Special Economic Zone Ltd (11-Sep-2019)</v>
          </cell>
          <cell r="H125" t="str">
            <v>Adani Ports And Special Economic Zone Ltd (11-Sep-2019) **</v>
          </cell>
        </row>
        <row r="126">
          <cell r="B126" t="str">
            <v>INE674K14644</v>
          </cell>
          <cell r="C126" t="e">
            <v>#N/A</v>
          </cell>
          <cell r="D126" t="e">
            <v>#N/A</v>
          </cell>
          <cell r="E126" t="e">
            <v>#N/A</v>
          </cell>
          <cell r="F126" t="e">
            <v>#N/A</v>
          </cell>
          <cell r="G126" t="e">
            <v>#N/A</v>
          </cell>
          <cell r="H126" t="e">
            <v>#N/A</v>
          </cell>
        </row>
        <row r="127">
          <cell r="B127" t="str">
            <v>INE085A14FG2</v>
          </cell>
          <cell r="C127" t="e">
            <v>#N/A</v>
          </cell>
          <cell r="D127" t="e">
            <v>#N/A</v>
          </cell>
          <cell r="E127" t="e">
            <v>#N/A</v>
          </cell>
          <cell r="F127" t="e">
            <v>#N/A</v>
          </cell>
          <cell r="G127" t="e">
            <v>#N/A</v>
          </cell>
          <cell r="H127" t="e">
            <v>#N/A</v>
          </cell>
        </row>
        <row r="128">
          <cell r="B128" t="str">
            <v>INE501G14AV5</v>
          </cell>
          <cell r="C128" t="str">
            <v xml:space="preserve">CPD </v>
          </cell>
          <cell r="D128" t="str">
            <v xml:space="preserve">HT MEDIA LTD                                    </v>
          </cell>
          <cell r="E128">
            <v>43713</v>
          </cell>
          <cell r="F128" t="str">
            <v>05-Sep-2019</v>
          </cell>
          <cell r="G128" t="str">
            <v>Ht Media Ltd (05-Sep-2019)</v>
          </cell>
          <cell r="H128" t="str">
            <v>Ht Media Ltd (05-Sep-2019) **</v>
          </cell>
        </row>
        <row r="129">
          <cell r="B129" t="str">
            <v>INE501G14AT9</v>
          </cell>
          <cell r="C129" t="str">
            <v xml:space="preserve">CPD </v>
          </cell>
          <cell r="D129" t="str">
            <v xml:space="preserve">HT MEDIA LTD                                    </v>
          </cell>
          <cell r="E129">
            <v>43731</v>
          </cell>
          <cell r="F129" t="str">
            <v>23-Sep-2019</v>
          </cell>
          <cell r="G129" t="str">
            <v>Ht Media Ltd (23-Sep-2019)</v>
          </cell>
          <cell r="H129" t="str">
            <v>Ht Media Ltd (23-Sep-2019) **</v>
          </cell>
        </row>
        <row r="130">
          <cell r="B130" t="str">
            <v>INE501G14AU7</v>
          </cell>
          <cell r="C130" t="e">
            <v>#N/A</v>
          </cell>
          <cell r="D130" t="e">
            <v>#N/A</v>
          </cell>
          <cell r="E130" t="e">
            <v>#N/A</v>
          </cell>
          <cell r="F130" t="e">
            <v>#N/A</v>
          </cell>
          <cell r="G130" t="e">
            <v>#N/A</v>
          </cell>
          <cell r="H130" t="e">
            <v>#N/A</v>
          </cell>
        </row>
        <row r="131">
          <cell r="B131" t="str">
            <v>INE338I14AV8</v>
          </cell>
          <cell r="C131" t="str">
            <v xml:space="preserve">CPD </v>
          </cell>
          <cell r="D131" t="str">
            <v xml:space="preserve">MOTILAL OSWAL FINANCIAL SERVICES LTD            </v>
          </cell>
          <cell r="E131">
            <v>43735</v>
          </cell>
          <cell r="F131" t="str">
            <v>27-Sep-2019</v>
          </cell>
          <cell r="G131" t="str">
            <v>Motilal Oswal Financial Services Ltd (27-Sep-2019)</v>
          </cell>
          <cell r="H131" t="str">
            <v>Motilal Oswal Financial Services Ltd (27-Sep-2019) **</v>
          </cell>
        </row>
        <row r="132">
          <cell r="B132" t="str">
            <v>INE338I14AW6</v>
          </cell>
          <cell r="C132" t="str">
            <v xml:space="preserve">CPD </v>
          </cell>
          <cell r="D132" t="str">
            <v xml:space="preserve">MOTILAL OSWAL FINANCIAL SERVICES LTD            </v>
          </cell>
          <cell r="E132">
            <v>43731</v>
          </cell>
          <cell r="F132" t="str">
            <v>23-Sep-2019</v>
          </cell>
          <cell r="G132" t="str">
            <v>Motilal Oswal Financial Services Ltd (23-Sep-2019)</v>
          </cell>
          <cell r="H132" t="str">
            <v>Motilal Oswal Financial Services Ltd (23-Sep-2019) **</v>
          </cell>
        </row>
        <row r="133">
          <cell r="B133" t="str">
            <v>INE493F14318</v>
          </cell>
          <cell r="C133" t="e">
            <v>#N/A</v>
          </cell>
          <cell r="D133" t="e">
            <v>#N/A</v>
          </cell>
          <cell r="E133" t="e">
            <v>#N/A</v>
          </cell>
          <cell r="F133" t="e">
            <v>#N/A</v>
          </cell>
          <cell r="G133" t="e">
            <v>#N/A</v>
          </cell>
          <cell r="H133" t="e">
            <v>#N/A</v>
          </cell>
        </row>
        <row r="134">
          <cell r="B134" t="str">
            <v>INE205A14RO5</v>
          </cell>
          <cell r="C134" t="e">
            <v>#N/A</v>
          </cell>
          <cell r="D134" t="e">
            <v>#N/A</v>
          </cell>
          <cell r="E134" t="e">
            <v>#N/A</v>
          </cell>
          <cell r="F134" t="e">
            <v>#N/A</v>
          </cell>
          <cell r="G134" t="e">
            <v>#N/A</v>
          </cell>
          <cell r="H134" t="e">
            <v>#N/A</v>
          </cell>
        </row>
        <row r="135">
          <cell r="B135" t="str">
            <v>INE205A14RZ1</v>
          </cell>
          <cell r="C135" t="e">
            <v>#N/A</v>
          </cell>
          <cell r="D135" t="e">
            <v>#N/A</v>
          </cell>
          <cell r="E135" t="e">
            <v>#N/A</v>
          </cell>
          <cell r="F135" t="e">
            <v>#N/A</v>
          </cell>
          <cell r="G135" t="e">
            <v>#N/A</v>
          </cell>
          <cell r="H135" t="e">
            <v>#N/A</v>
          </cell>
        </row>
        <row r="136">
          <cell r="B136" t="str">
            <v>INE371K14928</v>
          </cell>
          <cell r="C136" t="str">
            <v xml:space="preserve">CPD </v>
          </cell>
          <cell r="D136" t="str">
            <v xml:space="preserve">TATA REALTY &amp; INFRASTRUCTURE LTD                </v>
          </cell>
          <cell r="E136">
            <v>43900</v>
          </cell>
          <cell r="F136" t="str">
            <v>10-Mar-2020</v>
          </cell>
          <cell r="G136" t="str">
            <v>Tata Realty &amp; Infrastructure Ltd (10-Mar-2020)</v>
          </cell>
          <cell r="H136" t="str">
            <v>Tata Realty &amp; Infrastructure Ltd (10-Mar-2020) **</v>
          </cell>
        </row>
        <row r="137">
          <cell r="B137" t="str">
            <v>INE371K14910</v>
          </cell>
          <cell r="C137" t="str">
            <v xml:space="preserve">CPD </v>
          </cell>
          <cell r="D137" t="str">
            <v xml:space="preserve">TATA REALTY &amp; INFRASTRUCTURE LTD                </v>
          </cell>
          <cell r="E137">
            <v>43893</v>
          </cell>
          <cell r="F137" t="str">
            <v>03-Mar-2020</v>
          </cell>
          <cell r="G137" t="str">
            <v>Tata Realty &amp; Infrastructure Ltd (03-Mar-2020)</v>
          </cell>
          <cell r="H137" t="str">
            <v>Tata Realty &amp; Infrastructure Ltd (03-Mar-2020) **</v>
          </cell>
        </row>
        <row r="138">
          <cell r="B138" t="str">
            <v>INE371K14902</v>
          </cell>
          <cell r="C138" t="str">
            <v xml:space="preserve">CPD </v>
          </cell>
          <cell r="D138" t="str">
            <v xml:space="preserve">TATA REALTY &amp; INFRASTRUCTURE LTD                </v>
          </cell>
          <cell r="E138">
            <v>43886</v>
          </cell>
          <cell r="F138" t="str">
            <v>25-Feb-2020</v>
          </cell>
          <cell r="G138" t="str">
            <v>Tata Realty &amp; Infrastructure Ltd (25-Feb-2020)</v>
          </cell>
          <cell r="H138" t="str">
            <v>Tata Realty &amp; Infrastructure Ltd (25-Feb-2020) **</v>
          </cell>
        </row>
        <row r="139">
          <cell r="B139" t="str">
            <v>INE238A160Q4</v>
          </cell>
          <cell r="C139" t="str">
            <v xml:space="preserve">CDD </v>
          </cell>
          <cell r="D139" t="str">
            <v xml:space="preserve">AXIS BANK LTD                                   </v>
          </cell>
          <cell r="E139">
            <v>44050</v>
          </cell>
          <cell r="F139" t="str">
            <v>07-Aug-2020</v>
          </cell>
          <cell r="G139" t="str">
            <v>Axis Bank Ltd (07-Aug-2020)</v>
          </cell>
          <cell r="H139" t="str">
            <v>Axis Bank Ltd (07-Aug-2020) **</v>
          </cell>
        </row>
        <row r="140">
          <cell r="B140" t="str">
            <v>INE261F16454</v>
          </cell>
          <cell r="C140" t="str">
            <v xml:space="preserve">CDD </v>
          </cell>
          <cell r="D140" t="str">
            <v>NATIONAL BANK FOR AGRICULTURE AND RURAL DEVELOPMent</v>
          </cell>
          <cell r="E140">
            <v>44048</v>
          </cell>
          <cell r="F140" t="str">
            <v>05-Aug-2020</v>
          </cell>
          <cell r="G140" t="str">
            <v>National Bank For Agriculture And Rural Development (05-Aug-2020)</v>
          </cell>
          <cell r="H140" t="str">
            <v>National Bank For Agriculture And Rural Development (05-Aug-2020)</v>
          </cell>
        </row>
        <row r="141">
          <cell r="B141" t="str">
            <v>INE556F16648</v>
          </cell>
          <cell r="C141" t="str">
            <v xml:space="preserve">CDD </v>
          </cell>
          <cell r="D141" t="str">
            <v xml:space="preserve">SMALL INDUSTRIES DEVELOPMENT BANK OF INDIA      </v>
          </cell>
          <cell r="E141">
            <v>43986</v>
          </cell>
          <cell r="F141" t="str">
            <v>04-Jun-2020</v>
          </cell>
          <cell r="G141" t="str">
            <v>Small Industries Development Bank Of India (04-Jun-2020)</v>
          </cell>
          <cell r="H141" t="str">
            <v>Small Industries Development Bank Of India (04-Jun-2020) **</v>
          </cell>
        </row>
        <row r="142">
          <cell r="B142" t="str">
            <v>INE238A166Q1</v>
          </cell>
          <cell r="C142" t="str">
            <v xml:space="preserve">CDD </v>
          </cell>
          <cell r="D142" t="str">
            <v xml:space="preserve">AXIS BANK LTD                                   </v>
          </cell>
          <cell r="E142">
            <v>44063</v>
          </cell>
          <cell r="F142" t="str">
            <v>20-Aug-2020</v>
          </cell>
          <cell r="G142" t="str">
            <v>Axis Bank Ltd (20-Aug-2020)</v>
          </cell>
          <cell r="H142" t="str">
            <v>Axis Bank Ltd (20-Aug-2020) **</v>
          </cell>
        </row>
        <row r="143">
          <cell r="B143" t="str">
            <v>INE001A14VQ5</v>
          </cell>
          <cell r="C143" t="str">
            <v xml:space="preserve">CPD </v>
          </cell>
          <cell r="D143" t="str">
            <v xml:space="preserve">HOUSING DEVELOPMENT FINANCE CORP LTD            </v>
          </cell>
          <cell r="E143">
            <v>44048</v>
          </cell>
          <cell r="F143" t="str">
            <v>05-Aug-2020</v>
          </cell>
          <cell r="G143" t="str">
            <v>Housing Development Finance Corp Ltd (05-Aug-2020)</v>
          </cell>
          <cell r="H143" t="str">
            <v>Housing Development Finance Corp Ltd (05-Aug-2020) **</v>
          </cell>
        </row>
        <row r="144">
          <cell r="B144" t="str">
            <v>INE001A14VS1</v>
          </cell>
          <cell r="C144" t="str">
            <v xml:space="preserve">CPD </v>
          </cell>
          <cell r="D144" t="str">
            <v xml:space="preserve">HOUSING DEVELOPMENT FINANCE CORP LTD            </v>
          </cell>
          <cell r="E144">
            <v>44056</v>
          </cell>
          <cell r="F144" t="str">
            <v>13-Aug-2020</v>
          </cell>
          <cell r="G144" t="str">
            <v>Housing Development Finance Corp Ltd (13-Aug-2020)</v>
          </cell>
          <cell r="H144" t="str">
            <v>Housing Development Finance Corp Ltd (13-Aug-2020)</v>
          </cell>
        </row>
        <row r="145">
          <cell r="B145" t="str">
            <v>INE790I14BE4</v>
          </cell>
          <cell r="C145" t="str">
            <v xml:space="preserve">CPD </v>
          </cell>
          <cell r="D145" t="str">
            <v xml:space="preserve">HSBC INVESTDIRECT FINANCIAL SERVICES INDIA LTD  </v>
          </cell>
          <cell r="E145">
            <v>43888</v>
          </cell>
          <cell r="F145" t="str">
            <v>27-Feb-2020</v>
          </cell>
          <cell r="G145" t="str">
            <v>Hsbc Investdirect Financial Services India Ltd (27-Feb-2020)</v>
          </cell>
          <cell r="H145" t="str">
            <v>Hsbc Investdirect Financial Services India Ltd (27-Feb-2020) **</v>
          </cell>
        </row>
        <row r="146">
          <cell r="B146" t="str">
            <v>INE001A14VS1</v>
          </cell>
          <cell r="C146" t="str">
            <v xml:space="preserve">CPD </v>
          </cell>
          <cell r="D146" t="str">
            <v xml:space="preserve">HOUSING DEVELOPMENT FINANCE CORP LTD            </v>
          </cell>
          <cell r="E146">
            <v>44056</v>
          </cell>
          <cell r="F146" t="str">
            <v>13-Aug-2020</v>
          </cell>
          <cell r="G146" t="str">
            <v>Housing Development Finance Corp Ltd (13-Aug-2020)</v>
          </cell>
          <cell r="H146" t="str">
            <v>Housing Development Finance Corp Ltd (13-Aug-2020)</v>
          </cell>
        </row>
        <row r="147">
          <cell r="B147" t="str">
            <v>INE725H14905</v>
          </cell>
          <cell r="C147" t="str">
            <v xml:space="preserve">CPD </v>
          </cell>
          <cell r="D147" t="str">
            <v xml:space="preserve">TATA PROJECTS LTD                               </v>
          </cell>
          <cell r="E147">
            <v>44004</v>
          </cell>
          <cell r="F147" t="str">
            <v>22-Jun-2020</v>
          </cell>
          <cell r="G147" t="str">
            <v>Tata Projects Ltd (22-Jun-2020)</v>
          </cell>
          <cell r="H147" t="str">
            <v>Tata Projects Ltd (22-Jun-2020) **</v>
          </cell>
        </row>
        <row r="148">
          <cell r="B148" t="str">
            <v>INE742F14JX4</v>
          </cell>
          <cell r="C148" t="str">
            <v xml:space="preserve">CPD </v>
          </cell>
          <cell r="D148" t="str">
            <v xml:space="preserve">ADANI PORTS AND SPECIAL ECONOMIC ZONE LTD       </v>
          </cell>
          <cell r="E148">
            <v>43738</v>
          </cell>
          <cell r="F148" t="str">
            <v>30-Sep-2019</v>
          </cell>
          <cell r="G148" t="str">
            <v>Adani Ports And Special Economic Zone Ltd (30-Sep-2019)</v>
          </cell>
          <cell r="H148" t="str">
            <v>Adani Ports And Special Economic Zone Ltd (30-Sep-2019) **</v>
          </cell>
        </row>
        <row r="149">
          <cell r="B149" t="str">
            <v>INE674K14800</v>
          </cell>
          <cell r="C149" t="str">
            <v xml:space="preserve">CPD </v>
          </cell>
          <cell r="D149" t="str">
            <v xml:space="preserve">ADITYA BIRLA CAPITAL LTD                        </v>
          </cell>
          <cell r="E149">
            <v>43753</v>
          </cell>
          <cell r="F149" t="str">
            <v>15-Oct-2019</v>
          </cell>
          <cell r="G149" t="str">
            <v>Aditya Birla Capital Ltd (15-Oct-2019)</v>
          </cell>
          <cell r="H149" t="str">
            <v>Aditya Birla Capital Ltd (15-Oct-2019) **</v>
          </cell>
        </row>
        <row r="150">
          <cell r="B150" t="str">
            <v>INE09OL14102</v>
          </cell>
          <cell r="C150" t="str">
            <v xml:space="preserve">CPD </v>
          </cell>
          <cell r="D150" t="str">
            <v xml:space="preserve">BIRLA GROUP HOLDINGS PVT LTD                    </v>
          </cell>
          <cell r="E150">
            <v>43733</v>
          </cell>
          <cell r="F150" t="str">
            <v>25-Sep-2019</v>
          </cell>
          <cell r="G150" t="str">
            <v>Birla Group Holdings Pvt Ltd (25-Sep-2019)</v>
          </cell>
          <cell r="H150" t="str">
            <v>Birla Group Holdings Pvt Ltd (25-Sep-2019) **</v>
          </cell>
        </row>
        <row r="151">
          <cell r="B151" t="str">
            <v>INE09OL14078</v>
          </cell>
          <cell r="C151" t="str">
            <v xml:space="preserve">CPD </v>
          </cell>
          <cell r="D151" t="str">
            <v xml:space="preserve">BIRLA GROUP HOLDINGS PVT LTD                    </v>
          </cell>
          <cell r="E151">
            <v>43735</v>
          </cell>
          <cell r="F151" t="str">
            <v>27-Sep-2019</v>
          </cell>
          <cell r="G151" t="str">
            <v>Birla Group Holdings Pvt Ltd (27-Sep-2019)</v>
          </cell>
          <cell r="H151" t="str">
            <v>Birla Group Holdings Pvt Ltd (27-Sep-2019) **</v>
          </cell>
        </row>
        <row r="152">
          <cell r="B152" t="str">
            <v>INE482A14775</v>
          </cell>
          <cell r="C152" t="str">
            <v xml:space="preserve">CPD </v>
          </cell>
          <cell r="D152" t="str">
            <v xml:space="preserve">CEAT LTD                                        </v>
          </cell>
          <cell r="E152">
            <v>43719</v>
          </cell>
          <cell r="F152" t="str">
            <v>11-Sep-2019</v>
          </cell>
          <cell r="G152" t="str">
            <v>Ceat Ltd (11-Sep-2019)</v>
          </cell>
          <cell r="H152" t="str">
            <v>Ceat Ltd (11-Sep-2019) **</v>
          </cell>
        </row>
        <row r="153">
          <cell r="B153" t="str">
            <v>INE031A14408</v>
          </cell>
          <cell r="C153" t="str">
            <v xml:space="preserve">CPD </v>
          </cell>
          <cell r="D153" t="str">
            <v xml:space="preserve">HOUSING &amp; URBAN DEVELOPMENT CORP LTD            </v>
          </cell>
          <cell r="E153">
            <v>43791</v>
          </cell>
          <cell r="F153" t="str">
            <v>22-Nov-2019</v>
          </cell>
          <cell r="G153" t="str">
            <v>Housing &amp; Urban Development Corp Ltd (22-Nov-2019)</v>
          </cell>
          <cell r="H153" t="str">
            <v>Housing &amp; Urban Development Corp Ltd (22-Nov-2019) **</v>
          </cell>
        </row>
        <row r="154">
          <cell r="B154" t="str">
            <v>INE901W14AV4</v>
          </cell>
          <cell r="C154" t="str">
            <v xml:space="preserve">CPD </v>
          </cell>
          <cell r="D154" t="str">
            <v xml:space="preserve">JM FINANCIAL CAPITAL LTD                        </v>
          </cell>
          <cell r="E154">
            <v>43798</v>
          </cell>
          <cell r="F154" t="str">
            <v>29-Nov-2019</v>
          </cell>
          <cell r="G154" t="str">
            <v>Jm Financial Capital Ltd (29-Nov-2019)</v>
          </cell>
          <cell r="H154" t="str">
            <v>Jm Financial Capital Ltd (29-Nov-2019)</v>
          </cell>
        </row>
        <row r="155">
          <cell r="B155" t="str">
            <v>INE027E14IF2</v>
          </cell>
          <cell r="C155" t="str">
            <v xml:space="preserve">CPD </v>
          </cell>
          <cell r="D155" t="str">
            <v xml:space="preserve">L&amp;T FINANCE LTD                                 </v>
          </cell>
          <cell r="E155">
            <v>43773</v>
          </cell>
          <cell r="F155" t="str">
            <v>04-Nov-2019</v>
          </cell>
          <cell r="G155" t="str">
            <v>L&amp;T Finance Ltd (04-Nov-2019)</v>
          </cell>
          <cell r="H155" t="str">
            <v>L&amp;T Finance Ltd (04-Nov-2019) **</v>
          </cell>
        </row>
        <row r="156">
          <cell r="B156" t="str">
            <v>INE742O14CO0</v>
          </cell>
          <cell r="C156" t="str">
            <v xml:space="preserve">CPD </v>
          </cell>
          <cell r="D156" t="str">
            <v xml:space="preserve">RELIANCE RETAIL LTD                             </v>
          </cell>
          <cell r="E156">
            <v>43763</v>
          </cell>
          <cell r="F156" t="str">
            <v>25-Oct-2019</v>
          </cell>
          <cell r="G156" t="str">
            <v>Reliance Retail Ltd (25-Oct-2019)</v>
          </cell>
          <cell r="H156" t="str">
            <v>Reliance Retail Ltd (25-Oct-2019) **</v>
          </cell>
        </row>
        <row r="157">
          <cell r="B157" t="str">
            <v>INE742O14CP7</v>
          </cell>
          <cell r="C157" t="str">
            <v xml:space="preserve">CPD </v>
          </cell>
          <cell r="D157" t="str">
            <v xml:space="preserve">RELIANCE RETAIL LTD                             </v>
          </cell>
          <cell r="E157">
            <v>43773</v>
          </cell>
          <cell r="F157" t="str">
            <v>04-Nov-2019</v>
          </cell>
          <cell r="G157" t="str">
            <v>Reliance Retail Ltd (04-Nov-2019)</v>
          </cell>
          <cell r="H157" t="str">
            <v>Reliance Retail Ltd (04-Nov-2019) **</v>
          </cell>
        </row>
        <row r="158">
          <cell r="B158" t="str">
            <v>INE742O14CM4</v>
          </cell>
          <cell r="C158" t="str">
            <v xml:space="preserve">CPD </v>
          </cell>
          <cell r="D158" t="str">
            <v xml:space="preserve">RELIANCE RETAIL LTD                             </v>
          </cell>
          <cell r="E158">
            <v>43749</v>
          </cell>
          <cell r="F158" t="str">
            <v>11-Oct-2019</v>
          </cell>
          <cell r="G158" t="str">
            <v>Reliance Retail Ltd (11-Oct-2019)</v>
          </cell>
          <cell r="H158" t="str">
            <v>Reliance Retail Ltd (11-Oct-2019) **</v>
          </cell>
        </row>
        <row r="159">
          <cell r="B159" t="str">
            <v>INE742O14CT9</v>
          </cell>
          <cell r="C159" t="str">
            <v xml:space="preserve">CPD </v>
          </cell>
          <cell r="D159" t="str">
            <v xml:space="preserve">RELIANCE RETAIL LTD                             </v>
          </cell>
          <cell r="E159">
            <v>43774</v>
          </cell>
          <cell r="F159" t="str">
            <v>05-Nov-2019</v>
          </cell>
          <cell r="G159" t="str">
            <v>Reliance Retail Ltd (05-Nov-2019)</v>
          </cell>
          <cell r="H159" t="str">
            <v>Reliance Retail Ltd (05-Nov-2019) **</v>
          </cell>
        </row>
        <row r="160">
          <cell r="B160" t="str">
            <v>INE306N14QX7</v>
          </cell>
          <cell r="C160" t="str">
            <v xml:space="preserve">CPD </v>
          </cell>
          <cell r="D160" t="str">
            <v xml:space="preserve">TATA CAPITAL FINANCIAL SERVICES LTD             </v>
          </cell>
          <cell r="E160">
            <v>43749</v>
          </cell>
          <cell r="F160" t="str">
            <v>11-Oct-2019</v>
          </cell>
          <cell r="G160" t="str">
            <v>Tata Capital Financial Services Ltd (11-Oct-2019)</v>
          </cell>
          <cell r="H160" t="str">
            <v>Tata Capital Financial Services Ltd (11-Oct-2019) **</v>
          </cell>
        </row>
        <row r="161">
          <cell r="B161" t="str">
            <v>INE582L14EV7</v>
          </cell>
          <cell r="C161" t="str">
            <v xml:space="preserve">CPD </v>
          </cell>
          <cell r="D161" t="str">
            <v xml:space="preserve">TATA HOUSING DEVELOPMENT CO LTD                 </v>
          </cell>
          <cell r="E161">
            <v>43773</v>
          </cell>
          <cell r="F161" t="str">
            <v>04-Nov-2019</v>
          </cell>
          <cell r="G161" t="str">
            <v>Tata Housing Development Co Ltd (04-Nov-2019)</v>
          </cell>
          <cell r="H161" t="str">
            <v>Tata Housing Development Co Ltd (04-Nov-2019) **</v>
          </cell>
        </row>
        <row r="162">
          <cell r="B162" t="str">
            <v>INE493F14326</v>
          </cell>
          <cell r="C162" t="str">
            <v xml:space="preserve">CPD </v>
          </cell>
          <cell r="D162" t="str">
            <v xml:space="preserve">TATA POWER DELHI DISTRIBUTION LTD               </v>
          </cell>
          <cell r="E162">
            <v>43714</v>
          </cell>
          <cell r="F162" t="str">
            <v>06-Sep-2019</v>
          </cell>
          <cell r="G162" t="str">
            <v>Tata Power Delhi Distribution Ltd (06-Sep-2019)</v>
          </cell>
          <cell r="H162" t="str">
            <v>Tata Power Delhi Distribution Ltd (06-Sep-2019) **</v>
          </cell>
        </row>
        <row r="163">
          <cell r="B163" t="str">
            <v>INE069P14224</v>
          </cell>
          <cell r="C163" t="str">
            <v xml:space="preserve">CPD </v>
          </cell>
          <cell r="D163" t="str">
            <v xml:space="preserve">TATA VALUE HOMES LTD                            </v>
          </cell>
          <cell r="E163">
            <v>43797</v>
          </cell>
          <cell r="F163" t="str">
            <v>28-Nov-2019</v>
          </cell>
          <cell r="G163" t="str">
            <v>Tata Value Homes Ltd (28-Nov-2019)</v>
          </cell>
          <cell r="H163" t="str">
            <v>Tata Value Homes Ltd (28-Nov-2019)</v>
          </cell>
        </row>
        <row r="164">
          <cell r="B164" t="str">
            <v>INE692Q14AG2</v>
          </cell>
          <cell r="C164" t="str">
            <v xml:space="preserve">CPD </v>
          </cell>
          <cell r="D164" t="str">
            <v xml:space="preserve">TOYOTA FINANCIAL SERVICES INDIA LTD             </v>
          </cell>
          <cell r="E164">
            <v>43780</v>
          </cell>
          <cell r="F164" t="str">
            <v>11-Nov-2019</v>
          </cell>
          <cell r="G164" t="str">
            <v>Toyota Financial Services India Ltd (11-Nov-2019)</v>
          </cell>
          <cell r="H164" t="str">
            <v>Toyota Financial Services India Ltd (11-Nov-2019)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EAA26-D94A-452A-8675-551AEFA8CC51}">
  <dimension ref="A1:F76"/>
  <sheetViews>
    <sheetView showGridLines="0" tabSelected="1" zoomScaleNormal="100" workbookViewId="0">
      <selection sqref="A1:F1"/>
    </sheetView>
  </sheetViews>
  <sheetFormatPr defaultRowHeight="11.25" x14ac:dyDescent="0.2"/>
  <cols>
    <col min="1" max="1" width="59.42578125" style="1" bestFit="1" customWidth="1"/>
    <col min="2" max="2" width="27.5703125" style="1" bestFit="1" customWidth="1"/>
    <col min="3" max="3" width="20" style="1" bestFit="1" customWidth="1"/>
    <col min="4" max="4" width="11.140625" style="19" bestFit="1" customWidth="1"/>
    <col min="5" max="5" width="24" style="15" bestFit="1" customWidth="1"/>
    <col min="6" max="6" width="14.140625" style="15" bestFit="1" customWidth="1"/>
    <col min="7" max="16384" width="9.140625" style="2"/>
  </cols>
  <sheetData>
    <row r="1" spans="1:6" x14ac:dyDescent="0.2">
      <c r="A1" s="99" t="s">
        <v>576</v>
      </c>
      <c r="B1" s="99"/>
      <c r="C1" s="99"/>
      <c r="D1" s="99"/>
      <c r="E1" s="99"/>
      <c r="F1" s="99"/>
    </row>
    <row r="3" spans="1:6" s="4" customFormat="1" x14ac:dyDescent="0.2">
      <c r="A3" s="3" t="s">
        <v>1</v>
      </c>
      <c r="B3" s="3" t="s">
        <v>2</v>
      </c>
      <c r="C3" s="3" t="s">
        <v>3</v>
      </c>
      <c r="D3" s="16" t="s">
        <v>4</v>
      </c>
      <c r="E3" s="12" t="s">
        <v>5</v>
      </c>
      <c r="F3" s="12" t="s">
        <v>6</v>
      </c>
    </row>
    <row r="4" spans="1:6" x14ac:dyDescent="0.2">
      <c r="A4" s="5"/>
      <c r="B4" s="5"/>
      <c r="C4" s="5"/>
      <c r="D4" s="17"/>
      <c r="E4" s="13"/>
      <c r="F4" s="13"/>
    </row>
    <row r="5" spans="1:6" x14ac:dyDescent="0.2">
      <c r="A5" s="6" t="s">
        <v>7</v>
      </c>
      <c r="B5" s="7"/>
      <c r="C5" s="7"/>
      <c r="D5" s="18"/>
      <c r="E5" s="14"/>
      <c r="F5" s="14"/>
    </row>
    <row r="6" spans="1:6" x14ac:dyDescent="0.2">
      <c r="A6" s="6" t="s">
        <v>8</v>
      </c>
      <c r="B6" s="7"/>
      <c r="C6" s="7"/>
      <c r="D6" s="18"/>
      <c r="E6" s="14"/>
      <c r="F6" s="14"/>
    </row>
    <row r="7" spans="1:6" x14ac:dyDescent="0.2">
      <c r="A7" s="6"/>
      <c r="B7" s="7"/>
      <c r="C7" s="7"/>
      <c r="D7" s="18"/>
      <c r="E7" s="14"/>
      <c r="F7" s="14"/>
    </row>
    <row r="8" spans="1:6" x14ac:dyDescent="0.2">
      <c r="A8" s="7" t="s">
        <v>85</v>
      </c>
      <c r="B8" s="7" t="s">
        <v>86</v>
      </c>
      <c r="C8" s="7" t="s">
        <v>12</v>
      </c>
      <c r="D8" s="18">
        <v>1000000</v>
      </c>
      <c r="E8" s="14">
        <v>4096.5</v>
      </c>
      <c r="F8" s="14">
        <v>8.5500739375686621</v>
      </c>
    </row>
    <row r="9" spans="1:6" x14ac:dyDescent="0.2">
      <c r="A9" s="7" t="s">
        <v>10</v>
      </c>
      <c r="B9" s="7" t="s">
        <v>11</v>
      </c>
      <c r="C9" s="7" t="s">
        <v>12</v>
      </c>
      <c r="D9" s="18">
        <v>150000</v>
      </c>
      <c r="E9" s="14">
        <v>3341.9250000000002</v>
      </c>
      <c r="F9" s="14">
        <v>6.9751509444181998</v>
      </c>
    </row>
    <row r="10" spans="1:6" x14ac:dyDescent="0.2">
      <c r="A10" s="7" t="s">
        <v>156</v>
      </c>
      <c r="B10" s="7" t="s">
        <v>157</v>
      </c>
      <c r="C10" s="7" t="s">
        <v>64</v>
      </c>
      <c r="D10" s="18">
        <v>280000</v>
      </c>
      <c r="E10" s="14">
        <v>2281.7199999999998</v>
      </c>
      <c r="F10" s="14">
        <v>4.7623275246745189</v>
      </c>
    </row>
    <row r="11" spans="1:6" x14ac:dyDescent="0.2">
      <c r="A11" s="7" t="s">
        <v>219</v>
      </c>
      <c r="B11" s="7" t="s">
        <v>220</v>
      </c>
      <c r="C11" s="7" t="s">
        <v>221</v>
      </c>
      <c r="D11" s="18">
        <v>340000</v>
      </c>
      <c r="E11" s="14">
        <v>1986.62</v>
      </c>
      <c r="F11" s="14">
        <v>4.1464049519962538</v>
      </c>
    </row>
    <row r="12" spans="1:6" x14ac:dyDescent="0.2">
      <c r="A12" s="7" t="s">
        <v>158</v>
      </c>
      <c r="B12" s="7" t="s">
        <v>159</v>
      </c>
      <c r="C12" s="7" t="s">
        <v>64</v>
      </c>
      <c r="D12" s="18">
        <v>170000</v>
      </c>
      <c r="E12" s="14">
        <v>1870.595</v>
      </c>
      <c r="F12" s="14">
        <v>3.9042415616370687</v>
      </c>
    </row>
    <row r="13" spans="1:6" x14ac:dyDescent="0.2">
      <c r="A13" s="7" t="s">
        <v>172</v>
      </c>
      <c r="B13" s="7" t="s">
        <v>173</v>
      </c>
      <c r="C13" s="7" t="s">
        <v>53</v>
      </c>
      <c r="D13" s="18">
        <v>250000</v>
      </c>
      <c r="E13" s="14">
        <v>1777.375</v>
      </c>
      <c r="F13" s="14">
        <v>3.7096759831041384</v>
      </c>
    </row>
    <row r="14" spans="1:6" x14ac:dyDescent="0.2">
      <c r="A14" s="7" t="s">
        <v>163</v>
      </c>
      <c r="B14" s="7" t="s">
        <v>164</v>
      </c>
      <c r="C14" s="7" t="s">
        <v>40</v>
      </c>
      <c r="D14" s="18">
        <v>300000</v>
      </c>
      <c r="E14" s="14">
        <v>1586.4</v>
      </c>
      <c r="F14" s="14">
        <v>3.3110795299789886</v>
      </c>
    </row>
    <row r="15" spans="1:6" x14ac:dyDescent="0.2">
      <c r="A15" s="7" t="s">
        <v>308</v>
      </c>
      <c r="B15" s="7" t="s">
        <v>309</v>
      </c>
      <c r="C15" s="7" t="s">
        <v>310</v>
      </c>
      <c r="D15" s="18">
        <v>800000</v>
      </c>
      <c r="E15" s="14">
        <v>1478</v>
      </c>
      <c r="F15" s="14">
        <v>3.0848307774262134</v>
      </c>
    </row>
    <row r="16" spans="1:6" x14ac:dyDescent="0.2">
      <c r="A16" s="7" t="s">
        <v>311</v>
      </c>
      <c r="B16" s="7" t="s">
        <v>312</v>
      </c>
      <c r="C16" s="7" t="s">
        <v>53</v>
      </c>
      <c r="D16" s="18">
        <v>140000</v>
      </c>
      <c r="E16" s="14">
        <v>1440.88</v>
      </c>
      <c r="F16" s="14">
        <v>3.0073551898361859</v>
      </c>
    </row>
    <row r="17" spans="1:6" x14ac:dyDescent="0.2">
      <c r="A17" s="7" t="s">
        <v>304</v>
      </c>
      <c r="B17" s="7" t="s">
        <v>305</v>
      </c>
      <c r="C17" s="7" t="s">
        <v>28</v>
      </c>
      <c r="D17" s="18">
        <v>170000</v>
      </c>
      <c r="E17" s="14">
        <v>1310.87</v>
      </c>
      <c r="F17" s="14">
        <v>2.7360027883658322</v>
      </c>
    </row>
    <row r="18" spans="1:6" x14ac:dyDescent="0.2">
      <c r="A18" s="7" t="s">
        <v>141</v>
      </c>
      <c r="B18" s="7" t="s">
        <v>667</v>
      </c>
      <c r="C18" s="7" t="s">
        <v>40</v>
      </c>
      <c r="D18" s="18">
        <v>2300000</v>
      </c>
      <c r="E18" s="14">
        <v>1230.5</v>
      </c>
      <c r="F18" s="14">
        <v>2.5682572879722296</v>
      </c>
    </row>
    <row r="19" spans="1:6" x14ac:dyDescent="0.2">
      <c r="A19" s="7" t="s">
        <v>91</v>
      </c>
      <c r="B19" s="7" t="s">
        <v>92</v>
      </c>
      <c r="C19" s="7" t="s">
        <v>93</v>
      </c>
      <c r="D19" s="18">
        <v>1000000</v>
      </c>
      <c r="E19" s="14">
        <v>1216.5</v>
      </c>
      <c r="F19" s="14">
        <v>2.5390369693768529</v>
      </c>
    </row>
    <row r="20" spans="1:6" x14ac:dyDescent="0.2">
      <c r="A20" s="7" t="s">
        <v>178</v>
      </c>
      <c r="B20" s="7" t="s">
        <v>179</v>
      </c>
      <c r="C20" s="7" t="s">
        <v>162</v>
      </c>
      <c r="D20" s="18">
        <v>500000</v>
      </c>
      <c r="E20" s="14">
        <v>1126.25</v>
      </c>
      <c r="F20" s="14">
        <v>2.3506702727173701</v>
      </c>
    </row>
    <row r="21" spans="1:6" x14ac:dyDescent="0.2">
      <c r="A21" s="7" t="s">
        <v>237</v>
      </c>
      <c r="B21" s="7" t="s">
        <v>238</v>
      </c>
      <c r="C21" s="7" t="s">
        <v>28</v>
      </c>
      <c r="D21" s="18">
        <v>1000000</v>
      </c>
      <c r="E21" s="14">
        <v>1121.5</v>
      </c>
      <c r="F21" s="14">
        <v>2.3407562360510816</v>
      </c>
    </row>
    <row r="22" spans="1:6" x14ac:dyDescent="0.2">
      <c r="A22" s="7" t="s">
        <v>87</v>
      </c>
      <c r="B22" s="7" t="s">
        <v>88</v>
      </c>
      <c r="C22" s="7" t="s">
        <v>12</v>
      </c>
      <c r="D22" s="18">
        <v>400000</v>
      </c>
      <c r="E22" s="14">
        <v>1095.4000000000001</v>
      </c>
      <c r="F22" s="14">
        <v>2.2862812135268431</v>
      </c>
    </row>
    <row r="23" spans="1:6" x14ac:dyDescent="0.2">
      <c r="A23" s="7" t="s">
        <v>407</v>
      </c>
      <c r="B23" s="7" t="s">
        <v>408</v>
      </c>
      <c r="C23" s="7" t="s">
        <v>25</v>
      </c>
      <c r="D23" s="18">
        <v>750000</v>
      </c>
      <c r="E23" s="14">
        <v>1043.625</v>
      </c>
      <c r="F23" s="14">
        <v>2.1782182138642976</v>
      </c>
    </row>
    <row r="24" spans="1:6" x14ac:dyDescent="0.2">
      <c r="A24" s="7" t="s">
        <v>201</v>
      </c>
      <c r="B24" s="7" t="s">
        <v>202</v>
      </c>
      <c r="C24" s="7" t="s">
        <v>28</v>
      </c>
      <c r="D24" s="18">
        <v>160000</v>
      </c>
      <c r="E24" s="14">
        <v>1031.28</v>
      </c>
      <c r="F24" s="14">
        <v>2.152452154360017</v>
      </c>
    </row>
    <row r="25" spans="1:6" x14ac:dyDescent="0.2">
      <c r="A25" s="7" t="s">
        <v>35</v>
      </c>
      <c r="B25" s="7" t="s">
        <v>36</v>
      </c>
      <c r="C25" s="7" t="s">
        <v>37</v>
      </c>
      <c r="D25" s="18">
        <v>350000</v>
      </c>
      <c r="E25" s="14">
        <v>974.75</v>
      </c>
      <c r="F25" s="14">
        <v>2.0344646822031134</v>
      </c>
    </row>
    <row r="26" spans="1:6" x14ac:dyDescent="0.2">
      <c r="A26" s="7" t="s">
        <v>235</v>
      </c>
      <c r="B26" s="7" t="s">
        <v>236</v>
      </c>
      <c r="C26" s="7" t="s">
        <v>64</v>
      </c>
      <c r="D26" s="18">
        <v>140000</v>
      </c>
      <c r="E26" s="14">
        <v>971.11</v>
      </c>
      <c r="F26" s="14">
        <v>2.0268673993683155</v>
      </c>
    </row>
    <row r="27" spans="1:6" x14ac:dyDescent="0.2">
      <c r="A27" s="7" t="s">
        <v>231</v>
      </c>
      <c r="B27" s="7" t="s">
        <v>232</v>
      </c>
      <c r="C27" s="7" t="s">
        <v>12</v>
      </c>
      <c r="D27" s="18">
        <v>1100000</v>
      </c>
      <c r="E27" s="14">
        <v>911.9</v>
      </c>
      <c r="F27" s="14">
        <v>1.9032863233660109</v>
      </c>
    </row>
    <row r="28" spans="1:6" x14ac:dyDescent="0.2">
      <c r="A28" s="7" t="s">
        <v>214</v>
      </c>
      <c r="B28" s="7" t="s">
        <v>215</v>
      </c>
      <c r="C28" s="7" t="s">
        <v>216</v>
      </c>
      <c r="D28" s="18">
        <v>500000</v>
      </c>
      <c r="E28" s="14">
        <v>856.25</v>
      </c>
      <c r="F28" s="14">
        <v>1.7871355569493879</v>
      </c>
    </row>
    <row r="29" spans="1:6" x14ac:dyDescent="0.2">
      <c r="A29" s="7" t="s">
        <v>23</v>
      </c>
      <c r="B29" s="7" t="s">
        <v>24</v>
      </c>
      <c r="C29" s="7" t="s">
        <v>25</v>
      </c>
      <c r="D29" s="18">
        <v>450000</v>
      </c>
      <c r="E29" s="14">
        <v>830.02499999999998</v>
      </c>
      <c r="F29" s="14">
        <v>1.7323996387234051</v>
      </c>
    </row>
    <row r="30" spans="1:6" x14ac:dyDescent="0.2">
      <c r="A30" s="7" t="s">
        <v>461</v>
      </c>
      <c r="B30" s="7" t="s">
        <v>462</v>
      </c>
      <c r="C30" s="7" t="s">
        <v>37</v>
      </c>
      <c r="D30" s="18">
        <v>270000</v>
      </c>
      <c r="E30" s="14">
        <v>801.9</v>
      </c>
      <c r="F30" s="14">
        <v>1.6736981058309071</v>
      </c>
    </row>
    <row r="31" spans="1:6" x14ac:dyDescent="0.2">
      <c r="A31" s="7" t="s">
        <v>160</v>
      </c>
      <c r="B31" s="7" t="s">
        <v>161</v>
      </c>
      <c r="C31" s="7" t="s">
        <v>162</v>
      </c>
      <c r="D31" s="18">
        <v>30000</v>
      </c>
      <c r="E31" s="14">
        <v>767.25</v>
      </c>
      <c r="F31" s="14">
        <v>1.6013778173073492</v>
      </c>
    </row>
    <row r="32" spans="1:6" x14ac:dyDescent="0.2">
      <c r="A32" s="7" t="s">
        <v>351</v>
      </c>
      <c r="B32" s="7" t="s">
        <v>352</v>
      </c>
      <c r="C32" s="7" t="s">
        <v>37</v>
      </c>
      <c r="D32" s="18">
        <v>300000</v>
      </c>
      <c r="E32" s="14">
        <v>736.95</v>
      </c>
      <c r="F32" s="14">
        <v>1.538136699204498</v>
      </c>
    </row>
    <row r="33" spans="1:6" x14ac:dyDescent="0.2">
      <c r="A33" s="7" t="s">
        <v>119</v>
      </c>
      <c r="B33" s="7" t="s">
        <v>120</v>
      </c>
      <c r="C33" s="7" t="s">
        <v>51</v>
      </c>
      <c r="D33" s="18">
        <v>600000</v>
      </c>
      <c r="E33" s="14">
        <v>727.2</v>
      </c>
      <c r="F33" s="14">
        <v>1.517786834468432</v>
      </c>
    </row>
    <row r="34" spans="1:6" x14ac:dyDescent="0.2">
      <c r="A34" s="7" t="s">
        <v>318</v>
      </c>
      <c r="B34" s="7" t="s">
        <v>319</v>
      </c>
      <c r="C34" s="7" t="s">
        <v>162</v>
      </c>
      <c r="D34" s="18">
        <v>300000</v>
      </c>
      <c r="E34" s="14">
        <v>706.8</v>
      </c>
      <c r="F34" s="14">
        <v>1.4752086559437398</v>
      </c>
    </row>
    <row r="35" spans="1:6" x14ac:dyDescent="0.2">
      <c r="A35" s="7" t="s">
        <v>315</v>
      </c>
      <c r="B35" s="7" t="s">
        <v>316</v>
      </c>
      <c r="C35" s="7" t="s">
        <v>317</v>
      </c>
      <c r="D35" s="18">
        <v>80000</v>
      </c>
      <c r="E35" s="14">
        <v>697.76</v>
      </c>
      <c r="F35" s="14">
        <v>1.4563406787935824</v>
      </c>
    </row>
    <row r="36" spans="1:6" x14ac:dyDescent="0.2">
      <c r="A36" s="7" t="s">
        <v>306</v>
      </c>
      <c r="B36" s="7" t="s">
        <v>307</v>
      </c>
      <c r="C36" s="7" t="s">
        <v>110</v>
      </c>
      <c r="D36" s="18">
        <v>600000</v>
      </c>
      <c r="E36" s="14">
        <v>651</v>
      </c>
      <c r="F36" s="14">
        <v>1.3587448146850236</v>
      </c>
    </row>
    <row r="37" spans="1:6" x14ac:dyDescent="0.2">
      <c r="A37" s="7" t="s">
        <v>94</v>
      </c>
      <c r="B37" s="7" t="s">
        <v>95</v>
      </c>
      <c r="C37" s="7" t="s">
        <v>96</v>
      </c>
      <c r="D37" s="18">
        <v>169733</v>
      </c>
      <c r="E37" s="14">
        <v>602.97648249999997</v>
      </c>
      <c r="F37" s="14">
        <v>1.2585117802978338</v>
      </c>
    </row>
    <row r="38" spans="1:6" x14ac:dyDescent="0.2">
      <c r="A38" s="7" t="s">
        <v>222</v>
      </c>
      <c r="B38" s="7" t="s">
        <v>223</v>
      </c>
      <c r="C38" s="7" t="s">
        <v>53</v>
      </c>
      <c r="D38" s="18">
        <v>70000</v>
      </c>
      <c r="E38" s="14">
        <v>596.08500000000004</v>
      </c>
      <c r="F38" s="14">
        <v>1.2441281149946579</v>
      </c>
    </row>
    <row r="39" spans="1:6" x14ac:dyDescent="0.2">
      <c r="A39" s="7" t="s">
        <v>115</v>
      </c>
      <c r="B39" s="7" t="s">
        <v>116</v>
      </c>
      <c r="C39" s="7" t="s">
        <v>103</v>
      </c>
      <c r="D39" s="18">
        <v>440000</v>
      </c>
      <c r="E39" s="14">
        <v>571.12</v>
      </c>
      <c r="F39" s="14">
        <v>1.1920220254422591</v>
      </c>
    </row>
    <row r="40" spans="1:6" x14ac:dyDescent="0.2">
      <c r="A40" s="7" t="s">
        <v>121</v>
      </c>
      <c r="B40" s="7" t="s">
        <v>122</v>
      </c>
      <c r="C40" s="7" t="s">
        <v>40</v>
      </c>
      <c r="D40" s="18">
        <v>20000</v>
      </c>
      <c r="E40" s="14">
        <v>514.41</v>
      </c>
      <c r="F40" s="14">
        <v>1.0736588634748432</v>
      </c>
    </row>
    <row r="41" spans="1:6" x14ac:dyDescent="0.2">
      <c r="A41" s="7" t="s">
        <v>133</v>
      </c>
      <c r="B41" s="7" t="s">
        <v>134</v>
      </c>
      <c r="C41" s="7" t="s">
        <v>25</v>
      </c>
      <c r="D41" s="18">
        <v>1200000</v>
      </c>
      <c r="E41" s="14">
        <v>499.8</v>
      </c>
      <c r="F41" s="14">
        <v>1.0431653738549536</v>
      </c>
    </row>
    <row r="42" spans="1:6" x14ac:dyDescent="0.2">
      <c r="A42" s="7" t="s">
        <v>184</v>
      </c>
      <c r="B42" s="7" t="s">
        <v>185</v>
      </c>
      <c r="C42" s="7" t="s">
        <v>12</v>
      </c>
      <c r="D42" s="18">
        <v>809000</v>
      </c>
      <c r="E42" s="14">
        <v>484.99549999999999</v>
      </c>
      <c r="F42" s="14">
        <v>1.0122659305231496</v>
      </c>
    </row>
    <row r="43" spans="1:6" x14ac:dyDescent="0.2">
      <c r="A43" s="7" t="s">
        <v>41</v>
      </c>
      <c r="B43" s="7" t="s">
        <v>42</v>
      </c>
      <c r="C43" s="7" t="s">
        <v>43</v>
      </c>
      <c r="D43" s="18">
        <v>9000000</v>
      </c>
      <c r="E43" s="14">
        <v>481.5</v>
      </c>
      <c r="F43" s="14">
        <v>1.0049702431195682</v>
      </c>
    </row>
    <row r="44" spans="1:6" x14ac:dyDescent="0.2">
      <c r="A44" s="7" t="s">
        <v>577</v>
      </c>
      <c r="B44" s="7" t="s">
        <v>578</v>
      </c>
      <c r="C44" s="7" t="s">
        <v>20</v>
      </c>
      <c r="D44" s="18">
        <v>370000</v>
      </c>
      <c r="E44" s="14">
        <v>436.23</v>
      </c>
      <c r="F44" s="14">
        <v>0.91048425577580328</v>
      </c>
    </row>
    <row r="45" spans="1:6" x14ac:dyDescent="0.2">
      <c r="A45" s="7" t="s">
        <v>531</v>
      </c>
      <c r="B45" s="7" t="s">
        <v>532</v>
      </c>
      <c r="C45" s="7" t="s">
        <v>64</v>
      </c>
      <c r="D45" s="18">
        <v>80000</v>
      </c>
      <c r="E45" s="14">
        <v>360.16</v>
      </c>
      <c r="F45" s="14">
        <v>0.75171356752220908</v>
      </c>
    </row>
    <row r="46" spans="1:6" x14ac:dyDescent="0.2">
      <c r="A46" s="7" t="s">
        <v>579</v>
      </c>
      <c r="B46" s="7" t="s">
        <v>580</v>
      </c>
      <c r="C46" s="7" t="s">
        <v>252</v>
      </c>
      <c r="D46" s="18">
        <v>500000</v>
      </c>
      <c r="E46" s="14">
        <v>281.75</v>
      </c>
      <c r="F46" s="14">
        <v>0.58805891173195923</v>
      </c>
    </row>
    <row r="47" spans="1:6" x14ac:dyDescent="0.2">
      <c r="A47" s="7" t="s">
        <v>250</v>
      </c>
      <c r="B47" s="7" t="s">
        <v>251</v>
      </c>
      <c r="C47" s="7" t="s">
        <v>252</v>
      </c>
      <c r="D47" s="18">
        <v>200000</v>
      </c>
      <c r="E47" s="14">
        <v>252.1</v>
      </c>
      <c r="F47" s="14">
        <v>0.52617445127817886</v>
      </c>
    </row>
    <row r="48" spans="1:6" x14ac:dyDescent="0.2">
      <c r="A48" s="7" t="s">
        <v>581</v>
      </c>
      <c r="B48" s="7" t="s">
        <v>582</v>
      </c>
      <c r="C48" s="7" t="s">
        <v>37</v>
      </c>
      <c r="D48" s="18">
        <v>68736</v>
      </c>
      <c r="E48" s="14">
        <v>55.435583999999999</v>
      </c>
      <c r="F48" s="14">
        <v>0.1157032447143411</v>
      </c>
    </row>
    <row r="49" spans="1:6" x14ac:dyDescent="0.2">
      <c r="A49" s="6" t="s">
        <v>44</v>
      </c>
      <c r="B49" s="7"/>
      <c r="C49" s="7"/>
      <c r="D49" s="18"/>
      <c r="E49" s="20">
        <f>SUM(E8:E48)</f>
        <v>43805.397566500011</v>
      </c>
      <c r="F49" s="20">
        <f>SUM(F8:F48)</f>
        <v>91.429119506448302</v>
      </c>
    </row>
    <row r="50" spans="1:6" x14ac:dyDescent="0.2">
      <c r="A50" s="7"/>
      <c r="B50" s="7"/>
      <c r="C50" s="7"/>
      <c r="D50" s="18"/>
      <c r="E50" s="14"/>
      <c r="F50" s="14"/>
    </row>
    <row r="51" spans="1:6" x14ac:dyDescent="0.2">
      <c r="A51" s="6" t="s">
        <v>44</v>
      </c>
      <c r="B51" s="7"/>
      <c r="C51" s="7"/>
      <c r="D51" s="18"/>
      <c r="E51" s="20">
        <f>E49</f>
        <v>43805.397566500011</v>
      </c>
      <c r="F51" s="20">
        <f>F49</f>
        <v>91.429119506448302</v>
      </c>
    </row>
    <row r="52" spans="1:6" x14ac:dyDescent="0.2">
      <c r="A52" s="7"/>
      <c r="B52" s="7"/>
      <c r="C52" s="7"/>
      <c r="D52" s="18"/>
      <c r="E52" s="14"/>
      <c r="F52" s="14"/>
    </row>
    <row r="53" spans="1:6" x14ac:dyDescent="0.2">
      <c r="A53" s="6" t="s">
        <v>76</v>
      </c>
      <c r="B53" s="7"/>
      <c r="C53" s="7"/>
      <c r="D53" s="18"/>
      <c r="E53" s="20">
        <v>4106.4688093000004</v>
      </c>
      <c r="F53" s="20">
        <v>8.57</v>
      </c>
    </row>
    <row r="54" spans="1:6" x14ac:dyDescent="0.2">
      <c r="A54" s="7"/>
      <c r="B54" s="7"/>
      <c r="C54" s="7"/>
      <c r="D54" s="18"/>
      <c r="E54" s="14"/>
      <c r="F54" s="14"/>
    </row>
    <row r="55" spans="1:6" x14ac:dyDescent="0.2">
      <c r="A55" s="8" t="s">
        <v>77</v>
      </c>
      <c r="B55" s="5"/>
      <c r="C55" s="5"/>
      <c r="D55" s="17"/>
      <c r="E55" s="21">
        <f>E51+E53</f>
        <v>47911.866375800011</v>
      </c>
      <c r="F55" s="21">
        <f>F51+F53</f>
        <v>99.999119506448295</v>
      </c>
    </row>
    <row r="56" spans="1:6" x14ac:dyDescent="0.2">
      <c r="A56" s="2"/>
      <c r="B56" s="2"/>
      <c r="C56" s="2"/>
      <c r="D56" s="2"/>
      <c r="E56" s="1"/>
    </row>
    <row r="57" spans="1:6" x14ac:dyDescent="0.2">
      <c r="A57" s="4" t="s">
        <v>78</v>
      </c>
      <c r="B57" s="2"/>
      <c r="C57" s="2"/>
      <c r="D57" s="2"/>
      <c r="E57" s="1"/>
    </row>
    <row r="58" spans="1:6" x14ac:dyDescent="0.2">
      <c r="A58" s="4" t="s">
        <v>79</v>
      </c>
      <c r="B58" s="2"/>
      <c r="C58" s="2"/>
      <c r="D58" s="2"/>
      <c r="E58" s="1"/>
    </row>
    <row r="59" spans="1:6" x14ac:dyDescent="0.2">
      <c r="A59" s="4" t="s">
        <v>80</v>
      </c>
      <c r="B59" s="2"/>
      <c r="C59" s="2"/>
      <c r="D59" s="2"/>
      <c r="E59" s="1"/>
    </row>
    <row r="60" spans="1:6" x14ac:dyDescent="0.2">
      <c r="A60" s="2" t="s">
        <v>638</v>
      </c>
      <c r="B60" s="2"/>
      <c r="C60" s="2"/>
      <c r="D60" s="10">
        <v>238.8776</v>
      </c>
      <c r="E60" s="2"/>
    </row>
    <row r="61" spans="1:6" x14ac:dyDescent="0.2">
      <c r="A61" s="2" t="s">
        <v>639</v>
      </c>
      <c r="B61" s="2"/>
      <c r="C61" s="2"/>
      <c r="D61" s="10">
        <v>57.247199999999999</v>
      </c>
      <c r="E61" s="2"/>
    </row>
    <row r="62" spans="1:6" x14ac:dyDescent="0.2">
      <c r="A62" s="2" t="s">
        <v>640</v>
      </c>
      <c r="B62" s="2"/>
      <c r="C62" s="2"/>
      <c r="D62" s="10">
        <v>249.27850000000001</v>
      </c>
      <c r="E62" s="2"/>
    </row>
    <row r="63" spans="1:6" x14ac:dyDescent="0.2">
      <c r="A63" s="2" t="s">
        <v>641</v>
      </c>
      <c r="B63" s="2"/>
      <c r="C63" s="2"/>
      <c r="D63" s="10">
        <v>60.512999999999998</v>
      </c>
      <c r="E63" s="2"/>
    </row>
    <row r="64" spans="1:6" x14ac:dyDescent="0.2">
      <c r="A64" s="2"/>
      <c r="B64" s="2"/>
      <c r="C64" s="2"/>
      <c r="D64" s="10"/>
      <c r="E64" s="2"/>
    </row>
    <row r="65" spans="1:5" x14ac:dyDescent="0.2">
      <c r="A65" s="4" t="s">
        <v>81</v>
      </c>
      <c r="B65" s="2"/>
      <c r="C65" s="2"/>
      <c r="D65" s="2"/>
      <c r="E65" s="2"/>
    </row>
    <row r="66" spans="1:5" x14ac:dyDescent="0.2">
      <c r="A66" s="2" t="s">
        <v>638</v>
      </c>
      <c r="B66" s="2"/>
      <c r="C66" s="2"/>
      <c r="D66" s="10">
        <v>223.33459999999999</v>
      </c>
      <c r="E66" s="2"/>
    </row>
    <row r="67" spans="1:5" x14ac:dyDescent="0.2">
      <c r="A67" s="2" t="s">
        <v>639</v>
      </c>
      <c r="B67" s="2"/>
      <c r="C67" s="2"/>
      <c r="D67" s="10">
        <v>53.522300000000001</v>
      </c>
      <c r="E67" s="2"/>
    </row>
    <row r="68" spans="1:5" x14ac:dyDescent="0.2">
      <c r="A68" s="2" t="s">
        <v>640</v>
      </c>
      <c r="B68" s="2"/>
      <c r="C68" s="2"/>
      <c r="D68" s="10">
        <v>233.99270000000001</v>
      </c>
      <c r="E68" s="2"/>
    </row>
    <row r="69" spans="1:5" x14ac:dyDescent="0.2">
      <c r="A69" s="2" t="s">
        <v>641</v>
      </c>
      <c r="B69" s="2"/>
      <c r="C69" s="2"/>
      <c r="D69" s="10">
        <v>56.794899999999998</v>
      </c>
      <c r="E69" s="2"/>
    </row>
    <row r="70" spans="1:5" x14ac:dyDescent="0.2">
      <c r="A70" s="2"/>
      <c r="B70" s="2"/>
      <c r="C70" s="2"/>
      <c r="D70" s="2"/>
      <c r="E70" s="1"/>
    </row>
    <row r="71" spans="1:5" x14ac:dyDescent="0.2">
      <c r="A71" s="4" t="s">
        <v>82</v>
      </c>
      <c r="B71" s="2"/>
      <c r="C71" s="2"/>
      <c r="D71" s="44" t="s">
        <v>83</v>
      </c>
      <c r="E71" s="1"/>
    </row>
    <row r="72" spans="1:5" x14ac:dyDescent="0.2">
      <c r="A72" s="4"/>
      <c r="B72" s="2"/>
      <c r="C72" s="2"/>
      <c r="D72" s="44"/>
      <c r="E72" s="1"/>
    </row>
    <row r="73" spans="1:5" x14ac:dyDescent="0.2">
      <c r="A73" s="9" t="s">
        <v>646</v>
      </c>
      <c r="B73" s="2"/>
      <c r="C73" s="2"/>
      <c r="D73" s="51">
        <v>0.26614439019624614</v>
      </c>
      <c r="E73" s="1"/>
    </row>
    <row r="74" spans="1:5" x14ac:dyDescent="0.2">
      <c r="A74" s="2"/>
      <c r="B74" s="2"/>
      <c r="C74" s="2"/>
      <c r="D74" s="2"/>
      <c r="E74" s="1"/>
    </row>
    <row r="75" spans="1:5" x14ac:dyDescent="0.2">
      <c r="A75" s="2"/>
      <c r="B75" s="2"/>
      <c r="C75" s="2"/>
      <c r="D75" s="2"/>
      <c r="E75" s="1"/>
    </row>
    <row r="76" spans="1:5" x14ac:dyDescent="0.2">
      <c r="A76" s="2"/>
      <c r="B76" s="2"/>
      <c r="C76" s="2"/>
      <c r="D76" s="2"/>
      <c r="E76" s="1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DC66A-E770-4F1F-9EE2-1C7F5CFDB1DD}">
  <dimension ref="A1:F90"/>
  <sheetViews>
    <sheetView showGridLines="0" zoomScaleNormal="100" workbookViewId="0">
      <selection sqref="A1:F1"/>
    </sheetView>
  </sheetViews>
  <sheetFormatPr defaultRowHeight="11.25" x14ac:dyDescent="0.2"/>
  <cols>
    <col min="1" max="1" width="59.42578125" style="1" bestFit="1" customWidth="1"/>
    <col min="2" max="2" width="32" style="1" bestFit="1" customWidth="1"/>
    <col min="3" max="3" width="35.7109375" style="1" bestFit="1" customWidth="1"/>
    <col min="4" max="4" width="11.140625" style="19" bestFit="1" customWidth="1"/>
    <col min="5" max="5" width="24" style="15" bestFit="1" customWidth="1"/>
    <col min="6" max="6" width="14.140625" style="15" bestFit="1" customWidth="1"/>
    <col min="7" max="16384" width="9.140625" style="2"/>
  </cols>
  <sheetData>
    <row r="1" spans="1:6" x14ac:dyDescent="0.2">
      <c r="A1" s="99" t="s">
        <v>572</v>
      </c>
      <c r="B1" s="99"/>
      <c r="C1" s="99"/>
      <c r="D1" s="99"/>
      <c r="E1" s="99"/>
      <c r="F1" s="99"/>
    </row>
    <row r="3" spans="1:6" s="4" customFormat="1" x14ac:dyDescent="0.2">
      <c r="A3" s="3" t="s">
        <v>1</v>
      </c>
      <c r="B3" s="3" t="s">
        <v>2</v>
      </c>
      <c r="C3" s="3" t="s">
        <v>3</v>
      </c>
      <c r="D3" s="16" t="s">
        <v>4</v>
      </c>
      <c r="E3" s="12" t="s">
        <v>5</v>
      </c>
      <c r="F3" s="12" t="s">
        <v>6</v>
      </c>
    </row>
    <row r="4" spans="1:6" x14ac:dyDescent="0.2">
      <c r="A4" s="5"/>
      <c r="B4" s="5"/>
      <c r="C4" s="5"/>
      <c r="D4" s="17"/>
      <c r="E4" s="13"/>
      <c r="F4" s="13"/>
    </row>
    <row r="5" spans="1:6" x14ac:dyDescent="0.2">
      <c r="A5" s="6" t="s">
        <v>7</v>
      </c>
      <c r="B5" s="7"/>
      <c r="C5" s="7"/>
      <c r="D5" s="18"/>
      <c r="E5" s="14"/>
      <c r="F5" s="14"/>
    </row>
    <row r="6" spans="1:6" x14ac:dyDescent="0.2">
      <c r="A6" s="6" t="s">
        <v>8</v>
      </c>
      <c r="B6" s="7"/>
      <c r="C6" s="7"/>
      <c r="D6" s="18"/>
      <c r="E6" s="14"/>
      <c r="F6" s="14"/>
    </row>
    <row r="7" spans="1:6" x14ac:dyDescent="0.2">
      <c r="A7" s="6"/>
      <c r="B7" s="7"/>
      <c r="C7" s="7"/>
      <c r="D7" s="18"/>
      <c r="E7" s="14"/>
      <c r="F7" s="14"/>
    </row>
    <row r="8" spans="1:6" x14ac:dyDescent="0.2">
      <c r="A8" s="7" t="s">
        <v>97</v>
      </c>
      <c r="B8" s="7" t="s">
        <v>98</v>
      </c>
      <c r="C8" s="7" t="s">
        <v>12</v>
      </c>
      <c r="D8" s="18">
        <v>4649477</v>
      </c>
      <c r="E8" s="14">
        <v>30867.877802999999</v>
      </c>
      <c r="F8" s="14">
        <v>8.181658104606381</v>
      </c>
    </row>
    <row r="9" spans="1:6" x14ac:dyDescent="0.2">
      <c r="A9" s="7" t="s">
        <v>10</v>
      </c>
      <c r="B9" s="7" t="s">
        <v>11</v>
      </c>
      <c r="C9" s="7" t="s">
        <v>12</v>
      </c>
      <c r="D9" s="18">
        <v>1315052</v>
      </c>
      <c r="E9" s="14">
        <v>29298.701034000002</v>
      </c>
      <c r="F9" s="14">
        <v>7.7657413411805152</v>
      </c>
    </row>
    <row r="10" spans="1:6" x14ac:dyDescent="0.2">
      <c r="A10" s="7" t="s">
        <v>21</v>
      </c>
      <c r="B10" s="7" t="s">
        <v>22</v>
      </c>
      <c r="C10" s="7" t="s">
        <v>12</v>
      </c>
      <c r="D10" s="18">
        <v>1374652</v>
      </c>
      <c r="E10" s="14">
        <v>19677.456053999998</v>
      </c>
      <c r="F10" s="14">
        <v>5.215590745490065</v>
      </c>
    </row>
    <row r="11" spans="1:6" x14ac:dyDescent="0.2">
      <c r="A11" s="7" t="s">
        <v>156</v>
      </c>
      <c r="B11" s="7" t="s">
        <v>157</v>
      </c>
      <c r="C11" s="7" t="s">
        <v>64</v>
      </c>
      <c r="D11" s="18">
        <v>2324211</v>
      </c>
      <c r="E11" s="14">
        <v>18939.995438999998</v>
      </c>
      <c r="F11" s="14">
        <v>5.0201237731232</v>
      </c>
    </row>
    <row r="12" spans="1:6" x14ac:dyDescent="0.2">
      <c r="A12" s="7" t="s">
        <v>85</v>
      </c>
      <c r="B12" s="7" t="s">
        <v>86</v>
      </c>
      <c r="C12" s="7" t="s">
        <v>12</v>
      </c>
      <c r="D12" s="18">
        <v>4263153</v>
      </c>
      <c r="E12" s="14">
        <v>17464.0062645</v>
      </c>
      <c r="F12" s="14">
        <v>4.6289067653026779</v>
      </c>
    </row>
    <row r="13" spans="1:6" x14ac:dyDescent="0.2">
      <c r="A13" s="7" t="s">
        <v>199</v>
      </c>
      <c r="B13" s="7" t="s">
        <v>200</v>
      </c>
      <c r="C13" s="7" t="s">
        <v>93</v>
      </c>
      <c r="D13" s="18">
        <v>8119223</v>
      </c>
      <c r="E13" s="14">
        <v>16279.042115</v>
      </c>
      <c r="F13" s="14">
        <v>4.3148271386014718</v>
      </c>
    </row>
    <row r="14" spans="1:6" x14ac:dyDescent="0.2">
      <c r="A14" s="7" t="s">
        <v>172</v>
      </c>
      <c r="B14" s="7" t="s">
        <v>173</v>
      </c>
      <c r="C14" s="7" t="s">
        <v>53</v>
      </c>
      <c r="D14" s="18">
        <v>1881440</v>
      </c>
      <c r="E14" s="14">
        <v>13376.097680000001</v>
      </c>
      <c r="F14" s="14">
        <v>3.5453897637544243</v>
      </c>
    </row>
    <row r="15" spans="1:6" x14ac:dyDescent="0.2">
      <c r="A15" s="7" t="s">
        <v>23</v>
      </c>
      <c r="B15" s="7" t="s">
        <v>24</v>
      </c>
      <c r="C15" s="7" t="s">
        <v>25</v>
      </c>
      <c r="D15" s="18">
        <v>6799242</v>
      </c>
      <c r="E15" s="14">
        <v>12541.201869</v>
      </c>
      <c r="F15" s="14">
        <v>3.3240971915159081</v>
      </c>
    </row>
    <row r="16" spans="1:6" x14ac:dyDescent="0.2">
      <c r="A16" s="7" t="s">
        <v>91</v>
      </c>
      <c r="B16" s="7" t="s">
        <v>92</v>
      </c>
      <c r="C16" s="7" t="s">
        <v>93</v>
      </c>
      <c r="D16" s="18">
        <v>9465496</v>
      </c>
      <c r="E16" s="14">
        <v>11514.775884000001</v>
      </c>
      <c r="F16" s="14">
        <v>3.0520387580677344</v>
      </c>
    </row>
    <row r="17" spans="1:6" x14ac:dyDescent="0.2">
      <c r="A17" s="7" t="s">
        <v>163</v>
      </c>
      <c r="B17" s="7" t="s">
        <v>164</v>
      </c>
      <c r="C17" s="7" t="s">
        <v>40</v>
      </c>
      <c r="D17" s="18">
        <v>2059699</v>
      </c>
      <c r="E17" s="14">
        <v>10891.688312</v>
      </c>
      <c r="F17" s="14">
        <v>2.8868868316584027</v>
      </c>
    </row>
    <row r="18" spans="1:6" x14ac:dyDescent="0.2">
      <c r="A18" s="7" t="s">
        <v>89</v>
      </c>
      <c r="B18" s="7" t="s">
        <v>90</v>
      </c>
      <c r="C18" s="7" t="s">
        <v>43</v>
      </c>
      <c r="D18" s="18">
        <v>3044619</v>
      </c>
      <c r="E18" s="14">
        <v>10558.738692000001</v>
      </c>
      <c r="F18" s="14">
        <v>2.7986371640173746</v>
      </c>
    </row>
    <row r="19" spans="1:6" x14ac:dyDescent="0.2">
      <c r="A19" s="7" t="s">
        <v>101</v>
      </c>
      <c r="B19" s="7" t="s">
        <v>102</v>
      </c>
      <c r="C19" s="7" t="s">
        <v>103</v>
      </c>
      <c r="D19" s="18">
        <v>3578627</v>
      </c>
      <c r="E19" s="14">
        <v>9549.5661495000004</v>
      </c>
      <c r="F19" s="14">
        <v>2.5311518265417643</v>
      </c>
    </row>
    <row r="20" spans="1:6" x14ac:dyDescent="0.2">
      <c r="A20" s="7" t="s">
        <v>160</v>
      </c>
      <c r="B20" s="7" t="s">
        <v>161</v>
      </c>
      <c r="C20" s="7" t="s">
        <v>162</v>
      </c>
      <c r="D20" s="18">
        <v>342107</v>
      </c>
      <c r="E20" s="14">
        <v>8749.3865249999999</v>
      </c>
      <c r="F20" s="14">
        <v>2.3190609224727115</v>
      </c>
    </row>
    <row r="21" spans="1:6" x14ac:dyDescent="0.2">
      <c r="A21" s="7" t="s">
        <v>212</v>
      </c>
      <c r="B21" s="7" t="s">
        <v>213</v>
      </c>
      <c r="C21" s="7" t="s">
        <v>96</v>
      </c>
      <c r="D21" s="18">
        <v>2993270</v>
      </c>
      <c r="E21" s="14">
        <v>7786.9919049999999</v>
      </c>
      <c r="F21" s="14">
        <v>2.0639742659553879</v>
      </c>
    </row>
    <row r="22" spans="1:6" x14ac:dyDescent="0.2">
      <c r="A22" s="7" t="s">
        <v>104</v>
      </c>
      <c r="B22" s="7" t="s">
        <v>105</v>
      </c>
      <c r="C22" s="7" t="s">
        <v>96</v>
      </c>
      <c r="D22" s="18">
        <v>5948967</v>
      </c>
      <c r="E22" s="14">
        <v>7284.5100915000003</v>
      </c>
      <c r="F22" s="14">
        <v>1.9307893924089456</v>
      </c>
    </row>
    <row r="23" spans="1:6" x14ac:dyDescent="0.2">
      <c r="A23" s="7" t="s">
        <v>176</v>
      </c>
      <c r="B23" s="7" t="s">
        <v>177</v>
      </c>
      <c r="C23" s="7" t="s">
        <v>37</v>
      </c>
      <c r="D23" s="18">
        <v>511834</v>
      </c>
      <c r="E23" s="14">
        <v>7022.6183970000002</v>
      </c>
      <c r="F23" s="14">
        <v>1.8613739204898887</v>
      </c>
    </row>
    <row r="24" spans="1:6" x14ac:dyDescent="0.2">
      <c r="A24" s="7" t="s">
        <v>193</v>
      </c>
      <c r="B24" s="7" t="s">
        <v>194</v>
      </c>
      <c r="C24" s="7" t="s">
        <v>103</v>
      </c>
      <c r="D24" s="18">
        <v>2995176</v>
      </c>
      <c r="E24" s="14">
        <v>6584.8944359999996</v>
      </c>
      <c r="F24" s="14">
        <v>1.7453533823773528</v>
      </c>
    </row>
    <row r="25" spans="1:6" x14ac:dyDescent="0.2">
      <c r="A25" s="7" t="s">
        <v>235</v>
      </c>
      <c r="B25" s="7" t="s">
        <v>236</v>
      </c>
      <c r="C25" s="7" t="s">
        <v>64</v>
      </c>
      <c r="D25" s="18">
        <v>905548</v>
      </c>
      <c r="E25" s="14">
        <v>6281.3337019999999</v>
      </c>
      <c r="F25" s="14">
        <v>1.6648933599740641</v>
      </c>
    </row>
    <row r="26" spans="1:6" x14ac:dyDescent="0.2">
      <c r="A26" s="7" t="s">
        <v>341</v>
      </c>
      <c r="B26" s="7" t="s">
        <v>342</v>
      </c>
      <c r="C26" s="7" t="s">
        <v>37</v>
      </c>
      <c r="D26" s="18">
        <v>330103</v>
      </c>
      <c r="E26" s="14">
        <v>6212.2083570000004</v>
      </c>
      <c r="F26" s="14">
        <v>1.6465714026706699</v>
      </c>
    </row>
    <row r="27" spans="1:6" x14ac:dyDescent="0.2">
      <c r="A27" s="7" t="s">
        <v>189</v>
      </c>
      <c r="B27" s="7" t="s">
        <v>190</v>
      </c>
      <c r="C27" s="7" t="s">
        <v>28</v>
      </c>
      <c r="D27" s="18">
        <v>1338759</v>
      </c>
      <c r="E27" s="14">
        <v>6027.0930179999996</v>
      </c>
      <c r="F27" s="14">
        <v>1.5975058198896885</v>
      </c>
    </row>
    <row r="28" spans="1:6" x14ac:dyDescent="0.2">
      <c r="A28" s="7" t="s">
        <v>224</v>
      </c>
      <c r="B28" s="7" t="s">
        <v>225</v>
      </c>
      <c r="C28" s="7" t="s">
        <v>37</v>
      </c>
      <c r="D28" s="18">
        <v>44826</v>
      </c>
      <c r="E28" s="14">
        <v>5771.4371520000004</v>
      </c>
      <c r="F28" s="14">
        <v>1.5297431799894563</v>
      </c>
    </row>
    <row r="29" spans="1:6" x14ac:dyDescent="0.2">
      <c r="A29" s="7" t="s">
        <v>195</v>
      </c>
      <c r="B29" s="7" t="s">
        <v>196</v>
      </c>
      <c r="C29" s="7" t="s">
        <v>37</v>
      </c>
      <c r="D29" s="18">
        <v>440701</v>
      </c>
      <c r="E29" s="14">
        <v>5616.9545955000003</v>
      </c>
      <c r="F29" s="14">
        <v>1.4887969423350589</v>
      </c>
    </row>
    <row r="30" spans="1:6" x14ac:dyDescent="0.2">
      <c r="A30" s="7" t="s">
        <v>87</v>
      </c>
      <c r="B30" s="7" t="s">
        <v>88</v>
      </c>
      <c r="C30" s="7" t="s">
        <v>12</v>
      </c>
      <c r="D30" s="18">
        <v>1935519</v>
      </c>
      <c r="E30" s="14">
        <v>5300.4187814999996</v>
      </c>
      <c r="F30" s="14">
        <v>1.4048978215552175</v>
      </c>
    </row>
    <row r="31" spans="1:6" x14ac:dyDescent="0.2">
      <c r="A31" s="7" t="s">
        <v>201</v>
      </c>
      <c r="B31" s="7" t="s">
        <v>202</v>
      </c>
      <c r="C31" s="7" t="s">
        <v>28</v>
      </c>
      <c r="D31" s="18">
        <v>804303</v>
      </c>
      <c r="E31" s="14">
        <v>5184.1349865000002</v>
      </c>
      <c r="F31" s="14">
        <v>1.3740763229129083</v>
      </c>
    </row>
    <row r="32" spans="1:6" x14ac:dyDescent="0.2">
      <c r="A32" s="7" t="s">
        <v>197</v>
      </c>
      <c r="B32" s="7" t="s">
        <v>198</v>
      </c>
      <c r="C32" s="7" t="s">
        <v>93</v>
      </c>
      <c r="D32" s="18">
        <v>8124428</v>
      </c>
      <c r="E32" s="14">
        <v>4610.6128900000003</v>
      </c>
      <c r="F32" s="14">
        <v>1.2220619298617597</v>
      </c>
    </row>
    <row r="33" spans="1:6" x14ac:dyDescent="0.2">
      <c r="A33" s="7" t="s">
        <v>345</v>
      </c>
      <c r="B33" s="7" t="s">
        <v>346</v>
      </c>
      <c r="C33" s="7" t="s">
        <v>72</v>
      </c>
      <c r="D33" s="18">
        <v>399808</v>
      </c>
      <c r="E33" s="14">
        <v>4418.2782079999997</v>
      </c>
      <c r="F33" s="14">
        <v>1.1710828304942851</v>
      </c>
    </row>
    <row r="34" spans="1:6" x14ac:dyDescent="0.2">
      <c r="A34" s="7" t="s">
        <v>191</v>
      </c>
      <c r="B34" s="7" t="s">
        <v>192</v>
      </c>
      <c r="C34" s="7" t="s">
        <v>37</v>
      </c>
      <c r="D34" s="18">
        <v>907174</v>
      </c>
      <c r="E34" s="14">
        <v>4178.4434440000005</v>
      </c>
      <c r="F34" s="14">
        <v>1.1075136388196878</v>
      </c>
    </row>
    <row r="35" spans="1:6" x14ac:dyDescent="0.2">
      <c r="A35" s="7" t="s">
        <v>16</v>
      </c>
      <c r="B35" s="7" t="s">
        <v>17</v>
      </c>
      <c r="C35" s="7" t="s">
        <v>633</v>
      </c>
      <c r="D35" s="18">
        <v>2923868</v>
      </c>
      <c r="E35" s="14">
        <v>4064.17652</v>
      </c>
      <c r="F35" s="14">
        <v>1.0772267201400312</v>
      </c>
    </row>
    <row r="36" spans="1:6" x14ac:dyDescent="0.2">
      <c r="A36" s="7" t="s">
        <v>287</v>
      </c>
      <c r="B36" s="7" t="s">
        <v>288</v>
      </c>
      <c r="C36" s="7" t="s">
        <v>37</v>
      </c>
      <c r="D36" s="18">
        <v>646279</v>
      </c>
      <c r="E36" s="14">
        <v>4060.2478175000001</v>
      </c>
      <c r="F36" s="14">
        <v>1.0761854013666818</v>
      </c>
    </row>
    <row r="37" spans="1:6" x14ac:dyDescent="0.2">
      <c r="A37" s="7" t="s">
        <v>259</v>
      </c>
      <c r="B37" s="7" t="s">
        <v>260</v>
      </c>
      <c r="C37" s="7" t="s">
        <v>72</v>
      </c>
      <c r="D37" s="18">
        <v>600000</v>
      </c>
      <c r="E37" s="14">
        <v>3840</v>
      </c>
      <c r="F37" s="14">
        <v>1.01780781050763</v>
      </c>
    </row>
    <row r="38" spans="1:6" x14ac:dyDescent="0.2">
      <c r="A38" s="7" t="s">
        <v>320</v>
      </c>
      <c r="B38" s="7" t="s">
        <v>321</v>
      </c>
      <c r="C38" s="7" t="s">
        <v>40</v>
      </c>
      <c r="D38" s="18">
        <v>137369</v>
      </c>
      <c r="E38" s="14">
        <v>3830.2598269999999</v>
      </c>
      <c r="F38" s="14">
        <v>1.0152261375505738</v>
      </c>
    </row>
    <row r="39" spans="1:6" x14ac:dyDescent="0.2">
      <c r="A39" s="7" t="s">
        <v>217</v>
      </c>
      <c r="B39" s="7" t="s">
        <v>218</v>
      </c>
      <c r="C39" s="7" t="s">
        <v>31</v>
      </c>
      <c r="D39" s="18">
        <v>2216044</v>
      </c>
      <c r="E39" s="14">
        <v>3420.4639139999999</v>
      </c>
      <c r="F39" s="14">
        <v>0.90660804354914026</v>
      </c>
    </row>
    <row r="40" spans="1:6" x14ac:dyDescent="0.2">
      <c r="A40" s="7" t="s">
        <v>243</v>
      </c>
      <c r="B40" s="7" t="s">
        <v>244</v>
      </c>
      <c r="C40" s="7" t="s">
        <v>245</v>
      </c>
      <c r="D40" s="18">
        <v>960704</v>
      </c>
      <c r="E40" s="14">
        <v>3313.4680960000001</v>
      </c>
      <c r="F40" s="14">
        <v>0.87824836145225149</v>
      </c>
    </row>
    <row r="41" spans="1:6" x14ac:dyDescent="0.2">
      <c r="A41" s="7" t="s">
        <v>94</v>
      </c>
      <c r="B41" s="7" t="s">
        <v>95</v>
      </c>
      <c r="C41" s="7" t="s">
        <v>96</v>
      </c>
      <c r="D41" s="18">
        <v>919031</v>
      </c>
      <c r="E41" s="14">
        <v>3264.8576275</v>
      </c>
      <c r="F41" s="14">
        <v>0.86536395663148713</v>
      </c>
    </row>
    <row r="42" spans="1:6" x14ac:dyDescent="0.2">
      <c r="A42" s="7" t="s">
        <v>38</v>
      </c>
      <c r="B42" s="7" t="s">
        <v>39</v>
      </c>
      <c r="C42" s="7" t="s">
        <v>40</v>
      </c>
      <c r="D42" s="18">
        <v>2746634</v>
      </c>
      <c r="E42" s="14">
        <v>3205.3218780000002</v>
      </c>
      <c r="F42" s="14">
        <v>0.84958376109879818</v>
      </c>
    </row>
    <row r="43" spans="1:6" x14ac:dyDescent="0.2">
      <c r="A43" s="7" t="s">
        <v>233</v>
      </c>
      <c r="B43" s="7" t="s">
        <v>234</v>
      </c>
      <c r="C43" s="7" t="s">
        <v>216</v>
      </c>
      <c r="D43" s="18">
        <v>402972</v>
      </c>
      <c r="E43" s="14">
        <v>2999.9250539999998</v>
      </c>
      <c r="F43" s="14">
        <v>0.79514248721320924</v>
      </c>
    </row>
    <row r="44" spans="1:6" x14ac:dyDescent="0.2">
      <c r="A44" s="7" t="s">
        <v>115</v>
      </c>
      <c r="B44" s="7" t="s">
        <v>116</v>
      </c>
      <c r="C44" s="7" t="s">
        <v>103</v>
      </c>
      <c r="D44" s="18">
        <v>2292178</v>
      </c>
      <c r="E44" s="14">
        <v>2975.2470440000002</v>
      </c>
      <c r="F44" s="14">
        <v>0.78860147905545286</v>
      </c>
    </row>
    <row r="45" spans="1:6" x14ac:dyDescent="0.2">
      <c r="A45" s="7" t="s">
        <v>178</v>
      </c>
      <c r="B45" s="7" t="s">
        <v>179</v>
      </c>
      <c r="C45" s="7" t="s">
        <v>162</v>
      </c>
      <c r="D45" s="18">
        <v>920735</v>
      </c>
      <c r="E45" s="14">
        <v>2073.9555875000001</v>
      </c>
      <c r="F45" s="14">
        <v>0.5497104676050627</v>
      </c>
    </row>
    <row r="46" spans="1:6" x14ac:dyDescent="0.2">
      <c r="A46" s="7" t="s">
        <v>239</v>
      </c>
      <c r="B46" s="7" t="s">
        <v>240</v>
      </c>
      <c r="C46" s="7" t="s">
        <v>15</v>
      </c>
      <c r="D46" s="18">
        <v>1075124</v>
      </c>
      <c r="E46" s="14">
        <v>2037.8975419999999</v>
      </c>
      <c r="F46" s="14">
        <v>0.54015313418278676</v>
      </c>
    </row>
    <row r="47" spans="1:6" x14ac:dyDescent="0.2">
      <c r="A47" s="7" t="s">
        <v>453</v>
      </c>
      <c r="B47" s="7" t="s">
        <v>454</v>
      </c>
      <c r="C47" s="7" t="s">
        <v>31</v>
      </c>
      <c r="D47" s="18">
        <v>108078</v>
      </c>
      <c r="E47" s="14">
        <v>2001.982833</v>
      </c>
      <c r="F47" s="14">
        <v>0.530633792689998</v>
      </c>
    </row>
    <row r="48" spans="1:6" x14ac:dyDescent="0.2">
      <c r="A48" s="7" t="s">
        <v>241</v>
      </c>
      <c r="B48" s="7" t="s">
        <v>242</v>
      </c>
      <c r="C48" s="7" t="s">
        <v>633</v>
      </c>
      <c r="D48" s="18">
        <v>3692558</v>
      </c>
      <c r="E48" s="14">
        <v>1993.9813200000001</v>
      </c>
      <c r="F48" s="14">
        <v>0.52851295872456105</v>
      </c>
    </row>
    <row r="49" spans="1:6" x14ac:dyDescent="0.2">
      <c r="A49" s="7" t="s">
        <v>248</v>
      </c>
      <c r="B49" s="7" t="s">
        <v>249</v>
      </c>
      <c r="C49" s="7" t="s">
        <v>60</v>
      </c>
      <c r="D49" s="18">
        <v>3057159</v>
      </c>
      <c r="E49" s="14">
        <v>1942.8245445</v>
      </c>
      <c r="F49" s="14">
        <v>0.51495364474948668</v>
      </c>
    </row>
    <row r="50" spans="1:6" x14ac:dyDescent="0.2">
      <c r="A50" s="7" t="s">
        <v>237</v>
      </c>
      <c r="B50" s="7" t="s">
        <v>238</v>
      </c>
      <c r="C50" s="7" t="s">
        <v>28</v>
      </c>
      <c r="D50" s="18">
        <v>1695647</v>
      </c>
      <c r="E50" s="14">
        <v>1901.6681105</v>
      </c>
      <c r="F50" s="14">
        <v>0.50404496246359032</v>
      </c>
    </row>
    <row r="51" spans="1:6" x14ac:dyDescent="0.2">
      <c r="A51" s="7" t="s">
        <v>250</v>
      </c>
      <c r="B51" s="7" t="s">
        <v>251</v>
      </c>
      <c r="C51" s="7" t="s">
        <v>252</v>
      </c>
      <c r="D51" s="18">
        <v>1278633</v>
      </c>
      <c r="E51" s="14">
        <v>1611.7168965000001</v>
      </c>
      <c r="F51" s="14">
        <v>0.42719219937104624</v>
      </c>
    </row>
    <row r="52" spans="1:6" x14ac:dyDescent="0.2">
      <c r="A52" s="7" t="s">
        <v>491</v>
      </c>
      <c r="B52" s="7" t="s">
        <v>492</v>
      </c>
      <c r="C52" s="7" t="s">
        <v>64</v>
      </c>
      <c r="D52" s="18">
        <v>381063</v>
      </c>
      <c r="E52" s="14">
        <v>1604.27523</v>
      </c>
      <c r="F52" s="14">
        <v>0.42521975502550119</v>
      </c>
    </row>
    <row r="53" spans="1:6" x14ac:dyDescent="0.2">
      <c r="A53" s="7" t="s">
        <v>131</v>
      </c>
      <c r="B53" s="7" t="s">
        <v>132</v>
      </c>
      <c r="C53" s="7" t="s">
        <v>110</v>
      </c>
      <c r="D53" s="18">
        <v>1774842</v>
      </c>
      <c r="E53" s="14">
        <v>1389.701286</v>
      </c>
      <c r="F53" s="14">
        <v>0.36834604769877549</v>
      </c>
    </row>
    <row r="54" spans="1:6" x14ac:dyDescent="0.2">
      <c r="A54" s="7" t="s">
        <v>141</v>
      </c>
      <c r="B54" s="7" t="s">
        <v>667</v>
      </c>
      <c r="C54" s="7" t="s">
        <v>40</v>
      </c>
      <c r="D54" s="18">
        <v>1791828</v>
      </c>
      <c r="E54" s="14">
        <v>958.62797999999998</v>
      </c>
      <c r="F54" s="14">
        <v>0.25408829307686254</v>
      </c>
    </row>
    <row r="55" spans="1:6" x14ac:dyDescent="0.2">
      <c r="A55" s="7" t="s">
        <v>265</v>
      </c>
      <c r="B55" s="7" t="s">
        <v>266</v>
      </c>
      <c r="C55" s="7" t="s">
        <v>40</v>
      </c>
      <c r="D55" s="18">
        <v>265282</v>
      </c>
      <c r="E55" s="14">
        <v>936.31281899999999</v>
      </c>
      <c r="F55" s="14">
        <v>0.24817356777516067</v>
      </c>
    </row>
    <row r="56" spans="1:6" x14ac:dyDescent="0.2">
      <c r="A56" s="7" t="s">
        <v>537</v>
      </c>
      <c r="B56" s="7" t="s">
        <v>538</v>
      </c>
      <c r="C56" s="7" t="s">
        <v>28</v>
      </c>
      <c r="D56" s="18">
        <v>160000</v>
      </c>
      <c r="E56" s="14">
        <v>860.8</v>
      </c>
      <c r="F56" s="14">
        <v>0.22815858418879376</v>
      </c>
    </row>
    <row r="57" spans="1:6" x14ac:dyDescent="0.2">
      <c r="A57" s="7" t="s">
        <v>246</v>
      </c>
      <c r="B57" s="7" t="s">
        <v>247</v>
      </c>
      <c r="C57" s="7" t="s">
        <v>60</v>
      </c>
      <c r="D57" s="18">
        <v>2436728</v>
      </c>
      <c r="E57" s="14">
        <v>533.64343199999996</v>
      </c>
      <c r="F57" s="14">
        <v>0.14144438883221286</v>
      </c>
    </row>
    <row r="58" spans="1:6" x14ac:dyDescent="0.2">
      <c r="A58" s="6" t="s">
        <v>44</v>
      </c>
      <c r="B58" s="7"/>
      <c r="C58" s="7"/>
      <c r="D58" s="18"/>
      <c r="E58" s="20">
        <f>SUM(E8:E57)</f>
        <v>346809.81914400018</v>
      </c>
      <c r="F58" s="20">
        <f>SUM(F8:F57)</f>
        <v>91.923370491016115</v>
      </c>
    </row>
    <row r="59" spans="1:6" x14ac:dyDescent="0.2">
      <c r="A59" s="7"/>
      <c r="B59" s="7"/>
      <c r="C59" s="7"/>
      <c r="D59" s="18"/>
      <c r="E59" s="14"/>
      <c r="F59" s="14"/>
    </row>
    <row r="60" spans="1:6" x14ac:dyDescent="0.2">
      <c r="A60" s="6" t="s">
        <v>298</v>
      </c>
      <c r="B60" s="7"/>
      <c r="C60" s="7"/>
      <c r="D60" s="18"/>
      <c r="E60" s="14"/>
      <c r="F60" s="14"/>
    </row>
    <row r="61" spans="1:6" x14ac:dyDescent="0.2">
      <c r="A61" s="7" t="s">
        <v>573</v>
      </c>
      <c r="B61" s="7" t="s">
        <v>574</v>
      </c>
      <c r="C61" s="7" t="s">
        <v>64</v>
      </c>
      <c r="D61" s="18">
        <v>30000</v>
      </c>
      <c r="E61" s="32">
        <v>3.0000000000000001E-3</v>
      </c>
      <c r="F61" s="32" t="s">
        <v>611</v>
      </c>
    </row>
    <row r="62" spans="1:6" x14ac:dyDescent="0.2">
      <c r="A62" s="7" t="s">
        <v>302</v>
      </c>
      <c r="B62" s="7" t="s">
        <v>303</v>
      </c>
      <c r="C62" s="7" t="s">
        <v>610</v>
      </c>
      <c r="D62" s="18">
        <v>3500</v>
      </c>
      <c r="E62" s="32">
        <v>3.5E-4</v>
      </c>
      <c r="F62" s="32" t="s">
        <v>611</v>
      </c>
    </row>
    <row r="63" spans="1:6" x14ac:dyDescent="0.2">
      <c r="A63" s="7" t="s">
        <v>299</v>
      </c>
      <c r="B63" s="7" t="s">
        <v>300</v>
      </c>
      <c r="C63" s="7" t="s">
        <v>28</v>
      </c>
      <c r="D63" s="18">
        <v>2900</v>
      </c>
      <c r="E63" s="32">
        <v>2.9E-4</v>
      </c>
      <c r="F63" s="32" t="s">
        <v>611</v>
      </c>
    </row>
    <row r="64" spans="1:6" x14ac:dyDescent="0.2">
      <c r="A64" s="6" t="s">
        <v>44</v>
      </c>
      <c r="B64" s="7"/>
      <c r="C64" s="7"/>
      <c r="D64" s="18"/>
      <c r="E64" s="20">
        <f>SUM(E61:E63)</f>
        <v>3.64E-3</v>
      </c>
      <c r="F64" s="6">
        <f>SUM(F61:F63)</f>
        <v>0</v>
      </c>
    </row>
    <row r="65" spans="1:6" x14ac:dyDescent="0.2">
      <c r="A65" s="7"/>
      <c r="B65" s="7"/>
      <c r="C65" s="7"/>
      <c r="D65" s="18"/>
      <c r="E65" s="14"/>
      <c r="F65" s="14"/>
    </row>
    <row r="66" spans="1:6" x14ac:dyDescent="0.2">
      <c r="A66" s="6" t="s">
        <v>44</v>
      </c>
      <c r="B66" s="7"/>
      <c r="C66" s="7"/>
      <c r="D66" s="18"/>
      <c r="E66" s="20">
        <f>E58+E64</f>
        <v>346809.82278400019</v>
      </c>
      <c r="F66" s="20">
        <f>F58+F64</f>
        <v>91.923370491016115</v>
      </c>
    </row>
    <row r="67" spans="1:6" x14ac:dyDescent="0.2">
      <c r="A67" s="7"/>
      <c r="B67" s="7"/>
      <c r="C67" s="7"/>
      <c r="D67" s="18"/>
      <c r="E67" s="14"/>
      <c r="F67" s="14"/>
    </row>
    <row r="68" spans="1:6" x14ac:dyDescent="0.2">
      <c r="A68" s="6" t="s">
        <v>76</v>
      </c>
      <c r="B68" s="7"/>
      <c r="C68" s="7"/>
      <c r="D68" s="18"/>
      <c r="E68" s="20">
        <v>30471.620761300001</v>
      </c>
      <c r="F68" s="20">
        <v>8.08</v>
      </c>
    </row>
    <row r="69" spans="1:6" x14ac:dyDescent="0.2">
      <c r="A69" s="7"/>
      <c r="B69" s="7"/>
      <c r="C69" s="7"/>
      <c r="D69" s="18"/>
      <c r="E69" s="14"/>
      <c r="F69" s="14"/>
    </row>
    <row r="70" spans="1:6" x14ac:dyDescent="0.2">
      <c r="A70" s="8" t="s">
        <v>77</v>
      </c>
      <c r="B70" s="5"/>
      <c r="C70" s="5"/>
      <c r="D70" s="17"/>
      <c r="E70" s="21">
        <f>E66+E68</f>
        <v>377281.44354530016</v>
      </c>
      <c r="F70" s="21">
        <f>F66+F68</f>
        <v>100.00337049101611</v>
      </c>
    </row>
    <row r="71" spans="1:6" x14ac:dyDescent="0.2">
      <c r="A71" s="2"/>
      <c r="B71" s="2"/>
      <c r="C71" s="2"/>
      <c r="D71" s="2"/>
      <c r="E71" s="1"/>
      <c r="F71" s="11" t="s">
        <v>612</v>
      </c>
    </row>
    <row r="72" spans="1:6" x14ac:dyDescent="0.2">
      <c r="A72" s="4" t="s">
        <v>78</v>
      </c>
      <c r="B72" s="2"/>
      <c r="C72" s="2"/>
      <c r="D72" s="2"/>
      <c r="E72" s="1"/>
    </row>
    <row r="73" spans="1:6" x14ac:dyDescent="0.2">
      <c r="A73" s="4" t="s">
        <v>79</v>
      </c>
      <c r="B73" s="2"/>
      <c r="C73" s="2"/>
      <c r="D73" s="2"/>
      <c r="E73" s="1"/>
    </row>
    <row r="74" spans="1:6" x14ac:dyDescent="0.2">
      <c r="A74" s="4" t="s">
        <v>80</v>
      </c>
      <c r="B74" s="2"/>
      <c r="C74" s="2"/>
      <c r="D74" s="2"/>
      <c r="E74" s="1"/>
    </row>
    <row r="75" spans="1:6" x14ac:dyDescent="0.2">
      <c r="A75" s="2" t="s">
        <v>638</v>
      </c>
      <c r="B75" s="2"/>
      <c r="C75" s="2"/>
      <c r="D75" s="10">
        <v>533.58489999999995</v>
      </c>
      <c r="E75" s="2"/>
    </row>
    <row r="76" spans="1:6" x14ac:dyDescent="0.2">
      <c r="A76" s="2" t="s">
        <v>639</v>
      </c>
      <c r="B76" s="2"/>
      <c r="C76" s="2"/>
      <c r="D76" s="10">
        <v>38.444899999999997</v>
      </c>
      <c r="E76" s="2"/>
    </row>
    <row r="77" spans="1:6" x14ac:dyDescent="0.2">
      <c r="A77" s="2" t="s">
        <v>640</v>
      </c>
      <c r="B77" s="2"/>
      <c r="C77" s="2"/>
      <c r="D77" s="10">
        <v>563.05520000000001</v>
      </c>
      <c r="E77" s="2"/>
    </row>
    <row r="78" spans="1:6" x14ac:dyDescent="0.2">
      <c r="A78" s="2" t="s">
        <v>641</v>
      </c>
      <c r="B78" s="2"/>
      <c r="C78" s="2"/>
      <c r="D78" s="10">
        <v>41.309899999999999</v>
      </c>
      <c r="E78" s="2"/>
    </row>
    <row r="79" spans="1:6" x14ac:dyDescent="0.2">
      <c r="A79" s="2"/>
      <c r="B79" s="2"/>
      <c r="C79" s="2"/>
      <c r="D79" s="10"/>
      <c r="E79" s="2"/>
    </row>
    <row r="80" spans="1:6" x14ac:dyDescent="0.2">
      <c r="A80" s="4" t="s">
        <v>81</v>
      </c>
      <c r="B80" s="2"/>
      <c r="C80" s="2"/>
      <c r="D80" s="2"/>
      <c r="E80" s="2"/>
    </row>
    <row r="81" spans="1:5" x14ac:dyDescent="0.2">
      <c r="A81" s="2" t="s">
        <v>638</v>
      </c>
      <c r="B81" s="2"/>
      <c r="C81" s="2"/>
      <c r="D81" s="10">
        <v>530.00909999999999</v>
      </c>
      <c r="E81" s="2"/>
    </row>
    <row r="82" spans="1:5" x14ac:dyDescent="0.2">
      <c r="A82" s="2" t="s">
        <v>639</v>
      </c>
      <c r="B82" s="2"/>
      <c r="C82" s="2"/>
      <c r="D82" s="10">
        <v>38.1873</v>
      </c>
      <c r="E82" s="2"/>
    </row>
    <row r="83" spans="1:5" x14ac:dyDescent="0.2">
      <c r="A83" s="2" t="s">
        <v>640</v>
      </c>
      <c r="B83" s="2"/>
      <c r="C83" s="2"/>
      <c r="D83" s="10">
        <v>562.00490000000002</v>
      </c>
      <c r="E83" s="2"/>
    </row>
    <row r="84" spans="1:5" x14ac:dyDescent="0.2">
      <c r="A84" s="2" t="s">
        <v>641</v>
      </c>
      <c r="B84" s="2"/>
      <c r="C84" s="2"/>
      <c r="D84" s="10">
        <v>41.232500000000002</v>
      </c>
      <c r="E84" s="2"/>
    </row>
    <row r="85" spans="1:5" x14ac:dyDescent="0.2">
      <c r="A85" s="2"/>
      <c r="B85" s="2"/>
      <c r="C85" s="2"/>
      <c r="D85" s="2"/>
      <c r="E85" s="1"/>
    </row>
    <row r="86" spans="1:5" x14ac:dyDescent="0.2">
      <c r="A86" s="4" t="s">
        <v>82</v>
      </c>
      <c r="B86" s="2"/>
      <c r="C86" s="2"/>
      <c r="D86" s="44" t="s">
        <v>83</v>
      </c>
      <c r="E86" s="1"/>
    </row>
    <row r="87" spans="1:5" x14ac:dyDescent="0.2">
      <c r="A87" s="4"/>
      <c r="B87" s="2"/>
      <c r="C87" s="2"/>
      <c r="D87" s="44"/>
      <c r="E87" s="1"/>
    </row>
    <row r="88" spans="1:5" x14ac:dyDescent="0.2">
      <c r="A88" s="9" t="s">
        <v>646</v>
      </c>
      <c r="B88" s="2"/>
      <c r="C88" s="2"/>
      <c r="D88" s="51">
        <v>6.3048091843526222E-2</v>
      </c>
      <c r="E88" s="1"/>
    </row>
    <row r="89" spans="1:5" x14ac:dyDescent="0.2">
      <c r="A89" s="2"/>
      <c r="B89" s="2"/>
      <c r="C89" s="2"/>
      <c r="D89" s="2"/>
      <c r="E89" s="1"/>
    </row>
    <row r="90" spans="1:5" x14ac:dyDescent="0.2">
      <c r="A90" s="2"/>
      <c r="B90" s="2"/>
      <c r="C90" s="2"/>
      <c r="D90" s="2"/>
      <c r="E90" s="1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395E6-E4A3-4013-A79E-A1C3300DE74B}">
  <dimension ref="A1:F63"/>
  <sheetViews>
    <sheetView showGridLines="0" workbookViewId="0">
      <selection sqref="A1:F1"/>
    </sheetView>
  </sheetViews>
  <sheetFormatPr defaultRowHeight="11.25" x14ac:dyDescent="0.2"/>
  <cols>
    <col min="1" max="1" width="59.42578125" style="1" bestFit="1" customWidth="1"/>
    <col min="2" max="2" width="40.5703125" style="1" bestFit="1" customWidth="1"/>
    <col min="3" max="3" width="26.42578125" style="1" bestFit="1" customWidth="1"/>
    <col min="4" max="4" width="11.140625" style="19" bestFit="1" customWidth="1"/>
    <col min="5" max="5" width="24" style="15" bestFit="1" customWidth="1"/>
    <col min="6" max="6" width="14.140625" style="15" bestFit="1" customWidth="1"/>
    <col min="7" max="16384" width="9.140625" style="2"/>
  </cols>
  <sheetData>
    <row r="1" spans="1:6" x14ac:dyDescent="0.2">
      <c r="A1" s="99" t="s">
        <v>571</v>
      </c>
      <c r="B1" s="99"/>
      <c r="C1" s="99"/>
      <c r="D1" s="99"/>
      <c r="E1" s="99"/>
      <c r="F1" s="99"/>
    </row>
    <row r="3" spans="1:6" s="4" customFormat="1" x14ac:dyDescent="0.2">
      <c r="A3" s="3" t="s">
        <v>1</v>
      </c>
      <c r="B3" s="3" t="s">
        <v>2</v>
      </c>
      <c r="C3" s="3" t="s">
        <v>3</v>
      </c>
      <c r="D3" s="16" t="s">
        <v>4</v>
      </c>
      <c r="E3" s="12" t="s">
        <v>5</v>
      </c>
      <c r="F3" s="12" t="s">
        <v>6</v>
      </c>
    </row>
    <row r="4" spans="1:6" x14ac:dyDescent="0.2">
      <c r="A4" s="5"/>
      <c r="B4" s="5"/>
      <c r="C4" s="5"/>
      <c r="D4" s="17"/>
      <c r="E4" s="13"/>
      <c r="F4" s="13"/>
    </row>
    <row r="5" spans="1:6" x14ac:dyDescent="0.2">
      <c r="A5" s="6" t="s">
        <v>7</v>
      </c>
      <c r="B5" s="7"/>
      <c r="C5" s="7"/>
      <c r="D5" s="18"/>
      <c r="E5" s="14"/>
      <c r="F5" s="14"/>
    </row>
    <row r="6" spans="1:6" x14ac:dyDescent="0.2">
      <c r="A6" s="6" t="s">
        <v>8</v>
      </c>
      <c r="B6" s="7"/>
      <c r="C6" s="7"/>
      <c r="D6" s="18"/>
      <c r="E6" s="14"/>
      <c r="F6" s="14"/>
    </row>
    <row r="7" spans="1:6" x14ac:dyDescent="0.2">
      <c r="A7" s="6"/>
      <c r="B7" s="7"/>
      <c r="C7" s="7"/>
      <c r="D7" s="18"/>
      <c r="E7" s="14"/>
      <c r="F7" s="14"/>
    </row>
    <row r="8" spans="1:6" x14ac:dyDescent="0.2">
      <c r="A8" s="7" t="s">
        <v>156</v>
      </c>
      <c r="B8" s="7" t="s">
        <v>157</v>
      </c>
      <c r="C8" s="7" t="s">
        <v>64</v>
      </c>
      <c r="D8" s="18">
        <v>755196</v>
      </c>
      <c r="E8" s="14">
        <v>6154.0922039999996</v>
      </c>
      <c r="F8" s="14">
        <v>25.247377474769877</v>
      </c>
    </row>
    <row r="9" spans="1:6" x14ac:dyDescent="0.2">
      <c r="A9" s="7" t="s">
        <v>158</v>
      </c>
      <c r="B9" s="7" t="s">
        <v>159</v>
      </c>
      <c r="C9" s="7" t="s">
        <v>64</v>
      </c>
      <c r="D9" s="18">
        <v>213636</v>
      </c>
      <c r="E9" s="14">
        <v>2350.7437260000002</v>
      </c>
      <c r="F9" s="14">
        <v>9.6440079591581345</v>
      </c>
    </row>
    <row r="10" spans="1:6" x14ac:dyDescent="0.2">
      <c r="A10" s="7" t="s">
        <v>235</v>
      </c>
      <c r="B10" s="7" t="s">
        <v>236</v>
      </c>
      <c r="C10" s="7" t="s">
        <v>64</v>
      </c>
      <c r="D10" s="18">
        <v>293797</v>
      </c>
      <c r="E10" s="14">
        <v>2037.9228909999999</v>
      </c>
      <c r="F10" s="14">
        <v>8.3606495950952304</v>
      </c>
    </row>
    <row r="11" spans="1:6" x14ac:dyDescent="0.2">
      <c r="A11" s="7" t="s">
        <v>393</v>
      </c>
      <c r="B11" s="7" t="s">
        <v>394</v>
      </c>
      <c r="C11" s="7" t="s">
        <v>64</v>
      </c>
      <c r="D11" s="18">
        <v>73819</v>
      </c>
      <c r="E11" s="14">
        <v>1668.014124</v>
      </c>
      <c r="F11" s="14">
        <v>6.8430860029206704</v>
      </c>
    </row>
    <row r="12" spans="1:6" x14ac:dyDescent="0.2">
      <c r="A12" s="7" t="s">
        <v>89</v>
      </c>
      <c r="B12" s="7" t="s">
        <v>90</v>
      </c>
      <c r="C12" s="7" t="s">
        <v>43</v>
      </c>
      <c r="D12" s="18">
        <v>416350</v>
      </c>
      <c r="E12" s="14">
        <v>1443.9018000000001</v>
      </c>
      <c r="F12" s="14">
        <v>5.923657392946609</v>
      </c>
    </row>
    <row r="13" spans="1:6" x14ac:dyDescent="0.2">
      <c r="A13" s="7" t="s">
        <v>275</v>
      </c>
      <c r="B13" s="7" t="s">
        <v>276</v>
      </c>
      <c r="C13" s="7" t="s">
        <v>64</v>
      </c>
      <c r="D13" s="18">
        <v>55000</v>
      </c>
      <c r="E13" s="14">
        <v>1114.7125000000001</v>
      </c>
      <c r="F13" s="14">
        <v>4.5731468314777342</v>
      </c>
    </row>
    <row r="14" spans="1:6" x14ac:dyDescent="0.2">
      <c r="A14" s="7" t="s">
        <v>491</v>
      </c>
      <c r="B14" s="7" t="s">
        <v>492</v>
      </c>
      <c r="C14" s="7" t="s">
        <v>64</v>
      </c>
      <c r="D14" s="18">
        <v>210143</v>
      </c>
      <c r="E14" s="14">
        <v>884.70203000000004</v>
      </c>
      <c r="F14" s="14">
        <v>3.6295208722396306</v>
      </c>
    </row>
    <row r="15" spans="1:6" x14ac:dyDescent="0.2">
      <c r="A15" s="7" t="s">
        <v>568</v>
      </c>
      <c r="B15" s="7" t="s">
        <v>569</v>
      </c>
      <c r="C15" s="7" t="s">
        <v>64</v>
      </c>
      <c r="D15" s="18">
        <v>30056</v>
      </c>
      <c r="E15" s="14">
        <v>488.84581200000002</v>
      </c>
      <c r="F15" s="14">
        <v>2.0055069591746388</v>
      </c>
    </row>
    <row r="16" spans="1:6" x14ac:dyDescent="0.2">
      <c r="A16" s="7" t="s">
        <v>531</v>
      </c>
      <c r="B16" s="7" t="s">
        <v>532</v>
      </c>
      <c r="C16" s="7" t="s">
        <v>64</v>
      </c>
      <c r="D16" s="18">
        <v>72108</v>
      </c>
      <c r="E16" s="14">
        <v>324.63021600000002</v>
      </c>
      <c r="F16" s="14">
        <v>1.3318067606690804</v>
      </c>
    </row>
    <row r="17" spans="1:6" x14ac:dyDescent="0.2">
      <c r="A17" s="7" t="s">
        <v>248</v>
      </c>
      <c r="B17" s="7" t="s">
        <v>249</v>
      </c>
      <c r="C17" s="7" t="s">
        <v>60</v>
      </c>
      <c r="D17" s="18">
        <v>464787</v>
      </c>
      <c r="E17" s="14">
        <v>295.37213850000001</v>
      </c>
      <c r="F17" s="14">
        <v>1.2117744793281471</v>
      </c>
    </row>
    <row r="18" spans="1:6" x14ac:dyDescent="0.2">
      <c r="A18" s="7" t="s">
        <v>41</v>
      </c>
      <c r="B18" s="7" t="s">
        <v>42</v>
      </c>
      <c r="C18" s="7" t="s">
        <v>43</v>
      </c>
      <c r="D18" s="18">
        <v>4779197</v>
      </c>
      <c r="E18" s="14">
        <v>255.6870395</v>
      </c>
      <c r="F18" s="14">
        <v>1.0489649793461069</v>
      </c>
    </row>
    <row r="19" spans="1:6" x14ac:dyDescent="0.2">
      <c r="A19" s="7" t="s">
        <v>521</v>
      </c>
      <c r="B19" s="7" t="s">
        <v>522</v>
      </c>
      <c r="C19" s="7" t="s">
        <v>60</v>
      </c>
      <c r="D19" s="18">
        <v>343415</v>
      </c>
      <c r="E19" s="14">
        <v>125.00306</v>
      </c>
      <c r="F19" s="14">
        <v>0.51282940467970084</v>
      </c>
    </row>
    <row r="20" spans="1:6" x14ac:dyDescent="0.2">
      <c r="A20" s="6" t="s">
        <v>44</v>
      </c>
      <c r="B20" s="7"/>
      <c r="C20" s="7"/>
      <c r="D20" s="18"/>
      <c r="E20" s="20">
        <f>SUM(E8:E19)</f>
        <v>17143.627540999998</v>
      </c>
      <c r="F20" s="20">
        <f>SUM(F8:F19)</f>
        <v>70.332328711805559</v>
      </c>
    </row>
    <row r="21" spans="1:6" x14ac:dyDescent="0.2">
      <c r="A21" s="6"/>
      <c r="B21" s="7"/>
      <c r="C21" s="7"/>
      <c r="D21" s="18"/>
      <c r="E21" s="20"/>
      <c r="F21" s="20"/>
    </row>
    <row r="22" spans="1:6" x14ac:dyDescent="0.2">
      <c r="A22" s="6" t="s">
        <v>587</v>
      </c>
      <c r="B22" s="7"/>
      <c r="C22" s="7"/>
      <c r="D22" s="18"/>
      <c r="E22" s="20"/>
      <c r="F22" s="20"/>
    </row>
    <row r="23" spans="1:6" x14ac:dyDescent="0.2">
      <c r="A23" s="27" t="s">
        <v>299</v>
      </c>
      <c r="B23" s="7" t="s">
        <v>445</v>
      </c>
      <c r="C23" s="7" t="s">
        <v>64</v>
      </c>
      <c r="D23" s="18">
        <v>970000</v>
      </c>
      <c r="E23" s="30">
        <v>9.7000000000000003E-2</v>
      </c>
      <c r="F23" s="33" t="s">
        <v>611</v>
      </c>
    </row>
    <row r="24" spans="1:6" x14ac:dyDescent="0.2">
      <c r="A24" s="6"/>
      <c r="B24" s="7"/>
      <c r="C24" s="7"/>
      <c r="D24" s="18"/>
      <c r="E24" s="20">
        <f>SUM(E23)</f>
        <v>9.7000000000000003E-2</v>
      </c>
      <c r="F24" s="34">
        <v>3.9472253964191429E-4</v>
      </c>
    </row>
    <row r="25" spans="1:6" x14ac:dyDescent="0.2">
      <c r="A25" s="7"/>
      <c r="B25" s="7"/>
      <c r="C25" s="7"/>
      <c r="D25" s="18"/>
      <c r="E25" s="14"/>
      <c r="F25" s="14"/>
    </row>
    <row r="26" spans="1:6" x14ac:dyDescent="0.2">
      <c r="A26" s="6" t="s">
        <v>45</v>
      </c>
      <c r="B26" s="7"/>
      <c r="C26" s="7"/>
      <c r="D26" s="18"/>
      <c r="E26" s="14"/>
      <c r="F26" s="14"/>
    </row>
    <row r="27" spans="1:6" x14ac:dyDescent="0.2">
      <c r="A27" s="7" t="s">
        <v>588</v>
      </c>
      <c r="B27" s="27" t="s">
        <v>657</v>
      </c>
      <c r="C27" s="27" t="s">
        <v>64</v>
      </c>
      <c r="D27" s="18">
        <v>35000</v>
      </c>
      <c r="E27" s="14">
        <v>1537.9467319999999</v>
      </c>
      <c r="F27" s="14">
        <v>6.3094799999348128</v>
      </c>
    </row>
    <row r="28" spans="1:6" x14ac:dyDescent="0.2">
      <c r="A28" s="7" t="s">
        <v>570</v>
      </c>
      <c r="B28" s="27" t="s">
        <v>658</v>
      </c>
      <c r="C28" s="27" t="s">
        <v>64</v>
      </c>
      <c r="D28" s="18">
        <v>19000</v>
      </c>
      <c r="E28" s="14">
        <v>580.02705619999995</v>
      </c>
      <c r="F28" s="14">
        <v>2.3795811872858579</v>
      </c>
    </row>
    <row r="29" spans="1:6" x14ac:dyDescent="0.2">
      <c r="A29" s="7" t="s">
        <v>70</v>
      </c>
      <c r="B29" s="27" t="s">
        <v>659</v>
      </c>
      <c r="C29" s="27" t="s">
        <v>631</v>
      </c>
      <c r="D29" s="18">
        <v>88000</v>
      </c>
      <c r="E29" s="14">
        <v>520.82952479999994</v>
      </c>
      <c r="F29" s="14">
        <v>2.1367212542060603</v>
      </c>
    </row>
    <row r="30" spans="1:6" x14ac:dyDescent="0.2">
      <c r="A30" s="7" t="s">
        <v>591</v>
      </c>
      <c r="B30" s="27" t="s">
        <v>660</v>
      </c>
      <c r="C30" s="27" t="s">
        <v>631</v>
      </c>
      <c r="D30" s="18">
        <v>17000</v>
      </c>
      <c r="E30" s="14">
        <v>442.94949650000001</v>
      </c>
      <c r="F30" s="14">
        <v>1.8172157273051412</v>
      </c>
    </row>
    <row r="31" spans="1:6" x14ac:dyDescent="0.2">
      <c r="A31" s="7" t="s">
        <v>590</v>
      </c>
      <c r="B31" s="27" t="s">
        <v>661</v>
      </c>
      <c r="C31" s="27" t="s">
        <v>636</v>
      </c>
      <c r="D31" s="18">
        <v>6000</v>
      </c>
      <c r="E31" s="14">
        <v>333.99423089999999</v>
      </c>
      <c r="F31" s="14">
        <v>1.370222957733207</v>
      </c>
    </row>
    <row r="32" spans="1:6" x14ac:dyDescent="0.2">
      <c r="A32" s="7" t="s">
        <v>62</v>
      </c>
      <c r="B32" s="27" t="s">
        <v>662</v>
      </c>
      <c r="C32" s="27" t="s">
        <v>631</v>
      </c>
      <c r="D32" s="18">
        <v>33000</v>
      </c>
      <c r="E32" s="14">
        <v>327.34002350000003</v>
      </c>
      <c r="F32" s="14">
        <v>1.3429238402591448</v>
      </c>
    </row>
    <row r="33" spans="1:6" x14ac:dyDescent="0.2">
      <c r="A33" s="7" t="s">
        <v>589</v>
      </c>
      <c r="B33" s="27" t="s">
        <v>663</v>
      </c>
      <c r="C33" s="27" t="s">
        <v>631</v>
      </c>
      <c r="D33" s="18">
        <v>2000</v>
      </c>
      <c r="E33" s="14">
        <v>239.79843819999999</v>
      </c>
      <c r="F33" s="14">
        <v>0.98378143947218599</v>
      </c>
    </row>
    <row r="34" spans="1:6" x14ac:dyDescent="0.2">
      <c r="A34" s="6" t="s">
        <v>44</v>
      </c>
      <c r="B34" s="7"/>
      <c r="C34" s="7"/>
      <c r="D34" s="18"/>
      <c r="E34" s="20">
        <f>SUM(E27:E33)</f>
        <v>3982.8855020999995</v>
      </c>
      <c r="F34" s="20">
        <f>SUM(F27:F33)</f>
        <v>16.339926406196408</v>
      </c>
    </row>
    <row r="35" spans="1:6" x14ac:dyDescent="0.2">
      <c r="A35" s="6"/>
      <c r="B35" s="7"/>
      <c r="C35" s="7"/>
      <c r="D35" s="18"/>
      <c r="E35" s="20"/>
      <c r="F35" s="20"/>
    </row>
    <row r="36" spans="1:6" x14ac:dyDescent="0.2">
      <c r="A36" s="6" t="s">
        <v>585</v>
      </c>
      <c r="B36" s="7"/>
      <c r="C36" s="7"/>
      <c r="D36" s="18"/>
      <c r="E36" s="20"/>
      <c r="F36" s="20"/>
    </row>
    <row r="37" spans="1:6" x14ac:dyDescent="0.2">
      <c r="A37" s="7" t="s">
        <v>613</v>
      </c>
      <c r="B37" s="7" t="s">
        <v>586</v>
      </c>
      <c r="C37" s="7" t="s">
        <v>583</v>
      </c>
      <c r="D37" s="18">
        <v>102868</v>
      </c>
      <c r="E37" s="14">
        <v>2257.5100000000002</v>
      </c>
      <c r="F37" s="14">
        <v>9.2615133530208915</v>
      </c>
    </row>
    <row r="38" spans="1:6" x14ac:dyDescent="0.2">
      <c r="A38" s="6" t="s">
        <v>44</v>
      </c>
      <c r="B38" s="7"/>
      <c r="C38" s="7"/>
      <c r="D38" s="18"/>
      <c r="E38" s="20">
        <f>SUM(E37)</f>
        <v>2257.5100000000002</v>
      </c>
      <c r="F38" s="20">
        <f>SUM(F37)</f>
        <v>9.2615133530208915</v>
      </c>
    </row>
    <row r="39" spans="1:6" x14ac:dyDescent="0.2">
      <c r="A39" s="6"/>
      <c r="B39" s="7"/>
      <c r="C39" s="7"/>
      <c r="D39" s="18"/>
      <c r="E39" s="20"/>
      <c r="F39" s="20"/>
    </row>
    <row r="40" spans="1:6" x14ac:dyDescent="0.2">
      <c r="A40" s="6" t="s">
        <v>44</v>
      </c>
      <c r="B40" s="7"/>
      <c r="C40" s="7"/>
      <c r="D40" s="18"/>
      <c r="E40" s="20">
        <f>E20+E24+E34+E38</f>
        <v>23384.120043099996</v>
      </c>
      <c r="F40" s="20">
        <f>F20+F24+F34+F38</f>
        <v>95.934163193562497</v>
      </c>
    </row>
    <row r="41" spans="1:6" x14ac:dyDescent="0.2">
      <c r="A41" s="7"/>
      <c r="B41" s="7"/>
      <c r="C41" s="7"/>
      <c r="D41" s="18"/>
      <c r="E41" s="14"/>
      <c r="F41" s="14"/>
    </row>
    <row r="42" spans="1:6" x14ac:dyDescent="0.2">
      <c r="A42" s="6" t="s">
        <v>76</v>
      </c>
      <c r="B42" s="7"/>
      <c r="C42" s="7"/>
      <c r="D42" s="18"/>
      <c r="E42" s="20">
        <v>991.05401270000004</v>
      </c>
      <c r="F42" s="20">
        <v>4.0658335831008436</v>
      </c>
    </row>
    <row r="43" spans="1:6" x14ac:dyDescent="0.2">
      <c r="A43" s="7"/>
      <c r="B43" s="7"/>
      <c r="C43" s="7"/>
      <c r="D43" s="18"/>
      <c r="E43" s="14"/>
      <c r="F43" s="14"/>
    </row>
    <row r="44" spans="1:6" x14ac:dyDescent="0.2">
      <c r="A44" s="8" t="s">
        <v>77</v>
      </c>
      <c r="B44" s="5"/>
      <c r="C44" s="5"/>
      <c r="D44" s="17"/>
      <c r="E44" s="21">
        <f>E40+E42</f>
        <v>24375.174055799995</v>
      </c>
      <c r="F44" s="21">
        <f>F40+F42</f>
        <v>99.999996776663338</v>
      </c>
    </row>
    <row r="45" spans="1:6" x14ac:dyDescent="0.2">
      <c r="A45" s="2"/>
      <c r="B45" s="2"/>
      <c r="C45" s="2"/>
      <c r="D45" s="2"/>
      <c r="E45" s="1"/>
      <c r="F45" s="11" t="s">
        <v>612</v>
      </c>
    </row>
    <row r="46" spans="1:6" x14ac:dyDescent="0.2">
      <c r="A46" s="4" t="s">
        <v>78</v>
      </c>
      <c r="B46" s="2"/>
      <c r="C46" s="2"/>
      <c r="D46" s="2"/>
      <c r="E46" s="1"/>
    </row>
    <row r="47" spans="1:6" x14ac:dyDescent="0.2">
      <c r="A47" s="4" t="s">
        <v>79</v>
      </c>
      <c r="B47" s="2"/>
      <c r="C47" s="2"/>
      <c r="D47" s="2"/>
      <c r="E47" s="1"/>
    </row>
    <row r="48" spans="1:6" x14ac:dyDescent="0.2">
      <c r="A48" s="4" t="s">
        <v>80</v>
      </c>
      <c r="B48" s="2"/>
      <c r="C48" s="2"/>
      <c r="D48" s="2"/>
      <c r="E48" s="1"/>
    </row>
    <row r="49" spans="1:5" x14ac:dyDescent="0.2">
      <c r="A49" s="2" t="s">
        <v>638</v>
      </c>
      <c r="B49" s="2"/>
      <c r="C49" s="2"/>
      <c r="D49" s="10">
        <v>161.24379999999999</v>
      </c>
      <c r="E49" s="2"/>
    </row>
    <row r="50" spans="1:5" x14ac:dyDescent="0.2">
      <c r="A50" s="2" t="s">
        <v>639</v>
      </c>
      <c r="B50" s="2"/>
      <c r="C50" s="2"/>
      <c r="D50" s="10">
        <v>25.5412</v>
      </c>
      <c r="E50" s="2"/>
    </row>
    <row r="51" spans="1:5" x14ac:dyDescent="0.2">
      <c r="A51" s="2" t="s">
        <v>640</v>
      </c>
      <c r="B51" s="2"/>
      <c r="C51" s="2"/>
      <c r="D51" s="10">
        <v>166.99930000000001</v>
      </c>
      <c r="E51" s="2"/>
    </row>
    <row r="52" spans="1:5" x14ac:dyDescent="0.2">
      <c r="A52" s="2" t="s">
        <v>641</v>
      </c>
      <c r="B52" s="2"/>
      <c r="C52" s="2"/>
      <c r="D52" s="10">
        <v>26.586600000000001</v>
      </c>
      <c r="E52" s="2"/>
    </row>
    <row r="53" spans="1:5" x14ac:dyDescent="0.2">
      <c r="A53" s="2"/>
      <c r="B53" s="2"/>
      <c r="C53" s="2"/>
      <c r="D53" s="10"/>
      <c r="E53" s="2"/>
    </row>
    <row r="54" spans="1:5" x14ac:dyDescent="0.2">
      <c r="A54" s="4" t="s">
        <v>81</v>
      </c>
      <c r="B54" s="2"/>
      <c r="C54" s="2"/>
      <c r="D54" s="2"/>
      <c r="E54" s="2"/>
    </row>
    <row r="55" spans="1:5" x14ac:dyDescent="0.2">
      <c r="A55" s="2" t="s">
        <v>638</v>
      </c>
      <c r="B55" s="2"/>
      <c r="C55" s="2"/>
      <c r="D55" s="10">
        <v>158.8954</v>
      </c>
      <c r="E55" s="2"/>
    </row>
    <row r="56" spans="1:5" x14ac:dyDescent="0.2">
      <c r="A56" s="2" t="s">
        <v>639</v>
      </c>
      <c r="B56" s="2"/>
      <c r="C56" s="2"/>
      <c r="D56" s="10">
        <v>25.1692</v>
      </c>
      <c r="E56" s="2"/>
    </row>
    <row r="57" spans="1:5" x14ac:dyDescent="0.2">
      <c r="A57" s="2" t="s">
        <v>640</v>
      </c>
      <c r="B57" s="2"/>
      <c r="C57" s="2"/>
      <c r="D57" s="10">
        <v>165.07980000000001</v>
      </c>
      <c r="E57" s="2"/>
    </row>
    <row r="58" spans="1:5" x14ac:dyDescent="0.2">
      <c r="A58" s="2" t="s">
        <v>641</v>
      </c>
      <c r="B58" s="2"/>
      <c r="C58" s="2"/>
      <c r="D58" s="10">
        <v>26.274799999999999</v>
      </c>
      <c r="E58" s="2"/>
    </row>
    <row r="59" spans="1:5" x14ac:dyDescent="0.2">
      <c r="A59" s="2"/>
      <c r="B59" s="2"/>
      <c r="C59" s="2"/>
      <c r="D59" s="2"/>
      <c r="E59" s="1"/>
    </row>
    <row r="60" spans="1:5" x14ac:dyDescent="0.2">
      <c r="A60" s="4" t="s">
        <v>82</v>
      </c>
      <c r="B60" s="2"/>
      <c r="C60" s="2"/>
      <c r="D60" s="44" t="s">
        <v>83</v>
      </c>
      <c r="E60" s="1"/>
    </row>
    <row r="61" spans="1:5" x14ac:dyDescent="0.2">
      <c r="A61" s="4"/>
      <c r="B61" s="2"/>
      <c r="C61" s="2"/>
      <c r="D61" s="44"/>
      <c r="E61" s="1"/>
    </row>
    <row r="62" spans="1:5" x14ac:dyDescent="0.2">
      <c r="A62" s="9" t="s">
        <v>646</v>
      </c>
      <c r="B62" s="2"/>
      <c r="C62" s="2"/>
      <c r="D62" s="51">
        <v>9.6171554712283946E-2</v>
      </c>
      <c r="E62" s="1"/>
    </row>
    <row r="63" spans="1:5" x14ac:dyDescent="0.2">
      <c r="A63" s="2"/>
      <c r="B63" s="2"/>
      <c r="C63" s="2"/>
      <c r="D63" s="2"/>
      <c r="E63" s="1"/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C0169-D023-48B3-82B9-F509BD60CFD5}">
  <dimension ref="A1:F112"/>
  <sheetViews>
    <sheetView showGridLines="0" workbookViewId="0">
      <selection sqref="A1:F1"/>
    </sheetView>
  </sheetViews>
  <sheetFormatPr defaultRowHeight="11.25" x14ac:dyDescent="0.2"/>
  <cols>
    <col min="1" max="1" width="37.140625" style="1" customWidth="1"/>
    <col min="2" max="2" width="35.28515625" style="1" bestFit="1" customWidth="1"/>
    <col min="3" max="3" width="35.7109375" style="1" bestFit="1" customWidth="1"/>
    <col min="4" max="4" width="12" style="19" bestFit="1" customWidth="1"/>
    <col min="5" max="5" width="24" style="15" bestFit="1" customWidth="1"/>
    <col min="6" max="6" width="14.140625" style="15" bestFit="1" customWidth="1"/>
    <col min="7" max="16384" width="9.140625" style="2"/>
  </cols>
  <sheetData>
    <row r="1" spans="1:6" x14ac:dyDescent="0.2">
      <c r="A1" s="99" t="s">
        <v>567</v>
      </c>
      <c r="B1" s="99"/>
      <c r="C1" s="99"/>
      <c r="D1" s="99"/>
      <c r="E1" s="99"/>
      <c r="F1" s="99"/>
    </row>
    <row r="3" spans="1:6" s="4" customFormat="1" x14ac:dyDescent="0.2">
      <c r="A3" s="3" t="s">
        <v>1</v>
      </c>
      <c r="B3" s="3" t="s">
        <v>2</v>
      </c>
      <c r="C3" s="3" t="s">
        <v>3</v>
      </c>
      <c r="D3" s="16" t="s">
        <v>4</v>
      </c>
      <c r="E3" s="12" t="s">
        <v>5</v>
      </c>
      <c r="F3" s="12" t="s">
        <v>6</v>
      </c>
    </row>
    <row r="4" spans="1:6" x14ac:dyDescent="0.2">
      <c r="A4" s="5"/>
      <c r="B4" s="5"/>
      <c r="C4" s="5"/>
      <c r="D4" s="17"/>
      <c r="E4" s="13"/>
      <c r="F4" s="13"/>
    </row>
    <row r="5" spans="1:6" x14ac:dyDescent="0.2">
      <c r="A5" s="6" t="s">
        <v>7</v>
      </c>
      <c r="B5" s="7"/>
      <c r="C5" s="7"/>
      <c r="D5" s="18"/>
      <c r="E5" s="14"/>
      <c r="F5" s="14"/>
    </row>
    <row r="6" spans="1:6" x14ac:dyDescent="0.2">
      <c r="A6" s="6" t="s">
        <v>8</v>
      </c>
      <c r="B6" s="7"/>
      <c r="C6" s="7"/>
      <c r="D6" s="18"/>
      <c r="E6" s="14"/>
      <c r="F6" s="14"/>
    </row>
    <row r="7" spans="1:6" x14ac:dyDescent="0.2">
      <c r="A7" s="6"/>
      <c r="B7" s="7"/>
      <c r="C7" s="7"/>
      <c r="D7" s="18"/>
      <c r="E7" s="14"/>
      <c r="F7" s="14"/>
    </row>
    <row r="8" spans="1:6" x14ac:dyDescent="0.2">
      <c r="A8" s="7" t="s">
        <v>10</v>
      </c>
      <c r="B8" s="7" t="s">
        <v>11</v>
      </c>
      <c r="C8" s="7" t="s">
        <v>12</v>
      </c>
      <c r="D8" s="18">
        <v>1383653</v>
      </c>
      <c r="E8" s="14">
        <v>30827.097013499999</v>
      </c>
      <c r="F8" s="14">
        <v>4.6824024961968576</v>
      </c>
    </row>
    <row r="9" spans="1:6" x14ac:dyDescent="0.2">
      <c r="A9" s="7" t="s">
        <v>482</v>
      </c>
      <c r="B9" s="7" t="s">
        <v>483</v>
      </c>
      <c r="C9" s="7" t="s">
        <v>20</v>
      </c>
      <c r="D9" s="18">
        <v>9601987</v>
      </c>
      <c r="E9" s="14">
        <v>19175.168039</v>
      </c>
      <c r="F9" s="14">
        <v>2.9125627577416133</v>
      </c>
    </row>
    <row r="10" spans="1:6" x14ac:dyDescent="0.2">
      <c r="A10" s="7" t="s">
        <v>259</v>
      </c>
      <c r="B10" s="7" t="s">
        <v>260</v>
      </c>
      <c r="C10" s="7" t="s">
        <v>72</v>
      </c>
      <c r="D10" s="18">
        <v>2521141</v>
      </c>
      <c r="E10" s="14">
        <v>16135.3024</v>
      </c>
      <c r="F10" s="14">
        <v>2.4508301966145223</v>
      </c>
    </row>
    <row r="11" spans="1:6" x14ac:dyDescent="0.2">
      <c r="A11" s="7" t="s">
        <v>484</v>
      </c>
      <c r="B11" s="7" t="s">
        <v>485</v>
      </c>
      <c r="C11" s="7" t="s">
        <v>221</v>
      </c>
      <c r="D11" s="18">
        <v>5678251</v>
      </c>
      <c r="E11" s="14">
        <v>15643.581505</v>
      </c>
      <c r="F11" s="14">
        <v>2.3761415178468832</v>
      </c>
    </row>
    <row r="12" spans="1:6" x14ac:dyDescent="0.2">
      <c r="A12" s="7" t="s">
        <v>111</v>
      </c>
      <c r="B12" s="7" t="s">
        <v>112</v>
      </c>
      <c r="C12" s="7" t="s">
        <v>20</v>
      </c>
      <c r="D12" s="18">
        <v>2829248</v>
      </c>
      <c r="E12" s="14">
        <v>15156.281536</v>
      </c>
      <c r="F12" s="14">
        <v>2.3021243442465593</v>
      </c>
    </row>
    <row r="13" spans="1:6" x14ac:dyDescent="0.2">
      <c r="A13" s="7" t="s">
        <v>125</v>
      </c>
      <c r="B13" s="7" t="s">
        <v>126</v>
      </c>
      <c r="C13" s="7" t="s">
        <v>31</v>
      </c>
      <c r="D13" s="18">
        <v>4112021</v>
      </c>
      <c r="E13" s="14">
        <v>15099.341112</v>
      </c>
      <c r="F13" s="14">
        <v>2.2934755252106522</v>
      </c>
    </row>
    <row r="14" spans="1:6" x14ac:dyDescent="0.2">
      <c r="A14" s="7" t="s">
        <v>486</v>
      </c>
      <c r="B14" s="7" t="s">
        <v>487</v>
      </c>
      <c r="C14" s="7" t="s">
        <v>488</v>
      </c>
      <c r="D14" s="18">
        <v>2824663</v>
      </c>
      <c r="E14" s="14">
        <v>14904.3343195</v>
      </c>
      <c r="F14" s="14">
        <v>2.2638554707638301</v>
      </c>
    </row>
    <row r="15" spans="1:6" x14ac:dyDescent="0.2">
      <c r="A15" s="7" t="s">
        <v>315</v>
      </c>
      <c r="B15" s="7" t="s">
        <v>316</v>
      </c>
      <c r="C15" s="7" t="s">
        <v>317</v>
      </c>
      <c r="D15" s="18">
        <v>1655675</v>
      </c>
      <c r="E15" s="14">
        <v>14440.797350000001</v>
      </c>
      <c r="F15" s="14">
        <v>2.1934477167636457</v>
      </c>
    </row>
    <row r="16" spans="1:6" x14ac:dyDescent="0.2">
      <c r="A16" s="7" t="s">
        <v>212</v>
      </c>
      <c r="B16" s="7" t="s">
        <v>213</v>
      </c>
      <c r="C16" s="7" t="s">
        <v>96</v>
      </c>
      <c r="D16" s="18">
        <v>5516937</v>
      </c>
      <c r="E16" s="14">
        <v>14352.311605499999</v>
      </c>
      <c r="F16" s="14">
        <v>2.1800074025250655</v>
      </c>
    </row>
    <row r="17" spans="1:6" x14ac:dyDescent="0.2">
      <c r="A17" s="7" t="s">
        <v>156</v>
      </c>
      <c r="B17" s="7" t="s">
        <v>157</v>
      </c>
      <c r="C17" s="7" t="s">
        <v>64</v>
      </c>
      <c r="D17" s="18">
        <v>1733149</v>
      </c>
      <c r="E17" s="14">
        <v>14123.431200999999</v>
      </c>
      <c r="F17" s="14">
        <v>2.1452422030354077</v>
      </c>
    </row>
    <row r="18" spans="1:6" x14ac:dyDescent="0.2">
      <c r="A18" s="7" t="s">
        <v>489</v>
      </c>
      <c r="B18" s="7" t="s">
        <v>490</v>
      </c>
      <c r="C18" s="7" t="s">
        <v>162</v>
      </c>
      <c r="D18" s="18">
        <v>3637085</v>
      </c>
      <c r="E18" s="14">
        <v>13920.942837500001</v>
      </c>
      <c r="F18" s="14">
        <v>2.1144857546326277</v>
      </c>
    </row>
    <row r="19" spans="1:6" x14ac:dyDescent="0.2">
      <c r="A19" s="7" t="s">
        <v>491</v>
      </c>
      <c r="B19" s="7" t="s">
        <v>492</v>
      </c>
      <c r="C19" s="7" t="s">
        <v>64</v>
      </c>
      <c r="D19" s="18">
        <v>3253552</v>
      </c>
      <c r="E19" s="14">
        <v>13697.45392</v>
      </c>
      <c r="F19" s="14">
        <v>2.0805394811734024</v>
      </c>
    </row>
    <row r="20" spans="1:6" x14ac:dyDescent="0.2">
      <c r="A20" s="7" t="s">
        <v>493</v>
      </c>
      <c r="B20" s="7" t="s">
        <v>494</v>
      </c>
      <c r="C20" s="7" t="s">
        <v>221</v>
      </c>
      <c r="D20" s="18">
        <v>385642</v>
      </c>
      <c r="E20" s="14">
        <v>13679.685845</v>
      </c>
      <c r="F20" s="14">
        <v>2.0778406451884193</v>
      </c>
    </row>
    <row r="21" spans="1:6" x14ac:dyDescent="0.2">
      <c r="A21" s="7" t="s">
        <v>267</v>
      </c>
      <c r="B21" s="7" t="s">
        <v>268</v>
      </c>
      <c r="C21" s="7" t="s">
        <v>37</v>
      </c>
      <c r="D21" s="18">
        <v>9463765</v>
      </c>
      <c r="E21" s="14">
        <v>13466.937594999999</v>
      </c>
      <c r="F21" s="14">
        <v>2.0455257977532137</v>
      </c>
    </row>
    <row r="22" spans="1:6" x14ac:dyDescent="0.2">
      <c r="A22" s="7" t="s">
        <v>495</v>
      </c>
      <c r="B22" s="7" t="s">
        <v>496</v>
      </c>
      <c r="C22" s="7" t="s">
        <v>12</v>
      </c>
      <c r="D22" s="18">
        <v>6349096</v>
      </c>
      <c r="E22" s="14">
        <v>13215.643324000001</v>
      </c>
      <c r="F22" s="14">
        <v>2.0073561017453456</v>
      </c>
    </row>
    <row r="23" spans="1:6" x14ac:dyDescent="0.2">
      <c r="A23" s="7" t="s">
        <v>497</v>
      </c>
      <c r="B23" s="7" t="s">
        <v>498</v>
      </c>
      <c r="C23" s="7" t="s">
        <v>34</v>
      </c>
      <c r="D23" s="18">
        <v>1056428</v>
      </c>
      <c r="E23" s="14">
        <v>13144.605390000001</v>
      </c>
      <c r="F23" s="14">
        <v>1.9965659777404614</v>
      </c>
    </row>
    <row r="24" spans="1:6" x14ac:dyDescent="0.2">
      <c r="A24" s="7" t="s">
        <v>499</v>
      </c>
      <c r="B24" s="7" t="s">
        <v>500</v>
      </c>
      <c r="C24" s="7" t="s">
        <v>96</v>
      </c>
      <c r="D24" s="18">
        <v>1497004</v>
      </c>
      <c r="E24" s="14">
        <v>12901.180472</v>
      </c>
      <c r="F24" s="14">
        <v>1.9595915768365886</v>
      </c>
    </row>
    <row r="25" spans="1:6" x14ac:dyDescent="0.2">
      <c r="A25" s="7" t="s">
        <v>355</v>
      </c>
      <c r="B25" s="7" t="s">
        <v>356</v>
      </c>
      <c r="C25" s="7" t="s">
        <v>37</v>
      </c>
      <c r="D25" s="18">
        <v>3336449</v>
      </c>
      <c r="E25" s="14">
        <v>12316.5014835</v>
      </c>
      <c r="F25" s="14">
        <v>1.8707832678989245</v>
      </c>
    </row>
    <row r="26" spans="1:6" x14ac:dyDescent="0.2">
      <c r="A26" s="7" t="s">
        <v>430</v>
      </c>
      <c r="B26" s="7" t="s">
        <v>431</v>
      </c>
      <c r="C26" s="7" t="s">
        <v>28</v>
      </c>
      <c r="D26" s="18">
        <v>3615705</v>
      </c>
      <c r="E26" s="14">
        <v>11186.99127</v>
      </c>
      <c r="F26" s="14">
        <v>1.699219223420259</v>
      </c>
    </row>
    <row r="27" spans="1:6" x14ac:dyDescent="0.2">
      <c r="A27" s="7" t="s">
        <v>237</v>
      </c>
      <c r="B27" s="7" t="s">
        <v>238</v>
      </c>
      <c r="C27" s="7" t="s">
        <v>28</v>
      </c>
      <c r="D27" s="18">
        <v>9772603</v>
      </c>
      <c r="E27" s="14">
        <v>10959.974264500001</v>
      </c>
      <c r="F27" s="14">
        <v>1.6647370601219496</v>
      </c>
    </row>
    <row r="28" spans="1:6" x14ac:dyDescent="0.2">
      <c r="A28" s="7" t="s">
        <v>501</v>
      </c>
      <c r="B28" s="7" t="s">
        <v>502</v>
      </c>
      <c r="C28" s="7" t="s">
        <v>60</v>
      </c>
      <c r="D28" s="18">
        <v>10868971</v>
      </c>
      <c r="E28" s="14">
        <v>10738.543347999999</v>
      </c>
      <c r="F28" s="14">
        <v>1.6311033814236049</v>
      </c>
    </row>
    <row r="29" spans="1:6" x14ac:dyDescent="0.2">
      <c r="A29" s="7" t="s">
        <v>503</v>
      </c>
      <c r="B29" s="7" t="s">
        <v>504</v>
      </c>
      <c r="C29" s="7" t="s">
        <v>20</v>
      </c>
      <c r="D29" s="18">
        <v>3223420</v>
      </c>
      <c r="E29" s="14">
        <v>9845.9363900000008</v>
      </c>
      <c r="F29" s="14">
        <v>1.4955231467219221</v>
      </c>
    </row>
    <row r="30" spans="1:6" x14ac:dyDescent="0.2">
      <c r="A30" s="7" t="s">
        <v>505</v>
      </c>
      <c r="B30" s="7" t="s">
        <v>506</v>
      </c>
      <c r="C30" s="7" t="s">
        <v>252</v>
      </c>
      <c r="D30" s="18">
        <v>1733776</v>
      </c>
      <c r="E30" s="14">
        <v>9814.9059359999992</v>
      </c>
      <c r="F30" s="14">
        <v>1.4908098558400691</v>
      </c>
    </row>
    <row r="31" spans="1:6" x14ac:dyDescent="0.2">
      <c r="A31" s="7" t="s">
        <v>507</v>
      </c>
      <c r="B31" s="7" t="s">
        <v>508</v>
      </c>
      <c r="C31" s="7" t="s">
        <v>488</v>
      </c>
      <c r="D31" s="18">
        <v>358284</v>
      </c>
      <c r="E31" s="14">
        <v>9728.1271680000009</v>
      </c>
      <c r="F31" s="14">
        <v>1.4776288184001136</v>
      </c>
    </row>
    <row r="32" spans="1:6" x14ac:dyDescent="0.2">
      <c r="A32" s="7" t="s">
        <v>21</v>
      </c>
      <c r="B32" s="7" t="s">
        <v>22</v>
      </c>
      <c r="C32" s="7" t="s">
        <v>12</v>
      </c>
      <c r="D32" s="18">
        <v>673158</v>
      </c>
      <c r="E32" s="14">
        <v>9635.9201909999992</v>
      </c>
      <c r="F32" s="14">
        <v>1.4636232771361244</v>
      </c>
    </row>
    <row r="33" spans="1:6" x14ac:dyDescent="0.2">
      <c r="A33" s="7" t="s">
        <v>97</v>
      </c>
      <c r="B33" s="7" t="s">
        <v>98</v>
      </c>
      <c r="C33" s="7" t="s">
        <v>12</v>
      </c>
      <c r="D33" s="18">
        <v>1451248</v>
      </c>
      <c r="E33" s="14">
        <v>9634.8354720000007</v>
      </c>
      <c r="F33" s="14">
        <v>1.463458516537647</v>
      </c>
    </row>
    <row r="34" spans="1:6" x14ac:dyDescent="0.2">
      <c r="A34" s="7" t="s">
        <v>451</v>
      </c>
      <c r="B34" s="7" t="s">
        <v>452</v>
      </c>
      <c r="C34" s="7" t="s">
        <v>12</v>
      </c>
      <c r="D34" s="18">
        <v>4731960</v>
      </c>
      <c r="E34" s="14">
        <v>9608.2447800000009</v>
      </c>
      <c r="F34" s="14">
        <v>1.4594195918688118</v>
      </c>
    </row>
    <row r="35" spans="1:6" x14ac:dyDescent="0.2">
      <c r="A35" s="7" t="s">
        <v>509</v>
      </c>
      <c r="B35" s="7" t="s">
        <v>510</v>
      </c>
      <c r="C35" s="7" t="s">
        <v>20</v>
      </c>
      <c r="D35" s="18">
        <v>387398</v>
      </c>
      <c r="E35" s="14">
        <v>9447.6687249999995</v>
      </c>
      <c r="F35" s="14">
        <v>1.4350293056075987</v>
      </c>
    </row>
    <row r="36" spans="1:6" x14ac:dyDescent="0.2">
      <c r="A36" s="7" t="s">
        <v>467</v>
      </c>
      <c r="B36" s="7" t="s">
        <v>468</v>
      </c>
      <c r="C36" s="7" t="s">
        <v>20</v>
      </c>
      <c r="D36" s="18">
        <v>1980000</v>
      </c>
      <c r="E36" s="14">
        <v>9387.18</v>
      </c>
      <c r="F36" s="14">
        <v>1.4258415265310374</v>
      </c>
    </row>
    <row r="37" spans="1:6" x14ac:dyDescent="0.2">
      <c r="A37" s="7" t="s">
        <v>283</v>
      </c>
      <c r="B37" s="7" t="s">
        <v>284</v>
      </c>
      <c r="C37" s="7" t="s">
        <v>12</v>
      </c>
      <c r="D37" s="18">
        <v>15898917</v>
      </c>
      <c r="E37" s="14">
        <v>9237.2707769999997</v>
      </c>
      <c r="F37" s="14">
        <v>1.4030714512407583</v>
      </c>
    </row>
    <row r="38" spans="1:6" x14ac:dyDescent="0.2">
      <c r="A38" s="7" t="s">
        <v>241</v>
      </c>
      <c r="B38" s="7" t="s">
        <v>242</v>
      </c>
      <c r="C38" s="7" t="s">
        <v>633</v>
      </c>
      <c r="D38" s="18">
        <v>16930723</v>
      </c>
      <c r="E38" s="14">
        <v>9142.5904200000004</v>
      </c>
      <c r="F38" s="14">
        <v>1.3886902222926203</v>
      </c>
    </row>
    <row r="39" spans="1:6" x14ac:dyDescent="0.2">
      <c r="A39" s="7" t="s">
        <v>511</v>
      </c>
      <c r="B39" s="7" t="s">
        <v>512</v>
      </c>
      <c r="C39" s="7" t="s">
        <v>72</v>
      </c>
      <c r="D39" s="18">
        <v>1167241</v>
      </c>
      <c r="E39" s="14">
        <v>8423.3946765000001</v>
      </c>
      <c r="F39" s="14">
        <v>1.2794498373435019</v>
      </c>
    </row>
    <row r="40" spans="1:6" x14ac:dyDescent="0.2">
      <c r="A40" s="7" t="s">
        <v>269</v>
      </c>
      <c r="B40" s="7" t="s">
        <v>270</v>
      </c>
      <c r="C40" s="7" t="s">
        <v>31</v>
      </c>
      <c r="D40" s="18">
        <v>1641126</v>
      </c>
      <c r="E40" s="14">
        <v>8264.7105360000005</v>
      </c>
      <c r="F40" s="14">
        <v>1.2553469185620589</v>
      </c>
    </row>
    <row r="41" spans="1:6" x14ac:dyDescent="0.2">
      <c r="A41" s="7" t="s">
        <v>513</v>
      </c>
      <c r="B41" s="7" t="s">
        <v>514</v>
      </c>
      <c r="C41" s="7" t="s">
        <v>72</v>
      </c>
      <c r="D41" s="18">
        <v>1860158</v>
      </c>
      <c r="E41" s="14">
        <v>8115.8693540000004</v>
      </c>
      <c r="F41" s="14">
        <v>1.2327390706084069</v>
      </c>
    </row>
    <row r="42" spans="1:6" x14ac:dyDescent="0.2">
      <c r="A42" s="7" t="s">
        <v>515</v>
      </c>
      <c r="B42" s="7" t="s">
        <v>516</v>
      </c>
      <c r="C42" s="7" t="s">
        <v>31</v>
      </c>
      <c r="D42" s="18">
        <v>2742883</v>
      </c>
      <c r="E42" s="14">
        <v>7751.3873579999999</v>
      </c>
      <c r="F42" s="14">
        <v>1.1773770166614579</v>
      </c>
    </row>
    <row r="43" spans="1:6" x14ac:dyDescent="0.2">
      <c r="A43" s="7" t="s">
        <v>137</v>
      </c>
      <c r="B43" s="7" t="s">
        <v>138</v>
      </c>
      <c r="C43" s="7" t="s">
        <v>31</v>
      </c>
      <c r="D43" s="18">
        <v>190105</v>
      </c>
      <c r="E43" s="14">
        <v>7723.4908875000001</v>
      </c>
      <c r="F43" s="14">
        <v>1.1731397541307993</v>
      </c>
    </row>
    <row r="44" spans="1:6" x14ac:dyDescent="0.2">
      <c r="A44" s="7" t="s">
        <v>517</v>
      </c>
      <c r="B44" s="7" t="s">
        <v>518</v>
      </c>
      <c r="C44" s="7" t="s">
        <v>37</v>
      </c>
      <c r="D44" s="18">
        <v>3266550</v>
      </c>
      <c r="E44" s="14">
        <v>7699.2583500000001</v>
      </c>
      <c r="F44" s="14">
        <v>1.1694590152655895</v>
      </c>
    </row>
    <row r="45" spans="1:6" x14ac:dyDescent="0.2">
      <c r="A45" s="7" t="s">
        <v>117</v>
      </c>
      <c r="B45" s="7" t="s">
        <v>118</v>
      </c>
      <c r="C45" s="7" t="s">
        <v>53</v>
      </c>
      <c r="D45" s="18">
        <v>2345030</v>
      </c>
      <c r="E45" s="14">
        <v>7630.7276199999997</v>
      </c>
      <c r="F45" s="14">
        <v>1.1590497165542102</v>
      </c>
    </row>
    <row r="46" spans="1:6" x14ac:dyDescent="0.2">
      <c r="A46" s="7" t="s">
        <v>26</v>
      </c>
      <c r="B46" s="7" t="s">
        <v>27</v>
      </c>
      <c r="C46" s="7" t="s">
        <v>28</v>
      </c>
      <c r="D46" s="18">
        <v>1324301</v>
      </c>
      <c r="E46" s="14">
        <v>7625.3251579999996</v>
      </c>
      <c r="F46" s="14">
        <v>1.1582291235044224</v>
      </c>
    </row>
    <row r="47" spans="1:6" x14ac:dyDescent="0.2">
      <c r="A47" s="7" t="s">
        <v>519</v>
      </c>
      <c r="B47" s="7" t="s">
        <v>520</v>
      </c>
      <c r="C47" s="7" t="s">
        <v>228</v>
      </c>
      <c r="D47" s="18">
        <v>7172576</v>
      </c>
      <c r="E47" s="14">
        <v>7115.1953919999996</v>
      </c>
      <c r="F47" s="14">
        <v>1.0807442766939468</v>
      </c>
    </row>
    <row r="48" spans="1:6" x14ac:dyDescent="0.2">
      <c r="A48" s="7" t="s">
        <v>521</v>
      </c>
      <c r="B48" s="7" t="s">
        <v>522</v>
      </c>
      <c r="C48" s="7" t="s">
        <v>60</v>
      </c>
      <c r="D48" s="18">
        <v>19537175</v>
      </c>
      <c r="E48" s="14">
        <v>7111.5316999999995</v>
      </c>
      <c r="F48" s="14">
        <v>1.0801877896345722</v>
      </c>
    </row>
    <row r="49" spans="1:6" x14ac:dyDescent="0.2">
      <c r="A49" s="7" t="s">
        <v>523</v>
      </c>
      <c r="B49" s="7" t="s">
        <v>524</v>
      </c>
      <c r="C49" s="7" t="s">
        <v>60</v>
      </c>
      <c r="D49" s="18">
        <v>2310543</v>
      </c>
      <c r="E49" s="14">
        <v>7014.808548</v>
      </c>
      <c r="F49" s="14">
        <v>1.0654962756017559</v>
      </c>
    </row>
    <row r="50" spans="1:6" x14ac:dyDescent="0.2">
      <c r="A50" s="7" t="s">
        <v>525</v>
      </c>
      <c r="B50" s="7" t="s">
        <v>526</v>
      </c>
      <c r="C50" s="7" t="s">
        <v>221</v>
      </c>
      <c r="D50" s="18">
        <v>3436227</v>
      </c>
      <c r="E50" s="14">
        <v>6607.8645210000004</v>
      </c>
      <c r="F50" s="14">
        <v>1.0036845608300813</v>
      </c>
    </row>
    <row r="51" spans="1:6" x14ac:dyDescent="0.2">
      <c r="A51" s="7" t="s">
        <v>527</v>
      </c>
      <c r="B51" s="7" t="s">
        <v>528</v>
      </c>
      <c r="C51" s="7" t="s">
        <v>295</v>
      </c>
      <c r="D51" s="18">
        <v>4183258</v>
      </c>
      <c r="E51" s="14">
        <v>6561.440173</v>
      </c>
      <c r="F51" s="14">
        <v>0.9966330540708066</v>
      </c>
    </row>
    <row r="52" spans="1:6" x14ac:dyDescent="0.2">
      <c r="A52" s="7" t="s">
        <v>529</v>
      </c>
      <c r="B52" s="7" t="s">
        <v>530</v>
      </c>
      <c r="C52" s="7" t="s">
        <v>221</v>
      </c>
      <c r="D52" s="18">
        <v>8439564</v>
      </c>
      <c r="E52" s="14">
        <v>6557.541228</v>
      </c>
      <c r="F52" s="14">
        <v>0.99604083386296349</v>
      </c>
    </row>
    <row r="53" spans="1:6" x14ac:dyDescent="0.2">
      <c r="A53" s="7" t="s">
        <v>243</v>
      </c>
      <c r="B53" s="7" t="s">
        <v>244</v>
      </c>
      <c r="C53" s="7" t="s">
        <v>245</v>
      </c>
      <c r="D53" s="18">
        <v>1852195</v>
      </c>
      <c r="E53" s="14">
        <v>6388.2205549999999</v>
      </c>
      <c r="F53" s="14">
        <v>0.97032230637509354</v>
      </c>
    </row>
    <row r="54" spans="1:6" x14ac:dyDescent="0.2">
      <c r="A54" s="7" t="s">
        <v>531</v>
      </c>
      <c r="B54" s="7" t="s">
        <v>532</v>
      </c>
      <c r="C54" s="7" t="s">
        <v>64</v>
      </c>
      <c r="D54" s="18">
        <v>1410319</v>
      </c>
      <c r="E54" s="14">
        <v>6349.2561379999997</v>
      </c>
      <c r="F54" s="14">
        <v>0.96440390661971742</v>
      </c>
    </row>
    <row r="55" spans="1:6" x14ac:dyDescent="0.2">
      <c r="A55" s="7" t="s">
        <v>428</v>
      </c>
      <c r="B55" s="7" t="s">
        <v>429</v>
      </c>
      <c r="C55" s="7" t="s">
        <v>167</v>
      </c>
      <c r="D55" s="18">
        <v>6313159</v>
      </c>
      <c r="E55" s="14">
        <v>6237.4010920000001</v>
      </c>
      <c r="F55" s="14">
        <v>0.94741397252461756</v>
      </c>
    </row>
    <row r="56" spans="1:6" x14ac:dyDescent="0.2">
      <c r="A56" s="7" t="s">
        <v>533</v>
      </c>
      <c r="B56" s="7" t="s">
        <v>534</v>
      </c>
      <c r="C56" s="7" t="s">
        <v>20</v>
      </c>
      <c r="D56" s="18">
        <v>2805627</v>
      </c>
      <c r="E56" s="14">
        <v>5949.3320535000003</v>
      </c>
      <c r="F56" s="14">
        <v>0.90365846793205962</v>
      </c>
    </row>
    <row r="57" spans="1:6" x14ac:dyDescent="0.2">
      <c r="A57" s="7" t="s">
        <v>535</v>
      </c>
      <c r="B57" s="7" t="s">
        <v>536</v>
      </c>
      <c r="C57" s="7" t="s">
        <v>310</v>
      </c>
      <c r="D57" s="18">
        <v>9028098</v>
      </c>
      <c r="E57" s="14">
        <v>5782.4967690000003</v>
      </c>
      <c r="F57" s="14">
        <v>0.87831745212851486</v>
      </c>
    </row>
    <row r="58" spans="1:6" x14ac:dyDescent="0.2">
      <c r="A58" s="7" t="s">
        <v>537</v>
      </c>
      <c r="B58" s="7" t="s">
        <v>538</v>
      </c>
      <c r="C58" s="7" t="s">
        <v>28</v>
      </c>
      <c r="D58" s="18">
        <v>1054044</v>
      </c>
      <c r="E58" s="14">
        <v>5670.7567200000003</v>
      </c>
      <c r="F58" s="14">
        <v>0.86134498520651981</v>
      </c>
    </row>
    <row r="59" spans="1:6" x14ac:dyDescent="0.2">
      <c r="A59" s="7" t="s">
        <v>469</v>
      </c>
      <c r="B59" s="7" t="s">
        <v>470</v>
      </c>
      <c r="C59" s="7" t="s">
        <v>28</v>
      </c>
      <c r="D59" s="18">
        <v>1324002</v>
      </c>
      <c r="E59" s="14">
        <v>5632.3045080000002</v>
      </c>
      <c r="F59" s="14">
        <v>0.85550438551027719</v>
      </c>
    </row>
    <row r="60" spans="1:6" x14ac:dyDescent="0.2">
      <c r="A60" s="7" t="s">
        <v>250</v>
      </c>
      <c r="B60" s="7" t="s">
        <v>251</v>
      </c>
      <c r="C60" s="7" t="s">
        <v>252</v>
      </c>
      <c r="D60" s="18">
        <v>4031266</v>
      </c>
      <c r="E60" s="14">
        <v>5081.410793</v>
      </c>
      <c r="F60" s="14">
        <v>0.77182780366653347</v>
      </c>
    </row>
    <row r="61" spans="1:6" x14ac:dyDescent="0.2">
      <c r="A61" s="7" t="s">
        <v>539</v>
      </c>
      <c r="B61" s="7" t="s">
        <v>540</v>
      </c>
      <c r="C61" s="7" t="s">
        <v>228</v>
      </c>
      <c r="D61" s="18">
        <v>136518</v>
      </c>
      <c r="E61" s="14">
        <v>5057.241051</v>
      </c>
      <c r="F61" s="14">
        <v>0.76815660296204691</v>
      </c>
    </row>
    <row r="62" spans="1:6" x14ac:dyDescent="0.2">
      <c r="A62" s="7" t="s">
        <v>541</v>
      </c>
      <c r="B62" s="7" t="s">
        <v>542</v>
      </c>
      <c r="C62" s="7" t="s">
        <v>167</v>
      </c>
      <c r="D62" s="18">
        <v>1993014</v>
      </c>
      <c r="E62" s="14">
        <v>5029.3708290000004</v>
      </c>
      <c r="F62" s="14">
        <v>0.76392332737968471</v>
      </c>
    </row>
    <row r="63" spans="1:6" x14ac:dyDescent="0.2">
      <c r="A63" s="7" t="s">
        <v>144</v>
      </c>
      <c r="B63" s="7" t="s">
        <v>145</v>
      </c>
      <c r="C63" s="7" t="s">
        <v>31</v>
      </c>
      <c r="D63" s="18">
        <v>1196703</v>
      </c>
      <c r="E63" s="14">
        <v>4388.3099009999996</v>
      </c>
      <c r="F63" s="14">
        <v>0.66655102897069241</v>
      </c>
    </row>
    <row r="64" spans="1:6" x14ac:dyDescent="0.2">
      <c r="A64" s="7" t="s">
        <v>543</v>
      </c>
      <c r="B64" s="7" t="s">
        <v>544</v>
      </c>
      <c r="C64" s="7" t="s">
        <v>31</v>
      </c>
      <c r="D64" s="18">
        <v>1349476</v>
      </c>
      <c r="E64" s="14">
        <v>4142.216582</v>
      </c>
      <c r="F64" s="14">
        <v>0.62917131817021255</v>
      </c>
    </row>
    <row r="65" spans="1:6" x14ac:dyDescent="0.2">
      <c r="A65" s="7" t="s">
        <v>545</v>
      </c>
      <c r="B65" s="7" t="s">
        <v>546</v>
      </c>
      <c r="C65" s="7" t="s">
        <v>53</v>
      </c>
      <c r="D65" s="18">
        <v>8518504</v>
      </c>
      <c r="E65" s="14">
        <v>4054.8079039999998</v>
      </c>
      <c r="F65" s="14">
        <v>0.6158946021733338</v>
      </c>
    </row>
    <row r="66" spans="1:6" x14ac:dyDescent="0.2">
      <c r="A66" s="7" t="s">
        <v>547</v>
      </c>
      <c r="B66" s="7" t="s">
        <v>548</v>
      </c>
      <c r="C66" s="7" t="s">
        <v>31</v>
      </c>
      <c r="D66" s="18">
        <v>631989</v>
      </c>
      <c r="E66" s="14">
        <v>3885.1523775000001</v>
      </c>
      <c r="F66" s="14">
        <v>0.59012521297559961</v>
      </c>
    </row>
    <row r="67" spans="1:6" x14ac:dyDescent="0.2">
      <c r="A67" s="7" t="s">
        <v>549</v>
      </c>
      <c r="B67" s="7" t="s">
        <v>550</v>
      </c>
      <c r="C67" s="7" t="s">
        <v>34</v>
      </c>
      <c r="D67" s="18">
        <v>2979897</v>
      </c>
      <c r="E67" s="14">
        <v>3088.6632405</v>
      </c>
      <c r="F67" s="14">
        <v>0.46914454711370407</v>
      </c>
    </row>
    <row r="68" spans="1:6" x14ac:dyDescent="0.2">
      <c r="A68" s="7" t="s">
        <v>41</v>
      </c>
      <c r="B68" s="7" t="s">
        <v>42</v>
      </c>
      <c r="C68" s="7" t="s">
        <v>43</v>
      </c>
      <c r="D68" s="18">
        <v>57427461</v>
      </c>
      <c r="E68" s="14">
        <v>3072.3691635</v>
      </c>
      <c r="F68" s="14">
        <v>0.46666960025819537</v>
      </c>
    </row>
    <row r="69" spans="1:6" x14ac:dyDescent="0.2">
      <c r="A69" s="7" t="s">
        <v>141</v>
      </c>
      <c r="B69" s="7" t="s">
        <v>667</v>
      </c>
      <c r="C69" s="7" t="s">
        <v>40</v>
      </c>
      <c r="D69" s="18">
        <v>4933939</v>
      </c>
      <c r="E69" s="14">
        <v>2639.657365</v>
      </c>
      <c r="F69" s="14">
        <v>0.40094395620734835</v>
      </c>
    </row>
    <row r="70" spans="1:6" x14ac:dyDescent="0.2">
      <c r="A70" s="7" t="s">
        <v>551</v>
      </c>
      <c r="B70" s="7" t="s">
        <v>552</v>
      </c>
      <c r="C70" s="7" t="s">
        <v>245</v>
      </c>
      <c r="D70" s="18">
        <v>970012</v>
      </c>
      <c r="E70" s="14">
        <v>2549.1915359999998</v>
      </c>
      <c r="F70" s="14">
        <v>0.38720288213395715</v>
      </c>
    </row>
    <row r="71" spans="1:6" x14ac:dyDescent="0.2">
      <c r="A71" s="7" t="s">
        <v>553</v>
      </c>
      <c r="B71" s="7" t="s">
        <v>554</v>
      </c>
      <c r="C71" s="7" t="s">
        <v>60</v>
      </c>
      <c r="D71" s="18">
        <v>11046869</v>
      </c>
      <c r="E71" s="14">
        <v>2518.6861319999998</v>
      </c>
      <c r="F71" s="14">
        <v>0.38256934236942658</v>
      </c>
    </row>
    <row r="72" spans="1:6" x14ac:dyDescent="0.2">
      <c r="A72" s="7" t="s">
        <v>555</v>
      </c>
      <c r="B72" s="7" t="s">
        <v>556</v>
      </c>
      <c r="C72" s="7" t="s">
        <v>245</v>
      </c>
      <c r="D72" s="18">
        <v>8689354</v>
      </c>
      <c r="E72" s="14">
        <v>2280.9554250000001</v>
      </c>
      <c r="F72" s="14">
        <v>0.34645984897820764</v>
      </c>
    </row>
    <row r="73" spans="1:6" x14ac:dyDescent="0.2">
      <c r="A73" s="7" t="s">
        <v>248</v>
      </c>
      <c r="B73" s="7" t="s">
        <v>249</v>
      </c>
      <c r="C73" s="7" t="s">
        <v>60</v>
      </c>
      <c r="D73" s="18">
        <v>3330705</v>
      </c>
      <c r="E73" s="14">
        <v>2116.6630275000002</v>
      </c>
      <c r="F73" s="14">
        <v>0.32150507844554033</v>
      </c>
    </row>
    <row r="74" spans="1:6" x14ac:dyDescent="0.2">
      <c r="A74" s="7" t="s">
        <v>453</v>
      </c>
      <c r="B74" s="7" t="s">
        <v>454</v>
      </c>
      <c r="C74" s="7" t="s">
        <v>31</v>
      </c>
      <c r="D74" s="18">
        <v>113187</v>
      </c>
      <c r="E74" s="14">
        <v>2096.6193945</v>
      </c>
      <c r="F74" s="14">
        <v>0.31846060243954616</v>
      </c>
    </row>
    <row r="75" spans="1:6" x14ac:dyDescent="0.2">
      <c r="A75" s="7" t="s">
        <v>184</v>
      </c>
      <c r="B75" s="7" t="s">
        <v>185</v>
      </c>
      <c r="C75" s="7" t="s">
        <v>12</v>
      </c>
      <c r="D75" s="18">
        <v>3412332</v>
      </c>
      <c r="E75" s="14">
        <v>2045.6930339999999</v>
      </c>
      <c r="F75" s="14">
        <v>0.31072527408790168</v>
      </c>
    </row>
    <row r="76" spans="1:6" x14ac:dyDescent="0.2">
      <c r="A76" s="7" t="s">
        <v>557</v>
      </c>
      <c r="B76" s="7" t="s">
        <v>558</v>
      </c>
      <c r="C76" s="7" t="s">
        <v>216</v>
      </c>
      <c r="D76" s="18">
        <v>1918887</v>
      </c>
      <c r="E76" s="14">
        <v>1885.3064775</v>
      </c>
      <c r="F76" s="14">
        <v>0.28636377121323475</v>
      </c>
    </row>
    <row r="77" spans="1:6" x14ac:dyDescent="0.2">
      <c r="A77" s="7" t="s">
        <v>279</v>
      </c>
      <c r="B77" s="7" t="s">
        <v>280</v>
      </c>
      <c r="C77" s="7" t="s">
        <v>15</v>
      </c>
      <c r="D77" s="18">
        <v>224349</v>
      </c>
      <c r="E77" s="14">
        <v>1100.207496</v>
      </c>
      <c r="F77" s="14">
        <v>0.16711318368216335</v>
      </c>
    </row>
    <row r="78" spans="1:6" x14ac:dyDescent="0.2">
      <c r="A78" s="7" t="s">
        <v>559</v>
      </c>
      <c r="B78" s="7" t="s">
        <v>560</v>
      </c>
      <c r="C78" s="7" t="s">
        <v>60</v>
      </c>
      <c r="D78" s="18">
        <v>283369</v>
      </c>
      <c r="E78" s="14">
        <v>1021.4035605</v>
      </c>
      <c r="F78" s="14">
        <v>0.15514346288316158</v>
      </c>
    </row>
    <row r="79" spans="1:6" x14ac:dyDescent="0.2">
      <c r="A79" s="7" t="s">
        <v>561</v>
      </c>
      <c r="B79" s="7" t="s">
        <v>562</v>
      </c>
      <c r="C79" s="7" t="s">
        <v>72</v>
      </c>
      <c r="D79" s="18">
        <v>521646</v>
      </c>
      <c r="E79" s="14">
        <v>964.78427699999997</v>
      </c>
      <c r="F79" s="14">
        <v>0.14654342265630607</v>
      </c>
    </row>
    <row r="80" spans="1:6" x14ac:dyDescent="0.2">
      <c r="A80" s="7" t="s">
        <v>563</v>
      </c>
      <c r="B80" s="7" t="s">
        <v>564</v>
      </c>
      <c r="C80" s="7" t="s">
        <v>60</v>
      </c>
      <c r="D80" s="18">
        <v>2661374</v>
      </c>
      <c r="E80" s="14">
        <v>158.351753</v>
      </c>
      <c r="F80" s="14">
        <v>2.4052431638296675E-2</v>
      </c>
    </row>
    <row r="81" spans="1:6" x14ac:dyDescent="0.2">
      <c r="A81" s="7" t="s">
        <v>565</v>
      </c>
      <c r="B81" s="7" t="s">
        <v>566</v>
      </c>
      <c r="C81" s="7" t="s">
        <v>20</v>
      </c>
      <c r="D81" s="18">
        <v>2334565</v>
      </c>
      <c r="E81" s="14">
        <v>21.011085000000001</v>
      </c>
      <c r="F81" s="33" t="s">
        <v>611</v>
      </c>
    </row>
    <row r="82" spans="1:6" x14ac:dyDescent="0.2">
      <c r="A82" s="6" t="s">
        <v>44</v>
      </c>
      <c r="B82" s="7"/>
      <c r="C82" s="7"/>
      <c r="D82" s="18"/>
      <c r="E82" s="20">
        <f xml:space="preserve"> SUM(E8:E81)</f>
        <v>609979.17143200024</v>
      </c>
      <c r="F82" s="20">
        <f>SUM(F8:F81)</f>
        <v>92.648023631082978</v>
      </c>
    </row>
    <row r="83" spans="1:6" x14ac:dyDescent="0.2">
      <c r="A83" s="7"/>
      <c r="B83" s="7"/>
      <c r="C83" s="7"/>
      <c r="D83" s="18"/>
      <c r="E83" s="14"/>
      <c r="F83" s="14"/>
    </row>
    <row r="84" spans="1:6" x14ac:dyDescent="0.2">
      <c r="A84" s="6" t="s">
        <v>44</v>
      </c>
      <c r="B84" s="7"/>
      <c r="C84" s="7"/>
      <c r="D84" s="18"/>
      <c r="E84" s="20">
        <f>E82</f>
        <v>609979.17143200024</v>
      </c>
      <c r="F84" s="20">
        <f>F82</f>
        <v>92.648023631082978</v>
      </c>
    </row>
    <row r="85" spans="1:6" x14ac:dyDescent="0.2">
      <c r="A85" s="7"/>
      <c r="B85" s="7"/>
      <c r="C85" s="7"/>
      <c r="D85" s="18"/>
      <c r="E85" s="14"/>
      <c r="F85" s="14"/>
    </row>
    <row r="86" spans="1:6" x14ac:dyDescent="0.2">
      <c r="A86" s="6" t="s">
        <v>76</v>
      </c>
      <c r="B86" s="7"/>
      <c r="C86" s="7"/>
      <c r="D86" s="18"/>
      <c r="E86" s="20">
        <v>48381.510686599999</v>
      </c>
      <c r="F86" s="20">
        <v>7.35</v>
      </c>
    </row>
    <row r="87" spans="1:6" x14ac:dyDescent="0.2">
      <c r="A87" s="7"/>
      <c r="B87" s="7"/>
      <c r="C87" s="7"/>
      <c r="D87" s="18"/>
      <c r="E87" s="14"/>
      <c r="F87" s="14"/>
    </row>
    <row r="88" spans="1:6" x14ac:dyDescent="0.2">
      <c r="A88" s="8" t="s">
        <v>77</v>
      </c>
      <c r="B88" s="5"/>
      <c r="C88" s="5"/>
      <c r="D88" s="17"/>
      <c r="E88" s="21">
        <f>E84+E86</f>
        <v>658360.68211860023</v>
      </c>
      <c r="F88" s="21">
        <f>F84+F86</f>
        <v>99.998023631082972</v>
      </c>
    </row>
    <row r="89" spans="1:6" x14ac:dyDescent="0.2">
      <c r="A89" s="2"/>
      <c r="B89" s="2"/>
      <c r="C89" s="2"/>
      <c r="D89" s="2"/>
      <c r="E89" s="1"/>
      <c r="F89" s="11" t="s">
        <v>612</v>
      </c>
    </row>
    <row r="90" spans="1:6" x14ac:dyDescent="0.2">
      <c r="A90" s="4" t="s">
        <v>78</v>
      </c>
      <c r="B90" s="2"/>
      <c r="C90" s="2"/>
      <c r="D90" s="2"/>
      <c r="E90" s="1"/>
    </row>
    <row r="91" spans="1:6" x14ac:dyDescent="0.2">
      <c r="A91" s="4" t="s">
        <v>79</v>
      </c>
      <c r="B91" s="2"/>
      <c r="C91" s="2"/>
      <c r="D91" s="2"/>
      <c r="E91" s="1"/>
    </row>
    <row r="92" spans="1:6" x14ac:dyDescent="0.2">
      <c r="A92" s="4" t="s">
        <v>80</v>
      </c>
      <c r="B92" s="2"/>
      <c r="C92" s="2"/>
      <c r="D92" s="2"/>
      <c r="E92" s="1"/>
    </row>
    <row r="93" spans="1:6" x14ac:dyDescent="0.2">
      <c r="A93" s="2" t="s">
        <v>638</v>
      </c>
      <c r="B93" s="2"/>
      <c r="C93" s="2"/>
      <c r="D93" s="10">
        <v>50.038800000000002</v>
      </c>
      <c r="E93" s="2"/>
    </row>
    <row r="94" spans="1:6" x14ac:dyDescent="0.2">
      <c r="A94" s="2" t="s">
        <v>639</v>
      </c>
      <c r="B94" s="2"/>
      <c r="C94" s="2"/>
      <c r="D94" s="10">
        <v>24.4971</v>
      </c>
      <c r="E94" s="2"/>
    </row>
    <row r="95" spans="1:6" x14ac:dyDescent="0.2">
      <c r="A95" s="2" t="s">
        <v>640</v>
      </c>
      <c r="B95" s="2"/>
      <c r="C95" s="2"/>
      <c r="D95" s="10">
        <v>53.597999999999999</v>
      </c>
      <c r="E95" s="2"/>
    </row>
    <row r="96" spans="1:6" x14ac:dyDescent="0.2">
      <c r="A96" s="2" t="s">
        <v>641</v>
      </c>
      <c r="B96" s="2"/>
      <c r="C96" s="2"/>
      <c r="D96" s="10">
        <v>26.665400000000002</v>
      </c>
      <c r="E96" s="2"/>
    </row>
    <row r="97" spans="1:5" x14ac:dyDescent="0.2">
      <c r="A97" s="2"/>
      <c r="B97" s="2"/>
      <c r="C97" s="2"/>
      <c r="D97" s="10"/>
      <c r="E97" s="2"/>
    </row>
    <row r="98" spans="1:5" x14ac:dyDescent="0.2">
      <c r="A98" s="4" t="s">
        <v>81</v>
      </c>
      <c r="B98" s="2"/>
      <c r="C98" s="2"/>
      <c r="D98" s="2"/>
      <c r="E98" s="2"/>
    </row>
    <row r="99" spans="1:5" x14ac:dyDescent="0.2">
      <c r="A99" s="2" t="s">
        <v>638</v>
      </c>
      <c r="B99" s="2"/>
      <c r="C99" s="2"/>
      <c r="D99" s="10">
        <v>46.870100000000001</v>
      </c>
      <c r="E99" s="2"/>
    </row>
    <row r="100" spans="1:5" x14ac:dyDescent="0.2">
      <c r="A100" s="2" t="s">
        <v>639</v>
      </c>
      <c r="B100" s="2"/>
      <c r="C100" s="2"/>
      <c r="D100" s="10">
        <v>21.2119</v>
      </c>
      <c r="E100" s="2"/>
    </row>
    <row r="101" spans="1:5" x14ac:dyDescent="0.2">
      <c r="A101" s="2" t="s">
        <v>640</v>
      </c>
      <c r="B101" s="2"/>
      <c r="C101" s="2"/>
      <c r="D101" s="10">
        <v>50.471499999999999</v>
      </c>
      <c r="E101" s="2"/>
    </row>
    <row r="102" spans="1:5" x14ac:dyDescent="0.2">
      <c r="A102" s="2" t="s">
        <v>641</v>
      </c>
      <c r="B102" s="2"/>
      <c r="C102" s="2"/>
      <c r="D102" s="10">
        <v>23.367799999999999</v>
      </c>
      <c r="E102" s="2"/>
    </row>
    <row r="103" spans="1:5" x14ac:dyDescent="0.2">
      <c r="A103" s="2"/>
      <c r="B103" s="2"/>
      <c r="C103" s="2"/>
      <c r="D103" s="2"/>
      <c r="E103" s="1"/>
    </row>
    <row r="104" spans="1:5" x14ac:dyDescent="0.2">
      <c r="A104" s="4" t="s">
        <v>82</v>
      </c>
      <c r="B104" s="2"/>
      <c r="C104" s="2"/>
      <c r="D104" s="44" t="s">
        <v>299</v>
      </c>
      <c r="E104" s="1"/>
    </row>
    <row r="105" spans="1:5" x14ac:dyDescent="0.2">
      <c r="A105" s="45" t="s">
        <v>642</v>
      </c>
      <c r="B105" s="46"/>
      <c r="C105" s="100" t="s">
        <v>643</v>
      </c>
      <c r="D105" s="101"/>
      <c r="E105" s="1"/>
    </row>
    <row r="106" spans="1:5" x14ac:dyDescent="0.2">
      <c r="A106" s="102"/>
      <c r="B106" s="103"/>
      <c r="C106" s="47" t="s">
        <v>644</v>
      </c>
      <c r="D106" s="47" t="s">
        <v>645</v>
      </c>
      <c r="E106" s="1"/>
    </row>
    <row r="107" spans="1:5" x14ac:dyDescent="0.2">
      <c r="A107" s="48" t="s">
        <v>639</v>
      </c>
      <c r="B107" s="49"/>
      <c r="C107" s="50">
        <v>1.77081694</v>
      </c>
      <c r="D107" s="50">
        <v>1.77081694</v>
      </c>
      <c r="E107" s="1"/>
    </row>
    <row r="108" spans="1:5" x14ac:dyDescent="0.2">
      <c r="A108" s="48" t="s">
        <v>641</v>
      </c>
      <c r="B108" s="49"/>
      <c r="C108" s="50">
        <v>1.77081694</v>
      </c>
      <c r="D108" s="50">
        <v>1.77081694</v>
      </c>
      <c r="E108" s="1"/>
    </row>
    <row r="109" spans="1:5" x14ac:dyDescent="0.2">
      <c r="A109" s="4"/>
      <c r="B109" s="2"/>
      <c r="C109" s="2"/>
      <c r="D109" s="44"/>
      <c r="E109" s="1"/>
    </row>
    <row r="110" spans="1:5" x14ac:dyDescent="0.2">
      <c r="A110" s="9" t="s">
        <v>646</v>
      </c>
      <c r="B110" s="2"/>
      <c r="C110" s="2"/>
      <c r="D110" s="51">
        <v>6.9561058860592995E-2</v>
      </c>
      <c r="E110" s="1"/>
    </row>
    <row r="111" spans="1:5" x14ac:dyDescent="0.2">
      <c r="A111" s="2"/>
      <c r="B111" s="2"/>
      <c r="C111" s="2"/>
      <c r="D111" s="2"/>
      <c r="E111" s="1"/>
    </row>
    <row r="112" spans="1:5" x14ac:dyDescent="0.2">
      <c r="A112" s="2"/>
      <c r="B112" s="2"/>
      <c r="C112" s="2"/>
      <c r="D112" s="2"/>
      <c r="E112" s="1"/>
    </row>
  </sheetData>
  <mergeCells count="3">
    <mergeCell ref="A1:F1"/>
    <mergeCell ref="C105:D105"/>
    <mergeCell ref="A106:B10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B98F7-73F3-4652-A6EA-703E7530D78A}">
  <dimension ref="A1:F108"/>
  <sheetViews>
    <sheetView showGridLines="0" workbookViewId="0">
      <selection sqref="A1:F1"/>
    </sheetView>
  </sheetViews>
  <sheetFormatPr defaultRowHeight="11.25" x14ac:dyDescent="0.2"/>
  <cols>
    <col min="1" max="1" width="59.42578125" style="1" bestFit="1" customWidth="1"/>
    <col min="2" max="2" width="35.85546875" style="1" bestFit="1" customWidth="1"/>
    <col min="3" max="3" width="35.7109375" style="1" bestFit="1" customWidth="1"/>
    <col min="4" max="4" width="12" style="19" bestFit="1" customWidth="1"/>
    <col min="5" max="5" width="24" style="15" bestFit="1" customWidth="1"/>
    <col min="6" max="6" width="14.140625" style="15" bestFit="1" customWidth="1"/>
    <col min="7" max="16384" width="9.140625" style="2"/>
  </cols>
  <sheetData>
    <row r="1" spans="1:6" x14ac:dyDescent="0.2">
      <c r="A1" s="99" t="s">
        <v>448</v>
      </c>
      <c r="B1" s="99"/>
      <c r="C1" s="99"/>
      <c r="D1" s="99"/>
      <c r="E1" s="99"/>
      <c r="F1" s="99"/>
    </row>
    <row r="3" spans="1:6" s="4" customFormat="1" x14ac:dyDescent="0.2">
      <c r="A3" s="3" t="s">
        <v>1</v>
      </c>
      <c r="B3" s="3" t="s">
        <v>2</v>
      </c>
      <c r="C3" s="3" t="s">
        <v>3</v>
      </c>
      <c r="D3" s="16" t="s">
        <v>4</v>
      </c>
      <c r="E3" s="12" t="s">
        <v>5</v>
      </c>
      <c r="F3" s="12" t="s">
        <v>6</v>
      </c>
    </row>
    <row r="4" spans="1:6" x14ac:dyDescent="0.2">
      <c r="A4" s="5"/>
      <c r="B4" s="5"/>
      <c r="C4" s="5"/>
      <c r="D4" s="17"/>
      <c r="E4" s="13"/>
      <c r="F4" s="13"/>
    </row>
    <row r="5" spans="1:6" x14ac:dyDescent="0.2">
      <c r="A5" s="6" t="s">
        <v>7</v>
      </c>
      <c r="B5" s="7"/>
      <c r="C5" s="7"/>
      <c r="D5" s="18"/>
      <c r="E5" s="14"/>
      <c r="F5" s="14"/>
    </row>
    <row r="6" spans="1:6" x14ac:dyDescent="0.2">
      <c r="A6" s="6" t="s">
        <v>8</v>
      </c>
      <c r="B6" s="7"/>
      <c r="C6" s="7"/>
      <c r="D6" s="18"/>
      <c r="E6" s="14"/>
      <c r="F6" s="14"/>
    </row>
    <row r="7" spans="1:6" x14ac:dyDescent="0.2">
      <c r="A7" s="6"/>
      <c r="B7" s="7"/>
      <c r="C7" s="7"/>
      <c r="D7" s="18"/>
      <c r="E7" s="14"/>
      <c r="F7" s="14"/>
    </row>
    <row r="8" spans="1:6" x14ac:dyDescent="0.2">
      <c r="A8" s="7" t="s">
        <v>10</v>
      </c>
      <c r="B8" s="7" t="s">
        <v>11</v>
      </c>
      <c r="C8" s="7" t="s">
        <v>12</v>
      </c>
      <c r="D8" s="18">
        <v>1049265</v>
      </c>
      <c r="E8" s="14">
        <v>23377.099567500001</v>
      </c>
      <c r="F8" s="14">
        <f>E8/$E$82*100</f>
        <v>3.4920731520906458</v>
      </c>
    </row>
    <row r="9" spans="1:6" x14ac:dyDescent="0.2">
      <c r="A9" s="7" t="s">
        <v>191</v>
      </c>
      <c r="B9" s="7" t="s">
        <v>192</v>
      </c>
      <c r="C9" s="7" t="s">
        <v>37</v>
      </c>
      <c r="D9" s="18">
        <v>4445770</v>
      </c>
      <c r="E9" s="14">
        <v>20477.216619999999</v>
      </c>
      <c r="F9" s="14">
        <f t="shared" ref="F9:F67" si="0">E9/$E$82*100</f>
        <v>3.0588883869776655</v>
      </c>
    </row>
    <row r="10" spans="1:6" x14ac:dyDescent="0.2">
      <c r="A10" s="7" t="s">
        <v>449</v>
      </c>
      <c r="B10" s="7" t="s">
        <v>450</v>
      </c>
      <c r="C10" s="7" t="s">
        <v>53</v>
      </c>
      <c r="D10" s="18">
        <v>2744401</v>
      </c>
      <c r="E10" s="14">
        <v>19981.983681000002</v>
      </c>
      <c r="F10" s="14">
        <f t="shared" si="0"/>
        <v>2.984910447784682</v>
      </c>
    </row>
    <row r="11" spans="1:6" x14ac:dyDescent="0.2">
      <c r="A11" s="7" t="s">
        <v>451</v>
      </c>
      <c r="B11" s="7" t="s">
        <v>452</v>
      </c>
      <c r="C11" s="7" t="s">
        <v>12</v>
      </c>
      <c r="D11" s="18">
        <v>9688196</v>
      </c>
      <c r="E11" s="14">
        <v>19671.881978000001</v>
      </c>
      <c r="F11" s="14">
        <f t="shared" si="0"/>
        <v>2.938587428612133</v>
      </c>
    </row>
    <row r="12" spans="1:6" x14ac:dyDescent="0.2">
      <c r="A12" s="7" t="s">
        <v>21</v>
      </c>
      <c r="B12" s="7" t="s">
        <v>22</v>
      </c>
      <c r="C12" s="7" t="s">
        <v>12</v>
      </c>
      <c r="D12" s="18">
        <v>1350892</v>
      </c>
      <c r="E12" s="14">
        <v>19337.343534</v>
      </c>
      <c r="F12" s="14">
        <f t="shared" si="0"/>
        <v>2.8886140469588026</v>
      </c>
    </row>
    <row r="13" spans="1:6" x14ac:dyDescent="0.2">
      <c r="A13" s="7" t="s">
        <v>259</v>
      </c>
      <c r="B13" s="7" t="s">
        <v>260</v>
      </c>
      <c r="C13" s="7" t="s">
        <v>72</v>
      </c>
      <c r="D13" s="18">
        <v>2814830</v>
      </c>
      <c r="E13" s="14">
        <v>18014.912</v>
      </c>
      <c r="F13" s="14">
        <f t="shared" si="0"/>
        <v>2.6910691102131139</v>
      </c>
    </row>
    <row r="14" spans="1:6" x14ac:dyDescent="0.2">
      <c r="A14" s="7" t="s">
        <v>219</v>
      </c>
      <c r="B14" s="7" t="s">
        <v>220</v>
      </c>
      <c r="C14" s="7" t="s">
        <v>221</v>
      </c>
      <c r="D14" s="18">
        <v>2956964</v>
      </c>
      <c r="E14" s="14">
        <v>17277.540652</v>
      </c>
      <c r="F14" s="14">
        <f t="shared" si="0"/>
        <v>2.5809205145741787</v>
      </c>
    </row>
    <row r="15" spans="1:6" x14ac:dyDescent="0.2">
      <c r="A15" s="7" t="s">
        <v>275</v>
      </c>
      <c r="B15" s="7" t="s">
        <v>276</v>
      </c>
      <c r="C15" s="7" t="s">
        <v>64</v>
      </c>
      <c r="D15" s="18">
        <v>838016</v>
      </c>
      <c r="E15" s="14">
        <v>16984.489280000002</v>
      </c>
      <c r="F15" s="14">
        <f t="shared" si="0"/>
        <v>2.5371444753187684</v>
      </c>
    </row>
    <row r="16" spans="1:6" x14ac:dyDescent="0.2">
      <c r="A16" s="7" t="s">
        <v>16</v>
      </c>
      <c r="B16" s="7" t="s">
        <v>17</v>
      </c>
      <c r="C16" s="7" t="s">
        <v>633</v>
      </c>
      <c r="D16" s="18">
        <v>11970763</v>
      </c>
      <c r="E16" s="14">
        <v>16639.360570000001</v>
      </c>
      <c r="F16" s="14">
        <f t="shared" si="0"/>
        <v>2.4855891188158497</v>
      </c>
    </row>
    <row r="17" spans="1:6" x14ac:dyDescent="0.2">
      <c r="A17" s="7" t="s">
        <v>18</v>
      </c>
      <c r="B17" s="7" t="s">
        <v>19</v>
      </c>
      <c r="C17" s="7" t="s">
        <v>20</v>
      </c>
      <c r="D17" s="18">
        <v>2706125</v>
      </c>
      <c r="E17" s="14">
        <v>15369.436937500001</v>
      </c>
      <c r="F17" s="14">
        <f t="shared" si="0"/>
        <v>2.2958878169304793</v>
      </c>
    </row>
    <row r="18" spans="1:6" x14ac:dyDescent="0.2">
      <c r="A18" s="7" t="s">
        <v>125</v>
      </c>
      <c r="B18" s="7" t="s">
        <v>126</v>
      </c>
      <c r="C18" s="7" t="s">
        <v>31</v>
      </c>
      <c r="D18" s="18">
        <v>4145052</v>
      </c>
      <c r="E18" s="14">
        <v>15220.630944</v>
      </c>
      <c r="F18" s="14">
        <f t="shared" si="0"/>
        <v>2.273659164771511</v>
      </c>
    </row>
    <row r="19" spans="1:6" x14ac:dyDescent="0.2">
      <c r="A19" s="7" t="s">
        <v>193</v>
      </c>
      <c r="B19" s="7" t="s">
        <v>194</v>
      </c>
      <c r="C19" s="7" t="s">
        <v>103</v>
      </c>
      <c r="D19" s="18">
        <v>6772160</v>
      </c>
      <c r="E19" s="14">
        <v>14888.59376</v>
      </c>
      <c r="F19" s="14">
        <f t="shared" si="0"/>
        <v>2.2240594215529734</v>
      </c>
    </row>
    <row r="20" spans="1:6" x14ac:dyDescent="0.2">
      <c r="A20" s="7" t="s">
        <v>453</v>
      </c>
      <c r="B20" s="7" t="s">
        <v>454</v>
      </c>
      <c r="C20" s="7" t="s">
        <v>31</v>
      </c>
      <c r="D20" s="18">
        <v>783689</v>
      </c>
      <c r="E20" s="14">
        <v>14516.6631915</v>
      </c>
      <c r="F20" s="14">
        <f t="shared" si="0"/>
        <v>2.1685004011128877</v>
      </c>
    </row>
    <row r="21" spans="1:6" x14ac:dyDescent="0.2">
      <c r="A21" s="7" t="s">
        <v>426</v>
      </c>
      <c r="B21" s="7" t="s">
        <v>427</v>
      </c>
      <c r="C21" s="7" t="s">
        <v>216</v>
      </c>
      <c r="D21" s="18">
        <v>231404</v>
      </c>
      <c r="E21" s="14">
        <v>14166.668582</v>
      </c>
      <c r="F21" s="14">
        <f t="shared" si="0"/>
        <v>2.1162181761224712</v>
      </c>
    </row>
    <row r="22" spans="1:6" x14ac:dyDescent="0.2">
      <c r="A22" s="7" t="s">
        <v>291</v>
      </c>
      <c r="B22" s="7" t="s">
        <v>292</v>
      </c>
      <c r="C22" s="7" t="s">
        <v>72</v>
      </c>
      <c r="D22" s="18">
        <v>6026546</v>
      </c>
      <c r="E22" s="14">
        <v>13891.188529999999</v>
      </c>
      <c r="F22" s="14">
        <f t="shared" si="0"/>
        <v>2.0750669421660075</v>
      </c>
    </row>
    <row r="23" spans="1:6" x14ac:dyDescent="0.2">
      <c r="A23" s="7" t="s">
        <v>455</v>
      </c>
      <c r="B23" s="7" t="s">
        <v>456</v>
      </c>
      <c r="C23" s="7" t="s">
        <v>295</v>
      </c>
      <c r="D23" s="18">
        <v>1196114</v>
      </c>
      <c r="E23" s="14">
        <v>13652.445196000001</v>
      </c>
      <c r="F23" s="14">
        <f t="shared" si="0"/>
        <v>2.0394034423167331</v>
      </c>
    </row>
    <row r="24" spans="1:6" x14ac:dyDescent="0.2">
      <c r="A24" s="7" t="s">
        <v>237</v>
      </c>
      <c r="B24" s="7" t="s">
        <v>238</v>
      </c>
      <c r="C24" s="7" t="s">
        <v>28</v>
      </c>
      <c r="D24" s="18">
        <v>11253507</v>
      </c>
      <c r="E24" s="14">
        <v>12620.8081005</v>
      </c>
      <c r="F24" s="14">
        <f t="shared" si="0"/>
        <v>1.8852974039053314</v>
      </c>
    </row>
    <row r="25" spans="1:6" x14ac:dyDescent="0.2">
      <c r="A25" s="7" t="s">
        <v>206</v>
      </c>
      <c r="B25" s="7" t="s">
        <v>207</v>
      </c>
      <c r="C25" s="7" t="s">
        <v>93</v>
      </c>
      <c r="D25" s="18">
        <v>1629004</v>
      </c>
      <c r="E25" s="14">
        <v>12616.635979999999</v>
      </c>
      <c r="F25" s="14">
        <f t="shared" si="0"/>
        <v>1.8846741721847633</v>
      </c>
    </row>
    <row r="26" spans="1:6" x14ac:dyDescent="0.2">
      <c r="A26" s="7" t="s">
        <v>311</v>
      </c>
      <c r="B26" s="7" t="s">
        <v>312</v>
      </c>
      <c r="C26" s="7" t="s">
        <v>53</v>
      </c>
      <c r="D26" s="18">
        <v>1217476</v>
      </c>
      <c r="E26" s="14">
        <v>12530.262992</v>
      </c>
      <c r="F26" s="14">
        <f t="shared" si="0"/>
        <v>1.871771767778702</v>
      </c>
    </row>
    <row r="27" spans="1:6" x14ac:dyDescent="0.2">
      <c r="A27" s="7" t="s">
        <v>94</v>
      </c>
      <c r="B27" s="7" t="s">
        <v>95</v>
      </c>
      <c r="C27" s="7" t="s">
        <v>96</v>
      </c>
      <c r="D27" s="18">
        <v>3493744</v>
      </c>
      <c r="E27" s="14">
        <v>12411.52556</v>
      </c>
      <c r="F27" s="14">
        <f t="shared" si="0"/>
        <v>1.8540347599331333</v>
      </c>
    </row>
    <row r="28" spans="1:6" x14ac:dyDescent="0.2">
      <c r="A28" s="7" t="s">
        <v>13</v>
      </c>
      <c r="B28" s="7" t="s">
        <v>14</v>
      </c>
      <c r="C28" s="7" t="s">
        <v>15</v>
      </c>
      <c r="D28" s="18">
        <v>2569496</v>
      </c>
      <c r="E28" s="14">
        <v>12057.359979999999</v>
      </c>
      <c r="F28" s="14">
        <f t="shared" si="0"/>
        <v>1.8011294750092486</v>
      </c>
    </row>
    <row r="29" spans="1:6" x14ac:dyDescent="0.2">
      <c r="A29" s="7" t="s">
        <v>457</v>
      </c>
      <c r="B29" s="7" t="s">
        <v>458</v>
      </c>
      <c r="C29" s="7" t="s">
        <v>28</v>
      </c>
      <c r="D29" s="18">
        <v>794058</v>
      </c>
      <c r="E29" s="14">
        <v>12032.757903</v>
      </c>
      <c r="F29" s="14">
        <f t="shared" si="0"/>
        <v>1.7974544146225098</v>
      </c>
    </row>
    <row r="30" spans="1:6" x14ac:dyDescent="0.2">
      <c r="A30" s="7" t="s">
        <v>459</v>
      </c>
      <c r="B30" s="7" t="s">
        <v>460</v>
      </c>
      <c r="C30" s="7" t="s">
        <v>228</v>
      </c>
      <c r="D30" s="18">
        <v>11587252</v>
      </c>
      <c r="E30" s="14">
        <v>11923.282308</v>
      </c>
      <c r="F30" s="14">
        <f t="shared" si="0"/>
        <v>1.7811009407877942</v>
      </c>
    </row>
    <row r="31" spans="1:6" x14ac:dyDescent="0.2">
      <c r="A31" s="7" t="s">
        <v>201</v>
      </c>
      <c r="B31" s="7" t="s">
        <v>202</v>
      </c>
      <c r="C31" s="7" t="s">
        <v>28</v>
      </c>
      <c r="D31" s="18">
        <v>1833648</v>
      </c>
      <c r="E31" s="14">
        <v>11818.778184000001</v>
      </c>
      <c r="F31" s="14">
        <f t="shared" si="0"/>
        <v>1.7654901057203636</v>
      </c>
    </row>
    <row r="32" spans="1:6" x14ac:dyDescent="0.2">
      <c r="A32" s="7" t="s">
        <v>437</v>
      </c>
      <c r="B32" s="7" t="s">
        <v>438</v>
      </c>
      <c r="C32" s="7" t="s">
        <v>37</v>
      </c>
      <c r="D32" s="18">
        <v>145389</v>
      </c>
      <c r="E32" s="14">
        <v>11779.780252500001</v>
      </c>
      <c r="F32" s="14">
        <f t="shared" si="0"/>
        <v>1.7596645913452804</v>
      </c>
    </row>
    <row r="33" spans="1:6" x14ac:dyDescent="0.2">
      <c r="A33" s="7" t="s">
        <v>214</v>
      </c>
      <c r="B33" s="7" t="s">
        <v>215</v>
      </c>
      <c r="C33" s="7" t="s">
        <v>216</v>
      </c>
      <c r="D33" s="18">
        <v>6794904</v>
      </c>
      <c r="E33" s="14">
        <v>11636.2731</v>
      </c>
      <c r="F33" s="14">
        <f t="shared" si="0"/>
        <v>1.7382274805124664</v>
      </c>
    </row>
    <row r="34" spans="1:6" x14ac:dyDescent="0.2">
      <c r="A34" s="7" t="s">
        <v>208</v>
      </c>
      <c r="B34" s="7" t="s">
        <v>209</v>
      </c>
      <c r="C34" s="7" t="s">
        <v>34</v>
      </c>
      <c r="D34" s="18">
        <v>762865</v>
      </c>
      <c r="E34" s="14">
        <v>11505.1484975</v>
      </c>
      <c r="F34" s="14">
        <f t="shared" si="0"/>
        <v>1.7186400760679306</v>
      </c>
    </row>
    <row r="35" spans="1:6" x14ac:dyDescent="0.2">
      <c r="A35" s="7" t="s">
        <v>203</v>
      </c>
      <c r="B35" s="7" t="s">
        <v>204</v>
      </c>
      <c r="C35" s="7" t="s">
        <v>205</v>
      </c>
      <c r="D35" s="18">
        <v>2886685</v>
      </c>
      <c r="E35" s="14">
        <v>11110.850565000001</v>
      </c>
      <c r="F35" s="14">
        <f t="shared" si="0"/>
        <v>1.659739816862021</v>
      </c>
    </row>
    <row r="36" spans="1:6" x14ac:dyDescent="0.2">
      <c r="A36" s="7" t="s">
        <v>461</v>
      </c>
      <c r="B36" s="7" t="s">
        <v>462</v>
      </c>
      <c r="C36" s="7" t="s">
        <v>37</v>
      </c>
      <c r="D36" s="18">
        <v>3695000</v>
      </c>
      <c r="E36" s="14">
        <v>10974.15</v>
      </c>
      <c r="F36" s="14">
        <f t="shared" si="0"/>
        <v>1.6393194746577306</v>
      </c>
    </row>
    <row r="37" spans="1:6" x14ac:dyDescent="0.2">
      <c r="A37" s="7" t="s">
        <v>435</v>
      </c>
      <c r="B37" s="7" t="s">
        <v>436</v>
      </c>
      <c r="C37" s="7" t="s">
        <v>93</v>
      </c>
      <c r="D37" s="18">
        <v>3943909</v>
      </c>
      <c r="E37" s="14">
        <v>10964.06702</v>
      </c>
      <c r="F37" s="14">
        <f t="shared" si="0"/>
        <v>1.6378132782346284</v>
      </c>
    </row>
    <row r="38" spans="1:6" x14ac:dyDescent="0.2">
      <c r="A38" s="7" t="s">
        <v>137</v>
      </c>
      <c r="B38" s="7" t="s">
        <v>138</v>
      </c>
      <c r="C38" s="7" t="s">
        <v>31</v>
      </c>
      <c r="D38" s="18">
        <v>264692</v>
      </c>
      <c r="E38" s="14">
        <v>10753.774230000001</v>
      </c>
      <c r="F38" s="14">
        <f t="shared" si="0"/>
        <v>1.6063997231048823</v>
      </c>
    </row>
    <row r="39" spans="1:6" x14ac:dyDescent="0.2">
      <c r="A39" s="7" t="s">
        <v>101</v>
      </c>
      <c r="B39" s="7" t="s">
        <v>102</v>
      </c>
      <c r="C39" s="7" t="s">
        <v>103</v>
      </c>
      <c r="D39" s="18">
        <v>3927799</v>
      </c>
      <c r="E39" s="14">
        <v>10481.331631499999</v>
      </c>
      <c r="F39" s="14">
        <f t="shared" si="0"/>
        <v>1.5657022242145435</v>
      </c>
    </row>
    <row r="40" spans="1:6" x14ac:dyDescent="0.2">
      <c r="A40" s="7" t="s">
        <v>463</v>
      </c>
      <c r="B40" s="7" t="s">
        <v>464</v>
      </c>
      <c r="C40" s="7" t="s">
        <v>12</v>
      </c>
      <c r="D40" s="18">
        <v>3134341</v>
      </c>
      <c r="E40" s="14">
        <v>10255.563752</v>
      </c>
      <c r="F40" s="14">
        <f t="shared" si="0"/>
        <v>1.5319769988789569</v>
      </c>
    </row>
    <row r="41" spans="1:6" x14ac:dyDescent="0.2">
      <c r="A41" s="7" t="s">
        <v>189</v>
      </c>
      <c r="B41" s="7" t="s">
        <v>190</v>
      </c>
      <c r="C41" s="7" t="s">
        <v>28</v>
      </c>
      <c r="D41" s="18">
        <v>2221672</v>
      </c>
      <c r="E41" s="14">
        <v>10001.967344000001</v>
      </c>
      <c r="F41" s="14">
        <f t="shared" si="0"/>
        <v>1.4940947455529456</v>
      </c>
    </row>
    <row r="42" spans="1:6" x14ac:dyDescent="0.2">
      <c r="A42" s="7" t="s">
        <v>253</v>
      </c>
      <c r="B42" s="7" t="s">
        <v>254</v>
      </c>
      <c r="C42" s="7" t="s">
        <v>40</v>
      </c>
      <c r="D42" s="18">
        <v>14734302</v>
      </c>
      <c r="E42" s="14">
        <v>9496.2576389999995</v>
      </c>
      <c r="F42" s="14">
        <f t="shared" si="0"/>
        <v>1.4185517861501746</v>
      </c>
    </row>
    <row r="43" spans="1:6" x14ac:dyDescent="0.2">
      <c r="A43" s="7" t="s">
        <v>465</v>
      </c>
      <c r="B43" s="7" t="s">
        <v>466</v>
      </c>
      <c r="C43" s="7" t="s">
        <v>31</v>
      </c>
      <c r="D43" s="18">
        <v>615261</v>
      </c>
      <c r="E43" s="14">
        <v>9442.1029364999995</v>
      </c>
      <c r="F43" s="14">
        <f t="shared" si="0"/>
        <v>1.4104621520142695</v>
      </c>
    </row>
    <row r="44" spans="1:6" x14ac:dyDescent="0.2">
      <c r="A44" s="7" t="s">
        <v>271</v>
      </c>
      <c r="B44" s="7" t="s">
        <v>272</v>
      </c>
      <c r="C44" s="7" t="s">
        <v>31</v>
      </c>
      <c r="D44" s="18">
        <v>2371940</v>
      </c>
      <c r="E44" s="14">
        <v>9116.5513900000005</v>
      </c>
      <c r="F44" s="14">
        <f t="shared" si="0"/>
        <v>1.3618312338855405</v>
      </c>
    </row>
    <row r="45" spans="1:6" x14ac:dyDescent="0.2">
      <c r="A45" s="7" t="s">
        <v>467</v>
      </c>
      <c r="B45" s="7" t="s">
        <v>468</v>
      </c>
      <c r="C45" s="7" t="s">
        <v>20</v>
      </c>
      <c r="D45" s="18">
        <v>1743720</v>
      </c>
      <c r="E45" s="14">
        <v>8266.9765200000002</v>
      </c>
      <c r="F45" s="14">
        <f t="shared" si="0"/>
        <v>1.2349216664410632</v>
      </c>
    </row>
    <row r="46" spans="1:6" x14ac:dyDescent="0.2">
      <c r="A46" s="7" t="s">
        <v>469</v>
      </c>
      <c r="B46" s="7" t="s">
        <v>470</v>
      </c>
      <c r="C46" s="7" t="s">
        <v>28</v>
      </c>
      <c r="D46" s="18">
        <v>1928752</v>
      </c>
      <c r="E46" s="14">
        <v>8204.9110079999991</v>
      </c>
      <c r="F46" s="14">
        <f t="shared" si="0"/>
        <v>1.2256503148989206</v>
      </c>
    </row>
    <row r="47" spans="1:6" x14ac:dyDescent="0.2">
      <c r="A47" s="7" t="s">
        <v>471</v>
      </c>
      <c r="B47" s="7" t="s">
        <v>472</v>
      </c>
      <c r="C47" s="7" t="s">
        <v>221</v>
      </c>
      <c r="D47" s="18">
        <v>501074</v>
      </c>
      <c r="E47" s="14">
        <v>7974.5927099999999</v>
      </c>
      <c r="F47" s="14">
        <f t="shared" si="0"/>
        <v>1.1912453476548588</v>
      </c>
    </row>
    <row r="48" spans="1:6" x14ac:dyDescent="0.2">
      <c r="A48" s="7" t="s">
        <v>29</v>
      </c>
      <c r="B48" s="7" t="s">
        <v>30</v>
      </c>
      <c r="C48" s="7" t="s">
        <v>31</v>
      </c>
      <c r="D48" s="18">
        <v>1351671</v>
      </c>
      <c r="E48" s="14">
        <v>7768.7290725000003</v>
      </c>
      <c r="F48" s="14">
        <f t="shared" si="0"/>
        <v>1.1604934197080357</v>
      </c>
    </row>
    <row r="49" spans="1:6" x14ac:dyDescent="0.2">
      <c r="A49" s="7" t="s">
        <v>473</v>
      </c>
      <c r="B49" s="7" t="s">
        <v>474</v>
      </c>
      <c r="C49" s="7" t="s">
        <v>162</v>
      </c>
      <c r="D49" s="18">
        <v>120666</v>
      </c>
      <c r="E49" s="14">
        <v>7407.8064059999997</v>
      </c>
      <c r="F49" s="14">
        <f t="shared" si="0"/>
        <v>1.1065787606192816</v>
      </c>
    </row>
    <row r="50" spans="1:6" x14ac:dyDescent="0.2">
      <c r="A50" s="7" t="s">
        <v>283</v>
      </c>
      <c r="B50" s="7" t="s">
        <v>284</v>
      </c>
      <c r="C50" s="7" t="s">
        <v>12</v>
      </c>
      <c r="D50" s="18">
        <v>12530441</v>
      </c>
      <c r="E50" s="14">
        <v>7280.1862209999999</v>
      </c>
      <c r="F50" s="14">
        <f t="shared" si="0"/>
        <v>1.0875148463635151</v>
      </c>
    </row>
    <row r="51" spans="1:6" x14ac:dyDescent="0.2">
      <c r="A51" s="7" t="s">
        <v>233</v>
      </c>
      <c r="B51" s="7" t="s">
        <v>234</v>
      </c>
      <c r="C51" s="7" t="s">
        <v>216</v>
      </c>
      <c r="D51" s="18">
        <v>876836</v>
      </c>
      <c r="E51" s="14">
        <v>6527.6056019999996</v>
      </c>
      <c r="F51" s="14">
        <f t="shared" si="0"/>
        <v>0.97509428850922375</v>
      </c>
    </row>
    <row r="52" spans="1:6" x14ac:dyDescent="0.2">
      <c r="A52" s="7" t="s">
        <v>265</v>
      </c>
      <c r="B52" s="7" t="s">
        <v>266</v>
      </c>
      <c r="C52" s="7" t="s">
        <v>40</v>
      </c>
      <c r="D52" s="18">
        <v>1829200</v>
      </c>
      <c r="E52" s="14">
        <v>6456.1614</v>
      </c>
      <c r="F52" s="14">
        <f t="shared" si="0"/>
        <v>0.96442194744499754</v>
      </c>
    </row>
    <row r="53" spans="1:6" x14ac:dyDescent="0.2">
      <c r="A53" s="7" t="s">
        <v>23</v>
      </c>
      <c r="B53" s="7" t="s">
        <v>24</v>
      </c>
      <c r="C53" s="7" t="s">
        <v>25</v>
      </c>
      <c r="D53" s="18">
        <v>3375865</v>
      </c>
      <c r="E53" s="14">
        <v>6226.7829924999996</v>
      </c>
      <c r="F53" s="14">
        <f t="shared" si="0"/>
        <v>0.93015738112498836</v>
      </c>
    </row>
    <row r="54" spans="1:6" x14ac:dyDescent="0.2">
      <c r="A54" s="7" t="s">
        <v>293</v>
      </c>
      <c r="B54" s="7" t="s">
        <v>294</v>
      </c>
      <c r="C54" s="7" t="s">
        <v>295</v>
      </c>
      <c r="D54" s="18">
        <v>191626</v>
      </c>
      <c r="E54" s="14">
        <v>6004.7923360000004</v>
      </c>
      <c r="F54" s="14">
        <f t="shared" si="0"/>
        <v>0.89699639768731854</v>
      </c>
    </row>
    <row r="55" spans="1:6" x14ac:dyDescent="0.2">
      <c r="A55" s="7" t="s">
        <v>178</v>
      </c>
      <c r="B55" s="7" t="s">
        <v>179</v>
      </c>
      <c r="C55" s="7" t="s">
        <v>162</v>
      </c>
      <c r="D55" s="18">
        <v>2456836</v>
      </c>
      <c r="E55" s="14">
        <v>5534.0230899999997</v>
      </c>
      <c r="F55" s="14">
        <f t="shared" si="0"/>
        <v>0.82667284706720334</v>
      </c>
    </row>
    <row r="56" spans="1:6" x14ac:dyDescent="0.2">
      <c r="A56" s="7" t="s">
        <v>226</v>
      </c>
      <c r="B56" s="7" t="s">
        <v>227</v>
      </c>
      <c r="C56" s="7" t="s">
        <v>228</v>
      </c>
      <c r="D56" s="18">
        <v>532057</v>
      </c>
      <c r="E56" s="14">
        <v>5290.7748080000001</v>
      </c>
      <c r="F56" s="14">
        <f t="shared" si="0"/>
        <v>0.79033639769667041</v>
      </c>
    </row>
    <row r="57" spans="1:6" x14ac:dyDescent="0.2">
      <c r="A57" s="7" t="s">
        <v>475</v>
      </c>
      <c r="B57" s="7" t="s">
        <v>476</v>
      </c>
      <c r="C57" s="7" t="s">
        <v>162</v>
      </c>
      <c r="D57" s="18">
        <v>302781</v>
      </c>
      <c r="E57" s="14">
        <v>5170.288356</v>
      </c>
      <c r="F57" s="14">
        <f t="shared" si="0"/>
        <v>0.77233812109246736</v>
      </c>
    </row>
    <row r="58" spans="1:6" x14ac:dyDescent="0.2">
      <c r="A58" s="7" t="s">
        <v>239</v>
      </c>
      <c r="B58" s="7" t="s">
        <v>240</v>
      </c>
      <c r="C58" s="7" t="s">
        <v>15</v>
      </c>
      <c r="D58" s="18">
        <v>2142510</v>
      </c>
      <c r="E58" s="14">
        <v>4061.1277049999999</v>
      </c>
      <c r="F58" s="14">
        <f t="shared" si="0"/>
        <v>0.60665160726603473</v>
      </c>
    </row>
    <row r="59" spans="1:6" x14ac:dyDescent="0.2">
      <c r="A59" s="7" t="s">
        <v>141</v>
      </c>
      <c r="B59" s="7" t="s">
        <v>667</v>
      </c>
      <c r="C59" s="7" t="s">
        <v>40</v>
      </c>
      <c r="D59" s="18">
        <v>6934152</v>
      </c>
      <c r="E59" s="14">
        <v>3709.7713199999998</v>
      </c>
      <c r="F59" s="14">
        <f t="shared" si="0"/>
        <v>0.55416596013383412</v>
      </c>
    </row>
    <row r="60" spans="1:6" x14ac:dyDescent="0.2">
      <c r="A60" s="7" t="s">
        <v>184</v>
      </c>
      <c r="B60" s="7" t="s">
        <v>185</v>
      </c>
      <c r="C60" s="7" t="s">
        <v>12</v>
      </c>
      <c r="D60" s="18">
        <v>4899451</v>
      </c>
      <c r="E60" s="14">
        <v>2937.2208744999998</v>
      </c>
      <c r="F60" s="14">
        <f t="shared" si="0"/>
        <v>0.43876230787250581</v>
      </c>
    </row>
    <row r="61" spans="1:6" x14ac:dyDescent="0.2">
      <c r="A61" s="7" t="s">
        <v>41</v>
      </c>
      <c r="B61" s="7" t="s">
        <v>42</v>
      </c>
      <c r="C61" s="7" t="s">
        <v>43</v>
      </c>
      <c r="D61" s="18">
        <v>53357503</v>
      </c>
      <c r="E61" s="14">
        <v>2854.6264105</v>
      </c>
      <c r="F61" s="14">
        <f t="shared" si="0"/>
        <v>0.42642433970785376</v>
      </c>
    </row>
    <row r="62" spans="1:6" x14ac:dyDescent="0.2">
      <c r="A62" s="7" t="s">
        <v>279</v>
      </c>
      <c r="B62" s="7" t="s">
        <v>280</v>
      </c>
      <c r="C62" s="7" t="s">
        <v>15</v>
      </c>
      <c r="D62" s="18">
        <v>354712</v>
      </c>
      <c r="E62" s="14">
        <v>1739.507648</v>
      </c>
      <c r="F62" s="14">
        <f t="shared" si="0"/>
        <v>0.25984780267104646</v>
      </c>
    </row>
    <row r="63" spans="1:6" x14ac:dyDescent="0.2">
      <c r="A63" s="7" t="s">
        <v>477</v>
      </c>
      <c r="B63" s="7" t="s">
        <v>478</v>
      </c>
      <c r="C63" s="7" t="s">
        <v>64</v>
      </c>
      <c r="D63" s="18">
        <v>221163</v>
      </c>
      <c r="E63" s="14">
        <v>1522.928418</v>
      </c>
      <c r="F63" s="14">
        <f t="shared" si="0"/>
        <v>0.22749517859124291</v>
      </c>
    </row>
    <row r="64" spans="1:6" x14ac:dyDescent="0.2">
      <c r="A64" s="7" t="s">
        <v>443</v>
      </c>
      <c r="B64" s="7" t="s">
        <v>444</v>
      </c>
      <c r="C64" s="7" t="s">
        <v>64</v>
      </c>
      <c r="D64" s="18">
        <v>325800</v>
      </c>
      <c r="E64" s="14">
        <v>1091.2671</v>
      </c>
      <c r="F64" s="14">
        <f t="shared" si="0"/>
        <v>0.16301357363287955</v>
      </c>
    </row>
    <row r="65" spans="1:6" x14ac:dyDescent="0.2">
      <c r="A65" s="7" t="s">
        <v>439</v>
      </c>
      <c r="B65" s="7" t="s">
        <v>440</v>
      </c>
      <c r="C65" s="7" t="s">
        <v>28</v>
      </c>
      <c r="D65" s="18">
        <v>376519</v>
      </c>
      <c r="E65" s="14">
        <v>270.90542049999999</v>
      </c>
      <c r="F65" s="14">
        <f t="shared" si="0"/>
        <v>4.0467875107957477E-2</v>
      </c>
    </row>
    <row r="66" spans="1:6" x14ac:dyDescent="0.2">
      <c r="A66" s="7" t="s">
        <v>479</v>
      </c>
      <c r="B66" s="7" t="s">
        <v>480</v>
      </c>
      <c r="C66" s="7" t="s">
        <v>228</v>
      </c>
      <c r="D66" s="18">
        <v>65687</v>
      </c>
      <c r="E66" s="14">
        <v>268.98826500000001</v>
      </c>
      <c r="F66" s="14">
        <f t="shared" si="0"/>
        <v>4.0181490253814144E-2</v>
      </c>
    </row>
    <row r="67" spans="1:6" x14ac:dyDescent="0.2">
      <c r="A67" s="7" t="s">
        <v>481</v>
      </c>
      <c r="B67" s="7" t="s">
        <v>666</v>
      </c>
      <c r="C67" s="7" t="s">
        <v>221</v>
      </c>
      <c r="D67" s="18">
        <v>50107</v>
      </c>
      <c r="E67" s="14">
        <v>238.25878499999999</v>
      </c>
      <c r="F67" s="14">
        <f t="shared" si="0"/>
        <v>3.559111787781187E-2</v>
      </c>
    </row>
    <row r="68" spans="1:6" x14ac:dyDescent="0.2">
      <c r="A68" s="6" t="s">
        <v>44</v>
      </c>
      <c r="B68" s="7"/>
      <c r="C68" s="7"/>
      <c r="D68" s="18"/>
      <c r="E68" s="20">
        <f>SUM(E8:E67)</f>
        <v>615804.91685750021</v>
      </c>
      <c r="F68" s="20">
        <f>SUM(F8:F67)</f>
        <v>91.98899165716567</v>
      </c>
    </row>
    <row r="69" spans="1:6" x14ac:dyDescent="0.2">
      <c r="A69" s="7"/>
      <c r="B69" s="7"/>
      <c r="C69" s="7"/>
      <c r="D69" s="18"/>
      <c r="E69" s="14"/>
      <c r="F69" s="14"/>
    </row>
    <row r="70" spans="1:6" x14ac:dyDescent="0.2">
      <c r="A70" s="6" t="s">
        <v>298</v>
      </c>
      <c r="B70" s="7"/>
      <c r="C70" s="7"/>
      <c r="D70" s="18"/>
      <c r="E70" s="14"/>
      <c r="F70" s="14"/>
    </row>
    <row r="71" spans="1:6" x14ac:dyDescent="0.2">
      <c r="A71" s="27" t="s">
        <v>299</v>
      </c>
      <c r="B71" s="27" t="s">
        <v>300</v>
      </c>
      <c r="C71" s="27" t="s">
        <v>28</v>
      </c>
      <c r="D71" s="18">
        <v>8100</v>
      </c>
      <c r="E71" s="14">
        <v>8.0999999999999996E-4</v>
      </c>
      <c r="F71" s="33" t="s">
        <v>611</v>
      </c>
    </row>
    <row r="72" spans="1:6" x14ac:dyDescent="0.2">
      <c r="A72" s="6" t="s">
        <v>44</v>
      </c>
      <c r="B72" s="7"/>
      <c r="C72" s="7"/>
      <c r="D72" s="18"/>
      <c r="E72" s="20">
        <f>SUM(E71:E71)</f>
        <v>8.0999999999999996E-4</v>
      </c>
      <c r="F72" s="6">
        <v>0</v>
      </c>
    </row>
    <row r="73" spans="1:6" x14ac:dyDescent="0.2">
      <c r="A73" s="6"/>
      <c r="B73" s="7"/>
      <c r="C73" s="7"/>
      <c r="D73" s="18"/>
      <c r="E73" s="20"/>
      <c r="F73" s="20"/>
    </row>
    <row r="74" spans="1:6" x14ac:dyDescent="0.2">
      <c r="A74" s="6" t="s">
        <v>45</v>
      </c>
      <c r="B74" s="7"/>
      <c r="C74" s="7"/>
      <c r="D74" s="18"/>
      <c r="E74" s="20"/>
      <c r="F74" s="20"/>
    </row>
    <row r="75" spans="1:6" x14ac:dyDescent="0.2">
      <c r="A75" s="27" t="s">
        <v>592</v>
      </c>
      <c r="B75" s="27" t="s">
        <v>664</v>
      </c>
      <c r="C75" s="27" t="s">
        <v>64</v>
      </c>
      <c r="D75" s="18">
        <v>140468</v>
      </c>
      <c r="E75" s="14">
        <v>2287.3594400000002</v>
      </c>
      <c r="F75" s="14">
        <f t="shared" ref="F75" si="1">E75/$E$82*100</f>
        <v>0.34168595066899948</v>
      </c>
    </row>
    <row r="76" spans="1:6" x14ac:dyDescent="0.2">
      <c r="A76" s="6"/>
      <c r="B76" s="7"/>
      <c r="C76" s="7"/>
      <c r="D76" s="18"/>
      <c r="E76" s="20">
        <f>SUM(E75)</f>
        <v>2287.3594400000002</v>
      </c>
      <c r="F76" s="20">
        <f>SUM(F75)</f>
        <v>0.34168595066899948</v>
      </c>
    </row>
    <row r="77" spans="1:6" x14ac:dyDescent="0.2">
      <c r="A77" s="7"/>
      <c r="B77" s="7"/>
      <c r="C77" s="7"/>
      <c r="D77" s="18"/>
      <c r="E77" s="14"/>
      <c r="F77" s="14"/>
    </row>
    <row r="78" spans="1:6" x14ac:dyDescent="0.2">
      <c r="A78" s="6" t="s">
        <v>44</v>
      </c>
      <c r="B78" s="7"/>
      <c r="C78" s="7"/>
      <c r="D78" s="18"/>
      <c r="E78" s="20">
        <f>E68+E72+E76</f>
        <v>618092.27710750024</v>
      </c>
      <c r="F78" s="20">
        <f>F68+F72+F76</f>
        <v>92.330677607834673</v>
      </c>
    </row>
    <row r="79" spans="1:6" x14ac:dyDescent="0.2">
      <c r="A79" s="7"/>
      <c r="B79" s="7"/>
      <c r="C79" s="7"/>
      <c r="D79" s="18"/>
      <c r="E79" s="14"/>
      <c r="F79" s="14"/>
    </row>
    <row r="80" spans="1:6" x14ac:dyDescent="0.2">
      <c r="A80" s="6" t="s">
        <v>76</v>
      </c>
      <c r="B80" s="7"/>
      <c r="C80" s="7"/>
      <c r="D80" s="18"/>
      <c r="E80" s="20">
        <v>51340.995030700004</v>
      </c>
      <c r="F80" s="20">
        <f t="shared" ref="F80" si="2">E80/$E$82*100</f>
        <v>7.6693222711674514</v>
      </c>
    </row>
    <row r="81" spans="1:6" x14ac:dyDescent="0.2">
      <c r="A81" s="7"/>
      <c r="B81" s="7"/>
      <c r="C81" s="7"/>
      <c r="D81" s="18"/>
      <c r="E81" s="14"/>
      <c r="F81" s="14"/>
    </row>
    <row r="82" spans="1:6" x14ac:dyDescent="0.2">
      <c r="A82" s="8" t="s">
        <v>77</v>
      </c>
      <c r="B82" s="5"/>
      <c r="C82" s="5"/>
      <c r="D82" s="17"/>
      <c r="E82" s="21">
        <f>E78+E80</f>
        <v>669433.27213820023</v>
      </c>
      <c r="F82" s="21">
        <f>F78+F80</f>
        <v>99.999999879002118</v>
      </c>
    </row>
    <row r="83" spans="1:6" x14ac:dyDescent="0.2">
      <c r="A83" s="60" t="s">
        <v>665</v>
      </c>
      <c r="B83" s="2"/>
      <c r="C83" s="2"/>
      <c r="D83" s="2"/>
      <c r="E83" s="1"/>
      <c r="F83" s="11" t="s">
        <v>612</v>
      </c>
    </row>
    <row r="84" spans="1:6" x14ac:dyDescent="0.2">
      <c r="A84" s="60"/>
      <c r="B84" s="2"/>
      <c r="C84" s="2"/>
      <c r="D84" s="2"/>
      <c r="E84" s="1"/>
      <c r="F84" s="11"/>
    </row>
    <row r="85" spans="1:6" x14ac:dyDescent="0.2">
      <c r="A85" s="4" t="s">
        <v>78</v>
      </c>
      <c r="B85" s="2"/>
      <c r="C85" s="2"/>
      <c r="D85" s="2"/>
      <c r="E85" s="1"/>
    </row>
    <row r="86" spans="1:6" x14ac:dyDescent="0.2">
      <c r="A86" s="4" t="s">
        <v>79</v>
      </c>
      <c r="B86" s="2"/>
      <c r="C86" s="2"/>
      <c r="D86" s="2"/>
      <c r="E86" s="1"/>
    </row>
    <row r="87" spans="1:6" x14ac:dyDescent="0.2">
      <c r="A87" s="4" t="s">
        <v>80</v>
      </c>
      <c r="B87" s="2"/>
      <c r="C87" s="2"/>
      <c r="D87" s="2"/>
      <c r="E87" s="1"/>
    </row>
    <row r="88" spans="1:6" x14ac:dyDescent="0.2">
      <c r="A88" s="2" t="s">
        <v>638</v>
      </c>
      <c r="B88" s="2"/>
      <c r="C88" s="2"/>
      <c r="D88" s="10">
        <v>904.59730000000002</v>
      </c>
      <c r="E88" s="2"/>
    </row>
    <row r="89" spans="1:6" x14ac:dyDescent="0.2">
      <c r="A89" s="2" t="s">
        <v>639</v>
      </c>
      <c r="B89" s="2"/>
      <c r="C89" s="2"/>
      <c r="D89" s="10">
        <v>57.304299999999998</v>
      </c>
      <c r="E89" s="2"/>
    </row>
    <row r="90" spans="1:6" x14ac:dyDescent="0.2">
      <c r="A90" s="2" t="s">
        <v>640</v>
      </c>
      <c r="B90" s="2"/>
      <c r="C90" s="2"/>
      <c r="D90" s="10">
        <v>964.30489999999998</v>
      </c>
      <c r="E90" s="2"/>
    </row>
    <row r="91" spans="1:6" x14ac:dyDescent="0.2">
      <c r="A91" s="2" t="s">
        <v>641</v>
      </c>
      <c r="B91" s="2"/>
      <c r="C91" s="2"/>
      <c r="D91" s="10">
        <v>62.3324</v>
      </c>
      <c r="E91" s="2"/>
    </row>
    <row r="92" spans="1:6" x14ac:dyDescent="0.2">
      <c r="A92" s="2"/>
      <c r="B92" s="2"/>
      <c r="C92" s="2"/>
      <c r="D92" s="10"/>
      <c r="E92" s="2"/>
    </row>
    <row r="93" spans="1:6" x14ac:dyDescent="0.2">
      <c r="A93" s="4" t="s">
        <v>81</v>
      </c>
      <c r="B93" s="2"/>
      <c r="C93" s="2"/>
      <c r="D93" s="2"/>
      <c r="E93" s="2"/>
    </row>
    <row r="94" spans="1:6" x14ac:dyDescent="0.2">
      <c r="A94" s="2" t="s">
        <v>638</v>
      </c>
      <c r="B94" s="2"/>
      <c r="C94" s="2"/>
      <c r="D94" s="10">
        <v>886.1354</v>
      </c>
      <c r="E94" s="2"/>
    </row>
    <row r="95" spans="1:6" x14ac:dyDescent="0.2">
      <c r="A95" s="2" t="s">
        <v>639</v>
      </c>
      <c r="B95" s="2"/>
      <c r="C95" s="2"/>
      <c r="D95" s="10">
        <v>51.059800000000003</v>
      </c>
      <c r="E95" s="2"/>
    </row>
    <row r="96" spans="1:6" x14ac:dyDescent="0.2">
      <c r="A96" s="2" t="s">
        <v>640</v>
      </c>
      <c r="B96" s="2"/>
      <c r="C96" s="2"/>
      <c r="D96" s="10">
        <v>949.15380000000005</v>
      </c>
      <c r="E96" s="2"/>
    </row>
    <row r="97" spans="1:5" x14ac:dyDescent="0.2">
      <c r="A97" s="2" t="s">
        <v>641</v>
      </c>
      <c r="B97" s="2"/>
      <c r="C97" s="2"/>
      <c r="D97" s="10">
        <v>56.270499999999998</v>
      </c>
      <c r="E97" s="2"/>
    </row>
    <row r="98" spans="1:5" x14ac:dyDescent="0.2">
      <c r="A98" s="2"/>
      <c r="B98" s="2"/>
      <c r="C98" s="2"/>
      <c r="D98" s="2"/>
      <c r="E98" s="1"/>
    </row>
    <row r="99" spans="1:5" x14ac:dyDescent="0.2">
      <c r="A99" s="4" t="s">
        <v>82</v>
      </c>
      <c r="B99" s="2"/>
      <c r="C99" s="2"/>
      <c r="D99" s="44" t="s">
        <v>299</v>
      </c>
      <c r="E99" s="1"/>
    </row>
    <row r="100" spans="1:5" x14ac:dyDescent="0.2">
      <c r="A100" s="45" t="s">
        <v>642</v>
      </c>
      <c r="B100" s="46"/>
      <c r="C100" s="100" t="s">
        <v>643</v>
      </c>
      <c r="D100" s="101"/>
      <c r="E100" s="1"/>
    </row>
    <row r="101" spans="1:5" x14ac:dyDescent="0.2">
      <c r="A101" s="102"/>
      <c r="B101" s="103"/>
      <c r="C101" s="47" t="s">
        <v>644</v>
      </c>
      <c r="D101" s="47" t="s">
        <v>645</v>
      </c>
      <c r="E101" s="1"/>
    </row>
    <row r="102" spans="1:5" x14ac:dyDescent="0.2">
      <c r="A102" s="48" t="s">
        <v>639</v>
      </c>
      <c r="B102" s="49"/>
      <c r="C102" s="50">
        <v>4.8697465850000006</v>
      </c>
      <c r="D102" s="50">
        <v>4.8697465850000006</v>
      </c>
      <c r="E102" s="1"/>
    </row>
    <row r="103" spans="1:5" x14ac:dyDescent="0.2">
      <c r="A103" s="48" t="s">
        <v>641</v>
      </c>
      <c r="B103" s="49"/>
      <c r="C103" s="50">
        <v>4.8697465850000006</v>
      </c>
      <c r="D103" s="50">
        <v>4.8697465850000006</v>
      </c>
      <c r="E103" s="1"/>
    </row>
    <row r="104" spans="1:5" x14ac:dyDescent="0.2">
      <c r="A104" s="4"/>
      <c r="B104" s="2"/>
      <c r="C104" s="2"/>
      <c r="D104" s="44"/>
      <c r="E104" s="1"/>
    </row>
    <row r="105" spans="1:5" x14ac:dyDescent="0.2">
      <c r="A105" s="9" t="s">
        <v>646</v>
      </c>
      <c r="B105" s="2"/>
      <c r="C105" s="2"/>
      <c r="D105" s="51">
        <v>0.10549228966184708</v>
      </c>
      <c r="E105" s="1"/>
    </row>
    <row r="106" spans="1:5" x14ac:dyDescent="0.2">
      <c r="A106" s="2"/>
      <c r="B106" s="2"/>
      <c r="C106" s="2"/>
      <c r="D106" s="2"/>
      <c r="E106" s="1"/>
    </row>
    <row r="107" spans="1:5" x14ac:dyDescent="0.2">
      <c r="A107" s="2"/>
      <c r="B107" s="2"/>
      <c r="C107" s="2"/>
      <c r="D107" s="2"/>
      <c r="E107" s="1"/>
    </row>
    <row r="108" spans="1:5" x14ac:dyDescent="0.2">
      <c r="A108" s="2"/>
      <c r="B108" s="2"/>
      <c r="C108" s="2"/>
      <c r="D108" s="2"/>
      <c r="E108" s="1"/>
    </row>
  </sheetData>
  <mergeCells count="3">
    <mergeCell ref="A1:F1"/>
    <mergeCell ref="C100:D100"/>
    <mergeCell ref="A101:B10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CC484-BB63-47A8-8449-243D4270FAC9}">
  <dimension ref="A1:F77"/>
  <sheetViews>
    <sheetView showGridLines="0" workbookViewId="0">
      <selection sqref="A1:F1"/>
    </sheetView>
  </sheetViews>
  <sheetFormatPr defaultRowHeight="11.25" x14ac:dyDescent="0.2"/>
  <cols>
    <col min="1" max="1" width="59.42578125" style="1" bestFit="1" customWidth="1"/>
    <col min="2" max="2" width="37.5703125" style="1" bestFit="1" customWidth="1"/>
    <col min="3" max="3" width="20" style="1" bestFit="1" customWidth="1"/>
    <col min="4" max="4" width="11.140625" style="19" bestFit="1" customWidth="1"/>
    <col min="5" max="5" width="24" style="15" bestFit="1" customWidth="1"/>
    <col min="6" max="6" width="14.140625" style="15" bestFit="1" customWidth="1"/>
    <col min="7" max="16384" width="9.140625" style="2"/>
  </cols>
  <sheetData>
    <row r="1" spans="1:6" x14ac:dyDescent="0.2">
      <c r="A1" s="99" t="s">
        <v>447</v>
      </c>
      <c r="B1" s="99"/>
      <c r="C1" s="99"/>
      <c r="D1" s="99"/>
      <c r="E1" s="99"/>
      <c r="F1" s="99"/>
    </row>
    <row r="3" spans="1:6" s="4" customFormat="1" x14ac:dyDescent="0.2">
      <c r="A3" s="3" t="s">
        <v>1</v>
      </c>
      <c r="B3" s="3" t="s">
        <v>2</v>
      </c>
      <c r="C3" s="3" t="s">
        <v>3</v>
      </c>
      <c r="D3" s="16" t="s">
        <v>4</v>
      </c>
      <c r="E3" s="12" t="s">
        <v>5</v>
      </c>
      <c r="F3" s="12" t="s">
        <v>6</v>
      </c>
    </row>
    <row r="4" spans="1:6" x14ac:dyDescent="0.2">
      <c r="A4" s="5"/>
      <c r="B4" s="5"/>
      <c r="C4" s="5"/>
      <c r="D4" s="17"/>
      <c r="E4" s="13"/>
      <c r="F4" s="13"/>
    </row>
    <row r="5" spans="1:6" x14ac:dyDescent="0.2">
      <c r="A5" s="6" t="s">
        <v>7</v>
      </c>
      <c r="B5" s="7"/>
      <c r="C5" s="7"/>
      <c r="D5" s="18"/>
      <c r="E5" s="14"/>
      <c r="F5" s="14"/>
    </row>
    <row r="6" spans="1:6" x14ac:dyDescent="0.2">
      <c r="A6" s="6" t="s">
        <v>8</v>
      </c>
      <c r="B6" s="7"/>
      <c r="C6" s="7"/>
      <c r="D6" s="18"/>
      <c r="E6" s="14"/>
      <c r="F6" s="14"/>
    </row>
    <row r="7" spans="1:6" x14ac:dyDescent="0.2">
      <c r="A7" s="6"/>
      <c r="B7" s="7"/>
      <c r="C7" s="7"/>
      <c r="D7" s="18"/>
      <c r="E7" s="14"/>
      <c r="F7" s="14"/>
    </row>
    <row r="8" spans="1:6" x14ac:dyDescent="0.2">
      <c r="A8" s="7" t="s">
        <v>10</v>
      </c>
      <c r="B8" s="7" t="s">
        <v>11</v>
      </c>
      <c r="C8" s="7" t="s">
        <v>12</v>
      </c>
      <c r="D8" s="18">
        <v>301393</v>
      </c>
      <c r="E8" s="14">
        <v>6714.8853435000001</v>
      </c>
      <c r="F8" s="14">
        <v>12.313440614533048</v>
      </c>
    </row>
    <row r="9" spans="1:6" x14ac:dyDescent="0.2">
      <c r="A9" s="7" t="s">
        <v>156</v>
      </c>
      <c r="B9" s="7" t="s">
        <v>157</v>
      </c>
      <c r="C9" s="7" t="s">
        <v>64</v>
      </c>
      <c r="D9" s="18">
        <v>405492</v>
      </c>
      <c r="E9" s="14">
        <v>3304.3543079999999</v>
      </c>
      <c r="F9" s="14">
        <v>6.0593693651553329</v>
      </c>
    </row>
    <row r="10" spans="1:6" x14ac:dyDescent="0.2">
      <c r="A10" s="7" t="s">
        <v>97</v>
      </c>
      <c r="B10" s="7" t="s">
        <v>98</v>
      </c>
      <c r="C10" s="7" t="s">
        <v>12</v>
      </c>
      <c r="D10" s="18">
        <v>485782</v>
      </c>
      <c r="E10" s="14">
        <v>3225.1066980000001</v>
      </c>
      <c r="F10" s="14">
        <v>5.9140488288153854</v>
      </c>
    </row>
    <row r="11" spans="1:6" x14ac:dyDescent="0.2">
      <c r="A11" s="7" t="s">
        <v>172</v>
      </c>
      <c r="B11" s="7" t="s">
        <v>173</v>
      </c>
      <c r="C11" s="7" t="s">
        <v>53</v>
      </c>
      <c r="D11" s="18">
        <v>411721</v>
      </c>
      <c r="E11" s="14">
        <v>2927.1304494999999</v>
      </c>
      <c r="F11" s="14">
        <v>5.3676340126640127</v>
      </c>
    </row>
    <row r="12" spans="1:6" x14ac:dyDescent="0.2">
      <c r="A12" s="7" t="s">
        <v>21</v>
      </c>
      <c r="B12" s="7" t="s">
        <v>22</v>
      </c>
      <c r="C12" s="7" t="s">
        <v>12</v>
      </c>
      <c r="D12" s="18">
        <v>197693</v>
      </c>
      <c r="E12" s="14">
        <v>2829.8764485000002</v>
      </c>
      <c r="F12" s="14">
        <v>5.1892942042265622</v>
      </c>
    </row>
    <row r="13" spans="1:6" x14ac:dyDescent="0.2">
      <c r="A13" s="7" t="s">
        <v>275</v>
      </c>
      <c r="B13" s="7" t="s">
        <v>276</v>
      </c>
      <c r="C13" s="7" t="s">
        <v>64</v>
      </c>
      <c r="D13" s="18">
        <v>126574</v>
      </c>
      <c r="E13" s="14">
        <v>2565.3385450000001</v>
      </c>
      <c r="F13" s="14">
        <v>4.704197050900861</v>
      </c>
    </row>
    <row r="14" spans="1:6" x14ac:dyDescent="0.2">
      <c r="A14" s="7" t="s">
        <v>160</v>
      </c>
      <c r="B14" s="7" t="s">
        <v>161</v>
      </c>
      <c r="C14" s="7" t="s">
        <v>162</v>
      </c>
      <c r="D14" s="18">
        <v>98278</v>
      </c>
      <c r="E14" s="14">
        <v>2513.4598500000002</v>
      </c>
      <c r="F14" s="14">
        <v>4.609064342393733</v>
      </c>
    </row>
    <row r="15" spans="1:6" x14ac:dyDescent="0.2">
      <c r="A15" s="7" t="s">
        <v>85</v>
      </c>
      <c r="B15" s="7" t="s">
        <v>86</v>
      </c>
      <c r="C15" s="7" t="s">
        <v>12</v>
      </c>
      <c r="D15" s="18">
        <v>528372</v>
      </c>
      <c r="E15" s="14">
        <v>2164.4758980000001</v>
      </c>
      <c r="F15" s="14">
        <v>3.9691140009427466</v>
      </c>
    </row>
    <row r="16" spans="1:6" x14ac:dyDescent="0.2">
      <c r="A16" s="7" t="s">
        <v>163</v>
      </c>
      <c r="B16" s="7" t="s">
        <v>164</v>
      </c>
      <c r="C16" s="7" t="s">
        <v>40</v>
      </c>
      <c r="D16" s="18">
        <v>343240</v>
      </c>
      <c r="E16" s="14">
        <v>1815.05312</v>
      </c>
      <c r="F16" s="14">
        <v>3.328358961032337</v>
      </c>
    </row>
    <row r="17" spans="1:6" x14ac:dyDescent="0.2">
      <c r="A17" s="7" t="s">
        <v>426</v>
      </c>
      <c r="B17" s="7" t="s">
        <v>427</v>
      </c>
      <c r="C17" s="7" t="s">
        <v>216</v>
      </c>
      <c r="D17" s="18">
        <v>27179</v>
      </c>
      <c r="E17" s="14">
        <v>1663.9119694999999</v>
      </c>
      <c r="F17" s="14">
        <v>3.0512034347811756</v>
      </c>
    </row>
    <row r="18" spans="1:6" x14ac:dyDescent="0.2">
      <c r="A18" s="7" t="s">
        <v>347</v>
      </c>
      <c r="B18" s="7" t="s">
        <v>348</v>
      </c>
      <c r="C18" s="7" t="s">
        <v>37</v>
      </c>
      <c r="D18" s="18">
        <v>101394</v>
      </c>
      <c r="E18" s="14">
        <v>1638.729828</v>
      </c>
      <c r="F18" s="14">
        <v>3.0050256092421028</v>
      </c>
    </row>
    <row r="19" spans="1:6" x14ac:dyDescent="0.2">
      <c r="A19" s="7" t="s">
        <v>165</v>
      </c>
      <c r="B19" s="7" t="s">
        <v>166</v>
      </c>
      <c r="C19" s="7" t="s">
        <v>167</v>
      </c>
      <c r="D19" s="18">
        <v>116490</v>
      </c>
      <c r="E19" s="14">
        <v>1547.278425</v>
      </c>
      <c r="F19" s="14">
        <v>2.8373263318380184</v>
      </c>
    </row>
    <row r="20" spans="1:6" x14ac:dyDescent="0.2">
      <c r="A20" s="7" t="s">
        <v>212</v>
      </c>
      <c r="B20" s="7" t="s">
        <v>213</v>
      </c>
      <c r="C20" s="7" t="s">
        <v>96</v>
      </c>
      <c r="D20" s="18">
        <v>551423</v>
      </c>
      <c r="E20" s="14">
        <v>1434.5269344999999</v>
      </c>
      <c r="F20" s="14">
        <v>2.6305679567578291</v>
      </c>
    </row>
    <row r="21" spans="1:6" x14ac:dyDescent="0.2">
      <c r="A21" s="7" t="s">
        <v>206</v>
      </c>
      <c r="B21" s="7" t="s">
        <v>207</v>
      </c>
      <c r="C21" s="7" t="s">
        <v>93</v>
      </c>
      <c r="D21" s="18">
        <v>183307</v>
      </c>
      <c r="E21" s="14">
        <v>1419.7127149999999</v>
      </c>
      <c r="F21" s="14">
        <v>2.6034023384735967</v>
      </c>
    </row>
    <row r="22" spans="1:6" x14ac:dyDescent="0.2">
      <c r="A22" s="7" t="s">
        <v>94</v>
      </c>
      <c r="B22" s="7" t="s">
        <v>95</v>
      </c>
      <c r="C22" s="7" t="s">
        <v>96</v>
      </c>
      <c r="D22" s="18">
        <v>397644</v>
      </c>
      <c r="E22" s="14">
        <v>1412.63031</v>
      </c>
      <c r="F22" s="14">
        <v>2.5904149576153386</v>
      </c>
    </row>
    <row r="23" spans="1:6" x14ac:dyDescent="0.2">
      <c r="A23" s="7" t="s">
        <v>237</v>
      </c>
      <c r="B23" s="7" t="s">
        <v>238</v>
      </c>
      <c r="C23" s="7" t="s">
        <v>28</v>
      </c>
      <c r="D23" s="18">
        <v>1247117</v>
      </c>
      <c r="E23" s="14">
        <v>1398.6417154999999</v>
      </c>
      <c r="F23" s="14">
        <v>2.5647633315867169</v>
      </c>
    </row>
    <row r="24" spans="1:6" x14ac:dyDescent="0.2">
      <c r="A24" s="7" t="s">
        <v>158</v>
      </c>
      <c r="B24" s="7" t="s">
        <v>159</v>
      </c>
      <c r="C24" s="7" t="s">
        <v>64</v>
      </c>
      <c r="D24" s="18">
        <v>114846</v>
      </c>
      <c r="E24" s="14">
        <v>1263.7079610000001</v>
      </c>
      <c r="F24" s="14">
        <v>2.3173281650964865</v>
      </c>
    </row>
    <row r="25" spans="1:6" x14ac:dyDescent="0.2">
      <c r="A25" s="7" t="s">
        <v>311</v>
      </c>
      <c r="B25" s="7" t="s">
        <v>312</v>
      </c>
      <c r="C25" s="7" t="s">
        <v>53</v>
      </c>
      <c r="D25" s="18">
        <v>121898</v>
      </c>
      <c r="E25" s="14">
        <v>1254.574216</v>
      </c>
      <c r="F25" s="14">
        <v>2.3005791335207415</v>
      </c>
    </row>
    <row r="26" spans="1:6" x14ac:dyDescent="0.2">
      <c r="A26" s="7" t="s">
        <v>428</v>
      </c>
      <c r="B26" s="7" t="s">
        <v>429</v>
      </c>
      <c r="C26" s="7" t="s">
        <v>167</v>
      </c>
      <c r="D26" s="18">
        <v>1262673</v>
      </c>
      <c r="E26" s="14">
        <v>1247.5209239999999</v>
      </c>
      <c r="F26" s="14">
        <v>2.2876451387112797</v>
      </c>
    </row>
    <row r="27" spans="1:6" x14ac:dyDescent="0.2">
      <c r="A27" s="7" t="s">
        <v>243</v>
      </c>
      <c r="B27" s="7" t="s">
        <v>244</v>
      </c>
      <c r="C27" s="7" t="s">
        <v>245</v>
      </c>
      <c r="D27" s="18">
        <v>278178</v>
      </c>
      <c r="E27" s="14">
        <v>959.43592200000001</v>
      </c>
      <c r="F27" s="14">
        <v>1.7593684247241326</v>
      </c>
    </row>
    <row r="28" spans="1:6" x14ac:dyDescent="0.2">
      <c r="A28" s="7" t="s">
        <v>104</v>
      </c>
      <c r="B28" s="7" t="s">
        <v>105</v>
      </c>
      <c r="C28" s="7" t="s">
        <v>96</v>
      </c>
      <c r="D28" s="18">
        <v>752083</v>
      </c>
      <c r="E28" s="14">
        <v>920.9256335</v>
      </c>
      <c r="F28" s="14">
        <v>1.6887500706888987</v>
      </c>
    </row>
    <row r="29" spans="1:6" x14ac:dyDescent="0.2">
      <c r="A29" s="7" t="s">
        <v>178</v>
      </c>
      <c r="B29" s="7" t="s">
        <v>179</v>
      </c>
      <c r="C29" s="7" t="s">
        <v>162</v>
      </c>
      <c r="D29" s="18">
        <v>387005</v>
      </c>
      <c r="E29" s="14">
        <v>871.72876250000002</v>
      </c>
      <c r="F29" s="14">
        <v>1.5985351647760617</v>
      </c>
    </row>
    <row r="30" spans="1:6" x14ac:dyDescent="0.2">
      <c r="A30" s="7" t="s">
        <v>108</v>
      </c>
      <c r="B30" s="7" t="s">
        <v>109</v>
      </c>
      <c r="C30" s="7" t="s">
        <v>110</v>
      </c>
      <c r="D30" s="18">
        <v>580358</v>
      </c>
      <c r="E30" s="14">
        <v>771.00560299999995</v>
      </c>
      <c r="F30" s="14">
        <v>1.41383377680494</v>
      </c>
    </row>
    <row r="31" spans="1:6" x14ac:dyDescent="0.2">
      <c r="A31" s="7" t="s">
        <v>430</v>
      </c>
      <c r="B31" s="7" t="s">
        <v>431</v>
      </c>
      <c r="C31" s="7" t="s">
        <v>28</v>
      </c>
      <c r="D31" s="18">
        <v>248911</v>
      </c>
      <c r="E31" s="14">
        <v>770.13063399999999</v>
      </c>
      <c r="F31" s="14">
        <v>1.4122292998451829</v>
      </c>
    </row>
    <row r="32" spans="1:6" x14ac:dyDescent="0.2">
      <c r="A32" s="7" t="s">
        <v>432</v>
      </c>
      <c r="B32" s="7" t="s">
        <v>433</v>
      </c>
      <c r="C32" s="7" t="s">
        <v>434</v>
      </c>
      <c r="D32" s="18">
        <v>166757</v>
      </c>
      <c r="E32" s="14">
        <v>739.56729499999994</v>
      </c>
      <c r="F32" s="14">
        <v>1.3561836876706372</v>
      </c>
    </row>
    <row r="33" spans="1:6" x14ac:dyDescent="0.2">
      <c r="A33" s="7" t="s">
        <v>435</v>
      </c>
      <c r="B33" s="7" t="s">
        <v>436</v>
      </c>
      <c r="C33" s="7" t="s">
        <v>93</v>
      </c>
      <c r="D33" s="18">
        <v>244622</v>
      </c>
      <c r="E33" s="14">
        <v>680.04916000000003</v>
      </c>
      <c r="F33" s="14">
        <v>1.2470421337467599</v>
      </c>
    </row>
    <row r="34" spans="1:6" x14ac:dyDescent="0.2">
      <c r="A34" s="7" t="s">
        <v>437</v>
      </c>
      <c r="B34" s="7" t="s">
        <v>438</v>
      </c>
      <c r="C34" s="7" t="s">
        <v>37</v>
      </c>
      <c r="D34" s="18">
        <v>7836</v>
      </c>
      <c r="E34" s="14">
        <v>634.89230999999995</v>
      </c>
      <c r="F34" s="14">
        <v>1.1642356281446022</v>
      </c>
    </row>
    <row r="35" spans="1:6" x14ac:dyDescent="0.2">
      <c r="A35" s="7" t="s">
        <v>38</v>
      </c>
      <c r="B35" s="7" t="s">
        <v>39</v>
      </c>
      <c r="C35" s="7" t="s">
        <v>40</v>
      </c>
      <c r="D35" s="18">
        <v>484457</v>
      </c>
      <c r="E35" s="14">
        <v>565.36131899999998</v>
      </c>
      <c r="F35" s="14">
        <v>1.0367329702806227</v>
      </c>
    </row>
    <row r="36" spans="1:6" x14ac:dyDescent="0.2">
      <c r="A36" s="7" t="s">
        <v>41</v>
      </c>
      <c r="B36" s="7" t="s">
        <v>42</v>
      </c>
      <c r="C36" s="7" t="s">
        <v>43</v>
      </c>
      <c r="D36" s="18">
        <v>9600668</v>
      </c>
      <c r="E36" s="14">
        <v>513.63573799999995</v>
      </c>
      <c r="F36" s="14">
        <v>0.94188103501827936</v>
      </c>
    </row>
    <row r="37" spans="1:6" x14ac:dyDescent="0.2">
      <c r="A37" s="7" t="s">
        <v>439</v>
      </c>
      <c r="B37" s="7" t="s">
        <v>440</v>
      </c>
      <c r="C37" s="7" t="s">
        <v>28</v>
      </c>
      <c r="D37" s="18">
        <v>593597</v>
      </c>
      <c r="E37" s="14">
        <v>427.09304150000003</v>
      </c>
      <c r="F37" s="14">
        <v>0.78318311249815142</v>
      </c>
    </row>
    <row r="38" spans="1:6" x14ac:dyDescent="0.2">
      <c r="A38" s="7" t="s">
        <v>184</v>
      </c>
      <c r="B38" s="7" t="s">
        <v>185</v>
      </c>
      <c r="C38" s="7" t="s">
        <v>12</v>
      </c>
      <c r="D38" s="18">
        <v>631101</v>
      </c>
      <c r="E38" s="14">
        <v>378.34504950000002</v>
      </c>
      <c r="F38" s="14">
        <v>0.6937913397628539</v>
      </c>
    </row>
    <row r="39" spans="1:6" x14ac:dyDescent="0.2">
      <c r="A39" s="7" t="s">
        <v>441</v>
      </c>
      <c r="B39" s="7" t="s">
        <v>442</v>
      </c>
      <c r="C39" s="7" t="s">
        <v>28</v>
      </c>
      <c r="D39" s="18">
        <v>12795</v>
      </c>
      <c r="E39" s="14">
        <v>210.4073775</v>
      </c>
      <c r="F39" s="14">
        <v>0.38583514314415146</v>
      </c>
    </row>
    <row r="40" spans="1:6" x14ac:dyDescent="0.2">
      <c r="A40" s="7" t="s">
        <v>279</v>
      </c>
      <c r="B40" s="7" t="s">
        <v>280</v>
      </c>
      <c r="C40" s="7" t="s">
        <v>15</v>
      </c>
      <c r="D40" s="18">
        <v>32642</v>
      </c>
      <c r="E40" s="14">
        <v>160.076368</v>
      </c>
      <c r="F40" s="14">
        <v>0.29354050744383176</v>
      </c>
    </row>
    <row r="41" spans="1:6" x14ac:dyDescent="0.2">
      <c r="A41" s="7" t="s">
        <v>443</v>
      </c>
      <c r="B41" s="7" t="s">
        <v>444</v>
      </c>
      <c r="C41" s="7" t="s">
        <v>64</v>
      </c>
      <c r="D41" s="18">
        <v>36661</v>
      </c>
      <c r="E41" s="14">
        <v>122.7960195</v>
      </c>
      <c r="F41" s="14">
        <v>0.22517755947656595</v>
      </c>
    </row>
    <row r="42" spans="1:6" x14ac:dyDescent="0.2">
      <c r="A42" s="6" t="s">
        <v>44</v>
      </c>
      <c r="B42" s="7"/>
      <c r="C42" s="7"/>
      <c r="D42" s="18"/>
      <c r="E42" s="20">
        <f xml:space="preserve"> SUM(E8:E41)</f>
        <v>51066.365892000002</v>
      </c>
      <c r="F42" s="20">
        <f>SUM(F8:F41)</f>
        <v>93.643097632312973</v>
      </c>
    </row>
    <row r="43" spans="1:6" x14ac:dyDescent="0.2">
      <c r="A43" s="7"/>
      <c r="B43" s="7"/>
      <c r="C43" s="7"/>
      <c r="D43" s="18"/>
      <c r="E43" s="14"/>
      <c r="F43" s="14"/>
    </row>
    <row r="44" spans="1:6" x14ac:dyDescent="0.2">
      <c r="A44" s="6" t="s">
        <v>298</v>
      </c>
      <c r="B44" s="7"/>
      <c r="C44" s="7"/>
      <c r="D44" s="18"/>
      <c r="E44" s="14"/>
      <c r="F44" s="14"/>
    </row>
    <row r="45" spans="1:6" x14ac:dyDescent="0.2">
      <c r="A45" s="27" t="s">
        <v>299</v>
      </c>
      <c r="B45" s="27" t="s">
        <v>445</v>
      </c>
      <c r="C45" s="27" t="s">
        <v>64</v>
      </c>
      <c r="D45" s="18">
        <v>489000</v>
      </c>
      <c r="E45" s="14">
        <v>4.8899999999999999E-2</v>
      </c>
      <c r="F45" s="35" t="s">
        <v>611</v>
      </c>
    </row>
    <row r="46" spans="1:6" x14ac:dyDescent="0.2">
      <c r="A46" s="27" t="s">
        <v>299</v>
      </c>
      <c r="B46" s="27" t="s">
        <v>300</v>
      </c>
      <c r="C46" s="27" t="s">
        <v>28</v>
      </c>
      <c r="D46" s="18">
        <v>98000</v>
      </c>
      <c r="E46" s="14">
        <v>9.7999999999999997E-3</v>
      </c>
      <c r="F46" s="35" t="s">
        <v>611</v>
      </c>
    </row>
    <row r="47" spans="1:6" x14ac:dyDescent="0.2">
      <c r="A47" s="27" t="s">
        <v>302</v>
      </c>
      <c r="B47" s="27" t="s">
        <v>303</v>
      </c>
      <c r="C47" s="27" t="s">
        <v>610</v>
      </c>
      <c r="D47" s="18">
        <v>44170</v>
      </c>
      <c r="E47" s="14">
        <v>4.4169999999999999E-3</v>
      </c>
      <c r="F47" s="35" t="s">
        <v>611</v>
      </c>
    </row>
    <row r="48" spans="1:6" x14ac:dyDescent="0.2">
      <c r="A48" s="27" t="s">
        <v>299</v>
      </c>
      <c r="B48" s="27" t="s">
        <v>446</v>
      </c>
      <c r="C48" s="27" t="s">
        <v>64</v>
      </c>
      <c r="D48" s="18">
        <v>23815</v>
      </c>
      <c r="E48" s="14">
        <v>2.3814999999999999E-3</v>
      </c>
      <c r="F48" s="35" t="s">
        <v>611</v>
      </c>
    </row>
    <row r="49" spans="1:6" x14ac:dyDescent="0.2">
      <c r="A49" s="6" t="s">
        <v>44</v>
      </c>
      <c r="B49" s="7"/>
      <c r="C49" s="7"/>
      <c r="D49" s="18"/>
      <c r="E49" s="20">
        <f>SUM(E45:E48)</f>
        <v>6.5498500000000001E-2</v>
      </c>
      <c r="F49" s="6">
        <f>SUM(F45:F48)</f>
        <v>0</v>
      </c>
    </row>
    <row r="50" spans="1:6" x14ac:dyDescent="0.2">
      <c r="A50" s="7"/>
      <c r="B50" s="7"/>
      <c r="C50" s="7"/>
      <c r="D50" s="18"/>
      <c r="E50" s="14"/>
      <c r="F50" s="14"/>
    </row>
    <row r="51" spans="1:6" x14ac:dyDescent="0.2">
      <c r="A51" s="6" t="s">
        <v>44</v>
      </c>
      <c r="B51" s="7"/>
      <c r="C51" s="7"/>
      <c r="D51" s="18"/>
      <c r="E51" s="20">
        <v>51066.431390500002</v>
      </c>
      <c r="F51" s="20">
        <v>93.643217740378688</v>
      </c>
    </row>
    <row r="52" spans="1:6" x14ac:dyDescent="0.2">
      <c r="A52" s="7"/>
      <c r="B52" s="7"/>
      <c r="C52" s="7"/>
      <c r="D52" s="18"/>
      <c r="E52" s="14"/>
      <c r="F52" s="14"/>
    </row>
    <row r="53" spans="1:6" x14ac:dyDescent="0.2">
      <c r="A53" s="6" t="s">
        <v>76</v>
      </c>
      <c r="B53" s="7"/>
      <c r="C53" s="7"/>
      <c r="D53" s="18"/>
      <c r="E53" s="20">
        <v>3466.5424038000001</v>
      </c>
      <c r="F53" s="20">
        <v>6.36</v>
      </c>
    </row>
    <row r="54" spans="1:6" x14ac:dyDescent="0.2">
      <c r="A54" s="7"/>
      <c r="B54" s="7"/>
      <c r="C54" s="7"/>
      <c r="D54" s="18"/>
      <c r="E54" s="14"/>
      <c r="F54" s="14"/>
    </row>
    <row r="55" spans="1:6" x14ac:dyDescent="0.2">
      <c r="A55" s="8" t="s">
        <v>77</v>
      </c>
      <c r="B55" s="5"/>
      <c r="C55" s="5"/>
      <c r="D55" s="17"/>
      <c r="E55" s="21">
        <v>54532.9737943</v>
      </c>
      <c r="F55" s="21">
        <f xml:space="preserve"> ROUND(SUM(F51:F54),2)</f>
        <v>100</v>
      </c>
    </row>
    <row r="56" spans="1:6" x14ac:dyDescent="0.2">
      <c r="A56" s="2"/>
      <c r="B56" s="2"/>
      <c r="C56" s="2"/>
      <c r="D56" s="2"/>
      <c r="E56" s="1"/>
      <c r="F56" s="11" t="s">
        <v>612</v>
      </c>
    </row>
    <row r="57" spans="1:6" x14ac:dyDescent="0.2">
      <c r="A57" s="4" t="s">
        <v>78</v>
      </c>
      <c r="B57" s="2"/>
      <c r="C57" s="2"/>
      <c r="D57" s="2"/>
      <c r="E57" s="1"/>
    </row>
    <row r="58" spans="1:6" x14ac:dyDescent="0.2">
      <c r="A58" s="4" t="s">
        <v>79</v>
      </c>
      <c r="B58" s="2"/>
      <c r="C58" s="2"/>
      <c r="D58" s="2"/>
      <c r="E58" s="1"/>
    </row>
    <row r="59" spans="1:6" x14ac:dyDescent="0.2">
      <c r="A59" s="4" t="s">
        <v>80</v>
      </c>
      <c r="B59" s="2"/>
      <c r="C59" s="2"/>
      <c r="D59" s="2"/>
      <c r="E59" s="1"/>
    </row>
    <row r="60" spans="1:6" x14ac:dyDescent="0.2">
      <c r="A60" s="2" t="s">
        <v>638</v>
      </c>
      <c r="B60" s="2"/>
      <c r="C60" s="2"/>
      <c r="D60" s="10">
        <v>68.773700000000005</v>
      </c>
      <c r="E60" s="2"/>
    </row>
    <row r="61" spans="1:6" x14ac:dyDescent="0.2">
      <c r="A61" s="2" t="s">
        <v>639</v>
      </c>
      <c r="B61" s="2"/>
      <c r="C61" s="2"/>
      <c r="D61" s="10">
        <v>17.471599999999999</v>
      </c>
      <c r="E61" s="2"/>
    </row>
    <row r="62" spans="1:6" x14ac:dyDescent="0.2">
      <c r="A62" s="2" t="s">
        <v>640</v>
      </c>
      <c r="B62" s="2"/>
      <c r="C62" s="2"/>
      <c r="D62" s="10">
        <v>71.563900000000004</v>
      </c>
      <c r="E62" s="2"/>
    </row>
    <row r="63" spans="1:6" x14ac:dyDescent="0.2">
      <c r="A63" s="2" t="s">
        <v>641</v>
      </c>
      <c r="B63" s="2"/>
      <c r="C63" s="2"/>
      <c r="D63" s="10">
        <v>18.3704</v>
      </c>
      <c r="E63" s="2"/>
    </row>
    <row r="64" spans="1:6" x14ac:dyDescent="0.2">
      <c r="A64" s="2"/>
      <c r="B64" s="2"/>
      <c r="C64" s="2"/>
      <c r="D64" s="10"/>
      <c r="E64" s="2"/>
    </row>
    <row r="65" spans="1:5" x14ac:dyDescent="0.2">
      <c r="A65" s="4" t="s">
        <v>81</v>
      </c>
      <c r="B65" s="2"/>
      <c r="C65" s="2"/>
      <c r="D65" s="2"/>
      <c r="E65" s="2"/>
    </row>
    <row r="66" spans="1:5" x14ac:dyDescent="0.2">
      <c r="A66" s="2" t="s">
        <v>638</v>
      </c>
      <c r="B66" s="2"/>
      <c r="C66" s="2"/>
      <c r="D66" s="10">
        <v>67.687700000000007</v>
      </c>
      <c r="E66" s="2"/>
    </row>
    <row r="67" spans="1:5" x14ac:dyDescent="0.2">
      <c r="A67" s="2" t="s">
        <v>639</v>
      </c>
      <c r="B67" s="2"/>
      <c r="C67" s="2"/>
      <c r="D67" s="10">
        <v>17.195699999999999</v>
      </c>
      <c r="E67" s="2"/>
    </row>
    <row r="68" spans="1:5" x14ac:dyDescent="0.2">
      <c r="A68" s="2" t="s">
        <v>640</v>
      </c>
      <c r="B68" s="2"/>
      <c r="C68" s="2"/>
      <c r="D68" s="10">
        <v>70.650599999999997</v>
      </c>
      <c r="E68" s="2"/>
    </row>
    <row r="69" spans="1:5" x14ac:dyDescent="0.2">
      <c r="A69" s="2" t="s">
        <v>641</v>
      </c>
      <c r="B69" s="2"/>
      <c r="C69" s="2"/>
      <c r="D69" s="10">
        <v>18.134399999999999</v>
      </c>
      <c r="E69" s="2"/>
    </row>
    <row r="70" spans="1:5" x14ac:dyDescent="0.2">
      <c r="A70" s="2"/>
      <c r="B70" s="2"/>
      <c r="C70" s="2"/>
      <c r="D70" s="2"/>
      <c r="E70" s="1"/>
    </row>
    <row r="71" spans="1:5" x14ac:dyDescent="0.2">
      <c r="A71" s="4" t="s">
        <v>82</v>
      </c>
      <c r="B71" s="2"/>
      <c r="C71" s="2"/>
      <c r="D71" s="44" t="s">
        <v>83</v>
      </c>
      <c r="E71" s="1"/>
    </row>
    <row r="72" spans="1:5" x14ac:dyDescent="0.2">
      <c r="A72" s="4"/>
      <c r="B72" s="2"/>
      <c r="C72" s="2"/>
      <c r="D72" s="44"/>
      <c r="E72" s="1"/>
    </row>
    <row r="73" spans="1:5" x14ac:dyDescent="0.2">
      <c r="A73" s="9" t="s">
        <v>646</v>
      </c>
      <c r="B73" s="2"/>
      <c r="C73" s="2"/>
      <c r="D73" s="51">
        <v>5.9191853109612683E-2</v>
      </c>
      <c r="E73" s="1"/>
    </row>
    <row r="74" spans="1:5" x14ac:dyDescent="0.2">
      <c r="A74" s="2"/>
      <c r="B74" s="2"/>
      <c r="C74" s="2"/>
      <c r="D74" s="2"/>
      <c r="E74" s="1"/>
    </row>
    <row r="75" spans="1:5" x14ac:dyDescent="0.2">
      <c r="A75" s="2"/>
      <c r="B75" s="2"/>
      <c r="C75" s="2"/>
      <c r="D75" s="2"/>
      <c r="E75" s="1"/>
    </row>
    <row r="76" spans="1:5" x14ac:dyDescent="0.2">
      <c r="A76" s="2"/>
      <c r="B76" s="2"/>
      <c r="C76" s="2"/>
      <c r="D76" s="2"/>
      <c r="E76" s="1"/>
    </row>
    <row r="77" spans="1:5" x14ac:dyDescent="0.2">
      <c r="A77" s="2"/>
      <c r="B77" s="2"/>
      <c r="C77" s="2"/>
      <c r="D77" s="2"/>
      <c r="E77" s="1"/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92741-F096-4CAC-812C-311840484EB8}">
  <dimension ref="A1:F70"/>
  <sheetViews>
    <sheetView showGridLines="0" workbookViewId="0">
      <selection sqref="A1:F1"/>
    </sheetView>
  </sheetViews>
  <sheetFormatPr defaultRowHeight="11.25" x14ac:dyDescent="0.2"/>
  <cols>
    <col min="1" max="1" width="59.42578125" style="1" bestFit="1" customWidth="1"/>
    <col min="2" max="2" width="34.7109375" style="1" bestFit="1" customWidth="1"/>
    <col min="3" max="3" width="19.140625" style="1" bestFit="1" customWidth="1"/>
    <col min="4" max="4" width="12.85546875" style="19" bestFit="1" customWidth="1"/>
    <col min="5" max="5" width="24" style="15" bestFit="1" customWidth="1"/>
    <col min="6" max="6" width="14.140625" style="15" bestFit="1" customWidth="1"/>
    <col min="7" max="16384" width="9.140625" style="2"/>
  </cols>
  <sheetData>
    <row r="1" spans="1:6" x14ac:dyDescent="0.2">
      <c r="A1" s="99" t="s">
        <v>382</v>
      </c>
      <c r="B1" s="99"/>
      <c r="C1" s="99"/>
      <c r="D1" s="99"/>
      <c r="E1" s="99"/>
      <c r="F1" s="99"/>
    </row>
    <row r="3" spans="1:6" s="4" customFormat="1" x14ac:dyDescent="0.2">
      <c r="A3" s="3" t="s">
        <v>1</v>
      </c>
      <c r="B3" s="3" t="s">
        <v>2</v>
      </c>
      <c r="C3" s="3" t="s">
        <v>3</v>
      </c>
      <c r="D3" s="16" t="s">
        <v>4</v>
      </c>
      <c r="E3" s="12" t="s">
        <v>5</v>
      </c>
      <c r="F3" s="12" t="s">
        <v>6</v>
      </c>
    </row>
    <row r="4" spans="1:6" x14ac:dyDescent="0.2">
      <c r="A4" s="5"/>
      <c r="B4" s="5"/>
      <c r="C4" s="5"/>
      <c r="D4" s="17"/>
      <c r="E4" s="13"/>
      <c r="F4" s="13"/>
    </row>
    <row r="5" spans="1:6" x14ac:dyDescent="0.2">
      <c r="A5" s="6" t="s">
        <v>7</v>
      </c>
      <c r="B5" s="7"/>
      <c r="C5" s="7"/>
      <c r="D5" s="18"/>
      <c r="E5" s="14"/>
      <c r="F5" s="14"/>
    </row>
    <row r="6" spans="1:6" x14ac:dyDescent="0.2">
      <c r="A6" s="6" t="s">
        <v>8</v>
      </c>
      <c r="B6" s="7"/>
      <c r="C6" s="7"/>
      <c r="D6" s="18"/>
      <c r="E6" s="14"/>
      <c r="F6" s="14"/>
    </row>
    <row r="7" spans="1:6" x14ac:dyDescent="0.2">
      <c r="A7" s="6"/>
      <c r="B7" s="7"/>
      <c r="C7" s="7"/>
      <c r="D7" s="18"/>
      <c r="E7" s="14"/>
      <c r="F7" s="14"/>
    </row>
    <row r="8" spans="1:6" x14ac:dyDescent="0.2">
      <c r="A8" s="7" t="s">
        <v>85</v>
      </c>
      <c r="B8" s="7" t="s">
        <v>86</v>
      </c>
      <c r="C8" s="7" t="s">
        <v>12</v>
      </c>
      <c r="D8" s="18">
        <v>19000000</v>
      </c>
      <c r="E8" s="14">
        <v>77833.5</v>
      </c>
      <c r="F8" s="14">
        <f>E8/$E$45*100</f>
        <v>9.7519562643224305</v>
      </c>
    </row>
    <row r="9" spans="1:6" x14ac:dyDescent="0.2">
      <c r="A9" s="7" t="s">
        <v>87</v>
      </c>
      <c r="B9" s="7" t="s">
        <v>88</v>
      </c>
      <c r="C9" s="7" t="s">
        <v>12</v>
      </c>
      <c r="D9" s="18">
        <v>25000000</v>
      </c>
      <c r="E9" s="14">
        <v>68462.5</v>
      </c>
      <c r="F9" s="14">
        <f t="shared" ref="F9:F34" si="0">E9/$E$45*100</f>
        <v>8.5778399499723701</v>
      </c>
    </row>
    <row r="10" spans="1:6" x14ac:dyDescent="0.2">
      <c r="A10" s="7" t="s">
        <v>89</v>
      </c>
      <c r="B10" s="7" t="s">
        <v>90</v>
      </c>
      <c r="C10" s="7" t="s">
        <v>43</v>
      </c>
      <c r="D10" s="18">
        <v>14511704</v>
      </c>
      <c r="E10" s="14">
        <v>50326.589472</v>
      </c>
      <c r="F10" s="14">
        <f t="shared" si="0"/>
        <v>6.3055458056422191</v>
      </c>
    </row>
    <row r="11" spans="1:6" x14ac:dyDescent="0.2">
      <c r="A11" s="7" t="s">
        <v>104</v>
      </c>
      <c r="B11" s="7" t="s">
        <v>105</v>
      </c>
      <c r="C11" s="7" t="s">
        <v>96</v>
      </c>
      <c r="D11" s="18">
        <v>33000000</v>
      </c>
      <c r="E11" s="14">
        <v>40408.5</v>
      </c>
      <c r="F11" s="14">
        <f t="shared" si="0"/>
        <v>5.06288326629116</v>
      </c>
    </row>
    <row r="12" spans="1:6" x14ac:dyDescent="0.2">
      <c r="A12" s="7" t="s">
        <v>10</v>
      </c>
      <c r="B12" s="7" t="s">
        <v>11</v>
      </c>
      <c r="C12" s="7" t="s">
        <v>12</v>
      </c>
      <c r="D12" s="18">
        <v>1750000</v>
      </c>
      <c r="E12" s="14">
        <v>38989.125</v>
      </c>
      <c r="F12" s="14">
        <f t="shared" si="0"/>
        <v>4.8850461791413764</v>
      </c>
    </row>
    <row r="13" spans="1:6" x14ac:dyDescent="0.2">
      <c r="A13" s="7" t="s">
        <v>106</v>
      </c>
      <c r="B13" s="7" t="s">
        <v>107</v>
      </c>
      <c r="C13" s="7" t="s">
        <v>53</v>
      </c>
      <c r="D13" s="18">
        <v>900000</v>
      </c>
      <c r="E13" s="14">
        <v>36470.25</v>
      </c>
      <c r="F13" s="14">
        <f t="shared" si="0"/>
        <v>4.5694499534121569</v>
      </c>
    </row>
    <row r="14" spans="1:6" x14ac:dyDescent="0.2">
      <c r="A14" s="7" t="s">
        <v>97</v>
      </c>
      <c r="B14" s="7" t="s">
        <v>98</v>
      </c>
      <c r="C14" s="7" t="s">
        <v>12</v>
      </c>
      <c r="D14" s="18">
        <v>5247999</v>
      </c>
      <c r="E14" s="14">
        <v>34841.465361000002</v>
      </c>
      <c r="F14" s="14">
        <f t="shared" si="0"/>
        <v>4.3653754024343883</v>
      </c>
    </row>
    <row r="15" spans="1:6" x14ac:dyDescent="0.2">
      <c r="A15" s="7" t="s">
        <v>91</v>
      </c>
      <c r="B15" s="7" t="s">
        <v>92</v>
      </c>
      <c r="C15" s="7" t="s">
        <v>93</v>
      </c>
      <c r="D15" s="18">
        <v>27000000</v>
      </c>
      <c r="E15" s="14">
        <v>32845.5</v>
      </c>
      <c r="F15" s="14">
        <f t="shared" si="0"/>
        <v>4.1152958492140588</v>
      </c>
    </row>
    <row r="16" spans="1:6" x14ac:dyDescent="0.2">
      <c r="A16" s="7" t="s">
        <v>160</v>
      </c>
      <c r="B16" s="7" t="s">
        <v>161</v>
      </c>
      <c r="C16" s="7" t="s">
        <v>162</v>
      </c>
      <c r="D16" s="18">
        <v>1200000</v>
      </c>
      <c r="E16" s="14">
        <v>30690</v>
      </c>
      <c r="F16" s="14">
        <f t="shared" si="0"/>
        <v>3.8452277971831594</v>
      </c>
    </row>
    <row r="17" spans="1:6" x14ac:dyDescent="0.2">
      <c r="A17" s="7" t="s">
        <v>101</v>
      </c>
      <c r="B17" s="7" t="s">
        <v>102</v>
      </c>
      <c r="C17" s="7" t="s">
        <v>103</v>
      </c>
      <c r="D17" s="18">
        <v>10700000</v>
      </c>
      <c r="E17" s="14">
        <v>28552.95</v>
      </c>
      <c r="F17" s="14">
        <f t="shared" si="0"/>
        <v>3.5774713923617107</v>
      </c>
    </row>
    <row r="18" spans="1:6" x14ac:dyDescent="0.2">
      <c r="A18" s="7" t="s">
        <v>180</v>
      </c>
      <c r="B18" s="7" t="s">
        <v>181</v>
      </c>
      <c r="C18" s="7" t="s">
        <v>28</v>
      </c>
      <c r="D18" s="18">
        <v>3000000</v>
      </c>
      <c r="E18" s="14">
        <v>25161</v>
      </c>
      <c r="F18" s="14">
        <f t="shared" si="0"/>
        <v>3.1524853895381386</v>
      </c>
    </row>
    <row r="19" spans="1:6" x14ac:dyDescent="0.2">
      <c r="A19" s="7" t="s">
        <v>372</v>
      </c>
      <c r="B19" s="7" t="s">
        <v>373</v>
      </c>
      <c r="C19" s="7" t="s">
        <v>162</v>
      </c>
      <c r="D19" s="18">
        <v>275000</v>
      </c>
      <c r="E19" s="14">
        <v>25158.65</v>
      </c>
      <c r="F19" s="14">
        <f t="shared" si="0"/>
        <v>3.1521909520886968</v>
      </c>
    </row>
    <row r="20" spans="1:6" x14ac:dyDescent="0.2">
      <c r="A20" s="7" t="s">
        <v>108</v>
      </c>
      <c r="B20" s="7" t="s">
        <v>109</v>
      </c>
      <c r="C20" s="7" t="s">
        <v>110</v>
      </c>
      <c r="D20" s="18">
        <v>16503184</v>
      </c>
      <c r="E20" s="14">
        <v>21924.479943999999</v>
      </c>
      <c r="F20" s="14">
        <f t="shared" si="0"/>
        <v>2.7469735978968219</v>
      </c>
    </row>
    <row r="21" spans="1:6" x14ac:dyDescent="0.2">
      <c r="A21" s="7" t="s">
        <v>94</v>
      </c>
      <c r="B21" s="7" t="s">
        <v>95</v>
      </c>
      <c r="C21" s="7" t="s">
        <v>96</v>
      </c>
      <c r="D21" s="18">
        <v>6000000</v>
      </c>
      <c r="E21" s="14">
        <v>21315</v>
      </c>
      <c r="F21" s="14">
        <f t="shared" si="0"/>
        <v>2.6706103127063878</v>
      </c>
    </row>
    <row r="22" spans="1:6" x14ac:dyDescent="0.2">
      <c r="A22" s="7" t="s">
        <v>111</v>
      </c>
      <c r="B22" s="7" t="s">
        <v>112</v>
      </c>
      <c r="C22" s="7" t="s">
        <v>20</v>
      </c>
      <c r="D22" s="18">
        <v>3968694</v>
      </c>
      <c r="E22" s="14">
        <v>21260.293758</v>
      </c>
      <c r="F22" s="14">
        <f t="shared" si="0"/>
        <v>2.6637560291476445</v>
      </c>
    </row>
    <row r="23" spans="1:6" x14ac:dyDescent="0.2">
      <c r="A23" s="7" t="s">
        <v>41</v>
      </c>
      <c r="B23" s="7" t="s">
        <v>42</v>
      </c>
      <c r="C23" s="7" t="s">
        <v>43</v>
      </c>
      <c r="D23" s="18">
        <v>385000000</v>
      </c>
      <c r="E23" s="14">
        <v>20597.5</v>
      </c>
      <c r="F23" s="14">
        <f t="shared" si="0"/>
        <v>2.5807129212277657</v>
      </c>
    </row>
    <row r="24" spans="1:6" x14ac:dyDescent="0.2">
      <c r="A24" s="7" t="s">
        <v>99</v>
      </c>
      <c r="B24" s="7" t="s">
        <v>100</v>
      </c>
      <c r="C24" s="7" t="s">
        <v>31</v>
      </c>
      <c r="D24" s="18">
        <v>4116130</v>
      </c>
      <c r="E24" s="14">
        <v>19366.391650000001</v>
      </c>
      <c r="F24" s="14">
        <f t="shared" si="0"/>
        <v>2.4264642392869287</v>
      </c>
    </row>
    <row r="25" spans="1:6" x14ac:dyDescent="0.2">
      <c r="A25" s="7" t="s">
        <v>141</v>
      </c>
      <c r="B25" s="7" t="s">
        <v>667</v>
      </c>
      <c r="C25" s="7" t="s">
        <v>40</v>
      </c>
      <c r="D25" s="18">
        <v>29000000</v>
      </c>
      <c r="E25" s="14">
        <v>15515</v>
      </c>
      <c r="F25" s="14">
        <f t="shared" si="0"/>
        <v>1.9439136289767585</v>
      </c>
    </row>
    <row r="26" spans="1:6" x14ac:dyDescent="0.2">
      <c r="A26" s="7" t="s">
        <v>117</v>
      </c>
      <c r="B26" s="7" t="s">
        <v>118</v>
      </c>
      <c r="C26" s="7" t="s">
        <v>53</v>
      </c>
      <c r="D26" s="18">
        <v>4500000</v>
      </c>
      <c r="E26" s="14">
        <v>14643</v>
      </c>
      <c r="F26" s="14">
        <f t="shared" si="0"/>
        <v>1.8346585413539591</v>
      </c>
    </row>
    <row r="27" spans="1:6" x14ac:dyDescent="0.2">
      <c r="A27" s="7" t="s">
        <v>374</v>
      </c>
      <c r="B27" s="7" t="s">
        <v>375</v>
      </c>
      <c r="C27" s="7" t="s">
        <v>162</v>
      </c>
      <c r="D27" s="18">
        <v>2600000</v>
      </c>
      <c r="E27" s="14">
        <v>14093.3</v>
      </c>
      <c r="F27" s="14">
        <f t="shared" si="0"/>
        <v>1.7657852366908249</v>
      </c>
    </row>
    <row r="28" spans="1:6" x14ac:dyDescent="0.2">
      <c r="A28" s="7" t="s">
        <v>115</v>
      </c>
      <c r="B28" s="7" t="s">
        <v>116</v>
      </c>
      <c r="C28" s="7" t="s">
        <v>103</v>
      </c>
      <c r="D28" s="18">
        <v>9000000</v>
      </c>
      <c r="E28" s="14">
        <v>11682</v>
      </c>
      <c r="F28" s="14">
        <f t="shared" si="0"/>
        <v>1.4636673550568156</v>
      </c>
    </row>
    <row r="29" spans="1:6" x14ac:dyDescent="0.2">
      <c r="A29" s="7" t="s">
        <v>376</v>
      </c>
      <c r="B29" s="7" t="s">
        <v>377</v>
      </c>
      <c r="C29" s="7" t="s">
        <v>53</v>
      </c>
      <c r="D29" s="18">
        <v>12600000</v>
      </c>
      <c r="E29" s="14">
        <v>10319.4</v>
      </c>
      <c r="F29" s="14">
        <f t="shared" si="0"/>
        <v>1.2929437513930235</v>
      </c>
    </row>
    <row r="30" spans="1:6" x14ac:dyDescent="0.2">
      <c r="A30" s="7" t="s">
        <v>135</v>
      </c>
      <c r="B30" s="7" t="s">
        <v>136</v>
      </c>
      <c r="C30" s="7" t="s">
        <v>20</v>
      </c>
      <c r="D30" s="18">
        <v>14755388</v>
      </c>
      <c r="E30" s="14">
        <v>10240.239272000001</v>
      </c>
      <c r="F30" s="14">
        <f t="shared" si="0"/>
        <v>1.283025503372468</v>
      </c>
    </row>
    <row r="31" spans="1:6" x14ac:dyDescent="0.2">
      <c r="A31" s="7" t="s">
        <v>129</v>
      </c>
      <c r="B31" s="7" t="s">
        <v>130</v>
      </c>
      <c r="C31" s="7" t="s">
        <v>20</v>
      </c>
      <c r="D31" s="18">
        <v>3200000</v>
      </c>
      <c r="E31" s="14">
        <v>9265.6</v>
      </c>
      <c r="F31" s="14">
        <f t="shared" si="0"/>
        <v>1.1609104815112505</v>
      </c>
    </row>
    <row r="32" spans="1:6" x14ac:dyDescent="0.2">
      <c r="A32" s="7" t="s">
        <v>137</v>
      </c>
      <c r="B32" s="7" t="s">
        <v>138</v>
      </c>
      <c r="C32" s="7" t="s">
        <v>31</v>
      </c>
      <c r="D32" s="18">
        <v>175000</v>
      </c>
      <c r="E32" s="14">
        <v>7109.8125</v>
      </c>
      <c r="F32" s="14">
        <f t="shared" si="0"/>
        <v>0.89080640787749399</v>
      </c>
    </row>
    <row r="33" spans="1:6" x14ac:dyDescent="0.2">
      <c r="A33" s="7" t="s">
        <v>378</v>
      </c>
      <c r="B33" s="7" t="s">
        <v>379</v>
      </c>
      <c r="C33" s="7" t="s">
        <v>221</v>
      </c>
      <c r="D33" s="18">
        <v>525000</v>
      </c>
      <c r="E33" s="14">
        <v>5535.0749999999998</v>
      </c>
      <c r="F33" s="14">
        <f t="shared" si="0"/>
        <v>0.6935035597749617</v>
      </c>
    </row>
    <row r="34" spans="1:6" x14ac:dyDescent="0.2">
      <c r="A34" s="7" t="s">
        <v>380</v>
      </c>
      <c r="B34" s="7" t="s">
        <v>381</v>
      </c>
      <c r="C34" s="7" t="s">
        <v>28</v>
      </c>
      <c r="D34" s="18">
        <v>1219197</v>
      </c>
      <c r="E34" s="14">
        <v>3707.5780770000001</v>
      </c>
      <c r="F34" s="14">
        <f t="shared" si="0"/>
        <v>0.46453184365940969</v>
      </c>
    </row>
    <row r="35" spans="1:6" x14ac:dyDescent="0.2">
      <c r="A35" s="6" t="s">
        <v>44</v>
      </c>
      <c r="B35" s="7"/>
      <c r="C35" s="7"/>
      <c r="D35" s="18"/>
      <c r="E35" s="20">
        <f xml:space="preserve"> SUM(E8:E34)</f>
        <v>696314.7000340001</v>
      </c>
      <c r="F35" s="20">
        <f>SUM(F8:F34)</f>
        <v>87.243031611534391</v>
      </c>
    </row>
    <row r="36" spans="1:6" x14ac:dyDescent="0.2">
      <c r="A36" s="6"/>
      <c r="B36" s="7"/>
      <c r="C36" s="7"/>
      <c r="D36" s="18"/>
      <c r="E36" s="20"/>
      <c r="F36" s="20"/>
    </row>
    <row r="37" spans="1:6" x14ac:dyDescent="0.2">
      <c r="A37" s="6" t="s">
        <v>45</v>
      </c>
      <c r="B37" s="7"/>
      <c r="C37" s="7"/>
      <c r="D37" s="18"/>
      <c r="E37" s="20"/>
      <c r="F37" s="20"/>
    </row>
    <row r="38" spans="1:6" x14ac:dyDescent="0.2">
      <c r="A38" s="7" t="s">
        <v>588</v>
      </c>
      <c r="B38" s="7" t="s">
        <v>657</v>
      </c>
      <c r="C38" s="27" t="s">
        <v>64</v>
      </c>
      <c r="D38" s="18">
        <v>525000</v>
      </c>
      <c r="E38" s="14">
        <v>23065.443169999999</v>
      </c>
      <c r="F38" s="14">
        <f t="shared" ref="F38" si="1">E38/$E$45*100</f>
        <v>2.8899277690333149</v>
      </c>
    </row>
    <row r="39" spans="1:6" x14ac:dyDescent="0.2">
      <c r="A39" s="6"/>
      <c r="B39" s="7"/>
      <c r="C39" s="7"/>
      <c r="D39" s="18"/>
      <c r="E39" s="20">
        <f>SUM(E38)</f>
        <v>23065.443169999999</v>
      </c>
      <c r="F39" s="20">
        <f>SUM(F38)</f>
        <v>2.8899277690333149</v>
      </c>
    </row>
    <row r="40" spans="1:6" x14ac:dyDescent="0.2">
      <c r="A40" s="6"/>
      <c r="B40" s="7"/>
      <c r="C40" s="7"/>
      <c r="D40" s="18"/>
      <c r="E40" s="20"/>
      <c r="F40" s="20"/>
    </row>
    <row r="41" spans="1:6" x14ac:dyDescent="0.2">
      <c r="A41" s="6" t="s">
        <v>44</v>
      </c>
      <c r="B41" s="7"/>
      <c r="C41" s="7"/>
      <c r="D41" s="18"/>
      <c r="E41" s="20">
        <f>E35+E39</f>
        <v>719380.14320400008</v>
      </c>
      <c r="F41" s="20">
        <f>F35+F39</f>
        <v>90.132959380567712</v>
      </c>
    </row>
    <row r="42" spans="1:6" x14ac:dyDescent="0.2">
      <c r="A42" s="7"/>
      <c r="B42" s="7"/>
      <c r="C42" s="7"/>
      <c r="D42" s="18"/>
      <c r="E42" s="14"/>
      <c r="F42" s="14"/>
    </row>
    <row r="43" spans="1:6" x14ac:dyDescent="0.2">
      <c r="A43" s="6" t="s">
        <v>76</v>
      </c>
      <c r="B43" s="7"/>
      <c r="C43" s="7"/>
      <c r="D43" s="18"/>
      <c r="E43" s="20">
        <v>78752.025259000002</v>
      </c>
      <c r="F43" s="20">
        <f t="shared" ref="F43" si="2">E43/$E$45*100</f>
        <v>9.8670406194322933</v>
      </c>
    </row>
    <row r="44" spans="1:6" x14ac:dyDescent="0.2">
      <c r="A44" s="7"/>
      <c r="B44" s="7"/>
      <c r="C44" s="7"/>
      <c r="D44" s="18"/>
      <c r="E44" s="14"/>
      <c r="F44" s="14"/>
    </row>
    <row r="45" spans="1:6" x14ac:dyDescent="0.2">
      <c r="A45" s="8" t="s">
        <v>77</v>
      </c>
      <c r="B45" s="5"/>
      <c r="C45" s="5"/>
      <c r="D45" s="17"/>
      <c r="E45" s="21">
        <f>E41+E43</f>
        <v>798132.1684630001</v>
      </c>
      <c r="F45" s="21">
        <f xml:space="preserve"> ROUND(SUM(F41:F44),2)</f>
        <v>100</v>
      </c>
    </row>
    <row r="46" spans="1:6" x14ac:dyDescent="0.2">
      <c r="A46" s="2"/>
      <c r="B46" s="2"/>
      <c r="C46" s="2"/>
      <c r="D46" s="2"/>
      <c r="E46" s="1"/>
    </row>
    <row r="47" spans="1:6" x14ac:dyDescent="0.2">
      <c r="A47" s="4" t="s">
        <v>78</v>
      </c>
      <c r="B47" s="2"/>
      <c r="C47" s="2"/>
      <c r="D47" s="2"/>
      <c r="E47" s="1"/>
    </row>
    <row r="48" spans="1:6" x14ac:dyDescent="0.2">
      <c r="A48" s="4" t="s">
        <v>79</v>
      </c>
      <c r="B48" s="2"/>
      <c r="C48" s="2"/>
      <c r="D48" s="2"/>
      <c r="E48" s="1"/>
    </row>
    <row r="49" spans="1:5" x14ac:dyDescent="0.2">
      <c r="A49" s="4" t="s">
        <v>80</v>
      </c>
      <c r="B49" s="2"/>
      <c r="C49" s="2"/>
      <c r="D49" s="2"/>
      <c r="E49" s="1"/>
    </row>
    <row r="50" spans="1:5" x14ac:dyDescent="0.2">
      <c r="A50" s="2" t="s">
        <v>638</v>
      </c>
      <c r="B50" s="2"/>
      <c r="C50" s="2"/>
      <c r="D50" s="10">
        <v>37.538800000000002</v>
      </c>
      <c r="E50" s="2"/>
    </row>
    <row r="51" spans="1:5" x14ac:dyDescent="0.2">
      <c r="A51" s="2" t="s">
        <v>639</v>
      </c>
      <c r="B51" s="2"/>
      <c r="C51" s="2"/>
      <c r="D51" s="10">
        <v>22.070399999999999</v>
      </c>
      <c r="E51" s="2"/>
    </row>
    <row r="52" spans="1:5" x14ac:dyDescent="0.2">
      <c r="A52" s="2" t="s">
        <v>640</v>
      </c>
      <c r="B52" s="2"/>
      <c r="C52" s="2"/>
      <c r="D52" s="10">
        <v>40.103299999999997</v>
      </c>
      <c r="E52" s="2"/>
    </row>
    <row r="53" spans="1:5" x14ac:dyDescent="0.2">
      <c r="A53" s="2" t="s">
        <v>641</v>
      </c>
      <c r="B53" s="2"/>
      <c r="C53" s="2"/>
      <c r="D53" s="10">
        <v>24.0002</v>
      </c>
      <c r="E53" s="2"/>
    </row>
    <row r="54" spans="1:5" x14ac:dyDescent="0.2">
      <c r="A54" s="2"/>
      <c r="B54" s="2"/>
      <c r="C54" s="2"/>
      <c r="D54" s="10"/>
      <c r="E54" s="2"/>
    </row>
    <row r="55" spans="1:5" x14ac:dyDescent="0.2">
      <c r="A55" s="4" t="s">
        <v>81</v>
      </c>
      <c r="B55" s="2"/>
      <c r="C55" s="2"/>
      <c r="D55" s="2"/>
      <c r="E55" s="2"/>
    </row>
    <row r="56" spans="1:5" x14ac:dyDescent="0.2">
      <c r="A56" s="2" t="s">
        <v>638</v>
      </c>
      <c r="B56" s="2"/>
      <c r="C56" s="2"/>
      <c r="D56" s="10">
        <v>38.221600000000002</v>
      </c>
      <c r="E56" s="2"/>
    </row>
    <row r="57" spans="1:5" x14ac:dyDescent="0.2">
      <c r="A57" s="2" t="s">
        <v>639</v>
      </c>
      <c r="B57" s="2"/>
      <c r="C57" s="2"/>
      <c r="D57" s="10">
        <v>20.721800000000002</v>
      </c>
      <c r="E57" s="2"/>
    </row>
    <row r="58" spans="1:5" x14ac:dyDescent="0.2">
      <c r="A58" s="2" t="s">
        <v>640</v>
      </c>
      <c r="B58" s="2"/>
      <c r="C58" s="2"/>
      <c r="D58" s="10">
        <v>41.032699999999998</v>
      </c>
      <c r="E58" s="2"/>
    </row>
    <row r="59" spans="1:5" x14ac:dyDescent="0.2">
      <c r="A59" s="2" t="s">
        <v>641</v>
      </c>
      <c r="B59" s="2"/>
      <c r="C59" s="2"/>
      <c r="D59" s="10">
        <v>22.806100000000001</v>
      </c>
      <c r="E59" s="2"/>
    </row>
    <row r="60" spans="1:5" x14ac:dyDescent="0.2">
      <c r="A60" s="2"/>
      <c r="B60" s="2"/>
      <c r="C60" s="2"/>
      <c r="D60" s="2"/>
      <c r="E60" s="1"/>
    </row>
    <row r="61" spans="1:5" x14ac:dyDescent="0.2">
      <c r="A61" s="4" t="s">
        <v>82</v>
      </c>
      <c r="B61" s="2"/>
      <c r="C61" s="2"/>
      <c r="D61" s="44" t="s">
        <v>299</v>
      </c>
      <c r="E61" s="1"/>
    </row>
    <row r="62" spans="1:5" x14ac:dyDescent="0.2">
      <c r="A62" s="45" t="s">
        <v>642</v>
      </c>
      <c r="B62" s="46"/>
      <c r="C62" s="100" t="s">
        <v>643</v>
      </c>
      <c r="D62" s="101"/>
      <c r="E62" s="1"/>
    </row>
    <row r="63" spans="1:5" x14ac:dyDescent="0.2">
      <c r="A63" s="102"/>
      <c r="B63" s="103"/>
      <c r="C63" s="47" t="s">
        <v>644</v>
      </c>
      <c r="D63" s="47" t="s">
        <v>645</v>
      </c>
      <c r="E63" s="1"/>
    </row>
    <row r="64" spans="1:5" x14ac:dyDescent="0.2">
      <c r="A64" s="48" t="s">
        <v>639</v>
      </c>
      <c r="B64" s="49"/>
      <c r="C64" s="50">
        <v>1.5494648225000001</v>
      </c>
      <c r="D64" s="50">
        <v>1.5494648225000001</v>
      </c>
      <c r="E64" s="1"/>
    </row>
    <row r="65" spans="1:5" x14ac:dyDescent="0.2">
      <c r="A65" s="48" t="s">
        <v>641</v>
      </c>
      <c r="B65" s="49"/>
      <c r="C65" s="50">
        <v>1.5494648225000001</v>
      </c>
      <c r="D65" s="50">
        <v>1.5494648225000001</v>
      </c>
      <c r="E65" s="1"/>
    </row>
    <row r="66" spans="1:5" x14ac:dyDescent="0.2">
      <c r="A66" s="4"/>
      <c r="B66" s="2"/>
      <c r="C66" s="2"/>
      <c r="D66" s="44"/>
      <c r="E66" s="1"/>
    </row>
    <row r="67" spans="1:5" x14ac:dyDescent="0.2">
      <c r="A67" s="9" t="s">
        <v>646</v>
      </c>
      <c r="B67" s="2"/>
      <c r="C67" s="2"/>
      <c r="D67" s="51">
        <v>0.25131629354908397</v>
      </c>
      <c r="E67" s="1"/>
    </row>
    <row r="68" spans="1:5" x14ac:dyDescent="0.2">
      <c r="A68" s="2"/>
      <c r="B68" s="2"/>
      <c r="C68" s="2"/>
      <c r="D68" s="2"/>
      <c r="E68" s="1"/>
    </row>
    <row r="69" spans="1:5" x14ac:dyDescent="0.2">
      <c r="A69" s="2"/>
      <c r="B69" s="2"/>
      <c r="C69" s="2"/>
      <c r="D69" s="2"/>
      <c r="E69" s="1"/>
    </row>
    <row r="70" spans="1:5" x14ac:dyDescent="0.2">
      <c r="A70" s="2"/>
      <c r="B70" s="2"/>
      <c r="C70" s="2"/>
      <c r="D70" s="2"/>
      <c r="E70" s="1"/>
    </row>
  </sheetData>
  <mergeCells count="3">
    <mergeCell ref="A1:F1"/>
    <mergeCell ref="C62:D62"/>
    <mergeCell ref="A63:B6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0F408-2276-4202-825A-5D6687D49CED}">
  <dimension ref="A1:F100"/>
  <sheetViews>
    <sheetView showGridLines="0" workbookViewId="0">
      <selection sqref="A1:F1"/>
    </sheetView>
  </sheetViews>
  <sheetFormatPr defaultRowHeight="11.25" x14ac:dyDescent="0.2"/>
  <cols>
    <col min="1" max="1" width="59.42578125" style="1" bestFit="1" customWidth="1"/>
    <col min="2" max="2" width="43.140625" style="1" bestFit="1" customWidth="1"/>
    <col min="3" max="3" width="20" style="1" bestFit="1" customWidth="1"/>
    <col min="4" max="4" width="11.140625" style="19" bestFit="1" customWidth="1"/>
    <col min="5" max="5" width="24" style="15" bestFit="1" customWidth="1"/>
    <col min="6" max="6" width="14.140625" style="15" bestFit="1" customWidth="1"/>
    <col min="7" max="16384" width="9.140625" style="2"/>
  </cols>
  <sheetData>
    <row r="1" spans="1:6" x14ac:dyDescent="0.2">
      <c r="A1" s="99" t="s">
        <v>336</v>
      </c>
      <c r="B1" s="99"/>
      <c r="C1" s="99"/>
      <c r="D1" s="99"/>
      <c r="E1" s="99"/>
      <c r="F1" s="99"/>
    </row>
    <row r="3" spans="1:6" s="4" customFormat="1" x14ac:dyDescent="0.2">
      <c r="A3" s="3" t="s">
        <v>1</v>
      </c>
      <c r="B3" s="3" t="s">
        <v>2</v>
      </c>
      <c r="C3" s="3" t="s">
        <v>3</v>
      </c>
      <c r="D3" s="16" t="s">
        <v>4</v>
      </c>
      <c r="E3" s="12" t="s">
        <v>5</v>
      </c>
      <c r="F3" s="12" t="s">
        <v>6</v>
      </c>
    </row>
    <row r="4" spans="1:6" x14ac:dyDescent="0.2">
      <c r="A4" s="5"/>
      <c r="B4" s="5"/>
      <c r="C4" s="5"/>
      <c r="D4" s="17"/>
      <c r="E4" s="13"/>
      <c r="F4" s="13"/>
    </row>
    <row r="5" spans="1:6" x14ac:dyDescent="0.2">
      <c r="A5" s="6" t="s">
        <v>7</v>
      </c>
      <c r="B5" s="7"/>
      <c r="C5" s="7"/>
      <c r="D5" s="18"/>
      <c r="E5" s="14"/>
      <c r="F5" s="14"/>
    </row>
    <row r="6" spans="1:6" x14ac:dyDescent="0.2">
      <c r="A6" s="6" t="s">
        <v>8</v>
      </c>
      <c r="B6" s="7"/>
      <c r="C6" s="7"/>
      <c r="D6" s="18"/>
      <c r="E6" s="14"/>
      <c r="F6" s="14"/>
    </row>
    <row r="7" spans="1:6" x14ac:dyDescent="0.2">
      <c r="A7" s="6"/>
      <c r="B7" s="7"/>
      <c r="C7" s="7"/>
      <c r="D7" s="18"/>
      <c r="E7" s="14"/>
      <c r="F7" s="14"/>
    </row>
    <row r="8" spans="1:6" x14ac:dyDescent="0.2">
      <c r="A8" s="7" t="s">
        <v>85</v>
      </c>
      <c r="B8" s="7" t="s">
        <v>86</v>
      </c>
      <c r="C8" s="7" t="s">
        <v>12</v>
      </c>
      <c r="D8" s="18">
        <v>1454200</v>
      </c>
      <c r="E8" s="14">
        <v>5957.1302999999998</v>
      </c>
      <c r="F8" s="14">
        <f t="shared" ref="F8:F43" si="0">E8/$E$76*100</f>
        <v>6.6432058311422306</v>
      </c>
    </row>
    <row r="9" spans="1:6" x14ac:dyDescent="0.2">
      <c r="A9" s="7" t="s">
        <v>156</v>
      </c>
      <c r="B9" s="7" t="s">
        <v>157</v>
      </c>
      <c r="C9" s="7" t="s">
        <v>64</v>
      </c>
      <c r="D9" s="18">
        <v>615444</v>
      </c>
      <c r="E9" s="14">
        <v>5015.2531559999998</v>
      </c>
      <c r="F9" s="14">
        <f t="shared" si="0"/>
        <v>5.5928538294006556</v>
      </c>
    </row>
    <row r="10" spans="1:6" x14ac:dyDescent="0.2">
      <c r="A10" s="7" t="s">
        <v>91</v>
      </c>
      <c r="B10" s="7" t="s">
        <v>92</v>
      </c>
      <c r="C10" s="7" t="s">
        <v>93</v>
      </c>
      <c r="D10" s="18">
        <v>3150145</v>
      </c>
      <c r="E10" s="14">
        <v>3832.1513924999999</v>
      </c>
      <c r="F10" s="14">
        <f t="shared" si="0"/>
        <v>4.2734956588872697</v>
      </c>
    </row>
    <row r="11" spans="1:6" x14ac:dyDescent="0.2">
      <c r="A11" s="7" t="s">
        <v>199</v>
      </c>
      <c r="B11" s="7" t="s">
        <v>200</v>
      </c>
      <c r="C11" s="7" t="s">
        <v>93</v>
      </c>
      <c r="D11" s="18">
        <v>1509054</v>
      </c>
      <c r="E11" s="14">
        <v>3025.6532699999998</v>
      </c>
      <c r="F11" s="14">
        <f t="shared" si="0"/>
        <v>3.3741141177117711</v>
      </c>
    </row>
    <row r="12" spans="1:6" x14ac:dyDescent="0.2">
      <c r="A12" s="7" t="s">
        <v>10</v>
      </c>
      <c r="B12" s="7" t="s">
        <v>11</v>
      </c>
      <c r="C12" s="7" t="s">
        <v>12</v>
      </c>
      <c r="D12" s="18">
        <v>133200</v>
      </c>
      <c r="E12" s="14">
        <v>2967.6293999999998</v>
      </c>
      <c r="F12" s="14">
        <f t="shared" si="0"/>
        <v>3.3094077083976354</v>
      </c>
    </row>
    <row r="13" spans="1:6" x14ac:dyDescent="0.2">
      <c r="A13" s="7" t="s">
        <v>193</v>
      </c>
      <c r="B13" s="7" t="s">
        <v>194</v>
      </c>
      <c r="C13" s="7" t="s">
        <v>103</v>
      </c>
      <c r="D13" s="18">
        <v>1224255</v>
      </c>
      <c r="E13" s="14">
        <v>2691.5246175000002</v>
      </c>
      <c r="F13" s="14">
        <f t="shared" si="0"/>
        <v>3.0015042702085708</v>
      </c>
    </row>
    <row r="14" spans="1:6" x14ac:dyDescent="0.2">
      <c r="A14" s="7" t="s">
        <v>219</v>
      </c>
      <c r="B14" s="7" t="s">
        <v>220</v>
      </c>
      <c r="C14" s="7" t="s">
        <v>221</v>
      </c>
      <c r="D14" s="18">
        <v>434134</v>
      </c>
      <c r="E14" s="14">
        <v>2536.6449619999999</v>
      </c>
      <c r="F14" s="14">
        <f t="shared" si="0"/>
        <v>2.8287873110809683</v>
      </c>
    </row>
    <row r="15" spans="1:6" x14ac:dyDescent="0.2">
      <c r="A15" s="7" t="s">
        <v>304</v>
      </c>
      <c r="B15" s="7" t="s">
        <v>305</v>
      </c>
      <c r="C15" s="7" t="s">
        <v>28</v>
      </c>
      <c r="D15" s="18">
        <v>284585</v>
      </c>
      <c r="E15" s="14">
        <v>2194.4349350000002</v>
      </c>
      <c r="F15" s="14">
        <f t="shared" si="0"/>
        <v>2.4471653668972499</v>
      </c>
    </row>
    <row r="16" spans="1:6" x14ac:dyDescent="0.2">
      <c r="A16" s="7" t="s">
        <v>269</v>
      </c>
      <c r="B16" s="7" t="s">
        <v>270</v>
      </c>
      <c r="C16" s="7" t="s">
        <v>31</v>
      </c>
      <c r="D16" s="18">
        <v>419757</v>
      </c>
      <c r="E16" s="14">
        <v>2113.896252</v>
      </c>
      <c r="F16" s="14">
        <f t="shared" si="0"/>
        <v>2.3573511406517511</v>
      </c>
    </row>
    <row r="17" spans="1:6" x14ac:dyDescent="0.2">
      <c r="A17" s="7" t="s">
        <v>101</v>
      </c>
      <c r="B17" s="7" t="s">
        <v>102</v>
      </c>
      <c r="C17" s="7" t="s">
        <v>103</v>
      </c>
      <c r="D17" s="18">
        <v>753388</v>
      </c>
      <c r="E17" s="14">
        <v>2010.415878</v>
      </c>
      <c r="F17" s="14">
        <f t="shared" si="0"/>
        <v>2.241953056449097</v>
      </c>
    </row>
    <row r="18" spans="1:6" x14ac:dyDescent="0.2">
      <c r="A18" s="7" t="s">
        <v>197</v>
      </c>
      <c r="B18" s="7" t="s">
        <v>198</v>
      </c>
      <c r="C18" s="7" t="s">
        <v>93</v>
      </c>
      <c r="D18" s="18">
        <v>3113566</v>
      </c>
      <c r="E18" s="14">
        <v>1766.948705</v>
      </c>
      <c r="F18" s="14">
        <f t="shared" si="0"/>
        <v>1.9704460619881377</v>
      </c>
    </row>
    <row r="19" spans="1:6" x14ac:dyDescent="0.2">
      <c r="A19" s="7" t="s">
        <v>214</v>
      </c>
      <c r="B19" s="7" t="s">
        <v>215</v>
      </c>
      <c r="C19" s="7" t="s">
        <v>216</v>
      </c>
      <c r="D19" s="18">
        <v>1002100</v>
      </c>
      <c r="E19" s="14">
        <v>1716.0962500000001</v>
      </c>
      <c r="F19" s="14">
        <f t="shared" si="0"/>
        <v>1.9137369909134463</v>
      </c>
    </row>
    <row r="20" spans="1:6" x14ac:dyDescent="0.2">
      <c r="A20" s="7" t="s">
        <v>237</v>
      </c>
      <c r="B20" s="7" t="s">
        <v>238</v>
      </c>
      <c r="C20" s="7" t="s">
        <v>28</v>
      </c>
      <c r="D20" s="18">
        <v>1505501</v>
      </c>
      <c r="E20" s="14">
        <v>1688.4193714999999</v>
      </c>
      <c r="F20" s="14">
        <f t="shared" si="0"/>
        <v>1.8828725996076163</v>
      </c>
    </row>
    <row r="21" spans="1:6" x14ac:dyDescent="0.2">
      <c r="A21" s="7" t="s">
        <v>212</v>
      </c>
      <c r="B21" s="7" t="s">
        <v>213</v>
      </c>
      <c r="C21" s="7" t="s">
        <v>96</v>
      </c>
      <c r="D21" s="18">
        <v>639633</v>
      </c>
      <c r="E21" s="14">
        <v>1664.0052495</v>
      </c>
      <c r="F21" s="14">
        <f t="shared" si="0"/>
        <v>1.855646732543299</v>
      </c>
    </row>
    <row r="22" spans="1:6" x14ac:dyDescent="0.2">
      <c r="A22" s="7" t="s">
        <v>306</v>
      </c>
      <c r="B22" s="7" t="s">
        <v>307</v>
      </c>
      <c r="C22" s="7" t="s">
        <v>110</v>
      </c>
      <c r="D22" s="18">
        <v>1517846</v>
      </c>
      <c r="E22" s="14">
        <v>1646.8629100000001</v>
      </c>
      <c r="F22" s="14">
        <f t="shared" si="0"/>
        <v>1.8365301304226742</v>
      </c>
    </row>
    <row r="23" spans="1:6" x14ac:dyDescent="0.2">
      <c r="A23" s="7" t="s">
        <v>235</v>
      </c>
      <c r="B23" s="7" t="s">
        <v>236</v>
      </c>
      <c r="C23" s="7" t="s">
        <v>64</v>
      </c>
      <c r="D23" s="18">
        <v>221952</v>
      </c>
      <c r="E23" s="14">
        <v>1539.570048</v>
      </c>
      <c r="F23" s="14">
        <f t="shared" si="0"/>
        <v>1.7168804785628953</v>
      </c>
    </row>
    <row r="24" spans="1:6" x14ac:dyDescent="0.2">
      <c r="A24" s="7" t="s">
        <v>172</v>
      </c>
      <c r="B24" s="7" t="s">
        <v>173</v>
      </c>
      <c r="C24" s="7" t="s">
        <v>53</v>
      </c>
      <c r="D24" s="18">
        <v>214691</v>
      </c>
      <c r="E24" s="14">
        <v>1526.3456645000001</v>
      </c>
      <c r="F24" s="14">
        <f t="shared" si="0"/>
        <v>1.7021330587220935</v>
      </c>
    </row>
    <row r="25" spans="1:6" x14ac:dyDescent="0.2">
      <c r="A25" s="7" t="s">
        <v>195</v>
      </c>
      <c r="B25" s="7" t="s">
        <v>196</v>
      </c>
      <c r="C25" s="7" t="s">
        <v>37</v>
      </c>
      <c r="D25" s="18">
        <v>114045</v>
      </c>
      <c r="E25" s="14">
        <v>1453.5605475</v>
      </c>
      <c r="F25" s="14">
        <f t="shared" si="0"/>
        <v>1.6209653673464712</v>
      </c>
    </row>
    <row r="26" spans="1:6" x14ac:dyDescent="0.2">
      <c r="A26" s="7" t="s">
        <v>308</v>
      </c>
      <c r="B26" s="7" t="s">
        <v>309</v>
      </c>
      <c r="C26" s="7" t="s">
        <v>310</v>
      </c>
      <c r="D26" s="18">
        <v>747000</v>
      </c>
      <c r="E26" s="14">
        <v>1380.0825</v>
      </c>
      <c r="F26" s="14">
        <f t="shared" si="0"/>
        <v>1.5390249414986521</v>
      </c>
    </row>
    <row r="27" spans="1:6" x14ac:dyDescent="0.2">
      <c r="A27" s="7" t="s">
        <v>311</v>
      </c>
      <c r="B27" s="7" t="s">
        <v>312</v>
      </c>
      <c r="C27" s="7" t="s">
        <v>53</v>
      </c>
      <c r="D27" s="18">
        <v>126875</v>
      </c>
      <c r="E27" s="14">
        <v>1305.7974999999999</v>
      </c>
      <c r="F27" s="14">
        <f t="shared" si="0"/>
        <v>1.4561846274020473</v>
      </c>
    </row>
    <row r="28" spans="1:6" x14ac:dyDescent="0.2">
      <c r="A28" s="7" t="s">
        <v>313</v>
      </c>
      <c r="B28" s="7" t="s">
        <v>314</v>
      </c>
      <c r="C28" s="7" t="s">
        <v>53</v>
      </c>
      <c r="D28" s="18">
        <v>140800</v>
      </c>
      <c r="E28" s="14">
        <v>1267.4112</v>
      </c>
      <c r="F28" s="14">
        <f t="shared" si="0"/>
        <v>1.4133774234038448</v>
      </c>
    </row>
    <row r="29" spans="1:6" x14ac:dyDescent="0.2">
      <c r="A29" s="7" t="s">
        <v>231</v>
      </c>
      <c r="B29" s="7" t="s">
        <v>232</v>
      </c>
      <c r="C29" s="7" t="s">
        <v>12</v>
      </c>
      <c r="D29" s="18">
        <v>1505600</v>
      </c>
      <c r="E29" s="14">
        <v>1248.1424</v>
      </c>
      <c r="F29" s="14">
        <f t="shared" si="0"/>
        <v>1.3918894588852384</v>
      </c>
    </row>
    <row r="30" spans="1:6" x14ac:dyDescent="0.2">
      <c r="A30" s="7" t="s">
        <v>315</v>
      </c>
      <c r="B30" s="7" t="s">
        <v>316</v>
      </c>
      <c r="C30" s="7" t="s">
        <v>317</v>
      </c>
      <c r="D30" s="18">
        <v>136944</v>
      </c>
      <c r="E30" s="14">
        <v>1194.4255680000001</v>
      </c>
      <c r="F30" s="14">
        <f t="shared" si="0"/>
        <v>1.3319861239568609</v>
      </c>
    </row>
    <row r="31" spans="1:6" x14ac:dyDescent="0.2">
      <c r="A31" s="7" t="s">
        <v>318</v>
      </c>
      <c r="B31" s="7" t="s">
        <v>319</v>
      </c>
      <c r="C31" s="7" t="s">
        <v>162</v>
      </c>
      <c r="D31" s="18">
        <v>494940</v>
      </c>
      <c r="E31" s="14">
        <v>1166.07864</v>
      </c>
      <c r="F31" s="14">
        <f t="shared" si="0"/>
        <v>1.3003745143560821</v>
      </c>
    </row>
    <row r="32" spans="1:6" x14ac:dyDescent="0.2">
      <c r="A32" s="7" t="s">
        <v>160</v>
      </c>
      <c r="B32" s="7" t="s">
        <v>161</v>
      </c>
      <c r="C32" s="7" t="s">
        <v>162</v>
      </c>
      <c r="D32" s="18">
        <v>40000</v>
      </c>
      <c r="E32" s="14">
        <v>1023</v>
      </c>
      <c r="F32" s="14">
        <f t="shared" si="0"/>
        <v>1.1408176794888139</v>
      </c>
    </row>
    <row r="33" spans="1:6" x14ac:dyDescent="0.2">
      <c r="A33" s="7" t="s">
        <v>133</v>
      </c>
      <c r="B33" s="7" t="s">
        <v>134</v>
      </c>
      <c r="C33" s="7" t="s">
        <v>25</v>
      </c>
      <c r="D33" s="18">
        <v>2209748</v>
      </c>
      <c r="E33" s="14">
        <v>920.36004200000002</v>
      </c>
      <c r="F33" s="14">
        <f t="shared" si="0"/>
        <v>1.0263568009859896</v>
      </c>
    </row>
    <row r="34" spans="1:6" x14ac:dyDescent="0.2">
      <c r="A34" s="7" t="s">
        <v>320</v>
      </c>
      <c r="B34" s="7" t="s">
        <v>321</v>
      </c>
      <c r="C34" s="7" t="s">
        <v>40</v>
      </c>
      <c r="D34" s="18">
        <v>32930</v>
      </c>
      <c r="E34" s="14">
        <v>918.18718999999999</v>
      </c>
      <c r="F34" s="14">
        <f t="shared" si="0"/>
        <v>1.0239337042347554</v>
      </c>
    </row>
    <row r="35" spans="1:6" x14ac:dyDescent="0.2">
      <c r="A35" s="7" t="s">
        <v>119</v>
      </c>
      <c r="B35" s="7" t="s">
        <v>120</v>
      </c>
      <c r="C35" s="7" t="s">
        <v>51</v>
      </c>
      <c r="D35" s="18">
        <v>753071</v>
      </c>
      <c r="E35" s="14">
        <v>912.72205199999996</v>
      </c>
      <c r="F35" s="14">
        <f t="shared" si="0"/>
        <v>1.0178391528650133</v>
      </c>
    </row>
    <row r="36" spans="1:6" x14ac:dyDescent="0.2">
      <c r="A36" s="7" t="s">
        <v>104</v>
      </c>
      <c r="B36" s="7" t="s">
        <v>105</v>
      </c>
      <c r="C36" s="7" t="s">
        <v>96</v>
      </c>
      <c r="D36" s="18">
        <v>672460</v>
      </c>
      <c r="E36" s="14">
        <v>823.42727000000002</v>
      </c>
      <c r="F36" s="14">
        <f t="shared" si="0"/>
        <v>0.91826039822992078</v>
      </c>
    </row>
    <row r="37" spans="1:6" x14ac:dyDescent="0.2">
      <c r="A37" s="7" t="s">
        <v>163</v>
      </c>
      <c r="B37" s="7" t="s">
        <v>164</v>
      </c>
      <c r="C37" s="7" t="s">
        <v>40</v>
      </c>
      <c r="D37" s="18">
        <v>155566</v>
      </c>
      <c r="E37" s="14">
        <v>822.63300800000002</v>
      </c>
      <c r="F37" s="14">
        <f t="shared" si="0"/>
        <v>0.91737466203075557</v>
      </c>
    </row>
    <row r="38" spans="1:6" x14ac:dyDescent="0.2">
      <c r="A38" s="7" t="s">
        <v>253</v>
      </c>
      <c r="B38" s="7" t="s">
        <v>254</v>
      </c>
      <c r="C38" s="7" t="s">
        <v>40</v>
      </c>
      <c r="D38" s="18">
        <v>1239545</v>
      </c>
      <c r="E38" s="14">
        <v>798.88675249999994</v>
      </c>
      <c r="F38" s="14">
        <f t="shared" si="0"/>
        <v>0.89089357884790266</v>
      </c>
    </row>
    <row r="39" spans="1:6" x14ac:dyDescent="0.2">
      <c r="A39" s="7" t="s">
        <v>233</v>
      </c>
      <c r="B39" s="7" t="s">
        <v>234</v>
      </c>
      <c r="C39" s="7" t="s">
        <v>216</v>
      </c>
      <c r="D39" s="18">
        <v>99400</v>
      </c>
      <c r="E39" s="14">
        <v>739.98329999999999</v>
      </c>
      <c r="F39" s="14">
        <f t="shared" si="0"/>
        <v>0.82520628657524431</v>
      </c>
    </row>
    <row r="40" spans="1:6" x14ac:dyDescent="0.2">
      <c r="A40" s="7" t="s">
        <v>141</v>
      </c>
      <c r="B40" s="7" t="s">
        <v>667</v>
      </c>
      <c r="C40" s="7" t="s">
        <v>40</v>
      </c>
      <c r="D40" s="18">
        <v>1158906</v>
      </c>
      <c r="E40" s="14">
        <v>620.01471000000004</v>
      </c>
      <c r="F40" s="14">
        <f t="shared" si="0"/>
        <v>0.69142105836865098</v>
      </c>
    </row>
    <row r="41" spans="1:6" x14ac:dyDescent="0.2">
      <c r="A41" s="7" t="s">
        <v>115</v>
      </c>
      <c r="B41" s="7" t="s">
        <v>116</v>
      </c>
      <c r="C41" s="7" t="s">
        <v>103</v>
      </c>
      <c r="D41" s="18">
        <v>471258</v>
      </c>
      <c r="E41" s="14">
        <v>611.69288400000005</v>
      </c>
      <c r="F41" s="14">
        <f t="shared" si="0"/>
        <v>0.68214081767810386</v>
      </c>
    </row>
    <row r="42" spans="1:6" x14ac:dyDescent="0.2">
      <c r="A42" s="7" t="s">
        <v>250</v>
      </c>
      <c r="B42" s="7" t="s">
        <v>251</v>
      </c>
      <c r="C42" s="7" t="s">
        <v>252</v>
      </c>
      <c r="D42" s="18">
        <v>439349</v>
      </c>
      <c r="E42" s="14">
        <v>553.79941450000001</v>
      </c>
      <c r="F42" s="14">
        <f t="shared" si="0"/>
        <v>0.61757982693270175</v>
      </c>
    </row>
    <row r="43" spans="1:6" x14ac:dyDescent="0.2">
      <c r="A43" s="7" t="s">
        <v>322</v>
      </c>
      <c r="B43" s="7" t="s">
        <v>323</v>
      </c>
      <c r="C43" s="7" t="s">
        <v>110</v>
      </c>
      <c r="D43" s="18">
        <v>192709</v>
      </c>
      <c r="E43" s="14">
        <v>462.30889100000002</v>
      </c>
      <c r="F43" s="14">
        <f t="shared" si="0"/>
        <v>0.51555244989019255</v>
      </c>
    </row>
    <row r="44" spans="1:6" x14ac:dyDescent="0.2">
      <c r="A44" s="6" t="s">
        <v>44</v>
      </c>
      <c r="B44" s="7"/>
      <c r="C44" s="7"/>
      <c r="D44" s="18"/>
      <c r="E44" s="20">
        <f xml:space="preserve"> SUM(E8:E43)</f>
        <v>62115.49623099999</v>
      </c>
      <c r="F44" s="20">
        <f>SUM(F8:F43)</f>
        <v>69.269263216564582</v>
      </c>
    </row>
    <row r="45" spans="1:6" x14ac:dyDescent="0.2">
      <c r="A45" s="6"/>
      <c r="B45" s="7"/>
      <c r="C45" s="7"/>
      <c r="D45" s="18"/>
      <c r="E45" s="20"/>
      <c r="F45" s="20"/>
    </row>
    <row r="46" spans="1:6" x14ac:dyDescent="0.2">
      <c r="A46" s="6" t="s">
        <v>615</v>
      </c>
      <c r="B46" s="7"/>
      <c r="C46" s="7"/>
      <c r="D46" s="18"/>
      <c r="E46" s="14"/>
      <c r="F46" s="14"/>
    </row>
    <row r="47" spans="1:6" x14ac:dyDescent="0.2">
      <c r="A47" s="27" t="s">
        <v>616</v>
      </c>
      <c r="B47" s="7" t="s">
        <v>595</v>
      </c>
      <c r="C47" s="7"/>
      <c r="D47" s="18">
        <v>439200</v>
      </c>
      <c r="E47" s="14">
        <v>1719.64</v>
      </c>
      <c r="F47" s="14">
        <f>E47/$E$76*100</f>
        <v>1.9176888703383619</v>
      </c>
    </row>
    <row r="48" spans="1:6" x14ac:dyDescent="0.2">
      <c r="A48" s="6" t="s">
        <v>44</v>
      </c>
      <c r="B48" s="7"/>
      <c r="C48" s="7"/>
      <c r="D48" s="18"/>
      <c r="E48" s="20">
        <f>SUM(E47)</f>
        <v>1719.64</v>
      </c>
      <c r="F48" s="20">
        <f>SUM(F47)</f>
        <v>1.9176888703383619</v>
      </c>
    </row>
    <row r="49" spans="1:6" x14ac:dyDescent="0.2">
      <c r="A49" s="7"/>
      <c r="B49" s="7"/>
      <c r="C49" s="7"/>
      <c r="D49" s="18"/>
      <c r="E49" s="14"/>
      <c r="F49" s="14"/>
    </row>
    <row r="50" spans="1:6" x14ac:dyDescent="0.2">
      <c r="A50" s="6" t="s">
        <v>45</v>
      </c>
      <c r="B50" s="7"/>
      <c r="C50" s="7"/>
      <c r="D50" s="18"/>
      <c r="E50" s="14"/>
      <c r="F50" s="14"/>
    </row>
    <row r="51" spans="1:6" x14ac:dyDescent="0.2">
      <c r="A51" s="7"/>
      <c r="B51" s="7"/>
      <c r="C51" s="7"/>
      <c r="D51" s="18"/>
      <c r="E51" s="14"/>
      <c r="F51" s="14"/>
    </row>
    <row r="52" spans="1:6" x14ac:dyDescent="0.2">
      <c r="A52" s="7" t="s">
        <v>330</v>
      </c>
      <c r="B52" s="27" t="s">
        <v>698</v>
      </c>
      <c r="C52" s="27" t="s">
        <v>228</v>
      </c>
      <c r="D52" s="18">
        <v>8075983</v>
      </c>
      <c r="E52" s="14">
        <v>3648.0116819999998</v>
      </c>
      <c r="F52" s="14">
        <v>4.0681487994206496</v>
      </c>
    </row>
    <row r="53" spans="1:6" x14ac:dyDescent="0.2">
      <c r="A53" s="7" t="s">
        <v>596</v>
      </c>
      <c r="B53" s="27" t="s">
        <v>699</v>
      </c>
      <c r="C53" s="27" t="s">
        <v>110</v>
      </c>
      <c r="D53" s="18">
        <v>2562198</v>
      </c>
      <c r="E53" s="14">
        <v>2101.999836</v>
      </c>
      <c r="F53" s="14">
        <v>2.3440846287305841</v>
      </c>
    </row>
    <row r="54" spans="1:6" x14ac:dyDescent="0.2">
      <c r="A54" s="7" t="s">
        <v>600</v>
      </c>
      <c r="B54" s="27" t="s">
        <v>700</v>
      </c>
      <c r="C54" s="27" t="s">
        <v>37</v>
      </c>
      <c r="D54" s="18">
        <v>851378</v>
      </c>
      <c r="E54" s="14">
        <v>1755.410905</v>
      </c>
      <c r="F54" s="14">
        <v>1.9575794674403311</v>
      </c>
    </row>
    <row r="55" spans="1:6" x14ac:dyDescent="0.2">
      <c r="A55" s="7" t="s">
        <v>326</v>
      </c>
      <c r="B55" s="27" t="s">
        <v>701</v>
      </c>
      <c r="C55" s="27" t="s">
        <v>162</v>
      </c>
      <c r="D55" s="18">
        <v>2678400</v>
      </c>
      <c r="E55" s="14">
        <v>1488.498339</v>
      </c>
      <c r="F55" s="14">
        <v>1.6599269022687526</v>
      </c>
    </row>
    <row r="56" spans="1:6" x14ac:dyDescent="0.2">
      <c r="A56" s="7" t="s">
        <v>598</v>
      </c>
      <c r="B56" s="27" t="s">
        <v>702</v>
      </c>
      <c r="C56" s="27" t="s">
        <v>216</v>
      </c>
      <c r="D56" s="18">
        <v>340000</v>
      </c>
      <c r="E56" s="14">
        <v>1360.0607069999999</v>
      </c>
      <c r="F56" s="14">
        <v>1.5166972626819704</v>
      </c>
    </row>
    <row r="57" spans="1:6" x14ac:dyDescent="0.2">
      <c r="A57" s="7" t="s">
        <v>61</v>
      </c>
      <c r="B57" s="27" t="s">
        <v>695</v>
      </c>
      <c r="C57" s="27" t="s">
        <v>37</v>
      </c>
      <c r="D57" s="18">
        <v>440700</v>
      </c>
      <c r="E57" s="14">
        <v>1313.0518059999999</v>
      </c>
      <c r="F57" s="14">
        <v>1.4642744030982562</v>
      </c>
    </row>
    <row r="58" spans="1:6" x14ac:dyDescent="0.2">
      <c r="A58" s="7" t="s">
        <v>329</v>
      </c>
      <c r="B58" s="27" t="s">
        <v>703</v>
      </c>
      <c r="C58" s="27" t="s">
        <v>72</v>
      </c>
      <c r="D58" s="18">
        <v>3204100</v>
      </c>
      <c r="E58" s="14">
        <v>1309.9047029999999</v>
      </c>
      <c r="F58" s="14">
        <v>1.4607648520312257</v>
      </c>
    </row>
    <row r="59" spans="1:6" x14ac:dyDescent="0.2">
      <c r="A59" s="7" t="s">
        <v>324</v>
      </c>
      <c r="B59" s="27" t="s">
        <v>704</v>
      </c>
      <c r="C59" s="27" t="s">
        <v>110</v>
      </c>
      <c r="D59" s="18">
        <v>2017335</v>
      </c>
      <c r="E59" s="14">
        <v>1264.7083500000001</v>
      </c>
      <c r="F59" s="14">
        <v>1.4103632894204565</v>
      </c>
    </row>
    <row r="60" spans="1:6" x14ac:dyDescent="0.2">
      <c r="A60" s="7" t="s">
        <v>599</v>
      </c>
      <c r="B60" s="27" t="s">
        <v>705</v>
      </c>
      <c r="C60" s="27" t="s">
        <v>162</v>
      </c>
      <c r="D60" s="18">
        <v>5150</v>
      </c>
      <c r="E60" s="14">
        <v>1073.501133</v>
      </c>
      <c r="F60" s="14">
        <v>1.1971349672313514</v>
      </c>
    </row>
    <row r="61" spans="1:6" x14ac:dyDescent="0.2">
      <c r="A61" s="7" t="s">
        <v>334</v>
      </c>
      <c r="B61" s="27" t="s">
        <v>706</v>
      </c>
      <c r="C61" s="27" t="s">
        <v>162</v>
      </c>
      <c r="D61" s="18">
        <v>500000</v>
      </c>
      <c r="E61" s="14">
        <v>948.33385739999994</v>
      </c>
      <c r="F61" s="14">
        <v>1.057552327057423</v>
      </c>
    </row>
    <row r="62" spans="1:6" x14ac:dyDescent="0.2">
      <c r="A62" s="7" t="s">
        <v>327</v>
      </c>
      <c r="B62" s="27" t="s">
        <v>707</v>
      </c>
      <c r="C62" s="27" t="s">
        <v>64</v>
      </c>
      <c r="D62" s="18">
        <v>633055</v>
      </c>
      <c r="E62" s="14">
        <v>909.28870549999999</v>
      </c>
      <c r="F62" s="14">
        <v>1.0140103919783945</v>
      </c>
    </row>
    <row r="63" spans="1:6" x14ac:dyDescent="0.2">
      <c r="A63" s="7" t="s">
        <v>333</v>
      </c>
      <c r="B63" s="27" t="s">
        <v>708</v>
      </c>
      <c r="C63" s="27" t="s">
        <v>635</v>
      </c>
      <c r="D63" s="18">
        <v>187038</v>
      </c>
      <c r="E63" s="14">
        <v>794.97954340000001</v>
      </c>
      <c r="F63" s="14">
        <v>0.8865363811756255</v>
      </c>
    </row>
    <row r="64" spans="1:6" x14ac:dyDescent="0.2">
      <c r="A64" s="7" t="s">
        <v>332</v>
      </c>
      <c r="B64" s="27" t="s">
        <v>709</v>
      </c>
      <c r="C64" s="27" t="s">
        <v>162</v>
      </c>
      <c r="D64" s="18">
        <v>70700</v>
      </c>
      <c r="E64" s="14">
        <v>735.09584799999993</v>
      </c>
      <c r="F64" s="14">
        <v>0.81975595260725498</v>
      </c>
    </row>
    <row r="65" spans="1:6" x14ac:dyDescent="0.2">
      <c r="A65" s="7" t="s">
        <v>331</v>
      </c>
      <c r="B65" s="27" t="s">
        <v>710</v>
      </c>
      <c r="C65" s="27" t="s">
        <v>12</v>
      </c>
      <c r="D65" s="18">
        <v>300000</v>
      </c>
      <c r="E65" s="14">
        <v>716.59457400000008</v>
      </c>
      <c r="F65" s="14">
        <v>0.79912390913485365</v>
      </c>
    </row>
    <row r="66" spans="1:6" x14ac:dyDescent="0.2">
      <c r="A66" s="7" t="s">
        <v>335</v>
      </c>
      <c r="B66" s="27" t="s">
        <v>711</v>
      </c>
      <c r="C66" s="27" t="s">
        <v>631</v>
      </c>
      <c r="D66" s="18">
        <v>500000</v>
      </c>
      <c r="E66" s="14">
        <v>675.25940930000002</v>
      </c>
      <c r="F66" s="14">
        <v>0.75302822323618102</v>
      </c>
    </row>
    <row r="67" spans="1:6" x14ac:dyDescent="0.2">
      <c r="A67" s="7" t="s">
        <v>325</v>
      </c>
      <c r="B67" s="27" t="s">
        <v>712</v>
      </c>
      <c r="C67" s="27" t="s">
        <v>15</v>
      </c>
      <c r="D67" s="18">
        <v>2826000</v>
      </c>
      <c r="E67" s="14">
        <v>526.08746039999994</v>
      </c>
      <c r="F67" s="14">
        <v>0.58667632041221041</v>
      </c>
    </row>
    <row r="68" spans="1:6" x14ac:dyDescent="0.2">
      <c r="A68" s="7" t="s">
        <v>597</v>
      </c>
      <c r="B68" s="27" t="s">
        <v>713</v>
      </c>
      <c r="C68" s="27" t="s">
        <v>28</v>
      </c>
      <c r="D68" s="18">
        <v>25000</v>
      </c>
      <c r="E68" s="14">
        <v>490.12590460000001</v>
      </c>
      <c r="F68" s="14">
        <v>0.54657311548692844</v>
      </c>
    </row>
    <row r="69" spans="1:6" x14ac:dyDescent="0.2">
      <c r="A69" s="7" t="s">
        <v>328</v>
      </c>
      <c r="B69" s="27" t="s">
        <v>714</v>
      </c>
      <c r="C69" s="27" t="s">
        <v>28</v>
      </c>
      <c r="D69" s="18">
        <v>500000</v>
      </c>
      <c r="E69" s="14">
        <v>408.36514319999998</v>
      </c>
      <c r="F69" s="14">
        <v>0.45539606554207351</v>
      </c>
    </row>
    <row r="70" spans="1:6" x14ac:dyDescent="0.2">
      <c r="A70" s="6" t="s">
        <v>44</v>
      </c>
      <c r="B70" s="7"/>
      <c r="C70" s="7"/>
      <c r="D70" s="18"/>
      <c r="E70" s="20">
        <f>SUM(E52:E69)</f>
        <v>21519.277906800002</v>
      </c>
      <c r="F70" s="20">
        <f>SUM(F52:F69)</f>
        <v>23.997627258954523</v>
      </c>
    </row>
    <row r="71" spans="1:6" x14ac:dyDescent="0.2">
      <c r="A71" s="7"/>
      <c r="B71" s="7"/>
      <c r="C71" s="7"/>
      <c r="D71" s="18"/>
      <c r="E71" s="14"/>
      <c r="F71" s="14"/>
    </row>
    <row r="72" spans="1:6" x14ac:dyDescent="0.2">
      <c r="A72" s="6" t="s">
        <v>44</v>
      </c>
      <c r="B72" s="7"/>
      <c r="C72" s="7"/>
      <c r="D72" s="18"/>
      <c r="E72" s="20">
        <f>E44+E70+E48</f>
        <v>85354.414137799991</v>
      </c>
      <c r="F72" s="20">
        <f>F44+F70+F48</f>
        <v>95.184579345857472</v>
      </c>
    </row>
    <row r="73" spans="1:6" x14ac:dyDescent="0.2">
      <c r="A73" s="7"/>
      <c r="B73" s="7"/>
      <c r="C73" s="7"/>
      <c r="D73" s="18"/>
      <c r="E73" s="14"/>
      <c r="F73" s="14"/>
    </row>
    <row r="74" spans="1:6" x14ac:dyDescent="0.2">
      <c r="A74" s="6" t="s">
        <v>76</v>
      </c>
      <c r="B74" s="7"/>
      <c r="C74" s="7"/>
      <c r="D74" s="18"/>
      <c r="E74" s="20">
        <v>4318.1092103999999</v>
      </c>
      <c r="F74" s="20">
        <f t="shared" ref="F74" si="1">E74/$E$76*100</f>
        <v>4.8154206541425246</v>
      </c>
    </row>
    <row r="75" spans="1:6" x14ac:dyDescent="0.2">
      <c r="A75" s="7"/>
      <c r="B75" s="7"/>
      <c r="C75" s="7"/>
      <c r="D75" s="18"/>
      <c r="E75" s="14"/>
      <c r="F75" s="14"/>
    </row>
    <row r="76" spans="1:6" x14ac:dyDescent="0.2">
      <c r="A76" s="8" t="s">
        <v>77</v>
      </c>
      <c r="B76" s="5"/>
      <c r="C76" s="5"/>
      <c r="D76" s="17"/>
      <c r="E76" s="21">
        <f>E72+E74</f>
        <v>89672.523348199989</v>
      </c>
      <c r="F76" s="21">
        <f xml:space="preserve"> ROUND(SUM(F72:F75),2)</f>
        <v>100</v>
      </c>
    </row>
    <row r="77" spans="1:6" x14ac:dyDescent="0.2">
      <c r="A77" s="2"/>
      <c r="B77" s="2"/>
      <c r="C77" s="2"/>
      <c r="D77" s="2"/>
      <c r="E77" s="1"/>
    </row>
    <row r="78" spans="1:6" x14ac:dyDescent="0.2">
      <c r="A78" s="4" t="s">
        <v>78</v>
      </c>
      <c r="B78" s="2"/>
      <c r="C78" s="2"/>
      <c r="D78" s="2"/>
      <c r="E78" s="1"/>
    </row>
    <row r="79" spans="1:6" x14ac:dyDescent="0.2">
      <c r="A79" s="4" t="s">
        <v>79</v>
      </c>
      <c r="B79" s="2"/>
      <c r="C79" s="2"/>
      <c r="D79" s="2"/>
      <c r="E79" s="1"/>
    </row>
    <row r="80" spans="1:6" x14ac:dyDescent="0.2">
      <c r="A80" s="4" t="s">
        <v>80</v>
      </c>
      <c r="B80" s="2"/>
      <c r="C80" s="2"/>
      <c r="D80" s="2"/>
      <c r="E80" s="1"/>
    </row>
    <row r="81" spans="1:5" x14ac:dyDescent="0.2">
      <c r="A81" s="2" t="s">
        <v>638</v>
      </c>
      <c r="B81" s="2"/>
      <c r="C81" s="2"/>
      <c r="D81" s="10">
        <v>44.726799999999997</v>
      </c>
      <c r="E81" s="2"/>
    </row>
    <row r="82" spans="1:5" x14ac:dyDescent="0.2">
      <c r="A82" s="2" t="s">
        <v>639</v>
      </c>
      <c r="B82" s="2"/>
      <c r="C82" s="2"/>
      <c r="D82" s="10">
        <v>15.118</v>
      </c>
      <c r="E82" s="2"/>
    </row>
    <row r="83" spans="1:5" x14ac:dyDescent="0.2">
      <c r="A83" s="2" t="s">
        <v>640</v>
      </c>
      <c r="B83" s="2"/>
      <c r="C83" s="2"/>
      <c r="D83" s="10">
        <v>46.446399999999997</v>
      </c>
      <c r="E83" s="2"/>
    </row>
    <row r="84" spans="1:5" x14ac:dyDescent="0.2">
      <c r="A84" s="2" t="s">
        <v>641</v>
      </c>
      <c r="B84" s="2"/>
      <c r="C84" s="2"/>
      <c r="D84" s="10">
        <v>15.838900000000001</v>
      </c>
      <c r="E84" s="2"/>
    </row>
    <row r="85" spans="1:5" x14ac:dyDescent="0.2">
      <c r="A85" s="2"/>
      <c r="B85" s="2"/>
      <c r="C85" s="2"/>
      <c r="D85" s="10"/>
      <c r="E85" s="2"/>
    </row>
    <row r="86" spans="1:5" x14ac:dyDescent="0.2">
      <c r="A86" s="4" t="s">
        <v>81</v>
      </c>
      <c r="B86" s="2"/>
      <c r="C86" s="2"/>
      <c r="D86" s="2"/>
      <c r="E86" s="2"/>
    </row>
    <row r="87" spans="1:5" x14ac:dyDescent="0.2">
      <c r="A87" s="2" t="s">
        <v>638</v>
      </c>
      <c r="B87" s="2"/>
      <c r="C87" s="2"/>
      <c r="D87" s="10">
        <v>44.180500000000002</v>
      </c>
      <c r="E87" s="2"/>
    </row>
    <row r="88" spans="1:5" x14ac:dyDescent="0.2">
      <c r="A88" s="2" t="s">
        <v>639</v>
      </c>
      <c r="B88" s="2"/>
      <c r="C88" s="2"/>
      <c r="D88" s="10">
        <v>14.1722</v>
      </c>
      <c r="E88" s="2"/>
    </row>
    <row r="89" spans="1:5" x14ac:dyDescent="0.2">
      <c r="A89" s="2" t="s">
        <v>640</v>
      </c>
      <c r="B89" s="2"/>
      <c r="C89" s="2"/>
      <c r="D89" s="10">
        <v>46.021799999999999</v>
      </c>
      <c r="E89" s="2"/>
    </row>
    <row r="90" spans="1:5" x14ac:dyDescent="0.2">
      <c r="A90" s="2" t="s">
        <v>641</v>
      </c>
      <c r="B90" s="2"/>
      <c r="C90" s="2"/>
      <c r="D90" s="10">
        <v>14.928000000000001</v>
      </c>
      <c r="E90" s="2"/>
    </row>
    <row r="91" spans="1:5" x14ac:dyDescent="0.2">
      <c r="A91" s="2"/>
      <c r="B91" s="2"/>
      <c r="C91" s="2"/>
      <c r="D91" s="2"/>
      <c r="E91" s="1"/>
    </row>
    <row r="92" spans="1:5" x14ac:dyDescent="0.2">
      <c r="A92" s="4" t="s">
        <v>82</v>
      </c>
      <c r="B92" s="2"/>
      <c r="C92" s="2"/>
      <c r="D92" s="44" t="s">
        <v>299</v>
      </c>
      <c r="E92" s="1"/>
    </row>
    <row r="93" spans="1:5" x14ac:dyDescent="0.2">
      <c r="A93" s="45" t="s">
        <v>642</v>
      </c>
      <c r="B93" s="46"/>
      <c r="C93" s="100" t="s">
        <v>643</v>
      </c>
      <c r="D93" s="101"/>
      <c r="E93" s="1"/>
    </row>
    <row r="94" spans="1:5" x14ac:dyDescent="0.2">
      <c r="A94" s="102"/>
      <c r="B94" s="103"/>
      <c r="C94" s="47" t="s">
        <v>644</v>
      </c>
      <c r="D94" s="47" t="s">
        <v>645</v>
      </c>
      <c r="E94" s="1"/>
    </row>
    <row r="95" spans="1:5" x14ac:dyDescent="0.2">
      <c r="A95" s="48" t="s">
        <v>639</v>
      </c>
      <c r="B95" s="49"/>
      <c r="C95" s="50">
        <v>0.70000393640000003</v>
      </c>
      <c r="D95" s="50">
        <v>0.70000393640000003</v>
      </c>
      <c r="E95" s="1"/>
    </row>
    <row r="96" spans="1:5" x14ac:dyDescent="0.2">
      <c r="A96" s="48" t="s">
        <v>641</v>
      </c>
      <c r="B96" s="49"/>
      <c r="C96" s="50">
        <v>0.70000393640000003</v>
      </c>
      <c r="D96" s="50">
        <v>0.70000393640000003</v>
      </c>
      <c r="E96" s="1"/>
    </row>
    <row r="97" spans="1:5" x14ac:dyDescent="0.2">
      <c r="A97" s="4"/>
      <c r="B97" s="2"/>
      <c r="C97" s="2"/>
      <c r="D97" s="44"/>
      <c r="E97" s="1"/>
    </row>
    <row r="98" spans="1:5" x14ac:dyDescent="0.2">
      <c r="A98" s="9" t="s">
        <v>646</v>
      </c>
      <c r="B98" s="2"/>
      <c r="C98" s="2"/>
      <c r="D98" s="51">
        <v>0.11539537353881137</v>
      </c>
      <c r="E98" s="1"/>
    </row>
    <row r="99" spans="1:5" x14ac:dyDescent="0.2">
      <c r="A99" s="2"/>
      <c r="B99" s="2"/>
      <c r="C99" s="2"/>
      <c r="D99" s="2"/>
      <c r="E99" s="1"/>
    </row>
    <row r="100" spans="1:5" x14ac:dyDescent="0.2">
      <c r="A100" s="2"/>
      <c r="B100" s="2"/>
      <c r="C100" s="2"/>
      <c r="D100" s="2"/>
      <c r="E100" s="1"/>
    </row>
  </sheetData>
  <sortState xmlns:xlrd2="http://schemas.microsoft.com/office/spreadsheetml/2017/richdata2" ref="A52:F69">
    <sortCondition descending="1" ref="E52:E69"/>
  </sortState>
  <mergeCells count="3">
    <mergeCell ref="A1:F1"/>
    <mergeCell ref="C93:D93"/>
    <mergeCell ref="A94:B9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FDAC5-8DE7-4CE7-B27E-84AC1FE48DD2}">
  <dimension ref="A1:F96"/>
  <sheetViews>
    <sheetView showGridLines="0" workbookViewId="0">
      <selection sqref="A1:F1"/>
    </sheetView>
  </sheetViews>
  <sheetFormatPr defaultRowHeight="11.25" x14ac:dyDescent="0.2"/>
  <cols>
    <col min="1" max="1" width="59.42578125" style="1" bestFit="1" customWidth="1"/>
    <col min="2" max="2" width="35.85546875" style="1" bestFit="1" customWidth="1"/>
    <col min="3" max="3" width="35.7109375" style="1" bestFit="1" customWidth="1"/>
    <col min="4" max="4" width="12.85546875" style="19" bestFit="1" customWidth="1"/>
    <col min="5" max="5" width="24" style="15" bestFit="1" customWidth="1"/>
    <col min="6" max="6" width="14.140625" style="15" bestFit="1" customWidth="1"/>
    <col min="7" max="16384" width="9.140625" style="2"/>
  </cols>
  <sheetData>
    <row r="1" spans="1:6" x14ac:dyDescent="0.2">
      <c r="A1" s="99" t="s">
        <v>258</v>
      </c>
      <c r="B1" s="99"/>
      <c r="C1" s="99"/>
      <c r="D1" s="99"/>
      <c r="E1" s="99"/>
      <c r="F1" s="99"/>
    </row>
    <row r="3" spans="1:6" s="4" customFormat="1" x14ac:dyDescent="0.2">
      <c r="A3" s="3" t="s">
        <v>1</v>
      </c>
      <c r="B3" s="3" t="s">
        <v>2</v>
      </c>
      <c r="C3" s="3" t="s">
        <v>3</v>
      </c>
      <c r="D3" s="16" t="s">
        <v>4</v>
      </c>
      <c r="E3" s="12" t="s">
        <v>5</v>
      </c>
      <c r="F3" s="12" t="s">
        <v>6</v>
      </c>
    </row>
    <row r="4" spans="1:6" x14ac:dyDescent="0.2">
      <c r="A4" s="5"/>
      <c r="B4" s="5"/>
      <c r="C4" s="5"/>
      <c r="D4" s="17"/>
      <c r="E4" s="13"/>
      <c r="F4" s="13"/>
    </row>
    <row r="5" spans="1:6" x14ac:dyDescent="0.2">
      <c r="A5" s="6" t="s">
        <v>7</v>
      </c>
      <c r="B5" s="7"/>
      <c r="C5" s="7"/>
      <c r="D5" s="18"/>
      <c r="E5" s="14"/>
      <c r="F5" s="14"/>
    </row>
    <row r="6" spans="1:6" x14ac:dyDescent="0.2">
      <c r="A6" s="6" t="s">
        <v>8</v>
      </c>
      <c r="B6" s="7"/>
      <c r="C6" s="7"/>
      <c r="D6" s="18"/>
      <c r="E6" s="14"/>
      <c r="F6" s="14"/>
    </row>
    <row r="7" spans="1:6" x14ac:dyDescent="0.2">
      <c r="A7" s="6"/>
      <c r="B7" s="7"/>
      <c r="C7" s="7"/>
      <c r="D7" s="18"/>
      <c r="E7" s="14"/>
      <c r="F7" s="14"/>
    </row>
    <row r="8" spans="1:6" x14ac:dyDescent="0.2">
      <c r="A8" s="7" t="s">
        <v>10</v>
      </c>
      <c r="B8" s="7" t="s">
        <v>11</v>
      </c>
      <c r="C8" s="7" t="s">
        <v>12</v>
      </c>
      <c r="D8" s="18">
        <v>4000000</v>
      </c>
      <c r="E8" s="14">
        <v>89118</v>
      </c>
      <c r="F8" s="14">
        <v>8.638085604676446</v>
      </c>
    </row>
    <row r="9" spans="1:6" x14ac:dyDescent="0.2">
      <c r="A9" s="7" t="s">
        <v>156</v>
      </c>
      <c r="B9" s="7" t="s">
        <v>157</v>
      </c>
      <c r="C9" s="7" t="s">
        <v>64</v>
      </c>
      <c r="D9" s="18">
        <v>9000000</v>
      </c>
      <c r="E9" s="14">
        <v>73341</v>
      </c>
      <c r="F9" s="14">
        <v>7.1088426168964212</v>
      </c>
    </row>
    <row r="10" spans="1:6" x14ac:dyDescent="0.2">
      <c r="A10" s="7" t="s">
        <v>89</v>
      </c>
      <c r="B10" s="7" t="s">
        <v>90</v>
      </c>
      <c r="C10" s="7" t="s">
        <v>43</v>
      </c>
      <c r="D10" s="18">
        <v>18500000</v>
      </c>
      <c r="E10" s="14">
        <v>64158</v>
      </c>
      <c r="F10" s="14">
        <v>6.2187470121056512</v>
      </c>
    </row>
    <row r="11" spans="1:6" x14ac:dyDescent="0.2">
      <c r="A11" s="7" t="s">
        <v>85</v>
      </c>
      <c r="B11" s="7" t="s">
        <v>86</v>
      </c>
      <c r="C11" s="7" t="s">
        <v>12</v>
      </c>
      <c r="D11" s="18">
        <v>13000000</v>
      </c>
      <c r="E11" s="14">
        <v>53254.5</v>
      </c>
      <c r="F11" s="14">
        <v>5.161885700242844</v>
      </c>
    </row>
    <row r="12" spans="1:6" x14ac:dyDescent="0.2">
      <c r="A12" s="7" t="s">
        <v>165</v>
      </c>
      <c r="B12" s="7" t="s">
        <v>166</v>
      </c>
      <c r="C12" s="7" t="s">
        <v>167</v>
      </c>
      <c r="D12" s="18">
        <v>2900000</v>
      </c>
      <c r="E12" s="14">
        <v>38519.25</v>
      </c>
      <c r="F12" s="14">
        <v>3.7336181122549115</v>
      </c>
    </row>
    <row r="13" spans="1:6" x14ac:dyDescent="0.2">
      <c r="A13" s="7" t="s">
        <v>97</v>
      </c>
      <c r="B13" s="7" t="s">
        <v>98</v>
      </c>
      <c r="C13" s="7" t="s">
        <v>12</v>
      </c>
      <c r="D13" s="18">
        <v>5300000</v>
      </c>
      <c r="E13" s="14">
        <v>35186.699999999997</v>
      </c>
      <c r="F13" s="14">
        <v>3.4105986079812007</v>
      </c>
    </row>
    <row r="14" spans="1:6" x14ac:dyDescent="0.2">
      <c r="A14" s="7" t="s">
        <v>158</v>
      </c>
      <c r="B14" s="7" t="s">
        <v>159</v>
      </c>
      <c r="C14" s="7" t="s">
        <v>64</v>
      </c>
      <c r="D14" s="18">
        <v>3000000</v>
      </c>
      <c r="E14" s="14">
        <v>33010.5</v>
      </c>
      <c r="F14" s="14">
        <v>3.1996625244414352</v>
      </c>
    </row>
    <row r="15" spans="1:6" x14ac:dyDescent="0.2">
      <c r="A15" s="7" t="s">
        <v>163</v>
      </c>
      <c r="B15" s="7" t="s">
        <v>164</v>
      </c>
      <c r="C15" s="7" t="s">
        <v>40</v>
      </c>
      <c r="D15" s="18">
        <v>5900000</v>
      </c>
      <c r="E15" s="14">
        <v>31199.200000000001</v>
      </c>
      <c r="F15" s="14">
        <v>3.0240956978098859</v>
      </c>
    </row>
    <row r="16" spans="1:6" x14ac:dyDescent="0.2">
      <c r="A16" s="7" t="s">
        <v>21</v>
      </c>
      <c r="B16" s="7" t="s">
        <v>22</v>
      </c>
      <c r="C16" s="7" t="s">
        <v>12</v>
      </c>
      <c r="D16" s="18">
        <v>2000000</v>
      </c>
      <c r="E16" s="14">
        <v>28629</v>
      </c>
      <c r="F16" s="14">
        <v>2.7749697342431605</v>
      </c>
    </row>
    <row r="17" spans="1:6" x14ac:dyDescent="0.2">
      <c r="A17" s="7" t="s">
        <v>172</v>
      </c>
      <c r="B17" s="7" t="s">
        <v>173</v>
      </c>
      <c r="C17" s="7" t="s">
        <v>53</v>
      </c>
      <c r="D17" s="18">
        <v>3700000</v>
      </c>
      <c r="E17" s="14">
        <v>26305.15</v>
      </c>
      <c r="F17" s="14">
        <v>2.5497221385562359</v>
      </c>
    </row>
    <row r="18" spans="1:6" x14ac:dyDescent="0.2">
      <c r="A18" s="7" t="s">
        <v>259</v>
      </c>
      <c r="B18" s="7" t="s">
        <v>260</v>
      </c>
      <c r="C18" s="7" t="s">
        <v>72</v>
      </c>
      <c r="D18" s="18">
        <v>4000000</v>
      </c>
      <c r="E18" s="14">
        <v>25600</v>
      </c>
      <c r="F18" s="14">
        <v>2.4813729154572255</v>
      </c>
    </row>
    <row r="19" spans="1:6" x14ac:dyDescent="0.2">
      <c r="A19" s="7" t="s">
        <v>176</v>
      </c>
      <c r="B19" s="7" t="s">
        <v>177</v>
      </c>
      <c r="C19" s="7" t="s">
        <v>37</v>
      </c>
      <c r="D19" s="18">
        <v>1760000</v>
      </c>
      <c r="E19" s="14">
        <v>24148.080000000002</v>
      </c>
      <c r="F19" s="14">
        <v>2.3406402996989968</v>
      </c>
    </row>
    <row r="20" spans="1:6" x14ac:dyDescent="0.2">
      <c r="A20" s="7" t="s">
        <v>182</v>
      </c>
      <c r="B20" s="7" t="s">
        <v>183</v>
      </c>
      <c r="C20" s="7" t="s">
        <v>37</v>
      </c>
      <c r="D20" s="18">
        <v>6000000</v>
      </c>
      <c r="E20" s="14">
        <v>23466</v>
      </c>
      <c r="F20" s="14">
        <v>2.2745272200827835</v>
      </c>
    </row>
    <row r="21" spans="1:6" x14ac:dyDescent="0.2">
      <c r="A21" s="7" t="s">
        <v>261</v>
      </c>
      <c r="B21" s="7" t="s">
        <v>262</v>
      </c>
      <c r="C21" s="7" t="s">
        <v>37</v>
      </c>
      <c r="D21" s="18">
        <v>5200000</v>
      </c>
      <c r="E21" s="14">
        <v>23337.599999999999</v>
      </c>
      <c r="F21" s="14">
        <v>2.2620815840536932</v>
      </c>
    </row>
    <row r="22" spans="1:6" x14ac:dyDescent="0.2">
      <c r="A22" s="7" t="s">
        <v>235</v>
      </c>
      <c r="B22" s="7" t="s">
        <v>236</v>
      </c>
      <c r="C22" s="7" t="s">
        <v>64</v>
      </c>
      <c r="D22" s="18">
        <v>3200000</v>
      </c>
      <c r="E22" s="14">
        <v>22196.799999999999</v>
      </c>
      <c r="F22" s="14">
        <v>2.1515054035086303</v>
      </c>
    </row>
    <row r="23" spans="1:6" x14ac:dyDescent="0.2">
      <c r="A23" s="7" t="s">
        <v>113</v>
      </c>
      <c r="B23" s="7" t="s">
        <v>114</v>
      </c>
      <c r="C23" s="7" t="s">
        <v>53</v>
      </c>
      <c r="D23" s="18">
        <v>1370000</v>
      </c>
      <c r="E23" s="14">
        <v>20821.945</v>
      </c>
      <c r="F23" s="14">
        <v>2.0182425925835936</v>
      </c>
    </row>
    <row r="24" spans="1:6" x14ac:dyDescent="0.2">
      <c r="A24" s="7" t="s">
        <v>170</v>
      </c>
      <c r="B24" s="7" t="s">
        <v>171</v>
      </c>
      <c r="C24" s="7" t="s">
        <v>162</v>
      </c>
      <c r="D24" s="18">
        <v>2800000</v>
      </c>
      <c r="E24" s="14">
        <v>20748</v>
      </c>
      <c r="F24" s="14">
        <v>2.0110752050744733</v>
      </c>
    </row>
    <row r="25" spans="1:6" x14ac:dyDescent="0.2">
      <c r="A25" s="7" t="s">
        <v>239</v>
      </c>
      <c r="B25" s="7" t="s">
        <v>240</v>
      </c>
      <c r="C25" s="7" t="s">
        <v>15</v>
      </c>
      <c r="D25" s="18">
        <v>10300000</v>
      </c>
      <c r="E25" s="14">
        <v>19523.650000000001</v>
      </c>
      <c r="F25" s="14">
        <v>1.8924006375338462</v>
      </c>
    </row>
    <row r="26" spans="1:6" x14ac:dyDescent="0.2">
      <c r="A26" s="7" t="s">
        <v>38</v>
      </c>
      <c r="B26" s="7" t="s">
        <v>39</v>
      </c>
      <c r="C26" s="7" t="s">
        <v>40</v>
      </c>
      <c r="D26" s="18">
        <v>16500000</v>
      </c>
      <c r="E26" s="14">
        <v>19255.5</v>
      </c>
      <c r="F26" s="14">
        <v>1.866409225530727</v>
      </c>
    </row>
    <row r="27" spans="1:6" x14ac:dyDescent="0.2">
      <c r="A27" s="7" t="s">
        <v>87</v>
      </c>
      <c r="B27" s="7" t="s">
        <v>88</v>
      </c>
      <c r="C27" s="7" t="s">
        <v>12</v>
      </c>
      <c r="D27" s="18">
        <v>7000000</v>
      </c>
      <c r="E27" s="14">
        <v>19169.5</v>
      </c>
      <c r="F27" s="14">
        <v>1.8580733633928628</v>
      </c>
    </row>
    <row r="28" spans="1:6" x14ac:dyDescent="0.2">
      <c r="A28" s="7" t="s">
        <v>91</v>
      </c>
      <c r="B28" s="7" t="s">
        <v>92</v>
      </c>
      <c r="C28" s="7" t="s">
        <v>93</v>
      </c>
      <c r="D28" s="18">
        <v>14000000</v>
      </c>
      <c r="E28" s="14">
        <v>17031</v>
      </c>
      <c r="F28" s="14">
        <v>1.6507914891856255</v>
      </c>
    </row>
    <row r="29" spans="1:6" x14ac:dyDescent="0.2">
      <c r="A29" s="7" t="s">
        <v>178</v>
      </c>
      <c r="B29" s="7" t="s">
        <v>179</v>
      </c>
      <c r="C29" s="7" t="s">
        <v>162</v>
      </c>
      <c r="D29" s="18">
        <v>7000000</v>
      </c>
      <c r="E29" s="14">
        <v>15767.5</v>
      </c>
      <c r="F29" s="14">
        <v>1.5283221657996799</v>
      </c>
    </row>
    <row r="30" spans="1:6" x14ac:dyDescent="0.2">
      <c r="A30" s="7" t="s">
        <v>212</v>
      </c>
      <c r="B30" s="7" t="s">
        <v>213</v>
      </c>
      <c r="C30" s="7" t="s">
        <v>96</v>
      </c>
      <c r="D30" s="18">
        <v>6000000</v>
      </c>
      <c r="E30" s="14">
        <v>15609</v>
      </c>
      <c r="F30" s="14">
        <v>1.5129589780223374</v>
      </c>
    </row>
    <row r="31" spans="1:6" x14ac:dyDescent="0.2">
      <c r="A31" s="7" t="s">
        <v>160</v>
      </c>
      <c r="B31" s="7" t="s">
        <v>161</v>
      </c>
      <c r="C31" s="7" t="s">
        <v>162</v>
      </c>
      <c r="D31" s="18">
        <v>600000</v>
      </c>
      <c r="E31" s="14">
        <v>15345</v>
      </c>
      <c r="F31" s="14">
        <v>1.4873698198316847</v>
      </c>
    </row>
    <row r="32" spans="1:6" x14ac:dyDescent="0.2">
      <c r="A32" s="7" t="s">
        <v>23</v>
      </c>
      <c r="B32" s="7" t="s">
        <v>24</v>
      </c>
      <c r="C32" s="7" t="s">
        <v>25</v>
      </c>
      <c r="D32" s="18">
        <v>8000000</v>
      </c>
      <c r="E32" s="14">
        <v>14756</v>
      </c>
      <c r="F32" s="14">
        <v>1.4302788570502665</v>
      </c>
    </row>
    <row r="33" spans="1:6" x14ac:dyDescent="0.2">
      <c r="A33" s="7" t="s">
        <v>263</v>
      </c>
      <c r="B33" s="7" t="s">
        <v>264</v>
      </c>
      <c r="C33" s="7" t="s">
        <v>162</v>
      </c>
      <c r="D33" s="18">
        <v>3000000</v>
      </c>
      <c r="E33" s="14">
        <v>13512</v>
      </c>
      <c r="F33" s="14">
        <v>1.3096996419397668</v>
      </c>
    </row>
    <row r="34" spans="1:6" x14ac:dyDescent="0.2">
      <c r="A34" s="7" t="s">
        <v>265</v>
      </c>
      <c r="B34" s="7" t="s">
        <v>266</v>
      </c>
      <c r="C34" s="7" t="s">
        <v>40</v>
      </c>
      <c r="D34" s="18">
        <v>3500000</v>
      </c>
      <c r="E34" s="14">
        <v>12353.25</v>
      </c>
      <c r="F34" s="14">
        <v>1.1973835924949989</v>
      </c>
    </row>
    <row r="35" spans="1:6" x14ac:dyDescent="0.2">
      <c r="A35" s="7" t="s">
        <v>226</v>
      </c>
      <c r="B35" s="7" t="s">
        <v>227</v>
      </c>
      <c r="C35" s="7" t="s">
        <v>228</v>
      </c>
      <c r="D35" s="18">
        <v>1200000</v>
      </c>
      <c r="E35" s="14">
        <v>11932.8</v>
      </c>
      <c r="F35" s="14">
        <v>1.156629950217499</v>
      </c>
    </row>
    <row r="36" spans="1:6" x14ac:dyDescent="0.2">
      <c r="A36" s="7" t="s">
        <v>117</v>
      </c>
      <c r="B36" s="7" t="s">
        <v>118</v>
      </c>
      <c r="C36" s="7" t="s">
        <v>53</v>
      </c>
      <c r="D36" s="18">
        <v>3500000</v>
      </c>
      <c r="E36" s="14">
        <v>11389</v>
      </c>
      <c r="F36" s="14">
        <v>1.1039201614899352</v>
      </c>
    </row>
    <row r="37" spans="1:6" x14ac:dyDescent="0.2">
      <c r="A37" s="7" t="s">
        <v>41</v>
      </c>
      <c r="B37" s="7" t="s">
        <v>42</v>
      </c>
      <c r="C37" s="7" t="s">
        <v>43</v>
      </c>
      <c r="D37" s="18">
        <v>200000000</v>
      </c>
      <c r="E37" s="14">
        <v>10700</v>
      </c>
      <c r="F37" s="14">
        <v>1.0371363357575123</v>
      </c>
    </row>
    <row r="38" spans="1:6" x14ac:dyDescent="0.2">
      <c r="A38" s="7" t="s">
        <v>267</v>
      </c>
      <c r="B38" s="7" t="s">
        <v>268</v>
      </c>
      <c r="C38" s="7" t="s">
        <v>37</v>
      </c>
      <c r="D38" s="18">
        <v>7300000</v>
      </c>
      <c r="E38" s="14">
        <v>10387.9</v>
      </c>
      <c r="F38" s="14">
        <v>1.0068849104874262</v>
      </c>
    </row>
    <row r="39" spans="1:6" x14ac:dyDescent="0.2">
      <c r="A39" s="7" t="s">
        <v>269</v>
      </c>
      <c r="B39" s="7" t="s">
        <v>270</v>
      </c>
      <c r="C39" s="7" t="s">
        <v>31</v>
      </c>
      <c r="D39" s="18">
        <v>1900000</v>
      </c>
      <c r="E39" s="14">
        <v>9568.4</v>
      </c>
      <c r="F39" s="14">
        <v>0.92745189860394206</v>
      </c>
    </row>
    <row r="40" spans="1:6" x14ac:dyDescent="0.2">
      <c r="A40" s="7" t="s">
        <v>115</v>
      </c>
      <c r="B40" s="7" t="s">
        <v>116</v>
      </c>
      <c r="C40" s="7" t="s">
        <v>103</v>
      </c>
      <c r="D40" s="18">
        <v>7200000</v>
      </c>
      <c r="E40" s="14">
        <v>9345.6</v>
      </c>
      <c r="F40" s="14">
        <v>0.90585619994910349</v>
      </c>
    </row>
    <row r="41" spans="1:6" x14ac:dyDescent="0.2">
      <c r="A41" s="7" t="s">
        <v>271</v>
      </c>
      <c r="B41" s="7" t="s">
        <v>272</v>
      </c>
      <c r="C41" s="7" t="s">
        <v>31</v>
      </c>
      <c r="D41" s="18">
        <v>2400000</v>
      </c>
      <c r="E41" s="14">
        <v>9224.4</v>
      </c>
      <c r="F41" s="14">
        <v>0.89410845005248563</v>
      </c>
    </row>
    <row r="42" spans="1:6" x14ac:dyDescent="0.2">
      <c r="A42" s="7" t="s">
        <v>273</v>
      </c>
      <c r="B42" s="7" t="s">
        <v>274</v>
      </c>
      <c r="C42" s="7" t="s">
        <v>37</v>
      </c>
      <c r="D42" s="18">
        <v>750000</v>
      </c>
      <c r="E42" s="14">
        <v>8919</v>
      </c>
      <c r="F42" s="14">
        <v>0.86450644660011688</v>
      </c>
    </row>
    <row r="43" spans="1:6" x14ac:dyDescent="0.2">
      <c r="A43" s="7" t="s">
        <v>275</v>
      </c>
      <c r="B43" s="7" t="s">
        <v>276</v>
      </c>
      <c r="C43" s="7" t="s">
        <v>64</v>
      </c>
      <c r="D43" s="18">
        <v>430351</v>
      </c>
      <c r="E43" s="14">
        <v>8722.1388924999992</v>
      </c>
      <c r="F43" s="14">
        <v>0.84542496924631172</v>
      </c>
    </row>
    <row r="44" spans="1:6" x14ac:dyDescent="0.2">
      <c r="A44" s="7" t="s">
        <v>29</v>
      </c>
      <c r="B44" s="7" t="s">
        <v>30</v>
      </c>
      <c r="C44" s="7" t="s">
        <v>31</v>
      </c>
      <c r="D44" s="18">
        <v>1500000</v>
      </c>
      <c r="E44" s="14">
        <v>8621.25</v>
      </c>
      <c r="F44" s="14">
        <v>0.83564594716350016</v>
      </c>
    </row>
    <row r="45" spans="1:6" x14ac:dyDescent="0.2">
      <c r="A45" s="7" t="s">
        <v>222</v>
      </c>
      <c r="B45" s="7" t="s">
        <v>223</v>
      </c>
      <c r="C45" s="7" t="s">
        <v>53</v>
      </c>
      <c r="D45" s="18">
        <v>951681</v>
      </c>
      <c r="E45" s="14">
        <v>8104.0395554999996</v>
      </c>
      <c r="F45" s="14">
        <v>0.78551344760983255</v>
      </c>
    </row>
    <row r="46" spans="1:6" x14ac:dyDescent="0.2">
      <c r="A46" s="7" t="s">
        <v>94</v>
      </c>
      <c r="B46" s="7" t="s">
        <v>95</v>
      </c>
      <c r="C46" s="7" t="s">
        <v>96</v>
      </c>
      <c r="D46" s="18">
        <v>2197327</v>
      </c>
      <c r="E46" s="14">
        <v>7806.0041675000002</v>
      </c>
      <c r="F46" s="14">
        <v>0.75662528590549716</v>
      </c>
    </row>
    <row r="47" spans="1:6" x14ac:dyDescent="0.2">
      <c r="A47" s="7" t="s">
        <v>277</v>
      </c>
      <c r="B47" s="7" t="s">
        <v>278</v>
      </c>
      <c r="C47" s="7" t="s">
        <v>72</v>
      </c>
      <c r="D47" s="18">
        <v>500000</v>
      </c>
      <c r="E47" s="14">
        <v>7709.25</v>
      </c>
      <c r="F47" s="14">
        <v>0.74724703705033657</v>
      </c>
    </row>
    <row r="48" spans="1:6" x14ac:dyDescent="0.2">
      <c r="A48" s="7" t="s">
        <v>184</v>
      </c>
      <c r="B48" s="7" t="s">
        <v>185</v>
      </c>
      <c r="C48" s="7" t="s">
        <v>12</v>
      </c>
      <c r="D48" s="18">
        <v>12200000</v>
      </c>
      <c r="E48" s="14">
        <v>7313.9</v>
      </c>
      <c r="F48" s="14">
        <v>0.70892630337353912</v>
      </c>
    </row>
    <row r="49" spans="1:6" x14ac:dyDescent="0.2">
      <c r="A49" s="7" t="s">
        <v>16</v>
      </c>
      <c r="B49" s="7" t="s">
        <v>17</v>
      </c>
      <c r="C49" s="7" t="s">
        <v>633</v>
      </c>
      <c r="D49" s="18">
        <v>5000000</v>
      </c>
      <c r="E49" s="14">
        <v>6950</v>
      </c>
      <c r="F49" s="14">
        <v>0.67365397509483271</v>
      </c>
    </row>
    <row r="50" spans="1:6" x14ac:dyDescent="0.2">
      <c r="A50" s="7" t="s">
        <v>214</v>
      </c>
      <c r="B50" s="7" t="s">
        <v>215</v>
      </c>
      <c r="C50" s="7" t="s">
        <v>216</v>
      </c>
      <c r="D50" s="18">
        <v>4000000</v>
      </c>
      <c r="E50" s="14">
        <v>6850</v>
      </c>
      <c r="F50" s="14">
        <v>0.66396111214382803</v>
      </c>
    </row>
    <row r="51" spans="1:6" x14ac:dyDescent="0.2">
      <c r="A51" s="7" t="s">
        <v>279</v>
      </c>
      <c r="B51" s="7" t="s">
        <v>280</v>
      </c>
      <c r="C51" s="7" t="s">
        <v>15</v>
      </c>
      <c r="D51" s="18">
        <v>1300000</v>
      </c>
      <c r="E51" s="14">
        <v>6375.2</v>
      </c>
      <c r="F51" s="14">
        <v>0.61793939885245719</v>
      </c>
    </row>
    <row r="52" spans="1:6" x14ac:dyDescent="0.2">
      <c r="A52" s="7" t="s">
        <v>237</v>
      </c>
      <c r="B52" s="7" t="s">
        <v>238</v>
      </c>
      <c r="C52" s="7" t="s">
        <v>28</v>
      </c>
      <c r="D52" s="18">
        <v>5500000</v>
      </c>
      <c r="E52" s="14">
        <v>6168.25</v>
      </c>
      <c r="F52" s="14">
        <v>0.59788001897535281</v>
      </c>
    </row>
    <row r="53" spans="1:6" x14ac:dyDescent="0.2">
      <c r="A53" s="7" t="s">
        <v>131</v>
      </c>
      <c r="B53" s="7" t="s">
        <v>132</v>
      </c>
      <c r="C53" s="7" t="s">
        <v>110</v>
      </c>
      <c r="D53" s="18">
        <v>7500000</v>
      </c>
      <c r="E53" s="14">
        <v>5872.5</v>
      </c>
      <c r="F53" s="14">
        <v>0.56921337679775608</v>
      </c>
    </row>
    <row r="54" spans="1:6" x14ac:dyDescent="0.2">
      <c r="A54" s="7" t="s">
        <v>281</v>
      </c>
      <c r="B54" s="7" t="s">
        <v>282</v>
      </c>
      <c r="C54" s="7" t="s">
        <v>28</v>
      </c>
      <c r="D54" s="18">
        <v>6500000</v>
      </c>
      <c r="E54" s="14">
        <v>5804.5</v>
      </c>
      <c r="F54" s="14">
        <v>0.56262222999107281</v>
      </c>
    </row>
    <row r="55" spans="1:6" x14ac:dyDescent="0.2">
      <c r="A55" s="7" t="s">
        <v>253</v>
      </c>
      <c r="B55" s="7" t="s">
        <v>254</v>
      </c>
      <c r="C55" s="7" t="s">
        <v>40</v>
      </c>
      <c r="D55" s="18">
        <v>7000000</v>
      </c>
      <c r="E55" s="14">
        <v>4511.5</v>
      </c>
      <c r="F55" s="14">
        <v>0.43729351203458094</v>
      </c>
    </row>
    <row r="56" spans="1:6" x14ac:dyDescent="0.2">
      <c r="A56" s="7" t="s">
        <v>283</v>
      </c>
      <c r="B56" s="7" t="s">
        <v>284</v>
      </c>
      <c r="C56" s="7" t="s">
        <v>12</v>
      </c>
      <c r="D56" s="18">
        <v>7000000</v>
      </c>
      <c r="E56" s="14">
        <v>4067</v>
      </c>
      <c r="F56" s="14">
        <v>0.39420873621736474</v>
      </c>
    </row>
    <row r="57" spans="1:6" x14ac:dyDescent="0.2">
      <c r="A57" s="7" t="s">
        <v>248</v>
      </c>
      <c r="B57" s="7" t="s">
        <v>249</v>
      </c>
      <c r="C57" s="7" t="s">
        <v>60</v>
      </c>
      <c r="D57" s="18">
        <v>5571244</v>
      </c>
      <c r="E57" s="14">
        <v>3540.5255619999998</v>
      </c>
      <c r="F57" s="14">
        <v>0.34317829046995202</v>
      </c>
    </row>
    <row r="58" spans="1:6" x14ac:dyDescent="0.2">
      <c r="A58" s="7" t="s">
        <v>285</v>
      </c>
      <c r="B58" s="7" t="s">
        <v>286</v>
      </c>
      <c r="C58" s="7" t="s">
        <v>252</v>
      </c>
      <c r="D58" s="18">
        <v>6000000</v>
      </c>
      <c r="E58" s="14">
        <v>2907</v>
      </c>
      <c r="F58" s="14">
        <v>0.28177152598570915</v>
      </c>
    </row>
    <row r="59" spans="1:6" x14ac:dyDescent="0.2">
      <c r="A59" s="7" t="s">
        <v>287</v>
      </c>
      <c r="B59" s="7" t="s">
        <v>288</v>
      </c>
      <c r="C59" s="7" t="s">
        <v>37</v>
      </c>
      <c r="D59" s="18">
        <v>400000</v>
      </c>
      <c r="E59" s="14">
        <v>2513</v>
      </c>
      <c r="F59" s="14">
        <v>0.24358164595875029</v>
      </c>
    </row>
    <row r="60" spans="1:6" x14ac:dyDescent="0.2">
      <c r="A60" s="7" t="s">
        <v>289</v>
      </c>
      <c r="B60" s="7" t="s">
        <v>290</v>
      </c>
      <c r="C60" s="7" t="s">
        <v>228</v>
      </c>
      <c r="D60" s="18">
        <v>22000000</v>
      </c>
      <c r="E60" s="14">
        <v>2310</v>
      </c>
      <c r="F60" s="14">
        <v>0.22390513416821059</v>
      </c>
    </row>
    <row r="61" spans="1:6" x14ac:dyDescent="0.2">
      <c r="A61" s="7" t="s">
        <v>291</v>
      </c>
      <c r="B61" s="7" t="s">
        <v>292</v>
      </c>
      <c r="C61" s="7" t="s">
        <v>72</v>
      </c>
      <c r="D61" s="18">
        <v>886808</v>
      </c>
      <c r="E61" s="14">
        <v>2044.0924399999999</v>
      </c>
      <c r="F61" s="14">
        <v>0.19813107880104977</v>
      </c>
    </row>
    <row r="62" spans="1:6" x14ac:dyDescent="0.2">
      <c r="A62" s="7" t="s">
        <v>293</v>
      </c>
      <c r="B62" s="7" t="s">
        <v>294</v>
      </c>
      <c r="C62" s="7" t="s">
        <v>295</v>
      </c>
      <c r="D62" s="18">
        <v>39070</v>
      </c>
      <c r="E62" s="14">
        <v>1224.2975200000001</v>
      </c>
      <c r="F62" s="14">
        <v>0.11866948072615043</v>
      </c>
    </row>
    <row r="63" spans="1:6" x14ac:dyDescent="0.2">
      <c r="A63" s="7" t="s">
        <v>296</v>
      </c>
      <c r="B63" s="7" t="s">
        <v>297</v>
      </c>
      <c r="C63" s="7" t="s">
        <v>28</v>
      </c>
      <c r="D63" s="18">
        <v>500000</v>
      </c>
      <c r="E63" s="14">
        <v>1075.25</v>
      </c>
      <c r="F63" s="14">
        <v>0.10422250888067898</v>
      </c>
    </row>
    <row r="64" spans="1:6" x14ac:dyDescent="0.2">
      <c r="A64" s="6" t="s">
        <v>44</v>
      </c>
      <c r="B64" s="7"/>
      <c r="C64" s="7"/>
      <c r="D64" s="18"/>
      <c r="E64" s="20">
        <f xml:space="preserve"> SUM(E8:E63)</f>
        <v>987318.92313750018</v>
      </c>
      <c r="F64" s="20">
        <f>SUM(F8:F63)</f>
        <v>95.699470109054189</v>
      </c>
    </row>
    <row r="65" spans="1:6" x14ac:dyDescent="0.2">
      <c r="A65" s="7"/>
      <c r="B65" s="7"/>
      <c r="C65" s="7"/>
      <c r="D65" s="18"/>
      <c r="E65" s="14"/>
      <c r="F65" s="14"/>
    </row>
    <row r="66" spans="1:6" x14ac:dyDescent="0.2">
      <c r="A66" s="6" t="s">
        <v>298</v>
      </c>
      <c r="B66" s="7"/>
      <c r="C66" s="7"/>
      <c r="D66" s="18"/>
      <c r="E66" s="14"/>
      <c r="F66" s="14"/>
    </row>
    <row r="67" spans="1:6" x14ac:dyDescent="0.2">
      <c r="A67" s="7" t="s">
        <v>299</v>
      </c>
      <c r="B67" s="7" t="s">
        <v>300</v>
      </c>
      <c r="C67" s="7" t="s">
        <v>28</v>
      </c>
      <c r="D67" s="18">
        <v>73500</v>
      </c>
      <c r="E67" s="14">
        <v>7.3499999999999998E-3</v>
      </c>
      <c r="F67" s="35" t="s">
        <v>611</v>
      </c>
    </row>
    <row r="68" spans="1:6" x14ac:dyDescent="0.2">
      <c r="A68" s="7" t="s">
        <v>299</v>
      </c>
      <c r="B68" s="7" t="s">
        <v>301</v>
      </c>
      <c r="C68" s="7" t="s">
        <v>64</v>
      </c>
      <c r="D68" s="18">
        <v>45000</v>
      </c>
      <c r="E68" s="14">
        <v>4.4999999999999997E-3</v>
      </c>
      <c r="F68" s="35" t="s">
        <v>611</v>
      </c>
    </row>
    <row r="69" spans="1:6" x14ac:dyDescent="0.2">
      <c r="A69" s="7" t="s">
        <v>302</v>
      </c>
      <c r="B69" s="7" t="s">
        <v>303</v>
      </c>
      <c r="C69" s="7" t="s">
        <v>610</v>
      </c>
      <c r="D69" s="18">
        <v>38000</v>
      </c>
      <c r="E69" s="14">
        <v>3.8E-3</v>
      </c>
      <c r="F69" s="35" t="s">
        <v>611</v>
      </c>
    </row>
    <row r="70" spans="1:6" x14ac:dyDescent="0.2">
      <c r="A70" s="6" t="s">
        <v>44</v>
      </c>
      <c r="B70" s="7"/>
      <c r="C70" s="7"/>
      <c r="D70" s="18"/>
      <c r="E70" s="20">
        <f>SUM(E67:E69)</f>
        <v>1.5650000000000001E-2</v>
      </c>
      <c r="F70" s="6">
        <f>SUM(F67:F69)</f>
        <v>0</v>
      </c>
    </row>
    <row r="71" spans="1:6" x14ac:dyDescent="0.2">
      <c r="A71" s="7"/>
      <c r="B71" s="7"/>
      <c r="C71" s="7"/>
      <c r="D71" s="18"/>
      <c r="E71" s="14"/>
      <c r="F71" s="14"/>
    </row>
    <row r="72" spans="1:6" x14ac:dyDescent="0.2">
      <c r="A72" s="6" t="s">
        <v>44</v>
      </c>
      <c r="B72" s="7"/>
      <c r="C72" s="7"/>
      <c r="D72" s="18"/>
      <c r="E72" s="20">
        <v>987318.93878750014</v>
      </c>
      <c r="F72" s="20">
        <v>95.699471625987258</v>
      </c>
    </row>
    <row r="73" spans="1:6" x14ac:dyDescent="0.2">
      <c r="A73" s="7"/>
      <c r="B73" s="7"/>
      <c r="C73" s="7"/>
      <c r="D73" s="18"/>
      <c r="E73" s="14"/>
      <c r="F73" s="14"/>
    </row>
    <row r="74" spans="1:6" x14ac:dyDescent="0.2">
      <c r="A74" s="6" t="s">
        <v>76</v>
      </c>
      <c r="B74" s="7"/>
      <c r="C74" s="7"/>
      <c r="D74" s="18"/>
      <c r="E74" s="20">
        <v>44367.989063200002</v>
      </c>
      <c r="F74" s="20">
        <v>4.3</v>
      </c>
    </row>
    <row r="75" spans="1:6" x14ac:dyDescent="0.2">
      <c r="A75" s="7"/>
      <c r="B75" s="7"/>
      <c r="C75" s="7"/>
      <c r="D75" s="18"/>
      <c r="E75" s="14"/>
      <c r="F75" s="14"/>
    </row>
    <row r="76" spans="1:6" x14ac:dyDescent="0.2">
      <c r="A76" s="8" t="s">
        <v>77</v>
      </c>
      <c r="B76" s="5"/>
      <c r="C76" s="5"/>
      <c r="D76" s="17"/>
      <c r="E76" s="21">
        <v>1031686.9278507001</v>
      </c>
      <c r="F76" s="21">
        <f xml:space="preserve"> ROUND(SUM(F72:F75),2)</f>
        <v>100</v>
      </c>
    </row>
    <row r="77" spans="1:6" x14ac:dyDescent="0.2">
      <c r="A77" s="2"/>
      <c r="B77" s="2"/>
      <c r="C77" s="2"/>
      <c r="D77" s="2"/>
      <c r="E77" s="1"/>
      <c r="F77" s="11" t="s">
        <v>612</v>
      </c>
    </row>
    <row r="78" spans="1:6" x14ac:dyDescent="0.2">
      <c r="A78" s="4" t="s">
        <v>78</v>
      </c>
      <c r="B78" s="2"/>
      <c r="C78" s="2"/>
      <c r="D78" s="2"/>
      <c r="E78" s="1"/>
    </row>
    <row r="79" spans="1:6" x14ac:dyDescent="0.2">
      <c r="A79" s="4" t="s">
        <v>79</v>
      </c>
      <c r="B79" s="2"/>
      <c r="C79" s="2"/>
      <c r="D79" s="2"/>
      <c r="E79" s="1"/>
    </row>
    <row r="80" spans="1:6" x14ac:dyDescent="0.2">
      <c r="A80" s="4" t="s">
        <v>80</v>
      </c>
      <c r="B80" s="2"/>
      <c r="C80" s="2"/>
      <c r="D80" s="2"/>
      <c r="E80" s="1"/>
    </row>
    <row r="81" spans="1:5" x14ac:dyDescent="0.2">
      <c r="A81" s="2" t="s">
        <v>638</v>
      </c>
      <c r="B81" s="2"/>
      <c r="C81" s="2"/>
      <c r="D81" s="10">
        <v>562.12239999999997</v>
      </c>
      <c r="E81" s="2"/>
    </row>
    <row r="82" spans="1:5" x14ac:dyDescent="0.2">
      <c r="A82" s="2" t="s">
        <v>639</v>
      </c>
      <c r="B82" s="2"/>
      <c r="C82" s="2"/>
      <c r="D82" s="10">
        <v>34.325899999999997</v>
      </c>
      <c r="E82" s="2"/>
    </row>
    <row r="83" spans="1:5" x14ac:dyDescent="0.2">
      <c r="A83" s="2" t="s">
        <v>640</v>
      </c>
      <c r="B83" s="2"/>
      <c r="C83" s="2"/>
      <c r="D83" s="10">
        <v>595.92089999999996</v>
      </c>
      <c r="E83" s="2"/>
    </row>
    <row r="84" spans="1:5" x14ac:dyDescent="0.2">
      <c r="A84" s="2" t="s">
        <v>641</v>
      </c>
      <c r="B84" s="2"/>
      <c r="C84" s="2"/>
      <c r="D84" s="10">
        <v>37.017200000000003</v>
      </c>
      <c r="E84" s="2"/>
    </row>
    <row r="85" spans="1:5" x14ac:dyDescent="0.2">
      <c r="A85" s="2"/>
      <c r="B85" s="2"/>
      <c r="C85" s="2"/>
      <c r="D85" s="10"/>
      <c r="E85" s="2"/>
    </row>
    <row r="86" spans="1:5" x14ac:dyDescent="0.2">
      <c r="A86" s="4" t="s">
        <v>81</v>
      </c>
      <c r="B86" s="2"/>
      <c r="C86" s="2"/>
      <c r="D86" s="2"/>
      <c r="E86" s="2"/>
    </row>
    <row r="87" spans="1:5" x14ac:dyDescent="0.2">
      <c r="A87" s="2" t="s">
        <v>638</v>
      </c>
      <c r="B87" s="2"/>
      <c r="C87" s="2"/>
      <c r="D87" s="10">
        <v>540.44770000000005</v>
      </c>
      <c r="E87" s="2"/>
    </row>
    <row r="88" spans="1:5" x14ac:dyDescent="0.2">
      <c r="A88" s="2" t="s">
        <v>639</v>
      </c>
      <c r="B88" s="2"/>
      <c r="C88" s="2"/>
      <c r="D88" s="10">
        <v>33.002400000000002</v>
      </c>
      <c r="E88" s="2"/>
    </row>
    <row r="89" spans="1:5" x14ac:dyDescent="0.2">
      <c r="A89" s="2" t="s">
        <v>640</v>
      </c>
      <c r="B89" s="2"/>
      <c r="C89" s="2"/>
      <c r="D89" s="10">
        <v>575.38900000000001</v>
      </c>
      <c r="E89" s="2"/>
    </row>
    <row r="90" spans="1:5" x14ac:dyDescent="0.2">
      <c r="A90" s="2" t="s">
        <v>641</v>
      </c>
      <c r="B90" s="2"/>
      <c r="C90" s="2"/>
      <c r="D90" s="10">
        <v>35.741799999999998</v>
      </c>
      <c r="E90" s="2"/>
    </row>
    <row r="91" spans="1:5" x14ac:dyDescent="0.2">
      <c r="A91" s="2"/>
      <c r="B91" s="2"/>
      <c r="C91" s="2"/>
      <c r="D91" s="2"/>
      <c r="E91" s="1"/>
    </row>
    <row r="92" spans="1:5" x14ac:dyDescent="0.2">
      <c r="A92" s="4" t="s">
        <v>82</v>
      </c>
      <c r="B92" s="2"/>
      <c r="C92" s="2"/>
      <c r="D92" s="44" t="s">
        <v>83</v>
      </c>
      <c r="E92" s="1"/>
    </row>
    <row r="93" spans="1:5" x14ac:dyDescent="0.2">
      <c r="A93" s="4"/>
      <c r="B93" s="2"/>
      <c r="C93" s="2"/>
      <c r="D93" s="44"/>
      <c r="E93" s="1"/>
    </row>
    <row r="94" spans="1:5" x14ac:dyDescent="0.2">
      <c r="A94" s="9" t="s">
        <v>646</v>
      </c>
      <c r="B94" s="2"/>
      <c r="C94" s="2"/>
      <c r="D94" s="51">
        <v>0.12908697706856137</v>
      </c>
      <c r="E94" s="1"/>
    </row>
    <row r="95" spans="1:5" x14ac:dyDescent="0.2">
      <c r="A95" s="2"/>
      <c r="B95" s="2"/>
      <c r="C95" s="2"/>
      <c r="D95" s="2"/>
      <c r="E95" s="1"/>
    </row>
    <row r="96" spans="1:5" x14ac:dyDescent="0.2">
      <c r="A96" s="2"/>
      <c r="B96" s="2"/>
      <c r="C96" s="2"/>
      <c r="D96" s="2"/>
      <c r="E96" s="1"/>
    </row>
  </sheetData>
  <mergeCells count="1">
    <mergeCell ref="A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4BBBC-D1AC-4DE2-9A77-DCE71CF12870}">
  <dimension ref="A1:F93"/>
  <sheetViews>
    <sheetView showGridLines="0" workbookViewId="0">
      <selection sqref="A1:F1"/>
    </sheetView>
  </sheetViews>
  <sheetFormatPr defaultRowHeight="11.25" x14ac:dyDescent="0.2"/>
  <cols>
    <col min="1" max="1" width="59.42578125" style="1" bestFit="1" customWidth="1"/>
    <col min="2" max="2" width="34.7109375" style="1" bestFit="1" customWidth="1"/>
    <col min="3" max="3" width="35.7109375" style="1" bestFit="1" customWidth="1"/>
    <col min="4" max="4" width="12" style="19" bestFit="1" customWidth="1"/>
    <col min="5" max="5" width="24" style="15" bestFit="1" customWidth="1"/>
    <col min="6" max="6" width="14.140625" style="15" bestFit="1" customWidth="1"/>
    <col min="7" max="16384" width="9.140625" style="2"/>
  </cols>
  <sheetData>
    <row r="1" spans="1:6" x14ac:dyDescent="0.2">
      <c r="A1" s="99" t="s">
        <v>257</v>
      </c>
      <c r="B1" s="99"/>
      <c r="C1" s="99"/>
      <c r="D1" s="99"/>
      <c r="E1" s="99"/>
      <c r="F1" s="99"/>
    </row>
    <row r="3" spans="1:6" s="4" customFormat="1" x14ac:dyDescent="0.2">
      <c r="A3" s="3" t="s">
        <v>1</v>
      </c>
      <c r="B3" s="3" t="s">
        <v>2</v>
      </c>
      <c r="C3" s="3" t="s">
        <v>3</v>
      </c>
      <c r="D3" s="16" t="s">
        <v>4</v>
      </c>
      <c r="E3" s="12" t="s">
        <v>5</v>
      </c>
      <c r="F3" s="12" t="s">
        <v>6</v>
      </c>
    </row>
    <row r="4" spans="1:6" x14ac:dyDescent="0.2">
      <c r="A4" s="5"/>
      <c r="B4" s="5"/>
      <c r="C4" s="5"/>
      <c r="D4" s="17"/>
      <c r="E4" s="13"/>
      <c r="F4" s="13"/>
    </row>
    <row r="5" spans="1:6" x14ac:dyDescent="0.2">
      <c r="A5" s="6" t="s">
        <v>7</v>
      </c>
      <c r="B5" s="7"/>
      <c r="C5" s="7"/>
      <c r="D5" s="18"/>
      <c r="E5" s="14"/>
      <c r="F5" s="14"/>
    </row>
    <row r="6" spans="1:6" x14ac:dyDescent="0.2">
      <c r="A6" s="6" t="s">
        <v>8</v>
      </c>
      <c r="B6" s="7"/>
      <c r="C6" s="7"/>
      <c r="D6" s="18"/>
      <c r="E6" s="14"/>
      <c r="F6" s="14"/>
    </row>
    <row r="7" spans="1:6" x14ac:dyDescent="0.2">
      <c r="A7" s="6"/>
      <c r="B7" s="7"/>
      <c r="C7" s="7"/>
      <c r="D7" s="18"/>
      <c r="E7" s="14"/>
      <c r="F7" s="14"/>
    </row>
    <row r="8" spans="1:6" x14ac:dyDescent="0.2">
      <c r="A8" s="7" t="s">
        <v>97</v>
      </c>
      <c r="B8" s="7" t="s">
        <v>98</v>
      </c>
      <c r="C8" s="7" t="s">
        <v>12</v>
      </c>
      <c r="D8" s="18">
        <v>2783870</v>
      </c>
      <c r="E8" s="14">
        <v>18482.112929999999</v>
      </c>
      <c r="F8" s="14">
        <f>E8/$E$69*100</f>
        <v>7.4921771243865596</v>
      </c>
    </row>
    <row r="9" spans="1:6" x14ac:dyDescent="0.2">
      <c r="A9" s="7" t="s">
        <v>10</v>
      </c>
      <c r="B9" s="7" t="s">
        <v>11</v>
      </c>
      <c r="C9" s="7" t="s">
        <v>12</v>
      </c>
      <c r="D9" s="18">
        <v>559023</v>
      </c>
      <c r="E9" s="14">
        <v>12454.7529285</v>
      </c>
      <c r="F9" s="14">
        <f t="shared" ref="F9:F58" si="0">E9/$E$69*100</f>
        <v>5.048839130797055</v>
      </c>
    </row>
    <row r="10" spans="1:6" x14ac:dyDescent="0.2">
      <c r="A10" s="7" t="s">
        <v>85</v>
      </c>
      <c r="B10" s="7" t="s">
        <v>86</v>
      </c>
      <c r="C10" s="7" t="s">
        <v>12</v>
      </c>
      <c r="D10" s="18">
        <v>2891781</v>
      </c>
      <c r="E10" s="14">
        <v>11846.180866500001</v>
      </c>
      <c r="F10" s="14">
        <f t="shared" si="0"/>
        <v>4.8021395408353378</v>
      </c>
    </row>
    <row r="11" spans="1:6" x14ac:dyDescent="0.2">
      <c r="A11" s="7" t="s">
        <v>156</v>
      </c>
      <c r="B11" s="7" t="s">
        <v>157</v>
      </c>
      <c r="C11" s="7" t="s">
        <v>64</v>
      </c>
      <c r="D11" s="18">
        <v>1277694</v>
      </c>
      <c r="E11" s="14">
        <v>10411.928406000001</v>
      </c>
      <c r="F11" s="14">
        <f t="shared" si="0"/>
        <v>4.2207301794786636</v>
      </c>
    </row>
    <row r="12" spans="1:6" x14ac:dyDescent="0.2">
      <c r="A12" s="7" t="s">
        <v>23</v>
      </c>
      <c r="B12" s="7" t="s">
        <v>24</v>
      </c>
      <c r="C12" s="7" t="s">
        <v>25</v>
      </c>
      <c r="D12" s="18">
        <v>4624884</v>
      </c>
      <c r="E12" s="14">
        <v>8530.5985380000002</v>
      </c>
      <c r="F12" s="14">
        <f t="shared" si="0"/>
        <v>3.4580870415517486</v>
      </c>
    </row>
    <row r="13" spans="1:6" x14ac:dyDescent="0.2">
      <c r="A13" s="7" t="s">
        <v>163</v>
      </c>
      <c r="B13" s="7" t="s">
        <v>164</v>
      </c>
      <c r="C13" s="7" t="s">
        <v>40</v>
      </c>
      <c r="D13" s="18">
        <v>1396570</v>
      </c>
      <c r="E13" s="14">
        <v>7385.0621600000004</v>
      </c>
      <c r="F13" s="14">
        <f t="shared" si="0"/>
        <v>2.9937158152255052</v>
      </c>
    </row>
    <row r="14" spans="1:6" x14ac:dyDescent="0.2">
      <c r="A14" s="7" t="s">
        <v>189</v>
      </c>
      <c r="B14" s="7" t="s">
        <v>190</v>
      </c>
      <c r="C14" s="7" t="s">
        <v>28</v>
      </c>
      <c r="D14" s="18">
        <v>1611999</v>
      </c>
      <c r="E14" s="14">
        <v>7257.2194980000004</v>
      </c>
      <c r="F14" s="14">
        <f t="shared" si="0"/>
        <v>2.9418916611699175</v>
      </c>
    </row>
    <row r="15" spans="1:6" x14ac:dyDescent="0.2">
      <c r="A15" s="7" t="s">
        <v>89</v>
      </c>
      <c r="B15" s="7" t="s">
        <v>90</v>
      </c>
      <c r="C15" s="7" t="s">
        <v>43</v>
      </c>
      <c r="D15" s="18">
        <v>2083873</v>
      </c>
      <c r="E15" s="14">
        <v>7226.871564</v>
      </c>
      <c r="F15" s="14">
        <f t="shared" si="0"/>
        <v>2.9295893828671957</v>
      </c>
    </row>
    <row r="16" spans="1:6" x14ac:dyDescent="0.2">
      <c r="A16" s="7" t="s">
        <v>191</v>
      </c>
      <c r="B16" s="7" t="s">
        <v>192</v>
      </c>
      <c r="C16" s="7" t="s">
        <v>37</v>
      </c>
      <c r="D16" s="18">
        <v>1562320</v>
      </c>
      <c r="E16" s="14">
        <v>7196.0459199999996</v>
      </c>
      <c r="F16" s="14">
        <f t="shared" si="0"/>
        <v>2.9170934531163062</v>
      </c>
    </row>
    <row r="17" spans="1:6" x14ac:dyDescent="0.2">
      <c r="A17" s="7" t="s">
        <v>172</v>
      </c>
      <c r="B17" s="7" t="s">
        <v>173</v>
      </c>
      <c r="C17" s="7" t="s">
        <v>53</v>
      </c>
      <c r="D17" s="18">
        <v>980035</v>
      </c>
      <c r="E17" s="14">
        <v>6967.5588324999999</v>
      </c>
      <c r="F17" s="14">
        <f t="shared" si="0"/>
        <v>2.8244706162865127</v>
      </c>
    </row>
    <row r="18" spans="1:6" x14ac:dyDescent="0.2">
      <c r="A18" s="7" t="s">
        <v>193</v>
      </c>
      <c r="B18" s="7" t="s">
        <v>194</v>
      </c>
      <c r="C18" s="7" t="s">
        <v>103</v>
      </c>
      <c r="D18" s="18">
        <v>3099304</v>
      </c>
      <c r="E18" s="14">
        <v>6813.8198439999996</v>
      </c>
      <c r="F18" s="14">
        <f t="shared" si="0"/>
        <v>2.7621487520533181</v>
      </c>
    </row>
    <row r="19" spans="1:6" x14ac:dyDescent="0.2">
      <c r="A19" s="7" t="s">
        <v>195</v>
      </c>
      <c r="B19" s="7" t="s">
        <v>196</v>
      </c>
      <c r="C19" s="7" t="s">
        <v>37</v>
      </c>
      <c r="D19" s="18">
        <v>531359</v>
      </c>
      <c r="E19" s="14">
        <v>6772.4361344999998</v>
      </c>
      <c r="F19" s="14">
        <f t="shared" si="0"/>
        <v>2.7453728518728315</v>
      </c>
    </row>
    <row r="20" spans="1:6" x14ac:dyDescent="0.2">
      <c r="A20" s="7" t="s">
        <v>197</v>
      </c>
      <c r="B20" s="7" t="s">
        <v>198</v>
      </c>
      <c r="C20" s="7" t="s">
        <v>93</v>
      </c>
      <c r="D20" s="18">
        <v>11927483</v>
      </c>
      <c r="E20" s="14">
        <v>6768.8466024999998</v>
      </c>
      <c r="F20" s="14">
        <f t="shared" si="0"/>
        <v>2.743917747164863</v>
      </c>
    </row>
    <row r="21" spans="1:6" x14ac:dyDescent="0.2">
      <c r="A21" s="7" t="s">
        <v>199</v>
      </c>
      <c r="B21" s="7" t="s">
        <v>200</v>
      </c>
      <c r="C21" s="7" t="s">
        <v>93</v>
      </c>
      <c r="D21" s="18">
        <v>3201385</v>
      </c>
      <c r="E21" s="14">
        <v>6418.7769250000001</v>
      </c>
      <c r="F21" s="14">
        <f t="shared" si="0"/>
        <v>2.6020084297810482</v>
      </c>
    </row>
    <row r="22" spans="1:6" x14ac:dyDescent="0.2">
      <c r="A22" s="7" t="s">
        <v>16</v>
      </c>
      <c r="B22" s="7" t="s">
        <v>17</v>
      </c>
      <c r="C22" s="7" t="s">
        <v>633</v>
      </c>
      <c r="D22" s="18">
        <v>4317530</v>
      </c>
      <c r="E22" s="14">
        <v>6001.3666999999996</v>
      </c>
      <c r="F22" s="14">
        <f t="shared" si="0"/>
        <v>2.4328009722206176</v>
      </c>
    </row>
    <row r="23" spans="1:6" x14ac:dyDescent="0.2">
      <c r="A23" s="7" t="s">
        <v>101</v>
      </c>
      <c r="B23" s="7" t="s">
        <v>102</v>
      </c>
      <c r="C23" s="7" t="s">
        <v>103</v>
      </c>
      <c r="D23" s="18">
        <v>2232307</v>
      </c>
      <c r="E23" s="14">
        <v>5956.9112295000004</v>
      </c>
      <c r="F23" s="14">
        <f t="shared" si="0"/>
        <v>2.4147798584878206</v>
      </c>
    </row>
    <row r="24" spans="1:6" x14ac:dyDescent="0.2">
      <c r="A24" s="7" t="s">
        <v>201</v>
      </c>
      <c r="B24" s="7" t="s">
        <v>202</v>
      </c>
      <c r="C24" s="7" t="s">
        <v>28</v>
      </c>
      <c r="D24" s="18">
        <v>874063</v>
      </c>
      <c r="E24" s="14">
        <v>5633.7730664999999</v>
      </c>
      <c r="F24" s="14">
        <f t="shared" si="0"/>
        <v>2.2837878900903577</v>
      </c>
    </row>
    <row r="25" spans="1:6" x14ac:dyDescent="0.2">
      <c r="A25" s="7" t="s">
        <v>203</v>
      </c>
      <c r="B25" s="7" t="s">
        <v>204</v>
      </c>
      <c r="C25" s="7" t="s">
        <v>205</v>
      </c>
      <c r="D25" s="18">
        <v>1461291</v>
      </c>
      <c r="E25" s="14">
        <v>5624.509059</v>
      </c>
      <c r="F25" s="14">
        <f t="shared" si="0"/>
        <v>2.2800324977640298</v>
      </c>
    </row>
    <row r="26" spans="1:6" x14ac:dyDescent="0.2">
      <c r="A26" s="7" t="s">
        <v>104</v>
      </c>
      <c r="B26" s="7" t="s">
        <v>105</v>
      </c>
      <c r="C26" s="7" t="s">
        <v>96</v>
      </c>
      <c r="D26" s="18">
        <v>4438381</v>
      </c>
      <c r="E26" s="14">
        <v>5434.7975345000004</v>
      </c>
      <c r="F26" s="14">
        <f t="shared" si="0"/>
        <v>2.2031282850544391</v>
      </c>
    </row>
    <row r="27" spans="1:6" x14ac:dyDescent="0.2">
      <c r="A27" s="7" t="s">
        <v>21</v>
      </c>
      <c r="B27" s="7" t="s">
        <v>22</v>
      </c>
      <c r="C27" s="7" t="s">
        <v>12</v>
      </c>
      <c r="D27" s="18">
        <v>335751</v>
      </c>
      <c r="E27" s="14">
        <v>4806.1076894999997</v>
      </c>
      <c r="F27" s="14">
        <f t="shared" si="0"/>
        <v>1.9482734590460182</v>
      </c>
    </row>
    <row r="28" spans="1:6" x14ac:dyDescent="0.2">
      <c r="A28" s="7" t="s">
        <v>206</v>
      </c>
      <c r="B28" s="7" t="s">
        <v>207</v>
      </c>
      <c r="C28" s="7" t="s">
        <v>93</v>
      </c>
      <c r="D28" s="18">
        <v>580784</v>
      </c>
      <c r="E28" s="14">
        <v>4498.1720800000003</v>
      </c>
      <c r="F28" s="14">
        <f t="shared" si="0"/>
        <v>1.8234442180378081</v>
      </c>
    </row>
    <row r="29" spans="1:6" x14ac:dyDescent="0.2">
      <c r="A29" s="7" t="s">
        <v>208</v>
      </c>
      <c r="B29" s="7" t="s">
        <v>209</v>
      </c>
      <c r="C29" s="7" t="s">
        <v>34</v>
      </c>
      <c r="D29" s="18">
        <v>297232</v>
      </c>
      <c r="E29" s="14">
        <v>4482.7044079999996</v>
      </c>
      <c r="F29" s="14">
        <f t="shared" si="0"/>
        <v>1.8171740183715237</v>
      </c>
    </row>
    <row r="30" spans="1:6" x14ac:dyDescent="0.2">
      <c r="A30" s="7" t="s">
        <v>210</v>
      </c>
      <c r="B30" s="7" t="s">
        <v>211</v>
      </c>
      <c r="C30" s="7" t="s">
        <v>20</v>
      </c>
      <c r="D30" s="18">
        <v>1369699</v>
      </c>
      <c r="E30" s="14">
        <v>4048.1453944999998</v>
      </c>
      <c r="F30" s="14">
        <f t="shared" si="0"/>
        <v>1.6410148793990571</v>
      </c>
    </row>
    <row r="31" spans="1:6" x14ac:dyDescent="0.2">
      <c r="A31" s="7" t="s">
        <v>212</v>
      </c>
      <c r="B31" s="7" t="s">
        <v>213</v>
      </c>
      <c r="C31" s="7" t="s">
        <v>96</v>
      </c>
      <c r="D31" s="18">
        <v>1475067</v>
      </c>
      <c r="E31" s="14">
        <v>3837.3868004999999</v>
      </c>
      <c r="F31" s="14">
        <f t="shared" si="0"/>
        <v>1.5555787216006927</v>
      </c>
    </row>
    <row r="32" spans="1:6" x14ac:dyDescent="0.2">
      <c r="A32" s="7" t="s">
        <v>214</v>
      </c>
      <c r="B32" s="7" t="s">
        <v>215</v>
      </c>
      <c r="C32" s="7" t="s">
        <v>216</v>
      </c>
      <c r="D32" s="18">
        <v>2227065</v>
      </c>
      <c r="E32" s="14">
        <v>3813.8488124999999</v>
      </c>
      <c r="F32" s="14">
        <f t="shared" si="0"/>
        <v>1.5460370216924837</v>
      </c>
    </row>
    <row r="33" spans="1:6" x14ac:dyDescent="0.2">
      <c r="A33" s="7" t="s">
        <v>217</v>
      </c>
      <c r="B33" s="7" t="s">
        <v>218</v>
      </c>
      <c r="C33" s="7" t="s">
        <v>31</v>
      </c>
      <c r="D33" s="18">
        <v>2417000</v>
      </c>
      <c r="E33" s="14">
        <v>3730.6395000000002</v>
      </c>
      <c r="F33" s="14">
        <f t="shared" si="0"/>
        <v>1.5123060889788056</v>
      </c>
    </row>
    <row r="34" spans="1:6" x14ac:dyDescent="0.2">
      <c r="A34" s="7" t="s">
        <v>160</v>
      </c>
      <c r="B34" s="7" t="s">
        <v>161</v>
      </c>
      <c r="C34" s="7" t="s">
        <v>162</v>
      </c>
      <c r="D34" s="18">
        <v>143420</v>
      </c>
      <c r="E34" s="14">
        <v>3667.9665</v>
      </c>
      <c r="F34" s="14">
        <f t="shared" si="0"/>
        <v>1.4869000534949244</v>
      </c>
    </row>
    <row r="35" spans="1:6" x14ac:dyDescent="0.2">
      <c r="A35" s="7" t="s">
        <v>219</v>
      </c>
      <c r="B35" s="7" t="s">
        <v>220</v>
      </c>
      <c r="C35" s="7" t="s">
        <v>221</v>
      </c>
      <c r="D35" s="18">
        <v>611059</v>
      </c>
      <c r="E35" s="14">
        <v>3570.4177370000002</v>
      </c>
      <c r="F35" s="14">
        <f t="shared" si="0"/>
        <v>1.4473562733314296</v>
      </c>
    </row>
    <row r="36" spans="1:6" x14ac:dyDescent="0.2">
      <c r="A36" s="7" t="s">
        <v>176</v>
      </c>
      <c r="B36" s="7" t="s">
        <v>177</v>
      </c>
      <c r="C36" s="7" t="s">
        <v>37</v>
      </c>
      <c r="D36" s="18">
        <v>247050</v>
      </c>
      <c r="E36" s="14">
        <v>3389.6495249999998</v>
      </c>
      <c r="F36" s="14">
        <f t="shared" si="0"/>
        <v>1.3740774513757268</v>
      </c>
    </row>
    <row r="37" spans="1:6" x14ac:dyDescent="0.2">
      <c r="A37" s="7" t="s">
        <v>222</v>
      </c>
      <c r="B37" s="7" t="s">
        <v>223</v>
      </c>
      <c r="C37" s="7" t="s">
        <v>53</v>
      </c>
      <c r="D37" s="18">
        <v>397199</v>
      </c>
      <c r="E37" s="14">
        <v>3382.3480844999999</v>
      </c>
      <c r="F37" s="14">
        <f t="shared" si="0"/>
        <v>1.371117633648373</v>
      </c>
    </row>
    <row r="38" spans="1:6" x14ac:dyDescent="0.2">
      <c r="A38" s="7" t="s">
        <v>224</v>
      </c>
      <c r="B38" s="7" t="s">
        <v>225</v>
      </c>
      <c r="C38" s="7" t="s">
        <v>37</v>
      </c>
      <c r="D38" s="18">
        <v>25512</v>
      </c>
      <c r="E38" s="14">
        <v>3284.7210239999999</v>
      </c>
      <c r="F38" s="14">
        <f t="shared" si="0"/>
        <v>1.3315421136756571</v>
      </c>
    </row>
    <row r="39" spans="1:6" x14ac:dyDescent="0.2">
      <c r="A39" s="7" t="s">
        <v>226</v>
      </c>
      <c r="B39" s="7" t="s">
        <v>227</v>
      </c>
      <c r="C39" s="7" t="s">
        <v>228</v>
      </c>
      <c r="D39" s="18">
        <v>288537</v>
      </c>
      <c r="E39" s="14">
        <v>2869.2119280000002</v>
      </c>
      <c r="F39" s="14">
        <f t="shared" si="0"/>
        <v>1.163105325316214</v>
      </c>
    </row>
    <row r="40" spans="1:6" x14ac:dyDescent="0.2">
      <c r="A40" s="7" t="s">
        <v>229</v>
      </c>
      <c r="B40" s="7" t="s">
        <v>230</v>
      </c>
      <c r="C40" s="7" t="s">
        <v>12</v>
      </c>
      <c r="D40" s="18">
        <v>1415268</v>
      </c>
      <c r="E40" s="14">
        <v>2829.1207319999999</v>
      </c>
      <c r="F40" s="14">
        <f t="shared" si="0"/>
        <v>1.1468533771380953</v>
      </c>
    </row>
    <row r="41" spans="1:6" x14ac:dyDescent="0.2">
      <c r="A41" s="7" t="s">
        <v>231</v>
      </c>
      <c r="B41" s="7" t="s">
        <v>232</v>
      </c>
      <c r="C41" s="7" t="s">
        <v>12</v>
      </c>
      <c r="D41" s="18">
        <v>3280054</v>
      </c>
      <c r="E41" s="14">
        <v>2719.1647659999999</v>
      </c>
      <c r="F41" s="14">
        <f t="shared" si="0"/>
        <v>1.1022800333718732</v>
      </c>
    </row>
    <row r="42" spans="1:6" x14ac:dyDescent="0.2">
      <c r="A42" s="7" t="s">
        <v>233</v>
      </c>
      <c r="B42" s="7" t="s">
        <v>234</v>
      </c>
      <c r="C42" s="7" t="s">
        <v>216</v>
      </c>
      <c r="D42" s="18">
        <v>357387</v>
      </c>
      <c r="E42" s="14">
        <v>2660.5675215000001</v>
      </c>
      <c r="F42" s="14">
        <f t="shared" si="0"/>
        <v>1.078526205199859</v>
      </c>
    </row>
    <row r="43" spans="1:6" x14ac:dyDescent="0.2">
      <c r="A43" s="7" t="s">
        <v>29</v>
      </c>
      <c r="B43" s="7" t="s">
        <v>30</v>
      </c>
      <c r="C43" s="7" t="s">
        <v>31</v>
      </c>
      <c r="D43" s="18">
        <v>407593</v>
      </c>
      <c r="E43" s="14">
        <v>2342.6407675</v>
      </c>
      <c r="F43" s="14">
        <f t="shared" si="0"/>
        <v>0.94964680907394894</v>
      </c>
    </row>
    <row r="44" spans="1:6" x14ac:dyDescent="0.2">
      <c r="A44" s="7" t="s">
        <v>235</v>
      </c>
      <c r="B44" s="7" t="s">
        <v>236</v>
      </c>
      <c r="C44" s="7" t="s">
        <v>64</v>
      </c>
      <c r="D44" s="18">
        <v>283932</v>
      </c>
      <c r="E44" s="14">
        <v>1969.494318</v>
      </c>
      <c r="F44" s="14">
        <f t="shared" si="0"/>
        <v>0.79838275698323569</v>
      </c>
    </row>
    <row r="45" spans="1:6" x14ac:dyDescent="0.2">
      <c r="A45" s="7" t="s">
        <v>35</v>
      </c>
      <c r="B45" s="7" t="s">
        <v>36</v>
      </c>
      <c r="C45" s="7" t="s">
        <v>37</v>
      </c>
      <c r="D45" s="18">
        <v>664248</v>
      </c>
      <c r="E45" s="14">
        <v>1849.9306799999999</v>
      </c>
      <c r="F45" s="14">
        <f t="shared" si="0"/>
        <v>0.74991470806887195</v>
      </c>
    </row>
    <row r="46" spans="1:6" x14ac:dyDescent="0.2">
      <c r="A46" s="7" t="s">
        <v>141</v>
      </c>
      <c r="B46" s="7" t="s">
        <v>667</v>
      </c>
      <c r="C46" s="7" t="s">
        <v>40</v>
      </c>
      <c r="D46" s="18">
        <v>3415915</v>
      </c>
      <c r="E46" s="14">
        <v>1827.514525</v>
      </c>
      <c r="F46" s="14">
        <f t="shared" si="0"/>
        <v>0.74082777064219407</v>
      </c>
    </row>
    <row r="47" spans="1:6" x14ac:dyDescent="0.2">
      <c r="A47" s="7" t="s">
        <v>237</v>
      </c>
      <c r="B47" s="7" t="s">
        <v>238</v>
      </c>
      <c r="C47" s="7" t="s">
        <v>28</v>
      </c>
      <c r="D47" s="18">
        <v>1614973</v>
      </c>
      <c r="E47" s="14">
        <v>1811.1922195</v>
      </c>
      <c r="F47" s="14">
        <f t="shared" si="0"/>
        <v>0.734211124355727</v>
      </c>
    </row>
    <row r="48" spans="1:6" x14ac:dyDescent="0.2">
      <c r="A48" s="7" t="s">
        <v>239</v>
      </c>
      <c r="B48" s="7" t="s">
        <v>240</v>
      </c>
      <c r="C48" s="7" t="s">
        <v>15</v>
      </c>
      <c r="D48" s="18">
        <v>952563</v>
      </c>
      <c r="E48" s="14">
        <v>1805.5831665000001</v>
      </c>
      <c r="F48" s="14">
        <f t="shared" si="0"/>
        <v>0.73193735735001531</v>
      </c>
    </row>
    <row r="49" spans="1:6" x14ac:dyDescent="0.2">
      <c r="A49" s="7" t="s">
        <v>241</v>
      </c>
      <c r="B49" s="7" t="s">
        <v>242</v>
      </c>
      <c r="C49" s="7" t="s">
        <v>633</v>
      </c>
      <c r="D49" s="18">
        <v>3114657</v>
      </c>
      <c r="E49" s="14">
        <v>1681.9147800000001</v>
      </c>
      <c r="F49" s="14">
        <f t="shared" si="0"/>
        <v>0.68180534810116289</v>
      </c>
    </row>
    <row r="50" spans="1:6" x14ac:dyDescent="0.2">
      <c r="A50" s="7" t="s">
        <v>178</v>
      </c>
      <c r="B50" s="7" t="s">
        <v>179</v>
      </c>
      <c r="C50" s="7" t="s">
        <v>162</v>
      </c>
      <c r="D50" s="18">
        <v>698798</v>
      </c>
      <c r="E50" s="14">
        <v>1574.0424949999999</v>
      </c>
      <c r="F50" s="14">
        <f t="shared" si="0"/>
        <v>0.63807667546003599</v>
      </c>
    </row>
    <row r="51" spans="1:6" x14ac:dyDescent="0.2">
      <c r="A51" s="7" t="s">
        <v>243</v>
      </c>
      <c r="B51" s="7" t="s">
        <v>244</v>
      </c>
      <c r="C51" s="7" t="s">
        <v>245</v>
      </c>
      <c r="D51" s="18">
        <v>402468</v>
      </c>
      <c r="E51" s="14">
        <v>1388.112132</v>
      </c>
      <c r="F51" s="14">
        <f t="shared" si="0"/>
        <v>0.56270524916946585</v>
      </c>
    </row>
    <row r="52" spans="1:6" x14ac:dyDescent="0.2">
      <c r="A52" s="7" t="s">
        <v>246</v>
      </c>
      <c r="B52" s="7" t="s">
        <v>247</v>
      </c>
      <c r="C52" s="7" t="s">
        <v>60</v>
      </c>
      <c r="D52" s="18">
        <v>4997148</v>
      </c>
      <c r="E52" s="14">
        <v>1094.3754120000001</v>
      </c>
      <c r="F52" s="14">
        <f t="shared" si="0"/>
        <v>0.44363187576722146</v>
      </c>
    </row>
    <row r="53" spans="1:6" x14ac:dyDescent="0.2">
      <c r="A53" s="7" t="s">
        <v>91</v>
      </c>
      <c r="B53" s="7" t="s">
        <v>92</v>
      </c>
      <c r="C53" s="7" t="s">
        <v>93</v>
      </c>
      <c r="D53" s="18">
        <v>892345</v>
      </c>
      <c r="E53" s="14">
        <v>1085.5376925</v>
      </c>
      <c r="F53" s="14">
        <f t="shared" si="0"/>
        <v>0.44004928972197721</v>
      </c>
    </row>
    <row r="54" spans="1:6" x14ac:dyDescent="0.2">
      <c r="A54" s="7" t="s">
        <v>248</v>
      </c>
      <c r="B54" s="7" t="s">
        <v>249</v>
      </c>
      <c r="C54" s="7" t="s">
        <v>60</v>
      </c>
      <c r="D54" s="18">
        <v>1656994</v>
      </c>
      <c r="E54" s="14">
        <v>1053.019687</v>
      </c>
      <c r="F54" s="14">
        <f t="shared" si="0"/>
        <v>0.42686731978918252</v>
      </c>
    </row>
    <row r="55" spans="1:6" x14ac:dyDescent="0.2">
      <c r="A55" s="7" t="s">
        <v>250</v>
      </c>
      <c r="B55" s="7" t="s">
        <v>251</v>
      </c>
      <c r="C55" s="7" t="s">
        <v>252</v>
      </c>
      <c r="D55" s="18">
        <v>656332</v>
      </c>
      <c r="E55" s="14">
        <v>827.30648599999995</v>
      </c>
      <c r="F55" s="14">
        <f t="shared" si="0"/>
        <v>0.33536894578783583</v>
      </c>
    </row>
    <row r="56" spans="1:6" x14ac:dyDescent="0.2">
      <c r="A56" s="7" t="s">
        <v>253</v>
      </c>
      <c r="B56" s="7" t="s">
        <v>254</v>
      </c>
      <c r="C56" s="7" t="s">
        <v>40</v>
      </c>
      <c r="D56" s="18">
        <v>889680</v>
      </c>
      <c r="E56" s="14">
        <v>573.39876000000004</v>
      </c>
      <c r="F56" s="14">
        <f t="shared" si="0"/>
        <v>0.23244123056138144</v>
      </c>
    </row>
    <row r="57" spans="1:6" x14ac:dyDescent="0.2">
      <c r="A57" s="7" t="s">
        <v>41</v>
      </c>
      <c r="B57" s="7" t="s">
        <v>42</v>
      </c>
      <c r="C57" s="7" t="s">
        <v>43</v>
      </c>
      <c r="D57" s="18">
        <v>5190996</v>
      </c>
      <c r="E57" s="14">
        <v>277.71828599999998</v>
      </c>
      <c r="F57" s="14">
        <f t="shared" si="0"/>
        <v>0.11257990887046507</v>
      </c>
    </row>
    <row r="58" spans="1:6" x14ac:dyDescent="0.2">
      <c r="A58" s="7" t="s">
        <v>255</v>
      </c>
      <c r="B58" s="7" t="s">
        <v>256</v>
      </c>
      <c r="C58" s="7" t="s">
        <v>15</v>
      </c>
      <c r="D58" s="18">
        <v>348470</v>
      </c>
      <c r="E58" s="14">
        <v>262.74637999999999</v>
      </c>
      <c r="F58" s="14">
        <f t="shared" si="0"/>
        <v>0.10651068009416055</v>
      </c>
    </row>
    <row r="59" spans="1:6" x14ac:dyDescent="0.2">
      <c r="A59" s="6" t="s">
        <v>44</v>
      </c>
      <c r="B59" s="7"/>
      <c r="C59" s="7"/>
      <c r="D59" s="18"/>
      <c r="E59" s="20">
        <f xml:space="preserve"> SUM(E8:E58)</f>
        <v>232198.26902899993</v>
      </c>
      <c r="F59" s="20">
        <f>SUM(F8:F58)</f>
        <v>94.127255153679556</v>
      </c>
    </row>
    <row r="60" spans="1:6" x14ac:dyDescent="0.2">
      <c r="A60" s="6"/>
      <c r="B60" s="7"/>
      <c r="C60" s="7"/>
      <c r="D60" s="18"/>
      <c r="E60" s="20"/>
      <c r="F60" s="20"/>
    </row>
    <row r="61" spans="1:6" x14ac:dyDescent="0.2">
      <c r="A61" s="6" t="s">
        <v>45</v>
      </c>
      <c r="B61" s="7"/>
      <c r="C61" s="7"/>
      <c r="D61" s="18"/>
      <c r="E61" s="20"/>
      <c r="F61" s="20"/>
    </row>
    <row r="62" spans="1:6" x14ac:dyDescent="0.2">
      <c r="A62" s="7" t="s">
        <v>588</v>
      </c>
      <c r="B62" s="61" t="s">
        <v>657</v>
      </c>
      <c r="C62" s="27" t="s">
        <v>64</v>
      </c>
      <c r="D62" s="18">
        <v>60000</v>
      </c>
      <c r="E62" s="14">
        <v>2636.05</v>
      </c>
      <c r="F62" s="14">
        <f t="shared" ref="F62" si="1">E62/$E$69*100</f>
        <v>1.0685874273975227</v>
      </c>
    </row>
    <row r="63" spans="1:6" x14ac:dyDescent="0.2">
      <c r="A63" s="6" t="s">
        <v>44</v>
      </c>
      <c r="B63" s="7"/>
      <c r="C63" s="7"/>
      <c r="D63" s="18"/>
      <c r="E63" s="20">
        <f>SUM(E62)</f>
        <v>2636.05</v>
      </c>
      <c r="F63" s="20">
        <f>SUM(F62)</f>
        <v>1.0685874273975227</v>
      </c>
    </row>
    <row r="64" spans="1:6" s="31" customFormat="1" x14ac:dyDescent="0.2">
      <c r="A64" s="26"/>
      <c r="B64" s="27"/>
      <c r="C64" s="27"/>
      <c r="D64" s="29"/>
      <c r="E64" s="30"/>
      <c r="F64" s="30"/>
    </row>
    <row r="65" spans="1:6" x14ac:dyDescent="0.2">
      <c r="A65" s="6" t="s">
        <v>44</v>
      </c>
      <c r="B65" s="7"/>
      <c r="C65" s="7"/>
      <c r="D65" s="18"/>
      <c r="E65" s="20">
        <f>E59+E63</f>
        <v>234834.31902899992</v>
      </c>
      <c r="F65" s="20">
        <f>F59+F63</f>
        <v>95.195842581077073</v>
      </c>
    </row>
    <row r="66" spans="1:6" x14ac:dyDescent="0.2">
      <c r="A66" s="7"/>
      <c r="B66" s="7"/>
      <c r="C66" s="7"/>
      <c r="D66" s="18"/>
      <c r="E66" s="14"/>
      <c r="F66" s="14"/>
    </row>
    <row r="67" spans="1:6" x14ac:dyDescent="0.2">
      <c r="A67" s="6" t="s">
        <v>76</v>
      </c>
      <c r="B67" s="7"/>
      <c r="C67" s="7"/>
      <c r="D67" s="18"/>
      <c r="E67" s="20">
        <v>11851.1586787</v>
      </c>
      <c r="F67" s="20">
        <f t="shared" ref="F67" si="2">E67/$E$69*100</f>
        <v>4.804157418922955</v>
      </c>
    </row>
    <row r="68" spans="1:6" x14ac:dyDescent="0.2">
      <c r="A68" s="7"/>
      <c r="B68" s="7"/>
      <c r="C68" s="7"/>
      <c r="D68" s="18"/>
      <c r="E68" s="14"/>
      <c r="F68" s="14"/>
    </row>
    <row r="69" spans="1:6" x14ac:dyDescent="0.2">
      <c r="A69" s="8" t="s">
        <v>77</v>
      </c>
      <c r="B69" s="5"/>
      <c r="C69" s="5"/>
      <c r="D69" s="17"/>
      <c r="E69" s="21">
        <f>E65+E67</f>
        <v>246685.47770769993</v>
      </c>
      <c r="F69" s="21">
        <f>F65+F67</f>
        <v>100.00000000000003</v>
      </c>
    </row>
    <row r="70" spans="1:6" x14ac:dyDescent="0.2">
      <c r="A70" s="2"/>
      <c r="B70" s="2"/>
      <c r="C70" s="2"/>
      <c r="D70" s="2"/>
      <c r="E70" s="1"/>
    </row>
    <row r="71" spans="1:6" x14ac:dyDescent="0.2">
      <c r="A71" s="4" t="s">
        <v>78</v>
      </c>
      <c r="B71" s="2"/>
      <c r="C71" s="2"/>
      <c r="D71" s="2"/>
      <c r="E71" s="1"/>
    </row>
    <row r="72" spans="1:6" x14ac:dyDescent="0.2">
      <c r="A72" s="4" t="s">
        <v>79</v>
      </c>
      <c r="B72" s="2"/>
      <c r="C72" s="2"/>
      <c r="D72" s="2"/>
      <c r="E72" s="1"/>
    </row>
    <row r="73" spans="1:6" x14ac:dyDescent="0.2">
      <c r="A73" s="4" t="s">
        <v>80</v>
      </c>
      <c r="B73" s="2"/>
      <c r="C73" s="2"/>
      <c r="D73" s="2"/>
      <c r="E73" s="1"/>
    </row>
    <row r="74" spans="1:6" x14ac:dyDescent="0.2">
      <c r="A74" s="2" t="s">
        <v>638</v>
      </c>
      <c r="B74" s="2"/>
      <c r="C74" s="2"/>
      <c r="D74" s="10">
        <v>75.096100000000007</v>
      </c>
      <c r="E74" s="2"/>
    </row>
    <row r="75" spans="1:6" x14ac:dyDescent="0.2">
      <c r="A75" s="2" t="s">
        <v>639</v>
      </c>
      <c r="B75" s="2"/>
      <c r="C75" s="2"/>
      <c r="D75" s="10">
        <v>15.741400000000001</v>
      </c>
      <c r="E75" s="2"/>
    </row>
    <row r="76" spans="1:6" x14ac:dyDescent="0.2">
      <c r="A76" s="2" t="s">
        <v>640</v>
      </c>
      <c r="B76" s="2"/>
      <c r="C76" s="2"/>
      <c r="D76" s="10">
        <v>78.5214</v>
      </c>
      <c r="E76" s="2"/>
    </row>
    <row r="77" spans="1:6" x14ac:dyDescent="0.2">
      <c r="A77" s="2" t="s">
        <v>641</v>
      </c>
      <c r="B77" s="2"/>
      <c r="C77" s="2"/>
      <c r="D77" s="10">
        <v>16.673999999999999</v>
      </c>
      <c r="E77" s="2"/>
    </row>
    <row r="78" spans="1:6" x14ac:dyDescent="0.2">
      <c r="A78" s="2"/>
      <c r="B78" s="2"/>
      <c r="C78" s="2"/>
      <c r="D78" s="10"/>
      <c r="E78" s="2"/>
    </row>
    <row r="79" spans="1:6" x14ac:dyDescent="0.2">
      <c r="A79" s="4" t="s">
        <v>81</v>
      </c>
      <c r="B79" s="2"/>
      <c r="C79" s="2"/>
      <c r="D79" s="2"/>
      <c r="E79" s="2"/>
    </row>
    <row r="80" spans="1:6" x14ac:dyDescent="0.2">
      <c r="A80" s="2" t="s">
        <v>638</v>
      </c>
      <c r="B80" s="2"/>
      <c r="C80" s="2"/>
      <c r="D80" s="10">
        <v>73.891800000000003</v>
      </c>
      <c r="E80" s="2"/>
    </row>
    <row r="81" spans="1:5" x14ac:dyDescent="0.2">
      <c r="A81" s="2" t="s">
        <v>639</v>
      </c>
      <c r="B81" s="2"/>
      <c r="C81" s="2"/>
      <c r="D81" s="10">
        <v>14.101599999999999</v>
      </c>
      <c r="E81" s="2"/>
    </row>
    <row r="82" spans="1:5" x14ac:dyDescent="0.2">
      <c r="A82" s="2" t="s">
        <v>640</v>
      </c>
      <c r="B82" s="2"/>
      <c r="C82" s="2"/>
      <c r="D82" s="10">
        <v>77.539100000000005</v>
      </c>
      <c r="E82" s="2"/>
    </row>
    <row r="83" spans="1:5" x14ac:dyDescent="0.2">
      <c r="A83" s="2" t="s">
        <v>641</v>
      </c>
      <c r="B83" s="2"/>
      <c r="C83" s="2"/>
      <c r="D83" s="10">
        <v>15.0733</v>
      </c>
      <c r="E83" s="2"/>
    </row>
    <row r="84" spans="1:5" x14ac:dyDescent="0.2">
      <c r="A84" s="2"/>
      <c r="B84" s="2"/>
      <c r="C84" s="2"/>
      <c r="D84" s="2"/>
      <c r="E84" s="1"/>
    </row>
    <row r="85" spans="1:5" x14ac:dyDescent="0.2">
      <c r="A85" s="4" t="s">
        <v>82</v>
      </c>
      <c r="B85" s="2"/>
      <c r="C85" s="2"/>
      <c r="D85" s="44" t="s">
        <v>299</v>
      </c>
      <c r="E85" s="1"/>
    </row>
    <row r="86" spans="1:5" x14ac:dyDescent="0.2">
      <c r="A86" s="45" t="s">
        <v>642</v>
      </c>
      <c r="B86" s="46"/>
      <c r="C86" s="100" t="s">
        <v>643</v>
      </c>
      <c r="D86" s="101"/>
      <c r="E86" s="1"/>
    </row>
    <row r="87" spans="1:5" x14ac:dyDescent="0.2">
      <c r="A87" s="102"/>
      <c r="B87" s="103"/>
      <c r="C87" s="47" t="s">
        <v>644</v>
      </c>
      <c r="D87" s="47" t="s">
        <v>645</v>
      </c>
      <c r="E87" s="1"/>
    </row>
    <row r="88" spans="1:5" x14ac:dyDescent="0.2">
      <c r="A88" s="48" t="s">
        <v>639</v>
      </c>
      <c r="B88" s="49"/>
      <c r="C88" s="50">
        <v>1.3281127050000001</v>
      </c>
      <c r="D88" s="50">
        <v>1.3281127050000001</v>
      </c>
      <c r="E88" s="1"/>
    </row>
    <row r="89" spans="1:5" x14ac:dyDescent="0.2">
      <c r="A89" s="48" t="s">
        <v>641</v>
      </c>
      <c r="B89" s="49"/>
      <c r="C89" s="50">
        <v>1.3281127050000001</v>
      </c>
      <c r="D89" s="50">
        <v>1.3281127050000001</v>
      </c>
      <c r="E89" s="1"/>
    </row>
    <row r="90" spans="1:5" x14ac:dyDescent="0.2">
      <c r="A90" s="4"/>
      <c r="B90" s="2"/>
      <c r="C90" s="2"/>
      <c r="D90" s="44"/>
      <c r="E90" s="1"/>
    </row>
    <row r="91" spans="1:5" x14ac:dyDescent="0.2">
      <c r="A91" s="9" t="s">
        <v>646</v>
      </c>
      <c r="B91" s="2"/>
      <c r="C91" s="2"/>
      <c r="D91" s="51">
        <v>8.0227684174248692E-2</v>
      </c>
      <c r="E91" s="1"/>
    </row>
    <row r="92" spans="1:5" x14ac:dyDescent="0.2">
      <c r="A92" s="2"/>
      <c r="B92" s="2"/>
      <c r="C92" s="2"/>
      <c r="D92" s="2"/>
      <c r="E92" s="1"/>
    </row>
    <row r="93" spans="1:5" x14ac:dyDescent="0.2">
      <c r="A93" s="2"/>
      <c r="B93" s="2"/>
      <c r="C93" s="2"/>
      <c r="D93" s="2"/>
      <c r="E93" s="1"/>
    </row>
  </sheetData>
  <mergeCells count="3">
    <mergeCell ref="A1:F1"/>
    <mergeCell ref="C86:D86"/>
    <mergeCell ref="A87:B8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9C87A-7114-4AE4-9AF8-22022DF0FB81}">
  <dimension ref="A1:F71"/>
  <sheetViews>
    <sheetView showGridLines="0" workbookViewId="0">
      <selection sqref="A1:F1"/>
    </sheetView>
  </sheetViews>
  <sheetFormatPr defaultRowHeight="11.25" x14ac:dyDescent="0.2"/>
  <cols>
    <col min="1" max="1" width="59.42578125" style="1" bestFit="1" customWidth="1"/>
    <col min="2" max="2" width="37.140625" style="1" bestFit="1" customWidth="1"/>
    <col min="3" max="3" width="20" style="1" bestFit="1" customWidth="1"/>
    <col min="4" max="4" width="12.85546875" style="19" bestFit="1" customWidth="1"/>
    <col min="5" max="5" width="24" style="15" bestFit="1" customWidth="1"/>
    <col min="6" max="6" width="14.140625" style="15" bestFit="1" customWidth="1"/>
    <col min="7" max="16384" width="9.140625" style="2"/>
  </cols>
  <sheetData>
    <row r="1" spans="1:6" x14ac:dyDescent="0.2">
      <c r="A1" s="99" t="s">
        <v>188</v>
      </c>
      <c r="B1" s="99"/>
      <c r="C1" s="99"/>
      <c r="D1" s="99"/>
      <c r="E1" s="99"/>
      <c r="F1" s="99"/>
    </row>
    <row r="3" spans="1:6" s="4" customFormat="1" x14ac:dyDescent="0.2">
      <c r="A3" s="3" t="s">
        <v>1</v>
      </c>
      <c r="B3" s="3" t="s">
        <v>2</v>
      </c>
      <c r="C3" s="3" t="s">
        <v>3</v>
      </c>
      <c r="D3" s="16" t="s">
        <v>4</v>
      </c>
      <c r="E3" s="12" t="s">
        <v>5</v>
      </c>
      <c r="F3" s="12" t="s">
        <v>6</v>
      </c>
    </row>
    <row r="4" spans="1:6" x14ac:dyDescent="0.2">
      <c r="A4" s="5"/>
      <c r="B4" s="5"/>
      <c r="C4" s="5"/>
      <c r="D4" s="17"/>
      <c r="E4" s="13"/>
      <c r="F4" s="13"/>
    </row>
    <row r="5" spans="1:6" x14ac:dyDescent="0.2">
      <c r="A5" s="6" t="s">
        <v>7</v>
      </c>
      <c r="B5" s="7"/>
      <c r="C5" s="7"/>
      <c r="D5" s="18"/>
      <c r="E5" s="14"/>
      <c r="F5" s="14"/>
    </row>
    <row r="6" spans="1:6" x14ac:dyDescent="0.2">
      <c r="A6" s="6" t="s">
        <v>8</v>
      </c>
      <c r="B6" s="7"/>
      <c r="C6" s="7"/>
      <c r="D6" s="18"/>
      <c r="E6" s="14"/>
      <c r="F6" s="14"/>
    </row>
    <row r="7" spans="1:6" x14ac:dyDescent="0.2">
      <c r="A7" s="6"/>
      <c r="B7" s="7"/>
      <c r="C7" s="7"/>
      <c r="D7" s="18"/>
      <c r="E7" s="14"/>
      <c r="F7" s="14"/>
    </row>
    <row r="8" spans="1:6" x14ac:dyDescent="0.2">
      <c r="A8" s="7" t="s">
        <v>85</v>
      </c>
      <c r="B8" s="7" t="s">
        <v>86</v>
      </c>
      <c r="C8" s="7" t="s">
        <v>12</v>
      </c>
      <c r="D8" s="18">
        <v>14000000</v>
      </c>
      <c r="E8" s="14">
        <v>57351</v>
      </c>
      <c r="F8" s="14">
        <f>E8/$E$52*100</f>
        <v>8.7199899835839609</v>
      </c>
    </row>
    <row r="9" spans="1:6" x14ac:dyDescent="0.2">
      <c r="A9" s="7" t="s">
        <v>10</v>
      </c>
      <c r="B9" s="7" t="s">
        <v>11</v>
      </c>
      <c r="C9" s="7" t="s">
        <v>12</v>
      </c>
      <c r="D9" s="18">
        <v>2500000</v>
      </c>
      <c r="E9" s="14">
        <v>55698.75</v>
      </c>
      <c r="F9" s="14">
        <f t="shared" ref="F9:F41" si="0">E9/$E$52*100</f>
        <v>8.4687719847630749</v>
      </c>
    </row>
    <row r="10" spans="1:6" x14ac:dyDescent="0.2">
      <c r="A10" s="7" t="s">
        <v>89</v>
      </c>
      <c r="B10" s="7" t="s">
        <v>90</v>
      </c>
      <c r="C10" s="7" t="s">
        <v>43</v>
      </c>
      <c r="D10" s="18">
        <v>13489840</v>
      </c>
      <c r="E10" s="14">
        <v>46782.765119999996</v>
      </c>
      <c r="F10" s="14">
        <f t="shared" si="0"/>
        <v>7.1131321729483536</v>
      </c>
    </row>
    <row r="11" spans="1:6" x14ac:dyDescent="0.2">
      <c r="A11" s="7" t="s">
        <v>87</v>
      </c>
      <c r="B11" s="7" t="s">
        <v>88</v>
      </c>
      <c r="C11" s="7" t="s">
        <v>12</v>
      </c>
      <c r="D11" s="18">
        <v>13000000</v>
      </c>
      <c r="E11" s="14">
        <v>35600.5</v>
      </c>
      <c r="F11" s="14">
        <f t="shared" si="0"/>
        <v>5.4129135221806211</v>
      </c>
    </row>
    <row r="12" spans="1:6" x14ac:dyDescent="0.2">
      <c r="A12" s="7" t="s">
        <v>97</v>
      </c>
      <c r="B12" s="7" t="s">
        <v>98</v>
      </c>
      <c r="C12" s="7" t="s">
        <v>12</v>
      </c>
      <c r="D12" s="18">
        <v>4500000</v>
      </c>
      <c r="E12" s="14">
        <v>29875.5</v>
      </c>
      <c r="F12" s="14">
        <f t="shared" si="0"/>
        <v>4.5424501883936221</v>
      </c>
    </row>
    <row r="13" spans="1:6" x14ac:dyDescent="0.2">
      <c r="A13" s="7" t="s">
        <v>156</v>
      </c>
      <c r="B13" s="7" t="s">
        <v>157</v>
      </c>
      <c r="C13" s="7" t="s">
        <v>64</v>
      </c>
      <c r="D13" s="18">
        <v>3200000</v>
      </c>
      <c r="E13" s="14">
        <v>26076.799999999999</v>
      </c>
      <c r="F13" s="14">
        <f t="shared" si="0"/>
        <v>3.9648730589514085</v>
      </c>
    </row>
    <row r="14" spans="1:6" x14ac:dyDescent="0.2">
      <c r="A14" s="7" t="s">
        <v>158</v>
      </c>
      <c r="B14" s="7" t="s">
        <v>159</v>
      </c>
      <c r="C14" s="7" t="s">
        <v>64</v>
      </c>
      <c r="D14" s="18">
        <v>2000000</v>
      </c>
      <c r="E14" s="14">
        <v>22007</v>
      </c>
      <c r="F14" s="14">
        <f t="shared" si="0"/>
        <v>3.3460762596769404</v>
      </c>
    </row>
    <row r="15" spans="1:6" x14ac:dyDescent="0.2">
      <c r="A15" s="7" t="s">
        <v>91</v>
      </c>
      <c r="B15" s="7" t="s">
        <v>92</v>
      </c>
      <c r="C15" s="7" t="s">
        <v>93</v>
      </c>
      <c r="D15" s="18">
        <v>17500000</v>
      </c>
      <c r="E15" s="14">
        <v>21288.75</v>
      </c>
      <c r="F15" s="14">
        <f t="shared" si="0"/>
        <v>3.2368692222109994</v>
      </c>
    </row>
    <row r="16" spans="1:6" x14ac:dyDescent="0.2">
      <c r="A16" s="7" t="s">
        <v>160</v>
      </c>
      <c r="B16" s="7" t="s">
        <v>161</v>
      </c>
      <c r="C16" s="7" t="s">
        <v>162</v>
      </c>
      <c r="D16" s="18">
        <v>800000</v>
      </c>
      <c r="E16" s="14">
        <v>20460</v>
      </c>
      <c r="F16" s="14">
        <f t="shared" si="0"/>
        <v>3.1108611020579908</v>
      </c>
    </row>
    <row r="17" spans="1:6" x14ac:dyDescent="0.2">
      <c r="A17" s="7" t="s">
        <v>101</v>
      </c>
      <c r="B17" s="7" t="s">
        <v>102</v>
      </c>
      <c r="C17" s="7" t="s">
        <v>103</v>
      </c>
      <c r="D17" s="18">
        <v>7500000</v>
      </c>
      <c r="E17" s="14">
        <v>20013.75</v>
      </c>
      <c r="F17" s="14">
        <f t="shared" si="0"/>
        <v>3.0430105758217554</v>
      </c>
    </row>
    <row r="18" spans="1:6" x14ac:dyDescent="0.2">
      <c r="A18" s="7" t="s">
        <v>104</v>
      </c>
      <c r="B18" s="7" t="s">
        <v>105</v>
      </c>
      <c r="C18" s="7" t="s">
        <v>96</v>
      </c>
      <c r="D18" s="18">
        <v>16000000</v>
      </c>
      <c r="E18" s="14">
        <v>19592</v>
      </c>
      <c r="F18" s="14">
        <f t="shared" si="0"/>
        <v>2.9788851765161368</v>
      </c>
    </row>
    <row r="19" spans="1:6" x14ac:dyDescent="0.2">
      <c r="A19" s="7" t="s">
        <v>163</v>
      </c>
      <c r="B19" s="7" t="s">
        <v>164</v>
      </c>
      <c r="C19" s="7" t="s">
        <v>40</v>
      </c>
      <c r="D19" s="18">
        <v>3500000</v>
      </c>
      <c r="E19" s="14">
        <v>18508</v>
      </c>
      <c r="F19" s="14">
        <f t="shared" si="0"/>
        <v>2.8140673155859872</v>
      </c>
    </row>
    <row r="20" spans="1:6" x14ac:dyDescent="0.2">
      <c r="A20" s="7" t="s">
        <v>113</v>
      </c>
      <c r="B20" s="7" t="s">
        <v>114</v>
      </c>
      <c r="C20" s="7" t="s">
        <v>53</v>
      </c>
      <c r="D20" s="18">
        <v>1200000</v>
      </c>
      <c r="E20" s="14">
        <v>18238.2</v>
      </c>
      <c r="F20" s="14">
        <f t="shared" si="0"/>
        <v>2.7730453055500512</v>
      </c>
    </row>
    <row r="21" spans="1:6" x14ac:dyDescent="0.2">
      <c r="A21" s="7" t="s">
        <v>106</v>
      </c>
      <c r="B21" s="7" t="s">
        <v>107</v>
      </c>
      <c r="C21" s="7" t="s">
        <v>53</v>
      </c>
      <c r="D21" s="18">
        <v>425000</v>
      </c>
      <c r="E21" s="14">
        <v>17222.0625</v>
      </c>
      <c r="F21" s="14">
        <f t="shared" si="0"/>
        <v>2.6185456661027171</v>
      </c>
    </row>
    <row r="22" spans="1:6" x14ac:dyDescent="0.2">
      <c r="A22" s="7" t="s">
        <v>165</v>
      </c>
      <c r="B22" s="7" t="s">
        <v>166</v>
      </c>
      <c r="C22" s="7" t="s">
        <v>167</v>
      </c>
      <c r="D22" s="18">
        <v>1200000</v>
      </c>
      <c r="E22" s="14">
        <v>15939</v>
      </c>
      <c r="F22" s="14">
        <f t="shared" si="0"/>
        <v>2.4234611488613056</v>
      </c>
    </row>
    <row r="23" spans="1:6" x14ac:dyDescent="0.2">
      <c r="A23" s="7" t="s">
        <v>168</v>
      </c>
      <c r="B23" s="7" t="s">
        <v>169</v>
      </c>
      <c r="C23" s="7" t="s">
        <v>110</v>
      </c>
      <c r="D23" s="18">
        <v>900000</v>
      </c>
      <c r="E23" s="14">
        <v>15214.05</v>
      </c>
      <c r="F23" s="14">
        <f t="shared" si="0"/>
        <v>2.313235403214339</v>
      </c>
    </row>
    <row r="24" spans="1:6" x14ac:dyDescent="0.2">
      <c r="A24" s="7" t="s">
        <v>170</v>
      </c>
      <c r="B24" s="7" t="s">
        <v>171</v>
      </c>
      <c r="C24" s="7" t="s">
        <v>162</v>
      </c>
      <c r="D24" s="18">
        <v>1929484</v>
      </c>
      <c r="E24" s="14">
        <v>14297.47644</v>
      </c>
      <c r="F24" s="14">
        <f t="shared" si="0"/>
        <v>2.1738740623062833</v>
      </c>
    </row>
    <row r="25" spans="1:6" x14ac:dyDescent="0.2">
      <c r="A25" s="7" t="s">
        <v>115</v>
      </c>
      <c r="B25" s="7" t="s">
        <v>116</v>
      </c>
      <c r="C25" s="7" t="s">
        <v>103</v>
      </c>
      <c r="D25" s="18">
        <v>11000000</v>
      </c>
      <c r="E25" s="14">
        <v>14278</v>
      </c>
      <c r="F25" s="14">
        <f t="shared" si="0"/>
        <v>2.1709127475652004</v>
      </c>
    </row>
    <row r="26" spans="1:6" x14ac:dyDescent="0.2">
      <c r="A26" s="7" t="s">
        <v>172</v>
      </c>
      <c r="B26" s="7" t="s">
        <v>173</v>
      </c>
      <c r="C26" s="7" t="s">
        <v>53</v>
      </c>
      <c r="D26" s="18">
        <v>1709218</v>
      </c>
      <c r="E26" s="14">
        <v>12151.685371</v>
      </c>
      <c r="F26" s="14">
        <f t="shared" si="0"/>
        <v>1.8476151195059152</v>
      </c>
    </row>
    <row r="27" spans="1:6" x14ac:dyDescent="0.2">
      <c r="A27" s="7" t="s">
        <v>41</v>
      </c>
      <c r="B27" s="7" t="s">
        <v>42</v>
      </c>
      <c r="C27" s="7" t="s">
        <v>43</v>
      </c>
      <c r="D27" s="18">
        <v>210000000</v>
      </c>
      <c r="E27" s="14">
        <v>11235</v>
      </c>
      <c r="F27" s="14">
        <f t="shared" si="0"/>
        <v>1.7082367781828705</v>
      </c>
    </row>
    <row r="28" spans="1:6" x14ac:dyDescent="0.2">
      <c r="A28" s="7" t="s">
        <v>174</v>
      </c>
      <c r="B28" s="7" t="s">
        <v>175</v>
      </c>
      <c r="C28" s="7" t="s">
        <v>53</v>
      </c>
      <c r="D28" s="18">
        <v>5500000</v>
      </c>
      <c r="E28" s="14">
        <v>11129.25</v>
      </c>
      <c r="F28" s="14">
        <f t="shared" si="0"/>
        <v>1.6921579139823506</v>
      </c>
    </row>
    <row r="29" spans="1:6" x14ac:dyDescent="0.2">
      <c r="A29" s="7" t="s">
        <v>94</v>
      </c>
      <c r="B29" s="7" t="s">
        <v>95</v>
      </c>
      <c r="C29" s="7" t="s">
        <v>96</v>
      </c>
      <c r="D29" s="18">
        <v>3000000</v>
      </c>
      <c r="E29" s="14">
        <v>10657.5</v>
      </c>
      <c r="F29" s="14">
        <f t="shared" si="0"/>
        <v>1.6204302148183303</v>
      </c>
    </row>
    <row r="30" spans="1:6" x14ac:dyDescent="0.2">
      <c r="A30" s="7" t="s">
        <v>23</v>
      </c>
      <c r="B30" s="7" t="s">
        <v>24</v>
      </c>
      <c r="C30" s="7" t="s">
        <v>25</v>
      </c>
      <c r="D30" s="18">
        <v>5500000</v>
      </c>
      <c r="E30" s="14">
        <v>10144.75</v>
      </c>
      <c r="F30" s="14">
        <f t="shared" si="0"/>
        <v>1.5424686297704204</v>
      </c>
    </row>
    <row r="31" spans="1:6" x14ac:dyDescent="0.2">
      <c r="A31" s="7" t="s">
        <v>176</v>
      </c>
      <c r="B31" s="7" t="s">
        <v>177</v>
      </c>
      <c r="C31" s="7" t="s">
        <v>37</v>
      </c>
      <c r="D31" s="18">
        <v>700000</v>
      </c>
      <c r="E31" s="14">
        <v>9604.35</v>
      </c>
      <c r="F31" s="14">
        <f t="shared" si="0"/>
        <v>1.4603029729008146</v>
      </c>
    </row>
    <row r="32" spans="1:6" x14ac:dyDescent="0.2">
      <c r="A32" s="7" t="s">
        <v>178</v>
      </c>
      <c r="B32" s="7" t="s">
        <v>179</v>
      </c>
      <c r="C32" s="7" t="s">
        <v>162</v>
      </c>
      <c r="D32" s="18">
        <v>4085705</v>
      </c>
      <c r="E32" s="14">
        <v>9203.0505125</v>
      </c>
      <c r="F32" s="14">
        <f t="shared" si="0"/>
        <v>1.3992869921608557</v>
      </c>
    </row>
    <row r="33" spans="1:6" x14ac:dyDescent="0.2">
      <c r="A33" s="7" t="s">
        <v>29</v>
      </c>
      <c r="B33" s="7" t="s">
        <v>30</v>
      </c>
      <c r="C33" s="7" t="s">
        <v>31</v>
      </c>
      <c r="D33" s="18">
        <v>1400000</v>
      </c>
      <c r="E33" s="14">
        <v>8046.5</v>
      </c>
      <c r="F33" s="14">
        <f t="shared" si="0"/>
        <v>1.2234381162125916</v>
      </c>
    </row>
    <row r="34" spans="1:6" x14ac:dyDescent="0.2">
      <c r="A34" s="7" t="s">
        <v>38</v>
      </c>
      <c r="B34" s="7" t="s">
        <v>39</v>
      </c>
      <c r="C34" s="7" t="s">
        <v>40</v>
      </c>
      <c r="D34" s="18">
        <v>6000000</v>
      </c>
      <c r="E34" s="14">
        <v>7002</v>
      </c>
      <c r="F34" s="14">
        <f t="shared" si="0"/>
        <v>1.0646260721705791</v>
      </c>
    </row>
    <row r="35" spans="1:6" x14ac:dyDescent="0.2">
      <c r="A35" s="7" t="s">
        <v>180</v>
      </c>
      <c r="B35" s="7" t="s">
        <v>181</v>
      </c>
      <c r="C35" s="7" t="s">
        <v>28</v>
      </c>
      <c r="D35" s="18">
        <v>600000</v>
      </c>
      <c r="E35" s="14">
        <v>5032.2</v>
      </c>
      <c r="F35" s="14">
        <f t="shared" si="0"/>
        <v>0.76512586694898443</v>
      </c>
    </row>
    <row r="36" spans="1:6" x14ac:dyDescent="0.2">
      <c r="A36" s="7" t="s">
        <v>182</v>
      </c>
      <c r="B36" s="7" t="s">
        <v>183</v>
      </c>
      <c r="C36" s="7" t="s">
        <v>37</v>
      </c>
      <c r="D36" s="18">
        <v>1200000</v>
      </c>
      <c r="E36" s="14">
        <v>4693.2</v>
      </c>
      <c r="F36" s="14">
        <f t="shared" si="0"/>
        <v>0.71358227390902063</v>
      </c>
    </row>
    <row r="37" spans="1:6" x14ac:dyDescent="0.2">
      <c r="A37" s="7" t="s">
        <v>141</v>
      </c>
      <c r="B37" s="7" t="s">
        <v>667</v>
      </c>
      <c r="C37" s="7" t="s">
        <v>40</v>
      </c>
      <c r="D37" s="18">
        <v>8000000</v>
      </c>
      <c r="E37" s="14">
        <v>4280</v>
      </c>
      <c r="F37" s="14">
        <f t="shared" si="0"/>
        <v>0.65075686787918874</v>
      </c>
    </row>
    <row r="38" spans="1:6" x14ac:dyDescent="0.2">
      <c r="A38" s="7" t="s">
        <v>184</v>
      </c>
      <c r="B38" s="7" t="s">
        <v>185</v>
      </c>
      <c r="C38" s="7" t="s">
        <v>12</v>
      </c>
      <c r="D38" s="18">
        <v>7000000</v>
      </c>
      <c r="E38" s="14">
        <v>4196.5</v>
      </c>
      <c r="F38" s="14">
        <f t="shared" si="0"/>
        <v>0.63806102711565782</v>
      </c>
    </row>
    <row r="39" spans="1:6" x14ac:dyDescent="0.2">
      <c r="A39" s="7" t="s">
        <v>123</v>
      </c>
      <c r="B39" s="7" t="s">
        <v>124</v>
      </c>
      <c r="C39" s="7" t="s">
        <v>28</v>
      </c>
      <c r="D39" s="18">
        <v>1000000</v>
      </c>
      <c r="E39" s="14">
        <v>3199.5</v>
      </c>
      <c r="F39" s="14">
        <f t="shared" si="0"/>
        <v>0.48647116793912715</v>
      </c>
    </row>
    <row r="40" spans="1:6" x14ac:dyDescent="0.2">
      <c r="A40" s="7" t="s">
        <v>186</v>
      </c>
      <c r="B40" s="7" t="s">
        <v>187</v>
      </c>
      <c r="C40" s="7" t="s">
        <v>28</v>
      </c>
      <c r="D40" s="18">
        <v>743650</v>
      </c>
      <c r="E40" s="14">
        <v>3157.5378999999998</v>
      </c>
      <c r="F40" s="14">
        <f t="shared" si="0"/>
        <v>0.48009099860136228</v>
      </c>
    </row>
    <row r="41" spans="1:6" x14ac:dyDescent="0.2">
      <c r="A41" s="7" t="s">
        <v>121</v>
      </c>
      <c r="B41" s="7" t="s">
        <v>122</v>
      </c>
      <c r="C41" s="7" t="s">
        <v>40</v>
      </c>
      <c r="D41" s="18">
        <v>100000</v>
      </c>
      <c r="E41" s="14">
        <v>2572.0500000000002</v>
      </c>
      <c r="F41" s="14">
        <f t="shared" si="0"/>
        <v>0.39106990701604377</v>
      </c>
    </row>
    <row r="42" spans="1:6" x14ac:dyDescent="0.2">
      <c r="A42" s="6" t="s">
        <v>44</v>
      </c>
      <c r="B42" s="7"/>
      <c r="C42" s="7"/>
      <c r="D42" s="18"/>
      <c r="E42" s="20">
        <f xml:space="preserve"> SUM(E8:E41)</f>
        <v>584748.67784349993</v>
      </c>
      <c r="F42" s="20">
        <f>SUM(F8:F41)</f>
        <v>88.908695815404869</v>
      </c>
    </row>
    <row r="43" spans="1:6" x14ac:dyDescent="0.2">
      <c r="A43" s="6"/>
      <c r="B43" s="7"/>
      <c r="C43" s="7"/>
      <c r="D43" s="18"/>
      <c r="E43" s="20"/>
      <c r="F43" s="20"/>
    </row>
    <row r="44" spans="1:6" x14ac:dyDescent="0.2">
      <c r="A44" s="6" t="s">
        <v>45</v>
      </c>
      <c r="B44" s="7"/>
      <c r="C44" s="7"/>
      <c r="D44" s="18"/>
      <c r="E44" s="20"/>
      <c r="F44" s="20"/>
    </row>
    <row r="45" spans="1:6" x14ac:dyDescent="0.2">
      <c r="A45" s="7" t="s">
        <v>588</v>
      </c>
      <c r="B45" s="27" t="s">
        <v>657</v>
      </c>
      <c r="C45" s="27" t="s">
        <v>64</v>
      </c>
      <c r="D45" s="18">
        <v>350000</v>
      </c>
      <c r="E45" s="14">
        <v>15376.96</v>
      </c>
      <c r="F45" s="14">
        <f t="shared" ref="F45" si="1">E45/$E$52*100</f>
        <v>2.3380052166129834</v>
      </c>
    </row>
    <row r="46" spans="1:6" x14ac:dyDescent="0.2">
      <c r="A46" s="6" t="s">
        <v>44</v>
      </c>
      <c r="B46" s="7"/>
      <c r="C46" s="27"/>
      <c r="D46" s="18"/>
      <c r="E46" s="20">
        <f>SUM(E45)</f>
        <v>15376.96</v>
      </c>
      <c r="F46" s="20">
        <f>SUM(F45)</f>
        <v>2.3380052166129834</v>
      </c>
    </row>
    <row r="47" spans="1:6" x14ac:dyDescent="0.2">
      <c r="A47" s="6"/>
      <c r="B47" s="7"/>
      <c r="C47" s="27"/>
      <c r="D47" s="18"/>
      <c r="E47" s="20"/>
      <c r="F47" s="20"/>
    </row>
    <row r="48" spans="1:6" x14ac:dyDescent="0.2">
      <c r="A48" s="6" t="s">
        <v>44</v>
      </c>
      <c r="B48" s="7"/>
      <c r="C48" s="7"/>
      <c r="D48" s="18"/>
      <c r="E48" s="20">
        <f>E42+E46</f>
        <v>600125.63784349989</v>
      </c>
      <c r="F48" s="20">
        <f>F42+F46</f>
        <v>91.246701032017853</v>
      </c>
    </row>
    <row r="49" spans="1:6" x14ac:dyDescent="0.2">
      <c r="A49" s="7"/>
      <c r="B49" s="7"/>
      <c r="C49" s="7"/>
      <c r="D49" s="18"/>
      <c r="E49" s="14"/>
      <c r="F49" s="14"/>
    </row>
    <row r="50" spans="1:6" x14ac:dyDescent="0.2">
      <c r="A50" s="6" t="s">
        <v>76</v>
      </c>
      <c r="B50" s="7"/>
      <c r="C50" s="7"/>
      <c r="D50" s="18"/>
      <c r="E50" s="20">
        <v>57570.071761300002</v>
      </c>
      <c r="F50" s="14">
        <f t="shared" ref="F50" si="2">E50/$E$52*100</f>
        <v>8.7532989679821771</v>
      </c>
    </row>
    <row r="51" spans="1:6" x14ac:dyDescent="0.2">
      <c r="A51" s="7"/>
      <c r="B51" s="7"/>
      <c r="C51" s="7"/>
      <c r="D51" s="18"/>
      <c r="E51" s="14"/>
      <c r="F51" s="14"/>
    </row>
    <row r="52" spans="1:6" x14ac:dyDescent="0.2">
      <c r="A52" s="8" t="s">
        <v>77</v>
      </c>
      <c r="B52" s="5"/>
      <c r="C52" s="5"/>
      <c r="D52" s="17"/>
      <c r="E52" s="21">
        <f>E48+E50</f>
        <v>657695.70960479986</v>
      </c>
      <c r="F52" s="21">
        <f xml:space="preserve"> ROUND(SUM(F48:F51),2)</f>
        <v>100</v>
      </c>
    </row>
    <row r="53" spans="1:6" x14ac:dyDescent="0.2">
      <c r="A53" s="2"/>
      <c r="B53" s="2"/>
      <c r="C53" s="2"/>
      <c r="D53" s="2"/>
      <c r="E53" s="1"/>
    </row>
    <row r="54" spans="1:6" x14ac:dyDescent="0.2">
      <c r="A54" s="4" t="s">
        <v>78</v>
      </c>
      <c r="B54" s="2"/>
      <c r="C54" s="2"/>
      <c r="D54" s="2"/>
      <c r="E54" s="1"/>
    </row>
    <row r="55" spans="1:6" x14ac:dyDescent="0.2">
      <c r="A55" s="4" t="s">
        <v>79</v>
      </c>
      <c r="B55" s="2"/>
      <c r="C55" s="2"/>
      <c r="D55" s="2"/>
      <c r="E55" s="1"/>
    </row>
    <row r="56" spans="1:6" x14ac:dyDescent="0.2">
      <c r="A56" s="4" t="s">
        <v>80</v>
      </c>
      <c r="B56" s="2"/>
      <c r="C56" s="2"/>
      <c r="D56" s="2"/>
      <c r="E56" s="1"/>
    </row>
    <row r="57" spans="1:6" x14ac:dyDescent="0.2">
      <c r="A57" s="2" t="s">
        <v>638</v>
      </c>
      <c r="B57" s="2"/>
      <c r="C57" s="2"/>
      <c r="D57" s="10">
        <v>441.75259999999997</v>
      </c>
      <c r="E57" s="2"/>
    </row>
    <row r="58" spans="1:6" x14ac:dyDescent="0.2">
      <c r="A58" s="2" t="s">
        <v>639</v>
      </c>
      <c r="B58" s="2"/>
      <c r="C58" s="2"/>
      <c r="D58" s="10">
        <v>35.762900000000002</v>
      </c>
      <c r="E58" s="2"/>
    </row>
    <row r="59" spans="1:6" x14ac:dyDescent="0.2">
      <c r="A59" s="2" t="s">
        <v>640</v>
      </c>
      <c r="B59" s="2"/>
      <c r="C59" s="2"/>
      <c r="D59" s="10">
        <v>465.20639999999997</v>
      </c>
      <c r="E59" s="2"/>
    </row>
    <row r="60" spans="1:6" x14ac:dyDescent="0.2">
      <c r="A60" s="2" t="s">
        <v>641</v>
      </c>
      <c r="B60" s="2"/>
      <c r="C60" s="2"/>
      <c r="D60" s="10">
        <v>38.428699999999999</v>
      </c>
      <c r="E60" s="2"/>
    </row>
    <row r="61" spans="1:6" x14ac:dyDescent="0.2">
      <c r="A61" s="2"/>
      <c r="B61" s="2"/>
      <c r="C61" s="2"/>
      <c r="D61" s="10"/>
      <c r="E61" s="2"/>
    </row>
    <row r="62" spans="1:6" x14ac:dyDescent="0.2">
      <c r="A62" s="4" t="s">
        <v>81</v>
      </c>
      <c r="B62" s="2"/>
      <c r="C62" s="2"/>
      <c r="D62" s="2"/>
      <c r="E62" s="2"/>
    </row>
    <row r="63" spans="1:6" x14ac:dyDescent="0.2">
      <c r="A63" s="2" t="s">
        <v>638</v>
      </c>
      <c r="B63" s="2"/>
      <c r="C63" s="2"/>
      <c r="D63" s="10">
        <v>424.98919999999998</v>
      </c>
      <c r="E63" s="2"/>
    </row>
    <row r="64" spans="1:6" x14ac:dyDescent="0.2">
      <c r="A64" s="2" t="s">
        <v>639</v>
      </c>
      <c r="B64" s="2"/>
      <c r="C64" s="2"/>
      <c r="D64" s="10">
        <v>34.405799999999999</v>
      </c>
      <c r="E64" s="2"/>
    </row>
    <row r="65" spans="1:5" x14ac:dyDescent="0.2">
      <c r="A65" s="2" t="s">
        <v>640</v>
      </c>
      <c r="B65" s="2"/>
      <c r="C65" s="2"/>
      <c r="D65" s="10">
        <v>449.34120000000001</v>
      </c>
      <c r="E65" s="2"/>
    </row>
    <row r="66" spans="1:5" x14ac:dyDescent="0.2">
      <c r="A66" s="2" t="s">
        <v>641</v>
      </c>
      <c r="B66" s="2"/>
      <c r="C66" s="2"/>
      <c r="D66" s="10">
        <v>37.118099999999998</v>
      </c>
      <c r="E66" s="2"/>
    </row>
    <row r="67" spans="1:5" x14ac:dyDescent="0.2">
      <c r="A67" s="2"/>
      <c r="B67" s="2"/>
      <c r="C67" s="2"/>
      <c r="D67" s="2"/>
      <c r="E67" s="1"/>
    </row>
    <row r="68" spans="1:5" x14ac:dyDescent="0.2">
      <c r="A68" s="4" t="s">
        <v>82</v>
      </c>
      <c r="B68" s="2"/>
      <c r="C68" s="2"/>
      <c r="D68" s="44" t="s">
        <v>83</v>
      </c>
      <c r="E68" s="1"/>
    </row>
    <row r="69" spans="1:5" x14ac:dyDescent="0.2">
      <c r="A69" s="4"/>
      <c r="B69" s="2"/>
      <c r="C69" s="2"/>
      <c r="D69" s="44"/>
      <c r="E69" s="1"/>
    </row>
    <row r="70" spans="1:5" x14ac:dyDescent="0.2">
      <c r="A70" s="9" t="s">
        <v>646</v>
      </c>
      <c r="B70" s="2"/>
      <c r="C70" s="2"/>
      <c r="D70" s="51">
        <v>0.14983338336216778</v>
      </c>
      <c r="E70" s="1"/>
    </row>
    <row r="71" spans="1:5" x14ac:dyDescent="0.2">
      <c r="A71" s="2"/>
      <c r="B71" s="2"/>
      <c r="C71" s="2"/>
      <c r="D71" s="2"/>
      <c r="E71" s="1"/>
    </row>
  </sheetData>
  <mergeCells count="1">
    <mergeCell ref="A1:F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8E35C-23BD-4C97-8F2C-3738E4972F69}">
  <dimension ref="A1:F70"/>
  <sheetViews>
    <sheetView showGridLines="0" workbookViewId="0">
      <selection sqref="A1:F1"/>
    </sheetView>
  </sheetViews>
  <sheetFormatPr defaultRowHeight="11.25" x14ac:dyDescent="0.2"/>
  <cols>
    <col min="1" max="1" width="59.42578125" style="1" bestFit="1" customWidth="1"/>
    <col min="2" max="2" width="36.7109375" style="1" bestFit="1" customWidth="1"/>
    <col min="3" max="3" width="19.140625" style="1" bestFit="1" customWidth="1"/>
    <col min="4" max="4" width="12" style="19" bestFit="1" customWidth="1"/>
    <col min="5" max="5" width="24" style="15" bestFit="1" customWidth="1"/>
    <col min="6" max="6" width="14.140625" style="15" bestFit="1" customWidth="1"/>
    <col min="7" max="16384" width="9.140625" style="2"/>
  </cols>
  <sheetData>
    <row r="1" spans="1:6" x14ac:dyDescent="0.2">
      <c r="A1" s="99" t="s">
        <v>84</v>
      </c>
      <c r="B1" s="99"/>
      <c r="C1" s="99"/>
      <c r="D1" s="99"/>
      <c r="E1" s="99"/>
      <c r="F1" s="99"/>
    </row>
    <row r="3" spans="1:6" s="4" customFormat="1" x14ac:dyDescent="0.2">
      <c r="A3" s="3" t="s">
        <v>1</v>
      </c>
      <c r="B3" s="3" t="s">
        <v>2</v>
      </c>
      <c r="C3" s="3" t="s">
        <v>3</v>
      </c>
      <c r="D3" s="16" t="s">
        <v>4</v>
      </c>
      <c r="E3" s="12" t="s">
        <v>5</v>
      </c>
      <c r="F3" s="12" t="s">
        <v>6</v>
      </c>
    </row>
    <row r="4" spans="1:6" x14ac:dyDescent="0.2">
      <c r="A4" s="5"/>
      <c r="B4" s="5"/>
      <c r="C4" s="5"/>
      <c r="D4" s="17"/>
      <c r="E4" s="13"/>
      <c r="F4" s="13"/>
    </row>
    <row r="5" spans="1:6" x14ac:dyDescent="0.2">
      <c r="A5" s="6" t="s">
        <v>7</v>
      </c>
      <c r="B5" s="7"/>
      <c r="C5" s="7"/>
      <c r="D5" s="18"/>
      <c r="E5" s="14"/>
      <c r="F5" s="14"/>
    </row>
    <row r="6" spans="1:6" x14ac:dyDescent="0.2">
      <c r="A6" s="6" t="s">
        <v>8</v>
      </c>
      <c r="B6" s="7"/>
      <c r="C6" s="7"/>
      <c r="D6" s="18"/>
      <c r="E6" s="14"/>
      <c r="F6" s="14"/>
    </row>
    <row r="7" spans="1:6" x14ac:dyDescent="0.2">
      <c r="A7" s="6"/>
      <c r="B7" s="7"/>
      <c r="C7" s="7"/>
      <c r="D7" s="18"/>
      <c r="E7" s="14"/>
      <c r="F7" s="14"/>
    </row>
    <row r="8" spans="1:6" x14ac:dyDescent="0.2">
      <c r="A8" s="7" t="s">
        <v>85</v>
      </c>
      <c r="B8" s="7" t="s">
        <v>86</v>
      </c>
      <c r="C8" s="7" t="s">
        <v>12</v>
      </c>
      <c r="D8" s="18">
        <v>2900000</v>
      </c>
      <c r="E8" s="14">
        <v>11879.85</v>
      </c>
      <c r="F8" s="14">
        <v>10.198206624341347</v>
      </c>
    </row>
    <row r="9" spans="1:6" x14ac:dyDescent="0.2">
      <c r="A9" s="7" t="s">
        <v>87</v>
      </c>
      <c r="B9" s="7" t="s">
        <v>88</v>
      </c>
      <c r="C9" s="7" t="s">
        <v>12</v>
      </c>
      <c r="D9" s="18">
        <v>3000000</v>
      </c>
      <c r="E9" s="14">
        <v>8215.5</v>
      </c>
      <c r="F9" s="14">
        <v>7.0525609769716224</v>
      </c>
    </row>
    <row r="10" spans="1:6" x14ac:dyDescent="0.2">
      <c r="A10" s="7" t="s">
        <v>89</v>
      </c>
      <c r="B10" s="7" t="s">
        <v>90</v>
      </c>
      <c r="C10" s="7" t="s">
        <v>43</v>
      </c>
      <c r="D10" s="18">
        <v>2000000</v>
      </c>
      <c r="E10" s="14">
        <v>6936</v>
      </c>
      <c r="F10" s="14">
        <v>5.9541796526413702</v>
      </c>
    </row>
    <row r="11" spans="1:6" x14ac:dyDescent="0.2">
      <c r="A11" s="7" t="s">
        <v>10</v>
      </c>
      <c r="B11" s="7" t="s">
        <v>11</v>
      </c>
      <c r="C11" s="7" t="s">
        <v>12</v>
      </c>
      <c r="D11" s="18">
        <v>275000</v>
      </c>
      <c r="E11" s="14">
        <v>6126.8625000000002</v>
      </c>
      <c r="F11" s="14">
        <v>5.2595790126919599</v>
      </c>
    </row>
    <row r="12" spans="1:6" x14ac:dyDescent="0.2">
      <c r="A12" s="7" t="s">
        <v>91</v>
      </c>
      <c r="B12" s="7" t="s">
        <v>92</v>
      </c>
      <c r="C12" s="7" t="s">
        <v>93</v>
      </c>
      <c r="D12" s="18">
        <v>4500000</v>
      </c>
      <c r="E12" s="14">
        <v>5474.25</v>
      </c>
      <c r="F12" s="14">
        <v>4.6993465921960809</v>
      </c>
    </row>
    <row r="13" spans="1:6" x14ac:dyDescent="0.2">
      <c r="A13" s="7" t="s">
        <v>94</v>
      </c>
      <c r="B13" s="7" t="s">
        <v>95</v>
      </c>
      <c r="C13" s="7" t="s">
        <v>96</v>
      </c>
      <c r="D13" s="18">
        <v>1500000</v>
      </c>
      <c r="E13" s="14">
        <v>5328.75</v>
      </c>
      <c r="F13" s="14">
        <v>4.5744427370260521</v>
      </c>
    </row>
    <row r="14" spans="1:6" x14ac:dyDescent="0.2">
      <c r="A14" s="7" t="s">
        <v>97</v>
      </c>
      <c r="B14" s="7" t="s">
        <v>98</v>
      </c>
      <c r="C14" s="7" t="s">
        <v>12</v>
      </c>
      <c r="D14" s="18">
        <v>800000</v>
      </c>
      <c r="E14" s="14">
        <v>5311.2</v>
      </c>
      <c r="F14" s="14">
        <v>4.5593770142890486</v>
      </c>
    </row>
    <row r="15" spans="1:6" x14ac:dyDescent="0.2">
      <c r="A15" s="7" t="s">
        <v>99</v>
      </c>
      <c r="B15" s="7" t="s">
        <v>100</v>
      </c>
      <c r="C15" s="7" t="s">
        <v>31</v>
      </c>
      <c r="D15" s="18">
        <v>860000</v>
      </c>
      <c r="E15" s="14">
        <v>4046.3</v>
      </c>
      <c r="F15" s="14">
        <v>3.4735289977627994</v>
      </c>
    </row>
    <row r="16" spans="1:6" x14ac:dyDescent="0.2">
      <c r="A16" s="7" t="s">
        <v>101</v>
      </c>
      <c r="B16" s="7" t="s">
        <v>102</v>
      </c>
      <c r="C16" s="7" t="s">
        <v>103</v>
      </c>
      <c r="D16" s="18">
        <v>1500000</v>
      </c>
      <c r="E16" s="14">
        <v>4002.75</v>
      </c>
      <c r="F16" s="14">
        <v>3.4361436857857903</v>
      </c>
    </row>
    <row r="17" spans="1:6" x14ac:dyDescent="0.2">
      <c r="A17" s="7" t="s">
        <v>104</v>
      </c>
      <c r="B17" s="7" t="s">
        <v>105</v>
      </c>
      <c r="C17" s="7" t="s">
        <v>96</v>
      </c>
      <c r="D17" s="18">
        <v>3151644</v>
      </c>
      <c r="E17" s="14">
        <v>3859.1880780000001</v>
      </c>
      <c r="F17" s="14">
        <v>3.3129035654186496</v>
      </c>
    </row>
    <row r="18" spans="1:6" x14ac:dyDescent="0.2">
      <c r="A18" s="7" t="s">
        <v>106</v>
      </c>
      <c r="B18" s="7" t="s">
        <v>107</v>
      </c>
      <c r="C18" s="7" t="s">
        <v>53</v>
      </c>
      <c r="D18" s="18">
        <v>95000</v>
      </c>
      <c r="E18" s="14">
        <v>3849.6374999999998</v>
      </c>
      <c r="F18" s="14">
        <v>3.3047049124200103</v>
      </c>
    </row>
    <row r="19" spans="1:6" x14ac:dyDescent="0.2">
      <c r="A19" s="7" t="s">
        <v>108</v>
      </c>
      <c r="B19" s="7" t="s">
        <v>109</v>
      </c>
      <c r="C19" s="7" t="s">
        <v>110</v>
      </c>
      <c r="D19" s="18">
        <v>2500000</v>
      </c>
      <c r="E19" s="14">
        <v>3321.25</v>
      </c>
      <c r="F19" s="14">
        <v>2.8511129139756561</v>
      </c>
    </row>
    <row r="20" spans="1:6" x14ac:dyDescent="0.2">
      <c r="A20" s="7" t="s">
        <v>111</v>
      </c>
      <c r="B20" s="7" t="s">
        <v>112</v>
      </c>
      <c r="C20" s="7" t="s">
        <v>20</v>
      </c>
      <c r="D20" s="18">
        <v>590000</v>
      </c>
      <c r="E20" s="14">
        <v>3160.63</v>
      </c>
      <c r="F20" s="14">
        <v>2.7132293592168244</v>
      </c>
    </row>
    <row r="21" spans="1:6" x14ac:dyDescent="0.2">
      <c r="A21" s="7" t="s">
        <v>113</v>
      </c>
      <c r="B21" s="7" t="s">
        <v>114</v>
      </c>
      <c r="C21" s="7" t="s">
        <v>53</v>
      </c>
      <c r="D21" s="18">
        <v>200000</v>
      </c>
      <c r="E21" s="14">
        <v>3039.7</v>
      </c>
      <c r="F21" s="14">
        <v>2.6094175158786004</v>
      </c>
    </row>
    <row r="22" spans="1:6" x14ac:dyDescent="0.2">
      <c r="A22" s="7" t="s">
        <v>115</v>
      </c>
      <c r="B22" s="7" t="s">
        <v>116</v>
      </c>
      <c r="C22" s="7" t="s">
        <v>103</v>
      </c>
      <c r="D22" s="18">
        <v>2300000</v>
      </c>
      <c r="E22" s="14">
        <v>2985.4</v>
      </c>
      <c r="F22" s="14">
        <v>2.5628039121965895</v>
      </c>
    </row>
    <row r="23" spans="1:6" x14ac:dyDescent="0.2">
      <c r="A23" s="7" t="s">
        <v>117</v>
      </c>
      <c r="B23" s="7" t="s">
        <v>118</v>
      </c>
      <c r="C23" s="7" t="s">
        <v>53</v>
      </c>
      <c r="D23" s="18">
        <v>825000</v>
      </c>
      <c r="E23" s="14">
        <v>2684.55</v>
      </c>
      <c r="F23" s="14">
        <v>2.3045405113175303</v>
      </c>
    </row>
    <row r="24" spans="1:6" x14ac:dyDescent="0.2">
      <c r="A24" s="7" t="s">
        <v>41</v>
      </c>
      <c r="B24" s="7" t="s">
        <v>42</v>
      </c>
      <c r="C24" s="7" t="s">
        <v>43</v>
      </c>
      <c r="D24" s="18">
        <v>50000000</v>
      </c>
      <c r="E24" s="14">
        <v>2675</v>
      </c>
      <c r="F24" s="14">
        <v>2.2963423545005286</v>
      </c>
    </row>
    <row r="25" spans="1:6" x14ac:dyDescent="0.2">
      <c r="A25" s="7" t="s">
        <v>119</v>
      </c>
      <c r="B25" s="7" t="s">
        <v>120</v>
      </c>
      <c r="C25" s="7" t="s">
        <v>51</v>
      </c>
      <c r="D25" s="18">
        <v>2000000</v>
      </c>
      <c r="E25" s="14">
        <v>2424</v>
      </c>
      <c r="F25" s="14">
        <v>2.0808724737604787</v>
      </c>
    </row>
    <row r="26" spans="1:6" x14ac:dyDescent="0.2">
      <c r="A26" s="7" t="s">
        <v>121</v>
      </c>
      <c r="B26" s="7" t="s">
        <v>122</v>
      </c>
      <c r="C26" s="7" t="s">
        <v>40</v>
      </c>
      <c r="D26" s="18">
        <v>75000</v>
      </c>
      <c r="E26" s="14">
        <v>1929.0374999999999</v>
      </c>
      <c r="F26" s="14">
        <v>1.6559740241756309</v>
      </c>
    </row>
    <row r="27" spans="1:6" x14ac:dyDescent="0.2">
      <c r="A27" s="7" t="s">
        <v>123</v>
      </c>
      <c r="B27" s="7" t="s">
        <v>124</v>
      </c>
      <c r="C27" s="7" t="s">
        <v>28</v>
      </c>
      <c r="D27" s="18">
        <v>600000</v>
      </c>
      <c r="E27" s="14">
        <v>1919.7</v>
      </c>
      <c r="F27" s="14">
        <v>1.6479582870783791</v>
      </c>
    </row>
    <row r="28" spans="1:6" x14ac:dyDescent="0.2">
      <c r="A28" s="7" t="s">
        <v>125</v>
      </c>
      <c r="B28" s="7" t="s">
        <v>126</v>
      </c>
      <c r="C28" s="7" t="s">
        <v>31</v>
      </c>
      <c r="D28" s="18">
        <v>500000</v>
      </c>
      <c r="E28" s="14">
        <v>1836</v>
      </c>
      <c r="F28" s="14">
        <v>1.5761063786403624</v>
      </c>
    </row>
    <row r="29" spans="1:6" x14ac:dyDescent="0.2">
      <c r="A29" s="7" t="s">
        <v>127</v>
      </c>
      <c r="B29" s="7" t="s">
        <v>128</v>
      </c>
      <c r="C29" s="7" t="s">
        <v>31</v>
      </c>
      <c r="D29" s="18">
        <v>1888202</v>
      </c>
      <c r="E29" s="14">
        <v>1799.456506</v>
      </c>
      <c r="F29" s="14">
        <v>1.5447357718913397</v>
      </c>
    </row>
    <row r="30" spans="1:6" x14ac:dyDescent="0.2">
      <c r="A30" s="7" t="s">
        <v>129</v>
      </c>
      <c r="B30" s="7" t="s">
        <v>130</v>
      </c>
      <c r="C30" s="7" t="s">
        <v>20</v>
      </c>
      <c r="D30" s="18">
        <v>550000</v>
      </c>
      <c r="E30" s="14">
        <v>1592.5250000000001</v>
      </c>
      <c r="F30" s="14">
        <v>1.3670963020938147</v>
      </c>
    </row>
    <row r="31" spans="1:6" x14ac:dyDescent="0.2">
      <c r="A31" s="7" t="s">
        <v>131</v>
      </c>
      <c r="B31" s="7" t="s">
        <v>132</v>
      </c>
      <c r="C31" s="7" t="s">
        <v>110</v>
      </c>
      <c r="D31" s="18">
        <v>2000000</v>
      </c>
      <c r="E31" s="14">
        <v>1566</v>
      </c>
      <c r="F31" s="14">
        <v>1.3443260288403094</v>
      </c>
    </row>
    <row r="32" spans="1:6" x14ac:dyDescent="0.2">
      <c r="A32" s="7" t="s">
        <v>133</v>
      </c>
      <c r="B32" s="7" t="s">
        <v>134</v>
      </c>
      <c r="C32" s="7" t="s">
        <v>25</v>
      </c>
      <c r="D32" s="18">
        <v>3500000</v>
      </c>
      <c r="E32" s="14">
        <v>1457.75</v>
      </c>
      <c r="F32" s="14">
        <v>1.251399277485288</v>
      </c>
    </row>
    <row r="33" spans="1:6" x14ac:dyDescent="0.2">
      <c r="A33" s="7" t="s">
        <v>135</v>
      </c>
      <c r="B33" s="7" t="s">
        <v>136</v>
      </c>
      <c r="C33" s="7" t="s">
        <v>20</v>
      </c>
      <c r="D33" s="18">
        <v>2083693</v>
      </c>
      <c r="E33" s="14">
        <v>1446.082942</v>
      </c>
      <c r="F33" s="14">
        <v>1.2413837412468527</v>
      </c>
    </row>
    <row r="34" spans="1:6" x14ac:dyDescent="0.2">
      <c r="A34" s="7" t="s">
        <v>137</v>
      </c>
      <c r="B34" s="7" t="s">
        <v>138</v>
      </c>
      <c r="C34" s="7" t="s">
        <v>31</v>
      </c>
      <c r="D34" s="18">
        <v>35000</v>
      </c>
      <c r="E34" s="14">
        <v>1421.9625000000001</v>
      </c>
      <c r="F34" s="14">
        <v>1.220677650565031</v>
      </c>
    </row>
    <row r="35" spans="1:6" x14ac:dyDescent="0.2">
      <c r="A35" s="7" t="s">
        <v>23</v>
      </c>
      <c r="B35" s="7" t="s">
        <v>24</v>
      </c>
      <c r="C35" s="7" t="s">
        <v>25</v>
      </c>
      <c r="D35" s="18">
        <v>700000</v>
      </c>
      <c r="E35" s="14">
        <v>1291.1500000000001</v>
      </c>
      <c r="F35" s="14">
        <v>1.108382217201255</v>
      </c>
    </row>
    <row r="36" spans="1:6" x14ac:dyDescent="0.2">
      <c r="A36" s="7" t="s">
        <v>139</v>
      </c>
      <c r="B36" s="7" t="s">
        <v>140</v>
      </c>
      <c r="C36" s="7" t="s">
        <v>20</v>
      </c>
      <c r="D36" s="18">
        <v>2000000</v>
      </c>
      <c r="E36" s="14">
        <v>1263</v>
      </c>
      <c r="F36" s="14">
        <v>1.0842169696202493</v>
      </c>
    </row>
    <row r="37" spans="1:6" x14ac:dyDescent="0.2">
      <c r="A37" s="7" t="s">
        <v>141</v>
      </c>
      <c r="B37" s="7" t="s">
        <v>667</v>
      </c>
      <c r="C37" s="7" t="s">
        <v>40</v>
      </c>
      <c r="D37" s="18">
        <v>2200000</v>
      </c>
      <c r="E37" s="14">
        <v>1177</v>
      </c>
      <c r="F37" s="14">
        <v>1.0103906359802324</v>
      </c>
    </row>
    <row r="38" spans="1:6" x14ac:dyDescent="0.2">
      <c r="A38" s="7" t="s">
        <v>142</v>
      </c>
      <c r="B38" s="7" t="s">
        <v>143</v>
      </c>
      <c r="C38" s="7" t="s">
        <v>110</v>
      </c>
      <c r="D38" s="18">
        <v>225000</v>
      </c>
      <c r="E38" s="14">
        <v>1143.675</v>
      </c>
      <c r="F38" s="14">
        <v>0.98178293169472586</v>
      </c>
    </row>
    <row r="39" spans="1:6" x14ac:dyDescent="0.2">
      <c r="A39" s="7" t="s">
        <v>144</v>
      </c>
      <c r="B39" s="7" t="s">
        <v>145</v>
      </c>
      <c r="C39" s="7" t="s">
        <v>31</v>
      </c>
      <c r="D39" s="18">
        <v>250000</v>
      </c>
      <c r="E39" s="14">
        <v>916.75</v>
      </c>
      <c r="F39" s="14">
        <v>0.78698013214518103</v>
      </c>
    </row>
    <row r="40" spans="1:6" x14ac:dyDescent="0.2">
      <c r="A40" s="7" t="s">
        <v>146</v>
      </c>
      <c r="B40" s="7" t="s">
        <v>147</v>
      </c>
      <c r="C40" s="7" t="s">
        <v>12</v>
      </c>
      <c r="D40" s="18">
        <v>1100000</v>
      </c>
      <c r="E40" s="14">
        <v>713.9</v>
      </c>
      <c r="F40" s="14">
        <v>0.61284441378614096</v>
      </c>
    </row>
    <row r="41" spans="1:6" x14ac:dyDescent="0.2">
      <c r="A41" s="7" t="s">
        <v>148</v>
      </c>
      <c r="B41" s="7" t="s">
        <v>149</v>
      </c>
      <c r="C41" s="7" t="s">
        <v>28</v>
      </c>
      <c r="D41" s="18">
        <v>600000</v>
      </c>
      <c r="E41" s="14">
        <v>632.4</v>
      </c>
      <c r="F41" s="14">
        <v>0.54288108597612483</v>
      </c>
    </row>
    <row r="42" spans="1:6" x14ac:dyDescent="0.2">
      <c r="A42" s="7" t="s">
        <v>150</v>
      </c>
      <c r="B42" s="7" t="s">
        <v>151</v>
      </c>
      <c r="C42" s="7" t="s">
        <v>60</v>
      </c>
      <c r="D42" s="18">
        <v>400000</v>
      </c>
      <c r="E42" s="14">
        <v>291.8</v>
      </c>
      <c r="F42" s="14">
        <v>0.25049446693205762</v>
      </c>
    </row>
    <row r="43" spans="1:6" x14ac:dyDescent="0.2">
      <c r="A43" s="6" t="s">
        <v>44</v>
      </c>
      <c r="B43" s="7"/>
      <c r="C43" s="7"/>
      <c r="D43" s="18"/>
      <c r="E43" s="20">
        <f>SUM(E8:E42)</f>
        <v>107719.00752599997</v>
      </c>
      <c r="F43" s="20">
        <f>SUM(F8:F42)</f>
        <v>92.470923127743873</v>
      </c>
    </row>
    <row r="44" spans="1:6" x14ac:dyDescent="0.2">
      <c r="A44" s="7"/>
      <c r="B44" s="7"/>
      <c r="C44" s="7"/>
      <c r="D44" s="18"/>
      <c r="E44" s="14"/>
      <c r="F44" s="14"/>
    </row>
    <row r="45" spans="1:6" x14ac:dyDescent="0.2">
      <c r="A45" s="6" t="s">
        <v>44</v>
      </c>
      <c r="B45" s="7"/>
      <c r="C45" s="7"/>
      <c r="D45" s="18"/>
      <c r="E45" s="20">
        <f>E43</f>
        <v>107719.00752599997</v>
      </c>
      <c r="F45" s="20">
        <f>F43</f>
        <v>92.470923127743873</v>
      </c>
    </row>
    <row r="46" spans="1:6" x14ac:dyDescent="0.2">
      <c r="A46" s="7"/>
      <c r="B46" s="7"/>
      <c r="C46" s="7"/>
      <c r="D46" s="18"/>
      <c r="E46" s="14"/>
      <c r="F46" s="14"/>
    </row>
    <row r="47" spans="1:6" x14ac:dyDescent="0.2">
      <c r="A47" s="6" t="s">
        <v>76</v>
      </c>
      <c r="B47" s="7"/>
      <c r="C47" s="7"/>
      <c r="D47" s="18"/>
      <c r="E47" s="20">
        <v>8770.5914554999999</v>
      </c>
      <c r="F47" s="20">
        <v>7.53</v>
      </c>
    </row>
    <row r="48" spans="1:6" x14ac:dyDescent="0.2">
      <c r="A48" s="7"/>
      <c r="B48" s="7"/>
      <c r="C48" s="7"/>
      <c r="D48" s="18"/>
      <c r="E48" s="14"/>
      <c r="F48" s="14"/>
    </row>
    <row r="49" spans="1:6" x14ac:dyDescent="0.2">
      <c r="A49" s="8" t="s">
        <v>77</v>
      </c>
      <c r="B49" s="5"/>
      <c r="C49" s="5"/>
      <c r="D49" s="17"/>
      <c r="E49" s="21">
        <f>E45+E47</f>
        <v>116489.59898149998</v>
      </c>
      <c r="F49" s="21">
        <f>F45+F47</f>
        <v>100.00092312774387</v>
      </c>
    </row>
    <row r="50" spans="1:6" x14ac:dyDescent="0.2">
      <c r="A50" s="2"/>
      <c r="B50" s="2"/>
      <c r="C50" s="2"/>
      <c r="D50" s="2"/>
      <c r="E50" s="1"/>
    </row>
    <row r="51" spans="1:6" x14ac:dyDescent="0.2">
      <c r="A51" s="4" t="s">
        <v>78</v>
      </c>
      <c r="B51" s="2"/>
      <c r="C51" s="2"/>
      <c r="D51" s="2"/>
      <c r="E51" s="1"/>
    </row>
    <row r="52" spans="1:6" x14ac:dyDescent="0.2">
      <c r="A52" s="4" t="s">
        <v>79</v>
      </c>
      <c r="B52" s="2"/>
      <c r="C52" s="2"/>
      <c r="D52" s="2"/>
      <c r="E52" s="1"/>
    </row>
    <row r="53" spans="1:6" x14ac:dyDescent="0.2">
      <c r="A53" s="4" t="s">
        <v>80</v>
      </c>
      <c r="B53" s="2"/>
      <c r="C53" s="2"/>
      <c r="D53" s="2"/>
      <c r="E53" s="1"/>
    </row>
    <row r="54" spans="1:6" x14ac:dyDescent="0.2">
      <c r="A54" s="2" t="s">
        <v>638</v>
      </c>
      <c r="B54" s="2"/>
      <c r="C54" s="2"/>
      <c r="D54" s="10">
        <v>38.246299999999998</v>
      </c>
      <c r="E54" s="2"/>
    </row>
    <row r="55" spans="1:6" x14ac:dyDescent="0.2">
      <c r="A55" s="2" t="s">
        <v>639</v>
      </c>
      <c r="B55" s="2"/>
      <c r="C55" s="2"/>
      <c r="D55" s="10">
        <v>19.8782</v>
      </c>
      <c r="E55" s="2"/>
    </row>
    <row r="56" spans="1:6" x14ac:dyDescent="0.2">
      <c r="A56" s="2" t="s">
        <v>640</v>
      </c>
      <c r="B56" s="2"/>
      <c r="C56" s="2"/>
      <c r="D56" s="10">
        <v>41.117600000000003</v>
      </c>
      <c r="E56" s="2"/>
    </row>
    <row r="57" spans="1:6" x14ac:dyDescent="0.2">
      <c r="A57" s="2" t="s">
        <v>641</v>
      </c>
      <c r="B57" s="2"/>
      <c r="C57" s="2"/>
      <c r="D57" s="10">
        <v>21.877700000000001</v>
      </c>
      <c r="E57" s="2"/>
    </row>
    <row r="58" spans="1:6" x14ac:dyDescent="0.2">
      <c r="A58" s="2"/>
      <c r="B58" s="2"/>
      <c r="C58" s="2"/>
      <c r="D58" s="10"/>
      <c r="E58" s="2"/>
    </row>
    <row r="59" spans="1:6" x14ac:dyDescent="0.2">
      <c r="A59" s="4" t="s">
        <v>81</v>
      </c>
      <c r="B59" s="2"/>
      <c r="C59" s="2"/>
      <c r="D59" s="2"/>
      <c r="E59" s="2"/>
    </row>
    <row r="60" spans="1:6" x14ac:dyDescent="0.2">
      <c r="A60" s="2" t="s">
        <v>638</v>
      </c>
      <c r="B60" s="2"/>
      <c r="C60" s="2"/>
      <c r="D60" s="10">
        <v>38.4328</v>
      </c>
      <c r="E60" s="2"/>
    </row>
    <row r="61" spans="1:6" x14ac:dyDescent="0.2">
      <c r="A61" s="2" t="s">
        <v>639</v>
      </c>
      <c r="B61" s="2"/>
      <c r="C61" s="2"/>
      <c r="D61" s="10">
        <v>19.975200000000001</v>
      </c>
      <c r="E61" s="2"/>
    </row>
    <row r="62" spans="1:6" x14ac:dyDescent="0.2">
      <c r="A62" s="2" t="s">
        <v>640</v>
      </c>
      <c r="B62" s="2"/>
      <c r="C62" s="2"/>
      <c r="D62" s="10">
        <v>41.5672</v>
      </c>
      <c r="E62" s="2"/>
    </row>
    <row r="63" spans="1:6" x14ac:dyDescent="0.2">
      <c r="A63" s="2" t="s">
        <v>641</v>
      </c>
      <c r="B63" s="2"/>
      <c r="C63" s="2"/>
      <c r="D63" s="10">
        <v>22.116599999999998</v>
      </c>
      <c r="E63" s="2"/>
    </row>
    <row r="64" spans="1:6" x14ac:dyDescent="0.2">
      <c r="A64" s="2"/>
      <c r="B64" s="2"/>
      <c r="C64" s="2"/>
      <c r="D64" s="2"/>
      <c r="E64" s="1"/>
    </row>
    <row r="65" spans="1:5" x14ac:dyDescent="0.2">
      <c r="A65" s="4" t="s">
        <v>82</v>
      </c>
      <c r="B65" s="2"/>
      <c r="C65" s="2"/>
      <c r="D65" s="44" t="s">
        <v>83</v>
      </c>
      <c r="E65" s="1"/>
    </row>
    <row r="66" spans="1:5" x14ac:dyDescent="0.2">
      <c r="A66" s="4"/>
      <c r="B66" s="2"/>
      <c r="C66" s="2"/>
      <c r="D66" s="44"/>
      <c r="E66" s="1"/>
    </row>
    <row r="67" spans="1:5" x14ac:dyDescent="0.2">
      <c r="A67" s="9" t="s">
        <v>646</v>
      </c>
      <c r="B67" s="2"/>
      <c r="C67" s="2"/>
      <c r="D67" s="51">
        <v>0.15694421082550578</v>
      </c>
      <c r="E67" s="1"/>
    </row>
    <row r="68" spans="1:5" x14ac:dyDescent="0.2">
      <c r="A68" s="2"/>
      <c r="B68" s="2"/>
      <c r="C68" s="2"/>
      <c r="D68" s="2"/>
      <c r="E68" s="1"/>
    </row>
    <row r="69" spans="1:5" x14ac:dyDescent="0.2">
      <c r="A69" s="2"/>
      <c r="B69" s="2"/>
      <c r="C69" s="2"/>
      <c r="D69" s="2"/>
      <c r="E69" s="1"/>
    </row>
    <row r="70" spans="1:5" x14ac:dyDescent="0.2">
      <c r="A70" s="2"/>
      <c r="B70" s="2"/>
      <c r="C70" s="2"/>
      <c r="D70" s="2"/>
      <c r="E70" s="1"/>
    </row>
  </sheetData>
  <mergeCells count="1">
    <mergeCell ref="A1:F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0F2C5-A9E5-4EBB-A5E8-0312E951D418}">
  <dimension ref="A1:F85"/>
  <sheetViews>
    <sheetView showGridLines="0" workbookViewId="0">
      <selection sqref="A1:F1"/>
    </sheetView>
  </sheetViews>
  <sheetFormatPr defaultRowHeight="11.25" x14ac:dyDescent="0.2"/>
  <cols>
    <col min="1" max="1" width="59.42578125" style="1" bestFit="1" customWidth="1"/>
    <col min="2" max="2" width="45" style="1" bestFit="1" customWidth="1"/>
    <col min="3" max="3" width="40" style="1" bestFit="1" customWidth="1"/>
    <col min="4" max="4" width="11.140625" style="19" bestFit="1" customWidth="1"/>
    <col min="5" max="5" width="24" style="15" bestFit="1" customWidth="1"/>
    <col min="6" max="6" width="14.140625" style="15" bestFit="1" customWidth="1"/>
    <col min="7" max="7" width="39.5703125" style="2" bestFit="1" customWidth="1"/>
    <col min="8" max="8" width="5.7109375" style="2" bestFit="1" customWidth="1"/>
    <col min="9" max="16384" width="9.140625" style="2"/>
  </cols>
  <sheetData>
    <row r="1" spans="1:6" x14ac:dyDescent="0.2">
      <c r="A1" s="99" t="s">
        <v>0</v>
      </c>
      <c r="B1" s="99"/>
      <c r="C1" s="99"/>
      <c r="D1" s="99"/>
      <c r="E1" s="99"/>
      <c r="F1" s="99"/>
    </row>
    <row r="3" spans="1:6" s="4" customFormat="1" x14ac:dyDescent="0.2">
      <c r="A3" s="3" t="s">
        <v>1</v>
      </c>
      <c r="B3" s="3" t="s">
        <v>2</v>
      </c>
      <c r="C3" s="3" t="s">
        <v>3</v>
      </c>
      <c r="D3" s="16" t="s">
        <v>4</v>
      </c>
      <c r="E3" s="12" t="s">
        <v>5</v>
      </c>
      <c r="F3" s="12" t="s">
        <v>6</v>
      </c>
    </row>
    <row r="4" spans="1:6" x14ac:dyDescent="0.2">
      <c r="A4" s="5"/>
      <c r="B4" s="5"/>
      <c r="C4" s="5"/>
      <c r="D4" s="17"/>
      <c r="E4" s="13"/>
      <c r="F4" s="13"/>
    </row>
    <row r="5" spans="1:6" x14ac:dyDescent="0.2">
      <c r="A5" s="6" t="s">
        <v>7</v>
      </c>
      <c r="B5" s="7"/>
      <c r="C5" s="7"/>
      <c r="D5" s="18"/>
      <c r="E5" s="14"/>
      <c r="F5" s="14"/>
    </row>
    <row r="6" spans="1:6" x14ac:dyDescent="0.2">
      <c r="A6" s="6" t="s">
        <v>8</v>
      </c>
      <c r="B6" s="7"/>
      <c r="C6" s="7"/>
      <c r="D6" s="18"/>
      <c r="E6" s="14"/>
      <c r="F6" s="14"/>
    </row>
    <row r="7" spans="1:6" x14ac:dyDescent="0.2">
      <c r="A7" s="6" t="s">
        <v>9</v>
      </c>
      <c r="B7" s="7"/>
      <c r="C7" s="7"/>
      <c r="D7" s="18"/>
      <c r="E7" s="14"/>
      <c r="F7" s="14"/>
    </row>
    <row r="8" spans="1:6" x14ac:dyDescent="0.2">
      <c r="A8" s="7" t="s">
        <v>10</v>
      </c>
      <c r="B8" s="7" t="s">
        <v>11</v>
      </c>
      <c r="C8" s="7" t="s">
        <v>12</v>
      </c>
      <c r="D8" s="18">
        <v>24627</v>
      </c>
      <c r="E8" s="14">
        <v>548.67724650000002</v>
      </c>
      <c r="F8" s="14">
        <f t="shared" ref="F8:F19" si="0">E8/$E$64*100</f>
        <v>4.557012035370664</v>
      </c>
    </row>
    <row r="9" spans="1:6" x14ac:dyDescent="0.2">
      <c r="A9" s="7" t="s">
        <v>13</v>
      </c>
      <c r="B9" s="7" t="s">
        <v>14</v>
      </c>
      <c r="C9" s="7" t="s">
        <v>15</v>
      </c>
      <c r="D9" s="18">
        <v>54190</v>
      </c>
      <c r="E9" s="14">
        <v>254.286575</v>
      </c>
      <c r="F9" s="14">
        <f t="shared" si="0"/>
        <v>2.1119647116771496</v>
      </c>
    </row>
    <row r="10" spans="1:6" x14ac:dyDescent="0.2">
      <c r="A10" s="7" t="s">
        <v>16</v>
      </c>
      <c r="B10" s="7" t="s">
        <v>17</v>
      </c>
      <c r="C10" s="7" t="s">
        <v>633</v>
      </c>
      <c r="D10" s="18">
        <v>134100</v>
      </c>
      <c r="E10" s="14">
        <v>186.399</v>
      </c>
      <c r="F10" s="14">
        <f t="shared" si="0"/>
        <v>1.548127777850282</v>
      </c>
    </row>
    <row r="11" spans="1:6" x14ac:dyDescent="0.2">
      <c r="A11" s="7" t="s">
        <v>18</v>
      </c>
      <c r="B11" s="7" t="s">
        <v>19</v>
      </c>
      <c r="C11" s="7" t="s">
        <v>20</v>
      </c>
      <c r="D11" s="18">
        <v>27999</v>
      </c>
      <c r="E11" s="14">
        <v>159.0203205</v>
      </c>
      <c r="F11" s="14">
        <f t="shared" si="0"/>
        <v>1.3207354943358314</v>
      </c>
    </row>
    <row r="12" spans="1:6" x14ac:dyDescent="0.2">
      <c r="A12" s="7" t="s">
        <v>21</v>
      </c>
      <c r="B12" s="7" t="s">
        <v>22</v>
      </c>
      <c r="C12" s="7" t="s">
        <v>12</v>
      </c>
      <c r="D12" s="18">
        <v>8892</v>
      </c>
      <c r="E12" s="14">
        <v>127.28453399999999</v>
      </c>
      <c r="F12" s="14">
        <f t="shared" si="0"/>
        <v>1.0571554717360536</v>
      </c>
    </row>
    <row r="13" spans="1:6" x14ac:dyDescent="0.2">
      <c r="A13" s="7" t="s">
        <v>23</v>
      </c>
      <c r="B13" s="7" t="s">
        <v>24</v>
      </c>
      <c r="C13" s="7" t="s">
        <v>25</v>
      </c>
      <c r="D13" s="18">
        <v>56959</v>
      </c>
      <c r="E13" s="14">
        <v>105.06087549999999</v>
      </c>
      <c r="F13" s="14">
        <f t="shared" si="0"/>
        <v>0.87257796300849311</v>
      </c>
    </row>
    <row r="14" spans="1:6" x14ac:dyDescent="0.2">
      <c r="A14" s="7" t="s">
        <v>26</v>
      </c>
      <c r="B14" s="7" t="s">
        <v>27</v>
      </c>
      <c r="C14" s="7" t="s">
        <v>28</v>
      </c>
      <c r="D14" s="18">
        <v>15620</v>
      </c>
      <c r="E14" s="14">
        <v>89.939959999999999</v>
      </c>
      <c r="F14" s="14">
        <f t="shared" si="0"/>
        <v>0.74699193887704995</v>
      </c>
    </row>
    <row r="15" spans="1:6" x14ac:dyDescent="0.2">
      <c r="A15" s="7" t="s">
        <v>29</v>
      </c>
      <c r="B15" s="7" t="s">
        <v>30</v>
      </c>
      <c r="C15" s="7" t="s">
        <v>31</v>
      </c>
      <c r="D15" s="18">
        <v>15402</v>
      </c>
      <c r="E15" s="14">
        <v>88.522994999999995</v>
      </c>
      <c r="F15" s="14">
        <f t="shared" si="0"/>
        <v>0.73522340537235509</v>
      </c>
    </row>
    <row r="16" spans="1:6" x14ac:dyDescent="0.2">
      <c r="A16" s="7" t="s">
        <v>32</v>
      </c>
      <c r="B16" s="7" t="s">
        <v>33</v>
      </c>
      <c r="C16" s="7" t="s">
        <v>34</v>
      </c>
      <c r="D16" s="18">
        <v>37307</v>
      </c>
      <c r="E16" s="14">
        <v>87.951252499999995</v>
      </c>
      <c r="F16" s="14">
        <f t="shared" si="0"/>
        <v>0.73047482600214619</v>
      </c>
    </row>
    <row r="17" spans="1:6" x14ac:dyDescent="0.2">
      <c r="A17" s="7" t="s">
        <v>35</v>
      </c>
      <c r="B17" s="7" t="s">
        <v>36</v>
      </c>
      <c r="C17" s="7" t="s">
        <v>37</v>
      </c>
      <c r="D17" s="18">
        <v>30332</v>
      </c>
      <c r="E17" s="14">
        <v>84.474620000000002</v>
      </c>
      <c r="F17" s="14">
        <f t="shared" si="0"/>
        <v>0.70159982481315342</v>
      </c>
    </row>
    <row r="18" spans="1:6" x14ac:dyDescent="0.2">
      <c r="A18" s="7" t="s">
        <v>38</v>
      </c>
      <c r="B18" s="7" t="s">
        <v>39</v>
      </c>
      <c r="C18" s="7" t="s">
        <v>40</v>
      </c>
      <c r="D18" s="18">
        <v>54279</v>
      </c>
      <c r="E18" s="14">
        <v>63.343592999999998</v>
      </c>
      <c r="F18" s="14">
        <f t="shared" si="0"/>
        <v>0.52609711356897126</v>
      </c>
    </row>
    <row r="19" spans="1:6" x14ac:dyDescent="0.2">
      <c r="A19" s="7" t="s">
        <v>41</v>
      </c>
      <c r="B19" s="7" t="s">
        <v>42</v>
      </c>
      <c r="C19" s="7" t="s">
        <v>43</v>
      </c>
      <c r="D19" s="18">
        <v>668809</v>
      </c>
      <c r="E19" s="14">
        <v>35.781281499999999</v>
      </c>
      <c r="F19" s="14">
        <f t="shared" si="0"/>
        <v>0.29717968345983831</v>
      </c>
    </row>
    <row r="20" spans="1:6" x14ac:dyDescent="0.2">
      <c r="A20" s="6" t="s">
        <v>44</v>
      </c>
      <c r="B20" s="7"/>
      <c r="C20" s="7"/>
      <c r="D20" s="18"/>
      <c r="E20" s="20">
        <f xml:space="preserve"> SUM(E8:E19)</f>
        <v>1830.7422534999998</v>
      </c>
      <c r="F20" s="20">
        <f>SUM(F8:F19)</f>
        <v>15.205140246071988</v>
      </c>
    </row>
    <row r="21" spans="1:6" x14ac:dyDescent="0.2">
      <c r="A21" s="7"/>
      <c r="B21" s="7"/>
      <c r="C21" s="7"/>
      <c r="D21" s="18"/>
      <c r="E21" s="14"/>
      <c r="F21" s="14"/>
    </row>
    <row r="22" spans="1:6" x14ac:dyDescent="0.2">
      <c r="A22" s="6" t="s">
        <v>45</v>
      </c>
      <c r="B22" s="7"/>
      <c r="C22" s="7"/>
      <c r="D22" s="18"/>
      <c r="E22" s="14"/>
      <c r="F22" s="14"/>
    </row>
    <row r="23" spans="1:6" x14ac:dyDescent="0.2">
      <c r="A23" s="7" t="s">
        <v>74</v>
      </c>
      <c r="B23" s="27" t="s">
        <v>668</v>
      </c>
      <c r="C23" s="27" t="s">
        <v>15</v>
      </c>
      <c r="D23" s="29">
        <v>9063</v>
      </c>
      <c r="E23" s="30">
        <v>1121.0280150000001</v>
      </c>
      <c r="F23" s="30">
        <v>9.3106433498562904</v>
      </c>
    </row>
    <row r="24" spans="1:6" x14ac:dyDescent="0.2">
      <c r="A24" s="7" t="s">
        <v>63</v>
      </c>
      <c r="B24" s="27" t="s">
        <v>669</v>
      </c>
      <c r="C24" s="27" t="s">
        <v>64</v>
      </c>
      <c r="D24" s="29">
        <v>31700</v>
      </c>
      <c r="E24" s="30">
        <v>939.57382189999998</v>
      </c>
      <c r="F24" s="30">
        <v>7.8035844238667771</v>
      </c>
    </row>
    <row r="25" spans="1:6" x14ac:dyDescent="0.2">
      <c r="A25" s="7" t="s">
        <v>48</v>
      </c>
      <c r="B25" s="27" t="s">
        <v>670</v>
      </c>
      <c r="C25" s="27" t="s">
        <v>28</v>
      </c>
      <c r="D25" s="29">
        <v>132124</v>
      </c>
      <c r="E25" s="30">
        <v>919.34218079999994</v>
      </c>
      <c r="F25" s="30">
        <v>7.6355515182266851</v>
      </c>
    </row>
    <row r="26" spans="1:6" x14ac:dyDescent="0.2">
      <c r="A26" s="7" t="s">
        <v>70</v>
      </c>
      <c r="B26" s="27" t="s">
        <v>659</v>
      </c>
      <c r="C26" s="27" t="s">
        <v>631</v>
      </c>
      <c r="D26" s="29">
        <v>146714</v>
      </c>
      <c r="E26" s="30">
        <v>868.32935109999994</v>
      </c>
      <c r="F26" s="30">
        <v>7.2118669561565252</v>
      </c>
    </row>
    <row r="27" spans="1:6" x14ac:dyDescent="0.2">
      <c r="A27" s="7" t="s">
        <v>591</v>
      </c>
      <c r="B27" s="27" t="s">
        <v>660</v>
      </c>
      <c r="C27" s="27" t="s">
        <v>631</v>
      </c>
      <c r="D27" s="29">
        <v>32100</v>
      </c>
      <c r="E27" s="30">
        <v>836.39287279999996</v>
      </c>
      <c r="F27" s="30">
        <v>6.9466200976275481</v>
      </c>
    </row>
    <row r="28" spans="1:6" x14ac:dyDescent="0.2">
      <c r="A28" s="7" t="s">
        <v>47</v>
      </c>
      <c r="B28" s="27" t="s">
        <v>671</v>
      </c>
      <c r="C28" s="27" t="s">
        <v>28</v>
      </c>
      <c r="D28" s="29">
        <v>80310</v>
      </c>
      <c r="E28" s="30">
        <v>658.84756159999995</v>
      </c>
      <c r="F28" s="30">
        <v>5.4720261990777024</v>
      </c>
    </row>
    <row r="29" spans="1:6" x14ac:dyDescent="0.2">
      <c r="A29" s="7" t="s">
        <v>55</v>
      </c>
      <c r="B29" s="27" t="s">
        <v>672</v>
      </c>
      <c r="C29" s="27" t="s">
        <v>12</v>
      </c>
      <c r="D29" s="29">
        <v>195429</v>
      </c>
      <c r="E29" s="30">
        <v>300.77105180000001</v>
      </c>
      <c r="F29" s="30">
        <v>2.4980392602150552</v>
      </c>
    </row>
    <row r="30" spans="1:6" x14ac:dyDescent="0.2">
      <c r="A30" s="7" t="s">
        <v>75</v>
      </c>
      <c r="B30" s="27" t="s">
        <v>673</v>
      </c>
      <c r="C30" s="27" t="s">
        <v>634</v>
      </c>
      <c r="D30" s="29">
        <v>3660</v>
      </c>
      <c r="E30" s="30">
        <v>297.3132726</v>
      </c>
      <c r="F30" s="30">
        <v>2.4693208441871102</v>
      </c>
    </row>
    <row r="31" spans="1:6" x14ac:dyDescent="0.2">
      <c r="A31" s="7" t="s">
        <v>602</v>
      </c>
      <c r="B31" s="27" t="s">
        <v>674</v>
      </c>
      <c r="C31" s="27" t="s">
        <v>12</v>
      </c>
      <c r="D31" s="29">
        <v>131360</v>
      </c>
      <c r="E31" s="30">
        <v>269.19291530000004</v>
      </c>
      <c r="F31" s="30">
        <v>2.2357685919797219</v>
      </c>
    </row>
    <row r="32" spans="1:6" x14ac:dyDescent="0.2">
      <c r="A32" s="7" t="s">
        <v>592</v>
      </c>
      <c r="B32" s="27" t="s">
        <v>664</v>
      </c>
      <c r="C32" s="27" t="s">
        <v>64</v>
      </c>
      <c r="D32" s="29">
        <v>14600</v>
      </c>
      <c r="E32" s="30">
        <v>237.74416819999999</v>
      </c>
      <c r="F32" s="30">
        <v>1.97457256107774</v>
      </c>
    </row>
    <row r="33" spans="1:6" x14ac:dyDescent="0.2">
      <c r="A33" s="7" t="s">
        <v>603</v>
      </c>
      <c r="B33" s="27" t="s">
        <v>675</v>
      </c>
      <c r="C33" s="27" t="s">
        <v>110</v>
      </c>
      <c r="D33" s="29">
        <v>10238</v>
      </c>
      <c r="E33" s="30">
        <v>233.54619960000002</v>
      </c>
      <c r="F33" s="30">
        <v>1.9397065381902607</v>
      </c>
    </row>
    <row r="34" spans="1:6" x14ac:dyDescent="0.2">
      <c r="A34" s="7" t="s">
        <v>67</v>
      </c>
      <c r="B34" s="27" t="s">
        <v>676</v>
      </c>
      <c r="C34" s="27" t="s">
        <v>632</v>
      </c>
      <c r="D34" s="29">
        <v>23512</v>
      </c>
      <c r="E34" s="30">
        <v>229.05247699999998</v>
      </c>
      <c r="F34" s="30">
        <v>1.9023841449209105</v>
      </c>
    </row>
    <row r="35" spans="1:6" x14ac:dyDescent="0.2">
      <c r="A35" s="7" t="s">
        <v>46</v>
      </c>
      <c r="B35" s="27" t="s">
        <v>677</v>
      </c>
      <c r="C35" s="27" t="s">
        <v>12</v>
      </c>
      <c r="D35" s="29">
        <v>67000</v>
      </c>
      <c r="E35" s="30">
        <v>218.27230969999999</v>
      </c>
      <c r="F35" s="30">
        <v>1.8128499926614923</v>
      </c>
    </row>
    <row r="36" spans="1:6" x14ac:dyDescent="0.2">
      <c r="A36" s="7" t="s">
        <v>66</v>
      </c>
      <c r="B36" s="27" t="s">
        <v>678</v>
      </c>
      <c r="C36" s="27" t="s">
        <v>12</v>
      </c>
      <c r="D36" s="29">
        <v>17142</v>
      </c>
      <c r="E36" s="30">
        <v>216.85082180000001</v>
      </c>
      <c r="F36" s="30">
        <v>1.8010438944320597</v>
      </c>
    </row>
    <row r="37" spans="1:6" x14ac:dyDescent="0.2">
      <c r="A37" s="7" t="s">
        <v>609</v>
      </c>
      <c r="B37" s="27" t="s">
        <v>679</v>
      </c>
      <c r="C37" s="27" t="s">
        <v>37</v>
      </c>
      <c r="D37" s="29">
        <v>87300</v>
      </c>
      <c r="E37" s="30">
        <v>207.7182066</v>
      </c>
      <c r="F37" s="30">
        <v>1.7251934055585265</v>
      </c>
    </row>
    <row r="38" spans="1:6" x14ac:dyDescent="0.2">
      <c r="A38" s="7" t="s">
        <v>49</v>
      </c>
      <c r="B38" s="27" t="s">
        <v>680</v>
      </c>
      <c r="C38" s="27" t="s">
        <v>15</v>
      </c>
      <c r="D38" s="29">
        <v>37521</v>
      </c>
      <c r="E38" s="30">
        <v>185.57920780000001</v>
      </c>
      <c r="F38" s="30">
        <v>1.5413190338286671</v>
      </c>
    </row>
    <row r="39" spans="1:6" x14ac:dyDescent="0.2">
      <c r="A39" s="7" t="s">
        <v>50</v>
      </c>
      <c r="B39" s="27" t="s">
        <v>681</v>
      </c>
      <c r="C39" s="27" t="s">
        <v>51</v>
      </c>
      <c r="D39" s="29">
        <v>170000</v>
      </c>
      <c r="E39" s="30">
        <v>181.50575860000001</v>
      </c>
      <c r="F39" s="30">
        <v>1.5074872007277278</v>
      </c>
    </row>
    <row r="40" spans="1:6" x14ac:dyDescent="0.2">
      <c r="A40" s="7" t="s">
        <v>69</v>
      </c>
      <c r="B40" s="27" t="s">
        <v>682</v>
      </c>
      <c r="C40" s="27" t="s">
        <v>15</v>
      </c>
      <c r="D40" s="29">
        <v>91900</v>
      </c>
      <c r="E40" s="30">
        <v>180.77854489999999</v>
      </c>
      <c r="F40" s="30">
        <v>1.5014473629099105</v>
      </c>
    </row>
    <row r="41" spans="1:6" x14ac:dyDescent="0.2">
      <c r="A41" s="7" t="s">
        <v>68</v>
      </c>
      <c r="B41" s="27" t="s">
        <v>683</v>
      </c>
      <c r="C41" s="27" t="s">
        <v>633</v>
      </c>
      <c r="D41" s="29">
        <v>193900</v>
      </c>
      <c r="E41" s="30">
        <v>172.54941629999999</v>
      </c>
      <c r="F41" s="30">
        <v>1.4331007378037555</v>
      </c>
    </row>
    <row r="42" spans="1:6" x14ac:dyDescent="0.2">
      <c r="A42" s="7" t="s">
        <v>604</v>
      </c>
      <c r="B42" s="27" t="s">
        <v>684</v>
      </c>
      <c r="C42" s="27" t="s">
        <v>37</v>
      </c>
      <c r="D42" s="29">
        <v>1500</v>
      </c>
      <c r="E42" s="30">
        <v>171.51920149999998</v>
      </c>
      <c r="F42" s="30">
        <v>1.4245443391694681</v>
      </c>
    </row>
    <row r="43" spans="1:6" x14ac:dyDescent="0.2">
      <c r="A43" s="7" t="s">
        <v>56</v>
      </c>
      <c r="B43" s="27" t="s">
        <v>685</v>
      </c>
      <c r="C43" s="27" t="s">
        <v>15</v>
      </c>
      <c r="D43" s="29">
        <v>1925400</v>
      </c>
      <c r="E43" s="30">
        <v>167.59353150000001</v>
      </c>
      <c r="F43" s="30">
        <v>1.3919398789863477</v>
      </c>
    </row>
    <row r="44" spans="1:6" x14ac:dyDescent="0.2">
      <c r="A44" s="7" t="s">
        <v>54</v>
      </c>
      <c r="B44" s="27" t="s">
        <v>686</v>
      </c>
      <c r="C44" s="27" t="s">
        <v>632</v>
      </c>
      <c r="D44" s="29">
        <v>244200</v>
      </c>
      <c r="E44" s="30">
        <v>163.2708762</v>
      </c>
      <c r="F44" s="30">
        <v>1.3560382768103612</v>
      </c>
    </row>
    <row r="45" spans="1:6" x14ac:dyDescent="0.2">
      <c r="A45" s="7" t="s">
        <v>58</v>
      </c>
      <c r="B45" s="27" t="s">
        <v>687</v>
      </c>
      <c r="C45" s="27" t="s">
        <v>37</v>
      </c>
      <c r="D45" s="29">
        <v>53000</v>
      </c>
      <c r="E45" s="30">
        <v>150.41525490000001</v>
      </c>
      <c r="F45" s="30">
        <v>1.2492665428630023</v>
      </c>
    </row>
    <row r="46" spans="1:6" x14ac:dyDescent="0.2">
      <c r="A46" s="7" t="s">
        <v>608</v>
      </c>
      <c r="B46" s="27" t="s">
        <v>688</v>
      </c>
      <c r="C46" s="27" t="s">
        <v>15</v>
      </c>
      <c r="D46" s="29">
        <v>300100</v>
      </c>
      <c r="E46" s="30">
        <v>145.69844560000001</v>
      </c>
      <c r="F46" s="30">
        <v>1.2100913139178227</v>
      </c>
    </row>
    <row r="47" spans="1:6" x14ac:dyDescent="0.2">
      <c r="A47" s="7" t="s">
        <v>62</v>
      </c>
      <c r="B47" s="27" t="s">
        <v>662</v>
      </c>
      <c r="C47" s="27" t="s">
        <v>631</v>
      </c>
      <c r="D47" s="29">
        <v>14600</v>
      </c>
      <c r="E47" s="30">
        <v>144.8231619</v>
      </c>
      <c r="F47" s="30">
        <v>1.2028216879570095</v>
      </c>
    </row>
    <row r="48" spans="1:6" x14ac:dyDescent="0.2">
      <c r="A48" s="7" t="s">
        <v>52</v>
      </c>
      <c r="B48" s="27" t="s">
        <v>689</v>
      </c>
      <c r="C48" s="27" t="s">
        <v>632</v>
      </c>
      <c r="D48" s="29">
        <v>125600</v>
      </c>
      <c r="E48" s="30">
        <v>137.68816430000001</v>
      </c>
      <c r="F48" s="30">
        <v>1.1435623143581433</v>
      </c>
    </row>
    <row r="49" spans="1:6" x14ac:dyDescent="0.2">
      <c r="A49" s="7" t="s">
        <v>65</v>
      </c>
      <c r="B49" s="27" t="s">
        <v>690</v>
      </c>
      <c r="C49" s="27" t="s">
        <v>37</v>
      </c>
      <c r="D49" s="29">
        <v>101700</v>
      </c>
      <c r="E49" s="30">
        <v>137.53865779999998</v>
      </c>
      <c r="F49" s="30">
        <v>1.1423205954346554</v>
      </c>
    </row>
    <row r="50" spans="1:6" x14ac:dyDescent="0.2">
      <c r="A50" s="7" t="s">
        <v>606</v>
      </c>
      <c r="B50" s="27" t="s">
        <v>691</v>
      </c>
      <c r="C50" s="27" t="s">
        <v>631</v>
      </c>
      <c r="D50" s="29">
        <v>903</v>
      </c>
      <c r="E50" s="30">
        <v>133.41692130000001</v>
      </c>
      <c r="F50" s="30">
        <v>1.1080877145252654</v>
      </c>
    </row>
    <row r="51" spans="1:6" x14ac:dyDescent="0.2">
      <c r="A51" s="7" t="s">
        <v>607</v>
      </c>
      <c r="B51" s="27" t="s">
        <v>692</v>
      </c>
      <c r="C51" s="27" t="s">
        <v>12</v>
      </c>
      <c r="D51" s="29">
        <v>5267</v>
      </c>
      <c r="E51" s="30">
        <v>127.09941329999999</v>
      </c>
      <c r="F51" s="30">
        <v>1.0556179608163325</v>
      </c>
    </row>
    <row r="52" spans="1:6" x14ac:dyDescent="0.2">
      <c r="A52" s="7" t="s">
        <v>71</v>
      </c>
      <c r="B52" s="27" t="s">
        <v>693</v>
      </c>
      <c r="C52" s="27" t="s">
        <v>72</v>
      </c>
      <c r="D52" s="29">
        <v>1000</v>
      </c>
      <c r="E52" s="30">
        <v>88.892016999999996</v>
      </c>
      <c r="F52" s="30">
        <v>0.73828829954473729</v>
      </c>
    </row>
    <row r="53" spans="1:6" x14ac:dyDescent="0.2">
      <c r="A53" s="7" t="s">
        <v>73</v>
      </c>
      <c r="B53" s="27" t="s">
        <v>694</v>
      </c>
      <c r="C53" s="27" t="s">
        <v>631</v>
      </c>
      <c r="D53" s="29">
        <v>16010</v>
      </c>
      <c r="E53" s="30">
        <v>82.133595799999995</v>
      </c>
      <c r="F53" s="30">
        <v>0.68215656281797243</v>
      </c>
    </row>
    <row r="54" spans="1:6" x14ac:dyDescent="0.2">
      <c r="A54" s="7" t="s">
        <v>61</v>
      </c>
      <c r="B54" s="27" t="s">
        <v>695</v>
      </c>
      <c r="C54" s="27" t="s">
        <v>37</v>
      </c>
      <c r="D54" s="29">
        <v>16000</v>
      </c>
      <c r="E54" s="30">
        <v>47.6714974</v>
      </c>
      <c r="F54" s="30">
        <v>0.39593329007482603</v>
      </c>
    </row>
    <row r="55" spans="1:6" x14ac:dyDescent="0.2">
      <c r="A55" s="7" t="s">
        <v>57</v>
      </c>
      <c r="B55" s="27" t="s">
        <v>696</v>
      </c>
      <c r="C55" s="27" t="s">
        <v>20</v>
      </c>
      <c r="D55" s="29">
        <v>10000</v>
      </c>
      <c r="E55" s="30">
        <v>29.110275000000001</v>
      </c>
      <c r="F55" s="30">
        <v>0.24177396524852932</v>
      </c>
    </row>
    <row r="56" spans="1:6" x14ac:dyDescent="0.2">
      <c r="A56" s="28" t="s">
        <v>605</v>
      </c>
      <c r="B56" s="28" t="s">
        <v>637</v>
      </c>
      <c r="C56" s="28" t="s">
        <v>633</v>
      </c>
      <c r="D56" s="58">
        <v>9695</v>
      </c>
      <c r="E56" s="59">
        <v>0.91723639999999995</v>
      </c>
      <c r="F56" s="59">
        <v>7.6180620587846092E-3</v>
      </c>
    </row>
    <row r="57" spans="1:6" x14ac:dyDescent="0.2">
      <c r="A57" s="27" t="s">
        <v>59</v>
      </c>
      <c r="B57" s="27" t="s">
        <v>697</v>
      </c>
      <c r="C57" s="27" t="s">
        <v>60</v>
      </c>
      <c r="D57" s="29">
        <v>32</v>
      </c>
      <c r="E57" s="30">
        <v>7.0375699999999999E-2</v>
      </c>
      <c r="F57" s="32" t="s">
        <v>611</v>
      </c>
    </row>
    <row r="58" spans="1:6" x14ac:dyDescent="0.2">
      <c r="A58" s="6" t="s">
        <v>44</v>
      </c>
      <c r="B58" s="7"/>
      <c r="C58" s="7"/>
      <c r="D58" s="18"/>
      <c r="E58" s="20">
        <f>SUM(E23:E57)</f>
        <v>10002.246778999999</v>
      </c>
      <c r="F58" s="20">
        <f>SUM(F23:F57)</f>
        <v>83.072586917887719</v>
      </c>
    </row>
    <row r="59" spans="1:6" x14ac:dyDescent="0.2">
      <c r="A59" s="7"/>
      <c r="B59" s="7"/>
      <c r="C59" s="7"/>
      <c r="D59" s="18"/>
      <c r="E59" s="14"/>
      <c r="F59" s="14"/>
    </row>
    <row r="60" spans="1:6" x14ac:dyDescent="0.2">
      <c r="A60" s="6" t="s">
        <v>44</v>
      </c>
      <c r="B60" s="7"/>
      <c r="C60" s="7"/>
      <c r="D60" s="18"/>
      <c r="E60" s="20">
        <f>E20+E58</f>
        <v>11832.9890325</v>
      </c>
      <c r="F60" s="20">
        <f>F58+F20</f>
        <v>98.27772716395971</v>
      </c>
    </row>
    <row r="61" spans="1:6" x14ac:dyDescent="0.2">
      <c r="A61" s="7"/>
      <c r="B61" s="7"/>
      <c r="C61" s="7"/>
      <c r="D61" s="18"/>
      <c r="E61" s="14"/>
      <c r="F61" s="14"/>
    </row>
    <row r="62" spans="1:6" x14ac:dyDescent="0.2">
      <c r="A62" s="6" t="s">
        <v>76</v>
      </c>
      <c r="B62" s="7"/>
      <c r="C62" s="7"/>
      <c r="D62" s="18"/>
      <c r="E62" s="20">
        <v>207.29618600000001</v>
      </c>
      <c r="F62" s="20">
        <f t="shared" ref="F62" si="1">E62/$E$64*100</f>
        <v>1.7216883341059701</v>
      </c>
    </row>
    <row r="63" spans="1:6" x14ac:dyDescent="0.2">
      <c r="A63" s="7"/>
      <c r="B63" s="7"/>
      <c r="C63" s="7"/>
      <c r="D63" s="18"/>
      <c r="E63" s="14"/>
      <c r="F63" s="14"/>
    </row>
    <row r="64" spans="1:6" x14ac:dyDescent="0.2">
      <c r="A64" s="8" t="s">
        <v>77</v>
      </c>
      <c r="B64" s="5"/>
      <c r="C64" s="5"/>
      <c r="D64" s="17"/>
      <c r="E64" s="21">
        <f>E60+E62</f>
        <v>12040.285218499999</v>
      </c>
      <c r="F64" s="21">
        <f xml:space="preserve"> ROUND(SUM(F60:F63),2)</f>
        <v>100</v>
      </c>
    </row>
    <row r="65" spans="1:6" x14ac:dyDescent="0.2">
      <c r="A65" s="2"/>
      <c r="B65" s="2"/>
      <c r="C65" s="2"/>
      <c r="D65" s="2"/>
      <c r="E65" s="1"/>
      <c r="F65" s="11" t="s">
        <v>612</v>
      </c>
    </row>
    <row r="66" spans="1:6" x14ac:dyDescent="0.2">
      <c r="A66" s="4" t="s">
        <v>78</v>
      </c>
      <c r="B66" s="2"/>
      <c r="C66" s="2"/>
      <c r="D66" s="2"/>
      <c r="E66" s="1"/>
    </row>
    <row r="67" spans="1:6" x14ac:dyDescent="0.2">
      <c r="A67" s="4" t="s">
        <v>79</v>
      </c>
      <c r="B67" s="2"/>
      <c r="C67" s="2"/>
      <c r="D67" s="2"/>
      <c r="E67" s="1"/>
    </row>
    <row r="68" spans="1:6" x14ac:dyDescent="0.2">
      <c r="A68" s="4" t="s">
        <v>80</v>
      </c>
      <c r="B68" s="2"/>
      <c r="C68" s="2"/>
      <c r="D68" s="2"/>
      <c r="E68" s="1"/>
    </row>
    <row r="69" spans="1:6" x14ac:dyDescent="0.2">
      <c r="A69" s="2" t="s">
        <v>638</v>
      </c>
      <c r="B69" s="2"/>
      <c r="C69" s="2"/>
      <c r="D69" s="10">
        <v>21.722000000000001</v>
      </c>
      <c r="E69" s="2"/>
    </row>
    <row r="70" spans="1:6" x14ac:dyDescent="0.2">
      <c r="A70" s="2" t="s">
        <v>639</v>
      </c>
      <c r="B70" s="2"/>
      <c r="C70" s="2"/>
      <c r="D70" s="10">
        <v>12.7981</v>
      </c>
      <c r="E70" s="2"/>
    </row>
    <row r="71" spans="1:6" x14ac:dyDescent="0.2">
      <c r="A71" s="2" t="s">
        <v>640</v>
      </c>
      <c r="B71" s="2"/>
      <c r="C71" s="2"/>
      <c r="D71" s="10">
        <v>22.607900000000001</v>
      </c>
      <c r="E71" s="2"/>
    </row>
    <row r="72" spans="1:6" x14ac:dyDescent="0.2">
      <c r="A72" s="2" t="s">
        <v>641</v>
      </c>
      <c r="B72" s="2"/>
      <c r="C72" s="2"/>
      <c r="D72" s="10">
        <v>13.3728</v>
      </c>
      <c r="E72" s="2"/>
    </row>
    <row r="73" spans="1:6" x14ac:dyDescent="0.2">
      <c r="A73" s="2"/>
      <c r="B73" s="2"/>
      <c r="C73" s="2"/>
      <c r="D73" s="10"/>
      <c r="E73" s="2"/>
    </row>
    <row r="74" spans="1:6" x14ac:dyDescent="0.2">
      <c r="A74" s="4" t="s">
        <v>81</v>
      </c>
      <c r="B74" s="2"/>
      <c r="C74" s="2"/>
      <c r="D74" s="2"/>
      <c r="E74" s="2"/>
    </row>
    <row r="75" spans="1:6" x14ac:dyDescent="0.2">
      <c r="A75" s="2" t="s">
        <v>638</v>
      </c>
      <c r="B75" s="2"/>
      <c r="C75" s="2"/>
      <c r="D75" s="10">
        <v>21.802299999999999</v>
      </c>
      <c r="E75" s="2"/>
    </row>
    <row r="76" spans="1:6" x14ac:dyDescent="0.2">
      <c r="A76" s="2" t="s">
        <v>639</v>
      </c>
      <c r="B76" s="2"/>
      <c r="C76" s="2"/>
      <c r="D76" s="10">
        <v>12.8454</v>
      </c>
      <c r="E76" s="2"/>
    </row>
    <row r="77" spans="1:6" x14ac:dyDescent="0.2">
      <c r="A77" s="2" t="s">
        <v>640</v>
      </c>
      <c r="B77" s="2"/>
      <c r="C77" s="2"/>
      <c r="D77" s="10">
        <v>22.747499999999999</v>
      </c>
      <c r="E77" s="2"/>
    </row>
    <row r="78" spans="1:6" x14ac:dyDescent="0.2">
      <c r="A78" s="2" t="s">
        <v>641</v>
      </c>
      <c r="B78" s="2"/>
      <c r="C78" s="2"/>
      <c r="D78" s="10">
        <v>13.451000000000001</v>
      </c>
      <c r="E78" s="2"/>
    </row>
    <row r="79" spans="1:6" x14ac:dyDescent="0.2">
      <c r="A79" s="2"/>
      <c r="B79" s="2"/>
      <c r="C79" s="2"/>
      <c r="D79" s="2"/>
      <c r="E79" s="1"/>
    </row>
    <row r="80" spans="1:6" x14ac:dyDescent="0.2">
      <c r="A80" s="4" t="s">
        <v>82</v>
      </c>
      <c r="B80" s="2"/>
      <c r="C80" s="2"/>
      <c r="D80" s="44" t="s">
        <v>83</v>
      </c>
      <c r="E80" s="1"/>
    </row>
    <row r="81" spans="1:5" x14ac:dyDescent="0.2">
      <c r="A81" s="4"/>
      <c r="B81" s="2"/>
      <c r="C81" s="2"/>
      <c r="D81" s="44"/>
      <c r="E81" s="1"/>
    </row>
    <row r="82" spans="1:5" x14ac:dyDescent="0.2">
      <c r="A82" s="9" t="s">
        <v>646</v>
      </c>
      <c r="B82" s="2"/>
      <c r="C82" s="2"/>
      <c r="D82" s="51">
        <v>7.5989752452478826E-2</v>
      </c>
      <c r="E82" s="1"/>
    </row>
    <row r="83" spans="1:5" x14ac:dyDescent="0.2">
      <c r="A83" s="2"/>
      <c r="B83" s="2"/>
      <c r="C83" s="2"/>
      <c r="D83" s="2"/>
      <c r="E83" s="1"/>
    </row>
    <row r="84" spans="1:5" x14ac:dyDescent="0.2">
      <c r="A84" s="2"/>
      <c r="B84" s="2"/>
      <c r="C84" s="2"/>
      <c r="D84" s="2"/>
      <c r="E84" s="1"/>
    </row>
    <row r="85" spans="1:5" x14ac:dyDescent="0.2">
      <c r="A85" s="2"/>
      <c r="B85" s="2"/>
      <c r="C85" s="2"/>
      <c r="D85" s="2"/>
      <c r="E85" s="1"/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61050-08A8-45C3-9523-7C59D159780F}">
  <dimension ref="A1:G122"/>
  <sheetViews>
    <sheetView showGridLines="0" workbookViewId="0">
      <selection sqref="A1:G1"/>
    </sheetView>
  </sheetViews>
  <sheetFormatPr defaultRowHeight="11.25" x14ac:dyDescent="0.2"/>
  <cols>
    <col min="1" max="1" width="59.42578125" style="1" bestFit="1" customWidth="1"/>
    <col min="2" max="2" width="44.42578125" style="1" bestFit="1" customWidth="1"/>
    <col min="3" max="3" width="35.7109375" style="1" bestFit="1" customWidth="1"/>
    <col min="4" max="4" width="9.85546875" style="19" bestFit="1" customWidth="1"/>
    <col min="5" max="5" width="24" style="15" bestFit="1" customWidth="1"/>
    <col min="6" max="6" width="14.140625" style="15" bestFit="1" customWidth="1"/>
    <col min="7" max="7" width="14.140625" style="15" customWidth="1"/>
    <col min="8" max="16384" width="9.140625" style="2"/>
  </cols>
  <sheetData>
    <row r="1" spans="1:7" x14ac:dyDescent="0.2">
      <c r="A1" s="99" t="s">
        <v>371</v>
      </c>
      <c r="B1" s="99"/>
      <c r="C1" s="99"/>
      <c r="D1" s="99"/>
      <c r="E1" s="99"/>
      <c r="F1" s="99"/>
      <c r="G1" s="99"/>
    </row>
    <row r="3" spans="1:7" s="4" customFormat="1" x14ac:dyDescent="0.2">
      <c r="A3" s="3" t="s">
        <v>1</v>
      </c>
      <c r="B3" s="3" t="s">
        <v>2</v>
      </c>
      <c r="C3" s="3" t="s">
        <v>3</v>
      </c>
      <c r="D3" s="16" t="s">
        <v>4</v>
      </c>
      <c r="E3" s="12" t="s">
        <v>5</v>
      </c>
      <c r="F3" s="12" t="s">
        <v>6</v>
      </c>
      <c r="G3" s="104" t="s">
        <v>622</v>
      </c>
    </row>
    <row r="4" spans="1:7" x14ac:dyDescent="0.2">
      <c r="A4" s="5"/>
      <c r="B4" s="5"/>
      <c r="C4" s="5"/>
      <c r="D4" s="17"/>
      <c r="E4" s="13"/>
      <c r="F4" s="13"/>
      <c r="G4" s="105"/>
    </row>
    <row r="5" spans="1:7" x14ac:dyDescent="0.2">
      <c r="A5" s="6" t="s">
        <v>7</v>
      </c>
      <c r="B5" s="7"/>
      <c r="C5" s="7"/>
      <c r="D5" s="18"/>
      <c r="E5" s="14"/>
      <c r="F5" s="14"/>
      <c r="G5" s="14"/>
    </row>
    <row r="6" spans="1:7" x14ac:dyDescent="0.2">
      <c r="A6" s="6" t="s">
        <v>8</v>
      </c>
      <c r="B6" s="7"/>
      <c r="C6" s="7"/>
      <c r="D6" s="18"/>
      <c r="E6" s="14"/>
      <c r="F6" s="14"/>
      <c r="G6" s="14"/>
    </row>
    <row r="7" spans="1:7" x14ac:dyDescent="0.2">
      <c r="A7" s="6"/>
      <c r="B7" s="7"/>
      <c r="C7" s="7"/>
      <c r="D7" s="18"/>
      <c r="E7" s="14"/>
      <c r="F7" s="14"/>
      <c r="G7" s="14"/>
    </row>
    <row r="8" spans="1:7" x14ac:dyDescent="0.2">
      <c r="A8" s="7" t="s">
        <v>337</v>
      </c>
      <c r="B8" s="7" t="s">
        <v>338</v>
      </c>
      <c r="C8" s="7" t="s">
        <v>96</v>
      </c>
      <c r="D8" s="18">
        <v>157500</v>
      </c>
      <c r="E8" s="14">
        <v>1966.4662499999999</v>
      </c>
      <c r="F8" s="14">
        <f>E8/$E$81*100</f>
        <v>6.8024348971169646</v>
      </c>
      <c r="G8" s="14">
        <v>-6.8283141696821854</v>
      </c>
    </row>
    <row r="9" spans="1:7" x14ac:dyDescent="0.2">
      <c r="A9" s="7" t="s">
        <v>97</v>
      </c>
      <c r="B9" s="7" t="s">
        <v>98</v>
      </c>
      <c r="C9" s="7" t="s">
        <v>12</v>
      </c>
      <c r="D9" s="18">
        <v>220200</v>
      </c>
      <c r="E9" s="14">
        <v>1461.9078</v>
      </c>
      <c r="F9" s="14">
        <f t="shared" ref="F9:F57" si="0">E9/$E$81*100</f>
        <v>5.0570573662718532</v>
      </c>
      <c r="G9" s="14">
        <v>-2.2327749079926829</v>
      </c>
    </row>
    <row r="10" spans="1:7" x14ac:dyDescent="0.2">
      <c r="A10" s="7" t="s">
        <v>339</v>
      </c>
      <c r="B10" s="7" t="s">
        <v>340</v>
      </c>
      <c r="C10" s="7" t="s">
        <v>28</v>
      </c>
      <c r="D10" s="18">
        <v>50000</v>
      </c>
      <c r="E10" s="14">
        <v>1083.2249999999999</v>
      </c>
      <c r="F10" s="14">
        <f t="shared" si="0"/>
        <v>3.7471111143806932</v>
      </c>
      <c r="G10" s="14">
        <v>-3.7583535719695949</v>
      </c>
    </row>
    <row r="11" spans="1:7" x14ac:dyDescent="0.2">
      <c r="A11" s="7" t="s">
        <v>341</v>
      </c>
      <c r="B11" s="7" t="s">
        <v>342</v>
      </c>
      <c r="C11" s="7" t="s">
        <v>37</v>
      </c>
      <c r="D11" s="18">
        <v>56100</v>
      </c>
      <c r="E11" s="14">
        <v>1055.7458999999999</v>
      </c>
      <c r="F11" s="14">
        <f t="shared" si="0"/>
        <v>3.6520549247403342</v>
      </c>
      <c r="G11" s="14">
        <v>-3.6560331980788328</v>
      </c>
    </row>
    <row r="12" spans="1:7" x14ac:dyDescent="0.2">
      <c r="A12" s="7" t="s">
        <v>343</v>
      </c>
      <c r="B12" s="7" t="s">
        <v>344</v>
      </c>
      <c r="C12" s="7" t="s">
        <v>28</v>
      </c>
      <c r="D12" s="18">
        <v>25000</v>
      </c>
      <c r="E12" s="14">
        <v>833.125</v>
      </c>
      <c r="F12" s="14">
        <f t="shared" si="0"/>
        <v>2.8819607626932684</v>
      </c>
      <c r="G12" s="14">
        <v>-2.8912141700933645</v>
      </c>
    </row>
    <row r="13" spans="1:7" x14ac:dyDescent="0.2">
      <c r="A13" s="7" t="s">
        <v>10</v>
      </c>
      <c r="B13" s="7" t="s">
        <v>11</v>
      </c>
      <c r="C13" s="7" t="s">
        <v>12</v>
      </c>
      <c r="D13" s="18">
        <v>35799</v>
      </c>
      <c r="E13" s="14">
        <v>797.5838205</v>
      </c>
      <c r="F13" s="14">
        <f t="shared" si="0"/>
        <v>2.7590160847891863</v>
      </c>
      <c r="G13" s="14"/>
    </row>
    <row r="14" spans="1:7" x14ac:dyDescent="0.2">
      <c r="A14" s="7" t="s">
        <v>156</v>
      </c>
      <c r="B14" s="7" t="s">
        <v>157</v>
      </c>
      <c r="C14" s="7" t="s">
        <v>64</v>
      </c>
      <c r="D14" s="18">
        <v>82195</v>
      </c>
      <c r="E14" s="14">
        <v>669.80705499999999</v>
      </c>
      <c r="F14" s="14">
        <f t="shared" si="0"/>
        <v>2.317008433410511</v>
      </c>
      <c r="G14" s="14">
        <v>-0.84920335799978464</v>
      </c>
    </row>
    <row r="15" spans="1:7" x14ac:dyDescent="0.2">
      <c r="A15" s="7" t="s">
        <v>345</v>
      </c>
      <c r="B15" s="7" t="s">
        <v>346</v>
      </c>
      <c r="C15" s="7" t="s">
        <v>72</v>
      </c>
      <c r="D15" s="18">
        <v>58500</v>
      </c>
      <c r="E15" s="14">
        <v>646.48350000000005</v>
      </c>
      <c r="F15" s="14">
        <f t="shared" si="0"/>
        <v>2.2363271786690038</v>
      </c>
      <c r="G15" s="14">
        <v>-2.2464453904990145</v>
      </c>
    </row>
    <row r="16" spans="1:7" x14ac:dyDescent="0.2">
      <c r="A16" s="7" t="s">
        <v>21</v>
      </c>
      <c r="B16" s="7" t="s">
        <v>22</v>
      </c>
      <c r="C16" s="7" t="s">
        <v>12</v>
      </c>
      <c r="D16" s="18">
        <v>42087</v>
      </c>
      <c r="E16" s="14">
        <v>602.4543615</v>
      </c>
      <c r="F16" s="14">
        <f t="shared" si="0"/>
        <v>2.0840208025883582</v>
      </c>
      <c r="G16" s="14"/>
    </row>
    <row r="17" spans="1:7" x14ac:dyDescent="0.2">
      <c r="A17" s="7" t="s">
        <v>146</v>
      </c>
      <c r="B17" s="7" t="s">
        <v>147</v>
      </c>
      <c r="C17" s="7" t="s">
        <v>12</v>
      </c>
      <c r="D17" s="18">
        <v>784000</v>
      </c>
      <c r="E17" s="14">
        <v>508.81599999999997</v>
      </c>
      <c r="F17" s="14">
        <f t="shared" si="0"/>
        <v>1.7601053232474573</v>
      </c>
      <c r="G17" s="14">
        <v>-1.7614613365935654</v>
      </c>
    </row>
    <row r="18" spans="1:7" x14ac:dyDescent="0.2">
      <c r="A18" s="7" t="s">
        <v>172</v>
      </c>
      <c r="B18" s="7" t="s">
        <v>173</v>
      </c>
      <c r="C18" s="7" t="s">
        <v>53</v>
      </c>
      <c r="D18" s="18">
        <v>63712</v>
      </c>
      <c r="E18" s="14">
        <v>452.960464</v>
      </c>
      <c r="F18" s="14">
        <f t="shared" si="0"/>
        <v>1.5668888633750477</v>
      </c>
      <c r="G18" s="14"/>
    </row>
    <row r="19" spans="1:7" x14ac:dyDescent="0.2">
      <c r="A19" s="7" t="s">
        <v>174</v>
      </c>
      <c r="B19" s="7" t="s">
        <v>175</v>
      </c>
      <c r="C19" s="7" t="s">
        <v>53</v>
      </c>
      <c r="D19" s="18">
        <v>215000</v>
      </c>
      <c r="E19" s="14">
        <v>435.05250000000001</v>
      </c>
      <c r="F19" s="14">
        <f t="shared" si="0"/>
        <v>1.5049413169831816</v>
      </c>
      <c r="G19" s="14">
        <v>-1.5101474396512728</v>
      </c>
    </row>
    <row r="20" spans="1:7" x14ac:dyDescent="0.2">
      <c r="A20" s="7" t="s">
        <v>85</v>
      </c>
      <c r="B20" s="7" t="s">
        <v>86</v>
      </c>
      <c r="C20" s="7" t="s">
        <v>12</v>
      </c>
      <c r="D20" s="18">
        <v>95061</v>
      </c>
      <c r="E20" s="14">
        <v>389.41738650000002</v>
      </c>
      <c r="F20" s="14">
        <f t="shared" si="0"/>
        <v>1.3470795237252025</v>
      </c>
      <c r="G20" s="14"/>
    </row>
    <row r="21" spans="1:7" x14ac:dyDescent="0.2">
      <c r="A21" s="7" t="s">
        <v>347</v>
      </c>
      <c r="B21" s="7" t="s">
        <v>348</v>
      </c>
      <c r="C21" s="7" t="s">
        <v>37</v>
      </c>
      <c r="D21" s="18">
        <v>24000</v>
      </c>
      <c r="E21" s="14">
        <v>387.88799999999998</v>
      </c>
      <c r="F21" s="14">
        <f t="shared" si="0"/>
        <v>1.3417890428441908</v>
      </c>
      <c r="G21" s="14">
        <v>-1.3463967208467809</v>
      </c>
    </row>
    <row r="22" spans="1:7" x14ac:dyDescent="0.2">
      <c r="A22" s="7" t="s">
        <v>189</v>
      </c>
      <c r="B22" s="7" t="s">
        <v>190</v>
      </c>
      <c r="C22" s="7" t="s">
        <v>28</v>
      </c>
      <c r="D22" s="18">
        <v>86040</v>
      </c>
      <c r="E22" s="14">
        <v>387.35208</v>
      </c>
      <c r="F22" s="14">
        <f t="shared" si="0"/>
        <v>1.3399351788838696</v>
      </c>
      <c r="G22" s="14"/>
    </row>
    <row r="23" spans="1:7" x14ac:dyDescent="0.2">
      <c r="A23" s="7" t="s">
        <v>89</v>
      </c>
      <c r="B23" s="7" t="s">
        <v>90</v>
      </c>
      <c r="C23" s="7" t="s">
        <v>43</v>
      </c>
      <c r="D23" s="18">
        <v>108461</v>
      </c>
      <c r="E23" s="14">
        <v>376.14274799999998</v>
      </c>
      <c r="F23" s="14">
        <f t="shared" si="0"/>
        <v>1.3011596590038972</v>
      </c>
      <c r="G23" s="14">
        <v>-0.2225686970885096</v>
      </c>
    </row>
    <row r="24" spans="1:7" x14ac:dyDescent="0.2">
      <c r="A24" s="7" t="s">
        <v>178</v>
      </c>
      <c r="B24" s="7" t="s">
        <v>179</v>
      </c>
      <c r="C24" s="7" t="s">
        <v>162</v>
      </c>
      <c r="D24" s="18">
        <v>148800</v>
      </c>
      <c r="E24" s="14">
        <v>335.17200000000003</v>
      </c>
      <c r="F24" s="14">
        <f t="shared" si="0"/>
        <v>1.1594329215344974</v>
      </c>
      <c r="G24" s="14">
        <v>-1.1638081401063258</v>
      </c>
    </row>
    <row r="25" spans="1:7" x14ac:dyDescent="0.2">
      <c r="A25" s="7" t="s">
        <v>253</v>
      </c>
      <c r="B25" s="7" t="s">
        <v>254</v>
      </c>
      <c r="C25" s="7" t="s">
        <v>40</v>
      </c>
      <c r="D25" s="18">
        <v>516000</v>
      </c>
      <c r="E25" s="14">
        <v>332.56200000000001</v>
      </c>
      <c r="F25" s="14">
        <f t="shared" si="0"/>
        <v>1.15040436328618</v>
      </c>
      <c r="G25" s="14">
        <v>-1.1566517104878895</v>
      </c>
    </row>
    <row r="26" spans="1:7" x14ac:dyDescent="0.2">
      <c r="A26" s="7" t="s">
        <v>101</v>
      </c>
      <c r="B26" s="7" t="s">
        <v>102</v>
      </c>
      <c r="C26" s="7" t="s">
        <v>103</v>
      </c>
      <c r="D26" s="18">
        <v>123156</v>
      </c>
      <c r="E26" s="14">
        <v>328.64178600000002</v>
      </c>
      <c r="F26" s="14">
        <f t="shared" si="0"/>
        <v>1.1368434895525137</v>
      </c>
      <c r="G26" s="14"/>
    </row>
    <row r="27" spans="1:7" x14ac:dyDescent="0.2">
      <c r="A27" s="7" t="s">
        <v>195</v>
      </c>
      <c r="B27" s="7" t="s">
        <v>196</v>
      </c>
      <c r="C27" s="7" t="s">
        <v>37</v>
      </c>
      <c r="D27" s="18">
        <v>25287</v>
      </c>
      <c r="E27" s="14">
        <v>322.2954585</v>
      </c>
      <c r="F27" s="14">
        <f t="shared" si="0"/>
        <v>1.1148901610097361</v>
      </c>
      <c r="G27" s="14"/>
    </row>
    <row r="28" spans="1:7" x14ac:dyDescent="0.2">
      <c r="A28" s="7" t="s">
        <v>349</v>
      </c>
      <c r="B28" s="7" t="s">
        <v>350</v>
      </c>
      <c r="C28" s="7" t="s">
        <v>12</v>
      </c>
      <c r="D28" s="18">
        <v>342000</v>
      </c>
      <c r="E28" s="14">
        <v>316.69200000000001</v>
      </c>
      <c r="F28" s="14">
        <f t="shared" si="0"/>
        <v>1.0955065780751465</v>
      </c>
      <c r="G28" s="14">
        <v>-1.0978726829953953</v>
      </c>
    </row>
    <row r="29" spans="1:7" x14ac:dyDescent="0.2">
      <c r="A29" s="7" t="s">
        <v>351</v>
      </c>
      <c r="B29" s="7" t="s">
        <v>352</v>
      </c>
      <c r="C29" s="7" t="s">
        <v>37</v>
      </c>
      <c r="D29" s="18">
        <v>120000</v>
      </c>
      <c r="E29" s="14">
        <v>294.77999999999997</v>
      </c>
      <c r="F29" s="14">
        <f t="shared" si="0"/>
        <v>1.0197081994019161</v>
      </c>
      <c r="G29" s="14">
        <v>-1.023651707602331</v>
      </c>
    </row>
    <row r="30" spans="1:7" x14ac:dyDescent="0.2">
      <c r="A30" s="7" t="s">
        <v>193</v>
      </c>
      <c r="B30" s="7" t="s">
        <v>194</v>
      </c>
      <c r="C30" s="7" t="s">
        <v>103</v>
      </c>
      <c r="D30" s="18">
        <v>132933</v>
      </c>
      <c r="E30" s="14">
        <v>292.25320049999999</v>
      </c>
      <c r="F30" s="14">
        <f t="shared" si="0"/>
        <v>1.0109674497974837</v>
      </c>
      <c r="G30" s="14"/>
    </row>
    <row r="31" spans="1:7" x14ac:dyDescent="0.2">
      <c r="A31" s="7" t="s">
        <v>199</v>
      </c>
      <c r="B31" s="7" t="s">
        <v>200</v>
      </c>
      <c r="C31" s="7" t="s">
        <v>93</v>
      </c>
      <c r="D31" s="18">
        <v>145523</v>
      </c>
      <c r="E31" s="14">
        <v>291.77361500000001</v>
      </c>
      <c r="F31" s="14">
        <f t="shared" si="0"/>
        <v>1.009308459137791</v>
      </c>
      <c r="G31" s="14"/>
    </row>
    <row r="32" spans="1:7" x14ac:dyDescent="0.2">
      <c r="A32" s="7" t="s">
        <v>212</v>
      </c>
      <c r="B32" s="7" t="s">
        <v>213</v>
      </c>
      <c r="C32" s="7" t="s">
        <v>96</v>
      </c>
      <c r="D32" s="18">
        <v>110000</v>
      </c>
      <c r="E32" s="14">
        <v>286.16500000000002</v>
      </c>
      <c r="F32" s="14">
        <f t="shared" si="0"/>
        <v>0.98990703874702968</v>
      </c>
      <c r="G32" s="14"/>
    </row>
    <row r="33" spans="1:7" x14ac:dyDescent="0.2">
      <c r="A33" s="7" t="s">
        <v>23</v>
      </c>
      <c r="B33" s="7" t="s">
        <v>24</v>
      </c>
      <c r="C33" s="7" t="s">
        <v>25</v>
      </c>
      <c r="D33" s="18">
        <v>150335</v>
      </c>
      <c r="E33" s="14">
        <v>277.29290750000001</v>
      </c>
      <c r="F33" s="14">
        <f t="shared" si="0"/>
        <v>0.95921653916055083</v>
      </c>
      <c r="G33" s="14"/>
    </row>
    <row r="34" spans="1:7" x14ac:dyDescent="0.2">
      <c r="A34" s="7" t="s">
        <v>87</v>
      </c>
      <c r="B34" s="7" t="s">
        <v>88</v>
      </c>
      <c r="C34" s="7" t="s">
        <v>12</v>
      </c>
      <c r="D34" s="18">
        <v>97218</v>
      </c>
      <c r="E34" s="14">
        <v>266.231493</v>
      </c>
      <c r="F34" s="14">
        <f t="shared" si="0"/>
        <v>0.92095269811762648</v>
      </c>
      <c r="G34" s="14"/>
    </row>
    <row r="35" spans="1:7" x14ac:dyDescent="0.2">
      <c r="A35" s="7" t="s">
        <v>176</v>
      </c>
      <c r="B35" s="7" t="s">
        <v>177</v>
      </c>
      <c r="C35" s="7" t="s">
        <v>37</v>
      </c>
      <c r="D35" s="18">
        <v>18456</v>
      </c>
      <c r="E35" s="14">
        <v>253.225548</v>
      </c>
      <c r="F35" s="14">
        <f t="shared" si="0"/>
        <v>0.87596230271267916</v>
      </c>
      <c r="G35" s="14"/>
    </row>
    <row r="36" spans="1:7" x14ac:dyDescent="0.2">
      <c r="A36" s="7" t="s">
        <v>224</v>
      </c>
      <c r="B36" s="7" t="s">
        <v>225</v>
      </c>
      <c r="C36" s="7" t="s">
        <v>37</v>
      </c>
      <c r="D36" s="18">
        <v>1902</v>
      </c>
      <c r="E36" s="14">
        <v>244.886304</v>
      </c>
      <c r="F36" s="14">
        <f t="shared" si="0"/>
        <v>0.84711504209929545</v>
      </c>
      <c r="G36" s="14"/>
    </row>
    <row r="37" spans="1:7" x14ac:dyDescent="0.2">
      <c r="A37" s="7" t="s">
        <v>353</v>
      </c>
      <c r="B37" s="7" t="s">
        <v>354</v>
      </c>
      <c r="C37" s="7" t="s">
        <v>162</v>
      </c>
      <c r="D37" s="18">
        <v>40000</v>
      </c>
      <c r="E37" s="14">
        <v>240.28</v>
      </c>
      <c r="F37" s="14">
        <f t="shared" si="0"/>
        <v>0.83118083368034623</v>
      </c>
      <c r="G37" s="14">
        <v>-0.83540107929833385</v>
      </c>
    </row>
    <row r="38" spans="1:7" x14ac:dyDescent="0.2">
      <c r="A38" s="7" t="s">
        <v>91</v>
      </c>
      <c r="B38" s="7" t="s">
        <v>92</v>
      </c>
      <c r="C38" s="7" t="s">
        <v>93</v>
      </c>
      <c r="D38" s="18">
        <v>183537</v>
      </c>
      <c r="E38" s="14">
        <v>223.2727605</v>
      </c>
      <c r="F38" s="14">
        <f t="shared" si="0"/>
        <v>0.77234908943941361</v>
      </c>
      <c r="G38" s="14"/>
    </row>
    <row r="39" spans="1:7" x14ac:dyDescent="0.2">
      <c r="A39" s="7" t="s">
        <v>163</v>
      </c>
      <c r="B39" s="7" t="s">
        <v>164</v>
      </c>
      <c r="C39" s="7" t="s">
        <v>40</v>
      </c>
      <c r="D39" s="18">
        <v>40438</v>
      </c>
      <c r="E39" s="14">
        <v>213.83614399999999</v>
      </c>
      <c r="F39" s="14">
        <f t="shared" si="0"/>
        <v>0.73970577842896024</v>
      </c>
      <c r="G39" s="14"/>
    </row>
    <row r="40" spans="1:7" x14ac:dyDescent="0.2">
      <c r="A40" s="7" t="s">
        <v>235</v>
      </c>
      <c r="B40" s="7" t="s">
        <v>236</v>
      </c>
      <c r="C40" s="7" t="s">
        <v>64</v>
      </c>
      <c r="D40" s="18">
        <v>29733</v>
      </c>
      <c r="E40" s="14">
        <v>206.2429545</v>
      </c>
      <c r="F40" s="14">
        <f t="shared" si="0"/>
        <v>0.71343928276181001</v>
      </c>
      <c r="G40" s="14"/>
    </row>
    <row r="41" spans="1:7" x14ac:dyDescent="0.2">
      <c r="A41" s="7" t="s">
        <v>160</v>
      </c>
      <c r="B41" s="7" t="s">
        <v>161</v>
      </c>
      <c r="C41" s="7" t="s">
        <v>162</v>
      </c>
      <c r="D41" s="18">
        <v>7942</v>
      </c>
      <c r="E41" s="14">
        <v>203.11664999999999</v>
      </c>
      <c r="F41" s="14">
        <f t="shared" si="0"/>
        <v>0.70262471483835154</v>
      </c>
      <c r="G41" s="14"/>
    </row>
    <row r="42" spans="1:7" x14ac:dyDescent="0.2">
      <c r="A42" s="7" t="s">
        <v>229</v>
      </c>
      <c r="B42" s="7" t="s">
        <v>230</v>
      </c>
      <c r="C42" s="7" t="s">
        <v>12</v>
      </c>
      <c r="D42" s="18">
        <v>100633</v>
      </c>
      <c r="E42" s="14">
        <v>201.165367</v>
      </c>
      <c r="F42" s="14">
        <f t="shared" si="0"/>
        <v>0.69587480210867658</v>
      </c>
      <c r="G42" s="14"/>
    </row>
    <row r="43" spans="1:7" x14ac:dyDescent="0.2">
      <c r="A43" s="7" t="s">
        <v>261</v>
      </c>
      <c r="B43" s="7" t="s">
        <v>262</v>
      </c>
      <c r="C43" s="7" t="s">
        <v>37</v>
      </c>
      <c r="D43" s="18">
        <v>41250</v>
      </c>
      <c r="E43" s="14">
        <v>185.13</v>
      </c>
      <c r="F43" s="14">
        <f t="shared" si="0"/>
        <v>0.64040497644099592</v>
      </c>
      <c r="G43" s="14">
        <v>-0.64325883105971715</v>
      </c>
    </row>
    <row r="44" spans="1:7" x14ac:dyDescent="0.2">
      <c r="A44" s="7" t="s">
        <v>197</v>
      </c>
      <c r="B44" s="7" t="s">
        <v>198</v>
      </c>
      <c r="C44" s="7" t="s">
        <v>93</v>
      </c>
      <c r="D44" s="18">
        <v>317938</v>
      </c>
      <c r="E44" s="14">
        <v>180.42981499999999</v>
      </c>
      <c r="F44" s="14">
        <f t="shared" si="0"/>
        <v>0.62414601320330709</v>
      </c>
      <c r="G44" s="14"/>
    </row>
    <row r="45" spans="1:7" x14ac:dyDescent="0.2">
      <c r="A45" s="7" t="s">
        <v>16</v>
      </c>
      <c r="B45" s="7" t="s">
        <v>17</v>
      </c>
      <c r="C45" s="7" t="s">
        <v>633</v>
      </c>
      <c r="D45" s="18">
        <v>122059</v>
      </c>
      <c r="E45" s="14">
        <v>169.66201000000001</v>
      </c>
      <c r="F45" s="14">
        <f t="shared" si="0"/>
        <v>0.58689783134544393</v>
      </c>
      <c r="G45" s="14"/>
    </row>
    <row r="46" spans="1:7" x14ac:dyDescent="0.2">
      <c r="A46" s="7" t="s">
        <v>214</v>
      </c>
      <c r="B46" s="7" t="s">
        <v>215</v>
      </c>
      <c r="C46" s="7" t="s">
        <v>216</v>
      </c>
      <c r="D46" s="18">
        <v>92685</v>
      </c>
      <c r="E46" s="14">
        <v>158.7230625</v>
      </c>
      <c r="F46" s="14">
        <f t="shared" si="0"/>
        <v>0.54905763031899324</v>
      </c>
      <c r="G46" s="14"/>
    </row>
    <row r="47" spans="1:7" x14ac:dyDescent="0.2">
      <c r="A47" s="7" t="s">
        <v>355</v>
      </c>
      <c r="B47" s="7" t="s">
        <v>356</v>
      </c>
      <c r="C47" s="7" t="s">
        <v>37</v>
      </c>
      <c r="D47" s="18">
        <v>41800</v>
      </c>
      <c r="E47" s="14">
        <v>154.3047</v>
      </c>
      <c r="F47" s="14">
        <f t="shared" si="0"/>
        <v>0.5337735524671039</v>
      </c>
      <c r="G47" s="14">
        <v>-0.53652086318005943</v>
      </c>
    </row>
    <row r="48" spans="1:7" x14ac:dyDescent="0.2">
      <c r="A48" s="7" t="s">
        <v>104</v>
      </c>
      <c r="B48" s="7" t="s">
        <v>105</v>
      </c>
      <c r="C48" s="7" t="s">
        <v>96</v>
      </c>
      <c r="D48" s="18">
        <v>121901</v>
      </c>
      <c r="E48" s="14">
        <v>149.2677745</v>
      </c>
      <c r="F48" s="14">
        <f t="shared" si="0"/>
        <v>0.51634973052488731</v>
      </c>
      <c r="G48" s="14"/>
    </row>
    <row r="49" spans="1:7" x14ac:dyDescent="0.2">
      <c r="A49" s="7" t="s">
        <v>201</v>
      </c>
      <c r="B49" s="7" t="s">
        <v>202</v>
      </c>
      <c r="C49" s="7" t="s">
        <v>28</v>
      </c>
      <c r="D49" s="18">
        <v>21957</v>
      </c>
      <c r="E49" s="14">
        <v>141.5238435</v>
      </c>
      <c r="F49" s="14">
        <f t="shared" si="0"/>
        <v>0.48956178718984872</v>
      </c>
      <c r="G49" s="14"/>
    </row>
    <row r="50" spans="1:7" x14ac:dyDescent="0.2">
      <c r="A50" s="7" t="s">
        <v>243</v>
      </c>
      <c r="B50" s="7" t="s">
        <v>244</v>
      </c>
      <c r="C50" s="7" t="s">
        <v>245</v>
      </c>
      <c r="D50" s="18">
        <v>38144</v>
      </c>
      <c r="E50" s="14">
        <v>131.55865600000001</v>
      </c>
      <c r="F50" s="14">
        <f t="shared" si="0"/>
        <v>0.45509003401009612</v>
      </c>
      <c r="G50" s="14"/>
    </row>
    <row r="51" spans="1:7" x14ac:dyDescent="0.2">
      <c r="A51" s="7" t="s">
        <v>38</v>
      </c>
      <c r="B51" s="7" t="s">
        <v>39</v>
      </c>
      <c r="C51" s="7" t="s">
        <v>40</v>
      </c>
      <c r="D51" s="18">
        <v>96169</v>
      </c>
      <c r="E51" s="14">
        <v>112.229223</v>
      </c>
      <c r="F51" s="14">
        <f t="shared" si="0"/>
        <v>0.38822531686547984</v>
      </c>
      <c r="G51" s="14"/>
    </row>
    <row r="52" spans="1:7" x14ac:dyDescent="0.2">
      <c r="A52" s="7" t="s">
        <v>217</v>
      </c>
      <c r="B52" s="7" t="s">
        <v>218</v>
      </c>
      <c r="C52" s="7" t="s">
        <v>31</v>
      </c>
      <c r="D52" s="18">
        <v>64953</v>
      </c>
      <c r="E52" s="14">
        <v>100.25495549999999</v>
      </c>
      <c r="F52" s="14">
        <f t="shared" si="0"/>
        <v>0.34680371854950898</v>
      </c>
      <c r="G52" s="14"/>
    </row>
    <row r="53" spans="1:7" x14ac:dyDescent="0.2">
      <c r="A53" s="7" t="s">
        <v>250</v>
      </c>
      <c r="B53" s="7" t="s">
        <v>251</v>
      </c>
      <c r="C53" s="7" t="s">
        <v>252</v>
      </c>
      <c r="D53" s="18">
        <v>76471</v>
      </c>
      <c r="E53" s="14">
        <v>96.391695499999997</v>
      </c>
      <c r="F53" s="14">
        <f t="shared" si="0"/>
        <v>0.33343986110184815</v>
      </c>
      <c r="G53" s="14"/>
    </row>
    <row r="54" spans="1:7" x14ac:dyDescent="0.2">
      <c r="A54" s="7" t="s">
        <v>320</v>
      </c>
      <c r="B54" s="7" t="s">
        <v>321</v>
      </c>
      <c r="C54" s="7" t="s">
        <v>40</v>
      </c>
      <c r="D54" s="18">
        <v>3091</v>
      </c>
      <c r="E54" s="14">
        <v>86.186352999999997</v>
      </c>
      <c r="F54" s="14">
        <f t="shared" si="0"/>
        <v>0.29813735949063014</v>
      </c>
      <c r="G54" s="14"/>
    </row>
    <row r="55" spans="1:7" x14ac:dyDescent="0.2">
      <c r="A55" s="7" t="s">
        <v>115</v>
      </c>
      <c r="B55" s="7" t="s">
        <v>116</v>
      </c>
      <c r="C55" s="7" t="s">
        <v>103</v>
      </c>
      <c r="D55" s="18">
        <v>47372</v>
      </c>
      <c r="E55" s="14">
        <v>61.488855999999998</v>
      </c>
      <c r="F55" s="14">
        <f t="shared" si="0"/>
        <v>0.2127033402369351</v>
      </c>
      <c r="G55" s="14"/>
    </row>
    <row r="56" spans="1:7" x14ac:dyDescent="0.2">
      <c r="A56" s="7" t="s">
        <v>357</v>
      </c>
      <c r="B56" s="7" t="s">
        <v>358</v>
      </c>
      <c r="C56" s="7" t="s">
        <v>28</v>
      </c>
      <c r="D56" s="18">
        <v>500</v>
      </c>
      <c r="E56" s="14">
        <v>35.597749999999998</v>
      </c>
      <c r="F56" s="14">
        <f t="shared" si="0"/>
        <v>0.12314036758009216</v>
      </c>
      <c r="G56" s="14">
        <v>-0.12359611951465764</v>
      </c>
    </row>
    <row r="57" spans="1:7" x14ac:dyDescent="0.2">
      <c r="A57" s="7" t="s">
        <v>123</v>
      </c>
      <c r="B57" s="7" t="s">
        <v>124</v>
      </c>
      <c r="C57" s="7" t="s">
        <v>28</v>
      </c>
      <c r="D57" s="18">
        <v>2500</v>
      </c>
      <c r="E57" s="14">
        <v>7.9987500000000002</v>
      </c>
      <c r="F57" s="14">
        <f t="shared" si="0"/>
        <v>2.766941773514512E-2</v>
      </c>
      <c r="G57" s="14">
        <v>-2.7738602089538371E-2</v>
      </c>
    </row>
    <row r="58" spans="1:7" x14ac:dyDescent="0.2">
      <c r="A58" s="6" t="s">
        <v>44</v>
      </c>
      <c r="B58" s="7"/>
      <c r="C58" s="7"/>
      <c r="D58" s="18"/>
      <c r="E58" s="20">
        <f xml:space="preserve"> SUM(E8:E57)</f>
        <v>18955.060498500006</v>
      </c>
      <c r="F58" s="20">
        <f>SUM(F8:F57)</f>
        <v>65.569681153673343</v>
      </c>
      <c r="G58" s="20">
        <f>SUM(G8:G57)</f>
        <v>-33.911412696829828</v>
      </c>
    </row>
    <row r="59" spans="1:7" x14ac:dyDescent="0.2">
      <c r="A59" s="6"/>
      <c r="B59" s="7"/>
      <c r="C59" s="7"/>
      <c r="D59" s="18"/>
      <c r="E59" s="20"/>
      <c r="F59" s="20"/>
      <c r="G59" s="20"/>
    </row>
    <row r="60" spans="1:7" x14ac:dyDescent="0.2">
      <c r="A60" s="38" t="s">
        <v>621</v>
      </c>
      <c r="B60" s="39"/>
      <c r="C60" s="40"/>
      <c r="D60" s="41"/>
      <c r="E60" s="42"/>
      <c r="F60" s="42"/>
      <c r="G60" s="42"/>
    </row>
    <row r="61" spans="1:7" x14ac:dyDescent="0.2">
      <c r="A61" s="39" t="s">
        <v>616</v>
      </c>
      <c r="B61" s="39" t="s">
        <v>595</v>
      </c>
      <c r="C61" s="40"/>
      <c r="D61" s="39">
        <v>62000</v>
      </c>
      <c r="E61" s="43">
        <v>242.75479999999999</v>
      </c>
      <c r="F61" s="14">
        <f t="shared" ref="F61" si="1">E61/$E$81*100</f>
        <v>0.83974170569296525</v>
      </c>
      <c r="G61" s="14"/>
    </row>
    <row r="62" spans="1:7" x14ac:dyDescent="0.2">
      <c r="A62" s="38" t="s">
        <v>44</v>
      </c>
      <c r="B62" s="39"/>
      <c r="C62" s="40"/>
      <c r="D62" s="41"/>
      <c r="E62" s="42">
        <f>E61</f>
        <v>242.75479999999999</v>
      </c>
      <c r="F62" s="42">
        <f>F61</f>
        <v>0.83974170569296525</v>
      </c>
      <c r="G62" s="42"/>
    </row>
    <row r="63" spans="1:7" x14ac:dyDescent="0.2">
      <c r="A63" s="7"/>
      <c r="B63" s="7"/>
      <c r="C63" s="7"/>
      <c r="D63" s="18"/>
      <c r="E63" s="14"/>
      <c r="F63" s="14"/>
      <c r="G63" s="14"/>
    </row>
    <row r="64" spans="1:7" x14ac:dyDescent="0.2">
      <c r="A64" s="6" t="s">
        <v>359</v>
      </c>
      <c r="B64" s="7"/>
      <c r="C64" s="7"/>
      <c r="D64" s="18"/>
      <c r="E64" s="14"/>
      <c r="F64" s="14"/>
      <c r="G64" s="14"/>
    </row>
    <row r="65" spans="1:7" x14ac:dyDescent="0.2">
      <c r="A65" s="6" t="s">
        <v>8</v>
      </c>
      <c r="B65" s="7"/>
      <c r="C65" s="7"/>
      <c r="D65" s="18"/>
      <c r="E65" s="14"/>
      <c r="F65" s="14"/>
      <c r="G65" s="14"/>
    </row>
    <row r="66" spans="1:7" x14ac:dyDescent="0.2">
      <c r="A66" s="6"/>
      <c r="B66" s="7"/>
      <c r="C66" s="7"/>
      <c r="D66" s="18"/>
      <c r="E66" s="14"/>
      <c r="F66" s="14"/>
      <c r="G66" s="14"/>
    </row>
    <row r="67" spans="1:7" s="31" customFormat="1" x14ac:dyDescent="0.2">
      <c r="A67" s="27" t="s">
        <v>360</v>
      </c>
      <c r="B67" s="27" t="str">
        <f>VLOOKUP(A67,[1]Bonds!$B$1:$K$781,10,0)</f>
        <v>8.36% Power Finance Corp Ltd (04-Sep-2020) **</v>
      </c>
      <c r="C67" s="27" t="s">
        <v>361</v>
      </c>
      <c r="D67" s="29">
        <v>100</v>
      </c>
      <c r="E67" s="30">
        <v>1012.285</v>
      </c>
      <c r="F67" s="30">
        <f t="shared" ref="F67:F73" si="2">E67/$E$81*100</f>
        <v>3.5017142093478828</v>
      </c>
      <c r="G67" s="30"/>
    </row>
    <row r="68" spans="1:7" s="31" customFormat="1" x14ac:dyDescent="0.2">
      <c r="A68" s="27" t="s">
        <v>362</v>
      </c>
      <c r="B68" s="27" t="str">
        <f>VLOOKUP(A68,[1]Bonds!$B$1:$K$781,10,0)</f>
        <v>7.17% National Highways Authority Of India (23-Dec-2021) **</v>
      </c>
      <c r="C68" s="27" t="s">
        <v>361</v>
      </c>
      <c r="D68" s="29">
        <v>100</v>
      </c>
      <c r="E68" s="30">
        <v>1009.085</v>
      </c>
      <c r="F68" s="30">
        <f t="shared" si="2"/>
        <v>3.4906447126449649</v>
      </c>
      <c r="G68" s="30"/>
    </row>
    <row r="69" spans="1:7" s="31" customFormat="1" x14ac:dyDescent="0.2">
      <c r="A69" s="27" t="s">
        <v>363</v>
      </c>
      <c r="B69" s="27" t="str">
        <f>VLOOKUP(A69,[1]Bonds!$B$1:$K$781,10,0)</f>
        <v>9.70% Coastal Gujarat Power Ltd (25-Aug-2023) **</v>
      </c>
      <c r="C69" s="27" t="s">
        <v>364</v>
      </c>
      <c r="D69" s="29">
        <v>100</v>
      </c>
      <c r="E69" s="30">
        <v>1005.431</v>
      </c>
      <c r="F69" s="30">
        <f t="shared" si="2"/>
        <v>3.4780047310973208</v>
      </c>
      <c r="G69" s="30"/>
    </row>
    <row r="70" spans="1:7" s="31" customFormat="1" x14ac:dyDescent="0.2">
      <c r="A70" s="27" t="s">
        <v>365</v>
      </c>
      <c r="B70" s="27" t="str">
        <f>VLOOKUP(A70,[1]Bonds!$B$1:$K$781,10,0)</f>
        <v>7.50% Power Finance Corp Ltd (17-Sep-2020) **</v>
      </c>
      <c r="C70" s="27" t="s">
        <v>361</v>
      </c>
      <c r="D70" s="29">
        <v>100</v>
      </c>
      <c r="E70" s="30">
        <v>1004.061</v>
      </c>
      <c r="F70" s="30">
        <f t="shared" si="2"/>
        <v>3.473265602821384</v>
      </c>
      <c r="G70" s="30"/>
    </row>
    <row r="71" spans="1:7" s="31" customFormat="1" x14ac:dyDescent="0.2">
      <c r="A71" s="27" t="s">
        <v>366</v>
      </c>
      <c r="B71" s="27" t="str">
        <f>VLOOKUP(A71,[1]Bonds!$B$1:$K$781,10,0)</f>
        <v>8.80% JM Financial Products Ltd (28-Sep-2020) **</v>
      </c>
      <c r="C71" s="27" t="s">
        <v>367</v>
      </c>
      <c r="D71" s="29">
        <v>80</v>
      </c>
      <c r="E71" s="30">
        <v>778.65200000000004</v>
      </c>
      <c r="F71" s="30">
        <f t="shared" si="2"/>
        <v>2.6935267958501292</v>
      </c>
      <c r="G71" s="30"/>
    </row>
    <row r="72" spans="1:7" s="31" customFormat="1" x14ac:dyDescent="0.2">
      <c r="A72" s="27" t="s">
        <v>368</v>
      </c>
      <c r="B72" s="27" t="str">
        <f>VLOOKUP(A72,[1]Bonds!$B$1:$K$781,10,0)</f>
        <v>8.85% Rec Ltd (16-Apr-2029) **</v>
      </c>
      <c r="C72" s="27" t="s">
        <v>361</v>
      </c>
      <c r="D72" s="29">
        <v>50</v>
      </c>
      <c r="E72" s="30">
        <v>515.69399999999996</v>
      </c>
      <c r="F72" s="30">
        <f t="shared" si="2"/>
        <v>1.7838978227232916</v>
      </c>
      <c r="G72" s="30"/>
    </row>
    <row r="73" spans="1:7" s="31" customFormat="1" x14ac:dyDescent="0.2">
      <c r="A73" s="27" t="s">
        <v>369</v>
      </c>
      <c r="B73" s="27" t="str">
        <f>VLOOKUP(A73,[1]Bonds!$B$1:$K$781,10,0)</f>
        <v>9.45% Vedanta Ltd (17-Aug-2020) **</v>
      </c>
      <c r="C73" s="27" t="s">
        <v>370</v>
      </c>
      <c r="D73" s="29">
        <v>40</v>
      </c>
      <c r="E73" s="30">
        <v>398.45159999999998</v>
      </c>
      <c r="F73" s="30">
        <f t="shared" si="2"/>
        <v>1.3783308351476105</v>
      </c>
      <c r="G73" s="30"/>
    </row>
    <row r="74" spans="1:7" s="31" customFormat="1" x14ac:dyDescent="0.2">
      <c r="A74" s="26" t="s">
        <v>44</v>
      </c>
      <c r="B74" s="27"/>
      <c r="C74" s="27"/>
      <c r="D74" s="29"/>
      <c r="E74" s="36">
        <f>SUM(E67:E73)</f>
        <v>5723.6596000000009</v>
      </c>
      <c r="F74" s="36">
        <f>SUM(F67:F73)</f>
        <v>19.79938470963258</v>
      </c>
      <c r="G74" s="36"/>
    </row>
    <row r="75" spans="1:7" x14ac:dyDescent="0.2">
      <c r="A75" s="7"/>
      <c r="B75" s="7"/>
      <c r="C75" s="7"/>
      <c r="D75" s="18"/>
      <c r="E75" s="14"/>
      <c r="F75" s="14"/>
      <c r="G75" s="14"/>
    </row>
    <row r="76" spans="1:7" x14ac:dyDescent="0.2">
      <c r="A76" s="6" t="s">
        <v>44</v>
      </c>
      <c r="B76" s="7"/>
      <c r="C76" s="7"/>
      <c r="D76" s="18"/>
      <c r="E76" s="20">
        <f>E58+E62+E74</f>
        <v>24921.474898500004</v>
      </c>
      <c r="F76" s="20">
        <f>F58+F62+F74</f>
        <v>86.208807568998878</v>
      </c>
      <c r="G76" s="20"/>
    </row>
    <row r="77" spans="1:7" x14ac:dyDescent="0.2">
      <c r="A77" s="6"/>
      <c r="B77" s="7"/>
      <c r="C77" s="7"/>
      <c r="D77" s="18"/>
      <c r="E77" s="20"/>
      <c r="F77" s="20"/>
      <c r="G77" s="20"/>
    </row>
    <row r="78" spans="1:7" x14ac:dyDescent="0.2">
      <c r="A78" s="6" t="s">
        <v>620</v>
      </c>
      <c r="B78" s="7"/>
      <c r="C78" s="7"/>
      <c r="D78" s="18"/>
      <c r="E78" s="20">
        <v>2842.4542776999997</v>
      </c>
      <c r="F78" s="20">
        <f>E78/$E$81*100+0.01</f>
        <v>9.8426682047484277</v>
      </c>
      <c r="G78" s="20"/>
    </row>
    <row r="79" spans="1:7" x14ac:dyDescent="0.2">
      <c r="A79" s="6" t="s">
        <v>76</v>
      </c>
      <c r="B79" s="7"/>
      <c r="C79" s="7"/>
      <c r="D79" s="18"/>
      <c r="E79" s="20">
        <v>1144.3408733000024</v>
      </c>
      <c r="F79" s="20">
        <f>E79/$E$81*100-0.01</f>
        <v>3.9485242262526699</v>
      </c>
      <c r="G79" s="20"/>
    </row>
    <row r="80" spans="1:7" x14ac:dyDescent="0.2">
      <c r="A80" s="7"/>
      <c r="B80" s="7"/>
      <c r="C80" s="7"/>
      <c r="D80" s="18"/>
      <c r="E80" s="14"/>
      <c r="F80" s="14"/>
      <c r="G80" s="14"/>
    </row>
    <row r="81" spans="1:7" x14ac:dyDescent="0.2">
      <c r="A81" s="8" t="s">
        <v>77</v>
      </c>
      <c r="B81" s="5"/>
      <c r="C81" s="5"/>
      <c r="D81" s="17"/>
      <c r="E81" s="21">
        <f>E76+E78+E79</f>
        <v>28908.270049500006</v>
      </c>
      <c r="F81" s="21">
        <f>F76+F78+F79</f>
        <v>99.999999999999986</v>
      </c>
      <c r="G81" s="21"/>
    </row>
    <row r="82" spans="1:7" x14ac:dyDescent="0.2">
      <c r="A82" s="4" t="s">
        <v>619</v>
      </c>
      <c r="B82" s="2"/>
      <c r="C82" s="2"/>
      <c r="D82" s="2"/>
      <c r="E82" s="1"/>
    </row>
    <row r="83" spans="1:7" x14ac:dyDescent="0.2">
      <c r="A83" s="2"/>
      <c r="B83" s="2"/>
      <c r="C83" s="2"/>
      <c r="D83" s="2"/>
      <c r="E83" s="1"/>
    </row>
    <row r="84" spans="1:7" x14ac:dyDescent="0.2">
      <c r="A84" s="4" t="s">
        <v>78</v>
      </c>
      <c r="B84" s="2"/>
      <c r="C84" s="2"/>
      <c r="D84" s="2"/>
      <c r="E84" s="1"/>
    </row>
    <row r="85" spans="1:7" x14ac:dyDescent="0.2">
      <c r="A85" s="4" t="s">
        <v>650</v>
      </c>
      <c r="B85" s="2"/>
      <c r="C85" s="2"/>
      <c r="D85" s="2"/>
      <c r="E85" s="1"/>
    </row>
    <row r="86" spans="1:7" x14ac:dyDescent="0.2">
      <c r="A86" s="4" t="s">
        <v>80</v>
      </c>
      <c r="B86" s="2"/>
      <c r="C86" s="2"/>
      <c r="D86" s="2"/>
      <c r="E86" s="1"/>
    </row>
    <row r="87" spans="1:7" x14ac:dyDescent="0.2">
      <c r="A87" s="2" t="s">
        <v>639</v>
      </c>
      <c r="B87" s="2"/>
      <c r="C87" s="2"/>
      <c r="D87" s="10">
        <v>9.8665000000000003</v>
      </c>
      <c r="E87" s="1"/>
    </row>
    <row r="88" spans="1:7" x14ac:dyDescent="0.2">
      <c r="A88" s="2" t="s">
        <v>638</v>
      </c>
      <c r="B88" s="2"/>
      <c r="C88" s="2"/>
      <c r="D88" s="10">
        <v>9.8665000000000003</v>
      </c>
      <c r="E88" s="1"/>
    </row>
    <row r="89" spans="1:7" x14ac:dyDescent="0.2">
      <c r="A89" s="2" t="s">
        <v>651</v>
      </c>
      <c r="B89" s="2"/>
      <c r="C89" s="2"/>
      <c r="D89" s="10">
        <v>9.8665000000000003</v>
      </c>
      <c r="E89" s="1"/>
    </row>
    <row r="90" spans="1:7" x14ac:dyDescent="0.2">
      <c r="A90" s="2" t="s">
        <v>652</v>
      </c>
      <c r="B90" s="2"/>
      <c r="C90" s="2"/>
      <c r="D90" s="10">
        <v>9.8665000000000003</v>
      </c>
      <c r="E90" s="1"/>
    </row>
    <row r="91" spans="1:7" x14ac:dyDescent="0.2">
      <c r="A91" s="2" t="s">
        <v>641</v>
      </c>
      <c r="B91" s="2"/>
      <c r="C91" s="2"/>
      <c r="D91" s="10">
        <v>9.9579000000000004</v>
      </c>
      <c r="E91" s="1"/>
    </row>
    <row r="92" spans="1:7" x14ac:dyDescent="0.2">
      <c r="A92" s="2" t="s">
        <v>640</v>
      </c>
      <c r="B92" s="2"/>
      <c r="C92" s="2"/>
      <c r="D92" s="10">
        <v>9.9579000000000004</v>
      </c>
      <c r="E92" s="1"/>
    </row>
    <row r="93" spans="1:7" x14ac:dyDescent="0.2">
      <c r="A93" s="2" t="s">
        <v>653</v>
      </c>
      <c r="B93" s="2"/>
      <c r="C93" s="2"/>
      <c r="D93" s="10">
        <v>9.9579000000000004</v>
      </c>
      <c r="E93" s="1"/>
    </row>
    <row r="94" spans="1:7" x14ac:dyDescent="0.2">
      <c r="A94" s="2" t="s">
        <v>654</v>
      </c>
      <c r="B94" s="2"/>
      <c r="C94" s="2"/>
      <c r="D94" s="10">
        <v>9.9579000000000004</v>
      </c>
      <c r="E94" s="1"/>
    </row>
    <row r="95" spans="1:7" x14ac:dyDescent="0.2">
      <c r="A95" s="2"/>
      <c r="B95" s="2"/>
      <c r="C95" s="2"/>
      <c r="D95" s="2"/>
      <c r="E95" s="1"/>
    </row>
    <row r="96" spans="1:7" x14ac:dyDescent="0.2">
      <c r="A96" s="4" t="s">
        <v>81</v>
      </c>
      <c r="B96" s="2"/>
      <c r="C96" s="2"/>
      <c r="D96" s="2"/>
      <c r="E96" s="1"/>
    </row>
    <row r="97" spans="1:5" x14ac:dyDescent="0.2">
      <c r="A97" s="2" t="s">
        <v>639</v>
      </c>
      <c r="B97" s="2"/>
      <c r="C97" s="2"/>
      <c r="D97" s="10">
        <v>10.0594</v>
      </c>
      <c r="E97" s="1"/>
    </row>
    <row r="98" spans="1:5" x14ac:dyDescent="0.2">
      <c r="A98" s="2" t="s">
        <v>638</v>
      </c>
      <c r="B98" s="2"/>
      <c r="C98" s="2"/>
      <c r="D98" s="10">
        <v>10.0594</v>
      </c>
      <c r="E98" s="1"/>
    </row>
    <row r="99" spans="1:5" x14ac:dyDescent="0.2">
      <c r="A99" s="2" t="s">
        <v>651</v>
      </c>
      <c r="B99" s="2"/>
      <c r="C99" s="2"/>
      <c r="D99" s="10">
        <v>10.0006</v>
      </c>
      <c r="E99" s="1"/>
    </row>
    <row r="100" spans="1:5" x14ac:dyDescent="0.2">
      <c r="A100" s="2" t="s">
        <v>652</v>
      </c>
      <c r="B100" s="2"/>
      <c r="C100" s="2"/>
      <c r="D100" s="10">
        <v>10.0594</v>
      </c>
      <c r="E100" s="1"/>
    </row>
    <row r="101" spans="1:5" x14ac:dyDescent="0.2">
      <c r="A101" s="2" t="s">
        <v>641</v>
      </c>
      <c r="B101" s="2"/>
      <c r="C101" s="2"/>
      <c r="D101" s="10">
        <v>10.2417</v>
      </c>
      <c r="E101" s="1"/>
    </row>
    <row r="102" spans="1:5" x14ac:dyDescent="0.2">
      <c r="A102" s="2" t="s">
        <v>640</v>
      </c>
      <c r="B102" s="2"/>
      <c r="C102" s="2"/>
      <c r="D102" s="10">
        <v>10.2417</v>
      </c>
      <c r="E102" s="1"/>
    </row>
    <row r="103" spans="1:5" x14ac:dyDescent="0.2">
      <c r="A103" s="2" t="s">
        <v>653</v>
      </c>
      <c r="B103" s="2"/>
      <c r="C103" s="2"/>
      <c r="D103" s="10">
        <v>10.182</v>
      </c>
      <c r="E103" s="1"/>
    </row>
    <row r="104" spans="1:5" x14ac:dyDescent="0.2">
      <c r="A104" s="2" t="s">
        <v>654</v>
      </c>
      <c r="B104" s="2"/>
      <c r="C104" s="2"/>
      <c r="D104" s="10">
        <v>10.2417</v>
      </c>
      <c r="E104" s="1"/>
    </row>
    <row r="105" spans="1:5" x14ac:dyDescent="0.2">
      <c r="A105" s="2"/>
      <c r="B105" s="2"/>
      <c r="C105" s="2"/>
      <c r="D105" s="2"/>
      <c r="E105" s="1"/>
    </row>
    <row r="106" spans="1:5" x14ac:dyDescent="0.2">
      <c r="A106" s="4" t="s">
        <v>82</v>
      </c>
      <c r="B106" s="2"/>
      <c r="C106" s="2"/>
      <c r="D106" s="44" t="s">
        <v>299</v>
      </c>
      <c r="E106" s="1"/>
    </row>
    <row r="107" spans="1:5" x14ac:dyDescent="0.2">
      <c r="A107" s="106" t="s">
        <v>642</v>
      </c>
      <c r="B107" s="107"/>
      <c r="C107" s="100" t="s">
        <v>643</v>
      </c>
      <c r="D107" s="101"/>
      <c r="E107" s="1"/>
    </row>
    <row r="108" spans="1:5" x14ac:dyDescent="0.2">
      <c r="A108" s="102"/>
      <c r="B108" s="103"/>
      <c r="C108" s="47" t="s">
        <v>644</v>
      </c>
      <c r="D108" s="47" t="s">
        <v>645</v>
      </c>
      <c r="E108" s="1"/>
    </row>
    <row r="109" spans="1:5" x14ac:dyDescent="0.2">
      <c r="A109" s="48" t="s">
        <v>651</v>
      </c>
      <c r="B109" s="49"/>
      <c r="C109" s="54">
        <v>5.3124508200000004E-2</v>
      </c>
      <c r="D109" s="54">
        <v>5.3124508200000004E-2</v>
      </c>
      <c r="E109" s="1"/>
    </row>
    <row r="110" spans="1:5" x14ac:dyDescent="0.2">
      <c r="A110" s="48" t="s">
        <v>653</v>
      </c>
      <c r="B110" s="49"/>
      <c r="C110" s="54">
        <v>5.3124508200000004E-2</v>
      </c>
      <c r="D110" s="54">
        <v>5.3124508200000004E-2</v>
      </c>
      <c r="E110" s="1"/>
    </row>
    <row r="111" spans="1:5" x14ac:dyDescent="0.2">
      <c r="A111" s="4"/>
      <c r="B111" s="2"/>
      <c r="C111" s="2"/>
      <c r="D111" s="44"/>
      <c r="E111" s="1"/>
    </row>
    <row r="112" spans="1:5" x14ac:dyDescent="0.2">
      <c r="A112" s="4" t="s">
        <v>647</v>
      </c>
      <c r="B112" s="2"/>
      <c r="C112" s="2"/>
      <c r="D112" s="53">
        <v>2.2038605692156277</v>
      </c>
      <c r="E112" s="1" t="s">
        <v>648</v>
      </c>
    </row>
    <row r="113" spans="1:5" x14ac:dyDescent="0.2">
      <c r="A113" s="2"/>
      <c r="B113" s="2"/>
      <c r="C113" s="2"/>
      <c r="D113" s="2"/>
      <c r="E113" s="1"/>
    </row>
    <row r="114" spans="1:5" x14ac:dyDescent="0.2">
      <c r="A114" s="4" t="s">
        <v>655</v>
      </c>
      <c r="B114" s="2"/>
      <c r="C114" s="2"/>
      <c r="D114" s="51">
        <v>2.7986830584371072</v>
      </c>
      <c r="E114" s="1"/>
    </row>
    <row r="115" spans="1:5" x14ac:dyDescent="0.2">
      <c r="A115" s="2"/>
      <c r="B115" s="2"/>
      <c r="C115" s="2"/>
      <c r="D115" s="2"/>
      <c r="E115" s="1"/>
    </row>
    <row r="116" spans="1:5" x14ac:dyDescent="0.2">
      <c r="A116" s="2"/>
      <c r="B116" s="2"/>
      <c r="C116" s="2"/>
      <c r="D116" s="2"/>
      <c r="E116" s="1"/>
    </row>
    <row r="117" spans="1:5" x14ac:dyDescent="0.2">
      <c r="A117" s="2"/>
      <c r="B117" s="2"/>
      <c r="C117" s="2"/>
      <c r="D117" s="2"/>
      <c r="E117" s="1"/>
    </row>
    <row r="118" spans="1:5" x14ac:dyDescent="0.2">
      <c r="A118" s="2"/>
      <c r="B118" s="2"/>
      <c r="C118" s="2"/>
      <c r="D118" s="2"/>
      <c r="E118" s="1"/>
    </row>
    <row r="119" spans="1:5" x14ac:dyDescent="0.2">
      <c r="A119" s="2"/>
      <c r="B119" s="2"/>
      <c r="C119" s="2"/>
      <c r="D119" s="2"/>
      <c r="E119" s="1"/>
    </row>
    <row r="120" spans="1:5" x14ac:dyDescent="0.2">
      <c r="A120" s="2"/>
      <c r="B120" s="2"/>
      <c r="C120" s="2"/>
      <c r="D120" s="2"/>
      <c r="E120" s="1"/>
    </row>
    <row r="121" spans="1:5" x14ac:dyDescent="0.2">
      <c r="A121" s="2"/>
      <c r="B121" s="2"/>
      <c r="C121" s="2"/>
      <c r="D121" s="2"/>
      <c r="E121" s="1"/>
    </row>
    <row r="122" spans="1:5" x14ac:dyDescent="0.2">
      <c r="A122" s="2"/>
      <c r="B122" s="2"/>
      <c r="C122" s="2"/>
      <c r="D122" s="2"/>
      <c r="E122" s="1"/>
    </row>
  </sheetData>
  <mergeCells count="5">
    <mergeCell ref="G3:G4"/>
    <mergeCell ref="A107:B107"/>
    <mergeCell ref="A108:B108"/>
    <mergeCell ref="C107:D107"/>
    <mergeCell ref="A1:G1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3A5AE-2D83-4BCA-A3A6-3118BCDEA8B9}">
  <dimension ref="A1:F91"/>
  <sheetViews>
    <sheetView showGridLines="0" workbookViewId="0">
      <selection sqref="A1:F1"/>
    </sheetView>
  </sheetViews>
  <sheetFormatPr defaultRowHeight="11.25" x14ac:dyDescent="0.2"/>
  <cols>
    <col min="1" max="1" width="59.42578125" style="1" bestFit="1" customWidth="1"/>
    <col min="2" max="2" width="43.28515625" style="1" bestFit="1" customWidth="1"/>
    <col min="3" max="3" width="29.85546875" style="1" bestFit="1" customWidth="1"/>
    <col min="4" max="4" width="9.85546875" style="19" bestFit="1" customWidth="1"/>
    <col min="5" max="5" width="24" style="15" bestFit="1" customWidth="1"/>
    <col min="6" max="6" width="14.140625" style="15" bestFit="1" customWidth="1"/>
    <col min="7" max="16384" width="9.140625" style="2"/>
  </cols>
  <sheetData>
    <row r="1" spans="1:6" x14ac:dyDescent="0.2">
      <c r="A1" s="99" t="s">
        <v>423</v>
      </c>
      <c r="B1" s="99"/>
      <c r="C1" s="99"/>
      <c r="D1" s="99"/>
      <c r="E1" s="99"/>
      <c r="F1" s="99"/>
    </row>
    <row r="3" spans="1:6" s="4" customFormat="1" x14ac:dyDescent="0.2">
      <c r="A3" s="3" t="s">
        <v>1</v>
      </c>
      <c r="B3" s="3" t="s">
        <v>2</v>
      </c>
      <c r="C3" s="3" t="s">
        <v>3</v>
      </c>
      <c r="D3" s="16" t="s">
        <v>4</v>
      </c>
      <c r="E3" s="12" t="s">
        <v>5</v>
      </c>
      <c r="F3" s="12" t="s">
        <v>6</v>
      </c>
    </row>
    <row r="4" spans="1:6" x14ac:dyDescent="0.2">
      <c r="A4" s="5"/>
      <c r="B4" s="5"/>
      <c r="C4" s="5"/>
      <c r="D4" s="17"/>
      <c r="E4" s="13"/>
      <c r="F4" s="13"/>
    </row>
    <row r="5" spans="1:6" x14ac:dyDescent="0.2">
      <c r="A5" s="6" t="s">
        <v>7</v>
      </c>
      <c r="B5" s="7"/>
      <c r="C5" s="7"/>
      <c r="D5" s="18"/>
      <c r="E5" s="14"/>
      <c r="F5" s="14"/>
    </row>
    <row r="6" spans="1:6" x14ac:dyDescent="0.2">
      <c r="A6" s="6" t="s">
        <v>8</v>
      </c>
      <c r="B6" s="7"/>
      <c r="C6" s="7"/>
      <c r="D6" s="18"/>
      <c r="E6" s="14"/>
      <c r="F6" s="14"/>
    </row>
    <row r="7" spans="1:6" x14ac:dyDescent="0.2">
      <c r="A7" s="6"/>
      <c r="B7" s="7"/>
      <c r="C7" s="7"/>
      <c r="D7" s="18"/>
      <c r="E7" s="14"/>
      <c r="F7" s="14"/>
    </row>
    <row r="8" spans="1:6" x14ac:dyDescent="0.2">
      <c r="A8" s="7" t="s">
        <v>10</v>
      </c>
      <c r="B8" s="7" t="s">
        <v>11</v>
      </c>
      <c r="C8" s="7" t="s">
        <v>12</v>
      </c>
      <c r="D8" s="18">
        <v>124222</v>
      </c>
      <c r="E8" s="14">
        <v>2767.604049</v>
      </c>
      <c r="F8" s="14">
        <v>10.393894486431535</v>
      </c>
    </row>
    <row r="9" spans="1:6" x14ac:dyDescent="0.2">
      <c r="A9" s="7" t="s">
        <v>337</v>
      </c>
      <c r="B9" s="7" t="s">
        <v>338</v>
      </c>
      <c r="C9" s="7" t="s">
        <v>96</v>
      </c>
      <c r="D9" s="18">
        <v>196960</v>
      </c>
      <c r="E9" s="14">
        <v>2459.14408</v>
      </c>
      <c r="F9" s="14">
        <v>9.2354555210627787</v>
      </c>
    </row>
    <row r="10" spans="1:6" x14ac:dyDescent="0.2">
      <c r="A10" s="7" t="s">
        <v>339</v>
      </c>
      <c r="B10" s="7" t="s">
        <v>340</v>
      </c>
      <c r="C10" s="7" t="s">
        <v>28</v>
      </c>
      <c r="D10" s="18">
        <v>98960</v>
      </c>
      <c r="E10" s="14">
        <v>2143.9189200000001</v>
      </c>
      <c r="F10" s="14">
        <v>8.0516094959450069</v>
      </c>
    </row>
    <row r="11" spans="1:6" x14ac:dyDescent="0.2">
      <c r="A11" s="7" t="s">
        <v>156</v>
      </c>
      <c r="B11" s="7" t="s">
        <v>157</v>
      </c>
      <c r="C11" s="7" t="s">
        <v>64</v>
      </c>
      <c r="D11" s="18">
        <v>218525</v>
      </c>
      <c r="E11" s="14">
        <v>1780.760225</v>
      </c>
      <c r="F11" s="14">
        <v>6.6877463526517911</v>
      </c>
    </row>
    <row r="12" spans="1:6" x14ac:dyDescent="0.2">
      <c r="A12" s="7" t="s">
        <v>85</v>
      </c>
      <c r="B12" s="7" t="s">
        <v>86</v>
      </c>
      <c r="C12" s="7" t="s">
        <v>12</v>
      </c>
      <c r="D12" s="18">
        <v>371204</v>
      </c>
      <c r="E12" s="14">
        <v>1520.6371859999999</v>
      </c>
      <c r="F12" s="14">
        <v>5.7108394783346998</v>
      </c>
    </row>
    <row r="13" spans="1:6" x14ac:dyDescent="0.2">
      <c r="A13" s="7" t="s">
        <v>393</v>
      </c>
      <c r="B13" s="7" t="s">
        <v>394</v>
      </c>
      <c r="C13" s="7" t="s">
        <v>64</v>
      </c>
      <c r="D13" s="18">
        <v>60454</v>
      </c>
      <c r="E13" s="14">
        <v>1366.0185839999999</v>
      </c>
      <c r="F13" s="14">
        <v>5.1301605205162106</v>
      </c>
    </row>
    <row r="14" spans="1:6" x14ac:dyDescent="0.2">
      <c r="A14" s="7" t="s">
        <v>351</v>
      </c>
      <c r="B14" s="7" t="s">
        <v>352</v>
      </c>
      <c r="C14" s="7" t="s">
        <v>37</v>
      </c>
      <c r="D14" s="18">
        <v>493744</v>
      </c>
      <c r="E14" s="14">
        <v>1212.8821359999999</v>
      </c>
      <c r="F14" s="14">
        <v>4.5550478763812876</v>
      </c>
    </row>
    <row r="15" spans="1:6" x14ac:dyDescent="0.2">
      <c r="A15" s="7" t="s">
        <v>21</v>
      </c>
      <c r="B15" s="7" t="s">
        <v>22</v>
      </c>
      <c r="C15" s="7" t="s">
        <v>12</v>
      </c>
      <c r="D15" s="18">
        <v>76894</v>
      </c>
      <c r="E15" s="14">
        <v>1100.699163</v>
      </c>
      <c r="F15" s="14">
        <v>4.1337383379169585</v>
      </c>
    </row>
    <row r="16" spans="1:6" x14ac:dyDescent="0.2">
      <c r="A16" s="7" t="s">
        <v>165</v>
      </c>
      <c r="B16" s="7" t="s">
        <v>166</v>
      </c>
      <c r="C16" s="7" t="s">
        <v>167</v>
      </c>
      <c r="D16" s="18">
        <v>71044</v>
      </c>
      <c r="E16" s="14">
        <v>943.64193</v>
      </c>
      <c r="F16" s="14">
        <v>3.5439009626165681</v>
      </c>
    </row>
    <row r="17" spans="1:6" x14ac:dyDescent="0.2">
      <c r="A17" s="7" t="s">
        <v>97</v>
      </c>
      <c r="B17" s="7" t="s">
        <v>98</v>
      </c>
      <c r="C17" s="7" t="s">
        <v>12</v>
      </c>
      <c r="D17" s="18">
        <v>117546</v>
      </c>
      <c r="E17" s="14">
        <v>780.38789399999996</v>
      </c>
      <c r="F17" s="14">
        <v>2.9307911410432093</v>
      </c>
    </row>
    <row r="18" spans="1:6" x14ac:dyDescent="0.2">
      <c r="A18" s="7" t="s">
        <v>341</v>
      </c>
      <c r="B18" s="7" t="s">
        <v>342</v>
      </c>
      <c r="C18" s="7" t="s">
        <v>37</v>
      </c>
      <c r="D18" s="18">
        <v>41104</v>
      </c>
      <c r="E18" s="14">
        <v>773.53617599999995</v>
      </c>
      <c r="F18" s="14">
        <v>2.9050591242221921</v>
      </c>
    </row>
    <row r="19" spans="1:6" x14ac:dyDescent="0.2">
      <c r="A19" s="7" t="s">
        <v>87</v>
      </c>
      <c r="B19" s="7" t="s">
        <v>88</v>
      </c>
      <c r="C19" s="7" t="s">
        <v>12</v>
      </c>
      <c r="D19" s="18">
        <v>220810</v>
      </c>
      <c r="E19" s="14">
        <v>604.68818499999998</v>
      </c>
      <c r="F19" s="14">
        <v>2.2709408863427312</v>
      </c>
    </row>
    <row r="20" spans="1:6" x14ac:dyDescent="0.2">
      <c r="A20" s="7" t="s">
        <v>395</v>
      </c>
      <c r="B20" s="7" t="s">
        <v>396</v>
      </c>
      <c r="C20" s="7" t="s">
        <v>40</v>
      </c>
      <c r="D20" s="18">
        <v>7647</v>
      </c>
      <c r="E20" s="14">
        <v>468.2831625</v>
      </c>
      <c r="F20" s="14">
        <v>1.7586640627137891</v>
      </c>
    </row>
    <row r="21" spans="1:6" x14ac:dyDescent="0.2">
      <c r="A21" s="7" t="s">
        <v>343</v>
      </c>
      <c r="B21" s="7" t="s">
        <v>344</v>
      </c>
      <c r="C21" s="7" t="s">
        <v>28</v>
      </c>
      <c r="D21" s="18">
        <v>13680</v>
      </c>
      <c r="E21" s="14">
        <v>455.88600000000002</v>
      </c>
      <c r="F21" s="14">
        <v>1.7121058135297327</v>
      </c>
    </row>
    <row r="22" spans="1:6" x14ac:dyDescent="0.2">
      <c r="A22" s="7" t="s">
        <v>397</v>
      </c>
      <c r="B22" s="7" t="s">
        <v>398</v>
      </c>
      <c r="C22" s="7" t="s">
        <v>12</v>
      </c>
      <c r="D22" s="18">
        <v>31091</v>
      </c>
      <c r="E22" s="14">
        <v>433.95263249999999</v>
      </c>
      <c r="F22" s="14">
        <v>1.6297338038452192</v>
      </c>
    </row>
    <row r="23" spans="1:6" x14ac:dyDescent="0.2">
      <c r="A23" s="7" t="s">
        <v>347</v>
      </c>
      <c r="B23" s="7" t="s">
        <v>348</v>
      </c>
      <c r="C23" s="7" t="s">
        <v>37</v>
      </c>
      <c r="D23" s="18">
        <v>25939</v>
      </c>
      <c r="E23" s="14">
        <v>419.22611799999999</v>
      </c>
      <c r="F23" s="14">
        <v>1.5744275406818844</v>
      </c>
    </row>
    <row r="24" spans="1:6" x14ac:dyDescent="0.2">
      <c r="A24" s="7" t="s">
        <v>89</v>
      </c>
      <c r="B24" s="7" t="s">
        <v>90</v>
      </c>
      <c r="C24" s="7" t="s">
        <v>43</v>
      </c>
      <c r="D24" s="18">
        <v>109235</v>
      </c>
      <c r="E24" s="14">
        <v>378.82697999999999</v>
      </c>
      <c r="F24" s="14">
        <v>1.4227062791573148</v>
      </c>
    </row>
    <row r="25" spans="1:6" x14ac:dyDescent="0.2">
      <c r="A25" s="7" t="s">
        <v>158</v>
      </c>
      <c r="B25" s="7" t="s">
        <v>159</v>
      </c>
      <c r="C25" s="7" t="s">
        <v>64</v>
      </c>
      <c r="D25" s="18">
        <v>31215</v>
      </c>
      <c r="E25" s="14">
        <v>343.47425249999998</v>
      </c>
      <c r="F25" s="14">
        <v>1.2899370994130752</v>
      </c>
    </row>
    <row r="26" spans="1:6" x14ac:dyDescent="0.2">
      <c r="A26" s="7" t="s">
        <v>91</v>
      </c>
      <c r="B26" s="7" t="s">
        <v>92</v>
      </c>
      <c r="C26" s="7" t="s">
        <v>93</v>
      </c>
      <c r="D26" s="18">
        <v>250502</v>
      </c>
      <c r="E26" s="14">
        <v>304.73568299999999</v>
      </c>
      <c r="F26" s="14">
        <v>1.1444521973788484</v>
      </c>
    </row>
    <row r="27" spans="1:6" x14ac:dyDescent="0.2">
      <c r="A27" s="7" t="s">
        <v>263</v>
      </c>
      <c r="B27" s="7" t="s">
        <v>264</v>
      </c>
      <c r="C27" s="7" t="s">
        <v>162</v>
      </c>
      <c r="D27" s="18">
        <v>63505</v>
      </c>
      <c r="E27" s="14">
        <v>286.02652</v>
      </c>
      <c r="F27" s="14">
        <v>1.07418887115568</v>
      </c>
    </row>
    <row r="28" spans="1:6" x14ac:dyDescent="0.2">
      <c r="A28" s="7" t="s">
        <v>163</v>
      </c>
      <c r="B28" s="7" t="s">
        <v>164</v>
      </c>
      <c r="C28" s="7" t="s">
        <v>40</v>
      </c>
      <c r="D28" s="18">
        <v>53649</v>
      </c>
      <c r="E28" s="14">
        <v>283.69591200000002</v>
      </c>
      <c r="F28" s="14">
        <v>1.0654361401969339</v>
      </c>
    </row>
    <row r="29" spans="1:6" x14ac:dyDescent="0.2">
      <c r="A29" s="7" t="s">
        <v>199</v>
      </c>
      <c r="B29" s="7" t="s">
        <v>200</v>
      </c>
      <c r="C29" s="7" t="s">
        <v>93</v>
      </c>
      <c r="D29" s="18">
        <v>135459</v>
      </c>
      <c r="E29" s="14">
        <v>271.59529500000002</v>
      </c>
      <c r="F29" s="14">
        <v>1.0199915845119674</v>
      </c>
    </row>
    <row r="30" spans="1:6" x14ac:dyDescent="0.2">
      <c r="A30" s="7" t="s">
        <v>345</v>
      </c>
      <c r="B30" s="7" t="s">
        <v>346</v>
      </c>
      <c r="C30" s="7" t="s">
        <v>72</v>
      </c>
      <c r="D30" s="18">
        <v>24008</v>
      </c>
      <c r="E30" s="14">
        <v>265.312408</v>
      </c>
      <c r="F30" s="14">
        <v>0.99639584487870281</v>
      </c>
    </row>
    <row r="31" spans="1:6" x14ac:dyDescent="0.2">
      <c r="A31" s="7" t="s">
        <v>235</v>
      </c>
      <c r="B31" s="7" t="s">
        <v>236</v>
      </c>
      <c r="C31" s="7" t="s">
        <v>64</v>
      </c>
      <c r="D31" s="18">
        <v>36251</v>
      </c>
      <c r="E31" s="14">
        <v>251.4550615</v>
      </c>
      <c r="F31" s="14">
        <v>0.94435379159620247</v>
      </c>
    </row>
    <row r="32" spans="1:6" x14ac:dyDescent="0.2">
      <c r="A32" s="7" t="s">
        <v>357</v>
      </c>
      <c r="B32" s="7" t="s">
        <v>358</v>
      </c>
      <c r="C32" s="7" t="s">
        <v>28</v>
      </c>
      <c r="D32" s="18">
        <v>3479</v>
      </c>
      <c r="E32" s="14">
        <v>247.6891445</v>
      </c>
      <c r="F32" s="14">
        <v>0.93021067601693397</v>
      </c>
    </row>
    <row r="33" spans="1:6" x14ac:dyDescent="0.2">
      <c r="A33" s="7" t="s">
        <v>106</v>
      </c>
      <c r="B33" s="7" t="s">
        <v>107</v>
      </c>
      <c r="C33" s="7" t="s">
        <v>53</v>
      </c>
      <c r="D33" s="18">
        <v>6005</v>
      </c>
      <c r="E33" s="14">
        <v>243.33761250000001</v>
      </c>
      <c r="F33" s="14">
        <v>0.91386824998288019</v>
      </c>
    </row>
    <row r="34" spans="1:6" x14ac:dyDescent="0.2">
      <c r="A34" s="7" t="s">
        <v>399</v>
      </c>
      <c r="B34" s="7" t="s">
        <v>400</v>
      </c>
      <c r="C34" s="7" t="s">
        <v>64</v>
      </c>
      <c r="D34" s="18">
        <v>90289</v>
      </c>
      <c r="E34" s="14">
        <v>229.69521599999999</v>
      </c>
      <c r="F34" s="14">
        <v>0.86263345365632549</v>
      </c>
    </row>
    <row r="35" spans="1:6" x14ac:dyDescent="0.2">
      <c r="A35" s="7" t="s">
        <v>119</v>
      </c>
      <c r="B35" s="7" t="s">
        <v>120</v>
      </c>
      <c r="C35" s="7" t="s">
        <v>51</v>
      </c>
      <c r="D35" s="18">
        <v>180964</v>
      </c>
      <c r="E35" s="14">
        <v>219.32836800000001</v>
      </c>
      <c r="F35" s="14">
        <v>0.82370016610465902</v>
      </c>
    </row>
    <row r="36" spans="1:6" x14ac:dyDescent="0.2">
      <c r="A36" s="7" t="s">
        <v>320</v>
      </c>
      <c r="B36" s="7" t="s">
        <v>321</v>
      </c>
      <c r="C36" s="7" t="s">
        <v>40</v>
      </c>
      <c r="D36" s="18">
        <v>7492</v>
      </c>
      <c r="E36" s="14">
        <v>208.89943600000001</v>
      </c>
      <c r="F36" s="14">
        <v>0.78453371855832876</v>
      </c>
    </row>
    <row r="37" spans="1:6" x14ac:dyDescent="0.2">
      <c r="A37" s="7" t="s">
        <v>121</v>
      </c>
      <c r="B37" s="7" t="s">
        <v>122</v>
      </c>
      <c r="C37" s="7" t="s">
        <v>40</v>
      </c>
      <c r="D37" s="18">
        <v>7469</v>
      </c>
      <c r="E37" s="14">
        <v>192.1064145</v>
      </c>
      <c r="F37" s="14">
        <v>0.7214665707694522</v>
      </c>
    </row>
    <row r="38" spans="1:6" x14ac:dyDescent="0.2">
      <c r="A38" s="7" t="s">
        <v>308</v>
      </c>
      <c r="B38" s="7" t="s">
        <v>309</v>
      </c>
      <c r="C38" s="7" t="s">
        <v>310</v>
      </c>
      <c r="D38" s="18">
        <v>102833</v>
      </c>
      <c r="E38" s="14">
        <v>189.98396750000001</v>
      </c>
      <c r="F38" s="14">
        <v>0.71349560029084846</v>
      </c>
    </row>
    <row r="39" spans="1:6" x14ac:dyDescent="0.2">
      <c r="A39" s="7" t="s">
        <v>401</v>
      </c>
      <c r="B39" s="7" t="s">
        <v>402</v>
      </c>
      <c r="C39" s="7" t="s">
        <v>37</v>
      </c>
      <c r="D39" s="18">
        <v>6775</v>
      </c>
      <c r="E39" s="14">
        <v>183.0367875</v>
      </c>
      <c r="F39" s="14">
        <v>0.68740507049691424</v>
      </c>
    </row>
    <row r="40" spans="1:6" x14ac:dyDescent="0.2">
      <c r="A40" s="7" t="s">
        <v>160</v>
      </c>
      <c r="B40" s="7" t="s">
        <v>161</v>
      </c>
      <c r="C40" s="7" t="s">
        <v>162</v>
      </c>
      <c r="D40" s="18">
        <v>6977</v>
      </c>
      <c r="E40" s="14">
        <v>178.43677500000001</v>
      </c>
      <c r="F40" s="14">
        <v>0.67012946180623412</v>
      </c>
    </row>
    <row r="41" spans="1:6" x14ac:dyDescent="0.2">
      <c r="A41" s="7" t="s">
        <v>403</v>
      </c>
      <c r="B41" s="7" t="s">
        <v>404</v>
      </c>
      <c r="C41" s="7" t="s">
        <v>295</v>
      </c>
      <c r="D41" s="18">
        <v>31651</v>
      </c>
      <c r="E41" s="14">
        <v>178.258432</v>
      </c>
      <c r="F41" s="14">
        <v>0.66945968452177629</v>
      </c>
    </row>
    <row r="42" spans="1:6" x14ac:dyDescent="0.2">
      <c r="A42" s="7" t="s">
        <v>104</v>
      </c>
      <c r="B42" s="7" t="s">
        <v>105</v>
      </c>
      <c r="C42" s="7" t="s">
        <v>96</v>
      </c>
      <c r="D42" s="18">
        <v>140837</v>
      </c>
      <c r="E42" s="14">
        <v>172.45490649999999</v>
      </c>
      <c r="F42" s="14">
        <v>0.6476642142780793</v>
      </c>
    </row>
    <row r="43" spans="1:6" x14ac:dyDescent="0.2">
      <c r="A43" s="7" t="s">
        <v>405</v>
      </c>
      <c r="B43" s="7" t="s">
        <v>406</v>
      </c>
      <c r="C43" s="7" t="s">
        <v>110</v>
      </c>
      <c r="D43" s="18">
        <v>45280</v>
      </c>
      <c r="E43" s="14">
        <v>165.58895999999999</v>
      </c>
      <c r="F43" s="14">
        <v>0.62187876151569099</v>
      </c>
    </row>
    <row r="44" spans="1:6" x14ac:dyDescent="0.2">
      <c r="A44" s="7" t="s">
        <v>94</v>
      </c>
      <c r="B44" s="7" t="s">
        <v>95</v>
      </c>
      <c r="C44" s="7" t="s">
        <v>96</v>
      </c>
      <c r="D44" s="18">
        <v>46182</v>
      </c>
      <c r="E44" s="14">
        <v>164.061555</v>
      </c>
      <c r="F44" s="14">
        <v>0.61614250512678159</v>
      </c>
    </row>
    <row r="45" spans="1:6" x14ac:dyDescent="0.2">
      <c r="A45" s="7" t="s">
        <v>172</v>
      </c>
      <c r="B45" s="7" t="s">
        <v>173</v>
      </c>
      <c r="C45" s="7" t="s">
        <v>53</v>
      </c>
      <c r="D45" s="18">
        <v>22702</v>
      </c>
      <c r="E45" s="14">
        <v>161.399869</v>
      </c>
      <c r="F45" s="14">
        <v>0.60614639190024966</v>
      </c>
    </row>
    <row r="46" spans="1:6" x14ac:dyDescent="0.2">
      <c r="A46" s="7" t="s">
        <v>23</v>
      </c>
      <c r="B46" s="7" t="s">
        <v>24</v>
      </c>
      <c r="C46" s="7" t="s">
        <v>25</v>
      </c>
      <c r="D46" s="18">
        <v>83995</v>
      </c>
      <c r="E46" s="14">
        <v>154.9287775</v>
      </c>
      <c r="F46" s="14">
        <v>0.58184383955814478</v>
      </c>
    </row>
    <row r="47" spans="1:6" x14ac:dyDescent="0.2">
      <c r="A47" s="7" t="s">
        <v>243</v>
      </c>
      <c r="B47" s="7" t="s">
        <v>244</v>
      </c>
      <c r="C47" s="7" t="s">
        <v>245</v>
      </c>
      <c r="D47" s="18">
        <v>43427</v>
      </c>
      <c r="E47" s="14">
        <v>149.77972299999999</v>
      </c>
      <c r="F47" s="14">
        <v>0.56250627239523254</v>
      </c>
    </row>
    <row r="48" spans="1:6" x14ac:dyDescent="0.2">
      <c r="A48" s="7" t="s">
        <v>407</v>
      </c>
      <c r="B48" s="7" t="s">
        <v>408</v>
      </c>
      <c r="C48" s="7" t="s">
        <v>25</v>
      </c>
      <c r="D48" s="18">
        <v>104803</v>
      </c>
      <c r="E48" s="14">
        <v>145.83337449999999</v>
      </c>
      <c r="F48" s="14">
        <v>0.54768553605091763</v>
      </c>
    </row>
    <row r="49" spans="1:6" x14ac:dyDescent="0.2">
      <c r="A49" s="7" t="s">
        <v>115</v>
      </c>
      <c r="B49" s="7" t="s">
        <v>116</v>
      </c>
      <c r="C49" s="7" t="s">
        <v>103</v>
      </c>
      <c r="D49" s="18">
        <v>106398</v>
      </c>
      <c r="E49" s="14">
        <v>138.10460399999999</v>
      </c>
      <c r="F49" s="14">
        <v>0.51865969866067729</v>
      </c>
    </row>
    <row r="50" spans="1:6" x14ac:dyDescent="0.2">
      <c r="A50" s="7" t="s">
        <v>409</v>
      </c>
      <c r="B50" s="7" t="s">
        <v>410</v>
      </c>
      <c r="C50" s="7" t="s">
        <v>162</v>
      </c>
      <c r="D50" s="18">
        <v>29207</v>
      </c>
      <c r="E50" s="14">
        <v>137.9884715</v>
      </c>
      <c r="F50" s="14">
        <v>0.51822355644883111</v>
      </c>
    </row>
    <row r="51" spans="1:6" x14ac:dyDescent="0.2">
      <c r="A51" s="7" t="s">
        <v>411</v>
      </c>
      <c r="B51" s="7" t="s">
        <v>412</v>
      </c>
      <c r="C51" s="7" t="s">
        <v>40</v>
      </c>
      <c r="D51" s="18">
        <v>800</v>
      </c>
      <c r="E51" s="14">
        <v>130.0676</v>
      </c>
      <c r="F51" s="14">
        <v>0.48847627282228412</v>
      </c>
    </row>
    <row r="52" spans="1:6" x14ac:dyDescent="0.2">
      <c r="A52" s="7" t="s">
        <v>413</v>
      </c>
      <c r="B52" s="7" t="s">
        <v>414</v>
      </c>
      <c r="C52" s="7" t="s">
        <v>60</v>
      </c>
      <c r="D52" s="18">
        <v>34264</v>
      </c>
      <c r="E52" s="14">
        <v>127.838984</v>
      </c>
      <c r="F52" s="14">
        <v>0.48010657862302081</v>
      </c>
    </row>
    <row r="53" spans="1:6" x14ac:dyDescent="0.2">
      <c r="A53" s="7" t="s">
        <v>415</v>
      </c>
      <c r="B53" s="7" t="s">
        <v>416</v>
      </c>
      <c r="C53" s="7" t="s">
        <v>245</v>
      </c>
      <c r="D53" s="18">
        <v>58415</v>
      </c>
      <c r="E53" s="14">
        <v>127.02341749999999</v>
      </c>
      <c r="F53" s="14">
        <v>0.47704367222543437</v>
      </c>
    </row>
    <row r="54" spans="1:6" x14ac:dyDescent="0.2">
      <c r="A54" s="7" t="s">
        <v>417</v>
      </c>
      <c r="B54" s="7" t="s">
        <v>418</v>
      </c>
      <c r="C54" s="7" t="s">
        <v>419</v>
      </c>
      <c r="D54" s="18">
        <v>48955</v>
      </c>
      <c r="E54" s="14">
        <v>122.6077975</v>
      </c>
      <c r="F54" s="14">
        <v>0.46046056006068664</v>
      </c>
    </row>
    <row r="55" spans="1:6" x14ac:dyDescent="0.2">
      <c r="A55" s="7" t="s">
        <v>38</v>
      </c>
      <c r="B55" s="7" t="s">
        <v>39</v>
      </c>
      <c r="C55" s="7" t="s">
        <v>40</v>
      </c>
      <c r="D55" s="18">
        <v>103003</v>
      </c>
      <c r="E55" s="14">
        <v>120.20450099999999</v>
      </c>
      <c r="F55" s="14">
        <v>0.45143484330411665</v>
      </c>
    </row>
    <row r="56" spans="1:6" x14ac:dyDescent="0.2">
      <c r="A56" s="7" t="s">
        <v>420</v>
      </c>
      <c r="B56" s="7" t="s">
        <v>421</v>
      </c>
      <c r="C56" s="7" t="s">
        <v>28</v>
      </c>
      <c r="D56" s="18">
        <v>19189</v>
      </c>
      <c r="E56" s="14">
        <v>87.377111499999998</v>
      </c>
      <c r="F56" s="14">
        <v>0.32814971411402333</v>
      </c>
    </row>
    <row r="57" spans="1:6" x14ac:dyDescent="0.2">
      <c r="A57" s="7" t="s">
        <v>184</v>
      </c>
      <c r="B57" s="7" t="s">
        <v>185</v>
      </c>
      <c r="C57" s="7" t="s">
        <v>12</v>
      </c>
      <c r="D57" s="18">
        <v>106652</v>
      </c>
      <c r="E57" s="14">
        <v>63.937874000000001</v>
      </c>
      <c r="F57" s="14">
        <v>0.24012232395847105</v>
      </c>
    </row>
    <row r="58" spans="1:6" x14ac:dyDescent="0.2">
      <c r="A58" s="6" t="s">
        <v>44</v>
      </c>
      <c r="B58" s="7"/>
      <c r="C58" s="7"/>
      <c r="D58" s="18"/>
      <c r="E58" s="20">
        <f xml:space="preserve"> SUM(E8:E57)</f>
        <v>25856.358232999995</v>
      </c>
      <c r="F58" s="20">
        <f>SUM(F8:F57)</f>
        <v>97.105024605771362</v>
      </c>
    </row>
    <row r="59" spans="1:6" x14ac:dyDescent="0.2">
      <c r="A59" s="7"/>
      <c r="B59" s="7"/>
      <c r="C59" s="7"/>
      <c r="D59" s="18"/>
      <c r="E59" s="14"/>
      <c r="F59" s="14"/>
    </row>
    <row r="60" spans="1:6" x14ac:dyDescent="0.2">
      <c r="A60" s="6" t="s">
        <v>359</v>
      </c>
      <c r="B60" s="7"/>
      <c r="C60" s="7"/>
      <c r="D60" s="18"/>
      <c r="E60" s="14"/>
      <c r="F60" s="14"/>
    </row>
    <row r="61" spans="1:6" x14ac:dyDescent="0.2">
      <c r="A61" s="6" t="s">
        <v>8</v>
      </c>
      <c r="B61" s="7"/>
      <c r="C61" s="7"/>
      <c r="D61" s="18"/>
      <c r="E61" s="14"/>
      <c r="F61" s="14"/>
    </row>
    <row r="62" spans="1:6" x14ac:dyDescent="0.2">
      <c r="A62" s="26"/>
      <c r="B62" s="7"/>
      <c r="C62" s="7"/>
      <c r="D62" s="18"/>
      <c r="E62" s="14"/>
      <c r="F62" s="14"/>
    </row>
    <row r="63" spans="1:6" s="31" customFormat="1" x14ac:dyDescent="0.2">
      <c r="A63" s="27" t="s">
        <v>422</v>
      </c>
      <c r="B63" s="27" t="str">
        <f>VLOOKUP(A63,[1]Bonds!$B$1:$K$781,10,0)</f>
        <v>8.00% Britannia Industries Ltd (28-Aug-2022) **</v>
      </c>
      <c r="C63" s="27" t="s">
        <v>361</v>
      </c>
      <c r="D63" s="29">
        <v>6775</v>
      </c>
      <c r="E63" s="30">
        <v>2.0321883999999999</v>
      </c>
      <c r="F63" s="30">
        <v>7.6319991704673646E-3</v>
      </c>
    </row>
    <row r="64" spans="1:6" x14ac:dyDescent="0.2">
      <c r="A64" s="6" t="s">
        <v>44</v>
      </c>
      <c r="B64" s="7"/>
      <c r="C64" s="7"/>
      <c r="D64" s="18"/>
      <c r="E64" s="20">
        <f>SUM(E63:E63)</f>
        <v>2.0321883999999999</v>
      </c>
      <c r="F64" s="20">
        <f>SUM(F63:F63)</f>
        <v>7.6319991704673646E-3</v>
      </c>
    </row>
    <row r="65" spans="1:6" x14ac:dyDescent="0.2">
      <c r="A65" s="7"/>
      <c r="B65" s="7"/>
      <c r="C65" s="7"/>
      <c r="D65" s="18"/>
      <c r="E65" s="14"/>
      <c r="F65" s="14"/>
    </row>
    <row r="66" spans="1:6" x14ac:dyDescent="0.2">
      <c r="A66" s="6" t="s">
        <v>44</v>
      </c>
      <c r="B66" s="7"/>
      <c r="C66" s="7"/>
      <c r="D66" s="18"/>
      <c r="E66" s="20">
        <v>25858.390421399996</v>
      </c>
      <c r="F66" s="20">
        <v>97.112656604941833</v>
      </c>
    </row>
    <row r="67" spans="1:6" x14ac:dyDescent="0.2">
      <c r="A67" s="7"/>
      <c r="B67" s="7"/>
      <c r="C67" s="7"/>
      <c r="D67" s="18"/>
      <c r="E67" s="14"/>
      <c r="F67" s="14"/>
    </row>
    <row r="68" spans="1:6" x14ac:dyDescent="0.2">
      <c r="A68" s="6" t="s">
        <v>76</v>
      </c>
      <c r="B68" s="7"/>
      <c r="C68" s="7"/>
      <c r="D68" s="18"/>
      <c r="E68" s="20">
        <v>768.81897170000002</v>
      </c>
      <c r="F68" s="20">
        <v>2.89</v>
      </c>
    </row>
    <row r="69" spans="1:6" x14ac:dyDescent="0.2">
      <c r="A69" s="7"/>
      <c r="B69" s="7"/>
      <c r="C69" s="7"/>
      <c r="D69" s="18"/>
      <c r="E69" s="14"/>
      <c r="F69" s="14"/>
    </row>
    <row r="70" spans="1:6" x14ac:dyDescent="0.2">
      <c r="A70" s="8" t="s">
        <v>77</v>
      </c>
      <c r="B70" s="5"/>
      <c r="C70" s="5"/>
      <c r="D70" s="17"/>
      <c r="E70" s="21">
        <v>26627.209393099994</v>
      </c>
      <c r="F70" s="21">
        <f xml:space="preserve"> ROUND(SUM(F66:F69),2)</f>
        <v>100</v>
      </c>
    </row>
    <row r="71" spans="1:6" x14ac:dyDescent="0.2">
      <c r="A71" s="52" t="s">
        <v>619</v>
      </c>
      <c r="B71" s="2"/>
      <c r="C71" s="2"/>
      <c r="D71" s="2"/>
      <c r="E71" s="1"/>
    </row>
    <row r="72" spans="1:6" x14ac:dyDescent="0.2">
      <c r="A72" s="2"/>
      <c r="B72" s="2"/>
      <c r="C72" s="2"/>
      <c r="D72" s="2"/>
      <c r="E72" s="1"/>
    </row>
    <row r="73" spans="1:6" x14ac:dyDescent="0.2">
      <c r="A73" s="4" t="s">
        <v>78</v>
      </c>
      <c r="B73" s="2"/>
      <c r="C73" s="2"/>
      <c r="D73" s="2"/>
      <c r="E73" s="1"/>
    </row>
    <row r="74" spans="1:6" x14ac:dyDescent="0.2">
      <c r="A74" s="4" t="s">
        <v>79</v>
      </c>
      <c r="B74" s="2"/>
      <c r="C74" s="2"/>
      <c r="D74" s="2"/>
      <c r="E74" s="1"/>
    </row>
    <row r="75" spans="1:6" x14ac:dyDescent="0.2">
      <c r="A75" s="4" t="s">
        <v>80</v>
      </c>
      <c r="B75" s="2"/>
      <c r="C75" s="2"/>
      <c r="D75" s="2"/>
      <c r="E75" s="1"/>
    </row>
    <row r="76" spans="1:6" x14ac:dyDescent="0.2">
      <c r="A76" s="2" t="s">
        <v>638</v>
      </c>
      <c r="B76" s="2"/>
      <c r="C76" s="2"/>
      <c r="D76" s="10">
        <v>85.365499999999997</v>
      </c>
      <c r="E76" s="2"/>
    </row>
    <row r="77" spans="1:6" x14ac:dyDescent="0.2">
      <c r="A77" s="2" t="s">
        <v>639</v>
      </c>
      <c r="B77" s="2"/>
      <c r="C77" s="2"/>
      <c r="D77" s="10">
        <v>85.365499999999997</v>
      </c>
      <c r="E77" s="2"/>
    </row>
    <row r="78" spans="1:6" x14ac:dyDescent="0.2">
      <c r="A78" s="2" t="s">
        <v>640</v>
      </c>
      <c r="B78" s="2"/>
      <c r="C78" s="2"/>
      <c r="D78" s="10">
        <v>87.358800000000002</v>
      </c>
      <c r="E78" s="2"/>
    </row>
    <row r="79" spans="1:6" x14ac:dyDescent="0.2">
      <c r="A79" s="2" t="s">
        <v>641</v>
      </c>
      <c r="B79" s="2"/>
      <c r="C79" s="2"/>
      <c r="D79" s="10">
        <v>87.358800000000002</v>
      </c>
      <c r="E79" s="2"/>
    </row>
    <row r="80" spans="1:6" x14ac:dyDescent="0.2">
      <c r="A80" s="2"/>
      <c r="B80" s="2"/>
      <c r="C80" s="2"/>
      <c r="D80" s="10"/>
      <c r="E80" s="2"/>
    </row>
    <row r="81" spans="1:5" x14ac:dyDescent="0.2">
      <c r="A81" s="4" t="s">
        <v>81</v>
      </c>
      <c r="B81" s="2"/>
      <c r="C81" s="2"/>
      <c r="D81" s="2"/>
      <c r="E81" s="2"/>
    </row>
    <row r="82" spans="1:5" x14ac:dyDescent="0.2">
      <c r="A82" s="2" t="s">
        <v>638</v>
      </c>
      <c r="B82" s="2"/>
      <c r="C82" s="2"/>
      <c r="D82" s="10">
        <v>87.496200000000002</v>
      </c>
      <c r="E82" s="2"/>
    </row>
    <row r="83" spans="1:5" x14ac:dyDescent="0.2">
      <c r="A83" s="2" t="s">
        <v>639</v>
      </c>
      <c r="B83" s="2"/>
      <c r="C83" s="2"/>
      <c r="D83" s="10">
        <v>87.496200000000002</v>
      </c>
      <c r="E83" s="2"/>
    </row>
    <row r="84" spans="1:5" x14ac:dyDescent="0.2">
      <c r="A84" s="2" t="s">
        <v>640</v>
      </c>
      <c r="B84" s="2"/>
      <c r="C84" s="2"/>
      <c r="D84" s="10">
        <v>89.722800000000007</v>
      </c>
      <c r="E84" s="2"/>
    </row>
    <row r="85" spans="1:5" x14ac:dyDescent="0.2">
      <c r="A85" s="2" t="s">
        <v>641</v>
      </c>
      <c r="B85" s="2"/>
      <c r="C85" s="2"/>
      <c r="D85" s="10">
        <v>89.722800000000007</v>
      </c>
      <c r="E85" s="2"/>
    </row>
    <row r="86" spans="1:5" x14ac:dyDescent="0.2">
      <c r="A86" s="2"/>
      <c r="B86" s="2"/>
      <c r="C86" s="2"/>
      <c r="D86" s="2"/>
      <c r="E86" s="1"/>
    </row>
    <row r="87" spans="1:5" x14ac:dyDescent="0.2">
      <c r="A87" s="4" t="s">
        <v>82</v>
      </c>
      <c r="B87" s="2"/>
      <c r="C87" s="2"/>
      <c r="D87" s="44" t="s">
        <v>83</v>
      </c>
      <c r="E87" s="1"/>
    </row>
    <row r="88" spans="1:5" x14ac:dyDescent="0.2">
      <c r="A88" s="4"/>
      <c r="B88" s="2"/>
      <c r="C88" s="2"/>
      <c r="D88" s="44"/>
      <c r="E88" s="1"/>
    </row>
    <row r="89" spans="1:5" x14ac:dyDescent="0.2">
      <c r="A89" s="9" t="s">
        <v>646</v>
      </c>
      <c r="B89" s="2"/>
      <c r="C89" s="2"/>
      <c r="D89" s="51">
        <v>6.9140551727726943E-2</v>
      </c>
      <c r="E89" s="1"/>
    </row>
    <row r="90" spans="1:5" x14ac:dyDescent="0.2">
      <c r="A90" s="2"/>
      <c r="B90" s="2"/>
      <c r="C90" s="2"/>
      <c r="D90" s="2"/>
      <c r="E90" s="1"/>
    </row>
    <row r="91" spans="1:5" x14ac:dyDescent="0.2">
      <c r="A91" s="4" t="s">
        <v>649</v>
      </c>
      <c r="B91" s="2"/>
      <c r="C91" s="2"/>
      <c r="D91" s="53">
        <v>2.2812587684402447E-4</v>
      </c>
      <c r="E91" s="1" t="s">
        <v>648</v>
      </c>
    </row>
  </sheetData>
  <mergeCells count="1">
    <mergeCell ref="A1:F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B9DAF-EC09-4D79-B8BA-CFBCF89D3847}">
  <dimension ref="A1:E33"/>
  <sheetViews>
    <sheetView showGridLines="0" workbookViewId="0">
      <selection sqref="A1:E1"/>
    </sheetView>
  </sheetViews>
  <sheetFormatPr defaultRowHeight="11.25" x14ac:dyDescent="0.2"/>
  <cols>
    <col min="1" max="1" width="59.42578125" style="1" bestFit="1" customWidth="1"/>
    <col min="2" max="2" width="33.5703125" style="1" bestFit="1" customWidth="1"/>
    <col min="3" max="3" width="7.85546875" style="19" bestFit="1" customWidth="1"/>
    <col min="4" max="4" width="23.85546875" style="15" bestFit="1" customWidth="1"/>
    <col min="5" max="5" width="14" style="15" bestFit="1" customWidth="1"/>
    <col min="6" max="16384" width="9.140625" style="2"/>
  </cols>
  <sheetData>
    <row r="1" spans="1:5" x14ac:dyDescent="0.2">
      <c r="A1" s="99" t="s">
        <v>575</v>
      </c>
      <c r="B1" s="99"/>
      <c r="C1" s="99"/>
      <c r="D1" s="99"/>
      <c r="E1" s="99"/>
    </row>
    <row r="3" spans="1:5" s="4" customFormat="1" x14ac:dyDescent="0.2">
      <c r="A3" s="3" t="s">
        <v>1</v>
      </c>
      <c r="B3" s="3" t="s">
        <v>2</v>
      </c>
      <c r="C3" s="16" t="s">
        <v>4</v>
      </c>
      <c r="D3" s="12" t="s">
        <v>5</v>
      </c>
      <c r="E3" s="12" t="s">
        <v>6</v>
      </c>
    </row>
    <row r="4" spans="1:5" x14ac:dyDescent="0.2">
      <c r="A4" s="5"/>
      <c r="B4" s="5"/>
      <c r="C4" s="17"/>
      <c r="D4" s="13"/>
      <c r="E4" s="13"/>
    </row>
    <row r="5" spans="1:5" x14ac:dyDescent="0.2">
      <c r="A5" s="6" t="s">
        <v>583</v>
      </c>
      <c r="B5" s="7"/>
      <c r="C5" s="18"/>
      <c r="D5" s="14"/>
      <c r="E5" s="14"/>
    </row>
    <row r="6" spans="1:5" x14ac:dyDescent="0.2">
      <c r="A6" s="27" t="s">
        <v>617</v>
      </c>
      <c r="B6" s="22" t="s">
        <v>584</v>
      </c>
      <c r="C6" s="23">
        <v>2769331.023</v>
      </c>
      <c r="D6" s="24">
        <v>95304.837620000006</v>
      </c>
      <c r="E6" s="24">
        <v>99.839044233702325</v>
      </c>
    </row>
    <row r="7" spans="1:5" x14ac:dyDescent="0.2">
      <c r="A7" s="7"/>
      <c r="B7" s="22"/>
      <c r="C7" s="23"/>
      <c r="D7" s="25">
        <f>SUM(D6)</f>
        <v>95304.837620000006</v>
      </c>
      <c r="E7" s="25">
        <f>SUM(E6)</f>
        <v>99.839044233702325</v>
      </c>
    </row>
    <row r="8" spans="1:5" x14ac:dyDescent="0.2">
      <c r="A8" s="7"/>
      <c r="B8" s="7"/>
      <c r="C8" s="18"/>
      <c r="D8" s="14"/>
      <c r="E8" s="14"/>
    </row>
    <row r="9" spans="1:5" x14ac:dyDescent="0.2">
      <c r="A9" s="6" t="s">
        <v>44</v>
      </c>
      <c r="B9" s="7"/>
      <c r="C9" s="18"/>
      <c r="D9" s="20">
        <f>D7</f>
        <v>95304.837620000006</v>
      </c>
      <c r="E9" s="20">
        <f>E7</f>
        <v>99.839044233702325</v>
      </c>
    </row>
    <row r="10" spans="1:5" x14ac:dyDescent="0.2">
      <c r="A10" s="7"/>
      <c r="B10" s="7"/>
      <c r="C10" s="18"/>
      <c r="D10" s="14"/>
      <c r="E10" s="14"/>
    </row>
    <row r="11" spans="1:5" x14ac:dyDescent="0.2">
      <c r="A11" s="6" t="s">
        <v>76</v>
      </c>
      <c r="B11" s="7"/>
      <c r="C11" s="18"/>
      <c r="D11" s="20">
        <v>153.6459337</v>
      </c>
      <c r="E11" s="20">
        <v>0.16</v>
      </c>
    </row>
    <row r="12" spans="1:5" x14ac:dyDescent="0.2">
      <c r="A12" s="7"/>
      <c r="B12" s="7"/>
      <c r="C12" s="18"/>
      <c r="D12" s="14"/>
      <c r="E12" s="14"/>
    </row>
    <row r="13" spans="1:5" x14ac:dyDescent="0.2">
      <c r="A13" s="8" t="s">
        <v>77</v>
      </c>
      <c r="B13" s="5"/>
      <c r="C13" s="17"/>
      <c r="D13" s="21">
        <f>D9+D11</f>
        <v>95458.483553700004</v>
      </c>
      <c r="E13" s="21">
        <f>E9+E11</f>
        <v>99.999044233702321</v>
      </c>
    </row>
    <row r="14" spans="1:5" x14ac:dyDescent="0.2">
      <c r="A14" s="2"/>
      <c r="B14" s="2"/>
      <c r="C14" s="2"/>
      <c r="D14" s="2"/>
      <c r="E14" s="1"/>
    </row>
    <row r="15" spans="1:5" x14ac:dyDescent="0.2">
      <c r="A15" s="4" t="s">
        <v>78</v>
      </c>
      <c r="B15" s="2"/>
      <c r="C15" s="2"/>
      <c r="D15" s="2"/>
      <c r="E15" s="1"/>
    </row>
    <row r="16" spans="1:5" x14ac:dyDescent="0.2">
      <c r="A16" s="4" t="s">
        <v>79</v>
      </c>
      <c r="B16" s="2"/>
      <c r="C16" s="2"/>
      <c r="D16" s="2"/>
      <c r="E16" s="1"/>
    </row>
    <row r="17" spans="1:5" x14ac:dyDescent="0.2">
      <c r="A17" s="4" t="s">
        <v>80</v>
      </c>
      <c r="B17" s="2"/>
      <c r="C17" s="2"/>
      <c r="D17" s="2"/>
      <c r="E17" s="1"/>
    </row>
    <row r="18" spans="1:5" x14ac:dyDescent="0.2">
      <c r="A18" s="2" t="s">
        <v>638</v>
      </c>
      <c r="B18" s="2"/>
      <c r="C18" s="2"/>
      <c r="D18" s="10">
        <v>30.2577</v>
      </c>
      <c r="E18" s="2"/>
    </row>
    <row r="19" spans="1:5" x14ac:dyDescent="0.2">
      <c r="A19" s="2" t="s">
        <v>639</v>
      </c>
      <c r="B19" s="2"/>
      <c r="C19" s="2"/>
      <c r="D19" s="10">
        <v>30.2577</v>
      </c>
      <c r="E19" s="2"/>
    </row>
    <row r="20" spans="1:5" x14ac:dyDescent="0.2">
      <c r="A20" s="2" t="s">
        <v>640</v>
      </c>
      <c r="B20" s="2"/>
      <c r="C20" s="2"/>
      <c r="D20" s="10">
        <v>32.132300000000001</v>
      </c>
      <c r="E20" s="2"/>
    </row>
    <row r="21" spans="1:5" x14ac:dyDescent="0.2">
      <c r="A21" s="2" t="s">
        <v>641</v>
      </c>
      <c r="B21" s="2"/>
      <c r="C21" s="2"/>
      <c r="D21" s="10">
        <v>32.132300000000001</v>
      </c>
      <c r="E21" s="2"/>
    </row>
    <row r="22" spans="1:5" x14ac:dyDescent="0.2">
      <c r="A22" s="2"/>
      <c r="B22" s="2"/>
      <c r="C22" s="2"/>
      <c r="D22" s="10"/>
      <c r="E22" s="2"/>
    </row>
    <row r="23" spans="1:5" x14ac:dyDescent="0.2">
      <c r="A23" s="4" t="s">
        <v>81</v>
      </c>
      <c r="B23" s="2"/>
      <c r="C23" s="2"/>
      <c r="D23" s="2"/>
      <c r="E23" s="2"/>
    </row>
    <row r="24" spans="1:5" x14ac:dyDescent="0.2">
      <c r="A24" s="2" t="s">
        <v>638</v>
      </c>
      <c r="B24" s="2"/>
      <c r="C24" s="2"/>
      <c r="D24" s="10">
        <v>32.931399999999996</v>
      </c>
      <c r="E24" s="2"/>
    </row>
    <row r="25" spans="1:5" x14ac:dyDescent="0.2">
      <c r="A25" s="2" t="s">
        <v>639</v>
      </c>
      <c r="B25" s="2"/>
      <c r="C25" s="2"/>
      <c r="D25" s="10">
        <v>32.931399999999996</v>
      </c>
      <c r="E25" s="2"/>
    </row>
    <row r="26" spans="1:5" x14ac:dyDescent="0.2">
      <c r="A26" s="2" t="s">
        <v>640</v>
      </c>
      <c r="B26" s="2"/>
      <c r="C26" s="2"/>
      <c r="D26" s="10">
        <v>35.1218</v>
      </c>
      <c r="E26" s="2"/>
    </row>
    <row r="27" spans="1:5" x14ac:dyDescent="0.2">
      <c r="A27" s="2" t="s">
        <v>641</v>
      </c>
      <c r="B27" s="2"/>
      <c r="C27" s="2"/>
      <c r="D27" s="10">
        <v>35.1218</v>
      </c>
      <c r="E27" s="2"/>
    </row>
    <row r="28" spans="1:5" x14ac:dyDescent="0.2">
      <c r="A28" s="2"/>
      <c r="B28" s="2"/>
      <c r="C28" s="2"/>
      <c r="D28" s="2"/>
      <c r="E28" s="1"/>
    </row>
    <row r="29" spans="1:5" x14ac:dyDescent="0.2">
      <c r="A29" s="4" t="s">
        <v>82</v>
      </c>
      <c r="B29" s="2"/>
      <c r="C29" s="2"/>
      <c r="D29" s="44" t="s">
        <v>83</v>
      </c>
      <c r="E29" s="1"/>
    </row>
    <row r="30" spans="1:5" x14ac:dyDescent="0.2">
      <c r="A30" s="4"/>
      <c r="B30" s="2"/>
      <c r="C30" s="2"/>
      <c r="D30" s="44"/>
      <c r="E30" s="1"/>
    </row>
    <row r="31" spans="1:5" x14ac:dyDescent="0.2">
      <c r="A31" s="9" t="s">
        <v>646</v>
      </c>
      <c r="B31" s="2"/>
      <c r="C31" s="2"/>
      <c r="D31" s="51">
        <v>2.0330790051681823E-2</v>
      </c>
      <c r="E31" s="1"/>
    </row>
    <row r="32" spans="1:5" x14ac:dyDescent="0.2">
      <c r="A32" s="2"/>
      <c r="B32" s="2"/>
      <c r="C32" s="2"/>
      <c r="D32" s="2"/>
      <c r="E32" s="1"/>
    </row>
    <row r="33" spans="1:5" x14ac:dyDescent="0.2">
      <c r="A33" s="2"/>
      <c r="B33" s="2"/>
      <c r="C33" s="2"/>
      <c r="D33" s="2"/>
      <c r="E33" s="1"/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9723E-5FD4-47A2-9B7A-5CFC5A06D319}">
  <dimension ref="A1:E35"/>
  <sheetViews>
    <sheetView showGridLines="0" workbookViewId="0">
      <selection sqref="A1:E1"/>
    </sheetView>
  </sheetViews>
  <sheetFormatPr defaultRowHeight="11.25" x14ac:dyDescent="0.2"/>
  <cols>
    <col min="1" max="1" width="59.42578125" style="1" bestFit="1" customWidth="1"/>
    <col min="2" max="2" width="33.5703125" style="1" bestFit="1" customWidth="1"/>
    <col min="3" max="3" width="7.85546875" style="19" bestFit="1" customWidth="1"/>
    <col min="4" max="4" width="23.85546875" style="15" bestFit="1" customWidth="1"/>
    <col min="5" max="5" width="14" style="15" bestFit="1" customWidth="1"/>
    <col min="6" max="16384" width="9.140625" style="2"/>
  </cols>
  <sheetData>
    <row r="1" spans="1:5" x14ac:dyDescent="0.2">
      <c r="A1" s="99" t="s">
        <v>152</v>
      </c>
      <c r="B1" s="99"/>
      <c r="C1" s="99"/>
      <c r="D1" s="99"/>
      <c r="E1" s="99"/>
    </row>
    <row r="3" spans="1:5" s="4" customFormat="1" x14ac:dyDescent="0.2">
      <c r="A3" s="3" t="s">
        <v>1</v>
      </c>
      <c r="B3" s="3" t="s">
        <v>2</v>
      </c>
      <c r="C3" s="16" t="s">
        <v>4</v>
      </c>
      <c r="D3" s="12" t="s">
        <v>5</v>
      </c>
      <c r="E3" s="12" t="s">
        <v>6</v>
      </c>
    </row>
    <row r="4" spans="1:5" x14ac:dyDescent="0.2">
      <c r="A4" s="5"/>
      <c r="B4" s="5"/>
      <c r="C4" s="17"/>
      <c r="D4" s="13"/>
      <c r="E4" s="13"/>
    </row>
    <row r="5" spans="1:5" x14ac:dyDescent="0.2">
      <c r="A5" s="6" t="s">
        <v>583</v>
      </c>
      <c r="B5" s="7"/>
      <c r="C5" s="18"/>
      <c r="D5" s="14"/>
      <c r="E5" s="14"/>
    </row>
    <row r="6" spans="1:5" x14ac:dyDescent="0.2">
      <c r="A6" s="27" t="s">
        <v>618</v>
      </c>
      <c r="B6" s="22" t="s">
        <v>601</v>
      </c>
      <c r="C6" s="23">
        <v>78357</v>
      </c>
      <c r="D6" s="24">
        <v>1800.48</v>
      </c>
      <c r="E6" s="24">
        <v>98.55</v>
      </c>
    </row>
    <row r="7" spans="1:5" x14ac:dyDescent="0.2">
      <c r="A7" s="6" t="s">
        <v>44</v>
      </c>
      <c r="B7" s="22"/>
      <c r="C7" s="23"/>
      <c r="D7" s="25">
        <f>SUM(D6)</f>
        <v>1800.48</v>
      </c>
      <c r="E7" s="25">
        <f>SUM(E6)</f>
        <v>98.55</v>
      </c>
    </row>
    <row r="8" spans="1:5" x14ac:dyDescent="0.2">
      <c r="A8" s="7"/>
      <c r="B8" s="7"/>
      <c r="C8" s="18"/>
      <c r="D8" s="14"/>
      <c r="E8" s="14"/>
    </row>
    <row r="9" spans="1:5" x14ac:dyDescent="0.2">
      <c r="A9" s="6" t="s">
        <v>44</v>
      </c>
      <c r="B9" s="7"/>
      <c r="C9" s="18"/>
      <c r="D9" s="20">
        <f>D7</f>
        <v>1800.48</v>
      </c>
      <c r="E9" s="20">
        <f>E7</f>
        <v>98.55</v>
      </c>
    </row>
    <row r="10" spans="1:5" x14ac:dyDescent="0.2">
      <c r="A10" s="7"/>
      <c r="B10" s="7"/>
      <c r="C10" s="18"/>
      <c r="D10" s="14"/>
      <c r="E10" s="14"/>
    </row>
    <row r="11" spans="1:5" x14ac:dyDescent="0.2">
      <c r="A11" s="6" t="s">
        <v>76</v>
      </c>
      <c r="B11" s="7"/>
      <c r="C11" s="18"/>
      <c r="D11" s="20">
        <v>26.531040500000003</v>
      </c>
      <c r="E11" s="20">
        <v>1.4521543150787317</v>
      </c>
    </row>
    <row r="12" spans="1:5" x14ac:dyDescent="0.2">
      <c r="A12" s="7"/>
      <c r="B12" s="7"/>
      <c r="C12" s="18"/>
      <c r="D12" s="14"/>
      <c r="E12" s="14"/>
    </row>
    <row r="13" spans="1:5" x14ac:dyDescent="0.2">
      <c r="A13" s="8" t="s">
        <v>77</v>
      </c>
      <c r="B13" s="5"/>
      <c r="C13" s="17"/>
      <c r="D13" s="21">
        <f>D9+D11</f>
        <v>1827.0110405</v>
      </c>
      <c r="E13" s="21">
        <f xml:space="preserve"> ROUND(SUM(E9:E12),2)</f>
        <v>100</v>
      </c>
    </row>
    <row r="14" spans="1:5" x14ac:dyDescent="0.2">
      <c r="A14" s="2"/>
      <c r="B14" s="2"/>
      <c r="C14" s="2"/>
      <c r="D14" s="2"/>
      <c r="E14" s="1"/>
    </row>
    <row r="15" spans="1:5" x14ac:dyDescent="0.2">
      <c r="A15" s="4" t="s">
        <v>78</v>
      </c>
      <c r="B15" s="2"/>
      <c r="C15" s="2"/>
      <c r="D15" s="2"/>
      <c r="E15" s="1"/>
    </row>
    <row r="16" spans="1:5" x14ac:dyDescent="0.2">
      <c r="A16" s="4" t="s">
        <v>79</v>
      </c>
      <c r="B16" s="2"/>
      <c r="C16" s="2"/>
      <c r="D16" s="2"/>
      <c r="E16" s="1"/>
    </row>
    <row r="17" spans="1:5" x14ac:dyDescent="0.2">
      <c r="A17" s="4" t="s">
        <v>80</v>
      </c>
      <c r="B17" s="2"/>
      <c r="C17" s="2"/>
      <c r="D17" s="2"/>
      <c r="E17" s="1"/>
    </row>
    <row r="18" spans="1:5" x14ac:dyDescent="0.2">
      <c r="A18" s="2" t="s">
        <v>638</v>
      </c>
      <c r="B18" s="2"/>
      <c r="C18" s="2"/>
      <c r="D18" s="10">
        <v>9.8156999999999996</v>
      </c>
      <c r="E18" s="2"/>
    </row>
    <row r="19" spans="1:5" x14ac:dyDescent="0.2">
      <c r="A19" s="2" t="s">
        <v>639</v>
      </c>
      <c r="B19" s="2"/>
      <c r="C19" s="2"/>
      <c r="D19" s="10">
        <v>9.8156999999999996</v>
      </c>
      <c r="E19" s="2"/>
    </row>
    <row r="20" spans="1:5" x14ac:dyDescent="0.2">
      <c r="A20" s="2" t="s">
        <v>640</v>
      </c>
      <c r="B20" s="2"/>
      <c r="C20" s="2"/>
      <c r="D20" s="10">
        <v>10.4505</v>
      </c>
      <c r="E20" s="2"/>
    </row>
    <row r="21" spans="1:5" x14ac:dyDescent="0.2">
      <c r="A21" s="2" t="s">
        <v>641</v>
      </c>
      <c r="B21" s="2"/>
      <c r="C21" s="2"/>
      <c r="D21" s="10">
        <v>10.4505</v>
      </c>
      <c r="E21" s="2"/>
    </row>
    <row r="22" spans="1:5" x14ac:dyDescent="0.2">
      <c r="A22" s="2"/>
      <c r="B22" s="2"/>
      <c r="C22" s="2"/>
      <c r="D22" s="10"/>
      <c r="E22" s="2"/>
    </row>
    <row r="23" spans="1:5" x14ac:dyDescent="0.2">
      <c r="A23" s="4" t="s">
        <v>81</v>
      </c>
      <c r="B23" s="2"/>
      <c r="C23" s="2"/>
      <c r="D23" s="2"/>
      <c r="E23" s="2"/>
    </row>
    <row r="24" spans="1:5" x14ac:dyDescent="0.2">
      <c r="A24" s="2" t="s">
        <v>638</v>
      </c>
      <c r="B24" s="2"/>
      <c r="C24" s="2"/>
      <c r="D24" s="10">
        <v>8.8282000000000007</v>
      </c>
      <c r="E24" s="2"/>
    </row>
    <row r="25" spans="1:5" x14ac:dyDescent="0.2">
      <c r="A25" s="2" t="s">
        <v>639</v>
      </c>
      <c r="B25" s="2"/>
      <c r="C25" s="2"/>
      <c r="D25" s="10">
        <v>8.8282000000000007</v>
      </c>
      <c r="E25" s="2"/>
    </row>
    <row r="26" spans="1:5" x14ac:dyDescent="0.2">
      <c r="A26" s="2" t="s">
        <v>640</v>
      </c>
      <c r="B26" s="2"/>
      <c r="C26" s="2"/>
      <c r="D26" s="10">
        <v>9.4472000000000005</v>
      </c>
      <c r="E26" s="2"/>
    </row>
    <row r="27" spans="1:5" x14ac:dyDescent="0.2">
      <c r="A27" s="2" t="s">
        <v>641</v>
      </c>
      <c r="B27" s="2"/>
      <c r="C27" s="2"/>
      <c r="D27" s="10">
        <v>9.4472000000000005</v>
      </c>
      <c r="E27" s="2"/>
    </row>
    <row r="28" spans="1:5" x14ac:dyDescent="0.2">
      <c r="A28" s="2"/>
      <c r="B28" s="2"/>
      <c r="C28" s="2"/>
      <c r="D28" s="2"/>
      <c r="E28" s="1"/>
    </row>
    <row r="29" spans="1:5" x14ac:dyDescent="0.2">
      <c r="A29" s="4" t="s">
        <v>82</v>
      </c>
      <c r="B29" s="2"/>
      <c r="C29" s="2"/>
      <c r="D29" s="44" t="s">
        <v>83</v>
      </c>
      <c r="E29" s="1"/>
    </row>
    <row r="30" spans="1:5" x14ac:dyDescent="0.2">
      <c r="A30" s="4"/>
      <c r="B30" s="2"/>
      <c r="C30" s="2"/>
      <c r="D30" s="44"/>
      <c r="E30" s="1"/>
    </row>
    <row r="31" spans="1:5" x14ac:dyDescent="0.2">
      <c r="A31" s="9" t="s">
        <v>646</v>
      </c>
      <c r="B31" s="2"/>
      <c r="C31" s="2"/>
      <c r="D31" s="51">
        <v>0.10486440056225962</v>
      </c>
      <c r="E31" s="1"/>
    </row>
    <row r="32" spans="1:5" x14ac:dyDescent="0.2">
      <c r="A32" s="2"/>
      <c r="B32" s="2"/>
      <c r="C32" s="2"/>
      <c r="D32" s="2"/>
      <c r="E32" s="1"/>
    </row>
    <row r="33" spans="1:5" x14ac:dyDescent="0.2">
      <c r="A33" s="2"/>
      <c r="B33" s="2"/>
      <c r="C33" s="2"/>
      <c r="D33" s="2"/>
      <c r="E33" s="1"/>
    </row>
    <row r="34" spans="1:5" x14ac:dyDescent="0.2">
      <c r="A34" s="2"/>
      <c r="B34" s="2"/>
      <c r="C34" s="2"/>
      <c r="D34" s="2"/>
      <c r="E34" s="1"/>
    </row>
    <row r="35" spans="1:5" x14ac:dyDescent="0.2">
      <c r="A35" s="2"/>
      <c r="B35" s="2"/>
      <c r="C35" s="2"/>
      <c r="D35" s="2"/>
      <c r="E35" s="1"/>
    </row>
  </sheetData>
  <mergeCells count="1">
    <mergeCell ref="A1:E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BD4A5-DB7D-4C1F-963F-83BB8D1A348B}">
  <dimension ref="A1:E36"/>
  <sheetViews>
    <sheetView showGridLines="0" workbookViewId="0">
      <selection sqref="A1:E1"/>
    </sheetView>
  </sheetViews>
  <sheetFormatPr defaultRowHeight="11.25" x14ac:dyDescent="0.2"/>
  <cols>
    <col min="1" max="1" width="59.42578125" style="1" bestFit="1" customWidth="1"/>
    <col min="2" max="2" width="38.140625" style="1" bestFit="1" customWidth="1"/>
    <col min="3" max="3" width="9.85546875" style="19" bestFit="1" customWidth="1"/>
    <col min="4" max="4" width="24" style="15" bestFit="1" customWidth="1"/>
    <col min="5" max="5" width="14.140625" style="15" bestFit="1" customWidth="1"/>
    <col min="6" max="16384" width="9.140625" style="2"/>
  </cols>
  <sheetData>
    <row r="1" spans="1:5" x14ac:dyDescent="0.2">
      <c r="A1" s="99" t="s">
        <v>425</v>
      </c>
      <c r="B1" s="99"/>
      <c r="C1" s="99"/>
      <c r="D1" s="99"/>
      <c r="E1" s="99"/>
    </row>
    <row r="3" spans="1:5" s="4" customFormat="1" x14ac:dyDescent="0.2">
      <c r="A3" s="3" t="s">
        <v>1</v>
      </c>
      <c r="B3" s="3" t="s">
        <v>2</v>
      </c>
      <c r="C3" s="16" t="s">
        <v>4</v>
      </c>
      <c r="D3" s="12" t="s">
        <v>5</v>
      </c>
      <c r="E3" s="12" t="s">
        <v>6</v>
      </c>
    </row>
    <row r="4" spans="1:5" x14ac:dyDescent="0.2">
      <c r="A4" s="5"/>
      <c r="B4" s="5"/>
      <c r="C4" s="17"/>
      <c r="D4" s="13"/>
      <c r="E4" s="13"/>
    </row>
    <row r="5" spans="1:5" x14ac:dyDescent="0.2">
      <c r="A5" s="26" t="s">
        <v>656</v>
      </c>
      <c r="B5" s="27"/>
      <c r="C5" s="29"/>
      <c r="D5" s="30"/>
      <c r="E5" s="30"/>
    </row>
    <row r="6" spans="1:5" x14ac:dyDescent="0.2">
      <c r="A6" s="27" t="s">
        <v>153</v>
      </c>
      <c r="B6" s="27" t="s">
        <v>623</v>
      </c>
      <c r="C6" s="29">
        <v>29782.69</v>
      </c>
      <c r="D6" s="30">
        <v>1272.9568744000001</v>
      </c>
      <c r="E6" s="30">
        <f>D6/$D$16*100</f>
        <v>43.338674715316024</v>
      </c>
    </row>
    <row r="7" spans="1:5" x14ac:dyDescent="0.2">
      <c r="A7" s="27" t="s">
        <v>614</v>
      </c>
      <c r="B7" s="27" t="s">
        <v>594</v>
      </c>
      <c r="C7" s="29">
        <v>23536</v>
      </c>
      <c r="D7" s="30">
        <v>795.51</v>
      </c>
      <c r="E7" s="30">
        <f t="shared" ref="E7:E9" si="0">D7/$D$16*100</f>
        <v>27.083674094639893</v>
      </c>
    </row>
    <row r="8" spans="1:5" x14ac:dyDescent="0.2">
      <c r="A8" s="27" t="s">
        <v>154</v>
      </c>
      <c r="B8" s="27" t="s">
        <v>624</v>
      </c>
      <c r="C8" s="29">
        <v>163723.18</v>
      </c>
      <c r="D8" s="30">
        <v>735.67568819999997</v>
      </c>
      <c r="E8" s="30">
        <f t="shared" si="0"/>
        <v>25.0465746232715</v>
      </c>
    </row>
    <row r="9" spans="1:5" x14ac:dyDescent="0.2">
      <c r="A9" s="27" t="s">
        <v>424</v>
      </c>
      <c r="B9" s="27" t="s">
        <v>625</v>
      </c>
      <c r="C9" s="29">
        <v>3768.64</v>
      </c>
      <c r="D9" s="30">
        <v>108.5649749</v>
      </c>
      <c r="E9" s="30">
        <f t="shared" si="0"/>
        <v>3.6961677392922274</v>
      </c>
    </row>
    <row r="10" spans="1:5" x14ac:dyDescent="0.2">
      <c r="A10" s="26" t="s">
        <v>44</v>
      </c>
      <c r="B10" s="27"/>
      <c r="C10" s="29"/>
      <c r="D10" s="36">
        <f>SUM(D6:D9)</f>
        <v>2912.7075374999999</v>
      </c>
      <c r="E10" s="36">
        <f>SUM(E6:E9)</f>
        <v>99.165091172519638</v>
      </c>
    </row>
    <row r="11" spans="1:5" x14ac:dyDescent="0.2">
      <c r="A11" s="7"/>
      <c r="B11" s="7"/>
      <c r="C11" s="18"/>
      <c r="D11" s="14"/>
      <c r="E11" s="14"/>
    </row>
    <row r="12" spans="1:5" x14ac:dyDescent="0.2">
      <c r="A12" s="6" t="s">
        <v>44</v>
      </c>
      <c r="B12" s="7"/>
      <c r="C12" s="18"/>
      <c r="D12" s="20">
        <f>D10</f>
        <v>2912.7075374999999</v>
      </c>
      <c r="E12" s="20">
        <f>E10</f>
        <v>99.165091172519638</v>
      </c>
    </row>
    <row r="13" spans="1:5" x14ac:dyDescent="0.2">
      <c r="A13" s="7"/>
      <c r="B13" s="7"/>
      <c r="C13" s="18"/>
      <c r="D13" s="14"/>
      <c r="E13" s="14"/>
    </row>
    <row r="14" spans="1:5" x14ac:dyDescent="0.2">
      <c r="A14" s="6" t="s">
        <v>76</v>
      </c>
      <c r="B14" s="7"/>
      <c r="C14" s="18"/>
      <c r="D14" s="20">
        <v>24.523198699999998</v>
      </c>
      <c r="E14" s="20">
        <f t="shared" ref="E14" si="1">D14/$D$16*100</f>
        <v>0.83490882748035422</v>
      </c>
    </row>
    <row r="15" spans="1:5" x14ac:dyDescent="0.2">
      <c r="A15" s="7"/>
      <c r="B15" s="7"/>
      <c r="C15" s="18"/>
      <c r="D15" s="14"/>
      <c r="E15" s="14"/>
    </row>
    <row r="16" spans="1:5" x14ac:dyDescent="0.2">
      <c r="A16" s="8" t="s">
        <v>77</v>
      </c>
      <c r="B16" s="5"/>
      <c r="C16" s="17"/>
      <c r="D16" s="21">
        <f>D12+D14</f>
        <v>2937.2307362000001</v>
      </c>
      <c r="E16" s="21">
        <f>E12+E14</f>
        <v>99.999999999999986</v>
      </c>
    </row>
    <row r="18" spans="1:5" x14ac:dyDescent="0.2">
      <c r="A18" s="4" t="s">
        <v>78</v>
      </c>
      <c r="B18" s="2"/>
      <c r="C18" s="2"/>
      <c r="D18" s="2"/>
      <c r="E18" s="1"/>
    </row>
    <row r="19" spans="1:5" x14ac:dyDescent="0.2">
      <c r="A19" s="4" t="s">
        <v>79</v>
      </c>
      <c r="B19" s="2"/>
      <c r="C19" s="2"/>
      <c r="D19" s="2"/>
      <c r="E19" s="1"/>
    </row>
    <row r="20" spans="1:5" x14ac:dyDescent="0.2">
      <c r="A20" s="4" t="s">
        <v>80</v>
      </c>
      <c r="B20" s="2"/>
      <c r="C20" s="2"/>
      <c r="D20" s="2"/>
      <c r="E20" s="1"/>
    </row>
    <row r="21" spans="1:5" x14ac:dyDescent="0.2">
      <c r="A21" s="2" t="s">
        <v>638</v>
      </c>
      <c r="B21" s="2"/>
      <c r="C21" s="2"/>
      <c r="D21" s="10">
        <v>12.2583</v>
      </c>
      <c r="E21" s="2"/>
    </row>
    <row r="22" spans="1:5" x14ac:dyDescent="0.2">
      <c r="A22" s="2" t="s">
        <v>639</v>
      </c>
      <c r="B22" s="2"/>
      <c r="C22" s="2"/>
      <c r="D22" s="10">
        <v>12.2583</v>
      </c>
      <c r="E22" s="2"/>
    </row>
    <row r="23" spans="1:5" x14ac:dyDescent="0.2">
      <c r="A23" s="2" t="s">
        <v>640</v>
      </c>
      <c r="B23" s="2"/>
      <c r="C23" s="2"/>
      <c r="D23" s="10">
        <v>13.0808</v>
      </c>
      <c r="E23" s="2"/>
    </row>
    <row r="24" spans="1:5" x14ac:dyDescent="0.2">
      <c r="A24" s="2" t="s">
        <v>641</v>
      </c>
      <c r="B24" s="2"/>
      <c r="C24" s="2"/>
      <c r="D24" s="10">
        <v>13.0808</v>
      </c>
      <c r="E24" s="2"/>
    </row>
    <row r="25" spans="1:5" x14ac:dyDescent="0.2">
      <c r="A25" s="2"/>
      <c r="B25" s="2"/>
      <c r="C25" s="2"/>
      <c r="D25" s="10"/>
      <c r="E25" s="2"/>
    </row>
    <row r="26" spans="1:5" x14ac:dyDescent="0.2">
      <c r="A26" s="4" t="s">
        <v>81</v>
      </c>
      <c r="B26" s="2"/>
      <c r="C26" s="2"/>
      <c r="D26" s="2"/>
      <c r="E26" s="2"/>
    </row>
    <row r="27" spans="1:5" x14ac:dyDescent="0.2">
      <c r="A27" s="2" t="s">
        <v>638</v>
      </c>
      <c r="B27" s="2"/>
      <c r="C27" s="2"/>
      <c r="D27" s="10">
        <v>12.674799999999999</v>
      </c>
      <c r="E27" s="2"/>
    </row>
    <row r="28" spans="1:5" x14ac:dyDescent="0.2">
      <c r="A28" s="2" t="s">
        <v>639</v>
      </c>
      <c r="B28" s="2"/>
      <c r="C28" s="2"/>
      <c r="D28" s="10">
        <v>12.674799999999999</v>
      </c>
      <c r="E28" s="2"/>
    </row>
    <row r="29" spans="1:5" x14ac:dyDescent="0.2">
      <c r="A29" s="2" t="s">
        <v>640</v>
      </c>
      <c r="B29" s="2"/>
      <c r="C29" s="2"/>
      <c r="D29" s="10">
        <v>13.573600000000001</v>
      </c>
      <c r="E29" s="2"/>
    </row>
    <row r="30" spans="1:5" x14ac:dyDescent="0.2">
      <c r="A30" s="2" t="s">
        <v>641</v>
      </c>
      <c r="B30" s="2"/>
      <c r="C30" s="2"/>
      <c r="D30" s="10">
        <v>13.573600000000001</v>
      </c>
      <c r="E30" s="2"/>
    </row>
    <row r="31" spans="1:5" x14ac:dyDescent="0.2">
      <c r="A31" s="2"/>
      <c r="B31" s="2"/>
      <c r="C31" s="2"/>
      <c r="D31" s="2"/>
      <c r="E31" s="1"/>
    </row>
    <row r="32" spans="1:5" x14ac:dyDescent="0.2">
      <c r="A32" s="4" t="s">
        <v>82</v>
      </c>
      <c r="B32" s="2"/>
      <c r="C32" s="2"/>
      <c r="D32" s="44" t="s">
        <v>83</v>
      </c>
      <c r="E32" s="1"/>
    </row>
    <row r="33" spans="1:5" x14ac:dyDescent="0.2">
      <c r="A33" s="4"/>
      <c r="B33" s="2"/>
      <c r="C33" s="2"/>
      <c r="D33" s="44"/>
      <c r="E33" s="1"/>
    </row>
    <row r="34" spans="1:5" x14ac:dyDescent="0.2">
      <c r="A34" s="9" t="s">
        <v>646</v>
      </c>
      <c r="B34" s="2"/>
      <c r="C34" s="2"/>
      <c r="D34" s="51">
        <v>0.5169427102556301</v>
      </c>
      <c r="E34" s="1"/>
    </row>
    <row r="35" spans="1:5" x14ac:dyDescent="0.2">
      <c r="A35" s="2"/>
      <c r="B35" s="2"/>
      <c r="C35" s="2"/>
      <c r="D35" s="2"/>
      <c r="E35" s="1"/>
    </row>
    <row r="36" spans="1:5" x14ac:dyDescent="0.2">
      <c r="A36" s="2"/>
      <c r="B36" s="2"/>
      <c r="C36" s="2"/>
      <c r="D36" s="2"/>
      <c r="E36" s="1"/>
    </row>
  </sheetData>
  <mergeCells count="1">
    <mergeCell ref="A1:E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B62F1-104C-488C-82FB-5DEBFA663A0C}">
  <dimension ref="A1:E38"/>
  <sheetViews>
    <sheetView showGridLines="0" workbookViewId="0">
      <selection sqref="A1:E1"/>
    </sheetView>
  </sheetViews>
  <sheetFormatPr defaultRowHeight="11.25" x14ac:dyDescent="0.2"/>
  <cols>
    <col min="1" max="1" width="59.42578125" style="1" bestFit="1" customWidth="1"/>
    <col min="2" max="2" width="27.140625" style="1" customWidth="1"/>
    <col min="3" max="3" width="12.140625" style="19" customWidth="1"/>
    <col min="4" max="4" width="24.140625" style="15" bestFit="1" customWidth="1"/>
    <col min="5" max="5" width="14.140625" style="15" bestFit="1" customWidth="1"/>
    <col min="6" max="16384" width="9.140625" style="2"/>
  </cols>
  <sheetData>
    <row r="1" spans="1:5" x14ac:dyDescent="0.2">
      <c r="A1" s="99" t="s">
        <v>155</v>
      </c>
      <c r="B1" s="99"/>
      <c r="C1" s="99"/>
      <c r="D1" s="99"/>
      <c r="E1" s="99"/>
    </row>
    <row r="3" spans="1:5" s="4" customFormat="1" x14ac:dyDescent="0.2">
      <c r="A3" s="3" t="s">
        <v>1</v>
      </c>
      <c r="B3" s="3" t="s">
        <v>2</v>
      </c>
      <c r="C3" s="16" t="s">
        <v>4</v>
      </c>
      <c r="D3" s="12" t="s">
        <v>5</v>
      </c>
      <c r="E3" s="12" t="s">
        <v>6</v>
      </c>
    </row>
    <row r="4" spans="1:5" x14ac:dyDescent="0.2">
      <c r="A4" s="5"/>
      <c r="B4" s="5"/>
      <c r="C4" s="17"/>
      <c r="D4" s="13"/>
      <c r="E4" s="13"/>
    </row>
    <row r="5" spans="1:5" x14ac:dyDescent="0.2">
      <c r="A5" s="6" t="s">
        <v>593</v>
      </c>
      <c r="B5" s="7"/>
      <c r="C5" s="18"/>
      <c r="D5" s="14"/>
      <c r="E5" s="14"/>
    </row>
    <row r="6" spans="1:5" x14ac:dyDescent="0.2">
      <c r="A6" s="7" t="s">
        <v>153</v>
      </c>
      <c r="B6" s="27" t="s">
        <v>623</v>
      </c>
      <c r="C6" s="18">
        <v>1505484.65</v>
      </c>
      <c r="D6" s="14">
        <v>64346.673630700003</v>
      </c>
      <c r="E6" s="14">
        <v>65.467941149592974</v>
      </c>
    </row>
    <row r="7" spans="1:5" x14ac:dyDescent="0.2">
      <c r="A7" s="7" t="s">
        <v>154</v>
      </c>
      <c r="B7" s="27" t="s">
        <v>624</v>
      </c>
      <c r="C7" s="18">
        <v>7653121.2699999996</v>
      </c>
      <c r="D7" s="14">
        <v>34388.626961100003</v>
      </c>
      <c r="E7" s="14">
        <v>34.987863071611422</v>
      </c>
    </row>
    <row r="8" spans="1:5" x14ac:dyDescent="0.2">
      <c r="A8" s="6" t="s">
        <v>44</v>
      </c>
      <c r="B8" s="7"/>
      <c r="C8" s="18"/>
      <c r="D8" s="20">
        <f>SUM(D6:D7)</f>
        <v>98735.300591800013</v>
      </c>
      <c r="E8" s="20">
        <f>SUM(E6:E7)</f>
        <v>100.4558042212044</v>
      </c>
    </row>
    <row r="9" spans="1:5" x14ac:dyDescent="0.2">
      <c r="A9" s="7"/>
      <c r="B9" s="7"/>
      <c r="C9" s="18"/>
      <c r="D9" s="14"/>
      <c r="E9" s="14"/>
    </row>
    <row r="10" spans="1:5" x14ac:dyDescent="0.2">
      <c r="A10" s="6" t="s">
        <v>44</v>
      </c>
      <c r="B10" s="7"/>
      <c r="C10" s="18"/>
      <c r="D10" s="20">
        <v>98735.300591800013</v>
      </c>
      <c r="E10" s="20">
        <v>100.4558042212044</v>
      </c>
    </row>
    <row r="11" spans="1:5" x14ac:dyDescent="0.2">
      <c r="A11" s="7"/>
      <c r="B11" s="7"/>
      <c r="C11" s="18"/>
      <c r="D11" s="14"/>
      <c r="E11" s="14"/>
    </row>
    <row r="12" spans="1:5" x14ac:dyDescent="0.2">
      <c r="A12" s="6" t="s">
        <v>76</v>
      </c>
      <c r="B12" s="7"/>
      <c r="C12" s="18"/>
      <c r="D12" s="20">
        <v>-447.99767559999998</v>
      </c>
      <c r="E12" s="20">
        <v>-0.46</v>
      </c>
    </row>
    <row r="13" spans="1:5" x14ac:dyDescent="0.2">
      <c r="A13" s="7"/>
      <c r="B13" s="7"/>
      <c r="C13" s="18"/>
      <c r="D13" s="14"/>
      <c r="E13" s="14"/>
    </row>
    <row r="14" spans="1:5" x14ac:dyDescent="0.2">
      <c r="A14" s="8" t="s">
        <v>77</v>
      </c>
      <c r="B14" s="5"/>
      <c r="C14" s="17"/>
      <c r="D14" s="21">
        <v>98287.302916200017</v>
      </c>
      <c r="E14" s="21">
        <f xml:space="preserve"> ROUND(SUM(E10:E13),2)</f>
        <v>100</v>
      </c>
    </row>
    <row r="16" spans="1:5" x14ac:dyDescent="0.2">
      <c r="A16" s="2"/>
      <c r="B16" s="2"/>
      <c r="C16" s="2"/>
      <c r="D16" s="2"/>
      <c r="E16" s="1"/>
    </row>
    <row r="17" spans="1:5" x14ac:dyDescent="0.2">
      <c r="A17" s="4" t="s">
        <v>78</v>
      </c>
      <c r="B17" s="2"/>
      <c r="C17" s="2"/>
      <c r="D17" s="2"/>
      <c r="E17" s="1"/>
    </row>
    <row r="18" spans="1:5" x14ac:dyDescent="0.2">
      <c r="A18" s="4" t="s">
        <v>79</v>
      </c>
      <c r="B18" s="2"/>
      <c r="C18" s="2"/>
      <c r="D18" s="2"/>
      <c r="E18" s="1"/>
    </row>
    <row r="19" spans="1:5" x14ac:dyDescent="0.2">
      <c r="A19" s="4" t="s">
        <v>80</v>
      </c>
      <c r="B19" s="2"/>
      <c r="C19" s="2"/>
      <c r="D19" s="2"/>
      <c r="E19" s="1"/>
    </row>
    <row r="20" spans="1:5" x14ac:dyDescent="0.2">
      <c r="A20" s="2" t="s">
        <v>638</v>
      </c>
      <c r="B20" s="2"/>
      <c r="C20" s="2"/>
      <c r="D20" s="10">
        <v>81.418700000000001</v>
      </c>
      <c r="E20" s="2"/>
    </row>
    <row r="21" spans="1:5" x14ac:dyDescent="0.2">
      <c r="A21" s="2" t="s">
        <v>639</v>
      </c>
      <c r="B21" s="2"/>
      <c r="C21" s="2"/>
      <c r="D21" s="10">
        <v>36.570599999999999</v>
      </c>
      <c r="E21" s="2"/>
    </row>
    <row r="22" spans="1:5" x14ac:dyDescent="0.2">
      <c r="A22" s="2" t="s">
        <v>640</v>
      </c>
      <c r="B22" s="2"/>
      <c r="C22" s="2"/>
      <c r="D22" s="10">
        <v>86.492699999999999</v>
      </c>
      <c r="E22" s="2"/>
    </row>
    <row r="23" spans="1:5" x14ac:dyDescent="0.2">
      <c r="A23" s="2" t="s">
        <v>641</v>
      </c>
      <c r="B23" s="2"/>
      <c r="C23" s="2"/>
      <c r="D23" s="10">
        <v>39.517299999999999</v>
      </c>
      <c r="E23" s="2"/>
    </row>
    <row r="24" spans="1:5" x14ac:dyDescent="0.2">
      <c r="A24" s="2"/>
      <c r="B24" s="2"/>
      <c r="C24" s="2"/>
      <c r="D24" s="10"/>
      <c r="E24" s="2"/>
    </row>
    <row r="25" spans="1:5" x14ac:dyDescent="0.2">
      <c r="A25" s="4" t="s">
        <v>81</v>
      </c>
      <c r="B25" s="2"/>
      <c r="C25" s="2"/>
      <c r="D25" s="2"/>
      <c r="E25" s="2"/>
    </row>
    <row r="26" spans="1:5" x14ac:dyDescent="0.2">
      <c r="A26" s="2" t="s">
        <v>638</v>
      </c>
      <c r="B26" s="2"/>
      <c r="C26" s="2"/>
      <c r="D26" s="10">
        <v>83.135999999999996</v>
      </c>
      <c r="E26" s="2"/>
    </row>
    <row r="27" spans="1:5" x14ac:dyDescent="0.2">
      <c r="A27" s="2" t="s">
        <v>639</v>
      </c>
      <c r="B27" s="2"/>
      <c r="C27" s="2"/>
      <c r="D27" s="10">
        <v>35.757100000000001</v>
      </c>
      <c r="E27" s="2"/>
    </row>
    <row r="28" spans="1:5" x14ac:dyDescent="0.2">
      <c r="A28" s="2" t="s">
        <v>640</v>
      </c>
      <c r="B28" s="2"/>
      <c r="C28" s="2"/>
      <c r="D28" s="10">
        <v>88.777600000000007</v>
      </c>
      <c r="E28" s="2"/>
    </row>
    <row r="29" spans="1:5" x14ac:dyDescent="0.2">
      <c r="A29" s="2" t="s">
        <v>641</v>
      </c>
      <c r="B29" s="2"/>
      <c r="C29" s="2"/>
      <c r="D29" s="10">
        <v>38.969000000000001</v>
      </c>
      <c r="E29" s="2"/>
    </row>
    <row r="30" spans="1:5" x14ac:dyDescent="0.2">
      <c r="A30" s="2"/>
      <c r="B30" s="2"/>
      <c r="C30" s="2"/>
      <c r="D30" s="2"/>
      <c r="E30" s="1"/>
    </row>
    <row r="31" spans="1:5" x14ac:dyDescent="0.2">
      <c r="A31" s="4" t="s">
        <v>82</v>
      </c>
      <c r="B31" s="2"/>
      <c r="C31" s="2"/>
      <c r="D31" s="44" t="s">
        <v>299</v>
      </c>
      <c r="E31" s="1"/>
    </row>
    <row r="32" spans="1:5" x14ac:dyDescent="0.2">
      <c r="A32" s="45" t="s">
        <v>642</v>
      </c>
      <c r="B32" s="46"/>
      <c r="C32" s="100" t="s">
        <v>643</v>
      </c>
      <c r="D32" s="101"/>
      <c r="E32" s="1"/>
    </row>
    <row r="33" spans="1:5" x14ac:dyDescent="0.2">
      <c r="A33" s="102"/>
      <c r="B33" s="103"/>
      <c r="C33" s="47" t="s">
        <v>644</v>
      </c>
      <c r="D33" s="47" t="s">
        <v>645</v>
      </c>
      <c r="E33" s="1"/>
    </row>
    <row r="34" spans="1:5" x14ac:dyDescent="0.2">
      <c r="A34" s="48" t="s">
        <v>639</v>
      </c>
      <c r="B34" s="49"/>
      <c r="C34" s="50">
        <v>1.1525163200000001</v>
      </c>
      <c r="D34" s="50">
        <v>1.0672358559999999</v>
      </c>
      <c r="E34" s="1"/>
    </row>
    <row r="35" spans="1:5" x14ac:dyDescent="0.2">
      <c r="A35" s="48" t="s">
        <v>641</v>
      </c>
      <c r="B35" s="49"/>
      <c r="C35" s="50">
        <v>1.1525163200000001</v>
      </c>
      <c r="D35" s="50">
        <v>1.0672358559999999</v>
      </c>
      <c r="E35" s="1"/>
    </row>
    <row r="36" spans="1:5" x14ac:dyDescent="0.2">
      <c r="A36" s="4"/>
      <c r="B36" s="2"/>
      <c r="C36" s="2"/>
      <c r="D36" s="44"/>
      <c r="E36" s="1"/>
    </row>
    <row r="37" spans="1:5" x14ac:dyDescent="0.2">
      <c r="A37" s="9" t="s">
        <v>646</v>
      </c>
      <c r="B37" s="2"/>
      <c r="C37" s="2"/>
      <c r="D37" s="51">
        <v>0.45356298953848539</v>
      </c>
      <c r="E37" s="1"/>
    </row>
    <row r="38" spans="1:5" x14ac:dyDescent="0.2">
      <c r="A38" s="2"/>
      <c r="B38" s="2"/>
      <c r="C38" s="2"/>
      <c r="D38" s="2"/>
      <c r="E38" s="1"/>
    </row>
  </sheetData>
  <mergeCells count="3">
    <mergeCell ref="A1:E1"/>
    <mergeCell ref="C32:D32"/>
    <mergeCell ref="A33:B3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EECB1-511C-4854-8B24-AFDA84A27615}">
  <dimension ref="A1:E39"/>
  <sheetViews>
    <sheetView showGridLines="0" workbookViewId="0">
      <selection sqref="A1:E1"/>
    </sheetView>
  </sheetViews>
  <sheetFormatPr defaultRowHeight="11.25" x14ac:dyDescent="0.2"/>
  <cols>
    <col min="1" max="1" width="59.42578125" style="1" bestFit="1" customWidth="1"/>
    <col min="2" max="2" width="40" style="1" bestFit="1" customWidth="1"/>
    <col min="3" max="3" width="11.140625" style="19" bestFit="1" customWidth="1"/>
    <col min="4" max="4" width="24" style="15" bestFit="1" customWidth="1"/>
    <col min="5" max="5" width="14.140625" style="15" bestFit="1" customWidth="1"/>
    <col min="6" max="16384" width="9.140625" style="2"/>
  </cols>
  <sheetData>
    <row r="1" spans="1:5" x14ac:dyDescent="0.2">
      <c r="A1" s="99" t="s">
        <v>392</v>
      </c>
      <c r="B1" s="99"/>
      <c r="C1" s="99"/>
      <c r="D1" s="99"/>
      <c r="E1" s="99"/>
    </row>
    <row r="3" spans="1:5" s="4" customFormat="1" x14ac:dyDescent="0.2">
      <c r="A3" s="3" t="s">
        <v>1</v>
      </c>
      <c r="B3" s="3" t="s">
        <v>2</v>
      </c>
      <c r="C3" s="16" t="s">
        <v>4</v>
      </c>
      <c r="D3" s="12" t="s">
        <v>5</v>
      </c>
      <c r="E3" s="12" t="s">
        <v>6</v>
      </c>
    </row>
    <row r="4" spans="1:5" x14ac:dyDescent="0.2">
      <c r="A4" s="5"/>
      <c r="B4" s="5"/>
      <c r="C4" s="17"/>
      <c r="D4" s="13"/>
      <c r="E4" s="13"/>
    </row>
    <row r="5" spans="1:5" x14ac:dyDescent="0.2">
      <c r="A5" s="6" t="s">
        <v>593</v>
      </c>
      <c r="B5" s="7"/>
      <c r="C5" s="18"/>
      <c r="D5" s="14"/>
      <c r="E5" s="14"/>
    </row>
    <row r="6" spans="1:5" x14ac:dyDescent="0.2">
      <c r="A6" s="7" t="s">
        <v>391</v>
      </c>
      <c r="B6" s="27" t="s">
        <v>630</v>
      </c>
      <c r="C6" s="18">
        <v>6225745.3600000003</v>
      </c>
      <c r="D6" s="14">
        <v>2270.2989788</v>
      </c>
      <c r="E6" s="14">
        <v>81.010594509083774</v>
      </c>
    </row>
    <row r="7" spans="1:5" x14ac:dyDescent="0.2">
      <c r="A7" s="7" t="s">
        <v>154</v>
      </c>
      <c r="B7" s="27" t="s">
        <v>624</v>
      </c>
      <c r="C7" s="18">
        <v>90770.42</v>
      </c>
      <c r="D7" s="14">
        <v>407.86890799999998</v>
      </c>
      <c r="E7" s="14">
        <v>14.553899300221449</v>
      </c>
    </row>
    <row r="8" spans="1:5" x14ac:dyDescent="0.2">
      <c r="A8" s="7" t="s">
        <v>384</v>
      </c>
      <c r="B8" s="27" t="s">
        <v>627</v>
      </c>
      <c r="C8" s="18">
        <v>57801.5</v>
      </c>
      <c r="D8" s="14">
        <v>135.2512882</v>
      </c>
      <c r="E8" s="14">
        <v>4.8261428858118052</v>
      </c>
    </row>
    <row r="9" spans="1:5" x14ac:dyDescent="0.2">
      <c r="A9" s="6" t="s">
        <v>44</v>
      </c>
      <c r="B9" s="7"/>
      <c r="C9" s="18"/>
      <c r="D9" s="20">
        <f>SUM(D6:D8)</f>
        <v>2813.419175</v>
      </c>
      <c r="E9" s="20">
        <f>SUM(E6:E8)</f>
        <v>100.39063669511702</v>
      </c>
    </row>
    <row r="10" spans="1:5" x14ac:dyDescent="0.2">
      <c r="A10" s="7"/>
      <c r="B10" s="7"/>
      <c r="C10" s="18"/>
      <c r="D10" s="14"/>
      <c r="E10" s="14"/>
    </row>
    <row r="11" spans="1:5" x14ac:dyDescent="0.2">
      <c r="A11" s="6" t="s">
        <v>44</v>
      </c>
      <c r="B11" s="7"/>
      <c r="C11" s="18"/>
      <c r="D11" s="20">
        <v>2813.419175</v>
      </c>
      <c r="E11" s="20">
        <v>100.39063669511702</v>
      </c>
    </row>
    <row r="12" spans="1:5" x14ac:dyDescent="0.2">
      <c r="A12" s="7"/>
      <c r="B12" s="7"/>
      <c r="C12" s="18"/>
      <c r="D12" s="14"/>
      <c r="E12" s="14"/>
    </row>
    <row r="13" spans="1:5" x14ac:dyDescent="0.2">
      <c r="A13" s="6" t="s">
        <v>76</v>
      </c>
      <c r="B13" s="7"/>
      <c r="C13" s="18"/>
      <c r="D13" s="20">
        <v>-10.9474828</v>
      </c>
      <c r="E13" s="20">
        <v>-0.39</v>
      </c>
    </row>
    <row r="14" spans="1:5" x14ac:dyDescent="0.2">
      <c r="A14" s="7"/>
      <c r="B14" s="7"/>
      <c r="C14" s="18"/>
      <c r="D14" s="14"/>
      <c r="E14" s="14"/>
    </row>
    <row r="15" spans="1:5" x14ac:dyDescent="0.2">
      <c r="A15" s="8" t="s">
        <v>77</v>
      </c>
      <c r="B15" s="5"/>
      <c r="C15" s="17"/>
      <c r="D15" s="21">
        <v>2802.4716921999998</v>
      </c>
      <c r="E15" s="21">
        <f xml:space="preserve"> ROUND(SUM(E11:E14),2)</f>
        <v>100</v>
      </c>
    </row>
    <row r="17" spans="1:5" x14ac:dyDescent="0.2">
      <c r="A17" s="4" t="s">
        <v>78</v>
      </c>
      <c r="B17" s="2"/>
      <c r="C17" s="2"/>
      <c r="D17" s="2"/>
      <c r="E17" s="1"/>
    </row>
    <row r="18" spans="1:5" x14ac:dyDescent="0.2">
      <c r="A18" s="4" t="s">
        <v>79</v>
      </c>
      <c r="B18" s="2"/>
      <c r="C18" s="2"/>
      <c r="D18" s="2"/>
      <c r="E18" s="1"/>
    </row>
    <row r="19" spans="1:5" x14ac:dyDescent="0.2">
      <c r="A19" s="4" t="s">
        <v>80</v>
      </c>
      <c r="B19" s="2"/>
      <c r="C19" s="2"/>
      <c r="D19" s="2"/>
      <c r="E19" s="1"/>
    </row>
    <row r="20" spans="1:5" x14ac:dyDescent="0.2">
      <c r="A20" s="2" t="s">
        <v>638</v>
      </c>
      <c r="B20" s="2"/>
      <c r="C20" s="2"/>
      <c r="D20" s="10">
        <v>36.940899999999999</v>
      </c>
      <c r="E20" s="2"/>
    </row>
    <row r="21" spans="1:5" x14ac:dyDescent="0.2">
      <c r="A21" s="2" t="s">
        <v>639</v>
      </c>
      <c r="B21" s="2"/>
      <c r="C21" s="2"/>
      <c r="D21" s="10">
        <v>14.231</v>
      </c>
      <c r="E21" s="2"/>
    </row>
    <row r="22" spans="1:5" x14ac:dyDescent="0.2">
      <c r="A22" s="2" t="s">
        <v>640</v>
      </c>
      <c r="B22" s="2"/>
      <c r="C22" s="2"/>
      <c r="D22" s="10">
        <v>37.878700000000002</v>
      </c>
      <c r="E22" s="2"/>
    </row>
    <row r="23" spans="1:5" x14ac:dyDescent="0.2">
      <c r="A23" s="2" t="s">
        <v>641</v>
      </c>
      <c r="B23" s="2"/>
      <c r="C23" s="2"/>
      <c r="D23" s="10">
        <v>14.6029</v>
      </c>
      <c r="E23" s="2"/>
    </row>
    <row r="24" spans="1:5" x14ac:dyDescent="0.2">
      <c r="A24" s="2"/>
      <c r="B24" s="2"/>
      <c r="C24" s="2"/>
      <c r="D24" s="10"/>
      <c r="E24" s="2"/>
    </row>
    <row r="25" spans="1:5" x14ac:dyDescent="0.2">
      <c r="A25" s="4" t="s">
        <v>81</v>
      </c>
      <c r="B25" s="2"/>
      <c r="C25" s="2"/>
      <c r="D25" s="2"/>
      <c r="E25" s="2"/>
    </row>
    <row r="26" spans="1:5" x14ac:dyDescent="0.2">
      <c r="A26" s="2" t="s">
        <v>638</v>
      </c>
      <c r="B26" s="2"/>
      <c r="C26" s="2"/>
      <c r="D26" s="10">
        <v>37.927</v>
      </c>
      <c r="E26" s="2"/>
    </row>
    <row r="27" spans="1:5" x14ac:dyDescent="0.2">
      <c r="A27" s="2" t="s">
        <v>639</v>
      </c>
      <c r="B27" s="2"/>
      <c r="C27" s="2"/>
      <c r="D27" s="10">
        <v>14.058299999999999</v>
      </c>
      <c r="E27" s="2"/>
    </row>
    <row r="28" spans="1:5" x14ac:dyDescent="0.2">
      <c r="A28" s="2" t="s">
        <v>640</v>
      </c>
      <c r="B28" s="2"/>
      <c r="C28" s="2"/>
      <c r="D28" s="10">
        <v>38.9617</v>
      </c>
      <c r="E28" s="2"/>
    </row>
    <row r="29" spans="1:5" x14ac:dyDescent="0.2">
      <c r="A29" s="2" t="s">
        <v>641</v>
      </c>
      <c r="B29" s="2"/>
      <c r="C29" s="2"/>
      <c r="D29" s="10">
        <v>14.463699999999999</v>
      </c>
      <c r="E29" s="2"/>
    </row>
    <row r="30" spans="1:5" x14ac:dyDescent="0.2">
      <c r="A30" s="2"/>
      <c r="B30" s="2"/>
      <c r="C30" s="2"/>
      <c r="D30" s="2"/>
      <c r="E30" s="1"/>
    </row>
    <row r="31" spans="1:5" x14ac:dyDescent="0.2">
      <c r="A31" s="4" t="s">
        <v>82</v>
      </c>
      <c r="B31" s="2"/>
      <c r="C31" s="2"/>
      <c r="D31" s="44" t="s">
        <v>299</v>
      </c>
      <c r="E31" s="1"/>
    </row>
    <row r="32" spans="1:5" x14ac:dyDescent="0.2">
      <c r="A32" s="45" t="s">
        <v>642</v>
      </c>
      <c r="B32" s="46"/>
      <c r="C32" s="100" t="s">
        <v>643</v>
      </c>
      <c r="D32" s="101"/>
      <c r="E32" s="1"/>
    </row>
    <row r="33" spans="1:5" x14ac:dyDescent="0.2">
      <c r="A33" s="102"/>
      <c r="B33" s="103"/>
      <c r="C33" s="47" t="s">
        <v>644</v>
      </c>
      <c r="D33" s="47" t="s">
        <v>645</v>
      </c>
      <c r="E33" s="1"/>
    </row>
    <row r="34" spans="1:5" x14ac:dyDescent="0.2">
      <c r="A34" s="48" t="s">
        <v>639</v>
      </c>
      <c r="B34" s="49"/>
      <c r="C34" s="50">
        <v>0.396177485</v>
      </c>
      <c r="D34" s="50">
        <v>0.36686232560000004</v>
      </c>
      <c r="E34" s="1"/>
    </row>
    <row r="35" spans="1:5" x14ac:dyDescent="0.2">
      <c r="A35" s="48" t="s">
        <v>641</v>
      </c>
      <c r="B35" s="49"/>
      <c r="C35" s="50">
        <v>0.396177485</v>
      </c>
      <c r="D35" s="50">
        <v>0.36686232560000004</v>
      </c>
      <c r="E35" s="1"/>
    </row>
    <row r="36" spans="1:5" x14ac:dyDescent="0.2">
      <c r="A36" s="4"/>
      <c r="B36" s="2"/>
      <c r="C36" s="2"/>
      <c r="D36" s="44"/>
      <c r="E36" s="1"/>
    </row>
    <row r="37" spans="1:5" x14ac:dyDescent="0.2">
      <c r="A37" s="9" t="s">
        <v>646</v>
      </c>
      <c r="B37" s="2"/>
      <c r="C37" s="2"/>
      <c r="D37" s="51">
        <v>5.9528433161560368E-2</v>
      </c>
      <c r="E37" s="1"/>
    </row>
    <row r="38" spans="1:5" x14ac:dyDescent="0.2">
      <c r="A38" s="2"/>
      <c r="B38" s="2"/>
      <c r="C38" s="2"/>
      <c r="D38" s="2"/>
      <c r="E38" s="1"/>
    </row>
    <row r="39" spans="1:5" x14ac:dyDescent="0.2">
      <c r="A39" s="2"/>
      <c r="B39" s="2"/>
      <c r="C39" s="2"/>
      <c r="D39" s="2"/>
      <c r="E39" s="1"/>
    </row>
  </sheetData>
  <mergeCells count="3">
    <mergeCell ref="A1:E1"/>
    <mergeCell ref="C32:D32"/>
    <mergeCell ref="A33:B3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D6AB0-C387-4451-A8AC-5E2CFD16433E}">
  <dimension ref="A1:E40"/>
  <sheetViews>
    <sheetView showGridLines="0" workbookViewId="0">
      <selection sqref="A1:E1"/>
    </sheetView>
  </sheetViews>
  <sheetFormatPr defaultRowHeight="11.25" x14ac:dyDescent="0.2"/>
  <cols>
    <col min="1" max="1" width="59.42578125" style="1" bestFit="1" customWidth="1"/>
    <col min="2" max="2" width="43.140625" style="1" bestFit="1" customWidth="1"/>
    <col min="3" max="3" width="11.7109375" style="19" bestFit="1" customWidth="1"/>
    <col min="4" max="4" width="24" style="15" bestFit="1" customWidth="1"/>
    <col min="5" max="5" width="14.140625" style="15" bestFit="1" customWidth="1"/>
    <col min="6" max="16384" width="9.140625" style="2"/>
  </cols>
  <sheetData>
    <row r="1" spans="1:5" x14ac:dyDescent="0.2">
      <c r="A1" s="99" t="s">
        <v>390</v>
      </c>
      <c r="B1" s="99"/>
      <c r="C1" s="99"/>
      <c r="D1" s="99"/>
      <c r="E1" s="99"/>
    </row>
    <row r="3" spans="1:5" s="4" customFormat="1" x14ac:dyDescent="0.2">
      <c r="A3" s="3" t="s">
        <v>1</v>
      </c>
      <c r="B3" s="3" t="s">
        <v>2</v>
      </c>
      <c r="C3" s="16" t="s">
        <v>4</v>
      </c>
      <c r="D3" s="12" t="s">
        <v>5</v>
      </c>
      <c r="E3" s="12" t="s">
        <v>6</v>
      </c>
    </row>
    <row r="4" spans="1:5" x14ac:dyDescent="0.2">
      <c r="A4" s="5"/>
      <c r="B4" s="5"/>
      <c r="C4" s="17"/>
      <c r="D4" s="13"/>
      <c r="E4" s="13"/>
    </row>
    <row r="5" spans="1:5" x14ac:dyDescent="0.2">
      <c r="A5" s="6" t="s">
        <v>593</v>
      </c>
      <c r="B5" s="7"/>
      <c r="C5" s="18"/>
      <c r="D5" s="14"/>
      <c r="E5" s="14"/>
    </row>
    <row r="6" spans="1:5" x14ac:dyDescent="0.2">
      <c r="A6" s="7" t="s">
        <v>386</v>
      </c>
      <c r="B6" s="27" t="s">
        <v>629</v>
      </c>
      <c r="C6" s="18">
        <v>416747.49</v>
      </c>
      <c r="D6" s="14">
        <v>299.39181070000001</v>
      </c>
      <c r="E6" s="14">
        <v>50.289546456180766</v>
      </c>
    </row>
    <row r="7" spans="1:5" x14ac:dyDescent="0.2">
      <c r="A7" s="7" t="s">
        <v>385</v>
      </c>
      <c r="B7" s="27" t="s">
        <v>628</v>
      </c>
      <c r="C7" s="18">
        <v>250040.1</v>
      </c>
      <c r="D7" s="14">
        <v>180.604465</v>
      </c>
      <c r="E7" s="14">
        <v>30.336556673262322</v>
      </c>
    </row>
    <row r="8" spans="1:5" x14ac:dyDescent="0.2">
      <c r="A8" s="7" t="s">
        <v>154</v>
      </c>
      <c r="B8" s="27" t="s">
        <v>624</v>
      </c>
      <c r="C8" s="18">
        <v>12853.71</v>
      </c>
      <c r="D8" s="14">
        <v>57.757010299999997</v>
      </c>
      <c r="E8" s="14">
        <v>9.7015808343616836</v>
      </c>
    </row>
    <row r="9" spans="1:5" x14ac:dyDescent="0.2">
      <c r="A9" s="7" t="s">
        <v>384</v>
      </c>
      <c r="B9" s="27" t="s">
        <v>627</v>
      </c>
      <c r="C9" s="18">
        <v>24555.81</v>
      </c>
      <c r="D9" s="14">
        <v>57.458807499999999</v>
      </c>
      <c r="E9" s="14">
        <v>9.651491008828712</v>
      </c>
    </row>
    <row r="10" spans="1:5" x14ac:dyDescent="0.2">
      <c r="A10" s="6" t="s">
        <v>44</v>
      </c>
      <c r="B10" s="7"/>
      <c r="C10" s="18"/>
      <c r="D10" s="20">
        <f>SUM(D6:D9)</f>
        <v>595.21209350000004</v>
      </c>
      <c r="E10" s="20">
        <f>SUM(E6:E9)</f>
        <v>99.979174972633487</v>
      </c>
    </row>
    <row r="11" spans="1:5" x14ac:dyDescent="0.2">
      <c r="A11" s="7"/>
      <c r="B11" s="7"/>
      <c r="C11" s="18"/>
      <c r="D11" s="14"/>
      <c r="E11" s="14"/>
    </row>
    <row r="12" spans="1:5" x14ac:dyDescent="0.2">
      <c r="A12" s="6" t="s">
        <v>44</v>
      </c>
      <c r="B12" s="7"/>
      <c r="C12" s="18"/>
      <c r="D12" s="20">
        <v>595.21209350000004</v>
      </c>
      <c r="E12" s="20">
        <v>99.979174972633487</v>
      </c>
    </row>
    <row r="13" spans="1:5" x14ac:dyDescent="0.2">
      <c r="A13" s="7"/>
      <c r="B13" s="7"/>
      <c r="C13" s="18"/>
      <c r="D13" s="14"/>
      <c r="E13" s="14"/>
    </row>
    <row r="14" spans="1:5" x14ac:dyDescent="0.2">
      <c r="A14" s="6" t="s">
        <v>76</v>
      </c>
      <c r="B14" s="7"/>
      <c r="C14" s="18"/>
      <c r="D14" s="20">
        <v>0.1239789</v>
      </c>
      <c r="E14" s="20">
        <v>0.02</v>
      </c>
    </row>
    <row r="15" spans="1:5" x14ac:dyDescent="0.2">
      <c r="A15" s="7"/>
      <c r="B15" s="7"/>
      <c r="C15" s="18"/>
      <c r="D15" s="14"/>
      <c r="E15" s="14"/>
    </row>
    <row r="16" spans="1:5" x14ac:dyDescent="0.2">
      <c r="A16" s="8" t="s">
        <v>77</v>
      </c>
      <c r="B16" s="5"/>
      <c r="C16" s="17"/>
      <c r="D16" s="21">
        <v>595.33607240000003</v>
      </c>
      <c r="E16" s="21">
        <f xml:space="preserve"> ROUND(SUM(E12:E15),2)</f>
        <v>100</v>
      </c>
    </row>
    <row r="18" spans="1:5" x14ac:dyDescent="0.2">
      <c r="A18" s="4" t="s">
        <v>78</v>
      </c>
      <c r="B18" s="2"/>
      <c r="C18" s="2"/>
      <c r="D18" s="2"/>
      <c r="E18" s="1"/>
    </row>
    <row r="19" spans="1:5" x14ac:dyDescent="0.2">
      <c r="A19" s="4" t="s">
        <v>79</v>
      </c>
      <c r="B19" s="2"/>
      <c r="C19" s="2"/>
      <c r="D19" s="2"/>
      <c r="E19" s="1"/>
    </row>
    <row r="20" spans="1:5" x14ac:dyDescent="0.2">
      <c r="A20" s="4" t="s">
        <v>80</v>
      </c>
      <c r="B20" s="2"/>
      <c r="C20" s="2"/>
      <c r="D20" s="2"/>
      <c r="E20" s="1"/>
    </row>
    <row r="21" spans="1:5" x14ac:dyDescent="0.2">
      <c r="A21" s="2" t="s">
        <v>638</v>
      </c>
      <c r="B21" s="2"/>
      <c r="C21" s="2"/>
      <c r="D21" s="10">
        <v>35.142800000000001</v>
      </c>
      <c r="E21" s="2"/>
    </row>
    <row r="22" spans="1:5" x14ac:dyDescent="0.2">
      <c r="A22" s="2" t="s">
        <v>639</v>
      </c>
      <c r="B22" s="2"/>
      <c r="C22" s="2"/>
      <c r="D22" s="10">
        <v>13.378399999999999</v>
      </c>
      <c r="E22" s="2"/>
    </row>
    <row r="23" spans="1:5" x14ac:dyDescent="0.2">
      <c r="A23" s="2" t="s">
        <v>640</v>
      </c>
      <c r="B23" s="2"/>
      <c r="C23" s="2"/>
      <c r="D23" s="10">
        <v>36.655299999999997</v>
      </c>
      <c r="E23" s="2"/>
    </row>
    <row r="24" spans="1:5" x14ac:dyDescent="0.2">
      <c r="A24" s="2" t="s">
        <v>641</v>
      </c>
      <c r="B24" s="2"/>
      <c r="C24" s="2"/>
      <c r="D24" s="10">
        <v>13.936</v>
      </c>
      <c r="E24" s="2"/>
    </row>
    <row r="25" spans="1:5" x14ac:dyDescent="0.2">
      <c r="A25" s="2"/>
      <c r="B25" s="2"/>
      <c r="C25" s="2"/>
      <c r="D25" s="10"/>
      <c r="E25" s="2"/>
    </row>
    <row r="26" spans="1:5" x14ac:dyDescent="0.2">
      <c r="A26" s="4" t="s">
        <v>81</v>
      </c>
      <c r="B26" s="2"/>
      <c r="C26" s="2"/>
      <c r="D26" s="2"/>
      <c r="E26" s="2"/>
    </row>
    <row r="27" spans="1:5" x14ac:dyDescent="0.2">
      <c r="A27" s="2" t="s">
        <v>638</v>
      </c>
      <c r="B27" s="2"/>
      <c r="C27" s="2"/>
      <c r="D27" s="10">
        <v>35.866</v>
      </c>
      <c r="E27" s="2"/>
    </row>
    <row r="28" spans="1:5" x14ac:dyDescent="0.2">
      <c r="A28" s="2" t="s">
        <v>639</v>
      </c>
      <c r="B28" s="2"/>
      <c r="C28" s="2"/>
      <c r="D28" s="10">
        <v>13.105600000000001</v>
      </c>
      <c r="E28" s="2"/>
    </row>
    <row r="29" spans="1:5" x14ac:dyDescent="0.2">
      <c r="A29" s="2" t="s">
        <v>640</v>
      </c>
      <c r="B29" s="2"/>
      <c r="C29" s="2"/>
      <c r="D29" s="10">
        <v>37.534999999999997</v>
      </c>
      <c r="E29" s="2"/>
    </row>
    <row r="30" spans="1:5" x14ac:dyDescent="0.2">
      <c r="A30" s="2" t="s">
        <v>641</v>
      </c>
      <c r="B30" s="2"/>
      <c r="C30" s="2"/>
      <c r="D30" s="10">
        <v>13.710800000000001</v>
      </c>
      <c r="E30" s="2"/>
    </row>
    <row r="31" spans="1:5" x14ac:dyDescent="0.2">
      <c r="A31" s="2"/>
      <c r="B31" s="2"/>
      <c r="C31" s="2"/>
      <c r="D31" s="2"/>
      <c r="E31" s="1"/>
    </row>
    <row r="32" spans="1:5" x14ac:dyDescent="0.2">
      <c r="A32" s="4" t="s">
        <v>82</v>
      </c>
      <c r="B32" s="2"/>
      <c r="C32" s="2"/>
      <c r="D32" s="44" t="s">
        <v>299</v>
      </c>
      <c r="E32" s="1"/>
    </row>
    <row r="33" spans="1:5" x14ac:dyDescent="0.2">
      <c r="A33" s="45" t="s">
        <v>642</v>
      </c>
      <c r="B33" s="46"/>
      <c r="C33" s="100" t="s">
        <v>643</v>
      </c>
      <c r="D33" s="101"/>
      <c r="E33" s="1"/>
    </row>
    <row r="34" spans="1:5" x14ac:dyDescent="0.2">
      <c r="A34" s="102"/>
      <c r="B34" s="103"/>
      <c r="C34" s="47" t="s">
        <v>644</v>
      </c>
      <c r="D34" s="47" t="s">
        <v>645</v>
      </c>
      <c r="E34" s="1"/>
    </row>
    <row r="35" spans="1:5" x14ac:dyDescent="0.2">
      <c r="A35" s="48" t="s">
        <v>639</v>
      </c>
      <c r="B35" s="49"/>
      <c r="C35" s="50">
        <v>0.396177485</v>
      </c>
      <c r="D35" s="50">
        <v>0.36686232560000004</v>
      </c>
      <c r="E35" s="1"/>
    </row>
    <row r="36" spans="1:5" x14ac:dyDescent="0.2">
      <c r="A36" s="48" t="s">
        <v>641</v>
      </c>
      <c r="B36" s="49"/>
      <c r="C36" s="50">
        <v>0.396177485</v>
      </c>
      <c r="D36" s="50">
        <v>0.36686232560000004</v>
      </c>
      <c r="E36" s="1"/>
    </row>
    <row r="37" spans="1:5" x14ac:dyDescent="0.2">
      <c r="A37" s="4"/>
      <c r="B37" s="2"/>
      <c r="C37" s="2"/>
      <c r="D37" s="44"/>
      <c r="E37" s="1"/>
    </row>
    <row r="38" spans="1:5" x14ac:dyDescent="0.2">
      <c r="A38" s="9" t="s">
        <v>646</v>
      </c>
      <c r="B38" s="2"/>
      <c r="C38" s="2"/>
      <c r="D38" s="51">
        <v>4.2343857761488961E-2</v>
      </c>
      <c r="E38" s="1"/>
    </row>
    <row r="39" spans="1:5" x14ac:dyDescent="0.2">
      <c r="A39" s="2"/>
      <c r="B39" s="2"/>
      <c r="C39" s="2"/>
      <c r="D39" s="2"/>
      <c r="E39" s="1"/>
    </row>
    <row r="40" spans="1:5" x14ac:dyDescent="0.2">
      <c r="A40" s="2"/>
      <c r="B40" s="2"/>
      <c r="C40" s="2"/>
      <c r="D40" s="2"/>
      <c r="E40" s="1"/>
    </row>
  </sheetData>
  <mergeCells count="3">
    <mergeCell ref="A1:E1"/>
    <mergeCell ref="C33:D33"/>
    <mergeCell ref="A34:B3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F129D-60BD-4AD0-A2AA-69A565CF21DA}">
  <dimension ref="A1:E37"/>
  <sheetViews>
    <sheetView showGridLines="0" workbookViewId="0">
      <selection sqref="A1:E1"/>
    </sheetView>
  </sheetViews>
  <sheetFormatPr defaultRowHeight="11.25" x14ac:dyDescent="0.2"/>
  <cols>
    <col min="1" max="1" width="59.42578125" style="1" bestFit="1" customWidth="1"/>
    <col min="2" max="2" width="43.140625" style="1" bestFit="1" customWidth="1"/>
    <col min="3" max="3" width="9.85546875" style="19" bestFit="1" customWidth="1"/>
    <col min="4" max="4" width="24" style="15" bestFit="1" customWidth="1"/>
    <col min="5" max="5" width="14.140625" style="15" bestFit="1" customWidth="1"/>
    <col min="6" max="16384" width="9.140625" style="2"/>
  </cols>
  <sheetData>
    <row r="1" spans="1:5" x14ac:dyDescent="0.2">
      <c r="A1" s="99" t="s">
        <v>389</v>
      </c>
      <c r="B1" s="99"/>
      <c r="C1" s="99"/>
      <c r="D1" s="99"/>
      <c r="E1" s="99"/>
    </row>
    <row r="3" spans="1:5" s="4" customFormat="1" x14ac:dyDescent="0.2">
      <c r="A3" s="3" t="s">
        <v>1</v>
      </c>
      <c r="B3" s="3" t="s">
        <v>2</v>
      </c>
      <c r="C3" s="16" t="s">
        <v>4</v>
      </c>
      <c r="D3" s="12" t="s">
        <v>5</v>
      </c>
      <c r="E3" s="12" t="s">
        <v>6</v>
      </c>
    </row>
    <row r="4" spans="1:5" x14ac:dyDescent="0.2">
      <c r="A4" s="5"/>
      <c r="B4" s="5"/>
      <c r="C4" s="17"/>
      <c r="D4" s="13"/>
      <c r="E4" s="13"/>
    </row>
    <row r="5" spans="1:5" x14ac:dyDescent="0.2">
      <c r="A5" s="6" t="s">
        <v>593</v>
      </c>
      <c r="B5" s="7"/>
      <c r="C5" s="18"/>
      <c r="D5" s="14"/>
      <c r="E5" s="14"/>
    </row>
    <row r="6" spans="1:5" x14ac:dyDescent="0.2">
      <c r="A6" s="7" t="s">
        <v>386</v>
      </c>
      <c r="B6" s="27" t="s">
        <v>629</v>
      </c>
      <c r="C6" s="18">
        <v>650643.73</v>
      </c>
      <c r="D6" s="14">
        <v>467.42310270000002</v>
      </c>
      <c r="E6" s="14">
        <v>35.258619061535349</v>
      </c>
    </row>
    <row r="7" spans="1:5" x14ac:dyDescent="0.2">
      <c r="A7" s="7" t="s">
        <v>385</v>
      </c>
      <c r="B7" s="27" t="s">
        <v>628</v>
      </c>
      <c r="C7" s="18">
        <v>557674.29</v>
      </c>
      <c r="D7" s="14">
        <v>402.80925139999999</v>
      </c>
      <c r="E7" s="14">
        <v>30.384672617883474</v>
      </c>
    </row>
    <row r="8" spans="1:5" x14ac:dyDescent="0.2">
      <c r="A8" s="7" t="s">
        <v>154</v>
      </c>
      <c r="B8" s="27" t="s">
        <v>624</v>
      </c>
      <c r="C8" s="18">
        <v>57341.19</v>
      </c>
      <c r="D8" s="14">
        <v>257.65760019999999</v>
      </c>
      <c r="E8" s="14">
        <v>19.435605816839256</v>
      </c>
    </row>
    <row r="9" spans="1:5" x14ac:dyDescent="0.2">
      <c r="A9" s="7" t="s">
        <v>383</v>
      </c>
      <c r="B9" s="27" t="s">
        <v>626</v>
      </c>
      <c r="C9" s="18">
        <v>13917.12</v>
      </c>
      <c r="D9" s="14">
        <v>132.09482589999999</v>
      </c>
      <c r="E9" s="14">
        <v>9.9641654841292322</v>
      </c>
    </row>
    <row r="10" spans="1:5" x14ac:dyDescent="0.2">
      <c r="A10" s="7" t="s">
        <v>384</v>
      </c>
      <c r="B10" s="27" t="s">
        <v>627</v>
      </c>
      <c r="C10" s="18">
        <v>27388.62</v>
      </c>
      <c r="D10" s="14">
        <v>64.0873761</v>
      </c>
      <c r="E10" s="14">
        <v>4.8342334118934538</v>
      </c>
    </row>
    <row r="11" spans="1:5" x14ac:dyDescent="0.2">
      <c r="A11" s="6" t="s">
        <v>44</v>
      </c>
      <c r="B11" s="7"/>
      <c r="C11" s="18"/>
      <c r="D11" s="20">
        <f>SUM(D6:D10)</f>
        <v>1324.0721563</v>
      </c>
      <c r="E11" s="20">
        <f>SUM(E6:E10)</f>
        <v>99.877296392280755</v>
      </c>
    </row>
    <row r="12" spans="1:5" x14ac:dyDescent="0.2">
      <c r="A12" s="7"/>
      <c r="B12" s="7"/>
      <c r="C12" s="18"/>
      <c r="D12" s="14"/>
      <c r="E12" s="14"/>
    </row>
    <row r="13" spans="1:5" x14ac:dyDescent="0.2">
      <c r="A13" s="6" t="s">
        <v>44</v>
      </c>
      <c r="B13" s="7"/>
      <c r="C13" s="18"/>
      <c r="D13" s="20">
        <v>1324.0721563</v>
      </c>
      <c r="E13" s="20">
        <v>99.877296392280755</v>
      </c>
    </row>
    <row r="14" spans="1:5" x14ac:dyDescent="0.2">
      <c r="A14" s="7"/>
      <c r="B14" s="7"/>
      <c r="C14" s="18"/>
      <c r="D14" s="14"/>
      <c r="E14" s="14"/>
    </row>
    <row r="15" spans="1:5" x14ac:dyDescent="0.2">
      <c r="A15" s="6" t="s">
        <v>76</v>
      </c>
      <c r="B15" s="7"/>
      <c r="C15" s="18"/>
      <c r="D15" s="20">
        <v>1.6266803000000001</v>
      </c>
      <c r="E15" s="20">
        <v>0.12</v>
      </c>
    </row>
    <row r="16" spans="1:5" x14ac:dyDescent="0.2">
      <c r="A16" s="7"/>
      <c r="B16" s="7"/>
      <c r="C16" s="18"/>
      <c r="D16" s="14"/>
      <c r="E16" s="14"/>
    </row>
    <row r="17" spans="1:5" x14ac:dyDescent="0.2">
      <c r="A17" s="8" t="s">
        <v>77</v>
      </c>
      <c r="B17" s="5"/>
      <c r="C17" s="17"/>
      <c r="D17" s="21">
        <v>1325.6988366</v>
      </c>
      <c r="E17" s="21">
        <f xml:space="preserve"> ROUND(SUM(E13:E16),2)</f>
        <v>100</v>
      </c>
    </row>
    <row r="18" spans="1:5" x14ac:dyDescent="0.2">
      <c r="A18" s="55"/>
      <c r="B18" s="37"/>
      <c r="C18" s="56"/>
      <c r="D18" s="57"/>
      <c r="E18" s="57"/>
    </row>
    <row r="19" spans="1:5" x14ac:dyDescent="0.2">
      <c r="A19" s="4" t="s">
        <v>78</v>
      </c>
      <c r="B19" s="2"/>
      <c r="C19" s="2"/>
      <c r="D19" s="2"/>
      <c r="E19" s="1"/>
    </row>
    <row r="20" spans="1:5" x14ac:dyDescent="0.2">
      <c r="A20" s="4" t="s">
        <v>79</v>
      </c>
      <c r="B20" s="2"/>
      <c r="C20" s="2"/>
      <c r="D20" s="2"/>
      <c r="E20" s="1"/>
    </row>
    <row r="21" spans="1:5" x14ac:dyDescent="0.2">
      <c r="A21" s="4" t="s">
        <v>80</v>
      </c>
      <c r="B21" s="2"/>
      <c r="C21" s="2"/>
      <c r="D21" s="2"/>
      <c r="E21" s="1"/>
    </row>
    <row r="22" spans="1:5" x14ac:dyDescent="0.2">
      <c r="A22" s="2" t="s">
        <v>638</v>
      </c>
      <c r="B22" s="2"/>
      <c r="C22" s="2"/>
      <c r="D22" s="10">
        <v>46.781300000000002</v>
      </c>
      <c r="E22" s="2"/>
    </row>
    <row r="23" spans="1:5" x14ac:dyDescent="0.2">
      <c r="A23" s="2" t="s">
        <v>639</v>
      </c>
      <c r="B23" s="2"/>
      <c r="C23" s="2"/>
      <c r="D23" s="10">
        <v>14.5525</v>
      </c>
      <c r="E23" s="2"/>
    </row>
    <row r="24" spans="1:5" x14ac:dyDescent="0.2">
      <c r="A24" s="2" t="s">
        <v>640</v>
      </c>
      <c r="B24" s="2"/>
      <c r="C24" s="2"/>
      <c r="D24" s="10">
        <v>48.769199999999998</v>
      </c>
      <c r="E24" s="2"/>
    </row>
    <row r="25" spans="1:5" x14ac:dyDescent="0.2">
      <c r="A25" s="2" t="s">
        <v>641</v>
      </c>
      <c r="B25" s="2"/>
      <c r="C25" s="2"/>
      <c r="D25" s="10">
        <v>15.079700000000001</v>
      </c>
      <c r="E25" s="2"/>
    </row>
    <row r="26" spans="1:5" x14ac:dyDescent="0.2">
      <c r="A26" s="2"/>
      <c r="B26" s="2"/>
      <c r="C26" s="2"/>
      <c r="D26" s="10"/>
      <c r="E26" s="2"/>
    </row>
    <row r="27" spans="1:5" x14ac:dyDescent="0.2">
      <c r="A27" s="4" t="s">
        <v>81</v>
      </c>
      <c r="B27" s="2"/>
      <c r="C27" s="2"/>
      <c r="D27" s="2"/>
      <c r="E27" s="2"/>
    </row>
    <row r="28" spans="1:5" x14ac:dyDescent="0.2">
      <c r="A28" s="2" t="s">
        <v>638</v>
      </c>
      <c r="B28" s="2"/>
      <c r="C28" s="2"/>
      <c r="D28" s="10">
        <v>47.402900000000002</v>
      </c>
      <c r="E28" s="2"/>
    </row>
    <row r="29" spans="1:5" x14ac:dyDescent="0.2">
      <c r="A29" s="2" t="s">
        <v>639</v>
      </c>
      <c r="B29" s="2"/>
      <c r="C29" s="2"/>
      <c r="D29" s="10">
        <v>14.745900000000001</v>
      </c>
      <c r="E29" s="2"/>
    </row>
    <row r="30" spans="1:5" x14ac:dyDescent="0.2">
      <c r="A30" s="2" t="s">
        <v>640</v>
      </c>
      <c r="B30" s="2"/>
      <c r="C30" s="2"/>
      <c r="D30" s="10">
        <v>49.563699999999997</v>
      </c>
      <c r="E30" s="2"/>
    </row>
    <row r="31" spans="1:5" x14ac:dyDescent="0.2">
      <c r="A31" s="2" t="s">
        <v>641</v>
      </c>
      <c r="B31" s="2"/>
      <c r="C31" s="2"/>
      <c r="D31" s="10">
        <v>15.316599999999999</v>
      </c>
      <c r="E31" s="2"/>
    </row>
    <row r="32" spans="1:5" x14ac:dyDescent="0.2">
      <c r="A32" s="2"/>
      <c r="B32" s="2"/>
      <c r="C32" s="2"/>
      <c r="D32" s="2"/>
      <c r="E32" s="1"/>
    </row>
    <row r="33" spans="1:5" x14ac:dyDescent="0.2">
      <c r="A33" s="4" t="s">
        <v>82</v>
      </c>
      <c r="B33" s="2"/>
      <c r="C33" s="2"/>
      <c r="D33" s="44" t="s">
        <v>83</v>
      </c>
      <c r="E33" s="1"/>
    </row>
    <row r="34" spans="1:5" x14ac:dyDescent="0.2">
      <c r="A34" s="4"/>
      <c r="B34" s="2"/>
      <c r="C34" s="2"/>
      <c r="D34" s="44"/>
      <c r="E34" s="1"/>
    </row>
    <row r="35" spans="1:5" x14ac:dyDescent="0.2">
      <c r="A35" s="9" t="s">
        <v>646</v>
      </c>
      <c r="B35" s="2"/>
      <c r="C35" s="2"/>
      <c r="D35" s="51">
        <v>6.6232948742965786E-2</v>
      </c>
      <c r="E35" s="1"/>
    </row>
    <row r="36" spans="1:5" x14ac:dyDescent="0.2">
      <c r="A36" s="2"/>
      <c r="B36" s="2"/>
      <c r="C36" s="2"/>
      <c r="D36" s="2"/>
      <c r="E36" s="1"/>
    </row>
    <row r="37" spans="1:5" x14ac:dyDescent="0.2">
      <c r="A37" s="2"/>
      <c r="B37" s="2"/>
      <c r="C37" s="2"/>
      <c r="D37" s="2"/>
      <c r="E37" s="1"/>
    </row>
  </sheetData>
  <mergeCells count="1">
    <mergeCell ref="A1:E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72DCF-89DD-431A-95CF-751866C41BAA}">
  <dimension ref="A1:E38"/>
  <sheetViews>
    <sheetView showGridLines="0" workbookViewId="0">
      <selection sqref="A1:E1"/>
    </sheetView>
  </sheetViews>
  <sheetFormatPr defaultRowHeight="11.25" x14ac:dyDescent="0.2"/>
  <cols>
    <col min="1" max="1" width="59.42578125" style="1" bestFit="1" customWidth="1"/>
    <col min="2" max="2" width="43.140625" style="1" bestFit="1" customWidth="1"/>
    <col min="3" max="3" width="9.85546875" style="19" bestFit="1" customWidth="1"/>
    <col min="4" max="4" width="24" style="15" bestFit="1" customWidth="1"/>
    <col min="5" max="5" width="14.140625" style="15" bestFit="1" customWidth="1"/>
    <col min="6" max="16384" width="9.140625" style="2"/>
  </cols>
  <sheetData>
    <row r="1" spans="1:5" x14ac:dyDescent="0.2">
      <c r="A1" s="99" t="s">
        <v>388</v>
      </c>
      <c r="B1" s="99"/>
      <c r="C1" s="99"/>
      <c r="D1" s="99"/>
      <c r="E1" s="99"/>
    </row>
    <row r="3" spans="1:5" s="4" customFormat="1" x14ac:dyDescent="0.2">
      <c r="A3" s="3" t="s">
        <v>1</v>
      </c>
      <c r="B3" s="3" t="s">
        <v>2</v>
      </c>
      <c r="C3" s="16" t="s">
        <v>4</v>
      </c>
      <c r="D3" s="12" t="s">
        <v>5</v>
      </c>
      <c r="E3" s="12" t="s">
        <v>6</v>
      </c>
    </row>
    <row r="4" spans="1:5" x14ac:dyDescent="0.2">
      <c r="A4" s="5"/>
      <c r="B4" s="5"/>
      <c r="C4" s="17"/>
      <c r="D4" s="13"/>
      <c r="E4" s="13"/>
    </row>
    <row r="5" spans="1:5" x14ac:dyDescent="0.2">
      <c r="A5" s="6" t="s">
        <v>593</v>
      </c>
      <c r="B5" s="7"/>
      <c r="C5" s="18"/>
      <c r="D5" s="14"/>
      <c r="E5" s="14"/>
    </row>
    <row r="6" spans="1:5" x14ac:dyDescent="0.2">
      <c r="A6" s="7" t="s">
        <v>154</v>
      </c>
      <c r="B6" s="27" t="s">
        <v>624</v>
      </c>
      <c r="C6" s="18">
        <v>43843.32</v>
      </c>
      <c r="D6" s="14">
        <v>197.00611369999999</v>
      </c>
      <c r="E6" s="14">
        <v>34.347923860279352</v>
      </c>
    </row>
    <row r="7" spans="1:5" x14ac:dyDescent="0.2">
      <c r="A7" s="7" t="s">
        <v>386</v>
      </c>
      <c r="B7" s="27" t="s">
        <v>629</v>
      </c>
      <c r="C7" s="18">
        <v>203073.77</v>
      </c>
      <c r="D7" s="14">
        <v>145.88839870000001</v>
      </c>
      <c r="E7" s="14">
        <v>25.435574137949597</v>
      </c>
    </row>
    <row r="8" spans="1:5" x14ac:dyDescent="0.2">
      <c r="A8" s="7" t="s">
        <v>385</v>
      </c>
      <c r="B8" s="27" t="s">
        <v>628</v>
      </c>
      <c r="C8" s="18">
        <v>162456.26</v>
      </c>
      <c r="D8" s="14">
        <v>117.34248220000001</v>
      </c>
      <c r="E8" s="14">
        <v>20.458606936023148</v>
      </c>
    </row>
    <row r="9" spans="1:5" x14ac:dyDescent="0.2">
      <c r="A9" s="7" t="s">
        <v>383</v>
      </c>
      <c r="B9" s="27" t="s">
        <v>626</v>
      </c>
      <c r="C9" s="18">
        <v>6080.69</v>
      </c>
      <c r="D9" s="14">
        <v>57.715071700000003</v>
      </c>
      <c r="E9" s="14">
        <v>10.062595779950984</v>
      </c>
    </row>
    <row r="10" spans="1:5" x14ac:dyDescent="0.2">
      <c r="A10" s="7" t="s">
        <v>384</v>
      </c>
      <c r="B10" s="27" t="s">
        <v>627</v>
      </c>
      <c r="C10" s="18">
        <v>23934.86</v>
      </c>
      <c r="D10" s="14">
        <v>56.005829800000001</v>
      </c>
      <c r="E10" s="14">
        <v>9.7645902534351876</v>
      </c>
    </row>
    <row r="11" spans="1:5" x14ac:dyDescent="0.2">
      <c r="A11" s="6" t="s">
        <v>44</v>
      </c>
      <c r="B11" s="7"/>
      <c r="C11" s="18"/>
      <c r="D11" s="20">
        <f>SUM(D6:D10)</f>
        <v>573.95789609999997</v>
      </c>
      <c r="E11" s="20">
        <f>SUM(E6:E10)</f>
        <v>100.06929096763827</v>
      </c>
    </row>
    <row r="12" spans="1:5" x14ac:dyDescent="0.2">
      <c r="A12" s="7"/>
      <c r="B12" s="7"/>
      <c r="C12" s="18"/>
      <c r="D12" s="14"/>
      <c r="E12" s="14"/>
    </row>
    <row r="13" spans="1:5" x14ac:dyDescent="0.2">
      <c r="A13" s="6" t="s">
        <v>44</v>
      </c>
      <c r="B13" s="7"/>
      <c r="C13" s="18"/>
      <c r="D13" s="20">
        <v>573.95789609999997</v>
      </c>
      <c r="E13" s="20">
        <v>100.06929096763827</v>
      </c>
    </row>
    <row r="14" spans="1:5" x14ac:dyDescent="0.2">
      <c r="A14" s="7"/>
      <c r="B14" s="7"/>
      <c r="C14" s="18"/>
      <c r="D14" s="14"/>
      <c r="E14" s="14"/>
    </row>
    <row r="15" spans="1:5" x14ac:dyDescent="0.2">
      <c r="A15" s="6" t="s">
        <v>76</v>
      </c>
      <c r="B15" s="7"/>
      <c r="C15" s="18"/>
      <c r="D15" s="20">
        <v>-0.39742559999999999</v>
      </c>
      <c r="E15" s="20">
        <v>-7.0000000000000007E-2</v>
      </c>
    </row>
    <row r="16" spans="1:5" x14ac:dyDescent="0.2">
      <c r="A16" s="7"/>
      <c r="B16" s="7"/>
      <c r="C16" s="18"/>
      <c r="D16" s="14"/>
      <c r="E16" s="14"/>
    </row>
    <row r="17" spans="1:5" x14ac:dyDescent="0.2">
      <c r="A17" s="8" t="s">
        <v>77</v>
      </c>
      <c r="B17" s="5"/>
      <c r="C17" s="17"/>
      <c r="D17" s="21">
        <v>573.56047049999995</v>
      </c>
      <c r="E17" s="21">
        <f xml:space="preserve"> ROUND(SUM(E13:E16),2)</f>
        <v>100</v>
      </c>
    </row>
    <row r="19" spans="1:5" x14ac:dyDescent="0.2">
      <c r="A19" s="4" t="s">
        <v>78</v>
      </c>
      <c r="B19" s="2"/>
      <c r="C19" s="2"/>
      <c r="D19" s="2"/>
      <c r="E19" s="1"/>
    </row>
    <row r="20" spans="1:5" x14ac:dyDescent="0.2">
      <c r="A20" s="4" t="s">
        <v>79</v>
      </c>
      <c r="B20" s="2"/>
      <c r="C20" s="2"/>
      <c r="D20" s="2"/>
      <c r="E20" s="1"/>
    </row>
    <row r="21" spans="1:5" x14ac:dyDescent="0.2">
      <c r="A21" s="4" t="s">
        <v>80</v>
      </c>
      <c r="B21" s="2"/>
      <c r="C21" s="2"/>
      <c r="D21" s="2"/>
      <c r="E21" s="1"/>
    </row>
    <row r="22" spans="1:5" x14ac:dyDescent="0.2">
      <c r="A22" s="2" t="s">
        <v>638</v>
      </c>
      <c r="B22" s="2"/>
      <c r="C22" s="2"/>
      <c r="D22" s="10">
        <v>57.762</v>
      </c>
      <c r="E22" s="2"/>
    </row>
    <row r="23" spans="1:5" x14ac:dyDescent="0.2">
      <c r="A23" s="2" t="s">
        <v>639</v>
      </c>
      <c r="B23" s="2"/>
      <c r="C23" s="2"/>
      <c r="D23" s="10">
        <v>22.290299999999998</v>
      </c>
      <c r="E23" s="2"/>
    </row>
    <row r="24" spans="1:5" x14ac:dyDescent="0.2">
      <c r="A24" s="2" t="s">
        <v>640</v>
      </c>
      <c r="B24" s="2"/>
      <c r="C24" s="2"/>
      <c r="D24" s="10">
        <v>59.843299999999999</v>
      </c>
      <c r="E24" s="2"/>
    </row>
    <row r="25" spans="1:5" x14ac:dyDescent="0.2">
      <c r="A25" s="2" t="s">
        <v>641</v>
      </c>
      <c r="B25" s="2"/>
      <c r="C25" s="2"/>
      <c r="D25" s="10">
        <v>23.277999999999999</v>
      </c>
      <c r="E25" s="2"/>
    </row>
    <row r="26" spans="1:5" x14ac:dyDescent="0.2">
      <c r="A26" s="2"/>
      <c r="B26" s="2"/>
      <c r="C26" s="2"/>
      <c r="D26" s="10"/>
      <c r="E26" s="2"/>
    </row>
    <row r="27" spans="1:5" x14ac:dyDescent="0.2">
      <c r="A27" s="4" t="s">
        <v>81</v>
      </c>
      <c r="B27" s="2"/>
      <c r="C27" s="2"/>
      <c r="D27" s="2"/>
      <c r="E27" s="2"/>
    </row>
    <row r="28" spans="1:5" x14ac:dyDescent="0.2">
      <c r="A28" s="2" t="s">
        <v>638</v>
      </c>
      <c r="B28" s="2"/>
      <c r="C28" s="2"/>
      <c r="D28" s="10">
        <v>57.5396</v>
      </c>
      <c r="E28" s="2"/>
    </row>
    <row r="29" spans="1:5" x14ac:dyDescent="0.2">
      <c r="A29" s="2" t="s">
        <v>639</v>
      </c>
      <c r="B29" s="2"/>
      <c r="C29" s="2"/>
      <c r="D29" s="10">
        <v>22.204499999999999</v>
      </c>
      <c r="E29" s="2"/>
    </row>
    <row r="30" spans="1:5" x14ac:dyDescent="0.2">
      <c r="A30" s="2" t="s">
        <v>640</v>
      </c>
      <c r="B30" s="2"/>
      <c r="C30" s="2"/>
      <c r="D30" s="10">
        <v>59.755200000000002</v>
      </c>
      <c r="E30" s="2"/>
    </row>
    <row r="31" spans="1:5" x14ac:dyDescent="0.2">
      <c r="A31" s="2" t="s">
        <v>641</v>
      </c>
      <c r="B31" s="2"/>
      <c r="C31" s="2"/>
      <c r="D31" s="10">
        <v>23.235700000000001</v>
      </c>
      <c r="E31" s="2"/>
    </row>
    <row r="32" spans="1:5" x14ac:dyDescent="0.2">
      <c r="A32" s="2"/>
      <c r="B32" s="2"/>
      <c r="C32" s="2"/>
      <c r="D32" s="2"/>
      <c r="E32" s="1"/>
    </row>
    <row r="33" spans="1:5" x14ac:dyDescent="0.2">
      <c r="A33" s="4" t="s">
        <v>82</v>
      </c>
      <c r="B33" s="2"/>
      <c r="C33" s="2"/>
      <c r="D33" s="44" t="s">
        <v>83</v>
      </c>
      <c r="E33" s="1"/>
    </row>
    <row r="34" spans="1:5" x14ac:dyDescent="0.2">
      <c r="A34" s="4"/>
      <c r="B34" s="2"/>
      <c r="C34" s="2"/>
      <c r="D34" s="44"/>
      <c r="E34" s="1"/>
    </row>
    <row r="35" spans="1:5" x14ac:dyDescent="0.2">
      <c r="A35" s="9" t="s">
        <v>646</v>
      </c>
      <c r="B35" s="2"/>
      <c r="C35" s="2"/>
      <c r="D35" s="51">
        <v>7.8497760648258891E-2</v>
      </c>
      <c r="E35" s="1"/>
    </row>
    <row r="36" spans="1:5" x14ac:dyDescent="0.2">
      <c r="A36" s="2"/>
      <c r="B36" s="2"/>
      <c r="C36" s="2"/>
      <c r="D36" s="2"/>
      <c r="E36" s="1"/>
    </row>
    <row r="37" spans="1:5" x14ac:dyDescent="0.2">
      <c r="A37" s="2"/>
      <c r="B37" s="2"/>
      <c r="C37" s="2"/>
      <c r="D37" s="2"/>
      <c r="E37" s="1"/>
    </row>
    <row r="38" spans="1:5" x14ac:dyDescent="0.2">
      <c r="A38" s="2"/>
      <c r="B38" s="2"/>
      <c r="C38" s="2"/>
      <c r="D38" s="2"/>
      <c r="E38" s="1"/>
    </row>
  </sheetData>
  <mergeCells count="1">
    <mergeCell ref="A1:E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92A81-E03B-4F31-920A-C2ED6416FE5C}">
  <dimension ref="A1:E37"/>
  <sheetViews>
    <sheetView showGridLines="0" workbookViewId="0">
      <selection sqref="A1:E1"/>
    </sheetView>
  </sheetViews>
  <sheetFormatPr defaultRowHeight="11.25" x14ac:dyDescent="0.2"/>
  <cols>
    <col min="1" max="1" width="59.42578125" style="1" bestFit="1" customWidth="1"/>
    <col min="2" max="2" width="43.140625" style="1" bestFit="1" customWidth="1"/>
    <col min="3" max="3" width="9.85546875" style="19" bestFit="1" customWidth="1"/>
    <col min="4" max="4" width="24" style="15" bestFit="1" customWidth="1"/>
    <col min="5" max="5" width="14.140625" style="15" bestFit="1" customWidth="1"/>
    <col min="6" max="16384" width="9.140625" style="2"/>
  </cols>
  <sheetData>
    <row r="1" spans="1:5" x14ac:dyDescent="0.2">
      <c r="A1" s="99" t="s">
        <v>387</v>
      </c>
      <c r="B1" s="99"/>
      <c r="C1" s="99"/>
      <c r="D1" s="99"/>
      <c r="E1" s="99"/>
    </row>
    <row r="3" spans="1:5" s="4" customFormat="1" x14ac:dyDescent="0.2">
      <c r="A3" s="3" t="s">
        <v>1</v>
      </c>
      <c r="B3" s="3" t="s">
        <v>2</v>
      </c>
      <c r="C3" s="16" t="s">
        <v>4</v>
      </c>
      <c r="D3" s="12" t="s">
        <v>5</v>
      </c>
      <c r="E3" s="12" t="s">
        <v>6</v>
      </c>
    </row>
    <row r="4" spans="1:5" x14ac:dyDescent="0.2">
      <c r="A4" s="5"/>
      <c r="B4" s="5"/>
      <c r="C4" s="17"/>
      <c r="D4" s="13"/>
      <c r="E4" s="13"/>
    </row>
    <row r="5" spans="1:5" x14ac:dyDescent="0.2">
      <c r="A5" s="6" t="s">
        <v>593</v>
      </c>
      <c r="B5" s="7"/>
      <c r="C5" s="18"/>
      <c r="D5" s="14"/>
      <c r="E5" s="14"/>
    </row>
    <row r="6" spans="1:5" x14ac:dyDescent="0.2">
      <c r="A6" s="7" t="s">
        <v>154</v>
      </c>
      <c r="B6" s="27" t="s">
        <v>624</v>
      </c>
      <c r="C6" s="18">
        <v>126663.86</v>
      </c>
      <c r="D6" s="14">
        <v>569.15292650000004</v>
      </c>
      <c r="E6" s="14">
        <v>49.424885768319875</v>
      </c>
    </row>
    <row r="7" spans="1:5" x14ac:dyDescent="0.2">
      <c r="A7" s="7" t="s">
        <v>383</v>
      </c>
      <c r="B7" s="27" t="s">
        <v>626</v>
      </c>
      <c r="C7" s="18">
        <v>18446.509999999998</v>
      </c>
      <c r="D7" s="14">
        <v>175.08576959999999</v>
      </c>
      <c r="E7" s="14">
        <v>15.204339219256166</v>
      </c>
    </row>
    <row r="8" spans="1:5" x14ac:dyDescent="0.2">
      <c r="A8" s="7" t="s">
        <v>384</v>
      </c>
      <c r="B8" s="27" t="s">
        <v>627</v>
      </c>
      <c r="C8" s="18">
        <v>72586.44</v>
      </c>
      <c r="D8" s="14">
        <v>169.84697550000001</v>
      </c>
      <c r="E8" s="14">
        <v>14.749405601417257</v>
      </c>
    </row>
    <row r="9" spans="1:5" x14ac:dyDescent="0.2">
      <c r="A9" s="7" t="s">
        <v>385</v>
      </c>
      <c r="B9" s="27" t="s">
        <v>628</v>
      </c>
      <c r="C9" s="18">
        <v>164315.99</v>
      </c>
      <c r="D9" s="14">
        <v>118.6857675</v>
      </c>
      <c r="E9" s="14">
        <v>10.30659815295331</v>
      </c>
    </row>
    <row r="10" spans="1:5" x14ac:dyDescent="0.2">
      <c r="A10" s="7" t="s">
        <v>386</v>
      </c>
      <c r="B10" s="27" t="s">
        <v>629</v>
      </c>
      <c r="C10" s="18">
        <v>164321.99</v>
      </c>
      <c r="D10" s="14">
        <v>118.0490841</v>
      </c>
      <c r="E10" s="14">
        <v>10.251308962912423</v>
      </c>
    </row>
    <row r="11" spans="1:5" x14ac:dyDescent="0.2">
      <c r="A11" s="6" t="s">
        <v>44</v>
      </c>
      <c r="B11" s="7"/>
      <c r="C11" s="18"/>
      <c r="D11" s="20">
        <f>SUM(D6:D10)</f>
        <v>1150.8205232</v>
      </c>
      <c r="E11" s="20">
        <f>SUM(E6:E10)</f>
        <v>99.93653770485902</v>
      </c>
    </row>
    <row r="12" spans="1:5" x14ac:dyDescent="0.2">
      <c r="A12" s="7"/>
      <c r="B12" s="7"/>
      <c r="C12" s="18"/>
      <c r="D12" s="14"/>
      <c r="E12" s="14"/>
    </row>
    <row r="13" spans="1:5" x14ac:dyDescent="0.2">
      <c r="A13" s="6" t="s">
        <v>44</v>
      </c>
      <c r="B13" s="7"/>
      <c r="C13" s="18"/>
      <c r="D13" s="20">
        <v>1150.8205232</v>
      </c>
      <c r="E13" s="20">
        <v>99.93653770485902</v>
      </c>
    </row>
    <row r="14" spans="1:5" x14ac:dyDescent="0.2">
      <c r="A14" s="7"/>
      <c r="B14" s="7"/>
      <c r="C14" s="18"/>
      <c r="D14" s="14"/>
      <c r="E14" s="14"/>
    </row>
    <row r="15" spans="1:5" x14ac:dyDescent="0.2">
      <c r="A15" s="6" t="s">
        <v>76</v>
      </c>
      <c r="B15" s="7"/>
      <c r="C15" s="18"/>
      <c r="D15" s="20">
        <v>0.73080089999999998</v>
      </c>
      <c r="E15" s="20">
        <v>0.06</v>
      </c>
    </row>
    <row r="16" spans="1:5" x14ac:dyDescent="0.2">
      <c r="A16" s="7"/>
      <c r="B16" s="7"/>
      <c r="C16" s="18"/>
      <c r="D16" s="14"/>
      <c r="E16" s="14"/>
    </row>
    <row r="17" spans="1:5" x14ac:dyDescent="0.2">
      <c r="A17" s="8" t="s">
        <v>77</v>
      </c>
      <c r="B17" s="5"/>
      <c r="C17" s="17"/>
      <c r="D17" s="21">
        <v>1151.5513241000001</v>
      </c>
      <c r="E17" s="21">
        <f xml:space="preserve"> ROUND(SUM(E13:E16),2)</f>
        <v>100</v>
      </c>
    </row>
    <row r="19" spans="1:5" x14ac:dyDescent="0.2">
      <c r="A19" s="4" t="s">
        <v>78</v>
      </c>
      <c r="B19" s="2"/>
      <c r="C19" s="2"/>
      <c r="D19" s="2"/>
      <c r="E19" s="1"/>
    </row>
    <row r="20" spans="1:5" x14ac:dyDescent="0.2">
      <c r="A20" s="4" t="s">
        <v>79</v>
      </c>
      <c r="B20" s="2"/>
      <c r="C20" s="2"/>
      <c r="D20" s="2"/>
      <c r="E20" s="1"/>
    </row>
    <row r="21" spans="1:5" x14ac:dyDescent="0.2">
      <c r="A21" s="4" t="s">
        <v>80</v>
      </c>
      <c r="B21" s="2"/>
      <c r="C21" s="2"/>
      <c r="D21" s="2"/>
      <c r="E21" s="1"/>
    </row>
    <row r="22" spans="1:5" x14ac:dyDescent="0.2">
      <c r="A22" s="2" t="s">
        <v>638</v>
      </c>
      <c r="B22" s="2"/>
      <c r="C22" s="2"/>
      <c r="D22" s="10">
        <v>79.095699999999994</v>
      </c>
      <c r="E22" s="2"/>
    </row>
    <row r="23" spans="1:5" x14ac:dyDescent="0.2">
      <c r="A23" s="2" t="s">
        <v>639</v>
      </c>
      <c r="B23" s="2"/>
      <c r="C23" s="2"/>
      <c r="D23" s="10">
        <v>28.257899999999999</v>
      </c>
      <c r="E23" s="2"/>
    </row>
    <row r="24" spans="1:5" x14ac:dyDescent="0.2">
      <c r="A24" s="2" t="s">
        <v>640</v>
      </c>
      <c r="B24" s="2"/>
      <c r="C24" s="2"/>
      <c r="D24" s="10">
        <v>81.199299999999994</v>
      </c>
      <c r="E24" s="2"/>
    </row>
    <row r="25" spans="1:5" x14ac:dyDescent="0.2">
      <c r="A25" s="2" t="s">
        <v>641</v>
      </c>
      <c r="B25" s="2"/>
      <c r="C25" s="2"/>
      <c r="D25" s="10">
        <v>29.189</v>
      </c>
      <c r="E25" s="2"/>
    </row>
    <row r="26" spans="1:5" x14ac:dyDescent="0.2">
      <c r="A26" s="2"/>
      <c r="B26" s="2"/>
      <c r="C26" s="2"/>
      <c r="D26" s="10"/>
      <c r="E26" s="2"/>
    </row>
    <row r="27" spans="1:5" x14ac:dyDescent="0.2">
      <c r="A27" s="4" t="s">
        <v>81</v>
      </c>
      <c r="B27" s="2"/>
      <c r="C27" s="2"/>
      <c r="D27" s="2"/>
      <c r="E27" s="2"/>
    </row>
    <row r="28" spans="1:5" x14ac:dyDescent="0.2">
      <c r="A28" s="2" t="s">
        <v>638</v>
      </c>
      <c r="B28" s="2"/>
      <c r="C28" s="2"/>
      <c r="D28" s="10">
        <v>77.101200000000006</v>
      </c>
      <c r="E28" s="2"/>
    </row>
    <row r="29" spans="1:5" x14ac:dyDescent="0.2">
      <c r="A29" s="2" t="s">
        <v>639</v>
      </c>
      <c r="B29" s="2"/>
      <c r="C29" s="2"/>
      <c r="D29" s="10">
        <v>27.545300000000001</v>
      </c>
      <c r="E29" s="2"/>
    </row>
    <row r="30" spans="1:5" x14ac:dyDescent="0.2">
      <c r="A30" s="2" t="s">
        <v>640</v>
      </c>
      <c r="B30" s="2"/>
      <c r="C30" s="2"/>
      <c r="D30" s="10">
        <v>79.311300000000003</v>
      </c>
      <c r="E30" s="2"/>
    </row>
    <row r="31" spans="1:5" x14ac:dyDescent="0.2">
      <c r="A31" s="2" t="s">
        <v>641</v>
      </c>
      <c r="B31" s="2"/>
      <c r="C31" s="2"/>
      <c r="D31" s="10">
        <v>28.500699999999998</v>
      </c>
      <c r="E31" s="2"/>
    </row>
    <row r="32" spans="1:5" x14ac:dyDescent="0.2">
      <c r="A32" s="2"/>
      <c r="B32" s="2"/>
      <c r="C32" s="2"/>
      <c r="D32" s="2"/>
      <c r="E32" s="1"/>
    </row>
    <row r="33" spans="1:5" x14ac:dyDescent="0.2">
      <c r="A33" s="4" t="s">
        <v>82</v>
      </c>
      <c r="B33" s="2"/>
      <c r="C33" s="2"/>
      <c r="D33" s="44" t="s">
        <v>83</v>
      </c>
      <c r="E33" s="1"/>
    </row>
    <row r="34" spans="1:5" x14ac:dyDescent="0.2">
      <c r="A34" s="4"/>
      <c r="B34" s="2"/>
      <c r="C34" s="2"/>
      <c r="D34" s="44"/>
      <c r="E34" s="1"/>
    </row>
    <row r="35" spans="1:5" x14ac:dyDescent="0.2">
      <c r="A35" s="9" t="s">
        <v>646</v>
      </c>
      <c r="B35" s="2"/>
      <c r="C35" s="2"/>
      <c r="D35" s="51">
        <v>5.078537475945679E-2</v>
      </c>
      <c r="E35" s="1"/>
    </row>
    <row r="36" spans="1:5" x14ac:dyDescent="0.2">
      <c r="A36" s="2"/>
      <c r="B36" s="2"/>
      <c r="C36" s="2"/>
      <c r="D36" s="2"/>
      <c r="E36" s="1"/>
    </row>
    <row r="37" spans="1:5" x14ac:dyDescent="0.2">
      <c r="A37" s="2"/>
      <c r="B37" s="2"/>
      <c r="C37" s="2"/>
      <c r="D37" s="2"/>
      <c r="E37" s="1"/>
    </row>
  </sheetData>
  <mergeCells count="1">
    <mergeCell ref="A1:E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2CEC3-916F-4273-98D3-1DF0FE4324F1}">
  <dimension ref="A1:H204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84.85546875" style="2" bestFit="1" customWidth="1"/>
    <col min="3" max="3" width="11.42578125" style="2" bestFit="1" customWidth="1"/>
    <col min="4" max="4" width="7.42578125" style="2" bestFit="1" customWidth="1"/>
    <col min="5" max="5" width="23" style="73" bestFit="1" customWidth="1"/>
    <col min="6" max="6" width="15.5703125" style="73" bestFit="1" customWidth="1"/>
    <col min="7" max="7" width="9.140625" style="2"/>
    <col min="8" max="8" width="10.42578125" style="2" bestFit="1" customWidth="1"/>
    <col min="9" max="16384" width="9.140625" style="2"/>
  </cols>
  <sheetData>
    <row r="1" spans="1:6" ht="15" customHeight="1" x14ac:dyDescent="0.2">
      <c r="A1" s="108" t="s">
        <v>715</v>
      </c>
      <c r="B1" s="108"/>
      <c r="C1" s="108"/>
      <c r="D1" s="108"/>
      <c r="E1" s="108"/>
      <c r="F1" s="108"/>
    </row>
    <row r="3" spans="1:6" s="4" customFormat="1" x14ac:dyDescent="0.2">
      <c r="A3" s="64" t="s">
        <v>1</v>
      </c>
      <c r="B3" s="64" t="s">
        <v>2</v>
      </c>
      <c r="C3" s="64" t="s">
        <v>716</v>
      </c>
      <c r="D3" s="64" t="s">
        <v>4</v>
      </c>
      <c r="E3" s="65" t="s">
        <v>5</v>
      </c>
      <c r="F3" s="65" t="s">
        <v>6</v>
      </c>
    </row>
    <row r="4" spans="1:6" x14ac:dyDescent="0.2">
      <c r="A4" s="66"/>
      <c r="B4" s="66"/>
      <c r="C4" s="66"/>
      <c r="D4" s="66"/>
      <c r="E4" s="67"/>
      <c r="F4" s="67"/>
    </row>
    <row r="5" spans="1:6" x14ac:dyDescent="0.2">
      <c r="A5" s="38" t="s">
        <v>359</v>
      </c>
      <c r="B5" s="39"/>
      <c r="C5" s="39"/>
      <c r="D5" s="39"/>
      <c r="E5" s="68"/>
      <c r="F5" s="68"/>
    </row>
    <row r="6" spans="1:6" x14ac:dyDescent="0.2">
      <c r="A6" s="38" t="s">
        <v>8</v>
      </c>
      <c r="B6" s="39"/>
      <c r="C6" s="39"/>
      <c r="D6" s="39"/>
      <c r="E6" s="68"/>
      <c r="F6" s="68"/>
    </row>
    <row r="7" spans="1:6" x14ac:dyDescent="0.2">
      <c r="A7" s="38"/>
      <c r="B7" s="39"/>
      <c r="C7" s="39"/>
      <c r="D7" s="39"/>
      <c r="E7" s="68"/>
      <c r="F7" s="68"/>
    </row>
    <row r="8" spans="1:6" x14ac:dyDescent="0.2">
      <c r="A8" s="39" t="s">
        <v>369</v>
      </c>
      <c r="B8" s="39" t="str">
        <f>IFERROR(VLOOKUP(A8,[1]Bonds!$B$1:$K$2669,10,0),VLOOKUP(A8,[1]CPCD!$B$1:$H$1476,7,0))</f>
        <v>9.45% Vedanta Ltd (17-Aug-2020) **</v>
      </c>
      <c r="C8" s="39" t="s">
        <v>370</v>
      </c>
      <c r="D8" s="39">
        <v>7900</v>
      </c>
      <c r="E8" s="68">
        <v>78694.191000000006</v>
      </c>
      <c r="F8" s="43">
        <f>IF((E8/$E$161*100)&lt;0.01,"0.00*",E8/$E$161*100)</f>
        <v>3.9842243018669725</v>
      </c>
    </row>
    <row r="9" spans="1:6" x14ac:dyDescent="0.2">
      <c r="A9" s="39" t="s">
        <v>717</v>
      </c>
      <c r="B9" s="39" t="str">
        <f>IFERROR(VLOOKUP(A9,[1]Bonds!$B$1:$K$2669,10,0),VLOOKUP(A9,[1]CPCD!$B$1:$H$1476,7,0))</f>
        <v>9.60% Renew Power Limited (26-Feb-2021) **</v>
      </c>
      <c r="C9" s="39" t="s">
        <v>718</v>
      </c>
      <c r="D9" s="39">
        <v>6740</v>
      </c>
      <c r="E9" s="68">
        <v>67476.768599999996</v>
      </c>
      <c r="F9" s="43">
        <f t="shared" ref="F9:F72" si="0">IF((E9/$E$161*100)&lt;0.01,"0.00*",E9/$E$161*100)</f>
        <v>3.4162951273947808</v>
      </c>
    </row>
    <row r="10" spans="1:6" x14ac:dyDescent="0.2">
      <c r="A10" s="39" t="s">
        <v>719</v>
      </c>
      <c r="B10" s="39" t="str">
        <f>IFERROR(VLOOKUP(A10,[1]Bonds!$B$1:$K$2669,10,0),VLOOKUP(A10,[1]CPCD!$B$1:$H$1476,7,0))</f>
        <v>JM Financial Credit Solutions Ltd (1Y SBI MCLR + 160 Bps) (23-Jul-2024) **</v>
      </c>
      <c r="C10" s="39" t="s">
        <v>367</v>
      </c>
      <c r="D10" s="39">
        <v>5400</v>
      </c>
      <c r="E10" s="68">
        <v>54012.798000000003</v>
      </c>
      <c r="F10" s="43">
        <f t="shared" si="0"/>
        <v>2.7346250043212441</v>
      </c>
    </row>
    <row r="11" spans="1:6" x14ac:dyDescent="0.2">
      <c r="A11" s="39" t="s">
        <v>720</v>
      </c>
      <c r="B11" s="39" t="str">
        <f>IFERROR(VLOOKUP(A11,[1]Bonds!$B$1:$K$2669,10,0),VLOOKUP(A11,[1]CPCD!$B$1:$H$1476,7,0))</f>
        <v>Indostar Capital Finance Ltd (1Y SBI MCLR + 200 Bps) (02-May-2023) **</v>
      </c>
      <c r="C11" s="39" t="s">
        <v>721</v>
      </c>
      <c r="D11" s="39">
        <v>4400</v>
      </c>
      <c r="E11" s="68">
        <v>44052.271999999997</v>
      </c>
      <c r="F11" s="43">
        <f t="shared" si="0"/>
        <v>2.2303314949238624</v>
      </c>
    </row>
    <row r="12" spans="1:6" x14ac:dyDescent="0.2">
      <c r="A12" s="39" t="s">
        <v>722</v>
      </c>
      <c r="B12" s="39" t="str">
        <f>IFERROR(VLOOKUP(A12,[1]Bonds!$B$1:$K$2669,10,0),VLOOKUP(A12,[1]CPCD!$B$1:$H$1476,7,0))</f>
        <v>Edelweiss Rural &amp; Corporate Services Ltd (1Y SBI MCLR + 160 Bps) (29-Nov-2021) **</v>
      </c>
      <c r="C12" s="39" t="s">
        <v>723</v>
      </c>
      <c r="D12" s="39">
        <v>7500</v>
      </c>
      <c r="E12" s="68">
        <v>37275.525000000001</v>
      </c>
      <c r="F12" s="43">
        <f t="shared" si="0"/>
        <v>1.8872301841167651</v>
      </c>
    </row>
    <row r="13" spans="1:6" x14ac:dyDescent="0.2">
      <c r="A13" s="39" t="s">
        <v>724</v>
      </c>
      <c r="B13" s="39" t="str">
        <f>IFERROR(VLOOKUP(A13,[1]Bonds!$B$1:$K$2669,10,0),VLOOKUP(A13,[1]CPCD!$B$1:$H$1476,7,0))</f>
        <v>Edelweiss Rural &amp; Corporate Services Ltd (1Y SBI MCLR + 150 Bps) (29-Nov-2021) - Series II **</v>
      </c>
      <c r="C13" s="39" t="s">
        <v>370</v>
      </c>
      <c r="D13" s="39">
        <v>3650</v>
      </c>
      <c r="E13" s="68">
        <v>36202.89</v>
      </c>
      <c r="F13" s="43">
        <f t="shared" si="0"/>
        <v>1.8329235271739026</v>
      </c>
    </row>
    <row r="14" spans="1:6" x14ac:dyDescent="0.2">
      <c r="A14" s="39" t="s">
        <v>725</v>
      </c>
      <c r="B14" s="39" t="str">
        <f>IFERROR(VLOOKUP(A14,[1]Bonds!$B$1:$K$2669,10,0),VLOOKUP(A14,[1]CPCD!$B$1:$H$1476,7,0))</f>
        <v>8.25% Bharti Airtel Ltd (20-Apr-2020) **</v>
      </c>
      <c r="C14" s="39" t="s">
        <v>370</v>
      </c>
      <c r="D14" s="39">
        <v>3500</v>
      </c>
      <c r="E14" s="68">
        <v>34785.94</v>
      </c>
      <c r="F14" s="43">
        <f t="shared" si="0"/>
        <v>1.7611844756277675</v>
      </c>
    </row>
    <row r="15" spans="1:6" x14ac:dyDescent="0.2">
      <c r="A15" s="39" t="s">
        <v>726</v>
      </c>
      <c r="B15" s="39" t="str">
        <f>IFERROR(VLOOKUP(A15,[1]Bonds!$B$1:$K$2669,10,0),VLOOKUP(A15,[1]CPCD!$B$1:$H$1476,7,0))</f>
        <v>0.00% Bharti Telecom Ltd (19-Feb-2021) **</v>
      </c>
      <c r="C15" s="39" t="s">
        <v>727</v>
      </c>
      <c r="D15" s="39">
        <v>2400</v>
      </c>
      <c r="E15" s="68">
        <v>26843.495999999999</v>
      </c>
      <c r="F15" s="43">
        <f t="shared" si="0"/>
        <v>1.3590648528335318</v>
      </c>
    </row>
    <row r="16" spans="1:6" x14ac:dyDescent="0.2">
      <c r="A16" s="39" t="s">
        <v>728</v>
      </c>
      <c r="B16" s="39" t="str">
        <f>IFERROR(VLOOKUP(A16,[1]Bonds!$B$1:$K$2669,10,0),VLOOKUP(A16,[1]CPCD!$B$1:$H$1476,7,0))</f>
        <v>Shriram Transport Finance Co Ltd ( One Year CD Rate + 150 Bps) (30-Mar-2020) **</v>
      </c>
      <c r="C16" s="39" t="s">
        <v>729</v>
      </c>
      <c r="D16" s="39">
        <v>2500</v>
      </c>
      <c r="E16" s="68">
        <v>24624.9</v>
      </c>
      <c r="F16" s="43">
        <f t="shared" si="0"/>
        <v>1.2467391018867453</v>
      </c>
    </row>
    <row r="17" spans="1:6" x14ac:dyDescent="0.2">
      <c r="A17" s="39" t="s">
        <v>730</v>
      </c>
      <c r="B17" s="39" t="str">
        <f>IFERROR(VLOOKUP(A17,[1]Bonds!$B$1:$K$2669,10,0),VLOOKUP(A17,[1]CPCD!$B$1:$H$1476,7,0))</f>
        <v>10.15% Uttar Pradesh Power Corp Ltd (20-Jan-2021) **</v>
      </c>
      <c r="C17" s="39" t="s">
        <v>731</v>
      </c>
      <c r="D17" s="39">
        <v>2244</v>
      </c>
      <c r="E17" s="68">
        <v>22396.66836</v>
      </c>
      <c r="F17" s="43">
        <f t="shared" si="0"/>
        <v>1.1339255061503473</v>
      </c>
    </row>
    <row r="18" spans="1:6" x14ac:dyDescent="0.2">
      <c r="A18" s="39" t="s">
        <v>732</v>
      </c>
      <c r="B18" s="39" t="str">
        <f>IFERROR(VLOOKUP(A18,[1]Bonds!$B$1:$K$2669,10,0),VLOOKUP(A18,[1]CPCD!$B$1:$H$1476,7,0))</f>
        <v>0.00% Tata Realty &amp; Infrastructure Ltd (04-Jun-2021) **</v>
      </c>
      <c r="C18" s="39" t="s">
        <v>367</v>
      </c>
      <c r="D18" s="39">
        <v>2000</v>
      </c>
      <c r="E18" s="68">
        <v>20419.54</v>
      </c>
      <c r="F18" s="43">
        <f t="shared" si="0"/>
        <v>1.0338250697684244</v>
      </c>
    </row>
    <row r="19" spans="1:6" x14ac:dyDescent="0.2">
      <c r="A19" s="39" t="s">
        <v>733</v>
      </c>
      <c r="B19" s="39" t="str">
        <f>IFERROR(VLOOKUP(A19,[1]Bonds!$B$1:$K$2669,10,0),VLOOKUP(A19,[1]CPCD!$B$1:$H$1476,7,0))</f>
        <v>9.75% Uttar Pradesh Power Corp Ltd (20-Oct-2020) **</v>
      </c>
      <c r="C19" s="39" t="s">
        <v>731</v>
      </c>
      <c r="D19" s="39">
        <v>2030</v>
      </c>
      <c r="E19" s="68">
        <v>20223.509600000001</v>
      </c>
      <c r="F19" s="43">
        <f t="shared" si="0"/>
        <v>1.023900206526807</v>
      </c>
    </row>
    <row r="20" spans="1:6" x14ac:dyDescent="0.2">
      <c r="A20" s="39" t="s">
        <v>734</v>
      </c>
      <c r="B20" s="39" t="str">
        <f>IFERROR(VLOOKUP(A20,[1]Bonds!$B$1:$K$2669,10,0),VLOOKUP(A20,[1]CPCD!$B$1:$H$1476,7,0))</f>
        <v>Motilal Oswal Home Finance Ltd (SBI MCLR + 205 Bps) (28-Sep-2023) **</v>
      </c>
      <c r="C20" s="39" t="s">
        <v>735</v>
      </c>
      <c r="D20" s="39">
        <v>2000</v>
      </c>
      <c r="E20" s="68">
        <v>20001.474665999998</v>
      </c>
      <c r="F20" s="43">
        <f t="shared" si="0"/>
        <v>1.012658754411158</v>
      </c>
    </row>
    <row r="21" spans="1:6" x14ac:dyDescent="0.2">
      <c r="A21" s="39" t="s">
        <v>736</v>
      </c>
      <c r="B21" s="39" t="str">
        <f>IFERROR(VLOOKUP(A21,[1]Bonds!$B$1:$K$2669,10,0),VLOOKUP(A21,[1]CPCD!$B$1:$H$1476,7,0))</f>
        <v>2.20% Tata Steel Ltd (23-Apr-2022) **</v>
      </c>
      <c r="C21" s="39" t="s">
        <v>737</v>
      </c>
      <c r="D21" s="39">
        <v>1150</v>
      </c>
      <c r="E21" s="68">
        <v>17403.156999999999</v>
      </c>
      <c r="F21" s="43">
        <f t="shared" si="0"/>
        <v>0.88110799752177771</v>
      </c>
    </row>
    <row r="22" spans="1:6" x14ac:dyDescent="0.2">
      <c r="A22" s="39" t="s">
        <v>738</v>
      </c>
      <c r="B22" s="39" t="str">
        <f>IFERROR(VLOOKUP(A22,[1]Bonds!$B$1:$K$2669,10,0),VLOOKUP(A22,[1]CPCD!$B$1:$H$1476,7,0))</f>
        <v>10.15% Uttar Pradesh Power Corp Ltd (20-Jan-2020) **</v>
      </c>
      <c r="C22" s="39" t="s">
        <v>731</v>
      </c>
      <c r="D22" s="39">
        <v>1611</v>
      </c>
      <c r="E22" s="68">
        <v>16137.19368</v>
      </c>
      <c r="F22" s="43">
        <f t="shared" si="0"/>
        <v>0.81701328149863195</v>
      </c>
    </row>
    <row r="23" spans="1:6" x14ac:dyDescent="0.2">
      <c r="A23" s="39" t="s">
        <v>739</v>
      </c>
      <c r="B23" s="39" t="str">
        <f>IFERROR(VLOOKUP(A23,[1]Bonds!$B$1:$K$2669,10,0),VLOOKUP(A23,[1]CPCD!$B$1:$H$1476,7,0))</f>
        <v>9.70% Xander Finance Pvt Ltd (15-Mar-2021) **</v>
      </c>
      <c r="C23" s="39" t="s">
        <v>740</v>
      </c>
      <c r="D23" s="39">
        <v>1600</v>
      </c>
      <c r="E23" s="68">
        <v>15863.04</v>
      </c>
      <c r="F23" s="43">
        <f t="shared" si="0"/>
        <v>0.80313309872501082</v>
      </c>
    </row>
    <row r="24" spans="1:6" x14ac:dyDescent="0.2">
      <c r="A24" s="39" t="s">
        <v>741</v>
      </c>
      <c r="B24" s="39" t="str">
        <f>IFERROR(VLOOKUP(A24,[1]Bonds!$B$1:$K$2669,10,0),VLOOKUP(A24,[1]CPCD!$B$1:$H$1476,7,0))</f>
        <v>8.5666% Nuvoco Vistas Corp Ltd (14-Sep-2020) **</v>
      </c>
      <c r="C24" s="39" t="s">
        <v>370</v>
      </c>
      <c r="D24" s="39">
        <v>1550</v>
      </c>
      <c r="E24" s="68">
        <v>15469.3565</v>
      </c>
      <c r="F24" s="43">
        <f t="shared" si="0"/>
        <v>0.78320121623137084</v>
      </c>
    </row>
    <row r="25" spans="1:6" x14ac:dyDescent="0.2">
      <c r="A25" s="39" t="s">
        <v>742</v>
      </c>
      <c r="B25" s="39" t="str">
        <f>IFERROR(VLOOKUP(A25,[1]Bonds!$B$1:$K$2669,10,0),VLOOKUP(A25,[1]CPCD!$B$1:$H$1476,7,0))</f>
        <v>Motilal Oswal Home Finance Ltd (SBI MCLR + 200 Bps) (24-Aug-2023) **</v>
      </c>
      <c r="C25" s="39" t="s">
        <v>735</v>
      </c>
      <c r="D25" s="39">
        <v>1500</v>
      </c>
      <c r="E25" s="68">
        <v>14868.24</v>
      </c>
      <c r="F25" s="43">
        <f t="shared" si="0"/>
        <v>0.75276716592703241</v>
      </c>
    </row>
    <row r="26" spans="1:6" x14ac:dyDescent="0.2">
      <c r="A26" s="39" t="s">
        <v>743</v>
      </c>
      <c r="B26" s="39" t="str">
        <f>IFERROR(VLOOKUP(A26,[1]Bonds!$B$1:$K$2669,10,0),VLOOKUP(A26,[1]CPCD!$B$1:$H$1476,7,0))</f>
        <v>7.50% Tata Motors Ltd (20-Oct-2021) **</v>
      </c>
      <c r="C26" s="39" t="s">
        <v>721</v>
      </c>
      <c r="D26" s="39">
        <v>1534</v>
      </c>
      <c r="E26" s="68">
        <v>14846.75764</v>
      </c>
      <c r="F26" s="43">
        <f t="shared" si="0"/>
        <v>0.75167953112596497</v>
      </c>
    </row>
    <row r="27" spans="1:6" x14ac:dyDescent="0.2">
      <c r="A27" s="39" t="s">
        <v>744</v>
      </c>
      <c r="B27" s="39" t="str">
        <f>IFERROR(VLOOKUP(A27,[1]Bonds!$B$1:$K$2669,10,0),VLOOKUP(A27,[1]CPCD!$B$1:$H$1476,7,0))</f>
        <v>Shriram Transport Finance Co Ltd ( 3M INCDFIX Rate + 222 Bps) (11-Mar-2021) **</v>
      </c>
      <c r="C27" s="39" t="s">
        <v>727</v>
      </c>
      <c r="D27" s="39">
        <v>1425</v>
      </c>
      <c r="E27" s="68">
        <v>14067.15825</v>
      </c>
      <c r="F27" s="43">
        <f t="shared" si="0"/>
        <v>0.71220903405511171</v>
      </c>
    </row>
    <row r="28" spans="1:6" x14ac:dyDescent="0.2">
      <c r="A28" s="39" t="s">
        <v>745</v>
      </c>
      <c r="B28" s="39" t="str">
        <f>IFERROR(VLOOKUP(A28,[1]Bonds!$B$1:$K$2669,10,0),VLOOKUP(A28,[1]CPCD!$B$1:$H$1476,7,0))</f>
        <v>8.52% Power Finance Corp Ltd (09-Dec-2019) **</v>
      </c>
      <c r="C28" s="39" t="s">
        <v>361</v>
      </c>
      <c r="D28" s="39">
        <v>1350</v>
      </c>
      <c r="E28" s="68">
        <v>13578.3</v>
      </c>
      <c r="F28" s="43">
        <f t="shared" si="0"/>
        <v>0.68745852966504606</v>
      </c>
    </row>
    <row r="29" spans="1:6" x14ac:dyDescent="0.2">
      <c r="A29" s="39" t="s">
        <v>746</v>
      </c>
      <c r="B29" s="39" t="str">
        <f>IFERROR(VLOOKUP(A29,[1]Bonds!$B$1:$K$2669,10,0),VLOOKUP(A29,[1]CPCD!$B$1:$H$1476,7,0))</f>
        <v>8.40% Edelweiss Rural &amp; Corporate Services Ltd (26-Oct-2020) **</v>
      </c>
      <c r="C29" s="39" t="s">
        <v>370</v>
      </c>
      <c r="D29" s="39">
        <v>1300</v>
      </c>
      <c r="E29" s="68">
        <v>12897.456</v>
      </c>
      <c r="F29" s="43">
        <f t="shared" si="0"/>
        <v>0.65298793944600042</v>
      </c>
    </row>
    <row r="30" spans="1:6" x14ac:dyDescent="0.2">
      <c r="A30" s="39" t="s">
        <v>747</v>
      </c>
      <c r="B30" s="39" t="str">
        <f>IFERROR(VLOOKUP(A30,[1]Bonds!$B$1:$K$2669,10,0),VLOOKUP(A30,[1]CPCD!$B$1:$H$1476,7,0))</f>
        <v>11.80% Tata Steel Ltd (18-Mar-2021) **</v>
      </c>
      <c r="C30" s="39" t="s">
        <v>721</v>
      </c>
      <c r="D30" s="39">
        <v>1230</v>
      </c>
      <c r="E30" s="68">
        <v>12734.054700000001</v>
      </c>
      <c r="F30" s="43">
        <f t="shared" si="0"/>
        <v>0.64471506158622727</v>
      </c>
    </row>
    <row r="31" spans="1:6" x14ac:dyDescent="0.2">
      <c r="A31" s="39" t="s">
        <v>748</v>
      </c>
      <c r="B31" s="39" t="str">
        <f>IFERROR(VLOOKUP(A31,[1]Bonds!$B$1:$K$2669,10,0),VLOOKUP(A31,[1]CPCD!$B$1:$H$1476,7,0))</f>
        <v>7.99% The Tata Power Co Ltd (16-Nov-2020) **</v>
      </c>
      <c r="C31" s="39" t="s">
        <v>737</v>
      </c>
      <c r="D31" s="39">
        <v>1100</v>
      </c>
      <c r="E31" s="68">
        <v>10931.349</v>
      </c>
      <c r="F31" s="43">
        <f t="shared" si="0"/>
        <v>0.55344550575517348</v>
      </c>
    </row>
    <row r="32" spans="1:6" x14ac:dyDescent="0.2">
      <c r="A32" s="39" t="s">
        <v>749</v>
      </c>
      <c r="B32" s="39" t="str">
        <f>IFERROR(VLOOKUP(A32,[1]Bonds!$B$1:$K$2669,10,0),VLOOKUP(A32,[1]CPCD!$B$1:$H$1476,7,0))</f>
        <v>10.75% Incred Financial Services Private Limited (22-Jun-2020) **</v>
      </c>
      <c r="C32" s="39" t="s">
        <v>750</v>
      </c>
      <c r="D32" s="39">
        <v>1070</v>
      </c>
      <c r="E32" s="68">
        <v>10718.8534</v>
      </c>
      <c r="F32" s="43">
        <f t="shared" si="0"/>
        <v>0.54268702253295187</v>
      </c>
    </row>
    <row r="33" spans="1:6" x14ac:dyDescent="0.2">
      <c r="A33" s="39" t="s">
        <v>751</v>
      </c>
      <c r="B33" s="39" t="str">
        <f>IFERROR(VLOOKUP(A33,[1]Bonds!$B$1:$K$2669,10,0),VLOOKUP(A33,[1]CPCD!$B$1:$H$1476,7,0))</f>
        <v>7.40% Tata Motors Ltd (29-Jun-2021) **</v>
      </c>
      <c r="C33" s="39" t="s">
        <v>721</v>
      </c>
      <c r="D33" s="39">
        <v>1103</v>
      </c>
      <c r="E33" s="68">
        <v>10712.335999999999</v>
      </c>
      <c r="F33" s="43">
        <f t="shared" si="0"/>
        <v>0.54235705175448623</v>
      </c>
    </row>
    <row r="34" spans="1:6" x14ac:dyDescent="0.2">
      <c r="A34" s="39" t="s">
        <v>752</v>
      </c>
      <c r="B34" s="39" t="str">
        <f>IFERROR(VLOOKUP(A34,[1]Bonds!$B$1:$K$2669,10,0),VLOOKUP(A34,[1]CPCD!$B$1:$H$1476,7,0))</f>
        <v>12.40% Hinduja Leyland Finance Ltd (03-Apr-2020) **</v>
      </c>
      <c r="C34" s="39" t="s">
        <v>753</v>
      </c>
      <c r="D34" s="39">
        <v>1050</v>
      </c>
      <c r="E34" s="68">
        <v>10640.300999999999</v>
      </c>
      <c r="F34" s="43">
        <f t="shared" si="0"/>
        <v>0.53870997699664314</v>
      </c>
    </row>
    <row r="35" spans="1:6" x14ac:dyDescent="0.2">
      <c r="A35" s="39" t="s">
        <v>754</v>
      </c>
      <c r="B35" s="39" t="str">
        <f>IFERROR(VLOOKUP(A35,[1]Bonds!$B$1:$K$2669,10,0),VLOOKUP(A35,[1]CPCD!$B$1:$H$1476,7,0))</f>
        <v>10.25% Future Enterprise Ltd, Series B (06-Apr-2020) **</v>
      </c>
      <c r="C35" s="39" t="s">
        <v>721</v>
      </c>
      <c r="D35" s="39">
        <v>1000</v>
      </c>
      <c r="E35" s="68">
        <v>10251.49</v>
      </c>
      <c r="F35" s="43">
        <f t="shared" si="0"/>
        <v>0.51902478530272</v>
      </c>
    </row>
    <row r="36" spans="1:6" x14ac:dyDescent="0.2">
      <c r="A36" s="39" t="s">
        <v>755</v>
      </c>
      <c r="B36" s="39" t="str">
        <f>IFERROR(VLOOKUP(A36,[1]Bonds!$B$1:$K$2669,10,0),VLOOKUP(A36,[1]CPCD!$B$1:$H$1476,7,0))</f>
        <v>10.25% Future Enterprise Ltd, Series C (06-Apr-2020) **</v>
      </c>
      <c r="C36" s="39" t="s">
        <v>721</v>
      </c>
      <c r="D36" s="39">
        <v>1000</v>
      </c>
      <c r="E36" s="68">
        <v>10251.49</v>
      </c>
      <c r="F36" s="43">
        <f t="shared" si="0"/>
        <v>0.51902478530272</v>
      </c>
    </row>
    <row r="37" spans="1:6" x14ac:dyDescent="0.2">
      <c r="A37" s="39" t="s">
        <v>756</v>
      </c>
      <c r="B37" s="39" t="str">
        <f>IFERROR(VLOOKUP(A37,[1]Bonds!$B$1:$K$2669,10,0),VLOOKUP(A37,[1]CPCD!$B$1:$H$1476,7,0))</f>
        <v>8.4706% Nuvoco Vistas Corp Ltd (14-Sep-2019) **</v>
      </c>
      <c r="C37" s="39" t="s">
        <v>370</v>
      </c>
      <c r="D37" s="39">
        <v>1000</v>
      </c>
      <c r="E37" s="68">
        <v>10004.699333</v>
      </c>
      <c r="F37" s="43">
        <f t="shared" si="0"/>
        <v>0.50652997011445089</v>
      </c>
    </row>
    <row r="38" spans="1:6" x14ac:dyDescent="0.2">
      <c r="A38" s="39" t="s">
        <v>757</v>
      </c>
      <c r="B38" s="39" t="str">
        <f>IFERROR(VLOOKUP(A38,[1]Bonds!$B$1:$K$2669,10,0),VLOOKUP(A38,[1]CPCD!$B$1:$H$1476,7,0))</f>
        <v>9.60% Northern ARC Capital Ltd (27-Dec-2019) **</v>
      </c>
      <c r="C38" s="39" t="s">
        <v>740</v>
      </c>
      <c r="D38" s="39">
        <v>1000</v>
      </c>
      <c r="E38" s="68">
        <v>9983.8799999999992</v>
      </c>
      <c r="F38" s="43">
        <f t="shared" si="0"/>
        <v>0.50547590384306285</v>
      </c>
    </row>
    <row r="39" spans="1:6" x14ac:dyDescent="0.2">
      <c r="A39" s="39" t="s">
        <v>758</v>
      </c>
      <c r="B39" s="39" t="str">
        <f>IFERROR(VLOOKUP(A39,[1]Bonds!$B$1:$K$2669,10,0),VLOOKUP(A39,[1]CPCD!$B$1:$H$1476,7,0))</f>
        <v>8.68% Vedanta Ltd (20-Apr-2020)</v>
      </c>
      <c r="C39" s="39" t="s">
        <v>370</v>
      </c>
      <c r="D39" s="39">
        <v>1000</v>
      </c>
      <c r="E39" s="68">
        <v>9914.9</v>
      </c>
      <c r="F39" s="43">
        <f t="shared" si="0"/>
        <v>0.50198350130546276</v>
      </c>
    </row>
    <row r="40" spans="1:6" x14ac:dyDescent="0.2">
      <c r="A40" s="39" t="s">
        <v>759</v>
      </c>
      <c r="B40" s="39" t="str">
        <f>IFERROR(VLOOKUP(A40,[1]Bonds!$B$1:$K$2669,10,0),VLOOKUP(A40,[1]CPCD!$B$1:$H$1476,7,0))</f>
        <v>7.85% Talwandi Sabo Power Ltd (04-Aug-2020) **</v>
      </c>
      <c r="C40" s="39" t="s">
        <v>760</v>
      </c>
      <c r="D40" s="39">
        <v>1000</v>
      </c>
      <c r="E40" s="68">
        <v>9792.81</v>
      </c>
      <c r="F40" s="43">
        <f t="shared" si="0"/>
        <v>0.49580218170825213</v>
      </c>
    </row>
    <row r="41" spans="1:6" x14ac:dyDescent="0.2">
      <c r="A41" s="39" t="s">
        <v>761</v>
      </c>
      <c r="B41" s="39" t="str">
        <f>IFERROR(VLOOKUP(A41,[1]Bonds!$B$1:$K$2669,10,0),VLOOKUP(A41,[1]CPCD!$B$1:$H$1476,7,0))</f>
        <v>8.25% Vizag General Cargo Berth Pvt Ltd (30-Sep-2020) **</v>
      </c>
      <c r="C41" s="39" t="s">
        <v>760</v>
      </c>
      <c r="D41" s="39">
        <v>1000</v>
      </c>
      <c r="E41" s="68">
        <v>9791.3700000000008</v>
      </c>
      <c r="F41" s="43">
        <f t="shared" si="0"/>
        <v>0.49572927565353858</v>
      </c>
    </row>
    <row r="42" spans="1:6" x14ac:dyDescent="0.2">
      <c r="A42" s="39" t="s">
        <v>762</v>
      </c>
      <c r="B42" s="39" t="str">
        <f>IFERROR(VLOOKUP(A42,[1]Bonds!$B$1:$K$2669,10,0),VLOOKUP(A42,[1]CPCD!$B$1:$H$1476,7,0))</f>
        <v>7.80% Pnb Housing Finance Ltd (07-May-2021)</v>
      </c>
      <c r="C42" s="39" t="s">
        <v>763</v>
      </c>
      <c r="D42" s="39">
        <v>1000</v>
      </c>
      <c r="E42" s="68">
        <v>9667.7263810000004</v>
      </c>
      <c r="F42" s="43">
        <f t="shared" si="0"/>
        <v>0.48946929756200974</v>
      </c>
    </row>
    <row r="43" spans="1:6" x14ac:dyDescent="0.2">
      <c r="A43" s="39" t="s">
        <v>764</v>
      </c>
      <c r="B43" s="39" t="str">
        <f>IFERROR(VLOOKUP(A43,[1]Bonds!$B$1:$K$2669,10,0),VLOOKUP(A43,[1]CPCD!$B$1:$H$1476,7,0))</f>
        <v>12.25% DLF Ltd, Series IV (11-Aug-2020) **</v>
      </c>
      <c r="C43" s="39" t="s">
        <v>740</v>
      </c>
      <c r="D43" s="39">
        <v>19</v>
      </c>
      <c r="E43" s="68">
        <v>9659.1440000000002</v>
      </c>
      <c r="F43" s="43">
        <f t="shared" si="0"/>
        <v>0.48903477843787163</v>
      </c>
    </row>
    <row r="44" spans="1:6" x14ac:dyDescent="0.2">
      <c r="A44" s="39" t="s">
        <v>765</v>
      </c>
      <c r="B44" s="39" t="str">
        <f>IFERROR(VLOOKUP(A44,[1]Bonds!$B$1:$K$2669,10,0),VLOOKUP(A44,[1]CPCD!$B$1:$H$1476,7,0))</f>
        <v>8.56% Rec Ltd (13-Nov-2019) **</v>
      </c>
      <c r="C44" s="39" t="s">
        <v>361</v>
      </c>
      <c r="D44" s="39">
        <v>950</v>
      </c>
      <c r="E44" s="68">
        <v>9545.7235000000001</v>
      </c>
      <c r="F44" s="43">
        <f t="shared" si="0"/>
        <v>0.48329238873048008</v>
      </c>
    </row>
    <row r="45" spans="1:6" x14ac:dyDescent="0.2">
      <c r="A45" s="39" t="s">
        <v>766</v>
      </c>
      <c r="B45" s="39" t="str">
        <f>IFERROR(VLOOKUP(A45,[1]Bonds!$B$1:$K$2669,10,0),VLOOKUP(A45,[1]CPCD!$B$1:$H$1476,7,0))</f>
        <v>10.15% Uttar Pradesh Power Corp Ltd (20-Jan-2022) **</v>
      </c>
      <c r="C45" s="39" t="s">
        <v>731</v>
      </c>
      <c r="D45" s="39">
        <v>938</v>
      </c>
      <c r="E45" s="68">
        <v>9337.3116200000004</v>
      </c>
      <c r="F45" s="43">
        <f t="shared" si="0"/>
        <v>0.4727406610039217</v>
      </c>
    </row>
    <row r="46" spans="1:6" x14ac:dyDescent="0.2">
      <c r="A46" s="39" t="s">
        <v>767</v>
      </c>
      <c r="B46" s="39" t="str">
        <f>IFERROR(VLOOKUP(A46,[1]Bonds!$B$1:$K$2669,10,0),VLOOKUP(A46,[1]CPCD!$B$1:$H$1476,7,0))</f>
        <v>9.00% Edelweiss Rural &amp; Corporate Services Ltd (17-Apr-2020) **</v>
      </c>
      <c r="C46" s="39" t="s">
        <v>723</v>
      </c>
      <c r="D46" s="39">
        <v>840</v>
      </c>
      <c r="E46" s="68">
        <v>8626.1363999999994</v>
      </c>
      <c r="F46" s="43">
        <f t="shared" si="0"/>
        <v>0.43673442523984107</v>
      </c>
    </row>
    <row r="47" spans="1:6" x14ac:dyDescent="0.2">
      <c r="A47" s="39" t="s">
        <v>768</v>
      </c>
      <c r="B47" s="39" t="str">
        <f>IFERROR(VLOOKUP(A47,[1]Bonds!$B$1:$K$2669,10,0),VLOOKUP(A47,[1]CPCD!$B$1:$H$1476,7,0))</f>
        <v>Northern Arc Capital Ltd (6M SBI MCLR + 305 Bps) Series C (16-Jul-2021) **</v>
      </c>
      <c r="C47" s="39" t="s">
        <v>740</v>
      </c>
      <c r="D47" s="39">
        <v>840</v>
      </c>
      <c r="E47" s="68">
        <v>8427.7116000000005</v>
      </c>
      <c r="F47" s="43">
        <f t="shared" si="0"/>
        <v>0.42668833543058071</v>
      </c>
    </row>
    <row r="48" spans="1:6" x14ac:dyDescent="0.2">
      <c r="A48" s="39" t="s">
        <v>769</v>
      </c>
      <c r="B48" s="39" t="str">
        <f>IFERROR(VLOOKUP(A48,[1]Bonds!$B$1:$K$2669,10,0),VLOOKUP(A48,[1]CPCD!$B$1:$H$1476,7,0))</f>
        <v>Northern Arc Capital Ltd (6M SBI MCLR + 305 Bps) Series B (16-Jul-2021) **</v>
      </c>
      <c r="C48" s="39" t="s">
        <v>740</v>
      </c>
      <c r="D48" s="39">
        <v>800</v>
      </c>
      <c r="E48" s="68">
        <v>8023.36</v>
      </c>
      <c r="F48" s="43">
        <f t="shared" si="0"/>
        <v>0.4062163355186838</v>
      </c>
    </row>
    <row r="49" spans="1:6" x14ac:dyDescent="0.2">
      <c r="A49" s="39" t="s">
        <v>770</v>
      </c>
      <c r="B49" s="39" t="str">
        <f>IFERROR(VLOOKUP(A49,[1]Bonds!$B$1:$K$2669,10,0),VLOOKUP(A49,[1]CPCD!$B$1:$H$1476,7,0))</f>
        <v>Northern Arc Capital Ltd (6M SBI MCLR + 305 Bps) Series A (16-Jul-2021) **</v>
      </c>
      <c r="C49" s="39" t="s">
        <v>740</v>
      </c>
      <c r="D49" s="39">
        <v>800</v>
      </c>
      <c r="E49" s="68">
        <v>8020.04</v>
      </c>
      <c r="F49" s="43">
        <f t="shared" si="0"/>
        <v>0.40604824655920524</v>
      </c>
    </row>
    <row r="50" spans="1:6" x14ac:dyDescent="0.2">
      <c r="A50" s="39" t="s">
        <v>771</v>
      </c>
      <c r="B50" s="39" t="str">
        <f>IFERROR(VLOOKUP(A50,[1]Bonds!$B$1:$K$2669,10,0),VLOOKUP(A50,[1]CPCD!$B$1:$H$1476,7,0))</f>
        <v>9.10% JM Financial Asset Reconstruction Co Ltd (26-Sep-2019) **</v>
      </c>
      <c r="C50" s="39" t="s">
        <v>723</v>
      </c>
      <c r="D50" s="39">
        <v>750</v>
      </c>
      <c r="E50" s="68">
        <v>7488.9595313</v>
      </c>
      <c r="F50" s="43">
        <f t="shared" si="0"/>
        <v>0.37916006481728426</v>
      </c>
    </row>
    <row r="51" spans="1:6" x14ac:dyDescent="0.2">
      <c r="A51" s="39" t="s">
        <v>772</v>
      </c>
      <c r="B51" s="39" t="str">
        <f>IFERROR(VLOOKUP(A51,[1]Bonds!$B$1:$K$2669,10,0),VLOOKUP(A51,[1]CPCD!$B$1:$H$1476,7,0))</f>
        <v>7.63% Pnb Housing Finance Ltd (14-Jul-2020)</v>
      </c>
      <c r="C51" s="39" t="s">
        <v>763</v>
      </c>
      <c r="D51" s="39">
        <v>750</v>
      </c>
      <c r="E51" s="68">
        <v>7368.4425000000001</v>
      </c>
      <c r="F51" s="43">
        <f t="shared" si="0"/>
        <v>0.37305838337431318</v>
      </c>
    </row>
    <row r="52" spans="1:6" x14ac:dyDescent="0.2">
      <c r="A52" s="39" t="s">
        <v>773</v>
      </c>
      <c r="B52" s="39" t="str">
        <f>IFERROR(VLOOKUP(A52,[1]Bonds!$B$1:$K$2669,10,0),VLOOKUP(A52,[1]CPCD!$B$1:$H$1476,7,0))</f>
        <v>9.23% Talwandi Sabo Power Ltd (30-Jul-2021) **</v>
      </c>
      <c r="C52" s="39" t="s">
        <v>760</v>
      </c>
      <c r="D52" s="39">
        <v>700</v>
      </c>
      <c r="E52" s="68">
        <v>6857.1580000000004</v>
      </c>
      <c r="F52" s="43">
        <f t="shared" si="0"/>
        <v>0.34717245578319145</v>
      </c>
    </row>
    <row r="53" spans="1:6" x14ac:dyDescent="0.2">
      <c r="A53" s="39" t="s">
        <v>774</v>
      </c>
      <c r="B53" s="39" t="str">
        <f>IFERROR(VLOOKUP(A53,[1]Bonds!$B$1:$K$2669,10,0),VLOOKUP(A53,[1]CPCD!$B$1:$H$1476,7,0))</f>
        <v>7.28% Tata Motors Ltd (29-Jul-2020) **</v>
      </c>
      <c r="C53" s="39" t="s">
        <v>721</v>
      </c>
      <c r="D53" s="39">
        <v>650</v>
      </c>
      <c r="E53" s="68">
        <v>6422.0649999999996</v>
      </c>
      <c r="F53" s="43">
        <f t="shared" si="0"/>
        <v>0.32514404323909135</v>
      </c>
    </row>
    <row r="54" spans="1:6" x14ac:dyDescent="0.2">
      <c r="A54" s="39" t="s">
        <v>775</v>
      </c>
      <c r="B54" s="39" t="str">
        <f>IFERROR(VLOOKUP(A54,[1]Bonds!$B$1:$K$2669,10,0),VLOOKUP(A54,[1]CPCD!$B$1:$H$1476,7,0))</f>
        <v>0.00% Incred Financial Services Private Limited (22-Jun-2020) **</v>
      </c>
      <c r="C54" s="39" t="s">
        <v>750</v>
      </c>
      <c r="D54" s="39">
        <v>500</v>
      </c>
      <c r="E54" s="68">
        <v>5800.2241164999996</v>
      </c>
      <c r="F54" s="43">
        <f t="shared" si="0"/>
        <v>0.29366073388103303</v>
      </c>
    </row>
    <row r="55" spans="1:6" x14ac:dyDescent="0.2">
      <c r="A55" s="39" t="s">
        <v>776</v>
      </c>
      <c r="B55" s="39" t="str">
        <f>IFERROR(VLOOKUP(A55,[1]Bonds!$B$1:$K$2669,10,0),VLOOKUP(A55,[1]CPCD!$B$1:$H$1476,7,0))</f>
        <v>7.46% Pnb Housing Finance Ltd (30-Apr-2020)</v>
      </c>
      <c r="C55" s="39" t="s">
        <v>763</v>
      </c>
      <c r="D55" s="39">
        <v>550</v>
      </c>
      <c r="E55" s="68">
        <v>5429.1819999999998</v>
      </c>
      <c r="F55" s="43">
        <f t="shared" si="0"/>
        <v>0.27487516662645062</v>
      </c>
    </row>
    <row r="56" spans="1:6" x14ac:dyDescent="0.2">
      <c r="A56" s="39" t="s">
        <v>777</v>
      </c>
      <c r="B56" s="39" t="str">
        <f>IFERROR(VLOOKUP(A56,[1]Bonds!$B$1:$K$2669,10,0),VLOOKUP(A56,[1]CPCD!$B$1:$H$1476,7,0))</f>
        <v>8.47% Pnb Housing Finance Ltd (01-Jul-2021)</v>
      </c>
      <c r="C56" s="39" t="s">
        <v>763</v>
      </c>
      <c r="D56" s="39">
        <v>550</v>
      </c>
      <c r="E56" s="68">
        <v>5383.1854999999996</v>
      </c>
      <c r="F56" s="43">
        <f t="shared" si="0"/>
        <v>0.27254640041420475</v>
      </c>
    </row>
    <row r="57" spans="1:6" x14ac:dyDescent="0.2">
      <c r="A57" s="39" t="s">
        <v>778</v>
      </c>
      <c r="B57" s="39" t="str">
        <f>IFERROR(VLOOKUP(A57,[1]Bonds!$B$1:$K$2669,10,0),VLOOKUP(A57,[1]CPCD!$B$1:$H$1476,7,0))</f>
        <v>10.25% Sikka Ports &amp; Terminals Limited (22-Aug-2021) **</v>
      </c>
      <c r="C57" s="39" t="s">
        <v>361</v>
      </c>
      <c r="D57" s="39">
        <v>500</v>
      </c>
      <c r="E57" s="68">
        <v>5149.2250000000004</v>
      </c>
      <c r="F57" s="43">
        <f t="shared" si="0"/>
        <v>0.260701166376829</v>
      </c>
    </row>
    <row r="58" spans="1:6" x14ac:dyDescent="0.2">
      <c r="A58" s="39" t="s">
        <v>779</v>
      </c>
      <c r="B58" s="39" t="str">
        <f>IFERROR(VLOOKUP(A58,[1]Bonds!$B$1:$K$2669,10,0),VLOOKUP(A58,[1]CPCD!$B$1:$H$1476,7,0))</f>
        <v>12.40% Hinduja Leyland Finance Ltd (26-Apr-2020) **</v>
      </c>
      <c r="C58" s="39" t="s">
        <v>721</v>
      </c>
      <c r="D58" s="39">
        <v>500</v>
      </c>
      <c r="E58" s="68">
        <v>5074.8149999999996</v>
      </c>
      <c r="F58" s="43">
        <f t="shared" si="0"/>
        <v>0.25693384725791302</v>
      </c>
    </row>
    <row r="59" spans="1:6" x14ac:dyDescent="0.2">
      <c r="A59" s="39" t="s">
        <v>780</v>
      </c>
      <c r="B59" s="39" t="str">
        <f>IFERROR(VLOOKUP(A59,[1]Bonds!$B$1:$K$2669,10,0),VLOOKUP(A59,[1]CPCD!$B$1:$H$1476,7,0))</f>
        <v>Vastu Housing Finance Corp Ltd (6M SBI MCLR + 350 Bps) (25-Aug-2023) **</v>
      </c>
      <c r="C59" s="39" t="s">
        <v>781</v>
      </c>
      <c r="D59" s="39">
        <v>500</v>
      </c>
      <c r="E59" s="68">
        <v>5005.0450000000001</v>
      </c>
      <c r="F59" s="43">
        <f t="shared" si="0"/>
        <v>0.25340144764862987</v>
      </c>
    </row>
    <row r="60" spans="1:6" x14ac:dyDescent="0.2">
      <c r="A60" s="39" t="s">
        <v>782</v>
      </c>
      <c r="B60" s="39" t="str">
        <f>IFERROR(VLOOKUP(A60,[1]Bonds!$B$1:$K$2669,10,0),VLOOKUP(A60,[1]CPCD!$B$1:$H$1476,7,0))</f>
        <v>Vastu Housing Finance Corp Ltd (6M SBI MCLR + 185 Bps) (25-Aug-2023) **</v>
      </c>
      <c r="C60" s="39" t="s">
        <v>781</v>
      </c>
      <c r="D60" s="39">
        <v>500</v>
      </c>
      <c r="E60" s="68">
        <v>4985.17</v>
      </c>
      <c r="F60" s="43">
        <f t="shared" si="0"/>
        <v>0.25239519220596818</v>
      </c>
    </row>
    <row r="61" spans="1:6" x14ac:dyDescent="0.2">
      <c r="A61" s="39" t="s">
        <v>783</v>
      </c>
      <c r="B61" s="39" t="str">
        <f>IFERROR(VLOOKUP(A61,[1]Bonds!$B$1:$K$2669,10,0),VLOOKUP(A61,[1]CPCD!$B$1:$H$1476,7,0))</f>
        <v>11.75% AU Small Finance Bank Ltd (04-May-2021) **</v>
      </c>
      <c r="C61" s="39" t="s">
        <v>753</v>
      </c>
      <c r="D61" s="39">
        <v>450</v>
      </c>
      <c r="E61" s="68">
        <v>4565.4975000000004</v>
      </c>
      <c r="F61" s="43">
        <f t="shared" si="0"/>
        <v>0.23114750731236194</v>
      </c>
    </row>
    <row r="62" spans="1:6" x14ac:dyDescent="0.2">
      <c r="A62" s="39" t="s">
        <v>784</v>
      </c>
      <c r="B62" s="39" t="str">
        <f>IFERROR(VLOOKUP(A62,[1]Bonds!$B$1:$K$2669,10,0),VLOOKUP(A62,[1]CPCD!$B$1:$H$1476,7,0))</f>
        <v>9.70% Tata Motors Ltd (18-Jun-2020) **</v>
      </c>
      <c r="C62" s="39" t="s">
        <v>721</v>
      </c>
      <c r="D62" s="39">
        <v>440</v>
      </c>
      <c r="E62" s="68">
        <v>4434.8216000000002</v>
      </c>
      <c r="F62" s="43">
        <f t="shared" si="0"/>
        <v>0.22453149042684192</v>
      </c>
    </row>
    <row r="63" spans="1:6" x14ac:dyDescent="0.2">
      <c r="A63" s="39" t="s">
        <v>785</v>
      </c>
      <c r="B63" s="39" t="str">
        <f>IFERROR(VLOOKUP(A63,[1]Bonds!$B$1:$K$2669,10,0),VLOOKUP(A63,[1]CPCD!$B$1:$H$1476,7,0))</f>
        <v>7.50% Tata Motors Ltd (22-Jun-2022) **</v>
      </c>
      <c r="C63" s="39" t="s">
        <v>721</v>
      </c>
      <c r="D63" s="39">
        <v>450</v>
      </c>
      <c r="E63" s="68">
        <v>4309.3440000000001</v>
      </c>
      <c r="F63" s="43">
        <f t="shared" si="0"/>
        <v>0.21817865933591749</v>
      </c>
    </row>
    <row r="64" spans="1:6" x14ac:dyDescent="0.2">
      <c r="A64" s="39" t="s">
        <v>786</v>
      </c>
      <c r="B64" s="39" t="str">
        <f>IFERROR(VLOOKUP(A64,[1]Bonds!$B$1:$K$2669,10,0),VLOOKUP(A64,[1]CPCD!$B$1:$H$1476,7,0))</f>
        <v>10.4346% Ess Kay Fincorp Limited (27-Sep-2019) **</v>
      </c>
      <c r="C64" s="39" t="s">
        <v>781</v>
      </c>
      <c r="D64" s="39">
        <v>750</v>
      </c>
      <c r="E64" s="68">
        <v>3751.8427499999998</v>
      </c>
      <c r="F64" s="43">
        <f t="shared" si="0"/>
        <v>0.189952814450223</v>
      </c>
    </row>
    <row r="65" spans="1:6" x14ac:dyDescent="0.2">
      <c r="A65" s="39" t="s">
        <v>787</v>
      </c>
      <c r="B65" s="39" t="str">
        <f>IFERROR(VLOOKUP(A65,[1]Bonds!$B$1:$K$2669,10,0),VLOOKUP(A65,[1]CPCD!$B$1:$H$1476,7,0))</f>
        <v>11.40% Tata Power Co Ltd (02-Jun-2021) **</v>
      </c>
      <c r="C65" s="39" t="s">
        <v>737</v>
      </c>
      <c r="D65" s="39">
        <v>360</v>
      </c>
      <c r="E65" s="68">
        <v>3717.9504000000002</v>
      </c>
      <c r="F65" s="43">
        <f t="shared" si="0"/>
        <v>0.18823687172558937</v>
      </c>
    </row>
    <row r="66" spans="1:6" x14ac:dyDescent="0.2">
      <c r="A66" s="39" t="s">
        <v>788</v>
      </c>
      <c r="B66" s="39" t="str">
        <f>IFERROR(VLOOKUP(A66,[1]Bonds!$B$1:$K$2669,10,0),VLOOKUP(A66,[1]CPCD!$B$1:$H$1476,7,0))</f>
        <v>8.65% Power Finance Corp Ltd (28-Nov-2019) **</v>
      </c>
      <c r="C66" s="39" t="s">
        <v>361</v>
      </c>
      <c r="D66" s="39">
        <v>350</v>
      </c>
      <c r="E66" s="68">
        <v>3519.9009999999998</v>
      </c>
      <c r="F66" s="43">
        <f t="shared" si="0"/>
        <v>0.17820978811975913</v>
      </c>
    </row>
    <row r="67" spans="1:6" x14ac:dyDescent="0.2">
      <c r="A67" s="39" t="s">
        <v>789</v>
      </c>
      <c r="B67" s="39" t="str">
        <f>IFERROR(VLOOKUP(A67,[1]Bonds!$B$1:$K$2669,10,0),VLOOKUP(A67,[1]CPCD!$B$1:$H$1476,7,0))</f>
        <v>8.80% Rec Ltd (17-Nov-2019) **</v>
      </c>
      <c r="C67" s="39" t="s">
        <v>361</v>
      </c>
      <c r="D67" s="39">
        <v>350</v>
      </c>
      <c r="E67" s="68">
        <v>3519.0785000000001</v>
      </c>
      <c r="F67" s="43">
        <f t="shared" si="0"/>
        <v>0.17816814559892447</v>
      </c>
    </row>
    <row r="68" spans="1:6" x14ac:dyDescent="0.2">
      <c r="A68" s="39" t="s">
        <v>790</v>
      </c>
      <c r="B68" s="39" t="str">
        <f>IFERROR(VLOOKUP(A68,[1]Bonds!$B$1:$K$2669,10,0),VLOOKUP(A68,[1]CPCD!$B$1:$H$1476,7,0))</f>
        <v>7.50% Vedanta Ltd (29-Nov-2019) **</v>
      </c>
      <c r="C68" s="39" t="s">
        <v>370</v>
      </c>
      <c r="D68" s="39">
        <v>350</v>
      </c>
      <c r="E68" s="68">
        <v>3494.19</v>
      </c>
      <c r="F68" s="43">
        <f t="shared" si="0"/>
        <v>0.17690806063868877</v>
      </c>
    </row>
    <row r="69" spans="1:6" x14ac:dyDescent="0.2">
      <c r="A69" s="39" t="s">
        <v>791</v>
      </c>
      <c r="B69" s="39" t="str">
        <f>IFERROR(VLOOKUP(A69,[1]Bonds!$B$1:$K$2669,10,0),VLOOKUP(A69,[1]CPCD!$B$1:$H$1476,7,0))</f>
        <v>10.65% Hinduja Leyland Finance Ltd (16-Feb-2020) **</v>
      </c>
      <c r="C69" s="39" t="s">
        <v>721</v>
      </c>
      <c r="D69" s="39">
        <v>300</v>
      </c>
      <c r="E69" s="68">
        <v>3020.1750000000002</v>
      </c>
      <c r="F69" s="43">
        <f t="shared" si="0"/>
        <v>0.1529090581907257</v>
      </c>
    </row>
    <row r="70" spans="1:6" x14ac:dyDescent="0.2">
      <c r="A70" s="39" t="s">
        <v>792</v>
      </c>
      <c r="B70" s="39" t="str">
        <f>IFERROR(VLOOKUP(A70,[1]Bonds!$B$1:$K$2669,10,0),VLOOKUP(A70,[1]CPCD!$B$1:$H$1476,7,0))</f>
        <v>8.45% Shriram Transport Finance Co Ltd (27-Mar-2020) **</v>
      </c>
      <c r="C70" s="39" t="s">
        <v>729</v>
      </c>
      <c r="D70" s="39">
        <v>300</v>
      </c>
      <c r="E70" s="68">
        <v>2944.4430000000002</v>
      </c>
      <c r="F70" s="43">
        <f t="shared" si="0"/>
        <v>0.14907480726324632</v>
      </c>
    </row>
    <row r="71" spans="1:6" x14ac:dyDescent="0.2">
      <c r="A71" s="39" t="s">
        <v>793</v>
      </c>
      <c r="B71" s="39" t="str">
        <f>IFERROR(VLOOKUP(A71,[1]Bonds!$B$1:$K$2669,10,0),VLOOKUP(A71,[1]CPCD!$B$1:$H$1476,7,0))</f>
        <v>9.90% Tata Motors Ltd (07-May-2020) **</v>
      </c>
      <c r="C71" s="39" t="s">
        <v>721</v>
      </c>
      <c r="D71" s="39">
        <v>250</v>
      </c>
      <c r="E71" s="68">
        <v>2518.7125000000001</v>
      </c>
      <c r="F71" s="43">
        <f t="shared" si="0"/>
        <v>0.12752041064779629</v>
      </c>
    </row>
    <row r="72" spans="1:6" x14ac:dyDescent="0.2">
      <c r="A72" s="39" t="s">
        <v>794</v>
      </c>
      <c r="B72" s="39" t="str">
        <f>IFERROR(VLOOKUP(A72,[1]Bonds!$B$1:$K$2669,10,0),VLOOKUP(A72,[1]CPCD!$B$1:$H$1476,7,0))</f>
        <v>9.45% Lic Housing Finance Ltd (10-Sep-2019) **</v>
      </c>
      <c r="C72" s="39" t="s">
        <v>361</v>
      </c>
      <c r="D72" s="39">
        <v>250</v>
      </c>
      <c r="E72" s="68">
        <v>2502.2566667999999</v>
      </c>
      <c r="F72" s="43">
        <f t="shared" si="0"/>
        <v>0.1266872649008261</v>
      </c>
    </row>
    <row r="73" spans="1:6" x14ac:dyDescent="0.2">
      <c r="A73" s="39" t="s">
        <v>795</v>
      </c>
      <c r="B73" s="39" t="str">
        <f>IFERROR(VLOOKUP(A73,[1]Bonds!$B$1:$K$2669,10,0),VLOOKUP(A73,[1]CPCD!$B$1:$H$1476,7,0))</f>
        <v>8.75% Pnb Housing Finance Ltd (30-Aug-2021) **</v>
      </c>
      <c r="C73" s="39" t="s">
        <v>763</v>
      </c>
      <c r="D73" s="39">
        <v>250</v>
      </c>
      <c r="E73" s="68">
        <v>2493.9724999999999</v>
      </c>
      <c r="F73" s="43">
        <f t="shared" ref="F73:F91" si="1">IF((E73/$E$161*100)&lt;0.01,"0.00*",E73/$E$161*100)</f>
        <v>0.12626784412445291</v>
      </c>
    </row>
    <row r="74" spans="1:6" x14ac:dyDescent="0.2">
      <c r="A74" s="39" t="s">
        <v>796</v>
      </c>
      <c r="B74" s="39" t="str">
        <f>IFERROR(VLOOKUP(A74,[1]Bonds!$B$1:$K$2669,10,0),VLOOKUP(A74,[1]CPCD!$B$1:$H$1476,7,0))</f>
        <v>7.90% Nirma Limited (28-Feb-2020) **</v>
      </c>
      <c r="C74" s="39" t="s">
        <v>370</v>
      </c>
      <c r="D74" s="39">
        <v>250</v>
      </c>
      <c r="E74" s="68">
        <v>2490.5825</v>
      </c>
      <c r="F74" s="43">
        <f t="shared" si="1"/>
        <v>0.12609621112064801</v>
      </c>
    </row>
    <row r="75" spans="1:6" x14ac:dyDescent="0.2">
      <c r="A75" s="39" t="s">
        <v>797</v>
      </c>
      <c r="B75" s="39" t="str">
        <f>IFERROR(VLOOKUP(A75,[1]Bonds!$B$1:$K$2669,10,0),VLOOKUP(A75,[1]CPCD!$B$1:$H$1476,7,0))</f>
        <v>9.70% Xander Finance Pvt Ltd (30-Apr-2021) **</v>
      </c>
      <c r="C75" s="39" t="s">
        <v>740</v>
      </c>
      <c r="D75" s="39">
        <v>250</v>
      </c>
      <c r="E75" s="68">
        <v>2476.1849999999999</v>
      </c>
      <c r="F75" s="43">
        <f t="shared" si="1"/>
        <v>0.12536727714652365</v>
      </c>
    </row>
    <row r="76" spans="1:6" x14ac:dyDescent="0.2">
      <c r="A76" s="39" t="s">
        <v>798</v>
      </c>
      <c r="B76" s="39" t="str">
        <f>IFERROR(VLOOKUP(A76,[1]Bonds!$B$1:$K$2669,10,0),VLOOKUP(A76,[1]CPCD!$B$1:$H$1476,7,0))</f>
        <v>9.10% Shriram Transport Finance Co Ltd (12-Jul-2021) **</v>
      </c>
      <c r="C76" s="39" t="s">
        <v>727</v>
      </c>
      <c r="D76" s="39">
        <v>250000</v>
      </c>
      <c r="E76" s="68">
        <v>2364.8225000000002</v>
      </c>
      <c r="F76" s="43">
        <f t="shared" si="1"/>
        <v>0.119729082342327</v>
      </c>
    </row>
    <row r="77" spans="1:6" x14ac:dyDescent="0.2">
      <c r="A77" s="39" t="s">
        <v>799</v>
      </c>
      <c r="B77" s="39" t="str">
        <f>IFERROR(VLOOKUP(A77,[1]Bonds!$B$1:$K$2669,10,0),VLOOKUP(A77,[1]CPCD!$B$1:$H$1476,7,0))</f>
        <v>8.9508% Pipeline Infrastructure Pvt Ltd (22-Mar-2024)</v>
      </c>
      <c r="C77" s="39" t="s">
        <v>361</v>
      </c>
      <c r="D77" s="39">
        <v>200</v>
      </c>
      <c r="E77" s="68">
        <v>2013.404</v>
      </c>
      <c r="F77" s="43">
        <f t="shared" si="1"/>
        <v>0.101937043183736</v>
      </c>
    </row>
    <row r="78" spans="1:6" x14ac:dyDescent="0.2">
      <c r="A78" s="39" t="s">
        <v>800</v>
      </c>
      <c r="B78" s="39" t="str">
        <f>IFERROR(VLOOKUP(A78,[1]Bonds!$B$1:$K$2669,10,0),VLOOKUP(A78,[1]CPCD!$B$1:$H$1476,7,0))</f>
        <v>7.50% Pnb Housing Finance Ltd (15-Sep-2020)</v>
      </c>
      <c r="C78" s="39" t="s">
        <v>763</v>
      </c>
      <c r="D78" s="39">
        <v>200</v>
      </c>
      <c r="E78" s="68">
        <v>1954.33</v>
      </c>
      <c r="F78" s="43">
        <f t="shared" si="1"/>
        <v>9.8946173547519903E-2</v>
      </c>
    </row>
    <row r="79" spans="1:6" x14ac:dyDescent="0.2">
      <c r="A79" s="39" t="s">
        <v>801</v>
      </c>
      <c r="B79" s="39" t="str">
        <f>IFERROR(VLOOKUP(A79,[1]Bonds!$B$1:$K$2669,10,0),VLOOKUP(A79,[1]CPCD!$B$1:$H$1476,7,0))</f>
        <v>7.6414% Shriram Transport Finance Co Ltd (10-Nov-2020) **</v>
      </c>
      <c r="C79" s="39" t="s">
        <v>727</v>
      </c>
      <c r="D79" s="39">
        <v>200</v>
      </c>
      <c r="E79" s="68">
        <v>1905.55</v>
      </c>
      <c r="F79" s="43">
        <f t="shared" si="1"/>
        <v>9.6476480944096721E-2</v>
      </c>
    </row>
    <row r="80" spans="1:6" x14ac:dyDescent="0.2">
      <c r="A80" s="39" t="s">
        <v>802</v>
      </c>
      <c r="B80" s="39" t="str">
        <f>IFERROR(VLOOKUP(A80,[1]Bonds!$B$1:$K$2669,10,0),VLOOKUP(A80,[1]CPCD!$B$1:$H$1476,7,0))</f>
        <v>12.00% Ecl Finance Ltd (24-Apr-2020) **</v>
      </c>
      <c r="C80" s="39" t="s">
        <v>721</v>
      </c>
      <c r="D80" s="39">
        <v>192500</v>
      </c>
      <c r="E80" s="68">
        <v>1900.2656750000001</v>
      </c>
      <c r="F80" s="43">
        <f t="shared" si="1"/>
        <v>9.6208939772170043E-2</v>
      </c>
    </row>
    <row r="81" spans="1:6" x14ac:dyDescent="0.2">
      <c r="A81" s="39" t="s">
        <v>803</v>
      </c>
      <c r="B81" s="39" t="str">
        <f>IFERROR(VLOOKUP(A81,[1]Bonds!$B$1:$K$2669,10,0),VLOOKUP(A81,[1]CPCD!$B$1:$H$1476,7,0))</f>
        <v>11.45% Vistaar Financial Services Private Ltd (06-Jan-2020) **</v>
      </c>
      <c r="C81" s="39" t="s">
        <v>804</v>
      </c>
      <c r="D81" s="39">
        <v>150</v>
      </c>
      <c r="E81" s="68">
        <v>1539.837</v>
      </c>
      <c r="F81" s="43">
        <f t="shared" si="1"/>
        <v>7.7960722619461603E-2</v>
      </c>
    </row>
    <row r="82" spans="1:6" x14ac:dyDescent="0.2">
      <c r="A82" s="39" t="s">
        <v>805</v>
      </c>
      <c r="B82" s="39" t="str">
        <f>IFERROR(VLOOKUP(A82,[1]Bonds!$B$1:$K$2669,10,0),VLOOKUP(A82,[1]CPCD!$B$1:$H$1476,7,0))</f>
        <v>7.09% Export-Import Bank Of India (02-Mar-2020) **</v>
      </c>
      <c r="C82" s="39" t="s">
        <v>361</v>
      </c>
      <c r="D82" s="39">
        <v>141</v>
      </c>
      <c r="E82" s="68">
        <v>1415.91354</v>
      </c>
      <c r="F82" s="43">
        <f t="shared" si="1"/>
        <v>7.1686576400670957E-2</v>
      </c>
    </row>
    <row r="83" spans="1:6" x14ac:dyDescent="0.2">
      <c r="A83" s="39" t="s">
        <v>806</v>
      </c>
      <c r="B83" s="39" t="str">
        <f>IFERROR(VLOOKUP(A83,[1]Bonds!$B$1:$K$2669,10,0),VLOOKUP(A83,[1]CPCD!$B$1:$H$1476,7,0))</f>
        <v>8.96% Power Finance Corp Ltd (21-Oct-2019) **</v>
      </c>
      <c r="C83" s="39" t="s">
        <v>361</v>
      </c>
      <c r="D83" s="39">
        <v>100</v>
      </c>
      <c r="E83" s="68">
        <v>1003.814</v>
      </c>
      <c r="F83" s="43">
        <f t="shared" si="1"/>
        <v>5.08223044488035E-2</v>
      </c>
    </row>
    <row r="84" spans="1:6" x14ac:dyDescent="0.2">
      <c r="A84" s="39" t="s">
        <v>807</v>
      </c>
      <c r="B84" s="39" t="str">
        <f>IFERROR(VLOOKUP(A84,[1]Bonds!$B$1:$K$2669,10,0),VLOOKUP(A84,[1]CPCD!$B$1:$H$1476,7,0))</f>
        <v>10.99% Andhra Bank (05-Aug-2021) **</v>
      </c>
      <c r="C84" s="39" t="s">
        <v>735</v>
      </c>
      <c r="D84" s="39">
        <v>80</v>
      </c>
      <c r="E84" s="68">
        <v>807.89679999999998</v>
      </c>
      <c r="F84" s="43">
        <f t="shared" si="1"/>
        <v>4.0903172433154063E-2</v>
      </c>
    </row>
    <row r="85" spans="1:6" x14ac:dyDescent="0.2">
      <c r="A85" s="39" t="s">
        <v>808</v>
      </c>
      <c r="B85" s="39" t="str">
        <f>IFERROR(VLOOKUP(A85,[1]Bonds!$B$1:$K$2669,10,0),VLOOKUP(A85,[1]CPCD!$B$1:$H$1476,7,0))</f>
        <v>9.20% ICICI Bank Ltd (17-Mar-2022) **</v>
      </c>
      <c r="C85" s="39" t="s">
        <v>763</v>
      </c>
      <c r="D85" s="39">
        <v>70</v>
      </c>
      <c r="E85" s="68">
        <v>703.61059999999998</v>
      </c>
      <c r="F85" s="43">
        <f t="shared" si="1"/>
        <v>3.5623245069908667E-2</v>
      </c>
    </row>
    <row r="86" spans="1:6" x14ac:dyDescent="0.2">
      <c r="A86" s="39" t="s">
        <v>809</v>
      </c>
      <c r="B86" s="39" t="str">
        <f>IFERROR(VLOOKUP(A86,[1]Bonds!$B$1:$K$2669,10,0),VLOOKUP(A86,[1]CPCD!$B$1:$H$1476,7,0))</f>
        <v>8.70% Edelweiss Rural &amp; Corporate Services Ltd (30-Jun-2027) **</v>
      </c>
      <c r="C86" s="39" t="s">
        <v>723</v>
      </c>
      <c r="D86" s="39">
        <v>70</v>
      </c>
      <c r="E86" s="68">
        <v>669.90139999999997</v>
      </c>
      <c r="F86" s="43">
        <f t="shared" si="1"/>
        <v>3.3916575084108898E-2</v>
      </c>
    </row>
    <row r="87" spans="1:6" x14ac:dyDescent="0.2">
      <c r="A87" s="39" t="s">
        <v>810</v>
      </c>
      <c r="B87" s="39" t="str">
        <f>IFERROR(VLOOKUP(A87,[1]Bonds!$B$1:$K$2669,10,0),VLOOKUP(A87,[1]CPCD!$B$1:$H$1476,7,0))</f>
        <v>10.15% Uttar Pradesh Power Corp Ltd (20-Jan-2023) **</v>
      </c>
      <c r="C87" s="39" t="s">
        <v>731</v>
      </c>
      <c r="D87" s="39">
        <v>61</v>
      </c>
      <c r="E87" s="68">
        <v>604.12692000000004</v>
      </c>
      <c r="F87" s="43">
        <f t="shared" si="1"/>
        <v>3.0586465474637694E-2</v>
      </c>
    </row>
    <row r="88" spans="1:6" x14ac:dyDescent="0.2">
      <c r="A88" s="39" t="s">
        <v>811</v>
      </c>
      <c r="B88" s="39" t="str">
        <f>IFERROR(VLOOKUP(A88,[1]Bonds!$B$1:$K$2669,10,0),VLOOKUP(A88,[1]CPCD!$B$1:$H$1476,7,0))</f>
        <v>8.59% Pnb Housing Finance Ltd (17-Jun-2020)</v>
      </c>
      <c r="C88" s="39" t="s">
        <v>763</v>
      </c>
      <c r="D88" s="39">
        <v>50</v>
      </c>
      <c r="E88" s="68">
        <v>496.61</v>
      </c>
      <c r="F88" s="43">
        <f t="shared" si="1"/>
        <v>2.5142969327305961E-2</v>
      </c>
    </row>
    <row r="89" spans="1:6" x14ac:dyDescent="0.2">
      <c r="A89" s="39" t="s">
        <v>812</v>
      </c>
      <c r="B89" s="39" t="str">
        <f>IFERROR(VLOOKUP(A89,[1]Bonds!$B$1:$K$2669,10,0),VLOOKUP(A89,[1]CPCD!$B$1:$H$1476,7,0))</f>
        <v>HDB Financial (91DTB + 205 Bps) (12Jul2021) **</v>
      </c>
      <c r="C89" s="39" t="s">
        <v>361</v>
      </c>
      <c r="D89" s="39">
        <v>50</v>
      </c>
      <c r="E89" s="68">
        <v>494.37099999999998</v>
      </c>
      <c r="F89" s="43">
        <f t="shared" si="1"/>
        <v>2.5029610538067244E-2</v>
      </c>
    </row>
    <row r="90" spans="1:6" x14ac:dyDescent="0.2">
      <c r="A90" s="39" t="s">
        <v>813</v>
      </c>
      <c r="B90" s="39" t="str">
        <f>IFERROR(VLOOKUP(A90,[1]Bonds!$B$1:$K$2669,10,0),VLOOKUP(A90,[1]CPCD!$B$1:$H$1476,7,0))</f>
        <v>8.15% Power Grid Corp Of India Ltd (09-Mar-2020) **</v>
      </c>
      <c r="C90" s="39" t="s">
        <v>361</v>
      </c>
      <c r="D90" s="39">
        <v>47</v>
      </c>
      <c r="E90" s="68">
        <v>474.38839000000002</v>
      </c>
      <c r="F90" s="43">
        <f t="shared" si="1"/>
        <v>2.4017906886691889E-2</v>
      </c>
    </row>
    <row r="91" spans="1:6" x14ac:dyDescent="0.2">
      <c r="A91" s="39" t="s">
        <v>814</v>
      </c>
      <c r="B91" s="39" t="str">
        <f>IFERROR(VLOOKUP(A91,[1]Bonds!$B$1:$K$2669,10,0),VLOOKUP(A91,[1]CPCD!$B$1:$H$1476,7,0))</f>
        <v>8.93% Power Grid Corp Of India Ltd (20-Oct-2019) **</v>
      </c>
      <c r="C91" s="39" t="s">
        <v>361</v>
      </c>
      <c r="D91" s="39">
        <v>20</v>
      </c>
      <c r="E91" s="68">
        <v>200.77379999999999</v>
      </c>
      <c r="F91" s="43">
        <f t="shared" si="1"/>
        <v>1.0165017811011985E-2</v>
      </c>
    </row>
    <row r="92" spans="1:6" x14ac:dyDescent="0.2">
      <c r="A92" s="38" t="s">
        <v>44</v>
      </c>
      <c r="B92" s="39"/>
      <c r="C92" s="39"/>
      <c r="D92" s="39"/>
      <c r="E92" s="69">
        <f>SUM(E8:E91)</f>
        <v>952447.35941960022</v>
      </c>
      <c r="F92" s="69">
        <f>SUM(F8:F91)</f>
        <v>48.221652290047636</v>
      </c>
    </row>
    <row r="93" spans="1:6" x14ac:dyDescent="0.2">
      <c r="A93" s="39"/>
      <c r="B93" s="39"/>
      <c r="C93" s="39"/>
      <c r="D93" s="39"/>
      <c r="E93" s="68"/>
      <c r="F93" s="68"/>
    </row>
    <row r="94" spans="1:6" x14ac:dyDescent="0.2">
      <c r="A94" s="38" t="s">
        <v>815</v>
      </c>
      <c r="B94" s="39"/>
      <c r="C94" s="39"/>
      <c r="D94" s="39"/>
      <c r="E94" s="68"/>
      <c r="F94" s="68"/>
    </row>
    <row r="95" spans="1:6" x14ac:dyDescent="0.2">
      <c r="A95" s="39" t="s">
        <v>816</v>
      </c>
      <c r="B95" s="39" t="str">
        <f>IFERROR(VLOOKUP(A95,[1]Bonds!$B$1:$K$2669,10,0),VLOOKUP(A95,[1]CPCD!$B$1:$H$1476,7,0))</f>
        <v>8.25% Vodafone Idea Ltd (10-Jul-2020) **</v>
      </c>
      <c r="C95" s="39" t="s">
        <v>817</v>
      </c>
      <c r="D95" s="39">
        <v>7990</v>
      </c>
      <c r="E95" s="68">
        <v>75476.656099999993</v>
      </c>
      <c r="F95" s="43">
        <f t="shared" ref="F95:F133" si="2">IF((E95/$E$161*100)&lt;0.01,"0.00*",E95/$E$161*100)</f>
        <v>3.8213230689070303</v>
      </c>
    </row>
    <row r="96" spans="1:6" x14ac:dyDescent="0.2">
      <c r="A96" s="39" t="s">
        <v>818</v>
      </c>
      <c r="B96" s="39" t="str">
        <f>IFERROR(VLOOKUP(A96,[1]Bonds!$B$1:$K$2669,10,0),VLOOKUP(A96,[1]CPCD!$B$1:$H$1476,7,0))</f>
        <v>0.00% Dolvi Minerals And Metals Pvt Limited (22-Oct-2019) **</v>
      </c>
      <c r="C96" s="39" t="s">
        <v>819</v>
      </c>
      <c r="D96" s="39">
        <v>3910</v>
      </c>
      <c r="E96" s="68">
        <v>70092.615000000005</v>
      </c>
      <c r="F96" s="43">
        <f t="shared" si="2"/>
        <v>3.5487333501453175</v>
      </c>
    </row>
    <row r="97" spans="1:6" x14ac:dyDescent="0.2">
      <c r="A97" s="39" t="s">
        <v>820</v>
      </c>
      <c r="B97" s="39" t="str">
        <f>IFERROR(VLOOKUP(A97,[1]Bonds!$B$1:$K$2669,10,0),VLOOKUP(A97,[1]CPCD!$B$1:$H$1476,7,0))</f>
        <v>Indostar Capital Finance Ltd (SBI MCLR + 225 Bps) (02-Nov-2021) **</v>
      </c>
      <c r="C97" s="39" t="s">
        <v>721</v>
      </c>
      <c r="D97" s="39">
        <v>3900</v>
      </c>
      <c r="E97" s="68">
        <v>39098.904000000002</v>
      </c>
      <c r="F97" s="43">
        <f t="shared" si="2"/>
        <v>1.9795464126845623</v>
      </c>
    </row>
    <row r="98" spans="1:6" x14ac:dyDescent="0.2">
      <c r="A98" s="39" t="s">
        <v>821</v>
      </c>
      <c r="B98" s="39" t="str">
        <f>IFERROR(VLOOKUP(A98,[1]Bonds!$B$1:$K$2669,10,0),VLOOKUP(A98,[1]CPCD!$B$1:$H$1476,7,0))</f>
        <v>10.90% Piramal Realty Private Limited (13-Mar-2020) **</v>
      </c>
      <c r="C98" s="39" t="s">
        <v>822</v>
      </c>
      <c r="D98" s="39">
        <v>3500</v>
      </c>
      <c r="E98" s="68">
        <v>35002.896834500003</v>
      </c>
      <c r="F98" s="43">
        <f t="shared" si="2"/>
        <v>1.772168827604536</v>
      </c>
    </row>
    <row r="99" spans="1:6" x14ac:dyDescent="0.2">
      <c r="A99" s="39" t="s">
        <v>823</v>
      </c>
      <c r="B99" s="39" t="str">
        <f>IFERROR(VLOOKUP(A99,[1]Bonds!$B$1:$K$2669,10,0),VLOOKUP(A99,[1]CPCD!$B$1:$H$1476,7,0))</f>
        <v>10.90% Aasan Corporate Solutions Pvt Ltd (13-Dec-2019) **</v>
      </c>
      <c r="C99" s="39" t="s">
        <v>822</v>
      </c>
      <c r="D99" s="39">
        <v>3450</v>
      </c>
      <c r="E99" s="68">
        <v>34502.855451199997</v>
      </c>
      <c r="F99" s="43">
        <f t="shared" si="2"/>
        <v>1.7468521300698596</v>
      </c>
    </row>
    <row r="100" spans="1:6" x14ac:dyDescent="0.2">
      <c r="A100" s="39" t="s">
        <v>824</v>
      </c>
      <c r="B100" s="39" t="str">
        <f>IFERROR(VLOOKUP(A100,[1]Bonds!$B$1:$K$2669,10,0),VLOOKUP(A100,[1]CPCD!$B$1:$H$1476,7,0))</f>
        <v>13.15% Greenko Solar Energy Private Limited (18-May-2020) **</v>
      </c>
      <c r="C100" s="39" t="s">
        <v>825</v>
      </c>
      <c r="D100" s="39">
        <v>33500</v>
      </c>
      <c r="E100" s="68">
        <v>33500</v>
      </c>
      <c r="F100" s="43">
        <f t="shared" si="2"/>
        <v>1.6960783561844299</v>
      </c>
    </row>
    <row r="101" spans="1:6" x14ac:dyDescent="0.2">
      <c r="A101" s="39" t="s">
        <v>826</v>
      </c>
      <c r="B101" s="39" t="str">
        <f>IFERROR(VLOOKUP(A101,[1]Bonds!$B$1:$K$2669,10,0),VLOOKUP(A101,[1]CPCD!$B$1:$H$1476,7,0))</f>
        <v>12.25% Greenko Wind Projects Pvt Ltd (14-Dec-2019) **</v>
      </c>
      <c r="C101" s="39" t="s">
        <v>825</v>
      </c>
      <c r="D101" s="39">
        <v>32000</v>
      </c>
      <c r="E101" s="68">
        <v>32165.119999999999</v>
      </c>
      <c r="F101" s="43">
        <f t="shared" si="2"/>
        <v>1.6284944434649233</v>
      </c>
    </row>
    <row r="102" spans="1:6" x14ac:dyDescent="0.2">
      <c r="A102" s="39" t="s">
        <v>827</v>
      </c>
      <c r="B102" s="39" t="str">
        <f>IFERROR(VLOOKUP(A102,[1]Bonds!$B$1:$K$2669,10,0),VLOOKUP(A102,[1]CPCD!$B$1:$H$1476,7,0))</f>
        <v>9.00% Clix Capital Services Pvt Ltd (27-Jun-2023) **</v>
      </c>
      <c r="C102" s="39" t="s">
        <v>721</v>
      </c>
      <c r="D102" s="39">
        <v>2350</v>
      </c>
      <c r="E102" s="68">
        <v>23635.736000000001</v>
      </c>
      <c r="F102" s="43">
        <f t="shared" si="2"/>
        <v>1.1966585152862435</v>
      </c>
    </row>
    <row r="103" spans="1:6" x14ac:dyDescent="0.2">
      <c r="A103" s="39" t="s">
        <v>828</v>
      </c>
      <c r="B103" s="39" t="str">
        <f>IFERROR(VLOOKUP(A103,[1]Bonds!$B$1:$K$2669,10,0),VLOOKUP(A103,[1]CPCD!$B$1:$H$1476,7,0))</f>
        <v>10.90% Aasan Corporate Solutions Pvt Ltd (20-Dec-2019) **</v>
      </c>
      <c r="C103" s="39" t="s">
        <v>822</v>
      </c>
      <c r="D103" s="39">
        <v>2350</v>
      </c>
      <c r="E103" s="68">
        <v>23505.263999999999</v>
      </c>
      <c r="F103" s="43">
        <f t="shared" si="2"/>
        <v>1.1900528216955539</v>
      </c>
    </row>
    <row r="104" spans="1:6" x14ac:dyDescent="0.2">
      <c r="A104" s="39" t="s">
        <v>829</v>
      </c>
      <c r="B104" s="39" t="str">
        <f>IFERROR(VLOOKUP(A104,[1]Bonds!$B$1:$K$2669,10,0),VLOOKUP(A104,[1]CPCD!$B$1:$H$1476,7,0))</f>
        <v>0.00% Hero Solar Energy Private Limited (21-Jun-2022) **</v>
      </c>
      <c r="C104" s="39" t="s">
        <v>740</v>
      </c>
      <c r="D104" s="39">
        <v>1700</v>
      </c>
      <c r="E104" s="68">
        <v>21969.627</v>
      </c>
      <c r="F104" s="43">
        <f t="shared" si="2"/>
        <v>1.1123047417356737</v>
      </c>
    </row>
    <row r="105" spans="1:6" x14ac:dyDescent="0.2">
      <c r="A105" s="39" t="s">
        <v>830</v>
      </c>
      <c r="B105" s="39" t="str">
        <f>IFERROR(VLOOKUP(A105,[1]Bonds!$B$1:$K$2669,10,0),VLOOKUP(A105,[1]CPCD!$B$1:$H$1476,7,0))</f>
        <v>10.75% Clix Capital Services Pvt Ltd (25-May-2023) **</v>
      </c>
      <c r="C105" s="39" t="s">
        <v>721</v>
      </c>
      <c r="D105" s="39">
        <v>2000</v>
      </c>
      <c r="E105" s="68">
        <v>20109.740000000002</v>
      </c>
      <c r="F105" s="43">
        <f t="shared" si="2"/>
        <v>1.0181401421640681</v>
      </c>
    </row>
    <row r="106" spans="1:6" x14ac:dyDescent="0.2">
      <c r="A106" s="39" t="s">
        <v>831</v>
      </c>
      <c r="B106" s="39" t="str">
        <f>IFERROR(VLOOKUP(A106,[1]Bonds!$B$1:$K$2669,10,0),VLOOKUP(A106,[1]CPCD!$B$1:$H$1476,7,0))</f>
        <v>9.00% Pune Solapur Expressways Pvt Ltd Series A (31-Mar-2029) **</v>
      </c>
      <c r="C106" s="39" t="s">
        <v>832</v>
      </c>
      <c r="D106" s="39">
        <v>20127</v>
      </c>
      <c r="E106" s="68">
        <v>19469.672307000001</v>
      </c>
      <c r="F106" s="43">
        <f t="shared" si="2"/>
        <v>0.98573402393749499</v>
      </c>
    </row>
    <row r="107" spans="1:6" x14ac:dyDescent="0.2">
      <c r="A107" s="39" t="s">
        <v>833</v>
      </c>
      <c r="B107" s="39" t="str">
        <f>IFERROR(VLOOKUP(A107,[1]Bonds!$B$1:$K$2669,10,0),VLOOKUP(A107,[1]CPCD!$B$1:$H$1476,7,0))</f>
        <v>0.00% Yes Capital India Pvt Ltd (12-Oct-2020) **</v>
      </c>
      <c r="C107" s="39" t="s">
        <v>737</v>
      </c>
      <c r="D107" s="39">
        <v>1405</v>
      </c>
      <c r="E107" s="68">
        <v>16793.726149999999</v>
      </c>
      <c r="F107" s="43">
        <f t="shared" si="2"/>
        <v>0.85025299828965595</v>
      </c>
    </row>
    <row r="108" spans="1:6" x14ac:dyDescent="0.2">
      <c r="A108" s="39" t="s">
        <v>834</v>
      </c>
      <c r="B108" s="39" t="str">
        <f>IFERROR(VLOOKUP(A108,[1]Bonds!$B$1:$K$2669,10,0),VLOOKUP(A108,[1]CPCD!$B$1:$H$1476,7,0))</f>
        <v>10.90% Aasan Corporate Solutions Pvt Ltd (13-Mar-2020) **</v>
      </c>
      <c r="C108" s="39" t="s">
        <v>822</v>
      </c>
      <c r="D108" s="39">
        <v>1500</v>
      </c>
      <c r="E108" s="68">
        <v>15001.514500499999</v>
      </c>
      <c r="F108" s="43">
        <f t="shared" si="2"/>
        <v>0.75951474788910234</v>
      </c>
    </row>
    <row r="109" spans="1:6" x14ac:dyDescent="0.2">
      <c r="A109" s="39" t="s">
        <v>835</v>
      </c>
      <c r="B109" s="39" t="str">
        <f>IFERROR(VLOOKUP(A109,[1]Bonds!$B$1:$K$2669,10,0),VLOOKUP(A109,[1]CPCD!$B$1:$H$1476,7,0))</f>
        <v>13.15% Greenko Solar Energy Private Limited (15-Jun-2020) **</v>
      </c>
      <c r="C109" s="39" t="s">
        <v>825</v>
      </c>
      <c r="D109" s="39">
        <v>15000</v>
      </c>
      <c r="E109" s="68">
        <v>15000</v>
      </c>
      <c r="F109" s="43">
        <f t="shared" si="2"/>
        <v>0.75943806993332685</v>
      </c>
    </row>
    <row r="110" spans="1:6" x14ac:dyDescent="0.2">
      <c r="A110" s="39" t="s">
        <v>836</v>
      </c>
      <c r="B110" s="39" t="str">
        <f>IFERROR(VLOOKUP(A110,[1]Bonds!$B$1:$K$2669,10,0),VLOOKUP(A110,[1]CPCD!$B$1:$H$1476,7,0))</f>
        <v>0.00% Hero Wind Energy Pvt Ltd (21-Jun-2022) **</v>
      </c>
      <c r="C110" s="39" t="s">
        <v>740</v>
      </c>
      <c r="D110" s="39">
        <v>1150</v>
      </c>
      <c r="E110" s="68">
        <v>14861.806500000001</v>
      </c>
      <c r="F110" s="43">
        <f t="shared" si="2"/>
        <v>0.75244144293883808</v>
      </c>
    </row>
    <row r="111" spans="1:6" x14ac:dyDescent="0.2">
      <c r="A111" s="39" t="s">
        <v>837</v>
      </c>
      <c r="B111" s="39" t="str">
        <f>IFERROR(VLOOKUP(A111,[1]Bonds!$B$1:$K$2669,10,0),VLOOKUP(A111,[1]CPCD!$B$1:$H$1476,7,0))</f>
        <v>0.00% Hero Wind Energy Pvt Ltd (08-Feb-2022) **</v>
      </c>
      <c r="C111" s="39" t="s">
        <v>740</v>
      </c>
      <c r="D111" s="39">
        <v>890</v>
      </c>
      <c r="E111" s="68">
        <v>12197.948399999999</v>
      </c>
      <c r="F111" s="43">
        <f t="shared" si="2"/>
        <v>0.61757242600282081</v>
      </c>
    </row>
    <row r="112" spans="1:6" x14ac:dyDescent="0.2">
      <c r="A112" s="39" t="s">
        <v>838</v>
      </c>
      <c r="B112" s="39" t="str">
        <f>IFERROR(VLOOKUP(A112,[1]Bonds!$B$1:$K$2669,10,0),VLOOKUP(A112,[1]CPCD!$B$1:$H$1476,7,0))</f>
        <v>9.40% Small Business Fincredit India Pvt Ltd (28-Sep-2020) **</v>
      </c>
      <c r="C112" s="39" t="s">
        <v>839</v>
      </c>
      <c r="D112" s="39">
        <v>1190</v>
      </c>
      <c r="E112" s="68">
        <v>11679.124100000001</v>
      </c>
      <c r="F112" s="43">
        <f t="shared" si="2"/>
        <v>0.59130476433438695</v>
      </c>
    </row>
    <row r="113" spans="1:6" x14ac:dyDescent="0.2">
      <c r="A113" s="39" t="s">
        <v>840</v>
      </c>
      <c r="B113" s="39" t="str">
        <f>IFERROR(VLOOKUP(A113,[1]Bonds!$B$1:$K$2669,10,0),VLOOKUP(A113,[1]CPCD!$B$1:$H$1476,7,0))</f>
        <v>8.19% Tata Housing Development Co Ltd (23-Apr-2020) **</v>
      </c>
      <c r="C113" s="39" t="s">
        <v>367</v>
      </c>
      <c r="D113" s="39">
        <v>1150</v>
      </c>
      <c r="E113" s="68">
        <v>11465.327499999999</v>
      </c>
      <c r="F113" s="43">
        <f t="shared" si="2"/>
        <v>0.58048041251689964</v>
      </c>
    </row>
    <row r="114" spans="1:6" x14ac:dyDescent="0.2">
      <c r="A114" s="39" t="s">
        <v>841</v>
      </c>
      <c r="B114" s="39" t="str">
        <f>IFERROR(VLOOKUP(A114,[1]Bonds!$B$1:$K$2669,10,0),VLOOKUP(A114,[1]CPCD!$B$1:$H$1476,7,0))</f>
        <v>4.00% Hpcl-Mittal Energy Ltd (03-Sep-2020) **</v>
      </c>
      <c r="C114" s="39" t="s">
        <v>842</v>
      </c>
      <c r="D114" s="39">
        <v>650</v>
      </c>
      <c r="E114" s="68">
        <v>11113.888499999999</v>
      </c>
      <c r="F114" s="43">
        <f t="shared" si="2"/>
        <v>0.56268733545961314</v>
      </c>
    </row>
    <row r="115" spans="1:6" x14ac:dyDescent="0.2">
      <c r="A115" s="39" t="s">
        <v>843</v>
      </c>
      <c r="B115" s="39" t="str">
        <f>IFERROR(VLOOKUP(A115,[1]Bonds!$B$1:$K$2669,10,0),VLOOKUP(A115,[1]CPCD!$B$1:$H$1476,7,0))</f>
        <v>9.75% TRPL Roadways Pvt Ltd (25-Mar-2022) **</v>
      </c>
      <c r="C115" s="39" t="s">
        <v>822</v>
      </c>
      <c r="D115" s="39">
        <v>1100</v>
      </c>
      <c r="E115" s="68">
        <v>11041.679</v>
      </c>
      <c r="F115" s="43">
        <f t="shared" si="2"/>
        <v>0.55903142590555643</v>
      </c>
    </row>
    <row r="116" spans="1:6" x14ac:dyDescent="0.2">
      <c r="A116" s="39" t="s">
        <v>844</v>
      </c>
      <c r="B116" s="39" t="str">
        <f>IFERROR(VLOOKUP(A116,[1]Bonds!$B$1:$K$2669,10,0),VLOOKUP(A116,[1]CPCD!$B$1:$H$1476,7,0))</f>
        <v>11.50% Clix Finance India Private Limited (06-Jan-2022) **</v>
      </c>
      <c r="C116" s="39" t="s">
        <v>721</v>
      </c>
      <c r="D116" s="39">
        <v>1000</v>
      </c>
      <c r="E116" s="68">
        <v>10116.02</v>
      </c>
      <c r="F116" s="43">
        <f t="shared" si="2"/>
        <v>0.51216604694712897</v>
      </c>
    </row>
    <row r="117" spans="1:6" x14ac:dyDescent="0.2">
      <c r="A117" s="39" t="s">
        <v>845</v>
      </c>
      <c r="B117" s="39" t="str">
        <f>IFERROR(VLOOKUP(A117,[1]Bonds!$B$1:$K$2669,10,0),VLOOKUP(A117,[1]CPCD!$B$1:$H$1476,7,0))</f>
        <v>11.50% Clix Capital Services Pvt Ltd (06-Sep-2021) **</v>
      </c>
      <c r="C117" s="39" t="s">
        <v>721</v>
      </c>
      <c r="D117" s="39">
        <v>1000</v>
      </c>
      <c r="E117" s="68">
        <v>10084.25</v>
      </c>
      <c r="F117" s="43">
        <f t="shared" si="2"/>
        <v>0.51055755711501005</v>
      </c>
    </row>
    <row r="118" spans="1:6" x14ac:dyDescent="0.2">
      <c r="A118" s="39" t="s">
        <v>846</v>
      </c>
      <c r="B118" s="39" t="str">
        <f>IFERROR(VLOOKUP(A118,[1]Bonds!$B$1:$K$2669,10,0),VLOOKUP(A118,[1]CPCD!$B$1:$H$1476,7,0))</f>
        <v>11.50% Clix Capital Services Pvt Ltd (06-Jul-2021) **</v>
      </c>
      <c r="C118" s="39" t="s">
        <v>721</v>
      </c>
      <c r="D118" s="39">
        <v>1000</v>
      </c>
      <c r="E118" s="68">
        <v>10068.86</v>
      </c>
      <c r="F118" s="43">
        <f t="shared" si="2"/>
        <v>0.50977837365525858</v>
      </c>
    </row>
    <row r="119" spans="1:6" x14ac:dyDescent="0.2">
      <c r="A119" s="39" t="s">
        <v>847</v>
      </c>
      <c r="B119" s="39" t="str">
        <f>IFERROR(VLOOKUP(A119,[1]Bonds!$B$1:$K$2669,10,0),VLOOKUP(A119,[1]CPCD!$B$1:$H$1476,7,0))</f>
        <v>11.50% Clix Capital Services Pvt Ltd (06-May-2021) **</v>
      </c>
      <c r="C119" s="39" t="s">
        <v>721</v>
      </c>
      <c r="D119" s="39">
        <v>1000</v>
      </c>
      <c r="E119" s="68">
        <v>10053.68</v>
      </c>
      <c r="F119" s="43">
        <f t="shared" si="2"/>
        <v>0.50900982232848602</v>
      </c>
    </row>
    <row r="120" spans="1:6" x14ac:dyDescent="0.2">
      <c r="A120" s="39" t="s">
        <v>848</v>
      </c>
      <c r="B120" s="39" t="str">
        <f>IFERROR(VLOOKUP(A120,[1]Bonds!$B$1:$K$2669,10,0),VLOOKUP(A120,[1]CPCD!$B$1:$H$1476,7,0))</f>
        <v>10.25% Renew Solar Power Private Limited (29-Nov-2019) **</v>
      </c>
      <c r="C120" s="39" t="s">
        <v>825</v>
      </c>
      <c r="D120" s="39">
        <v>1000</v>
      </c>
      <c r="E120" s="68">
        <v>9989.66</v>
      </c>
      <c r="F120" s="43">
        <f t="shared" si="2"/>
        <v>0.50576854064601051</v>
      </c>
    </row>
    <row r="121" spans="1:6" x14ac:dyDescent="0.2">
      <c r="A121" s="39" t="s">
        <v>849</v>
      </c>
      <c r="B121" s="39" t="str">
        <f>IFERROR(VLOOKUP(A121,[1]Bonds!$B$1:$K$2669,10,0),VLOOKUP(A121,[1]CPCD!$B$1:$H$1476,7,0))</f>
        <v>9.80% Ma Multi-Trade Pvt Ltd Series B1 (17-Feb-2020) **</v>
      </c>
      <c r="C121" s="39" t="s">
        <v>850</v>
      </c>
      <c r="D121" s="39">
        <v>1000</v>
      </c>
      <c r="E121" s="68">
        <v>9967.1299999999992</v>
      </c>
      <c r="F121" s="43">
        <f t="shared" si="2"/>
        <v>0.50462786466497067</v>
      </c>
    </row>
    <row r="122" spans="1:6" x14ac:dyDescent="0.2">
      <c r="A122" s="39" t="s">
        <v>851</v>
      </c>
      <c r="B122" s="39" t="str">
        <f>IFERROR(VLOOKUP(A122,[1]Bonds!$B$1:$K$2669,10,0),VLOOKUP(A122,[1]CPCD!$B$1:$H$1476,7,0))</f>
        <v>8.25% Tata Housing Development Co Ltd (27-Feb-2020) **</v>
      </c>
      <c r="C122" s="39" t="s">
        <v>367</v>
      </c>
      <c r="D122" s="39">
        <v>950</v>
      </c>
      <c r="E122" s="68">
        <v>9516.9385000000002</v>
      </c>
      <c r="F122" s="43">
        <f t="shared" si="2"/>
        <v>0.48183502707427806</v>
      </c>
    </row>
    <row r="123" spans="1:6" x14ac:dyDescent="0.2">
      <c r="A123" s="39" t="s">
        <v>852</v>
      </c>
      <c r="B123" s="39" t="str">
        <f>IFERROR(VLOOKUP(A123,[1]Bonds!$B$1:$K$2669,10,0),VLOOKUP(A123,[1]CPCD!$B$1:$H$1476,7,0))</f>
        <v>11.50% Clix Capital Services Pvt Ltd (12-Nov-2021) **</v>
      </c>
      <c r="C123" s="39" t="s">
        <v>721</v>
      </c>
      <c r="D123" s="39">
        <v>900</v>
      </c>
      <c r="E123" s="68">
        <v>9095.1209999999992</v>
      </c>
      <c r="F123" s="43">
        <f t="shared" si="2"/>
        <v>0.4604787425366712</v>
      </c>
    </row>
    <row r="124" spans="1:6" x14ac:dyDescent="0.2">
      <c r="A124" s="39" t="s">
        <v>853</v>
      </c>
      <c r="B124" s="39" t="str">
        <f>IFERROR(VLOOKUP(A124,[1]Bonds!$B$1:$K$2669,10,0),VLOOKUP(A124,[1]CPCD!$B$1:$H$1476,7,0))</f>
        <v>10.30% Renew Power Limited (28-Sep-2022) **</v>
      </c>
      <c r="C124" s="39" t="s">
        <v>718</v>
      </c>
      <c r="D124" s="39">
        <v>850</v>
      </c>
      <c r="E124" s="68">
        <v>8503.0217499999999</v>
      </c>
      <c r="F124" s="43">
        <f t="shared" si="2"/>
        <v>0.43050122842807331</v>
      </c>
    </row>
    <row r="125" spans="1:6" x14ac:dyDescent="0.2">
      <c r="A125" s="39" t="s">
        <v>854</v>
      </c>
      <c r="B125" s="39" t="str">
        <f>IFERROR(VLOOKUP(A125,[1]Bonds!$B$1:$K$2669,10,0),VLOOKUP(A125,[1]CPCD!$B$1:$H$1476,7,0))</f>
        <v>9.80% Ma Multi-Trade Pvt Ltd  Series B2 (17-Feb-2020) **</v>
      </c>
      <c r="C125" s="39" t="s">
        <v>850</v>
      </c>
      <c r="D125" s="39">
        <v>450</v>
      </c>
      <c r="E125" s="68">
        <v>4485.2084999999997</v>
      </c>
      <c r="F125" s="43">
        <f t="shared" si="2"/>
        <v>0.22708253909923681</v>
      </c>
    </row>
    <row r="126" spans="1:6" x14ac:dyDescent="0.2">
      <c r="A126" s="39" t="s">
        <v>855</v>
      </c>
      <c r="B126" s="39" t="str">
        <f>IFERROR(VLOOKUP(A126,[1]Bonds!$B$1:$K$2669,10,0),VLOOKUP(A126,[1]CPCD!$B$1:$H$1476,7,0))</f>
        <v>0.00% JSW Logistics Infrastructure Pvt Ltd (13-Sep-2019) **</v>
      </c>
      <c r="C126" s="39" t="s">
        <v>856</v>
      </c>
      <c r="D126" s="39">
        <v>270</v>
      </c>
      <c r="E126" s="68">
        <v>4166.3566288000002</v>
      </c>
      <c r="F126" s="43">
        <f t="shared" si="2"/>
        <v>0.2109393224553196</v>
      </c>
    </row>
    <row r="127" spans="1:6" x14ac:dyDescent="0.2">
      <c r="A127" s="39" t="s">
        <v>857</v>
      </c>
      <c r="B127" s="39" t="str">
        <f>IFERROR(VLOOKUP(A127,[1]Bonds!$B$1:$K$2669,10,0),VLOOKUP(A127,[1]CPCD!$B$1:$H$1476,7,0))</f>
        <v>0.00% JSW Logistics Infrastructure Pvt Ltd (13-Dec-2019) **</v>
      </c>
      <c r="C127" s="39" t="s">
        <v>856</v>
      </c>
      <c r="D127" s="39">
        <v>260</v>
      </c>
      <c r="E127" s="68">
        <v>4029.4436000000001</v>
      </c>
      <c r="F127" s="43">
        <f t="shared" si="2"/>
        <v>0.20400752469927974</v>
      </c>
    </row>
    <row r="128" spans="1:6" x14ac:dyDescent="0.2">
      <c r="A128" s="39" t="s">
        <v>858</v>
      </c>
      <c r="B128" s="39" t="str">
        <f>IFERROR(VLOOKUP(A128,[1]Bonds!$B$1:$K$2669,10,0),VLOOKUP(A128,[1]CPCD!$B$1:$H$1476,7,0))</f>
        <v>11.5% Rivaaz Trade Ventures Pvt Ltd (30-Mar-2020) **</v>
      </c>
      <c r="C128" s="39" t="s">
        <v>856</v>
      </c>
      <c r="D128" s="39">
        <v>400</v>
      </c>
      <c r="E128" s="68">
        <v>4027.5279999999998</v>
      </c>
      <c r="F128" s="43">
        <f t="shared" si="2"/>
        <v>0.20391053939482878</v>
      </c>
    </row>
    <row r="129" spans="1:8" x14ac:dyDescent="0.2">
      <c r="A129" s="39" t="s">
        <v>859</v>
      </c>
      <c r="B129" s="39" t="str">
        <f>IFERROR(VLOOKUP(A129,[1]Bonds!$B$1:$K$2669,10,0),VLOOKUP(A129,[1]CPCD!$B$1:$H$1476,7,0))</f>
        <v>0.00% JSW Logistics Infrastructure Pvt Ltd (13-Mar-2020) **</v>
      </c>
      <c r="C129" s="39" t="s">
        <v>856</v>
      </c>
      <c r="D129" s="39">
        <v>257</v>
      </c>
      <c r="E129" s="68">
        <v>3992.9807300000002</v>
      </c>
      <c r="F129" s="43">
        <f t="shared" si="2"/>
        <v>0.20216143859147778</v>
      </c>
    </row>
    <row r="130" spans="1:8" x14ac:dyDescent="0.2">
      <c r="A130" s="39" t="s">
        <v>860</v>
      </c>
      <c r="B130" s="39" t="str">
        <f>IFERROR(VLOOKUP(A130,[1]Bonds!$B$1:$K$2669,10,0),VLOOKUP(A130,[1]CPCD!$B$1:$H$1476,7,0))</f>
        <v>9.99% India Shelter Finance Corp Ltd (10-Feb-2022) **</v>
      </c>
      <c r="C130" s="39" t="s">
        <v>839</v>
      </c>
      <c r="D130" s="39">
        <v>2500</v>
      </c>
      <c r="E130" s="68">
        <v>1769.5250000000001</v>
      </c>
      <c r="F130" s="43">
        <f t="shared" si="2"/>
        <v>8.958964337991801E-2</v>
      </c>
    </row>
    <row r="131" spans="1:8" x14ac:dyDescent="0.2">
      <c r="A131" s="39" t="s">
        <v>861</v>
      </c>
      <c r="B131" s="39" t="str">
        <f>IFERROR(VLOOKUP(A131,[1]Bonds!$B$1:$K$2669,10,0),VLOOKUP(A131,[1]CPCD!$B$1:$H$1476,7,0))</f>
        <v>9.80% Ma Multi-Trade Pvt Ltd Series B (26-Jul-2017) **</v>
      </c>
      <c r="C131" s="39" t="s">
        <v>850</v>
      </c>
      <c r="D131" s="39">
        <v>100</v>
      </c>
      <c r="E131" s="68">
        <v>997.80200000000002</v>
      </c>
      <c r="F131" s="43">
        <f t="shared" si="2"/>
        <v>5.0517921670374222E-2</v>
      </c>
    </row>
    <row r="132" spans="1:8" x14ac:dyDescent="0.2">
      <c r="A132" s="39" t="s">
        <v>862</v>
      </c>
      <c r="B132" s="39" t="str">
        <f>IFERROR(VLOOKUP(A132,[1]Bonds!$B$1:$K$2669,10,0),VLOOKUP(A132,[1]CPCD!$B$1:$H$1476,7,0))</f>
        <v>0.00% KKR India Financial Services Pvt Ltd (10-Mar-2021) **</v>
      </c>
      <c r="C132" s="39" t="s">
        <v>727</v>
      </c>
      <c r="D132" s="39">
        <v>7</v>
      </c>
      <c r="E132" s="68">
        <v>864.98580000000004</v>
      </c>
      <c r="F132" s="43">
        <f t="shared" si="2"/>
        <v>4.3793543098115645E-2</v>
      </c>
    </row>
    <row r="133" spans="1:8" x14ac:dyDescent="0.2">
      <c r="A133" s="39" t="s">
        <v>863</v>
      </c>
      <c r="B133" s="39" t="str">
        <f>IFERROR(VLOOKUP(A133,[1]Bonds!$B$1:$K$2669,10,0),VLOOKUP(A133,[1]CPCD!$B$1:$H$1476,7,0))</f>
        <v>11.90% Rivaaz Trade Ventures Pvt Ltd (31-Aug-2019) **</v>
      </c>
      <c r="C133" s="39" t="s">
        <v>850</v>
      </c>
      <c r="D133" s="39">
        <v>280</v>
      </c>
      <c r="E133" s="68">
        <v>464.67915959999999</v>
      </c>
      <c r="F133" s="43">
        <f t="shared" si="2"/>
        <v>2.3526336273657623E-2</v>
      </c>
    </row>
    <row r="134" spans="1:8" x14ac:dyDescent="0.2">
      <c r="A134" s="38" t="s">
        <v>44</v>
      </c>
      <c r="B134" s="39"/>
      <c r="C134" s="39"/>
      <c r="D134" s="39"/>
      <c r="E134" s="69">
        <f>SUM(E95:E133)</f>
        <v>659877.29201160022</v>
      </c>
      <c r="F134" s="69">
        <f>SUM(F95:F133)</f>
        <v>33.409062469207981</v>
      </c>
    </row>
    <row r="135" spans="1:8" x14ac:dyDescent="0.2">
      <c r="A135" s="39"/>
      <c r="B135" s="39"/>
      <c r="C135" s="39"/>
      <c r="D135" s="39"/>
      <c r="E135" s="68"/>
      <c r="F135" s="68"/>
    </row>
    <row r="136" spans="1:8" x14ac:dyDescent="0.2">
      <c r="A136" s="38" t="s">
        <v>864</v>
      </c>
      <c r="B136" s="39"/>
      <c r="C136" s="39"/>
      <c r="D136" s="39"/>
      <c r="E136" s="68"/>
      <c r="F136" s="68"/>
    </row>
    <row r="137" spans="1:8" x14ac:dyDescent="0.2">
      <c r="A137" s="38" t="s">
        <v>865</v>
      </c>
      <c r="B137" s="39"/>
      <c r="C137" s="39"/>
      <c r="D137" s="39"/>
      <c r="E137" s="68"/>
      <c r="F137" s="68"/>
    </row>
    <row r="138" spans="1:8" x14ac:dyDescent="0.2">
      <c r="A138" s="39" t="s">
        <v>866</v>
      </c>
      <c r="B138" s="39" t="str">
        <f>IFERROR(VLOOKUP(A138,[1]Bonds!$B$1:$K$2669,10,0),VLOOKUP(A138,[1]CPCD!$B$1:$H$1476,7,0))</f>
        <v>(MIBOR+160) Cooperatieve Rabobank (28-Nov-2019) **</v>
      </c>
      <c r="C138" s="39" t="s">
        <v>867</v>
      </c>
      <c r="D138" s="39">
        <v>400</v>
      </c>
      <c r="E138" s="68">
        <v>400.39</v>
      </c>
      <c r="F138" s="43">
        <f t="shared" ref="F138:F139" si="3">IF((E138/$E$161*100)&lt;0.01,"0.00*",E138/$E$161*100)</f>
        <v>2.0271427254706983E-2</v>
      </c>
    </row>
    <row r="139" spans="1:8" x14ac:dyDescent="0.2">
      <c r="A139" s="39" t="s">
        <v>868</v>
      </c>
      <c r="B139" s="39" t="str">
        <f>IFERROR(VLOOKUP(A139,[1]Bonds!$B$1:$K$2669,10,0),VLOOKUP(A139,[1]CPCD!$B$1:$H$1476,7,0))</f>
        <v>Axis Bank Ltd (07-Feb-2020) **</v>
      </c>
      <c r="C139" s="39" t="s">
        <v>869</v>
      </c>
      <c r="D139" s="39">
        <v>100</v>
      </c>
      <c r="E139" s="68">
        <v>97.468500000000006</v>
      </c>
      <c r="F139" s="43" t="str">
        <f t="shared" si="3"/>
        <v>0.00*</v>
      </c>
      <c r="H139" s="70"/>
    </row>
    <row r="140" spans="1:8" x14ac:dyDescent="0.2">
      <c r="A140" s="38" t="s">
        <v>44</v>
      </c>
      <c r="B140" s="39"/>
      <c r="C140" s="39"/>
      <c r="D140" s="39"/>
      <c r="E140" s="69">
        <f>SUM(E138:E139)</f>
        <v>497.85849999999999</v>
      </c>
      <c r="F140" s="69">
        <f>SUM(F138:F139)</f>
        <v>2.0271427254706983E-2</v>
      </c>
    </row>
    <row r="141" spans="1:8" x14ac:dyDescent="0.2">
      <c r="A141" s="39"/>
      <c r="B141" s="39"/>
      <c r="C141" s="39"/>
      <c r="D141" s="39"/>
      <c r="E141" s="68"/>
      <c r="F141" s="68"/>
    </row>
    <row r="142" spans="1:8" x14ac:dyDescent="0.2">
      <c r="A142" s="38" t="s">
        <v>870</v>
      </c>
      <c r="B142" s="39"/>
      <c r="C142" s="39"/>
      <c r="D142" s="39"/>
      <c r="E142" s="68"/>
      <c r="F142" s="68"/>
    </row>
    <row r="143" spans="1:8" x14ac:dyDescent="0.2">
      <c r="A143" s="39" t="s">
        <v>871</v>
      </c>
      <c r="B143" s="39" t="str">
        <f>IFERROR(VLOOKUP(A143,[1]Bonds!$B$1:$K$2669,10,0),VLOOKUP(A143,[1]CPCD!$B$1:$H$1476,7,0))</f>
        <v>Rec Ltd (07-Feb-2020) **</v>
      </c>
      <c r="C143" s="39" t="s">
        <v>872</v>
      </c>
      <c r="D143" s="39">
        <v>9500</v>
      </c>
      <c r="E143" s="68">
        <v>46251.13</v>
      </c>
      <c r="F143" s="43">
        <f t="shared" ref="F143:F154" si="4">IF((E143/$E$161*100)&lt;0.01,"0.00*",E143/$E$161*100)</f>
        <v>2.3416579266290261</v>
      </c>
    </row>
    <row r="144" spans="1:8" x14ac:dyDescent="0.2">
      <c r="A144" s="39" t="s">
        <v>873</v>
      </c>
      <c r="B144" s="39" t="str">
        <f>IFERROR(VLOOKUP(A144,[1]Bonds!$B$1:$K$2669,10,0),VLOOKUP(A144,[1]CPCD!$B$1:$H$1476,7,0))</f>
        <v>L&amp;T Infrastructure Finance Co Ltd (02-Dec-2019) **</v>
      </c>
      <c r="C144" s="39" t="s">
        <v>867</v>
      </c>
      <c r="D144" s="39">
        <v>6000</v>
      </c>
      <c r="E144" s="68">
        <v>29545.32</v>
      </c>
      <c r="F144" s="43">
        <f t="shared" si="4"/>
        <v>1.4958560530908347</v>
      </c>
    </row>
    <row r="145" spans="1:6" x14ac:dyDescent="0.2">
      <c r="A145" s="39" t="s">
        <v>874</v>
      </c>
      <c r="B145" s="39" t="str">
        <f>IFERROR(VLOOKUP(A145,[1]Bonds!$B$1:$K$2669,10,0),VLOOKUP(A145,[1]CPCD!$B$1:$H$1476,7,0))</f>
        <v>L&amp;T Housing Finance Limited (14-Jan-2020) **</v>
      </c>
      <c r="C145" s="39" t="s">
        <v>872</v>
      </c>
      <c r="D145" s="39">
        <v>4500</v>
      </c>
      <c r="E145" s="68">
        <v>21975.547500000001</v>
      </c>
      <c r="F145" s="43">
        <f t="shared" si="4"/>
        <v>1.1126044919418765</v>
      </c>
    </row>
    <row r="146" spans="1:6" x14ac:dyDescent="0.2">
      <c r="A146" s="39" t="s">
        <v>875</v>
      </c>
      <c r="B146" s="39" t="str">
        <f>IFERROR(VLOOKUP(A146,[1]Bonds!$B$1:$K$2669,10,0),VLOOKUP(A146,[1]CPCD!$B$1:$H$1476,7,0))</f>
        <v>Future Enterprises Ltd (03-Sep-2019) **</v>
      </c>
      <c r="C146" s="39" t="s">
        <v>872</v>
      </c>
      <c r="D146" s="39">
        <v>2000</v>
      </c>
      <c r="E146" s="68">
        <v>9989.94</v>
      </c>
      <c r="F146" s="43">
        <f t="shared" si="4"/>
        <v>0.50578271682331599</v>
      </c>
    </row>
    <row r="147" spans="1:6" x14ac:dyDescent="0.2">
      <c r="A147" s="39" t="s">
        <v>876</v>
      </c>
      <c r="B147" s="39" t="str">
        <f>IFERROR(VLOOKUP(A147,[1]Bonds!$B$1:$K$2669,10,0),VLOOKUP(A147,[1]CPCD!$B$1:$H$1476,7,0))</f>
        <v>Future Retail Ltd (04-Sep-2019) **</v>
      </c>
      <c r="C147" s="39" t="s">
        <v>872</v>
      </c>
      <c r="D147" s="39">
        <v>2000</v>
      </c>
      <c r="E147" s="68">
        <v>9989.84</v>
      </c>
      <c r="F147" s="43">
        <f t="shared" si="4"/>
        <v>0.50577765390284968</v>
      </c>
    </row>
    <row r="148" spans="1:6" x14ac:dyDescent="0.2">
      <c r="A148" s="39" t="s">
        <v>877</v>
      </c>
      <c r="B148" s="39" t="str">
        <f>IFERROR(VLOOKUP(A148,[1]Bonds!$B$1:$K$2669,10,0),VLOOKUP(A148,[1]CPCD!$B$1:$H$1476,7,0))</f>
        <v>Tata Realty &amp; Infrastructure Ltd (25-Feb-2020) **</v>
      </c>
      <c r="C148" s="39" t="s">
        <v>867</v>
      </c>
      <c r="D148" s="39">
        <v>2000</v>
      </c>
      <c r="E148" s="68">
        <v>9630.16</v>
      </c>
      <c r="F148" s="43">
        <f t="shared" si="4"/>
        <v>0.4875673415699418</v>
      </c>
    </row>
    <row r="149" spans="1:6" x14ac:dyDescent="0.2">
      <c r="A149" s="39" t="s">
        <v>878</v>
      </c>
      <c r="B149" s="39" t="str">
        <f>IFERROR(VLOOKUP(A149,[1]Bonds!$B$1:$K$2669,10,0),VLOOKUP(A149,[1]CPCD!$B$1:$H$1476,7,0))</f>
        <v>Tata Realty &amp; Infrastructure Ltd (03-Mar-2020) **</v>
      </c>
      <c r="C149" s="39" t="s">
        <v>867</v>
      </c>
      <c r="D149" s="39">
        <v>2000</v>
      </c>
      <c r="E149" s="68">
        <v>9616.18</v>
      </c>
      <c r="F149" s="43">
        <f t="shared" si="4"/>
        <v>0.48685954528876396</v>
      </c>
    </row>
    <row r="150" spans="1:6" x14ac:dyDescent="0.2">
      <c r="A150" s="39" t="s">
        <v>879</v>
      </c>
      <c r="B150" s="39" t="str">
        <f>IFERROR(VLOOKUP(A150,[1]Bonds!$B$1:$K$2669,10,0),VLOOKUP(A150,[1]CPCD!$B$1:$H$1476,7,0))</f>
        <v>Tata Realty &amp; Infrastructure Ltd (10-Mar-2020) **</v>
      </c>
      <c r="C150" s="39" t="s">
        <v>867</v>
      </c>
      <c r="D150" s="39">
        <v>2000</v>
      </c>
      <c r="E150" s="68">
        <v>9602.23</v>
      </c>
      <c r="F150" s="43">
        <f t="shared" si="4"/>
        <v>0.48615326788372593</v>
      </c>
    </row>
    <row r="151" spans="1:6" x14ac:dyDescent="0.2">
      <c r="A151" s="39" t="s">
        <v>880</v>
      </c>
      <c r="B151" s="39" t="str">
        <f>IFERROR(VLOOKUP(A151,[1]Bonds!$B$1:$K$2669,10,0),VLOOKUP(A151,[1]CPCD!$B$1:$H$1476,7,0))</f>
        <v>Housing Development Finance Corp Ltd (14-Nov-2019)</v>
      </c>
      <c r="C151" s="39" t="s">
        <v>867</v>
      </c>
      <c r="D151" s="39">
        <v>1500</v>
      </c>
      <c r="E151" s="68">
        <v>7413.78</v>
      </c>
      <c r="F151" s="43">
        <f t="shared" si="4"/>
        <v>0.37535378494068666</v>
      </c>
    </row>
    <row r="152" spans="1:6" x14ac:dyDescent="0.2">
      <c r="A152" s="39" t="s">
        <v>881</v>
      </c>
      <c r="B152" s="39" t="str">
        <f>IFERROR(VLOOKUP(A152,[1]Bonds!$B$1:$K$2669,10,0),VLOOKUP(A152,[1]CPCD!$B$1:$H$1476,7,0))</f>
        <v>Tata Realty &amp; Infrastructure Ltd (17-Mar-2020) **</v>
      </c>
      <c r="C152" s="39" t="s">
        <v>867</v>
      </c>
      <c r="D152" s="39">
        <v>1000</v>
      </c>
      <c r="E152" s="68">
        <v>4794.165</v>
      </c>
      <c r="F152" s="43">
        <f t="shared" si="4"/>
        <v>0.24272476096946052</v>
      </c>
    </row>
    <row r="153" spans="1:6" x14ac:dyDescent="0.2">
      <c r="A153" s="39" t="s">
        <v>882</v>
      </c>
      <c r="B153" s="39" t="str">
        <f>IFERROR(VLOOKUP(A153,[1]Bonds!$B$1:$K$2669,10,0),VLOOKUP(A153,[1]CPCD!$B$1:$H$1476,7,0))</f>
        <v>Housing Development Finance Corp Ltd (26-Nov-2019)</v>
      </c>
      <c r="C153" s="39" t="s">
        <v>869</v>
      </c>
      <c r="D153" s="39">
        <v>500</v>
      </c>
      <c r="E153" s="68">
        <v>2466.6624999999999</v>
      </c>
      <c r="F153" s="43">
        <f t="shared" si="4"/>
        <v>0.12488516054512763</v>
      </c>
    </row>
    <row r="154" spans="1:6" x14ac:dyDescent="0.2">
      <c r="A154" s="39" t="s">
        <v>883</v>
      </c>
      <c r="B154" s="39" t="str">
        <f>IFERROR(VLOOKUP(A154,[1]Bonds!$B$1:$K$2669,10,0),VLOOKUP(A154,[1]CPCD!$B$1:$H$1476,7,0))</f>
        <v>Housing Development Finance Corp Ltd (02-Mar-2020) **</v>
      </c>
      <c r="C154" s="39" t="s">
        <v>867</v>
      </c>
      <c r="D154" s="39">
        <v>500</v>
      </c>
      <c r="E154" s="68">
        <v>2424.4675000000002</v>
      </c>
      <c r="F154" s="43">
        <f t="shared" si="4"/>
        <v>0.12274886125440522</v>
      </c>
    </row>
    <row r="155" spans="1:6" x14ac:dyDescent="0.2">
      <c r="A155" s="38" t="s">
        <v>44</v>
      </c>
      <c r="B155" s="39"/>
      <c r="C155" s="39"/>
      <c r="D155" s="39"/>
      <c r="E155" s="69">
        <f>SUM(E143:E154)</f>
        <v>163699.42250000002</v>
      </c>
      <c r="F155" s="69">
        <f>SUM(F143:F154)</f>
        <v>8.2879715648400154</v>
      </c>
    </row>
    <row r="156" spans="1:6" x14ac:dyDescent="0.2">
      <c r="A156" s="39"/>
      <c r="B156" s="39"/>
      <c r="C156" s="39"/>
      <c r="D156" s="39"/>
      <c r="E156" s="68"/>
      <c r="F156" s="68"/>
    </row>
    <row r="157" spans="1:6" x14ac:dyDescent="0.2">
      <c r="A157" s="38" t="s">
        <v>44</v>
      </c>
      <c r="B157" s="39"/>
      <c r="C157" s="39"/>
      <c r="D157" s="39"/>
      <c r="E157" s="69">
        <f>E92+E134+E140+E155</f>
        <v>1776521.9324312008</v>
      </c>
      <c r="F157" s="69">
        <f>F92+F134+F140+F155</f>
        <v>89.938957751350358</v>
      </c>
    </row>
    <row r="158" spans="1:6" x14ac:dyDescent="0.2">
      <c r="A158" s="39"/>
      <c r="B158" s="39"/>
      <c r="C158" s="39"/>
      <c r="D158" s="39"/>
      <c r="E158" s="68"/>
      <c r="F158" s="68"/>
    </row>
    <row r="159" spans="1:6" x14ac:dyDescent="0.2">
      <c r="A159" s="38" t="s">
        <v>76</v>
      </c>
      <c r="B159" s="39"/>
      <c r="C159" s="39"/>
      <c r="D159" s="39"/>
      <c r="E159" s="69">
        <v>198622.6637986</v>
      </c>
      <c r="F159" s="69">
        <v>10.06</v>
      </c>
    </row>
    <row r="160" spans="1:6" x14ac:dyDescent="0.2">
      <c r="A160" s="39"/>
      <c r="B160" s="39"/>
      <c r="C160" s="39"/>
      <c r="D160" s="39"/>
      <c r="E160" s="68"/>
      <c r="F160" s="68"/>
    </row>
    <row r="161" spans="1:6" x14ac:dyDescent="0.2">
      <c r="A161" s="71" t="s">
        <v>77</v>
      </c>
      <c r="B161" s="66"/>
      <c r="C161" s="66"/>
      <c r="D161" s="66"/>
      <c r="E161" s="72">
        <f>E157+E159</f>
        <v>1975144.5962298007</v>
      </c>
      <c r="F161" s="72">
        <f xml:space="preserve"> ROUND(SUM(F157:F160),2)</f>
        <v>100</v>
      </c>
    </row>
    <row r="162" spans="1:6" x14ac:dyDescent="0.2">
      <c r="A162" s="4" t="s">
        <v>619</v>
      </c>
      <c r="F162" s="74" t="s">
        <v>884</v>
      </c>
    </row>
    <row r="164" spans="1:6" x14ac:dyDescent="0.2">
      <c r="A164" s="4" t="s">
        <v>78</v>
      </c>
    </row>
    <row r="165" spans="1:6" x14ac:dyDescent="0.2">
      <c r="A165" s="4" t="s">
        <v>650</v>
      </c>
    </row>
    <row r="166" spans="1:6" x14ac:dyDescent="0.2">
      <c r="A166" s="4" t="s">
        <v>80</v>
      </c>
    </row>
    <row r="167" spans="1:6" x14ac:dyDescent="0.2">
      <c r="A167" s="2" t="s">
        <v>885</v>
      </c>
      <c r="D167" s="10">
        <v>26.037700000000001</v>
      </c>
    </row>
    <row r="168" spans="1:6" x14ac:dyDescent="0.2">
      <c r="A168" s="2" t="s">
        <v>886</v>
      </c>
      <c r="D168" s="10">
        <v>10.088900000000001</v>
      </c>
    </row>
    <row r="169" spans="1:6" x14ac:dyDescent="0.2">
      <c r="A169" s="2" t="s">
        <v>887</v>
      </c>
      <c r="D169" s="10">
        <v>10.1083</v>
      </c>
    </row>
    <row r="170" spans="1:6" x14ac:dyDescent="0.2">
      <c r="A170" s="2" t="s">
        <v>888</v>
      </c>
      <c r="D170" s="10">
        <v>26.15</v>
      </c>
    </row>
    <row r="171" spans="1:6" x14ac:dyDescent="0.2">
      <c r="A171" s="2" t="s">
        <v>889</v>
      </c>
      <c r="D171" s="10">
        <v>10.0701</v>
      </c>
    </row>
    <row r="172" spans="1:6" x14ac:dyDescent="0.2">
      <c r="A172" s="2" t="s">
        <v>890</v>
      </c>
      <c r="D172" s="10">
        <v>10.1008</v>
      </c>
    </row>
    <row r="173" spans="1:6" x14ac:dyDescent="0.2">
      <c r="A173" s="2" t="s">
        <v>891</v>
      </c>
      <c r="D173" s="10">
        <v>24.6873</v>
      </c>
    </row>
    <row r="174" spans="1:6" x14ac:dyDescent="0.2">
      <c r="A174" s="2" t="s">
        <v>892</v>
      </c>
      <c r="D174" s="10">
        <v>10.0604</v>
      </c>
    </row>
    <row r="175" spans="1:6" x14ac:dyDescent="0.2">
      <c r="A175" s="2" t="s">
        <v>893</v>
      </c>
      <c r="D175" s="10">
        <v>10.135400000000001</v>
      </c>
    </row>
    <row r="176" spans="1:6" x14ac:dyDescent="0.2">
      <c r="A176" s="2" t="s">
        <v>894</v>
      </c>
      <c r="D176" s="10">
        <v>25.245799999999999</v>
      </c>
    </row>
    <row r="177" spans="1:4" x14ac:dyDescent="0.2">
      <c r="A177" s="2" t="s">
        <v>895</v>
      </c>
      <c r="D177" s="10">
        <v>10</v>
      </c>
    </row>
    <row r="179" spans="1:4" x14ac:dyDescent="0.2">
      <c r="A179" s="4" t="s">
        <v>81</v>
      </c>
    </row>
    <row r="180" spans="1:4" x14ac:dyDescent="0.2">
      <c r="A180" s="2" t="s">
        <v>885</v>
      </c>
      <c r="D180" s="10">
        <v>27.262</v>
      </c>
    </row>
    <row r="181" spans="1:4" x14ac:dyDescent="0.2">
      <c r="A181" s="2" t="s">
        <v>886</v>
      </c>
      <c r="D181" s="10">
        <v>10.090999999999999</v>
      </c>
    </row>
    <row r="182" spans="1:4" x14ac:dyDescent="0.2">
      <c r="A182" s="2" t="s">
        <v>887</v>
      </c>
      <c r="D182" s="10">
        <v>10.110200000000001</v>
      </c>
    </row>
    <row r="183" spans="1:4" x14ac:dyDescent="0.2">
      <c r="A183" s="2" t="s">
        <v>888</v>
      </c>
      <c r="D183" s="10">
        <v>27.391400000000001</v>
      </c>
    </row>
    <row r="184" spans="1:4" x14ac:dyDescent="0.2">
      <c r="A184" s="2" t="s">
        <v>889</v>
      </c>
      <c r="D184" s="10">
        <v>10.0722</v>
      </c>
    </row>
    <row r="185" spans="1:4" x14ac:dyDescent="0.2">
      <c r="A185" s="2" t="s">
        <v>890</v>
      </c>
      <c r="D185" s="10">
        <v>10.100199999999999</v>
      </c>
    </row>
    <row r="186" spans="1:4" x14ac:dyDescent="0.2">
      <c r="A186" s="2" t="s">
        <v>891</v>
      </c>
      <c r="D186" s="10">
        <v>25.802</v>
      </c>
    </row>
    <row r="187" spans="1:4" x14ac:dyDescent="0.2">
      <c r="A187" s="2" t="s">
        <v>892</v>
      </c>
      <c r="D187" s="10">
        <v>10.062099999999999</v>
      </c>
    </row>
    <row r="188" spans="1:4" x14ac:dyDescent="0.2">
      <c r="A188" s="2" t="s">
        <v>893</v>
      </c>
      <c r="D188" s="10">
        <v>10.1373</v>
      </c>
    </row>
    <row r="189" spans="1:4" x14ac:dyDescent="0.2">
      <c r="A189" s="2" t="s">
        <v>894</v>
      </c>
      <c r="D189" s="10">
        <v>26.412099999999999</v>
      </c>
    </row>
    <row r="190" spans="1:4" x14ac:dyDescent="0.2">
      <c r="A190" s="2" t="s">
        <v>895</v>
      </c>
      <c r="D190" s="10">
        <v>10</v>
      </c>
    </row>
    <row r="193" spans="1:5" x14ac:dyDescent="0.2">
      <c r="A193" s="4" t="s">
        <v>82</v>
      </c>
      <c r="D193" s="44" t="s">
        <v>299</v>
      </c>
    </row>
    <row r="194" spans="1:5" x14ac:dyDescent="0.2">
      <c r="A194" s="106" t="s">
        <v>642</v>
      </c>
      <c r="B194" s="107"/>
      <c r="C194" s="109" t="s">
        <v>643</v>
      </c>
      <c r="D194" s="109"/>
    </row>
    <row r="195" spans="1:5" x14ac:dyDescent="0.2">
      <c r="A195" s="110"/>
      <c r="B195" s="110"/>
      <c r="C195" s="47" t="s">
        <v>644</v>
      </c>
      <c r="D195" s="47" t="s">
        <v>645</v>
      </c>
    </row>
    <row r="196" spans="1:5" x14ac:dyDescent="0.2">
      <c r="A196" s="48" t="s">
        <v>896</v>
      </c>
      <c r="B196" s="49"/>
      <c r="C196" s="54">
        <v>0.33268199860000008</v>
      </c>
      <c r="D196" s="54">
        <v>0.30806518900000024</v>
      </c>
    </row>
    <row r="197" spans="1:5" x14ac:dyDescent="0.2">
      <c r="A197" s="48" t="s">
        <v>887</v>
      </c>
      <c r="B197" s="49"/>
      <c r="C197" s="54">
        <v>0.3332933131000001</v>
      </c>
      <c r="D197" s="54">
        <v>0.30863126930000001</v>
      </c>
    </row>
    <row r="198" spans="1:5" x14ac:dyDescent="0.2">
      <c r="A198" s="48" t="s">
        <v>897</v>
      </c>
      <c r="B198" s="49"/>
      <c r="C198" s="54">
        <v>0.33500083489999993</v>
      </c>
      <c r="D198" s="54">
        <v>0.31021244240000001</v>
      </c>
    </row>
    <row r="199" spans="1:5" x14ac:dyDescent="0.2">
      <c r="A199" s="48" t="s">
        <v>890</v>
      </c>
      <c r="B199" s="49"/>
      <c r="C199" s="54">
        <v>0.33595850730000004</v>
      </c>
      <c r="D199" s="54">
        <v>0.31109925219999995</v>
      </c>
    </row>
    <row r="200" spans="1:5" x14ac:dyDescent="0.2">
      <c r="A200" s="48" t="s">
        <v>892</v>
      </c>
      <c r="B200" s="49"/>
      <c r="C200" s="54">
        <v>0.31898630859999999</v>
      </c>
      <c r="D200" s="54">
        <v>0.29538291160000002</v>
      </c>
    </row>
    <row r="201" spans="1:5" x14ac:dyDescent="0.2">
      <c r="A201" s="48" t="s">
        <v>893</v>
      </c>
      <c r="B201" s="49"/>
      <c r="C201" s="54">
        <v>0.32111986009999999</v>
      </c>
      <c r="D201" s="54">
        <v>0.29735859049999996</v>
      </c>
    </row>
    <row r="202" spans="1:5" x14ac:dyDescent="0.2">
      <c r="A202" s="48" t="s">
        <v>898</v>
      </c>
      <c r="B202" s="49"/>
      <c r="C202" s="54">
        <v>0.32628149710000015</v>
      </c>
      <c r="D202" s="54">
        <v>0.30213829159999994</v>
      </c>
    </row>
    <row r="204" spans="1:5" x14ac:dyDescent="0.2">
      <c r="A204" s="4" t="s">
        <v>647</v>
      </c>
      <c r="D204" s="53">
        <v>0.6103916810247173</v>
      </c>
      <c r="E204" s="73" t="s">
        <v>648</v>
      </c>
    </row>
  </sheetData>
  <mergeCells count="4">
    <mergeCell ref="A1:F1"/>
    <mergeCell ref="A194:B194"/>
    <mergeCell ref="C194:D194"/>
    <mergeCell ref="A195:B195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50819-7700-42F1-8DDE-343164D9FCA0}">
  <dimension ref="A1:G208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81.5703125" style="2" bestFit="1" customWidth="1"/>
    <col min="3" max="3" width="11.7109375" style="2" bestFit="1" customWidth="1"/>
    <col min="4" max="4" width="8.28515625" style="2" bestFit="1" customWidth="1"/>
    <col min="5" max="5" width="23" style="73" bestFit="1" customWidth="1"/>
    <col min="6" max="6" width="15.5703125" style="73" bestFit="1" customWidth="1"/>
    <col min="7" max="16384" width="9.140625" style="2"/>
  </cols>
  <sheetData>
    <row r="1" spans="1:6" ht="15" customHeight="1" x14ac:dyDescent="0.2">
      <c r="A1" s="108" t="s">
        <v>899</v>
      </c>
      <c r="B1" s="108"/>
      <c r="C1" s="108"/>
      <c r="D1" s="108"/>
      <c r="E1" s="108"/>
      <c r="F1" s="108"/>
    </row>
    <row r="3" spans="1:6" s="4" customFormat="1" x14ac:dyDescent="0.2">
      <c r="A3" s="64" t="s">
        <v>1</v>
      </c>
      <c r="B3" s="64" t="s">
        <v>2</v>
      </c>
      <c r="C3" s="64" t="s">
        <v>716</v>
      </c>
      <c r="D3" s="64" t="s">
        <v>4</v>
      </c>
      <c r="E3" s="65" t="s">
        <v>5</v>
      </c>
      <c r="F3" s="65" t="s">
        <v>6</v>
      </c>
    </row>
    <row r="4" spans="1:6" x14ac:dyDescent="0.2">
      <c r="A4" s="66"/>
      <c r="B4" s="66"/>
      <c r="C4" s="66"/>
      <c r="D4" s="66"/>
      <c r="E4" s="67"/>
      <c r="F4" s="67"/>
    </row>
    <row r="5" spans="1:6" x14ac:dyDescent="0.2">
      <c r="A5" s="38" t="s">
        <v>359</v>
      </c>
      <c r="B5" s="39"/>
      <c r="C5" s="39"/>
      <c r="D5" s="39"/>
      <c r="E5" s="68"/>
      <c r="F5" s="68"/>
    </row>
    <row r="6" spans="1:6" x14ac:dyDescent="0.2">
      <c r="A6" s="38" t="s">
        <v>8</v>
      </c>
      <c r="B6" s="39"/>
      <c r="C6" s="39"/>
      <c r="D6" s="39"/>
      <c r="E6" s="68"/>
      <c r="F6" s="68"/>
    </row>
    <row r="7" spans="1:6" x14ac:dyDescent="0.2">
      <c r="A7" s="38"/>
      <c r="B7" s="39"/>
      <c r="C7" s="39"/>
      <c r="D7" s="39"/>
      <c r="E7" s="68"/>
      <c r="F7" s="68"/>
    </row>
    <row r="8" spans="1:6" x14ac:dyDescent="0.2">
      <c r="A8" s="39" t="s">
        <v>799</v>
      </c>
      <c r="B8" s="39" t="str">
        <f>IFERROR(VLOOKUP(A8,[1]Bonds!$B$1:$K$2669,10,0),VLOOKUP(A8,[1]CPCD!$B$1:$H$1476,7,0))</f>
        <v>8.9508% Pipeline Infrastructure Pvt Ltd (22-Mar-2024)</v>
      </c>
      <c r="C8" s="39" t="s">
        <v>361</v>
      </c>
      <c r="D8" s="39">
        <v>7700</v>
      </c>
      <c r="E8" s="68">
        <v>77516.054000000004</v>
      </c>
      <c r="F8" s="43">
        <f>IF((E8/$E$170*100)&lt;0.01,"0.00*",E8/$E$170*100)</f>
        <v>5.8920923899177664</v>
      </c>
    </row>
    <row r="9" spans="1:6" x14ac:dyDescent="0.2">
      <c r="A9" s="39" t="s">
        <v>900</v>
      </c>
      <c r="B9" s="39" t="str">
        <f>IFERROR(VLOOKUP(A9,[1]Bonds!$B$1:$K$2669,10,0),VLOOKUP(A9,[1]CPCD!$B$1:$H$1476,7,0))</f>
        <v>10.25% Shriram Transport Finance Co Ltd (26-Apr-2024) **</v>
      </c>
      <c r="C9" s="39" t="s">
        <v>727</v>
      </c>
      <c r="D9" s="39">
        <v>7200</v>
      </c>
      <c r="E9" s="68">
        <v>66640.679999999993</v>
      </c>
      <c r="F9" s="43">
        <f t="shared" ref="F9:F72" si="0">IF((E9/$E$170*100)&lt;0.01,"0.00*",E9/$E$170*100)</f>
        <v>5.0654415856481165</v>
      </c>
    </row>
    <row r="10" spans="1:6" x14ac:dyDescent="0.2">
      <c r="A10" s="39" t="s">
        <v>901</v>
      </c>
      <c r="B10" s="39" t="str">
        <f>IFERROR(VLOOKUP(A10,[1]Bonds!$B$1:$K$2669,10,0),VLOOKUP(A10,[1]CPCD!$B$1:$H$1476,7,0))</f>
        <v>10.90% Vodafone Idea Ltd (02-Sep-2023) **</v>
      </c>
      <c r="C10" s="39" t="s">
        <v>750</v>
      </c>
      <c r="D10" s="39">
        <v>5230</v>
      </c>
      <c r="E10" s="68">
        <v>48051.043400000002</v>
      </c>
      <c r="F10" s="43">
        <f t="shared" si="0"/>
        <v>3.6524200154041417</v>
      </c>
    </row>
    <row r="11" spans="1:6" x14ac:dyDescent="0.2">
      <c r="A11" s="39" t="s">
        <v>902</v>
      </c>
      <c r="B11" s="39" t="str">
        <f>IFERROR(VLOOKUP(A11,[1]Bonds!$B$1:$K$2669,10,0),VLOOKUP(A11,[1]CPCD!$B$1:$H$1476,7,0))</f>
        <v>9.50% Piramal Capital &amp; Housing Finance Ltd (15-Apr-2022) **</v>
      </c>
      <c r="C11" s="39" t="s">
        <v>737</v>
      </c>
      <c r="D11" s="39">
        <v>4813</v>
      </c>
      <c r="E11" s="68">
        <v>36457.945570000003</v>
      </c>
      <c r="F11" s="43">
        <f t="shared" si="0"/>
        <v>2.7712141235289551</v>
      </c>
    </row>
    <row r="12" spans="1:6" x14ac:dyDescent="0.2">
      <c r="A12" s="39" t="s">
        <v>903</v>
      </c>
      <c r="B12" s="39" t="str">
        <f>IFERROR(VLOOKUP(A12,[1]Bonds!$B$1:$K$2669,10,0),VLOOKUP(A12,[1]CPCD!$B$1:$H$1476,7,0))</f>
        <v>9.10% Power Finance Corp Ltd (23-Mar-2029) **</v>
      </c>
      <c r="C12" s="39" t="s">
        <v>361</v>
      </c>
      <c r="D12" s="39">
        <v>3135</v>
      </c>
      <c r="E12" s="68">
        <v>32449.09965</v>
      </c>
      <c r="F12" s="43">
        <f t="shared" si="0"/>
        <v>2.4664967221815526</v>
      </c>
    </row>
    <row r="13" spans="1:6" x14ac:dyDescent="0.2">
      <c r="A13" s="39" t="s">
        <v>904</v>
      </c>
      <c r="B13" s="39" t="str">
        <f>IFERROR(VLOOKUP(A13,[1]Bonds!$B$1:$K$2669,10,0),VLOOKUP(A13,[1]CPCD!$B$1:$H$1476,7,0))</f>
        <v>9.50% Yes Bank Ltd (23-12-2021) **</v>
      </c>
      <c r="C13" s="39" t="s">
        <v>905</v>
      </c>
      <c r="D13" s="39">
        <v>3523</v>
      </c>
      <c r="E13" s="68">
        <v>30926.408889999999</v>
      </c>
      <c r="F13" s="43">
        <f t="shared" si="0"/>
        <v>2.3507550896263907</v>
      </c>
    </row>
    <row r="14" spans="1:6" x14ac:dyDescent="0.2">
      <c r="A14" s="39" t="s">
        <v>809</v>
      </c>
      <c r="B14" s="39" t="str">
        <f>IFERROR(VLOOKUP(A14,[1]Bonds!$B$1:$K$2669,10,0),VLOOKUP(A14,[1]CPCD!$B$1:$H$1476,7,0))</f>
        <v>8.70% Edelweiss Rural &amp; Corporate Services Ltd (30-Jun-2027) **</v>
      </c>
      <c r="C14" s="39" t="s">
        <v>723</v>
      </c>
      <c r="D14" s="39">
        <v>3100</v>
      </c>
      <c r="E14" s="68">
        <v>29667.062000000002</v>
      </c>
      <c r="F14" s="43">
        <f t="shared" si="0"/>
        <v>2.2550305545921949</v>
      </c>
    </row>
    <row r="15" spans="1:6" x14ac:dyDescent="0.2">
      <c r="A15" s="39" t="s">
        <v>724</v>
      </c>
      <c r="B15" s="39" t="str">
        <f>IFERROR(VLOOKUP(A15,[1]Bonds!$B$1:$K$2669,10,0),VLOOKUP(A15,[1]CPCD!$B$1:$H$1476,7,0))</f>
        <v>Edelweiss Rural &amp; Corporate Services Ltd (1Y SBI MCLR + 150 Bps) (29-Nov-2021) - Series II **</v>
      </c>
      <c r="C15" s="39" t="s">
        <v>370</v>
      </c>
      <c r="D15" s="39">
        <v>2800</v>
      </c>
      <c r="E15" s="68">
        <v>27772.080000000002</v>
      </c>
      <c r="F15" s="43">
        <f t="shared" si="0"/>
        <v>2.1109905984144572</v>
      </c>
    </row>
    <row r="16" spans="1:6" x14ac:dyDescent="0.2">
      <c r="A16" s="39" t="s">
        <v>906</v>
      </c>
      <c r="B16" s="39" t="str">
        <f>IFERROR(VLOOKUP(A16,[1]Bonds!$B$1:$K$2669,10,0),VLOOKUP(A16,[1]CPCD!$B$1:$H$1476,7,0))</f>
        <v>9.10% Piramal Enterprises Ltd (15-May-2020) **</v>
      </c>
      <c r="C16" s="39" t="s">
        <v>367</v>
      </c>
      <c r="D16" s="39">
        <v>2700</v>
      </c>
      <c r="E16" s="68">
        <v>26992.051200000002</v>
      </c>
      <c r="F16" s="43">
        <f t="shared" si="0"/>
        <v>2.0516996319728906</v>
      </c>
    </row>
    <row r="17" spans="1:6" x14ac:dyDescent="0.2">
      <c r="A17" s="39" t="s">
        <v>907</v>
      </c>
      <c r="B17" s="39" t="str">
        <f>IFERROR(VLOOKUP(A17,[1]Bonds!$B$1:$K$2669,10,0),VLOOKUP(A17,[1]CPCD!$B$1:$H$1476,7,0))</f>
        <v>9.10% Piramal Enterprises Ltd (29-May-2020) **</v>
      </c>
      <c r="C17" s="39" t="s">
        <v>367</v>
      </c>
      <c r="D17" s="39">
        <v>2500</v>
      </c>
      <c r="E17" s="68">
        <v>24992.639999999999</v>
      </c>
      <c r="F17" s="43">
        <f t="shared" si="0"/>
        <v>1.8997218814563799</v>
      </c>
    </row>
    <row r="18" spans="1:6" x14ac:dyDescent="0.2">
      <c r="A18" s="39" t="s">
        <v>908</v>
      </c>
      <c r="B18" s="39" t="str">
        <f>IFERROR(VLOOKUP(A18,[1]Bonds!$B$1:$K$2669,10,0),VLOOKUP(A18,[1]CPCD!$B$1:$H$1476,7,0))</f>
        <v>10.32% Andhra Pradesh Capital Region Development Authority (16-Aug-2025) **</v>
      </c>
      <c r="C18" s="39" t="s">
        <v>731</v>
      </c>
      <c r="D18" s="39">
        <v>11135</v>
      </c>
      <c r="E18" s="68">
        <v>22194.616050000001</v>
      </c>
      <c r="F18" s="43">
        <f t="shared" si="0"/>
        <v>1.6870405751736497</v>
      </c>
    </row>
    <row r="19" spans="1:6" x14ac:dyDescent="0.2">
      <c r="A19" s="39" t="s">
        <v>909</v>
      </c>
      <c r="B19" s="39" t="str">
        <f>IFERROR(VLOOKUP(A19,[1]Bonds!$B$1:$K$2669,10,0),VLOOKUP(A19,[1]CPCD!$B$1:$H$1476,7,0))</f>
        <v>9.20% Andhra Bank (31-Oct-2022) **</v>
      </c>
      <c r="C19" s="39" t="s">
        <v>735</v>
      </c>
      <c r="D19" s="39">
        <v>2250</v>
      </c>
      <c r="E19" s="68">
        <v>21777.3675</v>
      </c>
      <c r="F19" s="43">
        <f t="shared" si="0"/>
        <v>1.6553249900877629</v>
      </c>
    </row>
    <row r="20" spans="1:6" x14ac:dyDescent="0.2">
      <c r="A20" s="39" t="s">
        <v>910</v>
      </c>
      <c r="B20" s="39" t="str">
        <f>IFERROR(VLOOKUP(A20,[1]Bonds!$B$1:$K$2669,10,0),VLOOKUP(A20,[1]CPCD!$B$1:$H$1476,7,0))</f>
        <v>10.32% Andhra Pradesh Capital Region Development Authority (16-Aug-2024) **</v>
      </c>
      <c r="C20" s="39" t="s">
        <v>731</v>
      </c>
      <c r="D20" s="39">
        <v>10675</v>
      </c>
      <c r="E20" s="68">
        <v>21436.681</v>
      </c>
      <c r="F20" s="43">
        <f t="shared" si="0"/>
        <v>1.6294289823524137</v>
      </c>
    </row>
    <row r="21" spans="1:6" x14ac:dyDescent="0.2">
      <c r="A21" s="39" t="s">
        <v>911</v>
      </c>
      <c r="B21" s="39" t="str">
        <f>IFERROR(VLOOKUP(A21,[1]Bonds!$B$1:$K$2669,10,0),VLOOKUP(A21,[1]CPCD!$B$1:$H$1476,7,0))</f>
        <v>12.30% Sterlite Power Grid Ventures Ltd (28-Mar-2022) **</v>
      </c>
      <c r="C21" s="39" t="s">
        <v>912</v>
      </c>
      <c r="D21" s="39">
        <v>2100</v>
      </c>
      <c r="E21" s="68">
        <v>21035.196</v>
      </c>
      <c r="F21" s="43">
        <f t="shared" si="0"/>
        <v>1.5989116044532996</v>
      </c>
    </row>
    <row r="22" spans="1:6" x14ac:dyDescent="0.2">
      <c r="A22" s="39" t="s">
        <v>913</v>
      </c>
      <c r="B22" s="39" t="str">
        <f>IFERROR(VLOOKUP(A22,[1]Bonds!$B$1:$K$2669,10,0),VLOOKUP(A22,[1]CPCD!$B$1:$H$1476,7,0))</f>
        <v>11.00% Vivriti Capital Pvt Ltd (19-Mar-2021) **</v>
      </c>
      <c r="C22" s="39" t="s">
        <v>804</v>
      </c>
      <c r="D22" s="39">
        <v>1390</v>
      </c>
      <c r="E22" s="68">
        <v>13765.670400000001</v>
      </c>
      <c r="F22" s="43">
        <f t="shared" si="0"/>
        <v>1.0463458550915949</v>
      </c>
    </row>
    <row r="23" spans="1:6" x14ac:dyDescent="0.2">
      <c r="A23" s="39" t="s">
        <v>766</v>
      </c>
      <c r="B23" s="39" t="str">
        <f>IFERROR(VLOOKUP(A23,[1]Bonds!$B$1:$K$2669,10,0),VLOOKUP(A23,[1]CPCD!$B$1:$H$1476,7,0))</f>
        <v>10.15% Uttar Pradesh Power Corp Ltd (20-Jan-2022) **</v>
      </c>
      <c r="C23" s="39" t="s">
        <v>731</v>
      </c>
      <c r="D23" s="39">
        <v>1349</v>
      </c>
      <c r="E23" s="68">
        <v>13428.60701</v>
      </c>
      <c r="F23" s="43">
        <f t="shared" si="0"/>
        <v>1.0207252444869983</v>
      </c>
    </row>
    <row r="24" spans="1:6" x14ac:dyDescent="0.2">
      <c r="A24" s="39" t="s">
        <v>914</v>
      </c>
      <c r="B24" s="39" t="str">
        <f>IFERROR(VLOOKUP(A24,[1]Bonds!$B$1:$K$2669,10,0),VLOOKUP(A24,[1]CPCD!$B$1:$H$1476,7,0))</f>
        <v>9.10% India Grid Trust (03-Jun-2022)</v>
      </c>
      <c r="C24" s="39" t="s">
        <v>361</v>
      </c>
      <c r="D24" s="39">
        <v>1300</v>
      </c>
      <c r="E24" s="68">
        <v>13120.627</v>
      </c>
      <c r="F24" s="43">
        <f t="shared" si="0"/>
        <v>0.99731529803683727</v>
      </c>
    </row>
    <row r="25" spans="1:6" x14ac:dyDescent="0.2">
      <c r="A25" s="39" t="s">
        <v>915</v>
      </c>
      <c r="B25" s="39" t="str">
        <f>IFERROR(VLOOKUP(A25,[1]Bonds!$B$1:$K$2669,10,0),VLOOKUP(A25,[1]CPCD!$B$1:$H$1476,7,0))</f>
        <v>8.97% Rec Ltd (28-Mar-2029) **</v>
      </c>
      <c r="C25" s="39" t="s">
        <v>916</v>
      </c>
      <c r="D25" s="39">
        <v>1200</v>
      </c>
      <c r="E25" s="68">
        <v>12323.016</v>
      </c>
      <c r="F25" s="43">
        <f t="shared" si="0"/>
        <v>0.93668788654328128</v>
      </c>
    </row>
    <row r="26" spans="1:6" x14ac:dyDescent="0.2">
      <c r="A26" s="39" t="s">
        <v>917</v>
      </c>
      <c r="B26" s="39" t="str">
        <f>IFERROR(VLOOKUP(A26,[1]Bonds!$B$1:$K$2669,10,0),VLOOKUP(A26,[1]CPCD!$B$1:$H$1476,7,0))</f>
        <v>10.00% Aptus Value Housing Finance India Ltd (20-Aug-2025) **</v>
      </c>
      <c r="C26" s="39" t="s">
        <v>839</v>
      </c>
      <c r="D26" s="39">
        <v>12500</v>
      </c>
      <c r="E26" s="68">
        <v>12028.0875</v>
      </c>
      <c r="F26" s="43">
        <f t="shared" si="0"/>
        <v>0.91427000172138539</v>
      </c>
    </row>
    <row r="27" spans="1:6" x14ac:dyDescent="0.2">
      <c r="A27" s="39" t="s">
        <v>918</v>
      </c>
      <c r="B27" s="39" t="str">
        <f>IFERROR(VLOOKUP(A27,[1]Bonds!$B$1:$K$2669,10,0),VLOOKUP(A27,[1]CPCD!$B$1:$H$1476,7,0))</f>
        <v>12.40% Jm Financial Asset Reconstruction Co Ltd (02-Feb-2022) **</v>
      </c>
      <c r="C27" s="39" t="s">
        <v>723</v>
      </c>
      <c r="D27" s="39">
        <v>1180</v>
      </c>
      <c r="E27" s="68">
        <v>11772.6122</v>
      </c>
      <c r="F27" s="43">
        <f t="shared" si="0"/>
        <v>0.89485100406521012</v>
      </c>
    </row>
    <row r="28" spans="1:6" x14ac:dyDescent="0.2">
      <c r="A28" s="39" t="s">
        <v>919</v>
      </c>
      <c r="B28" s="39" t="str">
        <f>IFERROR(VLOOKUP(A28,[1]Bonds!$B$1:$K$2669,10,0),VLOOKUP(A28,[1]CPCD!$B$1:$H$1476,7,0))</f>
        <v>9.90% Shriram Transport Finance Co Ltd (21-Jun-2024) **</v>
      </c>
      <c r="C28" s="39" t="s">
        <v>727</v>
      </c>
      <c r="D28" s="39">
        <v>1300</v>
      </c>
      <c r="E28" s="68">
        <v>11714.585999999999</v>
      </c>
      <c r="F28" s="43">
        <f t="shared" si="0"/>
        <v>0.8904403598980567</v>
      </c>
    </row>
    <row r="29" spans="1:6" x14ac:dyDescent="0.2">
      <c r="A29" s="39" t="s">
        <v>920</v>
      </c>
      <c r="B29" s="39" t="str">
        <f>IFERROR(VLOOKUP(A29,[1]Bonds!$B$1:$K$2669,10,0),VLOOKUP(A29,[1]CPCD!$B$1:$H$1476,7,0))</f>
        <v>12.64% Five-Star Business Finance Ltd (16-Apr-2022) **</v>
      </c>
      <c r="C29" s="39" t="s">
        <v>839</v>
      </c>
      <c r="D29" s="39">
        <v>1150</v>
      </c>
      <c r="E29" s="68">
        <v>11523.8395</v>
      </c>
      <c r="F29" s="43">
        <f t="shared" si="0"/>
        <v>0.87594147943319911</v>
      </c>
    </row>
    <row r="30" spans="1:6" x14ac:dyDescent="0.2">
      <c r="A30" s="39" t="s">
        <v>363</v>
      </c>
      <c r="B30" s="39" t="str">
        <f>IFERROR(VLOOKUP(A30,[1]Bonds!$B$1:$K$2669,10,0),VLOOKUP(A30,[1]CPCD!$B$1:$H$1476,7,0))</f>
        <v>9.70% Coastal Gujarat Power Ltd (25-Aug-2023) **</v>
      </c>
      <c r="C30" s="39" t="s">
        <v>364</v>
      </c>
      <c r="D30" s="39">
        <v>1130</v>
      </c>
      <c r="E30" s="68">
        <v>11361.3703</v>
      </c>
      <c r="F30" s="43">
        <f t="shared" si="0"/>
        <v>0.863591991971982</v>
      </c>
    </row>
    <row r="31" spans="1:6" x14ac:dyDescent="0.2">
      <c r="A31" s="39" t="s">
        <v>921</v>
      </c>
      <c r="B31" s="39" t="str">
        <f>IFERROR(VLOOKUP(A31,[1]Bonds!$B$1:$K$2669,10,0),VLOOKUP(A31,[1]CPCD!$B$1:$H$1476,7,0))</f>
        <v>12.00% Ess Kay Fincorp Limited (01-Aug-2023) **</v>
      </c>
      <c r="C31" s="39" t="s">
        <v>817</v>
      </c>
      <c r="D31" s="39">
        <v>1000</v>
      </c>
      <c r="E31" s="68">
        <v>9907.44</v>
      </c>
      <c r="F31" s="43">
        <f t="shared" si="0"/>
        <v>0.75307692813629123</v>
      </c>
    </row>
    <row r="32" spans="1:6" x14ac:dyDescent="0.2">
      <c r="A32" s="39" t="s">
        <v>922</v>
      </c>
      <c r="B32" s="39" t="str">
        <f>IFERROR(VLOOKUP(A32,[1]Bonds!$B$1:$K$2669,10,0),VLOOKUP(A32,[1]CPCD!$B$1:$H$1476,7,0))</f>
        <v>8.70% Edelweiss Rural &amp; Corporate Services Ltd (30-Jun-2027) **</v>
      </c>
      <c r="C32" s="39" t="s">
        <v>723</v>
      </c>
      <c r="D32" s="39">
        <v>1000</v>
      </c>
      <c r="E32" s="68">
        <v>9579.86</v>
      </c>
      <c r="F32" s="43">
        <f t="shared" si="0"/>
        <v>0.72817716188800852</v>
      </c>
    </row>
    <row r="33" spans="1:6" x14ac:dyDescent="0.2">
      <c r="A33" s="39" t="s">
        <v>368</v>
      </c>
      <c r="B33" s="39" t="str">
        <f>IFERROR(VLOOKUP(A33,[1]Bonds!$B$1:$K$2669,10,0),VLOOKUP(A33,[1]CPCD!$B$1:$H$1476,7,0))</f>
        <v>8.85% Rec Ltd (16-Apr-2029) **</v>
      </c>
      <c r="C33" s="39" t="s">
        <v>361</v>
      </c>
      <c r="D33" s="39">
        <v>890</v>
      </c>
      <c r="E33" s="68">
        <v>9179.3531999999996</v>
      </c>
      <c r="F33" s="43">
        <f t="shared" si="0"/>
        <v>0.69773413819655072</v>
      </c>
    </row>
    <row r="34" spans="1:6" x14ac:dyDescent="0.2">
      <c r="A34" s="39" t="s">
        <v>810</v>
      </c>
      <c r="B34" s="39" t="str">
        <f>IFERROR(VLOOKUP(A34,[1]Bonds!$B$1:$K$2669,10,0),VLOOKUP(A34,[1]CPCD!$B$1:$H$1476,7,0))</f>
        <v>10.15% Uttar Pradesh Power Corp Ltd (20-Jan-2023) **</v>
      </c>
      <c r="C34" s="39" t="s">
        <v>731</v>
      </c>
      <c r="D34" s="39">
        <v>879</v>
      </c>
      <c r="E34" s="68">
        <v>8705.3698800000002</v>
      </c>
      <c r="F34" s="43">
        <f t="shared" si="0"/>
        <v>0.6617060721559348</v>
      </c>
    </row>
    <row r="35" spans="1:6" x14ac:dyDescent="0.2">
      <c r="A35" s="39" t="s">
        <v>923</v>
      </c>
      <c r="B35" s="39" t="str">
        <f>IFERROR(VLOOKUP(A35,[1]Bonds!$B$1:$K$2669,10,0),VLOOKUP(A35,[1]CPCD!$B$1:$H$1476,7,0))</f>
        <v>10.00% Aptus Value Housing Finance India Ltd (20-Jul-2025) **</v>
      </c>
      <c r="C35" s="39" t="s">
        <v>839</v>
      </c>
      <c r="D35" s="39">
        <v>8500</v>
      </c>
      <c r="E35" s="68">
        <v>8184.5649999999996</v>
      </c>
      <c r="F35" s="43">
        <f t="shared" si="0"/>
        <v>0.62211904067365575</v>
      </c>
    </row>
    <row r="36" spans="1:6" x14ac:dyDescent="0.2">
      <c r="A36" s="39" t="s">
        <v>924</v>
      </c>
      <c r="B36" s="39" t="str">
        <f>IFERROR(VLOOKUP(A36,[1]Bonds!$B$1:$K$2669,10,0),VLOOKUP(A36,[1]CPCD!$B$1:$H$1476,7,0))</f>
        <v>10.15% Uttar Pradesh Power Corp Ltd (19-Jan-2024) **</v>
      </c>
      <c r="C36" s="39" t="s">
        <v>731</v>
      </c>
      <c r="D36" s="39">
        <v>822</v>
      </c>
      <c r="E36" s="68">
        <v>8102.6677200000004</v>
      </c>
      <c r="F36" s="43">
        <f t="shared" si="0"/>
        <v>0.61589392580592839</v>
      </c>
    </row>
    <row r="37" spans="1:6" x14ac:dyDescent="0.2">
      <c r="A37" s="39" t="s">
        <v>925</v>
      </c>
      <c r="B37" s="39" t="str">
        <f>IFERROR(VLOOKUP(A37,[1]Bonds!$B$1:$K$2669,10,0),VLOOKUP(A37,[1]CPCD!$B$1:$H$1476,7,0))</f>
        <v>10.15% Uttar Pradesh Power Corp Ltd (20-Jan-2025) **</v>
      </c>
      <c r="C37" s="39" t="s">
        <v>731</v>
      </c>
      <c r="D37" s="39">
        <v>822</v>
      </c>
      <c r="E37" s="68">
        <v>8019.6786000000002</v>
      </c>
      <c r="F37" s="43">
        <f t="shared" si="0"/>
        <v>0.60958581881175689</v>
      </c>
    </row>
    <row r="38" spans="1:6" x14ac:dyDescent="0.2">
      <c r="A38" s="39" t="s">
        <v>926</v>
      </c>
      <c r="B38" s="39" t="str">
        <f>IFERROR(VLOOKUP(A38,[1]Bonds!$B$1:$K$2669,10,0),VLOOKUP(A38,[1]CPCD!$B$1:$H$1476,7,0))</f>
        <v>8.85% Power Finance Corp Ltd (25-May-2029)</v>
      </c>
      <c r="C38" s="39" t="s">
        <v>361</v>
      </c>
      <c r="D38" s="39">
        <v>740</v>
      </c>
      <c r="E38" s="68">
        <v>7646.7012000000004</v>
      </c>
      <c r="F38" s="43">
        <f t="shared" si="0"/>
        <v>0.58123533930784255</v>
      </c>
    </row>
    <row r="39" spans="1:6" x14ac:dyDescent="0.2">
      <c r="A39" s="39" t="s">
        <v>927</v>
      </c>
      <c r="B39" s="39" t="str">
        <f>IFERROR(VLOOKUP(A39,[1]Bonds!$B$1:$K$2669,10,0),VLOOKUP(A39,[1]CPCD!$B$1:$H$1476,7,0))</f>
        <v>12.40% Jm Financial Asset Reconstruction Co Ltd (02-Aug-2021) **</v>
      </c>
      <c r="C39" s="39" t="s">
        <v>723</v>
      </c>
      <c r="D39" s="39">
        <v>760</v>
      </c>
      <c r="E39" s="68">
        <v>7593.8819999999996</v>
      </c>
      <c r="F39" s="43">
        <f t="shared" si="0"/>
        <v>0.57722048573490981</v>
      </c>
    </row>
    <row r="40" spans="1:6" x14ac:dyDescent="0.2">
      <c r="A40" s="39" t="s">
        <v>928</v>
      </c>
      <c r="B40" s="39" t="str">
        <f>IFERROR(VLOOKUP(A40,[1]Bonds!$B$1:$K$2669,10,0),VLOOKUP(A40,[1]CPCD!$B$1:$H$1476,7,0))</f>
        <v>12.64% Five-Star Business Finance Ltd (28-May-2022) **</v>
      </c>
      <c r="C40" s="39" t="s">
        <v>839</v>
      </c>
      <c r="D40" s="39">
        <v>750</v>
      </c>
      <c r="E40" s="68">
        <v>7516.17</v>
      </c>
      <c r="F40" s="43">
        <f t="shared" si="0"/>
        <v>0.57131349924401742</v>
      </c>
    </row>
    <row r="41" spans="1:6" x14ac:dyDescent="0.2">
      <c r="A41" s="39" t="s">
        <v>767</v>
      </c>
      <c r="B41" s="39" t="str">
        <f>IFERROR(VLOOKUP(A41,[1]Bonds!$B$1:$K$2669,10,0),VLOOKUP(A41,[1]CPCD!$B$1:$H$1476,7,0))</f>
        <v>9.00% Edelweiss Rural &amp; Corporate Services Ltd (17-Apr-2020) **</v>
      </c>
      <c r="C41" s="39" t="s">
        <v>723</v>
      </c>
      <c r="D41" s="39">
        <v>730</v>
      </c>
      <c r="E41" s="68">
        <v>7496.5232999999998</v>
      </c>
      <c r="F41" s="43">
        <f t="shared" si="0"/>
        <v>0.56982012896026946</v>
      </c>
    </row>
    <row r="42" spans="1:6" x14ac:dyDescent="0.2">
      <c r="A42" s="39" t="s">
        <v>929</v>
      </c>
      <c r="B42" s="39" t="str">
        <f>IFERROR(VLOOKUP(A42,[1]Bonds!$B$1:$K$2669,10,0),VLOOKUP(A42,[1]CPCD!$B$1:$H$1476,7,0))</f>
        <v>10.15% Uttar Pradesh Power Corp Ltd (20-Jan-2026) **</v>
      </c>
      <c r="C42" s="39" t="s">
        <v>731</v>
      </c>
      <c r="D42" s="39">
        <v>754</v>
      </c>
      <c r="E42" s="68">
        <v>7309.8942800000004</v>
      </c>
      <c r="F42" s="43">
        <f t="shared" si="0"/>
        <v>0.55563422330929557</v>
      </c>
    </row>
    <row r="43" spans="1:6" x14ac:dyDescent="0.2">
      <c r="A43" s="39" t="s">
        <v>930</v>
      </c>
      <c r="B43" s="39" t="str">
        <f>IFERROR(VLOOKUP(A43,[1]Bonds!$B$1:$K$2669,10,0),VLOOKUP(A43,[1]CPCD!$B$1:$H$1476,7,0))</f>
        <v>8.80% Rec Ltd (14-May-2029) **</v>
      </c>
      <c r="C43" s="39" t="s">
        <v>361</v>
      </c>
      <c r="D43" s="39">
        <v>700</v>
      </c>
      <c r="E43" s="68">
        <v>7198.8980000000001</v>
      </c>
      <c r="F43" s="43">
        <f t="shared" si="0"/>
        <v>0.54719725699136113</v>
      </c>
    </row>
    <row r="44" spans="1:6" x14ac:dyDescent="0.2">
      <c r="A44" s="39" t="s">
        <v>931</v>
      </c>
      <c r="B44" s="39" t="str">
        <f>IFERROR(VLOOKUP(A44,[1]Bonds!$B$1:$K$2669,10,0),VLOOKUP(A44,[1]CPCD!$B$1:$H$1476,7,0))</f>
        <v>10.5% Vistaar Financial Services Private Ltd (24-Aug-2025) **</v>
      </c>
      <c r="C44" s="39" t="s">
        <v>804</v>
      </c>
      <c r="D44" s="39">
        <v>690</v>
      </c>
      <c r="E44" s="68">
        <v>6644.1549000000005</v>
      </c>
      <c r="F44" s="43">
        <f t="shared" si="0"/>
        <v>0.50503053888327232</v>
      </c>
    </row>
    <row r="45" spans="1:6" x14ac:dyDescent="0.2">
      <c r="A45" s="39" t="s">
        <v>730</v>
      </c>
      <c r="B45" s="39" t="str">
        <f>IFERROR(VLOOKUP(A45,[1]Bonds!$B$1:$K$2669,10,0),VLOOKUP(A45,[1]CPCD!$B$1:$H$1476,7,0))</f>
        <v>10.15% Uttar Pradesh Power Corp Ltd (20-Jan-2021) **</v>
      </c>
      <c r="C45" s="39" t="s">
        <v>731</v>
      </c>
      <c r="D45" s="39">
        <v>650</v>
      </c>
      <c r="E45" s="68">
        <v>6487.4485000000004</v>
      </c>
      <c r="F45" s="43">
        <f t="shared" si="0"/>
        <v>0.49311908907067725</v>
      </c>
    </row>
    <row r="46" spans="1:6" x14ac:dyDescent="0.2">
      <c r="A46" s="39" t="s">
        <v>932</v>
      </c>
      <c r="B46" s="39" t="str">
        <f>IFERROR(VLOOKUP(A46,[1]Bonds!$B$1:$K$2669,10,0),VLOOKUP(A46,[1]CPCD!$B$1:$H$1476,7,0))</f>
        <v>10.00% Aptus Value Housing Finance India Ltd (24-Jan-2025) **</v>
      </c>
      <c r="C46" s="39" t="s">
        <v>839</v>
      </c>
      <c r="D46" s="39">
        <v>6000</v>
      </c>
      <c r="E46" s="68">
        <v>5801.49</v>
      </c>
      <c r="F46" s="43">
        <f t="shared" si="0"/>
        <v>0.4409785239994804</v>
      </c>
    </row>
    <row r="47" spans="1:6" x14ac:dyDescent="0.2">
      <c r="A47" s="39" t="s">
        <v>933</v>
      </c>
      <c r="B47" s="39" t="str">
        <f>IFERROR(VLOOKUP(A47,[1]Bonds!$B$1:$K$2669,10,0),VLOOKUP(A47,[1]CPCD!$B$1:$H$1476,7,0))</f>
        <v>11.60% Hinduja Leyland Finance Ltd (29-Sep-2024) **</v>
      </c>
      <c r="C47" s="39" t="s">
        <v>721</v>
      </c>
      <c r="D47" s="39">
        <v>550</v>
      </c>
      <c r="E47" s="68">
        <v>5435.3035</v>
      </c>
      <c r="F47" s="43">
        <f t="shared" si="0"/>
        <v>0.41314422931336781</v>
      </c>
    </row>
    <row r="48" spans="1:6" x14ac:dyDescent="0.2">
      <c r="A48" s="39" t="s">
        <v>934</v>
      </c>
      <c r="B48" s="39" t="str">
        <f>IFERROR(VLOOKUP(A48,[1]Bonds!$B$1:$K$2669,10,0),VLOOKUP(A48,[1]CPCD!$B$1:$H$1476,7,0))</f>
        <v>12.64% Five-Star Business Finance Ltd (29-Mar-2022) **</v>
      </c>
      <c r="C48" s="39" t="s">
        <v>839</v>
      </c>
      <c r="D48" s="39">
        <v>500</v>
      </c>
      <c r="E48" s="68">
        <v>5010.3649999999998</v>
      </c>
      <c r="F48" s="43">
        <f t="shared" si="0"/>
        <v>0.38084412149269525</v>
      </c>
    </row>
    <row r="49" spans="1:6" x14ac:dyDescent="0.2">
      <c r="A49" s="39" t="s">
        <v>797</v>
      </c>
      <c r="B49" s="39" t="str">
        <f>IFERROR(VLOOKUP(A49,[1]Bonds!$B$1:$K$2669,10,0),VLOOKUP(A49,[1]CPCD!$B$1:$H$1476,7,0))</f>
        <v>9.70% Xander Finance Pvt Ltd (30-Apr-2021) **</v>
      </c>
      <c r="C49" s="39" t="s">
        <v>740</v>
      </c>
      <c r="D49" s="39">
        <v>500</v>
      </c>
      <c r="E49" s="68">
        <v>4952.37</v>
      </c>
      <c r="F49" s="43">
        <f t="shared" si="0"/>
        <v>0.37643584887663456</v>
      </c>
    </row>
    <row r="50" spans="1:6" x14ac:dyDescent="0.2">
      <c r="A50" s="39" t="s">
        <v>935</v>
      </c>
      <c r="B50" s="39" t="str">
        <f>IFERROR(VLOOKUP(A50,[1]Bonds!$B$1:$K$2669,10,0),VLOOKUP(A50,[1]CPCD!$B$1:$H$1476,7,0))</f>
        <v>10.9007% Ess Kay Fincorp Limited (11-Jun-2021) **</v>
      </c>
      <c r="C50" s="39" t="s">
        <v>781</v>
      </c>
      <c r="D50" s="39">
        <v>500</v>
      </c>
      <c r="E50" s="68">
        <v>4936.5450000000001</v>
      </c>
      <c r="F50" s="43">
        <f t="shared" si="0"/>
        <v>0.37523297079836648</v>
      </c>
    </row>
    <row r="51" spans="1:6" x14ac:dyDescent="0.2">
      <c r="A51" s="39" t="s">
        <v>936</v>
      </c>
      <c r="B51" s="39" t="str">
        <f>IFERROR(VLOOKUP(A51,[1]Bonds!$B$1:$K$2669,10,0),VLOOKUP(A51,[1]CPCD!$B$1:$H$1476,7,0))</f>
        <v>10.9007% Ess Kay Fincorp Limited (11-Jun-2021) **</v>
      </c>
      <c r="C51" s="39" t="s">
        <v>781</v>
      </c>
      <c r="D51" s="39">
        <v>500</v>
      </c>
      <c r="E51" s="68">
        <v>4927.875</v>
      </c>
      <c r="F51" s="43">
        <f t="shared" si="0"/>
        <v>0.37457395323510673</v>
      </c>
    </row>
    <row r="52" spans="1:6" x14ac:dyDescent="0.2">
      <c r="A52" s="39" t="s">
        <v>937</v>
      </c>
      <c r="B52" s="39" t="str">
        <f>IFERROR(VLOOKUP(A52,[1]Bonds!$B$1:$K$2669,10,0),VLOOKUP(A52,[1]CPCD!$B$1:$H$1476,7,0))</f>
        <v>10.4% Vastu Housing Finance Corp Ltd (27-Nov-2025) **</v>
      </c>
      <c r="C52" s="39" t="s">
        <v>781</v>
      </c>
      <c r="D52" s="39">
        <v>500</v>
      </c>
      <c r="E52" s="68">
        <v>4711.5600000000004</v>
      </c>
      <c r="F52" s="43">
        <f t="shared" si="0"/>
        <v>0.35813157904865683</v>
      </c>
    </row>
    <row r="53" spans="1:6" x14ac:dyDescent="0.2">
      <c r="A53" s="39" t="s">
        <v>938</v>
      </c>
      <c r="B53" s="39" t="str">
        <f>IFERROR(VLOOKUP(A53,[1]Bonds!$B$1:$K$2669,10,0),VLOOKUP(A53,[1]CPCD!$B$1:$H$1476,7,0))</f>
        <v>10.30% Vastu Housing Finance Corp Ltd (27-Nov-2025) **</v>
      </c>
      <c r="C53" s="39" t="s">
        <v>781</v>
      </c>
      <c r="D53" s="39">
        <v>500</v>
      </c>
      <c r="E53" s="68">
        <v>4707.32</v>
      </c>
      <c r="F53" s="43">
        <f t="shared" si="0"/>
        <v>0.35780929133605915</v>
      </c>
    </row>
    <row r="54" spans="1:6" x14ac:dyDescent="0.2">
      <c r="A54" s="39" t="s">
        <v>939</v>
      </c>
      <c r="B54" s="39" t="str">
        <f>IFERROR(VLOOKUP(A54,[1]Bonds!$B$1:$K$2669,10,0),VLOOKUP(A54,[1]CPCD!$B$1:$H$1476,7,0))</f>
        <v>9.95% Vastu Housing Finance Corp Ltd (27-Feb-2025) **</v>
      </c>
      <c r="C54" s="39" t="s">
        <v>781</v>
      </c>
      <c r="D54" s="39">
        <v>500</v>
      </c>
      <c r="E54" s="68">
        <v>4688.4549999999999</v>
      </c>
      <c r="F54" s="43">
        <f t="shared" si="0"/>
        <v>0.35637533904875884</v>
      </c>
    </row>
    <row r="55" spans="1:6" x14ac:dyDescent="0.2">
      <c r="A55" s="39" t="s">
        <v>940</v>
      </c>
      <c r="B55" s="39" t="str">
        <f>IFERROR(VLOOKUP(A55,[1]Bonds!$B$1:$K$2669,10,0),VLOOKUP(A55,[1]CPCD!$B$1:$H$1476,7,0))</f>
        <v>9.90% Coastal Gujarat Power Ltd (25-Aug-2028) **</v>
      </c>
      <c r="C55" s="39" t="s">
        <v>364</v>
      </c>
      <c r="D55" s="39">
        <v>460</v>
      </c>
      <c r="E55" s="68">
        <v>4606.7665999999999</v>
      </c>
      <c r="F55" s="43">
        <f t="shared" si="0"/>
        <v>0.35016610141155202</v>
      </c>
    </row>
    <row r="56" spans="1:6" x14ac:dyDescent="0.2">
      <c r="A56" s="39" t="s">
        <v>369</v>
      </c>
      <c r="B56" s="39" t="str">
        <f>IFERROR(VLOOKUP(A56,[1]Bonds!$B$1:$K$2669,10,0),VLOOKUP(A56,[1]CPCD!$B$1:$H$1476,7,0))</f>
        <v>9.45% Vedanta Ltd (17-Aug-2020) **</v>
      </c>
      <c r="C56" s="39" t="s">
        <v>370</v>
      </c>
      <c r="D56" s="39">
        <v>450</v>
      </c>
      <c r="E56" s="68">
        <v>4482.5805</v>
      </c>
      <c r="F56" s="43">
        <f t="shared" si="0"/>
        <v>0.34072656034895399</v>
      </c>
    </row>
    <row r="57" spans="1:6" x14ac:dyDescent="0.2">
      <c r="A57" s="39" t="s">
        <v>941</v>
      </c>
      <c r="B57" s="39" t="str">
        <f>IFERROR(VLOOKUP(A57,[1]Bonds!$B$1:$K$2669,10,0),VLOOKUP(A57,[1]CPCD!$B$1:$H$1476,7,0))</f>
        <v>10.32% Andhra Pradesh Capital Region Development Authority (16-Aug-2026) **</v>
      </c>
      <c r="C57" s="39" t="s">
        <v>731</v>
      </c>
      <c r="D57" s="39">
        <v>2125</v>
      </c>
      <c r="E57" s="68">
        <v>4220.8280000000004</v>
      </c>
      <c r="F57" s="43">
        <f t="shared" si="0"/>
        <v>0.32083042485562829</v>
      </c>
    </row>
    <row r="58" spans="1:6" x14ac:dyDescent="0.2">
      <c r="A58" s="39" t="s">
        <v>942</v>
      </c>
      <c r="B58" s="39" t="str">
        <f>IFERROR(VLOOKUP(A58,[1]Bonds!$B$1:$K$2669,10,0),VLOOKUP(A58,[1]CPCD!$B$1:$H$1476,7,0))</f>
        <v>9.25% Power Finance Corp Ltd (25-Sep-2024) **</v>
      </c>
      <c r="C58" s="39" t="s">
        <v>361</v>
      </c>
      <c r="D58" s="39">
        <v>370</v>
      </c>
      <c r="E58" s="68">
        <v>3811.1590999999999</v>
      </c>
      <c r="F58" s="43">
        <f t="shared" si="0"/>
        <v>0.28969097846332376</v>
      </c>
    </row>
    <row r="59" spans="1:6" x14ac:dyDescent="0.2">
      <c r="A59" s="39" t="s">
        <v>943</v>
      </c>
      <c r="B59" s="39" t="str">
        <f>IFERROR(VLOOKUP(A59,[1]Bonds!$B$1:$K$2669,10,0),VLOOKUP(A59,[1]CPCD!$B$1:$H$1476,7,0))</f>
        <v>11.50% Hinduja Leyland Finance Ltd (31-May-2021) **</v>
      </c>
      <c r="C59" s="39" t="s">
        <v>723</v>
      </c>
      <c r="D59" s="39">
        <v>370</v>
      </c>
      <c r="E59" s="68">
        <v>3707.0965999999999</v>
      </c>
      <c r="F59" s="43">
        <f t="shared" si="0"/>
        <v>0.28178105745101556</v>
      </c>
    </row>
    <row r="60" spans="1:6" x14ac:dyDescent="0.2">
      <c r="A60" s="39" t="s">
        <v>944</v>
      </c>
      <c r="B60" s="39" t="str">
        <f>IFERROR(VLOOKUP(A60,[1]Bonds!$B$1:$K$2669,10,0),VLOOKUP(A60,[1]CPCD!$B$1:$H$1476,7,0))</f>
        <v>8.98% Power Finance Corp Ltd (28-Mar-2029) **</v>
      </c>
      <c r="C60" s="39" t="s">
        <v>361</v>
      </c>
      <c r="D60" s="39">
        <v>350</v>
      </c>
      <c r="E60" s="68">
        <v>3596.1064999999999</v>
      </c>
      <c r="F60" s="43">
        <f t="shared" si="0"/>
        <v>0.27334456088262454</v>
      </c>
    </row>
    <row r="61" spans="1:6" x14ac:dyDescent="0.2">
      <c r="A61" s="39" t="s">
        <v>945</v>
      </c>
      <c r="B61" s="39" t="str">
        <f>IFERROR(VLOOKUP(A61,[1]Bonds!$B$1:$K$2669,10,0),VLOOKUP(A61,[1]CPCD!$B$1:$H$1476,7,0))</f>
        <v>9.75% Uttar Pradesh Power Corp Ltd (20-Oct-2021) **</v>
      </c>
      <c r="C61" s="39" t="s">
        <v>731</v>
      </c>
      <c r="D61" s="39">
        <v>350</v>
      </c>
      <c r="E61" s="68">
        <v>3465.6685000000002</v>
      </c>
      <c r="F61" s="43">
        <f t="shared" si="0"/>
        <v>0.26342980506757635</v>
      </c>
    </row>
    <row r="62" spans="1:6" x14ac:dyDescent="0.2">
      <c r="A62" s="39" t="s">
        <v>946</v>
      </c>
      <c r="B62" s="39" t="str">
        <f>IFERROR(VLOOKUP(A62,[1]Bonds!$B$1:$K$2669,10,0),VLOOKUP(A62,[1]CPCD!$B$1:$H$1476,7,0))</f>
        <v>9.95% Vastu Housing Finance Corp Ltd (27-Feb-2025) **</v>
      </c>
      <c r="C62" s="39" t="s">
        <v>781</v>
      </c>
      <c r="D62" s="39">
        <v>350</v>
      </c>
      <c r="E62" s="68">
        <v>3281.9185000000002</v>
      </c>
      <c r="F62" s="43">
        <f t="shared" si="0"/>
        <v>0.24946273733413121</v>
      </c>
    </row>
    <row r="63" spans="1:6" x14ac:dyDescent="0.2">
      <c r="A63" s="39" t="s">
        <v>746</v>
      </c>
      <c r="B63" s="39" t="str">
        <f>IFERROR(VLOOKUP(A63,[1]Bonds!$B$1:$K$2669,10,0),VLOOKUP(A63,[1]CPCD!$B$1:$H$1476,7,0))</f>
        <v>8.40% Edelweiss Rural &amp; Corporate Services Ltd (26-Oct-2020) **</v>
      </c>
      <c r="C63" s="39" t="s">
        <v>370</v>
      </c>
      <c r="D63" s="39">
        <v>300</v>
      </c>
      <c r="E63" s="68">
        <v>2976.3359999999998</v>
      </c>
      <c r="F63" s="43">
        <f t="shared" si="0"/>
        <v>0.22623502862308087</v>
      </c>
    </row>
    <row r="64" spans="1:6" x14ac:dyDescent="0.2">
      <c r="A64" s="39" t="s">
        <v>807</v>
      </c>
      <c r="B64" s="39" t="str">
        <f>IFERROR(VLOOKUP(A64,[1]Bonds!$B$1:$K$2669,10,0),VLOOKUP(A64,[1]CPCD!$B$1:$H$1476,7,0))</f>
        <v>10.99% Andhra Bank (05-Aug-2021) **</v>
      </c>
      <c r="C64" s="39" t="s">
        <v>735</v>
      </c>
      <c r="D64" s="39">
        <v>272</v>
      </c>
      <c r="E64" s="68">
        <v>2746.8491199999999</v>
      </c>
      <c r="F64" s="43">
        <f t="shared" si="0"/>
        <v>0.20879144333384556</v>
      </c>
    </row>
    <row r="65" spans="1:6" x14ac:dyDescent="0.2">
      <c r="A65" s="39" t="s">
        <v>947</v>
      </c>
      <c r="B65" s="39" t="str">
        <f>IFERROR(VLOOKUP(A65,[1]Bonds!$B$1:$K$2669,10,0),VLOOKUP(A65,[1]CPCD!$B$1:$H$1476,7,0))</f>
        <v>10.90% Punjab &amp; Sindh Bank Ltd (07-May-2022) **</v>
      </c>
      <c r="C65" s="39" t="s">
        <v>718</v>
      </c>
      <c r="D65" s="39">
        <v>272</v>
      </c>
      <c r="E65" s="68">
        <v>2729.5635200000002</v>
      </c>
      <c r="F65" s="43">
        <f t="shared" si="0"/>
        <v>0.2074775432194878</v>
      </c>
    </row>
    <row r="66" spans="1:6" x14ac:dyDescent="0.2">
      <c r="A66" s="39" t="s">
        <v>948</v>
      </c>
      <c r="B66" s="39" t="str">
        <f>IFERROR(VLOOKUP(A66,[1]Bonds!$B$1:$K$2669,10,0),VLOOKUP(A66,[1]CPCD!$B$1:$H$1476,7,0))</f>
        <v>9.75% Jamnagar Utilities &amp; Power Pvt Ltd (02-Aug-2024) **</v>
      </c>
      <c r="C66" s="39" t="s">
        <v>361</v>
      </c>
      <c r="D66" s="39">
        <v>250</v>
      </c>
      <c r="E66" s="68">
        <v>2586.2525000000001</v>
      </c>
      <c r="F66" s="43">
        <f t="shared" si="0"/>
        <v>0.19658429302471711</v>
      </c>
    </row>
    <row r="67" spans="1:6" x14ac:dyDescent="0.2">
      <c r="A67" s="39" t="s">
        <v>764</v>
      </c>
      <c r="B67" s="39" t="str">
        <f>IFERROR(VLOOKUP(A67,[1]Bonds!$B$1:$K$2669,10,0),VLOOKUP(A67,[1]CPCD!$B$1:$H$1476,7,0))</f>
        <v>12.25% DLF Ltd, Series IV (11-Aug-2020) **</v>
      </c>
      <c r="C67" s="39" t="s">
        <v>740</v>
      </c>
      <c r="D67" s="39">
        <v>5</v>
      </c>
      <c r="E67" s="68">
        <v>2541.88</v>
      </c>
      <c r="F67" s="43">
        <f t="shared" si="0"/>
        <v>0.19321148370225566</v>
      </c>
    </row>
    <row r="68" spans="1:6" x14ac:dyDescent="0.2">
      <c r="A68" s="39" t="s">
        <v>949</v>
      </c>
      <c r="B68" s="39" t="str">
        <f>IFERROR(VLOOKUP(A68,[1]Bonds!$B$1:$K$2669,10,0),VLOOKUP(A68,[1]CPCD!$B$1:$H$1476,7,0))</f>
        <v>10.00% Aptus Value Housing Finance India Ltd (26-Dec-2024) **</v>
      </c>
      <c r="C68" s="39" t="s">
        <v>839</v>
      </c>
      <c r="D68" s="39">
        <v>2500</v>
      </c>
      <c r="E68" s="68">
        <v>2426.2674999999999</v>
      </c>
      <c r="F68" s="43">
        <f t="shared" si="0"/>
        <v>0.18442363271813092</v>
      </c>
    </row>
    <row r="69" spans="1:6" x14ac:dyDescent="0.2">
      <c r="A69" s="39" t="s">
        <v>950</v>
      </c>
      <c r="B69" s="39" t="str">
        <f>IFERROR(VLOOKUP(A69,[1]Bonds!$B$1:$K$2669,10,0),VLOOKUP(A69,[1]CPCD!$B$1:$H$1476,7,0))</f>
        <v>8.45% Edelweiss Rural &amp; Corporate Services Ltd (11-Aug-2020) **</v>
      </c>
      <c r="C69" s="39" t="s">
        <v>723</v>
      </c>
      <c r="D69" s="39">
        <v>250</v>
      </c>
      <c r="E69" s="68">
        <v>2367.5149999999999</v>
      </c>
      <c r="F69" s="43">
        <f t="shared" si="0"/>
        <v>0.17995778157794462</v>
      </c>
    </row>
    <row r="70" spans="1:6" x14ac:dyDescent="0.2">
      <c r="A70" s="39" t="s">
        <v>951</v>
      </c>
      <c r="B70" s="39" t="str">
        <f>IFERROR(VLOOKUP(A70,[1]Bonds!$B$1:$K$2669,10,0),VLOOKUP(A70,[1]CPCD!$B$1:$H$1476,7,0))</f>
        <v>10.21% Five-Star Business Finance Ltd (28-Mar-2023) **</v>
      </c>
      <c r="C70" s="39" t="s">
        <v>750</v>
      </c>
      <c r="D70" s="39">
        <v>240</v>
      </c>
      <c r="E70" s="68">
        <v>2236.0344</v>
      </c>
      <c r="F70" s="43">
        <f t="shared" si="0"/>
        <v>0.16996377643054866</v>
      </c>
    </row>
    <row r="71" spans="1:6" x14ac:dyDescent="0.2">
      <c r="A71" s="39" t="s">
        <v>952</v>
      </c>
      <c r="B71" s="39" t="str">
        <f>IFERROR(VLOOKUP(A71,[1]Bonds!$B$1:$K$2669,10,0),VLOOKUP(A71,[1]CPCD!$B$1:$H$1476,7,0))</f>
        <v>11.50% Jm Financial Asset Reconstruction Co Ltd (29-May-2022) **</v>
      </c>
      <c r="C71" s="39" t="s">
        <v>723</v>
      </c>
      <c r="D71" s="39">
        <v>200</v>
      </c>
      <c r="E71" s="68">
        <v>1936.52</v>
      </c>
      <c r="F71" s="43">
        <f t="shared" si="0"/>
        <v>0.14719731160365246</v>
      </c>
    </row>
    <row r="72" spans="1:6" x14ac:dyDescent="0.2">
      <c r="A72" s="39" t="s">
        <v>953</v>
      </c>
      <c r="B72" s="39" t="str">
        <f>IFERROR(VLOOKUP(A72,[1]Bonds!$B$1:$K$2669,10,0),VLOOKUP(A72,[1]CPCD!$B$1:$H$1476,7,0))</f>
        <v>10.00% Aptus Value Housing Finance India Ltd (26-Feb-2025) **</v>
      </c>
      <c r="C72" s="39" t="s">
        <v>839</v>
      </c>
      <c r="D72" s="39">
        <v>2000</v>
      </c>
      <c r="E72" s="68">
        <v>1932.422</v>
      </c>
      <c r="F72" s="43">
        <f t="shared" si="0"/>
        <v>0.14688581748897678</v>
      </c>
    </row>
    <row r="73" spans="1:6" x14ac:dyDescent="0.2">
      <c r="A73" s="39" t="s">
        <v>954</v>
      </c>
      <c r="B73" s="39" t="str">
        <f>IFERROR(VLOOKUP(A73,[1]Bonds!$B$1:$K$2669,10,0),VLOOKUP(A73,[1]CPCD!$B$1:$H$1476,7,0))</f>
        <v>9.40% Hinduja Leyland Finance Ltd (28-Aug-2024) **</v>
      </c>
      <c r="C73" s="39" t="s">
        <v>721</v>
      </c>
      <c r="D73" s="39">
        <v>200</v>
      </c>
      <c r="E73" s="68">
        <v>1826.028</v>
      </c>
      <c r="F73" s="43">
        <f t="shared" ref="F73:F98" si="1">IF((E73/$E$170*100)&lt;0.01,"0.00*",E73/$E$170*100)</f>
        <v>0.1387986762403664</v>
      </c>
    </row>
    <row r="74" spans="1:6" x14ac:dyDescent="0.2">
      <c r="A74" s="39" t="s">
        <v>955</v>
      </c>
      <c r="B74" s="39" t="str">
        <f>IFERROR(VLOOKUP(A74,[1]Bonds!$B$1:$K$2669,10,0),VLOOKUP(A74,[1]CPCD!$B$1:$H$1476,7,0))</f>
        <v>8.30% Rec Ltd (25-Jun-2029) **</v>
      </c>
      <c r="C74" s="39" t="s">
        <v>361</v>
      </c>
      <c r="D74" s="39">
        <v>160</v>
      </c>
      <c r="E74" s="68">
        <v>1594.0016000000001</v>
      </c>
      <c r="F74" s="43">
        <f t="shared" si="1"/>
        <v>0.12116205885398582</v>
      </c>
    </row>
    <row r="75" spans="1:6" x14ac:dyDescent="0.2">
      <c r="A75" s="39" t="s">
        <v>956</v>
      </c>
      <c r="B75" s="39" t="str">
        <f>IFERROR(VLOOKUP(A75,[1]Bonds!$B$1:$K$2669,10,0),VLOOKUP(A75,[1]CPCD!$B$1:$H$1476,7,0))</f>
        <v>8.56% Rec Ltd (29-Nov-2028) **</v>
      </c>
      <c r="C75" s="39" t="s">
        <v>361</v>
      </c>
      <c r="D75" s="39">
        <v>150</v>
      </c>
      <c r="E75" s="68">
        <v>1535.904</v>
      </c>
      <c r="F75" s="43">
        <f t="shared" si="1"/>
        <v>0.11674598748337028</v>
      </c>
    </row>
    <row r="76" spans="1:6" x14ac:dyDescent="0.2">
      <c r="A76" s="39" t="s">
        <v>957</v>
      </c>
      <c r="B76" s="39" t="str">
        <f>IFERROR(VLOOKUP(A76,[1]Bonds!$B$1:$K$2669,10,0),VLOOKUP(A76,[1]CPCD!$B$1:$H$1476,7,0))</f>
        <v>12.64% Five-Star Business Finance Ltd (28-Jun-2022) **</v>
      </c>
      <c r="C76" s="39" t="s">
        <v>839</v>
      </c>
      <c r="D76" s="39">
        <v>150</v>
      </c>
      <c r="E76" s="68">
        <v>1503.2670000000001</v>
      </c>
      <c r="F76" s="43">
        <f t="shared" si="1"/>
        <v>0.11426520822015154</v>
      </c>
    </row>
    <row r="77" spans="1:6" x14ac:dyDescent="0.2">
      <c r="A77" s="39" t="s">
        <v>958</v>
      </c>
      <c r="B77" s="39" t="str">
        <f>IFERROR(VLOOKUP(A77,[1]Bonds!$B$1:$K$2669,10,0),VLOOKUP(A77,[1]CPCD!$B$1:$H$1476,7,0))</f>
        <v>11.10% Hinduja Leyland Finance Ltd (08-Apr-2022) **</v>
      </c>
      <c r="C77" s="39" t="s">
        <v>721</v>
      </c>
      <c r="D77" s="39">
        <v>150</v>
      </c>
      <c r="E77" s="68">
        <v>1487.7809999999999</v>
      </c>
      <c r="F77" s="43">
        <f t="shared" si="1"/>
        <v>0.11308809795664063</v>
      </c>
    </row>
    <row r="78" spans="1:6" x14ac:dyDescent="0.2">
      <c r="A78" s="39" t="s">
        <v>758</v>
      </c>
      <c r="B78" s="39" t="str">
        <f>IFERROR(VLOOKUP(A78,[1]Bonds!$B$1:$K$2669,10,0),VLOOKUP(A78,[1]CPCD!$B$1:$H$1476,7,0))</f>
        <v>8.68% Vedanta Ltd (20-Apr-2020)</v>
      </c>
      <c r="C78" s="39" t="s">
        <v>370</v>
      </c>
      <c r="D78" s="39">
        <v>150</v>
      </c>
      <c r="E78" s="68">
        <v>1487.2349999999999</v>
      </c>
      <c r="F78" s="43">
        <f t="shared" si="1"/>
        <v>0.11304659581251837</v>
      </c>
    </row>
    <row r="79" spans="1:6" x14ac:dyDescent="0.2">
      <c r="A79" s="39" t="s">
        <v>959</v>
      </c>
      <c r="B79" s="39" t="str">
        <f>IFERROR(VLOOKUP(A79,[1]Bonds!$B$1:$K$2669,10,0),VLOOKUP(A79,[1]CPCD!$B$1:$H$1476,7,0))</f>
        <v>11.25% Syndicate Bank (15-Jul-2021) **</v>
      </c>
      <c r="C79" s="39" t="s">
        <v>718</v>
      </c>
      <c r="D79" s="39">
        <v>140</v>
      </c>
      <c r="E79" s="68">
        <v>1415.7164</v>
      </c>
      <c r="F79" s="43">
        <f t="shared" si="1"/>
        <v>0.10761037741577734</v>
      </c>
    </row>
    <row r="80" spans="1:6" x14ac:dyDescent="0.2">
      <c r="A80" s="39" t="s">
        <v>960</v>
      </c>
      <c r="B80" s="39" t="str">
        <f>IFERROR(VLOOKUP(A80,[1]Bonds!$B$1:$K$2669,10,0),VLOOKUP(A80,[1]CPCD!$B$1:$H$1476,7,0))</f>
        <v>9.85% DCB Bank Ltd (18-Nov-2026) **</v>
      </c>
      <c r="C80" s="39" t="s">
        <v>740</v>
      </c>
      <c r="D80" s="39">
        <v>1400</v>
      </c>
      <c r="E80" s="68">
        <v>1367.3268</v>
      </c>
      <c r="F80" s="43">
        <f t="shared" si="1"/>
        <v>0.10393222328900555</v>
      </c>
    </row>
    <row r="81" spans="1:6" x14ac:dyDescent="0.2">
      <c r="A81" s="39" t="s">
        <v>961</v>
      </c>
      <c r="B81" s="39" t="str">
        <f>IFERROR(VLOOKUP(A81,[1]Bonds!$B$1:$K$2669,10,0),VLOOKUP(A81,[1]CPCD!$B$1:$H$1476,7,0))</f>
        <v>9.73% Tata Motors Ltd (01-Oct-2020) **</v>
      </c>
      <c r="C81" s="39" t="s">
        <v>721</v>
      </c>
      <c r="D81" s="39">
        <v>100</v>
      </c>
      <c r="E81" s="68">
        <v>1007.362</v>
      </c>
      <c r="F81" s="43">
        <f t="shared" si="1"/>
        <v>7.6570847815503357E-2</v>
      </c>
    </row>
    <row r="82" spans="1:6" x14ac:dyDescent="0.2">
      <c r="A82" s="39" t="s">
        <v>962</v>
      </c>
      <c r="B82" s="39" t="str">
        <f>IFERROR(VLOOKUP(A82,[1]Bonds!$B$1:$K$2669,10,0),VLOOKUP(A82,[1]CPCD!$B$1:$H$1476,7,0))</f>
        <v>12.00% Hinduja Leyland Finance Ltd (28-Mar-2021) **</v>
      </c>
      <c r="C82" s="39" t="s">
        <v>753</v>
      </c>
      <c r="D82" s="39">
        <v>100</v>
      </c>
      <c r="E82" s="68">
        <v>1007.064</v>
      </c>
      <c r="F82" s="43">
        <f t="shared" si="1"/>
        <v>7.6548196462117968E-2</v>
      </c>
    </row>
    <row r="83" spans="1:6" x14ac:dyDescent="0.2">
      <c r="A83" s="39" t="s">
        <v>963</v>
      </c>
      <c r="B83" s="39" t="str">
        <f>IFERROR(VLOOKUP(A83,[1]Bonds!$B$1:$K$2669,10,0),VLOOKUP(A83,[1]CPCD!$B$1:$H$1476,7,0))</f>
        <v>7.75% Talwandi Sabo Power Ltd (20-Sep-2019) **</v>
      </c>
      <c r="C83" s="39" t="s">
        <v>760</v>
      </c>
      <c r="D83" s="39">
        <v>100</v>
      </c>
      <c r="E83" s="68">
        <v>999.88866670000004</v>
      </c>
      <c r="F83" s="43">
        <f t="shared" si="1"/>
        <v>7.6002790387499491E-2</v>
      </c>
    </row>
    <row r="84" spans="1:6" x14ac:dyDescent="0.2">
      <c r="A84" s="39" t="s">
        <v>964</v>
      </c>
      <c r="B84" s="39" t="str">
        <f>IFERROR(VLOOKUP(A84,[1]Bonds!$B$1:$K$2669,10,0),VLOOKUP(A84,[1]CPCD!$B$1:$H$1476,7,0))</f>
        <v>8.94% Power Finance Corp Ltd (25-Mar-2028) **</v>
      </c>
      <c r="C84" s="39" t="s">
        <v>361</v>
      </c>
      <c r="D84" s="39">
        <v>80</v>
      </c>
      <c r="E84" s="68">
        <v>827.80399999999997</v>
      </c>
      <c r="F84" s="43">
        <f t="shared" si="1"/>
        <v>6.2922419254513209E-2</v>
      </c>
    </row>
    <row r="85" spans="1:6" x14ac:dyDescent="0.2">
      <c r="A85" s="39" t="s">
        <v>733</v>
      </c>
      <c r="B85" s="39" t="str">
        <f>IFERROR(VLOOKUP(A85,[1]Bonds!$B$1:$K$2669,10,0),VLOOKUP(A85,[1]CPCD!$B$1:$H$1476,7,0))</f>
        <v>9.75% Uttar Pradesh Power Corp Ltd (20-Oct-2020) **</v>
      </c>
      <c r="C85" s="39" t="s">
        <v>731</v>
      </c>
      <c r="D85" s="39">
        <v>76</v>
      </c>
      <c r="E85" s="68">
        <v>757.13631999999996</v>
      </c>
      <c r="F85" s="43">
        <f t="shared" si="1"/>
        <v>5.7550880353150355E-2</v>
      </c>
    </row>
    <row r="86" spans="1:6" x14ac:dyDescent="0.2">
      <c r="A86" s="39" t="s">
        <v>965</v>
      </c>
      <c r="B86" s="39" t="str">
        <f>IFERROR(VLOOKUP(A86,[1]Bonds!$B$1:$K$2669,10,0),VLOOKUP(A86,[1]CPCD!$B$1:$H$1476,7,0))</f>
        <v>8.00% Reliance Jio Infocomm Limited (16-Apr-2023) **</v>
      </c>
      <c r="C86" s="39" t="s">
        <v>361</v>
      </c>
      <c r="D86" s="39">
        <v>63</v>
      </c>
      <c r="E86" s="68">
        <v>623.02652999999998</v>
      </c>
      <c r="F86" s="43">
        <f t="shared" si="1"/>
        <v>4.7357027179555249E-2</v>
      </c>
    </row>
    <row r="87" spans="1:6" x14ac:dyDescent="0.2">
      <c r="A87" s="39" t="s">
        <v>966</v>
      </c>
      <c r="B87" s="39" t="str">
        <f>IFERROR(VLOOKUP(A87,[1]Bonds!$B$1:$K$2669,10,0),VLOOKUP(A87,[1]CPCD!$B$1:$H$1476,7,0))</f>
        <v>10.15% Uttar Pradesh Power Corp Ltd (20-Jan-2027) **</v>
      </c>
      <c r="C87" s="39" t="s">
        <v>731</v>
      </c>
      <c r="D87" s="39">
        <v>62</v>
      </c>
      <c r="E87" s="68">
        <v>598.96277999999995</v>
      </c>
      <c r="F87" s="43">
        <f t="shared" si="1"/>
        <v>4.5527911390871222E-2</v>
      </c>
    </row>
    <row r="88" spans="1:6" x14ac:dyDescent="0.2">
      <c r="A88" s="39" t="s">
        <v>967</v>
      </c>
      <c r="B88" s="39" t="str">
        <f>IFERROR(VLOOKUP(A88,[1]Bonds!$B$1:$K$2669,10,0),VLOOKUP(A88,[1]CPCD!$B$1:$H$1476,7,0))</f>
        <v>10.15% Uttar Pradesh Power Corp Ltd (20-Jan-2028) **</v>
      </c>
      <c r="C88" s="39" t="s">
        <v>731</v>
      </c>
      <c r="D88" s="39">
        <v>62</v>
      </c>
      <c r="E88" s="68">
        <v>597.21190000000001</v>
      </c>
      <c r="F88" s="43">
        <f t="shared" si="1"/>
        <v>4.5394824808269132E-2</v>
      </c>
    </row>
    <row r="89" spans="1:6" x14ac:dyDescent="0.2">
      <c r="A89" s="39" t="s">
        <v>968</v>
      </c>
      <c r="B89" s="39" t="str">
        <f>IFERROR(VLOOKUP(A89,[1]Bonds!$B$1:$K$2669,10,0),VLOOKUP(A89,[1]CPCD!$B$1:$H$1476,7,0))</f>
        <v>8.50% Bank Of Baroda (02-Dec-2021) **</v>
      </c>
      <c r="C89" s="39" t="s">
        <v>737</v>
      </c>
      <c r="D89" s="39">
        <v>55</v>
      </c>
      <c r="E89" s="68">
        <v>541.54319999999996</v>
      </c>
      <c r="F89" s="43">
        <f t="shared" si="1"/>
        <v>4.1163377169995186E-2</v>
      </c>
    </row>
    <row r="90" spans="1:6" x14ac:dyDescent="0.2">
      <c r="A90" s="39" t="s">
        <v>969</v>
      </c>
      <c r="B90" s="39" t="str">
        <f>IFERROR(VLOOKUP(A90,[1]Bonds!$B$1:$K$2669,10,0),VLOOKUP(A90,[1]CPCD!$B$1:$H$1476,7,0))</f>
        <v>11.30% Hinduja Leyland Finance Ltd (21-Jul-2021) **</v>
      </c>
      <c r="C90" s="39" t="s">
        <v>723</v>
      </c>
      <c r="D90" s="39">
        <v>50</v>
      </c>
      <c r="E90" s="68">
        <v>499.25650000000002</v>
      </c>
      <c r="F90" s="43">
        <f t="shared" si="1"/>
        <v>3.7949112118980916E-2</v>
      </c>
    </row>
    <row r="91" spans="1:6" x14ac:dyDescent="0.2">
      <c r="A91" s="39" t="s">
        <v>970</v>
      </c>
      <c r="B91" s="39" t="str">
        <f>IFERROR(VLOOKUP(A91,[1]Bonds!$B$1:$K$2669,10,0),VLOOKUP(A91,[1]CPCD!$B$1:$H$1476,7,0))</f>
        <v>10.21% Five-Star Business Finance Ltd (28-Mar-2023) **</v>
      </c>
      <c r="C91" s="39" t="s">
        <v>750</v>
      </c>
      <c r="D91" s="39">
        <v>50</v>
      </c>
      <c r="E91" s="68">
        <v>465.84300000000002</v>
      </c>
      <c r="F91" s="43">
        <f t="shared" si="1"/>
        <v>3.5409310117830071E-2</v>
      </c>
    </row>
    <row r="92" spans="1:6" x14ac:dyDescent="0.2">
      <c r="A92" s="39" t="s">
        <v>971</v>
      </c>
      <c r="B92" s="39" t="str">
        <f>IFERROR(VLOOKUP(A92,[1]Bonds!$B$1:$K$2669,10,0),VLOOKUP(A92,[1]CPCD!$B$1:$H$1476,7,0))</f>
        <v>8.15% National Bank For Agriculture And Rural Development (04-Mar-2020) **</v>
      </c>
      <c r="C92" s="39" t="s">
        <v>361</v>
      </c>
      <c r="D92" s="39">
        <v>37</v>
      </c>
      <c r="E92" s="68">
        <v>372.98737999999997</v>
      </c>
      <c r="F92" s="43">
        <f t="shared" si="1"/>
        <v>2.8351238096218957E-2</v>
      </c>
    </row>
    <row r="93" spans="1:6" x14ac:dyDescent="0.2">
      <c r="A93" s="39" t="s">
        <v>972</v>
      </c>
      <c r="B93" s="39" t="str">
        <f>IFERROR(VLOOKUP(A93,[1]Bonds!$B$1:$K$2669,10,0),VLOOKUP(A93,[1]CPCD!$B$1:$H$1476,7,0))</f>
        <v>8.87% Rec Ltd (08-Mar-2020) **</v>
      </c>
      <c r="C93" s="39" t="s">
        <v>973</v>
      </c>
      <c r="D93" s="39">
        <v>36</v>
      </c>
      <c r="E93" s="68">
        <v>364.25988000000001</v>
      </c>
      <c r="F93" s="43">
        <f t="shared" si="1"/>
        <v>2.7687849885913423E-2</v>
      </c>
    </row>
    <row r="94" spans="1:6" x14ac:dyDescent="0.2">
      <c r="A94" s="39" t="s">
        <v>365</v>
      </c>
      <c r="B94" s="39" t="str">
        <f>IFERROR(VLOOKUP(A94,[1]Bonds!$B$1:$K$2669,10,0),VLOOKUP(A94,[1]CPCD!$B$1:$H$1476,7,0))</f>
        <v>7.50% Power Finance Corp Ltd (17-Sep-2020) **</v>
      </c>
      <c r="C94" s="39" t="s">
        <v>361</v>
      </c>
      <c r="D94" s="39">
        <v>30</v>
      </c>
      <c r="E94" s="68">
        <v>301.2183</v>
      </c>
      <c r="F94" s="43">
        <f t="shared" si="1"/>
        <v>2.2895980400833696E-2</v>
      </c>
    </row>
    <row r="95" spans="1:6" x14ac:dyDescent="0.2">
      <c r="A95" s="39" t="s">
        <v>974</v>
      </c>
      <c r="B95" s="39" t="str">
        <f>IFERROR(VLOOKUP(A95,[1]Bonds!$B$1:$K$2669,10,0),VLOOKUP(A95,[1]CPCD!$B$1:$H$1476,7,0))</f>
        <v>9.30% Fullerton India Credit Co Ltd (15-Mar-2021) **</v>
      </c>
      <c r="C95" s="39" t="s">
        <v>361</v>
      </c>
      <c r="D95" s="39">
        <v>28</v>
      </c>
      <c r="E95" s="68">
        <v>280.2226</v>
      </c>
      <c r="F95" s="43">
        <f t="shared" si="1"/>
        <v>2.1300070936827745E-2</v>
      </c>
    </row>
    <row r="96" spans="1:6" x14ac:dyDescent="0.2">
      <c r="A96" s="39" t="s">
        <v>975</v>
      </c>
      <c r="B96" s="39" t="str">
        <f>IFERROR(VLOOKUP(A96,[1]Bonds!$B$1:$K$2669,10,0),VLOOKUP(A96,[1]CPCD!$B$1:$H$1476,7,0))</f>
        <v>8.39% National Bank For Agriculture And Rural Development (19-Jul-2021) **</v>
      </c>
      <c r="C96" s="39" t="s">
        <v>361</v>
      </c>
      <c r="D96" s="39">
        <v>20</v>
      </c>
      <c r="E96" s="68">
        <v>205.12799999999999</v>
      </c>
      <c r="F96" s="43">
        <f t="shared" si="1"/>
        <v>1.5592036299461931E-2</v>
      </c>
    </row>
    <row r="97" spans="1:7" x14ac:dyDescent="0.2">
      <c r="A97" s="39" t="s">
        <v>976</v>
      </c>
      <c r="B97" s="39" t="str">
        <f>IFERROR(VLOOKUP(A97,[1]Bonds!$B$1:$K$2669,10,0),VLOOKUP(A97,[1]CPCD!$B$1:$H$1476,7,0))</f>
        <v>0.00% Mahindra &amp; Mahindra Financial Services Ltd (07-Apr-2021) **</v>
      </c>
      <c r="C97" s="39" t="s">
        <v>977</v>
      </c>
      <c r="D97" s="39">
        <v>18</v>
      </c>
      <c r="E97" s="68">
        <v>202.37291999999999</v>
      </c>
      <c r="F97" s="43">
        <f t="shared" si="1"/>
        <v>1.5382619216626234E-2</v>
      </c>
    </row>
    <row r="98" spans="1:7" x14ac:dyDescent="0.2">
      <c r="A98" s="39" t="s">
        <v>978</v>
      </c>
      <c r="B98" s="39" t="str">
        <f>IFERROR(VLOOKUP(A98,[1]Bonds!$B$1:$K$2669,10,0),VLOOKUP(A98,[1]CPCD!$B$1:$H$1476,7,0))</f>
        <v>8.32% Reliance Jio Infocomm Limited (08-Jul-2021) **</v>
      </c>
      <c r="C98" s="39" t="s">
        <v>361</v>
      </c>
      <c r="D98" s="39">
        <v>17</v>
      </c>
      <c r="E98" s="68">
        <v>171.69829999999999</v>
      </c>
      <c r="F98" s="43">
        <f t="shared" si="1"/>
        <v>1.3051002916012952E-2</v>
      </c>
    </row>
    <row r="99" spans="1:7" x14ac:dyDescent="0.2">
      <c r="A99" s="39" t="s">
        <v>979</v>
      </c>
      <c r="B99" s="39" t="str">
        <f>IFERROR(VLOOKUP(A99,[1]Bonds!$B$1:$K$2669,10,0),VLOOKUP(A99,[1]CPCD!$B$1:$H$1476,7,0))</f>
        <v>7.78% Housing Development Finance Corp Ltd (24-Mar-2020) **</v>
      </c>
      <c r="C99" s="39" t="s">
        <v>361</v>
      </c>
      <c r="D99" s="39">
        <v>1</v>
      </c>
      <c r="E99" s="68">
        <v>100.65689999999999</v>
      </c>
      <c r="F99" s="43">
        <v>7.6510570891897244E-3</v>
      </c>
      <c r="G99" s="73"/>
    </row>
    <row r="100" spans="1:7" x14ac:dyDescent="0.2">
      <c r="A100" s="39" t="s">
        <v>980</v>
      </c>
      <c r="B100" s="39" t="str">
        <f>IFERROR(VLOOKUP(A100,[1]Bonds!$B$1:$K$2669,10,0),VLOOKUP(A100,[1]CPCD!$B$1:$H$1476,7,0))</f>
        <v>10.49% Bank Of Baroda (17-Jan-2022) **</v>
      </c>
      <c r="C100" s="39" t="s">
        <v>737</v>
      </c>
      <c r="D100" s="39">
        <v>9</v>
      </c>
      <c r="E100" s="68">
        <v>92.187989999999999</v>
      </c>
      <c r="F100" s="43">
        <v>7.0073246287899937E-3</v>
      </c>
      <c r="G100" s="73"/>
    </row>
    <row r="101" spans="1:7" x14ac:dyDescent="0.2">
      <c r="A101" s="39" t="s">
        <v>798</v>
      </c>
      <c r="B101" s="39" t="str">
        <f>IFERROR(VLOOKUP(A101,[1]Bonds!$B$1:$K$2669,10,0),VLOOKUP(A101,[1]CPCD!$B$1:$H$1476,7,0))</f>
        <v>9.10% Shriram Transport Finance Co Ltd (12-Jul-2021) **</v>
      </c>
      <c r="C101" s="39" t="s">
        <v>727</v>
      </c>
      <c r="D101" s="39">
        <v>4000</v>
      </c>
      <c r="E101" s="68">
        <v>37.837159999999997</v>
      </c>
      <c r="F101" s="43" t="s">
        <v>611</v>
      </c>
      <c r="G101" s="73"/>
    </row>
    <row r="102" spans="1:7" x14ac:dyDescent="0.2">
      <c r="A102" s="38" t="s">
        <v>44</v>
      </c>
      <c r="B102" s="39"/>
      <c r="C102" s="39"/>
      <c r="D102" s="39"/>
      <c r="E102" s="69">
        <f>SUM(E8:E101)</f>
        <v>841613.92371669994</v>
      </c>
      <c r="F102" s="69">
        <f>SUM(F8:F101)+0.01</f>
        <v>63.979252809714851</v>
      </c>
    </row>
    <row r="103" spans="1:7" x14ac:dyDescent="0.2">
      <c r="A103" s="39"/>
      <c r="B103" s="39"/>
      <c r="C103" s="39"/>
      <c r="D103" s="39"/>
      <c r="E103" s="68"/>
      <c r="F103" s="68"/>
    </row>
    <row r="104" spans="1:7" x14ac:dyDescent="0.2">
      <c r="A104" s="38" t="s">
        <v>815</v>
      </c>
      <c r="B104" s="39"/>
      <c r="C104" s="39"/>
      <c r="D104" s="39"/>
      <c r="E104" s="68"/>
      <c r="F104" s="68"/>
    </row>
    <row r="105" spans="1:7" x14ac:dyDescent="0.2">
      <c r="A105" s="39" t="s">
        <v>981</v>
      </c>
      <c r="B105" s="39" t="str">
        <f>IFERROR(VLOOKUP(A105,[1]Bonds!$B$1:$K$2669,10,0),VLOOKUP(A105,[1]CPCD!$B$1:$H$1476,7,0))</f>
        <v>0.00% Adani Rail Infra Private Limited (28-Apr-2023) **</v>
      </c>
      <c r="C105" s="39" t="s">
        <v>856</v>
      </c>
      <c r="D105" s="39">
        <v>480</v>
      </c>
      <c r="E105" s="68">
        <v>53613.792000000001</v>
      </c>
      <c r="F105" s="43">
        <f t="shared" ref="F105:F161" si="2">IF((E105/$E$170*100)&lt;0.01,"0.00*",E105/$E$170*100)</f>
        <v>4.0752515064535411</v>
      </c>
    </row>
    <row r="106" spans="1:7" x14ac:dyDescent="0.2">
      <c r="A106" s="39" t="s">
        <v>982</v>
      </c>
      <c r="B106" s="39" t="str">
        <f>IFERROR(VLOOKUP(A106,[1]Bonds!$B$1:$K$2669,10,0),VLOOKUP(A106,[1]CPCD!$B$1:$H$1476,7,0))</f>
        <v>11.90% Rishanth Wholesale Trading Private Ltd (20-Oct-2023) **</v>
      </c>
      <c r="C106" s="39" t="s">
        <v>983</v>
      </c>
      <c r="D106" s="39">
        <v>350</v>
      </c>
      <c r="E106" s="68">
        <v>35250.18</v>
      </c>
      <c r="F106" s="43">
        <f t="shared" si="2"/>
        <v>2.6794103492578638</v>
      </c>
    </row>
    <row r="107" spans="1:7" x14ac:dyDescent="0.2">
      <c r="A107" s="39" t="s">
        <v>818</v>
      </c>
      <c r="B107" s="39" t="str">
        <f>IFERROR(VLOOKUP(A107,[1]Bonds!$B$1:$K$2669,10,0),VLOOKUP(A107,[1]CPCD!$B$1:$H$1476,7,0))</f>
        <v>0.00% Dolvi Minerals And Metals Pvt Limited (22-Oct-2019) **</v>
      </c>
      <c r="C107" s="39" t="s">
        <v>819</v>
      </c>
      <c r="D107" s="39">
        <v>1830</v>
      </c>
      <c r="E107" s="68">
        <v>32805.495000000003</v>
      </c>
      <c r="F107" s="43">
        <f t="shared" si="2"/>
        <v>2.4935867792881372</v>
      </c>
    </row>
    <row r="108" spans="1:7" x14ac:dyDescent="0.2">
      <c r="A108" s="39" t="s">
        <v>984</v>
      </c>
      <c r="B108" s="39" t="str">
        <f>IFERROR(VLOOKUP(A108,[1]Bonds!$B$1:$K$2669,10,0),VLOOKUP(A108,[1]CPCD!$B$1:$H$1476,7,0))</f>
        <v>11.50% S D Corporation Private Ltd (03-Jun-2022) **</v>
      </c>
      <c r="C108" s="39" t="s">
        <v>364</v>
      </c>
      <c r="D108" s="39">
        <v>2450</v>
      </c>
      <c r="E108" s="68">
        <v>24575.0435</v>
      </c>
      <c r="F108" s="43">
        <f t="shared" si="2"/>
        <v>1.8679798482550216</v>
      </c>
    </row>
    <row r="109" spans="1:7" x14ac:dyDescent="0.2">
      <c r="A109" s="39" t="s">
        <v>985</v>
      </c>
      <c r="B109" s="39" t="str">
        <f>IFERROR(VLOOKUP(A109,[1]Bonds!$B$1:$K$2669,10,0),VLOOKUP(A109,[1]CPCD!$B$1:$H$1476,7,0))</f>
        <v>9.45% Renew Power Limited (31-Jul-2025) **</v>
      </c>
      <c r="C109" s="39" t="s">
        <v>718</v>
      </c>
      <c r="D109" s="39">
        <v>2560</v>
      </c>
      <c r="E109" s="68">
        <v>24425.267199999998</v>
      </c>
      <c r="F109" s="43">
        <f t="shared" si="2"/>
        <v>1.8565951640266416</v>
      </c>
    </row>
    <row r="110" spans="1:7" x14ac:dyDescent="0.2">
      <c r="A110" s="39" t="s">
        <v>986</v>
      </c>
      <c r="B110" s="39" t="str">
        <f>IFERROR(VLOOKUP(A110,[1]Bonds!$B$1:$K$2669,10,0),VLOOKUP(A110,[1]CPCD!$B$1:$H$1476,7,0))</f>
        <v>9.60% Narmada Wind Energy Pvt Ltd (31-Mar-2023) **</v>
      </c>
      <c r="C110" s="39" t="s">
        <v>825</v>
      </c>
      <c r="D110" s="39">
        <v>1660</v>
      </c>
      <c r="E110" s="68">
        <v>14965.8794</v>
      </c>
      <c r="F110" s="43">
        <f t="shared" si="2"/>
        <v>1.1375752450088217</v>
      </c>
    </row>
    <row r="111" spans="1:7" x14ac:dyDescent="0.2">
      <c r="A111" s="39" t="s">
        <v>987</v>
      </c>
      <c r="B111" s="39" t="str">
        <f>IFERROR(VLOOKUP(A111,[1]Bonds!$B$1:$K$2669,10,0),VLOOKUP(A111,[1]CPCD!$B$1:$H$1476,7,0))</f>
        <v>0.00% Essel Infraprojects Ltd, Series I (22-May-2020) **</v>
      </c>
      <c r="C111" s="39" t="s">
        <v>988</v>
      </c>
      <c r="D111" s="39">
        <v>98</v>
      </c>
      <c r="E111" s="68">
        <v>14531.234200000001</v>
      </c>
      <c r="F111" s="43">
        <f t="shared" si="2"/>
        <v>1.1045373187589345</v>
      </c>
    </row>
    <row r="112" spans="1:7" x14ac:dyDescent="0.2">
      <c r="A112" s="39" t="s">
        <v>989</v>
      </c>
      <c r="B112" s="39" t="str">
        <f>IFERROR(VLOOKUP(A112,[1]Bonds!$B$1:$K$2669,10,0),VLOOKUP(A112,[1]CPCD!$B$1:$H$1476,7,0))</f>
        <v>10.25% Star Health &amp; Allied Insurance Co Ltd (06-Sep-2024) **</v>
      </c>
      <c r="C112" s="39" t="s">
        <v>983</v>
      </c>
      <c r="D112" s="39">
        <v>1480</v>
      </c>
      <c r="E112" s="68">
        <v>14248.7148</v>
      </c>
      <c r="F112" s="43">
        <f t="shared" si="2"/>
        <v>1.0830626651762825</v>
      </c>
    </row>
    <row r="113" spans="1:6" x14ac:dyDescent="0.2">
      <c r="A113" s="39" t="s">
        <v>990</v>
      </c>
      <c r="B113" s="39" t="str">
        <f>IFERROR(VLOOKUP(A113,[1]Bonds!$B$1:$K$2669,10,0),VLOOKUP(A113,[1]CPCD!$B$1:$H$1476,7,0))</f>
        <v>Jindal Power Ltd (Sbi+100 Bps) (20-Dec-2019) **</v>
      </c>
      <c r="C113" s="39" t="s">
        <v>991</v>
      </c>
      <c r="D113" s="39">
        <v>1300</v>
      </c>
      <c r="E113" s="68">
        <v>12893.594999999999</v>
      </c>
      <c r="F113" s="43">
        <f t="shared" si="2"/>
        <v>0.98005831125229559</v>
      </c>
    </row>
    <row r="114" spans="1:6" x14ac:dyDescent="0.2">
      <c r="A114" s="39" t="s">
        <v>992</v>
      </c>
      <c r="B114" s="39" t="str">
        <f>IFERROR(VLOOKUP(A114,[1]Bonds!$B$1:$K$2669,10,0),VLOOKUP(A114,[1]CPCD!$B$1:$H$1476,7,0))</f>
        <v>9.60% Renew Wind Energy (Rajasthan One) Pvt Ltd (31-Mar-2023) **</v>
      </c>
      <c r="C114" s="39" t="s">
        <v>825</v>
      </c>
      <c r="D114" s="39">
        <v>1280</v>
      </c>
      <c r="E114" s="68">
        <v>11514.4192</v>
      </c>
      <c r="F114" s="43">
        <f t="shared" si="2"/>
        <v>0.87522543062683522</v>
      </c>
    </row>
    <row r="115" spans="1:6" x14ac:dyDescent="0.2">
      <c r="A115" s="39" t="s">
        <v>853</v>
      </c>
      <c r="B115" s="39" t="str">
        <f>IFERROR(VLOOKUP(A115,[1]Bonds!$B$1:$K$2669,10,0),VLOOKUP(A115,[1]CPCD!$B$1:$H$1476,7,0))</f>
        <v>10.30% Renew Power Limited (28-Sep-2022) **</v>
      </c>
      <c r="C115" s="39" t="s">
        <v>718</v>
      </c>
      <c r="D115" s="39">
        <v>1150</v>
      </c>
      <c r="E115" s="68">
        <v>11504.088250000001</v>
      </c>
      <c r="F115" s="43">
        <f t="shared" si="2"/>
        <v>0.87444016217295317</v>
      </c>
    </row>
    <row r="116" spans="1:6" x14ac:dyDescent="0.2">
      <c r="A116" s="39" t="s">
        <v>993</v>
      </c>
      <c r="B116" s="39" t="str">
        <f>IFERROR(VLOOKUP(A116,[1]Bonds!$B$1:$K$2669,10,0),VLOOKUP(A116,[1]CPCD!$B$1:$H$1476,7,0))</f>
        <v>0.00% Diligent Media Corp Ltd. Series B (30-Jun-2020) **</v>
      </c>
      <c r="C116" s="39" t="s">
        <v>994</v>
      </c>
      <c r="D116" s="39">
        <v>75</v>
      </c>
      <c r="E116" s="68">
        <v>10817.85</v>
      </c>
      <c r="F116" s="43">
        <f t="shared" si="2"/>
        <v>0.82227833295373753</v>
      </c>
    </row>
    <row r="117" spans="1:6" x14ac:dyDescent="0.2">
      <c r="A117" s="39" t="s">
        <v>995</v>
      </c>
      <c r="B117" s="39" t="str">
        <f>IFERROR(VLOOKUP(A117,[1]Bonds!$B$1:$K$2669,10,0),VLOOKUP(A117,[1]CPCD!$B$1:$H$1476,7,0))</f>
        <v>Jindal Power Ltd (Sbi+100 Bps) (22-Dec-2020) **</v>
      </c>
      <c r="C117" s="39" t="s">
        <v>991</v>
      </c>
      <c r="D117" s="39">
        <v>1112</v>
      </c>
      <c r="E117" s="68">
        <v>10592.389359999999</v>
      </c>
      <c r="F117" s="43">
        <f t="shared" si="2"/>
        <v>0.8051407872116646</v>
      </c>
    </row>
    <row r="118" spans="1:6" x14ac:dyDescent="0.2">
      <c r="A118" s="39" t="s">
        <v>996</v>
      </c>
      <c r="B118" s="39" t="str">
        <f>IFERROR(VLOOKUP(A118,[1]Bonds!$B$1:$K$2669,10,0),VLOOKUP(A118,[1]CPCD!$B$1:$H$1476,7,0))</f>
        <v>11.84% Hero Solar Energy Private Limited (10-Dec-2021) **</v>
      </c>
      <c r="C118" s="39" t="s">
        <v>740</v>
      </c>
      <c r="D118" s="39">
        <v>1000</v>
      </c>
      <c r="E118" s="68">
        <v>10080.32</v>
      </c>
      <c r="F118" s="43">
        <f t="shared" si="2"/>
        <v>0.76621775354994015</v>
      </c>
    </row>
    <row r="119" spans="1:6" x14ac:dyDescent="0.2">
      <c r="A119" s="39" t="s">
        <v>997</v>
      </c>
      <c r="B119" s="39" t="str">
        <f>IFERROR(VLOOKUP(A119,[1]Bonds!$B$1:$K$2669,10,0),VLOOKUP(A119,[1]CPCD!$B$1:$H$1476,7,0))</f>
        <v>12.25% Rivaaz Trade Ventures Pvt Ltd (30-Sep-2023) **</v>
      </c>
      <c r="C119" s="39" t="s">
        <v>856</v>
      </c>
      <c r="D119" s="39">
        <v>1000</v>
      </c>
      <c r="E119" s="68">
        <v>10015.31</v>
      </c>
      <c r="F119" s="43">
        <f t="shared" si="2"/>
        <v>0.761276261994287</v>
      </c>
    </row>
    <row r="120" spans="1:6" x14ac:dyDescent="0.2">
      <c r="A120" s="39" t="s">
        <v>998</v>
      </c>
      <c r="B120" s="39" t="str">
        <f>IFERROR(VLOOKUP(A120,[1]Bonds!$B$1:$K$2669,10,0),VLOOKUP(A120,[1]CPCD!$B$1:$H$1476,7,0))</f>
        <v>11.49% Reliance Infrastructure Consulting &amp; Engineers (15-Jan-2021) **</v>
      </c>
      <c r="C120" s="39" t="s">
        <v>999</v>
      </c>
      <c r="D120" s="39">
        <v>1873</v>
      </c>
      <c r="E120" s="68">
        <v>9365</v>
      </c>
      <c r="F120" s="43">
        <f t="shared" si="2"/>
        <v>0.71184538407463149</v>
      </c>
    </row>
    <row r="121" spans="1:6" x14ac:dyDescent="0.2">
      <c r="A121" s="39" t="s">
        <v>816</v>
      </c>
      <c r="B121" s="39" t="str">
        <f>IFERROR(VLOOKUP(A121,[1]Bonds!$B$1:$K$2669,10,0),VLOOKUP(A121,[1]CPCD!$B$1:$H$1476,7,0))</f>
        <v>8.25% Vodafone Idea Ltd (10-Jul-2020) **</v>
      </c>
      <c r="C121" s="39" t="s">
        <v>817</v>
      </c>
      <c r="D121" s="39">
        <v>850</v>
      </c>
      <c r="E121" s="68">
        <v>8029.4314999999997</v>
      </c>
      <c r="F121" s="43">
        <f t="shared" si="2"/>
        <v>0.61032714896085904</v>
      </c>
    </row>
    <row r="122" spans="1:6" x14ac:dyDescent="0.2">
      <c r="A122" s="39" t="s">
        <v>1000</v>
      </c>
      <c r="B122" s="39" t="str">
        <f>IFERROR(VLOOKUP(A122,[1]Bonds!$B$1:$K$2669,10,0),VLOOKUP(A122,[1]CPCD!$B$1:$H$1476,7,0))</f>
        <v>11.5% Rivaaz Trade Ventures Pvt Ltd (30-Mar-2022) **</v>
      </c>
      <c r="C122" s="39" t="s">
        <v>856</v>
      </c>
      <c r="D122" s="39">
        <v>800</v>
      </c>
      <c r="E122" s="68">
        <v>7889.0240000000003</v>
      </c>
      <c r="F122" s="43">
        <f t="shared" si="2"/>
        <v>0.59965459895931517</v>
      </c>
    </row>
    <row r="123" spans="1:6" x14ac:dyDescent="0.2">
      <c r="A123" s="39" t="s">
        <v>1001</v>
      </c>
      <c r="B123" s="39" t="str">
        <f>IFERROR(VLOOKUP(A123,[1]Bonds!$B$1:$K$2669,10,0),VLOOKUP(A123,[1]CPCD!$B$1:$H$1476,7,0))</f>
        <v>13.01% Renew Power Ltd., Series VI, (23-Mar-2020) **</v>
      </c>
      <c r="C123" s="39" t="s">
        <v>718</v>
      </c>
      <c r="D123" s="39">
        <v>750</v>
      </c>
      <c r="E123" s="68">
        <v>7579.0649999999996</v>
      </c>
      <c r="F123" s="43">
        <f t="shared" si="2"/>
        <v>0.57609422699963664</v>
      </c>
    </row>
    <row r="124" spans="1:6" x14ac:dyDescent="0.2">
      <c r="A124" s="39" t="s">
        <v>1002</v>
      </c>
      <c r="B124" s="39" t="str">
        <f>IFERROR(VLOOKUP(A124,[1]Bonds!$B$1:$K$2669,10,0),VLOOKUP(A124,[1]CPCD!$B$1:$H$1476,7,0))</f>
        <v>11.25% Aadarshini Real Estate Developers Pvt Ltd (29-Jul-2020) **</v>
      </c>
      <c r="C124" s="39" t="s">
        <v>740</v>
      </c>
      <c r="D124" s="39">
        <v>15</v>
      </c>
      <c r="E124" s="68">
        <v>7522.335</v>
      </c>
      <c r="F124" s="43">
        <f t="shared" si="2"/>
        <v>0.57178210861858447</v>
      </c>
    </row>
    <row r="125" spans="1:6" x14ac:dyDescent="0.2">
      <c r="A125" s="39" t="s">
        <v>1003</v>
      </c>
      <c r="B125" s="39" t="str">
        <f>IFERROR(VLOOKUP(A125,[1]Bonds!$B$1:$K$2669,10,0),VLOOKUP(A125,[1]CPCD!$B$1:$H$1476,7,0))</f>
        <v>13.50% Opj Trading Private Ltd (16-Oct-2020) **</v>
      </c>
      <c r="C125" s="39" t="s">
        <v>819</v>
      </c>
      <c r="D125" s="39">
        <v>700</v>
      </c>
      <c r="E125" s="68">
        <v>6971.7619999999997</v>
      </c>
      <c r="F125" s="43">
        <f t="shared" si="2"/>
        <v>0.52993236503651053</v>
      </c>
    </row>
    <row r="126" spans="1:6" x14ac:dyDescent="0.2">
      <c r="A126" s="39" t="s">
        <v>1004</v>
      </c>
      <c r="B126" s="39" t="str">
        <f>IFERROR(VLOOKUP(A126,[1]Bonds!$B$1:$K$2669,10,0),VLOOKUP(A126,[1]CPCD!$B$1:$H$1476,7,0))</f>
        <v>11.50% S D Corporation Private Ltd (03-Jun-2022) **</v>
      </c>
      <c r="C126" s="39" t="s">
        <v>364</v>
      </c>
      <c r="D126" s="39">
        <v>650</v>
      </c>
      <c r="E126" s="68">
        <v>6507.5985000000001</v>
      </c>
      <c r="F126" s="43">
        <f t="shared" si="2"/>
        <v>0.49465071581804548</v>
      </c>
    </row>
    <row r="127" spans="1:6" x14ac:dyDescent="0.2">
      <c r="A127" s="39" t="s">
        <v>1005</v>
      </c>
      <c r="B127" s="39" t="str">
        <f>IFERROR(VLOOKUP(A127,[1]Bonds!$B$1:$K$2669,10,0),VLOOKUP(A127,[1]CPCD!$B$1:$H$1476,7,0))</f>
        <v>0.00% Diligent Media Corp Ltd. Series C (30-Jun-2020) **</v>
      </c>
      <c r="C127" s="39" t="s">
        <v>994</v>
      </c>
      <c r="D127" s="39">
        <v>44</v>
      </c>
      <c r="E127" s="68">
        <v>6346.4719999999998</v>
      </c>
      <c r="F127" s="43">
        <f t="shared" si="2"/>
        <v>0.4824032886661927</v>
      </c>
    </row>
    <row r="128" spans="1:6" x14ac:dyDescent="0.2">
      <c r="A128" s="39" t="s">
        <v>1006</v>
      </c>
      <c r="B128" s="39" t="str">
        <f>IFERROR(VLOOKUP(A128,[1]Bonds!$B$1:$K$2669,10,0),VLOOKUP(A128,[1]CPCD!$B$1:$H$1476,7,0))</f>
        <v>11.5% Rivaaz Trade Ventures Pvt Ltd (30-Mar-2021) **</v>
      </c>
      <c r="C128" s="39" t="s">
        <v>856</v>
      </c>
      <c r="D128" s="39">
        <v>600</v>
      </c>
      <c r="E128" s="68">
        <v>5961.0360000000001</v>
      </c>
      <c r="F128" s="43">
        <f t="shared" si="2"/>
        <v>0.4531058153660123</v>
      </c>
    </row>
    <row r="129" spans="1:6" x14ac:dyDescent="0.2">
      <c r="A129" s="39" t="s">
        <v>1007</v>
      </c>
      <c r="B129" s="39" t="str">
        <f>IFERROR(VLOOKUP(A129,[1]Bonds!$B$1:$K$2669,10,0),VLOOKUP(A129,[1]CPCD!$B$1:$H$1476,7,0))</f>
        <v>0.00% Essel Infraprojects Ltd, Series II (22-May-2020) **</v>
      </c>
      <c r="C129" s="39" t="s">
        <v>988</v>
      </c>
      <c r="D129" s="39">
        <v>38</v>
      </c>
      <c r="E129" s="68">
        <v>5577.1232</v>
      </c>
      <c r="F129" s="43">
        <f t="shared" si="2"/>
        <v>0.42392412240635752</v>
      </c>
    </row>
    <row r="130" spans="1:6" x14ac:dyDescent="0.2">
      <c r="A130" s="39" t="s">
        <v>841</v>
      </c>
      <c r="B130" s="39" t="str">
        <f>IFERROR(VLOOKUP(A130,[1]Bonds!$B$1:$K$2669,10,0),VLOOKUP(A130,[1]CPCD!$B$1:$H$1476,7,0))</f>
        <v>4.00% Hpcl-Mittal Energy Ltd (03-Sep-2020) **</v>
      </c>
      <c r="C130" s="39" t="s">
        <v>842</v>
      </c>
      <c r="D130" s="39">
        <v>300</v>
      </c>
      <c r="E130" s="68">
        <v>5129.4870000000001</v>
      </c>
      <c r="F130" s="43">
        <f t="shared" si="2"/>
        <v>0.38989873396912222</v>
      </c>
    </row>
    <row r="131" spans="1:6" x14ac:dyDescent="0.2">
      <c r="A131" s="39" t="s">
        <v>1008</v>
      </c>
      <c r="B131" s="39" t="str">
        <f>IFERROR(VLOOKUP(A131,[1]Bonds!$B$1:$K$2669,10,0),VLOOKUP(A131,[1]CPCD!$B$1:$H$1476,7,0))</f>
        <v>12.80% Nufuture Digital (India) Ltd (30-Sep-2021) **</v>
      </c>
      <c r="C131" s="39" t="s">
        <v>850</v>
      </c>
      <c r="D131" s="39">
        <v>500</v>
      </c>
      <c r="E131" s="68">
        <v>4975.6350000000002</v>
      </c>
      <c r="F131" s="43">
        <f t="shared" si="2"/>
        <v>0.37820425067700791</v>
      </c>
    </row>
    <row r="132" spans="1:6" x14ac:dyDescent="0.2">
      <c r="A132" s="39" t="s">
        <v>1009</v>
      </c>
      <c r="B132" s="39" t="str">
        <f>IFERROR(VLOOKUP(A132,[1]Bonds!$B$1:$K$2669,10,0),VLOOKUP(A132,[1]CPCD!$B$1:$H$1476,7,0))</f>
        <v>10.00% Ma Multi-Trade Pvt Ltd (27-Nov-2020) **</v>
      </c>
      <c r="C132" s="39" t="s">
        <v>850</v>
      </c>
      <c r="D132" s="39">
        <v>500</v>
      </c>
      <c r="E132" s="68">
        <v>4918.41</v>
      </c>
      <c r="F132" s="43">
        <f t="shared" si="2"/>
        <v>0.373854506725735</v>
      </c>
    </row>
    <row r="133" spans="1:6" x14ac:dyDescent="0.2">
      <c r="A133" s="39" t="s">
        <v>1010</v>
      </c>
      <c r="B133" s="39" t="str">
        <f>IFERROR(VLOOKUP(A133,[1]Bonds!$B$1:$K$2669,10,0),VLOOKUP(A133,[1]CPCD!$B$1:$H$1476,7,0))</f>
        <v>0.00% Diligent Media Corp Ltd. Series A (30-Jun-2020) **</v>
      </c>
      <c r="C133" s="39" t="s">
        <v>994</v>
      </c>
      <c r="D133" s="39">
        <v>34</v>
      </c>
      <c r="E133" s="68">
        <v>4904.0919999999996</v>
      </c>
      <c r="F133" s="43">
        <f t="shared" si="2"/>
        <v>0.3727661776056943</v>
      </c>
    </row>
    <row r="134" spans="1:6" x14ac:dyDescent="0.2">
      <c r="A134" s="39" t="s">
        <v>1011</v>
      </c>
      <c r="B134" s="39" t="str">
        <f>IFERROR(VLOOKUP(A134,[1]Bonds!$B$1:$K$2669,10,0),VLOOKUP(A134,[1]CPCD!$B$1:$H$1476,7,0))</f>
        <v>0.00% Sadbhav Infrastructure Project Ltd (06-Jun-2023) **</v>
      </c>
      <c r="C134" s="39" t="s">
        <v>1012</v>
      </c>
      <c r="D134" s="39">
        <v>400</v>
      </c>
      <c r="E134" s="68">
        <v>4507.5959999999995</v>
      </c>
      <c r="F134" s="43">
        <f t="shared" si="2"/>
        <v>0.34262801984765323</v>
      </c>
    </row>
    <row r="135" spans="1:6" x14ac:dyDescent="0.2">
      <c r="A135" s="39" t="s">
        <v>1013</v>
      </c>
      <c r="B135" s="39" t="str">
        <f>IFERROR(VLOOKUP(A135,[1]Bonds!$B$1:$K$2669,10,0),VLOOKUP(A135,[1]CPCD!$B$1:$H$1476,7,0))</f>
        <v>9.50% Reliance Broadcast Network Ltd (20-Jul-2020) **</v>
      </c>
      <c r="C135" s="39" t="s">
        <v>1014</v>
      </c>
      <c r="D135" s="39">
        <v>468</v>
      </c>
      <c r="E135" s="68">
        <v>4418.1633599999996</v>
      </c>
      <c r="F135" s="43">
        <f t="shared" si="2"/>
        <v>0.33583013282473723</v>
      </c>
    </row>
    <row r="136" spans="1:6" x14ac:dyDescent="0.2">
      <c r="A136" s="39" t="s">
        <v>1015</v>
      </c>
      <c r="B136" s="39" t="str">
        <f>IFERROR(VLOOKUP(A136,[1]Bonds!$B$1:$K$2669,10,0),VLOOKUP(A136,[1]CPCD!$B$1:$H$1476,7,0))</f>
        <v>11.49% Reliance Big Pvt Ltd Series 2 (14-Jan-2021) **</v>
      </c>
      <c r="C136" s="39" t="s">
        <v>999</v>
      </c>
      <c r="D136" s="39">
        <v>877</v>
      </c>
      <c r="E136" s="68">
        <v>4385</v>
      </c>
      <c r="F136" s="43">
        <f t="shared" si="2"/>
        <v>0.33330934427840458</v>
      </c>
    </row>
    <row r="137" spans="1:6" x14ac:dyDescent="0.2">
      <c r="A137" s="39" t="s">
        <v>1016</v>
      </c>
      <c r="B137" s="39" t="str">
        <f>IFERROR(VLOOKUP(A137,[1]Bonds!$B$1:$K$2669,10,0),VLOOKUP(A137,[1]CPCD!$B$1:$H$1476,7,0))</f>
        <v>11.9% Rivaaz Trade Ventures Pvt Ltd (07-Aug-2020) **</v>
      </c>
      <c r="C137" s="39" t="s">
        <v>850</v>
      </c>
      <c r="D137" s="39">
        <v>394</v>
      </c>
      <c r="E137" s="68">
        <v>3959.6015000000002</v>
      </c>
      <c r="F137" s="43">
        <f t="shared" si="2"/>
        <v>0.30097427128136539</v>
      </c>
    </row>
    <row r="138" spans="1:6" x14ac:dyDescent="0.2">
      <c r="A138" s="39" t="s">
        <v>1017</v>
      </c>
      <c r="B138" s="39" t="str">
        <f>IFERROR(VLOOKUP(A138,[1]Bonds!$B$1:$K$2669,10,0),VLOOKUP(A138,[1]CPCD!$B$1:$H$1476,7,0))</f>
        <v>12.25% Rivaaz Trade Ventures Pvt Ltd (30-Sep-2021) **</v>
      </c>
      <c r="C138" s="39" t="s">
        <v>856</v>
      </c>
      <c r="D138" s="39">
        <v>375</v>
      </c>
      <c r="E138" s="68">
        <v>3762.1012500000002</v>
      </c>
      <c r="F138" s="43">
        <f t="shared" si="2"/>
        <v>0.28596202981675406</v>
      </c>
    </row>
    <row r="139" spans="1:6" x14ac:dyDescent="0.2">
      <c r="A139" s="39" t="s">
        <v>1018</v>
      </c>
      <c r="B139" s="39" t="str">
        <f>IFERROR(VLOOKUP(A139,[1]Bonds!$B$1:$K$2669,10,0),VLOOKUP(A139,[1]CPCD!$B$1:$H$1476,7,0))</f>
        <v>9.95% Molagavalli Renewable Pvt Ltd (31-Mar-2023) **</v>
      </c>
      <c r="C139" s="39" t="s">
        <v>825</v>
      </c>
      <c r="D139" s="39">
        <v>385</v>
      </c>
      <c r="E139" s="68">
        <v>3586.0363000000002</v>
      </c>
      <c r="F139" s="43">
        <f t="shared" si="2"/>
        <v>0.27257911236295473</v>
      </c>
    </row>
    <row r="140" spans="1:6" x14ac:dyDescent="0.2">
      <c r="A140" s="39" t="s">
        <v>1019</v>
      </c>
      <c r="B140" s="39" t="str">
        <f>IFERROR(VLOOKUP(A140,[1]Bonds!$B$1:$K$2669,10,0),VLOOKUP(A140,[1]CPCD!$B$1:$H$1476,7,0))</f>
        <v>12.25% Rivaaz Trade Ventures Pvt Ltd (30-Sep-2022) **</v>
      </c>
      <c r="C140" s="39" t="s">
        <v>856</v>
      </c>
      <c r="D140" s="39">
        <v>350</v>
      </c>
      <c r="E140" s="68">
        <v>3506.174</v>
      </c>
      <c r="F140" s="43">
        <f t="shared" si="2"/>
        <v>0.2665086788747984</v>
      </c>
    </row>
    <row r="141" spans="1:6" x14ac:dyDescent="0.2">
      <c r="A141" s="39" t="s">
        <v>838</v>
      </c>
      <c r="B141" s="39" t="str">
        <f>IFERROR(VLOOKUP(A141,[1]Bonds!$B$1:$K$2669,10,0),VLOOKUP(A141,[1]CPCD!$B$1:$H$1476,7,0))</f>
        <v>9.40% Small Business Fincredit India Pvt Ltd (28-Sep-2020) **</v>
      </c>
      <c r="C141" s="39" t="s">
        <v>839</v>
      </c>
      <c r="D141" s="39">
        <v>310</v>
      </c>
      <c r="E141" s="68">
        <v>3042.4609</v>
      </c>
      <c r="F141" s="43">
        <f t="shared" si="2"/>
        <v>0.23126126512467154</v>
      </c>
    </row>
    <row r="142" spans="1:6" x14ac:dyDescent="0.2">
      <c r="A142" s="39" t="s">
        <v>1020</v>
      </c>
      <c r="B142" s="39" t="str">
        <f>IFERROR(VLOOKUP(A142,[1]Bonds!$B$1:$K$2669,10,0),VLOOKUP(A142,[1]CPCD!$B$1:$H$1476,7,0))</f>
        <v>13.40% Future Ideas Company Ltd (31-Oct-2022) **</v>
      </c>
      <c r="C142" s="39" t="s">
        <v>850</v>
      </c>
      <c r="D142" s="39">
        <v>300</v>
      </c>
      <c r="E142" s="68">
        <v>2997.9929999999999</v>
      </c>
      <c r="F142" s="43">
        <f t="shared" si="2"/>
        <v>0.22788120432867665</v>
      </c>
    </row>
    <row r="143" spans="1:6" x14ac:dyDescent="0.2">
      <c r="A143" s="39" t="s">
        <v>1021</v>
      </c>
      <c r="B143" s="39" t="str">
        <f>IFERROR(VLOOKUP(A143,[1]Bonds!$B$1:$K$2669,10,0),VLOOKUP(A143,[1]CPCD!$B$1:$H$1476,7,0))</f>
        <v>11.7% Svantantra Microfin Private Limited (30-Nov-2023) **</v>
      </c>
      <c r="C143" s="39" t="s">
        <v>804</v>
      </c>
      <c r="D143" s="39">
        <v>300</v>
      </c>
      <c r="E143" s="68">
        <v>2965.0050000000001</v>
      </c>
      <c r="F143" s="43">
        <f t="shared" si="2"/>
        <v>0.22537374511566502</v>
      </c>
    </row>
    <row r="144" spans="1:6" x14ac:dyDescent="0.2">
      <c r="A144" s="39" t="s">
        <v>1022</v>
      </c>
      <c r="B144" s="39" t="str">
        <f>IFERROR(VLOOKUP(A144,[1]Bonds!$B$1:$K$2669,10,0),VLOOKUP(A144,[1]CPCD!$B$1:$H$1476,7,0))</f>
        <v>12.25% Rivaaz Trade Ventures Pvt Ltd (30-Sep-2020) **</v>
      </c>
      <c r="C144" s="39" t="s">
        <v>856</v>
      </c>
      <c r="D144" s="39">
        <v>250</v>
      </c>
      <c r="E144" s="68">
        <v>2512.27</v>
      </c>
      <c r="F144" s="43">
        <f t="shared" si="2"/>
        <v>0.1909607905017805</v>
      </c>
    </row>
    <row r="145" spans="1:6" x14ac:dyDescent="0.2">
      <c r="A145" s="39" t="s">
        <v>824</v>
      </c>
      <c r="B145" s="39" t="str">
        <f>IFERROR(VLOOKUP(A145,[1]Bonds!$B$1:$K$2669,10,0),VLOOKUP(A145,[1]CPCD!$B$1:$H$1476,7,0))</f>
        <v>13.15% Greenko Solar Energy Private Limited (18-May-2020) **</v>
      </c>
      <c r="C145" s="39" t="s">
        <v>825</v>
      </c>
      <c r="D145" s="39">
        <v>2500</v>
      </c>
      <c r="E145" s="68">
        <v>2500</v>
      </c>
      <c r="F145" s="43">
        <f t="shared" si="2"/>
        <v>0.19002813242782474</v>
      </c>
    </row>
    <row r="146" spans="1:6" x14ac:dyDescent="0.2">
      <c r="A146" s="39" t="s">
        <v>1023</v>
      </c>
      <c r="B146" s="39" t="str">
        <f>IFERROR(VLOOKUP(A146,[1]Bonds!$B$1:$K$2669,10,0),VLOOKUP(A146,[1]CPCD!$B$1:$H$1476,7,0))</f>
        <v>12.80% Nufuture Digital (India) Ltd (30-Sep-2020) **</v>
      </c>
      <c r="C146" s="39" t="s">
        <v>850</v>
      </c>
      <c r="D146" s="39">
        <v>250</v>
      </c>
      <c r="E146" s="68">
        <v>2496.67</v>
      </c>
      <c r="F146" s="43">
        <f t="shared" si="2"/>
        <v>0.18977501495543089</v>
      </c>
    </row>
    <row r="147" spans="1:6" x14ac:dyDescent="0.2">
      <c r="A147" s="39" t="s">
        <v>1024</v>
      </c>
      <c r="B147" s="39" t="str">
        <f>IFERROR(VLOOKUP(A147,[1]Bonds!$B$1:$K$2669,10,0),VLOOKUP(A147,[1]CPCD!$B$1:$H$1476,7,0))</f>
        <v>13.40% Future Ideas Company Ltd (31-Oct-2021) **</v>
      </c>
      <c r="C147" s="39" t="s">
        <v>850</v>
      </c>
      <c r="D147" s="39">
        <v>200</v>
      </c>
      <c r="E147" s="68">
        <v>2000.566</v>
      </c>
      <c r="F147" s="43">
        <f t="shared" si="2"/>
        <v>0.15206552831144146</v>
      </c>
    </row>
    <row r="148" spans="1:6" x14ac:dyDescent="0.2">
      <c r="A148" s="39" t="s">
        <v>1025</v>
      </c>
      <c r="B148" s="39" t="str">
        <f>IFERROR(VLOOKUP(A148,[1]Bonds!$B$1:$K$2669,10,0),VLOOKUP(A148,[1]CPCD!$B$1:$H$1476,7,0))</f>
        <v>12.15% Nufuture Digital (India) Ltd (02-Jun-2020) **</v>
      </c>
      <c r="C148" s="39" t="s">
        <v>850</v>
      </c>
      <c r="D148" s="39">
        <v>200</v>
      </c>
      <c r="E148" s="68">
        <v>1996.194</v>
      </c>
      <c r="F148" s="43">
        <f t="shared" si="2"/>
        <v>0.15173320711345167</v>
      </c>
    </row>
    <row r="149" spans="1:6" x14ac:dyDescent="0.2">
      <c r="A149" s="39" t="s">
        <v>862</v>
      </c>
      <c r="B149" s="39" t="str">
        <f>IFERROR(VLOOKUP(A149,[1]Bonds!$B$1:$K$2669,10,0),VLOOKUP(A149,[1]CPCD!$B$1:$H$1476,7,0))</f>
        <v>0.00% KKR India Financial Services Pvt Ltd (10-Mar-2021) **</v>
      </c>
      <c r="C149" s="39" t="s">
        <v>727</v>
      </c>
      <c r="D149" s="39">
        <v>15</v>
      </c>
      <c r="E149" s="68">
        <v>1853.5409999999999</v>
      </c>
      <c r="F149" s="43">
        <f t="shared" si="2"/>
        <v>0.14088997384336108</v>
      </c>
    </row>
    <row r="150" spans="1:6" x14ac:dyDescent="0.2">
      <c r="A150" s="39" t="s">
        <v>1026</v>
      </c>
      <c r="B150" s="39" t="str">
        <f>IFERROR(VLOOKUP(A150,[1]Bonds!$B$1:$K$2669,10,0),VLOOKUP(A150,[1]CPCD!$B$1:$H$1476,7,0))</f>
        <v>9.95% Narmada Wind Energy Pvt Ltd (31-Mar-2023) **</v>
      </c>
      <c r="C150" s="39" t="s">
        <v>825</v>
      </c>
      <c r="D150" s="39">
        <v>150</v>
      </c>
      <c r="E150" s="68">
        <v>1397.8515</v>
      </c>
      <c r="F150" s="43">
        <f t="shared" si="2"/>
        <v>0.10625244398257339</v>
      </c>
    </row>
    <row r="151" spans="1:6" x14ac:dyDescent="0.2">
      <c r="A151" s="39" t="s">
        <v>1027</v>
      </c>
      <c r="B151" s="39" t="str">
        <f>IFERROR(VLOOKUP(A151,[1]Bonds!$B$1:$K$2669,10,0),VLOOKUP(A151,[1]CPCD!$B$1:$H$1476,7,0))</f>
        <v>12.25% Rivaaz Trade Ventures Pvt Ltd (30-Sep-2019) **</v>
      </c>
      <c r="C151" s="39" t="s">
        <v>856</v>
      </c>
      <c r="D151" s="39">
        <v>125</v>
      </c>
      <c r="E151" s="68">
        <v>1252.86375</v>
      </c>
      <c r="F151" s="43">
        <f t="shared" si="2"/>
        <v>9.5231743439608441E-2</v>
      </c>
    </row>
    <row r="152" spans="1:6" x14ac:dyDescent="0.2">
      <c r="A152" s="39" t="s">
        <v>1028</v>
      </c>
      <c r="B152" s="39" t="str">
        <f>IFERROR(VLOOKUP(A152,[1]Bonds!$B$1:$K$2669,10,0),VLOOKUP(A152,[1]CPCD!$B$1:$H$1476,7,0))</f>
        <v>11.35% Renew Solar Power Private Limited (01-Nov-2022) **</v>
      </c>
      <c r="C152" s="39" t="s">
        <v>825</v>
      </c>
      <c r="D152" s="39">
        <v>102</v>
      </c>
      <c r="E152" s="68">
        <v>1021.3413</v>
      </c>
      <c r="F152" s="43">
        <f t="shared" si="2"/>
        <v>7.763343192416268E-2</v>
      </c>
    </row>
    <row r="153" spans="1:6" x14ac:dyDescent="0.2">
      <c r="A153" s="39" t="s">
        <v>852</v>
      </c>
      <c r="B153" s="39" t="str">
        <f>IFERROR(VLOOKUP(A153,[1]Bonds!$B$1:$K$2669,10,0),VLOOKUP(A153,[1]CPCD!$B$1:$H$1476,7,0))</f>
        <v>11.50% Clix Capital Services Pvt Ltd (12-Nov-2021) **</v>
      </c>
      <c r="C153" s="39" t="s">
        <v>721</v>
      </c>
      <c r="D153" s="39">
        <v>100</v>
      </c>
      <c r="E153" s="68">
        <v>1010.569</v>
      </c>
      <c r="F153" s="43">
        <f t="shared" si="2"/>
        <v>7.6814615903781774E-2</v>
      </c>
    </row>
    <row r="154" spans="1:6" x14ac:dyDescent="0.2">
      <c r="A154" s="39" t="s">
        <v>843</v>
      </c>
      <c r="B154" s="39" t="str">
        <f>IFERROR(VLOOKUP(A154,[1]Bonds!$B$1:$K$2669,10,0),VLOOKUP(A154,[1]CPCD!$B$1:$H$1476,7,0))</f>
        <v>9.75% TRPL Roadways Pvt Ltd (25-Mar-2022) **</v>
      </c>
      <c r="C154" s="39" t="s">
        <v>822</v>
      </c>
      <c r="D154" s="39">
        <v>100</v>
      </c>
      <c r="E154" s="68">
        <v>1003.789</v>
      </c>
      <c r="F154" s="43">
        <f t="shared" si="2"/>
        <v>7.629925960863751E-2</v>
      </c>
    </row>
    <row r="155" spans="1:6" x14ac:dyDescent="0.2">
      <c r="A155" s="39" t="s">
        <v>1029</v>
      </c>
      <c r="B155" s="39" t="str">
        <f>IFERROR(VLOOKUP(A155,[1]Bonds!$B$1:$K$2669,10,0),VLOOKUP(A155,[1]CPCD!$B$1:$H$1476,7,0))</f>
        <v>13.40% Future Ideas Company Ltd (31-Oct-2020) **</v>
      </c>
      <c r="C155" s="39" t="s">
        <v>850</v>
      </c>
      <c r="D155" s="39">
        <v>100</v>
      </c>
      <c r="E155" s="68">
        <v>1000.866</v>
      </c>
      <c r="F155" s="43">
        <f t="shared" si="2"/>
        <v>7.6077078716202895E-2</v>
      </c>
    </row>
    <row r="156" spans="1:6" x14ac:dyDescent="0.2">
      <c r="A156" s="39" t="s">
        <v>1030</v>
      </c>
      <c r="B156" s="39" t="str">
        <f>IFERROR(VLOOKUP(A156,[1]Bonds!$B$1:$K$2669,10,0),VLOOKUP(A156,[1]CPCD!$B$1:$H$1476,7,0))</f>
        <v>0.00% KKR India Financial Services Pvt Ltd (14-Apr-2020) **</v>
      </c>
      <c r="C156" s="39" t="s">
        <v>727</v>
      </c>
      <c r="D156" s="39">
        <v>5</v>
      </c>
      <c r="E156" s="68">
        <v>716.0335</v>
      </c>
      <c r="F156" s="43">
        <f t="shared" si="2"/>
        <v>5.442660350430354E-2</v>
      </c>
    </row>
    <row r="157" spans="1:6" x14ac:dyDescent="0.2">
      <c r="A157" s="39" t="s">
        <v>829</v>
      </c>
      <c r="B157" s="39" t="str">
        <f>IFERROR(VLOOKUP(A157,[1]Bonds!$B$1:$K$2669,10,0),VLOOKUP(A157,[1]CPCD!$B$1:$H$1476,7,0))</f>
        <v>0.00% Hero Solar Energy Private Limited (21-Jun-2022) **</v>
      </c>
      <c r="C157" s="39" t="s">
        <v>740</v>
      </c>
      <c r="D157" s="39">
        <v>50</v>
      </c>
      <c r="E157" s="68">
        <v>646.16549999999995</v>
      </c>
      <c r="F157" s="43">
        <f t="shared" si="2"/>
        <v>4.9115849281716632E-2</v>
      </c>
    </row>
    <row r="158" spans="1:6" x14ac:dyDescent="0.2">
      <c r="A158" s="39" t="s">
        <v>836</v>
      </c>
      <c r="B158" s="39" t="str">
        <f>IFERROR(VLOOKUP(A158,[1]Bonds!$B$1:$K$2669,10,0),VLOOKUP(A158,[1]CPCD!$B$1:$H$1476,7,0))</f>
        <v>0.00% Hero Wind Energy Pvt Ltd (21-Jun-2022) **</v>
      </c>
      <c r="C158" s="39" t="s">
        <v>740</v>
      </c>
      <c r="D158" s="39">
        <v>50</v>
      </c>
      <c r="E158" s="68">
        <v>646.16549999999995</v>
      </c>
      <c r="F158" s="43">
        <f t="shared" si="2"/>
        <v>4.9115849281716632E-2</v>
      </c>
    </row>
    <row r="159" spans="1:6" x14ac:dyDescent="0.2">
      <c r="A159" s="39" t="s">
        <v>1031</v>
      </c>
      <c r="B159" s="39" t="str">
        <f>IFERROR(VLOOKUP(A159,[1]Bonds!$B$1:$K$2669,10,0),VLOOKUP(A159,[1]CPCD!$B$1:$H$1476,7,0))</f>
        <v>12.80% Nufuture Digital (India) Ltd (30-Sep-2019) **</v>
      </c>
      <c r="C159" s="39" t="s">
        <v>850</v>
      </c>
      <c r="D159" s="39">
        <v>62</v>
      </c>
      <c r="E159" s="68">
        <v>206.81711999999999</v>
      </c>
      <c r="F159" s="43">
        <f t="shared" si="2"/>
        <v>1.5720428427080529E-2</v>
      </c>
    </row>
    <row r="160" spans="1:6" x14ac:dyDescent="0.2">
      <c r="A160" s="39" t="s">
        <v>1032</v>
      </c>
      <c r="B160" s="39" t="str">
        <f>IFERROR(VLOOKUP(A160,[1]Bonds!$B$1:$K$2669,10,0),VLOOKUP(A160,[1]CPCD!$B$1:$H$1476,7,0))</f>
        <v>11.84% Hero Wind Energy Pvt Ltd (10-Jun-2022) **</v>
      </c>
      <c r="C160" s="39" t="s">
        <v>740</v>
      </c>
      <c r="D160" s="39">
        <v>20</v>
      </c>
      <c r="E160" s="68">
        <v>201.51740000000001</v>
      </c>
      <c r="F160" s="43">
        <f t="shared" si="2"/>
        <v>1.5317590069484374E-2</v>
      </c>
    </row>
    <row r="161" spans="1:7" x14ac:dyDescent="0.2">
      <c r="A161" s="39" t="s">
        <v>1033</v>
      </c>
      <c r="B161" s="39" t="str">
        <f>IFERROR(VLOOKUP(A161,[1]Bonds!$B$1:$K$2669,10,0),VLOOKUP(A161,[1]CPCD!$B$1:$H$1476,7,0))</f>
        <v>11.49% Reliance Big Pvt Ltd  Series 1 (14-Jan-2021) **</v>
      </c>
      <c r="C161" s="39" t="s">
        <v>999</v>
      </c>
      <c r="D161" s="39">
        <v>31</v>
      </c>
      <c r="E161" s="68">
        <v>155</v>
      </c>
      <c r="F161" s="43">
        <f t="shared" si="2"/>
        <v>1.1781744210525134E-2</v>
      </c>
    </row>
    <row r="162" spans="1:7" x14ac:dyDescent="0.2">
      <c r="A162" s="39" t="s">
        <v>1034</v>
      </c>
      <c r="B162" s="39" t="str">
        <f>IFERROR(VLOOKUP(A162,[1]Bonds!$B$1:$K$2669,10,0),VLOOKUP(A162,[1]CPCD!$B$1:$H$1476,7,0))</f>
        <v>8.01% Tata Sons Pvt Ltd (02-Sep-2021) **</v>
      </c>
      <c r="C162" s="39" t="s">
        <v>361</v>
      </c>
      <c r="D162" s="39">
        <v>13</v>
      </c>
      <c r="E162" s="68">
        <v>129.45764</v>
      </c>
      <c r="F162" s="43">
        <v>9.8402374230854642E-3</v>
      </c>
      <c r="G162" s="73"/>
    </row>
    <row r="163" spans="1:7" x14ac:dyDescent="0.2">
      <c r="A163" s="39" t="s">
        <v>1035</v>
      </c>
      <c r="B163" s="39" t="str">
        <f>IFERROR(VLOOKUP(A163,[1]Bonds!$B$1:$K$2669,10,0),VLOOKUP(A163,[1]CPCD!$B$1:$H$1476,7,0))</f>
        <v>7.90% Tata Sons Pvt Ltd (06-Mar-2020) **</v>
      </c>
      <c r="C163" s="39" t="s">
        <v>361</v>
      </c>
      <c r="D163" s="39">
        <v>6</v>
      </c>
      <c r="E163" s="68">
        <v>60.286320000000003</v>
      </c>
      <c r="F163" s="43" t="s">
        <v>611</v>
      </c>
      <c r="G163" s="73"/>
    </row>
    <row r="164" spans="1:7" x14ac:dyDescent="0.2">
      <c r="A164" s="38" t="s">
        <v>44</v>
      </c>
      <c r="B164" s="39"/>
      <c r="C164" s="39"/>
      <c r="D164" s="39"/>
      <c r="E164" s="69">
        <f>SUM(E105:E163)</f>
        <v>443448.14495000016</v>
      </c>
      <c r="F164" s="69">
        <f>SUM(F105:F163)</f>
        <v>33.702466686652514</v>
      </c>
    </row>
    <row r="165" spans="1:7" x14ac:dyDescent="0.2">
      <c r="A165" s="39"/>
      <c r="B165" s="39"/>
      <c r="C165" s="39"/>
      <c r="D165" s="39"/>
      <c r="E165" s="68"/>
      <c r="F165" s="68"/>
    </row>
    <row r="166" spans="1:7" x14ac:dyDescent="0.2">
      <c r="A166" s="38" t="s">
        <v>44</v>
      </c>
      <c r="B166" s="39"/>
      <c r="C166" s="39"/>
      <c r="D166" s="39"/>
      <c r="E166" s="69">
        <f>E102+E164</f>
        <v>1285062.0686667</v>
      </c>
      <c r="F166" s="69">
        <f>F102+F164</f>
        <v>97.681719496367364</v>
      </c>
    </row>
    <row r="167" spans="1:7" x14ac:dyDescent="0.2">
      <c r="A167" s="39"/>
      <c r="B167" s="39"/>
      <c r="C167" s="39"/>
      <c r="D167" s="39"/>
      <c r="E167" s="68"/>
      <c r="F167" s="68"/>
    </row>
    <row r="168" spans="1:7" x14ac:dyDescent="0.2">
      <c r="A168" s="38" t="s">
        <v>76</v>
      </c>
      <c r="B168" s="39"/>
      <c r="C168" s="39"/>
      <c r="D168" s="39"/>
      <c r="E168" s="69">
        <v>30532.610952399998</v>
      </c>
      <c r="F168" s="42">
        <f t="shared" ref="F168" si="3">IF((E168/$E$170*100)&lt;0.01,"0.00*",E168/$E$170*100)</f>
        <v>2.3208220149719674</v>
      </c>
    </row>
    <row r="169" spans="1:7" x14ac:dyDescent="0.2">
      <c r="A169" s="39"/>
      <c r="B169" s="39"/>
      <c r="C169" s="39"/>
      <c r="D169" s="39"/>
      <c r="E169" s="68"/>
      <c r="F169" s="68"/>
    </row>
    <row r="170" spans="1:7" x14ac:dyDescent="0.2">
      <c r="A170" s="71" t="s">
        <v>77</v>
      </c>
      <c r="B170" s="66"/>
      <c r="C170" s="66"/>
      <c r="D170" s="66"/>
      <c r="E170" s="72">
        <f>E166+E168</f>
        <v>1315594.6796190999</v>
      </c>
      <c r="F170" s="72">
        <f xml:space="preserve"> ROUND(SUM(F166:F169),2)</f>
        <v>100</v>
      </c>
    </row>
    <row r="171" spans="1:7" x14ac:dyDescent="0.2">
      <c r="A171" s="4" t="s">
        <v>619</v>
      </c>
      <c r="F171" s="74" t="s">
        <v>884</v>
      </c>
    </row>
    <row r="173" spans="1:7" x14ac:dyDescent="0.2">
      <c r="A173" s="4" t="s">
        <v>78</v>
      </c>
    </row>
    <row r="174" spans="1:7" x14ac:dyDescent="0.2">
      <c r="A174" s="4" t="s">
        <v>650</v>
      </c>
    </row>
    <row r="175" spans="1:7" x14ac:dyDescent="0.2">
      <c r="A175" s="4" t="s">
        <v>80</v>
      </c>
    </row>
    <row r="176" spans="1:7" x14ac:dyDescent="0.2">
      <c r="A176" s="2" t="s">
        <v>891</v>
      </c>
      <c r="D176" s="10">
        <v>3945.6972000000001</v>
      </c>
    </row>
    <row r="177" spans="1:4" x14ac:dyDescent="0.2">
      <c r="A177" s="2" t="s">
        <v>893</v>
      </c>
      <c r="D177" s="10">
        <v>1081.3827000000001</v>
      </c>
    </row>
    <row r="178" spans="1:4" x14ac:dyDescent="0.2">
      <c r="A178" s="2" t="s">
        <v>1036</v>
      </c>
      <c r="D178" s="10">
        <v>1210.3271</v>
      </c>
    </row>
    <row r="179" spans="1:4" x14ac:dyDescent="0.2">
      <c r="A179" s="2" t="s">
        <v>1037</v>
      </c>
      <c r="D179" s="10">
        <v>1266.4785999999999</v>
      </c>
    </row>
    <row r="180" spans="1:4" x14ac:dyDescent="0.2">
      <c r="A180" s="2" t="s">
        <v>1038</v>
      </c>
      <c r="D180" s="10">
        <v>4138.9844999999996</v>
      </c>
    </row>
    <row r="181" spans="1:4" x14ac:dyDescent="0.2">
      <c r="A181" s="2" t="s">
        <v>1039</v>
      </c>
      <c r="D181" s="10">
        <v>1083.4336000000001</v>
      </c>
    </row>
    <row r="182" spans="1:4" x14ac:dyDescent="0.2">
      <c r="A182" s="2" t="s">
        <v>1040</v>
      </c>
      <c r="D182" s="10">
        <v>1282.3879999999999</v>
      </c>
    </row>
    <row r="183" spans="1:4" x14ac:dyDescent="0.2">
      <c r="A183" s="2" t="s">
        <v>1041</v>
      </c>
      <c r="D183" s="10">
        <v>1343.0569</v>
      </c>
    </row>
    <row r="184" spans="1:4" x14ac:dyDescent="0.2">
      <c r="A184" s="2" t="s">
        <v>894</v>
      </c>
      <c r="D184" s="10">
        <v>3256.6943999999999</v>
      </c>
    </row>
    <row r="186" spans="1:4" x14ac:dyDescent="0.2">
      <c r="A186" s="4" t="s">
        <v>81</v>
      </c>
    </row>
    <row r="187" spans="1:4" x14ac:dyDescent="0.2">
      <c r="A187" s="2" t="s">
        <v>891</v>
      </c>
      <c r="D187" s="10">
        <v>4058.6687000000002</v>
      </c>
    </row>
    <row r="188" spans="1:4" x14ac:dyDescent="0.2">
      <c r="A188" s="2" t="s">
        <v>893</v>
      </c>
      <c r="D188" s="10">
        <v>1069.3741</v>
      </c>
    </row>
    <row r="189" spans="1:4" x14ac:dyDescent="0.2">
      <c r="A189" s="2" t="s">
        <v>1036</v>
      </c>
      <c r="D189" s="10">
        <v>1195.1032</v>
      </c>
    </row>
    <row r="190" spans="1:4" x14ac:dyDescent="0.2">
      <c r="A190" s="2" t="s">
        <v>1037</v>
      </c>
      <c r="D190" s="10">
        <v>1252.1496</v>
      </c>
    </row>
    <row r="191" spans="1:4" x14ac:dyDescent="0.2">
      <c r="A191" s="2" t="s">
        <v>1038</v>
      </c>
      <c r="D191" s="10">
        <v>4274.1500999999998</v>
      </c>
    </row>
    <row r="192" spans="1:4" x14ac:dyDescent="0.2">
      <c r="A192" s="2" t="s">
        <v>1039</v>
      </c>
      <c r="D192" s="10">
        <v>1071.9350999999999</v>
      </c>
    </row>
    <row r="193" spans="1:5" x14ac:dyDescent="0.2">
      <c r="A193" s="2" t="s">
        <v>1040</v>
      </c>
      <c r="D193" s="10">
        <v>1274.3014000000001</v>
      </c>
    </row>
    <row r="194" spans="1:5" x14ac:dyDescent="0.2">
      <c r="A194" s="2" t="s">
        <v>1041</v>
      </c>
      <c r="D194" s="10">
        <v>1336.2542000000001</v>
      </c>
    </row>
    <row r="195" spans="1:5" x14ac:dyDescent="0.2">
      <c r="A195" s="2" t="s">
        <v>894</v>
      </c>
      <c r="D195" s="10">
        <v>3355.3465999999999</v>
      </c>
    </row>
    <row r="198" spans="1:5" x14ac:dyDescent="0.2">
      <c r="A198" s="4" t="s">
        <v>82</v>
      </c>
      <c r="D198" s="44" t="s">
        <v>299</v>
      </c>
    </row>
    <row r="199" spans="1:5" x14ac:dyDescent="0.2">
      <c r="A199" s="75" t="s">
        <v>642</v>
      </c>
      <c r="B199" s="76"/>
      <c r="C199" s="109" t="s">
        <v>643</v>
      </c>
      <c r="D199" s="109"/>
    </row>
    <row r="200" spans="1:5" x14ac:dyDescent="0.2">
      <c r="A200" s="111"/>
      <c r="B200" s="112"/>
      <c r="C200" s="47" t="s">
        <v>644</v>
      </c>
      <c r="D200" s="47" t="s">
        <v>645</v>
      </c>
    </row>
    <row r="201" spans="1:5" x14ac:dyDescent="0.2">
      <c r="A201" s="48" t="s">
        <v>893</v>
      </c>
      <c r="B201" s="49"/>
      <c r="C201" s="54">
        <v>30.671124468000006</v>
      </c>
      <c r="D201" s="54">
        <v>28.401614110000008</v>
      </c>
    </row>
    <row r="202" spans="1:5" x14ac:dyDescent="0.2">
      <c r="A202" s="48" t="s">
        <v>1036</v>
      </c>
      <c r="B202" s="49"/>
      <c r="C202" s="54">
        <v>35.65597365</v>
      </c>
      <c r="D202" s="54">
        <v>33.017609298000004</v>
      </c>
    </row>
    <row r="203" spans="1:5" x14ac:dyDescent="0.2">
      <c r="A203" s="48" t="s">
        <v>1037</v>
      </c>
      <c r="B203" s="49"/>
      <c r="C203" s="54">
        <v>36.016134999999998</v>
      </c>
      <c r="D203" s="54">
        <v>33.3511205</v>
      </c>
    </row>
    <row r="204" spans="1:5" x14ac:dyDescent="0.2">
      <c r="A204" s="48" t="s">
        <v>1039</v>
      </c>
      <c r="B204" s="49"/>
      <c r="C204" s="54">
        <v>33.420956378</v>
      </c>
      <c r="D204" s="54">
        <v>30.947972164000007</v>
      </c>
    </row>
    <row r="205" spans="1:5" x14ac:dyDescent="0.2">
      <c r="A205" s="48" t="s">
        <v>1040</v>
      </c>
      <c r="B205" s="49"/>
      <c r="C205" s="54">
        <v>35.65597365</v>
      </c>
      <c r="D205" s="54">
        <v>33.017609298000004</v>
      </c>
    </row>
    <row r="206" spans="1:5" x14ac:dyDescent="0.2">
      <c r="A206" s="48" t="s">
        <v>1041</v>
      </c>
      <c r="B206" s="49"/>
      <c r="C206" s="54">
        <v>36.016134999999998</v>
      </c>
      <c r="D206" s="54">
        <v>33.3511205</v>
      </c>
    </row>
    <row r="207" spans="1:5" x14ac:dyDescent="0.2">
      <c r="A207" s="77"/>
      <c r="B207" s="77"/>
      <c r="C207" s="78"/>
      <c r="D207" s="78"/>
    </row>
    <row r="208" spans="1:5" x14ac:dyDescent="0.2">
      <c r="A208" s="4" t="s">
        <v>647</v>
      </c>
      <c r="D208" s="53">
        <v>2.9110838140382631</v>
      </c>
      <c r="E208" s="73" t="s">
        <v>648</v>
      </c>
    </row>
  </sheetData>
  <mergeCells count="3">
    <mergeCell ref="A1:F1"/>
    <mergeCell ref="C199:D199"/>
    <mergeCell ref="A200:B200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EFD43-E45A-4FED-AC06-18FD287D23E7}">
  <dimension ref="A1:F97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6.28515625" style="2" bestFit="1" customWidth="1"/>
    <col min="3" max="3" width="11.7109375" style="2" bestFit="1" customWidth="1"/>
    <col min="4" max="4" width="7.42578125" style="2" bestFit="1" customWidth="1"/>
    <col min="5" max="5" width="23" style="73" bestFit="1" customWidth="1"/>
    <col min="6" max="6" width="13.5703125" style="73" bestFit="1" customWidth="1"/>
    <col min="7" max="16384" width="9.140625" style="2"/>
  </cols>
  <sheetData>
    <row r="1" spans="1:6" ht="15" customHeight="1" x14ac:dyDescent="0.2">
      <c r="A1" s="108" t="s">
        <v>1042</v>
      </c>
      <c r="B1" s="108"/>
      <c r="C1" s="108"/>
      <c r="D1" s="108"/>
      <c r="E1" s="108"/>
      <c r="F1" s="108"/>
    </row>
    <row r="3" spans="1:6" s="4" customFormat="1" x14ac:dyDescent="0.2">
      <c r="A3" s="64" t="s">
        <v>1</v>
      </c>
      <c r="B3" s="64" t="s">
        <v>2</v>
      </c>
      <c r="C3" s="64" t="s">
        <v>716</v>
      </c>
      <c r="D3" s="64" t="s">
        <v>4</v>
      </c>
      <c r="E3" s="65" t="s">
        <v>5</v>
      </c>
      <c r="F3" s="65" t="s">
        <v>6</v>
      </c>
    </row>
    <row r="4" spans="1:6" x14ac:dyDescent="0.2">
      <c r="A4" s="66"/>
      <c r="B4" s="66"/>
      <c r="C4" s="66"/>
      <c r="D4" s="66"/>
      <c r="E4" s="67"/>
      <c r="F4" s="67"/>
    </row>
    <row r="5" spans="1:6" x14ac:dyDescent="0.2">
      <c r="A5" s="38" t="s">
        <v>864</v>
      </c>
      <c r="B5" s="39"/>
      <c r="C5" s="39"/>
      <c r="D5" s="39"/>
      <c r="E5" s="68"/>
      <c r="F5" s="68"/>
    </row>
    <row r="6" spans="1:6" x14ac:dyDescent="0.2">
      <c r="A6" s="38" t="s">
        <v>865</v>
      </c>
      <c r="B6" s="39"/>
      <c r="C6" s="39"/>
      <c r="D6" s="39"/>
      <c r="E6" s="68"/>
      <c r="F6" s="68"/>
    </row>
    <row r="7" spans="1:6" x14ac:dyDescent="0.2">
      <c r="A7" s="39" t="s">
        <v>1043</v>
      </c>
      <c r="B7" s="39" t="str">
        <f>IFERROR(VLOOKUP(A7,[1]Bonds!$B$1:$K$2669,10,0),VLOOKUP(A7,[1]CPCD!$B$1:$H$1476,7,0))</f>
        <v>Icici Bank Ltd (17-Jul-2020) **</v>
      </c>
      <c r="C7" s="39" t="s">
        <v>867</v>
      </c>
      <c r="D7" s="39">
        <v>20000</v>
      </c>
      <c r="E7" s="68">
        <v>18935.080000000002</v>
      </c>
      <c r="F7" s="68">
        <v>6.53120819503006</v>
      </c>
    </row>
    <row r="8" spans="1:6" x14ac:dyDescent="0.2">
      <c r="A8" s="39" t="s">
        <v>1044</v>
      </c>
      <c r="B8" s="39" t="str">
        <f>IFERROR(VLOOKUP(A8,[1]Bonds!$B$1:$K$2669,10,0),VLOOKUP(A8,[1]CPCD!$B$1:$H$1476,7,0))</f>
        <v>Small Industries Development Bank Of India (04-Jun-2020) **</v>
      </c>
      <c r="C8" s="39" t="s">
        <v>869</v>
      </c>
      <c r="D8" s="39">
        <v>17500</v>
      </c>
      <c r="E8" s="68">
        <v>16690.852500000001</v>
      </c>
      <c r="F8" s="68">
        <v>5.75711497548666</v>
      </c>
    </row>
    <row r="9" spans="1:6" x14ac:dyDescent="0.2">
      <c r="A9" s="39" t="s">
        <v>1045</v>
      </c>
      <c r="B9" s="39" t="str">
        <f>IFERROR(VLOOKUP(A9,[1]Bonds!$B$1:$K$2669,10,0),VLOOKUP(A9,[1]CPCD!$B$1:$H$1476,7,0))</f>
        <v>Bank Of Baroda (01-Jun-2020) **</v>
      </c>
      <c r="C9" s="39" t="s">
        <v>1046</v>
      </c>
      <c r="D9" s="39">
        <v>15000</v>
      </c>
      <c r="E9" s="68">
        <v>14325.434999999999</v>
      </c>
      <c r="F9" s="68">
        <v>4.9412201305392101</v>
      </c>
    </row>
    <row r="10" spans="1:6" x14ac:dyDescent="0.2">
      <c r="A10" s="39" t="s">
        <v>1047</v>
      </c>
      <c r="B10" s="39" t="str">
        <f>IFERROR(VLOOKUP(A10,[1]Bonds!$B$1:$K$2669,10,0),VLOOKUP(A10,[1]CPCD!$B$1:$H$1476,7,0))</f>
        <v>National Bank For Agriculture And Rural Development (05-Aug-2020)</v>
      </c>
      <c r="C10" s="39" t="s">
        <v>869</v>
      </c>
      <c r="D10" s="39">
        <v>12500</v>
      </c>
      <c r="E10" s="68">
        <v>11791.5375</v>
      </c>
      <c r="F10" s="68">
        <v>4.0672120926874502</v>
      </c>
    </row>
    <row r="11" spans="1:6" x14ac:dyDescent="0.2">
      <c r="A11" s="39" t="s">
        <v>1048</v>
      </c>
      <c r="B11" s="39" t="str">
        <f>IFERROR(VLOOKUP(A11,[1]Bonds!$B$1:$K$2669,10,0),VLOOKUP(A11,[1]CPCD!$B$1:$H$1476,7,0))</f>
        <v>Hdfc Bank Ltd (06-Mar-2020) **</v>
      </c>
      <c r="C11" s="39" t="s">
        <v>869</v>
      </c>
      <c r="D11" s="39">
        <v>8000</v>
      </c>
      <c r="E11" s="68">
        <v>7764.6959999999999</v>
      </c>
      <c r="F11" s="68">
        <v>2.6782483172565001</v>
      </c>
    </row>
    <row r="12" spans="1:6" x14ac:dyDescent="0.2">
      <c r="A12" s="39" t="s">
        <v>1049</v>
      </c>
      <c r="B12" s="39" t="str">
        <f>IFERROR(VLOOKUP(A12,[1]Bonds!$B$1:$K$2669,10,0),VLOOKUP(A12,[1]CPCD!$B$1:$H$1476,7,0))</f>
        <v>Bank Of Baroda (17-Mar-2020) **</v>
      </c>
      <c r="C12" s="39" t="s">
        <v>1046</v>
      </c>
      <c r="D12" s="39">
        <v>7500</v>
      </c>
      <c r="E12" s="68">
        <v>7266.6525000000001</v>
      </c>
      <c r="F12" s="68">
        <v>2.5064599863552601</v>
      </c>
    </row>
    <row r="13" spans="1:6" x14ac:dyDescent="0.2">
      <c r="A13" s="39" t="s">
        <v>1050</v>
      </c>
      <c r="B13" s="39" t="str">
        <f>IFERROR(VLOOKUP(A13,[1]Bonds!$B$1:$K$2669,10,0),VLOOKUP(A13,[1]CPCD!$B$1:$H$1476,7,0))</f>
        <v>National Bank For Agriculture And Rural Development (18-Mar-2020) **</v>
      </c>
      <c r="C13" s="39" t="s">
        <v>1046</v>
      </c>
      <c r="D13" s="39">
        <v>7500</v>
      </c>
      <c r="E13" s="68">
        <v>7258.1925000000001</v>
      </c>
      <c r="F13" s="68">
        <v>2.5035419093611302</v>
      </c>
    </row>
    <row r="14" spans="1:6" x14ac:dyDescent="0.2">
      <c r="A14" s="39" t="s">
        <v>1051</v>
      </c>
      <c r="B14" s="39" t="str">
        <f>IFERROR(VLOOKUP(A14,[1]Bonds!$B$1:$K$2669,10,0),VLOOKUP(A14,[1]CPCD!$B$1:$H$1476,7,0))</f>
        <v>Indusind Bank Ltd (20-Mar-2020) **</v>
      </c>
      <c r="C14" s="39" t="s">
        <v>869</v>
      </c>
      <c r="D14" s="39">
        <v>7500</v>
      </c>
      <c r="E14" s="68">
        <v>7251</v>
      </c>
      <c r="F14" s="68">
        <v>2.50106102652658</v>
      </c>
    </row>
    <row r="15" spans="1:6" x14ac:dyDescent="0.2">
      <c r="A15" s="39" t="s">
        <v>1052</v>
      </c>
      <c r="B15" s="39" t="str">
        <f>IFERROR(VLOOKUP(A15,[1]Bonds!$B$1:$K$2669,10,0),VLOOKUP(A15,[1]CPCD!$B$1:$H$1476,7,0))</f>
        <v>Cooperatieve Rabobank Ua (16-Mar-2020) **</v>
      </c>
      <c r="C15" s="39" t="s">
        <v>869</v>
      </c>
      <c r="D15" s="39">
        <v>7500</v>
      </c>
      <c r="E15" s="68">
        <v>7250.6324999999997</v>
      </c>
      <c r="F15" s="68">
        <v>2.50093426608978</v>
      </c>
    </row>
    <row r="16" spans="1:6" x14ac:dyDescent="0.2">
      <c r="A16" s="39" t="s">
        <v>868</v>
      </c>
      <c r="B16" s="39" t="str">
        <f>IFERROR(VLOOKUP(A16,[1]Bonds!$B$1:$K$2669,10,0),VLOOKUP(A16,[1]CPCD!$B$1:$H$1476,7,0))</f>
        <v>Axis Bank Ltd (07-Feb-2020) **</v>
      </c>
      <c r="C16" s="39" t="s">
        <v>869</v>
      </c>
      <c r="D16" s="39">
        <v>7400</v>
      </c>
      <c r="E16" s="68">
        <v>7212.6689999999999</v>
      </c>
      <c r="F16" s="68">
        <v>2.4878396542734098</v>
      </c>
    </row>
    <row r="17" spans="1:6" x14ac:dyDescent="0.2">
      <c r="A17" s="39" t="s">
        <v>1053</v>
      </c>
      <c r="B17" s="39" t="str">
        <f>IFERROR(VLOOKUP(A17,[1]Bonds!$B$1:$K$2669,10,0),VLOOKUP(A17,[1]CPCD!$B$1:$H$1476,7,0))</f>
        <v>Icici Bank Ltd (04-Mar-2020) **</v>
      </c>
      <c r="C17" s="39" t="s">
        <v>869</v>
      </c>
      <c r="D17" s="39">
        <v>5000</v>
      </c>
      <c r="E17" s="68">
        <v>4853.58</v>
      </c>
      <c r="F17" s="68">
        <v>1.6741276757866399</v>
      </c>
    </row>
    <row r="18" spans="1:6" x14ac:dyDescent="0.2">
      <c r="A18" s="39" t="s">
        <v>1054</v>
      </c>
      <c r="B18" s="39" t="str">
        <f>IFERROR(VLOOKUP(A18,[1]Bonds!$B$1:$K$2669,10,0),VLOOKUP(A18,[1]CPCD!$B$1:$H$1476,7,0))</f>
        <v>Small Industries Development Bank Of India (15-May-2020)</v>
      </c>
      <c r="C18" s="39" t="s">
        <v>869</v>
      </c>
      <c r="D18" s="39">
        <v>5000</v>
      </c>
      <c r="E18" s="68">
        <v>4784.2449999999999</v>
      </c>
      <c r="F18" s="68">
        <v>1.65021220671006</v>
      </c>
    </row>
    <row r="19" spans="1:6" x14ac:dyDescent="0.2">
      <c r="A19" s="39" t="s">
        <v>1055</v>
      </c>
      <c r="B19" s="39" t="str">
        <f>IFERROR(VLOOKUP(A19,[1]Bonds!$B$1:$K$2669,10,0),VLOOKUP(A19,[1]CPCD!$B$1:$H$1476,7,0))</f>
        <v>Indian Bank (01-Jun-2020) **</v>
      </c>
      <c r="C19" s="39" t="s">
        <v>1046</v>
      </c>
      <c r="D19" s="39">
        <v>5000</v>
      </c>
      <c r="E19" s="68">
        <v>4775.4049999999997</v>
      </c>
      <c r="F19" s="68">
        <v>1.6471630576996501</v>
      </c>
    </row>
    <row r="20" spans="1:6" x14ac:dyDescent="0.2">
      <c r="A20" s="39" t="s">
        <v>1056</v>
      </c>
      <c r="B20" s="39" t="str">
        <f>IFERROR(VLOOKUP(A20,[1]Bonds!$B$1:$K$2669,10,0),VLOOKUP(A20,[1]CPCD!$B$1:$H$1476,7,0))</f>
        <v>Axis Bank Ltd (07-Aug-2020) **</v>
      </c>
      <c r="C20" s="39" t="s">
        <v>869</v>
      </c>
      <c r="D20" s="39">
        <v>5000</v>
      </c>
      <c r="E20" s="68">
        <v>4714.21</v>
      </c>
      <c r="F20" s="68">
        <v>1.62605528918244</v>
      </c>
    </row>
    <row r="21" spans="1:6" x14ac:dyDescent="0.2">
      <c r="A21" s="39" t="s">
        <v>1057</v>
      </c>
      <c r="B21" s="39" t="str">
        <f>IFERROR(VLOOKUP(A21,[1]Bonds!$B$1:$K$2669,10,0),VLOOKUP(A21,[1]CPCD!$B$1:$H$1476,7,0))</f>
        <v>Small Industries Development Bank Of India (28-Jan-2020) **</v>
      </c>
      <c r="C21" s="39" t="s">
        <v>869</v>
      </c>
      <c r="D21" s="39">
        <v>2500</v>
      </c>
      <c r="E21" s="68">
        <v>2440.7199999999998</v>
      </c>
      <c r="F21" s="68">
        <v>0.84186866206922695</v>
      </c>
    </row>
    <row r="22" spans="1:6" x14ac:dyDescent="0.2">
      <c r="A22" s="39" t="s">
        <v>1058</v>
      </c>
      <c r="B22" s="39" t="str">
        <f>IFERROR(VLOOKUP(A22,[1]Bonds!$B$1:$K$2669,10,0),VLOOKUP(A22,[1]CPCD!$B$1:$H$1476,7,0))</f>
        <v>Axis Bank Ltd (04-Mar-2020) **</v>
      </c>
      <c r="C22" s="39" t="s">
        <v>869</v>
      </c>
      <c r="D22" s="39">
        <v>2500</v>
      </c>
      <c r="E22" s="68">
        <v>2426.73</v>
      </c>
      <c r="F22" s="68">
        <v>0.83704314231179899</v>
      </c>
    </row>
    <row r="23" spans="1:6" x14ac:dyDescent="0.2">
      <c r="A23" s="39" t="s">
        <v>1059</v>
      </c>
      <c r="B23" s="39" t="str">
        <f>IFERROR(VLOOKUP(A23,[1]Bonds!$B$1:$K$2669,10,0),VLOOKUP(A23,[1]CPCD!$B$1:$H$1476,7,0))</f>
        <v>National Bank For Agriculture And Rural Development (15-May-2020) **</v>
      </c>
      <c r="C23" s="39" t="s">
        <v>1046</v>
      </c>
      <c r="D23" s="39">
        <v>2500</v>
      </c>
      <c r="E23" s="68">
        <v>2391.8000000000002</v>
      </c>
      <c r="F23" s="68">
        <v>0.82499486460436899</v>
      </c>
    </row>
    <row r="24" spans="1:6" x14ac:dyDescent="0.2">
      <c r="A24" s="39" t="s">
        <v>1060</v>
      </c>
      <c r="B24" s="39" t="str">
        <f>IFERROR(VLOOKUP(A24,[1]Bonds!$B$1:$K$2669,10,0),VLOOKUP(A24,[1]CPCD!$B$1:$H$1476,7,0))</f>
        <v>Axis Bank Ltd (12-Feb-2020) **</v>
      </c>
      <c r="C24" s="39" t="s">
        <v>869</v>
      </c>
      <c r="D24" s="39">
        <v>2000</v>
      </c>
      <c r="E24" s="68">
        <v>1947.83</v>
      </c>
      <c r="F24" s="68">
        <v>0.67185790915725796</v>
      </c>
    </row>
    <row r="25" spans="1:6" x14ac:dyDescent="0.2">
      <c r="A25" s="39" t="s">
        <v>1061</v>
      </c>
      <c r="B25" s="39" t="str">
        <f>IFERROR(VLOOKUP(A25,[1]Bonds!$B$1:$K$2669,10,0),VLOOKUP(A25,[1]CPCD!$B$1:$H$1476,7,0))</f>
        <v>National Bank For Agriculture And Rural Development (13-Mar-2020)</v>
      </c>
      <c r="C25" s="39" t="s">
        <v>1046</v>
      </c>
      <c r="D25" s="39">
        <v>500</v>
      </c>
      <c r="E25" s="68">
        <v>484.27</v>
      </c>
      <c r="F25" s="68">
        <v>0.16703748770045901</v>
      </c>
    </row>
    <row r="26" spans="1:6" x14ac:dyDescent="0.2">
      <c r="A26" s="38" t="s">
        <v>44</v>
      </c>
      <c r="B26" s="39"/>
      <c r="C26" s="39"/>
      <c r="D26" s="39"/>
      <c r="E26" s="69">
        <f>SUM(E7:E25)</f>
        <v>134565.53749999998</v>
      </c>
      <c r="F26" s="69">
        <f>SUM(F7:F25)</f>
        <v>46.415200848827944</v>
      </c>
    </row>
    <row r="27" spans="1:6" x14ac:dyDescent="0.2">
      <c r="A27" s="39"/>
      <c r="B27" s="39"/>
      <c r="C27" s="39"/>
      <c r="D27" s="39"/>
      <c r="E27" s="68"/>
      <c r="F27" s="68"/>
    </row>
    <row r="28" spans="1:6" x14ac:dyDescent="0.2">
      <c r="A28" s="38" t="s">
        <v>870</v>
      </c>
      <c r="B28" s="39"/>
      <c r="C28" s="39"/>
      <c r="D28" s="39"/>
      <c r="E28" s="68"/>
      <c r="F28" s="68"/>
    </row>
    <row r="29" spans="1:6" x14ac:dyDescent="0.2">
      <c r="A29" s="39" t="s">
        <v>1062</v>
      </c>
      <c r="B29" s="39" t="str">
        <f>IFERROR(VLOOKUP(A29,[1]Bonds!$B$1:$K$2669,10,0),VLOOKUP(A29,[1]CPCD!$B$1:$H$1476,7,0))</f>
        <v>Power Finance Corp Ltd (06-Mar-2020) **</v>
      </c>
      <c r="C29" s="39" t="s">
        <v>872</v>
      </c>
      <c r="D29" s="39">
        <v>4090</v>
      </c>
      <c r="E29" s="68">
        <v>19822.594000000001</v>
      </c>
      <c r="F29" s="68">
        <v>6.8373351672954996</v>
      </c>
    </row>
    <row r="30" spans="1:6" x14ac:dyDescent="0.2">
      <c r="A30" s="39" t="s">
        <v>1063</v>
      </c>
      <c r="B30" s="39" t="str">
        <f>IFERROR(VLOOKUP(A30,[1]Bonds!$B$1:$K$2669,10,0),VLOOKUP(A30,[1]CPCD!$B$1:$H$1476,7,0))</f>
        <v>Lic Housing Finance Ltd (28-May-2020) **</v>
      </c>
      <c r="C30" s="39" t="s">
        <v>869</v>
      </c>
      <c r="D30" s="39">
        <v>3200</v>
      </c>
      <c r="E30" s="68">
        <v>15239.103999999999</v>
      </c>
      <c r="F30" s="68">
        <v>5.2563686517149897</v>
      </c>
    </row>
    <row r="31" spans="1:6" x14ac:dyDescent="0.2">
      <c r="A31" s="39" t="s">
        <v>1064</v>
      </c>
      <c r="B31" s="39" t="str">
        <f>IFERROR(VLOOKUP(A31,[1]Bonds!$B$1:$K$2669,10,0),VLOOKUP(A31,[1]CPCD!$B$1:$H$1476,7,0))</f>
        <v>Reliance Retail Ltd (10-Dec-2019) **</v>
      </c>
      <c r="C31" s="39" t="s">
        <v>872</v>
      </c>
      <c r="D31" s="39">
        <v>2000</v>
      </c>
      <c r="E31" s="68">
        <v>9841.3799999999992</v>
      </c>
      <c r="F31" s="68">
        <v>3.3945513674304499</v>
      </c>
    </row>
    <row r="32" spans="1:6" x14ac:dyDescent="0.2">
      <c r="A32" s="39" t="s">
        <v>1065</v>
      </c>
      <c r="B32" s="39" t="str">
        <f>IFERROR(VLOOKUP(A32,[1]Bonds!$B$1:$K$2669,10,0),VLOOKUP(A32,[1]CPCD!$B$1:$H$1476,7,0))</f>
        <v>Housing Development Finance Corp Ltd (10-Jul-2020) **</v>
      </c>
      <c r="C32" s="39" t="s">
        <v>867</v>
      </c>
      <c r="D32" s="39">
        <v>2000</v>
      </c>
      <c r="E32" s="68">
        <v>9445.43</v>
      </c>
      <c r="F32" s="68">
        <v>3.25797777572541</v>
      </c>
    </row>
    <row r="33" spans="1:6" x14ac:dyDescent="0.2">
      <c r="A33" s="39" t="s">
        <v>1066</v>
      </c>
      <c r="B33" s="39" t="str">
        <f>IFERROR(VLOOKUP(A33,[1]Bonds!$B$1:$K$2669,10,0),VLOOKUP(A33,[1]CPCD!$B$1:$H$1476,7,0))</f>
        <v>Fullerton India Credit Co Ltd (15-Jul-2020) **</v>
      </c>
      <c r="C33" s="39" t="s">
        <v>867</v>
      </c>
      <c r="D33" s="39">
        <v>2000</v>
      </c>
      <c r="E33" s="68">
        <v>9371.39</v>
      </c>
      <c r="F33" s="68">
        <v>3.2324394281314199</v>
      </c>
    </row>
    <row r="34" spans="1:6" x14ac:dyDescent="0.2">
      <c r="A34" s="39" t="s">
        <v>1067</v>
      </c>
      <c r="B34" s="39" t="str">
        <f>IFERROR(VLOOKUP(A34,[1]Bonds!$B$1:$K$2669,10,0),VLOOKUP(A34,[1]CPCD!$B$1:$H$1476,7,0))</f>
        <v>Rec Ltd (04-Mar-2020) **</v>
      </c>
      <c r="C34" s="39" t="s">
        <v>869</v>
      </c>
      <c r="D34" s="39">
        <v>1600</v>
      </c>
      <c r="E34" s="68">
        <v>7756.52</v>
      </c>
      <c r="F34" s="68">
        <v>2.6754281993482198</v>
      </c>
    </row>
    <row r="35" spans="1:6" x14ac:dyDescent="0.2">
      <c r="A35" s="39" t="s">
        <v>871</v>
      </c>
      <c r="B35" s="39" t="str">
        <f>IFERROR(VLOOKUP(A35,[1]Bonds!$B$1:$K$2669,10,0),VLOOKUP(A35,[1]CPCD!$B$1:$H$1476,7,0))</f>
        <v>Rec Ltd (07-Feb-2020) **</v>
      </c>
      <c r="C35" s="39" t="s">
        <v>872</v>
      </c>
      <c r="D35" s="39">
        <v>1500</v>
      </c>
      <c r="E35" s="68">
        <v>7302.81</v>
      </c>
      <c r="F35" s="68">
        <v>2.5189316611679202</v>
      </c>
    </row>
    <row r="36" spans="1:6" x14ac:dyDescent="0.2">
      <c r="A36" s="39" t="s">
        <v>1068</v>
      </c>
      <c r="B36" s="39" t="str">
        <f>IFERROR(VLOOKUP(A36,[1]Bonds!$B$1:$K$2669,10,0),VLOOKUP(A36,[1]CPCD!$B$1:$H$1476,7,0))</f>
        <v>Sundaram Bnp Paribas Home Finance Ltd (28-Feb-2020) **</v>
      </c>
      <c r="C36" s="39" t="s">
        <v>867</v>
      </c>
      <c r="D36" s="39">
        <v>1500</v>
      </c>
      <c r="E36" s="68">
        <v>7272.4425000000001</v>
      </c>
      <c r="F36" s="68">
        <v>2.5084571099718</v>
      </c>
    </row>
    <row r="37" spans="1:6" x14ac:dyDescent="0.2">
      <c r="A37" s="39" t="s">
        <v>1069</v>
      </c>
      <c r="B37" s="39" t="str">
        <f>IFERROR(VLOOKUP(A37,[1]Bonds!$B$1:$K$2669,10,0),VLOOKUP(A37,[1]CPCD!$B$1:$H$1476,7,0))</f>
        <v>Hsbc Investdirect Financial Services India Ltd (27-Feb-2020) **</v>
      </c>
      <c r="C37" s="39" t="s">
        <v>1046</v>
      </c>
      <c r="D37" s="39">
        <v>1500</v>
      </c>
      <c r="E37" s="68">
        <v>7204.23</v>
      </c>
      <c r="F37" s="68">
        <v>2.4849288207328102</v>
      </c>
    </row>
    <row r="38" spans="1:6" x14ac:dyDescent="0.2">
      <c r="A38" s="39" t="s">
        <v>1070</v>
      </c>
      <c r="B38" s="39" t="str">
        <f>IFERROR(VLOOKUP(A38,[1]Bonds!$B$1:$K$2669,10,0),VLOOKUP(A38,[1]CPCD!$B$1:$H$1476,7,0))</f>
        <v>Housing Development Finance Corp Ltd (13-Aug-2020)</v>
      </c>
      <c r="C38" s="39" t="s">
        <v>869</v>
      </c>
      <c r="D38" s="39">
        <v>1500</v>
      </c>
      <c r="E38" s="68">
        <v>7043.3625000000002</v>
      </c>
      <c r="F38" s="68">
        <v>2.42944137973367</v>
      </c>
    </row>
    <row r="39" spans="1:6" x14ac:dyDescent="0.2">
      <c r="A39" s="39" t="s">
        <v>1071</v>
      </c>
      <c r="B39" s="39" t="str">
        <f>IFERROR(VLOOKUP(A39,[1]Bonds!$B$1:$K$2669,10,0),VLOOKUP(A39,[1]CPCD!$B$1:$H$1476,7,0))</f>
        <v>L&amp;T Finance Ltd (05-Dec-2019) **</v>
      </c>
      <c r="C39" s="39" t="s">
        <v>869</v>
      </c>
      <c r="D39" s="39">
        <v>1000</v>
      </c>
      <c r="E39" s="68">
        <v>4919.2349999999997</v>
      </c>
      <c r="F39" s="68">
        <v>1.6967738158634</v>
      </c>
    </row>
    <row r="40" spans="1:6" x14ac:dyDescent="0.2">
      <c r="A40" s="39" t="s">
        <v>1072</v>
      </c>
      <c r="B40" s="39" t="str">
        <f>IFERROR(VLOOKUP(A40,[1]Bonds!$B$1:$K$2669,10,0),VLOOKUP(A40,[1]CPCD!$B$1:$H$1476,7,0))</f>
        <v>Can Fin Homes Ltd (26-Dec-2019) **</v>
      </c>
      <c r="C40" s="39" t="s">
        <v>867</v>
      </c>
      <c r="D40" s="39">
        <v>1000</v>
      </c>
      <c r="E40" s="68">
        <v>4904.88</v>
      </c>
      <c r="F40" s="68">
        <v>1.6918223979850699</v>
      </c>
    </row>
    <row r="41" spans="1:6" x14ac:dyDescent="0.2">
      <c r="A41" s="39" t="s">
        <v>1073</v>
      </c>
      <c r="B41" s="39" t="str">
        <f>IFERROR(VLOOKUP(A41,[1]Bonds!$B$1:$K$2669,10,0),VLOOKUP(A41,[1]CPCD!$B$1:$H$1476,7,0))</f>
        <v>L&amp;T Finance Ltd (10-Jan-2020) **</v>
      </c>
      <c r="C41" s="39" t="s">
        <v>869</v>
      </c>
      <c r="D41" s="39">
        <v>1000</v>
      </c>
      <c r="E41" s="68">
        <v>4881.7150000000001</v>
      </c>
      <c r="F41" s="68">
        <v>1.68383217888708</v>
      </c>
    </row>
    <row r="42" spans="1:6" x14ac:dyDescent="0.2">
      <c r="A42" s="39" t="s">
        <v>1074</v>
      </c>
      <c r="B42" s="39" t="str">
        <f>IFERROR(VLOOKUP(A42,[1]Bonds!$B$1:$K$2669,10,0),VLOOKUP(A42,[1]CPCD!$B$1:$H$1476,7,0))</f>
        <v>L&amp;T Infrastructure Finance Co Ltd (20-Feb-2020) **</v>
      </c>
      <c r="C42" s="39" t="s">
        <v>872</v>
      </c>
      <c r="D42" s="39">
        <v>1000</v>
      </c>
      <c r="E42" s="68">
        <v>4852.7950000000001</v>
      </c>
      <c r="F42" s="68">
        <v>1.6738569085951001</v>
      </c>
    </row>
    <row r="43" spans="1:6" x14ac:dyDescent="0.2">
      <c r="A43" s="39" t="s">
        <v>1075</v>
      </c>
      <c r="B43" s="39" t="str">
        <f>IFERROR(VLOOKUP(A43,[1]Bonds!$B$1:$K$2669,10,0),VLOOKUP(A43,[1]CPCD!$B$1:$H$1476,7,0))</f>
        <v>Cholamandalam Investment And Finance Co Ltd (04-Mar-2020) **</v>
      </c>
      <c r="C43" s="39" t="s">
        <v>869</v>
      </c>
      <c r="D43" s="39">
        <v>1000</v>
      </c>
      <c r="E43" s="68">
        <v>4840.53</v>
      </c>
      <c r="F43" s="68">
        <v>1.6696263868063299</v>
      </c>
    </row>
    <row r="44" spans="1:6" x14ac:dyDescent="0.2">
      <c r="A44" s="39" t="s">
        <v>1076</v>
      </c>
      <c r="B44" s="39" t="str">
        <f>IFERROR(VLOOKUP(A44,[1]Bonds!$B$1:$K$2669,10,0),VLOOKUP(A44,[1]CPCD!$B$1:$H$1476,7,0))</f>
        <v>Lic Housing Finance Ltd (24-Mar-2020) **</v>
      </c>
      <c r="C44" s="39" t="s">
        <v>869</v>
      </c>
      <c r="D44" s="39">
        <v>987</v>
      </c>
      <c r="E44" s="68">
        <v>4768.6756949999999</v>
      </c>
      <c r="F44" s="68">
        <v>1.6448419430298</v>
      </c>
    </row>
    <row r="45" spans="1:6" x14ac:dyDescent="0.2">
      <c r="A45" s="39" t="s">
        <v>1077</v>
      </c>
      <c r="B45" s="39" t="str">
        <f>IFERROR(VLOOKUP(A45,[1]Bonds!$B$1:$K$2669,10,0),VLOOKUP(A45,[1]CPCD!$B$1:$H$1476,7,0))</f>
        <v>Rec Ltd (19-Jun-2020) **</v>
      </c>
      <c r="C45" s="39" t="s">
        <v>872</v>
      </c>
      <c r="D45" s="39">
        <v>1000</v>
      </c>
      <c r="E45" s="68">
        <v>4749.33</v>
      </c>
      <c r="F45" s="68">
        <v>1.6381691028980101</v>
      </c>
    </row>
    <row r="46" spans="1:6" x14ac:dyDescent="0.2">
      <c r="A46" s="39" t="s">
        <v>1078</v>
      </c>
      <c r="B46" s="39" t="str">
        <f>IFERROR(VLOOKUP(A46,[1]Bonds!$B$1:$K$2669,10,0),VLOOKUP(A46,[1]CPCD!$B$1:$H$1476,7,0))</f>
        <v>Housing Development Finance Corp Ltd (05-Aug-2020) **</v>
      </c>
      <c r="C46" s="39" t="s">
        <v>869</v>
      </c>
      <c r="D46" s="39">
        <v>1000</v>
      </c>
      <c r="E46" s="68">
        <v>4701.125</v>
      </c>
      <c r="F46" s="68">
        <v>1.6215419277795899</v>
      </c>
    </row>
    <row r="47" spans="1:6" x14ac:dyDescent="0.2">
      <c r="A47" s="39" t="s">
        <v>1079</v>
      </c>
      <c r="B47" s="39" t="str">
        <f>IFERROR(VLOOKUP(A47,[1]Bonds!$B$1:$K$2669,10,0),VLOOKUP(A47,[1]CPCD!$B$1:$H$1476,7,0))</f>
        <v>Housing Development Finance Corp Ltd (20-May-2020) **</v>
      </c>
      <c r="C47" s="39" t="s">
        <v>867</v>
      </c>
      <c r="D47" s="39">
        <v>500</v>
      </c>
      <c r="E47" s="68">
        <v>2384.4575</v>
      </c>
      <c r="F47" s="68">
        <v>0.82246224281602698</v>
      </c>
    </row>
    <row r="48" spans="1:6" x14ac:dyDescent="0.2">
      <c r="A48" s="39" t="s">
        <v>1080</v>
      </c>
      <c r="B48" s="39" t="str">
        <f>IFERROR(VLOOKUP(A48,[1]Bonds!$B$1:$K$2669,10,0),VLOOKUP(A48,[1]CPCD!$B$1:$H$1476,7,0))</f>
        <v>Jm Financial Products Ltd (07-Jan-2020) **</v>
      </c>
      <c r="C48" s="39" t="s">
        <v>867</v>
      </c>
      <c r="D48" s="39">
        <v>480</v>
      </c>
      <c r="E48" s="68">
        <v>2323.6271999999999</v>
      </c>
      <c r="F48" s="68">
        <v>0.80148026894181301</v>
      </c>
    </row>
    <row r="49" spans="1:6" x14ac:dyDescent="0.2">
      <c r="A49" s="39" t="s">
        <v>1081</v>
      </c>
      <c r="B49" s="39" t="str">
        <f>IFERROR(VLOOKUP(A49,[1]Bonds!$B$1:$K$2669,10,0),VLOOKUP(A49,[1]CPCD!$B$1:$H$1476,7,0))</f>
        <v>Kotak Mahindra Investments Ltd (21-Feb-2020) **</v>
      </c>
      <c r="C49" s="39" t="s">
        <v>869</v>
      </c>
      <c r="D49" s="39">
        <v>400</v>
      </c>
      <c r="E49" s="68">
        <v>1940.25</v>
      </c>
      <c r="F49" s="68">
        <v>0.66924336735873702</v>
      </c>
    </row>
    <row r="50" spans="1:6" x14ac:dyDescent="0.2">
      <c r="A50" s="39" t="s">
        <v>1082</v>
      </c>
      <c r="B50" s="39" t="str">
        <f>IFERROR(VLOOKUP(A50,[1]Bonds!$B$1:$K$2669,10,0),VLOOKUP(A50,[1]CPCD!$B$1:$H$1476,7,0))</f>
        <v>Jm Financial Products Ltd (13-Mar-2020) **</v>
      </c>
      <c r="C50" s="39" t="s">
        <v>867</v>
      </c>
      <c r="D50" s="39">
        <v>400</v>
      </c>
      <c r="E50" s="68">
        <v>1905.3340000000001</v>
      </c>
      <c r="F50" s="68">
        <v>0.65719991862032801</v>
      </c>
    </row>
    <row r="51" spans="1:6" x14ac:dyDescent="0.2">
      <c r="A51" s="39" t="s">
        <v>1083</v>
      </c>
      <c r="B51" s="39" t="str">
        <f>IFERROR(VLOOKUP(A51,[1]Bonds!$B$1:$K$2669,10,0),VLOOKUP(A51,[1]CPCD!$B$1:$H$1476,7,0))</f>
        <v>L&amp;T Infrastructure Finance Co Ltd (13-Sep-2019) **</v>
      </c>
      <c r="C51" s="39" t="s">
        <v>867</v>
      </c>
      <c r="D51" s="39">
        <v>240</v>
      </c>
      <c r="E51" s="68">
        <v>1197.5796</v>
      </c>
      <c r="F51" s="68">
        <v>0.41307677061416298</v>
      </c>
    </row>
    <row r="52" spans="1:6" x14ac:dyDescent="0.2">
      <c r="A52" s="39" t="s">
        <v>883</v>
      </c>
      <c r="B52" s="39" t="str">
        <f>IFERROR(VLOOKUP(A52,[1]Bonds!$B$1:$K$2669,10,0),VLOOKUP(A52,[1]CPCD!$B$1:$H$1476,7,0))</f>
        <v>Housing Development Finance Corp Ltd (02-Mar-2020) **</v>
      </c>
      <c r="C52" s="39" t="s">
        <v>867</v>
      </c>
      <c r="D52" s="39">
        <v>95</v>
      </c>
      <c r="E52" s="68">
        <v>460.64882499999999</v>
      </c>
      <c r="F52" s="68">
        <v>0.15888992182082001</v>
      </c>
    </row>
    <row r="53" spans="1:6" x14ac:dyDescent="0.2">
      <c r="A53" s="38" t="s">
        <v>44</v>
      </c>
      <c r="B53" s="39"/>
      <c r="C53" s="39"/>
      <c r="D53" s="39"/>
      <c r="E53" s="69">
        <f>SUM(E29:E52)</f>
        <v>149129.44581999999</v>
      </c>
      <c r="F53" s="69">
        <f>SUM(F29:F52)</f>
        <v>51.438676713268471</v>
      </c>
    </row>
    <row r="54" spans="1:6" x14ac:dyDescent="0.2">
      <c r="A54" s="39"/>
      <c r="B54" s="39"/>
      <c r="C54" s="39"/>
      <c r="D54" s="39"/>
      <c r="E54" s="68"/>
      <c r="F54" s="68"/>
    </row>
    <row r="55" spans="1:6" x14ac:dyDescent="0.2">
      <c r="A55" s="38" t="s">
        <v>44</v>
      </c>
      <c r="B55" s="39"/>
      <c r="C55" s="39"/>
      <c r="D55" s="39"/>
      <c r="E55" s="69">
        <v>283694.98332</v>
      </c>
      <c r="F55" s="69">
        <v>97.853877562096386</v>
      </c>
    </row>
    <row r="56" spans="1:6" x14ac:dyDescent="0.2">
      <c r="A56" s="39"/>
      <c r="B56" s="39"/>
      <c r="C56" s="39"/>
      <c r="D56" s="39"/>
      <c r="E56" s="68"/>
      <c r="F56" s="68"/>
    </row>
    <row r="57" spans="1:6" x14ac:dyDescent="0.2">
      <c r="A57" s="38" t="s">
        <v>76</v>
      </c>
      <c r="B57" s="39"/>
      <c r="C57" s="39"/>
      <c r="D57" s="39"/>
      <c r="E57" s="69">
        <v>6221.9761675999998</v>
      </c>
      <c r="F57" s="69">
        <v>2.15</v>
      </c>
    </row>
    <row r="58" spans="1:6" x14ac:dyDescent="0.2">
      <c r="A58" s="39"/>
      <c r="B58" s="39"/>
      <c r="C58" s="39"/>
      <c r="D58" s="39"/>
      <c r="E58" s="68"/>
      <c r="F58" s="68"/>
    </row>
    <row r="59" spans="1:6" x14ac:dyDescent="0.2">
      <c r="A59" s="71" t="s">
        <v>77</v>
      </c>
      <c r="B59" s="66"/>
      <c r="C59" s="66"/>
      <c r="D59" s="66"/>
      <c r="E59" s="72">
        <v>289916.9561676</v>
      </c>
      <c r="F59" s="72">
        <f xml:space="preserve"> ROUND(SUM(F55:F58),2)</f>
        <v>100</v>
      </c>
    </row>
    <row r="60" spans="1:6" x14ac:dyDescent="0.2">
      <c r="A60" s="4" t="s">
        <v>619</v>
      </c>
    </row>
    <row r="62" spans="1:6" x14ac:dyDescent="0.2">
      <c r="A62" s="4" t="s">
        <v>78</v>
      </c>
    </row>
    <row r="63" spans="1:6" x14ac:dyDescent="0.2">
      <c r="A63" s="4" t="s">
        <v>650</v>
      </c>
    </row>
    <row r="64" spans="1:6" x14ac:dyDescent="0.2">
      <c r="A64" s="4" t="s">
        <v>80</v>
      </c>
    </row>
    <row r="65" spans="1:4" x14ac:dyDescent="0.2">
      <c r="A65" s="2" t="s">
        <v>891</v>
      </c>
      <c r="D65" s="10">
        <v>34.008499999999998</v>
      </c>
    </row>
    <row r="66" spans="1:4" x14ac:dyDescent="0.2">
      <c r="A66" s="2" t="s">
        <v>892</v>
      </c>
      <c r="D66" s="10">
        <v>10</v>
      </c>
    </row>
    <row r="67" spans="1:4" x14ac:dyDescent="0.2">
      <c r="A67" s="2" t="s">
        <v>1036</v>
      </c>
      <c r="D67" s="10">
        <v>10.1678</v>
      </c>
    </row>
    <row r="68" spans="1:4" x14ac:dyDescent="0.2">
      <c r="A68" s="2" t="s">
        <v>1037</v>
      </c>
      <c r="D68" s="10">
        <v>10.9847</v>
      </c>
    </row>
    <row r="69" spans="1:4" x14ac:dyDescent="0.2">
      <c r="A69" s="2" t="s">
        <v>1038</v>
      </c>
      <c r="D69" s="10">
        <v>34.790999999999997</v>
      </c>
    </row>
    <row r="70" spans="1:4" x14ac:dyDescent="0.2">
      <c r="A70" s="2" t="s">
        <v>1084</v>
      </c>
      <c r="D70" s="10">
        <v>10.004300000000001</v>
      </c>
    </row>
    <row r="71" spans="1:4" x14ac:dyDescent="0.2">
      <c r="A71" s="2" t="s">
        <v>1040</v>
      </c>
      <c r="D71" s="10">
        <v>10.4407</v>
      </c>
    </row>
    <row r="72" spans="1:4" x14ac:dyDescent="0.2">
      <c r="A72" s="2" t="s">
        <v>1041</v>
      </c>
      <c r="D72" s="10">
        <v>11.2987</v>
      </c>
    </row>
    <row r="73" spans="1:4" x14ac:dyDescent="0.2">
      <c r="A73" s="2" t="s">
        <v>1085</v>
      </c>
      <c r="D73" s="10">
        <v>10.364000000000001</v>
      </c>
    </row>
    <row r="75" spans="1:4" x14ac:dyDescent="0.2">
      <c r="A75" s="4" t="s">
        <v>81</v>
      </c>
    </row>
    <row r="76" spans="1:4" x14ac:dyDescent="0.2">
      <c r="A76" s="2" t="s">
        <v>891</v>
      </c>
      <c r="D76" s="10">
        <v>35.621600000000001</v>
      </c>
    </row>
    <row r="77" spans="1:4" x14ac:dyDescent="0.2">
      <c r="A77" s="2" t="s">
        <v>892</v>
      </c>
      <c r="D77" s="10">
        <v>10.067500000000001</v>
      </c>
    </row>
    <row r="78" spans="1:4" x14ac:dyDescent="0.2">
      <c r="A78" s="2" t="s">
        <v>1036</v>
      </c>
      <c r="D78" s="10">
        <v>10.251899999999999</v>
      </c>
    </row>
    <row r="79" spans="1:4" x14ac:dyDescent="0.2">
      <c r="A79" s="2" t="s">
        <v>1037</v>
      </c>
      <c r="D79" s="10">
        <v>11.0528</v>
      </c>
    </row>
    <row r="80" spans="1:4" x14ac:dyDescent="0.2">
      <c r="A80" s="2" t="s">
        <v>1038</v>
      </c>
      <c r="D80" s="10">
        <v>36.466299999999997</v>
      </c>
    </row>
    <row r="81" spans="1:4" x14ac:dyDescent="0.2">
      <c r="A81" s="2" t="s">
        <v>1084</v>
      </c>
      <c r="D81" s="10">
        <v>10.0731</v>
      </c>
    </row>
    <row r="82" spans="1:4" x14ac:dyDescent="0.2">
      <c r="A82" s="2" t="s">
        <v>1040</v>
      </c>
      <c r="D82" s="10">
        <v>10.5448</v>
      </c>
    </row>
    <row r="83" spans="1:4" x14ac:dyDescent="0.2">
      <c r="A83" s="2" t="s">
        <v>1041</v>
      </c>
      <c r="D83" s="10">
        <v>11.3894</v>
      </c>
    </row>
    <row r="84" spans="1:4" x14ac:dyDescent="0.2">
      <c r="A84" s="2" t="s">
        <v>1085</v>
      </c>
      <c r="D84" s="10">
        <v>10.379099999999999</v>
      </c>
    </row>
    <row r="86" spans="1:4" x14ac:dyDescent="0.2">
      <c r="A86" s="4" t="s">
        <v>82</v>
      </c>
      <c r="D86" s="44" t="s">
        <v>299</v>
      </c>
    </row>
    <row r="87" spans="1:4" x14ac:dyDescent="0.2">
      <c r="A87" s="106" t="s">
        <v>642</v>
      </c>
      <c r="B87" s="107"/>
      <c r="C87" s="109" t="s">
        <v>643</v>
      </c>
      <c r="D87" s="109"/>
    </row>
    <row r="88" spans="1:4" x14ac:dyDescent="0.2">
      <c r="A88" s="110"/>
      <c r="B88" s="110"/>
      <c r="C88" s="47" t="s">
        <v>644</v>
      </c>
      <c r="D88" s="47" t="s">
        <v>645</v>
      </c>
    </row>
    <row r="89" spans="1:4" x14ac:dyDescent="0.2">
      <c r="A89" s="48" t="s">
        <v>892</v>
      </c>
      <c r="B89" s="49"/>
      <c r="C89" s="54">
        <v>0.28633284660000019</v>
      </c>
      <c r="D89" s="54">
        <v>0.26514564279999997</v>
      </c>
    </row>
    <row r="90" spans="1:4" x14ac:dyDescent="0.2">
      <c r="A90" s="48" t="s">
        <v>1036</v>
      </c>
      <c r="B90" s="49"/>
      <c r="C90" s="54">
        <v>0.280925853</v>
      </c>
      <c r="D90" s="54">
        <v>0.2601387402</v>
      </c>
    </row>
    <row r="91" spans="1:4" x14ac:dyDescent="0.2">
      <c r="A91" s="48" t="s">
        <v>1037</v>
      </c>
      <c r="B91" s="49"/>
      <c r="C91" s="54">
        <v>0.31694198800000001</v>
      </c>
      <c r="D91" s="54">
        <v>0.29348986040000002</v>
      </c>
    </row>
    <row r="92" spans="1:4" x14ac:dyDescent="0.2">
      <c r="A92" s="48" t="s">
        <v>1084</v>
      </c>
      <c r="B92" s="49"/>
      <c r="C92" s="54">
        <v>0.29032294470000009</v>
      </c>
      <c r="D92" s="54">
        <v>0.26884049349999994</v>
      </c>
    </row>
    <row r="93" spans="1:4" x14ac:dyDescent="0.2">
      <c r="A93" s="48" t="s">
        <v>1040</v>
      </c>
      <c r="B93" s="49"/>
      <c r="C93" s="54">
        <v>0.280925853</v>
      </c>
      <c r="D93" s="54">
        <v>0.2601387402</v>
      </c>
    </row>
    <row r="94" spans="1:4" x14ac:dyDescent="0.2">
      <c r="A94" s="48" t="s">
        <v>1041</v>
      </c>
      <c r="B94" s="49"/>
      <c r="C94" s="54">
        <v>0.31694198800000001</v>
      </c>
      <c r="D94" s="54">
        <v>0.29348986040000002</v>
      </c>
    </row>
    <row r="95" spans="1:4" x14ac:dyDescent="0.2">
      <c r="A95" s="48" t="s">
        <v>1085</v>
      </c>
      <c r="B95" s="49"/>
      <c r="C95" s="54">
        <v>0.3145649231</v>
      </c>
      <c r="D95" s="54">
        <v>0.29128868660000007</v>
      </c>
    </row>
    <row r="97" spans="1:5" x14ac:dyDescent="0.2">
      <c r="A97" s="4" t="s">
        <v>647</v>
      </c>
      <c r="D97" s="53">
        <v>0.62101271629711297</v>
      </c>
      <c r="E97" s="73" t="s">
        <v>648</v>
      </c>
    </row>
  </sheetData>
  <mergeCells count="4">
    <mergeCell ref="A1:F1"/>
    <mergeCell ref="A87:B87"/>
    <mergeCell ref="C87:D87"/>
    <mergeCell ref="A88:B88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6FA1D-B835-4B30-88A7-4939AE2AD628}">
  <dimension ref="A1:F31"/>
  <sheetViews>
    <sheetView showGridLines="0" workbookViewId="0">
      <selection sqref="A1:F1"/>
    </sheetView>
  </sheetViews>
  <sheetFormatPr defaultRowHeight="11.25" x14ac:dyDescent="0.2"/>
  <cols>
    <col min="1" max="3" width="29.28515625" style="2" customWidth="1"/>
    <col min="4" max="4" width="17.28515625" style="2" customWidth="1"/>
    <col min="5" max="5" width="29.28515625" style="73" customWidth="1"/>
    <col min="6" max="6" width="13.5703125" style="73" bestFit="1" customWidth="1"/>
    <col min="7" max="16384" width="9.140625" style="2"/>
  </cols>
  <sheetData>
    <row r="1" spans="1:6" ht="15" customHeight="1" x14ac:dyDescent="0.2">
      <c r="A1" s="108" t="s">
        <v>1086</v>
      </c>
      <c r="B1" s="108"/>
      <c r="C1" s="108"/>
      <c r="D1" s="108"/>
      <c r="E1" s="108"/>
      <c r="F1" s="108"/>
    </row>
    <row r="3" spans="1:6" s="4" customFormat="1" x14ac:dyDescent="0.2">
      <c r="A3" s="64" t="s">
        <v>1</v>
      </c>
      <c r="B3" s="64" t="s">
        <v>2</v>
      </c>
      <c r="C3" s="64" t="s">
        <v>716</v>
      </c>
      <c r="D3" s="64" t="s">
        <v>4</v>
      </c>
      <c r="E3" s="65" t="s">
        <v>5</v>
      </c>
      <c r="F3" s="65" t="s">
        <v>6</v>
      </c>
    </row>
    <row r="4" spans="1:6" x14ac:dyDescent="0.2">
      <c r="A4" s="66"/>
      <c r="B4" s="66"/>
      <c r="C4" s="66"/>
      <c r="D4" s="66"/>
      <c r="E4" s="67"/>
      <c r="F4" s="67"/>
    </row>
    <row r="5" spans="1:6" x14ac:dyDescent="0.2">
      <c r="A5" s="38" t="s">
        <v>76</v>
      </c>
      <c r="B5" s="39"/>
      <c r="C5" s="39"/>
      <c r="D5" s="39"/>
      <c r="E5" s="69">
        <v>28170.1907063</v>
      </c>
      <c r="F5" s="69">
        <v>100</v>
      </c>
    </row>
    <row r="6" spans="1:6" x14ac:dyDescent="0.2">
      <c r="A6" s="39"/>
      <c r="B6" s="39"/>
      <c r="C6" s="39"/>
      <c r="D6" s="39"/>
      <c r="E6" s="68"/>
      <c r="F6" s="68"/>
    </row>
    <row r="7" spans="1:6" x14ac:dyDescent="0.2">
      <c r="A7" s="71" t="s">
        <v>77</v>
      </c>
      <c r="B7" s="66"/>
      <c r="C7" s="66"/>
      <c r="D7" s="66"/>
      <c r="E7" s="72">
        <v>28170.1907063</v>
      </c>
      <c r="F7" s="72">
        <f xml:space="preserve"> ROUND(SUM(F5:F6),2)</f>
        <v>100</v>
      </c>
    </row>
    <row r="9" spans="1:6" x14ac:dyDescent="0.2">
      <c r="A9" s="4" t="s">
        <v>78</v>
      </c>
    </row>
    <row r="10" spans="1:6" x14ac:dyDescent="0.2">
      <c r="A10" s="4" t="s">
        <v>650</v>
      </c>
    </row>
    <row r="11" spans="1:6" x14ac:dyDescent="0.2">
      <c r="A11" s="4" t="s">
        <v>80</v>
      </c>
      <c r="D11" s="11" t="s">
        <v>1087</v>
      </c>
    </row>
    <row r="13" spans="1:6" x14ac:dyDescent="0.2">
      <c r="A13" s="4" t="s">
        <v>81</v>
      </c>
    </row>
    <row r="14" spans="1:6" x14ac:dyDescent="0.2">
      <c r="A14" s="2" t="s">
        <v>1088</v>
      </c>
      <c r="D14" s="10">
        <v>1017.2756000000001</v>
      </c>
    </row>
    <row r="15" spans="1:6" x14ac:dyDescent="0.2">
      <c r="A15" s="2" t="s">
        <v>1089</v>
      </c>
      <c r="D15" s="10">
        <v>1000</v>
      </c>
    </row>
    <row r="16" spans="1:6" x14ac:dyDescent="0.2">
      <c r="A16" s="2" t="s">
        <v>1090</v>
      </c>
      <c r="D16" s="10">
        <v>1000.699</v>
      </c>
    </row>
    <row r="17" spans="1:5" x14ac:dyDescent="0.2">
      <c r="A17" s="2" t="s">
        <v>1091</v>
      </c>
      <c r="D17" s="10">
        <v>1017.0972</v>
      </c>
    </row>
    <row r="18" spans="1:5" x14ac:dyDescent="0.2">
      <c r="A18" s="2" t="s">
        <v>1092</v>
      </c>
      <c r="D18" s="10">
        <v>1000</v>
      </c>
    </row>
    <row r="19" spans="1:5" x14ac:dyDescent="0.2">
      <c r="A19" s="2" t="s">
        <v>1093</v>
      </c>
      <c r="D19" s="10">
        <v>1000.6916</v>
      </c>
    </row>
    <row r="21" spans="1:5" x14ac:dyDescent="0.2">
      <c r="A21" s="4" t="s">
        <v>82</v>
      </c>
      <c r="D21" s="44" t="s">
        <v>299</v>
      </c>
    </row>
    <row r="22" spans="1:5" x14ac:dyDescent="0.2">
      <c r="A22" s="79" t="s">
        <v>642</v>
      </c>
      <c r="B22" s="80"/>
      <c r="C22" s="109" t="s">
        <v>643</v>
      </c>
      <c r="D22" s="109"/>
    </row>
    <row r="23" spans="1:5" x14ac:dyDescent="0.2">
      <c r="A23" s="110"/>
      <c r="B23" s="110"/>
      <c r="C23" s="47" t="s">
        <v>644</v>
      </c>
      <c r="D23" s="47" t="s">
        <v>645</v>
      </c>
    </row>
    <row r="24" spans="1:5" x14ac:dyDescent="0.2">
      <c r="A24" s="48" t="s">
        <v>1094</v>
      </c>
      <c r="B24" s="49"/>
      <c r="C24" s="54">
        <v>12.327878891999999</v>
      </c>
      <c r="D24" s="54">
        <v>11.415677288000001</v>
      </c>
    </row>
    <row r="25" spans="1:5" x14ac:dyDescent="0.2">
      <c r="A25" s="48" t="s">
        <v>890</v>
      </c>
      <c r="B25" s="49"/>
      <c r="C25" s="54">
        <v>11.865268086999999</v>
      </c>
      <c r="D25" s="54">
        <v>10.987297383</v>
      </c>
    </row>
    <row r="26" spans="1:5" x14ac:dyDescent="0.2">
      <c r="A26" s="48" t="s">
        <v>1095</v>
      </c>
      <c r="B26" s="49"/>
      <c r="C26" s="54">
        <v>12.233801332000001</v>
      </c>
      <c r="D26" s="54">
        <v>11.328561007000001</v>
      </c>
    </row>
    <row r="27" spans="1:5" x14ac:dyDescent="0.2">
      <c r="A27" s="48" t="s">
        <v>1093</v>
      </c>
      <c r="B27" s="49"/>
      <c r="C27" s="54">
        <v>11.778047367000003</v>
      </c>
      <c r="D27" s="54">
        <v>10.906530559999998</v>
      </c>
    </row>
    <row r="29" spans="1:5" x14ac:dyDescent="0.2">
      <c r="A29" s="4" t="s">
        <v>647</v>
      </c>
      <c r="D29" s="53">
        <v>1.092896174863388E-2</v>
      </c>
      <c r="E29" s="73" t="s">
        <v>648</v>
      </c>
    </row>
    <row r="31" spans="1:5" x14ac:dyDescent="0.2">
      <c r="A31" s="9" t="s">
        <v>1096</v>
      </c>
    </row>
  </sheetData>
  <mergeCells count="3">
    <mergeCell ref="A1:F1"/>
    <mergeCell ref="C22:D22"/>
    <mergeCell ref="A23:B2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5898B-EE36-4F13-B8FF-B4A0D6709C4B}">
  <dimension ref="A1:F122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6.140625" style="2" bestFit="1" customWidth="1"/>
    <col min="3" max="3" width="11.42578125" style="2" bestFit="1" customWidth="1"/>
    <col min="4" max="4" width="8.28515625" style="2" bestFit="1" customWidth="1"/>
    <col min="5" max="5" width="23" style="73" bestFit="1" customWidth="1"/>
    <col min="6" max="6" width="13.5703125" style="73" bestFit="1" customWidth="1"/>
    <col min="7" max="16384" width="9.140625" style="2"/>
  </cols>
  <sheetData>
    <row r="1" spans="1:6" ht="15" customHeight="1" x14ac:dyDescent="0.2">
      <c r="A1" s="108" t="s">
        <v>1097</v>
      </c>
      <c r="B1" s="108"/>
      <c r="C1" s="108"/>
      <c r="D1" s="108"/>
      <c r="E1" s="108"/>
      <c r="F1" s="108"/>
    </row>
    <row r="3" spans="1:6" s="4" customFormat="1" x14ac:dyDescent="0.2">
      <c r="A3" s="64" t="s">
        <v>1</v>
      </c>
      <c r="B3" s="64" t="s">
        <v>2</v>
      </c>
      <c r="C3" s="64" t="s">
        <v>716</v>
      </c>
      <c r="D3" s="64" t="s">
        <v>4</v>
      </c>
      <c r="E3" s="65" t="s">
        <v>5</v>
      </c>
      <c r="F3" s="65" t="s">
        <v>6</v>
      </c>
    </row>
    <row r="4" spans="1:6" x14ac:dyDescent="0.2">
      <c r="A4" s="66"/>
      <c r="B4" s="66"/>
      <c r="C4" s="66"/>
      <c r="D4" s="66"/>
      <c r="E4" s="67"/>
      <c r="F4" s="67"/>
    </row>
    <row r="5" spans="1:6" x14ac:dyDescent="0.2">
      <c r="A5" s="38" t="s">
        <v>359</v>
      </c>
      <c r="B5" s="39"/>
      <c r="C5" s="39"/>
      <c r="D5" s="39"/>
      <c r="E5" s="68"/>
      <c r="F5" s="68"/>
    </row>
    <row r="6" spans="1:6" x14ac:dyDescent="0.2">
      <c r="A6" s="38" t="s">
        <v>8</v>
      </c>
      <c r="B6" s="39"/>
      <c r="C6" s="39"/>
      <c r="D6" s="39"/>
      <c r="E6" s="68"/>
      <c r="F6" s="68"/>
    </row>
    <row r="7" spans="1:6" x14ac:dyDescent="0.2">
      <c r="A7" s="38"/>
      <c r="B7" s="39"/>
      <c r="C7" s="39"/>
      <c r="D7" s="39"/>
      <c r="E7" s="68"/>
      <c r="F7" s="68"/>
    </row>
    <row r="8" spans="1:6" x14ac:dyDescent="0.2">
      <c r="A8" s="39" t="s">
        <v>1098</v>
      </c>
      <c r="B8" s="39" t="str">
        <f>IFERROR(VLOOKUP(A8,[1]Bonds!$B$1:$K$2669,10,0),VLOOKUP(A8,[1]CPCD!$B$1:$H$1476,7,0))</f>
        <v>7.44% Pnb Housing Finance Ltd (31-Oct-2019) **</v>
      </c>
      <c r="C8" s="39" t="s">
        <v>729</v>
      </c>
      <c r="D8" s="39">
        <v>3500</v>
      </c>
      <c r="E8" s="68">
        <v>34909.175000000003</v>
      </c>
      <c r="F8" s="68">
        <v>2.9021710936804399</v>
      </c>
    </row>
    <row r="9" spans="1:6" x14ac:dyDescent="0.2">
      <c r="A9" s="39" t="s">
        <v>1099</v>
      </c>
      <c r="B9" s="39" t="str">
        <f>IFERROR(VLOOKUP(A9,[1]Bonds!$B$1:$K$2669,10,0),VLOOKUP(A9,[1]CPCD!$B$1:$H$1476,7,0))</f>
        <v>0.00% LIC Housing Finance Ltd (02-Sep-2019) **</v>
      </c>
      <c r="C9" s="39" t="s">
        <v>361</v>
      </c>
      <c r="D9" s="39">
        <v>1350</v>
      </c>
      <c r="E9" s="68">
        <v>21134.319842299999</v>
      </c>
      <c r="F9" s="68">
        <v>1.7569997609774499</v>
      </c>
    </row>
    <row r="10" spans="1:6" x14ac:dyDescent="0.2">
      <c r="A10" s="39" t="s">
        <v>963</v>
      </c>
      <c r="B10" s="39" t="str">
        <f>IFERROR(VLOOKUP(A10,[1]Bonds!$B$1:$K$2669,10,0),VLOOKUP(A10,[1]CPCD!$B$1:$H$1476,7,0))</f>
        <v>7.75% Talwandi Sabo Power Ltd (20-Sep-2019) **</v>
      </c>
      <c r="C10" s="39" t="s">
        <v>760</v>
      </c>
      <c r="D10" s="39">
        <v>1800</v>
      </c>
      <c r="E10" s="68">
        <v>17997.9960006</v>
      </c>
      <c r="F10" s="68">
        <v>1.4962617631931301</v>
      </c>
    </row>
    <row r="11" spans="1:6" x14ac:dyDescent="0.2">
      <c r="A11" s="39" t="s">
        <v>1100</v>
      </c>
      <c r="B11" s="39" t="str">
        <f>IFERROR(VLOOKUP(A11,[1]Bonds!$B$1:$K$2669,10,0),VLOOKUP(A11,[1]CPCD!$B$1:$H$1476,7,0))</f>
        <v>8.75% Jm Financial Credit Solutions Ltd (12-Sep-2019) **</v>
      </c>
      <c r="C11" s="39" t="s">
        <v>367</v>
      </c>
      <c r="D11" s="39">
        <v>1150</v>
      </c>
      <c r="E11" s="68">
        <v>11491.986800000001</v>
      </c>
      <c r="F11" s="68">
        <v>0.95538527908256698</v>
      </c>
    </row>
    <row r="12" spans="1:6" x14ac:dyDescent="0.2">
      <c r="A12" s="39" t="s">
        <v>1101</v>
      </c>
      <c r="B12" s="39" t="str">
        <f>IFERROR(VLOOKUP(A12,[1]Bonds!$B$1:$K$2669,10,0),VLOOKUP(A12,[1]CPCD!$B$1:$H$1476,7,0))</f>
        <v>7.95% Pnb Housing Finance Ltd (18-Oct-2019) **</v>
      </c>
      <c r="C12" s="39" t="s">
        <v>729</v>
      </c>
      <c r="D12" s="39">
        <v>840</v>
      </c>
      <c r="E12" s="68">
        <v>8391.0036</v>
      </c>
      <c r="F12" s="68">
        <v>0.69758532233685</v>
      </c>
    </row>
    <row r="13" spans="1:6" x14ac:dyDescent="0.2">
      <c r="A13" s="39" t="s">
        <v>1102</v>
      </c>
      <c r="B13" s="39" t="str">
        <f>IFERROR(VLOOKUP(A13,[1]Bonds!$B$1:$K$2669,10,0),VLOOKUP(A13,[1]CPCD!$B$1:$H$1476,7,0))</f>
        <v>0.00% Lic Housing Finance Ltd (10-Sep-2019) **</v>
      </c>
      <c r="C13" s="39" t="s">
        <v>361</v>
      </c>
      <c r="D13" s="39">
        <v>500</v>
      </c>
      <c r="E13" s="68">
        <v>7771.6049814999997</v>
      </c>
      <c r="F13" s="68">
        <v>0.64609167443264404</v>
      </c>
    </row>
    <row r="14" spans="1:6" x14ac:dyDescent="0.2">
      <c r="A14" s="39" t="s">
        <v>1103</v>
      </c>
      <c r="B14" s="39" t="str">
        <f>IFERROR(VLOOKUP(A14,[1]Bonds!$B$1:$K$2669,10,0),VLOOKUP(A14,[1]CPCD!$B$1:$H$1476,7,0))</f>
        <v>9.71% Tata Motors Ltd (01-Oct-2019) **</v>
      </c>
      <c r="C14" s="39" t="s">
        <v>721</v>
      </c>
      <c r="D14" s="39">
        <v>700</v>
      </c>
      <c r="E14" s="68">
        <v>7014.21</v>
      </c>
      <c r="F14" s="68">
        <v>0.58312571142126002</v>
      </c>
    </row>
    <row r="15" spans="1:6" x14ac:dyDescent="0.2">
      <c r="A15" s="39" t="s">
        <v>1104</v>
      </c>
      <c r="B15" s="39" t="str">
        <f>IFERROR(VLOOKUP(A15,[1]Bonds!$B$1:$K$2669,10,0),VLOOKUP(A15,[1]CPCD!$B$1:$H$1476,7,0))</f>
        <v>7.00% Housing Development Finance Corp Ltd (06-Sep-2019) **</v>
      </c>
      <c r="C15" s="39" t="s">
        <v>361</v>
      </c>
      <c r="D15" s="39">
        <v>50</v>
      </c>
      <c r="E15" s="68">
        <v>5000.6120000000001</v>
      </c>
      <c r="F15" s="68">
        <v>0.41572542453700301</v>
      </c>
    </row>
    <row r="16" spans="1:6" x14ac:dyDescent="0.2">
      <c r="A16" s="39" t="s">
        <v>1105</v>
      </c>
      <c r="B16" s="39" t="str">
        <f>IFERROR(VLOOKUP(A16,[1]Bonds!$B$1:$K$2669,10,0),VLOOKUP(A16,[1]CPCD!$B$1:$H$1476,7,0))</f>
        <v>8.47% Volkswagen Finance Pvt Ltd (20-Sep-2019) **</v>
      </c>
      <c r="C16" s="39" t="s">
        <v>977</v>
      </c>
      <c r="D16" s="39">
        <v>300</v>
      </c>
      <c r="E16" s="68">
        <v>3003.5859998999999</v>
      </c>
      <c r="F16" s="68">
        <v>0.24970284935960299</v>
      </c>
    </row>
    <row r="17" spans="1:6" x14ac:dyDescent="0.2">
      <c r="A17" s="39" t="s">
        <v>1106</v>
      </c>
      <c r="B17" s="39" t="str">
        <f>IFERROR(VLOOKUP(A17,[1]Bonds!$B$1:$K$2669,10,0),VLOOKUP(A17,[1]CPCD!$B$1:$H$1476,7,0))</f>
        <v>8.20% Aditya Birla Finance Ltd (10-Sep-2019) **</v>
      </c>
      <c r="C17" s="39" t="s">
        <v>973</v>
      </c>
      <c r="D17" s="39">
        <v>50</v>
      </c>
      <c r="E17" s="68">
        <v>500.24549999999999</v>
      </c>
      <c r="F17" s="68">
        <v>4.1587864217464798E-2</v>
      </c>
    </row>
    <row r="18" spans="1:6" x14ac:dyDescent="0.2">
      <c r="A18" s="38" t="s">
        <v>44</v>
      </c>
      <c r="B18" s="39"/>
      <c r="C18" s="39"/>
      <c r="D18" s="39"/>
      <c r="E18" s="69">
        <f>SUM(E8:E17)</f>
        <v>117214.7397243</v>
      </c>
      <c r="F18" s="69">
        <f>SUM(F8:F17)</f>
        <v>9.7446367432384111</v>
      </c>
    </row>
    <row r="19" spans="1:6" x14ac:dyDescent="0.2">
      <c r="A19" s="39"/>
      <c r="B19" s="39"/>
      <c r="C19" s="39"/>
      <c r="D19" s="39"/>
      <c r="E19" s="68"/>
      <c r="F19" s="68"/>
    </row>
    <row r="20" spans="1:6" x14ac:dyDescent="0.2">
      <c r="A20" s="38" t="s">
        <v>864</v>
      </c>
      <c r="B20" s="39"/>
      <c r="C20" s="39"/>
      <c r="D20" s="39"/>
      <c r="E20" s="68"/>
      <c r="F20" s="68"/>
    </row>
    <row r="21" spans="1:6" x14ac:dyDescent="0.2">
      <c r="A21" s="38" t="s">
        <v>865</v>
      </c>
      <c r="B21" s="39"/>
      <c r="C21" s="39"/>
      <c r="D21" s="39"/>
      <c r="E21" s="68"/>
      <c r="F21" s="68"/>
    </row>
    <row r="22" spans="1:6" x14ac:dyDescent="0.2">
      <c r="A22" s="39" t="s">
        <v>1107</v>
      </c>
      <c r="B22" s="39" t="str">
        <f>IFERROR(VLOOKUP(A22,[1]Bonds!$B$1:$K$2669,10,0),VLOOKUP(A22,[1]CPCD!$B$1:$H$1476,7,0))</f>
        <v>Axis Bank Ltd (14-Nov-2019) **</v>
      </c>
      <c r="C22" s="39" t="s">
        <v>869</v>
      </c>
      <c r="D22" s="39">
        <v>5000</v>
      </c>
      <c r="E22" s="68">
        <v>4944.125</v>
      </c>
      <c r="F22" s="68">
        <v>0.41102938292133201</v>
      </c>
    </row>
    <row r="23" spans="1:6" x14ac:dyDescent="0.2">
      <c r="A23" s="39" t="s">
        <v>1108</v>
      </c>
      <c r="B23" s="39" t="str">
        <f>IFERROR(VLOOKUP(A23,[1]Bonds!$B$1:$K$2669,10,0),VLOOKUP(A23,[1]CPCD!$B$1:$H$1476,7,0))</f>
        <v>National Bank For Agriculture And Rural Development (27-Nov-2019)</v>
      </c>
      <c r="C23" s="39" t="s">
        <v>869</v>
      </c>
      <c r="D23" s="39">
        <v>5000</v>
      </c>
      <c r="E23" s="68">
        <v>4934.2150000000001</v>
      </c>
      <c r="F23" s="68">
        <v>0.41020551597121502</v>
      </c>
    </row>
    <row r="24" spans="1:6" x14ac:dyDescent="0.2">
      <c r="A24" s="38" t="s">
        <v>44</v>
      </c>
      <c r="B24" s="39"/>
      <c r="C24" s="39"/>
      <c r="D24" s="39"/>
      <c r="E24" s="69">
        <f>SUM(E22:E23)</f>
        <v>9878.34</v>
      </c>
      <c r="F24" s="69">
        <f>SUM(F22:F23)</f>
        <v>0.82123489889254708</v>
      </c>
    </row>
    <row r="25" spans="1:6" x14ac:dyDescent="0.2">
      <c r="A25" s="39"/>
      <c r="B25" s="39"/>
      <c r="C25" s="39"/>
      <c r="D25" s="39"/>
      <c r="E25" s="68"/>
      <c r="F25" s="68"/>
    </row>
    <row r="26" spans="1:6" x14ac:dyDescent="0.2">
      <c r="A26" s="38" t="s">
        <v>870</v>
      </c>
      <c r="B26" s="39"/>
      <c r="C26" s="39"/>
      <c r="D26" s="39"/>
      <c r="E26" s="68"/>
      <c r="F26" s="68"/>
    </row>
    <row r="27" spans="1:6" x14ac:dyDescent="0.2">
      <c r="A27" s="39" t="s">
        <v>1109</v>
      </c>
      <c r="B27" s="39" t="str">
        <f>IFERROR(VLOOKUP(A27,[1]Bonds!$B$1:$K$2669,10,0),VLOOKUP(A27,[1]CPCD!$B$1:$H$1476,7,0))</f>
        <v>Rec Ltd (27-Sep-2019) **</v>
      </c>
      <c r="C27" s="39" t="s">
        <v>869</v>
      </c>
      <c r="D27" s="39">
        <v>8000</v>
      </c>
      <c r="E27" s="68">
        <v>39841.32</v>
      </c>
      <c r="F27" s="68">
        <v>3.3122045203896202</v>
      </c>
    </row>
    <row r="28" spans="1:6" x14ac:dyDescent="0.2">
      <c r="A28" s="39" t="s">
        <v>1110</v>
      </c>
      <c r="B28" s="39" t="str">
        <f>IFERROR(VLOOKUP(A28,[1]Bonds!$B$1:$K$2669,10,0),VLOOKUP(A28,[1]CPCD!$B$1:$H$1476,7,0))</f>
        <v>Birla Group Holdings Pvt Ltd (27-Sep-2019) **</v>
      </c>
      <c r="C28" s="39" t="s">
        <v>869</v>
      </c>
      <c r="D28" s="39">
        <v>8000</v>
      </c>
      <c r="E28" s="68">
        <v>39793.199999999997</v>
      </c>
      <c r="F28" s="68">
        <v>3.30820406855918</v>
      </c>
    </row>
    <row r="29" spans="1:6" x14ac:dyDescent="0.2">
      <c r="A29" s="39" t="s">
        <v>1111</v>
      </c>
      <c r="B29" s="39" t="str">
        <f>IFERROR(VLOOKUP(A29,[1]Bonds!$B$1:$K$2669,10,0),VLOOKUP(A29,[1]CPCD!$B$1:$H$1476,7,0))</f>
        <v>Reliance Retail Ltd (05-Nov-2019) **</v>
      </c>
      <c r="C29" s="39" t="s">
        <v>872</v>
      </c>
      <c r="D29" s="39">
        <v>8000</v>
      </c>
      <c r="E29" s="68">
        <v>39597.24</v>
      </c>
      <c r="F29" s="68">
        <v>3.29191295175342</v>
      </c>
    </row>
    <row r="30" spans="1:6" x14ac:dyDescent="0.2">
      <c r="A30" s="39" t="s">
        <v>1112</v>
      </c>
      <c r="B30" s="39" t="str">
        <f>IFERROR(VLOOKUP(A30,[1]Bonds!$B$1:$K$2669,10,0),VLOOKUP(A30,[1]CPCD!$B$1:$H$1476,7,0))</f>
        <v>L&amp;T Finance Ltd (04-Nov-2019) **</v>
      </c>
      <c r="C30" s="39" t="s">
        <v>872</v>
      </c>
      <c r="D30" s="39">
        <v>8000</v>
      </c>
      <c r="E30" s="68">
        <v>39580.28</v>
      </c>
      <c r="F30" s="68">
        <v>3.29050298369348</v>
      </c>
    </row>
    <row r="31" spans="1:6" x14ac:dyDescent="0.2">
      <c r="A31" s="39" t="s">
        <v>1113</v>
      </c>
      <c r="B31" s="39" t="str">
        <f>IFERROR(VLOOKUP(A31,[1]Bonds!$B$1:$K$2669,10,0),VLOOKUP(A31,[1]CPCD!$B$1:$H$1476,7,0))</f>
        <v>Reliance Retail Ltd (11-Oct-2019) **</v>
      </c>
      <c r="C31" s="39" t="s">
        <v>872</v>
      </c>
      <c r="D31" s="39">
        <v>6000</v>
      </c>
      <c r="E31" s="68">
        <v>29813.97</v>
      </c>
      <c r="F31" s="68">
        <v>2.4785816886780001</v>
      </c>
    </row>
    <row r="32" spans="1:6" x14ac:dyDescent="0.2">
      <c r="A32" s="39" t="s">
        <v>1114</v>
      </c>
      <c r="B32" s="39" t="str">
        <f>IFERROR(VLOOKUP(A32,[1]Bonds!$B$1:$K$2669,10,0),VLOOKUP(A32,[1]CPCD!$B$1:$H$1476,7,0))</f>
        <v>L&amp;T Housing Finance Limited (27-Nov-2019) **</v>
      </c>
      <c r="C32" s="39" t="s">
        <v>872</v>
      </c>
      <c r="D32" s="39">
        <v>6000</v>
      </c>
      <c r="E32" s="68">
        <v>29577.69</v>
      </c>
      <c r="F32" s="68">
        <v>2.45893857233352</v>
      </c>
    </row>
    <row r="33" spans="1:6" x14ac:dyDescent="0.2">
      <c r="A33" s="39" t="s">
        <v>1115</v>
      </c>
      <c r="B33" s="39" t="str">
        <f>IFERROR(VLOOKUP(A33,[1]Bonds!$B$1:$K$2669,10,0),VLOOKUP(A33,[1]CPCD!$B$1:$H$1476,7,0))</f>
        <v>Fullerton India Credit Co Ltd (11-Sep-2019) **</v>
      </c>
      <c r="C33" s="39" t="s">
        <v>867</v>
      </c>
      <c r="D33" s="39">
        <v>5700</v>
      </c>
      <c r="E33" s="68">
        <v>28447.503000000001</v>
      </c>
      <c r="F33" s="68">
        <v>2.3649805787156999</v>
      </c>
    </row>
    <row r="34" spans="1:6" x14ac:dyDescent="0.2">
      <c r="A34" s="39" t="s">
        <v>1116</v>
      </c>
      <c r="B34" s="39" t="str">
        <f>IFERROR(VLOOKUP(A34,[1]Bonds!$B$1:$K$2669,10,0),VLOOKUP(A34,[1]CPCD!$B$1:$H$1476,7,0))</f>
        <v>Adani Ports And Special Economic Zone Ltd (11-Sep-2019) **</v>
      </c>
      <c r="C34" s="39" t="s">
        <v>867</v>
      </c>
      <c r="D34" s="39">
        <v>4000</v>
      </c>
      <c r="E34" s="68">
        <v>19956.099999999999</v>
      </c>
      <c r="F34" s="68">
        <v>1.6590485613766599</v>
      </c>
    </row>
    <row r="35" spans="1:6" x14ac:dyDescent="0.2">
      <c r="A35" s="39" t="s">
        <v>1117</v>
      </c>
      <c r="B35" s="39" t="str">
        <f>IFERROR(VLOOKUP(A35,[1]Bonds!$B$1:$K$2669,10,0),VLOOKUP(A35,[1]CPCD!$B$1:$H$1476,7,0))</f>
        <v>Reliance Retail Ltd (04-Nov-2019) **</v>
      </c>
      <c r="C35" s="39" t="s">
        <v>872</v>
      </c>
      <c r="D35" s="39">
        <v>4000</v>
      </c>
      <c r="E35" s="68">
        <v>19801.66</v>
      </c>
      <c r="F35" s="68">
        <v>1.6462092060006599</v>
      </c>
    </row>
    <row r="36" spans="1:6" x14ac:dyDescent="0.2">
      <c r="A36" s="39" t="s">
        <v>1118</v>
      </c>
      <c r="B36" s="39" t="str">
        <f>IFERROR(VLOOKUP(A36,[1]Bonds!$B$1:$K$2669,10,0),VLOOKUP(A36,[1]CPCD!$B$1:$H$1476,7,0))</f>
        <v>Magma Fincorp Ltd (03-Sep-2019) **</v>
      </c>
      <c r="C36" s="39" t="s">
        <v>872</v>
      </c>
      <c r="D36" s="39">
        <v>3000</v>
      </c>
      <c r="E36" s="68">
        <v>14989.71</v>
      </c>
      <c r="F36" s="68">
        <v>1.24616817970212</v>
      </c>
    </row>
    <row r="37" spans="1:6" x14ac:dyDescent="0.2">
      <c r="A37" s="39" t="s">
        <v>1119</v>
      </c>
      <c r="B37" s="39" t="str">
        <f>IFERROR(VLOOKUP(A37,[1]Bonds!$B$1:$K$2669,10,0),VLOOKUP(A37,[1]CPCD!$B$1:$H$1476,7,0))</f>
        <v>Tata Power Delhi Distribution Ltd (06-Sep-2019) **</v>
      </c>
      <c r="C37" s="39" t="s">
        <v>867</v>
      </c>
      <c r="D37" s="39">
        <v>3000</v>
      </c>
      <c r="E37" s="68">
        <v>14981.82</v>
      </c>
      <c r="F37" s="68">
        <v>1.2455122452685701</v>
      </c>
    </row>
    <row r="38" spans="1:6" x14ac:dyDescent="0.2">
      <c r="A38" s="39" t="s">
        <v>1120</v>
      </c>
      <c r="B38" s="39" t="str">
        <f>IFERROR(VLOOKUP(A38,[1]Bonds!$B$1:$K$2669,10,0),VLOOKUP(A38,[1]CPCD!$B$1:$H$1476,7,0))</f>
        <v>Motilal Oswal Financial Services Ltd (23-Sep-2019) **</v>
      </c>
      <c r="C38" s="39" t="s">
        <v>869</v>
      </c>
      <c r="D38" s="39">
        <v>3000</v>
      </c>
      <c r="E38" s="68">
        <v>14926.68</v>
      </c>
      <c r="F38" s="68">
        <v>1.2409281863755901</v>
      </c>
    </row>
    <row r="39" spans="1:6" x14ac:dyDescent="0.2">
      <c r="A39" s="39" t="s">
        <v>1121</v>
      </c>
      <c r="B39" s="39" t="str">
        <f>IFERROR(VLOOKUP(A39,[1]Bonds!$B$1:$K$2669,10,0),VLOOKUP(A39,[1]CPCD!$B$1:$H$1476,7,0))</f>
        <v>Motilal Oswal Financial Services Ltd (27-Sep-2019) **</v>
      </c>
      <c r="C39" s="39" t="s">
        <v>869</v>
      </c>
      <c r="D39" s="39">
        <v>3000</v>
      </c>
      <c r="E39" s="68">
        <v>14914.004999999999</v>
      </c>
      <c r="F39" s="68">
        <v>1.2398744514015401</v>
      </c>
    </row>
    <row r="40" spans="1:6" x14ac:dyDescent="0.2">
      <c r="A40" s="39" t="s">
        <v>1122</v>
      </c>
      <c r="B40" s="39" t="str">
        <f>IFERROR(VLOOKUP(A40,[1]Bonds!$B$1:$K$2669,10,0),VLOOKUP(A40,[1]CPCD!$B$1:$H$1476,7,0))</f>
        <v>Ht Media Ltd (23-Sep-2019) **</v>
      </c>
      <c r="C40" s="39" t="s">
        <v>867</v>
      </c>
      <c r="D40" s="39">
        <v>2200</v>
      </c>
      <c r="E40" s="68">
        <v>10959.255999999999</v>
      </c>
      <c r="F40" s="68">
        <v>0.91109675239944499</v>
      </c>
    </row>
    <row r="41" spans="1:6" x14ac:dyDescent="0.2">
      <c r="A41" s="39" t="s">
        <v>1123</v>
      </c>
      <c r="B41" s="39" t="str">
        <f>IFERROR(VLOOKUP(A41,[1]Bonds!$B$1:$K$2669,10,0),VLOOKUP(A41,[1]CPCD!$B$1:$H$1476,7,0))</f>
        <v>Ht Media Ltd (05-Sep-2019) **</v>
      </c>
      <c r="C41" s="39" t="s">
        <v>867</v>
      </c>
      <c r="D41" s="39">
        <v>2000</v>
      </c>
      <c r="E41" s="68">
        <v>9991.84</v>
      </c>
      <c r="F41" s="68">
        <v>0.830670711086124</v>
      </c>
    </row>
    <row r="42" spans="1:6" x14ac:dyDescent="0.2">
      <c r="A42" s="39" t="s">
        <v>1124</v>
      </c>
      <c r="B42" s="39" t="str">
        <f>IFERROR(VLOOKUP(A42,[1]Bonds!$B$1:$K$2669,10,0),VLOOKUP(A42,[1]CPCD!$B$1:$H$1476,7,0))</f>
        <v>Magma Fincorp Ltd (09-Sep-2019) **</v>
      </c>
      <c r="C42" s="39" t="s">
        <v>872</v>
      </c>
      <c r="D42" s="39">
        <v>2000</v>
      </c>
      <c r="E42" s="68">
        <v>9980.07</v>
      </c>
      <c r="F42" s="68">
        <v>0.82969221320490505</v>
      </c>
    </row>
    <row r="43" spans="1:6" x14ac:dyDescent="0.2">
      <c r="A43" s="39" t="s">
        <v>1125</v>
      </c>
      <c r="B43" s="39" t="str">
        <f>IFERROR(VLOOKUP(A43,[1]Bonds!$B$1:$K$2669,10,0),VLOOKUP(A43,[1]CPCD!$B$1:$H$1476,7,0))</f>
        <v>Tata Realty &amp; Infrastructure Ltd (12-Sep-2019) **</v>
      </c>
      <c r="C43" s="39" t="s">
        <v>867</v>
      </c>
      <c r="D43" s="39">
        <v>2000</v>
      </c>
      <c r="E43" s="68">
        <v>9977.61</v>
      </c>
      <c r="F43" s="68">
        <v>0.82948770132828598</v>
      </c>
    </row>
    <row r="44" spans="1:6" x14ac:dyDescent="0.2">
      <c r="A44" s="39" t="s">
        <v>1126</v>
      </c>
      <c r="B44" s="39" t="str">
        <f>IFERROR(VLOOKUP(A44,[1]Bonds!$B$1:$K$2669,10,0),VLOOKUP(A44,[1]CPCD!$B$1:$H$1476,7,0))</f>
        <v>Tata Housing Development Co Ltd (13-Sep-2019) **</v>
      </c>
      <c r="C44" s="39" t="s">
        <v>872</v>
      </c>
      <c r="D44" s="39">
        <v>2000</v>
      </c>
      <c r="E44" s="68">
        <v>9976.4599999999991</v>
      </c>
      <c r="F44" s="68">
        <v>0.82939209618271204</v>
      </c>
    </row>
    <row r="45" spans="1:6" x14ac:dyDescent="0.2">
      <c r="A45" s="39" t="s">
        <v>1127</v>
      </c>
      <c r="B45" s="39" t="str">
        <f>IFERROR(VLOOKUP(A45,[1]Bonds!$B$1:$K$2669,10,0),VLOOKUP(A45,[1]CPCD!$B$1:$H$1476,7,0))</f>
        <v>Adani Ports And Special Economic Zone Ltd (18-Sep-2019) **</v>
      </c>
      <c r="C45" s="39" t="s">
        <v>867</v>
      </c>
      <c r="D45" s="39">
        <v>2000</v>
      </c>
      <c r="E45" s="68">
        <v>9963.6</v>
      </c>
      <c r="F45" s="68">
        <v>0.82832298125047099</v>
      </c>
    </row>
    <row r="46" spans="1:6" x14ac:dyDescent="0.2">
      <c r="A46" s="39" t="s">
        <v>1128</v>
      </c>
      <c r="B46" s="39" t="str">
        <f>IFERROR(VLOOKUP(A46,[1]Bonds!$B$1:$K$2669,10,0),VLOOKUP(A46,[1]CPCD!$B$1:$H$1476,7,0))</f>
        <v>Adani Ports And Special Economic Zone Ltd (19-Sep-2019) **</v>
      </c>
      <c r="C46" s="39" t="s">
        <v>867</v>
      </c>
      <c r="D46" s="39">
        <v>2000</v>
      </c>
      <c r="E46" s="68">
        <v>9961.83</v>
      </c>
      <c r="F46" s="68">
        <v>0.82817583246119697</v>
      </c>
    </row>
    <row r="47" spans="1:6" x14ac:dyDescent="0.2">
      <c r="A47" s="39" t="s">
        <v>1129</v>
      </c>
      <c r="B47" s="39" t="str">
        <f>IFERROR(VLOOKUP(A47,[1]Bonds!$B$1:$K$2669,10,0),VLOOKUP(A47,[1]CPCD!$B$1:$H$1476,7,0))</f>
        <v>Birla Group Holdings Pvt Ltd (25-Sep-2019) **</v>
      </c>
      <c r="C47" s="39" t="s">
        <v>869</v>
      </c>
      <c r="D47" s="39">
        <v>2000</v>
      </c>
      <c r="E47" s="68">
        <v>9952.11</v>
      </c>
      <c r="F47" s="68">
        <v>0.82736776114382604</v>
      </c>
    </row>
    <row r="48" spans="1:6" x14ac:dyDescent="0.2">
      <c r="A48" s="39" t="s">
        <v>1130</v>
      </c>
      <c r="B48" s="39" t="str">
        <f>IFERROR(VLOOKUP(A48,[1]Bonds!$B$1:$K$2669,10,0),VLOOKUP(A48,[1]CPCD!$B$1:$H$1476,7,0))</f>
        <v>Adani Ports And Special Economic Zone Ltd (30-Sep-2019) **</v>
      </c>
      <c r="C48" s="39" t="s">
        <v>867</v>
      </c>
      <c r="D48" s="39">
        <v>2000</v>
      </c>
      <c r="E48" s="68">
        <v>9941.33</v>
      </c>
      <c r="F48" s="68">
        <v>0.82647156682270895</v>
      </c>
    </row>
    <row r="49" spans="1:6" x14ac:dyDescent="0.2">
      <c r="A49" s="39" t="s">
        <v>1131</v>
      </c>
      <c r="B49" s="39" t="str">
        <f>IFERROR(VLOOKUP(A49,[1]Bonds!$B$1:$K$2669,10,0),VLOOKUP(A49,[1]CPCD!$B$1:$H$1476,7,0))</f>
        <v>Tata Capital Financial Services Ltd (11-Oct-2019) **</v>
      </c>
      <c r="C49" s="39" t="s">
        <v>869</v>
      </c>
      <c r="D49" s="39">
        <v>2000</v>
      </c>
      <c r="E49" s="68">
        <v>9935.66</v>
      </c>
      <c r="F49" s="68">
        <v>0.82600019188757601</v>
      </c>
    </row>
    <row r="50" spans="1:6" x14ac:dyDescent="0.2">
      <c r="A50" s="39" t="s">
        <v>1132</v>
      </c>
      <c r="B50" s="39" t="str">
        <f>IFERROR(VLOOKUP(A50,[1]Bonds!$B$1:$K$2669,10,0),VLOOKUP(A50,[1]CPCD!$B$1:$H$1476,7,0))</f>
        <v>Reliance Retail Ltd (25-Oct-2019) **</v>
      </c>
      <c r="C50" s="39" t="s">
        <v>869</v>
      </c>
      <c r="D50" s="39">
        <v>2000</v>
      </c>
      <c r="E50" s="68">
        <v>9916.4699999999993</v>
      </c>
      <c r="F50" s="68">
        <v>0.82440483298013401</v>
      </c>
    </row>
    <row r="51" spans="1:6" x14ac:dyDescent="0.2">
      <c r="A51" s="39" t="s">
        <v>1133</v>
      </c>
      <c r="B51" s="39" t="str">
        <f>IFERROR(VLOOKUP(A51,[1]Bonds!$B$1:$K$2669,10,0),VLOOKUP(A51,[1]CPCD!$B$1:$H$1476,7,0))</f>
        <v>Toyota Financial Services India Ltd (11-Nov-2019)</v>
      </c>
      <c r="C51" s="39" t="s">
        <v>867</v>
      </c>
      <c r="D51" s="39">
        <v>2000</v>
      </c>
      <c r="E51" s="68">
        <v>9886.11</v>
      </c>
      <c r="F51" s="68">
        <v>0.821880857136988</v>
      </c>
    </row>
    <row r="52" spans="1:6" x14ac:dyDescent="0.2">
      <c r="A52" s="39" t="s">
        <v>1134</v>
      </c>
      <c r="B52" s="39" t="str">
        <f>IFERROR(VLOOKUP(A52,[1]Bonds!$B$1:$K$2669,10,0),VLOOKUP(A52,[1]CPCD!$B$1:$H$1476,7,0))</f>
        <v>Tata Housing Development Co Ltd (04-Nov-2019) **</v>
      </c>
      <c r="C52" s="39" t="s">
        <v>872</v>
      </c>
      <c r="D52" s="39">
        <v>2000</v>
      </c>
      <c r="E52" s="68">
        <v>9878.27</v>
      </c>
      <c r="F52" s="68">
        <v>0.821229079448903</v>
      </c>
    </row>
    <row r="53" spans="1:6" x14ac:dyDescent="0.2">
      <c r="A53" s="39" t="s">
        <v>1135</v>
      </c>
      <c r="B53" s="39" t="str">
        <f>IFERROR(VLOOKUP(A53,[1]Bonds!$B$1:$K$2669,10,0),VLOOKUP(A53,[1]CPCD!$B$1:$H$1476,7,0))</f>
        <v>Tata Value Homes Ltd (28-Nov-2019)</v>
      </c>
      <c r="C53" s="39" t="s">
        <v>872</v>
      </c>
      <c r="D53" s="39">
        <v>2000</v>
      </c>
      <c r="E53" s="68">
        <v>9820.64</v>
      </c>
      <c r="F53" s="68">
        <v>0.81643801463202303</v>
      </c>
    </row>
    <row r="54" spans="1:6" x14ac:dyDescent="0.2">
      <c r="A54" s="39" t="s">
        <v>1136</v>
      </c>
      <c r="B54" s="39" t="str">
        <f>IFERROR(VLOOKUP(A54,[1]Bonds!$B$1:$K$2669,10,0),VLOOKUP(A54,[1]CPCD!$B$1:$H$1476,7,0))</f>
        <v>Jm Financial Services Ltd (06-Sep-2019) **</v>
      </c>
      <c r="C54" s="39" t="s">
        <v>872</v>
      </c>
      <c r="D54" s="39">
        <v>1500</v>
      </c>
      <c r="E54" s="68">
        <v>7489.5524999999998</v>
      </c>
      <c r="F54" s="68">
        <v>0.62264326699505401</v>
      </c>
    </row>
    <row r="55" spans="1:6" x14ac:dyDescent="0.2">
      <c r="A55" s="39" t="s">
        <v>1137</v>
      </c>
      <c r="B55" s="39" t="str">
        <f>IFERROR(VLOOKUP(A55,[1]Bonds!$B$1:$K$2669,10,0),VLOOKUP(A55,[1]CPCD!$B$1:$H$1476,7,0))</f>
        <v>Jm Financial Capital Ltd (29-Nov-2019)</v>
      </c>
      <c r="C55" s="39" t="s">
        <v>867</v>
      </c>
      <c r="D55" s="39">
        <v>1500</v>
      </c>
      <c r="E55" s="68">
        <v>7337.1750000000002</v>
      </c>
      <c r="F55" s="68">
        <v>0.60997537736926699</v>
      </c>
    </row>
    <row r="56" spans="1:6" x14ac:dyDescent="0.2">
      <c r="A56" s="39" t="s">
        <v>1138</v>
      </c>
      <c r="B56" s="39" t="str">
        <f>IFERROR(VLOOKUP(A56,[1]Bonds!$B$1:$K$2669,10,0),VLOOKUP(A56,[1]CPCD!$B$1:$H$1476,7,0))</f>
        <v>Aditya Birla Capital Ltd (15-Oct-2019) **</v>
      </c>
      <c r="C56" s="39" t="s">
        <v>867</v>
      </c>
      <c r="D56" s="39">
        <v>1000</v>
      </c>
      <c r="E56" s="68">
        <v>4961.07</v>
      </c>
      <c r="F56" s="68">
        <v>0.41243810395763297</v>
      </c>
    </row>
    <row r="57" spans="1:6" x14ac:dyDescent="0.2">
      <c r="A57" s="39" t="s">
        <v>1139</v>
      </c>
      <c r="B57" s="39" t="str">
        <f>IFERROR(VLOOKUP(A57,[1]Bonds!$B$1:$K$2669,10,0),VLOOKUP(A57,[1]CPCD!$B$1:$H$1476,7,0))</f>
        <v>Housing &amp; Urban Development Corp Ltd (22-Nov-2019) **</v>
      </c>
      <c r="C57" s="39" t="s">
        <v>867</v>
      </c>
      <c r="D57" s="39">
        <v>1000</v>
      </c>
      <c r="E57" s="68">
        <v>4937.63</v>
      </c>
      <c r="F57" s="68">
        <v>0.41048942168611402</v>
      </c>
    </row>
    <row r="58" spans="1:6" x14ac:dyDescent="0.2">
      <c r="A58" s="39" t="s">
        <v>1083</v>
      </c>
      <c r="B58" s="39" t="str">
        <f>IFERROR(VLOOKUP(A58,[1]Bonds!$B$1:$K$2669,10,0),VLOOKUP(A58,[1]CPCD!$B$1:$H$1476,7,0))</f>
        <v>L&amp;T Infrastructure Finance Co Ltd (13-Sep-2019) **</v>
      </c>
      <c r="C58" s="39" t="s">
        <v>867</v>
      </c>
      <c r="D58" s="39">
        <v>700</v>
      </c>
      <c r="E58" s="68">
        <v>3492.9405000000002</v>
      </c>
      <c r="F58" s="68">
        <v>0.29038529128934398</v>
      </c>
    </row>
    <row r="59" spans="1:6" x14ac:dyDescent="0.2">
      <c r="A59" s="39" t="s">
        <v>1140</v>
      </c>
      <c r="B59" s="39" t="str">
        <f>IFERROR(VLOOKUP(A59,[1]Bonds!$B$1:$K$2669,10,0),VLOOKUP(A59,[1]CPCD!$B$1:$H$1476,7,0))</f>
        <v>Kotak Mahindra Investments Ltd (06-Sep-2019) **</v>
      </c>
      <c r="C59" s="39" t="s">
        <v>869</v>
      </c>
      <c r="D59" s="39">
        <v>500</v>
      </c>
      <c r="E59" s="68">
        <v>2497.5675000000001</v>
      </c>
      <c r="F59" s="68">
        <v>0.207635047319672</v>
      </c>
    </row>
    <row r="60" spans="1:6" x14ac:dyDescent="0.2">
      <c r="A60" s="39" t="s">
        <v>1141</v>
      </c>
      <c r="B60" s="39" t="str">
        <f>IFERROR(VLOOKUP(A60,[1]Bonds!$B$1:$K$2669,10,0),VLOOKUP(A60,[1]CPCD!$B$1:$H$1476,7,0))</f>
        <v>Ceat Ltd (11-Sep-2019) **</v>
      </c>
      <c r="C60" s="39" t="s">
        <v>872</v>
      </c>
      <c r="D60" s="39">
        <v>500</v>
      </c>
      <c r="E60" s="68">
        <v>2495.42</v>
      </c>
      <c r="F60" s="68">
        <v>0.207456515102177</v>
      </c>
    </row>
    <row r="61" spans="1:6" x14ac:dyDescent="0.2">
      <c r="A61" s="39" t="s">
        <v>1142</v>
      </c>
      <c r="B61" s="39" t="str">
        <f>IFERROR(VLOOKUP(A61,[1]Bonds!$B$1:$K$2669,10,0),VLOOKUP(A61,[1]CPCD!$B$1:$H$1476,7,0))</f>
        <v>Jm Financial Services Ltd (18-Sep-2019) **</v>
      </c>
      <c r="C61" s="39" t="s">
        <v>867</v>
      </c>
      <c r="D61" s="39">
        <v>500</v>
      </c>
      <c r="E61" s="68">
        <v>2489.7975000000001</v>
      </c>
      <c r="F61" s="68">
        <v>0.206989089075231</v>
      </c>
    </row>
    <row r="62" spans="1:6" x14ac:dyDescent="0.2">
      <c r="A62" s="38" t="s">
        <v>44</v>
      </c>
      <c r="B62" s="39"/>
      <c r="C62" s="39"/>
      <c r="D62" s="39"/>
      <c r="E62" s="69">
        <f>SUM(E27:E61)</f>
        <v>522063.58699999994</v>
      </c>
      <c r="F62" s="69">
        <f>SUM(F27:F61)</f>
        <v>43.401708899007865</v>
      </c>
    </row>
    <row r="63" spans="1:6" x14ac:dyDescent="0.2">
      <c r="A63" s="39"/>
      <c r="B63" s="39"/>
      <c r="C63" s="39"/>
      <c r="D63" s="39"/>
      <c r="E63" s="68"/>
      <c r="F63" s="68"/>
    </row>
    <row r="64" spans="1:6" x14ac:dyDescent="0.2">
      <c r="A64" s="38" t="s">
        <v>1143</v>
      </c>
      <c r="B64" s="39"/>
      <c r="C64" s="39"/>
      <c r="D64" s="39"/>
      <c r="E64" s="68"/>
      <c r="F64" s="68"/>
    </row>
    <row r="65" spans="1:6" x14ac:dyDescent="0.2">
      <c r="A65" s="39" t="s">
        <v>1144</v>
      </c>
      <c r="B65" s="39" t="s">
        <v>1145</v>
      </c>
      <c r="C65" s="39" t="s">
        <v>1146</v>
      </c>
      <c r="D65" s="39">
        <v>68978900</v>
      </c>
      <c r="E65" s="68">
        <v>68818.248141899996</v>
      </c>
      <c r="F65" s="68">
        <v>5.7211988102024698</v>
      </c>
    </row>
    <row r="66" spans="1:6" x14ac:dyDescent="0.2">
      <c r="A66" s="39" t="s">
        <v>1147</v>
      </c>
      <c r="B66" s="39" t="s">
        <v>1148</v>
      </c>
      <c r="C66" s="39" t="s">
        <v>1146</v>
      </c>
      <c r="D66" s="39">
        <v>2500000</v>
      </c>
      <c r="E66" s="68">
        <v>2477.835</v>
      </c>
      <c r="F66" s="68">
        <v>0.20599458772399101</v>
      </c>
    </row>
    <row r="67" spans="1:6" x14ac:dyDescent="0.2">
      <c r="A67" s="38" t="s">
        <v>44</v>
      </c>
      <c r="B67" s="39"/>
      <c r="C67" s="39"/>
      <c r="D67" s="39"/>
      <c r="E67" s="69">
        <f>SUM(E65:E66)</f>
        <v>71296.083141900002</v>
      </c>
      <c r="F67" s="69">
        <f>SUM(F65:F66)</f>
        <v>5.9271933979264606</v>
      </c>
    </row>
    <row r="68" spans="1:6" x14ac:dyDescent="0.2">
      <c r="A68" s="39"/>
      <c r="B68" s="39"/>
      <c r="C68" s="39"/>
      <c r="D68" s="39"/>
      <c r="E68" s="68"/>
      <c r="F68" s="68"/>
    </row>
    <row r="69" spans="1:6" x14ac:dyDescent="0.2">
      <c r="A69" s="38" t="s">
        <v>44</v>
      </c>
      <c r="B69" s="39"/>
      <c r="C69" s="39"/>
      <c r="D69" s="39"/>
      <c r="E69" s="69">
        <v>720452.74986619991</v>
      </c>
      <c r="F69" s="69">
        <v>59.894773939065274</v>
      </c>
    </row>
    <row r="70" spans="1:6" x14ac:dyDescent="0.2">
      <c r="A70" s="39"/>
      <c r="B70" s="39"/>
      <c r="C70" s="39"/>
      <c r="D70" s="39"/>
      <c r="E70" s="68"/>
      <c r="F70" s="68"/>
    </row>
    <row r="71" spans="1:6" x14ac:dyDescent="0.2">
      <c r="A71" s="38" t="s">
        <v>76</v>
      </c>
      <c r="B71" s="39"/>
      <c r="C71" s="39"/>
      <c r="D71" s="39"/>
      <c r="E71" s="69">
        <v>482411.37734299997</v>
      </c>
      <c r="F71" s="69">
        <v>40.11</v>
      </c>
    </row>
    <row r="72" spans="1:6" x14ac:dyDescent="0.2">
      <c r="A72" s="39"/>
      <c r="B72" s="39"/>
      <c r="C72" s="39"/>
      <c r="D72" s="39"/>
      <c r="E72" s="68"/>
      <c r="F72" s="68"/>
    </row>
    <row r="73" spans="1:6" x14ac:dyDescent="0.2">
      <c r="A73" s="71" t="s">
        <v>77</v>
      </c>
      <c r="B73" s="66"/>
      <c r="C73" s="66"/>
      <c r="D73" s="66"/>
      <c r="E73" s="72">
        <v>1202864.1273429999</v>
      </c>
      <c r="F73" s="72">
        <f xml:space="preserve"> ROUND(SUM(F69:F72),2)</f>
        <v>100</v>
      </c>
    </row>
    <row r="74" spans="1:6" x14ac:dyDescent="0.2">
      <c r="A74" s="4" t="s">
        <v>619</v>
      </c>
    </row>
    <row r="76" spans="1:6" x14ac:dyDescent="0.2">
      <c r="A76" s="4" t="s">
        <v>78</v>
      </c>
    </row>
    <row r="77" spans="1:6" x14ac:dyDescent="0.2">
      <c r="A77" s="4" t="s">
        <v>650</v>
      </c>
    </row>
    <row r="78" spans="1:6" x14ac:dyDescent="0.2">
      <c r="A78" s="4" t="s">
        <v>80</v>
      </c>
    </row>
    <row r="79" spans="1:6" x14ac:dyDescent="0.2">
      <c r="A79" s="2" t="s">
        <v>885</v>
      </c>
      <c r="D79" s="10">
        <v>2769.4308000000001</v>
      </c>
    </row>
    <row r="80" spans="1:6" x14ac:dyDescent="0.2">
      <c r="A80" s="2" t="s">
        <v>896</v>
      </c>
      <c r="D80" s="10">
        <v>1000.7051</v>
      </c>
    </row>
    <row r="81" spans="1:4" x14ac:dyDescent="0.2">
      <c r="A81" s="2" t="s">
        <v>887</v>
      </c>
      <c r="D81" s="10">
        <v>1021.9031</v>
      </c>
    </row>
    <row r="82" spans="1:4" x14ac:dyDescent="0.2">
      <c r="A82" s="2" t="s">
        <v>1088</v>
      </c>
      <c r="D82" s="10">
        <v>2779.6037999999999</v>
      </c>
    </row>
    <row r="83" spans="1:4" x14ac:dyDescent="0.2">
      <c r="A83" s="2" t="s">
        <v>1149</v>
      </c>
      <c r="D83" s="10">
        <v>1001.8422</v>
      </c>
    </row>
    <row r="84" spans="1:4" x14ac:dyDescent="0.2">
      <c r="A84" s="2" t="s">
        <v>1090</v>
      </c>
      <c r="D84" s="10">
        <v>1022.1738</v>
      </c>
    </row>
    <row r="85" spans="1:4" x14ac:dyDescent="0.2">
      <c r="A85" s="2" t="s">
        <v>894</v>
      </c>
      <c r="D85" s="10">
        <v>2816.7887000000001</v>
      </c>
    </row>
    <row r="86" spans="1:4" x14ac:dyDescent="0.2">
      <c r="A86" s="2" t="s">
        <v>898</v>
      </c>
      <c r="D86" s="10">
        <v>1000.6505</v>
      </c>
    </row>
    <row r="87" spans="1:4" x14ac:dyDescent="0.2">
      <c r="A87" s="2" t="s">
        <v>1150</v>
      </c>
      <c r="D87" s="10">
        <v>1055.4812999999999</v>
      </c>
    </row>
    <row r="88" spans="1:4" x14ac:dyDescent="0.2">
      <c r="A88" s="2" t="s">
        <v>1091</v>
      </c>
      <c r="D88" s="10">
        <v>4345.2658000000001</v>
      </c>
    </row>
    <row r="89" spans="1:4" x14ac:dyDescent="0.2">
      <c r="A89" s="2" t="s">
        <v>1092</v>
      </c>
      <c r="D89" s="10">
        <v>1512.2955999999999</v>
      </c>
    </row>
    <row r="90" spans="1:4" x14ac:dyDescent="0.2">
      <c r="A90" s="2" t="s">
        <v>1093</v>
      </c>
      <c r="D90" s="10">
        <v>1245.1787999999999</v>
      </c>
    </row>
    <row r="91" spans="1:4" x14ac:dyDescent="0.2">
      <c r="A91" s="2" t="s">
        <v>1151</v>
      </c>
      <c r="D91" s="10">
        <v>11.7583</v>
      </c>
    </row>
    <row r="92" spans="1:4" x14ac:dyDescent="0.2">
      <c r="A92" s="2" t="s">
        <v>1152</v>
      </c>
      <c r="D92" s="10">
        <v>11.7583</v>
      </c>
    </row>
    <row r="94" spans="1:4" x14ac:dyDescent="0.2">
      <c r="A94" s="4" t="s">
        <v>81</v>
      </c>
    </row>
    <row r="95" spans="1:4" x14ac:dyDescent="0.2">
      <c r="A95" s="2" t="s">
        <v>885</v>
      </c>
      <c r="D95" s="10">
        <v>2869.3932</v>
      </c>
    </row>
    <row r="96" spans="1:4" x14ac:dyDescent="0.2">
      <c r="A96" s="2" t="s">
        <v>896</v>
      </c>
      <c r="D96" s="10">
        <v>1000.7051</v>
      </c>
    </row>
    <row r="97" spans="1:4" x14ac:dyDescent="0.2">
      <c r="A97" s="2" t="s">
        <v>887</v>
      </c>
      <c r="D97" s="10">
        <v>1021.9629</v>
      </c>
    </row>
    <row r="98" spans="1:4" x14ac:dyDescent="0.2">
      <c r="A98" s="2" t="s">
        <v>1088</v>
      </c>
      <c r="D98" s="10">
        <v>2880.7460000000001</v>
      </c>
    </row>
    <row r="99" spans="1:4" x14ac:dyDescent="0.2">
      <c r="A99" s="2" t="s">
        <v>1149</v>
      </c>
      <c r="D99" s="10">
        <v>1001.8422</v>
      </c>
    </row>
    <row r="100" spans="1:4" x14ac:dyDescent="0.2">
      <c r="A100" s="2" t="s">
        <v>1090</v>
      </c>
      <c r="D100" s="10">
        <v>1022.2363</v>
      </c>
    </row>
    <row r="101" spans="1:4" x14ac:dyDescent="0.2">
      <c r="A101" s="2" t="s">
        <v>894</v>
      </c>
      <c r="D101" s="10">
        <v>2912.0771</v>
      </c>
    </row>
    <row r="102" spans="1:4" x14ac:dyDescent="0.2">
      <c r="A102" s="2" t="s">
        <v>898</v>
      </c>
      <c r="D102" s="10">
        <v>1000.6505</v>
      </c>
    </row>
    <row r="103" spans="1:4" x14ac:dyDescent="0.2">
      <c r="A103" s="2" t="s">
        <v>1150</v>
      </c>
      <c r="D103" s="10">
        <v>1055.5118</v>
      </c>
    </row>
    <row r="104" spans="1:4" x14ac:dyDescent="0.2">
      <c r="A104" s="2" t="s">
        <v>1091</v>
      </c>
      <c r="D104" s="10">
        <v>4486.6475</v>
      </c>
    </row>
    <row r="105" spans="1:4" x14ac:dyDescent="0.2">
      <c r="A105" s="2" t="s">
        <v>1092</v>
      </c>
      <c r="D105" s="10">
        <v>1512.2955999999999</v>
      </c>
    </row>
    <row r="106" spans="1:4" x14ac:dyDescent="0.2">
      <c r="A106" s="2" t="s">
        <v>1093</v>
      </c>
      <c r="D106" s="10">
        <v>1245.23</v>
      </c>
    </row>
    <row r="107" spans="1:4" x14ac:dyDescent="0.2">
      <c r="A107" s="2" t="s">
        <v>1151</v>
      </c>
      <c r="D107" s="10">
        <v>12.162800000000001</v>
      </c>
    </row>
    <row r="108" spans="1:4" x14ac:dyDescent="0.2">
      <c r="A108" s="2" t="s">
        <v>1152</v>
      </c>
      <c r="D108" s="10">
        <v>12.162800000000001</v>
      </c>
    </row>
    <row r="110" spans="1:4" x14ac:dyDescent="0.2">
      <c r="A110" s="4" t="s">
        <v>82</v>
      </c>
      <c r="D110" s="44" t="s">
        <v>299</v>
      </c>
    </row>
    <row r="111" spans="1:4" x14ac:dyDescent="0.2">
      <c r="A111" s="79" t="s">
        <v>642</v>
      </c>
      <c r="B111" s="80"/>
      <c r="C111" s="109" t="s">
        <v>643</v>
      </c>
      <c r="D111" s="109"/>
    </row>
    <row r="112" spans="1:4" x14ac:dyDescent="0.2">
      <c r="A112" s="110"/>
      <c r="B112" s="110"/>
      <c r="C112" s="47" t="s">
        <v>644</v>
      </c>
      <c r="D112" s="47" t="s">
        <v>645</v>
      </c>
    </row>
    <row r="113" spans="1:5" x14ac:dyDescent="0.2">
      <c r="A113" s="48" t="s">
        <v>896</v>
      </c>
      <c r="B113" s="49"/>
      <c r="C113" s="54">
        <v>25.563282174999987</v>
      </c>
      <c r="D113" s="54">
        <v>23.671726692000007</v>
      </c>
    </row>
    <row r="114" spans="1:5" x14ac:dyDescent="0.2">
      <c r="A114" s="48" t="s">
        <v>887</v>
      </c>
      <c r="B114" s="49"/>
      <c r="C114" s="54">
        <v>26.056432646000001</v>
      </c>
      <c r="D114" s="54">
        <v>24.128386484</v>
      </c>
    </row>
    <row r="115" spans="1:5" x14ac:dyDescent="0.2">
      <c r="A115" s="48" t="s">
        <v>1094</v>
      </c>
      <c r="B115" s="49"/>
      <c r="C115" s="54">
        <v>25.780531429</v>
      </c>
      <c r="D115" s="54">
        <v>23.872900586999997</v>
      </c>
    </row>
    <row r="116" spans="1:5" x14ac:dyDescent="0.2">
      <c r="A116" s="48" t="s">
        <v>890</v>
      </c>
      <c r="B116" s="49"/>
      <c r="C116" s="54">
        <v>26.253473589999995</v>
      </c>
      <c r="D116" s="54">
        <v>24.310847382000002</v>
      </c>
    </row>
    <row r="117" spans="1:5" x14ac:dyDescent="0.2">
      <c r="A117" s="48" t="s">
        <v>898</v>
      </c>
      <c r="B117" s="49"/>
      <c r="C117" s="54">
        <v>23.982670933999998</v>
      </c>
      <c r="D117" s="54">
        <v>22.208072802000011</v>
      </c>
    </row>
    <row r="118" spans="1:5" x14ac:dyDescent="0.2">
      <c r="A118" s="48" t="s">
        <v>1150</v>
      </c>
      <c r="B118" s="49"/>
      <c r="C118" s="54">
        <v>25.353681601999998</v>
      </c>
      <c r="D118" s="54">
        <v>23.477635516000003</v>
      </c>
    </row>
    <row r="119" spans="1:5" x14ac:dyDescent="0.2">
      <c r="A119" s="48" t="s">
        <v>1095</v>
      </c>
      <c r="B119" s="49"/>
      <c r="C119" s="54">
        <v>34.883314205999994</v>
      </c>
      <c r="D119" s="54">
        <v>32.302122800000014</v>
      </c>
    </row>
    <row r="120" spans="1:5" x14ac:dyDescent="0.2">
      <c r="A120" s="48" t="s">
        <v>1093</v>
      </c>
      <c r="B120" s="49"/>
      <c r="C120" s="54">
        <v>28.680213423999994</v>
      </c>
      <c r="D120" s="54">
        <v>26.558020560999996</v>
      </c>
    </row>
    <row r="122" spans="1:5" x14ac:dyDescent="0.2">
      <c r="A122" s="4" t="s">
        <v>647</v>
      </c>
      <c r="D122" s="53">
        <v>5.9763599275845444E-2</v>
      </c>
      <c r="E122" s="73" t="s">
        <v>648</v>
      </c>
    </row>
  </sheetData>
  <mergeCells count="3">
    <mergeCell ref="A1:F1"/>
    <mergeCell ref="C111:D111"/>
    <mergeCell ref="A112:B11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0D6EE-EB1A-4A33-AD07-5AAED86D748F}">
  <dimension ref="A1:F140"/>
  <sheetViews>
    <sheetView showGridLines="0" zoomScaleNormal="100" workbookViewId="0">
      <selection sqref="A1:F1"/>
    </sheetView>
  </sheetViews>
  <sheetFormatPr defaultRowHeight="11.25" x14ac:dyDescent="0.2"/>
  <cols>
    <col min="1" max="1" width="38" style="2" customWidth="1"/>
    <col min="2" max="2" width="76.85546875" style="2" bestFit="1" customWidth="1"/>
    <col min="3" max="3" width="11.7109375" style="2" bestFit="1" customWidth="1"/>
    <col min="4" max="4" width="7.42578125" style="2" bestFit="1" customWidth="1"/>
    <col min="5" max="5" width="23" style="73" bestFit="1" customWidth="1"/>
    <col min="6" max="6" width="13.5703125" style="73" bestFit="1" customWidth="1"/>
    <col min="7" max="16384" width="9.140625" style="2"/>
  </cols>
  <sheetData>
    <row r="1" spans="1:6" ht="15" customHeight="1" x14ac:dyDescent="0.2">
      <c r="A1" s="108" t="s">
        <v>1153</v>
      </c>
      <c r="B1" s="108"/>
      <c r="C1" s="108"/>
      <c r="D1" s="108"/>
      <c r="E1" s="108"/>
      <c r="F1" s="108"/>
    </row>
    <row r="3" spans="1:6" s="4" customFormat="1" x14ac:dyDescent="0.2">
      <c r="A3" s="64" t="s">
        <v>1</v>
      </c>
      <c r="B3" s="64" t="s">
        <v>2</v>
      </c>
      <c r="C3" s="64" t="s">
        <v>716</v>
      </c>
      <c r="D3" s="64" t="s">
        <v>4</v>
      </c>
      <c r="E3" s="65" t="s">
        <v>5</v>
      </c>
      <c r="F3" s="65" t="s">
        <v>6</v>
      </c>
    </row>
    <row r="4" spans="1:6" x14ac:dyDescent="0.2">
      <c r="A4" s="66"/>
      <c r="B4" s="66"/>
      <c r="C4" s="66"/>
      <c r="D4" s="66"/>
      <c r="E4" s="67"/>
      <c r="F4" s="67"/>
    </row>
    <row r="5" spans="1:6" x14ac:dyDescent="0.2">
      <c r="A5" s="38" t="s">
        <v>359</v>
      </c>
      <c r="B5" s="39"/>
      <c r="C5" s="39"/>
      <c r="D5" s="39"/>
      <c r="E5" s="68"/>
      <c r="F5" s="68"/>
    </row>
    <row r="6" spans="1:6" x14ac:dyDescent="0.2">
      <c r="A6" s="38" t="s">
        <v>8</v>
      </c>
      <c r="B6" s="39"/>
      <c r="C6" s="39"/>
      <c r="D6" s="39"/>
      <c r="E6" s="68"/>
      <c r="F6" s="68"/>
    </row>
    <row r="7" spans="1:6" x14ac:dyDescent="0.2">
      <c r="A7" s="38"/>
      <c r="B7" s="39"/>
      <c r="C7" s="39"/>
      <c r="D7" s="39"/>
      <c r="E7" s="68"/>
      <c r="F7" s="68"/>
    </row>
    <row r="8" spans="1:6" x14ac:dyDescent="0.2">
      <c r="A8" s="39" t="s">
        <v>717</v>
      </c>
      <c r="B8" s="39" t="str">
        <f>IFERROR(VLOOKUP(A8,[1]Bonds!$B$1:$K$2669,10,0),VLOOKUP(A8,[1]CPCD!$B$1:$H$1476,7,0))</f>
        <v>9.60% Renew Power Limited (26-Feb-2021) **</v>
      </c>
      <c r="C8" s="39" t="s">
        <v>718</v>
      </c>
      <c r="D8" s="39">
        <v>2170</v>
      </c>
      <c r="E8" s="68">
        <v>21724.7163</v>
      </c>
      <c r="F8" s="68">
        <v>3.4507480626532399</v>
      </c>
    </row>
    <row r="9" spans="1:6" x14ac:dyDescent="0.2">
      <c r="A9" s="39" t="s">
        <v>1154</v>
      </c>
      <c r="B9" s="39" t="str">
        <f>IFERROR(VLOOKUP(A9,[1]Bonds!$B$1:$K$2669,10,0),VLOOKUP(A9,[1]CPCD!$B$1:$H$1476,7,0))</f>
        <v>9.50% Piramal Capital &amp; Housing Finance Ltd (06-May-2022) **</v>
      </c>
      <c r="C9" s="39" t="s">
        <v>737</v>
      </c>
      <c r="D9" s="39">
        <v>2500</v>
      </c>
      <c r="E9" s="68">
        <v>19948.7</v>
      </c>
      <c r="F9" s="68">
        <v>3.1686461138022199</v>
      </c>
    </row>
    <row r="10" spans="1:6" x14ac:dyDescent="0.2">
      <c r="A10" s="39" t="s">
        <v>921</v>
      </c>
      <c r="B10" s="39" t="str">
        <f>IFERROR(VLOOKUP(A10,[1]Bonds!$B$1:$K$2669,10,0),VLOOKUP(A10,[1]CPCD!$B$1:$H$1476,7,0))</f>
        <v>12.00% Ess Kay Fincorp Limited (01-Aug-2023) **</v>
      </c>
      <c r="C10" s="39" t="s">
        <v>817</v>
      </c>
      <c r="D10" s="39">
        <v>2000</v>
      </c>
      <c r="E10" s="68">
        <v>19814.88</v>
      </c>
      <c r="F10" s="68">
        <v>3.1473901811876099</v>
      </c>
    </row>
    <row r="11" spans="1:6" x14ac:dyDescent="0.2">
      <c r="A11" s="39" t="s">
        <v>746</v>
      </c>
      <c r="B11" s="39" t="str">
        <f>IFERROR(VLOOKUP(A11,[1]Bonds!$B$1:$K$2669,10,0),VLOOKUP(A11,[1]CPCD!$B$1:$H$1476,7,0))</f>
        <v>8.40% Edelweiss Rural &amp; Corporate Services Ltd (26-Oct-2020) **</v>
      </c>
      <c r="C11" s="39" t="s">
        <v>370</v>
      </c>
      <c r="D11" s="39">
        <v>1500</v>
      </c>
      <c r="E11" s="68">
        <v>14881.68</v>
      </c>
      <c r="F11" s="68">
        <v>2.3638020271420301</v>
      </c>
    </row>
    <row r="12" spans="1:6" x14ac:dyDescent="0.2">
      <c r="A12" s="39" t="s">
        <v>1155</v>
      </c>
      <c r="B12" s="39" t="str">
        <f>IFERROR(VLOOKUP(A12,[1]Bonds!$B$1:$K$2669,10,0),VLOOKUP(A12,[1]CPCD!$B$1:$H$1476,7,0))</f>
        <v>11.50% Jm Financial Asset Reconstruction Co Ltd (29-Mar-2022) **</v>
      </c>
      <c r="C12" s="39" t="s">
        <v>723</v>
      </c>
      <c r="D12" s="39">
        <v>1500</v>
      </c>
      <c r="E12" s="68">
        <v>14537.504999999999</v>
      </c>
      <c r="F12" s="68">
        <v>2.3091333632081401</v>
      </c>
    </row>
    <row r="13" spans="1:6" x14ac:dyDescent="0.2">
      <c r="A13" s="39" t="s">
        <v>911</v>
      </c>
      <c r="B13" s="39" t="str">
        <f>IFERROR(VLOOKUP(A13,[1]Bonds!$B$1:$K$2669,10,0),VLOOKUP(A13,[1]CPCD!$B$1:$H$1476,7,0))</f>
        <v>12.30% Sterlite Power Grid Ventures Ltd (28-Mar-2022) **</v>
      </c>
      <c r="C13" s="39" t="s">
        <v>912</v>
      </c>
      <c r="D13" s="39">
        <v>1450</v>
      </c>
      <c r="E13" s="68">
        <v>14524.302</v>
      </c>
      <c r="F13" s="68">
        <v>2.30703620225828</v>
      </c>
    </row>
    <row r="14" spans="1:6" x14ac:dyDescent="0.2">
      <c r="A14" s="39" t="s">
        <v>901</v>
      </c>
      <c r="B14" s="39" t="str">
        <f>IFERROR(VLOOKUP(A14,[1]Bonds!$B$1:$K$2669,10,0),VLOOKUP(A14,[1]CPCD!$B$1:$H$1476,7,0))</f>
        <v>10.90% Vodafone Idea Ltd (02-Sep-2023) **</v>
      </c>
      <c r="C14" s="39" t="s">
        <v>750</v>
      </c>
      <c r="D14" s="39">
        <v>1510</v>
      </c>
      <c r="E14" s="68">
        <v>13873.245800000001</v>
      </c>
      <c r="F14" s="68">
        <v>2.2036226114981399</v>
      </c>
    </row>
    <row r="15" spans="1:6" x14ac:dyDescent="0.2">
      <c r="A15" s="39" t="s">
        <v>952</v>
      </c>
      <c r="B15" s="39" t="str">
        <f>IFERROR(VLOOKUP(A15,[1]Bonds!$B$1:$K$2669,10,0),VLOOKUP(A15,[1]CPCD!$B$1:$H$1476,7,0))</f>
        <v>11.50% Jm Financial Asset Reconstruction Co Ltd (29-May-2022) **</v>
      </c>
      <c r="C15" s="39" t="s">
        <v>723</v>
      </c>
      <c r="D15" s="39">
        <v>1300</v>
      </c>
      <c r="E15" s="68">
        <v>12587.38</v>
      </c>
      <c r="F15" s="68">
        <v>1.99937603552872</v>
      </c>
    </row>
    <row r="16" spans="1:6" x14ac:dyDescent="0.2">
      <c r="A16" s="39" t="s">
        <v>799</v>
      </c>
      <c r="B16" s="39" t="str">
        <f>IFERROR(VLOOKUP(A16,[1]Bonds!$B$1:$K$2669,10,0),VLOOKUP(A16,[1]CPCD!$B$1:$H$1476,7,0))</f>
        <v>8.9508% Pipeline Infrastructure Pvt Ltd (22-Mar-2024)</v>
      </c>
      <c r="C16" s="39" t="s">
        <v>361</v>
      </c>
      <c r="D16" s="39">
        <v>1250</v>
      </c>
      <c r="E16" s="68">
        <v>12583.775</v>
      </c>
      <c r="F16" s="68">
        <v>1.9988034183035199</v>
      </c>
    </row>
    <row r="17" spans="1:6" x14ac:dyDescent="0.2">
      <c r="A17" s="39" t="s">
        <v>730</v>
      </c>
      <c r="B17" s="39" t="str">
        <f>IFERROR(VLOOKUP(A17,[1]Bonds!$B$1:$K$2669,10,0),VLOOKUP(A17,[1]CPCD!$B$1:$H$1476,7,0))</f>
        <v>10.15% Uttar Pradesh Power Corp Ltd (20-Jan-2021) **</v>
      </c>
      <c r="C17" s="39" t="s">
        <v>731</v>
      </c>
      <c r="D17" s="39">
        <v>1102</v>
      </c>
      <c r="E17" s="68">
        <v>10998.720380000001</v>
      </c>
      <c r="F17" s="68">
        <v>1.7470337710670001</v>
      </c>
    </row>
    <row r="18" spans="1:6" x14ac:dyDescent="0.2">
      <c r="A18" s="39" t="s">
        <v>1156</v>
      </c>
      <c r="B18" s="39" t="str">
        <f>IFERROR(VLOOKUP(A18,[1]Bonds!$B$1:$K$2669,10,0),VLOOKUP(A18,[1]CPCD!$B$1:$H$1476,7,0))</f>
        <v>9.50% Piramal Capital &amp; Housing Finance Ltd (29-Apr-2022) **</v>
      </c>
      <c r="C18" s="39" t="s">
        <v>737</v>
      </c>
      <c r="D18" s="39">
        <v>1250</v>
      </c>
      <c r="E18" s="68">
        <v>9975.3875000000007</v>
      </c>
      <c r="F18" s="68">
        <v>1.58448785312056</v>
      </c>
    </row>
    <row r="19" spans="1:6" x14ac:dyDescent="0.2">
      <c r="A19" s="39" t="s">
        <v>722</v>
      </c>
      <c r="B19" s="39" t="str">
        <f>IFERROR(VLOOKUP(A19,[1]Bonds!$B$1:$K$2669,10,0),VLOOKUP(A19,[1]CPCD!$B$1:$H$1476,7,0))</f>
        <v>Edelweiss Rural &amp; Corporate Services Ltd (1Y SBI MCLR + 160 Bps) (29-Nov-2021) **</v>
      </c>
      <c r="C19" s="39" t="s">
        <v>723</v>
      </c>
      <c r="D19" s="39">
        <v>2000</v>
      </c>
      <c r="E19" s="68">
        <v>9940.14</v>
      </c>
      <c r="F19" s="68">
        <v>1.57888914975161</v>
      </c>
    </row>
    <row r="20" spans="1:6" x14ac:dyDescent="0.2">
      <c r="A20" s="39" t="s">
        <v>744</v>
      </c>
      <c r="B20" s="39" t="str">
        <f>IFERROR(VLOOKUP(A20,[1]Bonds!$B$1:$K$2669,10,0),VLOOKUP(A20,[1]CPCD!$B$1:$H$1476,7,0))</f>
        <v>Shriram Transport Finance Co Ltd ( 3M INCDFIX Rate + 222 Bps) (11-Mar-2021) **</v>
      </c>
      <c r="C20" s="39" t="s">
        <v>727</v>
      </c>
      <c r="D20" s="39">
        <v>1000</v>
      </c>
      <c r="E20" s="68">
        <v>9871.69</v>
      </c>
      <c r="F20" s="68">
        <v>1.56801657026073</v>
      </c>
    </row>
    <row r="21" spans="1:6" x14ac:dyDescent="0.2">
      <c r="A21" s="39" t="s">
        <v>773</v>
      </c>
      <c r="B21" s="39" t="str">
        <f>IFERROR(VLOOKUP(A21,[1]Bonds!$B$1:$K$2669,10,0),VLOOKUP(A21,[1]CPCD!$B$1:$H$1476,7,0))</f>
        <v>9.23% Talwandi Sabo Power Ltd (30-Jul-2021) **</v>
      </c>
      <c r="C21" s="39" t="s">
        <v>760</v>
      </c>
      <c r="D21" s="39">
        <v>1000</v>
      </c>
      <c r="E21" s="68">
        <v>9795.94</v>
      </c>
      <c r="F21" s="68">
        <v>1.55598446074379</v>
      </c>
    </row>
    <row r="22" spans="1:6" x14ac:dyDescent="0.2">
      <c r="A22" s="39" t="s">
        <v>742</v>
      </c>
      <c r="B22" s="39" t="str">
        <f>IFERROR(VLOOKUP(A22,[1]Bonds!$B$1:$K$2669,10,0),VLOOKUP(A22,[1]CPCD!$B$1:$H$1476,7,0))</f>
        <v>Motilal Oswal Home Finance Ltd (SBI MCLR + 200 Bps) (24-Aug-2023) **</v>
      </c>
      <c r="C22" s="39" t="s">
        <v>735</v>
      </c>
      <c r="D22" s="39">
        <v>915</v>
      </c>
      <c r="E22" s="68">
        <v>9069.6263999999992</v>
      </c>
      <c r="F22" s="68">
        <v>1.44061700491751</v>
      </c>
    </row>
    <row r="23" spans="1:6" x14ac:dyDescent="0.2">
      <c r="A23" s="39" t="s">
        <v>1157</v>
      </c>
      <c r="B23" s="39" t="str">
        <f>IFERROR(VLOOKUP(A23,[1]Bonds!$B$1:$K$2669,10,0),VLOOKUP(A23,[1]CPCD!$B$1:$H$1476,7,0))</f>
        <v>10.75% The Tata Power Co Ltd (21-Aug-2022) **</v>
      </c>
      <c r="C23" s="39" t="s">
        <v>735</v>
      </c>
      <c r="D23" s="39">
        <v>780</v>
      </c>
      <c r="E23" s="68">
        <v>8079.4584000000004</v>
      </c>
      <c r="F23" s="68">
        <v>1.28333898754238</v>
      </c>
    </row>
    <row r="24" spans="1:6" x14ac:dyDescent="0.2">
      <c r="A24" s="39" t="s">
        <v>1158</v>
      </c>
      <c r="B24" s="39" t="str">
        <f>IFERROR(VLOOKUP(A24,[1]Bonds!$B$1:$K$2669,10,0),VLOOKUP(A24,[1]CPCD!$B$1:$H$1476,7,0))</f>
        <v>0.00% Sadbhav Infrastructure Project Ltd (23-Apr-2023) **</v>
      </c>
      <c r="C24" s="39" t="s">
        <v>1012</v>
      </c>
      <c r="D24" s="39">
        <v>600</v>
      </c>
      <c r="E24" s="68">
        <v>6841.83</v>
      </c>
      <c r="F24" s="68">
        <v>1.0867544271453999</v>
      </c>
    </row>
    <row r="25" spans="1:6" x14ac:dyDescent="0.2">
      <c r="A25" s="39" t="s">
        <v>719</v>
      </c>
      <c r="B25" s="39" t="str">
        <f>IFERROR(VLOOKUP(A25,[1]Bonds!$B$1:$K$2669,10,0),VLOOKUP(A25,[1]CPCD!$B$1:$H$1476,7,0))</f>
        <v>JM Financial Credit Solutions Ltd (1Y SBI MCLR + 160 Bps) (23-Jul-2024) **</v>
      </c>
      <c r="C25" s="39" t="s">
        <v>367</v>
      </c>
      <c r="D25" s="39">
        <v>500</v>
      </c>
      <c r="E25" s="68">
        <v>5001.1850000000004</v>
      </c>
      <c r="F25" s="68">
        <v>0.79438687306220201</v>
      </c>
    </row>
    <row r="26" spans="1:6" x14ac:dyDescent="0.2">
      <c r="A26" s="39" t="s">
        <v>1159</v>
      </c>
      <c r="B26" s="39" t="str">
        <f>IFERROR(VLOOKUP(A26,[1]Bonds!$B$1:$K$2669,10,0),VLOOKUP(A26,[1]CPCD!$B$1:$H$1476,7,0))</f>
        <v>10.25% Shriram Transport Finance Co Ltd (27-Dec-2024) **</v>
      </c>
      <c r="C26" s="39" t="s">
        <v>727</v>
      </c>
      <c r="D26" s="39">
        <v>500</v>
      </c>
      <c r="E26" s="68">
        <v>4589.7650000000003</v>
      </c>
      <c r="F26" s="68">
        <v>0.72903703151159904</v>
      </c>
    </row>
    <row r="27" spans="1:6" x14ac:dyDescent="0.2">
      <c r="A27" s="39" t="s">
        <v>749</v>
      </c>
      <c r="B27" s="39" t="str">
        <f>IFERROR(VLOOKUP(A27,[1]Bonds!$B$1:$K$2669,10,0),VLOOKUP(A27,[1]CPCD!$B$1:$H$1476,7,0))</f>
        <v>10.75% Incred Financial Services Private Limited (22-Jun-2020) **</v>
      </c>
      <c r="C27" s="39" t="s">
        <v>750</v>
      </c>
      <c r="D27" s="39">
        <v>430</v>
      </c>
      <c r="E27" s="68">
        <v>4307.5766000000003</v>
      </c>
      <c r="F27" s="68">
        <v>0.68421430236032299</v>
      </c>
    </row>
    <row r="28" spans="1:6" x14ac:dyDescent="0.2">
      <c r="A28" s="39" t="s">
        <v>914</v>
      </c>
      <c r="B28" s="39" t="str">
        <f>IFERROR(VLOOKUP(A28,[1]Bonds!$B$1:$K$2669,10,0),VLOOKUP(A28,[1]CPCD!$B$1:$H$1476,7,0))</f>
        <v>9.10% India Grid Trust (03-Jun-2022)</v>
      </c>
      <c r="C28" s="39" t="s">
        <v>361</v>
      </c>
      <c r="D28" s="39">
        <v>400</v>
      </c>
      <c r="E28" s="68">
        <v>4037.116</v>
      </c>
      <c r="F28" s="68">
        <v>0.64125441378980796</v>
      </c>
    </row>
    <row r="29" spans="1:6" x14ac:dyDescent="0.2">
      <c r="A29" s="39" t="s">
        <v>739</v>
      </c>
      <c r="B29" s="39" t="str">
        <f>IFERROR(VLOOKUP(A29,[1]Bonds!$B$1:$K$2669,10,0),VLOOKUP(A29,[1]CPCD!$B$1:$H$1476,7,0))</f>
        <v>9.70% Xander Finance Pvt Ltd (15-Mar-2021) **</v>
      </c>
      <c r="C29" s="39" t="s">
        <v>740</v>
      </c>
      <c r="D29" s="39">
        <v>400</v>
      </c>
      <c r="E29" s="68">
        <v>3965.76</v>
      </c>
      <c r="F29" s="68">
        <v>0.62992024604471897</v>
      </c>
    </row>
    <row r="30" spans="1:6" x14ac:dyDescent="0.2">
      <c r="A30" s="39" t="s">
        <v>764</v>
      </c>
      <c r="B30" s="39" t="str">
        <f>IFERROR(VLOOKUP(A30,[1]Bonds!$B$1:$K$2669,10,0),VLOOKUP(A30,[1]CPCD!$B$1:$H$1476,7,0))</f>
        <v>12.25% DLF Ltd, Series IV (11-Aug-2020) **</v>
      </c>
      <c r="C30" s="39" t="s">
        <v>740</v>
      </c>
      <c r="D30" s="39">
        <v>7</v>
      </c>
      <c r="E30" s="68">
        <v>3558.6320000000001</v>
      </c>
      <c r="F30" s="68">
        <v>0.56525214461354401</v>
      </c>
    </row>
    <row r="31" spans="1:6" x14ac:dyDescent="0.2">
      <c r="A31" s="39" t="s">
        <v>907</v>
      </c>
      <c r="B31" s="39" t="str">
        <f>IFERROR(VLOOKUP(A31,[1]Bonds!$B$1:$K$2669,10,0),VLOOKUP(A31,[1]CPCD!$B$1:$H$1476,7,0))</f>
        <v>9.10% Piramal Enterprises Ltd (29-May-2020) **</v>
      </c>
      <c r="C31" s="39" t="s">
        <v>367</v>
      </c>
      <c r="D31" s="39">
        <v>350</v>
      </c>
      <c r="E31" s="68">
        <v>3498.9695999999999</v>
      </c>
      <c r="F31" s="68">
        <v>0.55577538513046498</v>
      </c>
    </row>
    <row r="32" spans="1:6" x14ac:dyDescent="0.2">
      <c r="A32" s="39" t="s">
        <v>945</v>
      </c>
      <c r="B32" s="39" t="str">
        <f>IFERROR(VLOOKUP(A32,[1]Bonds!$B$1:$K$2669,10,0),VLOOKUP(A32,[1]CPCD!$B$1:$H$1476,7,0))</f>
        <v>9.75% Uttar Pradesh Power Corp Ltd (20-Oct-2021) **</v>
      </c>
      <c r="C32" s="39" t="s">
        <v>731</v>
      </c>
      <c r="D32" s="39">
        <v>300</v>
      </c>
      <c r="E32" s="68">
        <v>2970.5729999999999</v>
      </c>
      <c r="F32" s="68">
        <v>0.47184501206674101</v>
      </c>
    </row>
    <row r="33" spans="1:6" x14ac:dyDescent="0.2">
      <c r="A33" s="39" t="s">
        <v>1160</v>
      </c>
      <c r="B33" s="39" t="str">
        <f>IFERROR(VLOOKUP(A33,[1]Bonds!$B$1:$K$2669,10,0),VLOOKUP(A33,[1]CPCD!$B$1:$H$1476,7,0))</f>
        <v>10.25% Incred Financial Services Private Limited (26-Apr-2021) **</v>
      </c>
      <c r="C33" s="39" t="s">
        <v>750</v>
      </c>
      <c r="D33" s="39">
        <v>300</v>
      </c>
      <c r="E33" s="68">
        <v>2941.0590000000002</v>
      </c>
      <c r="F33" s="68">
        <v>0.46715701628742901</v>
      </c>
    </row>
    <row r="34" spans="1:6" x14ac:dyDescent="0.2">
      <c r="A34" s="39" t="s">
        <v>778</v>
      </c>
      <c r="B34" s="39" t="str">
        <f>IFERROR(VLOOKUP(A34,[1]Bonds!$B$1:$K$2669,10,0),VLOOKUP(A34,[1]CPCD!$B$1:$H$1476,7,0))</f>
        <v>10.25% Sikka Ports &amp; Terminals Limited (22-Aug-2021) **</v>
      </c>
      <c r="C34" s="39" t="s">
        <v>361</v>
      </c>
      <c r="D34" s="39">
        <v>250</v>
      </c>
      <c r="E34" s="68">
        <v>2574.6125000000002</v>
      </c>
      <c r="F34" s="68">
        <v>0.40895075331583602</v>
      </c>
    </row>
    <row r="35" spans="1:6" x14ac:dyDescent="0.2">
      <c r="A35" s="39" t="s">
        <v>957</v>
      </c>
      <c r="B35" s="39" t="str">
        <f>IFERROR(VLOOKUP(A35,[1]Bonds!$B$1:$K$2669,10,0),VLOOKUP(A35,[1]CPCD!$B$1:$H$1476,7,0))</f>
        <v>12.64% Five-Star Business Finance Ltd (28-Jun-2022) **</v>
      </c>
      <c r="C35" s="39" t="s">
        <v>839</v>
      </c>
      <c r="D35" s="39">
        <v>250</v>
      </c>
      <c r="E35" s="68">
        <v>2505.4450000000002</v>
      </c>
      <c r="F35" s="68">
        <v>0.39796420631896801</v>
      </c>
    </row>
    <row r="36" spans="1:6" x14ac:dyDescent="0.2">
      <c r="A36" s="39" t="s">
        <v>969</v>
      </c>
      <c r="B36" s="39" t="str">
        <f>IFERROR(VLOOKUP(A36,[1]Bonds!$B$1:$K$2669,10,0),VLOOKUP(A36,[1]CPCD!$B$1:$H$1476,7,0))</f>
        <v>11.30% Hinduja Leyland Finance Ltd (21-Jul-2021) **</v>
      </c>
      <c r="C36" s="39" t="s">
        <v>723</v>
      </c>
      <c r="D36" s="39">
        <v>250</v>
      </c>
      <c r="E36" s="68">
        <v>2496.2824999999998</v>
      </c>
      <c r="F36" s="68">
        <v>0.39650883729654002</v>
      </c>
    </row>
    <row r="37" spans="1:6" x14ac:dyDescent="0.2">
      <c r="A37" s="39" t="s">
        <v>927</v>
      </c>
      <c r="B37" s="39" t="str">
        <f>IFERROR(VLOOKUP(A37,[1]Bonds!$B$1:$K$2669,10,0),VLOOKUP(A37,[1]CPCD!$B$1:$H$1476,7,0))</f>
        <v>12.40% Jm Financial Asset Reconstruction Co Ltd (02-Aug-2021) **</v>
      </c>
      <c r="C37" s="39" t="s">
        <v>723</v>
      </c>
      <c r="D37" s="39">
        <v>240</v>
      </c>
      <c r="E37" s="68">
        <v>2398.0680000000002</v>
      </c>
      <c r="F37" s="68">
        <v>0.38090847267408201</v>
      </c>
    </row>
    <row r="38" spans="1:6" x14ac:dyDescent="0.2">
      <c r="A38" s="39" t="s">
        <v>919</v>
      </c>
      <c r="B38" s="39" t="str">
        <f>IFERROR(VLOOKUP(A38,[1]Bonds!$B$1:$K$2669,10,0),VLOOKUP(A38,[1]CPCD!$B$1:$H$1476,7,0))</f>
        <v>9.90% Shriram Transport Finance Co Ltd (21-Jun-2024) **</v>
      </c>
      <c r="C38" s="39" t="s">
        <v>727</v>
      </c>
      <c r="D38" s="39">
        <v>250</v>
      </c>
      <c r="E38" s="68">
        <v>2252.8049999999998</v>
      </c>
      <c r="F38" s="68">
        <v>0.35783493703370201</v>
      </c>
    </row>
    <row r="39" spans="1:6" x14ac:dyDescent="0.2">
      <c r="A39" s="39" t="s">
        <v>809</v>
      </c>
      <c r="B39" s="39" t="str">
        <f>IFERROR(VLOOKUP(A39,[1]Bonds!$B$1:$K$2669,10,0),VLOOKUP(A39,[1]CPCD!$B$1:$H$1476,7,0))</f>
        <v>8.70% Edelweiss Rural &amp; Corporate Services Ltd (30-Jun-2027) **</v>
      </c>
      <c r="C39" s="39" t="s">
        <v>723</v>
      </c>
      <c r="D39" s="39">
        <v>200</v>
      </c>
      <c r="E39" s="68">
        <v>1914.0039999999999</v>
      </c>
      <c r="F39" s="68">
        <v>0.304019877806669</v>
      </c>
    </row>
    <row r="40" spans="1:6" x14ac:dyDescent="0.2">
      <c r="A40" s="39" t="s">
        <v>766</v>
      </c>
      <c r="B40" s="39" t="str">
        <f>IFERROR(VLOOKUP(A40,[1]Bonds!$B$1:$K$2669,10,0),VLOOKUP(A40,[1]CPCD!$B$1:$H$1476,7,0))</f>
        <v>10.15% Uttar Pradesh Power Corp Ltd (20-Jan-2022) **</v>
      </c>
      <c r="C40" s="39" t="s">
        <v>731</v>
      </c>
      <c r="D40" s="39">
        <v>176</v>
      </c>
      <c r="E40" s="68">
        <v>1751.9902400000001</v>
      </c>
      <c r="F40" s="68">
        <v>0.278285655977353</v>
      </c>
    </row>
    <row r="41" spans="1:6" x14ac:dyDescent="0.2">
      <c r="A41" s="39" t="s">
        <v>733</v>
      </c>
      <c r="B41" s="39" t="str">
        <f>IFERROR(VLOOKUP(A41,[1]Bonds!$B$1:$K$2669,10,0),VLOOKUP(A41,[1]CPCD!$B$1:$H$1476,7,0))</f>
        <v>9.75% Uttar Pradesh Power Corp Ltd (20-Oct-2020) **</v>
      </c>
      <c r="C41" s="39" t="s">
        <v>731</v>
      </c>
      <c r="D41" s="39">
        <v>174</v>
      </c>
      <c r="E41" s="68">
        <v>1733.4436800000001</v>
      </c>
      <c r="F41" s="68">
        <v>0.27533972540200702</v>
      </c>
    </row>
    <row r="42" spans="1:6" x14ac:dyDescent="0.2">
      <c r="A42" s="39" t="s">
        <v>369</v>
      </c>
      <c r="B42" s="39" t="str">
        <f>IFERROR(VLOOKUP(A42,[1]Bonds!$B$1:$K$2669,10,0),VLOOKUP(A42,[1]CPCD!$B$1:$H$1476,7,0))</f>
        <v>9.45% Vedanta Ltd (17-Aug-2020) **</v>
      </c>
      <c r="C42" s="39" t="s">
        <v>370</v>
      </c>
      <c r="D42" s="39">
        <v>150</v>
      </c>
      <c r="E42" s="68">
        <v>1494.1935000000001</v>
      </c>
      <c r="F42" s="68">
        <v>0.237337291504887</v>
      </c>
    </row>
    <row r="43" spans="1:6" x14ac:dyDescent="0.2">
      <c r="A43" s="39" t="s">
        <v>951</v>
      </c>
      <c r="B43" s="39" t="str">
        <f>IFERROR(VLOOKUP(A43,[1]Bonds!$B$1:$K$2669,10,0),VLOOKUP(A43,[1]CPCD!$B$1:$H$1476,7,0))</f>
        <v>10.21% Five-Star Business Finance Ltd (28-Mar-2023) **</v>
      </c>
      <c r="C43" s="39" t="s">
        <v>750</v>
      </c>
      <c r="D43" s="39">
        <v>150</v>
      </c>
      <c r="E43" s="68">
        <v>1397.5215000000001</v>
      </c>
      <c r="F43" s="68">
        <v>0.22198193716533099</v>
      </c>
    </row>
    <row r="44" spans="1:6" x14ac:dyDescent="0.2">
      <c r="A44" s="39" t="s">
        <v>1161</v>
      </c>
      <c r="B44" s="39" t="str">
        <f>IFERROR(VLOOKUP(A44,[1]Bonds!$B$1:$K$2669,10,0),VLOOKUP(A44,[1]CPCD!$B$1:$H$1476,7,0))</f>
        <v>9.50% Piramal Capital &amp; Housing Finance Ltd (21-Apr-2022) **</v>
      </c>
      <c r="C44" s="39" t="s">
        <v>737</v>
      </c>
      <c r="D44" s="39">
        <v>150</v>
      </c>
      <c r="E44" s="68">
        <v>1135.8945000000001</v>
      </c>
      <c r="F44" s="68">
        <v>0.18042517523018101</v>
      </c>
    </row>
    <row r="45" spans="1:6" x14ac:dyDescent="0.2">
      <c r="A45" s="39" t="s">
        <v>806</v>
      </c>
      <c r="B45" s="39" t="str">
        <f>IFERROR(VLOOKUP(A45,[1]Bonds!$B$1:$K$2669,10,0),VLOOKUP(A45,[1]CPCD!$B$1:$H$1476,7,0))</f>
        <v>8.96% Power Finance Corp Ltd (21-Oct-2019) **</v>
      </c>
      <c r="C45" s="39" t="s">
        <v>361</v>
      </c>
      <c r="D45" s="39">
        <v>100</v>
      </c>
      <c r="E45" s="68">
        <v>1003.814</v>
      </c>
      <c r="F45" s="68">
        <v>0.15944554432520699</v>
      </c>
    </row>
    <row r="46" spans="1:6" x14ac:dyDescent="0.2">
      <c r="A46" s="39" t="s">
        <v>738</v>
      </c>
      <c r="B46" s="39" t="str">
        <f>IFERROR(VLOOKUP(A46,[1]Bonds!$B$1:$K$2669,10,0),VLOOKUP(A46,[1]CPCD!$B$1:$H$1476,7,0))</f>
        <v>10.15% Uttar Pradesh Power Corp Ltd (20-Jan-2020) **</v>
      </c>
      <c r="C46" s="39" t="s">
        <v>731</v>
      </c>
      <c r="D46" s="39">
        <v>88</v>
      </c>
      <c r="E46" s="68">
        <v>881.48544000000004</v>
      </c>
      <c r="F46" s="68">
        <v>0.14001490893287499</v>
      </c>
    </row>
    <row r="47" spans="1:6" x14ac:dyDescent="0.2">
      <c r="A47" s="39" t="s">
        <v>1162</v>
      </c>
      <c r="B47" s="39" t="str">
        <f>IFERROR(VLOOKUP(A47,[1]Bonds!$B$1:$K$2669,10,0),VLOOKUP(A47,[1]CPCD!$B$1:$H$1476,7,0))</f>
        <v>7.07% Reliance Industries Ltd (24-Dec-2020) **</v>
      </c>
      <c r="C47" s="39" t="s">
        <v>361</v>
      </c>
      <c r="D47" s="39">
        <v>73</v>
      </c>
      <c r="E47" s="68">
        <v>729.92992000000004</v>
      </c>
      <c r="F47" s="68">
        <v>0.115941871117214</v>
      </c>
    </row>
    <row r="48" spans="1:6" x14ac:dyDescent="0.2">
      <c r="A48" s="39" t="s">
        <v>924</v>
      </c>
      <c r="B48" s="39" t="str">
        <f>IFERROR(VLOOKUP(A48,[1]Bonds!$B$1:$K$2669,10,0),VLOOKUP(A48,[1]CPCD!$B$1:$H$1476,7,0))</f>
        <v>10.15% Uttar Pradesh Power Corp Ltd (19-Jan-2024) **</v>
      </c>
      <c r="C48" s="39" t="s">
        <v>731</v>
      </c>
      <c r="D48" s="39">
        <v>62</v>
      </c>
      <c r="E48" s="68">
        <v>611.15012000000002</v>
      </c>
      <c r="F48" s="68">
        <v>9.7074919803684406E-2</v>
      </c>
    </row>
    <row r="49" spans="1:6" x14ac:dyDescent="0.2">
      <c r="A49" s="39" t="s">
        <v>925</v>
      </c>
      <c r="B49" s="39" t="str">
        <f>IFERROR(VLOOKUP(A49,[1]Bonds!$B$1:$K$2669,10,0),VLOOKUP(A49,[1]CPCD!$B$1:$H$1476,7,0))</f>
        <v>10.15% Uttar Pradesh Power Corp Ltd (20-Jan-2025) **</v>
      </c>
      <c r="C49" s="39" t="s">
        <v>731</v>
      </c>
      <c r="D49" s="39">
        <v>62</v>
      </c>
      <c r="E49" s="68">
        <v>604.89059999999995</v>
      </c>
      <c r="F49" s="68">
        <v>9.6080659339480304E-2</v>
      </c>
    </row>
    <row r="50" spans="1:6" x14ac:dyDescent="0.2">
      <c r="A50" s="39" t="s">
        <v>810</v>
      </c>
      <c r="B50" s="39" t="str">
        <f>IFERROR(VLOOKUP(A50,[1]Bonds!$B$1:$K$2669,10,0),VLOOKUP(A50,[1]CPCD!$B$1:$H$1476,7,0))</f>
        <v>10.15% Uttar Pradesh Power Corp Ltd (20-Jan-2023) **</v>
      </c>
      <c r="C50" s="39" t="s">
        <v>731</v>
      </c>
      <c r="D50" s="39">
        <v>55</v>
      </c>
      <c r="E50" s="68">
        <v>544.70460000000003</v>
      </c>
      <c r="F50" s="68">
        <v>8.6520731373983806E-2</v>
      </c>
    </row>
    <row r="51" spans="1:6" x14ac:dyDescent="0.2">
      <c r="A51" s="39" t="s">
        <v>930</v>
      </c>
      <c r="B51" s="39" t="str">
        <f>IFERROR(VLOOKUP(A51,[1]Bonds!$B$1:$K$2669,10,0),VLOOKUP(A51,[1]CPCD!$B$1:$H$1476,7,0))</f>
        <v>8.80% Rec Ltd (14-May-2029) **</v>
      </c>
      <c r="C51" s="39" t="s">
        <v>361</v>
      </c>
      <c r="D51" s="39">
        <v>20</v>
      </c>
      <c r="E51" s="68">
        <v>205.68279999999999</v>
      </c>
      <c r="F51" s="68">
        <v>3.2670600334656297E-2</v>
      </c>
    </row>
    <row r="52" spans="1:6" x14ac:dyDescent="0.2">
      <c r="A52" s="38" t="s">
        <v>44</v>
      </c>
      <c r="B52" s="39"/>
      <c r="C52" s="39"/>
      <c r="D52" s="39"/>
      <c r="E52" s="69">
        <f>SUM(E8:E51)</f>
        <v>280155.53088000021</v>
      </c>
      <c r="F52" s="69">
        <f>SUM(F8:F51)</f>
        <v>44.499828769950376</v>
      </c>
    </row>
    <row r="53" spans="1:6" x14ac:dyDescent="0.2">
      <c r="A53" s="39"/>
      <c r="B53" s="39"/>
      <c r="C53" s="39"/>
      <c r="D53" s="39"/>
      <c r="E53" s="68"/>
      <c r="F53" s="68"/>
    </row>
    <row r="54" spans="1:6" x14ac:dyDescent="0.2">
      <c r="A54" s="38" t="s">
        <v>815</v>
      </c>
      <c r="B54" s="39"/>
      <c r="C54" s="39"/>
      <c r="D54" s="39"/>
      <c r="E54" s="68"/>
      <c r="F54" s="68"/>
    </row>
    <row r="55" spans="1:6" x14ac:dyDescent="0.2">
      <c r="A55" s="39" t="s">
        <v>1163</v>
      </c>
      <c r="B55" s="39" t="str">
        <f>IFERROR(VLOOKUP(A55,[1]Bonds!$B$1:$K$2669,10,0),VLOOKUP(A55,[1]CPCD!$B$1:$H$1476,7,0))</f>
        <v>10.75% Greenko Clean Energy Projects Private Limited (04-Dec-2020) **</v>
      </c>
      <c r="C55" s="39" t="s">
        <v>825</v>
      </c>
      <c r="D55" s="39">
        <v>30000</v>
      </c>
      <c r="E55" s="68">
        <v>29985.93</v>
      </c>
      <c r="F55" s="68">
        <v>4.7629570129003502</v>
      </c>
    </row>
    <row r="56" spans="1:6" x14ac:dyDescent="0.2">
      <c r="A56" s="39" t="s">
        <v>838</v>
      </c>
      <c r="B56" s="39" t="str">
        <f>IFERROR(VLOOKUP(A56,[1]Bonds!$B$1:$K$2669,10,0),VLOOKUP(A56,[1]CPCD!$B$1:$H$1476,7,0))</f>
        <v>9.40% Small Business Fincredit India Pvt Ltd (28-Sep-2020) **</v>
      </c>
      <c r="C56" s="39" t="s">
        <v>839</v>
      </c>
      <c r="D56" s="39">
        <v>2500</v>
      </c>
      <c r="E56" s="68">
        <v>24535.974999999999</v>
      </c>
      <c r="F56" s="68">
        <v>3.8972876343871201</v>
      </c>
    </row>
    <row r="57" spans="1:6" x14ac:dyDescent="0.2">
      <c r="A57" s="39" t="s">
        <v>818</v>
      </c>
      <c r="B57" s="39" t="str">
        <f>IFERROR(VLOOKUP(A57,[1]Bonds!$B$1:$K$2669,10,0),VLOOKUP(A57,[1]CPCD!$B$1:$H$1476,7,0))</f>
        <v>0.00% Dolvi Minerals And Metals Pvt Limited (22-Oct-2019) **</v>
      </c>
      <c r="C57" s="39" t="s">
        <v>819</v>
      </c>
      <c r="D57" s="39">
        <v>1260</v>
      </c>
      <c r="E57" s="68">
        <v>22587.39</v>
      </c>
      <c r="F57" s="68">
        <v>3.5877749198912698</v>
      </c>
    </row>
    <row r="58" spans="1:6" x14ac:dyDescent="0.2">
      <c r="A58" s="39" t="s">
        <v>1007</v>
      </c>
      <c r="B58" s="39" t="str">
        <f>IFERROR(VLOOKUP(A58,[1]Bonds!$B$1:$K$2669,10,0),VLOOKUP(A58,[1]CPCD!$B$1:$H$1476,7,0))</f>
        <v>0.00% Essel Infraprojects Ltd, Series II (22-May-2020) **</v>
      </c>
      <c r="C58" s="39" t="s">
        <v>988</v>
      </c>
      <c r="D58" s="39">
        <v>133</v>
      </c>
      <c r="E58" s="68">
        <v>19519.931199999999</v>
      </c>
      <c r="F58" s="68">
        <v>3.1005405935507899</v>
      </c>
    </row>
    <row r="59" spans="1:6" x14ac:dyDescent="0.2">
      <c r="A59" s="39" t="s">
        <v>816</v>
      </c>
      <c r="B59" s="39" t="str">
        <f>IFERROR(VLOOKUP(A59,[1]Bonds!$B$1:$K$2669,10,0),VLOOKUP(A59,[1]CPCD!$B$1:$H$1476,7,0))</f>
        <v>8.25% Vodafone Idea Ltd (10-Jul-2020) **</v>
      </c>
      <c r="C59" s="39" t="s">
        <v>817</v>
      </c>
      <c r="D59" s="39">
        <v>1970</v>
      </c>
      <c r="E59" s="68">
        <v>18609.388299999999</v>
      </c>
      <c r="F59" s="68">
        <v>2.9559102055287498</v>
      </c>
    </row>
    <row r="60" spans="1:6" x14ac:dyDescent="0.2">
      <c r="A60" s="39" t="s">
        <v>1028</v>
      </c>
      <c r="B60" s="39" t="str">
        <f>IFERROR(VLOOKUP(A60,[1]Bonds!$B$1:$K$2669,10,0),VLOOKUP(A60,[1]CPCD!$B$1:$H$1476,7,0))</f>
        <v>11.35% Renew Solar Power Private Limited (01-Nov-2022) **</v>
      </c>
      <c r="C60" s="39" t="s">
        <v>825</v>
      </c>
      <c r="D60" s="39">
        <v>1498</v>
      </c>
      <c r="E60" s="68">
        <v>14999.698700000001</v>
      </c>
      <c r="F60" s="68">
        <v>2.3825480855373602</v>
      </c>
    </row>
    <row r="61" spans="1:6" x14ac:dyDescent="0.2">
      <c r="A61" s="39" t="s">
        <v>987</v>
      </c>
      <c r="B61" s="39" t="str">
        <f>IFERROR(VLOOKUP(A61,[1]Bonds!$B$1:$K$2669,10,0),VLOOKUP(A61,[1]CPCD!$B$1:$H$1476,7,0))</f>
        <v>0.00% Essel Infraprojects Ltd, Series I (22-May-2020) **</v>
      </c>
      <c r="C61" s="39" t="s">
        <v>988</v>
      </c>
      <c r="D61" s="39">
        <v>68</v>
      </c>
      <c r="E61" s="68">
        <v>10082.897199999999</v>
      </c>
      <c r="F61" s="68">
        <v>1.6015646647975701</v>
      </c>
    </row>
    <row r="62" spans="1:6" x14ac:dyDescent="0.2">
      <c r="A62" s="39" t="s">
        <v>820</v>
      </c>
      <c r="B62" s="39" t="str">
        <f>IFERROR(VLOOKUP(A62,[1]Bonds!$B$1:$K$2669,10,0),VLOOKUP(A62,[1]CPCD!$B$1:$H$1476,7,0))</f>
        <v>Indostar Capital Finance Ltd (SBI MCLR + 225 Bps) (02-Nov-2021) **</v>
      </c>
      <c r="C62" s="39" t="s">
        <v>721</v>
      </c>
      <c r="D62" s="39">
        <v>850</v>
      </c>
      <c r="E62" s="68">
        <v>8521.5560000000005</v>
      </c>
      <c r="F62" s="68">
        <v>1.3535616507816499</v>
      </c>
    </row>
    <row r="63" spans="1:6" x14ac:dyDescent="0.2">
      <c r="A63" s="39" t="s">
        <v>833</v>
      </c>
      <c r="B63" s="39" t="str">
        <f>IFERROR(VLOOKUP(A63,[1]Bonds!$B$1:$K$2669,10,0),VLOOKUP(A63,[1]CPCD!$B$1:$H$1476,7,0))</f>
        <v>0.00% Yes Capital India Pvt Ltd (12-Oct-2020) **</v>
      </c>
      <c r="C63" s="39" t="s">
        <v>737</v>
      </c>
      <c r="D63" s="39">
        <v>665</v>
      </c>
      <c r="E63" s="68">
        <v>7948.63195</v>
      </c>
      <c r="F63" s="68">
        <v>1.26255854960031</v>
      </c>
    </row>
    <row r="64" spans="1:6" x14ac:dyDescent="0.2">
      <c r="A64" s="39" t="s">
        <v>827</v>
      </c>
      <c r="B64" s="39" t="str">
        <f>IFERROR(VLOOKUP(A64,[1]Bonds!$B$1:$K$2669,10,0),VLOOKUP(A64,[1]CPCD!$B$1:$H$1476,7,0))</f>
        <v>9.00% Clix Capital Services Pvt Ltd (27-Jun-2023) **</v>
      </c>
      <c r="C64" s="39" t="s">
        <v>721</v>
      </c>
      <c r="D64" s="39">
        <v>650</v>
      </c>
      <c r="E64" s="68">
        <v>6537.5439999999999</v>
      </c>
      <c r="F64" s="68">
        <v>1.0384217211853899</v>
      </c>
    </row>
    <row r="65" spans="1:6" x14ac:dyDescent="0.2">
      <c r="A65" s="39" t="s">
        <v>998</v>
      </c>
      <c r="B65" s="39" t="str">
        <f>IFERROR(VLOOKUP(A65,[1]Bonds!$B$1:$K$2669,10,0),VLOOKUP(A65,[1]CPCD!$B$1:$H$1476,7,0))</f>
        <v>11.49% Reliance Infrastructure Consulting &amp; Engineers (15-Jan-2021) **</v>
      </c>
      <c r="C65" s="39" t="s">
        <v>999</v>
      </c>
      <c r="D65" s="39">
        <v>1214</v>
      </c>
      <c r="E65" s="68">
        <v>6070</v>
      </c>
      <c r="F65" s="68">
        <v>0.96415715865091201</v>
      </c>
    </row>
    <row r="66" spans="1:6" x14ac:dyDescent="0.2">
      <c r="A66" s="39" t="s">
        <v>984</v>
      </c>
      <c r="B66" s="39" t="str">
        <f>IFERROR(VLOOKUP(A66,[1]Bonds!$B$1:$K$2669,10,0),VLOOKUP(A66,[1]CPCD!$B$1:$H$1476,7,0))</f>
        <v>11.50% S D Corporation Private Ltd (03-Jun-2022) **</v>
      </c>
      <c r="C66" s="39" t="s">
        <v>364</v>
      </c>
      <c r="D66" s="39">
        <v>600</v>
      </c>
      <c r="E66" s="68">
        <v>6018.3779999999997</v>
      </c>
      <c r="F66" s="68">
        <v>0.95595753412968099</v>
      </c>
    </row>
    <row r="67" spans="1:6" x14ac:dyDescent="0.2">
      <c r="A67" s="39" t="s">
        <v>1002</v>
      </c>
      <c r="B67" s="39" t="str">
        <f>IFERROR(VLOOKUP(A67,[1]Bonds!$B$1:$K$2669,10,0),VLOOKUP(A67,[1]CPCD!$B$1:$H$1476,7,0))</f>
        <v>11.25% Aadarshini Real Estate Developers Pvt Ltd (29-Jul-2020) **</v>
      </c>
      <c r="C67" s="39" t="s">
        <v>740</v>
      </c>
      <c r="D67" s="39">
        <v>12</v>
      </c>
      <c r="E67" s="68">
        <v>6017.8680000000004</v>
      </c>
      <c r="F67" s="68">
        <v>0.95587652586758598</v>
      </c>
    </row>
    <row r="68" spans="1:6" x14ac:dyDescent="0.2">
      <c r="A68" s="39" t="s">
        <v>1164</v>
      </c>
      <c r="B68" s="39" t="str">
        <f>IFERROR(VLOOKUP(A68,[1]Bonds!$B$1:$K$2669,10,0),VLOOKUP(A68,[1]CPCD!$B$1:$H$1476,7,0))</f>
        <v>11.84% Hero Wind Energy Pvt Ltd (10-Dec-2021) **</v>
      </c>
      <c r="C68" s="39" t="s">
        <v>740</v>
      </c>
      <c r="D68" s="39">
        <v>500</v>
      </c>
      <c r="E68" s="68">
        <v>5040.16</v>
      </c>
      <c r="F68" s="68">
        <v>0.80057765152322602</v>
      </c>
    </row>
    <row r="69" spans="1:6" x14ac:dyDescent="0.2">
      <c r="A69" s="39" t="s">
        <v>831</v>
      </c>
      <c r="B69" s="39" t="str">
        <f>IFERROR(VLOOKUP(A69,[1]Bonds!$B$1:$K$2669,10,0),VLOOKUP(A69,[1]CPCD!$B$1:$H$1476,7,0))</f>
        <v>9.00% Pune Solapur Expressways Pvt Ltd Series A (31-Mar-2029) **</v>
      </c>
      <c r="C69" s="39" t="s">
        <v>832</v>
      </c>
      <c r="D69" s="39">
        <v>5150</v>
      </c>
      <c r="E69" s="68">
        <v>4981.8061500000003</v>
      </c>
      <c r="F69" s="68">
        <v>0.79130874176831001</v>
      </c>
    </row>
    <row r="70" spans="1:6" x14ac:dyDescent="0.2">
      <c r="A70" s="39" t="s">
        <v>837</v>
      </c>
      <c r="B70" s="39" t="str">
        <f>IFERROR(VLOOKUP(A70,[1]Bonds!$B$1:$K$2669,10,0),VLOOKUP(A70,[1]CPCD!$B$1:$H$1476,7,0))</f>
        <v>0.00% Hero Wind Energy Pvt Ltd (08-Feb-2022) **</v>
      </c>
      <c r="C70" s="39" t="s">
        <v>740</v>
      </c>
      <c r="D70" s="39">
        <v>310</v>
      </c>
      <c r="E70" s="68">
        <v>4248.7236000000003</v>
      </c>
      <c r="F70" s="68">
        <v>0.67486610775437805</v>
      </c>
    </row>
    <row r="71" spans="1:6" x14ac:dyDescent="0.2">
      <c r="A71" s="39" t="s">
        <v>1032</v>
      </c>
      <c r="B71" s="39" t="str">
        <f>IFERROR(VLOOKUP(A71,[1]Bonds!$B$1:$K$2669,10,0),VLOOKUP(A71,[1]CPCD!$B$1:$H$1476,7,0))</f>
        <v>11.84% Hero Wind Energy Pvt Ltd (10-Jun-2022) **</v>
      </c>
      <c r="C71" s="39" t="s">
        <v>740</v>
      </c>
      <c r="D71" s="39">
        <v>240</v>
      </c>
      <c r="E71" s="68">
        <v>2418.2087999999999</v>
      </c>
      <c r="F71" s="68">
        <v>0.38410763189993902</v>
      </c>
    </row>
    <row r="72" spans="1:6" x14ac:dyDescent="0.2">
      <c r="A72" s="39" t="s">
        <v>1010</v>
      </c>
      <c r="B72" s="39" t="str">
        <f>IFERROR(VLOOKUP(A72,[1]Bonds!$B$1:$K$2669,10,0),VLOOKUP(A72,[1]CPCD!$B$1:$H$1476,7,0))</f>
        <v>0.00% Diligent Media Corp Ltd. Series A (30-Jun-2020) **</v>
      </c>
      <c r="C72" s="39" t="s">
        <v>994</v>
      </c>
      <c r="D72" s="39">
        <v>16</v>
      </c>
      <c r="E72" s="68">
        <v>2307.808</v>
      </c>
      <c r="F72" s="68">
        <v>0.366571598680699</v>
      </c>
    </row>
    <row r="73" spans="1:6" x14ac:dyDescent="0.2">
      <c r="A73" s="39" t="s">
        <v>1165</v>
      </c>
      <c r="B73" s="39" t="str">
        <f>IFERROR(VLOOKUP(A73,[1]Bonds!$B$1:$K$2669,10,0),VLOOKUP(A73,[1]CPCD!$B$1:$H$1476,7,0))</f>
        <v>11.90% Rivaaz Trade Ventures Pvt Ltd (30-Nov-2019) **</v>
      </c>
      <c r="C73" s="39" t="s">
        <v>825</v>
      </c>
      <c r="D73" s="39">
        <v>320</v>
      </c>
      <c r="E73" s="68">
        <v>2138.3904000000002</v>
      </c>
      <c r="F73" s="68">
        <v>0.33966135290780702</v>
      </c>
    </row>
    <row r="74" spans="1:6" x14ac:dyDescent="0.2">
      <c r="A74" s="39" t="s">
        <v>1033</v>
      </c>
      <c r="B74" s="39" t="str">
        <f>IFERROR(VLOOKUP(A74,[1]Bonds!$B$1:$K$2669,10,0),VLOOKUP(A74,[1]CPCD!$B$1:$H$1476,7,0))</f>
        <v>11.49% Reliance Big Pvt Ltd  Series 1 (14-Jan-2021) **</v>
      </c>
      <c r="C74" s="39" t="s">
        <v>999</v>
      </c>
      <c r="D74" s="39">
        <v>365</v>
      </c>
      <c r="E74" s="68">
        <v>1825</v>
      </c>
      <c r="F74" s="68">
        <v>0.28988250651365999</v>
      </c>
    </row>
    <row r="75" spans="1:6" x14ac:dyDescent="0.2">
      <c r="A75" s="39" t="s">
        <v>992</v>
      </c>
      <c r="B75" s="39" t="str">
        <f>IFERROR(VLOOKUP(A75,[1]Bonds!$B$1:$K$2669,10,0),VLOOKUP(A75,[1]CPCD!$B$1:$H$1476,7,0))</f>
        <v>9.60% Renew Wind Energy (Rajasthan One) Pvt Ltd (31-Mar-2023) **</v>
      </c>
      <c r="C75" s="39" t="s">
        <v>825</v>
      </c>
      <c r="D75" s="39">
        <v>180</v>
      </c>
      <c r="E75" s="68">
        <v>1619.2152000000001</v>
      </c>
      <c r="F75" s="68">
        <v>0.25719570452658502</v>
      </c>
    </row>
    <row r="76" spans="1:6" x14ac:dyDescent="0.2">
      <c r="A76" s="39" t="s">
        <v>1026</v>
      </c>
      <c r="B76" s="39" t="str">
        <f>IFERROR(VLOOKUP(A76,[1]Bonds!$B$1:$K$2669,10,0),VLOOKUP(A76,[1]CPCD!$B$1:$H$1476,7,0))</f>
        <v>9.95% Narmada Wind Energy Pvt Ltd (31-Mar-2023) **</v>
      </c>
      <c r="C76" s="39" t="s">
        <v>825</v>
      </c>
      <c r="D76" s="39">
        <v>120</v>
      </c>
      <c r="E76" s="68">
        <v>1118.2811999999999</v>
      </c>
      <c r="F76" s="68">
        <v>0.177627483420879</v>
      </c>
    </row>
    <row r="77" spans="1:6" x14ac:dyDescent="0.2">
      <c r="A77" s="39" t="s">
        <v>863</v>
      </c>
      <c r="B77" s="39" t="str">
        <f>IFERROR(VLOOKUP(A77,[1]Bonds!$B$1:$K$2669,10,0),VLOOKUP(A77,[1]CPCD!$B$1:$H$1476,7,0))</f>
        <v>11.90% Rivaaz Trade Ventures Pvt Ltd (31-Aug-2019) **</v>
      </c>
      <c r="C77" s="39" t="s">
        <v>850</v>
      </c>
      <c r="D77" s="39">
        <v>307</v>
      </c>
      <c r="E77" s="68">
        <v>509.48750710000002</v>
      </c>
      <c r="F77" s="68">
        <v>8.0926857860572105E-2</v>
      </c>
    </row>
    <row r="78" spans="1:6" x14ac:dyDescent="0.2">
      <c r="A78" s="39" t="s">
        <v>823</v>
      </c>
      <c r="B78" s="39" t="str">
        <f>IFERROR(VLOOKUP(A78,[1]Bonds!$B$1:$K$2669,10,0),VLOOKUP(A78,[1]CPCD!$B$1:$H$1476,7,0))</f>
        <v>10.90% Aasan Corporate Solutions Pvt Ltd (13-Dec-2019) **</v>
      </c>
      <c r="C78" s="39" t="s">
        <v>822</v>
      </c>
      <c r="D78" s="39">
        <v>50</v>
      </c>
      <c r="E78" s="68">
        <v>500.04138339999997</v>
      </c>
      <c r="F78" s="68">
        <v>7.9426438126328699E-2</v>
      </c>
    </row>
    <row r="79" spans="1:6" x14ac:dyDescent="0.2">
      <c r="A79" s="39" t="s">
        <v>986</v>
      </c>
      <c r="B79" s="39" t="str">
        <f>IFERROR(VLOOKUP(A79,[1]Bonds!$B$1:$K$2669,10,0),VLOOKUP(A79,[1]CPCD!$B$1:$H$1476,7,0))</f>
        <v>9.60% Narmada Wind Energy Pvt Ltd (31-Mar-2023) **</v>
      </c>
      <c r="C79" s="39" t="s">
        <v>825</v>
      </c>
      <c r="D79" s="39">
        <v>40</v>
      </c>
      <c r="E79" s="68">
        <v>360.62360000000001</v>
      </c>
      <c r="F79" s="68">
        <v>5.7281355110125699E-2</v>
      </c>
    </row>
    <row r="80" spans="1:6" x14ac:dyDescent="0.2">
      <c r="A80" s="38" t="s">
        <v>44</v>
      </c>
      <c r="B80" s="39"/>
      <c r="C80" s="39"/>
      <c r="D80" s="39"/>
      <c r="E80" s="69">
        <f>SUM(E55:E79)</f>
        <v>208502.9341905</v>
      </c>
      <c r="F80" s="69">
        <f>SUM(F55:F79)</f>
        <v>33.118549686901261</v>
      </c>
    </row>
    <row r="81" spans="1:6" x14ac:dyDescent="0.2">
      <c r="A81" s="39"/>
      <c r="B81" s="39"/>
      <c r="C81" s="39"/>
      <c r="D81" s="39"/>
      <c r="E81" s="68"/>
      <c r="F81" s="68"/>
    </row>
    <row r="82" spans="1:6" x14ac:dyDescent="0.2">
      <c r="A82" s="38" t="s">
        <v>864</v>
      </c>
      <c r="B82" s="39"/>
      <c r="C82" s="39"/>
      <c r="D82" s="39"/>
      <c r="E82" s="68"/>
      <c r="F82" s="68"/>
    </row>
    <row r="83" spans="1:6" x14ac:dyDescent="0.2">
      <c r="A83" s="38" t="s">
        <v>865</v>
      </c>
      <c r="B83" s="39"/>
      <c r="C83" s="39"/>
      <c r="D83" s="39"/>
      <c r="E83" s="68"/>
      <c r="F83" s="68"/>
    </row>
    <row r="84" spans="1:6" x14ac:dyDescent="0.2">
      <c r="A84" s="39" t="s">
        <v>1166</v>
      </c>
      <c r="B84" s="39" t="str">
        <f>IFERROR(VLOOKUP(A84,[1]Bonds!$B$1:$K$2669,10,0),VLOOKUP(A84,[1]CPCD!$B$1:$H$1476,7,0))</f>
        <v>Indusind Bank Ltd (27-Dec-2019) **</v>
      </c>
      <c r="C84" s="39" t="s">
        <v>869</v>
      </c>
      <c r="D84" s="39">
        <v>10000</v>
      </c>
      <c r="E84" s="68">
        <v>9813.2999999999993</v>
      </c>
      <c r="F84" s="68">
        <v>1.5587419184495901</v>
      </c>
    </row>
    <row r="85" spans="1:6" x14ac:dyDescent="0.2">
      <c r="A85" s="39" t="s">
        <v>1167</v>
      </c>
      <c r="B85" s="39" t="str">
        <f>IFERROR(VLOOKUP(A85,[1]Bonds!$B$1:$K$2669,10,0),VLOOKUP(A85,[1]CPCD!$B$1:$H$1476,7,0))</f>
        <v>Axis Bank Ltd (20-Aug-2020) **</v>
      </c>
      <c r="C85" s="39" t="s">
        <v>869</v>
      </c>
      <c r="D85" s="39">
        <v>7500</v>
      </c>
      <c r="E85" s="68">
        <v>7055.9849999999997</v>
      </c>
      <c r="F85" s="68">
        <v>1.1207707494371399</v>
      </c>
    </row>
    <row r="86" spans="1:6" x14ac:dyDescent="0.2">
      <c r="A86" s="39" t="s">
        <v>1048</v>
      </c>
      <c r="B86" s="39" t="str">
        <f>IFERROR(VLOOKUP(A86,[1]Bonds!$B$1:$K$2669,10,0),VLOOKUP(A86,[1]CPCD!$B$1:$H$1476,7,0))</f>
        <v>Hdfc Bank Ltd (06-Mar-2020) **</v>
      </c>
      <c r="C86" s="39" t="s">
        <v>869</v>
      </c>
      <c r="D86" s="39">
        <v>2000</v>
      </c>
      <c r="E86" s="68">
        <v>1941.174</v>
      </c>
      <c r="F86" s="68">
        <v>0.30833555325980699</v>
      </c>
    </row>
    <row r="87" spans="1:6" x14ac:dyDescent="0.2">
      <c r="A87" s="39" t="s">
        <v>1061</v>
      </c>
      <c r="B87" s="39" t="str">
        <f>IFERROR(VLOOKUP(A87,[1]Bonds!$B$1:$K$2669,10,0),VLOOKUP(A87,[1]CPCD!$B$1:$H$1476,7,0))</f>
        <v>National Bank For Agriculture And Rural Development (13-Mar-2020)</v>
      </c>
      <c r="C87" s="39" t="s">
        <v>1046</v>
      </c>
      <c r="D87" s="39">
        <v>2000</v>
      </c>
      <c r="E87" s="68">
        <v>1937.08</v>
      </c>
      <c r="F87" s="68">
        <v>0.30768526340683799</v>
      </c>
    </row>
    <row r="88" spans="1:6" x14ac:dyDescent="0.2">
      <c r="A88" s="38" t="s">
        <v>44</v>
      </c>
      <c r="B88" s="39"/>
      <c r="C88" s="39"/>
      <c r="D88" s="39"/>
      <c r="E88" s="69">
        <f>SUM(E84:E87)</f>
        <v>20747.538999999997</v>
      </c>
      <c r="F88" s="69">
        <f>SUM(F84:F87)</f>
        <v>3.2955334845533746</v>
      </c>
    </row>
    <row r="89" spans="1:6" x14ac:dyDescent="0.2">
      <c r="A89" s="39"/>
      <c r="B89" s="39"/>
      <c r="C89" s="39"/>
      <c r="D89" s="39"/>
      <c r="E89" s="68"/>
      <c r="F89" s="68"/>
    </row>
    <row r="90" spans="1:6" x14ac:dyDescent="0.2">
      <c r="A90" s="38" t="s">
        <v>870</v>
      </c>
      <c r="B90" s="39"/>
      <c r="C90" s="39"/>
      <c r="D90" s="39"/>
      <c r="E90" s="68"/>
      <c r="F90" s="68"/>
    </row>
    <row r="91" spans="1:6" x14ac:dyDescent="0.2">
      <c r="A91" s="39" t="s">
        <v>1168</v>
      </c>
      <c r="B91" s="39" t="str">
        <f>IFERROR(VLOOKUP(A91,[1]Bonds!$B$1:$K$2669,10,0),VLOOKUP(A91,[1]CPCD!$B$1:$H$1476,7,0))</f>
        <v>Tata Projects Ltd (22-Jun-2020) **</v>
      </c>
      <c r="C91" s="39" t="s">
        <v>1046</v>
      </c>
      <c r="D91" s="39">
        <v>4000</v>
      </c>
      <c r="E91" s="68">
        <v>18731.580000000002</v>
      </c>
      <c r="F91" s="68">
        <v>2.97531910211569</v>
      </c>
    </row>
    <row r="92" spans="1:6" x14ac:dyDescent="0.2">
      <c r="A92" s="39" t="s">
        <v>1169</v>
      </c>
      <c r="B92" s="39" t="str">
        <f>IFERROR(VLOOKUP(A92,[1]Bonds!$B$1:$K$2669,10,0),VLOOKUP(A92,[1]CPCD!$B$1:$H$1476,7,0))</f>
        <v>Housing Development Finance Corp Ltd (13-Feb-2020)</v>
      </c>
      <c r="C92" s="39" t="s">
        <v>869</v>
      </c>
      <c r="D92" s="39">
        <v>3500</v>
      </c>
      <c r="E92" s="68">
        <v>17021.584999999999</v>
      </c>
      <c r="F92" s="68">
        <v>2.7037039587042799</v>
      </c>
    </row>
    <row r="93" spans="1:6" x14ac:dyDescent="0.2">
      <c r="A93" s="39" t="s">
        <v>1170</v>
      </c>
      <c r="B93" s="39" t="str">
        <f>IFERROR(VLOOKUP(A93,[1]Bonds!$B$1:$K$2669,10,0),VLOOKUP(A93,[1]CPCD!$B$1:$H$1476,7,0))</f>
        <v>Tata Realty &amp; Infrastructure Ltd (24-Mar-2020) **</v>
      </c>
      <c r="C93" s="39" t="s">
        <v>867</v>
      </c>
      <c r="D93" s="39">
        <v>3000</v>
      </c>
      <c r="E93" s="68">
        <v>14361.69</v>
      </c>
      <c r="F93" s="68">
        <v>2.2812069561491302</v>
      </c>
    </row>
    <row r="94" spans="1:6" x14ac:dyDescent="0.2">
      <c r="A94" s="39" t="s">
        <v>1171</v>
      </c>
      <c r="B94" s="39" t="str">
        <f>IFERROR(VLOOKUP(A94,[1]Bonds!$B$1:$K$2669,10,0),VLOOKUP(A94,[1]CPCD!$B$1:$H$1476,7,0))</f>
        <v>Housing Development Finance Corp Ltd (28-Feb-2020) **</v>
      </c>
      <c r="C94" s="39" t="s">
        <v>869</v>
      </c>
      <c r="D94" s="39">
        <v>2000</v>
      </c>
      <c r="E94" s="68">
        <v>9702.65</v>
      </c>
      <c r="F94" s="68">
        <v>1.54116630236973</v>
      </c>
    </row>
    <row r="95" spans="1:6" x14ac:dyDescent="0.2">
      <c r="A95" s="39" t="s">
        <v>881</v>
      </c>
      <c r="B95" s="39" t="str">
        <f>IFERROR(VLOOKUP(A95,[1]Bonds!$B$1:$K$2669,10,0),VLOOKUP(A95,[1]CPCD!$B$1:$H$1476,7,0))</f>
        <v>Tata Realty &amp; Infrastructure Ltd (17-Mar-2020) **</v>
      </c>
      <c r="C95" s="39" t="s">
        <v>867</v>
      </c>
      <c r="D95" s="39">
        <v>2000</v>
      </c>
      <c r="E95" s="68">
        <v>9588.33</v>
      </c>
      <c r="F95" s="68">
        <v>1.5230077444822601</v>
      </c>
    </row>
    <row r="96" spans="1:6" x14ac:dyDescent="0.2">
      <c r="A96" s="39" t="s">
        <v>1070</v>
      </c>
      <c r="B96" s="39" t="str">
        <f>IFERROR(VLOOKUP(A96,[1]Bonds!$B$1:$K$2669,10,0),VLOOKUP(A96,[1]CPCD!$B$1:$H$1476,7,0))</f>
        <v>Housing Development Finance Corp Ltd (13-Aug-2020)</v>
      </c>
      <c r="C96" s="39" t="s">
        <v>869</v>
      </c>
      <c r="D96" s="39">
        <v>2000</v>
      </c>
      <c r="E96" s="68">
        <v>9391.15</v>
      </c>
      <c r="F96" s="68">
        <v>1.49168772660041</v>
      </c>
    </row>
    <row r="97" spans="1:6" x14ac:dyDescent="0.2">
      <c r="A97" s="39" t="s">
        <v>880</v>
      </c>
      <c r="B97" s="39" t="str">
        <f>IFERROR(VLOOKUP(A97,[1]Bonds!$B$1:$K$2669,10,0),VLOOKUP(A97,[1]CPCD!$B$1:$H$1476,7,0))</f>
        <v>Housing Development Finance Corp Ltd (14-Nov-2019)</v>
      </c>
      <c r="C97" s="39" t="s">
        <v>867</v>
      </c>
      <c r="D97" s="39">
        <v>1500</v>
      </c>
      <c r="E97" s="68">
        <v>7413.78</v>
      </c>
      <c r="F97" s="68">
        <v>1.17760281048813</v>
      </c>
    </row>
    <row r="98" spans="1:6" x14ac:dyDescent="0.2">
      <c r="A98" s="39" t="s">
        <v>874</v>
      </c>
      <c r="B98" s="39" t="str">
        <f>IFERROR(VLOOKUP(A98,[1]Bonds!$B$1:$K$2669,10,0),VLOOKUP(A98,[1]CPCD!$B$1:$H$1476,7,0))</f>
        <v>L&amp;T Housing Finance Limited (14-Jan-2020) **</v>
      </c>
      <c r="C98" s="39" t="s">
        <v>872</v>
      </c>
      <c r="D98" s="39">
        <v>1500</v>
      </c>
      <c r="E98" s="68">
        <v>7325.1824999999999</v>
      </c>
      <c r="F98" s="68">
        <v>1.1635300075452</v>
      </c>
    </row>
    <row r="99" spans="1:6" x14ac:dyDescent="0.2">
      <c r="A99" s="39" t="s">
        <v>1063</v>
      </c>
      <c r="B99" s="39" t="str">
        <f>IFERROR(VLOOKUP(A99,[1]Bonds!$B$1:$K$2669,10,0),VLOOKUP(A99,[1]CPCD!$B$1:$H$1476,7,0))</f>
        <v>Lic Housing Finance Ltd (28-May-2020) **</v>
      </c>
      <c r="C99" s="39" t="s">
        <v>869</v>
      </c>
      <c r="D99" s="39">
        <v>1000</v>
      </c>
      <c r="E99" s="68">
        <v>4762.22</v>
      </c>
      <c r="F99" s="68">
        <v>0.75642973707916805</v>
      </c>
    </row>
    <row r="100" spans="1:6" x14ac:dyDescent="0.2">
      <c r="A100" s="39" t="s">
        <v>1080</v>
      </c>
      <c r="B100" s="39" t="str">
        <f>IFERROR(VLOOKUP(A100,[1]Bonds!$B$1:$K$2669,10,0),VLOOKUP(A100,[1]CPCD!$B$1:$H$1476,7,0))</f>
        <v>Jm Financial Products Ltd (07-Jan-2020) **</v>
      </c>
      <c r="C100" s="39" t="s">
        <v>867</v>
      </c>
      <c r="D100" s="39">
        <v>520</v>
      </c>
      <c r="E100" s="68">
        <v>2517.2628</v>
      </c>
      <c r="F100" s="68">
        <v>0.39984134247539399</v>
      </c>
    </row>
    <row r="101" spans="1:6" x14ac:dyDescent="0.2">
      <c r="A101" s="39" t="s">
        <v>883</v>
      </c>
      <c r="B101" s="39" t="str">
        <f>IFERROR(VLOOKUP(A101,[1]Bonds!$B$1:$K$2669,10,0),VLOOKUP(A101,[1]CPCD!$B$1:$H$1476,7,0))</f>
        <v>Housing Development Finance Corp Ltd (02-Mar-2020) **</v>
      </c>
      <c r="C101" s="39" t="s">
        <v>867</v>
      </c>
      <c r="D101" s="39">
        <v>500</v>
      </c>
      <c r="E101" s="68">
        <v>2424.4675000000002</v>
      </c>
      <c r="F101" s="68">
        <v>0.38510176211556502</v>
      </c>
    </row>
    <row r="102" spans="1:6" x14ac:dyDescent="0.2">
      <c r="A102" s="39" t="s">
        <v>1067</v>
      </c>
      <c r="B102" s="39" t="str">
        <f>IFERROR(VLOOKUP(A102,[1]Bonds!$B$1:$K$2669,10,0),VLOOKUP(A102,[1]CPCD!$B$1:$H$1476,7,0))</f>
        <v>Rec Ltd (04-Mar-2020) **</v>
      </c>
      <c r="C102" s="39" t="s">
        <v>869</v>
      </c>
      <c r="D102" s="39">
        <v>400</v>
      </c>
      <c r="E102" s="68">
        <v>1939.13</v>
      </c>
      <c r="F102" s="68">
        <v>0.30801088485251099</v>
      </c>
    </row>
    <row r="103" spans="1:6" x14ac:dyDescent="0.2">
      <c r="A103" s="39" t="s">
        <v>1062</v>
      </c>
      <c r="B103" s="39" t="str">
        <f>IFERROR(VLOOKUP(A103,[1]Bonds!$B$1:$K$2669,10,0),VLOOKUP(A103,[1]CPCD!$B$1:$H$1476,7,0))</f>
        <v>Power Finance Corp Ltd (06-Mar-2020) **</v>
      </c>
      <c r="C103" s="39" t="s">
        <v>872</v>
      </c>
      <c r="D103" s="39">
        <v>400</v>
      </c>
      <c r="E103" s="68">
        <v>1938.64</v>
      </c>
      <c r="F103" s="68">
        <v>0.30793305338500898</v>
      </c>
    </row>
    <row r="104" spans="1:6" x14ac:dyDescent="0.2">
      <c r="A104" s="39" t="s">
        <v>1082</v>
      </c>
      <c r="B104" s="39" t="str">
        <f>IFERROR(VLOOKUP(A104,[1]Bonds!$B$1:$K$2669,10,0),VLOOKUP(A104,[1]CPCD!$B$1:$H$1476,7,0))</f>
        <v>Jm Financial Products Ltd (13-Mar-2020) **</v>
      </c>
      <c r="C104" s="39" t="s">
        <v>867</v>
      </c>
      <c r="D104" s="39">
        <v>100</v>
      </c>
      <c r="E104" s="68">
        <v>476.33350000000002</v>
      </c>
      <c r="F104" s="68">
        <v>7.5660684337766806E-2</v>
      </c>
    </row>
    <row r="105" spans="1:6" x14ac:dyDescent="0.2">
      <c r="A105" s="38" t="s">
        <v>44</v>
      </c>
      <c r="B105" s="39"/>
      <c r="C105" s="39"/>
      <c r="D105" s="39"/>
      <c r="E105" s="69">
        <f>SUM(E91:E104)</f>
        <v>107594.00129999999</v>
      </c>
      <c r="F105" s="69">
        <f>SUM(F91:F104)</f>
        <v>17.090202072700244</v>
      </c>
    </row>
    <row r="106" spans="1:6" x14ac:dyDescent="0.2">
      <c r="A106" s="39"/>
      <c r="B106" s="39"/>
      <c r="C106" s="39"/>
      <c r="D106" s="39"/>
      <c r="E106" s="68"/>
      <c r="F106" s="68"/>
    </row>
    <row r="107" spans="1:6" x14ac:dyDescent="0.2">
      <c r="A107" s="38" t="s">
        <v>44</v>
      </c>
      <c r="B107" s="39"/>
      <c r="C107" s="39"/>
      <c r="D107" s="39"/>
      <c r="E107" s="69">
        <v>617000.00537050026</v>
      </c>
      <c r="F107" s="69">
        <v>98.004114014105255</v>
      </c>
    </row>
    <row r="108" spans="1:6" x14ac:dyDescent="0.2">
      <c r="A108" s="39"/>
      <c r="B108" s="39"/>
      <c r="C108" s="39"/>
      <c r="D108" s="39"/>
      <c r="E108" s="68"/>
      <c r="F108" s="68"/>
    </row>
    <row r="109" spans="1:6" x14ac:dyDescent="0.2">
      <c r="A109" s="38" t="s">
        <v>76</v>
      </c>
      <c r="B109" s="39"/>
      <c r="C109" s="39"/>
      <c r="D109" s="39"/>
      <c r="E109" s="69">
        <v>12565.403225100001</v>
      </c>
      <c r="F109" s="69">
        <v>2</v>
      </c>
    </row>
    <row r="110" spans="1:6" x14ac:dyDescent="0.2">
      <c r="A110" s="39"/>
      <c r="B110" s="39"/>
      <c r="C110" s="39"/>
      <c r="D110" s="39"/>
      <c r="E110" s="68"/>
      <c r="F110" s="68"/>
    </row>
    <row r="111" spans="1:6" x14ac:dyDescent="0.2">
      <c r="A111" s="71" t="s">
        <v>77</v>
      </c>
      <c r="B111" s="66"/>
      <c r="C111" s="66"/>
      <c r="D111" s="66"/>
      <c r="E111" s="72">
        <v>629565.41322510003</v>
      </c>
      <c r="F111" s="72">
        <f xml:space="preserve"> ROUND(SUM(F107:F110),2)</f>
        <v>100</v>
      </c>
    </row>
    <row r="112" spans="1:6" x14ac:dyDescent="0.2">
      <c r="A112" s="4" t="s">
        <v>619</v>
      </c>
    </row>
    <row r="114" spans="1:4" x14ac:dyDescent="0.2">
      <c r="A114" s="4" t="s">
        <v>78</v>
      </c>
    </row>
    <row r="115" spans="1:4" x14ac:dyDescent="0.2">
      <c r="A115" s="4" t="s">
        <v>650</v>
      </c>
    </row>
    <row r="116" spans="1:4" x14ac:dyDescent="0.2">
      <c r="A116" s="4" t="s">
        <v>80</v>
      </c>
    </row>
    <row r="117" spans="1:4" x14ac:dyDescent="0.2">
      <c r="A117" s="2" t="s">
        <v>638</v>
      </c>
      <c r="D117" s="10">
        <v>21.513500000000001</v>
      </c>
    </row>
    <row r="118" spans="1:4" x14ac:dyDescent="0.2">
      <c r="A118" s="2" t="s">
        <v>651</v>
      </c>
      <c r="D118" s="10">
        <v>10.63</v>
      </c>
    </row>
    <row r="119" spans="1:4" x14ac:dyDescent="0.2">
      <c r="A119" s="2" t="s">
        <v>652</v>
      </c>
      <c r="D119" s="10">
        <v>10.5138</v>
      </c>
    </row>
    <row r="120" spans="1:4" x14ac:dyDescent="0.2">
      <c r="A120" s="2" t="s">
        <v>640</v>
      </c>
      <c r="D120" s="10">
        <v>21.9313</v>
      </c>
    </row>
    <row r="121" spans="1:4" x14ac:dyDescent="0.2">
      <c r="A121" s="2" t="s">
        <v>653</v>
      </c>
      <c r="D121" s="10">
        <v>10.9015</v>
      </c>
    </row>
    <row r="122" spans="1:4" x14ac:dyDescent="0.2">
      <c r="A122" s="2" t="s">
        <v>654</v>
      </c>
      <c r="D122" s="10">
        <v>10.786</v>
      </c>
    </row>
    <row r="124" spans="1:4" x14ac:dyDescent="0.2">
      <c r="A124" s="4" t="s">
        <v>81</v>
      </c>
    </row>
    <row r="125" spans="1:4" x14ac:dyDescent="0.2">
      <c r="A125" s="2" t="s">
        <v>638</v>
      </c>
      <c r="D125" s="10">
        <v>22.304099999999998</v>
      </c>
    </row>
    <row r="126" spans="1:4" x14ac:dyDescent="0.2">
      <c r="A126" s="2" t="s">
        <v>651</v>
      </c>
      <c r="D126" s="10">
        <v>10.563000000000001</v>
      </c>
    </row>
    <row r="127" spans="1:4" x14ac:dyDescent="0.2">
      <c r="A127" s="2" t="s">
        <v>652</v>
      </c>
      <c r="D127" s="10">
        <v>10.45</v>
      </c>
    </row>
    <row r="128" spans="1:4" x14ac:dyDescent="0.2">
      <c r="A128" s="2" t="s">
        <v>640</v>
      </c>
      <c r="D128" s="10">
        <v>22.780100000000001</v>
      </c>
    </row>
    <row r="129" spans="1:5" x14ac:dyDescent="0.2">
      <c r="A129" s="2" t="s">
        <v>653</v>
      </c>
      <c r="D129" s="10">
        <v>10.8653</v>
      </c>
    </row>
    <row r="130" spans="1:5" x14ac:dyDescent="0.2">
      <c r="A130" s="2" t="s">
        <v>654</v>
      </c>
      <c r="D130" s="10">
        <v>10.7529</v>
      </c>
    </row>
    <row r="132" spans="1:5" x14ac:dyDescent="0.2">
      <c r="A132" s="4" t="s">
        <v>82</v>
      </c>
      <c r="D132" s="44" t="s">
        <v>299</v>
      </c>
    </row>
    <row r="133" spans="1:5" x14ac:dyDescent="0.2">
      <c r="A133" s="106" t="s">
        <v>642</v>
      </c>
      <c r="B133" s="107"/>
      <c r="C133" s="109" t="s">
        <v>643</v>
      </c>
      <c r="D133" s="109"/>
    </row>
    <row r="134" spans="1:5" x14ac:dyDescent="0.2">
      <c r="A134" s="110"/>
      <c r="B134" s="110"/>
      <c r="C134" s="47" t="s">
        <v>644</v>
      </c>
      <c r="D134" s="47" t="s">
        <v>645</v>
      </c>
    </row>
    <row r="135" spans="1:5" x14ac:dyDescent="0.2">
      <c r="A135" s="48" t="s">
        <v>651</v>
      </c>
      <c r="B135" s="49"/>
      <c r="C135" s="54">
        <v>0.32414521500000004</v>
      </c>
      <c r="D135" s="54">
        <v>0.30016008450000004</v>
      </c>
    </row>
    <row r="136" spans="1:5" x14ac:dyDescent="0.2">
      <c r="A136" s="48" t="s">
        <v>652</v>
      </c>
      <c r="B136" s="49"/>
      <c r="C136" s="54">
        <v>0.31694198800000006</v>
      </c>
      <c r="D136" s="54">
        <v>0.29348986040000002</v>
      </c>
    </row>
    <row r="137" spans="1:5" x14ac:dyDescent="0.2">
      <c r="A137" s="48" t="s">
        <v>653</v>
      </c>
      <c r="B137" s="49"/>
      <c r="C137" s="54">
        <v>0.32414521500000004</v>
      </c>
      <c r="D137" s="54">
        <v>0.30016008450000004</v>
      </c>
    </row>
    <row r="138" spans="1:5" x14ac:dyDescent="0.2">
      <c r="A138" s="48" t="s">
        <v>654</v>
      </c>
      <c r="B138" s="49"/>
      <c r="C138" s="54">
        <v>0.31694198800000006</v>
      </c>
      <c r="D138" s="54">
        <v>0.29348986040000002</v>
      </c>
    </row>
    <row r="140" spans="1:5" x14ac:dyDescent="0.2">
      <c r="A140" s="4" t="s">
        <v>647</v>
      </c>
      <c r="D140" s="53">
        <v>1.149038425676113</v>
      </c>
      <c r="E140" s="73" t="s">
        <v>648</v>
      </c>
    </row>
  </sheetData>
  <mergeCells count="4">
    <mergeCell ref="A1:F1"/>
    <mergeCell ref="A133:B133"/>
    <mergeCell ref="C133:D133"/>
    <mergeCell ref="A134:B134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530A2-F97A-4BD3-B099-816E8CA25233}">
  <dimension ref="A1:F35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23" style="2" bestFit="1" customWidth="1"/>
    <col min="3" max="3" width="11.7109375" style="2" bestFit="1" customWidth="1"/>
    <col min="4" max="4" width="7.85546875" style="2" bestFit="1" customWidth="1"/>
    <col min="5" max="5" width="23" style="73" bestFit="1" customWidth="1"/>
    <col min="6" max="6" width="13.5703125" style="73" bestFit="1" customWidth="1"/>
    <col min="7" max="16384" width="9.140625" style="2"/>
  </cols>
  <sheetData>
    <row r="1" spans="1:6" ht="15" customHeight="1" x14ac:dyDescent="0.2">
      <c r="A1" s="108" t="s">
        <v>1172</v>
      </c>
      <c r="B1" s="108"/>
      <c r="C1" s="108"/>
      <c r="D1" s="108"/>
      <c r="E1" s="108"/>
      <c r="F1" s="108"/>
    </row>
    <row r="3" spans="1:6" s="4" customFormat="1" x14ac:dyDescent="0.2">
      <c r="A3" s="64" t="s">
        <v>1</v>
      </c>
      <c r="B3" s="64" t="s">
        <v>2</v>
      </c>
      <c r="C3" s="64" t="s">
        <v>716</v>
      </c>
      <c r="D3" s="64" t="s">
        <v>4</v>
      </c>
      <c r="E3" s="65" t="s">
        <v>5</v>
      </c>
      <c r="F3" s="65" t="s">
        <v>6</v>
      </c>
    </row>
    <row r="4" spans="1:6" x14ac:dyDescent="0.2">
      <c r="A4" s="66"/>
      <c r="B4" s="66"/>
      <c r="C4" s="66"/>
      <c r="D4" s="66"/>
      <c r="E4" s="67"/>
      <c r="F4" s="67"/>
    </row>
    <row r="5" spans="1:6" x14ac:dyDescent="0.2">
      <c r="A5" s="38" t="s">
        <v>1143</v>
      </c>
      <c r="B5" s="39"/>
      <c r="C5" s="39"/>
      <c r="D5" s="39"/>
      <c r="E5" s="68"/>
      <c r="F5" s="68"/>
    </row>
    <row r="6" spans="1:6" x14ac:dyDescent="0.2">
      <c r="A6" s="39" t="s">
        <v>1173</v>
      </c>
      <c r="B6" s="39" t="str">
        <f>IFERROR(VLOOKUP(A6,[1]Bonds!$B$1:$K$2669,10,0),VLOOKUP(A6,[1]CPCD!$B$1:$H$1476,7,0))</f>
        <v>7.32% GOI 2024 (28-Jan-2024)</v>
      </c>
      <c r="C6" s="39" t="s">
        <v>1146</v>
      </c>
      <c r="D6" s="39">
        <v>19000000</v>
      </c>
      <c r="E6" s="68">
        <v>19768.987000000001</v>
      </c>
      <c r="F6" s="68">
        <v>83.446608636149804</v>
      </c>
    </row>
    <row r="7" spans="1:6" x14ac:dyDescent="0.2">
      <c r="A7" s="38" t="s">
        <v>44</v>
      </c>
      <c r="B7" s="39"/>
      <c r="C7" s="39"/>
      <c r="D7" s="39"/>
      <c r="E7" s="69">
        <f>SUM(E6:E6)</f>
        <v>19768.987000000001</v>
      </c>
      <c r="F7" s="69">
        <f>SUM(F6:F6)</f>
        <v>83.446608636149804</v>
      </c>
    </row>
    <row r="8" spans="1:6" x14ac:dyDescent="0.2">
      <c r="A8" s="39"/>
      <c r="B8" s="39"/>
      <c r="C8" s="39"/>
      <c r="D8" s="39"/>
      <c r="E8" s="68"/>
      <c r="F8" s="68"/>
    </row>
    <row r="9" spans="1:6" x14ac:dyDescent="0.2">
      <c r="A9" s="38" t="s">
        <v>44</v>
      </c>
      <c r="B9" s="39"/>
      <c r="C9" s="39"/>
      <c r="D9" s="39"/>
      <c r="E9" s="69">
        <v>19768.987000000001</v>
      </c>
      <c r="F9" s="69">
        <v>83.446608636149804</v>
      </c>
    </row>
    <row r="10" spans="1:6" x14ac:dyDescent="0.2">
      <c r="A10" s="39"/>
      <c r="B10" s="39"/>
      <c r="C10" s="39"/>
      <c r="D10" s="39"/>
      <c r="E10" s="68"/>
      <c r="F10" s="68"/>
    </row>
    <row r="11" spans="1:6" x14ac:dyDescent="0.2">
      <c r="A11" s="38" t="s">
        <v>76</v>
      </c>
      <c r="B11" s="39"/>
      <c r="C11" s="39"/>
      <c r="D11" s="39"/>
      <c r="E11" s="69">
        <v>3921.5917061999999</v>
      </c>
      <c r="F11" s="69">
        <v>16.55</v>
      </c>
    </row>
    <row r="12" spans="1:6" x14ac:dyDescent="0.2">
      <c r="A12" s="39"/>
      <c r="B12" s="39"/>
      <c r="C12" s="39"/>
      <c r="D12" s="39"/>
      <c r="E12" s="68"/>
      <c r="F12" s="68"/>
    </row>
    <row r="13" spans="1:6" x14ac:dyDescent="0.2">
      <c r="A13" s="71" t="s">
        <v>77</v>
      </c>
      <c r="B13" s="66"/>
      <c r="C13" s="66"/>
      <c r="D13" s="66"/>
      <c r="E13" s="72">
        <v>23690.581706199999</v>
      </c>
      <c r="F13" s="72">
        <f xml:space="preserve"> ROUND(SUM(F9:F12),2)</f>
        <v>100</v>
      </c>
    </row>
    <row r="15" spans="1:6" x14ac:dyDescent="0.2">
      <c r="A15" s="4" t="s">
        <v>78</v>
      </c>
    </row>
    <row r="16" spans="1:6" x14ac:dyDescent="0.2">
      <c r="A16" s="4" t="s">
        <v>650</v>
      </c>
    </row>
    <row r="17" spans="1:4" x14ac:dyDescent="0.2">
      <c r="A17" s="4" t="s">
        <v>80</v>
      </c>
    </row>
    <row r="18" spans="1:4" x14ac:dyDescent="0.2">
      <c r="A18" s="2" t="s">
        <v>1174</v>
      </c>
      <c r="D18" s="10">
        <v>40.700299999999999</v>
      </c>
    </row>
    <row r="19" spans="1:4" x14ac:dyDescent="0.2">
      <c r="A19" s="2" t="s">
        <v>1175</v>
      </c>
      <c r="D19" s="10">
        <v>10.757899999999999</v>
      </c>
    </row>
    <row r="20" spans="1:4" x14ac:dyDescent="0.2">
      <c r="A20" s="2" t="s">
        <v>1176</v>
      </c>
      <c r="D20" s="10">
        <v>43.226700000000001</v>
      </c>
    </row>
    <row r="21" spans="1:4" x14ac:dyDescent="0.2">
      <c r="A21" s="2" t="s">
        <v>1177</v>
      </c>
      <c r="D21" s="10">
        <v>11.596299999999999</v>
      </c>
    </row>
    <row r="23" spans="1:4" x14ac:dyDescent="0.2">
      <c r="A23" s="4" t="s">
        <v>81</v>
      </c>
    </row>
    <row r="24" spans="1:4" x14ac:dyDescent="0.2">
      <c r="A24" s="2" t="s">
        <v>1174</v>
      </c>
      <c r="D24" s="10">
        <v>43.460099999999997</v>
      </c>
    </row>
    <row r="25" spans="1:4" x14ac:dyDescent="0.2">
      <c r="A25" s="2" t="s">
        <v>1175</v>
      </c>
      <c r="D25" s="10">
        <v>11.054399999999999</v>
      </c>
    </row>
    <row r="26" spans="1:4" x14ac:dyDescent="0.2">
      <c r="A26" s="2" t="s">
        <v>1176</v>
      </c>
      <c r="D26" s="10">
        <v>46.294499999999999</v>
      </c>
    </row>
    <row r="27" spans="1:4" x14ac:dyDescent="0.2">
      <c r="A27" s="2" t="s">
        <v>1177</v>
      </c>
      <c r="D27" s="10">
        <v>11.9857</v>
      </c>
    </row>
    <row r="29" spans="1:4" x14ac:dyDescent="0.2">
      <c r="A29" s="4" t="s">
        <v>82</v>
      </c>
      <c r="D29" s="44" t="s">
        <v>299</v>
      </c>
    </row>
    <row r="30" spans="1:4" x14ac:dyDescent="0.2">
      <c r="A30" s="106" t="s">
        <v>642</v>
      </c>
      <c r="B30" s="107"/>
      <c r="C30" s="109" t="s">
        <v>643</v>
      </c>
      <c r="D30" s="109"/>
    </row>
    <row r="31" spans="1:4" x14ac:dyDescent="0.2">
      <c r="A31" s="110"/>
      <c r="B31" s="110"/>
      <c r="C31" s="47" t="s">
        <v>644</v>
      </c>
      <c r="D31" s="47" t="s">
        <v>645</v>
      </c>
    </row>
    <row r="32" spans="1:4" x14ac:dyDescent="0.2">
      <c r="A32" s="48" t="s">
        <v>1175</v>
      </c>
      <c r="B32" s="49"/>
      <c r="C32" s="54">
        <v>0.30253553399999999</v>
      </c>
      <c r="D32" s="54">
        <v>0.2801494122</v>
      </c>
    </row>
    <row r="33" spans="1:5" x14ac:dyDescent="0.2">
      <c r="A33" s="48" t="s">
        <v>1177</v>
      </c>
      <c r="B33" s="49"/>
      <c r="C33" s="54">
        <v>0.30253553399999999</v>
      </c>
      <c r="D33" s="54">
        <v>0.2801494122</v>
      </c>
    </row>
    <row r="35" spans="1:5" x14ac:dyDescent="0.2">
      <c r="A35" s="4" t="s">
        <v>647</v>
      </c>
      <c r="D35" s="53">
        <v>3.6752991845786376</v>
      </c>
      <c r="E35" s="73" t="s">
        <v>648</v>
      </c>
    </row>
  </sheetData>
  <mergeCells count="4">
    <mergeCell ref="A1:F1"/>
    <mergeCell ref="A30:B30"/>
    <mergeCell ref="C30:D30"/>
    <mergeCell ref="A31:B3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83CD3-6A0D-4FAF-B450-B7A5FE4C12E1}">
  <dimension ref="A1:F61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72.28515625" style="2" customWidth="1"/>
    <col min="3" max="3" width="11.7109375" style="2" bestFit="1" customWidth="1"/>
    <col min="4" max="4" width="11.28515625" style="2" bestFit="1" customWidth="1"/>
    <col min="5" max="5" width="23" style="73" bestFit="1" customWidth="1"/>
    <col min="6" max="6" width="13.5703125" style="73" bestFit="1" customWidth="1"/>
    <col min="7" max="16384" width="9.140625" style="2"/>
  </cols>
  <sheetData>
    <row r="1" spans="1:6" ht="15" customHeight="1" x14ac:dyDescent="0.2">
      <c r="A1" s="108" t="s">
        <v>1178</v>
      </c>
      <c r="B1" s="108"/>
      <c r="C1" s="108"/>
      <c r="D1" s="108"/>
      <c r="E1" s="108"/>
      <c r="F1" s="108"/>
    </row>
    <row r="3" spans="1:6" s="4" customFormat="1" x14ac:dyDescent="0.2">
      <c r="A3" s="64" t="s">
        <v>1</v>
      </c>
      <c r="B3" s="64" t="s">
        <v>2</v>
      </c>
      <c r="C3" s="64" t="s">
        <v>716</v>
      </c>
      <c r="D3" s="64" t="s">
        <v>4</v>
      </c>
      <c r="E3" s="65" t="s">
        <v>5</v>
      </c>
      <c r="F3" s="65" t="s">
        <v>6</v>
      </c>
    </row>
    <row r="4" spans="1:6" x14ac:dyDescent="0.2">
      <c r="A4" s="66"/>
      <c r="B4" s="66"/>
      <c r="C4" s="66"/>
      <c r="D4" s="66"/>
      <c r="E4" s="67"/>
      <c r="F4" s="67"/>
    </row>
    <row r="5" spans="1:6" x14ac:dyDescent="0.2">
      <c r="A5" s="38" t="s">
        <v>359</v>
      </c>
      <c r="B5" s="39"/>
      <c r="C5" s="39"/>
      <c r="D5" s="39"/>
      <c r="E5" s="68"/>
      <c r="F5" s="68"/>
    </row>
    <row r="6" spans="1:6" x14ac:dyDescent="0.2">
      <c r="A6" s="38" t="s">
        <v>8</v>
      </c>
      <c r="B6" s="39"/>
      <c r="C6" s="39"/>
      <c r="D6" s="39"/>
      <c r="E6" s="68"/>
      <c r="F6" s="68"/>
    </row>
    <row r="7" spans="1:6" x14ac:dyDescent="0.2">
      <c r="A7" s="38"/>
      <c r="B7" s="39"/>
      <c r="C7" s="39"/>
      <c r="D7" s="39"/>
      <c r="E7" s="68"/>
      <c r="F7" s="68"/>
    </row>
    <row r="8" spans="1:6" x14ac:dyDescent="0.2">
      <c r="A8" s="39" t="s">
        <v>812</v>
      </c>
      <c r="B8" s="39" t="str">
        <f>IFERROR(VLOOKUP(A8,[1]Bonds!$B$1:$K$2669,10,0),VLOOKUP(A8,[1]CPCD!$B$1:$H$1476,7,0))</f>
        <v>HDB Financial (91DTB + 205 Bps) (12Jul2021) **</v>
      </c>
      <c r="C8" s="39" t="s">
        <v>361</v>
      </c>
      <c r="D8" s="39">
        <v>200</v>
      </c>
      <c r="E8" s="68">
        <v>1977.4839999999999</v>
      </c>
      <c r="F8" s="43">
        <f>IF((E8/$E$38*100)&lt;0.01,"0.00*",E8/$E$38*100)</f>
        <v>8.3297381005067237</v>
      </c>
    </row>
    <row r="9" spans="1:6" x14ac:dyDescent="0.2">
      <c r="A9" s="39" t="s">
        <v>720</v>
      </c>
      <c r="B9" s="39" t="str">
        <f>IFERROR(VLOOKUP(A9,[1]Bonds!$B$1:$K$2669,10,0),VLOOKUP(A9,[1]CPCD!$B$1:$H$1476,7,0))</f>
        <v>Indostar Capital Finance Ltd (1Y SBI MCLR + 200 Bps) (02-May-2023) **</v>
      </c>
      <c r="C9" s="39" t="s">
        <v>721</v>
      </c>
      <c r="D9" s="39">
        <v>100</v>
      </c>
      <c r="E9" s="68">
        <v>1001.188</v>
      </c>
      <c r="F9" s="43">
        <f t="shared" ref="F9:F17" si="0">IF((E9/$E$38*100)&lt;0.01,"0.00*",E9/$E$38*100)</f>
        <v>4.2172952243204627</v>
      </c>
    </row>
    <row r="10" spans="1:6" x14ac:dyDescent="0.2">
      <c r="A10" s="39" t="s">
        <v>1179</v>
      </c>
      <c r="B10" s="39" t="str">
        <f>IFERROR(VLOOKUP(A10,[1]Bonds!$B$1:$K$2669,10,0),VLOOKUP(A10,[1]CPCD!$B$1:$H$1476,7,0))</f>
        <v>9.15% Tata Steel Ltd (24-Jan-2021) **</v>
      </c>
      <c r="C10" s="39" t="s">
        <v>1180</v>
      </c>
      <c r="D10" s="39">
        <v>100</v>
      </c>
      <c r="E10" s="68">
        <v>1000.739</v>
      </c>
      <c r="F10" s="43">
        <f t="shared" si="0"/>
        <v>4.2154039056513222</v>
      </c>
    </row>
    <row r="11" spans="1:6" x14ac:dyDescent="0.2">
      <c r="A11" s="39" t="s">
        <v>719</v>
      </c>
      <c r="B11" s="39" t="str">
        <f>IFERROR(VLOOKUP(A11,[1]Bonds!$B$1:$K$2669,10,0),VLOOKUP(A11,[1]CPCD!$B$1:$H$1476,7,0))</f>
        <v>JM Financial Credit Solutions Ltd (1Y SBI MCLR + 160 Bps) (23-Jul-2024) **</v>
      </c>
      <c r="C11" s="39" t="s">
        <v>367</v>
      </c>
      <c r="D11" s="39">
        <v>100</v>
      </c>
      <c r="E11" s="68">
        <v>1000.237</v>
      </c>
      <c r="F11" s="43">
        <f t="shared" si="0"/>
        <v>4.2132893355579837</v>
      </c>
    </row>
    <row r="12" spans="1:6" x14ac:dyDescent="0.2">
      <c r="A12" s="39" t="s">
        <v>758</v>
      </c>
      <c r="B12" s="39" t="str">
        <f>IFERROR(VLOOKUP(A12,[1]Bonds!$B$1:$K$2669,10,0),VLOOKUP(A12,[1]CPCD!$B$1:$H$1476,7,0))</f>
        <v>8.68% Vedanta Ltd (20-Apr-2020)</v>
      </c>
      <c r="C12" s="39" t="s">
        <v>370</v>
      </c>
      <c r="D12" s="39">
        <v>100</v>
      </c>
      <c r="E12" s="68">
        <v>991.49</v>
      </c>
      <c r="F12" s="43">
        <f t="shared" si="0"/>
        <v>4.1764444259834281</v>
      </c>
    </row>
    <row r="13" spans="1:6" x14ac:dyDescent="0.2">
      <c r="A13" s="39" t="s">
        <v>800</v>
      </c>
      <c r="B13" s="39" t="str">
        <f>IFERROR(VLOOKUP(A13,[1]Bonds!$B$1:$K$2669,10,0),VLOOKUP(A13,[1]CPCD!$B$1:$H$1476,7,0))</f>
        <v>7.50% Pnb Housing Finance Ltd (15-Sep-2020)</v>
      </c>
      <c r="C13" s="39" t="s">
        <v>763</v>
      </c>
      <c r="D13" s="39">
        <v>100</v>
      </c>
      <c r="E13" s="68">
        <v>977.16499999999996</v>
      </c>
      <c r="F13" s="43">
        <f t="shared" si="0"/>
        <v>4.1161033570848886</v>
      </c>
    </row>
    <row r="14" spans="1:6" x14ac:dyDescent="0.2">
      <c r="A14" s="39" t="s">
        <v>742</v>
      </c>
      <c r="B14" s="39" t="str">
        <f>IFERROR(VLOOKUP(A14,[1]Bonds!$B$1:$K$2669,10,0),VLOOKUP(A14,[1]CPCD!$B$1:$H$1476,7,0))</f>
        <v>Motilal Oswal Home Finance Ltd (SBI MCLR + 200 Bps) (24-Aug-2023) **</v>
      </c>
      <c r="C14" s="39" t="s">
        <v>735</v>
      </c>
      <c r="D14" s="39">
        <v>85</v>
      </c>
      <c r="E14" s="68">
        <v>842.53359999999998</v>
      </c>
      <c r="F14" s="43">
        <f t="shared" si="0"/>
        <v>3.5489967195067527</v>
      </c>
    </row>
    <row r="15" spans="1:6" x14ac:dyDescent="0.2">
      <c r="A15" s="39" t="s">
        <v>744</v>
      </c>
      <c r="B15" s="39" t="str">
        <f>IFERROR(VLOOKUP(A15,[1]Bonds!$B$1:$K$2669,10,0),VLOOKUP(A15,[1]CPCD!$B$1:$H$1476,7,0))</f>
        <v>Shriram Transport Finance Co Ltd ( 3M INCDFIX Rate + 222 Bps) (11-Mar-2021) **</v>
      </c>
      <c r="C15" s="39" t="s">
        <v>727</v>
      </c>
      <c r="D15" s="39">
        <v>75</v>
      </c>
      <c r="E15" s="68">
        <v>740.37675000000002</v>
      </c>
      <c r="F15" s="43">
        <f t="shared" si="0"/>
        <v>3.1186823373561263</v>
      </c>
    </row>
    <row r="16" spans="1:6" x14ac:dyDescent="0.2">
      <c r="A16" s="39" t="s">
        <v>768</v>
      </c>
      <c r="B16" s="39" t="str">
        <f>IFERROR(VLOOKUP(A16,[1]Bonds!$B$1:$K$2669,10,0),VLOOKUP(A16,[1]CPCD!$B$1:$H$1476,7,0))</f>
        <v>Northern Arc Capital Ltd (6M SBI MCLR + 305 Bps) Series C (16-Jul-2021) **</v>
      </c>
      <c r="C16" s="39" t="s">
        <v>740</v>
      </c>
      <c r="D16" s="39">
        <v>60</v>
      </c>
      <c r="E16" s="68">
        <v>601.97940000000006</v>
      </c>
      <c r="F16" s="43">
        <f t="shared" si="0"/>
        <v>2.5357124224014851</v>
      </c>
    </row>
    <row r="17" spans="1:6" x14ac:dyDescent="0.2">
      <c r="A17" s="39" t="s">
        <v>814</v>
      </c>
      <c r="B17" s="39" t="str">
        <f>IFERROR(VLOOKUP(A17,[1]Bonds!$B$1:$K$2669,10,0),VLOOKUP(A17,[1]CPCD!$B$1:$H$1476,7,0))</f>
        <v>8.93% Power Grid Corp Of India Ltd (20-Oct-2019) **</v>
      </c>
      <c r="C17" s="39" t="s">
        <v>361</v>
      </c>
      <c r="D17" s="39">
        <v>20</v>
      </c>
      <c r="E17" s="68">
        <v>200.77379999999999</v>
      </c>
      <c r="F17" s="43">
        <f t="shared" si="0"/>
        <v>0.84571767531040309</v>
      </c>
    </row>
    <row r="18" spans="1:6" x14ac:dyDescent="0.2">
      <c r="A18" s="38" t="s">
        <v>44</v>
      </c>
      <c r="B18" s="39"/>
      <c r="C18" s="39"/>
      <c r="D18" s="39"/>
      <c r="E18" s="69">
        <f>SUM(E8:E17)</f>
        <v>9333.966550000001</v>
      </c>
      <c r="F18" s="69">
        <f>SUM(F8:F17)</f>
        <v>39.317383503679579</v>
      </c>
    </row>
    <row r="19" spans="1:6" x14ac:dyDescent="0.2">
      <c r="A19" s="39"/>
      <c r="B19" s="39"/>
      <c r="C19" s="39"/>
      <c r="D19" s="39"/>
      <c r="E19" s="68"/>
      <c r="F19" s="68"/>
    </row>
    <row r="20" spans="1:6" x14ac:dyDescent="0.2">
      <c r="A20" s="38" t="s">
        <v>1143</v>
      </c>
      <c r="B20" s="39"/>
      <c r="C20" s="39"/>
      <c r="D20" s="81"/>
      <c r="E20" s="69"/>
      <c r="F20" s="69"/>
    </row>
    <row r="21" spans="1:6" x14ac:dyDescent="0.2">
      <c r="A21" s="39" t="s">
        <v>1181</v>
      </c>
      <c r="B21" s="39" t="str">
        <f>IFERROR(VLOOKUP(A21,[1]Bonds!$B$1:$K$2669,10,0),VLOOKUP(A21,[1]CPCD!$B$1:$H$1476,7,0))</f>
        <v>GOI FRB 2020 (21-Dec-2020)</v>
      </c>
      <c r="C21" s="39" t="s">
        <v>1146</v>
      </c>
      <c r="D21" s="82">
        <v>10500000</v>
      </c>
      <c r="E21" s="68">
        <v>10462.4625</v>
      </c>
      <c r="F21" s="43">
        <f t="shared" ref="F21" si="1">IF((E21/$E$38*100)&lt;0.01,"0.00*",E21/$E$38*100)</f>
        <v>44.070936862888821</v>
      </c>
    </row>
    <row r="22" spans="1:6" x14ac:dyDescent="0.2">
      <c r="A22" s="38" t="s">
        <v>44</v>
      </c>
      <c r="B22" s="39"/>
      <c r="C22" s="39"/>
      <c r="D22" s="81"/>
      <c r="E22" s="69">
        <f>SUM(E21)</f>
        <v>10462.4625</v>
      </c>
      <c r="F22" s="69">
        <f>F21</f>
        <v>44.070936862888821</v>
      </c>
    </row>
    <row r="23" spans="1:6" x14ac:dyDescent="0.2">
      <c r="A23" s="39"/>
      <c r="B23" s="39"/>
      <c r="C23" s="39"/>
      <c r="D23" s="39"/>
      <c r="E23" s="68"/>
      <c r="F23" s="68"/>
    </row>
    <row r="24" spans="1:6" x14ac:dyDescent="0.2">
      <c r="A24" s="38" t="s">
        <v>864</v>
      </c>
      <c r="B24" s="39"/>
      <c r="C24" s="39"/>
      <c r="D24" s="39"/>
      <c r="E24" s="68"/>
      <c r="F24" s="68"/>
    </row>
    <row r="25" spans="1:6" x14ac:dyDescent="0.2">
      <c r="A25" s="38" t="s">
        <v>865</v>
      </c>
      <c r="B25" s="39"/>
      <c r="C25" s="39"/>
      <c r="D25" s="39"/>
      <c r="E25" s="68"/>
      <c r="F25" s="68"/>
    </row>
    <row r="26" spans="1:6" x14ac:dyDescent="0.2">
      <c r="A26" s="39" t="s">
        <v>866</v>
      </c>
      <c r="B26" s="39" t="str">
        <f>IFERROR(VLOOKUP(A26,[1]Bonds!$B$1:$K$2669,10,0),VLOOKUP(A26,[1]CPCD!$B$1:$H$1476,7,0))</f>
        <v>(MIBOR+160) Cooperatieve Rabobank (28-Nov-2019) **</v>
      </c>
      <c r="C26" s="39" t="s">
        <v>867</v>
      </c>
      <c r="D26" s="39">
        <v>2100</v>
      </c>
      <c r="E26" s="68">
        <v>2102.0475000000001</v>
      </c>
      <c r="F26" s="43">
        <f t="shared" ref="F26:F27" si="2">IF((E26/$E$38*100)&lt;0.01,"0.00*",E26/$E$38*100)</f>
        <v>8.8544358132985703</v>
      </c>
    </row>
    <row r="27" spans="1:6" x14ac:dyDescent="0.2">
      <c r="A27" s="39" t="s">
        <v>1060</v>
      </c>
      <c r="B27" s="39" t="str">
        <f>IFERROR(VLOOKUP(A27,[1]Bonds!$B$1:$K$2669,10,0),VLOOKUP(A27,[1]CPCD!$B$1:$H$1476,7,0))</f>
        <v>Axis Bank Ltd (12-Feb-2020) **</v>
      </c>
      <c r="C27" s="39" t="s">
        <v>869</v>
      </c>
      <c r="D27" s="39">
        <v>500</v>
      </c>
      <c r="E27" s="68">
        <v>486.95749999999998</v>
      </c>
      <c r="F27" s="43">
        <f t="shared" si="2"/>
        <v>2.0512067056307428</v>
      </c>
    </row>
    <row r="28" spans="1:6" x14ac:dyDescent="0.2">
      <c r="A28" s="38" t="s">
        <v>44</v>
      </c>
      <c r="B28" s="39"/>
      <c r="C28" s="39"/>
      <c r="D28" s="39"/>
      <c r="E28" s="69">
        <f>SUM(E26:E27)</f>
        <v>2589.0050000000001</v>
      </c>
      <c r="F28" s="69">
        <f>SUM(F26:F27)</f>
        <v>10.905642518929312</v>
      </c>
    </row>
    <row r="29" spans="1:6" x14ac:dyDescent="0.2">
      <c r="A29" s="39"/>
      <c r="B29" s="39"/>
      <c r="C29" s="39"/>
      <c r="D29" s="39"/>
      <c r="E29" s="68"/>
      <c r="F29" s="68"/>
    </row>
    <row r="30" spans="1:6" x14ac:dyDescent="0.2">
      <c r="A30" s="38" t="s">
        <v>870</v>
      </c>
      <c r="B30" s="39"/>
      <c r="C30" s="39"/>
      <c r="D30" s="39"/>
      <c r="E30" s="68"/>
      <c r="F30" s="68"/>
    </row>
    <row r="31" spans="1:6" x14ac:dyDescent="0.2">
      <c r="A31" s="39" t="s">
        <v>1083</v>
      </c>
      <c r="B31" s="39" t="str">
        <f>IFERROR(VLOOKUP(A31,[1]Bonds!$B$1:$K$2669,10,0),VLOOKUP(A31,[1]CPCD!$B$1:$H$1476,7,0))</f>
        <v>L&amp;T Infrastructure Finance Co Ltd (13-Sep-2019) **</v>
      </c>
      <c r="C31" s="39" t="s">
        <v>867</v>
      </c>
      <c r="D31" s="39">
        <v>60</v>
      </c>
      <c r="E31" s="68">
        <v>299.39490000000001</v>
      </c>
      <c r="F31" s="43">
        <f t="shared" ref="F31" si="3">IF((E31/$E$38*100)&lt;0.01,"0.00*",E31/$E$38*100)</f>
        <v>1.261138449477923</v>
      </c>
    </row>
    <row r="32" spans="1:6" x14ac:dyDescent="0.2">
      <c r="A32" s="38" t="s">
        <v>44</v>
      </c>
      <c r="B32" s="39"/>
      <c r="C32" s="39"/>
      <c r="D32" s="39"/>
      <c r="E32" s="69">
        <f>SUM(E31:E31)</f>
        <v>299.39490000000001</v>
      </c>
      <c r="F32" s="69">
        <f>SUM(F31:F31)</f>
        <v>1.261138449477923</v>
      </c>
    </row>
    <row r="33" spans="1:6" x14ac:dyDescent="0.2">
      <c r="A33" s="39"/>
      <c r="B33" s="39"/>
      <c r="C33" s="39"/>
      <c r="D33" s="39"/>
      <c r="E33" s="68"/>
      <c r="F33" s="68"/>
    </row>
    <row r="34" spans="1:6" x14ac:dyDescent="0.2">
      <c r="A34" s="38" t="s">
        <v>44</v>
      </c>
      <c r="B34" s="39"/>
      <c r="C34" s="39"/>
      <c r="D34" s="39"/>
      <c r="E34" s="69">
        <f>E18+E22+E28+E32</f>
        <v>22684.828949999999</v>
      </c>
      <c r="F34" s="69">
        <f>F18+F22+F28+F32</f>
        <v>95.555101334975632</v>
      </c>
    </row>
    <row r="35" spans="1:6" x14ac:dyDescent="0.2">
      <c r="A35" s="39"/>
      <c r="B35" s="39"/>
      <c r="C35" s="39"/>
      <c r="D35" s="39"/>
      <c r="E35" s="68"/>
      <c r="F35" s="68"/>
    </row>
    <row r="36" spans="1:6" x14ac:dyDescent="0.2">
      <c r="A36" s="38" t="s">
        <v>76</v>
      </c>
      <c r="B36" s="39"/>
      <c r="C36" s="39"/>
      <c r="D36" s="39"/>
      <c r="E36" s="69">
        <v>1055.2211709000001</v>
      </c>
      <c r="F36" s="42">
        <f t="shared" ref="F36" si="4">IF((E36/$E$38*100)&lt;0.01,"0.00*",E36/$E$38*100)</f>
        <v>4.4448986650243691</v>
      </c>
    </row>
    <row r="37" spans="1:6" x14ac:dyDescent="0.2">
      <c r="A37" s="39"/>
      <c r="B37" s="39"/>
      <c r="C37" s="39"/>
      <c r="D37" s="39"/>
      <c r="E37" s="68"/>
      <c r="F37" s="68"/>
    </row>
    <row r="38" spans="1:6" x14ac:dyDescent="0.2">
      <c r="A38" s="71" t="s">
        <v>77</v>
      </c>
      <c r="B38" s="66"/>
      <c r="C38" s="66"/>
      <c r="D38" s="66"/>
      <c r="E38" s="72">
        <f>E34+E36</f>
        <v>23740.050120899999</v>
      </c>
      <c r="F38" s="72">
        <f xml:space="preserve"> ROUND(SUM(F34:F37),2)</f>
        <v>100</v>
      </c>
    </row>
    <row r="39" spans="1:6" x14ac:dyDescent="0.2">
      <c r="A39" s="4" t="s">
        <v>619</v>
      </c>
    </row>
    <row r="41" spans="1:6" x14ac:dyDescent="0.2">
      <c r="A41" s="4" t="s">
        <v>78</v>
      </c>
    </row>
    <row r="42" spans="1:6" x14ac:dyDescent="0.2">
      <c r="A42" s="4" t="s">
        <v>650</v>
      </c>
    </row>
    <row r="43" spans="1:6" x14ac:dyDescent="0.2">
      <c r="A43" s="4" t="s">
        <v>80</v>
      </c>
    </row>
    <row r="44" spans="1:6" x14ac:dyDescent="0.2">
      <c r="A44" s="2" t="s">
        <v>638</v>
      </c>
      <c r="D44" s="10">
        <v>27.685600000000001</v>
      </c>
    </row>
    <row r="45" spans="1:6" x14ac:dyDescent="0.2">
      <c r="A45" s="2" t="s">
        <v>639</v>
      </c>
      <c r="D45" s="10">
        <v>10</v>
      </c>
    </row>
    <row r="46" spans="1:6" x14ac:dyDescent="0.2">
      <c r="A46" s="2" t="s">
        <v>640</v>
      </c>
      <c r="D46" s="10">
        <v>28.9482</v>
      </c>
    </row>
    <row r="47" spans="1:6" x14ac:dyDescent="0.2">
      <c r="A47" s="2" t="s">
        <v>641</v>
      </c>
      <c r="D47" s="10">
        <v>10.002700000000001</v>
      </c>
    </row>
    <row r="49" spans="1:5" x14ac:dyDescent="0.2">
      <c r="A49" s="4" t="s">
        <v>81</v>
      </c>
    </row>
    <row r="50" spans="1:5" x14ac:dyDescent="0.2">
      <c r="A50" s="2" t="s">
        <v>638</v>
      </c>
      <c r="D50" s="10">
        <v>28.726299999999998</v>
      </c>
    </row>
    <row r="51" spans="1:5" x14ac:dyDescent="0.2">
      <c r="A51" s="2" t="s">
        <v>639</v>
      </c>
      <c r="D51" s="10">
        <v>10.0229</v>
      </c>
    </row>
    <row r="52" spans="1:5" x14ac:dyDescent="0.2">
      <c r="A52" s="2" t="s">
        <v>640</v>
      </c>
      <c r="D52" s="10">
        <v>30.115300000000001</v>
      </c>
    </row>
    <row r="53" spans="1:5" x14ac:dyDescent="0.2">
      <c r="A53" s="2" t="s">
        <v>641</v>
      </c>
      <c r="D53" s="10">
        <v>10.0382</v>
      </c>
    </row>
    <row r="55" spans="1:5" x14ac:dyDescent="0.2">
      <c r="A55" s="4" t="s">
        <v>82</v>
      </c>
      <c r="D55" s="44" t="s">
        <v>299</v>
      </c>
    </row>
    <row r="56" spans="1:5" x14ac:dyDescent="0.2">
      <c r="A56" s="106" t="s">
        <v>642</v>
      </c>
      <c r="B56" s="107"/>
      <c r="C56" s="109" t="s">
        <v>643</v>
      </c>
      <c r="D56" s="109"/>
    </row>
    <row r="57" spans="1:5" x14ac:dyDescent="0.2">
      <c r="A57" s="110"/>
      <c r="B57" s="110"/>
      <c r="C57" s="47" t="s">
        <v>644</v>
      </c>
      <c r="D57" s="47" t="s">
        <v>645</v>
      </c>
    </row>
    <row r="58" spans="1:5" x14ac:dyDescent="0.2">
      <c r="A58" s="48" t="s">
        <v>639</v>
      </c>
      <c r="B58" s="49"/>
      <c r="C58" s="54">
        <v>0.24946729469999998</v>
      </c>
      <c r="D58" s="54">
        <v>0.2310079582</v>
      </c>
    </row>
    <row r="59" spans="1:5" x14ac:dyDescent="0.2">
      <c r="A59" s="48" t="s">
        <v>641</v>
      </c>
      <c r="B59" s="49"/>
      <c r="C59" s="54">
        <v>0.2591667446</v>
      </c>
      <c r="D59" s="54">
        <v>0.23998969789999994</v>
      </c>
    </row>
    <row r="61" spans="1:5" x14ac:dyDescent="0.2">
      <c r="A61" s="4" t="s">
        <v>647</v>
      </c>
      <c r="D61" s="53">
        <v>0.9889413973571114</v>
      </c>
      <c r="E61" s="73" t="s">
        <v>648</v>
      </c>
    </row>
  </sheetData>
  <mergeCells count="4">
    <mergeCell ref="A1:F1"/>
    <mergeCell ref="A56:B56"/>
    <mergeCell ref="C56:D56"/>
    <mergeCell ref="A57:B57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0A08E-E40A-44F0-9C72-21D2B200D3D3}">
  <dimension ref="A1:F144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76.85546875" style="2" bestFit="1" customWidth="1"/>
    <col min="3" max="3" width="11.7109375" style="2" bestFit="1" customWidth="1"/>
    <col min="4" max="4" width="7.42578125" style="2" bestFit="1" customWidth="1"/>
    <col min="5" max="5" width="23" style="73" bestFit="1" customWidth="1"/>
    <col min="6" max="6" width="15.5703125" style="73" bestFit="1" customWidth="1"/>
    <col min="7" max="16384" width="9.140625" style="2"/>
  </cols>
  <sheetData>
    <row r="1" spans="1:6" ht="15" customHeight="1" x14ac:dyDescent="0.2">
      <c r="A1" s="108" t="s">
        <v>1182</v>
      </c>
      <c r="B1" s="108"/>
      <c r="C1" s="108"/>
      <c r="D1" s="108"/>
      <c r="E1" s="108"/>
      <c r="F1" s="108"/>
    </row>
    <row r="3" spans="1:6" s="4" customFormat="1" x14ac:dyDescent="0.2">
      <c r="A3" s="64" t="s">
        <v>1</v>
      </c>
      <c r="B3" s="64" t="s">
        <v>2</v>
      </c>
      <c r="C3" s="64" t="s">
        <v>716</v>
      </c>
      <c r="D3" s="64" t="s">
        <v>4</v>
      </c>
      <c r="E3" s="65" t="s">
        <v>5</v>
      </c>
      <c r="F3" s="65" t="s">
        <v>6</v>
      </c>
    </row>
    <row r="4" spans="1:6" x14ac:dyDescent="0.2">
      <c r="A4" s="66"/>
      <c r="B4" s="66"/>
      <c r="C4" s="66"/>
      <c r="D4" s="66"/>
      <c r="E4" s="67"/>
      <c r="F4" s="67"/>
    </row>
    <row r="5" spans="1:6" x14ac:dyDescent="0.2">
      <c r="A5" s="38" t="s">
        <v>359</v>
      </c>
      <c r="B5" s="39"/>
      <c r="C5" s="39"/>
      <c r="D5" s="39"/>
      <c r="E5" s="68"/>
      <c r="F5" s="68"/>
    </row>
    <row r="6" spans="1:6" x14ac:dyDescent="0.2">
      <c r="A6" s="38" t="s">
        <v>8</v>
      </c>
      <c r="B6" s="39"/>
      <c r="C6" s="39"/>
      <c r="D6" s="39"/>
      <c r="E6" s="68"/>
      <c r="F6" s="68"/>
    </row>
    <row r="7" spans="1:6" x14ac:dyDescent="0.2">
      <c r="A7" s="38"/>
      <c r="B7" s="39"/>
      <c r="C7" s="39"/>
      <c r="D7" s="39"/>
      <c r="E7" s="68"/>
      <c r="F7" s="68"/>
    </row>
    <row r="8" spans="1:6" x14ac:dyDescent="0.2">
      <c r="A8" s="39" t="s">
        <v>900</v>
      </c>
      <c r="B8" s="39" t="str">
        <f>IFERROR(VLOOKUP(A8,[1]Bonds!$B$1:$K$2669,10,0),VLOOKUP(A8,[1]CPCD!$B$1:$H$1476,7,0))</f>
        <v>10.25% Shriram Transport Finance Co Ltd (26-Apr-2024) **</v>
      </c>
      <c r="C8" s="39" t="s">
        <v>727</v>
      </c>
      <c r="D8" s="39">
        <v>3930</v>
      </c>
      <c r="E8" s="68">
        <v>36374.7045</v>
      </c>
      <c r="F8" s="43">
        <f>IF((E8/$E$121*100)&lt;0.01,"0.00*",E8/$E$121*100)</f>
        <v>5.3612885467632854</v>
      </c>
    </row>
    <row r="9" spans="1:6" x14ac:dyDescent="0.2">
      <c r="A9" s="39" t="s">
        <v>901</v>
      </c>
      <c r="B9" s="39" t="str">
        <f>IFERROR(VLOOKUP(A9,[1]Bonds!$B$1:$K$2669,10,0),VLOOKUP(A9,[1]CPCD!$B$1:$H$1476,7,0))</f>
        <v>10.90% Vodafone Idea Ltd (02-Sep-2023) **</v>
      </c>
      <c r="C9" s="39" t="s">
        <v>750</v>
      </c>
      <c r="D9" s="39">
        <v>3370</v>
      </c>
      <c r="E9" s="68">
        <v>30962.1446</v>
      </c>
      <c r="F9" s="43">
        <f t="shared" ref="F9:F72" si="0">IF((E9/$E$121*100)&lt;0.01,"0.00*",E9/$E$121*100)</f>
        <v>4.563528240544434</v>
      </c>
    </row>
    <row r="10" spans="1:6" x14ac:dyDescent="0.2">
      <c r="A10" s="39" t="s">
        <v>906</v>
      </c>
      <c r="B10" s="39" t="str">
        <f>IFERROR(VLOOKUP(A10,[1]Bonds!$B$1:$K$2669,10,0),VLOOKUP(A10,[1]CPCD!$B$1:$H$1476,7,0))</f>
        <v>9.10% Piramal Enterprises Ltd (15-May-2020) **</v>
      </c>
      <c r="C10" s="39" t="s">
        <v>367</v>
      </c>
      <c r="D10" s="39">
        <v>2300</v>
      </c>
      <c r="E10" s="68">
        <v>22993.228800000001</v>
      </c>
      <c r="F10" s="43">
        <f t="shared" si="0"/>
        <v>3.388985172884297</v>
      </c>
    </row>
    <row r="11" spans="1:6" x14ac:dyDescent="0.2">
      <c r="A11" s="39" t="s">
        <v>941</v>
      </c>
      <c r="B11" s="39" t="str">
        <f>IFERROR(VLOOKUP(A11,[1]Bonds!$B$1:$K$2669,10,0),VLOOKUP(A11,[1]CPCD!$B$1:$H$1476,7,0))</f>
        <v>10.32% Andhra Pradesh Capital Region Development Authority (16-Aug-2026) **</v>
      </c>
      <c r="C11" s="39" t="s">
        <v>731</v>
      </c>
      <c r="D11" s="39">
        <v>10140</v>
      </c>
      <c r="E11" s="68">
        <v>20140.79808</v>
      </c>
      <c r="F11" s="43">
        <f t="shared" si="0"/>
        <v>2.96856377400883</v>
      </c>
    </row>
    <row r="12" spans="1:6" x14ac:dyDescent="0.2">
      <c r="A12" s="39" t="s">
        <v>914</v>
      </c>
      <c r="B12" s="39" t="str">
        <f>IFERROR(VLOOKUP(A12,[1]Bonds!$B$1:$K$2669,10,0),VLOOKUP(A12,[1]CPCD!$B$1:$H$1476,7,0))</f>
        <v>9.10% India Grid Trust (03-Jun-2022)</v>
      </c>
      <c r="C12" s="39" t="s">
        <v>361</v>
      </c>
      <c r="D12" s="39">
        <v>1900</v>
      </c>
      <c r="E12" s="68">
        <v>19176.300999999999</v>
      </c>
      <c r="F12" s="43">
        <f t="shared" si="0"/>
        <v>2.8264059965239121</v>
      </c>
    </row>
    <row r="13" spans="1:6" x14ac:dyDescent="0.2">
      <c r="A13" s="39" t="s">
        <v>903</v>
      </c>
      <c r="B13" s="39" t="str">
        <f>IFERROR(VLOOKUP(A13,[1]Bonds!$B$1:$K$2669,10,0),VLOOKUP(A13,[1]CPCD!$B$1:$H$1476,7,0))</f>
        <v>9.10% Power Finance Corp Ltd (23-Mar-2029) **</v>
      </c>
      <c r="C13" s="39" t="s">
        <v>361</v>
      </c>
      <c r="D13" s="39">
        <v>1660</v>
      </c>
      <c r="E13" s="68">
        <v>17181.9794</v>
      </c>
      <c r="F13" s="43">
        <f t="shared" si="0"/>
        <v>2.532461792725841</v>
      </c>
    </row>
    <row r="14" spans="1:6" x14ac:dyDescent="0.2">
      <c r="A14" s="39" t="s">
        <v>902</v>
      </c>
      <c r="B14" s="39" t="str">
        <f>IFERROR(VLOOKUP(A14,[1]Bonds!$B$1:$K$2669,10,0),VLOOKUP(A14,[1]CPCD!$B$1:$H$1476,7,0))</f>
        <v>9.50% Piramal Capital &amp; Housing Finance Ltd (15-Apr-2022) **</v>
      </c>
      <c r="C14" s="39" t="s">
        <v>737</v>
      </c>
      <c r="D14" s="39">
        <v>2125</v>
      </c>
      <c r="E14" s="68">
        <v>16096.641250000001</v>
      </c>
      <c r="F14" s="43">
        <f t="shared" si="0"/>
        <v>2.372493180665769</v>
      </c>
    </row>
    <row r="15" spans="1:6" x14ac:dyDescent="0.2">
      <c r="A15" s="39" t="s">
        <v>904</v>
      </c>
      <c r="B15" s="39" t="str">
        <f>IFERROR(VLOOKUP(A15,[1]Bonds!$B$1:$K$2669,10,0),VLOOKUP(A15,[1]CPCD!$B$1:$H$1476,7,0))</f>
        <v>9.50% Yes Bank Ltd (23-12-2021) **</v>
      </c>
      <c r="C15" s="39" t="s">
        <v>905</v>
      </c>
      <c r="D15" s="39">
        <v>1695</v>
      </c>
      <c r="E15" s="68">
        <v>14879.43885</v>
      </c>
      <c r="F15" s="43">
        <f t="shared" si="0"/>
        <v>2.193089021211696</v>
      </c>
    </row>
    <row r="16" spans="1:6" x14ac:dyDescent="0.2">
      <c r="A16" s="39" t="s">
        <v>799</v>
      </c>
      <c r="B16" s="39" t="str">
        <f>IFERROR(VLOOKUP(A16,[1]Bonds!$B$1:$K$2669,10,0),VLOOKUP(A16,[1]CPCD!$B$1:$H$1476,7,0))</f>
        <v>8.9508% Pipeline Infrastructure Pvt Ltd (22-Mar-2024)</v>
      </c>
      <c r="C16" s="39" t="s">
        <v>361</v>
      </c>
      <c r="D16" s="39">
        <v>1350</v>
      </c>
      <c r="E16" s="68">
        <v>13590.477000000001</v>
      </c>
      <c r="F16" s="43">
        <f t="shared" si="0"/>
        <v>2.0031081952885654</v>
      </c>
    </row>
    <row r="17" spans="1:6" x14ac:dyDescent="0.2">
      <c r="A17" s="39" t="s">
        <v>940</v>
      </c>
      <c r="B17" s="39" t="str">
        <f>IFERROR(VLOOKUP(A17,[1]Bonds!$B$1:$K$2669,10,0),VLOOKUP(A17,[1]CPCD!$B$1:$H$1476,7,0))</f>
        <v>9.90% Coastal Gujarat Power Ltd (25-Aug-2028) **</v>
      </c>
      <c r="C17" s="39" t="s">
        <v>364</v>
      </c>
      <c r="D17" s="39">
        <v>1150</v>
      </c>
      <c r="E17" s="68">
        <v>11516.916499999999</v>
      </c>
      <c r="F17" s="43">
        <f t="shared" si="0"/>
        <v>1.6974849245986068</v>
      </c>
    </row>
    <row r="18" spans="1:6" x14ac:dyDescent="0.2">
      <c r="A18" s="39" t="s">
        <v>907</v>
      </c>
      <c r="B18" s="39" t="str">
        <f>IFERROR(VLOOKUP(A18,[1]Bonds!$B$1:$K$2669,10,0),VLOOKUP(A18,[1]CPCD!$B$1:$H$1476,7,0))</f>
        <v>9.10% Piramal Enterprises Ltd (29-May-2020) **</v>
      </c>
      <c r="C18" s="39" t="s">
        <v>367</v>
      </c>
      <c r="D18" s="39">
        <v>1150</v>
      </c>
      <c r="E18" s="68">
        <v>11496.6144</v>
      </c>
      <c r="F18" s="43">
        <f t="shared" si="0"/>
        <v>1.6944925864421485</v>
      </c>
    </row>
    <row r="19" spans="1:6" x14ac:dyDescent="0.2">
      <c r="A19" s="39" t="s">
        <v>1183</v>
      </c>
      <c r="B19" s="39" t="str">
        <f>IFERROR(VLOOKUP(A19,[1]Bonds!$B$1:$K$2669,10,0),VLOOKUP(A19,[1]CPCD!$B$1:$H$1476,7,0))</f>
        <v>10.32% Andhra Pradesh Capital Region Development Authority (16-Aug-2027) **</v>
      </c>
      <c r="C19" s="39" t="s">
        <v>731</v>
      </c>
      <c r="D19" s="39">
        <v>5580</v>
      </c>
      <c r="E19" s="68">
        <v>11075.86476</v>
      </c>
      <c r="F19" s="43">
        <f t="shared" si="0"/>
        <v>1.6324780558227514</v>
      </c>
    </row>
    <row r="20" spans="1:6" x14ac:dyDescent="0.2">
      <c r="A20" s="39" t="s">
        <v>1157</v>
      </c>
      <c r="B20" s="39" t="str">
        <f>IFERROR(VLOOKUP(A20,[1]Bonds!$B$1:$K$2669,10,0),VLOOKUP(A20,[1]CPCD!$B$1:$H$1476,7,0))</f>
        <v>10.75% The Tata Power Co Ltd (21-Aug-2022) **</v>
      </c>
      <c r="C20" s="39" t="s">
        <v>735</v>
      </c>
      <c r="D20" s="39">
        <v>1060</v>
      </c>
      <c r="E20" s="68">
        <v>10979.7768</v>
      </c>
      <c r="F20" s="43">
        <f t="shared" si="0"/>
        <v>1.6183155963193387</v>
      </c>
    </row>
    <row r="21" spans="1:6" x14ac:dyDescent="0.2">
      <c r="A21" s="39" t="s">
        <v>915</v>
      </c>
      <c r="B21" s="39" t="str">
        <f>IFERROR(VLOOKUP(A21,[1]Bonds!$B$1:$K$2669,10,0),VLOOKUP(A21,[1]CPCD!$B$1:$H$1476,7,0))</f>
        <v>8.97% Rec Ltd (28-Mar-2029) **</v>
      </c>
      <c r="C21" s="39" t="s">
        <v>916</v>
      </c>
      <c r="D21" s="39">
        <v>1050</v>
      </c>
      <c r="E21" s="68">
        <v>10782.638999999999</v>
      </c>
      <c r="F21" s="43">
        <f t="shared" si="0"/>
        <v>1.5892593429750919</v>
      </c>
    </row>
    <row r="22" spans="1:6" x14ac:dyDescent="0.2">
      <c r="A22" s="39" t="s">
        <v>1158</v>
      </c>
      <c r="B22" s="39" t="str">
        <f>IFERROR(VLOOKUP(A22,[1]Bonds!$B$1:$K$2669,10,0),VLOOKUP(A22,[1]CPCD!$B$1:$H$1476,7,0))</f>
        <v>0.00% Sadbhav Infrastructure Project Ltd (23-Apr-2023) **</v>
      </c>
      <c r="C22" s="39" t="s">
        <v>1012</v>
      </c>
      <c r="D22" s="39">
        <v>850</v>
      </c>
      <c r="E22" s="68">
        <v>9692.5925000000007</v>
      </c>
      <c r="F22" s="43">
        <f t="shared" si="0"/>
        <v>1.4285967645096258</v>
      </c>
    </row>
    <row r="23" spans="1:6" x14ac:dyDescent="0.2">
      <c r="A23" s="39" t="s">
        <v>919</v>
      </c>
      <c r="B23" s="39" t="str">
        <f>IFERROR(VLOOKUP(A23,[1]Bonds!$B$1:$K$2669,10,0),VLOOKUP(A23,[1]CPCD!$B$1:$H$1476,7,0))</f>
        <v>9.90% Shriram Transport Finance Co Ltd (21-Jun-2024) **</v>
      </c>
      <c r="C23" s="39" t="s">
        <v>727</v>
      </c>
      <c r="D23" s="39">
        <v>1000</v>
      </c>
      <c r="E23" s="68">
        <v>9011.2199999999993</v>
      </c>
      <c r="F23" s="43">
        <f t="shared" si="0"/>
        <v>1.3281688811620243</v>
      </c>
    </row>
    <row r="24" spans="1:6" x14ac:dyDescent="0.2">
      <c r="A24" s="39" t="s">
        <v>1184</v>
      </c>
      <c r="B24" s="39" t="str">
        <f>IFERROR(VLOOKUP(A24,[1]Bonds!$B$1:$K$2669,10,0),VLOOKUP(A24,[1]CPCD!$B$1:$H$1476,7,0))</f>
        <v>9.20% Hinduja Leyland Finance Ltd (13-Sep-2024) **</v>
      </c>
      <c r="C24" s="39" t="s">
        <v>721</v>
      </c>
      <c r="D24" s="39">
        <v>850</v>
      </c>
      <c r="E24" s="68">
        <v>7666.8469999999998</v>
      </c>
      <c r="F24" s="43">
        <f t="shared" si="0"/>
        <v>1.1300209740779186</v>
      </c>
    </row>
    <row r="25" spans="1:6" x14ac:dyDescent="0.2">
      <c r="A25" s="39" t="s">
        <v>911</v>
      </c>
      <c r="B25" s="39" t="str">
        <f>IFERROR(VLOOKUP(A25,[1]Bonds!$B$1:$K$2669,10,0),VLOOKUP(A25,[1]CPCD!$B$1:$H$1476,7,0))</f>
        <v>12.30% Sterlite Power Grid Ventures Ltd (28-Mar-2022) **</v>
      </c>
      <c r="C25" s="39" t="s">
        <v>912</v>
      </c>
      <c r="D25" s="39">
        <v>750</v>
      </c>
      <c r="E25" s="68">
        <v>7512.57</v>
      </c>
      <c r="F25" s="43">
        <f t="shared" si="0"/>
        <v>1.1072819986141043</v>
      </c>
    </row>
    <row r="26" spans="1:6" x14ac:dyDescent="0.2">
      <c r="A26" s="39" t="s">
        <v>363</v>
      </c>
      <c r="B26" s="39" t="str">
        <f>IFERROR(VLOOKUP(A26,[1]Bonds!$B$1:$K$2669,10,0),VLOOKUP(A26,[1]CPCD!$B$1:$H$1476,7,0))</f>
        <v>9.70% Coastal Gujarat Power Ltd (25-Aug-2023) **</v>
      </c>
      <c r="C26" s="39" t="s">
        <v>364</v>
      </c>
      <c r="D26" s="39">
        <v>720</v>
      </c>
      <c r="E26" s="68">
        <v>7239.1031999999996</v>
      </c>
      <c r="F26" s="43">
        <f t="shared" si="0"/>
        <v>1.0669755702069674</v>
      </c>
    </row>
    <row r="27" spans="1:6" x14ac:dyDescent="0.2">
      <c r="A27" s="39" t="s">
        <v>1185</v>
      </c>
      <c r="B27" s="39" t="str">
        <f>IFERROR(VLOOKUP(A27,[1]Bonds!$B$1:$K$2669,10,0),VLOOKUP(A27,[1]CPCD!$B$1:$H$1476,7,0))</f>
        <v>0.00% India Shelter Finance Corp Ltd (02-May-2025) **</v>
      </c>
      <c r="C27" s="39" t="s">
        <v>839</v>
      </c>
      <c r="D27" s="39">
        <v>600</v>
      </c>
      <c r="E27" s="68">
        <v>6516.3239999999996</v>
      </c>
      <c r="F27" s="43">
        <f t="shared" si="0"/>
        <v>0.96044472961144511</v>
      </c>
    </row>
    <row r="28" spans="1:6" x14ac:dyDescent="0.2">
      <c r="A28" s="39" t="s">
        <v>1186</v>
      </c>
      <c r="B28" s="39" t="str">
        <f>IFERROR(VLOOKUP(A28,[1]Bonds!$B$1:$K$2669,10,0),VLOOKUP(A28,[1]CPCD!$B$1:$H$1476,7,0))</f>
        <v>10.50% Vistaar Financial Services Private Ltd (22-Jun-2023) **</v>
      </c>
      <c r="C28" s="39" t="s">
        <v>804</v>
      </c>
      <c r="D28" s="39">
        <v>650</v>
      </c>
      <c r="E28" s="68">
        <v>6418.6004999999996</v>
      </c>
      <c r="F28" s="43">
        <f t="shared" si="0"/>
        <v>0.94604120692991733</v>
      </c>
    </row>
    <row r="29" spans="1:6" x14ac:dyDescent="0.2">
      <c r="A29" s="39" t="s">
        <v>1187</v>
      </c>
      <c r="B29" s="39" t="str">
        <f>IFERROR(VLOOKUP(A29,[1]Bonds!$B$1:$K$2669,10,0),VLOOKUP(A29,[1]CPCD!$B$1:$H$1476,7,0))</f>
        <v>10.5% Vistaar Financial Services Private Ltd (23-Jul-2024) **</v>
      </c>
      <c r="C29" s="39" t="s">
        <v>804</v>
      </c>
      <c r="D29" s="39">
        <v>650</v>
      </c>
      <c r="E29" s="68">
        <v>6342.2515000000003</v>
      </c>
      <c r="F29" s="43">
        <f t="shared" si="0"/>
        <v>0.93478808405556313</v>
      </c>
    </row>
    <row r="30" spans="1:6" x14ac:dyDescent="0.2">
      <c r="A30" s="39" t="s">
        <v>966</v>
      </c>
      <c r="B30" s="39" t="str">
        <f>IFERROR(VLOOKUP(A30,[1]Bonds!$B$1:$K$2669,10,0),VLOOKUP(A30,[1]CPCD!$B$1:$H$1476,7,0))</f>
        <v>10.15% Uttar Pradesh Power Corp Ltd (20-Jan-2027) **</v>
      </c>
      <c r="C30" s="39" t="s">
        <v>731</v>
      </c>
      <c r="D30" s="39">
        <v>648</v>
      </c>
      <c r="E30" s="68">
        <v>6260.1271200000001</v>
      </c>
      <c r="F30" s="43">
        <f t="shared" si="0"/>
        <v>0.92268372461247716</v>
      </c>
    </row>
    <row r="31" spans="1:6" x14ac:dyDescent="0.2">
      <c r="A31" s="39" t="s">
        <v>918</v>
      </c>
      <c r="B31" s="39" t="str">
        <f>IFERROR(VLOOKUP(A31,[1]Bonds!$B$1:$K$2669,10,0),VLOOKUP(A31,[1]CPCD!$B$1:$H$1476,7,0))</f>
        <v>12.40% Jm Financial Asset Reconstruction Co Ltd (02-Feb-2022) **</v>
      </c>
      <c r="C31" s="39" t="s">
        <v>723</v>
      </c>
      <c r="D31" s="39">
        <v>620</v>
      </c>
      <c r="E31" s="68">
        <v>6185.6098000000002</v>
      </c>
      <c r="F31" s="43">
        <f t="shared" si="0"/>
        <v>0.91170057410326844</v>
      </c>
    </row>
    <row r="32" spans="1:6" x14ac:dyDescent="0.2">
      <c r="A32" s="39" t="s">
        <v>1188</v>
      </c>
      <c r="B32" s="39" t="str">
        <f>IFERROR(VLOOKUP(A32,[1]Bonds!$B$1:$K$2669,10,0),VLOOKUP(A32,[1]CPCD!$B$1:$H$1476,7,0))</f>
        <v>10.21% Five-Star Business Finance Ltd (28-Mar-2023) **</v>
      </c>
      <c r="C32" s="39" t="s">
        <v>750</v>
      </c>
      <c r="D32" s="39">
        <v>650</v>
      </c>
      <c r="E32" s="68">
        <v>6055.9264999999996</v>
      </c>
      <c r="F32" s="43">
        <f t="shared" si="0"/>
        <v>0.89258647817991954</v>
      </c>
    </row>
    <row r="33" spans="1:6" x14ac:dyDescent="0.2">
      <c r="A33" s="39" t="s">
        <v>1189</v>
      </c>
      <c r="B33" s="39" t="str">
        <f>IFERROR(VLOOKUP(A33,[1]Bonds!$B$1:$K$2669,10,0),VLOOKUP(A33,[1]CPCD!$B$1:$H$1476,7,0))</f>
        <v>10.21% Five-Star Business Finance Ltd (28-Mar-2023) **</v>
      </c>
      <c r="C33" s="39" t="s">
        <v>750</v>
      </c>
      <c r="D33" s="39">
        <v>650</v>
      </c>
      <c r="E33" s="68">
        <v>6055.9264999999996</v>
      </c>
      <c r="F33" s="43">
        <f t="shared" si="0"/>
        <v>0.89258647817991954</v>
      </c>
    </row>
    <row r="34" spans="1:6" x14ac:dyDescent="0.2">
      <c r="A34" s="39" t="s">
        <v>957</v>
      </c>
      <c r="B34" s="39" t="str">
        <f>IFERROR(VLOOKUP(A34,[1]Bonds!$B$1:$K$2669,10,0),VLOOKUP(A34,[1]CPCD!$B$1:$H$1476,7,0))</f>
        <v>12.64% Five-Star Business Finance Ltd (28-Jun-2022) **</v>
      </c>
      <c r="C34" s="39" t="s">
        <v>839</v>
      </c>
      <c r="D34" s="39">
        <v>600</v>
      </c>
      <c r="E34" s="68">
        <v>6013.0680000000002</v>
      </c>
      <c r="F34" s="43">
        <f t="shared" si="0"/>
        <v>0.88626953929780572</v>
      </c>
    </row>
    <row r="35" spans="1:6" x14ac:dyDescent="0.2">
      <c r="A35" s="39" t="s">
        <v>810</v>
      </c>
      <c r="B35" s="39" t="str">
        <f>IFERROR(VLOOKUP(A35,[1]Bonds!$B$1:$K$2669,10,0),VLOOKUP(A35,[1]CPCD!$B$1:$H$1476,7,0))</f>
        <v>10.15% Uttar Pradesh Power Corp Ltd (20-Jan-2023) **</v>
      </c>
      <c r="C35" s="39" t="s">
        <v>731</v>
      </c>
      <c r="D35" s="39">
        <v>606</v>
      </c>
      <c r="E35" s="68">
        <v>6001.6543199999996</v>
      </c>
      <c r="F35" s="43">
        <f t="shared" si="0"/>
        <v>0.88458727046011854</v>
      </c>
    </row>
    <row r="36" spans="1:6" x14ac:dyDescent="0.2">
      <c r="A36" s="39" t="s">
        <v>368</v>
      </c>
      <c r="B36" s="39" t="str">
        <f>IFERROR(VLOOKUP(A36,[1]Bonds!$B$1:$K$2669,10,0),VLOOKUP(A36,[1]CPCD!$B$1:$H$1476,7,0))</f>
        <v>8.85% Rec Ltd (16-Apr-2029) **</v>
      </c>
      <c r="C36" s="39" t="s">
        <v>361</v>
      </c>
      <c r="D36" s="39">
        <v>570</v>
      </c>
      <c r="E36" s="68">
        <v>5878.9116000000004</v>
      </c>
      <c r="F36" s="43">
        <f t="shared" si="0"/>
        <v>0.86649615060141094</v>
      </c>
    </row>
    <row r="37" spans="1:6" x14ac:dyDescent="0.2">
      <c r="A37" s="39" t="s">
        <v>724</v>
      </c>
      <c r="B37" s="39" t="str">
        <f>IFERROR(VLOOKUP(A37,[1]Bonds!$B$1:$K$2669,10,0),VLOOKUP(A37,[1]CPCD!$B$1:$H$1476,7,0))</f>
        <v>Edelweiss Rural &amp; Corporate Services Ltd (1Y SBI MCLR + 150 Bps) (29-Nov-2021) - Series II **</v>
      </c>
      <c r="C37" s="39" t="s">
        <v>370</v>
      </c>
      <c r="D37" s="39">
        <v>550</v>
      </c>
      <c r="E37" s="68">
        <v>5455.23</v>
      </c>
      <c r="F37" s="43">
        <f t="shared" si="0"/>
        <v>0.80404947671697169</v>
      </c>
    </row>
    <row r="38" spans="1:6" x14ac:dyDescent="0.2">
      <c r="A38" s="39" t="s">
        <v>1190</v>
      </c>
      <c r="B38" s="39" t="str">
        <f>IFERROR(VLOOKUP(A38,[1]Bonds!$B$1:$K$2669,10,0),VLOOKUP(A38,[1]CPCD!$B$1:$H$1476,7,0))</f>
        <v>9.75% Uttar Pradesh Power Corp Ltd (20-Oct-2022) **</v>
      </c>
      <c r="C38" s="39" t="s">
        <v>731</v>
      </c>
      <c r="D38" s="39">
        <v>550</v>
      </c>
      <c r="E38" s="68">
        <v>5413.2044999999998</v>
      </c>
      <c r="F38" s="43">
        <f t="shared" si="0"/>
        <v>0.79785531418234545</v>
      </c>
    </row>
    <row r="39" spans="1:6" x14ac:dyDescent="0.2">
      <c r="A39" s="39" t="s">
        <v>949</v>
      </c>
      <c r="B39" s="39" t="str">
        <f>IFERROR(VLOOKUP(A39,[1]Bonds!$B$1:$K$2669,10,0),VLOOKUP(A39,[1]CPCD!$B$1:$H$1476,7,0))</f>
        <v>10.00% Aptus Value Housing Finance India Ltd (26-Dec-2024) **</v>
      </c>
      <c r="C39" s="39" t="s">
        <v>839</v>
      </c>
      <c r="D39" s="39">
        <v>5500</v>
      </c>
      <c r="E39" s="68">
        <v>5337.7884999999997</v>
      </c>
      <c r="F39" s="43">
        <f t="shared" si="0"/>
        <v>0.78673970671280025</v>
      </c>
    </row>
    <row r="40" spans="1:6" x14ac:dyDescent="0.2">
      <c r="A40" s="39" t="s">
        <v>922</v>
      </c>
      <c r="B40" s="39" t="str">
        <f>IFERROR(VLOOKUP(A40,[1]Bonds!$B$1:$K$2669,10,0),VLOOKUP(A40,[1]CPCD!$B$1:$H$1476,7,0))</f>
        <v>8.70% Edelweiss Rural &amp; Corporate Services Ltd (30-Jun-2027) **</v>
      </c>
      <c r="C40" s="39" t="s">
        <v>723</v>
      </c>
      <c r="D40" s="39">
        <v>550</v>
      </c>
      <c r="E40" s="68">
        <v>5268.9229999999998</v>
      </c>
      <c r="F40" s="43">
        <f t="shared" si="0"/>
        <v>0.77658958119309673</v>
      </c>
    </row>
    <row r="41" spans="1:6" x14ac:dyDescent="0.2">
      <c r="A41" s="39" t="s">
        <v>954</v>
      </c>
      <c r="B41" s="39" t="str">
        <f>IFERROR(VLOOKUP(A41,[1]Bonds!$B$1:$K$2669,10,0),VLOOKUP(A41,[1]CPCD!$B$1:$H$1476,7,0))</f>
        <v>9.40% Hinduja Leyland Finance Ltd (28-Aug-2024) **</v>
      </c>
      <c r="C41" s="39" t="s">
        <v>721</v>
      </c>
      <c r="D41" s="39">
        <v>550</v>
      </c>
      <c r="E41" s="68">
        <v>5021.5770000000002</v>
      </c>
      <c r="F41" s="43">
        <f t="shared" si="0"/>
        <v>0.74013311247078151</v>
      </c>
    </row>
    <row r="42" spans="1:6" x14ac:dyDescent="0.2">
      <c r="A42" s="39" t="s">
        <v>1191</v>
      </c>
      <c r="B42" s="39" t="str">
        <f>IFERROR(VLOOKUP(A42,[1]Bonds!$B$1:$K$2669,10,0),VLOOKUP(A42,[1]CPCD!$B$1:$H$1476,7,0))</f>
        <v>12.50% Jm Financial Asset Reconstruction Co Ltd (02-Aug-2022) **</v>
      </c>
      <c r="C42" s="39" t="s">
        <v>723</v>
      </c>
      <c r="D42" s="39">
        <v>500</v>
      </c>
      <c r="E42" s="68">
        <v>4945.2849999999999</v>
      </c>
      <c r="F42" s="43">
        <f t="shared" si="0"/>
        <v>0.72888839085910029</v>
      </c>
    </row>
    <row r="43" spans="1:6" x14ac:dyDescent="0.2">
      <c r="A43" s="39" t="s">
        <v>1192</v>
      </c>
      <c r="B43" s="39" t="str">
        <f>IFERROR(VLOOKUP(A43,[1]Bonds!$B$1:$K$2669,10,0),VLOOKUP(A43,[1]CPCD!$B$1:$H$1476,7,0))</f>
        <v>10.00% Aptus Value Housing Finance India Ltd (20-Jun-2025) **</v>
      </c>
      <c r="C43" s="39" t="s">
        <v>839</v>
      </c>
      <c r="D43" s="39">
        <v>5000</v>
      </c>
      <c r="E43" s="68">
        <v>4817.585</v>
      </c>
      <c r="F43" s="43">
        <f t="shared" si="0"/>
        <v>0.71006661465960785</v>
      </c>
    </row>
    <row r="44" spans="1:6" x14ac:dyDescent="0.2">
      <c r="A44" s="39" t="s">
        <v>1160</v>
      </c>
      <c r="B44" s="39" t="str">
        <f>IFERROR(VLOOKUP(A44,[1]Bonds!$B$1:$K$2669,10,0),VLOOKUP(A44,[1]CPCD!$B$1:$H$1476,7,0))</f>
        <v>10.25% Incred Financial Services Private Limited (26-Apr-2021) **</v>
      </c>
      <c r="C44" s="39" t="s">
        <v>750</v>
      </c>
      <c r="D44" s="39">
        <v>450</v>
      </c>
      <c r="E44" s="68">
        <v>4411.5884999999998</v>
      </c>
      <c r="F44" s="43">
        <f t="shared" si="0"/>
        <v>0.65022655780152439</v>
      </c>
    </row>
    <row r="45" spans="1:6" x14ac:dyDescent="0.2">
      <c r="A45" s="39" t="s">
        <v>913</v>
      </c>
      <c r="B45" s="39" t="str">
        <f>IFERROR(VLOOKUP(A45,[1]Bonds!$B$1:$K$2669,10,0),VLOOKUP(A45,[1]CPCD!$B$1:$H$1476,7,0))</f>
        <v>11.00% Vivriti Capital Pvt Ltd (19-Mar-2021) **</v>
      </c>
      <c r="C45" s="39" t="s">
        <v>804</v>
      </c>
      <c r="D45" s="39">
        <v>400</v>
      </c>
      <c r="E45" s="68">
        <v>3961.3440000000001</v>
      </c>
      <c r="F45" s="43">
        <f t="shared" si="0"/>
        <v>0.58386476285984568</v>
      </c>
    </row>
    <row r="46" spans="1:6" x14ac:dyDescent="0.2">
      <c r="A46" s="39" t="s">
        <v>809</v>
      </c>
      <c r="B46" s="39" t="str">
        <f>IFERROR(VLOOKUP(A46,[1]Bonds!$B$1:$K$2669,10,0),VLOOKUP(A46,[1]CPCD!$B$1:$H$1476,7,0))</f>
        <v>8.70% Edelweiss Rural &amp; Corporate Services Ltd (30-Jun-2027) **</v>
      </c>
      <c r="C46" s="39" t="s">
        <v>723</v>
      </c>
      <c r="D46" s="39">
        <v>380</v>
      </c>
      <c r="E46" s="68">
        <v>3636.6075999999998</v>
      </c>
      <c r="F46" s="43">
        <f t="shared" si="0"/>
        <v>0.53600167872023041</v>
      </c>
    </row>
    <row r="47" spans="1:6" x14ac:dyDescent="0.2">
      <c r="A47" s="39" t="s">
        <v>766</v>
      </c>
      <c r="B47" s="39" t="str">
        <f>IFERROR(VLOOKUP(A47,[1]Bonds!$B$1:$K$2669,10,0),VLOOKUP(A47,[1]CPCD!$B$1:$H$1476,7,0))</f>
        <v>10.15% Uttar Pradesh Power Corp Ltd (20-Jan-2022) **</v>
      </c>
      <c r="C47" s="39" t="s">
        <v>731</v>
      </c>
      <c r="D47" s="39">
        <v>351</v>
      </c>
      <c r="E47" s="68">
        <v>3494.0259900000001</v>
      </c>
      <c r="F47" s="43">
        <f t="shared" si="0"/>
        <v>0.51498649349248327</v>
      </c>
    </row>
    <row r="48" spans="1:6" x14ac:dyDescent="0.2">
      <c r="A48" s="39" t="s">
        <v>945</v>
      </c>
      <c r="B48" s="39" t="str">
        <f>IFERROR(VLOOKUP(A48,[1]Bonds!$B$1:$K$2669,10,0),VLOOKUP(A48,[1]CPCD!$B$1:$H$1476,7,0))</f>
        <v>9.75% Uttar Pradesh Power Corp Ltd (20-Oct-2021) **</v>
      </c>
      <c r="C48" s="39" t="s">
        <v>731</v>
      </c>
      <c r="D48" s="39">
        <v>350</v>
      </c>
      <c r="E48" s="68">
        <v>3465.6685000000002</v>
      </c>
      <c r="F48" s="43">
        <f t="shared" si="0"/>
        <v>0.51080686678645859</v>
      </c>
    </row>
    <row r="49" spans="1:6" x14ac:dyDescent="0.2">
      <c r="A49" s="39" t="s">
        <v>967</v>
      </c>
      <c r="B49" s="39" t="str">
        <f>IFERROR(VLOOKUP(A49,[1]Bonds!$B$1:$K$2669,10,0),VLOOKUP(A49,[1]CPCD!$B$1:$H$1476,7,0))</f>
        <v>10.15% Uttar Pradesh Power Corp Ltd (20-Jan-2028) **</v>
      </c>
      <c r="C49" s="39" t="s">
        <v>731</v>
      </c>
      <c r="D49" s="39">
        <v>352</v>
      </c>
      <c r="E49" s="68">
        <v>3390.6224000000002</v>
      </c>
      <c r="F49" s="43">
        <f t="shared" si="0"/>
        <v>0.4997457790899455</v>
      </c>
    </row>
    <row r="50" spans="1:6" x14ac:dyDescent="0.2">
      <c r="A50" s="39" t="s">
        <v>929</v>
      </c>
      <c r="B50" s="39" t="str">
        <f>IFERROR(VLOOKUP(A50,[1]Bonds!$B$1:$K$2669,10,0),VLOOKUP(A50,[1]CPCD!$B$1:$H$1476,7,0))</f>
        <v>10.15% Uttar Pradesh Power Corp Ltd (20-Jan-2026) **</v>
      </c>
      <c r="C50" s="39" t="s">
        <v>731</v>
      </c>
      <c r="D50" s="39">
        <v>306</v>
      </c>
      <c r="E50" s="68">
        <v>2966.61492</v>
      </c>
      <c r="F50" s="43">
        <f t="shared" si="0"/>
        <v>0.43725107356550702</v>
      </c>
    </row>
    <row r="51" spans="1:6" x14ac:dyDescent="0.2">
      <c r="A51" s="39" t="s">
        <v>969</v>
      </c>
      <c r="B51" s="39" t="str">
        <f>IFERROR(VLOOKUP(A51,[1]Bonds!$B$1:$K$2669,10,0),VLOOKUP(A51,[1]CPCD!$B$1:$H$1476,7,0))</f>
        <v>11.30% Hinduja Leyland Finance Ltd (21-Jul-2021) **</v>
      </c>
      <c r="C51" s="39" t="s">
        <v>723</v>
      </c>
      <c r="D51" s="39">
        <v>270</v>
      </c>
      <c r="E51" s="68">
        <v>2695.9850999999999</v>
      </c>
      <c r="F51" s="43">
        <f t="shared" si="0"/>
        <v>0.39736278926676832</v>
      </c>
    </row>
    <row r="52" spans="1:6" x14ac:dyDescent="0.2">
      <c r="A52" s="39" t="s">
        <v>926</v>
      </c>
      <c r="B52" s="39" t="str">
        <f>IFERROR(VLOOKUP(A52,[1]Bonds!$B$1:$K$2669,10,0),VLOOKUP(A52,[1]CPCD!$B$1:$H$1476,7,0))</f>
        <v>8.85% Power Finance Corp Ltd (25-May-2029)</v>
      </c>
      <c r="C52" s="39" t="s">
        <v>361</v>
      </c>
      <c r="D52" s="39">
        <v>240</v>
      </c>
      <c r="E52" s="68">
        <v>2480.0111999999999</v>
      </c>
      <c r="F52" s="43">
        <f t="shared" si="0"/>
        <v>0.3655302723463959</v>
      </c>
    </row>
    <row r="53" spans="1:6" x14ac:dyDescent="0.2">
      <c r="A53" s="39" t="s">
        <v>933</v>
      </c>
      <c r="B53" s="39" t="str">
        <f>IFERROR(VLOOKUP(A53,[1]Bonds!$B$1:$K$2669,10,0),VLOOKUP(A53,[1]CPCD!$B$1:$H$1476,7,0))</f>
        <v>11.60% Hinduja Leyland Finance Ltd (29-Sep-2024) **</v>
      </c>
      <c r="C53" s="39" t="s">
        <v>721</v>
      </c>
      <c r="D53" s="39">
        <v>250</v>
      </c>
      <c r="E53" s="68">
        <v>2470.5925000000002</v>
      </c>
      <c r="F53" s="43">
        <f t="shared" si="0"/>
        <v>0.36414204475446044</v>
      </c>
    </row>
    <row r="54" spans="1:6" x14ac:dyDescent="0.2">
      <c r="A54" s="39" t="s">
        <v>936</v>
      </c>
      <c r="B54" s="39" t="str">
        <f>IFERROR(VLOOKUP(A54,[1]Bonds!$B$1:$K$2669,10,0),VLOOKUP(A54,[1]CPCD!$B$1:$H$1476,7,0))</f>
        <v>10.9007% Ess Kay Fincorp Limited (11-Jun-2021) **</v>
      </c>
      <c r="C54" s="39" t="s">
        <v>781</v>
      </c>
      <c r="D54" s="39">
        <v>250</v>
      </c>
      <c r="E54" s="68">
        <v>2463.9375</v>
      </c>
      <c r="F54" s="43">
        <f t="shared" si="0"/>
        <v>0.36316116048971786</v>
      </c>
    </row>
    <row r="55" spans="1:6" x14ac:dyDescent="0.2">
      <c r="A55" s="39" t="s">
        <v>751</v>
      </c>
      <c r="B55" s="39" t="str">
        <f>IFERROR(VLOOKUP(A55,[1]Bonds!$B$1:$K$2669,10,0),VLOOKUP(A55,[1]CPCD!$B$1:$H$1476,7,0))</f>
        <v>7.40% Tata Motors Ltd (29-Jun-2021) **</v>
      </c>
      <c r="C55" s="39" t="s">
        <v>721</v>
      </c>
      <c r="D55" s="39">
        <v>252</v>
      </c>
      <c r="E55" s="68">
        <v>2447.424</v>
      </c>
      <c r="F55" s="43">
        <f t="shared" si="0"/>
        <v>0.3607272262589401</v>
      </c>
    </row>
    <row r="56" spans="1:6" x14ac:dyDescent="0.2">
      <c r="A56" s="39" t="s">
        <v>951</v>
      </c>
      <c r="B56" s="39" t="str">
        <f>IFERROR(VLOOKUP(A56,[1]Bonds!$B$1:$K$2669,10,0),VLOOKUP(A56,[1]CPCD!$B$1:$H$1476,7,0))</f>
        <v>10.21% Five-Star Business Finance Ltd (28-Mar-2023) **</v>
      </c>
      <c r="C56" s="39" t="s">
        <v>750</v>
      </c>
      <c r="D56" s="39">
        <v>260</v>
      </c>
      <c r="E56" s="68">
        <v>2422.3706000000002</v>
      </c>
      <c r="F56" s="43">
        <f t="shared" si="0"/>
        <v>0.35703459127196785</v>
      </c>
    </row>
    <row r="57" spans="1:6" x14ac:dyDescent="0.2">
      <c r="A57" s="39" t="s">
        <v>767</v>
      </c>
      <c r="B57" s="39" t="str">
        <f>IFERROR(VLOOKUP(A57,[1]Bonds!$B$1:$K$2669,10,0),VLOOKUP(A57,[1]CPCD!$B$1:$H$1476,7,0))</f>
        <v>9.00% Edelweiss Rural &amp; Corporate Services Ltd (17-Apr-2020) **</v>
      </c>
      <c r="C57" s="39" t="s">
        <v>723</v>
      </c>
      <c r="D57" s="39">
        <v>219</v>
      </c>
      <c r="E57" s="68">
        <v>2248.9569900000001</v>
      </c>
      <c r="F57" s="43">
        <f t="shared" si="0"/>
        <v>0.33147505989087095</v>
      </c>
    </row>
    <row r="58" spans="1:6" x14ac:dyDescent="0.2">
      <c r="A58" s="39" t="s">
        <v>932</v>
      </c>
      <c r="B58" s="39" t="str">
        <f>IFERROR(VLOOKUP(A58,[1]Bonds!$B$1:$K$2669,10,0),VLOOKUP(A58,[1]CPCD!$B$1:$H$1476,7,0))</f>
        <v>10.00% Aptus Value Housing Finance India Ltd (24-Jan-2025) **</v>
      </c>
      <c r="C58" s="39" t="s">
        <v>839</v>
      </c>
      <c r="D58" s="39">
        <v>2000</v>
      </c>
      <c r="E58" s="68">
        <v>1933.83</v>
      </c>
      <c r="F58" s="43">
        <f t="shared" si="0"/>
        <v>0.28502831219940894</v>
      </c>
    </row>
    <row r="59" spans="1:6" x14ac:dyDescent="0.2">
      <c r="A59" s="39" t="s">
        <v>928</v>
      </c>
      <c r="B59" s="39" t="str">
        <f>IFERROR(VLOOKUP(A59,[1]Bonds!$B$1:$K$2669,10,0),VLOOKUP(A59,[1]CPCD!$B$1:$H$1476,7,0))</f>
        <v>12.64% Five-Star Business Finance Ltd (28-May-2022) **</v>
      </c>
      <c r="C59" s="39" t="s">
        <v>839</v>
      </c>
      <c r="D59" s="39">
        <v>190</v>
      </c>
      <c r="E59" s="68">
        <v>1904.0963999999999</v>
      </c>
      <c r="F59" s="43">
        <f t="shared" si="0"/>
        <v>0.28064585985167806</v>
      </c>
    </row>
    <row r="60" spans="1:6" x14ac:dyDescent="0.2">
      <c r="A60" s="39" t="s">
        <v>807</v>
      </c>
      <c r="B60" s="39" t="str">
        <f>IFERROR(VLOOKUP(A60,[1]Bonds!$B$1:$K$2669,10,0),VLOOKUP(A60,[1]CPCD!$B$1:$H$1476,7,0))</f>
        <v>10.99% Andhra Bank (05-Aug-2021) **</v>
      </c>
      <c r="C60" s="39" t="s">
        <v>735</v>
      </c>
      <c r="D60" s="39">
        <v>179</v>
      </c>
      <c r="E60" s="68">
        <v>1807.6690900000001</v>
      </c>
      <c r="F60" s="43">
        <f t="shared" si="0"/>
        <v>0.2664333833572452</v>
      </c>
    </row>
    <row r="61" spans="1:6" x14ac:dyDescent="0.2">
      <c r="A61" s="39" t="s">
        <v>924</v>
      </c>
      <c r="B61" s="39" t="str">
        <f>IFERROR(VLOOKUP(A61,[1]Bonds!$B$1:$K$2669,10,0),VLOOKUP(A61,[1]CPCD!$B$1:$H$1476,7,0))</f>
        <v>10.15% Uttar Pradesh Power Corp Ltd (19-Jan-2024) **</v>
      </c>
      <c r="C61" s="39" t="s">
        <v>731</v>
      </c>
      <c r="D61" s="39">
        <v>176</v>
      </c>
      <c r="E61" s="68">
        <v>1734.8777600000001</v>
      </c>
      <c r="F61" s="43">
        <f t="shared" si="0"/>
        <v>0.25570462750349893</v>
      </c>
    </row>
    <row r="62" spans="1:6" x14ac:dyDescent="0.2">
      <c r="A62" s="39" t="s">
        <v>925</v>
      </c>
      <c r="B62" s="39" t="str">
        <f>IFERROR(VLOOKUP(A62,[1]Bonds!$B$1:$K$2669,10,0),VLOOKUP(A62,[1]CPCD!$B$1:$H$1476,7,0))</f>
        <v>10.15% Uttar Pradesh Power Corp Ltd (20-Jan-2025) **</v>
      </c>
      <c r="C62" s="39" t="s">
        <v>731</v>
      </c>
      <c r="D62" s="39">
        <v>176</v>
      </c>
      <c r="E62" s="68">
        <v>1717.1088</v>
      </c>
      <c r="F62" s="43">
        <f t="shared" si="0"/>
        <v>0.25308565030367325</v>
      </c>
    </row>
    <row r="63" spans="1:6" x14ac:dyDescent="0.2">
      <c r="A63" s="39" t="s">
        <v>784</v>
      </c>
      <c r="B63" s="39" t="str">
        <f>IFERROR(VLOOKUP(A63,[1]Bonds!$B$1:$K$2669,10,0),VLOOKUP(A63,[1]CPCD!$B$1:$H$1476,7,0))</f>
        <v>9.70% Tata Motors Ltd (18-Jun-2020) **</v>
      </c>
      <c r="C63" s="39" t="s">
        <v>721</v>
      </c>
      <c r="D63" s="39">
        <v>160</v>
      </c>
      <c r="E63" s="68">
        <v>1612.6623999999999</v>
      </c>
      <c r="F63" s="43">
        <f t="shared" si="0"/>
        <v>0.23769123553748162</v>
      </c>
    </row>
    <row r="64" spans="1:6" x14ac:dyDescent="0.2">
      <c r="A64" s="39" t="s">
        <v>958</v>
      </c>
      <c r="B64" s="39" t="str">
        <f>IFERROR(VLOOKUP(A64,[1]Bonds!$B$1:$K$2669,10,0),VLOOKUP(A64,[1]CPCD!$B$1:$H$1476,7,0))</f>
        <v>11.10% Hinduja Leyland Finance Ltd (08-Apr-2022) **</v>
      </c>
      <c r="C64" s="39" t="s">
        <v>721</v>
      </c>
      <c r="D64" s="39">
        <v>150</v>
      </c>
      <c r="E64" s="68">
        <v>1487.7809999999999</v>
      </c>
      <c r="F64" s="43">
        <f t="shared" si="0"/>
        <v>0.21928489440765156</v>
      </c>
    </row>
    <row r="65" spans="1:6" x14ac:dyDescent="0.2">
      <c r="A65" s="39" t="s">
        <v>1193</v>
      </c>
      <c r="B65" s="39" t="str">
        <f>IFERROR(VLOOKUP(A65,[1]Bonds!$B$1:$K$2669,10,0),VLOOKUP(A65,[1]CPCD!$B$1:$H$1476,7,0))</f>
        <v>9.90% Icici Bank Ltd (20-Feb-2049) **</v>
      </c>
      <c r="C65" s="39" t="s">
        <v>842</v>
      </c>
      <c r="D65" s="39">
        <v>140</v>
      </c>
      <c r="E65" s="68">
        <v>1445.2298000000001</v>
      </c>
      <c r="F65" s="43">
        <f t="shared" si="0"/>
        <v>0.21301324864868645</v>
      </c>
    </row>
    <row r="66" spans="1:6" x14ac:dyDescent="0.2">
      <c r="A66" s="39" t="s">
        <v>959</v>
      </c>
      <c r="B66" s="39" t="str">
        <f>IFERROR(VLOOKUP(A66,[1]Bonds!$B$1:$K$2669,10,0),VLOOKUP(A66,[1]CPCD!$B$1:$H$1476,7,0))</f>
        <v>11.25% Syndicate Bank (15-Jul-2021) **</v>
      </c>
      <c r="C66" s="39" t="s">
        <v>718</v>
      </c>
      <c r="D66" s="39">
        <v>110</v>
      </c>
      <c r="E66" s="68">
        <v>1112.3486</v>
      </c>
      <c r="F66" s="43">
        <f t="shared" si="0"/>
        <v>0.16394969776835369</v>
      </c>
    </row>
    <row r="67" spans="1:6" x14ac:dyDescent="0.2">
      <c r="A67" s="39" t="s">
        <v>747</v>
      </c>
      <c r="B67" s="39" t="str">
        <f>IFERROR(VLOOKUP(A67,[1]Bonds!$B$1:$K$2669,10,0),VLOOKUP(A67,[1]CPCD!$B$1:$H$1476,7,0))</f>
        <v>11.80% Tata Steel Ltd (18-Mar-2021) **</v>
      </c>
      <c r="C67" s="39" t="s">
        <v>721</v>
      </c>
      <c r="D67" s="39">
        <v>100</v>
      </c>
      <c r="E67" s="68">
        <v>1035.289</v>
      </c>
      <c r="F67" s="43">
        <f t="shared" si="0"/>
        <v>0.15259183915267313</v>
      </c>
    </row>
    <row r="68" spans="1:6" x14ac:dyDescent="0.2">
      <c r="A68" s="39" t="s">
        <v>944</v>
      </c>
      <c r="B68" s="39" t="str">
        <f>IFERROR(VLOOKUP(A68,[1]Bonds!$B$1:$K$2669,10,0),VLOOKUP(A68,[1]CPCD!$B$1:$H$1476,7,0))</f>
        <v>8.98% Power Finance Corp Ltd (28-Mar-2029) **</v>
      </c>
      <c r="C68" s="39" t="s">
        <v>361</v>
      </c>
      <c r="D68" s="39">
        <v>100</v>
      </c>
      <c r="E68" s="68">
        <v>1027.4590000000001</v>
      </c>
      <c r="F68" s="43">
        <f t="shared" si="0"/>
        <v>0.15143777096440356</v>
      </c>
    </row>
    <row r="69" spans="1:6" x14ac:dyDescent="0.2">
      <c r="A69" s="39" t="s">
        <v>920</v>
      </c>
      <c r="B69" s="39" t="str">
        <f>IFERROR(VLOOKUP(A69,[1]Bonds!$B$1:$K$2669,10,0),VLOOKUP(A69,[1]CPCD!$B$1:$H$1476,7,0))</f>
        <v>12.64% Five-Star Business Finance Ltd (16-Apr-2022) **</v>
      </c>
      <c r="C69" s="39" t="s">
        <v>839</v>
      </c>
      <c r="D69" s="39">
        <v>100</v>
      </c>
      <c r="E69" s="68">
        <v>1002.073</v>
      </c>
      <c r="F69" s="43">
        <f t="shared" si="0"/>
        <v>0.14769611387278006</v>
      </c>
    </row>
    <row r="70" spans="1:6" x14ac:dyDescent="0.2">
      <c r="A70" s="39" t="s">
        <v>943</v>
      </c>
      <c r="B70" s="39" t="str">
        <f>IFERROR(VLOOKUP(A70,[1]Bonds!$B$1:$K$2669,10,0),VLOOKUP(A70,[1]CPCD!$B$1:$H$1476,7,0))</f>
        <v>11.50% Hinduja Leyland Finance Ltd (31-May-2021) **</v>
      </c>
      <c r="C70" s="39" t="s">
        <v>723</v>
      </c>
      <c r="D70" s="39">
        <v>90</v>
      </c>
      <c r="E70" s="68">
        <v>901.72619999999995</v>
      </c>
      <c r="F70" s="43">
        <f t="shared" si="0"/>
        <v>0.13290594150053864</v>
      </c>
    </row>
    <row r="71" spans="1:6" x14ac:dyDescent="0.2">
      <c r="A71" s="39" t="s">
        <v>1194</v>
      </c>
      <c r="B71" s="39" t="str">
        <f>IFERROR(VLOOKUP(A71,[1]Bonds!$B$1:$K$2669,10,0),VLOOKUP(A71,[1]CPCD!$B$1:$H$1476,7,0))</f>
        <v>9.55% Piramal Capital &amp; Housing Finance Ltd (08-Mar-2027) **</v>
      </c>
      <c r="C71" s="39" t="s">
        <v>737</v>
      </c>
      <c r="D71" s="39">
        <v>95</v>
      </c>
      <c r="E71" s="68">
        <v>789.73310000000004</v>
      </c>
      <c r="F71" s="43">
        <f t="shared" si="0"/>
        <v>0.11639921429546911</v>
      </c>
    </row>
    <row r="72" spans="1:6" x14ac:dyDescent="0.2">
      <c r="A72" s="39" t="s">
        <v>1195</v>
      </c>
      <c r="B72" s="39" t="str">
        <f>IFERROR(VLOOKUP(A72,[1]Bonds!$B$1:$K$2669,10,0),VLOOKUP(A72,[1]CPCD!$B$1:$H$1476,7,0))</f>
        <v>8.9492% L&amp;T Finance Ltd (16-Aug-2021) **</v>
      </c>
      <c r="C72" s="39" t="s">
        <v>916</v>
      </c>
      <c r="D72" s="39">
        <v>74</v>
      </c>
      <c r="E72" s="68">
        <v>744.31790000000001</v>
      </c>
      <c r="F72" s="43">
        <f t="shared" si="0"/>
        <v>0.10970544193481765</v>
      </c>
    </row>
    <row r="73" spans="1:6" x14ac:dyDescent="0.2">
      <c r="A73" s="39" t="s">
        <v>1196</v>
      </c>
      <c r="B73" s="39" t="str">
        <f>IFERROR(VLOOKUP(A73,[1]Bonds!$B$1:$K$2669,10,0),VLOOKUP(A73,[1]CPCD!$B$1:$H$1476,7,0))</f>
        <v>8.75% Housing Development Finance Corp Ltd (04-Mar-2021) **</v>
      </c>
      <c r="C73" s="39" t="s">
        <v>361</v>
      </c>
      <c r="D73" s="39">
        <v>6</v>
      </c>
      <c r="E73" s="68">
        <v>612.1902</v>
      </c>
      <c r="F73" s="43">
        <f t="shared" ref="F73:F79" si="1">IF((E73/$E$121*100)&lt;0.01,"0.00*",E73/$E$121*100)</f>
        <v>9.023106449430332E-2</v>
      </c>
    </row>
    <row r="74" spans="1:6" x14ac:dyDescent="0.2">
      <c r="A74" s="39" t="s">
        <v>961</v>
      </c>
      <c r="B74" s="39" t="str">
        <f>IFERROR(VLOOKUP(A74,[1]Bonds!$B$1:$K$2669,10,0),VLOOKUP(A74,[1]CPCD!$B$1:$H$1476,7,0))</f>
        <v>9.73% Tata Motors Ltd (01-Oct-2020) **</v>
      </c>
      <c r="C74" s="39" t="s">
        <v>721</v>
      </c>
      <c r="D74" s="39">
        <v>50</v>
      </c>
      <c r="E74" s="68">
        <v>503.68099999999998</v>
      </c>
      <c r="F74" s="43">
        <f t="shared" si="1"/>
        <v>7.4237831307255794E-2</v>
      </c>
    </row>
    <row r="75" spans="1:6" x14ac:dyDescent="0.2">
      <c r="A75" s="39" t="s">
        <v>955</v>
      </c>
      <c r="B75" s="39" t="str">
        <f>IFERROR(VLOOKUP(A75,[1]Bonds!$B$1:$K$2669,10,0),VLOOKUP(A75,[1]CPCD!$B$1:$H$1476,7,0))</f>
        <v>8.30% Rec Ltd (25-Jun-2029) **</v>
      </c>
      <c r="C75" s="39" t="s">
        <v>361</v>
      </c>
      <c r="D75" s="39">
        <v>50</v>
      </c>
      <c r="E75" s="68">
        <v>498.12549999999999</v>
      </c>
      <c r="F75" s="43">
        <f t="shared" si="1"/>
        <v>7.3419002977762618E-2</v>
      </c>
    </row>
    <row r="76" spans="1:6" x14ac:dyDescent="0.2">
      <c r="A76" s="39" t="s">
        <v>758</v>
      </c>
      <c r="B76" s="39" t="str">
        <f>IFERROR(VLOOKUP(A76,[1]Bonds!$B$1:$K$2669,10,0),VLOOKUP(A76,[1]CPCD!$B$1:$H$1476,7,0))</f>
        <v>8.68% Vedanta Ltd (20-Apr-2020)</v>
      </c>
      <c r="C76" s="39" t="s">
        <v>370</v>
      </c>
      <c r="D76" s="39">
        <v>50</v>
      </c>
      <c r="E76" s="68">
        <v>495.745</v>
      </c>
      <c r="F76" s="43">
        <f t="shared" si="1"/>
        <v>7.3068139718225483E-2</v>
      </c>
    </row>
    <row r="77" spans="1:6" x14ac:dyDescent="0.2">
      <c r="A77" s="39" t="s">
        <v>787</v>
      </c>
      <c r="B77" s="39" t="str">
        <f>IFERROR(VLOOKUP(A77,[1]Bonds!$B$1:$K$2669,10,0),VLOOKUP(A77,[1]CPCD!$B$1:$H$1476,7,0))</f>
        <v>11.40% Tata Power Co Ltd (02-Jun-2021) **</v>
      </c>
      <c r="C77" s="39" t="s">
        <v>737</v>
      </c>
      <c r="D77" s="39">
        <v>40</v>
      </c>
      <c r="E77" s="68">
        <v>413.10559999999998</v>
      </c>
      <c r="F77" s="43">
        <f t="shared" si="1"/>
        <v>6.0887871182122598E-2</v>
      </c>
    </row>
    <row r="78" spans="1:6" x14ac:dyDescent="0.2">
      <c r="A78" s="39" t="s">
        <v>1197</v>
      </c>
      <c r="B78" s="39" t="str">
        <f>IFERROR(VLOOKUP(A78,[1]Bonds!$B$1:$K$2669,10,0),VLOOKUP(A78,[1]CPCD!$B$1:$H$1476,7,0))</f>
        <v>9.85% DCB Bank Ltd (12-Jan-2028) **</v>
      </c>
      <c r="C78" s="39" t="s">
        <v>735</v>
      </c>
      <c r="D78" s="39">
        <v>400</v>
      </c>
      <c r="E78" s="68">
        <v>389.7944</v>
      </c>
      <c r="F78" s="43">
        <f t="shared" si="1"/>
        <v>5.7452020051804595E-2</v>
      </c>
    </row>
    <row r="79" spans="1:6" x14ac:dyDescent="0.2">
      <c r="A79" s="39" t="s">
        <v>1198</v>
      </c>
      <c r="B79" s="39" t="str">
        <f>IFERROR(VLOOKUP(A79,[1]Bonds!$B$1:$K$2669,10,0),VLOOKUP(A79,[1]CPCD!$B$1:$H$1476,7,0))</f>
        <v>7.65% Indian Railway Finance Corp Ltd (15-Mar-2021) **</v>
      </c>
      <c r="C79" s="39" t="s">
        <v>361</v>
      </c>
      <c r="D79" s="39">
        <v>1</v>
      </c>
      <c r="E79" s="68">
        <v>10.158720000000001</v>
      </c>
      <c r="F79" s="43" t="str">
        <f t="shared" si="1"/>
        <v>0.00*</v>
      </c>
    </row>
    <row r="80" spans="1:6" x14ac:dyDescent="0.2">
      <c r="A80" s="38" t="s">
        <v>44</v>
      </c>
      <c r="B80" s="39"/>
      <c r="C80" s="39"/>
      <c r="D80" s="39"/>
      <c r="E80" s="69">
        <f>SUM(E8:E79)</f>
        <v>452092.60275000002</v>
      </c>
      <c r="F80" s="69">
        <f>SUM(F8:F79)</f>
        <v>66.632690565796736</v>
      </c>
    </row>
    <row r="81" spans="1:6" x14ac:dyDescent="0.2">
      <c r="A81" s="39"/>
      <c r="B81" s="39"/>
      <c r="C81" s="39"/>
      <c r="D81" s="39"/>
      <c r="E81" s="68"/>
      <c r="F81" s="68"/>
    </row>
    <row r="82" spans="1:6" x14ac:dyDescent="0.2">
      <c r="A82" s="38" t="s">
        <v>815</v>
      </c>
      <c r="B82" s="39"/>
      <c r="C82" s="39"/>
      <c r="D82" s="39"/>
      <c r="E82" s="68"/>
      <c r="F82" s="68"/>
    </row>
    <row r="83" spans="1:6" x14ac:dyDescent="0.2">
      <c r="A83" s="39" t="s">
        <v>981</v>
      </c>
      <c r="B83" s="39" t="str">
        <f>IFERROR(VLOOKUP(A83,[1]Bonds!$B$1:$K$2669,10,0),VLOOKUP(A83,[1]CPCD!$B$1:$H$1476,7,0))</f>
        <v>0.00% Adani Rail Infra Private Limited (28-Apr-2023) **</v>
      </c>
      <c r="C83" s="39" t="s">
        <v>856</v>
      </c>
      <c r="D83" s="39">
        <v>300</v>
      </c>
      <c r="E83" s="68">
        <v>33508.620000000003</v>
      </c>
      <c r="F83" s="43">
        <f t="shared" ref="F83:F114" si="2">IF((E83/$E$121*100)&lt;0.01,"0.00*",E83/$E$121*100)</f>
        <v>4.9388547094270745</v>
      </c>
    </row>
    <row r="84" spans="1:6" x14ac:dyDescent="0.2">
      <c r="A84" s="39" t="s">
        <v>1199</v>
      </c>
      <c r="B84" s="39" t="str">
        <f>IFERROR(VLOOKUP(A84,[1]Bonds!$B$1:$K$2669,10,0),VLOOKUP(A84,[1]CPCD!$B$1:$H$1476,7,0))</f>
        <v>9.50% Renew Power Limited (09-Sep-2020) **</v>
      </c>
      <c r="C84" s="39" t="s">
        <v>718</v>
      </c>
      <c r="D84" s="39">
        <v>2795</v>
      </c>
      <c r="E84" s="68">
        <v>27592.798999999999</v>
      </c>
      <c r="F84" s="43">
        <f t="shared" si="2"/>
        <v>4.0669184612026585</v>
      </c>
    </row>
    <row r="85" spans="1:6" x14ac:dyDescent="0.2">
      <c r="A85" s="39" t="s">
        <v>982</v>
      </c>
      <c r="B85" s="39" t="str">
        <f>IFERROR(VLOOKUP(A85,[1]Bonds!$B$1:$K$2669,10,0),VLOOKUP(A85,[1]CPCD!$B$1:$H$1476,7,0))</f>
        <v>11.90% Rishanth Wholesale Trading Private Ltd (20-Oct-2023) **</v>
      </c>
      <c r="C85" s="39" t="s">
        <v>983</v>
      </c>
      <c r="D85" s="39">
        <v>230</v>
      </c>
      <c r="E85" s="68">
        <v>23164.403999999999</v>
      </c>
      <c r="F85" s="43">
        <f t="shared" si="2"/>
        <v>3.4142147837324046</v>
      </c>
    </row>
    <row r="86" spans="1:6" x14ac:dyDescent="0.2">
      <c r="A86" s="39" t="s">
        <v>1002</v>
      </c>
      <c r="B86" s="39" t="str">
        <f>IFERROR(VLOOKUP(A86,[1]Bonds!$B$1:$K$2669,10,0),VLOOKUP(A86,[1]CPCD!$B$1:$H$1476,7,0))</f>
        <v>11.25% Aadarshini Real Estate Developers Pvt Ltd (29-Jul-2020) **</v>
      </c>
      <c r="C86" s="39" t="s">
        <v>740</v>
      </c>
      <c r="D86" s="39">
        <v>30</v>
      </c>
      <c r="E86" s="68">
        <v>15044.67</v>
      </c>
      <c r="F86" s="43">
        <f t="shared" si="2"/>
        <v>2.2174425351230882</v>
      </c>
    </row>
    <row r="87" spans="1:6" x14ac:dyDescent="0.2">
      <c r="A87" s="39" t="s">
        <v>1200</v>
      </c>
      <c r="B87" s="39" t="str">
        <f>IFERROR(VLOOKUP(A87,[1]Bonds!$B$1:$K$2669,10,0),VLOOKUP(A87,[1]CPCD!$B$1:$H$1476,7,0))</f>
        <v>11.50% S D Corporation Private Ltd (03-Jun-2022) **</v>
      </c>
      <c r="C87" s="39" t="s">
        <v>364</v>
      </c>
      <c r="D87" s="39">
        <v>1250</v>
      </c>
      <c r="E87" s="68">
        <v>12535.987499999999</v>
      </c>
      <c r="F87" s="43">
        <f t="shared" si="2"/>
        <v>1.8476863834348871</v>
      </c>
    </row>
    <row r="88" spans="1:6" x14ac:dyDescent="0.2">
      <c r="A88" s="39" t="s">
        <v>1201</v>
      </c>
      <c r="B88" s="39" t="str">
        <f>IFERROR(VLOOKUP(A88,[1]Bonds!$B$1:$K$2669,10,0),VLOOKUP(A88,[1]CPCD!$B$1:$H$1476,7,0))</f>
        <v>9.41% Renew Wind Energy Delhi Pvt Ltd (30-Sep-2030) **</v>
      </c>
      <c r="C88" s="39" t="s">
        <v>825</v>
      </c>
      <c r="D88" s="39">
        <v>1000</v>
      </c>
      <c r="E88" s="68">
        <v>7919.97</v>
      </c>
      <c r="F88" s="43">
        <f t="shared" si="2"/>
        <v>1.1673289181416944</v>
      </c>
    </row>
    <row r="89" spans="1:6" x14ac:dyDescent="0.2">
      <c r="A89" s="39" t="s">
        <v>1202</v>
      </c>
      <c r="B89" s="39" t="str">
        <f>IFERROR(VLOOKUP(A89,[1]Bonds!$B$1:$K$2669,10,0),VLOOKUP(A89,[1]CPCD!$B$1:$H$1476,7,0))</f>
        <v>12.80% Nufuture Digital (India) Ltd (30-Sep-2022) **</v>
      </c>
      <c r="C89" s="39" t="s">
        <v>850</v>
      </c>
      <c r="D89" s="39">
        <v>750</v>
      </c>
      <c r="E89" s="68">
        <v>7429.5375000000004</v>
      </c>
      <c r="F89" s="43">
        <f t="shared" si="2"/>
        <v>1.095043790843671</v>
      </c>
    </row>
    <row r="90" spans="1:6" x14ac:dyDescent="0.2">
      <c r="A90" s="39" t="s">
        <v>1203</v>
      </c>
      <c r="B90" s="39" t="str">
        <f>IFERROR(VLOOKUP(A90,[1]Bonds!$B$1:$K$2669,10,0),VLOOKUP(A90,[1]CPCD!$B$1:$H$1476,7,0))</f>
        <v>11.90% Rivaaz Trade Ventures Pvt Ltd (29-Feb-2020) **</v>
      </c>
      <c r="C90" s="39" t="s">
        <v>850</v>
      </c>
      <c r="D90" s="39">
        <v>644</v>
      </c>
      <c r="E90" s="68">
        <v>6471.8715599999996</v>
      </c>
      <c r="F90" s="43">
        <f t="shared" si="2"/>
        <v>0.95389285899906173</v>
      </c>
    </row>
    <row r="91" spans="1:6" x14ac:dyDescent="0.2">
      <c r="A91" s="39" t="s">
        <v>1003</v>
      </c>
      <c r="B91" s="39" t="str">
        <f>IFERROR(VLOOKUP(A91,[1]Bonds!$B$1:$K$2669,10,0),VLOOKUP(A91,[1]CPCD!$B$1:$H$1476,7,0))</f>
        <v>13.50% Opj Trading Private Ltd (16-Oct-2020) **</v>
      </c>
      <c r="C91" s="39" t="s">
        <v>819</v>
      </c>
      <c r="D91" s="39">
        <v>580</v>
      </c>
      <c r="E91" s="68">
        <v>5776.6027999999997</v>
      </c>
      <c r="F91" s="43">
        <f t="shared" si="2"/>
        <v>0.85141679792452263</v>
      </c>
    </row>
    <row r="92" spans="1:6" x14ac:dyDescent="0.2">
      <c r="A92" s="39" t="s">
        <v>1004</v>
      </c>
      <c r="B92" s="39" t="str">
        <f>IFERROR(VLOOKUP(A92,[1]Bonds!$B$1:$K$2669,10,0),VLOOKUP(A92,[1]CPCD!$B$1:$H$1476,7,0))</f>
        <v>11.50% S D Corporation Private Ltd (03-Jun-2022) **</v>
      </c>
      <c r="C92" s="39" t="s">
        <v>364</v>
      </c>
      <c r="D92" s="39">
        <v>550</v>
      </c>
      <c r="E92" s="68">
        <v>5506.4295000000002</v>
      </c>
      <c r="F92" s="43">
        <f t="shared" si="2"/>
        <v>0.81159580037026802</v>
      </c>
    </row>
    <row r="93" spans="1:6" x14ac:dyDescent="0.2">
      <c r="A93" s="39" t="s">
        <v>998</v>
      </c>
      <c r="B93" s="39" t="str">
        <f>IFERROR(VLOOKUP(A93,[1]Bonds!$B$1:$K$2669,10,0),VLOOKUP(A93,[1]CPCD!$B$1:$H$1476,7,0))</f>
        <v>11.49% Reliance Infrastructure Consulting &amp; Engineers (15-Jan-2021) **</v>
      </c>
      <c r="C93" s="39" t="s">
        <v>999</v>
      </c>
      <c r="D93" s="39">
        <v>1093</v>
      </c>
      <c r="E93" s="68">
        <v>5465</v>
      </c>
      <c r="F93" s="43">
        <f t="shared" si="2"/>
        <v>0.80548948261727737</v>
      </c>
    </row>
    <row r="94" spans="1:6" x14ac:dyDescent="0.2">
      <c r="A94" s="39" t="s">
        <v>1007</v>
      </c>
      <c r="B94" s="39" t="str">
        <f>IFERROR(VLOOKUP(A94,[1]Bonds!$B$1:$K$2669,10,0),VLOOKUP(A94,[1]CPCD!$B$1:$H$1476,7,0))</f>
        <v>0.00% Essel Infraprojects Ltd, Series II (22-May-2020) **</v>
      </c>
      <c r="C94" s="39" t="s">
        <v>988</v>
      </c>
      <c r="D94" s="39">
        <v>37</v>
      </c>
      <c r="E94" s="68">
        <v>5430.3567999999996</v>
      </c>
      <c r="F94" s="43">
        <f t="shared" si="2"/>
        <v>0.80038340151129261</v>
      </c>
    </row>
    <row r="95" spans="1:6" x14ac:dyDescent="0.2">
      <c r="A95" s="39" t="s">
        <v>1018</v>
      </c>
      <c r="B95" s="39" t="str">
        <f>IFERROR(VLOOKUP(A95,[1]Bonds!$B$1:$K$2669,10,0),VLOOKUP(A95,[1]CPCD!$B$1:$H$1476,7,0))</f>
        <v>9.95% Molagavalli Renewable Pvt Ltd (31-Mar-2023) **</v>
      </c>
      <c r="C95" s="39" t="s">
        <v>825</v>
      </c>
      <c r="D95" s="39">
        <v>580</v>
      </c>
      <c r="E95" s="68">
        <v>5402.3404</v>
      </c>
      <c r="F95" s="43">
        <f t="shared" si="2"/>
        <v>0.79625404825588575</v>
      </c>
    </row>
    <row r="96" spans="1:6" x14ac:dyDescent="0.2">
      <c r="A96" s="39" t="s">
        <v>987</v>
      </c>
      <c r="B96" s="39" t="str">
        <f>IFERROR(VLOOKUP(A96,[1]Bonds!$B$1:$K$2669,10,0),VLOOKUP(A96,[1]CPCD!$B$1:$H$1476,7,0))</f>
        <v>0.00% Essel Infraprojects Ltd, Series I (22-May-2020) **</v>
      </c>
      <c r="C96" s="39" t="s">
        <v>988</v>
      </c>
      <c r="D96" s="39">
        <v>34</v>
      </c>
      <c r="E96" s="68">
        <v>5041.4485999999997</v>
      </c>
      <c r="F96" s="43">
        <f t="shared" si="2"/>
        <v>0.74306199898547076</v>
      </c>
    </row>
    <row r="97" spans="1:6" x14ac:dyDescent="0.2">
      <c r="A97" s="39" t="s">
        <v>1204</v>
      </c>
      <c r="B97" s="39" t="str">
        <f>IFERROR(VLOOKUP(A97,[1]Bonds!$B$1:$K$2669,10,0),VLOOKUP(A97,[1]CPCD!$B$1:$H$1476,7,0))</f>
        <v>12.15% Nufuture Digital (India) Ltd (30-Nov-2019) **</v>
      </c>
      <c r="C97" s="39" t="s">
        <v>850</v>
      </c>
      <c r="D97" s="39">
        <v>750</v>
      </c>
      <c r="E97" s="68">
        <v>5005.38</v>
      </c>
      <c r="F97" s="43">
        <f t="shared" si="2"/>
        <v>0.73774582735642602</v>
      </c>
    </row>
    <row r="98" spans="1:6" x14ac:dyDescent="0.2">
      <c r="A98" s="39" t="s">
        <v>1205</v>
      </c>
      <c r="B98" s="39" t="str">
        <f>IFERROR(VLOOKUP(A98,[1]Bonds!$B$1:$K$2669,10,0),VLOOKUP(A98,[1]CPCD!$B$1:$H$1476,7,0))</f>
        <v>11.49% Reliance Big Pvt Ltd Series 3 (14-Jan-2021) **</v>
      </c>
      <c r="C98" s="39" t="s">
        <v>999</v>
      </c>
      <c r="D98" s="39">
        <v>955</v>
      </c>
      <c r="E98" s="68">
        <v>4775</v>
      </c>
      <c r="F98" s="43">
        <f t="shared" si="2"/>
        <v>0.7037899870992681</v>
      </c>
    </row>
    <row r="99" spans="1:6" x14ac:dyDescent="0.2">
      <c r="A99" s="39" t="s">
        <v>1206</v>
      </c>
      <c r="B99" s="39" t="str">
        <f>IFERROR(VLOOKUP(A99,[1]Bonds!$B$1:$K$2669,10,0),VLOOKUP(A99,[1]CPCD!$B$1:$H$1476,7,0))</f>
        <v>11.90% Rivaaz Trade Ventures Pvt Ltd (11-May-2020) **</v>
      </c>
      <c r="C99" s="39" t="s">
        <v>825</v>
      </c>
      <c r="D99" s="39">
        <v>422</v>
      </c>
      <c r="E99" s="68">
        <v>4248.4596799999999</v>
      </c>
      <c r="F99" s="43">
        <f t="shared" si="2"/>
        <v>0.62618290751391847</v>
      </c>
    </row>
    <row r="100" spans="1:6" x14ac:dyDescent="0.2">
      <c r="A100" s="39" t="s">
        <v>1207</v>
      </c>
      <c r="B100" s="39" t="str">
        <f>IFERROR(VLOOKUP(A100,[1]Bonds!$B$1:$K$2669,10,0),VLOOKUP(A100,[1]CPCD!$B$1:$H$1476,7,0))</f>
        <v>12.75% Future Ideas Company Ltd (30-Jun-2020) **</v>
      </c>
      <c r="C100" s="39" t="s">
        <v>850</v>
      </c>
      <c r="D100" s="39">
        <v>370</v>
      </c>
      <c r="E100" s="68">
        <v>3698.1722</v>
      </c>
      <c r="F100" s="43">
        <f t="shared" si="2"/>
        <v>0.54507572040395225</v>
      </c>
    </row>
    <row r="101" spans="1:6" x14ac:dyDescent="0.2">
      <c r="A101" s="39" t="s">
        <v>1015</v>
      </c>
      <c r="B101" s="39" t="str">
        <f>IFERROR(VLOOKUP(A101,[1]Bonds!$B$1:$K$2669,10,0),VLOOKUP(A101,[1]CPCD!$B$1:$H$1476,7,0))</f>
        <v>11.49% Reliance Big Pvt Ltd Series 2 (14-Jan-2021) **</v>
      </c>
      <c r="C101" s="39" t="s">
        <v>999</v>
      </c>
      <c r="D101" s="39">
        <v>716</v>
      </c>
      <c r="E101" s="68">
        <v>3580</v>
      </c>
      <c r="F101" s="43">
        <f t="shared" si="2"/>
        <v>0.52765825210793293</v>
      </c>
    </row>
    <row r="102" spans="1:6" x14ac:dyDescent="0.2">
      <c r="A102" s="39" t="s">
        <v>1025</v>
      </c>
      <c r="B102" s="39" t="str">
        <f>IFERROR(VLOOKUP(A102,[1]Bonds!$B$1:$K$2669,10,0),VLOOKUP(A102,[1]CPCD!$B$1:$H$1476,7,0))</f>
        <v>12.15% Nufuture Digital (India) Ltd (02-Jun-2020) **</v>
      </c>
      <c r="C102" s="39" t="s">
        <v>850</v>
      </c>
      <c r="D102" s="39">
        <v>320</v>
      </c>
      <c r="E102" s="68">
        <v>3193.9104000000002</v>
      </c>
      <c r="F102" s="43">
        <f t="shared" si="2"/>
        <v>0.47075228465177349</v>
      </c>
    </row>
    <row r="103" spans="1:6" x14ac:dyDescent="0.2">
      <c r="A103" s="39" t="s">
        <v>1005</v>
      </c>
      <c r="B103" s="39" t="str">
        <f>IFERROR(VLOOKUP(A103,[1]Bonds!$B$1:$K$2669,10,0),VLOOKUP(A103,[1]CPCD!$B$1:$H$1476,7,0))</f>
        <v>0.00% Diligent Media Corp Ltd. Series C (30-Jun-2020) **</v>
      </c>
      <c r="C103" s="39" t="s">
        <v>994</v>
      </c>
      <c r="D103" s="39">
        <v>15</v>
      </c>
      <c r="E103" s="68">
        <v>2163.5700000000002</v>
      </c>
      <c r="F103" s="43">
        <f t="shared" si="2"/>
        <v>0.31888982248970965</v>
      </c>
    </row>
    <row r="104" spans="1:6" x14ac:dyDescent="0.2">
      <c r="A104" s="39" t="s">
        <v>1165</v>
      </c>
      <c r="B104" s="39" t="str">
        <f>IFERROR(VLOOKUP(A104,[1]Bonds!$B$1:$K$2669,10,0),VLOOKUP(A104,[1]CPCD!$B$1:$H$1476,7,0))</f>
        <v>11.90% Rivaaz Trade Ventures Pvt Ltd (30-Nov-2019) **</v>
      </c>
      <c r="C104" s="39" t="s">
        <v>825</v>
      </c>
      <c r="D104" s="39">
        <v>323</v>
      </c>
      <c r="E104" s="68">
        <v>2158.4378099999999</v>
      </c>
      <c r="F104" s="43">
        <f t="shared" si="2"/>
        <v>0.31813338606376385</v>
      </c>
    </row>
    <row r="105" spans="1:6" x14ac:dyDescent="0.2">
      <c r="A105" s="39" t="s">
        <v>816</v>
      </c>
      <c r="B105" s="39" t="str">
        <f>IFERROR(VLOOKUP(A105,[1]Bonds!$B$1:$K$2669,10,0),VLOOKUP(A105,[1]CPCD!$B$1:$H$1476,7,0))</f>
        <v>8.25% Vodafone Idea Ltd (10-Jul-2020) **</v>
      </c>
      <c r="C105" s="39" t="s">
        <v>817</v>
      </c>
      <c r="D105" s="39">
        <v>220</v>
      </c>
      <c r="E105" s="68">
        <v>2078.2058000000002</v>
      </c>
      <c r="F105" s="43">
        <f t="shared" si="2"/>
        <v>0.30630794411971191</v>
      </c>
    </row>
    <row r="106" spans="1:6" x14ac:dyDescent="0.2">
      <c r="A106" s="39" t="s">
        <v>1032</v>
      </c>
      <c r="B106" s="39" t="str">
        <f>IFERROR(VLOOKUP(A106,[1]Bonds!$B$1:$K$2669,10,0),VLOOKUP(A106,[1]CPCD!$B$1:$H$1476,7,0))</f>
        <v>11.84% Hero Wind Energy Pvt Ltd (10-Jun-2022) **</v>
      </c>
      <c r="C106" s="39" t="s">
        <v>740</v>
      </c>
      <c r="D106" s="39">
        <v>200</v>
      </c>
      <c r="E106" s="68">
        <v>2015.174</v>
      </c>
      <c r="F106" s="43">
        <f t="shared" si="2"/>
        <v>0.29701765098696975</v>
      </c>
    </row>
    <row r="107" spans="1:6" x14ac:dyDescent="0.2">
      <c r="A107" s="39" t="s">
        <v>1028</v>
      </c>
      <c r="B107" s="39" t="str">
        <f>IFERROR(VLOOKUP(A107,[1]Bonds!$B$1:$K$2669,10,0),VLOOKUP(A107,[1]CPCD!$B$1:$H$1476,7,0))</f>
        <v>11.35% Renew Solar Power Private Limited (01-Nov-2022) **</v>
      </c>
      <c r="C107" s="39" t="s">
        <v>825</v>
      </c>
      <c r="D107" s="39">
        <v>200</v>
      </c>
      <c r="E107" s="68">
        <v>2002.63</v>
      </c>
      <c r="F107" s="43">
        <f t="shared" si="2"/>
        <v>0.29516878363656696</v>
      </c>
    </row>
    <row r="108" spans="1:6" x14ac:dyDescent="0.2">
      <c r="A108" s="39" t="s">
        <v>861</v>
      </c>
      <c r="B108" s="39" t="str">
        <f>IFERROR(VLOOKUP(A108,[1]Bonds!$B$1:$K$2669,10,0),VLOOKUP(A108,[1]CPCD!$B$1:$H$1476,7,0))</f>
        <v>9.80% Ma Multi-Trade Pvt Ltd Series B (26-Jul-2017) **</v>
      </c>
      <c r="C108" s="39" t="s">
        <v>850</v>
      </c>
      <c r="D108" s="39">
        <v>200</v>
      </c>
      <c r="E108" s="68">
        <v>1995.604</v>
      </c>
      <c r="F108" s="43">
        <f t="shared" si="2"/>
        <v>0.29413321746916182</v>
      </c>
    </row>
    <row r="109" spans="1:6" x14ac:dyDescent="0.2">
      <c r="A109" s="39" t="s">
        <v>985</v>
      </c>
      <c r="B109" s="39" t="str">
        <f>IFERROR(VLOOKUP(A109,[1]Bonds!$B$1:$K$2669,10,0),VLOOKUP(A109,[1]CPCD!$B$1:$H$1476,7,0))</f>
        <v>9.45% Renew Power Limited (31-Jul-2025) **</v>
      </c>
      <c r="C109" s="39" t="s">
        <v>718</v>
      </c>
      <c r="D109" s="39">
        <v>200</v>
      </c>
      <c r="E109" s="68">
        <v>1908.2239999999999</v>
      </c>
      <c r="F109" s="43">
        <f t="shared" si="2"/>
        <v>0.28125422918167825</v>
      </c>
    </row>
    <row r="110" spans="1:6" x14ac:dyDescent="0.2">
      <c r="A110" s="39" t="s">
        <v>1019</v>
      </c>
      <c r="B110" s="39" t="str">
        <f>IFERROR(VLOOKUP(A110,[1]Bonds!$B$1:$K$2669,10,0),VLOOKUP(A110,[1]CPCD!$B$1:$H$1476,7,0))</f>
        <v>12.25% Rivaaz Trade Ventures Pvt Ltd (30-Sep-2022) **</v>
      </c>
      <c r="C110" s="39" t="s">
        <v>856</v>
      </c>
      <c r="D110" s="39">
        <v>150</v>
      </c>
      <c r="E110" s="68">
        <v>1502.646</v>
      </c>
      <c r="F110" s="43">
        <f t="shared" si="2"/>
        <v>0.22147585527848521</v>
      </c>
    </row>
    <row r="111" spans="1:6" x14ac:dyDescent="0.2">
      <c r="A111" s="39" t="s">
        <v>1026</v>
      </c>
      <c r="B111" s="39" t="str">
        <f>IFERROR(VLOOKUP(A111,[1]Bonds!$B$1:$K$2669,10,0),VLOOKUP(A111,[1]CPCD!$B$1:$H$1476,7,0))</f>
        <v>9.95% Narmada Wind Energy Pvt Ltd (31-Mar-2023) **</v>
      </c>
      <c r="C111" s="39" t="s">
        <v>825</v>
      </c>
      <c r="D111" s="39">
        <v>130</v>
      </c>
      <c r="E111" s="68">
        <v>1211.4712999999999</v>
      </c>
      <c r="F111" s="43">
        <f t="shared" si="2"/>
        <v>0.17855944933992324</v>
      </c>
    </row>
    <row r="112" spans="1:6" x14ac:dyDescent="0.2">
      <c r="A112" s="39" t="s">
        <v>1208</v>
      </c>
      <c r="B112" s="39" t="str">
        <f>IFERROR(VLOOKUP(A112,[1]Bonds!$B$1:$K$2669,10,0),VLOOKUP(A112,[1]CPCD!$B$1:$H$1476,7,0))</f>
        <v>10.20% Star Health &amp; Allied Insurance Co Ltd (31-Oct-2024) **</v>
      </c>
      <c r="C112" s="39" t="s">
        <v>983</v>
      </c>
      <c r="D112" s="39">
        <v>110</v>
      </c>
      <c r="E112" s="68">
        <v>1056.2046</v>
      </c>
      <c r="F112" s="43">
        <f t="shared" si="2"/>
        <v>0.15567460142579845</v>
      </c>
    </row>
    <row r="113" spans="1:6" x14ac:dyDescent="0.2">
      <c r="A113" s="39" t="s">
        <v>1001</v>
      </c>
      <c r="B113" s="39" t="str">
        <f>IFERROR(VLOOKUP(A113,[1]Bonds!$B$1:$K$2669,10,0),VLOOKUP(A113,[1]CPCD!$B$1:$H$1476,7,0))</f>
        <v>13.01% Renew Power Ltd., Series VI, (23-Mar-2020) **</v>
      </c>
      <c r="C113" s="39" t="s">
        <v>718</v>
      </c>
      <c r="D113" s="39">
        <v>90</v>
      </c>
      <c r="E113" s="68">
        <v>909.48779999999999</v>
      </c>
      <c r="F113" s="43">
        <f t="shared" si="2"/>
        <v>0.13404992817360037</v>
      </c>
    </row>
    <row r="114" spans="1:6" x14ac:dyDescent="0.2">
      <c r="A114" s="39" t="s">
        <v>989</v>
      </c>
      <c r="B114" s="39" t="str">
        <f>IFERROR(VLOOKUP(A114,[1]Bonds!$B$1:$K$2669,10,0),VLOOKUP(A114,[1]CPCD!$B$1:$H$1476,7,0))</f>
        <v>10.25% Star Health &amp; Allied Insurance Co Ltd (06-Sep-2024) **</v>
      </c>
      <c r="C114" s="39" t="s">
        <v>983</v>
      </c>
      <c r="D114" s="39">
        <v>50</v>
      </c>
      <c r="E114" s="68">
        <v>481.37549999999999</v>
      </c>
      <c r="F114" s="43">
        <f t="shared" si="2"/>
        <v>7.0950210876419631E-2</v>
      </c>
    </row>
    <row r="115" spans="1:6" x14ac:dyDescent="0.2">
      <c r="A115" s="38" t="s">
        <v>44</v>
      </c>
      <c r="B115" s="39"/>
      <c r="C115" s="39"/>
      <c r="D115" s="39"/>
      <c r="E115" s="69">
        <f>SUM(E83:E114)</f>
        <v>210273.99075</v>
      </c>
      <c r="F115" s="69">
        <f>SUM(F83:F114)</f>
        <v>30.992404028744311</v>
      </c>
    </row>
    <row r="116" spans="1:6" x14ac:dyDescent="0.2">
      <c r="A116" s="39"/>
      <c r="B116" s="39"/>
      <c r="C116" s="39"/>
      <c r="D116" s="39"/>
      <c r="E116" s="68"/>
      <c r="F116" s="68"/>
    </row>
    <row r="117" spans="1:6" x14ac:dyDescent="0.2">
      <c r="A117" s="38" t="s">
        <v>44</v>
      </c>
      <c r="B117" s="39"/>
      <c r="C117" s="39"/>
      <c r="D117" s="39"/>
      <c r="E117" s="69">
        <f>E80+E115</f>
        <v>662366.59349999996</v>
      </c>
      <c r="F117" s="69">
        <f>F80+F115</f>
        <v>97.625094594541054</v>
      </c>
    </row>
    <row r="118" spans="1:6" x14ac:dyDescent="0.2">
      <c r="A118" s="39"/>
      <c r="B118" s="39"/>
      <c r="C118" s="39"/>
      <c r="D118" s="39"/>
      <c r="E118" s="68"/>
      <c r="F118" s="68"/>
    </row>
    <row r="119" spans="1:6" x14ac:dyDescent="0.2">
      <c r="A119" s="38" t="s">
        <v>76</v>
      </c>
      <c r="B119" s="39"/>
      <c r="C119" s="39"/>
      <c r="D119" s="39"/>
      <c r="E119" s="69">
        <v>16102.8487381</v>
      </c>
      <c r="F119" s="69">
        <v>2.37</v>
      </c>
    </row>
    <row r="120" spans="1:6" x14ac:dyDescent="0.2">
      <c r="A120" s="39"/>
      <c r="B120" s="39"/>
      <c r="C120" s="39"/>
      <c r="D120" s="39"/>
      <c r="E120" s="68"/>
      <c r="F120" s="68"/>
    </row>
    <row r="121" spans="1:6" x14ac:dyDescent="0.2">
      <c r="A121" s="71" t="s">
        <v>77</v>
      </c>
      <c r="B121" s="66"/>
      <c r="C121" s="66"/>
      <c r="D121" s="66"/>
      <c r="E121" s="72">
        <f>E117+E119</f>
        <v>678469.44223809999</v>
      </c>
      <c r="F121" s="72">
        <f xml:space="preserve"> ROUND(SUM(F117:F120),2)</f>
        <v>100</v>
      </c>
    </row>
    <row r="122" spans="1:6" x14ac:dyDescent="0.2">
      <c r="A122" s="4" t="s">
        <v>619</v>
      </c>
      <c r="F122" s="74" t="s">
        <v>884</v>
      </c>
    </row>
    <row r="124" spans="1:6" x14ac:dyDescent="0.2">
      <c r="A124" s="4" t="s">
        <v>78</v>
      </c>
    </row>
    <row r="125" spans="1:6" x14ac:dyDescent="0.2">
      <c r="A125" s="4" t="s">
        <v>650</v>
      </c>
    </row>
    <row r="126" spans="1:6" x14ac:dyDescent="0.2">
      <c r="A126" s="4" t="s">
        <v>80</v>
      </c>
    </row>
    <row r="127" spans="1:6" x14ac:dyDescent="0.2">
      <c r="A127" s="2" t="s">
        <v>638</v>
      </c>
      <c r="D127" s="10">
        <v>19.335100000000001</v>
      </c>
    </row>
    <row r="128" spans="1:6" x14ac:dyDescent="0.2">
      <c r="A128" s="2" t="s">
        <v>639</v>
      </c>
      <c r="D128" s="10">
        <v>11.2325</v>
      </c>
    </row>
    <row r="129" spans="1:5" x14ac:dyDescent="0.2">
      <c r="A129" s="2" t="s">
        <v>640</v>
      </c>
      <c r="D129" s="10">
        <v>20.326799999999999</v>
      </c>
    </row>
    <row r="130" spans="1:5" x14ac:dyDescent="0.2">
      <c r="A130" s="2" t="s">
        <v>641</v>
      </c>
      <c r="D130" s="10">
        <v>11.9994</v>
      </c>
    </row>
    <row r="132" spans="1:5" x14ac:dyDescent="0.2">
      <c r="A132" s="4" t="s">
        <v>81</v>
      </c>
    </row>
    <row r="133" spans="1:5" x14ac:dyDescent="0.2">
      <c r="A133" s="2" t="s">
        <v>638</v>
      </c>
      <c r="D133" s="10">
        <v>19.735600000000002</v>
      </c>
    </row>
    <row r="134" spans="1:5" x14ac:dyDescent="0.2">
      <c r="A134" s="2" t="s">
        <v>639</v>
      </c>
      <c r="D134" s="10">
        <v>11.020899999999999</v>
      </c>
    </row>
    <row r="135" spans="1:5" x14ac:dyDescent="0.2">
      <c r="A135" s="2" t="s">
        <v>640</v>
      </c>
      <c r="D135" s="10">
        <v>20.8232</v>
      </c>
    </row>
    <row r="136" spans="1:5" x14ac:dyDescent="0.2">
      <c r="A136" s="2" t="s">
        <v>641</v>
      </c>
      <c r="D136" s="10">
        <v>11.848000000000001</v>
      </c>
    </row>
    <row r="138" spans="1:5" x14ac:dyDescent="0.2">
      <c r="A138" s="4" t="s">
        <v>82</v>
      </c>
      <c r="D138" s="44" t="s">
        <v>299</v>
      </c>
    </row>
    <row r="139" spans="1:5" x14ac:dyDescent="0.2">
      <c r="A139" s="79" t="s">
        <v>642</v>
      </c>
      <c r="B139" s="80"/>
      <c r="C139" s="100" t="s">
        <v>643</v>
      </c>
      <c r="D139" s="101"/>
    </row>
    <row r="140" spans="1:5" x14ac:dyDescent="0.2">
      <c r="A140" s="102"/>
      <c r="B140" s="103"/>
      <c r="C140" s="47" t="s">
        <v>644</v>
      </c>
      <c r="D140" s="47" t="s">
        <v>645</v>
      </c>
    </row>
    <row r="141" spans="1:5" x14ac:dyDescent="0.2">
      <c r="A141" s="48" t="s">
        <v>639</v>
      </c>
      <c r="B141" s="49"/>
      <c r="C141" s="54">
        <v>0.31694198800000001</v>
      </c>
      <c r="D141" s="54">
        <v>0.29348986040000002</v>
      </c>
    </row>
    <row r="142" spans="1:5" x14ac:dyDescent="0.2">
      <c r="A142" s="48" t="s">
        <v>641</v>
      </c>
      <c r="B142" s="49"/>
      <c r="C142" s="54">
        <v>0.31694198800000001</v>
      </c>
      <c r="D142" s="54">
        <v>0.29348986040000002</v>
      </c>
    </row>
    <row r="144" spans="1:5" x14ac:dyDescent="0.2">
      <c r="A144" s="4" t="s">
        <v>647</v>
      </c>
      <c r="D144" s="53">
        <v>3.2185971161632021</v>
      </c>
      <c r="E144" s="73" t="s">
        <v>648</v>
      </c>
    </row>
  </sheetData>
  <mergeCells count="3">
    <mergeCell ref="A1:F1"/>
    <mergeCell ref="C139:D139"/>
    <mergeCell ref="A140:B140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D2EA2-B353-4D43-8FA6-DBB7C09FD2CB}">
  <dimension ref="A1:G117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5.28515625" style="2" bestFit="1" customWidth="1"/>
    <col min="3" max="3" width="12.5703125" style="2" bestFit="1" customWidth="1"/>
    <col min="4" max="4" width="7.42578125" style="2" bestFit="1" customWidth="1"/>
    <col min="5" max="5" width="23" style="73" bestFit="1" customWidth="1"/>
    <col min="6" max="6" width="15.5703125" style="73" bestFit="1" customWidth="1"/>
    <col min="7" max="16384" width="9.140625" style="2"/>
  </cols>
  <sheetData>
    <row r="1" spans="1:6" ht="15" customHeight="1" x14ac:dyDescent="0.2">
      <c r="A1" s="108" t="s">
        <v>1209</v>
      </c>
      <c r="B1" s="108"/>
      <c r="C1" s="108"/>
      <c r="D1" s="108"/>
      <c r="E1" s="108"/>
      <c r="F1" s="108"/>
    </row>
    <row r="3" spans="1:6" s="4" customFormat="1" x14ac:dyDescent="0.2">
      <c r="A3" s="64" t="s">
        <v>1</v>
      </c>
      <c r="B3" s="64" t="s">
        <v>2</v>
      </c>
      <c r="C3" s="64" t="s">
        <v>716</v>
      </c>
      <c r="D3" s="64" t="s">
        <v>4</v>
      </c>
      <c r="E3" s="65" t="s">
        <v>5</v>
      </c>
      <c r="F3" s="65" t="s">
        <v>6</v>
      </c>
    </row>
    <row r="4" spans="1:6" x14ac:dyDescent="0.2">
      <c r="A4" s="66"/>
      <c r="B4" s="66"/>
      <c r="C4" s="66"/>
      <c r="D4" s="66"/>
      <c r="E4" s="67"/>
      <c r="F4" s="67"/>
    </row>
    <row r="5" spans="1:6" x14ac:dyDescent="0.2">
      <c r="A5" s="38" t="s">
        <v>359</v>
      </c>
      <c r="B5" s="39"/>
      <c r="C5" s="39"/>
      <c r="D5" s="39"/>
      <c r="E5" s="68"/>
      <c r="F5" s="68"/>
    </row>
    <row r="6" spans="1:6" x14ac:dyDescent="0.2">
      <c r="A6" s="38" t="s">
        <v>8</v>
      </c>
      <c r="B6" s="39"/>
      <c r="C6" s="39"/>
      <c r="D6" s="39"/>
      <c r="E6" s="68"/>
      <c r="F6" s="68"/>
    </row>
    <row r="7" spans="1:6" x14ac:dyDescent="0.2">
      <c r="A7" s="38"/>
      <c r="B7" s="39"/>
      <c r="C7" s="39"/>
      <c r="D7" s="39"/>
      <c r="E7" s="68"/>
      <c r="F7" s="68"/>
    </row>
    <row r="8" spans="1:6" x14ac:dyDescent="0.2">
      <c r="A8" s="39" t="s">
        <v>915</v>
      </c>
      <c r="B8" s="39" t="str">
        <f>IFERROR(VLOOKUP(A8,[1]Bonds!$B$1:$K$2669,10,0),VLOOKUP(A8,[1]CPCD!$B$1:$H$1476,7,0))</f>
        <v>8.97% Rec Ltd (28-Mar-2029) **</v>
      </c>
      <c r="C8" s="39" t="s">
        <v>916</v>
      </c>
      <c r="D8" s="39">
        <v>660</v>
      </c>
      <c r="E8" s="68">
        <v>6777.6588000000002</v>
      </c>
      <c r="F8" s="43">
        <f>IF((E8/$E$76*100)&lt;0.01,"0.00*",E8/$E$76*100)</f>
        <v>6.5584734588255476</v>
      </c>
    </row>
    <row r="9" spans="1:6" x14ac:dyDescent="0.2">
      <c r="A9" s="39" t="s">
        <v>799</v>
      </c>
      <c r="B9" s="39" t="str">
        <f>IFERROR(VLOOKUP(A9,[1]Bonds!$B$1:$K$2669,10,0),VLOOKUP(A9,[1]CPCD!$B$1:$H$1476,7,0))</f>
        <v>8.9508% Pipeline Infrastructure Pvt Ltd (22-Mar-2024)</v>
      </c>
      <c r="C9" s="39" t="s">
        <v>361</v>
      </c>
      <c r="D9" s="39">
        <v>670</v>
      </c>
      <c r="E9" s="68">
        <v>6744.9034000000001</v>
      </c>
      <c r="F9" s="43">
        <f t="shared" ref="F9:F60" si="0">IF((E9/$E$76*100)&lt;0.01,"0.00*",E9/$E$76*100)</f>
        <v>6.526777348432204</v>
      </c>
    </row>
    <row r="10" spans="1:6" x14ac:dyDescent="0.2">
      <c r="A10" s="39" t="s">
        <v>942</v>
      </c>
      <c r="B10" s="39" t="str">
        <f>IFERROR(VLOOKUP(A10,[1]Bonds!$B$1:$K$2669,10,0),VLOOKUP(A10,[1]CPCD!$B$1:$H$1476,7,0))</f>
        <v>9.25% Power Finance Corp Ltd (25-Sep-2024) **</v>
      </c>
      <c r="C10" s="39" t="s">
        <v>361</v>
      </c>
      <c r="D10" s="39">
        <v>580</v>
      </c>
      <c r="E10" s="68">
        <v>5974.2493999999997</v>
      </c>
      <c r="F10" s="43">
        <f t="shared" si="0"/>
        <v>5.7810458275510195</v>
      </c>
    </row>
    <row r="11" spans="1:6" x14ac:dyDescent="0.2">
      <c r="A11" s="39" t="s">
        <v>1210</v>
      </c>
      <c r="B11" s="39" t="str">
        <f>IFERROR(VLOOKUP(A11,[1]Bonds!$B$1:$K$2669,10,0),VLOOKUP(A11,[1]CPCD!$B$1:$H$1476,7,0))</f>
        <v>7.85% Grasim Industries Ltd (15-Apr-2024) **</v>
      </c>
      <c r="C11" s="39" t="s">
        <v>361</v>
      </c>
      <c r="D11" s="39">
        <v>500</v>
      </c>
      <c r="E11" s="68">
        <v>5104.3900000000003</v>
      </c>
      <c r="F11" s="43">
        <f t="shared" si="0"/>
        <v>4.9393171486435019</v>
      </c>
    </row>
    <row r="12" spans="1:6" x14ac:dyDescent="0.2">
      <c r="A12" s="39" t="s">
        <v>778</v>
      </c>
      <c r="B12" s="39" t="str">
        <f>IFERROR(VLOOKUP(A12,[1]Bonds!$B$1:$K$2669,10,0),VLOOKUP(A12,[1]CPCD!$B$1:$H$1476,7,0))</f>
        <v>10.25% Sikka Ports &amp; Terminals Limited (22-Aug-2021) **</v>
      </c>
      <c r="C12" s="39" t="s">
        <v>361</v>
      </c>
      <c r="D12" s="39">
        <v>467</v>
      </c>
      <c r="E12" s="68">
        <v>4809.3761500000001</v>
      </c>
      <c r="F12" s="43">
        <f t="shared" si="0"/>
        <v>4.6538438661567909</v>
      </c>
    </row>
    <row r="13" spans="1:6" x14ac:dyDescent="0.2">
      <c r="A13" s="39" t="s">
        <v>900</v>
      </c>
      <c r="B13" s="39" t="str">
        <f>IFERROR(VLOOKUP(A13,[1]Bonds!$B$1:$K$2669,10,0),VLOOKUP(A13,[1]CPCD!$B$1:$H$1476,7,0))</f>
        <v>10.25% Shriram Transport Finance Co Ltd (26-Apr-2024) **</v>
      </c>
      <c r="C13" s="39" t="s">
        <v>727</v>
      </c>
      <c r="D13" s="39">
        <v>500</v>
      </c>
      <c r="E13" s="68">
        <v>4627.8249999999998</v>
      </c>
      <c r="F13" s="43">
        <f t="shared" si="0"/>
        <v>4.4781639693324982</v>
      </c>
    </row>
    <row r="14" spans="1:6" x14ac:dyDescent="0.2">
      <c r="A14" s="39" t="s">
        <v>1211</v>
      </c>
      <c r="B14" s="39" t="str">
        <f>IFERROR(VLOOKUP(A14,[1]Bonds!$B$1:$K$2669,10,0),VLOOKUP(A14,[1]CPCD!$B$1:$H$1476,7,0))</f>
        <v>8.39% State Bank Of India (20-Feb-2049) **</v>
      </c>
      <c r="C14" s="39" t="s">
        <v>727</v>
      </c>
      <c r="D14" s="39">
        <v>450</v>
      </c>
      <c r="E14" s="68">
        <v>4486.0815000000002</v>
      </c>
      <c r="F14" s="43">
        <f t="shared" si="0"/>
        <v>4.3410043674488747</v>
      </c>
    </row>
    <row r="15" spans="1:6" x14ac:dyDescent="0.2">
      <c r="A15" s="39" t="s">
        <v>1212</v>
      </c>
      <c r="B15" s="39" t="str">
        <f>IFERROR(VLOOKUP(A15,[1]Bonds!$B$1:$K$2669,10,0),VLOOKUP(A15,[1]CPCD!$B$1:$H$1476,7,0))</f>
        <v>8.60% Ongc Petro Additions Ltd (11-Mar-2022) **</v>
      </c>
      <c r="C15" s="39" t="s">
        <v>1213</v>
      </c>
      <c r="D15" s="39">
        <v>447</v>
      </c>
      <c r="E15" s="68">
        <v>4482.5651699999999</v>
      </c>
      <c r="F15" s="43">
        <f t="shared" si="0"/>
        <v>4.3376017534109019</v>
      </c>
    </row>
    <row r="16" spans="1:6" x14ac:dyDescent="0.2">
      <c r="A16" s="39" t="s">
        <v>808</v>
      </c>
      <c r="B16" s="39" t="str">
        <f>IFERROR(VLOOKUP(A16,[1]Bonds!$B$1:$K$2669,10,0),VLOOKUP(A16,[1]CPCD!$B$1:$H$1476,7,0))</f>
        <v>9.20% ICICI Bank Ltd (17-Mar-2022) **</v>
      </c>
      <c r="C16" s="39" t="s">
        <v>763</v>
      </c>
      <c r="D16" s="39">
        <v>430</v>
      </c>
      <c r="E16" s="68">
        <v>4322.1794</v>
      </c>
      <c r="F16" s="43">
        <f t="shared" si="0"/>
        <v>4.1824027611396621</v>
      </c>
    </row>
    <row r="17" spans="1:6" x14ac:dyDescent="0.2">
      <c r="A17" s="39" t="s">
        <v>914</v>
      </c>
      <c r="B17" s="39" t="str">
        <f>IFERROR(VLOOKUP(A17,[1]Bonds!$B$1:$K$2669,10,0),VLOOKUP(A17,[1]CPCD!$B$1:$H$1476,7,0))</f>
        <v>9.10% India Grid Trust (03-Jun-2022)</v>
      </c>
      <c r="C17" s="39" t="s">
        <v>361</v>
      </c>
      <c r="D17" s="39">
        <v>400</v>
      </c>
      <c r="E17" s="68">
        <v>4037.116</v>
      </c>
      <c r="F17" s="43">
        <f t="shared" si="0"/>
        <v>3.906558137184474</v>
      </c>
    </row>
    <row r="18" spans="1:6" x14ac:dyDescent="0.2">
      <c r="A18" s="39" t="s">
        <v>1194</v>
      </c>
      <c r="B18" s="39" t="str">
        <f>IFERROR(VLOOKUP(A18,[1]Bonds!$B$1:$K$2669,10,0),VLOOKUP(A18,[1]CPCD!$B$1:$H$1476,7,0))</f>
        <v>9.55% Piramal Capital &amp; Housing Finance Ltd (08-Mar-2027) **</v>
      </c>
      <c r="C18" s="39" t="s">
        <v>737</v>
      </c>
      <c r="D18" s="39">
        <v>405</v>
      </c>
      <c r="E18" s="68">
        <v>3366.7568999999999</v>
      </c>
      <c r="F18" s="43">
        <f t="shared" si="0"/>
        <v>3.2578780405658327</v>
      </c>
    </row>
    <row r="19" spans="1:6" x14ac:dyDescent="0.2">
      <c r="A19" s="39" t="s">
        <v>1214</v>
      </c>
      <c r="B19" s="39" t="str">
        <f>IFERROR(VLOOKUP(A19,[1]Bonds!$B$1:$K$2669,10,0),VLOOKUP(A19,[1]CPCD!$B$1:$H$1476,7,0))</f>
        <v>9.15% ICICI Bank Ltd (20-Jun-2023) **</v>
      </c>
      <c r="C19" s="39" t="s">
        <v>763</v>
      </c>
      <c r="D19" s="39">
        <v>315</v>
      </c>
      <c r="E19" s="68">
        <v>3168.6385500000001</v>
      </c>
      <c r="F19" s="43">
        <f t="shared" si="0"/>
        <v>3.0661667168589939</v>
      </c>
    </row>
    <row r="20" spans="1:6" x14ac:dyDescent="0.2">
      <c r="A20" s="39" t="s">
        <v>940</v>
      </c>
      <c r="B20" s="39" t="str">
        <f>IFERROR(VLOOKUP(A20,[1]Bonds!$B$1:$K$2669,10,0),VLOOKUP(A20,[1]CPCD!$B$1:$H$1476,7,0))</f>
        <v>9.90% Coastal Gujarat Power Ltd (25-Aug-2028) **</v>
      </c>
      <c r="C20" s="39" t="s">
        <v>364</v>
      </c>
      <c r="D20" s="39">
        <v>310</v>
      </c>
      <c r="E20" s="68">
        <v>3104.5601000000001</v>
      </c>
      <c r="F20" s="43">
        <f t="shared" si="0"/>
        <v>3.0041605247491638</v>
      </c>
    </row>
    <row r="21" spans="1:6" x14ac:dyDescent="0.2">
      <c r="A21" s="39" t="s">
        <v>1215</v>
      </c>
      <c r="B21" s="39" t="str">
        <f>IFERROR(VLOOKUP(A21,[1]Bonds!$B$1:$K$2669,10,0),VLOOKUP(A21,[1]CPCD!$B$1:$H$1476,7,0))</f>
        <v>9.25% Reliance Jio Infocomm Limited (17-Jun-2024) **</v>
      </c>
      <c r="C21" s="39" t="s">
        <v>361</v>
      </c>
      <c r="D21" s="39">
        <v>300</v>
      </c>
      <c r="E21" s="68">
        <v>3080.3310000000001</v>
      </c>
      <c r="F21" s="43">
        <f t="shared" si="0"/>
        <v>2.9807149790275012</v>
      </c>
    </row>
    <row r="22" spans="1:6" x14ac:dyDescent="0.2">
      <c r="A22" s="39" t="s">
        <v>1216</v>
      </c>
      <c r="B22" s="39" t="str">
        <f>IFERROR(VLOOKUP(A22,[1]Bonds!$B$1:$K$2669,10,0),VLOOKUP(A22,[1]CPCD!$B$1:$H$1476,7,0))</f>
        <v>7.80% Apollo Tyres Ltd (29-Apr-2022) **</v>
      </c>
      <c r="C22" s="39" t="s">
        <v>727</v>
      </c>
      <c r="D22" s="39">
        <v>300</v>
      </c>
      <c r="E22" s="68">
        <v>2928.2730000000001</v>
      </c>
      <c r="F22" s="43">
        <f t="shared" si="0"/>
        <v>2.8335744417667446</v>
      </c>
    </row>
    <row r="23" spans="1:6" x14ac:dyDescent="0.2">
      <c r="A23" s="39" t="s">
        <v>1217</v>
      </c>
      <c r="B23" s="39" t="str">
        <f>IFERROR(VLOOKUP(A23,[1]Bonds!$B$1:$K$2669,10,0),VLOOKUP(A23,[1]CPCD!$B$1:$H$1476,7,0))</f>
        <v>8.85% Ongc Petro Additions Ltd (19-Apr-2022) **</v>
      </c>
      <c r="C23" s="39" t="s">
        <v>973</v>
      </c>
      <c r="D23" s="39">
        <v>238</v>
      </c>
      <c r="E23" s="68">
        <v>2398.54972</v>
      </c>
      <c r="F23" s="43">
        <f t="shared" si="0"/>
        <v>2.3209820887256005</v>
      </c>
    </row>
    <row r="24" spans="1:6" x14ac:dyDescent="0.2">
      <c r="A24" s="39" t="s">
        <v>1218</v>
      </c>
      <c r="B24" s="39" t="str">
        <f>IFERROR(VLOOKUP(A24,[1]Bonds!$B$1:$K$2669,10,0),VLOOKUP(A24,[1]CPCD!$B$1:$H$1476,7,0))</f>
        <v>8.40% Power Grid Corp Of India Ltd (27-May-2024) **</v>
      </c>
      <c r="C24" s="39" t="s">
        <v>361</v>
      </c>
      <c r="D24" s="39">
        <v>190</v>
      </c>
      <c r="E24" s="68">
        <v>2006.7647999999999</v>
      </c>
      <c r="F24" s="43">
        <f t="shared" si="0"/>
        <v>1.9418672534689054</v>
      </c>
    </row>
    <row r="25" spans="1:6" x14ac:dyDescent="0.2">
      <c r="A25" s="39" t="s">
        <v>965</v>
      </c>
      <c r="B25" s="39" t="str">
        <f>IFERROR(VLOOKUP(A25,[1]Bonds!$B$1:$K$2669,10,0),VLOOKUP(A25,[1]CPCD!$B$1:$H$1476,7,0))</f>
        <v>8.00% Reliance Jio Infocomm Limited (16-Apr-2023) **</v>
      </c>
      <c r="C25" s="39" t="s">
        <v>361</v>
      </c>
      <c r="D25" s="39">
        <v>187</v>
      </c>
      <c r="E25" s="68">
        <v>1849.30097</v>
      </c>
      <c r="F25" s="43">
        <f t="shared" si="0"/>
        <v>1.7894957074447801</v>
      </c>
    </row>
    <row r="26" spans="1:6" x14ac:dyDescent="0.2">
      <c r="A26" s="39" t="s">
        <v>1219</v>
      </c>
      <c r="B26" s="39" t="str">
        <f>IFERROR(VLOOKUP(A26,[1]Bonds!$B$1:$K$2669,10,0),VLOOKUP(A26,[1]CPCD!$B$1:$H$1476,7,0))</f>
        <v>0.00% Lic Housing Finance Ltd (25-Feb-2022) **</v>
      </c>
      <c r="C26" s="39" t="s">
        <v>361</v>
      </c>
      <c r="D26" s="39">
        <v>166</v>
      </c>
      <c r="E26" s="68">
        <v>1845.0800400000001</v>
      </c>
      <c r="F26" s="43">
        <f t="shared" si="0"/>
        <v>1.7854112797399568</v>
      </c>
    </row>
    <row r="27" spans="1:6" x14ac:dyDescent="0.2">
      <c r="A27" s="39" t="s">
        <v>1220</v>
      </c>
      <c r="B27" s="39" t="str">
        <f>IFERROR(VLOOKUP(A27,[1]Bonds!$B$1:$K$2669,10,0),VLOOKUP(A27,[1]CPCD!$B$1:$H$1476,7,0))</f>
        <v>10.40% Sikka Ports &amp; Terminals Limited (18-Jul-2021) **</v>
      </c>
      <c r="C27" s="39" t="s">
        <v>916</v>
      </c>
      <c r="D27" s="39">
        <v>173</v>
      </c>
      <c r="E27" s="68">
        <v>1787.07097</v>
      </c>
      <c r="F27" s="43">
        <f t="shared" si="0"/>
        <v>1.7292781875922443</v>
      </c>
    </row>
    <row r="28" spans="1:6" x14ac:dyDescent="0.2">
      <c r="A28" s="39" t="s">
        <v>926</v>
      </c>
      <c r="B28" s="39" t="str">
        <f>IFERROR(VLOOKUP(A28,[1]Bonds!$B$1:$K$2669,10,0),VLOOKUP(A28,[1]CPCD!$B$1:$H$1476,7,0))</f>
        <v>8.85% Power Finance Corp Ltd (25-May-2029)</v>
      </c>
      <c r="C28" s="39" t="s">
        <v>361</v>
      </c>
      <c r="D28" s="39">
        <v>160</v>
      </c>
      <c r="E28" s="68">
        <v>1653.3407999999999</v>
      </c>
      <c r="F28" s="43">
        <f t="shared" si="0"/>
        <v>1.5998727695164292</v>
      </c>
    </row>
    <row r="29" spans="1:6" x14ac:dyDescent="0.2">
      <c r="A29" s="39" t="s">
        <v>1221</v>
      </c>
      <c r="B29" s="39" t="str">
        <f>IFERROR(VLOOKUP(A29,[1]Bonds!$B$1:$K$2669,10,0),VLOOKUP(A29,[1]CPCD!$B$1:$H$1476,7,0))</f>
        <v>9.17% Ntpc Ltd (21-Sep-2024)</v>
      </c>
      <c r="C29" s="39" t="s">
        <v>361</v>
      </c>
      <c r="D29" s="39">
        <v>130</v>
      </c>
      <c r="E29" s="68">
        <v>1419.2828</v>
      </c>
      <c r="F29" s="43">
        <f t="shared" si="0"/>
        <v>1.373384062114134</v>
      </c>
    </row>
    <row r="30" spans="1:6" x14ac:dyDescent="0.2">
      <c r="A30" s="39" t="s">
        <v>1222</v>
      </c>
      <c r="B30" s="39" t="str">
        <f>IFERROR(VLOOKUP(A30,[1]Bonds!$B$1:$K$2669,10,0),VLOOKUP(A30,[1]CPCD!$B$1:$H$1476,7,0))</f>
        <v>7.89% Small Industries Development Bank Of India (15-Nov-2022)</v>
      </c>
      <c r="C30" s="39" t="s">
        <v>916</v>
      </c>
      <c r="D30" s="39">
        <v>120</v>
      </c>
      <c r="E30" s="68">
        <v>1215.8616</v>
      </c>
      <c r="F30" s="43">
        <f t="shared" si="0"/>
        <v>1.1765413793336961</v>
      </c>
    </row>
    <row r="31" spans="1:6" x14ac:dyDescent="0.2">
      <c r="A31" s="39" t="s">
        <v>975</v>
      </c>
      <c r="B31" s="39" t="str">
        <f>IFERROR(VLOOKUP(A31,[1]Bonds!$B$1:$K$2669,10,0),VLOOKUP(A31,[1]CPCD!$B$1:$H$1476,7,0))</f>
        <v>8.39% National Bank For Agriculture And Rural Development (19-Jul-2021) **</v>
      </c>
      <c r="C31" s="39" t="s">
        <v>361</v>
      </c>
      <c r="D31" s="39">
        <v>118</v>
      </c>
      <c r="E31" s="68">
        <v>1210.2552000000001</v>
      </c>
      <c r="F31" s="43">
        <f t="shared" si="0"/>
        <v>1.1711162868814826</v>
      </c>
    </row>
    <row r="32" spans="1:6" x14ac:dyDescent="0.2">
      <c r="A32" s="39" t="s">
        <v>362</v>
      </c>
      <c r="B32" s="39" t="str">
        <f>IFERROR(VLOOKUP(A32,[1]Bonds!$B$1:$K$2669,10,0),VLOOKUP(A32,[1]CPCD!$B$1:$H$1476,7,0))</f>
        <v>7.17% National Highways Authority Of India (23-Dec-2021) **</v>
      </c>
      <c r="C32" s="39" t="s">
        <v>361</v>
      </c>
      <c r="D32" s="39">
        <v>110</v>
      </c>
      <c r="E32" s="68">
        <v>1109.9935</v>
      </c>
      <c r="F32" s="43">
        <f t="shared" si="0"/>
        <v>1.0740969889512402</v>
      </c>
    </row>
    <row r="33" spans="1:6" x14ac:dyDescent="0.2">
      <c r="A33" s="39" t="s">
        <v>1223</v>
      </c>
      <c r="B33" s="39" t="str">
        <f>IFERROR(VLOOKUP(A33,[1]Bonds!$B$1:$K$2669,10,0),VLOOKUP(A33,[1]CPCD!$B$1:$H$1476,7,0))</f>
        <v>9.15% Coastal Gujarat Power Ltd (14-Jun-2022)</v>
      </c>
      <c r="C33" s="39" t="s">
        <v>364</v>
      </c>
      <c r="D33" s="39">
        <v>100</v>
      </c>
      <c r="E33" s="68">
        <v>995.69100000000003</v>
      </c>
      <c r="F33" s="43">
        <f t="shared" si="0"/>
        <v>0.96349096190729877</v>
      </c>
    </row>
    <row r="34" spans="1:6" x14ac:dyDescent="0.2">
      <c r="A34" s="39" t="s">
        <v>964</v>
      </c>
      <c r="B34" s="39" t="str">
        <f>IFERROR(VLOOKUP(A34,[1]Bonds!$B$1:$K$2669,10,0),VLOOKUP(A34,[1]CPCD!$B$1:$H$1476,7,0))</f>
        <v>8.94% Power Finance Corp Ltd (25-Mar-2028) **</v>
      </c>
      <c r="C34" s="39" t="s">
        <v>361</v>
      </c>
      <c r="D34" s="39">
        <v>80</v>
      </c>
      <c r="E34" s="68">
        <v>827.80399999999997</v>
      </c>
      <c r="F34" s="43">
        <f t="shared" si="0"/>
        <v>0.80103332482739065</v>
      </c>
    </row>
    <row r="35" spans="1:6" x14ac:dyDescent="0.2">
      <c r="A35" s="39" t="s">
        <v>1224</v>
      </c>
      <c r="B35" s="39" t="str">
        <f>IFERROR(VLOOKUP(A35,[1]Bonds!$B$1:$K$2669,10,0),VLOOKUP(A35,[1]CPCD!$B$1:$H$1476,7,0))</f>
        <v>8.60% National Bank For Agriculture And Rural Development (31-Jan-2022)</v>
      </c>
      <c r="C35" s="39" t="s">
        <v>361</v>
      </c>
      <c r="D35" s="39">
        <v>76</v>
      </c>
      <c r="E35" s="68">
        <v>785.61807999999996</v>
      </c>
      <c r="F35" s="43">
        <f t="shared" si="0"/>
        <v>0.76021167168425252</v>
      </c>
    </row>
    <row r="36" spans="1:6" x14ac:dyDescent="0.2">
      <c r="A36" s="39" t="s">
        <v>1225</v>
      </c>
      <c r="B36" s="39" t="str">
        <f>IFERROR(VLOOKUP(A36,[1]Bonds!$B$1:$K$2669,10,0),VLOOKUP(A36,[1]CPCD!$B$1:$H$1476,7,0))</f>
        <v>8.80% Power Grid Corp Of India Ltd (13-Mar-2023) **</v>
      </c>
      <c r="C36" s="39" t="s">
        <v>973</v>
      </c>
      <c r="D36" s="39">
        <v>70</v>
      </c>
      <c r="E36" s="68">
        <v>741.37</v>
      </c>
      <c r="F36" s="43">
        <f t="shared" si="0"/>
        <v>0.71739454753454035</v>
      </c>
    </row>
    <row r="37" spans="1:6" x14ac:dyDescent="0.2">
      <c r="A37" s="39" t="s">
        <v>1226</v>
      </c>
      <c r="B37" s="39" t="str">
        <f>IFERROR(VLOOKUP(A37,[1]Bonds!$B$1:$K$2669,10,0),VLOOKUP(A37,[1]CPCD!$B$1:$H$1476,7,0))</f>
        <v>8.18% Power Finance Corp Ltd (19-Mar-2022)</v>
      </c>
      <c r="C37" s="39" t="s">
        <v>973</v>
      </c>
      <c r="D37" s="39">
        <v>59</v>
      </c>
      <c r="E37" s="68">
        <v>600.45007999999996</v>
      </c>
      <c r="F37" s="43">
        <f t="shared" si="0"/>
        <v>0.58103189157732105</v>
      </c>
    </row>
    <row r="38" spans="1:6" x14ac:dyDescent="0.2">
      <c r="A38" s="39" t="s">
        <v>1227</v>
      </c>
      <c r="B38" s="39" t="str">
        <f>IFERROR(VLOOKUP(A38,[1]Bonds!$B$1:$K$2669,10,0),VLOOKUP(A38,[1]CPCD!$B$1:$H$1476,7,0))</f>
        <v>7.34% Housing &amp; Urban Development Corp Ltd (16-Sep-2022) **</v>
      </c>
      <c r="C38" s="39" t="s">
        <v>973</v>
      </c>
      <c r="D38" s="39">
        <v>50</v>
      </c>
      <c r="E38" s="68">
        <v>504.51949999999999</v>
      </c>
      <c r="F38" s="43">
        <f t="shared" si="0"/>
        <v>0.4882036478746814</v>
      </c>
    </row>
    <row r="39" spans="1:6" x14ac:dyDescent="0.2">
      <c r="A39" s="39" t="s">
        <v>1228</v>
      </c>
      <c r="B39" s="39" t="str">
        <f>IFERROR(VLOOKUP(A39,[1]Bonds!$B$1:$K$2669,10,0),VLOOKUP(A39,[1]CPCD!$B$1:$H$1476,7,0))</f>
        <v>0.00% Fullerton India Credit Co Ltd (08-Apr-2021) **</v>
      </c>
      <c r="C39" s="39" t="s">
        <v>916</v>
      </c>
      <c r="D39" s="39">
        <v>44</v>
      </c>
      <c r="E39" s="68">
        <v>489.27472</v>
      </c>
      <c r="F39" s="43">
        <f t="shared" si="0"/>
        <v>0.47345187473797018</v>
      </c>
    </row>
    <row r="40" spans="1:6" x14ac:dyDescent="0.2">
      <c r="A40" s="39" t="s">
        <v>368</v>
      </c>
      <c r="B40" s="39" t="str">
        <f>IFERROR(VLOOKUP(A40,[1]Bonds!$B$1:$K$2669,10,0),VLOOKUP(A40,[1]CPCD!$B$1:$H$1476,7,0))</f>
        <v>8.85% Rec Ltd (16-Apr-2029) **</v>
      </c>
      <c r="C40" s="39" t="s">
        <v>361</v>
      </c>
      <c r="D40" s="39">
        <v>45</v>
      </c>
      <c r="E40" s="68">
        <v>464.12459999999999</v>
      </c>
      <c r="F40" s="43">
        <f t="shared" si="0"/>
        <v>0.44911509423992008</v>
      </c>
    </row>
    <row r="41" spans="1:6" x14ac:dyDescent="0.2">
      <c r="A41" s="39" t="s">
        <v>1229</v>
      </c>
      <c r="B41" s="39" t="str">
        <f>IFERROR(VLOOKUP(A41,[1]Bonds!$B$1:$K$2669,10,0),VLOOKUP(A41,[1]CPCD!$B$1:$H$1476,7,0))</f>
        <v>7.8526% Kotak Mahindra Prime Ltd (07-Apr-2020) **</v>
      </c>
      <c r="C41" s="39" t="s">
        <v>361</v>
      </c>
      <c r="D41" s="39">
        <v>42</v>
      </c>
      <c r="E41" s="68">
        <v>421.91183999999998</v>
      </c>
      <c r="F41" s="43">
        <f t="shared" si="0"/>
        <v>0.40826746908596973</v>
      </c>
    </row>
    <row r="42" spans="1:6" x14ac:dyDescent="0.2">
      <c r="A42" s="39" t="s">
        <v>1230</v>
      </c>
      <c r="B42" s="39" t="str">
        <f>IFERROR(VLOOKUP(A42,[1]Bonds!$B$1:$K$2669,10,0),VLOOKUP(A42,[1]CPCD!$B$1:$H$1476,7,0))</f>
        <v>0.00% Lic Housing Finance Ltd (04-May-2022) **</v>
      </c>
      <c r="C42" s="39" t="s">
        <v>361</v>
      </c>
      <c r="D42" s="39">
        <v>31</v>
      </c>
      <c r="E42" s="68">
        <v>334.49961000000002</v>
      </c>
      <c r="F42" s="43">
        <f t="shared" si="0"/>
        <v>0.32368209715314922</v>
      </c>
    </row>
    <row r="43" spans="1:6" x14ac:dyDescent="0.2">
      <c r="A43" s="39" t="s">
        <v>1231</v>
      </c>
      <c r="B43" s="39" t="str">
        <f>IFERROR(VLOOKUP(A43,[1]Bonds!$B$1:$K$2669,10,0),VLOOKUP(A43,[1]CPCD!$B$1:$H$1476,7,0))</f>
        <v>7.50% Power Finance Corp Ltd (16-Aug-2021) **</v>
      </c>
      <c r="C43" s="39" t="s">
        <v>361</v>
      </c>
      <c r="D43" s="39">
        <v>33</v>
      </c>
      <c r="E43" s="68">
        <v>331.10286000000002</v>
      </c>
      <c r="F43" s="43">
        <f t="shared" si="0"/>
        <v>0.32039519597109711</v>
      </c>
    </row>
    <row r="44" spans="1:6" x14ac:dyDescent="0.2">
      <c r="A44" s="39" t="s">
        <v>930</v>
      </c>
      <c r="B44" s="39" t="str">
        <f>IFERROR(VLOOKUP(A44,[1]Bonds!$B$1:$K$2669,10,0),VLOOKUP(A44,[1]CPCD!$B$1:$H$1476,7,0))</f>
        <v>8.80% Rec Ltd (14-May-2029) **</v>
      </c>
      <c r="C44" s="39" t="s">
        <v>361</v>
      </c>
      <c r="D44" s="39">
        <v>20</v>
      </c>
      <c r="E44" s="68">
        <v>205.68279999999999</v>
      </c>
      <c r="F44" s="43">
        <f t="shared" si="0"/>
        <v>0.19903114401936595</v>
      </c>
    </row>
    <row r="45" spans="1:6" x14ac:dyDescent="0.2">
      <c r="A45" s="39" t="s">
        <v>1232</v>
      </c>
      <c r="B45" s="39" t="str">
        <f>IFERROR(VLOOKUP(A45,[1]Bonds!$B$1:$K$2669,10,0),VLOOKUP(A45,[1]CPCD!$B$1:$H$1476,7,0))</f>
        <v>8.40% Power Grid Corp Of India Ltd (14-Sep-2021) **</v>
      </c>
      <c r="C45" s="39" t="s">
        <v>916</v>
      </c>
      <c r="D45" s="39">
        <v>19</v>
      </c>
      <c r="E45" s="68">
        <v>196.40091000000001</v>
      </c>
      <c r="F45" s="43">
        <f t="shared" si="0"/>
        <v>0.19004942466625571</v>
      </c>
    </row>
    <row r="46" spans="1:6" x14ac:dyDescent="0.2">
      <c r="A46" s="39" t="s">
        <v>1198</v>
      </c>
      <c r="B46" s="39" t="str">
        <f>IFERROR(VLOOKUP(A46,[1]Bonds!$B$1:$K$2669,10,0),VLOOKUP(A46,[1]CPCD!$B$1:$H$1476,7,0))</f>
        <v>7.65% Indian Railway Finance Corp Ltd (15-Mar-2021) **</v>
      </c>
      <c r="C46" s="39" t="s">
        <v>361</v>
      </c>
      <c r="D46" s="39">
        <v>18</v>
      </c>
      <c r="E46" s="68">
        <v>182.85695999999999</v>
      </c>
      <c r="F46" s="43">
        <f t="shared" si="0"/>
        <v>0.17694347772737168</v>
      </c>
    </row>
    <row r="47" spans="1:6" x14ac:dyDescent="0.2">
      <c r="A47" s="39" t="s">
        <v>1233</v>
      </c>
      <c r="B47" s="39" t="str">
        <f>IFERROR(VLOOKUP(A47,[1]Bonds!$B$1:$K$2669,10,0),VLOOKUP(A47,[1]CPCD!$B$1:$H$1476,7,0))</f>
        <v>0.00% Hdb Financial Services Ltd (29-Oct-2021) **</v>
      </c>
      <c r="C47" s="39" t="s">
        <v>361</v>
      </c>
      <c r="D47" s="39">
        <v>15</v>
      </c>
      <c r="E47" s="68">
        <v>167.83965000000001</v>
      </c>
      <c r="F47" s="43">
        <f t="shared" si="0"/>
        <v>0.16241181834995433</v>
      </c>
    </row>
    <row r="48" spans="1:6" x14ac:dyDescent="0.2">
      <c r="A48" s="39" t="s">
        <v>1234</v>
      </c>
      <c r="B48" s="39" t="str">
        <f>IFERROR(VLOOKUP(A48,[1]Bonds!$B$1:$K$2669,10,0),VLOOKUP(A48,[1]CPCD!$B$1:$H$1476,7,0))</f>
        <v>8.60% Export-Import Bank Of India (31-Mar-2022) **</v>
      </c>
      <c r="C48" s="39" t="s">
        <v>842</v>
      </c>
      <c r="D48" s="39">
        <v>15</v>
      </c>
      <c r="E48" s="68">
        <v>149.66954999999999</v>
      </c>
      <c r="F48" s="43">
        <f t="shared" si="0"/>
        <v>0.144829328273262</v>
      </c>
    </row>
    <row r="49" spans="1:7" x14ac:dyDescent="0.2">
      <c r="A49" s="39" t="s">
        <v>1235</v>
      </c>
      <c r="B49" s="39" t="str">
        <f>IFERROR(VLOOKUP(A49,[1]Bonds!$B$1:$K$2669,10,0),VLOOKUP(A49,[1]CPCD!$B$1:$H$1476,7,0))</f>
        <v>8.55% Power Finance Corp Ltd (09-Dec-2021)</v>
      </c>
      <c r="C49" s="39" t="s">
        <v>361</v>
      </c>
      <c r="D49" s="39">
        <v>11</v>
      </c>
      <c r="E49" s="68">
        <v>112.64363</v>
      </c>
      <c r="F49" s="43">
        <f t="shared" si="0"/>
        <v>0.10900080388537192</v>
      </c>
    </row>
    <row r="50" spans="1:7" x14ac:dyDescent="0.2">
      <c r="A50" s="39" t="s">
        <v>1236</v>
      </c>
      <c r="B50" s="39" t="str">
        <f>IFERROR(VLOOKUP(A50,[1]Bonds!$B$1:$K$2669,10,0),VLOOKUP(A50,[1]CPCD!$B$1:$H$1476,7,0))</f>
        <v>0.00% Bajaj Finance Ltd (05-Apr-2022) **</v>
      </c>
      <c r="C50" s="39" t="s">
        <v>361</v>
      </c>
      <c r="D50" s="39">
        <v>10</v>
      </c>
      <c r="E50" s="68">
        <v>110.889</v>
      </c>
      <c r="F50" s="43">
        <f t="shared" si="0"/>
        <v>0.10730291754664693</v>
      </c>
    </row>
    <row r="51" spans="1:7" x14ac:dyDescent="0.2">
      <c r="A51" s="39" t="s">
        <v>1237</v>
      </c>
      <c r="B51" s="39" t="str">
        <f>IFERROR(VLOOKUP(A51,[1]Bonds!$B$1:$K$2669,10,0),VLOOKUP(A51,[1]CPCD!$B$1:$H$1476,7,0))</f>
        <v>9.95% Food Corporation Of India (07-Mar-2022) **</v>
      </c>
      <c r="C51" s="39" t="s">
        <v>1238</v>
      </c>
      <c r="D51" s="39">
        <v>10</v>
      </c>
      <c r="E51" s="68">
        <v>106.8382</v>
      </c>
      <c r="F51" s="43">
        <f t="shared" si="0"/>
        <v>0.10338311794165496</v>
      </c>
    </row>
    <row r="52" spans="1:7" x14ac:dyDescent="0.2">
      <c r="A52" s="39" t="s">
        <v>1239</v>
      </c>
      <c r="B52" s="39" t="str">
        <f>IFERROR(VLOOKUP(A52,[1]Bonds!$B$1:$K$2669,10,0),VLOOKUP(A52,[1]CPCD!$B$1:$H$1476,7,0))</f>
        <v>7.70% Rec Ltd (15-Mar-2021) **</v>
      </c>
      <c r="C52" s="39" t="s">
        <v>361</v>
      </c>
      <c r="D52" s="39">
        <v>10</v>
      </c>
      <c r="E52" s="68">
        <v>100.5642</v>
      </c>
      <c r="F52" s="43">
        <f t="shared" si="0"/>
        <v>9.7312015265215782E-2</v>
      </c>
    </row>
    <row r="53" spans="1:7" x14ac:dyDescent="0.2">
      <c r="A53" s="39" t="s">
        <v>1240</v>
      </c>
      <c r="B53" s="39" t="str">
        <f>IFERROR(VLOOKUP(A53,[1]Bonds!$B$1:$K$2669,10,0),VLOOKUP(A53,[1]CPCD!$B$1:$H$1476,7,0))</f>
        <v>7.18% National Bank For Agriculture And Rural Development (08-Aug-2022) **</v>
      </c>
      <c r="C53" s="39" t="s">
        <v>361</v>
      </c>
      <c r="D53" s="39">
        <v>10</v>
      </c>
      <c r="E53" s="68">
        <v>100.5269</v>
      </c>
      <c r="F53" s="43">
        <f t="shared" si="0"/>
        <v>9.7275921524407491E-2</v>
      </c>
    </row>
    <row r="54" spans="1:7" x14ac:dyDescent="0.2">
      <c r="A54" s="39" t="s">
        <v>1241</v>
      </c>
      <c r="B54" s="39" t="str">
        <f>IFERROR(VLOOKUP(A54,[1]Bonds!$B$1:$K$2669,10,0),VLOOKUP(A54,[1]CPCD!$B$1:$H$1476,7,0))</f>
        <v>8.50% NHPC Ltd (14-Jul-2021) **</v>
      </c>
      <c r="C54" s="39" t="s">
        <v>916</v>
      </c>
      <c r="D54" s="39">
        <v>70</v>
      </c>
      <c r="E54" s="68">
        <v>72.234120000000004</v>
      </c>
      <c r="F54" s="43">
        <f t="shared" si="0"/>
        <v>6.9898112729076839E-2</v>
      </c>
    </row>
    <row r="55" spans="1:7" x14ac:dyDescent="0.2">
      <c r="A55" s="39" t="s">
        <v>1242</v>
      </c>
      <c r="B55" s="39" t="str">
        <f>IFERROR(VLOOKUP(A55,[1]Bonds!$B$1:$K$2669,10,0),VLOOKUP(A55,[1]CPCD!$B$1:$H$1476,7,0))</f>
        <v>8.36% Ultratech Cement Ltd (07-Jun-2021) **</v>
      </c>
      <c r="C55" s="39" t="s">
        <v>361</v>
      </c>
      <c r="D55" s="39">
        <v>5</v>
      </c>
      <c r="E55" s="68">
        <v>51.151150000000001</v>
      </c>
      <c r="F55" s="43">
        <f t="shared" si="0"/>
        <v>4.9496953087016481E-2</v>
      </c>
    </row>
    <row r="56" spans="1:7" x14ac:dyDescent="0.2">
      <c r="A56" s="39" t="s">
        <v>1243</v>
      </c>
      <c r="B56" s="39" t="str">
        <f>IFERROR(VLOOKUP(A56,[1]Bonds!$B$1:$K$2669,10,0),VLOOKUP(A56,[1]CPCD!$B$1:$H$1476,7,0))</f>
        <v>7.8535% Bajaj Finance Ltd (07-Apr-2020) **</v>
      </c>
      <c r="C56" s="39" t="s">
        <v>361</v>
      </c>
      <c r="D56" s="39">
        <v>5</v>
      </c>
      <c r="E56" s="68">
        <v>50.226750000000003</v>
      </c>
      <c r="F56" s="43">
        <f t="shared" si="0"/>
        <v>4.8602447617762355E-2</v>
      </c>
    </row>
    <row r="57" spans="1:7" x14ac:dyDescent="0.2">
      <c r="A57" s="39" t="s">
        <v>1244</v>
      </c>
      <c r="B57" s="39" t="str">
        <f>IFERROR(VLOOKUP(A57,[1]Bonds!$B$1:$K$2669,10,0),VLOOKUP(A57,[1]CPCD!$B$1:$H$1476,7,0))</f>
        <v>9.57% Indian Railway Finance Corp Ltd (31-May-2021) **</v>
      </c>
      <c r="C57" s="39" t="s">
        <v>361</v>
      </c>
      <c r="D57" s="39">
        <v>4</v>
      </c>
      <c r="E57" s="68">
        <v>42.017519999999998</v>
      </c>
      <c r="F57" s="43">
        <f t="shared" si="0"/>
        <v>4.0658699096164534E-2</v>
      </c>
    </row>
    <row r="58" spans="1:7" x14ac:dyDescent="0.2">
      <c r="A58" s="39" t="s">
        <v>1245</v>
      </c>
      <c r="B58" s="39" t="str">
        <f>IFERROR(VLOOKUP(A58,[1]Bonds!$B$1:$K$2669,10,0),VLOOKUP(A58,[1]CPCD!$B$1:$H$1476,7,0))</f>
        <v>0.00% Aditya Birla Finance Ltd (08-Apr-2022) **</v>
      </c>
      <c r="C58" s="39" t="s">
        <v>973</v>
      </c>
      <c r="D58" s="39">
        <v>3</v>
      </c>
      <c r="E58" s="68">
        <v>33.357300000000002</v>
      </c>
      <c r="F58" s="43">
        <f t="shared" si="0"/>
        <v>3.2278545315394369E-2</v>
      </c>
    </row>
    <row r="59" spans="1:7" x14ac:dyDescent="0.2">
      <c r="A59" s="39" t="s">
        <v>1246</v>
      </c>
      <c r="B59" s="39" t="str">
        <f>IFERROR(VLOOKUP(A59,[1]Bonds!$B$1:$K$2669,10,0),VLOOKUP(A59,[1]CPCD!$B$1:$H$1476,7,0))</f>
        <v>7.35% Bharat Petroleum Corp Ltd (10-Mar-2022) **</v>
      </c>
      <c r="C59" s="39" t="s">
        <v>361</v>
      </c>
      <c r="D59" s="39">
        <v>3</v>
      </c>
      <c r="E59" s="68">
        <v>30.551729999999999</v>
      </c>
      <c r="F59" s="43">
        <f t="shared" si="0"/>
        <v>2.9563705733638323E-2</v>
      </c>
    </row>
    <row r="60" spans="1:7" x14ac:dyDescent="0.2">
      <c r="A60" s="39" t="s">
        <v>1247</v>
      </c>
      <c r="B60" s="39" t="str">
        <f>IFERROR(VLOOKUP(A60,[1]Bonds!$B$1:$K$2669,10,0),VLOOKUP(A60,[1]CPCD!$B$1:$H$1476,7,0))</f>
        <v>6.70% Indian Railway Finance Corp Ltd (24-Nov-2021) **</v>
      </c>
      <c r="C60" s="39" t="s">
        <v>361</v>
      </c>
      <c r="D60" s="39">
        <v>2</v>
      </c>
      <c r="E60" s="68">
        <v>20.049340000000001</v>
      </c>
      <c r="F60" s="43">
        <f t="shared" si="0"/>
        <v>1.9400956604214037E-2</v>
      </c>
    </row>
    <row r="61" spans="1:7" x14ac:dyDescent="0.2">
      <c r="A61" s="39" t="s">
        <v>1248</v>
      </c>
      <c r="B61" s="39" t="str">
        <f>IFERROR(VLOOKUP(A61,[1]Bonds!$B$1:$K$2669,10,0),VLOOKUP(A61,[1]CPCD!$B$1:$H$1476,7,0))</f>
        <v>8.40% Power Grid Corp Of India Ltd (27-May-2021) **</v>
      </c>
      <c r="C61" s="39" t="s">
        <v>361</v>
      </c>
      <c r="D61" s="39">
        <v>1</v>
      </c>
      <c r="E61" s="68">
        <v>10.28973</v>
      </c>
      <c r="F61" s="43">
        <v>9.9569664237864845E-3</v>
      </c>
      <c r="G61" s="73"/>
    </row>
    <row r="62" spans="1:7" x14ac:dyDescent="0.2">
      <c r="A62" s="39" t="s">
        <v>1249</v>
      </c>
      <c r="B62" s="39" t="str">
        <f>IFERROR(VLOOKUP(A62,[1]Bonds!$B$1:$K$2669,10,0),VLOOKUP(A62,[1]CPCD!$B$1:$H$1476,7,0))</f>
        <v>7.65% Small Industries Development Bank Of India (15-Apr-2021) **</v>
      </c>
      <c r="C62" s="39" t="s">
        <v>916</v>
      </c>
      <c r="D62" s="39">
        <v>1</v>
      </c>
      <c r="E62" s="68">
        <v>10.12843</v>
      </c>
      <c r="F62" s="43">
        <v>9.8008827671544098E-3</v>
      </c>
      <c r="G62" s="73"/>
    </row>
    <row r="63" spans="1:7" x14ac:dyDescent="0.2">
      <c r="A63" s="39" t="s">
        <v>1250</v>
      </c>
      <c r="B63" s="39" t="str">
        <f>IFERROR(VLOOKUP(A63,[1]Bonds!$B$1:$K$2669,10,0),VLOOKUP(A63,[1]CPCD!$B$1:$H$1476,7,0))</f>
        <v>7.18% Rec Ltd (21-May-2021) **</v>
      </c>
      <c r="C63" s="39" t="s">
        <v>361</v>
      </c>
      <c r="D63" s="39">
        <v>1</v>
      </c>
      <c r="E63" s="68">
        <v>9.9758999999999993</v>
      </c>
      <c r="F63" s="43">
        <v>9.6532854940850343E-3</v>
      </c>
      <c r="G63" s="73"/>
    </row>
    <row r="64" spans="1:7" x14ac:dyDescent="0.2">
      <c r="A64" s="38" t="s">
        <v>44</v>
      </c>
      <c r="B64" s="39"/>
      <c r="C64" s="39"/>
      <c r="D64" s="39"/>
      <c r="E64" s="69">
        <f>SUM(E8:E63)</f>
        <v>91770.664829999994</v>
      </c>
      <c r="F64" s="69">
        <f>SUM(F8:F63)</f>
        <v>88.802857645523602</v>
      </c>
    </row>
    <row r="65" spans="1:6" x14ac:dyDescent="0.2">
      <c r="A65" s="39"/>
      <c r="B65" s="39"/>
      <c r="C65" s="39"/>
      <c r="D65" s="39"/>
      <c r="E65" s="68"/>
      <c r="F65" s="68"/>
    </row>
    <row r="66" spans="1:6" x14ac:dyDescent="0.2">
      <c r="A66" s="38" t="s">
        <v>815</v>
      </c>
      <c r="B66" s="39"/>
      <c r="C66" s="39"/>
      <c r="D66" s="39"/>
      <c r="E66" s="68"/>
      <c r="F66" s="68"/>
    </row>
    <row r="67" spans="1:6" x14ac:dyDescent="0.2">
      <c r="A67" s="39" t="s">
        <v>995</v>
      </c>
      <c r="B67" s="39" t="str">
        <f>IFERROR(VLOOKUP(A67,[1]Bonds!$B$1:$K$2669,10,0),VLOOKUP(A67,[1]CPCD!$B$1:$H$1476,7,0))</f>
        <v>Jindal Power Ltd (Sbi+100 Bps) (22-Dec-2020) **</v>
      </c>
      <c r="C67" s="39" t="s">
        <v>991</v>
      </c>
      <c r="D67" s="39">
        <v>250</v>
      </c>
      <c r="E67" s="68">
        <v>2381.3825000000002</v>
      </c>
      <c r="F67" s="43">
        <f t="shared" ref="F67:F69" si="1">IF((E67/$E$76*100)&lt;0.01,"0.00*",E67/$E$76*100)</f>
        <v>2.3043700461229517</v>
      </c>
    </row>
    <row r="68" spans="1:6" x14ac:dyDescent="0.2">
      <c r="A68" s="39" t="s">
        <v>1013</v>
      </c>
      <c r="B68" s="39" t="str">
        <f>IFERROR(VLOOKUP(A68,[1]Bonds!$B$1:$K$2669,10,0),VLOOKUP(A68,[1]CPCD!$B$1:$H$1476,7,0))</f>
        <v>9.50% Reliance Broadcast Network Ltd (20-Jul-2020) **</v>
      </c>
      <c r="C68" s="39" t="s">
        <v>1014</v>
      </c>
      <c r="D68" s="39">
        <v>200</v>
      </c>
      <c r="E68" s="68">
        <v>1888.104</v>
      </c>
      <c r="F68" s="43">
        <f t="shared" si="1"/>
        <v>1.8270438711819412</v>
      </c>
    </row>
    <row r="69" spans="1:6" x14ac:dyDescent="0.2">
      <c r="A69" s="39" t="s">
        <v>1251</v>
      </c>
      <c r="B69" s="39" t="str">
        <f>IFERROR(VLOOKUP(A69,[1]Bonds!$B$1:$K$2669,10,0),VLOOKUP(A69,[1]CPCD!$B$1:$H$1476,7,0))</f>
        <v>7.48% Bennett Coleman And Co Ltd (26-Apr-2021) **</v>
      </c>
      <c r="C69" s="39" t="s">
        <v>361</v>
      </c>
      <c r="D69" s="39">
        <v>49</v>
      </c>
      <c r="E69" s="68">
        <v>489.13466</v>
      </c>
      <c r="F69" s="43">
        <f t="shared" si="1"/>
        <v>0.473316344192726</v>
      </c>
    </row>
    <row r="70" spans="1:6" x14ac:dyDescent="0.2">
      <c r="A70" s="38" t="s">
        <v>44</v>
      </c>
      <c r="B70" s="39"/>
      <c r="C70" s="39"/>
      <c r="D70" s="39"/>
      <c r="E70" s="69">
        <f>SUM(E67:E69)</f>
        <v>4758.6211599999997</v>
      </c>
      <c r="F70" s="69">
        <f>SUM(F67:F69)</f>
        <v>4.6047302614976191</v>
      </c>
    </row>
    <row r="71" spans="1:6" x14ac:dyDescent="0.2">
      <c r="A71" s="39"/>
      <c r="B71" s="39"/>
      <c r="C71" s="39"/>
      <c r="D71" s="39"/>
      <c r="E71" s="68"/>
      <c r="F71" s="68"/>
    </row>
    <row r="72" spans="1:6" x14ac:dyDescent="0.2">
      <c r="A72" s="38" t="s">
        <v>44</v>
      </c>
      <c r="B72" s="39"/>
      <c r="C72" s="39"/>
      <c r="D72" s="39"/>
      <c r="E72" s="69">
        <f>E64+E70</f>
        <v>96529.285989999989</v>
      </c>
      <c r="F72" s="69">
        <f>F64+F70</f>
        <v>93.407587907021224</v>
      </c>
    </row>
    <row r="73" spans="1:6" x14ac:dyDescent="0.2">
      <c r="A73" s="39"/>
      <c r="B73" s="39"/>
      <c r="C73" s="39"/>
      <c r="D73" s="39"/>
      <c r="E73" s="68"/>
      <c r="F73" s="68"/>
    </row>
    <row r="74" spans="1:6" x14ac:dyDescent="0.2">
      <c r="A74" s="38" t="s">
        <v>76</v>
      </c>
      <c r="B74" s="39"/>
      <c r="C74" s="39"/>
      <c r="D74" s="39"/>
      <c r="E74" s="69">
        <v>6812.7316693000002</v>
      </c>
      <c r="F74" s="69">
        <v>6.59</v>
      </c>
    </row>
    <row r="75" spans="1:6" x14ac:dyDescent="0.2">
      <c r="A75" s="39"/>
      <c r="B75" s="39"/>
      <c r="C75" s="39"/>
      <c r="D75" s="39"/>
      <c r="E75" s="68"/>
      <c r="F75" s="68"/>
    </row>
    <row r="76" spans="1:6" x14ac:dyDescent="0.2">
      <c r="A76" s="71" t="s">
        <v>77</v>
      </c>
      <c r="B76" s="66"/>
      <c r="C76" s="66"/>
      <c r="D76" s="66"/>
      <c r="E76" s="72">
        <f>E72+E74</f>
        <v>103342.01765929999</v>
      </c>
      <c r="F76" s="72">
        <f xml:space="preserve"> ROUND(SUM(F72:F75),2)</f>
        <v>100</v>
      </c>
    </row>
    <row r="77" spans="1:6" x14ac:dyDescent="0.2">
      <c r="A77" s="4" t="s">
        <v>619</v>
      </c>
      <c r="F77" s="74"/>
    </row>
    <row r="78" spans="1:6" x14ac:dyDescent="0.2">
      <c r="A78" s="4"/>
    </row>
    <row r="79" spans="1:6" x14ac:dyDescent="0.2">
      <c r="A79" s="4" t="s">
        <v>78</v>
      </c>
    </row>
    <row r="80" spans="1:6" x14ac:dyDescent="0.2">
      <c r="A80" s="4" t="s">
        <v>650</v>
      </c>
    </row>
    <row r="81" spans="1:4" x14ac:dyDescent="0.2">
      <c r="A81" s="4" t="s">
        <v>80</v>
      </c>
    </row>
    <row r="82" spans="1:4" x14ac:dyDescent="0.2">
      <c r="A82" s="2" t="s">
        <v>638</v>
      </c>
      <c r="D82" s="10">
        <v>65.100700000000003</v>
      </c>
    </row>
    <row r="83" spans="1:4" x14ac:dyDescent="0.2">
      <c r="A83" s="2" t="s">
        <v>651</v>
      </c>
      <c r="D83" s="10">
        <v>15.799200000000001</v>
      </c>
    </row>
    <row r="84" spans="1:4" x14ac:dyDescent="0.2">
      <c r="A84" s="2" t="s">
        <v>652</v>
      </c>
      <c r="D84" s="10">
        <v>13.4038</v>
      </c>
    </row>
    <row r="85" spans="1:4" x14ac:dyDescent="0.2">
      <c r="A85" s="2" t="s">
        <v>1252</v>
      </c>
      <c r="D85" s="10">
        <v>14.1111</v>
      </c>
    </row>
    <row r="86" spans="1:4" x14ac:dyDescent="0.2">
      <c r="A86" s="2" t="s">
        <v>1253</v>
      </c>
      <c r="D86" s="10">
        <v>18.283100000000001</v>
      </c>
    </row>
    <row r="87" spans="1:4" x14ac:dyDescent="0.2">
      <c r="A87" s="2" t="s">
        <v>640</v>
      </c>
      <c r="D87" s="10">
        <v>68.079800000000006</v>
      </c>
    </row>
    <row r="88" spans="1:4" x14ac:dyDescent="0.2">
      <c r="A88" s="2" t="s">
        <v>653</v>
      </c>
      <c r="D88" s="10">
        <v>16.7606</v>
      </c>
    </row>
    <row r="89" spans="1:4" x14ac:dyDescent="0.2">
      <c r="A89" s="2" t="s">
        <v>654</v>
      </c>
      <c r="D89" s="10">
        <v>14.235300000000001</v>
      </c>
    </row>
    <row r="90" spans="1:4" x14ac:dyDescent="0.2">
      <c r="A90" s="2" t="s">
        <v>1254</v>
      </c>
      <c r="D90" s="10">
        <v>15.229200000000001</v>
      </c>
    </row>
    <row r="91" spans="1:4" x14ac:dyDescent="0.2">
      <c r="A91" s="2" t="s">
        <v>1255</v>
      </c>
      <c r="D91" s="10">
        <v>19.384799999999998</v>
      </c>
    </row>
    <row r="93" spans="1:4" x14ac:dyDescent="0.2">
      <c r="A93" s="4" t="s">
        <v>81</v>
      </c>
    </row>
    <row r="94" spans="1:4" x14ac:dyDescent="0.2">
      <c r="A94" s="2" t="s">
        <v>638</v>
      </c>
      <c r="D94" s="10">
        <v>68.877300000000005</v>
      </c>
    </row>
    <row r="95" spans="1:4" x14ac:dyDescent="0.2">
      <c r="A95" s="2" t="s">
        <v>651</v>
      </c>
      <c r="D95" s="10">
        <v>16.101099999999999</v>
      </c>
    </row>
    <row r="96" spans="1:4" x14ac:dyDescent="0.2">
      <c r="A96" s="2" t="s">
        <v>652</v>
      </c>
      <c r="D96" s="10">
        <v>13.614800000000001</v>
      </c>
    </row>
    <row r="97" spans="1:4" x14ac:dyDescent="0.2">
      <c r="A97" s="2" t="s">
        <v>1252</v>
      </c>
      <c r="D97" s="10">
        <v>14.3551</v>
      </c>
    </row>
    <row r="98" spans="1:4" x14ac:dyDescent="0.2">
      <c r="A98" s="2" t="s">
        <v>1253</v>
      </c>
      <c r="D98" s="10">
        <v>17.933299999999999</v>
      </c>
    </row>
    <row r="99" spans="1:4" x14ac:dyDescent="0.2">
      <c r="A99" s="2" t="s">
        <v>640</v>
      </c>
      <c r="D99" s="10">
        <v>72.230199999999996</v>
      </c>
    </row>
    <row r="100" spans="1:4" x14ac:dyDescent="0.2">
      <c r="A100" s="2" t="s">
        <v>653</v>
      </c>
      <c r="D100" s="10">
        <v>17.167000000000002</v>
      </c>
    </row>
    <row r="101" spans="1:4" x14ac:dyDescent="0.2">
      <c r="A101" s="2" t="s">
        <v>654</v>
      </c>
      <c r="D101" s="10">
        <v>14.5357</v>
      </c>
    </row>
    <row r="102" spans="1:4" x14ac:dyDescent="0.2">
      <c r="A102" s="2" t="s">
        <v>1254</v>
      </c>
      <c r="D102" s="10">
        <v>15.583</v>
      </c>
    </row>
    <row r="103" spans="1:4" x14ac:dyDescent="0.2">
      <c r="A103" s="2" t="s">
        <v>1255</v>
      </c>
      <c r="D103" s="10">
        <v>19.153300000000002</v>
      </c>
    </row>
    <row r="105" spans="1:4" x14ac:dyDescent="0.2">
      <c r="A105" s="4" t="s">
        <v>82</v>
      </c>
      <c r="D105" s="44" t="s">
        <v>299</v>
      </c>
    </row>
    <row r="106" spans="1:4" x14ac:dyDescent="0.2">
      <c r="A106" s="79" t="s">
        <v>642</v>
      </c>
      <c r="B106" s="80"/>
      <c r="C106" s="109" t="s">
        <v>643</v>
      </c>
      <c r="D106" s="109"/>
    </row>
    <row r="107" spans="1:4" x14ac:dyDescent="0.2">
      <c r="A107" s="110"/>
      <c r="B107" s="110"/>
      <c r="C107" s="47" t="s">
        <v>644</v>
      </c>
      <c r="D107" s="47" t="s">
        <v>645</v>
      </c>
    </row>
    <row r="108" spans="1:4" x14ac:dyDescent="0.2">
      <c r="A108" s="48" t="s">
        <v>651</v>
      </c>
      <c r="B108" s="49"/>
      <c r="C108" s="54">
        <v>0.43219362000000006</v>
      </c>
      <c r="D108" s="54">
        <v>0.40021344600000003</v>
      </c>
    </row>
    <row r="109" spans="1:4" x14ac:dyDescent="0.2">
      <c r="A109" s="48" t="s">
        <v>652</v>
      </c>
      <c r="B109" s="49"/>
      <c r="C109" s="54">
        <v>0.396177485</v>
      </c>
      <c r="D109" s="54">
        <v>0.36686232560000004</v>
      </c>
    </row>
    <row r="110" spans="1:4" x14ac:dyDescent="0.2">
      <c r="A110" s="48" t="s">
        <v>1252</v>
      </c>
      <c r="B110" s="49"/>
      <c r="C110" s="54">
        <v>0.396177485</v>
      </c>
      <c r="D110" s="54">
        <v>0.36686232550000003</v>
      </c>
    </row>
    <row r="111" spans="1:4" x14ac:dyDescent="0.2">
      <c r="A111" s="48" t="s">
        <v>1253</v>
      </c>
      <c r="B111" s="49"/>
      <c r="C111" s="54">
        <v>0.97243564500000002</v>
      </c>
      <c r="D111" s="54">
        <v>0.90048025350000005</v>
      </c>
    </row>
    <row r="112" spans="1:4" x14ac:dyDescent="0.2">
      <c r="A112" s="48" t="s">
        <v>653</v>
      </c>
      <c r="B112" s="49"/>
      <c r="C112" s="54">
        <v>0.43219362000000006</v>
      </c>
      <c r="D112" s="54">
        <v>0.40021344600000003</v>
      </c>
    </row>
    <row r="113" spans="1:5" x14ac:dyDescent="0.2">
      <c r="A113" s="48" t="s">
        <v>654</v>
      </c>
      <c r="B113" s="49"/>
      <c r="C113" s="54">
        <v>0.396177485</v>
      </c>
      <c r="D113" s="54">
        <v>0.36686232560000004</v>
      </c>
    </row>
    <row r="114" spans="1:5" x14ac:dyDescent="0.2">
      <c r="A114" s="48" t="s">
        <v>1254</v>
      </c>
      <c r="B114" s="49"/>
      <c r="C114" s="54">
        <v>0.396177485</v>
      </c>
      <c r="D114" s="54">
        <v>0.36686232550000003</v>
      </c>
    </row>
    <row r="115" spans="1:5" x14ac:dyDescent="0.2">
      <c r="A115" s="83" t="s">
        <v>1255</v>
      </c>
      <c r="B115" s="49"/>
      <c r="C115" s="54">
        <v>0.97243564500000002</v>
      </c>
      <c r="D115" s="54">
        <v>0.90048025350000005</v>
      </c>
    </row>
    <row r="117" spans="1:5" x14ac:dyDescent="0.2">
      <c r="A117" s="4" t="s">
        <v>647</v>
      </c>
      <c r="D117" s="53">
        <v>3.9382605544565537</v>
      </c>
      <c r="E117" s="73" t="s">
        <v>648</v>
      </c>
    </row>
  </sheetData>
  <mergeCells count="3">
    <mergeCell ref="A1:F1"/>
    <mergeCell ref="C106:D106"/>
    <mergeCell ref="A107:B107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60E9A-C912-4944-9ED2-26709E69DA22}">
  <dimension ref="A1:G74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6.28515625" style="2" bestFit="1" customWidth="1"/>
    <col min="3" max="3" width="12.5703125" style="2" bestFit="1" customWidth="1"/>
    <col min="4" max="4" width="7.42578125" style="2" bestFit="1" customWidth="1"/>
    <col min="5" max="5" width="23" style="73" bestFit="1" customWidth="1"/>
    <col min="6" max="6" width="13.5703125" style="73" bestFit="1" customWidth="1"/>
    <col min="7" max="16384" width="9.140625" style="2"/>
  </cols>
  <sheetData>
    <row r="1" spans="1:6" x14ac:dyDescent="0.2">
      <c r="A1" s="108" t="s">
        <v>1256</v>
      </c>
      <c r="B1" s="108"/>
      <c r="C1" s="108"/>
      <c r="D1" s="108"/>
      <c r="E1" s="108"/>
      <c r="F1" s="108"/>
    </row>
    <row r="3" spans="1:6" s="4" customFormat="1" x14ac:dyDescent="0.2">
      <c r="A3" s="64" t="s">
        <v>1</v>
      </c>
      <c r="B3" s="64" t="s">
        <v>2</v>
      </c>
      <c r="C3" s="64" t="s">
        <v>716</v>
      </c>
      <c r="D3" s="64" t="s">
        <v>4</v>
      </c>
      <c r="E3" s="65" t="s">
        <v>5</v>
      </c>
      <c r="F3" s="65" t="s">
        <v>6</v>
      </c>
    </row>
    <row r="4" spans="1:6" x14ac:dyDescent="0.2">
      <c r="A4" s="66"/>
      <c r="B4" s="66"/>
      <c r="C4" s="66"/>
      <c r="D4" s="66"/>
      <c r="E4" s="67"/>
      <c r="F4" s="67"/>
    </row>
    <row r="5" spans="1:6" x14ac:dyDescent="0.2">
      <c r="A5" s="38" t="s">
        <v>359</v>
      </c>
      <c r="B5" s="39"/>
      <c r="C5" s="39"/>
      <c r="D5" s="39"/>
      <c r="E5" s="68"/>
      <c r="F5" s="68"/>
    </row>
    <row r="6" spans="1:6" x14ac:dyDescent="0.2">
      <c r="A6" s="38" t="s">
        <v>8</v>
      </c>
      <c r="B6" s="39"/>
      <c r="C6" s="39"/>
      <c r="D6" s="39"/>
      <c r="E6" s="68"/>
      <c r="F6" s="68"/>
    </row>
    <row r="7" spans="1:6" x14ac:dyDescent="0.2">
      <c r="A7" s="38"/>
      <c r="B7" s="39"/>
      <c r="C7" s="39"/>
      <c r="D7" s="39"/>
      <c r="E7" s="68"/>
      <c r="F7" s="68"/>
    </row>
    <row r="8" spans="1:6" x14ac:dyDescent="0.2">
      <c r="A8" s="39" t="s">
        <v>362</v>
      </c>
      <c r="B8" s="39" t="str">
        <f>IFERROR(VLOOKUP(A8,[1]Bonds!$B$1:$K$2669,10,0),VLOOKUP(A8,[1]CPCD!$B$1:$H$1476,7,0))</f>
        <v>7.17% National Highways Authority Of India (23-Dec-2021) **</v>
      </c>
      <c r="C8" s="39" t="s">
        <v>361</v>
      </c>
      <c r="D8" s="39">
        <v>340</v>
      </c>
      <c r="E8" s="68">
        <v>3430.8890000000001</v>
      </c>
      <c r="F8" s="68">
        <v>8.4302511929693207</v>
      </c>
    </row>
    <row r="9" spans="1:6" x14ac:dyDescent="0.2">
      <c r="A9" s="39" t="s">
        <v>808</v>
      </c>
      <c r="B9" s="39" t="str">
        <f>IFERROR(VLOOKUP(A9,[1]Bonds!$B$1:$K$2669,10,0),VLOOKUP(A9,[1]CPCD!$B$1:$H$1476,7,0))</f>
        <v>9.20% ICICI Bank Ltd (17-Mar-2022) **</v>
      </c>
      <c r="C9" s="39" t="s">
        <v>763</v>
      </c>
      <c r="D9" s="39">
        <v>250</v>
      </c>
      <c r="E9" s="68">
        <v>2512.895</v>
      </c>
      <c r="F9" s="68">
        <v>6.1745909213491403</v>
      </c>
    </row>
    <row r="10" spans="1:6" x14ac:dyDescent="0.2">
      <c r="A10" s="39" t="s">
        <v>1257</v>
      </c>
      <c r="B10" s="39" t="str">
        <f>IFERROR(VLOOKUP(A10,[1]Bonds!$B$1:$K$2669,10,0),VLOOKUP(A10,[1]CPCD!$B$1:$H$1476,7,0))</f>
        <v>7.70% Hindustan Petroleum Corp Ltd (14-Aug-2024) **</v>
      </c>
      <c r="C10" s="39" t="s">
        <v>361</v>
      </c>
      <c r="D10" s="39">
        <v>250</v>
      </c>
      <c r="E10" s="68">
        <v>2506.355</v>
      </c>
      <c r="F10" s="68">
        <v>6.1585210797419103</v>
      </c>
    </row>
    <row r="11" spans="1:6" x14ac:dyDescent="0.2">
      <c r="A11" s="39" t="s">
        <v>1240</v>
      </c>
      <c r="B11" s="39" t="str">
        <f>IFERROR(VLOOKUP(A11,[1]Bonds!$B$1:$K$2669,10,0),VLOOKUP(A11,[1]CPCD!$B$1:$H$1476,7,0))</f>
        <v>7.18% National Bank For Agriculture And Rural Development (08-Aug-2022) **</v>
      </c>
      <c r="C11" s="39" t="s">
        <v>361</v>
      </c>
      <c r="D11" s="39">
        <v>240</v>
      </c>
      <c r="E11" s="68">
        <v>2412.6455999999998</v>
      </c>
      <c r="F11" s="68">
        <v>5.9282618725386298</v>
      </c>
    </row>
    <row r="12" spans="1:6" x14ac:dyDescent="0.2">
      <c r="A12" s="39" t="s">
        <v>942</v>
      </c>
      <c r="B12" s="39" t="str">
        <f>IFERROR(VLOOKUP(A12,[1]Bonds!$B$1:$K$2669,10,0),VLOOKUP(A12,[1]CPCD!$B$1:$H$1476,7,0))</f>
        <v>9.25% Power Finance Corp Ltd (25-Sep-2024) **</v>
      </c>
      <c r="C12" s="39" t="s">
        <v>361</v>
      </c>
      <c r="D12" s="39">
        <v>210</v>
      </c>
      <c r="E12" s="68">
        <v>2163.0902999999998</v>
      </c>
      <c r="F12" s="68">
        <v>5.3150639913081896</v>
      </c>
    </row>
    <row r="13" spans="1:6" x14ac:dyDescent="0.2">
      <c r="A13" s="39" t="s">
        <v>1227</v>
      </c>
      <c r="B13" s="39" t="str">
        <f>IFERROR(VLOOKUP(A13,[1]Bonds!$B$1:$K$2669,10,0),VLOOKUP(A13,[1]CPCD!$B$1:$H$1476,7,0))</f>
        <v>7.34% Housing &amp; Urban Development Corp Ltd (16-Sep-2022) **</v>
      </c>
      <c r="C13" s="39" t="s">
        <v>973</v>
      </c>
      <c r="D13" s="39">
        <v>200</v>
      </c>
      <c r="E13" s="68">
        <v>2018.078</v>
      </c>
      <c r="F13" s="68">
        <v>4.95874523104803</v>
      </c>
    </row>
    <row r="14" spans="1:6" x14ac:dyDescent="0.2">
      <c r="A14" s="39" t="s">
        <v>1225</v>
      </c>
      <c r="B14" s="39" t="str">
        <f>IFERROR(VLOOKUP(A14,[1]Bonds!$B$1:$K$2669,10,0),VLOOKUP(A14,[1]CPCD!$B$1:$H$1476,7,0))</f>
        <v>8.80% Power Grid Corp Of India Ltd (13-Mar-2023) **</v>
      </c>
      <c r="C14" s="39" t="s">
        <v>973</v>
      </c>
      <c r="D14" s="39">
        <v>180</v>
      </c>
      <c r="E14" s="68">
        <v>1906.38</v>
      </c>
      <c r="F14" s="68">
        <v>4.6842851136404802</v>
      </c>
    </row>
    <row r="15" spans="1:6" x14ac:dyDescent="0.2">
      <c r="A15" s="39" t="s">
        <v>1258</v>
      </c>
      <c r="B15" s="39" t="str">
        <f>IFERROR(VLOOKUP(A15,[1]Bonds!$B$1:$K$2669,10,0),VLOOKUP(A15,[1]CPCD!$B$1:$H$1476,7,0))</f>
        <v>7.69% Bharat Petroleum Corp Ltd (16-Jan-2023) **</v>
      </c>
      <c r="C15" s="39" t="s">
        <v>361</v>
      </c>
      <c r="D15" s="39">
        <v>150</v>
      </c>
      <c r="E15" s="68">
        <v>1535.193</v>
      </c>
      <c r="F15" s="68">
        <v>3.77221840161199</v>
      </c>
    </row>
    <row r="16" spans="1:6" x14ac:dyDescent="0.2">
      <c r="A16" s="39" t="s">
        <v>1212</v>
      </c>
      <c r="B16" s="39" t="str">
        <f>IFERROR(VLOOKUP(A16,[1]Bonds!$B$1:$K$2669,10,0),VLOOKUP(A16,[1]CPCD!$B$1:$H$1476,7,0))</f>
        <v>8.60% Ongc Petro Additions Ltd (11-Mar-2022) **</v>
      </c>
      <c r="C16" s="39" t="s">
        <v>1213</v>
      </c>
      <c r="D16" s="39">
        <v>150</v>
      </c>
      <c r="E16" s="68">
        <v>1504.2165</v>
      </c>
      <c r="F16" s="68">
        <v>3.6961041128433898</v>
      </c>
    </row>
    <row r="17" spans="1:6" x14ac:dyDescent="0.2">
      <c r="A17" s="39" t="s">
        <v>930</v>
      </c>
      <c r="B17" s="39" t="str">
        <f>IFERROR(VLOOKUP(A17,[1]Bonds!$B$1:$K$2669,10,0),VLOOKUP(A17,[1]CPCD!$B$1:$H$1476,7,0))</f>
        <v>8.80% Rec Ltd (14-May-2029) **</v>
      </c>
      <c r="C17" s="39" t="s">
        <v>361</v>
      </c>
      <c r="D17" s="39">
        <v>130</v>
      </c>
      <c r="E17" s="68">
        <v>1336.9382000000001</v>
      </c>
      <c r="F17" s="68">
        <v>3.28507417624885</v>
      </c>
    </row>
    <row r="18" spans="1:6" x14ac:dyDescent="0.2">
      <c r="A18" s="39" t="s">
        <v>1222</v>
      </c>
      <c r="B18" s="39" t="str">
        <f>IFERROR(VLOOKUP(A18,[1]Bonds!$B$1:$K$2669,10,0),VLOOKUP(A18,[1]CPCD!$B$1:$H$1476,7,0))</f>
        <v>7.89% Small Industries Development Bank Of India (15-Nov-2022)</v>
      </c>
      <c r="C18" s="39" t="s">
        <v>916</v>
      </c>
      <c r="D18" s="39">
        <v>130</v>
      </c>
      <c r="E18" s="68">
        <v>1317.1833999999999</v>
      </c>
      <c r="F18" s="68">
        <v>3.2365334259456899</v>
      </c>
    </row>
    <row r="19" spans="1:6" x14ac:dyDescent="0.2">
      <c r="A19" s="39" t="s">
        <v>1221</v>
      </c>
      <c r="B19" s="39" t="str">
        <f>IFERROR(VLOOKUP(A19,[1]Bonds!$B$1:$K$2669,10,0),VLOOKUP(A19,[1]CPCD!$B$1:$H$1476,7,0))</f>
        <v>9.17% Ntpc Ltd (21-Sep-2024)</v>
      </c>
      <c r="C19" s="39" t="s">
        <v>361</v>
      </c>
      <c r="D19" s="39">
        <v>120</v>
      </c>
      <c r="E19" s="68">
        <v>1310.1071999999999</v>
      </c>
      <c r="F19" s="68">
        <v>3.2191460538996401</v>
      </c>
    </row>
    <row r="20" spans="1:6" x14ac:dyDescent="0.2">
      <c r="A20" s="39" t="s">
        <v>799</v>
      </c>
      <c r="B20" s="39" t="str">
        <f>IFERROR(VLOOKUP(A20,[1]Bonds!$B$1:$K$2669,10,0),VLOOKUP(A20,[1]CPCD!$B$1:$H$1476,7,0))</f>
        <v>8.9508% Pipeline Infrastructure Pvt Ltd (22-Mar-2024)</v>
      </c>
      <c r="C20" s="39" t="s">
        <v>361</v>
      </c>
      <c r="D20" s="39">
        <v>130</v>
      </c>
      <c r="E20" s="68">
        <v>1308.7126000000001</v>
      </c>
      <c r="F20" s="68">
        <v>3.21571929532083</v>
      </c>
    </row>
    <row r="21" spans="1:6" x14ac:dyDescent="0.2">
      <c r="A21" s="39" t="s">
        <v>1218</v>
      </c>
      <c r="B21" s="39" t="str">
        <f>IFERROR(VLOOKUP(A21,[1]Bonds!$B$1:$K$2669,10,0),VLOOKUP(A21,[1]CPCD!$B$1:$H$1476,7,0))</f>
        <v>8.40% Power Grid Corp Of India Ltd (27-May-2024) **</v>
      </c>
      <c r="C21" s="39" t="s">
        <v>361</v>
      </c>
      <c r="D21" s="39">
        <v>110</v>
      </c>
      <c r="E21" s="68">
        <v>1161.8112000000001</v>
      </c>
      <c r="F21" s="68">
        <v>2.85475870971201</v>
      </c>
    </row>
    <row r="22" spans="1:6" x14ac:dyDescent="0.2">
      <c r="A22" s="39" t="s">
        <v>1259</v>
      </c>
      <c r="B22" s="39" t="str">
        <f>IFERROR(VLOOKUP(A22,[1]Bonds!$B$1:$K$2669,10,0),VLOOKUP(A22,[1]CPCD!$B$1:$H$1476,7,0))</f>
        <v>7.90% National Bank For Agriculture And Rural Development (18-Apr-2022)</v>
      </c>
      <c r="C22" s="39" t="s">
        <v>361</v>
      </c>
      <c r="D22" s="39">
        <v>100</v>
      </c>
      <c r="E22" s="68">
        <v>1021.474</v>
      </c>
      <c r="F22" s="68">
        <v>2.5099274290386999</v>
      </c>
    </row>
    <row r="23" spans="1:6" x14ac:dyDescent="0.2">
      <c r="A23" s="39" t="s">
        <v>1260</v>
      </c>
      <c r="B23" s="39" t="str">
        <f>IFERROR(VLOOKUP(A23,[1]Bonds!$B$1:$K$2669,10,0),VLOOKUP(A23,[1]CPCD!$B$1:$H$1476,7,0))</f>
        <v>7.24% Indian Railway Finance Corp Ltd (08-Nov-2021) **</v>
      </c>
      <c r="C23" s="39" t="s">
        <v>916</v>
      </c>
      <c r="D23" s="39">
        <v>100</v>
      </c>
      <c r="E23" s="68">
        <v>1013.0309999999999</v>
      </c>
      <c r="F23" s="68">
        <v>2.4891816075264801</v>
      </c>
    </row>
    <row r="24" spans="1:6" x14ac:dyDescent="0.2">
      <c r="A24" s="39" t="s">
        <v>1261</v>
      </c>
      <c r="B24" s="39" t="str">
        <f>IFERROR(VLOOKUP(A24,[1]Bonds!$B$1:$K$2669,10,0),VLOOKUP(A24,[1]CPCD!$B$1:$H$1476,7,0))</f>
        <v>10.20% RBL Bank Ltd (15-Apr-2023) **</v>
      </c>
      <c r="C24" s="39" t="s">
        <v>723</v>
      </c>
      <c r="D24" s="39">
        <v>100</v>
      </c>
      <c r="E24" s="68">
        <v>1011.124</v>
      </c>
      <c r="F24" s="68">
        <v>2.4844957989721901</v>
      </c>
    </row>
    <row r="25" spans="1:6" x14ac:dyDescent="0.2">
      <c r="A25" s="39" t="s">
        <v>968</v>
      </c>
      <c r="B25" s="39" t="str">
        <f>IFERROR(VLOOKUP(A25,[1]Bonds!$B$1:$K$2669,10,0),VLOOKUP(A25,[1]CPCD!$B$1:$H$1476,7,0))</f>
        <v>8.50% Bank Of Baroda (02-Dec-2021) **</v>
      </c>
      <c r="C25" s="39" t="s">
        <v>737</v>
      </c>
      <c r="D25" s="39">
        <v>95</v>
      </c>
      <c r="E25" s="68">
        <v>935.39279999999997</v>
      </c>
      <c r="F25" s="68">
        <v>2.2984119474850102</v>
      </c>
    </row>
    <row r="26" spans="1:6" x14ac:dyDescent="0.2">
      <c r="A26" s="39" t="s">
        <v>964</v>
      </c>
      <c r="B26" s="39" t="str">
        <f>IFERROR(VLOOKUP(A26,[1]Bonds!$B$1:$K$2669,10,0),VLOOKUP(A26,[1]CPCD!$B$1:$H$1476,7,0))</f>
        <v>8.94% Power Finance Corp Ltd (25-Mar-2028) **</v>
      </c>
      <c r="C26" s="39" t="s">
        <v>361</v>
      </c>
      <c r="D26" s="39">
        <v>90</v>
      </c>
      <c r="E26" s="68">
        <v>931.27949999999998</v>
      </c>
      <c r="F26" s="68">
        <v>2.2883049016924999</v>
      </c>
    </row>
    <row r="27" spans="1:6" x14ac:dyDescent="0.2">
      <c r="A27" s="39" t="s">
        <v>980</v>
      </c>
      <c r="B27" s="39" t="str">
        <f>IFERROR(VLOOKUP(A27,[1]Bonds!$B$1:$K$2669,10,0),VLOOKUP(A27,[1]CPCD!$B$1:$H$1476,7,0))</f>
        <v>10.49% Bank Of Baroda (17-Jan-2022) **</v>
      </c>
      <c r="C27" s="39" t="s">
        <v>737</v>
      </c>
      <c r="D27" s="39">
        <v>88</v>
      </c>
      <c r="E27" s="68">
        <v>901.39368000000002</v>
      </c>
      <c r="F27" s="68">
        <v>2.21487059072882</v>
      </c>
    </row>
    <row r="28" spans="1:6" x14ac:dyDescent="0.2">
      <c r="A28" s="39" t="s">
        <v>368</v>
      </c>
      <c r="B28" s="39" t="str">
        <f>IFERROR(VLOOKUP(A28,[1]Bonds!$B$1:$K$2669,10,0),VLOOKUP(A28,[1]CPCD!$B$1:$H$1476,7,0))</f>
        <v>8.85% Rec Ltd (16-Apr-2029) **</v>
      </c>
      <c r="C28" s="39" t="s">
        <v>361</v>
      </c>
      <c r="D28" s="39">
        <v>70</v>
      </c>
      <c r="E28" s="68">
        <v>721.97159999999997</v>
      </c>
      <c r="F28" s="68">
        <v>1.7740014154319701</v>
      </c>
    </row>
    <row r="29" spans="1:6" x14ac:dyDescent="0.2">
      <c r="A29" s="39" t="s">
        <v>807</v>
      </c>
      <c r="B29" s="39" t="str">
        <f>IFERROR(VLOOKUP(A29,[1]Bonds!$B$1:$K$2669,10,0),VLOOKUP(A29,[1]CPCD!$B$1:$H$1476,7,0))</f>
        <v>10.99% Andhra Bank (05-Aug-2021) **</v>
      </c>
      <c r="C29" s="39" t="s">
        <v>735</v>
      </c>
      <c r="D29" s="39">
        <v>62</v>
      </c>
      <c r="E29" s="68">
        <v>626.12001999999995</v>
      </c>
      <c r="F29" s="68">
        <v>1.53847852423875</v>
      </c>
    </row>
    <row r="30" spans="1:6" x14ac:dyDescent="0.2">
      <c r="A30" s="39" t="s">
        <v>1262</v>
      </c>
      <c r="B30" s="39" t="str">
        <f>IFERROR(VLOOKUP(A30,[1]Bonds!$B$1:$K$2669,10,0),VLOOKUP(A30,[1]CPCD!$B$1:$H$1476,7,0))</f>
        <v>8.81% Small Industries Development Bank Of India (25-Jan-2022) **</v>
      </c>
      <c r="C30" s="39" t="s">
        <v>916</v>
      </c>
      <c r="D30" s="39">
        <v>50</v>
      </c>
      <c r="E30" s="68">
        <v>520.61249999999995</v>
      </c>
      <c r="F30" s="68">
        <v>1.2792294210625099</v>
      </c>
    </row>
    <row r="31" spans="1:6" x14ac:dyDescent="0.2">
      <c r="A31" s="39" t="s">
        <v>1234</v>
      </c>
      <c r="B31" s="39" t="str">
        <f>IFERROR(VLOOKUP(A31,[1]Bonds!$B$1:$K$2669,10,0),VLOOKUP(A31,[1]CPCD!$B$1:$H$1476,7,0))</f>
        <v>8.60% Export-Import Bank Of India (31-Mar-2022) **</v>
      </c>
      <c r="C31" s="39" t="s">
        <v>842</v>
      </c>
      <c r="D31" s="39">
        <v>35</v>
      </c>
      <c r="E31" s="68">
        <v>349.22895</v>
      </c>
      <c r="F31" s="68">
        <v>0.85811221883218103</v>
      </c>
    </row>
    <row r="32" spans="1:6" x14ac:dyDescent="0.2">
      <c r="A32" s="39" t="s">
        <v>1237</v>
      </c>
      <c r="B32" s="39" t="str">
        <f>IFERROR(VLOOKUP(A32,[1]Bonds!$B$1:$K$2669,10,0),VLOOKUP(A32,[1]CPCD!$B$1:$H$1476,7,0))</f>
        <v>9.95% Food Corporation Of India (07-Mar-2022) **</v>
      </c>
      <c r="C32" s="39" t="s">
        <v>1238</v>
      </c>
      <c r="D32" s="39">
        <v>27</v>
      </c>
      <c r="E32" s="68">
        <v>288.46314000000001</v>
      </c>
      <c r="F32" s="68">
        <v>0.70880075983591295</v>
      </c>
    </row>
    <row r="33" spans="1:7" x14ac:dyDescent="0.2">
      <c r="A33" s="39" t="s">
        <v>1247</v>
      </c>
      <c r="B33" s="39" t="str">
        <f>IFERROR(VLOOKUP(A33,[1]Bonds!$B$1:$K$2669,10,0),VLOOKUP(A33,[1]CPCD!$B$1:$H$1476,7,0))</f>
        <v>6.70% Indian Railway Finance Corp Ltd (24-Nov-2021) **</v>
      </c>
      <c r="C33" s="39" t="s">
        <v>361</v>
      </c>
      <c r="D33" s="39">
        <v>23</v>
      </c>
      <c r="E33" s="68">
        <v>230.56741</v>
      </c>
      <c r="F33" s="68">
        <v>0.56654155328614397</v>
      </c>
    </row>
    <row r="34" spans="1:7" x14ac:dyDescent="0.2">
      <c r="A34" s="39" t="s">
        <v>915</v>
      </c>
      <c r="B34" s="39" t="str">
        <f>IFERROR(VLOOKUP(A34,[1]Bonds!$B$1:$K$2669,10,0),VLOOKUP(A34,[1]CPCD!$B$1:$H$1476,7,0))</f>
        <v>8.97% Rec Ltd (28-Mar-2029) **</v>
      </c>
      <c r="C34" s="39" t="s">
        <v>916</v>
      </c>
      <c r="D34" s="39">
        <v>20</v>
      </c>
      <c r="E34" s="68">
        <v>205.3836</v>
      </c>
      <c r="F34" s="68">
        <v>0.50466084414748902</v>
      </c>
    </row>
    <row r="35" spans="1:7" x14ac:dyDescent="0.2">
      <c r="A35" s="39" t="s">
        <v>365</v>
      </c>
      <c r="B35" s="39" t="str">
        <f>IFERROR(VLOOKUP(A35,[1]Bonds!$B$1:$K$2669,10,0),VLOOKUP(A35,[1]CPCD!$B$1:$H$1476,7,0))</f>
        <v>7.50% Power Finance Corp Ltd (17-Sep-2020) **</v>
      </c>
      <c r="C35" s="39" t="s">
        <v>361</v>
      </c>
      <c r="D35" s="39">
        <v>20</v>
      </c>
      <c r="E35" s="68">
        <v>200.81219999999999</v>
      </c>
      <c r="F35" s="68">
        <v>0.49342817229376801</v>
      </c>
    </row>
    <row r="36" spans="1:7" x14ac:dyDescent="0.2">
      <c r="A36" s="39" t="s">
        <v>1198</v>
      </c>
      <c r="B36" s="39" t="str">
        <f>IFERROR(VLOOKUP(A36,[1]Bonds!$B$1:$K$2669,10,0),VLOOKUP(A36,[1]CPCD!$B$1:$H$1476,7,0))</f>
        <v>7.65% Indian Railway Finance Corp Ltd (15-Mar-2021) **</v>
      </c>
      <c r="C36" s="39" t="s">
        <v>361</v>
      </c>
      <c r="D36" s="39">
        <v>10</v>
      </c>
      <c r="E36" s="68">
        <v>101.5872</v>
      </c>
      <c r="F36" s="68">
        <v>0.24961624056925599</v>
      </c>
    </row>
    <row r="37" spans="1:7" x14ac:dyDescent="0.2">
      <c r="A37" s="39" t="s">
        <v>1214</v>
      </c>
      <c r="B37" s="39" t="str">
        <f>IFERROR(VLOOKUP(A37,[1]Bonds!$B$1:$K$2669,10,0),VLOOKUP(A37,[1]CPCD!$B$1:$H$1476,7,0))</f>
        <v>9.15% ICICI Bank Ltd (20-Jun-2023) **</v>
      </c>
      <c r="C37" s="39" t="s">
        <v>763</v>
      </c>
      <c r="D37" s="39">
        <v>10</v>
      </c>
      <c r="E37" s="68">
        <v>100.5917</v>
      </c>
      <c r="F37" s="68">
        <v>0.24717013547445299</v>
      </c>
    </row>
    <row r="38" spans="1:7" x14ac:dyDescent="0.2">
      <c r="A38" s="39" t="s">
        <v>814</v>
      </c>
      <c r="B38" s="39" t="str">
        <f>IFERROR(VLOOKUP(A38,[1]Bonds!$B$1:$K$2669,10,0),VLOOKUP(A38,[1]CPCD!$B$1:$H$1476,7,0))</f>
        <v>8.93% Power Grid Corp Of India Ltd (20-Oct-2019) **</v>
      </c>
      <c r="C38" s="39" t="s">
        <v>361</v>
      </c>
      <c r="D38" s="39">
        <v>10</v>
      </c>
      <c r="E38" s="68">
        <v>100.3869</v>
      </c>
      <c r="F38" s="68">
        <v>0.24666690863023899</v>
      </c>
    </row>
    <row r="39" spans="1:7" x14ac:dyDescent="0.2">
      <c r="A39" s="39" t="s">
        <v>1263</v>
      </c>
      <c r="B39" s="39" t="str">
        <f>IFERROR(VLOOKUP(A39,[1]Bonds!$B$1:$K$2669,10,0),VLOOKUP(A39,[1]CPCD!$B$1:$H$1476,7,0))</f>
        <v>8.35% Rec Ltd (13-Mar-2022) **</v>
      </c>
      <c r="C39" s="39" t="s">
        <v>916</v>
      </c>
      <c r="D39" s="39">
        <v>5</v>
      </c>
      <c r="E39" s="68">
        <v>51.049300000000002</v>
      </c>
      <c r="F39" s="68">
        <v>0.12543641669119801</v>
      </c>
    </row>
    <row r="40" spans="1:7" x14ac:dyDescent="0.2">
      <c r="A40" s="39" t="s">
        <v>1264</v>
      </c>
      <c r="B40" s="39" t="str">
        <f>IFERROR(VLOOKUP(A40,[1]Bonds!$B$1:$K$2669,10,0),VLOOKUP(A40,[1]CPCD!$B$1:$H$1476,7,0))</f>
        <v>8.13% Power Grid Corp Of India Ltd (23-Apr-2021) **</v>
      </c>
      <c r="C40" s="39" t="s">
        <v>361</v>
      </c>
      <c r="D40" s="39">
        <v>1</v>
      </c>
      <c r="E40" s="68">
        <v>10.233320000000001</v>
      </c>
      <c r="F40" s="68">
        <v>2.5144928366390401E-2</v>
      </c>
    </row>
    <row r="41" spans="1:7" x14ac:dyDescent="0.2">
      <c r="A41" s="38" t="s">
        <v>44</v>
      </c>
      <c r="B41" s="39"/>
      <c r="C41" s="39"/>
      <c r="D41" s="39"/>
      <c r="E41" s="69">
        <f>SUM(E8:E40)</f>
        <v>35745.197819999994</v>
      </c>
      <c r="F41" s="69">
        <f>SUM(F8:F40)</f>
        <v>87.831753392482042</v>
      </c>
    </row>
    <row r="42" spans="1:7" x14ac:dyDescent="0.2">
      <c r="A42" s="39"/>
      <c r="B42" s="39"/>
      <c r="C42" s="39"/>
      <c r="D42" s="39"/>
      <c r="E42" s="68"/>
      <c r="F42" s="68"/>
    </row>
    <row r="43" spans="1:7" x14ac:dyDescent="0.2">
      <c r="A43" s="38" t="s">
        <v>1143</v>
      </c>
      <c r="B43" s="39"/>
      <c r="C43" s="39"/>
      <c r="D43" s="39"/>
      <c r="E43" s="68"/>
      <c r="F43" s="68"/>
    </row>
    <row r="44" spans="1:7" x14ac:dyDescent="0.2">
      <c r="A44" s="39" t="s">
        <v>1265</v>
      </c>
      <c r="B44" s="39" t="str">
        <f>IFERROR(VLOOKUP(A44,[1]Bonds!$B$1:$K$2669,10,0),VLOOKUP(A44,[1]CPCD!$B$1:$H$1476,7,0))</f>
        <v>7.27% GOI 2026 (08-Apr-2026)</v>
      </c>
      <c r="C44" s="39" t="s">
        <v>1146</v>
      </c>
      <c r="D44" s="39">
        <v>3000000</v>
      </c>
      <c r="E44" s="68">
        <v>3133.0140000000001</v>
      </c>
      <c r="F44" s="68">
        <v>7.6983239653307303</v>
      </c>
      <c r="G44" s="53"/>
    </row>
    <row r="45" spans="1:7" x14ac:dyDescent="0.2">
      <c r="A45" s="38" t="s">
        <v>44</v>
      </c>
      <c r="B45" s="39"/>
      <c r="C45" s="39"/>
      <c r="D45" s="39"/>
      <c r="E45" s="69">
        <f>SUM(E44:E44)</f>
        <v>3133.0140000000001</v>
      </c>
      <c r="F45" s="69">
        <f>SUM(F44:F44)</f>
        <v>7.6983239653307303</v>
      </c>
    </row>
    <row r="46" spans="1:7" x14ac:dyDescent="0.2">
      <c r="A46" s="39"/>
      <c r="B46" s="39"/>
      <c r="C46" s="39"/>
      <c r="D46" s="39"/>
      <c r="E46" s="68"/>
      <c r="F46" s="68"/>
    </row>
    <row r="47" spans="1:7" x14ac:dyDescent="0.2">
      <c r="A47" s="38" t="s">
        <v>44</v>
      </c>
      <c r="B47" s="39"/>
      <c r="C47" s="39"/>
      <c r="D47" s="39"/>
      <c r="E47" s="69">
        <f>E41+E45</f>
        <v>38878.211819999997</v>
      </c>
      <c r="F47" s="69">
        <f>F41+F45</f>
        <v>95.530077357812772</v>
      </c>
    </row>
    <row r="48" spans="1:7" x14ac:dyDescent="0.2">
      <c r="A48" s="39"/>
      <c r="B48" s="39"/>
      <c r="C48" s="39"/>
      <c r="D48" s="39"/>
      <c r="E48" s="68"/>
      <c r="F48" s="68"/>
    </row>
    <row r="49" spans="1:6" x14ac:dyDescent="0.2">
      <c r="A49" s="38" t="s">
        <v>76</v>
      </c>
      <c r="B49" s="39"/>
      <c r="C49" s="39"/>
      <c r="D49" s="39"/>
      <c r="E49" s="69">
        <v>1819.1419705000001</v>
      </c>
      <c r="F49" s="69">
        <v>4.47</v>
      </c>
    </row>
    <row r="50" spans="1:6" x14ac:dyDescent="0.2">
      <c r="A50" s="39"/>
      <c r="B50" s="39"/>
      <c r="C50" s="39"/>
      <c r="D50" s="39"/>
      <c r="E50" s="68"/>
      <c r="F50" s="68"/>
    </row>
    <row r="51" spans="1:6" x14ac:dyDescent="0.2">
      <c r="A51" s="71" t="s">
        <v>77</v>
      </c>
      <c r="B51" s="66"/>
      <c r="C51" s="66"/>
      <c r="D51" s="66"/>
      <c r="E51" s="72">
        <f>E47+E49</f>
        <v>40697.353790499998</v>
      </c>
      <c r="F51" s="72">
        <f>F47+F49</f>
        <v>100.00007735781277</v>
      </c>
    </row>
    <row r="52" spans="1:6" x14ac:dyDescent="0.2">
      <c r="A52" s="4" t="s">
        <v>619</v>
      </c>
    </row>
    <row r="53" spans="1:6" x14ac:dyDescent="0.2">
      <c r="A53" s="4"/>
    </row>
    <row r="54" spans="1:6" x14ac:dyDescent="0.2">
      <c r="A54" s="4" t="s">
        <v>78</v>
      </c>
    </row>
    <row r="55" spans="1:6" x14ac:dyDescent="0.2">
      <c r="A55" s="4" t="s">
        <v>650</v>
      </c>
    </row>
    <row r="56" spans="1:6" x14ac:dyDescent="0.2">
      <c r="A56" s="4" t="s">
        <v>80</v>
      </c>
    </row>
    <row r="57" spans="1:6" x14ac:dyDescent="0.2">
      <c r="A57" s="2" t="s">
        <v>638</v>
      </c>
      <c r="D57" s="10">
        <v>14.5732</v>
      </c>
    </row>
    <row r="58" spans="1:6" x14ac:dyDescent="0.2">
      <c r="A58" s="2" t="s">
        <v>639</v>
      </c>
      <c r="D58" s="10">
        <v>10.4551</v>
      </c>
    </row>
    <row r="59" spans="1:6" x14ac:dyDescent="0.2">
      <c r="A59" s="2" t="s">
        <v>640</v>
      </c>
      <c r="D59" s="10">
        <v>14.9079</v>
      </c>
    </row>
    <row r="60" spans="1:6" x14ac:dyDescent="0.2">
      <c r="A60" s="2" t="s">
        <v>641</v>
      </c>
      <c r="D60" s="10">
        <v>10.7265</v>
      </c>
    </row>
    <row r="62" spans="1:6" x14ac:dyDescent="0.2">
      <c r="A62" s="4" t="s">
        <v>81</v>
      </c>
    </row>
    <row r="63" spans="1:6" x14ac:dyDescent="0.2">
      <c r="A63" s="2" t="s">
        <v>638</v>
      </c>
      <c r="D63" s="10">
        <v>15.53</v>
      </c>
    </row>
    <row r="64" spans="1:6" x14ac:dyDescent="0.2">
      <c r="A64" s="2" t="s">
        <v>639</v>
      </c>
      <c r="D64" s="10">
        <v>10.726800000000001</v>
      </c>
    </row>
    <row r="65" spans="1:5" x14ac:dyDescent="0.2">
      <c r="A65" s="2" t="s">
        <v>640</v>
      </c>
      <c r="D65" s="10">
        <v>15.9146</v>
      </c>
    </row>
    <row r="66" spans="1:5" x14ac:dyDescent="0.2">
      <c r="A66" s="2" t="s">
        <v>641</v>
      </c>
      <c r="D66" s="10">
        <v>11.035399999999999</v>
      </c>
    </row>
    <row r="68" spans="1:5" x14ac:dyDescent="0.2">
      <c r="A68" s="4" t="s">
        <v>82</v>
      </c>
      <c r="D68" s="44"/>
    </row>
    <row r="69" spans="1:5" x14ac:dyDescent="0.2">
      <c r="A69" s="106" t="s">
        <v>642</v>
      </c>
      <c r="B69" s="107"/>
      <c r="C69" s="109" t="s">
        <v>643</v>
      </c>
      <c r="D69" s="109"/>
    </row>
    <row r="70" spans="1:5" x14ac:dyDescent="0.2">
      <c r="A70" s="110"/>
      <c r="B70" s="110"/>
      <c r="C70" s="47" t="s">
        <v>644</v>
      </c>
      <c r="D70" s="47" t="s">
        <v>645</v>
      </c>
    </row>
    <row r="71" spans="1:5" x14ac:dyDescent="0.2">
      <c r="A71" s="48" t="s">
        <v>1266</v>
      </c>
      <c r="B71" s="49"/>
      <c r="C71" s="54">
        <v>0.28812908000000004</v>
      </c>
      <c r="D71" s="54">
        <v>0.26680896400000004</v>
      </c>
    </row>
    <row r="72" spans="1:5" x14ac:dyDescent="0.2">
      <c r="A72" s="48" t="s">
        <v>1267</v>
      </c>
      <c r="B72" s="49"/>
      <c r="C72" s="54">
        <v>0.28812908000000004</v>
      </c>
      <c r="D72" s="54">
        <v>0.26680896400000004</v>
      </c>
    </row>
    <row r="74" spans="1:5" x14ac:dyDescent="0.2">
      <c r="A74" s="4" t="s">
        <v>647</v>
      </c>
      <c r="D74" s="53">
        <v>3.8255677380715243</v>
      </c>
      <c r="E74" s="73" t="s">
        <v>648</v>
      </c>
    </row>
  </sheetData>
  <mergeCells count="4">
    <mergeCell ref="A1:F1"/>
    <mergeCell ref="A69:B69"/>
    <mergeCell ref="C69:D69"/>
    <mergeCell ref="A70:B70"/>
  </mergeCells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E84C0-8582-4710-9243-40CA101B3FBB}">
  <dimension ref="A1:F104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76" style="2" bestFit="1" customWidth="1"/>
    <col min="3" max="3" width="11.7109375" style="2" bestFit="1" customWidth="1"/>
    <col min="4" max="4" width="7.42578125" style="2" bestFit="1" customWidth="1"/>
    <col min="5" max="5" width="23" style="73" bestFit="1" customWidth="1"/>
    <col min="6" max="6" width="13.5703125" style="73" bestFit="1" customWidth="1"/>
    <col min="7" max="16384" width="9.140625" style="2"/>
  </cols>
  <sheetData>
    <row r="1" spans="1:6" ht="15" customHeight="1" x14ac:dyDescent="0.2">
      <c r="A1" s="108" t="s">
        <v>1268</v>
      </c>
      <c r="B1" s="108"/>
      <c r="C1" s="108"/>
      <c r="D1" s="108"/>
      <c r="E1" s="108"/>
      <c r="F1" s="108"/>
    </row>
    <row r="3" spans="1:6" s="4" customFormat="1" x14ac:dyDescent="0.2">
      <c r="A3" s="64" t="s">
        <v>1</v>
      </c>
      <c r="B3" s="64" t="s">
        <v>2</v>
      </c>
      <c r="C3" s="64" t="s">
        <v>716</v>
      </c>
      <c r="D3" s="64" t="s">
        <v>4</v>
      </c>
      <c r="E3" s="65" t="s">
        <v>5</v>
      </c>
      <c r="F3" s="65" t="s">
        <v>6</v>
      </c>
    </row>
    <row r="4" spans="1:6" x14ac:dyDescent="0.2">
      <c r="A4" s="66"/>
      <c r="B4" s="66"/>
      <c r="C4" s="66"/>
      <c r="D4" s="66"/>
      <c r="E4" s="67"/>
      <c r="F4" s="67"/>
    </row>
    <row r="5" spans="1:6" x14ac:dyDescent="0.2">
      <c r="A5" s="38" t="s">
        <v>359</v>
      </c>
      <c r="B5" s="39"/>
      <c r="C5" s="39"/>
      <c r="D5" s="39"/>
      <c r="E5" s="68"/>
      <c r="F5" s="68"/>
    </row>
    <row r="6" spans="1:6" x14ac:dyDescent="0.2">
      <c r="A6" s="38" t="s">
        <v>8</v>
      </c>
      <c r="B6" s="39"/>
      <c r="C6" s="39"/>
      <c r="D6" s="39"/>
      <c r="E6" s="68"/>
      <c r="F6" s="68"/>
    </row>
    <row r="7" spans="1:6" x14ac:dyDescent="0.2">
      <c r="A7" s="38"/>
      <c r="B7" s="39"/>
      <c r="C7" s="39"/>
      <c r="D7" s="39"/>
      <c r="E7" s="68"/>
      <c r="F7" s="68"/>
    </row>
    <row r="8" spans="1:6" x14ac:dyDescent="0.2">
      <c r="A8" s="39" t="s">
        <v>1194</v>
      </c>
      <c r="B8" s="39" t="str">
        <f>IFERROR(VLOOKUP(A8,[1]Bonds!$B$1:$K$2669,10,0),VLOOKUP(A8,[1]CPCD!$B$1:$H$1476,7,0))</f>
        <v>9.55% Piramal Capital &amp; Housing Finance Ltd (08-Mar-2027) **</v>
      </c>
      <c r="C8" s="39" t="s">
        <v>737</v>
      </c>
      <c r="D8" s="39">
        <v>2797</v>
      </c>
      <c r="E8" s="68">
        <v>23251.405060000001</v>
      </c>
      <c r="F8" s="68">
        <v>6.4820975489941599</v>
      </c>
    </row>
    <row r="9" spans="1:6" x14ac:dyDescent="0.2">
      <c r="A9" s="39" t="s">
        <v>903</v>
      </c>
      <c r="B9" s="39" t="str">
        <f>IFERROR(VLOOKUP(A9,[1]Bonds!$B$1:$K$2669,10,0),VLOOKUP(A9,[1]CPCD!$B$1:$H$1476,7,0))</f>
        <v>9.10% Power Finance Corp Ltd (23-Mar-2029) **</v>
      </c>
      <c r="C9" s="39" t="s">
        <v>361</v>
      </c>
      <c r="D9" s="39">
        <v>1890</v>
      </c>
      <c r="E9" s="68">
        <v>19562.615099999999</v>
      </c>
      <c r="F9" s="68">
        <v>5.4537254443076701</v>
      </c>
    </row>
    <row r="10" spans="1:6" x14ac:dyDescent="0.2">
      <c r="A10" s="39" t="s">
        <v>940</v>
      </c>
      <c r="B10" s="39" t="str">
        <f>IFERROR(VLOOKUP(A10,[1]Bonds!$B$1:$K$2669,10,0),VLOOKUP(A10,[1]CPCD!$B$1:$H$1476,7,0))</f>
        <v>9.90% Coastal Gujarat Power Ltd (25-Aug-2028) **</v>
      </c>
      <c r="C10" s="39" t="s">
        <v>364</v>
      </c>
      <c r="D10" s="39">
        <v>1910</v>
      </c>
      <c r="E10" s="68">
        <v>19128.096099999999</v>
      </c>
      <c r="F10" s="68">
        <v>5.3325889135206799</v>
      </c>
    </row>
    <row r="11" spans="1:6" x14ac:dyDescent="0.2">
      <c r="A11" s="39" t="s">
        <v>919</v>
      </c>
      <c r="B11" s="39" t="str">
        <f>IFERROR(VLOOKUP(A11,[1]Bonds!$B$1:$K$2669,10,0),VLOOKUP(A11,[1]CPCD!$B$1:$H$1476,7,0))</f>
        <v>9.90% Shriram Transport Finance Co Ltd (21-Jun-2024) **</v>
      </c>
      <c r="C11" s="39" t="s">
        <v>727</v>
      </c>
      <c r="D11" s="39">
        <v>1550</v>
      </c>
      <c r="E11" s="68">
        <v>13967.391</v>
      </c>
      <c r="F11" s="68">
        <v>3.8938718212215901</v>
      </c>
    </row>
    <row r="12" spans="1:6" x14ac:dyDescent="0.2">
      <c r="A12" s="39" t="s">
        <v>901</v>
      </c>
      <c r="B12" s="39" t="str">
        <f>IFERROR(VLOOKUP(A12,[1]Bonds!$B$1:$K$2669,10,0),VLOOKUP(A12,[1]CPCD!$B$1:$H$1476,7,0))</f>
        <v>10.90% Vodafone Idea Ltd (02-Sep-2023) **</v>
      </c>
      <c r="C12" s="39" t="s">
        <v>750</v>
      </c>
      <c r="D12" s="39">
        <v>1450</v>
      </c>
      <c r="E12" s="68">
        <v>13321.991</v>
      </c>
      <c r="F12" s="68">
        <v>3.7139452427062198</v>
      </c>
    </row>
    <row r="13" spans="1:6" x14ac:dyDescent="0.2">
      <c r="A13" s="39" t="s">
        <v>1197</v>
      </c>
      <c r="B13" s="39" t="str">
        <f>IFERROR(VLOOKUP(A13,[1]Bonds!$B$1:$K$2669,10,0),VLOOKUP(A13,[1]CPCD!$B$1:$H$1476,7,0))</f>
        <v>9.85% DCB Bank Ltd (12-Jan-2028) **</v>
      </c>
      <c r="C13" s="39" t="s">
        <v>735</v>
      </c>
      <c r="D13" s="39">
        <v>12100</v>
      </c>
      <c r="E13" s="68">
        <v>11791.2806</v>
      </c>
      <c r="F13" s="68">
        <v>3.28720913336333</v>
      </c>
    </row>
    <row r="14" spans="1:6" x14ac:dyDescent="0.2">
      <c r="A14" s="39" t="s">
        <v>1269</v>
      </c>
      <c r="B14" s="39" t="str">
        <f>IFERROR(VLOOKUP(A14,[1]Bonds!$B$1:$K$2669,10,0),VLOOKUP(A14,[1]CPCD!$B$1:$H$1476,7,0))</f>
        <v>10.32% Andhra Pradesh Capital Region Development Authority (16-Aug-2028) **</v>
      </c>
      <c r="C14" s="39" t="s">
        <v>731</v>
      </c>
      <c r="D14" s="39">
        <v>5858</v>
      </c>
      <c r="E14" s="68">
        <v>11623.408452</v>
      </c>
      <c r="F14" s="68">
        <v>3.2404092244422502</v>
      </c>
    </row>
    <row r="15" spans="1:6" x14ac:dyDescent="0.2">
      <c r="A15" s="39" t="s">
        <v>1270</v>
      </c>
      <c r="B15" s="39" t="str">
        <f>IFERROR(VLOOKUP(A15,[1]Bonds!$B$1:$K$2669,10,0),VLOOKUP(A15,[1]CPCD!$B$1:$H$1476,7,0))</f>
        <v>10.15% Hinduja Leyland Finance Ltd (27-Mar-2025) **</v>
      </c>
      <c r="C15" s="39" t="s">
        <v>721</v>
      </c>
      <c r="D15" s="39">
        <v>1000</v>
      </c>
      <c r="E15" s="68">
        <v>9296.1</v>
      </c>
      <c r="F15" s="68">
        <v>2.5915950829512799</v>
      </c>
    </row>
    <row r="16" spans="1:6" x14ac:dyDescent="0.2">
      <c r="A16" s="39" t="s">
        <v>909</v>
      </c>
      <c r="B16" s="39" t="str">
        <f>IFERROR(VLOOKUP(A16,[1]Bonds!$B$1:$K$2669,10,0),VLOOKUP(A16,[1]CPCD!$B$1:$H$1476,7,0))</f>
        <v>9.20% Andhra Bank (31-Oct-2022) **</v>
      </c>
      <c r="C16" s="39" t="s">
        <v>735</v>
      </c>
      <c r="D16" s="39">
        <v>750</v>
      </c>
      <c r="E16" s="68">
        <v>7259.1225000000004</v>
      </c>
      <c r="F16" s="68">
        <v>2.0237202888889998</v>
      </c>
    </row>
    <row r="17" spans="1:6" x14ac:dyDescent="0.2">
      <c r="A17" s="39" t="s">
        <v>918</v>
      </c>
      <c r="B17" s="39" t="str">
        <f>IFERROR(VLOOKUP(A17,[1]Bonds!$B$1:$K$2669,10,0),VLOOKUP(A17,[1]CPCD!$B$1:$H$1476,7,0))</f>
        <v>12.40% Jm Financial Asset Reconstruction Co Ltd (02-Feb-2022) **</v>
      </c>
      <c r="C17" s="39" t="s">
        <v>723</v>
      </c>
      <c r="D17" s="39">
        <v>700</v>
      </c>
      <c r="E17" s="68">
        <v>6983.7529999999997</v>
      </c>
      <c r="F17" s="68">
        <v>1.9469519406360001</v>
      </c>
    </row>
    <row r="18" spans="1:6" x14ac:dyDescent="0.2">
      <c r="A18" s="39" t="s">
        <v>915</v>
      </c>
      <c r="B18" s="39" t="str">
        <f>IFERROR(VLOOKUP(A18,[1]Bonds!$B$1:$K$2669,10,0),VLOOKUP(A18,[1]CPCD!$B$1:$H$1476,7,0))</f>
        <v>8.97% Rec Ltd (28-Mar-2029) **</v>
      </c>
      <c r="C18" s="39" t="s">
        <v>916</v>
      </c>
      <c r="D18" s="39">
        <v>610</v>
      </c>
      <c r="E18" s="68">
        <v>6264.1998000000003</v>
      </c>
      <c r="F18" s="68">
        <v>1.74635270708194</v>
      </c>
    </row>
    <row r="19" spans="1:6" x14ac:dyDescent="0.2">
      <c r="A19" s="39" t="s">
        <v>967</v>
      </c>
      <c r="B19" s="39" t="str">
        <f>IFERROR(VLOOKUP(A19,[1]Bonds!$B$1:$K$2669,10,0),VLOOKUP(A19,[1]CPCD!$B$1:$H$1476,7,0))</f>
        <v>10.15% Uttar Pradesh Power Corp Ltd (20-Jan-2028) **</v>
      </c>
      <c r="C19" s="39" t="s">
        <v>731</v>
      </c>
      <c r="D19" s="39">
        <v>646</v>
      </c>
      <c r="E19" s="68">
        <v>6222.5627000000004</v>
      </c>
      <c r="F19" s="68">
        <v>1.7347449894768801</v>
      </c>
    </row>
    <row r="20" spans="1:6" x14ac:dyDescent="0.2">
      <c r="A20" s="39" t="s">
        <v>900</v>
      </c>
      <c r="B20" s="39" t="str">
        <f>IFERROR(VLOOKUP(A20,[1]Bonds!$B$1:$K$2669,10,0),VLOOKUP(A20,[1]CPCD!$B$1:$H$1476,7,0))</f>
        <v>10.25% Shriram Transport Finance Co Ltd (26-Apr-2024) **</v>
      </c>
      <c r="C20" s="39" t="s">
        <v>727</v>
      </c>
      <c r="D20" s="39">
        <v>620</v>
      </c>
      <c r="E20" s="68">
        <v>5738.5029999999997</v>
      </c>
      <c r="F20" s="68">
        <v>1.5997973513948001</v>
      </c>
    </row>
    <row r="21" spans="1:6" x14ac:dyDescent="0.2">
      <c r="A21" s="39" t="s">
        <v>1157</v>
      </c>
      <c r="B21" s="39" t="str">
        <f>IFERROR(VLOOKUP(A21,[1]Bonds!$B$1:$K$2669,10,0),VLOOKUP(A21,[1]CPCD!$B$1:$H$1476,7,0))</f>
        <v>10.75% The Tata Power Co Ltd (21-Aug-2022) **</v>
      </c>
      <c r="C21" s="39" t="s">
        <v>735</v>
      </c>
      <c r="D21" s="39">
        <v>554</v>
      </c>
      <c r="E21" s="68">
        <v>5738.4871199999998</v>
      </c>
      <c r="F21" s="68">
        <v>1.59979292432001</v>
      </c>
    </row>
    <row r="22" spans="1:6" x14ac:dyDescent="0.2">
      <c r="A22" s="39" t="s">
        <v>368</v>
      </c>
      <c r="B22" s="39" t="str">
        <f>IFERROR(VLOOKUP(A22,[1]Bonds!$B$1:$K$2669,10,0),VLOOKUP(A22,[1]CPCD!$B$1:$H$1476,7,0))</f>
        <v>8.85% Rec Ltd (16-Apr-2029) **</v>
      </c>
      <c r="C22" s="39" t="s">
        <v>361</v>
      </c>
      <c r="D22" s="39">
        <v>550</v>
      </c>
      <c r="E22" s="68">
        <v>5672.634</v>
      </c>
      <c r="F22" s="68">
        <v>1.5814341908738401</v>
      </c>
    </row>
    <row r="23" spans="1:6" x14ac:dyDescent="0.2">
      <c r="A23" s="39" t="s">
        <v>1271</v>
      </c>
      <c r="B23" s="39" t="str">
        <f>IFERROR(VLOOKUP(A23,[1]Bonds!$B$1:$K$2669,10,0),VLOOKUP(A23,[1]CPCD!$B$1:$H$1476,7,0))</f>
        <v>12.25% DLF Ltd., Tranche II Series IV, (11-Aug-2020) **</v>
      </c>
      <c r="C23" s="39" t="s">
        <v>740</v>
      </c>
      <c r="D23" s="39">
        <v>11</v>
      </c>
      <c r="E23" s="68">
        <v>5592.1360000000004</v>
      </c>
      <c r="F23" s="68">
        <v>1.55899271315873</v>
      </c>
    </row>
    <row r="24" spans="1:6" x14ac:dyDescent="0.2">
      <c r="A24" s="39" t="s">
        <v>914</v>
      </c>
      <c r="B24" s="39" t="str">
        <f>IFERROR(VLOOKUP(A24,[1]Bonds!$B$1:$K$2669,10,0),VLOOKUP(A24,[1]CPCD!$B$1:$H$1476,7,0))</f>
        <v>9.10% India Grid Trust (03-Jun-2022)</v>
      </c>
      <c r="C24" s="39" t="s">
        <v>361</v>
      </c>
      <c r="D24" s="39">
        <v>550</v>
      </c>
      <c r="E24" s="68">
        <v>5551.0344999999998</v>
      </c>
      <c r="F24" s="68">
        <v>1.54753431175363</v>
      </c>
    </row>
    <row r="25" spans="1:6" x14ac:dyDescent="0.2">
      <c r="A25" s="39" t="s">
        <v>911</v>
      </c>
      <c r="B25" s="39" t="str">
        <f>IFERROR(VLOOKUP(A25,[1]Bonds!$B$1:$K$2669,10,0),VLOOKUP(A25,[1]CPCD!$B$1:$H$1476,7,0))</f>
        <v>12.30% Sterlite Power Grid Ventures Ltd (28-Mar-2022) **</v>
      </c>
      <c r="C25" s="39" t="s">
        <v>912</v>
      </c>
      <c r="D25" s="39">
        <v>550</v>
      </c>
      <c r="E25" s="68">
        <v>5509.2179999999998</v>
      </c>
      <c r="F25" s="68">
        <v>1.5358765804699499</v>
      </c>
    </row>
    <row r="26" spans="1:6" x14ac:dyDescent="0.2">
      <c r="A26" s="39" t="s">
        <v>957</v>
      </c>
      <c r="B26" s="39" t="str">
        <f>IFERROR(VLOOKUP(A26,[1]Bonds!$B$1:$K$2669,10,0),VLOOKUP(A26,[1]CPCD!$B$1:$H$1476,7,0))</f>
        <v>12.64% Five-Star Business Finance Ltd (28-Jun-2022) **</v>
      </c>
      <c r="C26" s="39" t="s">
        <v>839</v>
      </c>
      <c r="D26" s="39">
        <v>500</v>
      </c>
      <c r="E26" s="68">
        <v>5010.8900000000003</v>
      </c>
      <c r="F26" s="68">
        <v>1.3969511822387599</v>
      </c>
    </row>
    <row r="27" spans="1:6" x14ac:dyDescent="0.2">
      <c r="A27" s="39" t="s">
        <v>810</v>
      </c>
      <c r="B27" s="39" t="str">
        <f>IFERROR(VLOOKUP(A27,[1]Bonds!$B$1:$K$2669,10,0),VLOOKUP(A27,[1]CPCD!$B$1:$H$1476,7,0))</f>
        <v>10.15% Uttar Pradesh Power Corp Ltd (20-Jan-2023) **</v>
      </c>
      <c r="C27" s="39" t="s">
        <v>731</v>
      </c>
      <c r="D27" s="39">
        <v>501</v>
      </c>
      <c r="E27" s="68">
        <v>4961.7637199999999</v>
      </c>
      <c r="F27" s="68">
        <v>1.38325560821399</v>
      </c>
    </row>
    <row r="28" spans="1:6" x14ac:dyDescent="0.2">
      <c r="A28" s="39" t="s">
        <v>1185</v>
      </c>
      <c r="B28" s="39" t="str">
        <f>IFERROR(VLOOKUP(A28,[1]Bonds!$B$1:$K$2669,10,0),VLOOKUP(A28,[1]CPCD!$B$1:$H$1476,7,0))</f>
        <v>0.00% India Shelter Finance Corp Ltd (02-May-2025) **</v>
      </c>
      <c r="C28" s="39" t="s">
        <v>839</v>
      </c>
      <c r="D28" s="39">
        <v>400</v>
      </c>
      <c r="E28" s="68">
        <v>4344.2160000000003</v>
      </c>
      <c r="F28" s="68">
        <v>1.2110937731821201</v>
      </c>
    </row>
    <row r="29" spans="1:6" x14ac:dyDescent="0.2">
      <c r="A29" s="39" t="s">
        <v>764</v>
      </c>
      <c r="B29" s="39" t="str">
        <f>IFERROR(VLOOKUP(A29,[1]Bonds!$B$1:$K$2669,10,0),VLOOKUP(A29,[1]CPCD!$B$1:$H$1476,7,0))</f>
        <v>12.25% DLF Ltd, Series IV (11-Aug-2020) **</v>
      </c>
      <c r="C29" s="39" t="s">
        <v>740</v>
      </c>
      <c r="D29" s="39">
        <v>8</v>
      </c>
      <c r="E29" s="68">
        <v>4067.0079999999998</v>
      </c>
      <c r="F29" s="68">
        <v>1.13381288229726</v>
      </c>
    </row>
    <row r="30" spans="1:6" x14ac:dyDescent="0.2">
      <c r="A30" s="39" t="s">
        <v>1272</v>
      </c>
      <c r="B30" s="39" t="str">
        <f>IFERROR(VLOOKUP(A30,[1]Bonds!$B$1:$K$2669,10,0),VLOOKUP(A30,[1]CPCD!$B$1:$H$1476,7,0))</f>
        <v>8.45% Tata Power Renewable Energy Ltd (25-May-2022) **</v>
      </c>
      <c r="C30" s="39" t="s">
        <v>364</v>
      </c>
      <c r="D30" s="39">
        <v>400</v>
      </c>
      <c r="E30" s="68">
        <v>3919.6959999999999</v>
      </c>
      <c r="F30" s="68">
        <v>1.0927447940818</v>
      </c>
    </row>
    <row r="31" spans="1:6" x14ac:dyDescent="0.2">
      <c r="A31" s="39" t="s">
        <v>923</v>
      </c>
      <c r="B31" s="39" t="str">
        <f>IFERROR(VLOOKUP(A31,[1]Bonds!$B$1:$K$2669,10,0),VLOOKUP(A31,[1]CPCD!$B$1:$H$1476,7,0))</f>
        <v>10.00% Aptus Value Housing Finance India Ltd (20-Jul-2025) **</v>
      </c>
      <c r="C31" s="39" t="s">
        <v>839</v>
      </c>
      <c r="D31" s="39">
        <v>4000</v>
      </c>
      <c r="E31" s="68">
        <v>3851.56</v>
      </c>
      <c r="F31" s="68">
        <v>1.07374963239335</v>
      </c>
    </row>
    <row r="32" spans="1:6" x14ac:dyDescent="0.2">
      <c r="A32" s="39" t="s">
        <v>1273</v>
      </c>
      <c r="B32" s="39" t="str">
        <f>IFERROR(VLOOKUP(A32,[1]Bonds!$B$1:$K$2669,10,0),VLOOKUP(A32,[1]CPCD!$B$1:$H$1476,7,0))</f>
        <v>9.95% Vastu Housing Finance Corp Ltd (27-Feb-2025) **</v>
      </c>
      <c r="C32" s="39" t="s">
        <v>781</v>
      </c>
      <c r="D32" s="39">
        <v>400</v>
      </c>
      <c r="E32" s="68">
        <v>3750.7640000000001</v>
      </c>
      <c r="F32" s="68">
        <v>1.0456494163908201</v>
      </c>
    </row>
    <row r="33" spans="1:6" x14ac:dyDescent="0.2">
      <c r="A33" s="39" t="s">
        <v>1193</v>
      </c>
      <c r="B33" s="39" t="str">
        <f>IFERROR(VLOOKUP(A33,[1]Bonds!$B$1:$K$2669,10,0),VLOOKUP(A33,[1]CPCD!$B$1:$H$1476,7,0))</f>
        <v>9.90% Icici Bank Ltd (20-Feb-2049) **</v>
      </c>
      <c r="C33" s="39" t="s">
        <v>842</v>
      </c>
      <c r="D33" s="39">
        <v>360</v>
      </c>
      <c r="E33" s="68">
        <v>3716.3051999999998</v>
      </c>
      <c r="F33" s="68">
        <v>1.0360428871318399</v>
      </c>
    </row>
    <row r="34" spans="1:6" x14ac:dyDescent="0.2">
      <c r="A34" s="39" t="s">
        <v>966</v>
      </c>
      <c r="B34" s="39" t="str">
        <f>IFERROR(VLOOKUP(A34,[1]Bonds!$B$1:$K$2669,10,0),VLOOKUP(A34,[1]CPCD!$B$1:$H$1476,7,0))</f>
        <v>10.15% Uttar Pradesh Power Corp Ltd (20-Jan-2027) **</v>
      </c>
      <c r="C34" s="39" t="s">
        <v>731</v>
      </c>
      <c r="D34" s="39">
        <v>350</v>
      </c>
      <c r="E34" s="68">
        <v>3381.2415000000001</v>
      </c>
      <c r="F34" s="68">
        <v>0.94263280791631199</v>
      </c>
    </row>
    <row r="35" spans="1:6" x14ac:dyDescent="0.2">
      <c r="A35" s="39" t="s">
        <v>766</v>
      </c>
      <c r="B35" s="39" t="str">
        <f>IFERROR(VLOOKUP(A35,[1]Bonds!$B$1:$K$2669,10,0),VLOOKUP(A35,[1]CPCD!$B$1:$H$1476,7,0))</f>
        <v>10.15% Uttar Pradesh Power Corp Ltd (20-Jan-2022) **</v>
      </c>
      <c r="C35" s="39" t="s">
        <v>731</v>
      </c>
      <c r="D35" s="39">
        <v>240</v>
      </c>
      <c r="E35" s="68">
        <v>2389.0776000000001</v>
      </c>
      <c r="F35" s="68">
        <v>0.66603433277923596</v>
      </c>
    </row>
    <row r="36" spans="1:6" x14ac:dyDescent="0.2">
      <c r="A36" s="39" t="s">
        <v>958</v>
      </c>
      <c r="B36" s="39" t="str">
        <f>IFERROR(VLOOKUP(A36,[1]Bonds!$B$1:$K$2669,10,0),VLOOKUP(A36,[1]CPCD!$B$1:$H$1476,7,0))</f>
        <v>11.10% Hinduja Leyland Finance Ltd (08-Apr-2022) **</v>
      </c>
      <c r="C36" s="39" t="s">
        <v>721</v>
      </c>
      <c r="D36" s="39">
        <v>200</v>
      </c>
      <c r="E36" s="68">
        <v>1983.7080000000001</v>
      </c>
      <c r="F36" s="68">
        <v>0.55302416054163905</v>
      </c>
    </row>
    <row r="37" spans="1:6" x14ac:dyDescent="0.2">
      <c r="A37" s="39" t="s">
        <v>926</v>
      </c>
      <c r="B37" s="39" t="str">
        <f>IFERROR(VLOOKUP(A37,[1]Bonds!$B$1:$K$2669,10,0),VLOOKUP(A37,[1]CPCD!$B$1:$H$1476,7,0))</f>
        <v>8.85% Power Finance Corp Ltd (25-May-2029)</v>
      </c>
      <c r="C37" s="39" t="s">
        <v>361</v>
      </c>
      <c r="D37" s="39">
        <v>190</v>
      </c>
      <c r="E37" s="68">
        <v>1963.3422</v>
      </c>
      <c r="F37" s="68">
        <v>0.547346520763627</v>
      </c>
    </row>
    <row r="38" spans="1:6" x14ac:dyDescent="0.2">
      <c r="A38" s="39" t="s">
        <v>953</v>
      </c>
      <c r="B38" s="39" t="str">
        <f>IFERROR(VLOOKUP(A38,[1]Bonds!$B$1:$K$2669,10,0),VLOOKUP(A38,[1]CPCD!$B$1:$H$1476,7,0))</f>
        <v>10.00% Aptus Value Housing Finance India Ltd (26-Feb-2025) **</v>
      </c>
      <c r="C38" s="39" t="s">
        <v>839</v>
      </c>
      <c r="D38" s="39">
        <v>2000</v>
      </c>
      <c r="E38" s="68">
        <v>1932.422</v>
      </c>
      <c r="F38" s="68">
        <v>0.53872649319466104</v>
      </c>
    </row>
    <row r="39" spans="1:6" x14ac:dyDescent="0.2">
      <c r="A39" s="39" t="s">
        <v>902</v>
      </c>
      <c r="B39" s="39" t="str">
        <f>IFERROR(VLOOKUP(A39,[1]Bonds!$B$1:$K$2669,10,0),VLOOKUP(A39,[1]CPCD!$B$1:$H$1476,7,0))</f>
        <v>9.50% Piramal Capital &amp; Housing Finance Ltd (15-Apr-2022) **</v>
      </c>
      <c r="C39" s="39" t="s">
        <v>737</v>
      </c>
      <c r="D39" s="39">
        <v>250</v>
      </c>
      <c r="E39" s="68">
        <v>1893.7225000000001</v>
      </c>
      <c r="F39" s="68">
        <v>0.52793772866838895</v>
      </c>
    </row>
    <row r="40" spans="1:6" x14ac:dyDescent="0.2">
      <c r="A40" s="39" t="s">
        <v>1190</v>
      </c>
      <c r="B40" s="39" t="str">
        <f>IFERROR(VLOOKUP(A40,[1]Bonds!$B$1:$K$2669,10,0),VLOOKUP(A40,[1]CPCD!$B$1:$H$1476,7,0))</f>
        <v>9.75% Uttar Pradesh Power Corp Ltd (20-Oct-2022) **</v>
      </c>
      <c r="C40" s="39" t="s">
        <v>731</v>
      </c>
      <c r="D40" s="39">
        <v>150</v>
      </c>
      <c r="E40" s="68">
        <v>1476.3285000000001</v>
      </c>
      <c r="F40" s="68">
        <v>0.411575357560788</v>
      </c>
    </row>
    <row r="41" spans="1:6" x14ac:dyDescent="0.2">
      <c r="A41" s="39" t="s">
        <v>946</v>
      </c>
      <c r="B41" s="39" t="str">
        <f>IFERROR(VLOOKUP(A41,[1]Bonds!$B$1:$K$2669,10,0),VLOOKUP(A41,[1]CPCD!$B$1:$H$1476,7,0))</f>
        <v>9.95% Vastu Housing Finance Corp Ltd (27-Feb-2025) **</v>
      </c>
      <c r="C41" s="39" t="s">
        <v>781</v>
      </c>
      <c r="D41" s="39">
        <v>150</v>
      </c>
      <c r="E41" s="68">
        <v>1406.5364999999999</v>
      </c>
      <c r="F41" s="68">
        <v>0.39211853114655698</v>
      </c>
    </row>
    <row r="42" spans="1:6" x14ac:dyDescent="0.2">
      <c r="A42" s="39" t="s">
        <v>1184</v>
      </c>
      <c r="B42" s="39" t="str">
        <f>IFERROR(VLOOKUP(A42,[1]Bonds!$B$1:$K$2669,10,0),VLOOKUP(A42,[1]CPCD!$B$1:$H$1476,7,0))</f>
        <v>9.20% Hinduja Leyland Finance Ltd (13-Sep-2024) **</v>
      </c>
      <c r="C42" s="39" t="s">
        <v>721</v>
      </c>
      <c r="D42" s="39">
        <v>150</v>
      </c>
      <c r="E42" s="68">
        <v>1352.973</v>
      </c>
      <c r="F42" s="68">
        <v>0.37718593541010198</v>
      </c>
    </row>
    <row r="43" spans="1:6" x14ac:dyDescent="0.2">
      <c r="A43" s="39" t="s">
        <v>955</v>
      </c>
      <c r="B43" s="39" t="str">
        <f>IFERROR(VLOOKUP(A43,[1]Bonds!$B$1:$K$2669,10,0),VLOOKUP(A43,[1]CPCD!$B$1:$H$1476,7,0))</f>
        <v>8.30% Rec Ltd (25-Jun-2029) **</v>
      </c>
      <c r="C43" s="39" t="s">
        <v>361</v>
      </c>
      <c r="D43" s="39">
        <v>60</v>
      </c>
      <c r="E43" s="68">
        <v>597.75059999999996</v>
      </c>
      <c r="F43" s="68">
        <v>0.16664273359701201</v>
      </c>
    </row>
    <row r="44" spans="1:6" x14ac:dyDescent="0.2">
      <c r="A44" s="39" t="s">
        <v>758</v>
      </c>
      <c r="B44" s="39" t="str">
        <f>IFERROR(VLOOKUP(A44,[1]Bonds!$B$1:$K$2669,10,0),VLOOKUP(A44,[1]CPCD!$B$1:$H$1476,7,0))</f>
        <v>8.68% Vedanta Ltd (20-Apr-2020)</v>
      </c>
      <c r="C44" s="39" t="s">
        <v>370</v>
      </c>
      <c r="D44" s="39">
        <v>50</v>
      </c>
      <c r="E44" s="68">
        <v>495.745</v>
      </c>
      <c r="F44" s="68">
        <v>0.138205301620861</v>
      </c>
    </row>
    <row r="45" spans="1:6" x14ac:dyDescent="0.2">
      <c r="A45" s="39" t="s">
        <v>1274</v>
      </c>
      <c r="B45" s="39" t="str">
        <f>IFERROR(VLOOKUP(A45,[1]Bonds!$B$1:$K$2669,10,0),VLOOKUP(A45,[1]CPCD!$B$1:$H$1476,7,0))</f>
        <v>9.95% Vastu Housing Finance Corp Ltd (27-Feb-2025) **</v>
      </c>
      <c r="C45" s="39" t="s">
        <v>781</v>
      </c>
      <c r="D45" s="39">
        <v>40</v>
      </c>
      <c r="E45" s="68">
        <v>375.07639999999998</v>
      </c>
      <c r="F45" s="68">
        <v>0.104564941639082</v>
      </c>
    </row>
    <row r="46" spans="1:6" x14ac:dyDescent="0.2">
      <c r="A46" s="39" t="s">
        <v>1275</v>
      </c>
      <c r="B46" s="39" t="str">
        <f>IFERROR(VLOOKUP(A46,[1]Bonds!$B$1:$K$2669,10,0),VLOOKUP(A46,[1]CPCD!$B$1:$H$1476,7,0))</f>
        <v>9.55% Hindalco Industries Ltd (27-Jun-2022) **</v>
      </c>
      <c r="C46" s="39" t="s">
        <v>763</v>
      </c>
      <c r="D46" s="39">
        <v>30</v>
      </c>
      <c r="E46" s="68">
        <v>311.92739999999998</v>
      </c>
      <c r="F46" s="68">
        <v>8.6960071005881906E-2</v>
      </c>
    </row>
    <row r="47" spans="1:6" x14ac:dyDescent="0.2">
      <c r="A47" s="39" t="s">
        <v>787</v>
      </c>
      <c r="B47" s="39" t="str">
        <f>IFERROR(VLOOKUP(A47,[1]Bonds!$B$1:$K$2669,10,0),VLOOKUP(A47,[1]CPCD!$B$1:$H$1476,7,0))</f>
        <v>11.40% Tata Power Co Ltd (02-Jun-2021) **</v>
      </c>
      <c r="C47" s="39" t="s">
        <v>737</v>
      </c>
      <c r="D47" s="39">
        <v>30</v>
      </c>
      <c r="E47" s="68">
        <v>309.82920000000001</v>
      </c>
      <c r="F47" s="68">
        <v>8.6375128416726399E-2</v>
      </c>
    </row>
    <row r="48" spans="1:6" x14ac:dyDescent="0.2">
      <c r="A48" s="39" t="s">
        <v>1214</v>
      </c>
      <c r="B48" s="39" t="str">
        <f>IFERROR(VLOOKUP(A48,[1]Bonds!$B$1:$K$2669,10,0),VLOOKUP(A48,[1]CPCD!$B$1:$H$1476,7,0))</f>
        <v>9.15% ICICI Bank Ltd (20-Jun-2023) **</v>
      </c>
      <c r="C48" s="39" t="s">
        <v>763</v>
      </c>
      <c r="D48" s="39">
        <v>25</v>
      </c>
      <c r="E48" s="68">
        <v>251.47925000000001</v>
      </c>
      <c r="F48" s="68">
        <v>7.0108151565094701E-2</v>
      </c>
    </row>
    <row r="49" spans="1:6" x14ac:dyDescent="0.2">
      <c r="A49" s="38" t="s">
        <v>44</v>
      </c>
      <c r="B49" s="39"/>
      <c r="C49" s="39"/>
      <c r="D49" s="39"/>
      <c r="E49" s="69">
        <f>SUM(E8:E48)</f>
        <v>236217.30050199997</v>
      </c>
      <c r="F49" s="69">
        <f>SUM(F8:F48)</f>
        <v>65.853378781317858</v>
      </c>
    </row>
    <row r="50" spans="1:6" x14ac:dyDescent="0.2">
      <c r="A50" s="39"/>
      <c r="B50" s="39"/>
      <c r="C50" s="39"/>
      <c r="D50" s="39"/>
      <c r="E50" s="68"/>
      <c r="F50" s="68"/>
    </row>
    <row r="51" spans="1:6" x14ac:dyDescent="0.2">
      <c r="A51" s="38" t="s">
        <v>815</v>
      </c>
      <c r="B51" s="39"/>
      <c r="C51" s="39"/>
      <c r="D51" s="39"/>
      <c r="E51" s="68"/>
      <c r="F51" s="68"/>
    </row>
    <row r="52" spans="1:6" x14ac:dyDescent="0.2">
      <c r="A52" s="39" t="s">
        <v>1276</v>
      </c>
      <c r="B52" s="39" t="str">
        <f>IFERROR(VLOOKUP(A52,[1]Bonds!$B$1:$K$2669,10,0),VLOOKUP(A52,[1]CPCD!$B$1:$H$1476,7,0))</f>
        <v>11.5% Rivaaz Trade Ventures Pvt Ltd (30-Mar-2023) **</v>
      </c>
      <c r="C52" s="39" t="s">
        <v>856</v>
      </c>
      <c r="D52" s="39">
        <v>1400</v>
      </c>
      <c r="E52" s="68">
        <v>13718.306</v>
      </c>
      <c r="F52" s="68">
        <v>3.82443114596671</v>
      </c>
    </row>
    <row r="53" spans="1:6" x14ac:dyDescent="0.2">
      <c r="A53" s="39" t="s">
        <v>1011</v>
      </c>
      <c r="B53" s="39" t="str">
        <f>IFERROR(VLOOKUP(A53,[1]Bonds!$B$1:$K$2669,10,0),VLOOKUP(A53,[1]CPCD!$B$1:$H$1476,7,0))</f>
        <v>0.00% Sadbhav Infrastructure Project Ltd (06-Jun-2023) **</v>
      </c>
      <c r="C53" s="39" t="s">
        <v>1012</v>
      </c>
      <c r="D53" s="39">
        <v>1000</v>
      </c>
      <c r="E53" s="68">
        <v>11268.99</v>
      </c>
      <c r="F53" s="68">
        <v>3.1416033684907898</v>
      </c>
    </row>
    <row r="54" spans="1:6" x14ac:dyDescent="0.2">
      <c r="A54" s="39" t="s">
        <v>981</v>
      </c>
      <c r="B54" s="39" t="str">
        <f>IFERROR(VLOOKUP(A54,[1]Bonds!$B$1:$K$2669,10,0),VLOOKUP(A54,[1]CPCD!$B$1:$H$1476,7,0))</f>
        <v>0.00% Adani Rail Infra Private Limited (28-Apr-2023) **</v>
      </c>
      <c r="C54" s="39" t="s">
        <v>856</v>
      </c>
      <c r="D54" s="39">
        <v>100</v>
      </c>
      <c r="E54" s="68">
        <v>11169.54</v>
      </c>
      <c r="F54" s="68">
        <v>3.1138783944694799</v>
      </c>
    </row>
    <row r="55" spans="1:6" x14ac:dyDescent="0.2">
      <c r="A55" s="39" t="s">
        <v>1277</v>
      </c>
      <c r="B55" s="39" t="str">
        <f>IFERROR(VLOOKUP(A55,[1]Bonds!$B$1:$K$2669,10,0),VLOOKUP(A55,[1]CPCD!$B$1:$H$1476,7,0))</f>
        <v>12.68% Renew Power Ltd., Series III, (23-Mar-2020) **</v>
      </c>
      <c r="C55" s="39" t="s">
        <v>718</v>
      </c>
      <c r="D55" s="39">
        <v>1000</v>
      </c>
      <c r="E55" s="68">
        <v>10088.200000000001</v>
      </c>
      <c r="F55" s="68">
        <v>2.8124191344573699</v>
      </c>
    </row>
    <row r="56" spans="1:6" x14ac:dyDescent="0.2">
      <c r="A56" s="39" t="s">
        <v>1004</v>
      </c>
      <c r="B56" s="39" t="str">
        <f>IFERROR(VLOOKUP(A56,[1]Bonds!$B$1:$K$2669,10,0),VLOOKUP(A56,[1]CPCD!$B$1:$H$1476,7,0))</f>
        <v>11.50% S D Corporation Private Ltd (03-Jun-2022) **</v>
      </c>
      <c r="C56" s="39" t="s">
        <v>364</v>
      </c>
      <c r="D56" s="39">
        <v>1000</v>
      </c>
      <c r="E56" s="68">
        <v>10011.69</v>
      </c>
      <c r="F56" s="68">
        <v>2.79108944353358</v>
      </c>
    </row>
    <row r="57" spans="1:6" x14ac:dyDescent="0.2">
      <c r="A57" s="39" t="s">
        <v>992</v>
      </c>
      <c r="B57" s="39" t="str">
        <f>IFERROR(VLOOKUP(A57,[1]Bonds!$B$1:$K$2669,10,0),VLOOKUP(A57,[1]CPCD!$B$1:$H$1476,7,0))</f>
        <v>9.60% Renew Wind Energy (Rajasthan One) Pvt Ltd (31-Mar-2023) **</v>
      </c>
      <c r="C57" s="39" t="s">
        <v>825</v>
      </c>
      <c r="D57" s="39">
        <v>770</v>
      </c>
      <c r="E57" s="68">
        <v>6926.6427999999996</v>
      </c>
      <c r="F57" s="68">
        <v>1.9310305850668501</v>
      </c>
    </row>
    <row r="58" spans="1:6" x14ac:dyDescent="0.2">
      <c r="A58" s="39" t="s">
        <v>1278</v>
      </c>
      <c r="B58" s="39" t="str">
        <f>IFERROR(VLOOKUP(A58,[1]Bonds!$B$1:$K$2669,10,0),VLOOKUP(A58,[1]CPCD!$B$1:$H$1476,7,0))</f>
        <v>12.80% Nufuture Digital (India) Ltd (30-Sep-2023) **</v>
      </c>
      <c r="C58" s="39" t="s">
        <v>850</v>
      </c>
      <c r="D58" s="39">
        <v>688</v>
      </c>
      <c r="E58" s="68">
        <v>6774.8392000000003</v>
      </c>
      <c r="F58" s="68">
        <v>1.8887103149176101</v>
      </c>
    </row>
    <row r="59" spans="1:6" x14ac:dyDescent="0.2">
      <c r="A59" s="39" t="s">
        <v>1005</v>
      </c>
      <c r="B59" s="39" t="str">
        <f>IFERROR(VLOOKUP(A59,[1]Bonds!$B$1:$K$2669,10,0),VLOOKUP(A59,[1]CPCD!$B$1:$H$1476,7,0))</f>
        <v>0.00% Diligent Media Corp Ltd. Series C (30-Jun-2020) **</v>
      </c>
      <c r="C59" s="39" t="s">
        <v>994</v>
      </c>
      <c r="D59" s="39">
        <v>44</v>
      </c>
      <c r="E59" s="68">
        <v>6346.4719999999998</v>
      </c>
      <c r="F59" s="68">
        <v>1.7692888016789801</v>
      </c>
    </row>
    <row r="60" spans="1:6" x14ac:dyDescent="0.2">
      <c r="A60" s="39" t="s">
        <v>816</v>
      </c>
      <c r="B60" s="39" t="str">
        <f>IFERROR(VLOOKUP(A60,[1]Bonds!$B$1:$K$2669,10,0),VLOOKUP(A60,[1]CPCD!$B$1:$H$1476,7,0))</f>
        <v>8.25% Vodafone Idea Ltd (10-Jul-2020) **</v>
      </c>
      <c r="C60" s="39" t="s">
        <v>817</v>
      </c>
      <c r="D60" s="39">
        <v>470</v>
      </c>
      <c r="E60" s="68">
        <v>4439.8032999999996</v>
      </c>
      <c r="F60" s="68">
        <v>1.23774189192789</v>
      </c>
    </row>
    <row r="61" spans="1:6" x14ac:dyDescent="0.2">
      <c r="A61" s="39" t="s">
        <v>1279</v>
      </c>
      <c r="B61" s="39" t="str">
        <f>IFERROR(VLOOKUP(A61,[1]Bonds!$B$1:$K$2669,10,0),VLOOKUP(A61,[1]CPCD!$B$1:$H$1476,7,0))</f>
        <v>13.40% Future Ideas Company Ltd (30-Sep-2023) **</v>
      </c>
      <c r="C61" s="39" t="s">
        <v>850</v>
      </c>
      <c r="D61" s="39">
        <v>400</v>
      </c>
      <c r="E61" s="68">
        <v>3984.22</v>
      </c>
      <c r="F61" s="68">
        <v>1.11073299140459</v>
      </c>
    </row>
    <row r="62" spans="1:6" x14ac:dyDescent="0.2">
      <c r="A62" s="39" t="s">
        <v>989</v>
      </c>
      <c r="B62" s="39" t="str">
        <f>IFERROR(VLOOKUP(A62,[1]Bonds!$B$1:$K$2669,10,0),VLOOKUP(A62,[1]CPCD!$B$1:$H$1476,7,0))</f>
        <v>10.25% Star Health &amp; Allied Insurance Co Ltd (06-Sep-2024) **</v>
      </c>
      <c r="C62" s="39" t="s">
        <v>983</v>
      </c>
      <c r="D62" s="39">
        <v>370</v>
      </c>
      <c r="E62" s="68">
        <v>3562.1786999999999</v>
      </c>
      <c r="F62" s="68">
        <v>0.993075031842794</v>
      </c>
    </row>
    <row r="63" spans="1:6" x14ac:dyDescent="0.2">
      <c r="A63" s="39" t="s">
        <v>990</v>
      </c>
      <c r="B63" s="39" t="str">
        <f>IFERROR(VLOOKUP(A63,[1]Bonds!$B$1:$K$2669,10,0),VLOOKUP(A63,[1]CPCD!$B$1:$H$1476,7,0))</f>
        <v>Jindal Power Ltd (Sbi+100 Bps) (20-Dec-2019) **</v>
      </c>
      <c r="C63" s="39" t="s">
        <v>991</v>
      </c>
      <c r="D63" s="39">
        <v>350</v>
      </c>
      <c r="E63" s="68">
        <v>3471.3525</v>
      </c>
      <c r="F63" s="68">
        <v>0.96775422706195602</v>
      </c>
    </row>
    <row r="64" spans="1:6" x14ac:dyDescent="0.2">
      <c r="A64" s="39" t="s">
        <v>1280</v>
      </c>
      <c r="B64" s="39" t="str">
        <f>IFERROR(VLOOKUP(A64,[1]Bonds!$B$1:$K$2669,10,0),VLOOKUP(A64,[1]CPCD!$B$1:$H$1476,7,0))</f>
        <v>9.00% Pune Solapur Expressways Pvt Ltd Series B (31-Mar-2029) **</v>
      </c>
      <c r="C64" s="39" t="s">
        <v>832</v>
      </c>
      <c r="D64" s="39">
        <v>3559</v>
      </c>
      <c r="E64" s="68">
        <v>3442.766619</v>
      </c>
      <c r="F64" s="68">
        <v>0.959784968056413</v>
      </c>
    </row>
    <row r="65" spans="1:6" x14ac:dyDescent="0.2">
      <c r="A65" s="39" t="s">
        <v>1205</v>
      </c>
      <c r="B65" s="39" t="str">
        <f>IFERROR(VLOOKUP(A65,[1]Bonds!$B$1:$K$2669,10,0),VLOOKUP(A65,[1]CPCD!$B$1:$H$1476,7,0))</f>
        <v>11.49% Reliance Big Pvt Ltd Series 3 (14-Jan-2021) **</v>
      </c>
      <c r="C65" s="39" t="s">
        <v>999</v>
      </c>
      <c r="D65" s="39">
        <v>677</v>
      </c>
      <c r="E65" s="68">
        <v>3385</v>
      </c>
      <c r="F65" s="68">
        <v>0.94368061399835401</v>
      </c>
    </row>
    <row r="66" spans="1:6" x14ac:dyDescent="0.2">
      <c r="A66" s="39" t="s">
        <v>831</v>
      </c>
      <c r="B66" s="39" t="str">
        <f>IFERROR(VLOOKUP(A66,[1]Bonds!$B$1:$K$2669,10,0),VLOOKUP(A66,[1]CPCD!$B$1:$H$1476,7,0))</f>
        <v>9.00% Pune Solapur Expressways Pvt Ltd Series A (31-Mar-2029) **</v>
      </c>
      <c r="C66" s="39" t="s">
        <v>832</v>
      </c>
      <c r="D66" s="39">
        <v>3473</v>
      </c>
      <c r="E66" s="68">
        <v>3359.5752929999999</v>
      </c>
      <c r="F66" s="68">
        <v>0.93659263671253801</v>
      </c>
    </row>
    <row r="67" spans="1:6" x14ac:dyDescent="0.2">
      <c r="A67" s="39" t="s">
        <v>1021</v>
      </c>
      <c r="B67" s="39" t="str">
        <f>IFERROR(VLOOKUP(A67,[1]Bonds!$B$1:$K$2669,10,0),VLOOKUP(A67,[1]CPCD!$B$1:$H$1476,7,0))</f>
        <v>11.7% Svantantra Microfin Private Limited (30-Nov-2023) **</v>
      </c>
      <c r="C67" s="39" t="s">
        <v>804</v>
      </c>
      <c r="D67" s="39">
        <v>300</v>
      </c>
      <c r="E67" s="68">
        <v>2965.0050000000001</v>
      </c>
      <c r="F67" s="68">
        <v>0.82659312818557995</v>
      </c>
    </row>
    <row r="68" spans="1:6" x14ac:dyDescent="0.2">
      <c r="A68" s="39" t="s">
        <v>1026</v>
      </c>
      <c r="B68" s="39" t="str">
        <f>IFERROR(VLOOKUP(A68,[1]Bonds!$B$1:$K$2669,10,0),VLOOKUP(A68,[1]CPCD!$B$1:$H$1476,7,0))</f>
        <v>9.95% Narmada Wind Energy Pvt Ltd (31-Mar-2023) **</v>
      </c>
      <c r="C68" s="39" t="s">
        <v>825</v>
      </c>
      <c r="D68" s="39">
        <v>250</v>
      </c>
      <c r="E68" s="68">
        <v>2329.7525000000001</v>
      </c>
      <c r="F68" s="68">
        <v>0.64949550063935002</v>
      </c>
    </row>
    <row r="69" spans="1:6" x14ac:dyDescent="0.2">
      <c r="A69" s="39" t="s">
        <v>1018</v>
      </c>
      <c r="B69" s="39" t="str">
        <f>IFERROR(VLOOKUP(A69,[1]Bonds!$B$1:$K$2669,10,0),VLOOKUP(A69,[1]CPCD!$B$1:$H$1476,7,0))</f>
        <v>9.95% Molagavalli Renewable Pvt Ltd (31-Mar-2023) **</v>
      </c>
      <c r="C69" s="39" t="s">
        <v>825</v>
      </c>
      <c r="D69" s="39">
        <v>110</v>
      </c>
      <c r="E69" s="68">
        <v>1024.5817999999999</v>
      </c>
      <c r="F69" s="68">
        <v>0.28563603607549098</v>
      </c>
    </row>
    <row r="70" spans="1:6" x14ac:dyDescent="0.2">
      <c r="A70" s="39" t="s">
        <v>982</v>
      </c>
      <c r="B70" s="39" t="str">
        <f>IFERROR(VLOOKUP(A70,[1]Bonds!$B$1:$K$2669,10,0),VLOOKUP(A70,[1]CPCD!$B$1:$H$1476,7,0))</f>
        <v>11.90% Rishanth Wholesale Trading Private Ltd (20-Oct-2023) **</v>
      </c>
      <c r="C70" s="39" t="s">
        <v>983</v>
      </c>
      <c r="D70" s="39">
        <v>10</v>
      </c>
      <c r="E70" s="68">
        <v>1007.148</v>
      </c>
      <c r="F70" s="68">
        <v>0.28077578819120103</v>
      </c>
    </row>
    <row r="71" spans="1:6" x14ac:dyDescent="0.2">
      <c r="A71" s="39" t="s">
        <v>843</v>
      </c>
      <c r="B71" s="39" t="str">
        <f>IFERROR(VLOOKUP(A71,[1]Bonds!$B$1:$K$2669,10,0),VLOOKUP(A71,[1]CPCD!$B$1:$H$1476,7,0))</f>
        <v>9.75% TRPL Roadways Pvt Ltd (25-Mar-2022) **</v>
      </c>
      <c r="C71" s="39" t="s">
        <v>822</v>
      </c>
      <c r="D71" s="39">
        <v>100</v>
      </c>
      <c r="E71" s="68">
        <v>1003.789</v>
      </c>
      <c r="F71" s="68">
        <v>0.27983935593642401</v>
      </c>
    </row>
    <row r="72" spans="1:6" x14ac:dyDescent="0.2">
      <c r="A72" s="39" t="s">
        <v>1028</v>
      </c>
      <c r="B72" s="39" t="str">
        <f>IFERROR(VLOOKUP(A72,[1]Bonds!$B$1:$K$2669,10,0),VLOOKUP(A72,[1]CPCD!$B$1:$H$1476,7,0))</f>
        <v>11.35% Renew Solar Power Private Limited (01-Nov-2022) **</v>
      </c>
      <c r="C72" s="39" t="s">
        <v>825</v>
      </c>
      <c r="D72" s="39">
        <v>100</v>
      </c>
      <c r="E72" s="68">
        <v>1001.3150000000001</v>
      </c>
      <c r="F72" s="68">
        <v>0.27914964667821601</v>
      </c>
    </row>
    <row r="73" spans="1:6" x14ac:dyDescent="0.2">
      <c r="A73" s="39" t="s">
        <v>985</v>
      </c>
      <c r="B73" s="39" t="str">
        <f>IFERROR(VLOOKUP(A73,[1]Bonds!$B$1:$K$2669,10,0),VLOOKUP(A73,[1]CPCD!$B$1:$H$1476,7,0))</f>
        <v>9.45% Renew Power Limited (31-Jul-2025) **</v>
      </c>
      <c r="C73" s="39" t="s">
        <v>718</v>
      </c>
      <c r="D73" s="39">
        <v>50</v>
      </c>
      <c r="E73" s="68">
        <v>477.05599999999998</v>
      </c>
      <c r="F73" s="68">
        <v>0.13299512525601101</v>
      </c>
    </row>
    <row r="74" spans="1:6" x14ac:dyDescent="0.2">
      <c r="A74" s="39" t="s">
        <v>1032</v>
      </c>
      <c r="B74" s="39" t="str">
        <f>IFERROR(VLOOKUP(A74,[1]Bonds!$B$1:$K$2669,10,0),VLOOKUP(A74,[1]CPCD!$B$1:$H$1476,7,0))</f>
        <v>11.84% Hero Wind Energy Pvt Ltd (10-Jun-2022) **</v>
      </c>
      <c r="C74" s="39" t="s">
        <v>740</v>
      </c>
      <c r="D74" s="39">
        <v>40</v>
      </c>
      <c r="E74" s="68">
        <v>403.03480000000002</v>
      </c>
      <c r="F74" s="68">
        <v>0.11235926957952801</v>
      </c>
    </row>
    <row r="75" spans="1:6" x14ac:dyDescent="0.2">
      <c r="A75" s="38" t="s">
        <v>44</v>
      </c>
      <c r="B75" s="39"/>
      <c r="C75" s="39"/>
      <c r="D75" s="39"/>
      <c r="E75" s="69">
        <f>SUM(E52:E74)</f>
        <v>112161.25851200001</v>
      </c>
      <c r="F75" s="69">
        <f>SUM(F52:F74)</f>
        <v>31.268657400127701</v>
      </c>
    </row>
    <row r="76" spans="1:6" x14ac:dyDescent="0.2">
      <c r="A76" s="39"/>
      <c r="B76" s="39"/>
      <c r="C76" s="39"/>
      <c r="D76" s="39"/>
      <c r="E76" s="68"/>
      <c r="F76" s="68"/>
    </row>
    <row r="77" spans="1:6" x14ac:dyDescent="0.2">
      <c r="A77" s="38" t="s">
        <v>44</v>
      </c>
      <c r="B77" s="39"/>
      <c r="C77" s="39"/>
      <c r="D77" s="39"/>
      <c r="E77" s="69">
        <f>E49+E75</f>
        <v>348378.559014</v>
      </c>
      <c r="F77" s="69">
        <f>F49+F75</f>
        <v>97.122036181445566</v>
      </c>
    </row>
    <row r="78" spans="1:6" x14ac:dyDescent="0.2">
      <c r="A78" s="39"/>
      <c r="B78" s="39"/>
      <c r="C78" s="39"/>
      <c r="D78" s="39"/>
      <c r="E78" s="68"/>
      <c r="F78" s="68"/>
    </row>
    <row r="79" spans="1:6" x14ac:dyDescent="0.2">
      <c r="A79" s="38" t="s">
        <v>76</v>
      </c>
      <c r="B79" s="39"/>
      <c r="C79" s="39"/>
      <c r="D79" s="39"/>
      <c r="E79" s="69">
        <v>10323.3090209</v>
      </c>
      <c r="F79" s="69">
        <v>2.88</v>
      </c>
    </row>
    <row r="80" spans="1:6" x14ac:dyDescent="0.2">
      <c r="A80" s="39"/>
      <c r="B80" s="39"/>
      <c r="C80" s="39"/>
      <c r="D80" s="39"/>
      <c r="E80" s="68"/>
      <c r="F80" s="68"/>
    </row>
    <row r="81" spans="1:6" x14ac:dyDescent="0.2">
      <c r="A81" s="71" t="s">
        <v>77</v>
      </c>
      <c r="B81" s="66"/>
      <c r="C81" s="66"/>
      <c r="D81" s="66"/>
      <c r="E81" s="72">
        <f>E77+E79</f>
        <v>358701.86803489999</v>
      </c>
      <c r="F81" s="72">
        <f>F77+F79</f>
        <v>100.00203618144556</v>
      </c>
    </row>
    <row r="82" spans="1:6" x14ac:dyDescent="0.2">
      <c r="A82" s="52" t="s">
        <v>619</v>
      </c>
    </row>
    <row r="84" spans="1:6" x14ac:dyDescent="0.2">
      <c r="A84" s="4" t="s">
        <v>78</v>
      </c>
    </row>
    <row r="85" spans="1:6" x14ac:dyDescent="0.2">
      <c r="A85" s="4" t="s">
        <v>650</v>
      </c>
    </row>
    <row r="86" spans="1:6" x14ac:dyDescent="0.2">
      <c r="A86" s="4" t="s">
        <v>80</v>
      </c>
    </row>
    <row r="87" spans="1:6" x14ac:dyDescent="0.2">
      <c r="A87" s="2" t="s">
        <v>638</v>
      </c>
      <c r="D87" s="10">
        <v>21.986599999999999</v>
      </c>
    </row>
    <row r="88" spans="1:6" x14ac:dyDescent="0.2">
      <c r="A88" s="2" t="s">
        <v>639</v>
      </c>
      <c r="D88" s="10">
        <v>11.0495</v>
      </c>
    </row>
    <row r="89" spans="1:6" x14ac:dyDescent="0.2">
      <c r="A89" s="2" t="s">
        <v>640</v>
      </c>
      <c r="D89" s="10">
        <v>23.0731</v>
      </c>
    </row>
    <row r="90" spans="1:6" x14ac:dyDescent="0.2">
      <c r="A90" s="2" t="s">
        <v>641</v>
      </c>
      <c r="D90" s="10">
        <v>11.6873</v>
      </c>
    </row>
    <row r="91" spans="1:6" x14ac:dyDescent="0.2">
      <c r="D91" s="10"/>
    </row>
    <row r="92" spans="1:6" x14ac:dyDescent="0.2">
      <c r="A92" s="4" t="s">
        <v>81</v>
      </c>
    </row>
    <row r="93" spans="1:6" x14ac:dyDescent="0.2">
      <c r="A93" s="2" t="s">
        <v>638</v>
      </c>
      <c r="D93" s="10">
        <v>22.6784</v>
      </c>
    </row>
    <row r="94" spans="1:6" x14ac:dyDescent="0.2">
      <c r="A94" s="2" t="s">
        <v>639</v>
      </c>
      <c r="D94" s="10">
        <v>10.9513</v>
      </c>
    </row>
    <row r="95" spans="1:6" x14ac:dyDescent="0.2">
      <c r="A95" s="2" t="s">
        <v>640</v>
      </c>
      <c r="D95" s="10">
        <v>23.898299999999999</v>
      </c>
    </row>
    <row r="96" spans="1:6" x14ac:dyDescent="0.2">
      <c r="A96" s="2" t="s">
        <v>641</v>
      </c>
      <c r="D96" s="10">
        <v>11.6591</v>
      </c>
    </row>
    <row r="98" spans="1:5" x14ac:dyDescent="0.2">
      <c r="A98" s="4" t="s">
        <v>82</v>
      </c>
      <c r="D98" s="44" t="s">
        <v>299</v>
      </c>
    </row>
    <row r="99" spans="1:5" x14ac:dyDescent="0.2">
      <c r="A99" s="45" t="s">
        <v>642</v>
      </c>
      <c r="B99" s="46"/>
      <c r="C99" s="84" t="s">
        <v>643</v>
      </c>
      <c r="D99" s="85"/>
    </row>
    <row r="100" spans="1:5" x14ac:dyDescent="0.2">
      <c r="A100" s="86"/>
      <c r="B100" s="87"/>
      <c r="C100" s="47" t="s">
        <v>644</v>
      </c>
      <c r="D100" s="47" t="s">
        <v>645</v>
      </c>
    </row>
    <row r="101" spans="1:5" x14ac:dyDescent="0.2">
      <c r="A101" s="48" t="s">
        <v>639</v>
      </c>
      <c r="B101" s="49"/>
      <c r="C101" s="50">
        <v>0.31694198800000001</v>
      </c>
      <c r="D101" s="50">
        <v>0.29348986040000002</v>
      </c>
    </row>
    <row r="102" spans="1:5" x14ac:dyDescent="0.2">
      <c r="A102" s="48" t="s">
        <v>641</v>
      </c>
      <c r="B102" s="49"/>
      <c r="C102" s="50">
        <v>0.31694198800000001</v>
      </c>
      <c r="D102" s="50">
        <v>0.29348986040000002</v>
      </c>
    </row>
    <row r="103" spans="1:5" x14ac:dyDescent="0.2">
      <c r="A103" s="4"/>
      <c r="D103" s="44"/>
    </row>
    <row r="104" spans="1:5" x14ac:dyDescent="0.2">
      <c r="A104" s="4" t="s">
        <v>647</v>
      </c>
      <c r="D104" s="53">
        <v>4.4841302796285589</v>
      </c>
      <c r="E104" s="73" t="s">
        <v>1281</v>
      </c>
    </row>
  </sheetData>
  <mergeCells count="1">
    <mergeCell ref="A1:F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2CCDD-982A-4B23-A46E-8D133BEA9A38}">
  <dimension ref="A1:F131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69.140625" style="2" bestFit="1" customWidth="1"/>
    <col min="3" max="3" width="11.7109375" style="2" bestFit="1" customWidth="1"/>
    <col min="4" max="4" width="7.42578125" style="2" bestFit="1" customWidth="1"/>
    <col min="5" max="5" width="23" style="73" bestFit="1" customWidth="1"/>
    <col min="6" max="6" width="13.5703125" style="73" bestFit="1" customWidth="1"/>
    <col min="7" max="16384" width="9.140625" style="2"/>
  </cols>
  <sheetData>
    <row r="1" spans="1:6" ht="15" customHeight="1" x14ac:dyDescent="0.2">
      <c r="A1" s="108" t="s">
        <v>1282</v>
      </c>
      <c r="B1" s="108"/>
      <c r="C1" s="108"/>
      <c r="D1" s="108"/>
      <c r="E1" s="108"/>
      <c r="F1" s="108"/>
    </row>
    <row r="3" spans="1:6" s="4" customFormat="1" x14ac:dyDescent="0.2">
      <c r="A3" s="64" t="s">
        <v>1</v>
      </c>
      <c r="B3" s="64" t="s">
        <v>2</v>
      </c>
      <c r="C3" s="64" t="s">
        <v>716</v>
      </c>
      <c r="D3" s="64" t="s">
        <v>4</v>
      </c>
      <c r="E3" s="65" t="s">
        <v>5</v>
      </c>
      <c r="F3" s="65" t="s">
        <v>6</v>
      </c>
    </row>
    <row r="4" spans="1:6" x14ac:dyDescent="0.2">
      <c r="A4" s="66"/>
      <c r="B4" s="66"/>
      <c r="C4" s="66"/>
      <c r="D4" s="66"/>
      <c r="E4" s="67"/>
      <c r="F4" s="67"/>
    </row>
    <row r="5" spans="1:6" x14ac:dyDescent="0.2">
      <c r="A5" s="38" t="s">
        <v>359</v>
      </c>
      <c r="B5" s="39"/>
      <c r="C5" s="39"/>
      <c r="D5" s="39"/>
      <c r="E5" s="68"/>
      <c r="F5" s="68"/>
    </row>
    <row r="6" spans="1:6" x14ac:dyDescent="0.2">
      <c r="A6" s="38" t="s">
        <v>8</v>
      </c>
      <c r="B6" s="39"/>
      <c r="C6" s="39"/>
      <c r="D6" s="39"/>
      <c r="E6" s="68"/>
      <c r="F6" s="68"/>
    </row>
    <row r="7" spans="1:6" x14ac:dyDescent="0.2">
      <c r="A7" s="38"/>
      <c r="B7" s="39"/>
      <c r="C7" s="39"/>
      <c r="D7" s="39"/>
      <c r="E7" s="68"/>
      <c r="F7" s="68"/>
    </row>
    <row r="8" spans="1:6" x14ac:dyDescent="0.2">
      <c r="A8" s="39" t="s">
        <v>900</v>
      </c>
      <c r="B8" s="39" t="str">
        <f>IFERROR(VLOOKUP(A8,[1]Bonds!$B$1:$K$2669,10,0),VLOOKUP(A8,[1]CPCD!$B$1:$H$1476,7,0))</f>
        <v>10.25% Shriram Transport Finance Co Ltd (26-Apr-2024) **</v>
      </c>
      <c r="C8" s="39" t="s">
        <v>727</v>
      </c>
      <c r="D8" s="39">
        <v>2750</v>
      </c>
      <c r="E8" s="68">
        <v>25453.037499999999</v>
      </c>
      <c r="F8" s="68">
        <v>6.3929428655356704</v>
      </c>
    </row>
    <row r="9" spans="1:6" x14ac:dyDescent="0.2">
      <c r="A9" s="39" t="s">
        <v>810</v>
      </c>
      <c r="B9" s="39" t="str">
        <f>IFERROR(VLOOKUP(A9,[1]Bonds!$B$1:$K$2669,10,0),VLOOKUP(A9,[1]CPCD!$B$1:$H$1476,7,0))</f>
        <v>10.15% Uttar Pradesh Power Corp Ltd (20-Jan-2023) **</v>
      </c>
      <c r="C9" s="39" t="s">
        <v>731</v>
      </c>
      <c r="D9" s="39">
        <v>1112</v>
      </c>
      <c r="E9" s="68">
        <v>11012.93664</v>
      </c>
      <c r="F9" s="68">
        <v>2.7660775151603998</v>
      </c>
    </row>
    <row r="10" spans="1:6" x14ac:dyDescent="0.2">
      <c r="A10" s="39" t="s">
        <v>907</v>
      </c>
      <c r="B10" s="39" t="str">
        <f>IFERROR(VLOOKUP(A10,[1]Bonds!$B$1:$K$2669,10,0),VLOOKUP(A10,[1]CPCD!$B$1:$H$1476,7,0))</f>
        <v>9.10% Piramal Enterprises Ltd (29-May-2020) **</v>
      </c>
      <c r="C10" s="39" t="s">
        <v>367</v>
      </c>
      <c r="D10" s="39">
        <v>1000</v>
      </c>
      <c r="E10" s="68">
        <v>9997.0560000000005</v>
      </c>
      <c r="F10" s="68">
        <v>2.5109226288438302</v>
      </c>
    </row>
    <row r="11" spans="1:6" x14ac:dyDescent="0.2">
      <c r="A11" s="39" t="s">
        <v>724</v>
      </c>
      <c r="B11" s="39" t="str">
        <f>IFERROR(VLOOKUP(A11,[1]Bonds!$B$1:$K$2669,10,0),VLOOKUP(A11,[1]CPCD!$B$1:$H$1476,7,0))</f>
        <v>Edelweiss Rural &amp; Corporate Services Ltd (1Y SBI MCLR + 150 Bps) (29-Nov-2021) - Series II **</v>
      </c>
      <c r="C11" s="39" t="s">
        <v>370</v>
      </c>
      <c r="D11" s="39">
        <v>1000</v>
      </c>
      <c r="E11" s="68">
        <v>9918.6</v>
      </c>
      <c r="F11" s="68">
        <v>2.4912171329689898</v>
      </c>
    </row>
    <row r="12" spans="1:6" x14ac:dyDescent="0.2">
      <c r="A12" s="39" t="s">
        <v>1191</v>
      </c>
      <c r="B12" s="39" t="str">
        <f>IFERROR(VLOOKUP(A12,[1]Bonds!$B$1:$K$2669,10,0),VLOOKUP(A12,[1]CPCD!$B$1:$H$1476,7,0))</f>
        <v>12.50% Jm Financial Asset Reconstruction Co Ltd (02-Aug-2022) **</v>
      </c>
      <c r="C12" s="39" t="s">
        <v>723</v>
      </c>
      <c r="D12" s="39">
        <v>1000</v>
      </c>
      <c r="E12" s="68">
        <v>9890.57</v>
      </c>
      <c r="F12" s="68">
        <v>2.48417694420877</v>
      </c>
    </row>
    <row r="13" spans="1:6" x14ac:dyDescent="0.2">
      <c r="A13" s="39" t="s">
        <v>914</v>
      </c>
      <c r="B13" s="39" t="str">
        <f>IFERROR(VLOOKUP(A13,[1]Bonds!$B$1:$K$2669,10,0),VLOOKUP(A13,[1]CPCD!$B$1:$H$1476,7,0))</f>
        <v>9.10% India Grid Trust (03-Jun-2022)</v>
      </c>
      <c r="C13" s="39" t="s">
        <v>361</v>
      </c>
      <c r="D13" s="39">
        <v>950</v>
      </c>
      <c r="E13" s="68">
        <v>9588.1504999999997</v>
      </c>
      <c r="F13" s="68">
        <v>2.4082193857081799</v>
      </c>
    </row>
    <row r="14" spans="1:6" x14ac:dyDescent="0.2">
      <c r="A14" s="39" t="s">
        <v>799</v>
      </c>
      <c r="B14" s="39" t="str">
        <f>IFERROR(VLOOKUP(A14,[1]Bonds!$B$1:$K$2669,10,0),VLOOKUP(A14,[1]CPCD!$B$1:$H$1476,7,0))</f>
        <v>8.9508% Pipeline Infrastructure Pvt Ltd (22-Mar-2024)</v>
      </c>
      <c r="C14" s="39" t="s">
        <v>361</v>
      </c>
      <c r="D14" s="39">
        <v>950</v>
      </c>
      <c r="E14" s="68">
        <v>9563.6689999999999</v>
      </c>
      <c r="F14" s="68">
        <v>2.4020704602307199</v>
      </c>
    </row>
    <row r="15" spans="1:6" x14ac:dyDescent="0.2">
      <c r="A15" s="39" t="s">
        <v>1183</v>
      </c>
      <c r="B15" s="39" t="str">
        <f>IFERROR(VLOOKUP(A15,[1]Bonds!$B$1:$K$2669,10,0),VLOOKUP(A15,[1]CPCD!$B$1:$H$1476,7,0))</f>
        <v>10.32% Andhra Pradesh Capital Region Development Authority (16-Aug-2027) **</v>
      </c>
      <c r="C15" s="39" t="s">
        <v>731</v>
      </c>
      <c r="D15" s="39">
        <v>4810</v>
      </c>
      <c r="E15" s="68">
        <v>9547.4748199999995</v>
      </c>
      <c r="F15" s="68">
        <v>2.39800302947735</v>
      </c>
    </row>
    <row r="16" spans="1:6" x14ac:dyDescent="0.2">
      <c r="A16" s="39" t="s">
        <v>903</v>
      </c>
      <c r="B16" s="39" t="str">
        <f>IFERROR(VLOOKUP(A16,[1]Bonds!$B$1:$K$2669,10,0),VLOOKUP(A16,[1]CPCD!$B$1:$H$1476,7,0))</f>
        <v>9.10% Power Finance Corp Ltd (23-Mar-2029) **</v>
      </c>
      <c r="C16" s="39" t="s">
        <v>361</v>
      </c>
      <c r="D16" s="39">
        <v>915</v>
      </c>
      <c r="E16" s="68">
        <v>9470.7898499999992</v>
      </c>
      <c r="F16" s="68">
        <v>2.3787423564886998</v>
      </c>
    </row>
    <row r="17" spans="1:6" x14ac:dyDescent="0.2">
      <c r="A17" s="39" t="s">
        <v>901</v>
      </c>
      <c r="B17" s="39" t="str">
        <f>IFERROR(VLOOKUP(A17,[1]Bonds!$B$1:$K$2669,10,0),VLOOKUP(A17,[1]CPCD!$B$1:$H$1476,7,0))</f>
        <v>10.90% Vodafone Idea Ltd (02-Sep-2023) **</v>
      </c>
      <c r="C17" s="39" t="s">
        <v>750</v>
      </c>
      <c r="D17" s="39">
        <v>940</v>
      </c>
      <c r="E17" s="68">
        <v>8636.3251999999993</v>
      </c>
      <c r="F17" s="68">
        <v>2.16915303612726</v>
      </c>
    </row>
    <row r="18" spans="1:6" x14ac:dyDescent="0.2">
      <c r="A18" s="39" t="s">
        <v>902</v>
      </c>
      <c r="B18" s="39" t="str">
        <f>IFERROR(VLOOKUP(A18,[1]Bonds!$B$1:$K$2669,10,0),VLOOKUP(A18,[1]CPCD!$B$1:$H$1476,7,0))</f>
        <v>9.50% Piramal Capital &amp; Housing Finance Ltd (15-Apr-2022) **</v>
      </c>
      <c r="C18" s="39" t="s">
        <v>737</v>
      </c>
      <c r="D18" s="39">
        <v>937</v>
      </c>
      <c r="E18" s="68">
        <v>7097.6719300000004</v>
      </c>
      <c r="F18" s="68">
        <v>1.7826953316203</v>
      </c>
    </row>
    <row r="19" spans="1:6" x14ac:dyDescent="0.2">
      <c r="A19" s="39" t="s">
        <v>911</v>
      </c>
      <c r="B19" s="39" t="str">
        <f>IFERROR(VLOOKUP(A19,[1]Bonds!$B$1:$K$2669,10,0),VLOOKUP(A19,[1]CPCD!$B$1:$H$1476,7,0))</f>
        <v>12.30% Sterlite Power Grid Ventures Ltd (28-Mar-2022) **</v>
      </c>
      <c r="C19" s="39" t="s">
        <v>912</v>
      </c>
      <c r="D19" s="39">
        <v>650</v>
      </c>
      <c r="E19" s="68">
        <v>6510.8940000000002</v>
      </c>
      <c r="F19" s="68">
        <v>1.6353165450512199</v>
      </c>
    </row>
    <row r="20" spans="1:6" x14ac:dyDescent="0.2">
      <c r="A20" s="39" t="s">
        <v>904</v>
      </c>
      <c r="B20" s="39" t="str">
        <f>IFERROR(VLOOKUP(A20,[1]Bonds!$B$1:$K$2669,10,0),VLOOKUP(A20,[1]CPCD!$B$1:$H$1476,7,0))</f>
        <v>9.50% Yes Bank Ltd (23-12-2021) **</v>
      </c>
      <c r="C20" s="39" t="s">
        <v>905</v>
      </c>
      <c r="D20" s="39">
        <v>682</v>
      </c>
      <c r="E20" s="68">
        <v>5986.8892599999999</v>
      </c>
      <c r="F20" s="68">
        <v>1.50370426246648</v>
      </c>
    </row>
    <row r="21" spans="1:6" x14ac:dyDescent="0.2">
      <c r="A21" s="39" t="s">
        <v>928</v>
      </c>
      <c r="B21" s="39" t="str">
        <f>IFERROR(VLOOKUP(A21,[1]Bonds!$B$1:$K$2669,10,0),VLOOKUP(A21,[1]CPCD!$B$1:$H$1476,7,0))</f>
        <v>12.64% Five-Star Business Finance Ltd (28-May-2022) **</v>
      </c>
      <c r="C21" s="39" t="s">
        <v>839</v>
      </c>
      <c r="D21" s="39">
        <v>560</v>
      </c>
      <c r="E21" s="68">
        <v>5612.0735999999997</v>
      </c>
      <c r="F21" s="68">
        <v>1.4095632351141201</v>
      </c>
    </row>
    <row r="22" spans="1:6" x14ac:dyDescent="0.2">
      <c r="A22" s="39" t="s">
        <v>764</v>
      </c>
      <c r="B22" s="39" t="str">
        <f>IFERROR(VLOOKUP(A22,[1]Bonds!$B$1:$K$2669,10,0),VLOOKUP(A22,[1]CPCD!$B$1:$H$1476,7,0))</f>
        <v>12.25% DLF Ltd, Series IV (11-Aug-2020) **</v>
      </c>
      <c r="C22" s="39" t="s">
        <v>740</v>
      </c>
      <c r="D22" s="39">
        <v>11</v>
      </c>
      <c r="E22" s="68">
        <v>5592.1360000000004</v>
      </c>
      <c r="F22" s="68">
        <v>1.4045555837610799</v>
      </c>
    </row>
    <row r="23" spans="1:6" x14ac:dyDescent="0.2">
      <c r="A23" s="39" t="s">
        <v>1274</v>
      </c>
      <c r="B23" s="39" t="str">
        <f>IFERROR(VLOOKUP(A23,[1]Bonds!$B$1:$K$2669,10,0),VLOOKUP(A23,[1]CPCD!$B$1:$H$1476,7,0))</f>
        <v>9.95% Vastu Housing Finance Corp Ltd (27-Feb-2025) **</v>
      </c>
      <c r="C23" s="39" t="s">
        <v>781</v>
      </c>
      <c r="D23" s="39">
        <v>560</v>
      </c>
      <c r="E23" s="68">
        <v>5251.0695999999998</v>
      </c>
      <c r="F23" s="68">
        <v>1.31889123000551</v>
      </c>
    </row>
    <row r="24" spans="1:6" x14ac:dyDescent="0.2">
      <c r="A24" s="39" t="s">
        <v>1283</v>
      </c>
      <c r="B24" s="39" t="str">
        <f>IFERROR(VLOOKUP(A24,[1]Bonds!$B$1:$K$2669,10,0),VLOOKUP(A24,[1]CPCD!$B$1:$H$1476,7,0))</f>
        <v>10.9007% Esskay Fincorp Ltd (11-Jun-2021) **</v>
      </c>
      <c r="C24" s="39" t="s">
        <v>781</v>
      </c>
      <c r="D24" s="39">
        <v>500</v>
      </c>
      <c r="E24" s="68">
        <v>4927.875</v>
      </c>
      <c r="F24" s="68">
        <v>1.2377156684541699</v>
      </c>
    </row>
    <row r="25" spans="1:6" x14ac:dyDescent="0.2">
      <c r="A25" s="39" t="s">
        <v>1194</v>
      </c>
      <c r="B25" s="39" t="str">
        <f>IFERROR(VLOOKUP(A25,[1]Bonds!$B$1:$K$2669,10,0),VLOOKUP(A25,[1]CPCD!$B$1:$H$1476,7,0))</f>
        <v>9.55% Piramal Capital &amp; Housing Finance Ltd (08-Mar-2027) **</v>
      </c>
      <c r="C25" s="39" t="s">
        <v>737</v>
      </c>
      <c r="D25" s="39">
        <v>585</v>
      </c>
      <c r="E25" s="68">
        <v>4863.0933000000005</v>
      </c>
      <c r="F25" s="68">
        <v>1.22144469463298</v>
      </c>
    </row>
    <row r="26" spans="1:6" x14ac:dyDescent="0.2">
      <c r="A26" s="39" t="s">
        <v>368</v>
      </c>
      <c r="B26" s="39" t="str">
        <f>IFERROR(VLOOKUP(A26,[1]Bonds!$B$1:$K$2669,10,0),VLOOKUP(A26,[1]CPCD!$B$1:$H$1476,7,0))</f>
        <v>8.85% Rec Ltd (16-Apr-2029) **</v>
      </c>
      <c r="C26" s="39" t="s">
        <v>361</v>
      </c>
      <c r="D26" s="39">
        <v>445</v>
      </c>
      <c r="E26" s="68">
        <v>4589.6765999999998</v>
      </c>
      <c r="F26" s="68">
        <v>1.15277165937802</v>
      </c>
    </row>
    <row r="27" spans="1:6" x14ac:dyDescent="0.2">
      <c r="A27" s="39" t="s">
        <v>922</v>
      </c>
      <c r="B27" s="39" t="str">
        <f>IFERROR(VLOOKUP(A27,[1]Bonds!$B$1:$K$2669,10,0),VLOOKUP(A27,[1]CPCD!$B$1:$H$1476,7,0))</f>
        <v>8.70% Edelweiss Rural &amp; Corporate Services Ltd (30-Jun-2027) **</v>
      </c>
      <c r="C27" s="39" t="s">
        <v>723</v>
      </c>
      <c r="D27" s="39">
        <v>450</v>
      </c>
      <c r="E27" s="68">
        <v>4310.9369999999999</v>
      </c>
      <c r="F27" s="68">
        <v>1.0827616915239999</v>
      </c>
    </row>
    <row r="28" spans="1:6" x14ac:dyDescent="0.2">
      <c r="A28" s="39" t="s">
        <v>1271</v>
      </c>
      <c r="B28" s="39" t="str">
        <f>IFERROR(VLOOKUP(A28,[1]Bonds!$B$1:$K$2669,10,0),VLOOKUP(A28,[1]CPCD!$B$1:$H$1476,7,0))</f>
        <v>12.25% DLF Ltd., Tranche II Series IV, (11-Aug-2020) **</v>
      </c>
      <c r="C28" s="39" t="s">
        <v>740</v>
      </c>
      <c r="D28" s="39">
        <v>8</v>
      </c>
      <c r="E28" s="68">
        <v>4067.0079999999998</v>
      </c>
      <c r="F28" s="68">
        <v>1.02149497000806</v>
      </c>
    </row>
    <row r="29" spans="1:6" x14ac:dyDescent="0.2">
      <c r="A29" s="39" t="s">
        <v>915</v>
      </c>
      <c r="B29" s="39" t="str">
        <f>IFERROR(VLOOKUP(A29,[1]Bonds!$B$1:$K$2669,10,0),VLOOKUP(A29,[1]CPCD!$B$1:$H$1476,7,0))</f>
        <v>8.97% Rec Ltd (28-Mar-2029) **</v>
      </c>
      <c r="C29" s="39" t="s">
        <v>916</v>
      </c>
      <c r="D29" s="39">
        <v>390</v>
      </c>
      <c r="E29" s="68">
        <v>4004.9802</v>
      </c>
      <c r="F29" s="68">
        <v>1.00591568280217</v>
      </c>
    </row>
    <row r="30" spans="1:6" x14ac:dyDescent="0.2">
      <c r="A30" s="39" t="s">
        <v>1161</v>
      </c>
      <c r="B30" s="39" t="str">
        <f>IFERROR(VLOOKUP(A30,[1]Bonds!$B$1:$K$2669,10,0),VLOOKUP(A30,[1]CPCD!$B$1:$H$1476,7,0))</f>
        <v>9.50% Piramal Capital &amp; Housing Finance Ltd (21-Apr-2022) **</v>
      </c>
      <c r="C30" s="39" t="s">
        <v>737</v>
      </c>
      <c r="D30" s="39">
        <v>475</v>
      </c>
      <c r="E30" s="68">
        <v>3596.9992499999998</v>
      </c>
      <c r="F30" s="68">
        <v>0.90344465538247298</v>
      </c>
    </row>
    <row r="31" spans="1:6" x14ac:dyDescent="0.2">
      <c r="A31" s="39" t="s">
        <v>783</v>
      </c>
      <c r="B31" s="39" t="str">
        <f>IFERROR(VLOOKUP(A31,[1]Bonds!$B$1:$K$2669,10,0),VLOOKUP(A31,[1]CPCD!$B$1:$H$1476,7,0))</f>
        <v>11.75% AU Small Finance Bank Ltd (04-May-2021) **</v>
      </c>
      <c r="C31" s="39" t="s">
        <v>753</v>
      </c>
      <c r="D31" s="39">
        <v>300</v>
      </c>
      <c r="E31" s="68">
        <v>3043.665</v>
      </c>
      <c r="F31" s="68">
        <v>0.76446579104087797</v>
      </c>
    </row>
    <row r="32" spans="1:6" x14ac:dyDescent="0.2">
      <c r="A32" s="39" t="s">
        <v>1190</v>
      </c>
      <c r="B32" s="39" t="str">
        <f>IFERROR(VLOOKUP(A32,[1]Bonds!$B$1:$K$2669,10,0),VLOOKUP(A32,[1]CPCD!$B$1:$H$1476,7,0))</f>
        <v>9.75% Uttar Pradesh Power Corp Ltd (20-Oct-2022) **</v>
      </c>
      <c r="C32" s="39" t="s">
        <v>731</v>
      </c>
      <c r="D32" s="39">
        <v>300</v>
      </c>
      <c r="E32" s="68">
        <v>2952.6570000000002</v>
      </c>
      <c r="F32" s="68">
        <v>0.74160765694561903</v>
      </c>
    </row>
    <row r="33" spans="1:6" x14ac:dyDescent="0.2">
      <c r="A33" s="39" t="s">
        <v>1284</v>
      </c>
      <c r="B33" s="39" t="str">
        <f>IFERROR(VLOOKUP(A33,[1]Bonds!$B$1:$K$2669,10,0),VLOOKUP(A33,[1]CPCD!$B$1:$H$1476,7,0))</f>
        <v>11.00% Motilal Oswal Home Finance Ltd (03-May-2021) **</v>
      </c>
      <c r="C33" s="39" t="s">
        <v>740</v>
      </c>
      <c r="D33" s="39">
        <v>300</v>
      </c>
      <c r="E33" s="68">
        <v>2943.375</v>
      </c>
      <c r="F33" s="68">
        <v>0.73927633221952604</v>
      </c>
    </row>
    <row r="34" spans="1:6" x14ac:dyDescent="0.2">
      <c r="A34" s="39" t="s">
        <v>1158</v>
      </c>
      <c r="B34" s="39" t="str">
        <f>IFERROR(VLOOKUP(A34,[1]Bonds!$B$1:$K$2669,10,0),VLOOKUP(A34,[1]CPCD!$B$1:$H$1476,7,0))</f>
        <v>0.00% Sadbhav Infrastructure Project Ltd (23-Apr-2023) **</v>
      </c>
      <c r="C34" s="39" t="s">
        <v>1012</v>
      </c>
      <c r="D34" s="39">
        <v>250</v>
      </c>
      <c r="E34" s="68">
        <v>2850.7624999999998</v>
      </c>
      <c r="F34" s="68">
        <v>0.71601520194639401</v>
      </c>
    </row>
    <row r="35" spans="1:6" x14ac:dyDescent="0.2">
      <c r="A35" s="39" t="s">
        <v>969</v>
      </c>
      <c r="B35" s="39" t="str">
        <f>IFERROR(VLOOKUP(A35,[1]Bonds!$B$1:$K$2669,10,0),VLOOKUP(A35,[1]CPCD!$B$1:$H$1476,7,0))</f>
        <v>11.30% Hinduja Leyland Finance Ltd (21-Jul-2021) **</v>
      </c>
      <c r="C35" s="39" t="s">
        <v>723</v>
      </c>
      <c r="D35" s="39">
        <v>280</v>
      </c>
      <c r="E35" s="68">
        <v>2795.8364000000001</v>
      </c>
      <c r="F35" s="68">
        <v>0.702219621787181</v>
      </c>
    </row>
    <row r="36" spans="1:6" x14ac:dyDescent="0.2">
      <c r="A36" s="39" t="s">
        <v>1285</v>
      </c>
      <c r="B36" s="39" t="str">
        <f>IFERROR(VLOOKUP(A36,[1]Bonds!$B$1:$K$2669,10,0),VLOOKUP(A36,[1]CPCD!$B$1:$H$1476,7,0))</f>
        <v>9.75% Uttar Pradesh Power Corp Ltd (20-Oct-2023) **</v>
      </c>
      <c r="C36" s="39" t="s">
        <v>731</v>
      </c>
      <c r="D36" s="39">
        <v>270</v>
      </c>
      <c r="E36" s="68">
        <v>2635.6266000000001</v>
      </c>
      <c r="F36" s="68">
        <v>0.66198033412263901</v>
      </c>
    </row>
    <row r="37" spans="1:6" x14ac:dyDescent="0.2">
      <c r="A37" s="39" t="s">
        <v>948</v>
      </c>
      <c r="B37" s="39" t="str">
        <f>IFERROR(VLOOKUP(A37,[1]Bonds!$B$1:$K$2669,10,0),VLOOKUP(A37,[1]CPCD!$B$1:$H$1476,7,0))</f>
        <v>9.75% Jamnagar Utilities &amp; Power Pvt Ltd (02-Aug-2024) **</v>
      </c>
      <c r="C37" s="39" t="s">
        <v>361</v>
      </c>
      <c r="D37" s="39">
        <v>250</v>
      </c>
      <c r="E37" s="68">
        <v>2586.2525000000001</v>
      </c>
      <c r="F37" s="68">
        <v>0.64957922874033402</v>
      </c>
    </row>
    <row r="38" spans="1:6" x14ac:dyDescent="0.2">
      <c r="A38" s="39" t="s">
        <v>363</v>
      </c>
      <c r="B38" s="39" t="str">
        <f>IFERROR(VLOOKUP(A38,[1]Bonds!$B$1:$K$2669,10,0),VLOOKUP(A38,[1]CPCD!$B$1:$H$1476,7,0))</f>
        <v>9.70% Coastal Gujarat Power Ltd (25-Aug-2023) **</v>
      </c>
      <c r="C38" s="39" t="s">
        <v>364</v>
      </c>
      <c r="D38" s="39">
        <v>250</v>
      </c>
      <c r="E38" s="68">
        <v>2513.5774999999999</v>
      </c>
      <c r="F38" s="68">
        <v>0.63132572470362303</v>
      </c>
    </row>
    <row r="39" spans="1:6" x14ac:dyDescent="0.2">
      <c r="A39" s="39" t="s">
        <v>920</v>
      </c>
      <c r="B39" s="39" t="str">
        <f>IFERROR(VLOOKUP(A39,[1]Bonds!$B$1:$K$2669,10,0),VLOOKUP(A39,[1]CPCD!$B$1:$H$1476,7,0))</f>
        <v>12.64% Five-Star Business Finance Ltd (16-Apr-2022) **</v>
      </c>
      <c r="C39" s="39" t="s">
        <v>839</v>
      </c>
      <c r="D39" s="39">
        <v>250</v>
      </c>
      <c r="E39" s="68">
        <v>2505.1824999999999</v>
      </c>
      <c r="F39" s="68">
        <v>0.62921718440244401</v>
      </c>
    </row>
    <row r="40" spans="1:6" x14ac:dyDescent="0.2">
      <c r="A40" s="39" t="s">
        <v>797</v>
      </c>
      <c r="B40" s="39" t="str">
        <f>IFERROR(VLOOKUP(A40,[1]Bonds!$B$1:$K$2669,10,0),VLOOKUP(A40,[1]CPCD!$B$1:$H$1476,7,0))</f>
        <v>9.70% Xander Finance Pvt Ltd (30-Apr-2021) **</v>
      </c>
      <c r="C40" s="39" t="s">
        <v>740</v>
      </c>
      <c r="D40" s="39">
        <v>250</v>
      </c>
      <c r="E40" s="68">
        <v>2476.1849999999999</v>
      </c>
      <c r="F40" s="68">
        <v>0.62193399233770996</v>
      </c>
    </row>
    <row r="41" spans="1:6" x14ac:dyDescent="0.2">
      <c r="A41" s="39" t="s">
        <v>935</v>
      </c>
      <c r="B41" s="39" t="str">
        <f>IFERROR(VLOOKUP(A41,[1]Bonds!$B$1:$K$2669,10,0),VLOOKUP(A41,[1]CPCD!$B$1:$H$1476,7,0))</f>
        <v>10.9007% Ess Kay Fincorp Limited (11-Jun-2021) **</v>
      </c>
      <c r="C41" s="39" t="s">
        <v>781</v>
      </c>
      <c r="D41" s="39">
        <v>250</v>
      </c>
      <c r="E41" s="68">
        <v>2468.2725</v>
      </c>
      <c r="F41" s="68">
        <v>0.61994663973103004</v>
      </c>
    </row>
    <row r="42" spans="1:6" x14ac:dyDescent="0.2">
      <c r="A42" s="39" t="s">
        <v>809</v>
      </c>
      <c r="B42" s="39" t="str">
        <f>IFERROR(VLOOKUP(A42,[1]Bonds!$B$1:$K$2669,10,0),VLOOKUP(A42,[1]CPCD!$B$1:$H$1476,7,0))</f>
        <v>8.70% Edelweiss Rural &amp; Corporate Services Ltd (30-Jun-2027) **</v>
      </c>
      <c r="C42" s="39" t="s">
        <v>723</v>
      </c>
      <c r="D42" s="39">
        <v>250</v>
      </c>
      <c r="E42" s="68">
        <v>2392.5050000000001</v>
      </c>
      <c r="F42" s="68">
        <v>0.60091640420159798</v>
      </c>
    </row>
    <row r="43" spans="1:6" x14ac:dyDescent="0.2">
      <c r="A43" s="39" t="s">
        <v>954</v>
      </c>
      <c r="B43" s="39" t="str">
        <f>IFERROR(VLOOKUP(A43,[1]Bonds!$B$1:$K$2669,10,0),VLOOKUP(A43,[1]CPCD!$B$1:$H$1476,7,0))</f>
        <v>9.40% Hinduja Leyland Finance Ltd (28-Aug-2024) **</v>
      </c>
      <c r="C43" s="39" t="s">
        <v>721</v>
      </c>
      <c r="D43" s="39">
        <v>250</v>
      </c>
      <c r="E43" s="68">
        <v>2282.5349999999999</v>
      </c>
      <c r="F43" s="68">
        <v>0.57329565650407999</v>
      </c>
    </row>
    <row r="44" spans="1:6" x14ac:dyDescent="0.2">
      <c r="A44" s="39" t="s">
        <v>767</v>
      </c>
      <c r="B44" s="39" t="str">
        <f>IFERROR(VLOOKUP(A44,[1]Bonds!$B$1:$K$2669,10,0),VLOOKUP(A44,[1]CPCD!$B$1:$H$1476,7,0))</f>
        <v>9.00% Edelweiss Rural &amp; Corporate Services Ltd (17-Apr-2020) **</v>
      </c>
      <c r="C44" s="39" t="s">
        <v>723</v>
      </c>
      <c r="D44" s="39">
        <v>211</v>
      </c>
      <c r="E44" s="68">
        <v>2166.8033099999998</v>
      </c>
      <c r="F44" s="68">
        <v>0.54422776698787301</v>
      </c>
    </row>
    <row r="45" spans="1:6" x14ac:dyDescent="0.2">
      <c r="A45" s="39" t="s">
        <v>913</v>
      </c>
      <c r="B45" s="39" t="str">
        <f>IFERROR(VLOOKUP(A45,[1]Bonds!$B$1:$K$2669,10,0),VLOOKUP(A45,[1]CPCD!$B$1:$H$1476,7,0))</f>
        <v>11.00% Vivriti Capital Pvt Ltd (19-Mar-2021) **</v>
      </c>
      <c r="C45" s="39" t="s">
        <v>804</v>
      </c>
      <c r="D45" s="39">
        <v>200</v>
      </c>
      <c r="E45" s="68">
        <v>1980.672</v>
      </c>
      <c r="F45" s="68">
        <v>0.49747787199725302</v>
      </c>
    </row>
    <row r="46" spans="1:6" x14ac:dyDescent="0.2">
      <c r="A46" s="39" t="s">
        <v>933</v>
      </c>
      <c r="B46" s="39" t="str">
        <f>IFERROR(VLOOKUP(A46,[1]Bonds!$B$1:$K$2669,10,0),VLOOKUP(A46,[1]CPCD!$B$1:$H$1476,7,0))</f>
        <v>11.60% Hinduja Leyland Finance Ltd (29-Sep-2024) **</v>
      </c>
      <c r="C46" s="39" t="s">
        <v>721</v>
      </c>
      <c r="D46" s="39">
        <v>200</v>
      </c>
      <c r="E46" s="68">
        <v>1976.4739999999999</v>
      </c>
      <c r="F46" s="68">
        <v>0.49642347626355998</v>
      </c>
    </row>
    <row r="47" spans="1:6" x14ac:dyDescent="0.2">
      <c r="A47" s="39" t="s">
        <v>926</v>
      </c>
      <c r="B47" s="39" t="str">
        <f>IFERROR(VLOOKUP(A47,[1]Bonds!$B$1:$K$2669,10,0),VLOOKUP(A47,[1]CPCD!$B$1:$H$1476,7,0))</f>
        <v>8.85% Power Finance Corp Ltd (25-May-2029)</v>
      </c>
      <c r="C47" s="39" t="s">
        <v>361</v>
      </c>
      <c r="D47" s="39">
        <v>190</v>
      </c>
      <c r="E47" s="68">
        <v>1963.3422</v>
      </c>
      <c r="F47" s="68">
        <v>0.49312521187677999</v>
      </c>
    </row>
    <row r="48" spans="1:6" x14ac:dyDescent="0.2">
      <c r="A48" s="39" t="s">
        <v>1286</v>
      </c>
      <c r="B48" s="39" t="str">
        <f>IFERROR(VLOOKUP(A48,[1]Bonds!$B$1:$K$2669,10,0),VLOOKUP(A48,[1]CPCD!$B$1:$H$1476,7,0))</f>
        <v>11.00% Motilal Oswal Home Finance Ltd (16-May-2021) **</v>
      </c>
      <c r="C48" s="39" t="s">
        <v>740</v>
      </c>
      <c r="D48" s="39">
        <v>200</v>
      </c>
      <c r="E48" s="68">
        <v>1961.492</v>
      </c>
      <c r="F48" s="68">
        <v>0.49266050416203999</v>
      </c>
    </row>
    <row r="49" spans="1:6" x14ac:dyDescent="0.2">
      <c r="A49" s="39" t="s">
        <v>955</v>
      </c>
      <c r="B49" s="39" t="str">
        <f>IFERROR(VLOOKUP(A49,[1]Bonds!$B$1:$K$2669,10,0),VLOOKUP(A49,[1]CPCD!$B$1:$H$1476,7,0))</f>
        <v>8.30% Rec Ltd (25-Jun-2029) **</v>
      </c>
      <c r="C49" s="39" t="s">
        <v>361</v>
      </c>
      <c r="D49" s="39">
        <v>180</v>
      </c>
      <c r="E49" s="68">
        <v>1793.2518</v>
      </c>
      <c r="F49" s="68">
        <v>0.45040425139510398</v>
      </c>
    </row>
    <row r="50" spans="1:6" x14ac:dyDescent="0.2">
      <c r="A50" s="39" t="s">
        <v>747</v>
      </c>
      <c r="B50" s="39" t="str">
        <f>IFERROR(VLOOKUP(A50,[1]Bonds!$B$1:$K$2669,10,0),VLOOKUP(A50,[1]CPCD!$B$1:$H$1476,7,0))</f>
        <v>11.80% Tata Steel Ltd (18-Mar-2021) **</v>
      </c>
      <c r="C50" s="39" t="s">
        <v>721</v>
      </c>
      <c r="D50" s="39">
        <v>170</v>
      </c>
      <c r="E50" s="68">
        <v>1759.9912999999999</v>
      </c>
      <c r="F50" s="68">
        <v>0.44205033779327302</v>
      </c>
    </row>
    <row r="51" spans="1:6" x14ac:dyDescent="0.2">
      <c r="A51" s="39" t="s">
        <v>940</v>
      </c>
      <c r="B51" s="39" t="str">
        <f>IFERROR(VLOOKUP(A51,[1]Bonds!$B$1:$K$2669,10,0),VLOOKUP(A51,[1]CPCD!$B$1:$H$1476,7,0))</f>
        <v>9.90% Coastal Gujarat Power Ltd (25-Aug-2028) **</v>
      </c>
      <c r="C51" s="39" t="s">
        <v>364</v>
      </c>
      <c r="D51" s="39">
        <v>170</v>
      </c>
      <c r="E51" s="68">
        <v>1702.5007000000001</v>
      </c>
      <c r="F51" s="68">
        <v>0.42761064189822101</v>
      </c>
    </row>
    <row r="52" spans="1:6" x14ac:dyDescent="0.2">
      <c r="A52" s="39" t="s">
        <v>766</v>
      </c>
      <c r="B52" s="39" t="str">
        <f>IFERROR(VLOOKUP(A52,[1]Bonds!$B$1:$K$2669,10,0),VLOOKUP(A52,[1]CPCD!$B$1:$H$1476,7,0))</f>
        <v>10.15% Uttar Pradesh Power Corp Ltd (20-Jan-2022) **</v>
      </c>
      <c r="C52" s="39" t="s">
        <v>731</v>
      </c>
      <c r="D52" s="39">
        <v>160</v>
      </c>
      <c r="E52" s="68">
        <v>1592.7184</v>
      </c>
      <c r="F52" s="68">
        <v>0.40003703809760999</v>
      </c>
    </row>
    <row r="53" spans="1:6" x14ac:dyDescent="0.2">
      <c r="A53" s="39" t="s">
        <v>943</v>
      </c>
      <c r="B53" s="39" t="str">
        <f>IFERROR(VLOOKUP(A53,[1]Bonds!$B$1:$K$2669,10,0),VLOOKUP(A53,[1]CPCD!$B$1:$H$1476,7,0))</f>
        <v>11.50% Hinduja Leyland Finance Ltd (31-May-2021) **</v>
      </c>
      <c r="C53" s="39" t="s">
        <v>723</v>
      </c>
      <c r="D53" s="39">
        <v>140</v>
      </c>
      <c r="E53" s="68">
        <v>1402.6851999999999</v>
      </c>
      <c r="F53" s="68">
        <v>0.35230712019861998</v>
      </c>
    </row>
    <row r="54" spans="1:6" x14ac:dyDescent="0.2">
      <c r="A54" s="39" t="s">
        <v>958</v>
      </c>
      <c r="B54" s="39" t="str">
        <f>IFERROR(VLOOKUP(A54,[1]Bonds!$B$1:$K$2669,10,0),VLOOKUP(A54,[1]CPCD!$B$1:$H$1476,7,0))</f>
        <v>11.10% Hinduja Leyland Finance Ltd (08-Apr-2022) **</v>
      </c>
      <c r="C54" s="39" t="s">
        <v>721</v>
      </c>
      <c r="D54" s="39">
        <v>100</v>
      </c>
      <c r="E54" s="68">
        <v>991.85400000000004</v>
      </c>
      <c r="F54" s="68">
        <v>0.249120206299662</v>
      </c>
    </row>
    <row r="55" spans="1:6" x14ac:dyDescent="0.2">
      <c r="A55" s="39" t="s">
        <v>807</v>
      </c>
      <c r="B55" s="39" t="str">
        <f>IFERROR(VLOOKUP(A55,[1]Bonds!$B$1:$K$2669,10,0),VLOOKUP(A55,[1]CPCD!$B$1:$H$1476,7,0))</f>
        <v>10.99% Andhra Bank (05-Aug-2021) **</v>
      </c>
      <c r="C55" s="39" t="s">
        <v>735</v>
      </c>
      <c r="D55" s="39">
        <v>58</v>
      </c>
      <c r="E55" s="68">
        <v>585.72518000000002</v>
      </c>
      <c r="F55" s="68">
        <v>0.14711437134548699</v>
      </c>
    </row>
    <row r="56" spans="1:6" x14ac:dyDescent="0.2">
      <c r="A56" s="39" t="s">
        <v>961</v>
      </c>
      <c r="B56" s="39" t="str">
        <f>IFERROR(VLOOKUP(A56,[1]Bonds!$B$1:$K$2669,10,0),VLOOKUP(A56,[1]CPCD!$B$1:$H$1476,7,0))</f>
        <v>9.73% Tata Motors Ltd (01-Oct-2020) **</v>
      </c>
      <c r="C56" s="39" t="s">
        <v>721</v>
      </c>
      <c r="D56" s="39">
        <v>50</v>
      </c>
      <c r="E56" s="68">
        <v>503.68099999999998</v>
      </c>
      <c r="F56" s="68">
        <v>0.12650764591282601</v>
      </c>
    </row>
    <row r="57" spans="1:6" x14ac:dyDescent="0.2">
      <c r="A57" s="39" t="s">
        <v>1287</v>
      </c>
      <c r="B57" s="39" t="str">
        <f>IFERROR(VLOOKUP(A57,[1]Bonds!$B$1:$K$2669,10,0),VLOOKUP(A57,[1]CPCD!$B$1:$H$1476,7,0))</f>
        <v>13.00% AU Small Finance Bank Ltd (19-Sep-2019) **</v>
      </c>
      <c r="C57" s="39" t="s">
        <v>735</v>
      </c>
      <c r="D57" s="39">
        <v>50</v>
      </c>
      <c r="E57" s="68">
        <v>501.20776669999998</v>
      </c>
      <c r="F57" s="68">
        <v>0.125886453287779</v>
      </c>
    </row>
    <row r="58" spans="1:6" x14ac:dyDescent="0.2">
      <c r="A58" s="39" t="s">
        <v>1157</v>
      </c>
      <c r="B58" s="39" t="str">
        <f>IFERROR(VLOOKUP(A58,[1]Bonds!$B$1:$K$2669,10,0),VLOOKUP(A58,[1]CPCD!$B$1:$H$1476,7,0))</f>
        <v>10.75% The Tata Power Co Ltd (21-Aug-2022) **</v>
      </c>
      <c r="C58" s="39" t="s">
        <v>735</v>
      </c>
      <c r="D58" s="39">
        <v>40</v>
      </c>
      <c r="E58" s="68">
        <v>414.33120000000002</v>
      </c>
      <c r="F58" s="68">
        <v>0.104065995620713</v>
      </c>
    </row>
    <row r="59" spans="1:6" x14ac:dyDescent="0.2">
      <c r="A59" s="39" t="s">
        <v>717</v>
      </c>
      <c r="B59" s="39" t="str">
        <f>IFERROR(VLOOKUP(A59,[1]Bonds!$B$1:$K$2669,10,0),VLOOKUP(A59,[1]CPCD!$B$1:$H$1476,7,0))</f>
        <v>9.60% Renew Power Limited (26-Feb-2021) **</v>
      </c>
      <c r="C59" s="39" t="s">
        <v>718</v>
      </c>
      <c r="D59" s="39">
        <v>40</v>
      </c>
      <c r="E59" s="68">
        <v>400.4556</v>
      </c>
      <c r="F59" s="68">
        <v>0.100580913809749</v>
      </c>
    </row>
    <row r="60" spans="1:6" x14ac:dyDescent="0.2">
      <c r="A60" s="39" t="s">
        <v>787</v>
      </c>
      <c r="B60" s="39" t="str">
        <f>IFERROR(VLOOKUP(A60,[1]Bonds!$B$1:$K$2669,10,0),VLOOKUP(A60,[1]CPCD!$B$1:$H$1476,7,0))</f>
        <v>11.40% Tata Power Co Ltd (02-Jun-2021) **</v>
      </c>
      <c r="C60" s="39" t="s">
        <v>737</v>
      </c>
      <c r="D60" s="39">
        <v>20</v>
      </c>
      <c r="E60" s="68">
        <v>206.55279999999999</v>
      </c>
      <c r="F60" s="68">
        <v>5.1879083159187503E-2</v>
      </c>
    </row>
    <row r="61" spans="1:6" x14ac:dyDescent="0.2">
      <c r="A61" s="38" t="s">
        <v>44</v>
      </c>
      <c r="B61" s="39"/>
      <c r="C61" s="39"/>
      <c r="D61" s="39"/>
      <c r="E61" s="69">
        <f>SUM(E8:E60)</f>
        <v>235840.08420670003</v>
      </c>
      <c r="F61" s="69">
        <f>SUM(F8:F60)</f>
        <v>59.235059223739235</v>
      </c>
    </row>
    <row r="62" spans="1:6" x14ac:dyDescent="0.2">
      <c r="A62" s="39"/>
      <c r="B62" s="39"/>
      <c r="C62" s="39"/>
      <c r="D62" s="39"/>
      <c r="E62" s="68"/>
      <c r="F62" s="68"/>
    </row>
    <row r="63" spans="1:6" x14ac:dyDescent="0.2">
      <c r="A63" s="38" t="s">
        <v>815</v>
      </c>
      <c r="B63" s="39"/>
      <c r="C63" s="39"/>
      <c r="D63" s="39"/>
      <c r="E63" s="68"/>
      <c r="F63" s="68"/>
    </row>
    <row r="64" spans="1:6" x14ac:dyDescent="0.2">
      <c r="A64" s="39" t="s">
        <v>981</v>
      </c>
      <c r="B64" s="39" t="str">
        <f>IFERROR(VLOOKUP(A64,[1]Bonds!$B$1:$K$2669,10,0),VLOOKUP(A64,[1]CPCD!$B$1:$H$1476,7,0))</f>
        <v>0.00% Adani Rail Infra Private Limited (28-Apr-2023) **</v>
      </c>
      <c r="C64" s="39" t="s">
        <v>856</v>
      </c>
      <c r="D64" s="39">
        <v>120</v>
      </c>
      <c r="E64" s="68">
        <v>13403.448</v>
      </c>
      <c r="F64" s="68">
        <v>3.3664931843666399</v>
      </c>
    </row>
    <row r="65" spans="1:6" x14ac:dyDescent="0.2">
      <c r="A65" s="39" t="s">
        <v>1288</v>
      </c>
      <c r="B65" s="39" t="str">
        <f>IFERROR(VLOOKUP(A65,[1]Bonds!$B$1:$K$2669,10,0),VLOOKUP(A65,[1]CPCD!$B$1:$H$1476,7,0))</f>
        <v>11.84% Hero Solar Energy Private Limited (10-Jun-2022) **</v>
      </c>
      <c r="C65" s="39" t="s">
        <v>740</v>
      </c>
      <c r="D65" s="39">
        <v>1000</v>
      </c>
      <c r="E65" s="68">
        <v>10075.870000000001</v>
      </c>
      <c r="F65" s="68">
        <v>2.5307180422204998</v>
      </c>
    </row>
    <row r="66" spans="1:6" x14ac:dyDescent="0.2">
      <c r="A66" s="39" t="s">
        <v>1009</v>
      </c>
      <c r="B66" s="39" t="str">
        <f>IFERROR(VLOOKUP(A66,[1]Bonds!$B$1:$K$2669,10,0),VLOOKUP(A66,[1]CPCD!$B$1:$H$1476,7,0))</f>
        <v>10.00% Ma Multi-Trade Pvt Ltd (27-Nov-2020) **</v>
      </c>
      <c r="C66" s="39" t="s">
        <v>850</v>
      </c>
      <c r="D66" s="39">
        <v>1000</v>
      </c>
      <c r="E66" s="68">
        <v>9836.82</v>
      </c>
      <c r="F66" s="68">
        <v>2.47067676062469</v>
      </c>
    </row>
    <row r="67" spans="1:6" x14ac:dyDescent="0.2">
      <c r="A67" s="39" t="s">
        <v>1002</v>
      </c>
      <c r="B67" s="39" t="str">
        <f>IFERROR(VLOOKUP(A67,[1]Bonds!$B$1:$K$2669,10,0),VLOOKUP(A67,[1]CPCD!$B$1:$H$1476,7,0))</f>
        <v>11.25% Aadarshini Real Estate Developers Pvt Ltd (29-Jul-2020) **</v>
      </c>
      <c r="C67" s="39" t="s">
        <v>740</v>
      </c>
      <c r="D67" s="39">
        <v>18</v>
      </c>
      <c r="E67" s="68">
        <v>9026.8019999999997</v>
      </c>
      <c r="F67" s="68">
        <v>2.2672276125984201</v>
      </c>
    </row>
    <row r="68" spans="1:6" x14ac:dyDescent="0.2">
      <c r="A68" s="39" t="s">
        <v>824</v>
      </c>
      <c r="B68" s="39" t="str">
        <f>IFERROR(VLOOKUP(A68,[1]Bonds!$B$1:$K$2669,10,0),VLOOKUP(A68,[1]CPCD!$B$1:$H$1476,7,0))</f>
        <v>13.15% Greenko Solar Energy Private Limited (18-May-2020) **</v>
      </c>
      <c r="C68" s="39" t="s">
        <v>825</v>
      </c>
      <c r="D68" s="39">
        <v>9000</v>
      </c>
      <c r="E68" s="68">
        <v>9000</v>
      </c>
      <c r="F68" s="68">
        <v>2.2604958559394399</v>
      </c>
    </row>
    <row r="69" spans="1:6" x14ac:dyDescent="0.2">
      <c r="A69" s="39" t="s">
        <v>816</v>
      </c>
      <c r="B69" s="39" t="str">
        <f>IFERROR(VLOOKUP(A69,[1]Bonds!$B$1:$K$2669,10,0),VLOOKUP(A69,[1]CPCD!$B$1:$H$1476,7,0))</f>
        <v>8.25% Vodafone Idea Ltd (10-Jul-2020) **</v>
      </c>
      <c r="C69" s="39" t="s">
        <v>817</v>
      </c>
      <c r="D69" s="39">
        <v>950</v>
      </c>
      <c r="E69" s="68">
        <v>8974.0704999999998</v>
      </c>
      <c r="F69" s="68">
        <v>2.2539832417953698</v>
      </c>
    </row>
    <row r="70" spans="1:6" x14ac:dyDescent="0.2">
      <c r="A70" s="39" t="s">
        <v>831</v>
      </c>
      <c r="B70" s="39" t="str">
        <f>IFERROR(VLOOKUP(A70,[1]Bonds!$B$1:$K$2669,10,0),VLOOKUP(A70,[1]CPCD!$B$1:$H$1476,7,0))</f>
        <v>9.00% Pune Solapur Expressways Pvt Ltd Series A (31-Mar-2029) **</v>
      </c>
      <c r="C70" s="39" t="s">
        <v>832</v>
      </c>
      <c r="D70" s="39">
        <v>6878</v>
      </c>
      <c r="E70" s="68">
        <v>6653.3713980000002</v>
      </c>
      <c r="F70" s="68">
        <v>1.67110205257833</v>
      </c>
    </row>
    <row r="71" spans="1:6" x14ac:dyDescent="0.2">
      <c r="A71" s="39" t="s">
        <v>1276</v>
      </c>
      <c r="B71" s="39" t="str">
        <f>IFERROR(VLOOKUP(A71,[1]Bonds!$B$1:$K$2669,10,0),VLOOKUP(A71,[1]CPCD!$B$1:$H$1476,7,0))</f>
        <v>11.5% Rivaaz Trade Ventures Pvt Ltd (30-Mar-2023) **</v>
      </c>
      <c r="C71" s="39" t="s">
        <v>856</v>
      </c>
      <c r="D71" s="39">
        <v>600</v>
      </c>
      <c r="E71" s="68">
        <v>5879.2740000000003</v>
      </c>
      <c r="F71" s="68">
        <v>1.4766749458813899</v>
      </c>
    </row>
    <row r="72" spans="1:6" x14ac:dyDescent="0.2">
      <c r="A72" s="39" t="s">
        <v>1011</v>
      </c>
      <c r="B72" s="39" t="str">
        <f>IFERROR(VLOOKUP(A72,[1]Bonds!$B$1:$K$2669,10,0),VLOOKUP(A72,[1]CPCD!$B$1:$H$1476,7,0))</f>
        <v>0.00% Sadbhav Infrastructure Project Ltd (06-Jun-2023) **</v>
      </c>
      <c r="C72" s="39" t="s">
        <v>1012</v>
      </c>
      <c r="D72" s="39">
        <v>500</v>
      </c>
      <c r="E72" s="68">
        <v>5634.4949999999999</v>
      </c>
      <c r="F72" s="68">
        <v>1.41519473309016</v>
      </c>
    </row>
    <row r="73" spans="1:6" x14ac:dyDescent="0.2">
      <c r="A73" s="39" t="s">
        <v>1004</v>
      </c>
      <c r="B73" s="39" t="str">
        <f>IFERROR(VLOOKUP(A73,[1]Bonds!$B$1:$K$2669,10,0),VLOOKUP(A73,[1]CPCD!$B$1:$H$1476,7,0))</f>
        <v>11.50% S D Corporation Private Ltd (03-Jun-2022) **</v>
      </c>
      <c r="C73" s="39" t="s">
        <v>364</v>
      </c>
      <c r="D73" s="39">
        <v>550</v>
      </c>
      <c r="E73" s="68">
        <v>5506.4295000000002</v>
      </c>
      <c r="F73" s="68">
        <v>1.38302900730807</v>
      </c>
    </row>
    <row r="74" spans="1:6" x14ac:dyDescent="0.2">
      <c r="A74" s="39" t="s">
        <v>854</v>
      </c>
      <c r="B74" s="39" t="str">
        <f>IFERROR(VLOOKUP(A74,[1]Bonds!$B$1:$K$2669,10,0),VLOOKUP(A74,[1]CPCD!$B$1:$H$1476,7,0))</f>
        <v>9.80% Ma Multi-Trade Pvt Ltd  Series B2 (17-Feb-2020) **</v>
      </c>
      <c r="C74" s="39" t="s">
        <v>850</v>
      </c>
      <c r="D74" s="39">
        <v>500</v>
      </c>
      <c r="E74" s="68">
        <v>4983.5649999999996</v>
      </c>
      <c r="F74" s="68">
        <v>1.25170311447831</v>
      </c>
    </row>
    <row r="75" spans="1:6" x14ac:dyDescent="0.2">
      <c r="A75" s="39" t="s">
        <v>1003</v>
      </c>
      <c r="B75" s="39" t="str">
        <f>IFERROR(VLOOKUP(A75,[1]Bonds!$B$1:$K$2669,10,0),VLOOKUP(A75,[1]CPCD!$B$1:$H$1476,7,0))</f>
        <v>13.50% Opj Trading Private Ltd (16-Oct-2020) **</v>
      </c>
      <c r="C75" s="39" t="s">
        <v>819</v>
      </c>
      <c r="D75" s="39">
        <v>470</v>
      </c>
      <c r="E75" s="68">
        <v>4681.0402000000004</v>
      </c>
      <c r="F75" s="68">
        <v>1.1757191081762099</v>
      </c>
    </row>
    <row r="76" spans="1:6" x14ac:dyDescent="0.2">
      <c r="A76" s="39" t="s">
        <v>984</v>
      </c>
      <c r="B76" s="39" t="str">
        <f>IFERROR(VLOOKUP(A76,[1]Bonds!$B$1:$K$2669,10,0),VLOOKUP(A76,[1]CPCD!$B$1:$H$1476,7,0))</f>
        <v>11.50% S D Corporation Private Ltd (03-Jun-2022) **</v>
      </c>
      <c r="C76" s="39" t="s">
        <v>364</v>
      </c>
      <c r="D76" s="39">
        <v>450</v>
      </c>
      <c r="E76" s="68">
        <v>4513.7834999999995</v>
      </c>
      <c r="F76" s="68">
        <v>1.13370987737309</v>
      </c>
    </row>
    <row r="77" spans="1:6" x14ac:dyDescent="0.2">
      <c r="A77" s="39" t="s">
        <v>1018</v>
      </c>
      <c r="B77" s="39" t="str">
        <f>IFERROR(VLOOKUP(A77,[1]Bonds!$B$1:$K$2669,10,0),VLOOKUP(A77,[1]CPCD!$B$1:$H$1476,7,0))</f>
        <v>9.95% Molagavalli Renewable Pvt Ltd (31-Mar-2023) **</v>
      </c>
      <c r="C77" s="39" t="s">
        <v>825</v>
      </c>
      <c r="D77" s="39">
        <v>440</v>
      </c>
      <c r="E77" s="68">
        <v>4098.3271999999997</v>
      </c>
      <c r="F77" s="68">
        <v>1.02936129465376</v>
      </c>
    </row>
    <row r="78" spans="1:6" x14ac:dyDescent="0.2">
      <c r="A78" s="39" t="s">
        <v>992</v>
      </c>
      <c r="B78" s="39" t="str">
        <f>IFERROR(VLOOKUP(A78,[1]Bonds!$B$1:$K$2669,10,0),VLOOKUP(A78,[1]CPCD!$B$1:$H$1476,7,0))</f>
        <v>9.60% Renew Wind Energy (Rajasthan One) Pvt Ltd (31-Mar-2023) **</v>
      </c>
      <c r="C78" s="39" t="s">
        <v>825</v>
      </c>
      <c r="D78" s="39">
        <v>450</v>
      </c>
      <c r="E78" s="68">
        <v>4048.038</v>
      </c>
      <c r="F78" s="68">
        <v>1.01673034707615</v>
      </c>
    </row>
    <row r="79" spans="1:6" x14ac:dyDescent="0.2">
      <c r="A79" s="39" t="s">
        <v>985</v>
      </c>
      <c r="B79" s="39" t="str">
        <f>IFERROR(VLOOKUP(A79,[1]Bonds!$B$1:$K$2669,10,0),VLOOKUP(A79,[1]CPCD!$B$1:$H$1476,7,0))</f>
        <v>9.45% Renew Power Limited (31-Jul-2025) **</v>
      </c>
      <c r="C79" s="39" t="s">
        <v>718</v>
      </c>
      <c r="D79" s="39">
        <v>400</v>
      </c>
      <c r="E79" s="68">
        <v>3816.4479999999999</v>
      </c>
      <c r="F79" s="68">
        <v>0.95856276537870599</v>
      </c>
    </row>
    <row r="80" spans="1:6" x14ac:dyDescent="0.2">
      <c r="A80" s="39" t="s">
        <v>1208</v>
      </c>
      <c r="B80" s="39" t="str">
        <f>IFERROR(VLOOKUP(A80,[1]Bonds!$B$1:$K$2669,10,0),VLOOKUP(A80,[1]CPCD!$B$1:$H$1476,7,0))</f>
        <v>10.20% Star Health &amp; Allied Insurance Co Ltd (31-Oct-2024) **</v>
      </c>
      <c r="C80" s="39" t="s">
        <v>983</v>
      </c>
      <c r="D80" s="39">
        <v>390</v>
      </c>
      <c r="E80" s="68">
        <v>3744.7253999999998</v>
      </c>
      <c r="F80" s="68">
        <v>0.94054847203679404</v>
      </c>
    </row>
    <row r="81" spans="1:6" x14ac:dyDescent="0.2">
      <c r="A81" s="39" t="s">
        <v>995</v>
      </c>
      <c r="B81" s="39" t="str">
        <f>IFERROR(VLOOKUP(A81,[1]Bonds!$B$1:$K$2669,10,0),VLOOKUP(A81,[1]CPCD!$B$1:$H$1476,7,0))</f>
        <v>Jindal Power Ltd (Sbi+100 Bps) (22-Dec-2020) **</v>
      </c>
      <c r="C81" s="39" t="s">
        <v>991</v>
      </c>
      <c r="D81" s="39">
        <v>338</v>
      </c>
      <c r="E81" s="68">
        <v>3219.62914</v>
      </c>
      <c r="F81" s="68">
        <v>0.80866203651464996</v>
      </c>
    </row>
    <row r="82" spans="1:6" x14ac:dyDescent="0.2">
      <c r="A82" s="39" t="s">
        <v>1005</v>
      </c>
      <c r="B82" s="39" t="str">
        <f>IFERROR(VLOOKUP(A82,[1]Bonds!$B$1:$K$2669,10,0),VLOOKUP(A82,[1]CPCD!$B$1:$H$1476,7,0))</f>
        <v>0.00% Diligent Media Corp Ltd. Series C (30-Jun-2020) **</v>
      </c>
      <c r="C82" s="39" t="s">
        <v>994</v>
      </c>
      <c r="D82" s="39">
        <v>22</v>
      </c>
      <c r="E82" s="68">
        <v>3173.2359999999999</v>
      </c>
      <c r="F82" s="68">
        <v>0.797009647546426</v>
      </c>
    </row>
    <row r="83" spans="1:6" x14ac:dyDescent="0.2">
      <c r="A83" s="39" t="s">
        <v>1201</v>
      </c>
      <c r="B83" s="39" t="str">
        <f>IFERROR(VLOOKUP(A83,[1]Bonds!$B$1:$K$2669,10,0),VLOOKUP(A83,[1]CPCD!$B$1:$H$1476,7,0))</f>
        <v>9.41% Renew Wind Energy Delhi Pvt Ltd (30-Sep-2030) **</v>
      </c>
      <c r="C83" s="39" t="s">
        <v>825</v>
      </c>
      <c r="D83" s="39">
        <v>400</v>
      </c>
      <c r="E83" s="68">
        <v>3167.9879999999998</v>
      </c>
      <c r="F83" s="68">
        <v>0.79569152729620696</v>
      </c>
    </row>
    <row r="84" spans="1:6" x14ac:dyDescent="0.2">
      <c r="A84" s="39" t="s">
        <v>1016</v>
      </c>
      <c r="B84" s="39" t="str">
        <f>IFERROR(VLOOKUP(A84,[1]Bonds!$B$1:$K$2669,10,0),VLOOKUP(A84,[1]CPCD!$B$1:$H$1476,7,0))</f>
        <v>11.9% Rivaaz Trade Ventures Pvt Ltd (07-Aug-2020) **</v>
      </c>
      <c r="C84" s="39" t="s">
        <v>850</v>
      </c>
      <c r="D84" s="39">
        <v>250</v>
      </c>
      <c r="E84" s="68">
        <v>2512.4375</v>
      </c>
      <c r="F84" s="68">
        <v>0.63103939522853703</v>
      </c>
    </row>
    <row r="85" spans="1:6" x14ac:dyDescent="0.2">
      <c r="A85" s="39" t="s">
        <v>997</v>
      </c>
      <c r="B85" s="39" t="str">
        <f>IFERROR(VLOOKUP(A85,[1]Bonds!$B$1:$K$2669,10,0),VLOOKUP(A85,[1]CPCD!$B$1:$H$1476,7,0))</f>
        <v>12.25% Rivaaz Trade Ventures Pvt Ltd (30-Sep-2023) **</v>
      </c>
      <c r="C85" s="39" t="s">
        <v>856</v>
      </c>
      <c r="D85" s="39">
        <v>250</v>
      </c>
      <c r="E85" s="68">
        <v>2503.8274999999999</v>
      </c>
      <c r="F85" s="68">
        <v>0.62887685419302197</v>
      </c>
    </row>
    <row r="86" spans="1:6" x14ac:dyDescent="0.2">
      <c r="A86" s="39" t="s">
        <v>1007</v>
      </c>
      <c r="B86" s="39" t="str">
        <f>IFERROR(VLOOKUP(A86,[1]Bonds!$B$1:$K$2669,10,0),VLOOKUP(A86,[1]CPCD!$B$1:$H$1476,7,0))</f>
        <v>0.00% Essel Infraprojects Ltd, Series II (22-May-2020) **</v>
      </c>
      <c r="C86" s="39" t="s">
        <v>988</v>
      </c>
      <c r="D86" s="39">
        <v>17</v>
      </c>
      <c r="E86" s="68">
        <v>2495.0288</v>
      </c>
      <c r="F86" s="68">
        <v>0.62666691809439401</v>
      </c>
    </row>
    <row r="87" spans="1:6" x14ac:dyDescent="0.2">
      <c r="A87" s="39" t="s">
        <v>1278</v>
      </c>
      <c r="B87" s="39" t="str">
        <f>IFERROR(VLOOKUP(A87,[1]Bonds!$B$1:$K$2669,10,0),VLOOKUP(A87,[1]CPCD!$B$1:$H$1476,7,0))</f>
        <v>12.80% Nufuture Digital (India) Ltd (30-Sep-2023) **</v>
      </c>
      <c r="C87" s="39" t="s">
        <v>850</v>
      </c>
      <c r="D87" s="39">
        <v>250</v>
      </c>
      <c r="E87" s="68">
        <v>2461.7874999999999</v>
      </c>
      <c r="F87" s="68">
        <v>0.61831782688372305</v>
      </c>
    </row>
    <row r="88" spans="1:6" x14ac:dyDescent="0.2">
      <c r="A88" s="39" t="s">
        <v>1207</v>
      </c>
      <c r="B88" s="39" t="str">
        <f>IFERROR(VLOOKUP(A88,[1]Bonds!$B$1:$K$2669,10,0),VLOOKUP(A88,[1]CPCD!$B$1:$H$1476,7,0))</f>
        <v>12.75% Future Ideas Company Ltd (30-Jun-2020) **</v>
      </c>
      <c r="C88" s="39" t="s">
        <v>850</v>
      </c>
      <c r="D88" s="39">
        <v>230</v>
      </c>
      <c r="E88" s="68">
        <v>2298.8638000000001</v>
      </c>
      <c r="F88" s="68">
        <v>0.577396899252132</v>
      </c>
    </row>
    <row r="89" spans="1:6" x14ac:dyDescent="0.2">
      <c r="A89" s="39" t="s">
        <v>1025</v>
      </c>
      <c r="B89" s="39" t="str">
        <f>IFERROR(VLOOKUP(A89,[1]Bonds!$B$1:$K$2669,10,0),VLOOKUP(A89,[1]CPCD!$B$1:$H$1476,7,0))</f>
        <v>12.15% Nufuture Digital (India) Ltd (02-Jun-2020) **</v>
      </c>
      <c r="C89" s="39" t="s">
        <v>850</v>
      </c>
      <c r="D89" s="39">
        <v>230</v>
      </c>
      <c r="E89" s="68">
        <v>2295.6230999999998</v>
      </c>
      <c r="F89" s="68">
        <v>0.57658294492764905</v>
      </c>
    </row>
    <row r="90" spans="1:6" x14ac:dyDescent="0.2">
      <c r="A90" s="39" t="s">
        <v>1206</v>
      </c>
      <c r="B90" s="39" t="str">
        <f>IFERROR(VLOOKUP(A90,[1]Bonds!$B$1:$K$2669,10,0),VLOOKUP(A90,[1]CPCD!$B$1:$H$1476,7,0))</f>
        <v>11.90% Rivaaz Trade Ventures Pvt Ltd (11-May-2020) **</v>
      </c>
      <c r="C90" s="39" t="s">
        <v>825</v>
      </c>
      <c r="D90" s="39">
        <v>200</v>
      </c>
      <c r="E90" s="68">
        <v>2013.4880000000001</v>
      </c>
      <c r="F90" s="68">
        <v>0.50572014222042105</v>
      </c>
    </row>
    <row r="91" spans="1:6" x14ac:dyDescent="0.2">
      <c r="A91" s="39" t="s">
        <v>1205</v>
      </c>
      <c r="B91" s="39" t="str">
        <f>IFERROR(VLOOKUP(A91,[1]Bonds!$B$1:$K$2669,10,0),VLOOKUP(A91,[1]CPCD!$B$1:$H$1476,7,0))</f>
        <v>11.49% Reliance Big Pvt Ltd Series 3 (14-Jan-2021) **</v>
      </c>
      <c r="C91" s="39" t="s">
        <v>999</v>
      </c>
      <c r="D91" s="39">
        <v>359</v>
      </c>
      <c r="E91" s="68">
        <v>1795</v>
      </c>
      <c r="F91" s="68">
        <v>0.45084334015680999</v>
      </c>
    </row>
    <row r="92" spans="1:6" x14ac:dyDescent="0.2">
      <c r="A92" s="39" t="s">
        <v>860</v>
      </c>
      <c r="B92" s="39" t="str">
        <f>IFERROR(VLOOKUP(A92,[1]Bonds!$B$1:$K$2669,10,0),VLOOKUP(A92,[1]CPCD!$B$1:$H$1476,7,0))</f>
        <v>9.99% India Shelter Finance Corp Ltd (10-Feb-2022) **</v>
      </c>
      <c r="C92" s="39" t="s">
        <v>839</v>
      </c>
      <c r="D92" s="39">
        <v>2500</v>
      </c>
      <c r="E92" s="68">
        <v>1769.5250000000001</v>
      </c>
      <c r="F92" s="68">
        <v>0.44444488105347002</v>
      </c>
    </row>
    <row r="93" spans="1:6" x14ac:dyDescent="0.2">
      <c r="A93" s="39" t="s">
        <v>1001</v>
      </c>
      <c r="B93" s="39" t="str">
        <f>IFERROR(VLOOKUP(A93,[1]Bonds!$B$1:$K$2669,10,0),VLOOKUP(A93,[1]CPCD!$B$1:$H$1476,7,0))</f>
        <v>13.01% Renew Power Ltd., Series VI, (23-Mar-2020) **</v>
      </c>
      <c r="C93" s="39" t="s">
        <v>718</v>
      </c>
      <c r="D93" s="39">
        <v>160</v>
      </c>
      <c r="E93" s="68">
        <v>1616.8671999999999</v>
      </c>
      <c r="F93" s="68">
        <v>0.40610240057826702</v>
      </c>
    </row>
    <row r="94" spans="1:6" x14ac:dyDescent="0.2">
      <c r="A94" s="39" t="s">
        <v>851</v>
      </c>
      <c r="B94" s="39" t="str">
        <f>IFERROR(VLOOKUP(A94,[1]Bonds!$B$1:$K$2669,10,0),VLOOKUP(A94,[1]CPCD!$B$1:$H$1476,7,0))</f>
        <v>8.25% Tata Housing Development Co Ltd (27-Feb-2020) **</v>
      </c>
      <c r="C94" s="39" t="s">
        <v>367</v>
      </c>
      <c r="D94" s="39">
        <v>150</v>
      </c>
      <c r="E94" s="68">
        <v>1502.6745000000001</v>
      </c>
      <c r="F94" s="68">
        <v>0.37742105334176301</v>
      </c>
    </row>
    <row r="95" spans="1:6" x14ac:dyDescent="0.2">
      <c r="A95" s="39" t="s">
        <v>828</v>
      </c>
      <c r="B95" s="39" t="str">
        <f>IFERROR(VLOOKUP(A95,[1]Bonds!$B$1:$K$2669,10,0),VLOOKUP(A95,[1]CPCD!$B$1:$H$1476,7,0))</f>
        <v>10.90% Aasan Corporate Solutions Pvt Ltd (20-Dec-2019) **</v>
      </c>
      <c r="C95" s="39" t="s">
        <v>822</v>
      </c>
      <c r="D95" s="39">
        <v>150</v>
      </c>
      <c r="E95" s="68">
        <v>1500.336</v>
      </c>
      <c r="F95" s="68">
        <v>0.37683370116852799</v>
      </c>
    </row>
    <row r="96" spans="1:6" x14ac:dyDescent="0.2">
      <c r="A96" s="39" t="s">
        <v>982</v>
      </c>
      <c r="B96" s="39" t="str">
        <f>IFERROR(VLOOKUP(A96,[1]Bonds!$B$1:$K$2669,10,0),VLOOKUP(A96,[1]CPCD!$B$1:$H$1476,7,0))</f>
        <v>11.90% Rishanth Wholesale Trading Private Ltd (20-Oct-2023) **</v>
      </c>
      <c r="C96" s="39" t="s">
        <v>983</v>
      </c>
      <c r="D96" s="39">
        <v>10</v>
      </c>
      <c r="E96" s="68">
        <v>1007.148</v>
      </c>
      <c r="F96" s="68">
        <v>0.25296154225752099</v>
      </c>
    </row>
    <row r="97" spans="1:6" x14ac:dyDescent="0.2">
      <c r="A97" s="39" t="s">
        <v>1028</v>
      </c>
      <c r="B97" s="39" t="str">
        <f>IFERROR(VLOOKUP(A97,[1]Bonds!$B$1:$K$2669,10,0),VLOOKUP(A97,[1]CPCD!$B$1:$H$1476,7,0))</f>
        <v>11.35% Renew Solar Power Private Limited (01-Nov-2022) **</v>
      </c>
      <c r="C97" s="39" t="s">
        <v>825</v>
      </c>
      <c r="D97" s="39">
        <v>100</v>
      </c>
      <c r="E97" s="68">
        <v>1001.3150000000001</v>
      </c>
      <c r="F97" s="68">
        <v>0.251496489776666</v>
      </c>
    </row>
    <row r="98" spans="1:6" x14ac:dyDescent="0.2">
      <c r="A98" s="39" t="s">
        <v>989</v>
      </c>
      <c r="B98" s="39" t="str">
        <f>IFERROR(VLOOKUP(A98,[1]Bonds!$B$1:$K$2669,10,0),VLOOKUP(A98,[1]CPCD!$B$1:$H$1476,7,0))</f>
        <v>10.25% Star Health &amp; Allied Insurance Co Ltd (06-Sep-2024) **</v>
      </c>
      <c r="C98" s="39" t="s">
        <v>983</v>
      </c>
      <c r="D98" s="39">
        <v>100</v>
      </c>
      <c r="E98" s="68">
        <v>962.75099999999998</v>
      </c>
      <c r="F98" s="68">
        <v>0.24181051620017199</v>
      </c>
    </row>
    <row r="99" spans="1:6" x14ac:dyDescent="0.2">
      <c r="A99" s="39" t="s">
        <v>836</v>
      </c>
      <c r="B99" s="39" t="str">
        <f>IFERROR(VLOOKUP(A99,[1]Bonds!$B$1:$K$2669,10,0),VLOOKUP(A99,[1]CPCD!$B$1:$H$1476,7,0))</f>
        <v>0.00% Hero Wind Energy Pvt Ltd (21-Jun-2022) **</v>
      </c>
      <c r="C99" s="39" t="s">
        <v>740</v>
      </c>
      <c r="D99" s="39">
        <v>50</v>
      </c>
      <c r="E99" s="68">
        <v>646.16549999999995</v>
      </c>
      <c r="F99" s="68">
        <v>0.16229493722233701</v>
      </c>
    </row>
    <row r="100" spans="1:6" x14ac:dyDescent="0.2">
      <c r="A100" s="39" t="s">
        <v>1026</v>
      </c>
      <c r="B100" s="39" t="str">
        <f>IFERROR(VLOOKUP(A100,[1]Bonds!$B$1:$K$2669,10,0),VLOOKUP(A100,[1]CPCD!$B$1:$H$1476,7,0))</f>
        <v>9.95% Narmada Wind Energy Pvt Ltd (31-Mar-2023) **</v>
      </c>
      <c r="C100" s="39" t="s">
        <v>825</v>
      </c>
      <c r="D100" s="39">
        <v>50</v>
      </c>
      <c r="E100" s="68">
        <v>465.95049999999998</v>
      </c>
      <c r="F100" s="68">
        <v>0.11703101936921199</v>
      </c>
    </row>
    <row r="101" spans="1:6" x14ac:dyDescent="0.2">
      <c r="A101" s="39" t="s">
        <v>1199</v>
      </c>
      <c r="B101" s="39" t="str">
        <f>IFERROR(VLOOKUP(A101,[1]Bonds!$B$1:$K$2669,10,0),VLOOKUP(A101,[1]CPCD!$B$1:$H$1476,7,0))</f>
        <v>9.50% Renew Power Limited (09-Sep-2020) **</v>
      </c>
      <c r="C101" s="39" t="s">
        <v>718</v>
      </c>
      <c r="D101" s="39">
        <v>40</v>
      </c>
      <c r="E101" s="68">
        <v>394.88799999999998</v>
      </c>
      <c r="F101" s="68">
        <v>9.9182520840023602E-2</v>
      </c>
    </row>
    <row r="102" spans="1:6" x14ac:dyDescent="0.2">
      <c r="A102" s="38" t="s">
        <v>44</v>
      </c>
      <c r="B102" s="39"/>
      <c r="C102" s="39"/>
      <c r="D102" s="39"/>
      <c r="E102" s="69">
        <f>SUM(E64:E101)</f>
        <v>152681.03773800001</v>
      </c>
      <c r="F102" s="69">
        <f>SUM(F64:F101)</f>
        <v>38.348317009697965</v>
      </c>
    </row>
    <row r="103" spans="1:6" x14ac:dyDescent="0.2">
      <c r="A103" s="39"/>
      <c r="B103" s="39"/>
      <c r="C103" s="39"/>
      <c r="D103" s="39"/>
      <c r="E103" s="68"/>
      <c r="F103" s="68"/>
    </row>
    <row r="104" spans="1:6" x14ac:dyDescent="0.2">
      <c r="A104" s="38" t="s">
        <v>44</v>
      </c>
      <c r="B104" s="39"/>
      <c r="C104" s="39"/>
      <c r="D104" s="39"/>
      <c r="E104" s="69">
        <f>E102+E61</f>
        <v>388521.12194470002</v>
      </c>
      <c r="F104" s="69">
        <f>F102+F61</f>
        <v>97.583376233437207</v>
      </c>
    </row>
    <row r="105" spans="1:6" x14ac:dyDescent="0.2">
      <c r="A105" s="39"/>
      <c r="B105" s="39"/>
      <c r="C105" s="39"/>
      <c r="D105" s="39"/>
      <c r="E105" s="68"/>
      <c r="F105" s="68"/>
    </row>
    <row r="106" spans="1:6" x14ac:dyDescent="0.2">
      <c r="A106" s="38" t="s">
        <v>76</v>
      </c>
      <c r="B106" s="39"/>
      <c r="C106" s="39"/>
      <c r="D106" s="39"/>
      <c r="E106" s="69">
        <v>9621.6138764000007</v>
      </c>
      <c r="F106" s="69">
        <v>2.42</v>
      </c>
    </row>
    <row r="107" spans="1:6" x14ac:dyDescent="0.2">
      <c r="A107" s="39"/>
      <c r="B107" s="39"/>
      <c r="C107" s="39"/>
      <c r="D107" s="39"/>
      <c r="E107" s="68"/>
      <c r="F107" s="68"/>
    </row>
    <row r="108" spans="1:6" x14ac:dyDescent="0.2">
      <c r="A108" s="71" t="s">
        <v>77</v>
      </c>
      <c r="B108" s="66"/>
      <c r="C108" s="66"/>
      <c r="D108" s="66"/>
      <c r="E108" s="72">
        <f>E104+E106</f>
        <v>398142.73582110001</v>
      </c>
      <c r="F108" s="72">
        <f>F104+F106</f>
        <v>100.00337623343721</v>
      </c>
    </row>
    <row r="109" spans="1:6" x14ac:dyDescent="0.2">
      <c r="A109" s="4" t="s">
        <v>619</v>
      </c>
    </row>
    <row r="111" spans="1:6" x14ac:dyDescent="0.2">
      <c r="A111" s="4" t="s">
        <v>78</v>
      </c>
    </row>
    <row r="112" spans="1:6" x14ac:dyDescent="0.2">
      <c r="A112" s="4" t="s">
        <v>650</v>
      </c>
    </row>
    <row r="113" spans="1:4" x14ac:dyDescent="0.2">
      <c r="A113" s="4" t="s">
        <v>80</v>
      </c>
    </row>
    <row r="114" spans="1:4" x14ac:dyDescent="0.2">
      <c r="A114" s="2" t="s">
        <v>638</v>
      </c>
      <c r="D114" s="10">
        <v>65.846100000000007</v>
      </c>
    </row>
    <row r="115" spans="1:4" x14ac:dyDescent="0.2">
      <c r="A115" s="2" t="s">
        <v>639</v>
      </c>
      <c r="D115" s="10">
        <v>11.9787</v>
      </c>
    </row>
    <row r="116" spans="1:4" x14ac:dyDescent="0.2">
      <c r="A116" s="2" t="s">
        <v>640</v>
      </c>
      <c r="D116" s="10">
        <v>69.1922</v>
      </c>
    </row>
    <row r="117" spans="1:4" x14ac:dyDescent="0.2">
      <c r="A117" s="2" t="s">
        <v>641</v>
      </c>
      <c r="D117" s="10">
        <v>12.7516</v>
      </c>
    </row>
    <row r="119" spans="1:4" x14ac:dyDescent="0.2">
      <c r="A119" s="4" t="s">
        <v>81</v>
      </c>
    </row>
    <row r="120" spans="1:4" x14ac:dyDescent="0.2">
      <c r="A120" s="2" t="s">
        <v>638</v>
      </c>
      <c r="D120" s="10">
        <v>68.0642</v>
      </c>
    </row>
    <row r="121" spans="1:4" x14ac:dyDescent="0.2">
      <c r="A121" s="2" t="s">
        <v>639</v>
      </c>
      <c r="D121" s="10">
        <v>11.924899999999999</v>
      </c>
    </row>
    <row r="122" spans="1:4" x14ac:dyDescent="0.2">
      <c r="A122" s="2" t="s">
        <v>640</v>
      </c>
      <c r="D122" s="10">
        <v>71.840100000000007</v>
      </c>
    </row>
    <row r="123" spans="1:4" x14ac:dyDescent="0.2">
      <c r="A123" s="2" t="s">
        <v>641</v>
      </c>
      <c r="D123" s="10">
        <v>12.7812</v>
      </c>
    </row>
    <row r="125" spans="1:4" x14ac:dyDescent="0.2">
      <c r="A125" s="4" t="s">
        <v>82</v>
      </c>
      <c r="D125" s="44" t="s">
        <v>299</v>
      </c>
    </row>
    <row r="126" spans="1:4" x14ac:dyDescent="0.2">
      <c r="A126" s="106" t="s">
        <v>642</v>
      </c>
      <c r="B126" s="107"/>
      <c r="C126" s="109" t="s">
        <v>643</v>
      </c>
      <c r="D126" s="109"/>
    </row>
    <row r="127" spans="1:4" x14ac:dyDescent="0.2">
      <c r="A127" s="110"/>
      <c r="B127" s="110"/>
      <c r="C127" s="47" t="s">
        <v>644</v>
      </c>
      <c r="D127" s="47" t="s">
        <v>645</v>
      </c>
    </row>
    <row r="128" spans="1:4" x14ac:dyDescent="0.2">
      <c r="A128" s="48" t="s">
        <v>639</v>
      </c>
      <c r="B128" s="49"/>
      <c r="C128" s="54">
        <v>0.32414521499999999</v>
      </c>
      <c r="D128" s="54">
        <v>0.30016008459999999</v>
      </c>
    </row>
    <row r="129" spans="1:5" x14ac:dyDescent="0.2">
      <c r="A129" s="48" t="s">
        <v>641</v>
      </c>
      <c r="B129" s="49"/>
      <c r="C129" s="54">
        <v>0.32414521499999999</v>
      </c>
      <c r="D129" s="54">
        <v>0.30016008459999999</v>
      </c>
    </row>
    <row r="131" spans="1:5" x14ac:dyDescent="0.2">
      <c r="A131" s="4" t="s">
        <v>647</v>
      </c>
      <c r="D131" s="53">
        <v>2.8504069093209514</v>
      </c>
      <c r="E131" s="73" t="s">
        <v>648</v>
      </c>
    </row>
  </sheetData>
  <mergeCells count="4">
    <mergeCell ref="A1:F1"/>
    <mergeCell ref="A126:B126"/>
    <mergeCell ref="C126:D126"/>
    <mergeCell ref="A127:B127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6D2AD-B408-48B1-9EFB-899EFB2EB2F9}">
  <dimension ref="A1:F47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4.140625" style="2" bestFit="1" customWidth="1"/>
    <col min="3" max="3" width="12.5703125" style="2" bestFit="1" customWidth="1"/>
    <col min="4" max="4" width="7.42578125" style="2" bestFit="1" customWidth="1"/>
    <col min="5" max="5" width="23" style="73" bestFit="1" customWidth="1"/>
    <col min="6" max="6" width="13.5703125" style="73" bestFit="1" customWidth="1"/>
    <col min="7" max="16384" width="9.140625" style="2"/>
  </cols>
  <sheetData>
    <row r="1" spans="1:6" ht="15" customHeight="1" x14ac:dyDescent="0.2">
      <c r="A1" s="108" t="s">
        <v>1289</v>
      </c>
      <c r="B1" s="108"/>
      <c r="C1" s="108"/>
      <c r="D1" s="108"/>
      <c r="E1" s="108"/>
      <c r="F1" s="108"/>
    </row>
    <row r="3" spans="1:6" s="4" customFormat="1" x14ac:dyDescent="0.2">
      <c r="A3" s="64" t="s">
        <v>1</v>
      </c>
      <c r="B3" s="64" t="s">
        <v>2</v>
      </c>
      <c r="C3" s="64" t="s">
        <v>716</v>
      </c>
      <c r="D3" s="64" t="s">
        <v>4</v>
      </c>
      <c r="E3" s="65" t="s">
        <v>5</v>
      </c>
      <c r="F3" s="65" t="s">
        <v>6</v>
      </c>
    </row>
    <row r="4" spans="1:6" x14ac:dyDescent="0.2">
      <c r="A4" s="66"/>
      <c r="B4" s="66"/>
      <c r="C4" s="66"/>
      <c r="D4" s="66"/>
      <c r="E4" s="67"/>
      <c r="F4" s="67"/>
    </row>
    <row r="5" spans="1:6" x14ac:dyDescent="0.2">
      <c r="A5" s="38" t="s">
        <v>359</v>
      </c>
      <c r="B5" s="39"/>
      <c r="C5" s="39"/>
      <c r="D5" s="39"/>
      <c r="E5" s="68"/>
      <c r="F5" s="68"/>
    </row>
    <row r="6" spans="1:6" x14ac:dyDescent="0.2">
      <c r="A6" s="38" t="s">
        <v>8</v>
      </c>
      <c r="B6" s="39"/>
      <c r="C6" s="39"/>
      <c r="D6" s="39"/>
      <c r="E6" s="68"/>
      <c r="F6" s="68"/>
    </row>
    <row r="7" spans="1:6" x14ac:dyDescent="0.2">
      <c r="A7" s="38"/>
      <c r="B7" s="39"/>
      <c r="C7" s="39"/>
      <c r="D7" s="39"/>
      <c r="E7" s="68"/>
      <c r="F7" s="68"/>
    </row>
    <row r="8" spans="1:6" x14ac:dyDescent="0.2">
      <c r="A8" s="39" t="s">
        <v>1290</v>
      </c>
      <c r="B8" s="39" t="str">
        <f>IFERROR(VLOOKUP(A8,[1]Bonds!$B$1:$K$2669,10,0),VLOOKUP(A8,[1]CPCD!$B$1:$H$1476,7,0))</f>
        <v>0.00% Axis Finance Ltd (19-Apr-2022) **</v>
      </c>
      <c r="C8" s="39" t="s">
        <v>977</v>
      </c>
      <c r="D8" s="39">
        <v>40</v>
      </c>
      <c r="E8" s="68">
        <v>450.00319999999999</v>
      </c>
      <c r="F8" s="68">
        <v>9.9913299287993205</v>
      </c>
    </row>
    <row r="9" spans="1:6" x14ac:dyDescent="0.2">
      <c r="A9" s="39" t="s">
        <v>1291</v>
      </c>
      <c r="B9" s="39" t="str">
        <f>IFERROR(VLOOKUP(A9,[1]Bonds!$B$1:$K$2669,10,0),VLOOKUP(A9,[1]CPCD!$B$1:$H$1476,7,0))</f>
        <v>0.00% Bajaj Housing Finance Ltd (05-Apr-2022) **</v>
      </c>
      <c r="C9" s="39" t="s">
        <v>361</v>
      </c>
      <c r="D9" s="39">
        <v>40</v>
      </c>
      <c r="E9" s="68">
        <v>448.4092</v>
      </c>
      <c r="F9" s="68">
        <v>9.9559386695671499</v>
      </c>
    </row>
    <row r="10" spans="1:6" x14ac:dyDescent="0.2">
      <c r="A10" s="39" t="s">
        <v>1263</v>
      </c>
      <c r="B10" s="39" t="str">
        <f>IFERROR(VLOOKUP(A10,[1]Bonds!$B$1:$K$2669,10,0),VLOOKUP(A10,[1]CPCD!$B$1:$H$1476,7,0))</f>
        <v>8.35% Rec Ltd (13-Mar-2022) **</v>
      </c>
      <c r="C10" s="39" t="s">
        <v>916</v>
      </c>
      <c r="D10" s="39">
        <v>42</v>
      </c>
      <c r="E10" s="68">
        <v>428.81412</v>
      </c>
      <c r="F10" s="68">
        <v>9.5208730761197806</v>
      </c>
    </row>
    <row r="11" spans="1:6" x14ac:dyDescent="0.2">
      <c r="A11" s="39" t="s">
        <v>778</v>
      </c>
      <c r="B11" s="39" t="str">
        <f>IFERROR(VLOOKUP(A11,[1]Bonds!$B$1:$K$2669,10,0),VLOOKUP(A11,[1]CPCD!$B$1:$H$1476,7,0))</f>
        <v>10.25% Sikka Ports &amp; Terminals Limited (22-Aug-2021) **</v>
      </c>
      <c r="C11" s="39" t="s">
        <v>361</v>
      </c>
      <c r="D11" s="39">
        <v>41</v>
      </c>
      <c r="E11" s="68">
        <v>422.23644999999999</v>
      </c>
      <c r="F11" s="68">
        <v>9.3748304010170997</v>
      </c>
    </row>
    <row r="12" spans="1:6" x14ac:dyDescent="0.2">
      <c r="A12" s="39" t="s">
        <v>1226</v>
      </c>
      <c r="B12" s="39" t="str">
        <f>IFERROR(VLOOKUP(A12,[1]Bonds!$B$1:$K$2669,10,0),VLOOKUP(A12,[1]CPCD!$B$1:$H$1476,7,0))</f>
        <v>8.18% Power Finance Corp Ltd (19-Mar-2022)</v>
      </c>
      <c r="C12" s="39" t="s">
        <v>973</v>
      </c>
      <c r="D12" s="39">
        <v>41</v>
      </c>
      <c r="E12" s="68">
        <v>417.26191999999998</v>
      </c>
      <c r="F12" s="68">
        <v>9.2643819187158396</v>
      </c>
    </row>
    <row r="13" spans="1:6" x14ac:dyDescent="0.2">
      <c r="A13" s="39" t="s">
        <v>1217</v>
      </c>
      <c r="B13" s="39" t="str">
        <f>IFERROR(VLOOKUP(A13,[1]Bonds!$B$1:$K$2669,10,0),VLOOKUP(A13,[1]CPCD!$B$1:$H$1476,7,0))</f>
        <v>8.85% Ongc Petro Additions Ltd (19-Apr-2022) **</v>
      </c>
      <c r="C13" s="39" t="s">
        <v>973</v>
      </c>
      <c r="D13" s="39">
        <v>40</v>
      </c>
      <c r="E13" s="68">
        <v>403.11759999999998</v>
      </c>
      <c r="F13" s="68">
        <v>8.9503384458282795</v>
      </c>
    </row>
    <row r="14" spans="1:6" x14ac:dyDescent="0.2">
      <c r="A14" s="39" t="s">
        <v>1237</v>
      </c>
      <c r="B14" s="39" t="str">
        <f>IFERROR(VLOOKUP(A14,[1]Bonds!$B$1:$K$2669,10,0),VLOOKUP(A14,[1]CPCD!$B$1:$H$1476,7,0))</f>
        <v>9.95% Food Corporation Of India (07-Mar-2022) **</v>
      </c>
      <c r="C14" s="39" t="s">
        <v>1238</v>
      </c>
      <c r="D14" s="39">
        <v>37</v>
      </c>
      <c r="E14" s="68">
        <v>395.30133999999998</v>
      </c>
      <c r="F14" s="68">
        <v>8.7767956077567302</v>
      </c>
    </row>
    <row r="15" spans="1:6" x14ac:dyDescent="0.2">
      <c r="A15" s="39" t="s">
        <v>1230</v>
      </c>
      <c r="B15" s="39" t="str">
        <f>IFERROR(VLOOKUP(A15,[1]Bonds!$B$1:$K$2669,10,0),VLOOKUP(A15,[1]CPCD!$B$1:$H$1476,7,0))</f>
        <v>0.00% Lic Housing Finance Ltd (04-May-2022) **</v>
      </c>
      <c r="C15" s="39" t="s">
        <v>361</v>
      </c>
      <c r="D15" s="39">
        <v>30</v>
      </c>
      <c r="E15" s="68">
        <v>323.70929999999998</v>
      </c>
      <c r="F15" s="68">
        <v>7.1872520402536599</v>
      </c>
    </row>
    <row r="16" spans="1:6" x14ac:dyDescent="0.2">
      <c r="A16" s="39" t="s">
        <v>1224</v>
      </c>
      <c r="B16" s="39" t="str">
        <f>IFERROR(VLOOKUP(A16,[1]Bonds!$B$1:$K$2669,10,0),VLOOKUP(A16,[1]CPCD!$B$1:$H$1476,7,0))</f>
        <v>8.60% National Bank For Agriculture And Rural Development (31-Jan-2022)</v>
      </c>
      <c r="C16" s="39" t="s">
        <v>361</v>
      </c>
      <c r="D16" s="39">
        <v>30</v>
      </c>
      <c r="E16" s="68">
        <v>310.11239999999998</v>
      </c>
      <c r="F16" s="68">
        <v>6.8853628227794497</v>
      </c>
    </row>
    <row r="17" spans="1:6" x14ac:dyDescent="0.2">
      <c r="A17" s="39" t="s">
        <v>1292</v>
      </c>
      <c r="B17" s="39" t="str">
        <f>IFERROR(VLOOKUP(A17,[1]Bonds!$B$1:$K$2669,10,0),VLOOKUP(A17,[1]CPCD!$B$1:$H$1476,7,0))</f>
        <v>0.00% Mahindra &amp; Mahindra Financial Services Ltd (29-Mar-2022) **</v>
      </c>
      <c r="C17" s="39" t="s">
        <v>977</v>
      </c>
      <c r="D17" s="39">
        <v>21</v>
      </c>
      <c r="E17" s="68">
        <v>230.69235</v>
      </c>
      <c r="F17" s="68">
        <v>5.1220155343340803</v>
      </c>
    </row>
    <row r="18" spans="1:6" x14ac:dyDescent="0.2">
      <c r="A18" s="39" t="s">
        <v>1236</v>
      </c>
      <c r="B18" s="39" t="str">
        <f>IFERROR(VLOOKUP(A18,[1]Bonds!$B$1:$K$2669,10,0),VLOOKUP(A18,[1]CPCD!$B$1:$H$1476,7,0))</f>
        <v>0.00% Bajaj Finance Ltd (05-Apr-2022) **</v>
      </c>
      <c r="C18" s="39" t="s">
        <v>361</v>
      </c>
      <c r="D18" s="39">
        <v>19</v>
      </c>
      <c r="E18" s="68">
        <v>210.6891</v>
      </c>
      <c r="F18" s="68">
        <v>4.6778874250267402</v>
      </c>
    </row>
    <row r="19" spans="1:6" x14ac:dyDescent="0.2">
      <c r="A19" s="39" t="s">
        <v>1293</v>
      </c>
      <c r="B19" s="39" t="str">
        <f>IFERROR(VLOOKUP(A19,[1]Bonds!$B$1:$K$2669,10,0),VLOOKUP(A19,[1]CPCD!$B$1:$H$1476,7,0))</f>
        <v>8.23% Housing &amp; Urban Development Corp Ltd (15-Apr-2022) **</v>
      </c>
      <c r="C19" s="39" t="s">
        <v>973</v>
      </c>
      <c r="D19" s="39">
        <v>19</v>
      </c>
      <c r="E19" s="68">
        <v>195.38897</v>
      </c>
      <c r="F19" s="68">
        <v>4.3381817367482496</v>
      </c>
    </row>
    <row r="20" spans="1:6" x14ac:dyDescent="0.2">
      <c r="A20" s="39" t="s">
        <v>1294</v>
      </c>
      <c r="B20" s="39" t="str">
        <f>IFERROR(VLOOKUP(A20,[1]Bonds!$B$1:$K$2669,10,0),VLOOKUP(A20,[1]CPCD!$B$1:$H$1476,7,0))</f>
        <v>0.00% Fullerton India Credit Co Ltd (13-Apr-2022) **</v>
      </c>
      <c r="C20" s="39" t="s">
        <v>361</v>
      </c>
      <c r="D20" s="39">
        <v>12</v>
      </c>
      <c r="E20" s="68">
        <v>127.66956</v>
      </c>
      <c r="F20" s="68">
        <v>2.8346213889693201</v>
      </c>
    </row>
    <row r="21" spans="1:6" x14ac:dyDescent="0.2">
      <c r="A21" s="38" t="s">
        <v>44</v>
      </c>
      <c r="B21" s="39"/>
      <c r="C21" s="39"/>
      <c r="D21" s="39"/>
      <c r="E21" s="69">
        <f>SUM(E8:E20)</f>
        <v>4363.4055100000005</v>
      </c>
      <c r="F21" s="69">
        <f>SUM(F8:F20)</f>
        <v>96.87980899591571</v>
      </c>
    </row>
    <row r="22" spans="1:6" x14ac:dyDescent="0.2">
      <c r="A22" s="39"/>
      <c r="B22" s="39"/>
      <c r="C22" s="39"/>
      <c r="D22" s="39"/>
      <c r="E22" s="68"/>
      <c r="F22" s="68"/>
    </row>
    <row r="23" spans="1:6" x14ac:dyDescent="0.2">
      <c r="A23" s="38" t="s">
        <v>44</v>
      </c>
      <c r="B23" s="39"/>
      <c r="C23" s="39"/>
      <c r="D23" s="39"/>
      <c r="E23" s="69">
        <v>4363.4055100000005</v>
      </c>
      <c r="F23" s="69">
        <v>96.87980899591571</v>
      </c>
    </row>
    <row r="24" spans="1:6" x14ac:dyDescent="0.2">
      <c r="A24" s="39"/>
      <c r="B24" s="39"/>
      <c r="C24" s="39"/>
      <c r="D24" s="39"/>
      <c r="E24" s="68"/>
      <c r="F24" s="68"/>
    </row>
    <row r="25" spans="1:6" x14ac:dyDescent="0.2">
      <c r="A25" s="38" t="s">
        <v>76</v>
      </c>
      <c r="B25" s="39"/>
      <c r="C25" s="39"/>
      <c r="D25" s="39"/>
      <c r="E25" s="69">
        <v>140.52694539999999</v>
      </c>
      <c r="F25" s="69">
        <v>3.12</v>
      </c>
    </row>
    <row r="26" spans="1:6" x14ac:dyDescent="0.2">
      <c r="A26" s="39"/>
      <c r="B26" s="39"/>
      <c r="C26" s="39"/>
      <c r="D26" s="39"/>
      <c r="E26" s="68"/>
      <c r="F26" s="68"/>
    </row>
    <row r="27" spans="1:6" x14ac:dyDescent="0.2">
      <c r="A27" s="71" t="s">
        <v>77</v>
      </c>
      <c r="B27" s="66"/>
      <c r="C27" s="66"/>
      <c r="D27" s="66"/>
      <c r="E27" s="72">
        <v>4503.9369453999998</v>
      </c>
      <c r="F27" s="72">
        <f xml:space="preserve"> ROUND(SUM(F23:F26),2)</f>
        <v>100</v>
      </c>
    </row>
    <row r="28" spans="1:6" x14ac:dyDescent="0.2">
      <c r="A28" s="52" t="s">
        <v>619</v>
      </c>
    </row>
    <row r="30" spans="1:6" x14ac:dyDescent="0.2">
      <c r="A30" s="4" t="s">
        <v>78</v>
      </c>
    </row>
    <row r="31" spans="1:6" x14ac:dyDescent="0.2">
      <c r="A31" s="4" t="s">
        <v>650</v>
      </c>
    </row>
    <row r="32" spans="1:6" x14ac:dyDescent="0.2">
      <c r="A32" s="4" t="s">
        <v>80</v>
      </c>
      <c r="D32" s="11" t="s">
        <v>1087</v>
      </c>
    </row>
    <row r="34" spans="1:5" x14ac:dyDescent="0.2">
      <c r="A34" s="4" t="s">
        <v>81</v>
      </c>
    </row>
    <row r="35" spans="1:5" x14ac:dyDescent="0.2">
      <c r="A35" s="2" t="s">
        <v>638</v>
      </c>
      <c r="D35" s="10">
        <v>10.504300000000001</v>
      </c>
    </row>
    <row r="36" spans="1:5" x14ac:dyDescent="0.2">
      <c r="A36" s="2" t="s">
        <v>639</v>
      </c>
      <c r="D36" s="10">
        <v>10.504300000000001</v>
      </c>
    </row>
    <row r="37" spans="1:5" x14ac:dyDescent="0.2">
      <c r="A37" s="2" t="s">
        <v>652</v>
      </c>
      <c r="D37" s="10">
        <v>10.355700000000001</v>
      </c>
    </row>
    <row r="38" spans="1:5" x14ac:dyDescent="0.2">
      <c r="A38" s="2" t="s">
        <v>640</v>
      </c>
      <c r="D38" s="10">
        <v>10.5137</v>
      </c>
    </row>
    <row r="40" spans="1:5" x14ac:dyDescent="0.2">
      <c r="A40" s="4" t="s">
        <v>82</v>
      </c>
      <c r="D40" s="44" t="s">
        <v>299</v>
      </c>
    </row>
    <row r="41" spans="1:5" x14ac:dyDescent="0.2">
      <c r="A41" s="45" t="s">
        <v>642</v>
      </c>
      <c r="B41" s="46"/>
      <c r="C41" s="100" t="s">
        <v>643</v>
      </c>
      <c r="D41" s="101"/>
    </row>
    <row r="42" spans="1:5" x14ac:dyDescent="0.2">
      <c r="A42" s="86"/>
      <c r="B42" s="87"/>
      <c r="C42" s="47" t="s">
        <v>644</v>
      </c>
      <c r="D42" s="47" t="s">
        <v>645</v>
      </c>
    </row>
    <row r="43" spans="1:5" x14ac:dyDescent="0.2">
      <c r="A43" s="48" t="s">
        <v>652</v>
      </c>
      <c r="B43" s="49"/>
      <c r="C43" s="50">
        <v>0.1044467915</v>
      </c>
      <c r="D43" s="50">
        <v>9.6718249500000006E-2</v>
      </c>
    </row>
    <row r="44" spans="1:5" x14ac:dyDescent="0.2">
      <c r="A44" s="4"/>
      <c r="D44" s="44"/>
    </row>
    <row r="45" spans="1:5" x14ac:dyDescent="0.2">
      <c r="A45" s="4" t="s">
        <v>647</v>
      </c>
      <c r="D45" s="53">
        <v>2.4380717966433267</v>
      </c>
      <c r="E45" s="73" t="s">
        <v>1295</v>
      </c>
    </row>
    <row r="47" spans="1:5" x14ac:dyDescent="0.2">
      <c r="A47" s="9" t="s">
        <v>1296</v>
      </c>
    </row>
  </sheetData>
  <mergeCells count="2">
    <mergeCell ref="A1:F1"/>
    <mergeCell ref="C41:D4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2CFBA-DB9F-4710-865F-7FE25027AD38}">
  <dimension ref="A1:F56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4.140625" style="2" bestFit="1" customWidth="1"/>
    <col min="3" max="3" width="12.140625" style="2" bestFit="1" customWidth="1"/>
    <col min="4" max="4" width="7.42578125" style="2" bestFit="1" customWidth="1"/>
    <col min="5" max="5" width="23" style="73" bestFit="1" customWidth="1"/>
    <col min="6" max="6" width="13.5703125" style="73" bestFit="1" customWidth="1"/>
    <col min="7" max="16384" width="9.140625" style="2"/>
  </cols>
  <sheetData>
    <row r="1" spans="1:6" ht="15" customHeight="1" x14ac:dyDescent="0.2">
      <c r="A1" s="108" t="s">
        <v>1297</v>
      </c>
      <c r="B1" s="108"/>
      <c r="C1" s="108"/>
      <c r="D1" s="108"/>
      <c r="E1" s="108"/>
      <c r="F1" s="108"/>
    </row>
    <row r="3" spans="1:6" s="4" customFormat="1" x14ac:dyDescent="0.2">
      <c r="A3" s="64" t="s">
        <v>1</v>
      </c>
      <c r="B3" s="64" t="s">
        <v>2</v>
      </c>
      <c r="C3" s="64" t="s">
        <v>716</v>
      </c>
      <c r="D3" s="64" t="s">
        <v>4</v>
      </c>
      <c r="E3" s="65" t="s">
        <v>5</v>
      </c>
      <c r="F3" s="65" t="s">
        <v>6</v>
      </c>
    </row>
    <row r="4" spans="1:6" x14ac:dyDescent="0.2">
      <c r="A4" s="66"/>
      <c r="B4" s="66"/>
      <c r="C4" s="66"/>
      <c r="D4" s="66"/>
      <c r="E4" s="67"/>
      <c r="F4" s="67"/>
    </row>
    <row r="5" spans="1:6" x14ac:dyDescent="0.2">
      <c r="A5" s="38" t="s">
        <v>359</v>
      </c>
      <c r="B5" s="39"/>
      <c r="C5" s="39"/>
      <c r="D5" s="39"/>
      <c r="E5" s="68"/>
      <c r="F5" s="68"/>
    </row>
    <row r="6" spans="1:6" x14ac:dyDescent="0.2">
      <c r="A6" s="38" t="s">
        <v>8</v>
      </c>
      <c r="B6" s="39"/>
      <c r="C6" s="39"/>
      <c r="D6" s="39"/>
      <c r="E6" s="68"/>
      <c r="F6" s="68"/>
    </row>
    <row r="7" spans="1:6" x14ac:dyDescent="0.2">
      <c r="A7" s="38"/>
      <c r="B7" s="39"/>
      <c r="C7" s="39"/>
      <c r="D7" s="39"/>
      <c r="E7" s="68"/>
      <c r="F7" s="68"/>
    </row>
    <row r="8" spans="1:6" x14ac:dyDescent="0.2">
      <c r="A8" s="39" t="s">
        <v>1230</v>
      </c>
      <c r="B8" s="39" t="str">
        <f>IFERROR(VLOOKUP(A8,[1]Bonds!$B$1:$K$2669,10,0),VLOOKUP(A8,[1]CPCD!$B$1:$H$1476,7,0))</f>
        <v>0.00% Lic Housing Finance Ltd (04-May-2022) **</v>
      </c>
      <c r="C8" s="39" t="s">
        <v>361</v>
      </c>
      <c r="D8" s="39">
        <v>39</v>
      </c>
      <c r="E8" s="68">
        <v>420.82209</v>
      </c>
      <c r="F8" s="68">
        <v>11.9676338269607</v>
      </c>
    </row>
    <row r="9" spans="1:6" x14ac:dyDescent="0.2">
      <c r="A9" s="39" t="s">
        <v>1298</v>
      </c>
      <c r="B9" s="39" t="str">
        <f>IFERROR(VLOOKUP(A9,[1]Bonds!$B$1:$K$2669,10,0),VLOOKUP(A9,[1]CPCD!$B$1:$H$1476,7,0))</f>
        <v>8.45% Rec Ltd (22-Mar-2022)</v>
      </c>
      <c r="C9" s="39" t="s">
        <v>361</v>
      </c>
      <c r="D9" s="39">
        <v>39</v>
      </c>
      <c r="E9" s="68">
        <v>400.97147999999999</v>
      </c>
      <c r="F9" s="68">
        <v>11.4031082534059</v>
      </c>
    </row>
    <row r="10" spans="1:6" x14ac:dyDescent="0.2">
      <c r="A10" s="39" t="s">
        <v>1235</v>
      </c>
      <c r="B10" s="39" t="str">
        <f>IFERROR(VLOOKUP(A10,[1]Bonds!$B$1:$K$2669,10,0),VLOOKUP(A10,[1]CPCD!$B$1:$H$1476,7,0))</f>
        <v>8.55% Power Finance Corp Ltd (09-Dec-2021)</v>
      </c>
      <c r="C10" s="39" t="s">
        <v>361</v>
      </c>
      <c r="D10" s="39">
        <v>39</v>
      </c>
      <c r="E10" s="68">
        <v>399.37286999999998</v>
      </c>
      <c r="F10" s="68">
        <v>11.357645860706601</v>
      </c>
    </row>
    <row r="11" spans="1:6" x14ac:dyDescent="0.2">
      <c r="A11" s="39" t="s">
        <v>778</v>
      </c>
      <c r="B11" s="39" t="str">
        <f>IFERROR(VLOOKUP(A11,[1]Bonds!$B$1:$K$2669,10,0),VLOOKUP(A11,[1]CPCD!$B$1:$H$1476,7,0))</f>
        <v>10.25% Sikka Ports &amp; Terminals Limited (22-Aug-2021) **</v>
      </c>
      <c r="C11" s="39" t="s">
        <v>361</v>
      </c>
      <c r="D11" s="39">
        <v>38</v>
      </c>
      <c r="E11" s="68">
        <v>391.34109999999998</v>
      </c>
      <c r="F11" s="68">
        <v>11.1292327506858</v>
      </c>
    </row>
    <row r="12" spans="1:6" x14ac:dyDescent="0.2">
      <c r="A12" s="39" t="s">
        <v>1293</v>
      </c>
      <c r="B12" s="39" t="str">
        <f>IFERROR(VLOOKUP(A12,[1]Bonds!$B$1:$K$2669,10,0),VLOOKUP(A12,[1]CPCD!$B$1:$H$1476,7,0))</f>
        <v>8.23% Housing &amp; Urban Development Corp Ltd (15-Apr-2022) **</v>
      </c>
      <c r="C12" s="39" t="s">
        <v>973</v>
      </c>
      <c r="D12" s="39">
        <v>37</v>
      </c>
      <c r="E12" s="68">
        <v>380.49430999999998</v>
      </c>
      <c r="F12" s="68">
        <v>10.820764127002199</v>
      </c>
    </row>
    <row r="13" spans="1:6" x14ac:dyDescent="0.2">
      <c r="A13" s="39" t="s">
        <v>1212</v>
      </c>
      <c r="B13" s="39" t="str">
        <f>IFERROR(VLOOKUP(A13,[1]Bonds!$B$1:$K$2669,10,0),VLOOKUP(A13,[1]CPCD!$B$1:$H$1476,7,0))</f>
        <v>8.60% Ongc Petro Additions Ltd (11-Mar-2022) **</v>
      </c>
      <c r="C13" s="39" t="s">
        <v>1213</v>
      </c>
      <c r="D13" s="39">
        <v>32</v>
      </c>
      <c r="E13" s="68">
        <v>320.89952</v>
      </c>
      <c r="F13" s="68">
        <v>9.1259656797186306</v>
      </c>
    </row>
    <row r="14" spans="1:6" x14ac:dyDescent="0.2">
      <c r="A14" s="39" t="s">
        <v>1292</v>
      </c>
      <c r="B14" s="39" t="str">
        <f>IFERROR(VLOOKUP(A14,[1]Bonds!$B$1:$K$2669,10,0),VLOOKUP(A14,[1]CPCD!$B$1:$H$1476,7,0))</f>
        <v>0.00% Mahindra &amp; Mahindra Financial Services Ltd (29-Mar-2022) **</v>
      </c>
      <c r="C14" s="39" t="s">
        <v>977</v>
      </c>
      <c r="D14" s="39">
        <v>29</v>
      </c>
      <c r="E14" s="68">
        <v>318.57515000000001</v>
      </c>
      <c r="F14" s="68">
        <v>9.0598636149758498</v>
      </c>
    </row>
    <row r="15" spans="1:6" x14ac:dyDescent="0.2">
      <c r="A15" s="39" t="s">
        <v>1233</v>
      </c>
      <c r="B15" s="39" t="str">
        <f>IFERROR(VLOOKUP(A15,[1]Bonds!$B$1:$K$2669,10,0),VLOOKUP(A15,[1]CPCD!$B$1:$H$1476,7,0))</f>
        <v>0.00% Hdb Financial Services Ltd (29-Oct-2021) **</v>
      </c>
      <c r="C15" s="39" t="s">
        <v>361</v>
      </c>
      <c r="D15" s="39">
        <v>27</v>
      </c>
      <c r="E15" s="68">
        <v>302.11137000000002</v>
      </c>
      <c r="F15" s="68">
        <v>8.5916550890221899</v>
      </c>
    </row>
    <row r="16" spans="1:6" x14ac:dyDescent="0.2">
      <c r="A16" s="39" t="s">
        <v>1294</v>
      </c>
      <c r="B16" s="39" t="str">
        <f>IFERROR(VLOOKUP(A16,[1]Bonds!$B$1:$K$2669,10,0),VLOOKUP(A16,[1]CPCD!$B$1:$H$1476,7,0))</f>
        <v>0.00% Fullerton India Credit Co Ltd (13-Apr-2022) **</v>
      </c>
      <c r="C16" s="39" t="s">
        <v>361</v>
      </c>
      <c r="D16" s="39">
        <v>24</v>
      </c>
      <c r="E16" s="68">
        <v>255.33912000000001</v>
      </c>
      <c r="F16" s="68">
        <v>7.2615130300274604</v>
      </c>
    </row>
    <row r="17" spans="1:6" x14ac:dyDescent="0.2">
      <c r="A17" s="39" t="s">
        <v>1224</v>
      </c>
      <c r="B17" s="39" t="str">
        <f>IFERROR(VLOOKUP(A17,[1]Bonds!$B$1:$K$2669,10,0),VLOOKUP(A17,[1]CPCD!$B$1:$H$1476,7,0))</f>
        <v>8.60% National Bank For Agriculture And Rural Development (31-Jan-2022)</v>
      </c>
      <c r="C17" s="39" t="s">
        <v>361</v>
      </c>
      <c r="D17" s="39">
        <v>13</v>
      </c>
      <c r="E17" s="68">
        <v>134.38203999999999</v>
      </c>
      <c r="F17" s="68">
        <v>3.8216507304547398</v>
      </c>
    </row>
    <row r="18" spans="1:6" x14ac:dyDescent="0.2">
      <c r="A18" s="39" t="s">
        <v>1291</v>
      </c>
      <c r="B18" s="39" t="str">
        <f>IFERROR(VLOOKUP(A18,[1]Bonds!$B$1:$K$2669,10,0),VLOOKUP(A18,[1]CPCD!$B$1:$H$1476,7,0))</f>
        <v>0.00% Bajaj Housing Finance Ltd (05-Apr-2022) **</v>
      </c>
      <c r="C18" s="39" t="s">
        <v>361</v>
      </c>
      <c r="D18" s="39">
        <v>4</v>
      </c>
      <c r="E18" s="68">
        <v>44.840919999999997</v>
      </c>
      <c r="F18" s="68">
        <v>1.2752175415127101</v>
      </c>
    </row>
    <row r="19" spans="1:6" x14ac:dyDescent="0.2">
      <c r="A19" s="39" t="s">
        <v>1299</v>
      </c>
      <c r="B19" s="39" t="str">
        <f>IFERROR(VLOOKUP(A19,[1]Bonds!$B$1:$K$2669,10,0),VLOOKUP(A19,[1]CPCD!$B$1:$H$1476,7,0))</f>
        <v>0.00% Aditya Birla Housing Finance Ltd (13-Apr-2022) **</v>
      </c>
      <c r="C19" s="39" t="s">
        <v>977</v>
      </c>
      <c r="D19" s="39">
        <v>1</v>
      </c>
      <c r="E19" s="68">
        <v>10.889279999999999</v>
      </c>
      <c r="F19" s="68">
        <v>0.30967698411280398</v>
      </c>
    </row>
    <row r="20" spans="1:6" x14ac:dyDescent="0.2">
      <c r="A20" s="39" t="s">
        <v>1217</v>
      </c>
      <c r="B20" s="39" t="str">
        <f>IFERROR(VLOOKUP(A20,[1]Bonds!$B$1:$K$2669,10,0),VLOOKUP(A20,[1]CPCD!$B$1:$H$1476,7,0))</f>
        <v>8.85% Ongc Petro Additions Ltd (19-Apr-2022) **</v>
      </c>
      <c r="C20" s="39" t="s">
        <v>973</v>
      </c>
      <c r="D20" s="39">
        <v>1</v>
      </c>
      <c r="E20" s="68">
        <v>10.07794</v>
      </c>
      <c r="F20" s="68">
        <v>0.28660352798989402</v>
      </c>
    </row>
    <row r="21" spans="1:6" x14ac:dyDescent="0.2">
      <c r="A21" s="38" t="s">
        <v>44</v>
      </c>
      <c r="B21" s="39"/>
      <c r="C21" s="39"/>
      <c r="D21" s="39"/>
      <c r="E21" s="69">
        <f>SUM(E8:E20)</f>
        <v>3390.1171900000004</v>
      </c>
      <c r="F21" s="69">
        <f>SUM(F8:F20)</f>
        <v>96.41053101657549</v>
      </c>
    </row>
    <row r="22" spans="1:6" x14ac:dyDescent="0.2">
      <c r="A22" s="39"/>
      <c r="B22" s="39"/>
      <c r="C22" s="39"/>
      <c r="D22" s="39"/>
      <c r="E22" s="68"/>
      <c r="F22" s="68"/>
    </row>
    <row r="23" spans="1:6" x14ac:dyDescent="0.2">
      <c r="A23" s="38" t="s">
        <v>44</v>
      </c>
      <c r="B23" s="39"/>
      <c r="C23" s="39"/>
      <c r="D23" s="39"/>
      <c r="E23" s="69">
        <v>3390.1171900000004</v>
      </c>
      <c r="F23" s="69">
        <v>96.41053101657549</v>
      </c>
    </row>
    <row r="24" spans="1:6" x14ac:dyDescent="0.2">
      <c r="A24" s="39"/>
      <c r="B24" s="39"/>
      <c r="C24" s="39"/>
      <c r="D24" s="39"/>
      <c r="E24" s="68"/>
      <c r="F24" s="68"/>
    </row>
    <row r="25" spans="1:6" x14ac:dyDescent="0.2">
      <c r="A25" s="38" t="s">
        <v>76</v>
      </c>
      <c r="B25" s="39"/>
      <c r="C25" s="39"/>
      <c r="D25" s="39"/>
      <c r="E25" s="69">
        <v>126.2149421</v>
      </c>
      <c r="F25" s="69">
        <v>3.59</v>
      </c>
    </row>
    <row r="26" spans="1:6" x14ac:dyDescent="0.2">
      <c r="A26" s="39"/>
      <c r="B26" s="39"/>
      <c r="C26" s="39"/>
      <c r="D26" s="39"/>
      <c r="E26" s="68"/>
      <c r="F26" s="68"/>
    </row>
    <row r="27" spans="1:6" x14ac:dyDescent="0.2">
      <c r="A27" s="71" t="s">
        <v>77</v>
      </c>
      <c r="B27" s="66"/>
      <c r="C27" s="66"/>
      <c r="D27" s="66"/>
      <c r="E27" s="72">
        <v>3516.3349420999998</v>
      </c>
      <c r="F27" s="72">
        <f xml:space="preserve"> ROUND(SUM(F23:F26),2)</f>
        <v>100</v>
      </c>
    </row>
    <row r="28" spans="1:6" x14ac:dyDescent="0.2">
      <c r="A28" s="52" t="s">
        <v>619</v>
      </c>
    </row>
    <row r="30" spans="1:6" x14ac:dyDescent="0.2">
      <c r="A30" s="4" t="s">
        <v>78</v>
      </c>
    </row>
    <row r="31" spans="1:6" x14ac:dyDescent="0.2">
      <c r="A31" s="4" t="s">
        <v>650</v>
      </c>
    </row>
    <row r="32" spans="1:6" x14ac:dyDescent="0.2">
      <c r="A32" s="4" t="s">
        <v>80</v>
      </c>
      <c r="D32" s="88"/>
    </row>
    <row r="33" spans="1:4" x14ac:dyDescent="0.2">
      <c r="A33" s="2" t="s">
        <v>638</v>
      </c>
      <c r="D33" s="88">
        <v>9.9979999999999993</v>
      </c>
    </row>
    <row r="34" spans="1:4" x14ac:dyDescent="0.2">
      <c r="A34" s="2" t="s">
        <v>639</v>
      </c>
      <c r="D34" s="88">
        <v>9.9979999999999993</v>
      </c>
    </row>
    <row r="35" spans="1:4" x14ac:dyDescent="0.2">
      <c r="A35" s="2" t="s">
        <v>652</v>
      </c>
      <c r="D35" s="88">
        <v>9.9979999999999993</v>
      </c>
    </row>
    <row r="36" spans="1:4" x14ac:dyDescent="0.2">
      <c r="A36" s="2" t="s">
        <v>640</v>
      </c>
      <c r="D36" s="88">
        <v>9.9987999999999992</v>
      </c>
    </row>
    <row r="37" spans="1:4" x14ac:dyDescent="0.2">
      <c r="A37" s="2" t="s">
        <v>641</v>
      </c>
      <c r="D37" s="88">
        <v>9.9987999999999992</v>
      </c>
    </row>
    <row r="38" spans="1:4" x14ac:dyDescent="0.2">
      <c r="A38" s="2" t="s">
        <v>654</v>
      </c>
      <c r="D38" s="88">
        <v>9.9987999999999992</v>
      </c>
    </row>
    <row r="40" spans="1:4" x14ac:dyDescent="0.2">
      <c r="A40" s="4" t="s">
        <v>81</v>
      </c>
    </row>
    <row r="41" spans="1:4" x14ac:dyDescent="0.2">
      <c r="A41" s="2" t="s">
        <v>638</v>
      </c>
      <c r="D41" s="10">
        <v>10.6248</v>
      </c>
    </row>
    <row r="42" spans="1:4" x14ac:dyDescent="0.2">
      <c r="A42" s="2" t="s">
        <v>639</v>
      </c>
      <c r="D42" s="10">
        <v>10.6248</v>
      </c>
    </row>
    <row r="43" spans="1:4" x14ac:dyDescent="0.2">
      <c r="A43" s="2" t="s">
        <v>652</v>
      </c>
      <c r="D43" s="10">
        <v>10.2597</v>
      </c>
    </row>
    <row r="44" spans="1:4" x14ac:dyDescent="0.2">
      <c r="A44" s="2" t="s">
        <v>640</v>
      </c>
      <c r="D44" s="10">
        <v>10.6363</v>
      </c>
    </row>
    <row r="45" spans="1:4" x14ac:dyDescent="0.2">
      <c r="A45" s="2" t="s">
        <v>641</v>
      </c>
      <c r="D45" s="10">
        <v>10.6363</v>
      </c>
    </row>
    <row r="46" spans="1:4" x14ac:dyDescent="0.2">
      <c r="A46" s="2" t="s">
        <v>654</v>
      </c>
      <c r="D46" s="10">
        <v>10.271100000000001</v>
      </c>
    </row>
    <row r="48" spans="1:4" x14ac:dyDescent="0.2">
      <c r="A48" s="4" t="s">
        <v>82</v>
      </c>
      <c r="D48" s="44" t="s">
        <v>299</v>
      </c>
    </row>
    <row r="49" spans="1:5" x14ac:dyDescent="0.2">
      <c r="A49" s="45" t="s">
        <v>642</v>
      </c>
      <c r="B49" s="46"/>
      <c r="C49" s="100" t="s">
        <v>643</v>
      </c>
      <c r="D49" s="101"/>
    </row>
    <row r="50" spans="1:5" x14ac:dyDescent="0.2">
      <c r="A50" s="86"/>
      <c r="B50" s="87"/>
      <c r="C50" s="47" t="s">
        <v>644</v>
      </c>
      <c r="D50" s="47" t="s">
        <v>645</v>
      </c>
    </row>
    <row r="51" spans="1:5" x14ac:dyDescent="0.2">
      <c r="A51" s="48" t="s">
        <v>652</v>
      </c>
      <c r="B51" s="49"/>
      <c r="C51" s="50">
        <v>0.25931617200000001</v>
      </c>
      <c r="D51" s="50">
        <v>0.2401280677</v>
      </c>
    </row>
    <row r="52" spans="1:5" x14ac:dyDescent="0.2">
      <c r="A52" s="48" t="s">
        <v>654</v>
      </c>
      <c r="B52" s="49"/>
      <c r="C52" s="50">
        <v>0.25931617200000001</v>
      </c>
      <c r="D52" s="50">
        <v>0.2401280677</v>
      </c>
    </row>
    <row r="54" spans="1:5" x14ac:dyDescent="0.2">
      <c r="A54" s="4" t="s">
        <v>647</v>
      </c>
      <c r="D54" s="53">
        <v>2.3529011946251646</v>
      </c>
      <c r="E54" s="73" t="s">
        <v>1295</v>
      </c>
    </row>
    <row r="56" spans="1:5" x14ac:dyDescent="0.2">
      <c r="A56" s="9"/>
    </row>
  </sheetData>
  <mergeCells count="2">
    <mergeCell ref="A1:F1"/>
    <mergeCell ref="C49:D49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F79D4-2A21-4024-B9D6-3630587EC8D4}">
  <dimension ref="A1:F53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4.140625" style="2" bestFit="1" customWidth="1"/>
    <col min="3" max="3" width="12.140625" style="2" bestFit="1" customWidth="1"/>
    <col min="4" max="4" width="7.42578125" style="2" bestFit="1" customWidth="1"/>
    <col min="5" max="5" width="23" style="73" bestFit="1" customWidth="1"/>
    <col min="6" max="6" width="13.5703125" style="73" bestFit="1" customWidth="1"/>
    <col min="7" max="16384" width="9.140625" style="2"/>
  </cols>
  <sheetData>
    <row r="1" spans="1:6" ht="15" customHeight="1" x14ac:dyDescent="0.2">
      <c r="A1" s="108" t="s">
        <v>1300</v>
      </c>
      <c r="B1" s="108"/>
      <c r="C1" s="108"/>
      <c r="D1" s="108"/>
      <c r="E1" s="108"/>
      <c r="F1" s="108"/>
    </row>
    <row r="3" spans="1:6" s="4" customFormat="1" x14ac:dyDescent="0.2">
      <c r="A3" s="64" t="s">
        <v>1</v>
      </c>
      <c r="B3" s="64" t="s">
        <v>2</v>
      </c>
      <c r="C3" s="64" t="s">
        <v>716</v>
      </c>
      <c r="D3" s="64" t="s">
        <v>4</v>
      </c>
      <c r="E3" s="65" t="s">
        <v>5</v>
      </c>
      <c r="F3" s="65" t="s">
        <v>6</v>
      </c>
    </row>
    <row r="4" spans="1:6" x14ac:dyDescent="0.2">
      <c r="A4" s="66"/>
      <c r="B4" s="66"/>
      <c r="C4" s="66"/>
      <c r="D4" s="66"/>
      <c r="E4" s="67"/>
      <c r="F4" s="67"/>
    </row>
    <row r="5" spans="1:6" x14ac:dyDescent="0.2">
      <c r="A5" s="38" t="s">
        <v>359</v>
      </c>
      <c r="B5" s="39"/>
      <c r="C5" s="39"/>
      <c r="D5" s="39"/>
      <c r="E5" s="68"/>
      <c r="F5" s="68"/>
    </row>
    <row r="6" spans="1:6" x14ac:dyDescent="0.2">
      <c r="A6" s="38" t="s">
        <v>8</v>
      </c>
      <c r="B6" s="39"/>
      <c r="C6" s="39"/>
      <c r="D6" s="39"/>
      <c r="E6" s="68"/>
      <c r="F6" s="68"/>
    </row>
    <row r="7" spans="1:6" x14ac:dyDescent="0.2">
      <c r="A7" s="38"/>
      <c r="B7" s="39"/>
      <c r="C7" s="39"/>
      <c r="D7" s="39"/>
      <c r="E7" s="68"/>
      <c r="F7" s="68"/>
    </row>
    <row r="8" spans="1:6" x14ac:dyDescent="0.2">
      <c r="A8" s="39" t="s">
        <v>1301</v>
      </c>
      <c r="B8" s="39" t="str">
        <f>IFERROR(VLOOKUP(A8,[1]Bonds!$B$1:$K$2669,10,0),VLOOKUP(A8,[1]CPCD!$B$1:$H$1476,7,0))</f>
        <v>0.00% Bajaj Housing Finance Ltd (05-May-2022) **</v>
      </c>
      <c r="C8" s="39" t="s">
        <v>361</v>
      </c>
      <c r="D8" s="39">
        <v>23</v>
      </c>
      <c r="E8" s="68">
        <v>255.02492000000001</v>
      </c>
      <c r="F8" s="68">
        <v>11.8092963141486</v>
      </c>
    </row>
    <row r="9" spans="1:6" x14ac:dyDescent="0.2">
      <c r="A9" s="39" t="s">
        <v>1302</v>
      </c>
      <c r="B9" s="39" t="str">
        <f>IFERROR(VLOOKUP(A9,[1]Bonds!$B$1:$K$2669,10,0),VLOOKUP(A9,[1]CPCD!$B$1:$H$1476,7,0))</f>
        <v>0.00% Hdb Financial Services Ltd (05-Apr-2022) **</v>
      </c>
      <c r="C9" s="39" t="s">
        <v>361</v>
      </c>
      <c r="D9" s="39">
        <v>23</v>
      </c>
      <c r="E9" s="68">
        <v>254.32410999999999</v>
      </c>
      <c r="F9" s="68">
        <v>11.776844297499</v>
      </c>
    </row>
    <row r="10" spans="1:6" x14ac:dyDescent="0.2">
      <c r="A10" s="39" t="s">
        <v>1293</v>
      </c>
      <c r="B10" s="39" t="str">
        <f>IFERROR(VLOOKUP(A10,[1]Bonds!$B$1:$K$2669,10,0),VLOOKUP(A10,[1]CPCD!$B$1:$H$1476,7,0))</f>
        <v>8.23% Housing &amp; Urban Development Corp Ltd (15-Apr-2022) **</v>
      </c>
      <c r="C10" s="39" t="s">
        <v>973</v>
      </c>
      <c r="D10" s="39">
        <v>24</v>
      </c>
      <c r="E10" s="68">
        <v>246.80712</v>
      </c>
      <c r="F10" s="68">
        <v>11.428759246436099</v>
      </c>
    </row>
    <row r="11" spans="1:6" x14ac:dyDescent="0.2">
      <c r="A11" s="39" t="s">
        <v>1235</v>
      </c>
      <c r="B11" s="39" t="str">
        <f>IFERROR(VLOOKUP(A11,[1]Bonds!$B$1:$K$2669,10,0),VLOOKUP(A11,[1]CPCD!$B$1:$H$1476,7,0))</f>
        <v>8.55% Power Finance Corp Ltd (09-Dec-2021)</v>
      </c>
      <c r="C11" s="39" t="s">
        <v>361</v>
      </c>
      <c r="D11" s="39">
        <v>24</v>
      </c>
      <c r="E11" s="68">
        <v>245.76792</v>
      </c>
      <c r="F11" s="68">
        <v>11.3806375933457</v>
      </c>
    </row>
    <row r="12" spans="1:6" x14ac:dyDescent="0.2">
      <c r="A12" s="39" t="s">
        <v>778</v>
      </c>
      <c r="B12" s="39" t="str">
        <f>IFERROR(VLOOKUP(A12,[1]Bonds!$B$1:$K$2669,10,0),VLOOKUP(A12,[1]CPCD!$B$1:$H$1476,7,0))</f>
        <v>10.25% Sikka Ports &amp; Terminals Limited (22-Aug-2021) **</v>
      </c>
      <c r="C12" s="39" t="s">
        <v>361</v>
      </c>
      <c r="D12" s="39">
        <v>23</v>
      </c>
      <c r="E12" s="68">
        <v>236.86435</v>
      </c>
      <c r="F12" s="68">
        <v>10.9683449578504</v>
      </c>
    </row>
    <row r="13" spans="1:6" x14ac:dyDescent="0.2">
      <c r="A13" s="39" t="s">
        <v>1298</v>
      </c>
      <c r="B13" s="39" t="str">
        <f>IFERROR(VLOOKUP(A13,[1]Bonds!$B$1:$K$2669,10,0),VLOOKUP(A13,[1]CPCD!$B$1:$H$1476,7,0))</f>
        <v>8.45% Rec Ltd (22-Mar-2022)</v>
      </c>
      <c r="C13" s="39" t="s">
        <v>361</v>
      </c>
      <c r="D13" s="39">
        <v>23</v>
      </c>
      <c r="E13" s="68">
        <v>236.47036</v>
      </c>
      <c r="F13" s="68">
        <v>10.9501006833113</v>
      </c>
    </row>
    <row r="14" spans="1:6" x14ac:dyDescent="0.2">
      <c r="A14" s="39" t="s">
        <v>1212</v>
      </c>
      <c r="B14" s="39" t="str">
        <f>IFERROR(VLOOKUP(A14,[1]Bonds!$B$1:$K$2669,10,0),VLOOKUP(A14,[1]CPCD!$B$1:$H$1476,7,0))</f>
        <v>8.60% Ongc Petro Additions Ltd (11-Mar-2022) **</v>
      </c>
      <c r="C14" s="39" t="s">
        <v>1213</v>
      </c>
      <c r="D14" s="39">
        <v>20</v>
      </c>
      <c r="E14" s="68">
        <v>200.56219999999999</v>
      </c>
      <c r="F14" s="68">
        <v>9.2873216045613898</v>
      </c>
    </row>
    <row r="15" spans="1:6" x14ac:dyDescent="0.2">
      <c r="A15" s="39" t="s">
        <v>1299</v>
      </c>
      <c r="B15" s="39" t="str">
        <f>IFERROR(VLOOKUP(A15,[1]Bonds!$B$1:$K$2669,10,0),VLOOKUP(A15,[1]CPCD!$B$1:$H$1476,7,0))</f>
        <v>0.00% Aditya Birla Housing Finance Ltd (13-Apr-2022) **</v>
      </c>
      <c r="C15" s="39" t="s">
        <v>977</v>
      </c>
      <c r="D15" s="39">
        <v>18</v>
      </c>
      <c r="E15" s="68">
        <v>196.00703999999999</v>
      </c>
      <c r="F15" s="68">
        <v>9.0763883585148495</v>
      </c>
    </row>
    <row r="16" spans="1:6" x14ac:dyDescent="0.2">
      <c r="A16" s="39" t="s">
        <v>1294</v>
      </c>
      <c r="B16" s="39" t="str">
        <f>IFERROR(VLOOKUP(A16,[1]Bonds!$B$1:$K$2669,10,0),VLOOKUP(A16,[1]CPCD!$B$1:$H$1476,7,0))</f>
        <v>0.00% Fullerton India Credit Co Ltd (13-Apr-2022) **</v>
      </c>
      <c r="C16" s="39" t="s">
        <v>361</v>
      </c>
      <c r="D16" s="39">
        <v>14</v>
      </c>
      <c r="E16" s="68">
        <v>148.94782000000001</v>
      </c>
      <c r="F16" s="68">
        <v>6.8972433820446799</v>
      </c>
    </row>
    <row r="17" spans="1:6" x14ac:dyDescent="0.2">
      <c r="A17" s="39" t="s">
        <v>1224</v>
      </c>
      <c r="B17" s="39" t="str">
        <f>IFERROR(VLOOKUP(A17,[1]Bonds!$B$1:$K$2669,10,0),VLOOKUP(A17,[1]CPCD!$B$1:$H$1476,7,0))</f>
        <v>8.60% National Bank For Agriculture And Rural Development (31-Jan-2022)</v>
      </c>
      <c r="C17" s="39" t="s">
        <v>361</v>
      </c>
      <c r="D17" s="39">
        <v>3</v>
      </c>
      <c r="E17" s="68">
        <v>31.011240000000001</v>
      </c>
      <c r="F17" s="68">
        <v>1.4360201435576501</v>
      </c>
    </row>
    <row r="18" spans="1:6" x14ac:dyDescent="0.2">
      <c r="A18" s="39" t="s">
        <v>1303</v>
      </c>
      <c r="B18" s="39" t="str">
        <f>IFERROR(VLOOKUP(A18,[1]Bonds!$B$1:$K$2669,10,0),VLOOKUP(A18,[1]CPCD!$B$1:$H$1476,7,0))</f>
        <v>7.60% National Highways Authority Of India (18-Mar-2022) **</v>
      </c>
      <c r="C18" s="39" t="s">
        <v>361</v>
      </c>
      <c r="D18" s="39">
        <v>2</v>
      </c>
      <c r="E18" s="68">
        <v>20.374420000000001</v>
      </c>
      <c r="F18" s="68">
        <v>0.94346686986085904</v>
      </c>
    </row>
    <row r="19" spans="1:6" x14ac:dyDescent="0.2">
      <c r="A19" s="39" t="s">
        <v>1304</v>
      </c>
      <c r="B19" s="39" t="str">
        <f>IFERROR(VLOOKUP(A19,[1]Bonds!$B$1:$K$2669,10,0),VLOOKUP(A19,[1]CPCD!$B$1:$H$1476,7,0))</f>
        <v>9.4756% Tata Capital Financial Services Ltd (08-Apr-2022) **</v>
      </c>
      <c r="C19" s="39" t="s">
        <v>973</v>
      </c>
      <c r="D19" s="39">
        <v>1</v>
      </c>
      <c r="E19" s="68">
        <v>10.300689999999999</v>
      </c>
      <c r="F19" s="68">
        <v>0.47698828981178598</v>
      </c>
    </row>
    <row r="20" spans="1:6" x14ac:dyDescent="0.2">
      <c r="A20" s="38" t="s">
        <v>44</v>
      </c>
      <c r="B20" s="39"/>
      <c r="C20" s="39"/>
      <c r="D20" s="39"/>
      <c r="E20" s="69">
        <f>SUM(E8:E19)</f>
        <v>2082.4621900000002</v>
      </c>
      <c r="F20" s="69">
        <f>SUM(F8:F19)</f>
        <v>96.431411740942309</v>
      </c>
    </row>
    <row r="21" spans="1:6" x14ac:dyDescent="0.2">
      <c r="A21" s="39"/>
      <c r="B21" s="39"/>
      <c r="C21" s="39"/>
      <c r="D21" s="39"/>
      <c r="E21" s="68"/>
      <c r="F21" s="68"/>
    </row>
    <row r="22" spans="1:6" x14ac:dyDescent="0.2">
      <c r="A22" s="38" t="s">
        <v>44</v>
      </c>
      <c r="B22" s="39"/>
      <c r="C22" s="39"/>
      <c r="D22" s="39"/>
      <c r="E22" s="69">
        <v>2082.4621900000002</v>
      </c>
      <c r="F22" s="69">
        <v>96.431411740942309</v>
      </c>
    </row>
    <row r="23" spans="1:6" x14ac:dyDescent="0.2">
      <c r="A23" s="39"/>
      <c r="B23" s="39"/>
      <c r="C23" s="39"/>
      <c r="D23" s="39"/>
      <c r="E23" s="68"/>
      <c r="F23" s="68"/>
    </row>
    <row r="24" spans="1:6" x14ac:dyDescent="0.2">
      <c r="A24" s="38" t="s">
        <v>76</v>
      </c>
      <c r="B24" s="39"/>
      <c r="C24" s="39"/>
      <c r="D24" s="39"/>
      <c r="E24" s="69">
        <v>77.066810200000006</v>
      </c>
      <c r="F24" s="69">
        <v>3.57</v>
      </c>
    </row>
    <row r="25" spans="1:6" x14ac:dyDescent="0.2">
      <c r="A25" s="39"/>
      <c r="B25" s="39"/>
      <c r="C25" s="39"/>
      <c r="D25" s="39"/>
      <c r="E25" s="68"/>
      <c r="F25" s="68"/>
    </row>
    <row r="26" spans="1:6" x14ac:dyDescent="0.2">
      <c r="A26" s="71" t="s">
        <v>77</v>
      </c>
      <c r="B26" s="66"/>
      <c r="C26" s="66"/>
      <c r="D26" s="66"/>
      <c r="E26" s="72">
        <v>2159.5268102</v>
      </c>
      <c r="F26" s="72">
        <f xml:space="preserve"> ROUND(SUM(F22:F25),2)</f>
        <v>100</v>
      </c>
    </row>
    <row r="27" spans="1:6" x14ac:dyDescent="0.2">
      <c r="A27" s="52" t="s">
        <v>619</v>
      </c>
    </row>
    <row r="29" spans="1:6" x14ac:dyDescent="0.2">
      <c r="A29" s="4" t="s">
        <v>78</v>
      </c>
    </row>
    <row r="30" spans="1:6" x14ac:dyDescent="0.2">
      <c r="A30" s="4" t="s">
        <v>650</v>
      </c>
    </row>
    <row r="31" spans="1:6" x14ac:dyDescent="0.2">
      <c r="A31" s="4" t="s">
        <v>80</v>
      </c>
      <c r="D31" s="11"/>
    </row>
    <row r="32" spans="1:6" x14ac:dyDescent="0.2">
      <c r="A32" s="2" t="s">
        <v>638</v>
      </c>
      <c r="D32" s="88">
        <v>10.049899999999999</v>
      </c>
    </row>
    <row r="33" spans="1:4" x14ac:dyDescent="0.2">
      <c r="A33" s="2" t="s">
        <v>639</v>
      </c>
      <c r="D33" s="88">
        <v>10.049899999999999</v>
      </c>
    </row>
    <row r="34" spans="1:4" x14ac:dyDescent="0.2">
      <c r="A34" s="2" t="s">
        <v>652</v>
      </c>
      <c r="D34" s="88">
        <v>10.049899999999999</v>
      </c>
    </row>
    <row r="35" spans="1:4" x14ac:dyDescent="0.2">
      <c r="A35" s="2" t="s">
        <v>640</v>
      </c>
      <c r="D35" s="88">
        <v>10.0524</v>
      </c>
    </row>
    <row r="36" spans="1:4" x14ac:dyDescent="0.2">
      <c r="A36" s="2" t="s">
        <v>641</v>
      </c>
      <c r="D36" s="88">
        <v>10.0524</v>
      </c>
    </row>
    <row r="37" spans="1:4" x14ac:dyDescent="0.2">
      <c r="A37" s="2" t="s">
        <v>654</v>
      </c>
      <c r="D37" s="88">
        <v>10.0524</v>
      </c>
    </row>
    <row r="39" spans="1:4" x14ac:dyDescent="0.2">
      <c r="A39" s="4" t="s">
        <v>81</v>
      </c>
    </row>
    <row r="40" spans="1:4" x14ac:dyDescent="0.2">
      <c r="A40" s="2" t="s">
        <v>638</v>
      </c>
      <c r="D40" s="10">
        <v>10.672700000000001</v>
      </c>
    </row>
    <row r="41" spans="1:4" x14ac:dyDescent="0.2">
      <c r="A41" s="2" t="s">
        <v>639</v>
      </c>
      <c r="D41" s="10">
        <v>10.672700000000001</v>
      </c>
    </row>
    <row r="42" spans="1:4" x14ac:dyDescent="0.2">
      <c r="A42" s="2" t="s">
        <v>652</v>
      </c>
      <c r="D42" s="10">
        <v>10.324400000000001</v>
      </c>
    </row>
    <row r="43" spans="1:4" x14ac:dyDescent="0.2">
      <c r="A43" s="2" t="s">
        <v>640</v>
      </c>
      <c r="D43" s="10">
        <v>10.688700000000001</v>
      </c>
    </row>
    <row r="44" spans="1:4" x14ac:dyDescent="0.2">
      <c r="A44" s="2" t="s">
        <v>641</v>
      </c>
      <c r="D44" s="10">
        <v>10.688700000000001</v>
      </c>
    </row>
    <row r="45" spans="1:4" x14ac:dyDescent="0.2">
      <c r="A45" s="2" t="s">
        <v>654</v>
      </c>
      <c r="D45" s="10">
        <v>10.340299999999999</v>
      </c>
    </row>
    <row r="47" spans="1:4" x14ac:dyDescent="0.2">
      <c r="A47" s="4" t="s">
        <v>82</v>
      </c>
      <c r="D47" s="44" t="s">
        <v>299</v>
      </c>
    </row>
    <row r="48" spans="1:4" x14ac:dyDescent="0.2">
      <c r="A48" s="45" t="s">
        <v>642</v>
      </c>
      <c r="B48" s="46"/>
      <c r="C48" s="100" t="s">
        <v>643</v>
      </c>
      <c r="D48" s="101"/>
    </row>
    <row r="49" spans="1:5" x14ac:dyDescent="0.2">
      <c r="A49" s="86"/>
      <c r="B49" s="87"/>
      <c r="C49" s="47" t="s">
        <v>644</v>
      </c>
      <c r="D49" s="47" t="s">
        <v>645</v>
      </c>
    </row>
    <row r="50" spans="1:5" x14ac:dyDescent="0.2">
      <c r="A50" s="48" t="s">
        <v>652</v>
      </c>
      <c r="B50" s="49"/>
      <c r="C50" s="50">
        <v>0.244909718</v>
      </c>
      <c r="D50" s="50">
        <v>0.2267876194</v>
      </c>
    </row>
    <row r="51" spans="1:5" x14ac:dyDescent="0.2">
      <c r="A51" s="48" t="s">
        <v>654</v>
      </c>
      <c r="B51" s="49"/>
      <c r="C51" s="50">
        <v>0.244909718</v>
      </c>
      <c r="D51" s="50">
        <v>0.2267876194</v>
      </c>
    </row>
    <row r="53" spans="1:5" x14ac:dyDescent="0.2">
      <c r="A53" s="4" t="s">
        <v>647</v>
      </c>
      <c r="D53" s="53">
        <v>2.3990807239350125</v>
      </c>
      <c r="E53" s="73" t="s">
        <v>1295</v>
      </c>
    </row>
  </sheetData>
  <mergeCells count="2">
    <mergeCell ref="A1:F1"/>
    <mergeCell ref="C48:D48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3E4A0-B78B-4027-AC7B-FA0DB914DB5E}">
  <dimension ref="A1:F50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4.140625" style="2" bestFit="1" customWidth="1"/>
    <col min="3" max="3" width="12.5703125" style="2" bestFit="1" customWidth="1"/>
    <col min="4" max="4" width="7.42578125" style="2" bestFit="1" customWidth="1"/>
    <col min="5" max="5" width="23" style="73" bestFit="1" customWidth="1"/>
    <col min="6" max="6" width="13.5703125" style="73" bestFit="1" customWidth="1"/>
    <col min="7" max="16384" width="9.140625" style="2"/>
  </cols>
  <sheetData>
    <row r="1" spans="1:6" ht="15" customHeight="1" x14ac:dyDescent="0.2">
      <c r="A1" s="108" t="s">
        <v>1305</v>
      </c>
      <c r="B1" s="108"/>
      <c r="C1" s="108"/>
      <c r="D1" s="108"/>
      <c r="E1" s="108"/>
      <c r="F1" s="108"/>
    </row>
    <row r="3" spans="1:6" s="4" customFormat="1" x14ac:dyDescent="0.2">
      <c r="A3" s="64" t="s">
        <v>1</v>
      </c>
      <c r="B3" s="64" t="s">
        <v>2</v>
      </c>
      <c r="C3" s="64" t="s">
        <v>716</v>
      </c>
      <c r="D3" s="64" t="s">
        <v>4</v>
      </c>
      <c r="E3" s="65" t="s">
        <v>5</v>
      </c>
      <c r="F3" s="65" t="s">
        <v>6</v>
      </c>
    </row>
    <row r="4" spans="1:6" x14ac:dyDescent="0.2">
      <c r="A4" s="66"/>
      <c r="B4" s="66"/>
      <c r="C4" s="66"/>
      <c r="D4" s="66"/>
      <c r="E4" s="67"/>
      <c r="F4" s="67"/>
    </row>
    <row r="5" spans="1:6" x14ac:dyDescent="0.2">
      <c r="A5" s="38" t="s">
        <v>359</v>
      </c>
      <c r="B5" s="39"/>
      <c r="C5" s="39"/>
      <c r="D5" s="39"/>
      <c r="E5" s="68"/>
      <c r="F5" s="68"/>
    </row>
    <row r="6" spans="1:6" x14ac:dyDescent="0.2">
      <c r="A6" s="38" t="s">
        <v>8</v>
      </c>
      <c r="B6" s="39"/>
      <c r="C6" s="39"/>
      <c r="D6" s="39"/>
      <c r="E6" s="68"/>
      <c r="F6" s="68"/>
    </row>
    <row r="7" spans="1:6" x14ac:dyDescent="0.2">
      <c r="A7" s="38"/>
      <c r="B7" s="39"/>
      <c r="C7" s="39"/>
      <c r="D7" s="39"/>
      <c r="E7" s="68"/>
      <c r="F7" s="68"/>
    </row>
    <row r="8" spans="1:6" x14ac:dyDescent="0.2">
      <c r="A8" s="39" t="s">
        <v>1301</v>
      </c>
      <c r="B8" s="39" t="str">
        <f>IFERROR(VLOOKUP(A8,[1]Bonds!$B$1:$K$2669,10,0),VLOOKUP(A8,[1]CPCD!$B$1:$H$1476,7,0))</f>
        <v>0.00% Bajaj Housing Finance Ltd (05-May-2022) **</v>
      </c>
      <c r="C8" s="39" t="s">
        <v>361</v>
      </c>
      <c r="D8" s="39">
        <v>68</v>
      </c>
      <c r="E8" s="68">
        <v>753.98671999999999</v>
      </c>
      <c r="F8" s="68">
        <v>11.755047439154</v>
      </c>
    </row>
    <row r="9" spans="1:6" x14ac:dyDescent="0.2">
      <c r="A9" s="39" t="s">
        <v>1235</v>
      </c>
      <c r="B9" s="39" t="str">
        <f>IFERROR(VLOOKUP(A9,[1]Bonds!$B$1:$K$2669,10,0),VLOOKUP(A9,[1]CPCD!$B$1:$H$1476,7,0))</f>
        <v>8.55% Power Finance Corp Ltd (09-Dec-2021)</v>
      </c>
      <c r="C9" s="39" t="s">
        <v>361</v>
      </c>
      <c r="D9" s="39">
        <v>71</v>
      </c>
      <c r="E9" s="68">
        <v>727.06343000000004</v>
      </c>
      <c r="F9" s="68">
        <v>11.3352992621993</v>
      </c>
    </row>
    <row r="10" spans="1:6" x14ac:dyDescent="0.2">
      <c r="A10" s="39" t="s">
        <v>1293</v>
      </c>
      <c r="B10" s="39" t="str">
        <f>IFERROR(VLOOKUP(A10,[1]Bonds!$B$1:$K$2669,10,0),VLOOKUP(A10,[1]CPCD!$B$1:$H$1476,7,0))</f>
        <v>8.23% Housing &amp; Urban Development Corp Ltd (15-Apr-2022) **</v>
      </c>
      <c r="C10" s="39" t="s">
        <v>973</v>
      </c>
      <c r="D10" s="39">
        <v>70</v>
      </c>
      <c r="E10" s="68">
        <v>719.85410000000002</v>
      </c>
      <c r="F10" s="68">
        <v>11.222902035687801</v>
      </c>
    </row>
    <row r="11" spans="1:6" x14ac:dyDescent="0.2">
      <c r="A11" s="39" t="s">
        <v>1298</v>
      </c>
      <c r="B11" s="39" t="str">
        <f>IFERROR(VLOOKUP(A11,[1]Bonds!$B$1:$K$2669,10,0),VLOOKUP(A11,[1]CPCD!$B$1:$H$1476,7,0))</f>
        <v>8.45% Rec Ltd (22-Mar-2022)</v>
      </c>
      <c r="C11" s="39" t="s">
        <v>361</v>
      </c>
      <c r="D11" s="39">
        <v>70</v>
      </c>
      <c r="E11" s="68">
        <v>719.69240000000002</v>
      </c>
      <c r="F11" s="68">
        <v>11.2203810480888</v>
      </c>
    </row>
    <row r="12" spans="1:6" x14ac:dyDescent="0.2">
      <c r="A12" s="39" t="s">
        <v>1306</v>
      </c>
      <c r="B12" s="39" t="str">
        <f>IFERROR(VLOOKUP(A12,[1]Bonds!$B$1:$K$2669,10,0),VLOOKUP(A12,[1]CPCD!$B$1:$H$1476,7,0))</f>
        <v>9.05% Mahindra &amp; Mahindra Financial Services Ltd (18-Apr-2022) **</v>
      </c>
      <c r="C12" s="39" t="s">
        <v>916</v>
      </c>
      <c r="D12" s="39">
        <v>70000</v>
      </c>
      <c r="E12" s="68">
        <v>715.53160000000003</v>
      </c>
      <c r="F12" s="68">
        <v>11.1555119992217</v>
      </c>
    </row>
    <row r="13" spans="1:6" x14ac:dyDescent="0.2">
      <c r="A13" s="39" t="s">
        <v>778</v>
      </c>
      <c r="B13" s="39" t="str">
        <f>IFERROR(VLOOKUP(A13,[1]Bonds!$B$1:$K$2669,10,0),VLOOKUP(A13,[1]CPCD!$B$1:$H$1476,7,0))</f>
        <v>10.25% Sikka Ports &amp; Terminals Limited (22-Aug-2021) **</v>
      </c>
      <c r="C13" s="39" t="s">
        <v>361</v>
      </c>
      <c r="D13" s="39">
        <v>69</v>
      </c>
      <c r="E13" s="68">
        <v>710.59304999999995</v>
      </c>
      <c r="F13" s="68">
        <v>11.0785174209476</v>
      </c>
    </row>
    <row r="14" spans="1:6" x14ac:dyDescent="0.2">
      <c r="A14" s="39" t="s">
        <v>1212</v>
      </c>
      <c r="B14" s="39" t="str">
        <f>IFERROR(VLOOKUP(A14,[1]Bonds!$B$1:$K$2669,10,0),VLOOKUP(A14,[1]CPCD!$B$1:$H$1476,7,0))</f>
        <v>8.60% Ongc Petro Additions Ltd (11-Mar-2022) **</v>
      </c>
      <c r="C14" s="39" t="s">
        <v>1213</v>
      </c>
      <c r="D14" s="39">
        <v>70</v>
      </c>
      <c r="E14" s="68">
        <v>701.96770000000004</v>
      </c>
      <c r="F14" s="68">
        <v>10.944043701796</v>
      </c>
    </row>
    <row r="15" spans="1:6" x14ac:dyDescent="0.2">
      <c r="A15" s="39" t="s">
        <v>1245</v>
      </c>
      <c r="B15" s="39" t="str">
        <f>IFERROR(VLOOKUP(A15,[1]Bonds!$B$1:$K$2669,10,0),VLOOKUP(A15,[1]CPCD!$B$1:$H$1476,7,0))</f>
        <v>0.00% Aditya Birla Finance Ltd (08-Apr-2022) **</v>
      </c>
      <c r="C15" s="39" t="s">
        <v>973</v>
      </c>
      <c r="D15" s="39">
        <v>47</v>
      </c>
      <c r="E15" s="68">
        <v>522.59770000000003</v>
      </c>
      <c r="F15" s="68">
        <v>8.1475715581473303</v>
      </c>
    </row>
    <row r="16" spans="1:6" x14ac:dyDescent="0.2">
      <c r="A16" s="39" t="s">
        <v>1304</v>
      </c>
      <c r="B16" s="39" t="str">
        <f>IFERROR(VLOOKUP(A16,[1]Bonds!$B$1:$K$2669,10,0),VLOOKUP(A16,[1]CPCD!$B$1:$H$1476,7,0))</f>
        <v>9.4756% Tata Capital Financial Services Ltd (08-Apr-2022) **</v>
      </c>
      <c r="C16" s="39" t="s">
        <v>973</v>
      </c>
      <c r="D16" s="39">
        <v>31</v>
      </c>
      <c r="E16" s="68">
        <v>319.32139000000001</v>
      </c>
      <c r="F16" s="68">
        <v>4.9783875341817803</v>
      </c>
    </row>
    <row r="17" spans="1:6" x14ac:dyDescent="0.2">
      <c r="A17" s="39" t="s">
        <v>1299</v>
      </c>
      <c r="B17" s="39" t="str">
        <f>IFERROR(VLOOKUP(A17,[1]Bonds!$B$1:$K$2669,10,0),VLOOKUP(A17,[1]CPCD!$B$1:$H$1476,7,0))</f>
        <v>0.00% Aditya Birla Housing Finance Ltd (13-Apr-2022) **</v>
      </c>
      <c r="C17" s="39" t="s">
        <v>977</v>
      </c>
      <c r="D17" s="39">
        <v>20</v>
      </c>
      <c r="E17" s="68">
        <v>217.78559999999999</v>
      </c>
      <c r="F17" s="68">
        <v>3.3953914461048198</v>
      </c>
    </row>
    <row r="18" spans="1:6" x14ac:dyDescent="0.2">
      <c r="A18" s="39" t="s">
        <v>1237</v>
      </c>
      <c r="B18" s="39" t="str">
        <f>IFERROR(VLOOKUP(A18,[1]Bonds!$B$1:$K$2669,10,0),VLOOKUP(A18,[1]CPCD!$B$1:$H$1476,7,0))</f>
        <v>9.95% Food Corporation Of India (07-Mar-2022) **</v>
      </c>
      <c r="C18" s="39" t="s">
        <v>1238</v>
      </c>
      <c r="D18" s="39">
        <v>1</v>
      </c>
      <c r="E18" s="68">
        <v>10.683820000000001</v>
      </c>
      <c r="F18" s="68">
        <v>0.16656634341170201</v>
      </c>
    </row>
    <row r="19" spans="1:6" x14ac:dyDescent="0.2">
      <c r="A19" s="39" t="s">
        <v>1224</v>
      </c>
      <c r="B19" s="39" t="str">
        <f>IFERROR(VLOOKUP(A19,[1]Bonds!$B$1:$K$2669,10,0),VLOOKUP(A19,[1]CPCD!$B$1:$H$1476,7,0))</f>
        <v>8.60% National Bank For Agriculture And Rural Development (31-Jan-2022)</v>
      </c>
      <c r="C19" s="39" t="s">
        <v>361</v>
      </c>
      <c r="D19" s="39">
        <v>1</v>
      </c>
      <c r="E19" s="68">
        <v>10.33708</v>
      </c>
      <c r="F19" s="68">
        <v>0.16116048540262201</v>
      </c>
    </row>
    <row r="20" spans="1:6" x14ac:dyDescent="0.2">
      <c r="A20" s="38" t="s">
        <v>44</v>
      </c>
      <c r="B20" s="39"/>
      <c r="C20" s="39"/>
      <c r="D20" s="39"/>
      <c r="E20" s="69">
        <f>SUM(E8:E19)</f>
        <v>6129.4145900000003</v>
      </c>
      <c r="F20" s="69">
        <f>SUM(F8:F19)</f>
        <v>95.560780274343472</v>
      </c>
    </row>
    <row r="21" spans="1:6" x14ac:dyDescent="0.2">
      <c r="A21" s="39"/>
      <c r="B21" s="39"/>
      <c r="C21" s="39"/>
      <c r="D21" s="39"/>
      <c r="E21" s="68"/>
      <c r="F21" s="68"/>
    </row>
    <row r="22" spans="1:6" x14ac:dyDescent="0.2">
      <c r="A22" s="38" t="s">
        <v>44</v>
      </c>
      <c r="B22" s="39"/>
      <c r="C22" s="39"/>
      <c r="D22" s="39"/>
      <c r="E22" s="69">
        <v>6129.4145900000003</v>
      </c>
      <c r="F22" s="69">
        <v>95.560780274343472</v>
      </c>
    </row>
    <row r="23" spans="1:6" x14ac:dyDescent="0.2">
      <c r="A23" s="39"/>
      <c r="B23" s="39"/>
      <c r="C23" s="39"/>
      <c r="D23" s="39"/>
      <c r="E23" s="68"/>
      <c r="F23" s="68"/>
    </row>
    <row r="24" spans="1:6" x14ac:dyDescent="0.2">
      <c r="A24" s="38" t="s">
        <v>76</v>
      </c>
      <c r="B24" s="39"/>
      <c r="C24" s="39"/>
      <c r="D24" s="39"/>
      <c r="E24" s="69">
        <v>284.74293219999998</v>
      </c>
      <c r="F24" s="69">
        <v>4.4400000000000004</v>
      </c>
    </row>
    <row r="25" spans="1:6" x14ac:dyDescent="0.2">
      <c r="A25" s="39"/>
      <c r="B25" s="39"/>
      <c r="C25" s="39"/>
      <c r="D25" s="39"/>
      <c r="E25" s="68"/>
      <c r="F25" s="68"/>
    </row>
    <row r="26" spans="1:6" x14ac:dyDescent="0.2">
      <c r="A26" s="71" t="s">
        <v>77</v>
      </c>
      <c r="B26" s="66"/>
      <c r="C26" s="66"/>
      <c r="D26" s="66"/>
      <c r="E26" s="72">
        <v>6414.1529321999997</v>
      </c>
      <c r="F26" s="72">
        <f xml:space="preserve"> ROUND(SUM(F22:F25),2)</f>
        <v>100</v>
      </c>
    </row>
    <row r="27" spans="1:6" x14ac:dyDescent="0.2">
      <c r="A27" s="52" t="s">
        <v>619</v>
      </c>
    </row>
    <row r="29" spans="1:6" x14ac:dyDescent="0.2">
      <c r="A29" s="4" t="s">
        <v>78</v>
      </c>
    </row>
    <row r="30" spans="1:6" x14ac:dyDescent="0.2">
      <c r="A30" s="4" t="s">
        <v>650</v>
      </c>
    </row>
    <row r="31" spans="1:6" x14ac:dyDescent="0.2">
      <c r="A31" s="4" t="s">
        <v>80</v>
      </c>
      <c r="D31" s="11"/>
    </row>
    <row r="32" spans="1:6" x14ac:dyDescent="0.2">
      <c r="A32" s="2" t="s">
        <v>638</v>
      </c>
      <c r="D32" s="88">
        <v>10.085000000000001</v>
      </c>
    </row>
    <row r="33" spans="1:4" x14ac:dyDescent="0.2">
      <c r="A33" s="2" t="s">
        <v>639</v>
      </c>
      <c r="D33" s="88">
        <v>10.085000000000001</v>
      </c>
    </row>
    <row r="34" spans="1:4" x14ac:dyDescent="0.2">
      <c r="A34" s="2" t="s">
        <v>652</v>
      </c>
      <c r="D34" s="88">
        <v>10.085000000000001</v>
      </c>
    </row>
    <row r="35" spans="1:4" x14ac:dyDescent="0.2">
      <c r="A35" s="2" t="s">
        <v>640</v>
      </c>
      <c r="D35" s="88">
        <v>10.0884</v>
      </c>
    </row>
    <row r="36" spans="1:4" x14ac:dyDescent="0.2">
      <c r="A36" s="2" t="s">
        <v>641</v>
      </c>
      <c r="D36" s="88">
        <v>10.0884</v>
      </c>
    </row>
    <row r="38" spans="1:4" x14ac:dyDescent="0.2">
      <c r="A38" s="4" t="s">
        <v>81</v>
      </c>
    </row>
    <row r="39" spans="1:4" x14ac:dyDescent="0.2">
      <c r="A39" s="2" t="s">
        <v>638</v>
      </c>
      <c r="D39" s="10">
        <v>10.708399999999999</v>
      </c>
    </row>
    <row r="40" spans="1:4" x14ac:dyDescent="0.2">
      <c r="A40" s="2" t="s">
        <v>639</v>
      </c>
      <c r="D40" s="10">
        <v>10.708399999999999</v>
      </c>
    </row>
    <row r="41" spans="1:4" x14ac:dyDescent="0.2">
      <c r="A41" s="2" t="s">
        <v>652</v>
      </c>
      <c r="D41" s="10">
        <v>10.334199999999999</v>
      </c>
    </row>
    <row r="42" spans="1:4" x14ac:dyDescent="0.2">
      <c r="A42" s="2" t="s">
        <v>640</v>
      </c>
      <c r="D42" s="10">
        <v>10.7255</v>
      </c>
    </row>
    <row r="43" spans="1:4" x14ac:dyDescent="0.2">
      <c r="A43" s="2" t="s">
        <v>641</v>
      </c>
      <c r="D43" s="10">
        <v>10.7255</v>
      </c>
    </row>
    <row r="45" spans="1:4" x14ac:dyDescent="0.2">
      <c r="A45" s="4" t="s">
        <v>82</v>
      </c>
      <c r="D45" s="44" t="s">
        <v>299</v>
      </c>
    </row>
    <row r="46" spans="1:4" x14ac:dyDescent="0.2">
      <c r="A46" s="45" t="s">
        <v>642</v>
      </c>
      <c r="B46" s="46"/>
      <c r="C46" s="100" t="s">
        <v>643</v>
      </c>
      <c r="D46" s="101"/>
    </row>
    <row r="47" spans="1:4" x14ac:dyDescent="0.2">
      <c r="A47" s="102"/>
      <c r="B47" s="103"/>
      <c r="C47" s="47" t="s">
        <v>644</v>
      </c>
      <c r="D47" s="47" t="s">
        <v>645</v>
      </c>
    </row>
    <row r="48" spans="1:4" x14ac:dyDescent="0.2">
      <c r="A48" s="48" t="s">
        <v>652</v>
      </c>
      <c r="B48" s="49"/>
      <c r="C48" s="50">
        <v>0.2629177855</v>
      </c>
      <c r="D48" s="50">
        <v>0.24346317970000003</v>
      </c>
    </row>
    <row r="49" spans="1:5" x14ac:dyDescent="0.2">
      <c r="A49" s="4"/>
      <c r="D49" s="44"/>
    </row>
    <row r="50" spans="1:5" x14ac:dyDescent="0.2">
      <c r="A50" s="4" t="s">
        <v>647</v>
      </c>
      <c r="D50" s="53">
        <v>2.3794468632576646</v>
      </c>
      <c r="E50" s="73" t="s">
        <v>1295</v>
      </c>
    </row>
  </sheetData>
  <mergeCells count="3">
    <mergeCell ref="A1:F1"/>
    <mergeCell ref="C46:D46"/>
    <mergeCell ref="A47:B47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1900F-38B6-41D7-A475-7C6A8FECAD06}">
  <dimension ref="A1:F56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4.140625" style="2" bestFit="1" customWidth="1"/>
    <col min="3" max="3" width="12.140625" style="2" bestFit="1" customWidth="1"/>
    <col min="4" max="4" width="7.42578125" style="2" bestFit="1" customWidth="1"/>
    <col min="5" max="5" width="23" style="73" bestFit="1" customWidth="1"/>
    <col min="6" max="6" width="13.5703125" style="73" bestFit="1" customWidth="1"/>
    <col min="7" max="16384" width="9.140625" style="2"/>
  </cols>
  <sheetData>
    <row r="1" spans="1:6" ht="15" customHeight="1" x14ac:dyDescent="0.2">
      <c r="A1" s="108" t="s">
        <v>1307</v>
      </c>
      <c r="B1" s="108"/>
      <c r="C1" s="108"/>
      <c r="D1" s="108"/>
      <c r="E1" s="108"/>
      <c r="F1" s="108"/>
    </row>
    <row r="3" spans="1:6" s="4" customFormat="1" x14ac:dyDescent="0.2">
      <c r="A3" s="64" t="s">
        <v>1</v>
      </c>
      <c r="B3" s="64" t="s">
        <v>2</v>
      </c>
      <c r="C3" s="64" t="s">
        <v>716</v>
      </c>
      <c r="D3" s="64" t="s">
        <v>4</v>
      </c>
      <c r="E3" s="65" t="s">
        <v>5</v>
      </c>
      <c r="F3" s="65" t="s">
        <v>6</v>
      </c>
    </row>
    <row r="4" spans="1:6" x14ac:dyDescent="0.2">
      <c r="A4" s="66"/>
      <c r="B4" s="66"/>
      <c r="C4" s="66"/>
      <c r="D4" s="66"/>
      <c r="E4" s="67"/>
      <c r="F4" s="67"/>
    </row>
    <row r="5" spans="1:6" x14ac:dyDescent="0.2">
      <c r="A5" s="38" t="s">
        <v>359</v>
      </c>
      <c r="B5" s="39"/>
      <c r="C5" s="39"/>
      <c r="D5" s="39"/>
      <c r="E5" s="68"/>
      <c r="F5" s="68"/>
    </row>
    <row r="6" spans="1:6" x14ac:dyDescent="0.2">
      <c r="A6" s="38" t="s">
        <v>8</v>
      </c>
      <c r="B6" s="39"/>
      <c r="C6" s="39"/>
      <c r="D6" s="39"/>
      <c r="E6" s="68"/>
      <c r="F6" s="68"/>
    </row>
    <row r="7" spans="1:6" x14ac:dyDescent="0.2">
      <c r="A7" s="38"/>
      <c r="B7" s="39"/>
      <c r="C7" s="39"/>
      <c r="D7" s="39"/>
      <c r="E7" s="68"/>
      <c r="F7" s="68"/>
    </row>
    <row r="8" spans="1:6" x14ac:dyDescent="0.2">
      <c r="A8" s="39" t="s">
        <v>1219</v>
      </c>
      <c r="B8" s="39" t="str">
        <f>IFERROR(VLOOKUP(A8,[1]Bonds!$B$1:$K$2669,10,0),VLOOKUP(A8,[1]CPCD!$B$1:$H$1476,7,0))</f>
        <v>0.00% Lic Housing Finance Ltd (25-Feb-2022) **</v>
      </c>
      <c r="C8" s="39" t="s">
        <v>361</v>
      </c>
      <c r="D8" s="39">
        <v>37</v>
      </c>
      <c r="E8" s="68">
        <v>411.25277999999997</v>
      </c>
      <c r="F8" s="68">
        <v>12.0058234652815</v>
      </c>
    </row>
    <row r="9" spans="1:6" x14ac:dyDescent="0.2">
      <c r="A9" s="39" t="s">
        <v>1263</v>
      </c>
      <c r="B9" s="39" t="str">
        <f>IFERROR(VLOOKUP(A9,[1]Bonds!$B$1:$K$2669,10,0),VLOOKUP(A9,[1]CPCD!$B$1:$H$1476,7,0))</f>
        <v>8.35% Rec Ltd (13-Mar-2022) **</v>
      </c>
      <c r="C9" s="39" t="s">
        <v>916</v>
      </c>
      <c r="D9" s="39">
        <v>37</v>
      </c>
      <c r="E9" s="68">
        <v>377.76481999999999</v>
      </c>
      <c r="F9" s="68">
        <v>11.028199591292299</v>
      </c>
    </row>
    <row r="10" spans="1:6" x14ac:dyDescent="0.2">
      <c r="A10" s="39" t="s">
        <v>1246</v>
      </c>
      <c r="B10" s="39" t="str">
        <f>IFERROR(VLOOKUP(A10,[1]Bonds!$B$1:$K$2669,10,0),VLOOKUP(A10,[1]CPCD!$B$1:$H$1476,7,0))</f>
        <v>7.35% Bharat Petroleum Corp Ltd (10-Mar-2022) **</v>
      </c>
      <c r="C10" s="39" t="s">
        <v>361</v>
      </c>
      <c r="D10" s="39">
        <v>37</v>
      </c>
      <c r="E10" s="68">
        <v>376.80466999999999</v>
      </c>
      <c r="F10" s="68">
        <v>11.000169649707001</v>
      </c>
    </row>
    <row r="11" spans="1:6" x14ac:dyDescent="0.2">
      <c r="A11" s="39" t="s">
        <v>1304</v>
      </c>
      <c r="B11" s="39" t="str">
        <f>IFERROR(VLOOKUP(A11,[1]Bonds!$B$1:$K$2669,10,0),VLOOKUP(A11,[1]CPCD!$B$1:$H$1476,7,0))</f>
        <v>9.4756% Tata Capital Financial Services Ltd (08-Apr-2022) **</v>
      </c>
      <c r="C11" s="39" t="s">
        <v>973</v>
      </c>
      <c r="D11" s="39">
        <v>36</v>
      </c>
      <c r="E11" s="68">
        <v>370.82483999999999</v>
      </c>
      <c r="F11" s="68">
        <v>10.825598712259801</v>
      </c>
    </row>
    <row r="12" spans="1:6" x14ac:dyDescent="0.2">
      <c r="A12" s="39" t="s">
        <v>778</v>
      </c>
      <c r="B12" s="39" t="str">
        <f>IFERROR(VLOOKUP(A12,[1]Bonds!$B$1:$K$2669,10,0),VLOOKUP(A12,[1]CPCD!$B$1:$H$1476,7,0))</f>
        <v>10.25% Sikka Ports &amp; Terminals Limited (22-Aug-2021) **</v>
      </c>
      <c r="C12" s="39" t="s">
        <v>361</v>
      </c>
      <c r="D12" s="39">
        <v>36</v>
      </c>
      <c r="E12" s="68">
        <v>370.74419999999998</v>
      </c>
      <c r="F12" s="68">
        <v>10.823244565002099</v>
      </c>
    </row>
    <row r="13" spans="1:6" x14ac:dyDescent="0.2">
      <c r="A13" s="39" t="s">
        <v>1212</v>
      </c>
      <c r="B13" s="39" t="str">
        <f>IFERROR(VLOOKUP(A13,[1]Bonds!$B$1:$K$2669,10,0),VLOOKUP(A13,[1]CPCD!$B$1:$H$1476,7,0))</f>
        <v>8.60% Ongc Petro Additions Ltd (11-Mar-2022) **</v>
      </c>
      <c r="C13" s="39" t="s">
        <v>1213</v>
      </c>
      <c r="D13" s="39">
        <v>31</v>
      </c>
      <c r="E13" s="68">
        <v>310.87141000000003</v>
      </c>
      <c r="F13" s="68">
        <v>9.0753605820321592</v>
      </c>
    </row>
    <row r="14" spans="1:6" x14ac:dyDescent="0.2">
      <c r="A14" s="39" t="s">
        <v>1224</v>
      </c>
      <c r="B14" s="39" t="str">
        <f>IFERROR(VLOOKUP(A14,[1]Bonds!$B$1:$K$2669,10,0),VLOOKUP(A14,[1]CPCD!$B$1:$H$1476,7,0))</f>
        <v>8.60% National Bank For Agriculture And Rural Development (31-Jan-2022)</v>
      </c>
      <c r="C14" s="39" t="s">
        <v>361</v>
      </c>
      <c r="D14" s="39">
        <v>27</v>
      </c>
      <c r="E14" s="68">
        <v>279.10115999999999</v>
      </c>
      <c r="F14" s="68">
        <v>8.1478823217080301</v>
      </c>
    </row>
    <row r="15" spans="1:6" x14ac:dyDescent="0.2">
      <c r="A15" s="39" t="s">
        <v>1308</v>
      </c>
      <c r="B15" s="39" t="str">
        <f>IFERROR(VLOOKUP(A15,[1]Bonds!$B$1:$K$2669,10,0),VLOOKUP(A15,[1]CPCD!$B$1:$H$1476,7,0))</f>
        <v>0.00% Fullerton India Credit Co Ltd (19-Apr-2022) **</v>
      </c>
      <c r="C15" s="39" t="s">
        <v>361</v>
      </c>
      <c r="D15" s="39">
        <v>21</v>
      </c>
      <c r="E15" s="68">
        <v>226.20024000000001</v>
      </c>
      <c r="F15" s="68">
        <v>6.6035301919279501</v>
      </c>
    </row>
    <row r="16" spans="1:6" x14ac:dyDescent="0.2">
      <c r="A16" s="39" t="s">
        <v>1262</v>
      </c>
      <c r="B16" s="39" t="str">
        <f>IFERROR(VLOOKUP(A16,[1]Bonds!$B$1:$K$2669,10,0),VLOOKUP(A16,[1]CPCD!$B$1:$H$1476,7,0))</f>
        <v>8.81% Small Industries Development Bank Of India (25-Jan-2022) **</v>
      </c>
      <c r="C16" s="39" t="s">
        <v>916</v>
      </c>
      <c r="D16" s="39">
        <v>20</v>
      </c>
      <c r="E16" s="68">
        <v>208.245</v>
      </c>
      <c r="F16" s="68">
        <v>6.0793575851998902</v>
      </c>
    </row>
    <row r="17" spans="1:6" x14ac:dyDescent="0.2">
      <c r="A17" s="39" t="s">
        <v>1245</v>
      </c>
      <c r="B17" s="39" t="str">
        <f>IFERROR(VLOOKUP(A17,[1]Bonds!$B$1:$K$2669,10,0),VLOOKUP(A17,[1]CPCD!$B$1:$H$1476,7,0))</f>
        <v>0.00% Aditya Birla Finance Ltd (08-Apr-2022) **</v>
      </c>
      <c r="C17" s="39" t="s">
        <v>973</v>
      </c>
      <c r="D17" s="39">
        <v>12</v>
      </c>
      <c r="E17" s="68">
        <v>133.42920000000001</v>
      </c>
      <c r="F17" s="68">
        <v>3.89523791258928</v>
      </c>
    </row>
    <row r="18" spans="1:6" x14ac:dyDescent="0.2">
      <c r="A18" s="39" t="s">
        <v>1233</v>
      </c>
      <c r="B18" s="39" t="str">
        <f>IFERROR(VLOOKUP(A18,[1]Bonds!$B$1:$K$2669,10,0),VLOOKUP(A18,[1]CPCD!$B$1:$H$1476,7,0))</f>
        <v>0.00% Hdb Financial Services Ltd (29-Oct-2021) **</v>
      </c>
      <c r="C18" s="39" t="s">
        <v>361</v>
      </c>
      <c r="D18" s="39">
        <v>8</v>
      </c>
      <c r="E18" s="68">
        <v>89.514480000000006</v>
      </c>
      <c r="F18" s="68">
        <v>2.61322256463888</v>
      </c>
    </row>
    <row r="19" spans="1:6" x14ac:dyDescent="0.2">
      <c r="A19" s="39" t="s">
        <v>1291</v>
      </c>
      <c r="B19" s="39" t="str">
        <f>IFERROR(VLOOKUP(A19,[1]Bonds!$B$1:$K$2669,10,0),VLOOKUP(A19,[1]CPCD!$B$1:$H$1476,7,0))</f>
        <v>0.00% Bajaj Housing Finance Ltd (05-Apr-2022) **</v>
      </c>
      <c r="C19" s="39" t="s">
        <v>361</v>
      </c>
      <c r="D19" s="39">
        <v>3</v>
      </c>
      <c r="E19" s="68">
        <v>33.630690000000001</v>
      </c>
      <c r="F19" s="68">
        <v>0.98179063289397694</v>
      </c>
    </row>
    <row r="20" spans="1:6" x14ac:dyDescent="0.2">
      <c r="A20" s="39" t="s">
        <v>1299</v>
      </c>
      <c r="B20" s="39" t="str">
        <f>IFERROR(VLOOKUP(A20,[1]Bonds!$B$1:$K$2669,10,0),VLOOKUP(A20,[1]CPCD!$B$1:$H$1476,7,0))</f>
        <v>0.00% Aditya Birla Housing Finance Ltd (13-Apr-2022) **</v>
      </c>
      <c r="C20" s="39" t="s">
        <v>977</v>
      </c>
      <c r="D20" s="39">
        <v>3</v>
      </c>
      <c r="E20" s="68">
        <v>32.667839999999998</v>
      </c>
      <c r="F20" s="68">
        <v>0.95368186941389499</v>
      </c>
    </row>
    <row r="21" spans="1:6" x14ac:dyDescent="0.2">
      <c r="A21" s="39" t="s">
        <v>1303</v>
      </c>
      <c r="B21" s="39" t="str">
        <f>IFERROR(VLOOKUP(A21,[1]Bonds!$B$1:$K$2669,10,0),VLOOKUP(A21,[1]CPCD!$B$1:$H$1476,7,0))</f>
        <v>7.60% National Highways Authority Of India (18-Mar-2022) **</v>
      </c>
      <c r="C21" s="39" t="s">
        <v>361</v>
      </c>
      <c r="D21" s="39">
        <v>3</v>
      </c>
      <c r="E21" s="68">
        <v>30.561630000000001</v>
      </c>
      <c r="F21" s="68">
        <v>0.892194660887765</v>
      </c>
    </row>
    <row r="22" spans="1:6" x14ac:dyDescent="0.2">
      <c r="A22" s="39" t="s">
        <v>1309</v>
      </c>
      <c r="B22" s="39" t="str">
        <f>IFERROR(VLOOKUP(A22,[1]Bonds!$B$1:$K$2669,10,0),VLOOKUP(A22,[1]CPCD!$B$1:$H$1476,7,0))</f>
        <v>9.3772% L&amp;T Housing Finance Limited (11-Mar-2022) **</v>
      </c>
      <c r="C22" s="39" t="s">
        <v>973</v>
      </c>
      <c r="D22" s="39">
        <v>3</v>
      </c>
      <c r="E22" s="68">
        <v>30.528089999999999</v>
      </c>
      <c r="F22" s="68">
        <v>0.89121551779473696</v>
      </c>
    </row>
    <row r="23" spans="1:6" x14ac:dyDescent="0.2">
      <c r="A23" s="38" t="s">
        <v>44</v>
      </c>
      <c r="B23" s="39"/>
      <c r="C23" s="39"/>
      <c r="D23" s="39"/>
      <c r="E23" s="69">
        <f>SUM(E8:E22)</f>
        <v>3282.1410500000002</v>
      </c>
      <c r="F23" s="69">
        <f>SUM(F8:F22)</f>
        <v>95.816509822629257</v>
      </c>
    </row>
    <row r="24" spans="1:6" x14ac:dyDescent="0.2">
      <c r="A24" s="39"/>
      <c r="B24" s="39"/>
      <c r="C24" s="39"/>
      <c r="D24" s="39"/>
      <c r="E24" s="68"/>
      <c r="F24" s="68"/>
    </row>
    <row r="25" spans="1:6" x14ac:dyDescent="0.2">
      <c r="A25" s="38" t="s">
        <v>44</v>
      </c>
      <c r="B25" s="39"/>
      <c r="C25" s="39"/>
      <c r="D25" s="39"/>
      <c r="E25" s="69">
        <v>3282.1410500000002</v>
      </c>
      <c r="F25" s="69">
        <v>95.816509822629257</v>
      </c>
    </row>
    <row r="26" spans="1:6" x14ac:dyDescent="0.2">
      <c r="A26" s="39"/>
      <c r="B26" s="39"/>
      <c r="C26" s="39"/>
      <c r="D26" s="39"/>
      <c r="E26" s="68"/>
      <c r="F26" s="68"/>
    </row>
    <row r="27" spans="1:6" x14ac:dyDescent="0.2">
      <c r="A27" s="38" t="s">
        <v>76</v>
      </c>
      <c r="B27" s="39"/>
      <c r="C27" s="39"/>
      <c r="D27" s="39"/>
      <c r="E27" s="69">
        <v>143.3041704</v>
      </c>
      <c r="F27" s="69">
        <v>4.18</v>
      </c>
    </row>
    <row r="28" spans="1:6" x14ac:dyDescent="0.2">
      <c r="A28" s="39"/>
      <c r="B28" s="39"/>
      <c r="C28" s="39"/>
      <c r="D28" s="39"/>
      <c r="E28" s="68"/>
      <c r="F28" s="68"/>
    </row>
    <row r="29" spans="1:6" x14ac:dyDescent="0.2">
      <c r="A29" s="71" t="s">
        <v>77</v>
      </c>
      <c r="B29" s="66"/>
      <c r="C29" s="66"/>
      <c r="D29" s="66"/>
      <c r="E29" s="72">
        <v>3425.4441704000001</v>
      </c>
      <c r="F29" s="72">
        <f xml:space="preserve"> ROUND(SUM(F25:F28),2)</f>
        <v>100</v>
      </c>
    </row>
    <row r="30" spans="1:6" x14ac:dyDescent="0.2">
      <c r="A30" s="52" t="s">
        <v>619</v>
      </c>
    </row>
    <row r="32" spans="1:6" x14ac:dyDescent="0.2">
      <c r="A32" s="4" t="s">
        <v>78</v>
      </c>
    </row>
    <row r="33" spans="1:4" x14ac:dyDescent="0.2">
      <c r="A33" s="4" t="s">
        <v>650</v>
      </c>
    </row>
    <row r="34" spans="1:4" x14ac:dyDescent="0.2">
      <c r="A34" s="4" t="s">
        <v>80</v>
      </c>
      <c r="D34" s="11"/>
    </row>
    <row r="35" spans="1:4" x14ac:dyDescent="0.2">
      <c r="A35" s="2" t="s">
        <v>638</v>
      </c>
      <c r="D35" s="88">
        <v>10.166700000000001</v>
      </c>
    </row>
    <row r="36" spans="1:4" x14ac:dyDescent="0.2">
      <c r="A36" s="2" t="s">
        <v>639</v>
      </c>
      <c r="D36" s="88">
        <v>10.166700000000001</v>
      </c>
    </row>
    <row r="37" spans="1:4" x14ac:dyDescent="0.2">
      <c r="A37" s="2" t="s">
        <v>652</v>
      </c>
      <c r="D37" s="88">
        <v>10.166700000000001</v>
      </c>
    </row>
    <row r="38" spans="1:4" x14ac:dyDescent="0.2">
      <c r="A38" s="2" t="s">
        <v>640</v>
      </c>
      <c r="D38" s="88">
        <v>10.1717</v>
      </c>
    </row>
    <row r="39" spans="1:4" x14ac:dyDescent="0.2">
      <c r="A39" s="2" t="s">
        <v>641</v>
      </c>
      <c r="D39" s="88">
        <v>10.1717</v>
      </c>
    </row>
    <row r="40" spans="1:4" x14ac:dyDescent="0.2">
      <c r="A40" s="2" t="s">
        <v>654</v>
      </c>
      <c r="D40" s="88">
        <v>10.1717</v>
      </c>
    </row>
    <row r="42" spans="1:4" x14ac:dyDescent="0.2">
      <c r="A42" s="4" t="s">
        <v>81</v>
      </c>
    </row>
    <row r="43" spans="1:4" x14ac:dyDescent="0.2">
      <c r="A43" s="2" t="s">
        <v>638</v>
      </c>
      <c r="D43" s="10">
        <v>10.7919</v>
      </c>
    </row>
    <row r="44" spans="1:4" x14ac:dyDescent="0.2">
      <c r="A44" s="2" t="s">
        <v>639</v>
      </c>
      <c r="D44" s="10">
        <v>10.7919</v>
      </c>
    </row>
    <row r="45" spans="1:4" x14ac:dyDescent="0.2">
      <c r="A45" s="2" t="s">
        <v>652</v>
      </c>
      <c r="D45" s="10">
        <v>10.4152</v>
      </c>
    </row>
    <row r="46" spans="1:4" x14ac:dyDescent="0.2">
      <c r="A46" s="2" t="s">
        <v>640</v>
      </c>
      <c r="D46" s="10">
        <v>10.810600000000001</v>
      </c>
    </row>
    <row r="47" spans="1:4" x14ac:dyDescent="0.2">
      <c r="A47" s="2" t="s">
        <v>641</v>
      </c>
      <c r="D47" s="10">
        <v>10.810600000000001</v>
      </c>
    </row>
    <row r="48" spans="1:4" x14ac:dyDescent="0.2">
      <c r="A48" s="2" t="s">
        <v>654</v>
      </c>
      <c r="D48" s="10">
        <v>10.4336</v>
      </c>
    </row>
    <row r="50" spans="1:5" x14ac:dyDescent="0.2">
      <c r="A50" s="4" t="s">
        <v>82</v>
      </c>
      <c r="D50" s="44" t="s">
        <v>299</v>
      </c>
    </row>
    <row r="51" spans="1:5" x14ac:dyDescent="0.2">
      <c r="A51" s="45" t="s">
        <v>642</v>
      </c>
      <c r="B51" s="46"/>
      <c r="C51" s="100" t="s">
        <v>643</v>
      </c>
      <c r="D51" s="101"/>
    </row>
    <row r="52" spans="1:5" x14ac:dyDescent="0.2">
      <c r="A52" s="102"/>
      <c r="B52" s="103"/>
      <c r="C52" s="47" t="s">
        <v>644</v>
      </c>
      <c r="D52" s="47" t="s">
        <v>645</v>
      </c>
    </row>
    <row r="53" spans="1:5" x14ac:dyDescent="0.2">
      <c r="A53" s="48" t="s">
        <v>652</v>
      </c>
      <c r="B53" s="49"/>
      <c r="C53" s="50">
        <v>0.2629177855</v>
      </c>
      <c r="D53" s="50">
        <v>0.24346317970000003</v>
      </c>
    </row>
    <row r="54" spans="1:5" x14ac:dyDescent="0.2">
      <c r="A54" s="48" t="s">
        <v>654</v>
      </c>
      <c r="B54" s="49"/>
      <c r="C54" s="50">
        <v>0.2629177855</v>
      </c>
      <c r="D54" s="50">
        <v>0.24346317970000003</v>
      </c>
    </row>
    <row r="56" spans="1:5" x14ac:dyDescent="0.2">
      <c r="A56" s="4" t="s">
        <v>647</v>
      </c>
      <c r="D56" s="53">
        <v>2.3489879917285967</v>
      </c>
      <c r="E56" s="73" t="s">
        <v>1295</v>
      </c>
    </row>
  </sheetData>
  <mergeCells count="3">
    <mergeCell ref="A1:F1"/>
    <mergeCell ref="C51:D51"/>
    <mergeCell ref="A52:B52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02B77-A6C7-46EC-B3F6-A06CBBC17150}">
  <dimension ref="A1:F50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4.140625" style="2" bestFit="1" customWidth="1"/>
    <col min="3" max="3" width="12.5703125" style="2" bestFit="1" customWidth="1"/>
    <col min="4" max="4" width="7.42578125" style="2" bestFit="1" customWidth="1"/>
    <col min="5" max="5" width="23" style="73" bestFit="1" customWidth="1"/>
    <col min="6" max="6" width="13.5703125" style="73" bestFit="1" customWidth="1"/>
    <col min="7" max="16384" width="9.140625" style="2"/>
  </cols>
  <sheetData>
    <row r="1" spans="1:6" ht="15" customHeight="1" x14ac:dyDescent="0.2">
      <c r="A1" s="108" t="s">
        <v>1310</v>
      </c>
      <c r="B1" s="108"/>
      <c r="C1" s="108"/>
      <c r="D1" s="108"/>
      <c r="E1" s="108"/>
      <c r="F1" s="108"/>
    </row>
    <row r="3" spans="1:6" s="4" customFormat="1" x14ac:dyDescent="0.2">
      <c r="A3" s="64" t="s">
        <v>1</v>
      </c>
      <c r="B3" s="64" t="s">
        <v>2</v>
      </c>
      <c r="C3" s="64" t="s">
        <v>716</v>
      </c>
      <c r="D3" s="64" t="s">
        <v>4</v>
      </c>
      <c r="E3" s="65" t="s">
        <v>5</v>
      </c>
      <c r="F3" s="65" t="s">
        <v>6</v>
      </c>
    </row>
    <row r="4" spans="1:6" x14ac:dyDescent="0.2">
      <c r="A4" s="66"/>
      <c r="B4" s="66"/>
      <c r="C4" s="66"/>
      <c r="D4" s="66"/>
      <c r="E4" s="67"/>
      <c r="F4" s="67"/>
    </row>
    <row r="5" spans="1:6" x14ac:dyDescent="0.2">
      <c r="A5" s="38" t="s">
        <v>359</v>
      </c>
      <c r="B5" s="39"/>
      <c r="C5" s="39"/>
      <c r="D5" s="39"/>
      <c r="E5" s="68"/>
      <c r="F5" s="68"/>
    </row>
    <row r="6" spans="1:6" x14ac:dyDescent="0.2">
      <c r="A6" s="38" t="s">
        <v>8</v>
      </c>
      <c r="B6" s="39"/>
      <c r="C6" s="39"/>
      <c r="D6" s="39"/>
      <c r="E6" s="68"/>
      <c r="F6" s="68"/>
    </row>
    <row r="7" spans="1:6" x14ac:dyDescent="0.2">
      <c r="A7" s="38"/>
      <c r="B7" s="39"/>
      <c r="C7" s="39"/>
      <c r="D7" s="39"/>
      <c r="E7" s="68"/>
      <c r="F7" s="68"/>
    </row>
    <row r="8" spans="1:6" x14ac:dyDescent="0.2">
      <c r="A8" s="39" t="s">
        <v>1219</v>
      </c>
      <c r="B8" s="39" t="str">
        <f>IFERROR(VLOOKUP(A8,[1]Bonds!$B$1:$K$2669,10,0),VLOOKUP(A8,[1]CPCD!$B$1:$H$1476,7,0))</f>
        <v>0.00% Lic Housing Finance Ltd (25-Feb-2022) **</v>
      </c>
      <c r="C8" s="39" t="s">
        <v>361</v>
      </c>
      <c r="D8" s="39">
        <v>47</v>
      </c>
      <c r="E8" s="68">
        <v>522.40218000000004</v>
      </c>
      <c r="F8" s="68">
        <v>12.001404231215499</v>
      </c>
    </row>
    <row r="9" spans="1:6" x14ac:dyDescent="0.2">
      <c r="A9" s="39" t="s">
        <v>1263</v>
      </c>
      <c r="B9" s="39" t="str">
        <f>IFERROR(VLOOKUP(A9,[1]Bonds!$B$1:$K$2669,10,0),VLOOKUP(A9,[1]CPCD!$B$1:$H$1476,7,0))</f>
        <v>8.35% Rec Ltd (13-Mar-2022) **</v>
      </c>
      <c r="C9" s="39" t="s">
        <v>916</v>
      </c>
      <c r="D9" s="39">
        <v>47</v>
      </c>
      <c r="E9" s="68">
        <v>479.86342000000002</v>
      </c>
      <c r="F9" s="68">
        <v>11.0241402116536</v>
      </c>
    </row>
    <row r="10" spans="1:6" x14ac:dyDescent="0.2">
      <c r="A10" s="39" t="s">
        <v>778</v>
      </c>
      <c r="B10" s="39" t="str">
        <f>IFERROR(VLOOKUP(A10,[1]Bonds!$B$1:$K$2669,10,0),VLOOKUP(A10,[1]CPCD!$B$1:$H$1476,7,0))</f>
        <v>10.25% Sikka Ports &amp; Terminals Limited (22-Aug-2021) **</v>
      </c>
      <c r="C10" s="39" t="s">
        <v>361</v>
      </c>
      <c r="D10" s="39">
        <v>46</v>
      </c>
      <c r="E10" s="68">
        <v>473.7287</v>
      </c>
      <c r="F10" s="68">
        <v>10.883204248167999</v>
      </c>
    </row>
    <row r="11" spans="1:6" x14ac:dyDescent="0.2">
      <c r="A11" s="39" t="s">
        <v>1247</v>
      </c>
      <c r="B11" s="39" t="str">
        <f>IFERROR(VLOOKUP(A11,[1]Bonds!$B$1:$K$2669,10,0),VLOOKUP(A11,[1]CPCD!$B$1:$H$1476,7,0))</f>
        <v>6.70% Indian Railway Finance Corp Ltd (24-Nov-2021) **</v>
      </c>
      <c r="C11" s="39" t="s">
        <v>361</v>
      </c>
      <c r="D11" s="39">
        <v>47</v>
      </c>
      <c r="E11" s="68">
        <v>471.15949000000001</v>
      </c>
      <c r="F11" s="68">
        <v>10.824180513303601</v>
      </c>
    </row>
    <row r="12" spans="1:6" x14ac:dyDescent="0.2">
      <c r="A12" s="39" t="s">
        <v>1303</v>
      </c>
      <c r="B12" s="39" t="str">
        <f>IFERROR(VLOOKUP(A12,[1]Bonds!$B$1:$K$2669,10,0),VLOOKUP(A12,[1]CPCD!$B$1:$H$1476,7,0))</f>
        <v>7.60% National Highways Authority Of India (18-Mar-2022) **</v>
      </c>
      <c r="C12" s="39" t="s">
        <v>361</v>
      </c>
      <c r="D12" s="39">
        <v>45</v>
      </c>
      <c r="E12" s="68">
        <v>458.42444999999998</v>
      </c>
      <c r="F12" s="68">
        <v>10.5316121267385</v>
      </c>
    </row>
    <row r="13" spans="1:6" x14ac:dyDescent="0.2">
      <c r="A13" s="39" t="s">
        <v>1245</v>
      </c>
      <c r="B13" s="39" t="str">
        <f>IFERROR(VLOOKUP(A13,[1]Bonds!$B$1:$K$2669,10,0),VLOOKUP(A13,[1]CPCD!$B$1:$H$1476,7,0))</f>
        <v>0.00% Aditya Birla Finance Ltd (08-Apr-2022) **</v>
      </c>
      <c r="C13" s="39" t="s">
        <v>973</v>
      </c>
      <c r="D13" s="39">
        <v>38</v>
      </c>
      <c r="E13" s="68">
        <v>422.5258</v>
      </c>
      <c r="F13" s="68">
        <v>9.7068946456496406</v>
      </c>
    </row>
    <row r="14" spans="1:6" x14ac:dyDescent="0.2">
      <c r="A14" s="39" t="s">
        <v>1311</v>
      </c>
      <c r="B14" s="39" t="str">
        <f>IFERROR(VLOOKUP(A14,[1]Bonds!$B$1:$K$2669,10,0),VLOOKUP(A14,[1]CPCD!$B$1:$H$1476,7,0))</f>
        <v>9.1791% Tata Capital Housing Finance Ltd (13-Apr-2022) **</v>
      </c>
      <c r="C14" s="39" t="s">
        <v>361</v>
      </c>
      <c r="D14" s="39">
        <v>35</v>
      </c>
      <c r="E14" s="68">
        <v>359.18155000000002</v>
      </c>
      <c r="F14" s="68">
        <v>8.2516557912230208</v>
      </c>
    </row>
    <row r="15" spans="1:6" x14ac:dyDescent="0.2">
      <c r="A15" s="39" t="s">
        <v>1308</v>
      </c>
      <c r="B15" s="39" t="str">
        <f>IFERROR(VLOOKUP(A15,[1]Bonds!$B$1:$K$2669,10,0),VLOOKUP(A15,[1]CPCD!$B$1:$H$1476,7,0))</f>
        <v>0.00% Fullerton India Credit Co Ltd (19-Apr-2022) **</v>
      </c>
      <c r="C15" s="39" t="s">
        <v>361</v>
      </c>
      <c r="D15" s="39">
        <v>29</v>
      </c>
      <c r="E15" s="68">
        <v>312.37175999999999</v>
      </c>
      <c r="F15" s="68">
        <v>7.1762712823599299</v>
      </c>
    </row>
    <row r="16" spans="1:6" x14ac:dyDescent="0.2">
      <c r="A16" s="39" t="s">
        <v>1224</v>
      </c>
      <c r="B16" s="39" t="str">
        <f>IFERROR(VLOOKUP(A16,[1]Bonds!$B$1:$K$2669,10,0),VLOOKUP(A16,[1]CPCD!$B$1:$H$1476,7,0))</f>
        <v>8.60% National Bank For Agriculture And Rural Development (31-Jan-2022)</v>
      </c>
      <c r="C16" s="39" t="s">
        <v>361</v>
      </c>
      <c r="D16" s="39">
        <v>24</v>
      </c>
      <c r="E16" s="68">
        <v>248.08992000000001</v>
      </c>
      <c r="F16" s="68">
        <v>5.69949270810835</v>
      </c>
    </row>
    <row r="17" spans="1:6" x14ac:dyDescent="0.2">
      <c r="A17" s="39" t="s">
        <v>1237</v>
      </c>
      <c r="B17" s="39" t="str">
        <f>IFERROR(VLOOKUP(A17,[1]Bonds!$B$1:$K$2669,10,0),VLOOKUP(A17,[1]CPCD!$B$1:$H$1476,7,0))</f>
        <v>9.95% Food Corporation Of India (07-Mar-2022) **</v>
      </c>
      <c r="C17" s="39" t="s">
        <v>1238</v>
      </c>
      <c r="D17" s="39">
        <v>22</v>
      </c>
      <c r="E17" s="68">
        <v>235.04404</v>
      </c>
      <c r="F17" s="68">
        <v>5.3997832401426402</v>
      </c>
    </row>
    <row r="18" spans="1:6" x14ac:dyDescent="0.2">
      <c r="A18" s="39" t="s">
        <v>1246</v>
      </c>
      <c r="B18" s="39" t="str">
        <f>IFERROR(VLOOKUP(A18,[1]Bonds!$B$1:$K$2669,10,0),VLOOKUP(A18,[1]CPCD!$B$1:$H$1476,7,0))</f>
        <v>7.35% Bharat Petroleum Corp Ltd (10-Mar-2022) **</v>
      </c>
      <c r="C18" s="39" t="s">
        <v>361</v>
      </c>
      <c r="D18" s="39">
        <v>10</v>
      </c>
      <c r="E18" s="68">
        <v>101.8391</v>
      </c>
      <c r="F18" s="68">
        <v>2.3396001250285301</v>
      </c>
    </row>
    <row r="19" spans="1:6" x14ac:dyDescent="0.2">
      <c r="A19" s="39" t="s">
        <v>1299</v>
      </c>
      <c r="B19" s="39" t="str">
        <f>IFERROR(VLOOKUP(A19,[1]Bonds!$B$1:$K$2669,10,0),VLOOKUP(A19,[1]CPCD!$B$1:$H$1476,7,0))</f>
        <v>0.00% Aditya Birla Housing Finance Ltd (13-Apr-2022) **</v>
      </c>
      <c r="C19" s="39" t="s">
        <v>977</v>
      </c>
      <c r="D19" s="39">
        <v>5</v>
      </c>
      <c r="E19" s="68">
        <v>54.446399999999997</v>
      </c>
      <c r="F19" s="68">
        <v>1.2508241357921801</v>
      </c>
    </row>
    <row r="20" spans="1:6" x14ac:dyDescent="0.2">
      <c r="A20" s="39" t="s">
        <v>1304</v>
      </c>
      <c r="B20" s="39" t="str">
        <f>IFERROR(VLOOKUP(A20,[1]Bonds!$B$1:$K$2669,10,0),VLOOKUP(A20,[1]CPCD!$B$1:$H$1476,7,0))</f>
        <v>9.4756% Tata Capital Financial Services Ltd (08-Apr-2022) **</v>
      </c>
      <c r="C20" s="39" t="s">
        <v>973</v>
      </c>
      <c r="D20" s="39">
        <v>4</v>
      </c>
      <c r="E20" s="68">
        <v>41.202759999999998</v>
      </c>
      <c r="F20" s="68">
        <v>0.94657142931860505</v>
      </c>
    </row>
    <row r="21" spans="1:6" x14ac:dyDescent="0.2">
      <c r="A21" s="39" t="s">
        <v>1217</v>
      </c>
      <c r="B21" s="39" t="str">
        <f>IFERROR(VLOOKUP(A21,[1]Bonds!$B$1:$K$2669,10,0),VLOOKUP(A21,[1]CPCD!$B$1:$H$1476,7,0))</f>
        <v>8.85% Ongc Petro Additions Ltd (19-Apr-2022) **</v>
      </c>
      <c r="C21" s="39" t="s">
        <v>973</v>
      </c>
      <c r="D21" s="39">
        <v>1</v>
      </c>
      <c r="E21" s="68">
        <v>10.07794</v>
      </c>
      <c r="F21" s="68">
        <v>0.23152551116447401</v>
      </c>
    </row>
    <row r="22" spans="1:6" x14ac:dyDescent="0.2">
      <c r="A22" s="38" t="s">
        <v>44</v>
      </c>
      <c r="B22" s="39"/>
      <c r="C22" s="39"/>
      <c r="D22" s="39"/>
      <c r="E22" s="69">
        <f>SUM(E8:E21)</f>
        <v>4190.3575099999998</v>
      </c>
      <c r="F22" s="69">
        <f>SUM(F8:F21)</f>
        <v>96.267160199866581</v>
      </c>
    </row>
    <row r="23" spans="1:6" x14ac:dyDescent="0.2">
      <c r="A23" s="39"/>
      <c r="B23" s="39"/>
      <c r="C23" s="39"/>
      <c r="D23" s="39"/>
      <c r="E23" s="68"/>
      <c r="F23" s="68"/>
    </row>
    <row r="24" spans="1:6" x14ac:dyDescent="0.2">
      <c r="A24" s="38" t="s">
        <v>44</v>
      </c>
      <c r="B24" s="39"/>
      <c r="C24" s="39"/>
      <c r="D24" s="39"/>
      <c r="E24" s="69">
        <v>4190.3575099999998</v>
      </c>
      <c r="F24" s="69">
        <v>96.267160199866581</v>
      </c>
    </row>
    <row r="25" spans="1:6" x14ac:dyDescent="0.2">
      <c r="A25" s="39"/>
      <c r="B25" s="39"/>
      <c r="C25" s="39"/>
      <c r="D25" s="39"/>
      <c r="E25" s="68"/>
      <c r="F25" s="68"/>
    </row>
    <row r="26" spans="1:6" x14ac:dyDescent="0.2">
      <c r="A26" s="38" t="s">
        <v>76</v>
      </c>
      <c r="B26" s="39"/>
      <c r="C26" s="39"/>
      <c r="D26" s="39"/>
      <c r="E26" s="69">
        <v>162.4821336</v>
      </c>
      <c r="F26" s="69">
        <v>3.73</v>
      </c>
    </row>
    <row r="27" spans="1:6" x14ac:dyDescent="0.2">
      <c r="A27" s="39"/>
      <c r="B27" s="39"/>
      <c r="C27" s="39"/>
      <c r="D27" s="39"/>
      <c r="E27" s="68"/>
      <c r="F27" s="68"/>
    </row>
    <row r="28" spans="1:6" x14ac:dyDescent="0.2">
      <c r="A28" s="71" t="s">
        <v>77</v>
      </c>
      <c r="B28" s="66"/>
      <c r="C28" s="66"/>
      <c r="D28" s="66"/>
      <c r="E28" s="72">
        <v>4352.8421336000001</v>
      </c>
      <c r="F28" s="72">
        <f xml:space="preserve"> ROUND(SUM(F24:F27),2)</f>
        <v>100</v>
      </c>
    </row>
    <row r="29" spans="1:6" x14ac:dyDescent="0.2">
      <c r="A29" s="52" t="s">
        <v>619</v>
      </c>
    </row>
    <row r="31" spans="1:6" x14ac:dyDescent="0.2">
      <c r="A31" s="4" t="s">
        <v>78</v>
      </c>
    </row>
    <row r="32" spans="1:6" x14ac:dyDescent="0.2">
      <c r="A32" s="4" t="s">
        <v>650</v>
      </c>
    </row>
    <row r="33" spans="1:4" x14ac:dyDescent="0.2">
      <c r="A33" s="4" t="s">
        <v>80</v>
      </c>
      <c r="D33" s="11"/>
    </row>
    <row r="34" spans="1:4" x14ac:dyDescent="0.2">
      <c r="A34" s="2" t="s">
        <v>638</v>
      </c>
      <c r="D34" s="88">
        <v>10.250500000000001</v>
      </c>
    </row>
    <row r="35" spans="1:4" x14ac:dyDescent="0.2">
      <c r="A35" s="2" t="s">
        <v>639</v>
      </c>
      <c r="D35" s="88">
        <v>10.250500000000001</v>
      </c>
    </row>
    <row r="36" spans="1:4" x14ac:dyDescent="0.2">
      <c r="A36" s="2" t="s">
        <v>652</v>
      </c>
      <c r="D36" s="88">
        <v>10.125400000000001</v>
      </c>
    </row>
    <row r="37" spans="1:4" x14ac:dyDescent="0.2">
      <c r="A37" s="2" t="s">
        <v>640</v>
      </c>
      <c r="D37" s="88">
        <v>10.2583</v>
      </c>
    </row>
    <row r="39" spans="1:4" x14ac:dyDescent="0.2">
      <c r="A39" s="4" t="s">
        <v>81</v>
      </c>
    </row>
    <row r="40" spans="1:4" x14ac:dyDescent="0.2">
      <c r="A40" s="2" t="s">
        <v>638</v>
      </c>
      <c r="D40" s="10">
        <v>10.898199999999999</v>
      </c>
    </row>
    <row r="41" spans="1:4" x14ac:dyDescent="0.2">
      <c r="A41" s="2" t="s">
        <v>639</v>
      </c>
      <c r="D41" s="10">
        <v>10.898199999999999</v>
      </c>
    </row>
    <row r="42" spans="1:4" x14ac:dyDescent="0.2">
      <c r="A42" s="2" t="s">
        <v>652</v>
      </c>
      <c r="D42" s="10">
        <v>10.339</v>
      </c>
    </row>
    <row r="43" spans="1:4" x14ac:dyDescent="0.2">
      <c r="A43" s="2" t="s">
        <v>640</v>
      </c>
      <c r="D43" s="10">
        <v>10.922800000000001</v>
      </c>
    </row>
    <row r="45" spans="1:4" x14ac:dyDescent="0.2">
      <c r="A45" s="4" t="s">
        <v>82</v>
      </c>
      <c r="D45" s="44" t="s">
        <v>299</v>
      </c>
    </row>
    <row r="46" spans="1:4" x14ac:dyDescent="0.2">
      <c r="A46" s="45" t="s">
        <v>642</v>
      </c>
      <c r="B46" s="46"/>
      <c r="C46" s="100" t="s">
        <v>643</v>
      </c>
      <c r="D46" s="101"/>
    </row>
    <row r="47" spans="1:4" x14ac:dyDescent="0.2">
      <c r="A47" s="102"/>
      <c r="B47" s="103"/>
      <c r="C47" s="47" t="s">
        <v>644</v>
      </c>
      <c r="D47" s="47" t="s">
        <v>645</v>
      </c>
    </row>
    <row r="48" spans="1:4" x14ac:dyDescent="0.2">
      <c r="A48" s="48" t="s">
        <v>652</v>
      </c>
      <c r="B48" s="49"/>
      <c r="C48" s="50">
        <v>0.30253553399999999</v>
      </c>
      <c r="D48" s="50">
        <v>0.28014941230000001</v>
      </c>
    </row>
    <row r="49" spans="1:5" x14ac:dyDescent="0.2">
      <c r="A49" s="4"/>
      <c r="D49" s="44"/>
    </row>
    <row r="50" spans="1:5" x14ac:dyDescent="0.2">
      <c r="A50" s="4" t="s">
        <v>647</v>
      </c>
      <c r="D50" s="53">
        <v>2.3542475296598631</v>
      </c>
      <c r="E50" s="73" t="s">
        <v>1295</v>
      </c>
    </row>
  </sheetData>
  <mergeCells count="3">
    <mergeCell ref="A1:F1"/>
    <mergeCell ref="C46:D46"/>
    <mergeCell ref="A47:B47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46E7B-0F18-462D-9E0B-652C52F373F0}">
  <dimension ref="A1:F55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4.140625" style="2" bestFit="1" customWidth="1"/>
    <col min="3" max="3" width="11.7109375" style="2" bestFit="1" customWidth="1"/>
    <col min="4" max="4" width="7.42578125" style="2" bestFit="1" customWidth="1"/>
    <col min="5" max="5" width="23" style="73" bestFit="1" customWidth="1"/>
    <col min="6" max="6" width="13.5703125" style="73" bestFit="1" customWidth="1"/>
    <col min="7" max="16384" width="9.140625" style="2"/>
  </cols>
  <sheetData>
    <row r="1" spans="1:6" ht="15" customHeight="1" x14ac:dyDescent="0.2">
      <c r="A1" s="108" t="s">
        <v>1312</v>
      </c>
      <c r="B1" s="108"/>
      <c r="C1" s="108"/>
      <c r="D1" s="108"/>
      <c r="E1" s="108"/>
      <c r="F1" s="108"/>
    </row>
    <row r="3" spans="1:6" s="4" customFormat="1" x14ac:dyDescent="0.2">
      <c r="A3" s="64" t="s">
        <v>1</v>
      </c>
      <c r="B3" s="64" t="s">
        <v>2</v>
      </c>
      <c r="C3" s="64" t="s">
        <v>716</v>
      </c>
      <c r="D3" s="64" t="s">
        <v>4</v>
      </c>
      <c r="E3" s="65" t="s">
        <v>5</v>
      </c>
      <c r="F3" s="65" t="s">
        <v>6</v>
      </c>
    </row>
    <row r="4" spans="1:6" x14ac:dyDescent="0.2">
      <c r="A4" s="66"/>
      <c r="B4" s="66"/>
      <c r="C4" s="66"/>
      <c r="D4" s="66"/>
      <c r="E4" s="67"/>
      <c r="F4" s="67"/>
    </row>
    <row r="5" spans="1:6" x14ac:dyDescent="0.2">
      <c r="A5" s="38" t="s">
        <v>359</v>
      </c>
      <c r="B5" s="39"/>
      <c r="C5" s="39"/>
      <c r="D5" s="39"/>
      <c r="E5" s="68"/>
      <c r="F5" s="68"/>
    </row>
    <row r="6" spans="1:6" x14ac:dyDescent="0.2">
      <c r="A6" s="38" t="s">
        <v>8</v>
      </c>
      <c r="B6" s="39"/>
      <c r="C6" s="39"/>
      <c r="D6" s="39"/>
      <c r="E6" s="68"/>
      <c r="F6" s="68"/>
    </row>
    <row r="7" spans="1:6" x14ac:dyDescent="0.2">
      <c r="A7" s="38"/>
      <c r="B7" s="39"/>
      <c r="C7" s="39"/>
      <c r="D7" s="39"/>
      <c r="E7" s="68"/>
      <c r="F7" s="68"/>
    </row>
    <row r="8" spans="1:6" x14ac:dyDescent="0.2">
      <c r="A8" s="39" t="s">
        <v>1245</v>
      </c>
      <c r="B8" s="39" t="str">
        <f>IFERROR(VLOOKUP(A8,[1]Bonds!$B$1:$K$2669,10,0),VLOOKUP(A8,[1]CPCD!$B$1:$H$1476,7,0))</f>
        <v>0.00% Aditya Birla Finance Ltd (08-Apr-2022) **</v>
      </c>
      <c r="C8" s="39" t="s">
        <v>973</v>
      </c>
      <c r="D8" s="39">
        <v>26</v>
      </c>
      <c r="E8" s="68">
        <v>289.09660000000002</v>
      </c>
      <c r="F8" s="68">
        <v>11.7715835725572</v>
      </c>
    </row>
    <row r="9" spans="1:6" x14ac:dyDescent="0.2">
      <c r="A9" s="39" t="s">
        <v>1247</v>
      </c>
      <c r="B9" s="39" t="str">
        <f>IFERROR(VLOOKUP(A9,[1]Bonds!$B$1:$K$2669,10,0),VLOOKUP(A9,[1]CPCD!$B$1:$H$1476,7,0))</f>
        <v>6.70% Indian Railway Finance Corp Ltd (24-Nov-2021) **</v>
      </c>
      <c r="C9" s="39" t="s">
        <v>361</v>
      </c>
      <c r="D9" s="39">
        <v>28</v>
      </c>
      <c r="E9" s="68">
        <v>280.69076000000001</v>
      </c>
      <c r="F9" s="68">
        <v>11.429310269939499</v>
      </c>
    </row>
    <row r="10" spans="1:6" x14ac:dyDescent="0.2">
      <c r="A10" s="39" t="s">
        <v>1263</v>
      </c>
      <c r="B10" s="39" t="str">
        <f>IFERROR(VLOOKUP(A10,[1]Bonds!$B$1:$K$2669,10,0),VLOOKUP(A10,[1]CPCD!$B$1:$H$1476,7,0))</f>
        <v>8.35% Rec Ltd (13-Mar-2022) **</v>
      </c>
      <c r="C10" s="39" t="s">
        <v>916</v>
      </c>
      <c r="D10" s="39">
        <v>27</v>
      </c>
      <c r="E10" s="68">
        <v>275.66622000000001</v>
      </c>
      <c r="F10" s="68">
        <v>11.2247184742433</v>
      </c>
    </row>
    <row r="11" spans="1:6" x14ac:dyDescent="0.2">
      <c r="A11" s="39" t="s">
        <v>1262</v>
      </c>
      <c r="B11" s="39" t="str">
        <f>IFERROR(VLOOKUP(A11,[1]Bonds!$B$1:$K$2669,10,0),VLOOKUP(A11,[1]CPCD!$B$1:$H$1476,7,0))</f>
        <v>8.81% Small Industries Development Bank Of India (25-Jan-2022) **</v>
      </c>
      <c r="C11" s="39" t="s">
        <v>916</v>
      </c>
      <c r="D11" s="39">
        <v>26</v>
      </c>
      <c r="E11" s="68">
        <v>270.71850000000001</v>
      </c>
      <c r="F11" s="68">
        <v>11.0232546746912</v>
      </c>
    </row>
    <row r="12" spans="1:6" x14ac:dyDescent="0.2">
      <c r="A12" s="39" t="s">
        <v>1224</v>
      </c>
      <c r="B12" s="39" t="str">
        <f>IFERROR(VLOOKUP(A12,[1]Bonds!$B$1:$K$2669,10,0),VLOOKUP(A12,[1]CPCD!$B$1:$H$1476,7,0))</f>
        <v>8.60% National Bank For Agriculture And Rural Development (31-Jan-2022)</v>
      </c>
      <c r="C12" s="39" t="s">
        <v>361</v>
      </c>
      <c r="D12" s="39">
        <v>26</v>
      </c>
      <c r="E12" s="68">
        <v>268.76407999999998</v>
      </c>
      <c r="F12" s="68">
        <v>10.9436735991411</v>
      </c>
    </row>
    <row r="13" spans="1:6" x14ac:dyDescent="0.2">
      <c r="A13" s="39" t="s">
        <v>778</v>
      </c>
      <c r="B13" s="39" t="str">
        <f>IFERROR(VLOOKUP(A13,[1]Bonds!$B$1:$K$2669,10,0),VLOOKUP(A13,[1]CPCD!$B$1:$H$1476,7,0))</f>
        <v>10.25% Sikka Ports &amp; Terminals Limited (22-Aug-2021) **</v>
      </c>
      <c r="C13" s="39" t="s">
        <v>361</v>
      </c>
      <c r="D13" s="39">
        <v>26</v>
      </c>
      <c r="E13" s="68">
        <v>267.75970000000001</v>
      </c>
      <c r="F13" s="68">
        <v>10.902776739376501</v>
      </c>
    </row>
    <row r="14" spans="1:6" x14ac:dyDescent="0.2">
      <c r="A14" s="39" t="s">
        <v>1309</v>
      </c>
      <c r="B14" s="39" t="str">
        <f>IFERROR(VLOOKUP(A14,[1]Bonds!$B$1:$K$2669,10,0),VLOOKUP(A14,[1]CPCD!$B$1:$H$1476,7,0))</f>
        <v>9.3772% L&amp;T Housing Finance Limited (11-Mar-2022) **</v>
      </c>
      <c r="C14" s="39" t="s">
        <v>973</v>
      </c>
      <c r="D14" s="39">
        <v>26</v>
      </c>
      <c r="E14" s="68">
        <v>264.57677999999999</v>
      </c>
      <c r="F14" s="68">
        <v>10.773172971000299</v>
      </c>
    </row>
    <row r="15" spans="1:6" x14ac:dyDescent="0.2">
      <c r="A15" s="39" t="s">
        <v>1308</v>
      </c>
      <c r="B15" s="39" t="str">
        <f>IFERROR(VLOOKUP(A15,[1]Bonds!$B$1:$K$2669,10,0),VLOOKUP(A15,[1]CPCD!$B$1:$H$1476,7,0))</f>
        <v>0.00% Fullerton India Credit Co Ltd (19-Apr-2022) **</v>
      </c>
      <c r="C15" s="39" t="s">
        <v>361</v>
      </c>
      <c r="D15" s="39">
        <v>10</v>
      </c>
      <c r="E15" s="68">
        <v>107.7144</v>
      </c>
      <c r="F15" s="68">
        <v>4.3859701621114002</v>
      </c>
    </row>
    <row r="16" spans="1:6" x14ac:dyDescent="0.2">
      <c r="A16" s="39" t="s">
        <v>1304</v>
      </c>
      <c r="B16" s="39" t="str">
        <f>IFERROR(VLOOKUP(A16,[1]Bonds!$B$1:$K$2669,10,0),VLOOKUP(A16,[1]CPCD!$B$1:$H$1476,7,0))</f>
        <v>9.4756% Tata Capital Financial Services Ltd (08-Apr-2022) **</v>
      </c>
      <c r="C16" s="39" t="s">
        <v>973</v>
      </c>
      <c r="D16" s="39">
        <v>2</v>
      </c>
      <c r="E16" s="68">
        <v>20.601379999999999</v>
      </c>
      <c r="F16" s="68">
        <v>0.83885755273499596</v>
      </c>
    </row>
    <row r="17" spans="1:6" x14ac:dyDescent="0.2">
      <c r="A17" s="39" t="s">
        <v>1235</v>
      </c>
      <c r="B17" s="39" t="str">
        <f>IFERROR(VLOOKUP(A17,[1]Bonds!$B$1:$K$2669,10,0),VLOOKUP(A17,[1]CPCD!$B$1:$H$1476,7,0))</f>
        <v>8.55% Power Finance Corp Ltd (09-Dec-2021)</v>
      </c>
      <c r="C17" s="39" t="s">
        <v>361</v>
      </c>
      <c r="D17" s="39">
        <v>1</v>
      </c>
      <c r="E17" s="68">
        <v>10.24033</v>
      </c>
      <c r="F17" s="68">
        <v>0.41697100694219402</v>
      </c>
    </row>
    <row r="18" spans="1:6" x14ac:dyDescent="0.2">
      <c r="A18" s="38" t="s">
        <v>44</v>
      </c>
      <c r="B18" s="39"/>
      <c r="C18" s="39"/>
      <c r="D18" s="39"/>
      <c r="E18" s="69">
        <f>SUM(E8:E17)</f>
        <v>2055.8287500000001</v>
      </c>
      <c r="F18" s="69">
        <f>SUM(F8:F17)</f>
        <v>83.710289022737683</v>
      </c>
    </row>
    <row r="19" spans="1:6" x14ac:dyDescent="0.2">
      <c r="A19" s="39"/>
      <c r="B19" s="39"/>
      <c r="C19" s="39"/>
      <c r="D19" s="39"/>
      <c r="E19" s="68"/>
      <c r="F19" s="68"/>
    </row>
    <row r="20" spans="1:6" x14ac:dyDescent="0.2">
      <c r="A20" s="38" t="s">
        <v>815</v>
      </c>
      <c r="B20" s="39"/>
      <c r="C20" s="39"/>
      <c r="D20" s="39"/>
      <c r="E20" s="68"/>
      <c r="F20" s="68"/>
    </row>
    <row r="21" spans="1:6" x14ac:dyDescent="0.2">
      <c r="A21" s="39" t="s">
        <v>1313</v>
      </c>
      <c r="B21" s="39" t="str">
        <f>IFERROR(VLOOKUP(A21,[1]Bonds!$B$1:$K$2669,10,0),VLOOKUP(A21,[1]CPCD!$B$1:$H$1476,7,0))</f>
        <v>9.35% Gruh Finance Ltd (06-Apr-2022) **</v>
      </c>
      <c r="C21" s="39" t="s">
        <v>973</v>
      </c>
      <c r="D21" s="39">
        <v>52</v>
      </c>
      <c r="E21" s="68">
        <v>271.51877999999999</v>
      </c>
      <c r="F21" s="68">
        <v>11.055840886017901</v>
      </c>
    </row>
    <row r="22" spans="1:6" x14ac:dyDescent="0.2">
      <c r="A22" s="38" t="s">
        <v>44</v>
      </c>
      <c r="B22" s="39"/>
      <c r="C22" s="39"/>
      <c r="D22" s="39"/>
      <c r="E22" s="69">
        <f>SUM(E21:E21)</f>
        <v>271.51877999999999</v>
      </c>
      <c r="F22" s="69">
        <f>SUM(F21:F21)</f>
        <v>11.055840886017901</v>
      </c>
    </row>
    <row r="23" spans="1:6" x14ac:dyDescent="0.2">
      <c r="A23" s="39"/>
      <c r="B23" s="39"/>
      <c r="C23" s="39"/>
      <c r="D23" s="39"/>
      <c r="E23" s="68"/>
      <c r="F23" s="68"/>
    </row>
    <row r="24" spans="1:6" x14ac:dyDescent="0.2">
      <c r="A24" s="38" t="s">
        <v>44</v>
      </c>
      <c r="B24" s="39"/>
      <c r="C24" s="39"/>
      <c r="D24" s="39"/>
      <c r="E24" s="69">
        <f>E18+E22</f>
        <v>2327.34753</v>
      </c>
      <c r="F24" s="69">
        <f>F18+F22</f>
        <v>94.766129908755588</v>
      </c>
    </row>
    <row r="25" spans="1:6" x14ac:dyDescent="0.2">
      <c r="A25" s="39"/>
      <c r="B25" s="39"/>
      <c r="C25" s="39"/>
      <c r="D25" s="39"/>
      <c r="E25" s="68"/>
      <c r="F25" s="68"/>
    </row>
    <row r="26" spans="1:6" x14ac:dyDescent="0.2">
      <c r="A26" s="38" t="s">
        <v>76</v>
      </c>
      <c r="B26" s="39"/>
      <c r="C26" s="39"/>
      <c r="D26" s="39"/>
      <c r="E26" s="69">
        <v>128.53538040000001</v>
      </c>
      <c r="F26" s="69">
        <v>5.23</v>
      </c>
    </row>
    <row r="27" spans="1:6" x14ac:dyDescent="0.2">
      <c r="A27" s="39"/>
      <c r="B27" s="39"/>
      <c r="C27" s="39"/>
      <c r="D27" s="39"/>
      <c r="E27" s="68"/>
      <c r="F27" s="68"/>
    </row>
    <row r="28" spans="1:6" x14ac:dyDescent="0.2">
      <c r="A28" s="71" t="s">
        <v>77</v>
      </c>
      <c r="B28" s="66"/>
      <c r="C28" s="66"/>
      <c r="D28" s="66"/>
      <c r="E28" s="72">
        <v>2455.8853804</v>
      </c>
      <c r="F28" s="72">
        <f xml:space="preserve"> ROUND(SUM(F24:F27),2)</f>
        <v>100</v>
      </c>
    </row>
    <row r="29" spans="1:6" x14ac:dyDescent="0.2">
      <c r="A29" s="52" t="s">
        <v>619</v>
      </c>
    </row>
    <row r="31" spans="1:6" x14ac:dyDescent="0.2">
      <c r="A31" s="4" t="s">
        <v>78</v>
      </c>
    </row>
    <row r="32" spans="1:6" x14ac:dyDescent="0.2">
      <c r="A32" s="4" t="s">
        <v>650</v>
      </c>
    </row>
    <row r="33" spans="1:4" x14ac:dyDescent="0.2">
      <c r="A33" s="4" t="s">
        <v>80</v>
      </c>
      <c r="D33" s="11"/>
    </row>
    <row r="34" spans="1:4" x14ac:dyDescent="0.2">
      <c r="A34" s="2" t="s">
        <v>638</v>
      </c>
      <c r="D34" s="88">
        <v>10.3764</v>
      </c>
    </row>
    <row r="35" spans="1:4" x14ac:dyDescent="0.2">
      <c r="A35" s="2" t="s">
        <v>639</v>
      </c>
      <c r="D35" s="88">
        <v>10.3764</v>
      </c>
    </row>
    <row r="36" spans="1:4" x14ac:dyDescent="0.2">
      <c r="A36" s="2" t="s">
        <v>652</v>
      </c>
      <c r="D36" s="88">
        <v>10.240399999999999</v>
      </c>
    </row>
    <row r="37" spans="1:4" x14ac:dyDescent="0.2">
      <c r="A37" s="2" t="s">
        <v>640</v>
      </c>
      <c r="D37" s="88">
        <v>10.386699999999999</v>
      </c>
    </row>
    <row r="38" spans="1:4" x14ac:dyDescent="0.2">
      <c r="A38" s="2" t="s">
        <v>641</v>
      </c>
      <c r="D38" s="88">
        <v>10.386699999999999</v>
      </c>
    </row>
    <row r="39" spans="1:4" x14ac:dyDescent="0.2">
      <c r="A39" s="2" t="s">
        <v>654</v>
      </c>
      <c r="D39" s="88">
        <v>10.2507</v>
      </c>
    </row>
    <row r="41" spans="1:4" x14ac:dyDescent="0.2">
      <c r="A41" s="4" t="s">
        <v>81</v>
      </c>
    </row>
    <row r="42" spans="1:4" x14ac:dyDescent="0.2">
      <c r="A42" s="2" t="s">
        <v>638</v>
      </c>
      <c r="D42" s="10">
        <v>11.0253</v>
      </c>
    </row>
    <row r="43" spans="1:4" x14ac:dyDescent="0.2">
      <c r="A43" s="2" t="s">
        <v>639</v>
      </c>
      <c r="D43" s="10">
        <v>11.0253</v>
      </c>
    </row>
    <row r="44" spans="1:4" x14ac:dyDescent="0.2">
      <c r="A44" s="2" t="s">
        <v>652</v>
      </c>
      <c r="D44" s="10">
        <v>10.4337</v>
      </c>
    </row>
    <row r="45" spans="1:4" x14ac:dyDescent="0.2">
      <c r="A45" s="2" t="s">
        <v>640</v>
      </c>
      <c r="D45" s="10">
        <v>11.0528</v>
      </c>
    </row>
    <row r="46" spans="1:4" x14ac:dyDescent="0.2">
      <c r="A46" s="2" t="s">
        <v>641</v>
      </c>
      <c r="D46" s="10">
        <v>11.0528</v>
      </c>
    </row>
    <row r="47" spans="1:4" x14ac:dyDescent="0.2">
      <c r="A47" s="2" t="s">
        <v>654</v>
      </c>
      <c r="D47" s="10">
        <v>10.460699999999999</v>
      </c>
    </row>
    <row r="49" spans="1:5" x14ac:dyDescent="0.2">
      <c r="A49" s="4" t="s">
        <v>82</v>
      </c>
      <c r="D49" s="44" t="s">
        <v>299</v>
      </c>
    </row>
    <row r="50" spans="1:5" x14ac:dyDescent="0.2">
      <c r="A50" s="45" t="s">
        <v>642</v>
      </c>
      <c r="B50" s="46"/>
      <c r="C50" s="100" t="s">
        <v>643</v>
      </c>
      <c r="D50" s="101"/>
    </row>
    <row r="51" spans="1:5" x14ac:dyDescent="0.2">
      <c r="A51" s="102"/>
      <c r="B51" s="103"/>
      <c r="C51" s="47" t="s">
        <v>644</v>
      </c>
      <c r="D51" s="47" t="s">
        <v>645</v>
      </c>
    </row>
    <row r="52" spans="1:5" x14ac:dyDescent="0.2">
      <c r="A52" s="48" t="s">
        <v>652</v>
      </c>
      <c r="B52" s="49"/>
      <c r="C52" s="50">
        <v>0.31334037449999996</v>
      </c>
      <c r="D52" s="50">
        <v>0.2901547484</v>
      </c>
    </row>
    <row r="53" spans="1:5" x14ac:dyDescent="0.2">
      <c r="A53" s="48" t="s">
        <v>654</v>
      </c>
      <c r="B53" s="49"/>
      <c r="C53" s="50">
        <v>0.31334037449999996</v>
      </c>
      <c r="D53" s="50">
        <v>0.2901547484</v>
      </c>
    </row>
    <row r="54" spans="1:5" x14ac:dyDescent="0.2">
      <c r="A54" s="4"/>
      <c r="D54" s="44"/>
    </row>
    <row r="55" spans="1:5" x14ac:dyDescent="0.2">
      <c r="A55" s="4" t="s">
        <v>647</v>
      </c>
      <c r="D55" s="53">
        <v>2.295081425749804</v>
      </c>
      <c r="E55" s="73" t="s">
        <v>1295</v>
      </c>
    </row>
  </sheetData>
  <mergeCells count="3">
    <mergeCell ref="A1:F1"/>
    <mergeCell ref="C50:D50"/>
    <mergeCell ref="A51:B51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791F5-A471-4829-9655-70E236361B6F}">
  <dimension ref="A1:F59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4.140625" style="2" bestFit="1" customWidth="1"/>
    <col min="3" max="3" width="12.5703125" style="2" bestFit="1" customWidth="1"/>
    <col min="4" max="4" width="7.42578125" style="2" bestFit="1" customWidth="1"/>
    <col min="5" max="5" width="23" style="73" bestFit="1" customWidth="1"/>
    <col min="6" max="6" width="13.5703125" style="73" bestFit="1" customWidth="1"/>
    <col min="7" max="16384" width="9.140625" style="2"/>
  </cols>
  <sheetData>
    <row r="1" spans="1:6" ht="15" customHeight="1" x14ac:dyDescent="0.2">
      <c r="A1" s="108" t="s">
        <v>1314</v>
      </c>
      <c r="B1" s="108"/>
      <c r="C1" s="108"/>
      <c r="D1" s="108"/>
      <c r="E1" s="108"/>
      <c r="F1" s="108"/>
    </row>
    <row r="3" spans="1:6" s="4" customFormat="1" x14ac:dyDescent="0.2">
      <c r="A3" s="64" t="s">
        <v>1</v>
      </c>
      <c r="B3" s="64" t="s">
        <v>2</v>
      </c>
      <c r="C3" s="64" t="s">
        <v>716</v>
      </c>
      <c r="D3" s="64" t="s">
        <v>4</v>
      </c>
      <c r="E3" s="65" t="s">
        <v>5</v>
      </c>
      <c r="F3" s="65" t="s">
        <v>6</v>
      </c>
    </row>
    <row r="4" spans="1:6" x14ac:dyDescent="0.2">
      <c r="A4" s="66"/>
      <c r="B4" s="66"/>
      <c r="C4" s="66"/>
      <c r="D4" s="66"/>
      <c r="E4" s="67"/>
      <c r="F4" s="67"/>
    </row>
    <row r="5" spans="1:6" x14ac:dyDescent="0.2">
      <c r="A5" s="38" t="s">
        <v>359</v>
      </c>
      <c r="B5" s="39"/>
      <c r="C5" s="39"/>
      <c r="D5" s="39"/>
      <c r="E5" s="68"/>
      <c r="F5" s="68"/>
    </row>
    <row r="6" spans="1:6" x14ac:dyDescent="0.2">
      <c r="A6" s="38" t="s">
        <v>8</v>
      </c>
      <c r="B6" s="39"/>
      <c r="C6" s="39"/>
      <c r="D6" s="39"/>
      <c r="E6" s="68"/>
      <c r="F6" s="68"/>
    </row>
    <row r="7" spans="1:6" x14ac:dyDescent="0.2">
      <c r="A7" s="38"/>
      <c r="B7" s="39"/>
      <c r="C7" s="39"/>
      <c r="D7" s="39"/>
      <c r="E7" s="68"/>
      <c r="F7" s="68"/>
    </row>
    <row r="8" spans="1:6" x14ac:dyDescent="0.2">
      <c r="A8" s="39" t="s">
        <v>1245</v>
      </c>
      <c r="B8" s="39" t="str">
        <f>IFERROR(VLOOKUP(A8,[1]Bonds!$B$1:$K$2669,10,0),VLOOKUP(A8,[1]CPCD!$B$1:$H$1476,7,0))</f>
        <v>0.00% Aditya Birla Finance Ltd (08-Apr-2022) **</v>
      </c>
      <c r="C8" s="39" t="s">
        <v>973</v>
      </c>
      <c r="D8" s="39">
        <v>50</v>
      </c>
      <c r="E8" s="68">
        <v>555.95500000000004</v>
      </c>
      <c r="F8" s="68">
        <v>11.842692322039699</v>
      </c>
    </row>
    <row r="9" spans="1:6" x14ac:dyDescent="0.2">
      <c r="A9" s="39" t="s">
        <v>1224</v>
      </c>
      <c r="B9" s="39" t="str">
        <f>IFERROR(VLOOKUP(A9,[1]Bonds!$B$1:$K$2669,10,0),VLOOKUP(A9,[1]CPCD!$B$1:$H$1476,7,0))</f>
        <v>8.60% National Bank For Agriculture And Rural Development (31-Jan-2022)</v>
      </c>
      <c r="C9" s="39" t="s">
        <v>361</v>
      </c>
      <c r="D9" s="39">
        <v>50</v>
      </c>
      <c r="E9" s="68">
        <v>516.85400000000004</v>
      </c>
      <c r="F9" s="68">
        <v>11.0097811826776</v>
      </c>
    </row>
    <row r="10" spans="1:6" x14ac:dyDescent="0.2">
      <c r="A10" s="39" t="s">
        <v>1237</v>
      </c>
      <c r="B10" s="39" t="str">
        <f>IFERROR(VLOOKUP(A10,[1]Bonds!$B$1:$K$2669,10,0),VLOOKUP(A10,[1]CPCD!$B$1:$H$1476,7,0))</f>
        <v>9.95% Food Corporation Of India (07-Mar-2022) **</v>
      </c>
      <c r="C10" s="39" t="s">
        <v>1238</v>
      </c>
      <c r="D10" s="39">
        <v>48</v>
      </c>
      <c r="E10" s="68">
        <v>512.82335999999998</v>
      </c>
      <c r="F10" s="68">
        <v>10.923922382269501</v>
      </c>
    </row>
    <row r="11" spans="1:6" x14ac:dyDescent="0.2">
      <c r="A11" s="39" t="s">
        <v>1263</v>
      </c>
      <c r="B11" s="39" t="str">
        <f>IFERROR(VLOOKUP(A11,[1]Bonds!$B$1:$K$2669,10,0),VLOOKUP(A11,[1]CPCD!$B$1:$H$1476,7,0))</f>
        <v>8.35% Rec Ltd (13-Mar-2022) **</v>
      </c>
      <c r="C11" s="39" t="s">
        <v>916</v>
      </c>
      <c r="D11" s="39">
        <v>50</v>
      </c>
      <c r="E11" s="68">
        <v>510.49299999999999</v>
      </c>
      <c r="F11" s="68">
        <v>10.8742821479347</v>
      </c>
    </row>
    <row r="12" spans="1:6" x14ac:dyDescent="0.2">
      <c r="A12" s="39" t="s">
        <v>1315</v>
      </c>
      <c r="B12" s="39" t="str">
        <f>IFERROR(VLOOKUP(A12,[1]Bonds!$B$1:$K$2669,10,0),VLOOKUP(A12,[1]CPCD!$B$1:$H$1476,7,0))</f>
        <v>7.95% Lic Housing Finance Ltd (24-Mar-2022) **</v>
      </c>
      <c r="C12" s="39" t="s">
        <v>361</v>
      </c>
      <c r="D12" s="39">
        <v>50</v>
      </c>
      <c r="E12" s="68">
        <v>506.01400000000001</v>
      </c>
      <c r="F12" s="68">
        <v>10.778872593365699</v>
      </c>
    </row>
    <row r="13" spans="1:6" x14ac:dyDescent="0.2">
      <c r="A13" s="39" t="s">
        <v>778</v>
      </c>
      <c r="B13" s="39" t="str">
        <f>IFERROR(VLOOKUP(A13,[1]Bonds!$B$1:$K$2669,10,0),VLOOKUP(A13,[1]CPCD!$B$1:$H$1476,7,0))</f>
        <v>10.25% Sikka Ports &amp; Terminals Limited (22-Aug-2021) **</v>
      </c>
      <c r="C13" s="39" t="s">
        <v>361</v>
      </c>
      <c r="D13" s="39">
        <v>49</v>
      </c>
      <c r="E13" s="68">
        <v>504.62405000000001</v>
      </c>
      <c r="F13" s="68">
        <v>10.7492645312149</v>
      </c>
    </row>
    <row r="14" spans="1:6" x14ac:dyDescent="0.2">
      <c r="A14" s="39" t="s">
        <v>1316</v>
      </c>
      <c r="B14" s="39" t="str">
        <f>IFERROR(VLOOKUP(A14,[1]Bonds!$B$1:$K$2669,10,0),VLOOKUP(A14,[1]CPCD!$B$1:$H$1476,7,0))</f>
        <v>7.27% Power Finance Corp Ltd (22-Dec-2021)</v>
      </c>
      <c r="C14" s="39" t="s">
        <v>361</v>
      </c>
      <c r="D14" s="39">
        <v>50</v>
      </c>
      <c r="E14" s="68">
        <v>499.37</v>
      </c>
      <c r="F14" s="68">
        <v>10.637345225525401</v>
      </c>
    </row>
    <row r="15" spans="1:6" x14ac:dyDescent="0.2">
      <c r="A15" s="39" t="s">
        <v>1309</v>
      </c>
      <c r="B15" s="39" t="str">
        <f>IFERROR(VLOOKUP(A15,[1]Bonds!$B$1:$K$2669,10,0),VLOOKUP(A15,[1]CPCD!$B$1:$H$1476,7,0))</f>
        <v>9.3772% L&amp;T Housing Finance Limited (11-Mar-2022) **</v>
      </c>
      <c r="C15" s="39" t="s">
        <v>973</v>
      </c>
      <c r="D15" s="39">
        <v>15</v>
      </c>
      <c r="E15" s="68">
        <v>152.64044999999999</v>
      </c>
      <c r="F15" s="68">
        <v>3.2514751827894202</v>
      </c>
    </row>
    <row r="16" spans="1:6" x14ac:dyDescent="0.2">
      <c r="A16" s="39" t="s">
        <v>1304</v>
      </c>
      <c r="B16" s="39" t="str">
        <f>IFERROR(VLOOKUP(A16,[1]Bonds!$B$1:$K$2669,10,0),VLOOKUP(A16,[1]CPCD!$B$1:$H$1476,7,0))</f>
        <v>9.4756% Tata Capital Financial Services Ltd (08-Apr-2022) **</v>
      </c>
      <c r="C16" s="39" t="s">
        <v>973</v>
      </c>
      <c r="D16" s="39">
        <v>6</v>
      </c>
      <c r="E16" s="68">
        <v>61.804139999999997</v>
      </c>
      <c r="F16" s="68">
        <v>1.3165227657782901</v>
      </c>
    </row>
    <row r="17" spans="1:6" x14ac:dyDescent="0.2">
      <c r="A17" s="39" t="s">
        <v>1262</v>
      </c>
      <c r="B17" s="39" t="str">
        <f>IFERROR(VLOOKUP(A17,[1]Bonds!$B$1:$K$2669,10,0),VLOOKUP(A17,[1]CPCD!$B$1:$H$1476,7,0))</f>
        <v>8.81% Small Industries Development Bank Of India (25-Jan-2022) **</v>
      </c>
      <c r="C17" s="39" t="s">
        <v>916</v>
      </c>
      <c r="D17" s="39">
        <v>4</v>
      </c>
      <c r="E17" s="68">
        <v>41.649000000000001</v>
      </c>
      <c r="F17" s="68">
        <v>0.88718743876866402</v>
      </c>
    </row>
    <row r="18" spans="1:6" x14ac:dyDescent="0.2">
      <c r="A18" s="39" t="s">
        <v>1235</v>
      </c>
      <c r="B18" s="39" t="str">
        <f>IFERROR(VLOOKUP(A18,[1]Bonds!$B$1:$K$2669,10,0),VLOOKUP(A18,[1]CPCD!$B$1:$H$1476,7,0))</f>
        <v>8.55% Power Finance Corp Ltd (09-Dec-2021)</v>
      </c>
      <c r="C18" s="39" t="s">
        <v>361</v>
      </c>
      <c r="D18" s="39">
        <v>4</v>
      </c>
      <c r="E18" s="68">
        <v>40.961320000000001</v>
      </c>
      <c r="F18" s="68">
        <v>0.87253880235740799</v>
      </c>
    </row>
    <row r="19" spans="1:6" x14ac:dyDescent="0.2">
      <c r="A19" s="39" t="s">
        <v>1291</v>
      </c>
      <c r="B19" s="39" t="str">
        <f>IFERROR(VLOOKUP(A19,[1]Bonds!$B$1:$K$2669,10,0),VLOOKUP(A19,[1]CPCD!$B$1:$H$1476,7,0))</f>
        <v>0.00% Bajaj Housing Finance Ltd (05-Apr-2022) **</v>
      </c>
      <c r="C19" s="39" t="s">
        <v>361</v>
      </c>
      <c r="D19" s="39">
        <v>3</v>
      </c>
      <c r="E19" s="68">
        <v>33.630690000000001</v>
      </c>
      <c r="F19" s="68">
        <v>0.71638516471278901</v>
      </c>
    </row>
    <row r="20" spans="1:6" x14ac:dyDescent="0.2">
      <c r="A20" s="39" t="s">
        <v>1299</v>
      </c>
      <c r="B20" s="39" t="str">
        <f>IFERROR(VLOOKUP(A20,[1]Bonds!$B$1:$K$2669,10,0),VLOOKUP(A20,[1]CPCD!$B$1:$H$1476,7,0))</f>
        <v>0.00% Aditya Birla Housing Finance Ltd (13-Apr-2022) **</v>
      </c>
      <c r="C20" s="39" t="s">
        <v>977</v>
      </c>
      <c r="D20" s="39">
        <v>3</v>
      </c>
      <c r="E20" s="68">
        <v>32.667839999999998</v>
      </c>
      <c r="F20" s="68">
        <v>0.69587498618705201</v>
      </c>
    </row>
    <row r="21" spans="1:6" x14ac:dyDescent="0.2">
      <c r="A21" s="39" t="s">
        <v>1220</v>
      </c>
      <c r="B21" s="39" t="str">
        <f>IFERROR(VLOOKUP(A21,[1]Bonds!$B$1:$K$2669,10,0),VLOOKUP(A21,[1]CPCD!$B$1:$H$1476,7,0))</f>
        <v>10.40% Sikka Ports &amp; Terminals Limited (18-Jul-2021) **</v>
      </c>
      <c r="C21" s="39" t="s">
        <v>916</v>
      </c>
      <c r="D21" s="39">
        <v>2</v>
      </c>
      <c r="E21" s="68">
        <v>20.659780000000001</v>
      </c>
      <c r="F21" s="68">
        <v>0.440084931300249</v>
      </c>
    </row>
    <row r="22" spans="1:6" x14ac:dyDescent="0.2">
      <c r="A22" s="38" t="s">
        <v>44</v>
      </c>
      <c r="B22" s="39"/>
      <c r="C22" s="39"/>
      <c r="D22" s="39"/>
      <c r="E22" s="69">
        <f>SUM(E8:E21)</f>
        <v>3990.1466299999997</v>
      </c>
      <c r="F22" s="69">
        <f>SUM(F8:F21)</f>
        <v>84.996229656921372</v>
      </c>
    </row>
    <row r="23" spans="1:6" x14ac:dyDescent="0.2">
      <c r="A23" s="39"/>
      <c r="B23" s="39"/>
      <c r="C23" s="39"/>
      <c r="D23" s="39"/>
      <c r="E23" s="68"/>
      <c r="F23" s="68"/>
    </row>
    <row r="24" spans="1:6" x14ac:dyDescent="0.2">
      <c r="A24" s="38" t="s">
        <v>815</v>
      </c>
      <c r="B24" s="39"/>
      <c r="C24" s="39"/>
      <c r="D24" s="39"/>
      <c r="E24" s="68"/>
      <c r="F24" s="68"/>
    </row>
    <row r="25" spans="1:6" x14ac:dyDescent="0.2">
      <c r="A25" s="39" t="s">
        <v>1317</v>
      </c>
      <c r="B25" s="39" t="str">
        <f>IFERROR(VLOOKUP(A25,[1]Bonds!$B$1:$K$2669,10,0),VLOOKUP(A25,[1]CPCD!$B$1:$H$1476,7,0))</f>
        <v>8.25% Tata Sons Pvt Ltd (23-Mar-2022) **</v>
      </c>
      <c r="C25" s="39" t="s">
        <v>361</v>
      </c>
      <c r="D25" s="39">
        <v>50</v>
      </c>
      <c r="E25" s="68">
        <v>498.64449999999999</v>
      </c>
      <c r="F25" s="68">
        <v>10.621890965235201</v>
      </c>
    </row>
    <row r="26" spans="1:6" x14ac:dyDescent="0.2">
      <c r="A26" s="38" t="s">
        <v>44</v>
      </c>
      <c r="B26" s="39"/>
      <c r="C26" s="39"/>
      <c r="D26" s="39"/>
      <c r="E26" s="69">
        <f>SUM(E25:E25)</f>
        <v>498.64449999999999</v>
      </c>
      <c r="F26" s="69">
        <f>SUM(F25:F25)</f>
        <v>10.621890965235201</v>
      </c>
    </row>
    <row r="27" spans="1:6" x14ac:dyDescent="0.2">
      <c r="A27" s="39"/>
      <c r="B27" s="39"/>
      <c r="C27" s="39"/>
      <c r="D27" s="39"/>
      <c r="E27" s="68"/>
      <c r="F27" s="68"/>
    </row>
    <row r="28" spans="1:6" x14ac:dyDescent="0.2">
      <c r="A28" s="38" t="s">
        <v>44</v>
      </c>
      <c r="B28" s="39"/>
      <c r="C28" s="39"/>
      <c r="D28" s="39"/>
      <c r="E28" s="69">
        <f>E22+E26</f>
        <v>4488.7911299999996</v>
      </c>
      <c r="F28" s="69">
        <f>F22+F26</f>
        <v>95.618120622156567</v>
      </c>
    </row>
    <row r="29" spans="1:6" x14ac:dyDescent="0.2">
      <c r="A29" s="39"/>
      <c r="B29" s="39"/>
      <c r="C29" s="39"/>
      <c r="D29" s="39"/>
      <c r="E29" s="68"/>
      <c r="F29" s="68"/>
    </row>
    <row r="30" spans="1:6" x14ac:dyDescent="0.2">
      <c r="A30" s="38" t="s">
        <v>76</v>
      </c>
      <c r="B30" s="39"/>
      <c r="C30" s="39"/>
      <c r="D30" s="39"/>
      <c r="E30" s="69">
        <v>205.70838670000001</v>
      </c>
      <c r="F30" s="69">
        <v>4.38</v>
      </c>
    </row>
    <row r="31" spans="1:6" x14ac:dyDescent="0.2">
      <c r="A31" s="39"/>
      <c r="B31" s="39"/>
      <c r="C31" s="39"/>
      <c r="D31" s="39"/>
      <c r="E31" s="68"/>
      <c r="F31" s="68"/>
    </row>
    <row r="32" spans="1:6" x14ac:dyDescent="0.2">
      <c r="A32" s="71" t="s">
        <v>77</v>
      </c>
      <c r="B32" s="66"/>
      <c r="C32" s="66"/>
      <c r="D32" s="66"/>
      <c r="E32" s="72">
        <f>+E28+E30</f>
        <v>4694.4995166999997</v>
      </c>
      <c r="F32" s="72">
        <f>+F28+F30</f>
        <v>99.998120622156563</v>
      </c>
    </row>
    <row r="33" spans="1:4" x14ac:dyDescent="0.2">
      <c r="A33" s="52" t="s">
        <v>619</v>
      </c>
    </row>
    <row r="35" spans="1:4" x14ac:dyDescent="0.2">
      <c r="A35" s="4" t="s">
        <v>78</v>
      </c>
    </row>
    <row r="36" spans="1:4" x14ac:dyDescent="0.2">
      <c r="A36" s="4" t="s">
        <v>650</v>
      </c>
    </row>
    <row r="37" spans="1:4" x14ac:dyDescent="0.2">
      <c r="A37" s="4" t="s">
        <v>80</v>
      </c>
      <c r="D37" s="11"/>
    </row>
    <row r="38" spans="1:4" x14ac:dyDescent="0.2">
      <c r="A38" s="2" t="s">
        <v>638</v>
      </c>
      <c r="D38" s="88">
        <v>10.3855</v>
      </c>
    </row>
    <row r="39" spans="1:4" x14ac:dyDescent="0.2">
      <c r="A39" s="2" t="s">
        <v>639</v>
      </c>
      <c r="D39" s="88">
        <v>10.3855</v>
      </c>
    </row>
    <row r="40" spans="1:4" x14ac:dyDescent="0.2">
      <c r="A40" s="2" t="s">
        <v>652</v>
      </c>
      <c r="D40" s="88">
        <v>10.224399999999999</v>
      </c>
    </row>
    <row r="41" spans="1:4" x14ac:dyDescent="0.2">
      <c r="A41" s="2" t="s">
        <v>640</v>
      </c>
      <c r="D41" s="88">
        <v>10.4277</v>
      </c>
    </row>
    <row r="42" spans="1:4" x14ac:dyDescent="0.2">
      <c r="A42" s="2" t="s">
        <v>641</v>
      </c>
      <c r="D42" s="88">
        <v>10.4277</v>
      </c>
    </row>
    <row r="43" spans="1:4" x14ac:dyDescent="0.2">
      <c r="A43" s="2" t="s">
        <v>654</v>
      </c>
      <c r="D43" s="88">
        <v>10.2667</v>
      </c>
    </row>
    <row r="45" spans="1:4" x14ac:dyDescent="0.2">
      <c r="A45" s="4" t="s">
        <v>81</v>
      </c>
    </row>
    <row r="46" spans="1:4" x14ac:dyDescent="0.2">
      <c r="A46" s="2" t="s">
        <v>638</v>
      </c>
      <c r="D46" s="10">
        <v>10.9954</v>
      </c>
    </row>
    <row r="47" spans="1:4" x14ac:dyDescent="0.2">
      <c r="A47" s="2" t="s">
        <v>639</v>
      </c>
      <c r="D47" s="10">
        <v>10.9954</v>
      </c>
    </row>
    <row r="48" spans="1:4" x14ac:dyDescent="0.2">
      <c r="A48" s="2" t="s">
        <v>652</v>
      </c>
      <c r="D48" s="10">
        <v>10.4146</v>
      </c>
    </row>
    <row r="49" spans="1:5" x14ac:dyDescent="0.2">
      <c r="A49" s="2" t="s">
        <v>640</v>
      </c>
      <c r="D49" s="10">
        <v>11.0914</v>
      </c>
    </row>
    <row r="50" spans="1:5" x14ac:dyDescent="0.2">
      <c r="A50" s="2" t="s">
        <v>641</v>
      </c>
      <c r="D50" s="10">
        <v>11.0914</v>
      </c>
    </row>
    <row r="51" spans="1:5" x14ac:dyDescent="0.2">
      <c r="A51" s="2" t="s">
        <v>654</v>
      </c>
      <c r="D51" s="10">
        <v>10.509499999999999</v>
      </c>
    </row>
    <row r="53" spans="1:5" x14ac:dyDescent="0.2">
      <c r="A53" s="4" t="s">
        <v>82</v>
      </c>
      <c r="D53" s="44" t="s">
        <v>299</v>
      </c>
    </row>
    <row r="54" spans="1:5" x14ac:dyDescent="0.2">
      <c r="A54" s="45" t="s">
        <v>642</v>
      </c>
      <c r="B54" s="46"/>
      <c r="C54" s="100" t="s">
        <v>643</v>
      </c>
      <c r="D54" s="101"/>
    </row>
    <row r="55" spans="1:5" x14ac:dyDescent="0.2">
      <c r="A55" s="102"/>
      <c r="B55" s="103"/>
      <c r="C55" s="47" t="s">
        <v>644</v>
      </c>
      <c r="D55" s="47" t="s">
        <v>645</v>
      </c>
    </row>
    <row r="56" spans="1:5" x14ac:dyDescent="0.2">
      <c r="A56" s="48" t="s">
        <v>652</v>
      </c>
      <c r="B56" s="49"/>
      <c r="C56" s="50">
        <v>0.28812908000000004</v>
      </c>
      <c r="D56" s="50">
        <v>0.26680896400000004</v>
      </c>
    </row>
    <row r="57" spans="1:5" x14ac:dyDescent="0.2">
      <c r="A57" s="48" t="s">
        <v>654</v>
      </c>
      <c r="B57" s="49"/>
      <c r="C57" s="50">
        <v>0.28812908000000004</v>
      </c>
      <c r="D57" s="50">
        <v>0.26680896400000004</v>
      </c>
    </row>
    <row r="59" spans="1:5" x14ac:dyDescent="0.2">
      <c r="A59" s="4" t="s">
        <v>647</v>
      </c>
      <c r="D59" s="53">
        <v>2.3314195581736312</v>
      </c>
      <c r="E59" s="73" t="s">
        <v>648</v>
      </c>
    </row>
  </sheetData>
  <mergeCells count="3">
    <mergeCell ref="A1:F1"/>
    <mergeCell ref="C54:D54"/>
    <mergeCell ref="A55:B55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9C2DF-BD6A-43DE-829A-65C9AC108724}">
  <dimension ref="A1:F55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6.28515625" style="2" bestFit="1" customWidth="1"/>
    <col min="3" max="3" width="11.7109375" style="2" bestFit="1" customWidth="1"/>
    <col min="4" max="4" width="7.42578125" style="2" bestFit="1" customWidth="1"/>
    <col min="5" max="5" width="23" style="73" bestFit="1" customWidth="1"/>
    <col min="6" max="6" width="13.5703125" style="73" bestFit="1" customWidth="1"/>
    <col min="7" max="16384" width="9.140625" style="2"/>
  </cols>
  <sheetData>
    <row r="1" spans="1:6" ht="15" customHeight="1" x14ac:dyDescent="0.2">
      <c r="A1" s="108" t="s">
        <v>1318</v>
      </c>
      <c r="B1" s="108"/>
      <c r="C1" s="108"/>
      <c r="D1" s="108"/>
      <c r="E1" s="108"/>
      <c r="F1" s="108"/>
    </row>
    <row r="3" spans="1:6" s="4" customFormat="1" x14ac:dyDescent="0.2">
      <c r="A3" s="64" t="s">
        <v>1</v>
      </c>
      <c r="B3" s="64" t="s">
        <v>2</v>
      </c>
      <c r="C3" s="64" t="s">
        <v>716</v>
      </c>
      <c r="D3" s="64" t="s">
        <v>4</v>
      </c>
      <c r="E3" s="65" t="s">
        <v>5</v>
      </c>
      <c r="F3" s="65" t="s">
        <v>6</v>
      </c>
    </row>
    <row r="4" spans="1:6" x14ac:dyDescent="0.2">
      <c r="A4" s="66"/>
      <c r="B4" s="66"/>
      <c r="C4" s="66"/>
      <c r="D4" s="66"/>
      <c r="E4" s="67"/>
      <c r="F4" s="67"/>
    </row>
    <row r="5" spans="1:6" x14ac:dyDescent="0.2">
      <c r="A5" s="38" t="s">
        <v>359</v>
      </c>
      <c r="B5" s="39"/>
      <c r="C5" s="39"/>
      <c r="D5" s="39"/>
      <c r="E5" s="68"/>
      <c r="F5" s="68"/>
    </row>
    <row r="6" spans="1:6" x14ac:dyDescent="0.2">
      <c r="A6" s="38" t="s">
        <v>8</v>
      </c>
      <c r="B6" s="39"/>
      <c r="C6" s="39"/>
      <c r="D6" s="39"/>
      <c r="E6" s="68"/>
      <c r="F6" s="68"/>
    </row>
    <row r="7" spans="1:6" x14ac:dyDescent="0.2">
      <c r="A7" s="38"/>
      <c r="B7" s="39"/>
      <c r="C7" s="39"/>
      <c r="D7" s="39"/>
      <c r="E7" s="68"/>
      <c r="F7" s="68"/>
    </row>
    <row r="8" spans="1:6" x14ac:dyDescent="0.2">
      <c r="A8" s="39" t="s">
        <v>1232</v>
      </c>
      <c r="B8" s="39" t="str">
        <f>IFERROR(VLOOKUP(A8,[1]Bonds!$B$1:$K$2669,10,0),VLOOKUP(A8,[1]CPCD!$B$1:$H$1476,7,0))</f>
        <v>8.40% Power Grid Corp Of India Ltd (14-Sep-2021) **</v>
      </c>
      <c r="C8" s="39" t="s">
        <v>916</v>
      </c>
      <c r="D8" s="39">
        <v>31</v>
      </c>
      <c r="E8" s="68">
        <v>320.44358999999997</v>
      </c>
      <c r="F8" s="68">
        <v>11.027457449286301</v>
      </c>
    </row>
    <row r="9" spans="1:6" x14ac:dyDescent="0.2">
      <c r="A9" s="39" t="s">
        <v>1242</v>
      </c>
      <c r="B9" s="39" t="str">
        <f>IFERROR(VLOOKUP(A9,[1]Bonds!$B$1:$K$2669,10,0),VLOOKUP(A9,[1]CPCD!$B$1:$H$1476,7,0))</f>
        <v>8.36% Ultratech Cement Ltd (07-Jun-2021) **</v>
      </c>
      <c r="C9" s="39" t="s">
        <v>361</v>
      </c>
      <c r="D9" s="39">
        <v>31</v>
      </c>
      <c r="E9" s="68">
        <v>317.13713000000001</v>
      </c>
      <c r="F9" s="68">
        <v>10.9136719091925</v>
      </c>
    </row>
    <row r="10" spans="1:6" x14ac:dyDescent="0.2">
      <c r="A10" s="39" t="s">
        <v>1231</v>
      </c>
      <c r="B10" s="39" t="str">
        <f>IFERROR(VLOOKUP(A10,[1]Bonds!$B$1:$K$2669,10,0),VLOOKUP(A10,[1]CPCD!$B$1:$H$1476,7,0))</f>
        <v>7.50% Power Finance Corp Ltd (16-Aug-2021) **</v>
      </c>
      <c r="C10" s="39" t="s">
        <v>361</v>
      </c>
      <c r="D10" s="39">
        <v>31</v>
      </c>
      <c r="E10" s="68">
        <v>311.03602000000001</v>
      </c>
      <c r="F10" s="68">
        <v>10.703713797942999</v>
      </c>
    </row>
    <row r="11" spans="1:6" x14ac:dyDescent="0.2">
      <c r="A11" s="39" t="s">
        <v>778</v>
      </c>
      <c r="B11" s="39" t="str">
        <f>IFERROR(VLOOKUP(A11,[1]Bonds!$B$1:$K$2669,10,0),VLOOKUP(A11,[1]CPCD!$B$1:$H$1476,7,0))</f>
        <v>10.25% Sikka Ports &amp; Terminals Limited (22-Aug-2021) **</v>
      </c>
      <c r="C11" s="39" t="s">
        <v>361</v>
      </c>
      <c r="D11" s="39">
        <v>30</v>
      </c>
      <c r="E11" s="68">
        <v>308.95350000000002</v>
      </c>
      <c r="F11" s="68">
        <v>10.632047828006399</v>
      </c>
    </row>
    <row r="12" spans="1:6" x14ac:dyDescent="0.2">
      <c r="A12" s="39" t="s">
        <v>1195</v>
      </c>
      <c r="B12" s="39" t="str">
        <f>IFERROR(VLOOKUP(A12,[1]Bonds!$B$1:$K$2669,10,0),VLOOKUP(A12,[1]CPCD!$B$1:$H$1476,7,0))</f>
        <v>8.9492% L&amp;T Finance Ltd (16-Aug-2021) **</v>
      </c>
      <c r="C12" s="39" t="s">
        <v>916</v>
      </c>
      <c r="D12" s="39">
        <v>26</v>
      </c>
      <c r="E12" s="68">
        <v>261.51710000000003</v>
      </c>
      <c r="F12" s="68">
        <v>8.9996142301075892</v>
      </c>
    </row>
    <row r="13" spans="1:6" x14ac:dyDescent="0.2">
      <c r="A13" s="39" t="s">
        <v>978</v>
      </c>
      <c r="B13" s="39" t="str">
        <f>IFERROR(VLOOKUP(A13,[1]Bonds!$B$1:$K$2669,10,0),VLOOKUP(A13,[1]CPCD!$B$1:$H$1476,7,0))</f>
        <v>8.32% Reliance Jio Infocomm Limited (08-Jul-2021) **</v>
      </c>
      <c r="C13" s="39" t="s">
        <v>361</v>
      </c>
      <c r="D13" s="39">
        <v>20</v>
      </c>
      <c r="E13" s="68">
        <v>201.99799999999999</v>
      </c>
      <c r="F13" s="68">
        <v>6.9513774634747501</v>
      </c>
    </row>
    <row r="14" spans="1:6" x14ac:dyDescent="0.2">
      <c r="A14" s="39" t="s">
        <v>1319</v>
      </c>
      <c r="B14" s="39" t="str">
        <f>IFERROR(VLOOKUP(A14,[1]Bonds!$B$1:$K$2669,10,0),VLOOKUP(A14,[1]CPCD!$B$1:$H$1476,7,0))</f>
        <v>8.40% Small Industries Development Bank Of India (10-Aug-2021) **</v>
      </c>
      <c r="C14" s="39" t="s">
        <v>916</v>
      </c>
      <c r="D14" s="39">
        <v>19</v>
      </c>
      <c r="E14" s="68">
        <v>195.42488</v>
      </c>
      <c r="F14" s="68">
        <v>6.7251760246846901</v>
      </c>
    </row>
    <row r="15" spans="1:6" x14ac:dyDescent="0.2">
      <c r="A15" s="39" t="s">
        <v>1320</v>
      </c>
      <c r="B15" s="39" t="str">
        <f>IFERROR(VLOOKUP(A15,[1]Bonds!$B$1:$K$2669,10,0),VLOOKUP(A15,[1]CPCD!$B$1:$H$1476,7,0))</f>
        <v>8.37% National Bank For Agriculture And Rural Development (03-Aug-2021) **</v>
      </c>
      <c r="C15" s="39" t="s">
        <v>361</v>
      </c>
      <c r="D15" s="39">
        <v>19</v>
      </c>
      <c r="E15" s="68">
        <v>194.83834999999999</v>
      </c>
      <c r="F15" s="68">
        <v>6.7049917088813098</v>
      </c>
    </row>
    <row r="16" spans="1:6" x14ac:dyDescent="0.2">
      <c r="A16" s="39" t="s">
        <v>1228</v>
      </c>
      <c r="B16" s="39" t="str">
        <f>IFERROR(VLOOKUP(A16,[1]Bonds!$B$1:$K$2669,10,0),VLOOKUP(A16,[1]CPCD!$B$1:$H$1476,7,0))</f>
        <v>0.00% Fullerton India Credit Co Ltd (08-Apr-2021) **</v>
      </c>
      <c r="C16" s="39" t="s">
        <v>916</v>
      </c>
      <c r="D16" s="39">
        <v>16</v>
      </c>
      <c r="E16" s="68">
        <v>177.91808</v>
      </c>
      <c r="F16" s="68">
        <v>6.1227127578327396</v>
      </c>
    </row>
    <row r="17" spans="1:6" x14ac:dyDescent="0.2">
      <c r="A17" s="39" t="s">
        <v>1321</v>
      </c>
      <c r="B17" s="39" t="str">
        <f>IFERROR(VLOOKUP(A17,[1]Bonds!$B$1:$K$2669,10,0),VLOOKUP(A17,[1]CPCD!$B$1:$H$1476,7,0))</f>
        <v>0.00% Sundaram Finance Ltd (31-Aug-2021) **</v>
      </c>
      <c r="C17" s="39" t="s">
        <v>361</v>
      </c>
      <c r="D17" s="39">
        <v>20</v>
      </c>
      <c r="E17" s="68">
        <v>172.02619999999999</v>
      </c>
      <c r="F17" s="68">
        <v>5.9199548995891096</v>
      </c>
    </row>
    <row r="18" spans="1:6" x14ac:dyDescent="0.2">
      <c r="A18" s="39" t="s">
        <v>1250</v>
      </c>
      <c r="B18" s="39" t="str">
        <f>IFERROR(VLOOKUP(A18,[1]Bonds!$B$1:$K$2669,10,0),VLOOKUP(A18,[1]CPCD!$B$1:$H$1476,7,0))</f>
        <v>7.18% Rec Ltd (21-May-2021) **</v>
      </c>
      <c r="C18" s="39" t="s">
        <v>361</v>
      </c>
      <c r="D18" s="39">
        <v>16</v>
      </c>
      <c r="E18" s="68">
        <v>159.61439999999999</v>
      </c>
      <c r="F18" s="68">
        <v>5.4928263794990304</v>
      </c>
    </row>
    <row r="19" spans="1:6" x14ac:dyDescent="0.2">
      <c r="A19" s="39" t="s">
        <v>1322</v>
      </c>
      <c r="B19" s="39" t="str">
        <f>IFERROR(VLOOKUP(A19,[1]Bonds!$B$1:$K$2669,10,0),VLOOKUP(A19,[1]CPCD!$B$1:$H$1476,7,0))</f>
        <v>0.00% Aditya Birla Finance Ltd (26-Jul-2021) **</v>
      </c>
      <c r="C19" s="39" t="s">
        <v>977</v>
      </c>
      <c r="D19" s="39">
        <v>7</v>
      </c>
      <c r="E19" s="68">
        <v>77.537530000000004</v>
      </c>
      <c r="F19" s="68">
        <v>2.6683068080649202</v>
      </c>
    </row>
    <row r="20" spans="1:6" x14ac:dyDescent="0.2">
      <c r="A20" s="38" t="s">
        <v>44</v>
      </c>
      <c r="B20" s="39"/>
      <c r="C20" s="39"/>
      <c r="D20" s="39"/>
      <c r="E20" s="69">
        <f>SUM(E8:E19)</f>
        <v>2698.4447799999998</v>
      </c>
      <c r="F20" s="69">
        <f>SUM(F8:F19)</f>
        <v>92.86185125656236</v>
      </c>
    </row>
    <row r="21" spans="1:6" x14ac:dyDescent="0.2">
      <c r="A21" s="39"/>
      <c r="B21" s="39"/>
      <c r="C21" s="39"/>
      <c r="D21" s="39"/>
      <c r="E21" s="68"/>
      <c r="F21" s="68"/>
    </row>
    <row r="22" spans="1:6" x14ac:dyDescent="0.2">
      <c r="A22" s="38" t="s">
        <v>815</v>
      </c>
      <c r="B22" s="39"/>
      <c r="C22" s="39"/>
      <c r="D22" s="39"/>
      <c r="E22" s="68"/>
      <c r="F22" s="68"/>
    </row>
    <row r="23" spans="1:6" x14ac:dyDescent="0.2">
      <c r="A23" s="39" t="s">
        <v>1034</v>
      </c>
      <c r="B23" s="39" t="str">
        <f>IFERROR(VLOOKUP(A23,[1]Bonds!$B$1:$K$2669,10,0),VLOOKUP(A23,[1]CPCD!$B$1:$H$1476,7,0))</f>
        <v>8.01% Tata Sons Pvt Ltd (02-Sep-2021) **</v>
      </c>
      <c r="C23" s="39" t="s">
        <v>361</v>
      </c>
      <c r="D23" s="39">
        <v>3</v>
      </c>
      <c r="E23" s="68">
        <v>29.874839999999999</v>
      </c>
      <c r="F23" s="68">
        <v>1.0280858696666</v>
      </c>
    </row>
    <row r="24" spans="1:6" x14ac:dyDescent="0.2">
      <c r="A24" s="38" t="s">
        <v>44</v>
      </c>
      <c r="B24" s="39"/>
      <c r="C24" s="39"/>
      <c r="D24" s="39"/>
      <c r="E24" s="69">
        <f>SUM(E23:E23)</f>
        <v>29.874839999999999</v>
      </c>
      <c r="F24" s="69">
        <f>SUM(F23:F23)</f>
        <v>1.0280858696666</v>
      </c>
    </row>
    <row r="25" spans="1:6" x14ac:dyDescent="0.2">
      <c r="A25" s="39"/>
      <c r="B25" s="39"/>
      <c r="C25" s="39"/>
      <c r="D25" s="39"/>
      <c r="E25" s="68"/>
      <c r="F25" s="68"/>
    </row>
    <row r="26" spans="1:6" x14ac:dyDescent="0.2">
      <c r="A26" s="38" t="s">
        <v>44</v>
      </c>
      <c r="B26" s="39"/>
      <c r="C26" s="39"/>
      <c r="D26" s="39"/>
      <c r="E26" s="69">
        <f>E20+E24</f>
        <v>2728.3196199999998</v>
      </c>
      <c r="F26" s="69">
        <f>F20+F24</f>
        <v>93.889937126228958</v>
      </c>
    </row>
    <row r="27" spans="1:6" x14ac:dyDescent="0.2">
      <c r="A27" s="39"/>
      <c r="B27" s="39"/>
      <c r="C27" s="39"/>
      <c r="D27" s="39"/>
      <c r="E27" s="68"/>
      <c r="F27" s="68"/>
    </row>
    <row r="28" spans="1:6" x14ac:dyDescent="0.2">
      <c r="A28" s="38" t="s">
        <v>76</v>
      </c>
      <c r="B28" s="39"/>
      <c r="C28" s="39"/>
      <c r="D28" s="39"/>
      <c r="E28" s="69">
        <v>177.5501108</v>
      </c>
      <c r="F28" s="69">
        <v>6.11</v>
      </c>
    </row>
    <row r="29" spans="1:6" x14ac:dyDescent="0.2">
      <c r="A29" s="39"/>
      <c r="B29" s="39"/>
      <c r="C29" s="39"/>
      <c r="D29" s="39"/>
      <c r="E29" s="68"/>
      <c r="F29" s="68"/>
    </row>
    <row r="30" spans="1:6" x14ac:dyDescent="0.2">
      <c r="A30" s="71" t="s">
        <v>77</v>
      </c>
      <c r="B30" s="66"/>
      <c r="C30" s="66"/>
      <c r="D30" s="66"/>
      <c r="E30" s="72">
        <f>E26+E28</f>
        <v>2905.8697307999996</v>
      </c>
      <c r="F30" s="72">
        <f>F26+F28</f>
        <v>99.999937126228957</v>
      </c>
    </row>
    <row r="31" spans="1:6" x14ac:dyDescent="0.2">
      <c r="A31" s="52" t="s">
        <v>619</v>
      </c>
    </row>
    <row r="32" spans="1:6" x14ac:dyDescent="0.2">
      <c r="A32" s="4"/>
    </row>
    <row r="33" spans="1:4" x14ac:dyDescent="0.2">
      <c r="A33" s="4" t="s">
        <v>78</v>
      </c>
    </row>
    <row r="34" spans="1:4" x14ac:dyDescent="0.2">
      <c r="A34" s="4" t="s">
        <v>650</v>
      </c>
    </row>
    <row r="35" spans="1:4" x14ac:dyDescent="0.2">
      <c r="A35" s="4" t="s">
        <v>80</v>
      </c>
      <c r="D35" s="11"/>
    </row>
    <row r="36" spans="1:4" x14ac:dyDescent="0.2">
      <c r="A36" s="2" t="s">
        <v>638</v>
      </c>
      <c r="D36" s="88">
        <v>10.4472</v>
      </c>
    </row>
    <row r="37" spans="1:4" x14ac:dyDescent="0.2">
      <c r="A37" s="2" t="s">
        <v>639</v>
      </c>
      <c r="D37" s="88">
        <v>10.4472</v>
      </c>
    </row>
    <row r="38" spans="1:4" x14ac:dyDescent="0.2">
      <c r="A38" s="2" t="s">
        <v>652</v>
      </c>
      <c r="D38" s="88">
        <v>10.3452</v>
      </c>
    </row>
    <row r="39" spans="1:4" x14ac:dyDescent="0.2">
      <c r="A39" s="2" t="s">
        <v>640</v>
      </c>
      <c r="D39" s="88">
        <v>10.4917</v>
      </c>
    </row>
    <row r="40" spans="1:4" x14ac:dyDescent="0.2">
      <c r="A40" s="2" t="s">
        <v>654</v>
      </c>
      <c r="D40" s="88">
        <v>10.3895</v>
      </c>
    </row>
    <row r="42" spans="1:4" x14ac:dyDescent="0.2">
      <c r="A42" s="4" t="s">
        <v>81</v>
      </c>
    </row>
    <row r="43" spans="1:4" x14ac:dyDescent="0.2">
      <c r="A43" s="2" t="s">
        <v>638</v>
      </c>
      <c r="D43" s="10">
        <v>11.019299999999999</v>
      </c>
    </row>
    <row r="44" spans="1:4" x14ac:dyDescent="0.2">
      <c r="A44" s="2" t="s">
        <v>639</v>
      </c>
      <c r="D44" s="10">
        <v>11.019299999999999</v>
      </c>
    </row>
    <row r="45" spans="1:4" x14ac:dyDescent="0.2">
      <c r="A45" s="2" t="s">
        <v>652</v>
      </c>
      <c r="D45" s="10">
        <v>10.4786</v>
      </c>
    </row>
    <row r="46" spans="1:4" x14ac:dyDescent="0.2">
      <c r="A46" s="2" t="s">
        <v>640</v>
      </c>
      <c r="D46" s="10">
        <v>11.1172</v>
      </c>
    </row>
    <row r="47" spans="1:4" x14ac:dyDescent="0.2">
      <c r="A47" s="2" t="s">
        <v>654</v>
      </c>
      <c r="D47" s="10">
        <v>10.574400000000001</v>
      </c>
    </row>
    <row r="49" spans="1:5" x14ac:dyDescent="0.2">
      <c r="A49" s="4" t="s">
        <v>82</v>
      </c>
      <c r="D49" s="44" t="s">
        <v>299</v>
      </c>
    </row>
    <row r="50" spans="1:5" x14ac:dyDescent="0.2">
      <c r="A50" s="45" t="s">
        <v>642</v>
      </c>
      <c r="B50" s="46"/>
      <c r="C50" s="100" t="s">
        <v>643</v>
      </c>
      <c r="D50" s="101"/>
    </row>
    <row r="51" spans="1:5" x14ac:dyDescent="0.2">
      <c r="A51" s="102"/>
      <c r="B51" s="103"/>
      <c r="C51" s="47" t="s">
        <v>644</v>
      </c>
      <c r="D51" s="47" t="s">
        <v>645</v>
      </c>
    </row>
    <row r="52" spans="1:5" x14ac:dyDescent="0.2">
      <c r="A52" s="48" t="s">
        <v>652</v>
      </c>
      <c r="B52" s="49"/>
      <c r="C52" s="50">
        <v>0.30253553399999999</v>
      </c>
      <c r="D52" s="50">
        <v>0.28014941230000001</v>
      </c>
    </row>
    <row r="53" spans="1:5" x14ac:dyDescent="0.2">
      <c r="A53" s="48" t="s">
        <v>654</v>
      </c>
      <c r="B53" s="49"/>
      <c r="C53" s="50">
        <v>0.30253553399999999</v>
      </c>
      <c r="D53" s="50">
        <v>0.28014941230000001</v>
      </c>
    </row>
    <row r="55" spans="1:5" x14ac:dyDescent="0.2">
      <c r="A55" s="4" t="s">
        <v>647</v>
      </c>
      <c r="D55" s="53">
        <v>1.784604346929564</v>
      </c>
      <c r="E55" s="73" t="s">
        <v>1295</v>
      </c>
    </row>
  </sheetData>
  <mergeCells count="3">
    <mergeCell ref="A1:F1"/>
    <mergeCell ref="C50:D50"/>
    <mergeCell ref="A51:B51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F7F21-EAAB-4CFC-A2C8-ABC3FF090A89}">
  <dimension ref="A1:F51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6.28515625" style="2" bestFit="1" customWidth="1"/>
    <col min="3" max="3" width="11.7109375" style="2" bestFit="1" customWidth="1"/>
    <col min="4" max="4" width="7.42578125" style="2" bestFit="1" customWidth="1"/>
    <col min="5" max="5" width="23" style="73" bestFit="1" customWidth="1"/>
    <col min="6" max="6" width="13.5703125" style="73" bestFit="1" customWidth="1"/>
    <col min="7" max="16384" width="9.140625" style="2"/>
  </cols>
  <sheetData>
    <row r="1" spans="1:6" ht="15" customHeight="1" x14ac:dyDescent="0.2">
      <c r="A1" s="108" t="s">
        <v>1323</v>
      </c>
      <c r="B1" s="108"/>
      <c r="C1" s="108"/>
      <c r="D1" s="108"/>
      <c r="E1" s="108"/>
      <c r="F1" s="108"/>
    </row>
    <row r="3" spans="1:6" s="4" customFormat="1" x14ac:dyDescent="0.2">
      <c r="A3" s="64" t="s">
        <v>1</v>
      </c>
      <c r="B3" s="64" t="s">
        <v>2</v>
      </c>
      <c r="C3" s="64" t="s">
        <v>716</v>
      </c>
      <c r="D3" s="64" t="s">
        <v>4</v>
      </c>
      <c r="E3" s="65" t="s">
        <v>5</v>
      </c>
      <c r="F3" s="65" t="s">
        <v>6</v>
      </c>
    </row>
    <row r="4" spans="1:6" x14ac:dyDescent="0.2">
      <c r="A4" s="66"/>
      <c r="B4" s="66"/>
      <c r="C4" s="66"/>
      <c r="D4" s="66"/>
      <c r="E4" s="67"/>
      <c r="F4" s="67"/>
    </row>
    <row r="5" spans="1:6" x14ac:dyDescent="0.2">
      <c r="A5" s="38" t="s">
        <v>359</v>
      </c>
      <c r="B5" s="39"/>
      <c r="C5" s="39"/>
      <c r="D5" s="39"/>
      <c r="E5" s="68"/>
      <c r="F5" s="68"/>
    </row>
    <row r="6" spans="1:6" x14ac:dyDescent="0.2">
      <c r="A6" s="38" t="s">
        <v>8</v>
      </c>
      <c r="B6" s="39"/>
      <c r="C6" s="39"/>
      <c r="D6" s="39"/>
      <c r="E6" s="68"/>
      <c r="F6" s="68"/>
    </row>
    <row r="7" spans="1:6" x14ac:dyDescent="0.2">
      <c r="A7" s="38"/>
      <c r="B7" s="39"/>
      <c r="C7" s="39"/>
      <c r="D7" s="39"/>
      <c r="E7" s="68"/>
      <c r="F7" s="68"/>
    </row>
    <row r="8" spans="1:6" x14ac:dyDescent="0.2">
      <c r="A8" s="39" t="s">
        <v>1231</v>
      </c>
      <c r="B8" s="39" t="str">
        <f>IFERROR(VLOOKUP(A8,[1]Bonds!$B$1:$K$2669,10,0),VLOOKUP(A8,[1]CPCD!$B$1:$H$1476,7,0))</f>
        <v>7.50% Power Finance Corp Ltd (16-Aug-2021) **</v>
      </c>
      <c r="C8" s="39" t="s">
        <v>361</v>
      </c>
      <c r="D8" s="39">
        <v>44</v>
      </c>
      <c r="E8" s="68">
        <v>441.47048000000001</v>
      </c>
      <c r="F8" s="68">
        <v>12.2300590266941</v>
      </c>
    </row>
    <row r="9" spans="1:6" x14ac:dyDescent="0.2">
      <c r="A9" s="39" t="s">
        <v>1319</v>
      </c>
      <c r="B9" s="39" t="str">
        <f>IFERROR(VLOOKUP(A9,[1]Bonds!$B$1:$K$2669,10,0),VLOOKUP(A9,[1]CPCD!$B$1:$H$1476,7,0))</f>
        <v>8.40% Small Industries Development Bank Of India (10-Aug-2021) **</v>
      </c>
      <c r="C9" s="39" t="s">
        <v>916</v>
      </c>
      <c r="D9" s="39">
        <v>41</v>
      </c>
      <c r="E9" s="68">
        <v>421.70632000000001</v>
      </c>
      <c r="F9" s="68">
        <v>11.6825323983836</v>
      </c>
    </row>
    <row r="10" spans="1:6" x14ac:dyDescent="0.2">
      <c r="A10" s="39" t="s">
        <v>1320</v>
      </c>
      <c r="B10" s="39" t="str">
        <f>IFERROR(VLOOKUP(A10,[1]Bonds!$B$1:$K$2669,10,0),VLOOKUP(A10,[1]CPCD!$B$1:$H$1476,7,0))</f>
        <v>8.37% National Bank For Agriculture And Rural Development (03-Aug-2021) **</v>
      </c>
      <c r="C10" s="39" t="s">
        <v>361</v>
      </c>
      <c r="D10" s="39">
        <v>41</v>
      </c>
      <c r="E10" s="68">
        <v>420.44065000000001</v>
      </c>
      <c r="F10" s="68">
        <v>11.647469535724399</v>
      </c>
    </row>
    <row r="11" spans="1:6" x14ac:dyDescent="0.2">
      <c r="A11" s="39" t="s">
        <v>778</v>
      </c>
      <c r="B11" s="39" t="str">
        <f>IFERROR(VLOOKUP(A11,[1]Bonds!$B$1:$K$2669,10,0),VLOOKUP(A11,[1]CPCD!$B$1:$H$1476,7,0))</f>
        <v>10.25% Sikka Ports &amp; Terminals Limited (22-Aug-2021) **</v>
      </c>
      <c r="C11" s="39" t="s">
        <v>361</v>
      </c>
      <c r="D11" s="39">
        <v>40</v>
      </c>
      <c r="E11" s="68">
        <v>411.93799999999999</v>
      </c>
      <c r="F11" s="68">
        <v>11.411920578106001</v>
      </c>
    </row>
    <row r="12" spans="1:6" x14ac:dyDescent="0.2">
      <c r="A12" s="39" t="s">
        <v>1321</v>
      </c>
      <c r="B12" s="39" t="str">
        <f>IFERROR(VLOOKUP(A12,[1]Bonds!$B$1:$K$2669,10,0),VLOOKUP(A12,[1]CPCD!$B$1:$H$1476,7,0))</f>
        <v>0.00% Sundaram Finance Ltd (31-Aug-2021) **</v>
      </c>
      <c r="C12" s="39" t="s">
        <v>361</v>
      </c>
      <c r="D12" s="39">
        <v>33</v>
      </c>
      <c r="E12" s="68">
        <v>283.84323000000001</v>
      </c>
      <c r="F12" s="68">
        <v>7.8633104918533103</v>
      </c>
    </row>
    <row r="13" spans="1:6" x14ac:dyDescent="0.2">
      <c r="A13" s="39" t="s">
        <v>978</v>
      </c>
      <c r="B13" s="39" t="str">
        <f>IFERROR(VLOOKUP(A13,[1]Bonds!$B$1:$K$2669,10,0),VLOOKUP(A13,[1]CPCD!$B$1:$H$1476,7,0))</f>
        <v>8.32% Reliance Jio Infocomm Limited (08-Jul-2021) **</v>
      </c>
      <c r="C13" s="39" t="s">
        <v>361</v>
      </c>
      <c r="D13" s="39">
        <v>28</v>
      </c>
      <c r="E13" s="68">
        <v>282.79719999999998</v>
      </c>
      <c r="F13" s="68">
        <v>7.8343323172680099</v>
      </c>
    </row>
    <row r="14" spans="1:6" x14ac:dyDescent="0.2">
      <c r="A14" s="39" t="s">
        <v>1324</v>
      </c>
      <c r="B14" s="39" t="str">
        <f>IFERROR(VLOOKUP(A14,[1]Bonds!$B$1:$K$2669,10,0),VLOOKUP(A14,[1]CPCD!$B$1:$H$1476,7,0))</f>
        <v>8.1352% Bajaj Housing Finance Ltd (04-Jun-2021) **</v>
      </c>
      <c r="C14" s="39" t="s">
        <v>361</v>
      </c>
      <c r="D14" s="39">
        <v>26</v>
      </c>
      <c r="E14" s="68">
        <v>261.65697999999998</v>
      </c>
      <c r="F14" s="68">
        <v>7.24868469154839</v>
      </c>
    </row>
    <row r="15" spans="1:6" x14ac:dyDescent="0.2">
      <c r="A15" s="39" t="s">
        <v>798</v>
      </c>
      <c r="B15" s="39" t="str">
        <f>IFERROR(VLOOKUP(A15,[1]Bonds!$B$1:$K$2669,10,0),VLOOKUP(A15,[1]CPCD!$B$1:$H$1476,7,0))</f>
        <v>9.10% Shriram Transport Finance Co Ltd (12-Jul-2021) **</v>
      </c>
      <c r="C15" s="39" t="s">
        <v>727</v>
      </c>
      <c r="D15" s="39">
        <v>26000</v>
      </c>
      <c r="E15" s="68">
        <v>245.94154</v>
      </c>
      <c r="F15" s="68">
        <v>6.8133197746677299</v>
      </c>
    </row>
    <row r="16" spans="1:6" x14ac:dyDescent="0.2">
      <c r="A16" s="39" t="s">
        <v>1241</v>
      </c>
      <c r="B16" s="39" t="str">
        <f>IFERROR(VLOOKUP(A16,[1]Bonds!$B$1:$K$2669,10,0),VLOOKUP(A16,[1]CPCD!$B$1:$H$1476,7,0))</f>
        <v>8.50% NHPC Ltd (14-Jul-2021) **</v>
      </c>
      <c r="C16" s="39" t="s">
        <v>916</v>
      </c>
      <c r="D16" s="39">
        <v>150</v>
      </c>
      <c r="E16" s="68">
        <v>154.78739999999999</v>
      </c>
      <c r="F16" s="68">
        <v>4.2880761553717299</v>
      </c>
    </row>
    <row r="17" spans="1:6" x14ac:dyDescent="0.2">
      <c r="A17" s="38" t="s">
        <v>44</v>
      </c>
      <c r="B17" s="39"/>
      <c r="C17" s="39"/>
      <c r="D17" s="39"/>
      <c r="E17" s="69">
        <f>SUM(E8:E16)</f>
        <v>2924.5817999999999</v>
      </c>
      <c r="F17" s="69">
        <f>SUM(F8:F16)</f>
        <v>81.019704969617266</v>
      </c>
    </row>
    <row r="18" spans="1:6" x14ac:dyDescent="0.2">
      <c r="A18" s="39"/>
      <c r="B18" s="39"/>
      <c r="C18" s="39"/>
      <c r="D18" s="39"/>
      <c r="E18" s="68"/>
      <c r="F18" s="68"/>
    </row>
    <row r="19" spans="1:6" x14ac:dyDescent="0.2">
      <c r="A19" s="38" t="s">
        <v>815</v>
      </c>
      <c r="B19" s="39"/>
      <c r="C19" s="39"/>
      <c r="D19" s="39"/>
      <c r="E19" s="68"/>
      <c r="F19" s="68"/>
    </row>
    <row r="20" spans="1:6" x14ac:dyDescent="0.2">
      <c r="A20" s="39" t="s">
        <v>1034</v>
      </c>
      <c r="B20" s="39" t="str">
        <f>IFERROR(VLOOKUP(A20,[1]Bonds!$B$1:$K$2669,10,0),VLOOKUP(A20,[1]CPCD!$B$1:$H$1476,7,0))</f>
        <v>8.01% Tata Sons Pvt Ltd (02-Sep-2021) **</v>
      </c>
      <c r="C20" s="39" t="s">
        <v>361</v>
      </c>
      <c r="D20" s="39">
        <v>34</v>
      </c>
      <c r="E20" s="68">
        <v>338.58152000000001</v>
      </c>
      <c r="F20" s="68">
        <v>9.37972562728954</v>
      </c>
    </row>
    <row r="21" spans="1:6" x14ac:dyDescent="0.2">
      <c r="A21" s="39" t="s">
        <v>1251</v>
      </c>
      <c r="B21" s="39" t="str">
        <f>IFERROR(VLOOKUP(A21,[1]Bonds!$B$1:$K$2669,10,0),VLOOKUP(A21,[1]CPCD!$B$1:$H$1476,7,0))</f>
        <v>7.48% Bennett Coleman And Co Ltd (26-Apr-2021) **</v>
      </c>
      <c r="C21" s="39" t="s">
        <v>361</v>
      </c>
      <c r="D21" s="39">
        <v>7</v>
      </c>
      <c r="E21" s="68">
        <v>69.876379999999997</v>
      </c>
      <c r="F21" s="68">
        <v>1.93578572223381</v>
      </c>
    </row>
    <row r="22" spans="1:6" x14ac:dyDescent="0.2">
      <c r="A22" s="38" t="s">
        <v>44</v>
      </c>
      <c r="B22" s="39"/>
      <c r="C22" s="39"/>
      <c r="D22" s="39"/>
      <c r="E22" s="69">
        <f>SUM(E20:E21)</f>
        <v>408.4579</v>
      </c>
      <c r="F22" s="69">
        <f>SUM(F20:F21)</f>
        <v>11.31551134952335</v>
      </c>
    </row>
    <row r="23" spans="1:6" x14ac:dyDescent="0.2">
      <c r="A23" s="39"/>
      <c r="B23" s="39"/>
      <c r="C23" s="39"/>
      <c r="D23" s="39"/>
      <c r="E23" s="68"/>
      <c r="F23" s="68"/>
    </row>
    <row r="24" spans="1:6" x14ac:dyDescent="0.2">
      <c r="A24" s="38" t="s">
        <v>44</v>
      </c>
      <c r="B24" s="39"/>
      <c r="C24" s="39"/>
      <c r="D24" s="39"/>
      <c r="E24" s="69">
        <f>E17+E22</f>
        <v>3333.0396999999998</v>
      </c>
      <c r="F24" s="69">
        <f>F17+F22</f>
        <v>92.335216319140613</v>
      </c>
    </row>
    <row r="25" spans="1:6" x14ac:dyDescent="0.2">
      <c r="A25" s="39"/>
      <c r="B25" s="39"/>
      <c r="C25" s="39"/>
      <c r="D25" s="39"/>
      <c r="E25" s="68"/>
      <c r="F25" s="68"/>
    </row>
    <row r="26" spans="1:6" x14ac:dyDescent="0.2">
      <c r="A26" s="38" t="s">
        <v>76</v>
      </c>
      <c r="B26" s="39"/>
      <c r="C26" s="39"/>
      <c r="D26" s="39"/>
      <c r="E26" s="69">
        <v>276.67667460000001</v>
      </c>
      <c r="F26" s="69">
        <v>7.66</v>
      </c>
    </row>
    <row r="27" spans="1:6" x14ac:dyDescent="0.2">
      <c r="A27" s="39"/>
      <c r="B27" s="39"/>
      <c r="C27" s="39"/>
      <c r="D27" s="39"/>
      <c r="E27" s="68"/>
      <c r="F27" s="68"/>
    </row>
    <row r="28" spans="1:6" x14ac:dyDescent="0.2">
      <c r="A28" s="71" t="s">
        <v>77</v>
      </c>
      <c r="B28" s="66"/>
      <c r="C28" s="66"/>
      <c r="D28" s="66"/>
      <c r="E28" s="72">
        <f>E24+E26</f>
        <v>3609.7163745999997</v>
      </c>
      <c r="F28" s="72">
        <f>F24+F26</f>
        <v>99.99521631914061</v>
      </c>
    </row>
    <row r="29" spans="1:6" x14ac:dyDescent="0.2">
      <c r="A29" s="52" t="s">
        <v>619</v>
      </c>
    </row>
    <row r="30" spans="1:6" x14ac:dyDescent="0.2">
      <c r="A30" s="4"/>
    </row>
    <row r="31" spans="1:6" x14ac:dyDescent="0.2">
      <c r="A31" s="4" t="s">
        <v>78</v>
      </c>
    </row>
    <row r="32" spans="1:6" x14ac:dyDescent="0.2">
      <c r="A32" s="4" t="s">
        <v>650</v>
      </c>
    </row>
    <row r="33" spans="1:4" x14ac:dyDescent="0.2">
      <c r="A33" s="4" t="s">
        <v>80</v>
      </c>
      <c r="D33" s="11"/>
    </row>
    <row r="34" spans="1:4" x14ac:dyDescent="0.2">
      <c r="A34" s="2" t="s">
        <v>1325</v>
      </c>
      <c r="D34" s="88">
        <v>10.3561</v>
      </c>
    </row>
    <row r="35" spans="1:4" x14ac:dyDescent="0.2">
      <c r="A35" s="2" t="s">
        <v>1326</v>
      </c>
      <c r="D35" s="88">
        <v>10.3561</v>
      </c>
    </row>
    <row r="36" spans="1:4" x14ac:dyDescent="0.2">
      <c r="A36" s="2" t="s">
        <v>1327</v>
      </c>
      <c r="D36" s="88">
        <v>10.2089</v>
      </c>
    </row>
    <row r="37" spans="1:4" x14ac:dyDescent="0.2">
      <c r="A37" s="2" t="s">
        <v>1328</v>
      </c>
      <c r="D37" s="88">
        <v>10.404500000000001</v>
      </c>
    </row>
    <row r="39" spans="1:4" x14ac:dyDescent="0.2">
      <c r="A39" s="4" t="s">
        <v>81</v>
      </c>
    </row>
    <row r="40" spans="1:4" x14ac:dyDescent="0.2">
      <c r="A40" s="2" t="s">
        <v>1325</v>
      </c>
      <c r="D40" s="10">
        <v>10.434699999999999</v>
      </c>
    </row>
    <row r="41" spans="1:4" x14ac:dyDescent="0.2">
      <c r="A41" s="2" t="s">
        <v>1326</v>
      </c>
      <c r="D41" s="10">
        <v>10.434699999999999</v>
      </c>
    </row>
    <row r="42" spans="1:4" x14ac:dyDescent="0.2">
      <c r="A42" s="2" t="s">
        <v>1327</v>
      </c>
      <c r="D42" s="10">
        <v>10.0623</v>
      </c>
    </row>
    <row r="43" spans="1:4" x14ac:dyDescent="0.2">
      <c r="A43" s="2" t="s">
        <v>1328</v>
      </c>
      <c r="D43" s="10">
        <v>10.531599999999999</v>
      </c>
    </row>
    <row r="46" spans="1:4" x14ac:dyDescent="0.2">
      <c r="A46" s="4" t="s">
        <v>82</v>
      </c>
      <c r="D46" s="44" t="s">
        <v>299</v>
      </c>
    </row>
    <row r="47" spans="1:4" x14ac:dyDescent="0.2">
      <c r="A47" s="45" t="s">
        <v>642</v>
      </c>
      <c r="B47" s="46"/>
      <c r="C47" s="100" t="s">
        <v>643</v>
      </c>
      <c r="D47" s="101"/>
    </row>
    <row r="48" spans="1:4" x14ac:dyDescent="0.2">
      <c r="A48" s="102"/>
      <c r="B48" s="103"/>
      <c r="C48" s="47" t="s">
        <v>644</v>
      </c>
      <c r="D48" s="47" t="s">
        <v>645</v>
      </c>
    </row>
    <row r="49" spans="1:5" x14ac:dyDescent="0.2">
      <c r="A49" s="48" t="s">
        <v>652</v>
      </c>
      <c r="B49" s="49"/>
      <c r="C49" s="50">
        <v>0.16207260749999999</v>
      </c>
      <c r="D49" s="50">
        <v>0.15008004229999999</v>
      </c>
    </row>
    <row r="50" spans="1:5" x14ac:dyDescent="0.2">
      <c r="A50" s="77"/>
      <c r="B50" s="77"/>
      <c r="C50" s="78"/>
      <c r="D50" s="78"/>
    </row>
    <row r="51" spans="1:5" x14ac:dyDescent="0.2">
      <c r="A51" s="4" t="s">
        <v>647</v>
      </c>
      <c r="D51" s="53">
        <v>1.7731487995502297</v>
      </c>
      <c r="E51" s="73" t="s">
        <v>648</v>
      </c>
    </row>
  </sheetData>
  <mergeCells count="3">
    <mergeCell ref="A1:F1"/>
    <mergeCell ref="C47:D47"/>
    <mergeCell ref="A48:B48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DD03D-2783-4B05-8957-B1D06D8B8DFA}">
  <dimension ref="A1:F55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6.28515625" style="2" bestFit="1" customWidth="1"/>
    <col min="3" max="3" width="11.7109375" style="2" bestFit="1" customWidth="1"/>
    <col min="4" max="4" width="7.42578125" style="2" bestFit="1" customWidth="1"/>
    <col min="5" max="5" width="23" style="73" bestFit="1" customWidth="1"/>
    <col min="6" max="6" width="13.5703125" style="73" bestFit="1" customWidth="1"/>
    <col min="7" max="16384" width="9.140625" style="2"/>
  </cols>
  <sheetData>
    <row r="1" spans="1:6" ht="15" customHeight="1" x14ac:dyDescent="0.2">
      <c r="A1" s="108" t="s">
        <v>1329</v>
      </c>
      <c r="B1" s="108"/>
      <c r="C1" s="108"/>
      <c r="D1" s="108"/>
      <c r="E1" s="108"/>
      <c r="F1" s="108"/>
    </row>
    <row r="3" spans="1:6" s="4" customFormat="1" x14ac:dyDescent="0.2">
      <c r="A3" s="64" t="s">
        <v>1</v>
      </c>
      <c r="B3" s="64" t="s">
        <v>2</v>
      </c>
      <c r="C3" s="64" t="s">
        <v>716</v>
      </c>
      <c r="D3" s="64" t="s">
        <v>4</v>
      </c>
      <c r="E3" s="65" t="s">
        <v>5</v>
      </c>
      <c r="F3" s="65" t="s">
        <v>6</v>
      </c>
    </row>
    <row r="4" spans="1:6" x14ac:dyDescent="0.2">
      <c r="A4" s="66"/>
      <c r="B4" s="66"/>
      <c r="C4" s="66"/>
      <c r="D4" s="66"/>
      <c r="E4" s="67"/>
      <c r="F4" s="67"/>
    </row>
    <row r="5" spans="1:6" x14ac:dyDescent="0.2">
      <c r="A5" s="38" t="s">
        <v>359</v>
      </c>
      <c r="B5" s="39"/>
      <c r="C5" s="39"/>
      <c r="D5" s="39"/>
      <c r="E5" s="68"/>
      <c r="F5" s="68"/>
    </row>
    <row r="6" spans="1:6" x14ac:dyDescent="0.2">
      <c r="A6" s="38" t="s">
        <v>8</v>
      </c>
      <c r="B6" s="39"/>
      <c r="C6" s="39"/>
      <c r="D6" s="39"/>
      <c r="E6" s="68"/>
      <c r="F6" s="68"/>
    </row>
    <row r="7" spans="1:6" x14ac:dyDescent="0.2">
      <c r="A7" s="38"/>
      <c r="B7" s="39"/>
      <c r="C7" s="39"/>
      <c r="D7" s="39"/>
      <c r="E7" s="68"/>
      <c r="F7" s="68"/>
    </row>
    <row r="8" spans="1:6" x14ac:dyDescent="0.2">
      <c r="A8" s="39" t="s">
        <v>1330</v>
      </c>
      <c r="B8" s="39" t="str">
        <f>IFERROR(VLOOKUP(A8,[1]Bonds!$B$1:$K$2669,10,0),VLOOKUP(A8,[1]CPCD!$B$1:$H$1476,7,0))</f>
        <v>0.00% LIC Housing Finance Ltd (25-Mar-2021) **</v>
      </c>
      <c r="C8" s="39" t="s">
        <v>361</v>
      </c>
      <c r="D8" s="39">
        <v>90</v>
      </c>
      <c r="E8" s="68">
        <v>1024.7994000000001</v>
      </c>
      <c r="F8" s="68">
        <v>11.990253378187701</v>
      </c>
    </row>
    <row r="9" spans="1:6" x14ac:dyDescent="0.2">
      <c r="A9" s="39" t="s">
        <v>778</v>
      </c>
      <c r="B9" s="39" t="str">
        <f>IFERROR(VLOOKUP(A9,[1]Bonds!$B$1:$K$2669,10,0),VLOOKUP(A9,[1]CPCD!$B$1:$H$1476,7,0))</f>
        <v>10.25% Sikka Ports &amp; Terminals Limited (22-Aug-2021) **</v>
      </c>
      <c r="C9" s="39" t="s">
        <v>361</v>
      </c>
      <c r="D9" s="39">
        <v>90</v>
      </c>
      <c r="E9" s="68">
        <v>926.8605</v>
      </c>
      <c r="F9" s="68">
        <v>10.8443586532483</v>
      </c>
    </row>
    <row r="10" spans="1:6" x14ac:dyDescent="0.2">
      <c r="A10" s="39" t="s">
        <v>1319</v>
      </c>
      <c r="B10" s="39" t="str">
        <f>IFERROR(VLOOKUP(A10,[1]Bonds!$B$1:$K$2669,10,0),VLOOKUP(A10,[1]CPCD!$B$1:$H$1476,7,0))</f>
        <v>8.40% Small Industries Development Bank Of India (10-Aug-2021) **</v>
      </c>
      <c r="C10" s="39" t="s">
        <v>916</v>
      </c>
      <c r="D10" s="39">
        <v>90</v>
      </c>
      <c r="E10" s="68">
        <v>925.69680000000005</v>
      </c>
      <c r="F10" s="68">
        <v>10.8307432492422</v>
      </c>
    </row>
    <row r="11" spans="1:6" x14ac:dyDescent="0.2">
      <c r="A11" s="39" t="s">
        <v>1231</v>
      </c>
      <c r="B11" s="39" t="str">
        <f>IFERROR(VLOOKUP(A11,[1]Bonds!$B$1:$K$2669,10,0),VLOOKUP(A11,[1]CPCD!$B$1:$H$1476,7,0))</f>
        <v>7.50% Power Finance Corp Ltd (16-Aug-2021) **</v>
      </c>
      <c r="C11" s="39" t="s">
        <v>361</v>
      </c>
      <c r="D11" s="39">
        <v>92</v>
      </c>
      <c r="E11" s="68">
        <v>923.07464000000004</v>
      </c>
      <c r="F11" s="68">
        <v>10.800063720352799</v>
      </c>
    </row>
    <row r="12" spans="1:6" x14ac:dyDescent="0.2">
      <c r="A12" s="39" t="s">
        <v>1320</v>
      </c>
      <c r="B12" s="39" t="str">
        <f>IFERROR(VLOOKUP(A12,[1]Bonds!$B$1:$K$2669,10,0),VLOOKUP(A12,[1]CPCD!$B$1:$H$1476,7,0))</f>
        <v>8.37% National Bank For Agriculture And Rural Development (03-Aug-2021) **</v>
      </c>
      <c r="C12" s="39" t="s">
        <v>361</v>
      </c>
      <c r="D12" s="39">
        <v>90</v>
      </c>
      <c r="E12" s="68">
        <v>922.91849999999999</v>
      </c>
      <c r="F12" s="68">
        <v>10.798236867056</v>
      </c>
    </row>
    <row r="13" spans="1:6" x14ac:dyDescent="0.2">
      <c r="A13" s="39" t="s">
        <v>978</v>
      </c>
      <c r="B13" s="39" t="str">
        <f>IFERROR(VLOOKUP(A13,[1]Bonds!$B$1:$K$2669,10,0),VLOOKUP(A13,[1]CPCD!$B$1:$H$1476,7,0))</f>
        <v>8.32% Reliance Jio Infocomm Limited (08-Jul-2021) **</v>
      </c>
      <c r="C13" s="39" t="s">
        <v>361</v>
      </c>
      <c r="D13" s="39">
        <v>70</v>
      </c>
      <c r="E13" s="68">
        <v>706.99300000000005</v>
      </c>
      <c r="F13" s="68">
        <v>8.2718873631317695</v>
      </c>
    </row>
    <row r="14" spans="1:6" x14ac:dyDescent="0.2">
      <c r="A14" s="39" t="s">
        <v>1331</v>
      </c>
      <c r="B14" s="39" t="str">
        <f>IFERROR(VLOOKUP(A14,[1]Bonds!$B$1:$K$2669,10,0),VLOOKUP(A14,[1]CPCD!$B$1:$H$1476,7,0))</f>
        <v>0.00% Axis Finance Ltd (31-Aug-2021) **</v>
      </c>
      <c r="C14" s="39" t="s">
        <v>361</v>
      </c>
      <c r="D14" s="39">
        <v>60</v>
      </c>
      <c r="E14" s="68">
        <v>661.75440000000003</v>
      </c>
      <c r="F14" s="68">
        <v>7.7425913111683498</v>
      </c>
    </row>
    <row r="15" spans="1:6" x14ac:dyDescent="0.2">
      <c r="A15" s="39" t="s">
        <v>1321</v>
      </c>
      <c r="B15" s="39" t="str">
        <f>IFERROR(VLOOKUP(A15,[1]Bonds!$B$1:$K$2669,10,0),VLOOKUP(A15,[1]CPCD!$B$1:$H$1476,7,0))</f>
        <v>0.00% Sundaram Finance Ltd (31-Aug-2021) **</v>
      </c>
      <c r="C15" s="39" t="s">
        <v>361</v>
      </c>
      <c r="D15" s="39">
        <v>75</v>
      </c>
      <c r="E15" s="68">
        <v>645.09825000000001</v>
      </c>
      <c r="F15" s="68">
        <v>7.5477127243882496</v>
      </c>
    </row>
    <row r="16" spans="1:6" x14ac:dyDescent="0.2">
      <c r="A16" s="39" t="s">
        <v>1322</v>
      </c>
      <c r="B16" s="39" t="str">
        <f>IFERROR(VLOOKUP(A16,[1]Bonds!$B$1:$K$2669,10,0),VLOOKUP(A16,[1]CPCD!$B$1:$H$1476,7,0))</f>
        <v>0.00% Aditya Birla Finance Ltd (26-Jul-2021) **</v>
      </c>
      <c r="C16" s="39" t="s">
        <v>977</v>
      </c>
      <c r="D16" s="39">
        <v>58</v>
      </c>
      <c r="E16" s="68">
        <v>642.45381999999995</v>
      </c>
      <c r="F16" s="68">
        <v>7.5167726343170802</v>
      </c>
    </row>
    <row r="17" spans="1:6" x14ac:dyDescent="0.2">
      <c r="A17" s="39" t="s">
        <v>1241</v>
      </c>
      <c r="B17" s="39" t="str">
        <f>IFERROR(VLOOKUP(A17,[1]Bonds!$B$1:$K$2669,10,0),VLOOKUP(A17,[1]CPCD!$B$1:$H$1476,7,0))</f>
        <v>8.50% NHPC Ltd (14-Jul-2021) **</v>
      </c>
      <c r="C17" s="39" t="s">
        <v>916</v>
      </c>
      <c r="D17" s="39">
        <v>470</v>
      </c>
      <c r="E17" s="68">
        <v>485.00051999999999</v>
      </c>
      <c r="F17" s="68">
        <v>5.6745535988338496</v>
      </c>
    </row>
    <row r="18" spans="1:6" x14ac:dyDescent="0.2">
      <c r="A18" s="39" t="s">
        <v>1196</v>
      </c>
      <c r="B18" s="39" t="str">
        <f>IFERROR(VLOOKUP(A18,[1]Bonds!$B$1:$K$2669,10,0),VLOOKUP(A18,[1]CPCD!$B$1:$H$1476,7,0))</f>
        <v>8.75% Housing Development Finance Corp Ltd (04-Mar-2021) **</v>
      </c>
      <c r="C18" s="39" t="s">
        <v>361</v>
      </c>
      <c r="D18" s="39">
        <v>2</v>
      </c>
      <c r="E18" s="68">
        <v>204.0634</v>
      </c>
      <c r="F18" s="68">
        <v>2.3875617718106201</v>
      </c>
    </row>
    <row r="19" spans="1:6" x14ac:dyDescent="0.2">
      <c r="A19" s="39" t="s">
        <v>1332</v>
      </c>
      <c r="B19" s="39" t="str">
        <f>IFERROR(VLOOKUP(A19,[1]Bonds!$B$1:$K$2669,10,0),VLOOKUP(A19,[1]CPCD!$B$1:$H$1476,7,0))</f>
        <v>0.00% Aditya Birla Housing Finance Ltd (26-Jul-2021) **</v>
      </c>
      <c r="C19" s="39" t="s">
        <v>977</v>
      </c>
      <c r="D19" s="39">
        <v>10</v>
      </c>
      <c r="E19" s="68">
        <v>110.73699999999999</v>
      </c>
      <c r="F19" s="68">
        <v>1.2956337487515801</v>
      </c>
    </row>
    <row r="20" spans="1:6" x14ac:dyDescent="0.2">
      <c r="A20" s="39" t="s">
        <v>1228</v>
      </c>
      <c r="B20" s="39" t="str">
        <f>IFERROR(VLOOKUP(A20,[1]Bonds!$B$1:$K$2669,10,0),VLOOKUP(A20,[1]CPCD!$B$1:$H$1476,7,0))</f>
        <v>0.00% Fullerton India Credit Co Ltd (08-Apr-2021) **</v>
      </c>
      <c r="C20" s="39" t="s">
        <v>916</v>
      </c>
      <c r="D20" s="39">
        <v>6</v>
      </c>
      <c r="E20" s="68">
        <v>66.719279999999998</v>
      </c>
      <c r="F20" s="68">
        <v>0.78062211239609203</v>
      </c>
    </row>
    <row r="21" spans="1:6" x14ac:dyDescent="0.2">
      <c r="A21" s="39" t="s">
        <v>1324</v>
      </c>
      <c r="B21" s="39" t="str">
        <f>IFERROR(VLOOKUP(A21,[1]Bonds!$B$1:$K$2669,10,0),VLOOKUP(A21,[1]CPCD!$B$1:$H$1476,7,0))</f>
        <v>8.1352% Bajaj Housing Finance Ltd (04-Jun-2021) **</v>
      </c>
      <c r="C21" s="39" t="s">
        <v>361</v>
      </c>
      <c r="D21" s="39">
        <v>4</v>
      </c>
      <c r="E21" s="68">
        <v>40.254919999999998</v>
      </c>
      <c r="F21" s="68">
        <v>0.47098650771914302</v>
      </c>
    </row>
    <row r="22" spans="1:6" x14ac:dyDescent="0.2">
      <c r="A22" s="39" t="s">
        <v>974</v>
      </c>
      <c r="B22" s="39" t="str">
        <f>IFERROR(VLOOKUP(A22,[1]Bonds!$B$1:$K$2669,10,0),VLOOKUP(A22,[1]CPCD!$B$1:$H$1476,7,0))</f>
        <v>9.30% Fullerton India Credit Co Ltd (15-Mar-2021) **</v>
      </c>
      <c r="C22" s="39" t="s">
        <v>361</v>
      </c>
      <c r="D22" s="39">
        <v>1</v>
      </c>
      <c r="E22" s="68">
        <v>10.007949999999999</v>
      </c>
      <c r="F22" s="68">
        <v>0.117093995465096</v>
      </c>
    </row>
    <row r="23" spans="1:6" x14ac:dyDescent="0.2">
      <c r="A23" s="38" t="s">
        <v>44</v>
      </c>
      <c r="B23" s="39"/>
      <c r="C23" s="39"/>
      <c r="D23" s="39"/>
      <c r="E23" s="69">
        <f>SUM(E8:E22)</f>
        <v>8296.4323799999984</v>
      </c>
      <c r="F23" s="69">
        <f>SUM(F8:F22)</f>
        <v>97.069071636068827</v>
      </c>
    </row>
    <row r="24" spans="1:6" x14ac:dyDescent="0.2">
      <c r="A24" s="39"/>
      <c r="B24" s="39"/>
      <c r="C24" s="39"/>
      <c r="D24" s="39"/>
      <c r="E24" s="68"/>
      <c r="F24" s="68"/>
    </row>
    <row r="25" spans="1:6" x14ac:dyDescent="0.2">
      <c r="A25" s="38" t="s">
        <v>44</v>
      </c>
      <c r="B25" s="39"/>
      <c r="C25" s="39"/>
      <c r="D25" s="39"/>
      <c r="E25" s="69">
        <v>8296.4323799999984</v>
      </c>
      <c r="F25" s="69">
        <v>97.069071636068827</v>
      </c>
    </row>
    <row r="26" spans="1:6" x14ac:dyDescent="0.2">
      <c r="A26" s="39"/>
      <c r="B26" s="39"/>
      <c r="C26" s="39"/>
      <c r="D26" s="39"/>
      <c r="E26" s="68"/>
      <c r="F26" s="68"/>
    </row>
    <row r="27" spans="1:6" x14ac:dyDescent="0.2">
      <c r="A27" s="38" t="s">
        <v>76</v>
      </c>
      <c r="B27" s="39"/>
      <c r="C27" s="39"/>
      <c r="D27" s="39"/>
      <c r="E27" s="69">
        <v>250.50698019999999</v>
      </c>
      <c r="F27" s="69">
        <v>2.93</v>
      </c>
    </row>
    <row r="28" spans="1:6" x14ac:dyDescent="0.2">
      <c r="A28" s="39"/>
      <c r="B28" s="39"/>
      <c r="C28" s="39"/>
      <c r="D28" s="39"/>
      <c r="E28" s="68"/>
      <c r="F28" s="68"/>
    </row>
    <row r="29" spans="1:6" x14ac:dyDescent="0.2">
      <c r="A29" s="71" t="s">
        <v>77</v>
      </c>
      <c r="B29" s="66"/>
      <c r="C29" s="66"/>
      <c r="D29" s="66"/>
      <c r="E29" s="72">
        <v>8546.9369802000001</v>
      </c>
      <c r="F29" s="72">
        <f xml:space="preserve"> ROUND(SUM(F25:F28),2)</f>
        <v>100</v>
      </c>
    </row>
    <row r="30" spans="1:6" x14ac:dyDescent="0.2">
      <c r="A30" s="52" t="s">
        <v>619</v>
      </c>
    </row>
    <row r="32" spans="1:6" x14ac:dyDescent="0.2">
      <c r="A32" s="4" t="s">
        <v>78</v>
      </c>
    </row>
    <row r="33" spans="1:4" x14ac:dyDescent="0.2">
      <c r="A33" s="4" t="s">
        <v>650</v>
      </c>
    </row>
    <row r="34" spans="1:4" x14ac:dyDescent="0.2">
      <c r="A34" s="4" t="s">
        <v>80</v>
      </c>
      <c r="D34" s="11"/>
    </row>
    <row r="35" spans="1:4" x14ac:dyDescent="0.2">
      <c r="A35" s="2" t="s">
        <v>1325</v>
      </c>
      <c r="D35" s="88">
        <v>10.3812</v>
      </c>
    </row>
    <row r="36" spans="1:4" x14ac:dyDescent="0.2">
      <c r="A36" s="2" t="s">
        <v>1326</v>
      </c>
      <c r="D36" s="88">
        <v>10.3812</v>
      </c>
    </row>
    <row r="37" spans="1:4" x14ac:dyDescent="0.2">
      <c r="A37" s="2" t="s">
        <v>1327</v>
      </c>
      <c r="D37" s="88">
        <v>10.0997</v>
      </c>
    </row>
    <row r="38" spans="1:4" x14ac:dyDescent="0.2">
      <c r="A38" s="2" t="s">
        <v>1328</v>
      </c>
      <c r="D38" s="88">
        <v>10.428100000000001</v>
      </c>
    </row>
    <row r="39" spans="1:4" x14ac:dyDescent="0.2">
      <c r="A39" s="2" t="s">
        <v>1333</v>
      </c>
      <c r="D39" s="88">
        <v>10.146599999999999</v>
      </c>
    </row>
    <row r="41" spans="1:4" x14ac:dyDescent="0.2">
      <c r="A41" s="4" t="s">
        <v>81</v>
      </c>
    </row>
    <row r="42" spans="1:4" x14ac:dyDescent="0.2">
      <c r="A42" s="2" t="s">
        <v>1325</v>
      </c>
      <c r="D42" s="10">
        <v>10.9771</v>
      </c>
    </row>
    <row r="43" spans="1:4" x14ac:dyDescent="0.2">
      <c r="A43" s="2" t="s">
        <v>1326</v>
      </c>
      <c r="D43" s="10">
        <v>10.2867</v>
      </c>
    </row>
    <row r="44" spans="1:4" x14ac:dyDescent="0.2">
      <c r="A44" s="2" t="s">
        <v>1327</v>
      </c>
      <c r="D44" s="10">
        <v>10.278600000000001</v>
      </c>
    </row>
    <row r="45" spans="1:4" x14ac:dyDescent="0.2">
      <c r="A45" s="2" t="s">
        <v>1328</v>
      </c>
      <c r="D45" s="10">
        <v>11.0762</v>
      </c>
    </row>
    <row r="46" spans="1:4" x14ac:dyDescent="0.2">
      <c r="A46" s="2" t="s">
        <v>1333</v>
      </c>
      <c r="D46" s="10">
        <v>10.2866</v>
      </c>
    </row>
    <row r="48" spans="1:4" x14ac:dyDescent="0.2">
      <c r="A48" s="4" t="s">
        <v>82</v>
      </c>
      <c r="D48" s="44" t="s">
        <v>299</v>
      </c>
    </row>
    <row r="49" spans="1:5" x14ac:dyDescent="0.2">
      <c r="A49" s="45" t="s">
        <v>642</v>
      </c>
      <c r="B49" s="46"/>
      <c r="C49" s="100" t="s">
        <v>643</v>
      </c>
      <c r="D49" s="101"/>
    </row>
    <row r="50" spans="1:5" x14ac:dyDescent="0.2">
      <c r="A50" s="102"/>
      <c r="B50" s="103"/>
      <c r="C50" s="47" t="s">
        <v>644</v>
      </c>
      <c r="D50" s="47" t="s">
        <v>645</v>
      </c>
    </row>
    <row r="51" spans="1:5" x14ac:dyDescent="0.2">
      <c r="A51" s="2" t="s">
        <v>1326</v>
      </c>
      <c r="B51" s="63"/>
      <c r="C51" s="50">
        <v>0.49702266300000003</v>
      </c>
      <c r="D51" s="50">
        <v>0.46024546290000001</v>
      </c>
    </row>
    <row r="52" spans="1:5" x14ac:dyDescent="0.2">
      <c r="A52" s="48" t="s">
        <v>1327</v>
      </c>
      <c r="B52" s="49"/>
      <c r="C52" s="50">
        <v>0.28452746650000005</v>
      </c>
      <c r="D52" s="50">
        <v>0.26347385200000001</v>
      </c>
    </row>
    <row r="53" spans="1:5" x14ac:dyDescent="0.2">
      <c r="A53" s="48" t="s">
        <v>1333</v>
      </c>
      <c r="B53" s="49"/>
      <c r="C53" s="50">
        <v>0.34935650950000002</v>
      </c>
      <c r="D53" s="50">
        <v>0.32350586889999999</v>
      </c>
    </row>
    <row r="54" spans="1:5" x14ac:dyDescent="0.2">
      <c r="A54" s="77"/>
      <c r="B54" s="77"/>
      <c r="C54" s="78"/>
      <c r="D54" s="78"/>
    </row>
    <row r="55" spans="1:5" x14ac:dyDescent="0.2">
      <c r="A55" s="4" t="s">
        <v>647</v>
      </c>
      <c r="D55" s="53">
        <v>1.8229016667893101</v>
      </c>
      <c r="E55" s="73" t="s">
        <v>648</v>
      </c>
    </row>
  </sheetData>
  <mergeCells count="3">
    <mergeCell ref="A1:F1"/>
    <mergeCell ref="C49:D49"/>
    <mergeCell ref="A50:B50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7AC79-3B94-4B0B-B819-8FDDBDAB2F6E}">
  <dimension ref="A1:F63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5.28515625" style="2" bestFit="1" customWidth="1"/>
    <col min="3" max="3" width="11.7109375" style="2" bestFit="1" customWidth="1"/>
    <col min="4" max="4" width="7.42578125" style="2" bestFit="1" customWidth="1"/>
    <col min="5" max="5" width="23" style="73" bestFit="1" customWidth="1"/>
    <col min="6" max="6" width="13.5703125" style="73" bestFit="1" customWidth="1"/>
    <col min="7" max="16384" width="9.140625" style="2"/>
  </cols>
  <sheetData>
    <row r="1" spans="1:6" ht="15" customHeight="1" x14ac:dyDescent="0.2">
      <c r="A1" s="108" t="s">
        <v>1334</v>
      </c>
      <c r="B1" s="108"/>
      <c r="C1" s="108"/>
      <c r="D1" s="108"/>
      <c r="E1" s="108"/>
      <c r="F1" s="108"/>
    </row>
    <row r="3" spans="1:6" s="4" customFormat="1" x14ac:dyDescent="0.2">
      <c r="A3" s="64" t="s">
        <v>1</v>
      </c>
      <c r="B3" s="64" t="s">
        <v>2</v>
      </c>
      <c r="C3" s="64" t="s">
        <v>716</v>
      </c>
      <c r="D3" s="64" t="s">
        <v>4</v>
      </c>
      <c r="E3" s="65" t="s">
        <v>5</v>
      </c>
      <c r="F3" s="65" t="s">
        <v>6</v>
      </c>
    </row>
    <row r="4" spans="1:6" x14ac:dyDescent="0.2">
      <c r="A4" s="66"/>
      <c r="B4" s="66"/>
      <c r="C4" s="66"/>
      <c r="D4" s="66"/>
      <c r="E4" s="67"/>
      <c r="F4" s="67"/>
    </row>
    <row r="5" spans="1:6" x14ac:dyDescent="0.2">
      <c r="A5" s="38" t="s">
        <v>359</v>
      </c>
      <c r="B5" s="39"/>
      <c r="C5" s="39"/>
      <c r="D5" s="39"/>
      <c r="E5" s="68"/>
      <c r="F5" s="68"/>
    </row>
    <row r="6" spans="1:6" x14ac:dyDescent="0.2">
      <c r="A6" s="38" t="s">
        <v>8</v>
      </c>
      <c r="B6" s="39"/>
      <c r="C6" s="39"/>
      <c r="D6" s="39"/>
      <c r="E6" s="68"/>
      <c r="F6" s="68"/>
    </row>
    <row r="7" spans="1:6" x14ac:dyDescent="0.2">
      <c r="A7" s="38"/>
      <c r="B7" s="39"/>
      <c r="C7" s="39"/>
      <c r="D7" s="39"/>
      <c r="E7" s="68"/>
      <c r="F7" s="68"/>
    </row>
    <row r="8" spans="1:6" x14ac:dyDescent="0.2">
      <c r="A8" s="39" t="s">
        <v>978</v>
      </c>
      <c r="B8" s="39" t="str">
        <f>IFERROR(VLOOKUP(A8,[1]Bonds!$B$1:$K$2669,10,0),VLOOKUP(A8,[1]CPCD!$B$1:$H$1476,7,0))</f>
        <v>8.32% Reliance Jio Infocomm Limited (08-Jul-2021) **</v>
      </c>
      <c r="C8" s="39" t="s">
        <v>361</v>
      </c>
      <c r="D8" s="39">
        <v>115</v>
      </c>
      <c r="E8" s="68">
        <v>1161.4884999999999</v>
      </c>
      <c r="F8" s="68">
        <v>11.1632361747277</v>
      </c>
    </row>
    <row r="9" spans="1:6" x14ac:dyDescent="0.2">
      <c r="A9" s="39" t="s">
        <v>975</v>
      </c>
      <c r="B9" s="39" t="str">
        <f>IFERROR(VLOOKUP(A9,[1]Bonds!$B$1:$K$2669,10,0),VLOOKUP(A9,[1]CPCD!$B$1:$H$1476,7,0))</f>
        <v>8.39% National Bank For Agriculture And Rural Development (19-Jul-2021) **</v>
      </c>
      <c r="C9" s="39" t="s">
        <v>361</v>
      </c>
      <c r="D9" s="39">
        <v>112</v>
      </c>
      <c r="E9" s="68">
        <v>1148.7167999999999</v>
      </c>
      <c r="F9" s="68">
        <v>11.040485494499</v>
      </c>
    </row>
    <row r="10" spans="1:6" x14ac:dyDescent="0.2">
      <c r="A10" s="39" t="s">
        <v>1332</v>
      </c>
      <c r="B10" s="39" t="str">
        <f>IFERROR(VLOOKUP(A10,[1]Bonds!$B$1:$K$2669,10,0),VLOOKUP(A10,[1]CPCD!$B$1:$H$1476,7,0))</f>
        <v>0.00% Aditya Birla Housing Finance Ltd (26-Jul-2021) **</v>
      </c>
      <c r="C10" s="39" t="s">
        <v>977</v>
      </c>
      <c r="D10" s="39">
        <v>103</v>
      </c>
      <c r="E10" s="68">
        <v>1140.5911000000001</v>
      </c>
      <c r="F10" s="68">
        <v>10.962388201082</v>
      </c>
    </row>
    <row r="11" spans="1:6" x14ac:dyDescent="0.2">
      <c r="A11" s="39" t="s">
        <v>1335</v>
      </c>
      <c r="B11" s="39" t="str">
        <f>IFERROR(VLOOKUP(A11,[1]Bonds!$B$1:$K$2669,10,0),VLOOKUP(A11,[1]CPCD!$B$1:$H$1476,7,0))</f>
        <v>9.40% Rec Ltd (17-Jul-2021) **</v>
      </c>
      <c r="C11" s="39" t="s">
        <v>361</v>
      </c>
      <c r="D11" s="39">
        <v>100</v>
      </c>
      <c r="E11" s="68">
        <v>1035.2529999999999</v>
      </c>
      <c r="F11" s="68">
        <v>9.94996828603586</v>
      </c>
    </row>
    <row r="12" spans="1:6" x14ac:dyDescent="0.2">
      <c r="A12" s="39" t="s">
        <v>1322</v>
      </c>
      <c r="B12" s="39" t="str">
        <f>IFERROR(VLOOKUP(A12,[1]Bonds!$B$1:$K$2669,10,0),VLOOKUP(A12,[1]CPCD!$B$1:$H$1476,7,0))</f>
        <v>0.00% Aditya Birla Finance Ltd (26-Jul-2021) **</v>
      </c>
      <c r="C12" s="39" t="s">
        <v>977</v>
      </c>
      <c r="D12" s="39">
        <v>85</v>
      </c>
      <c r="E12" s="68">
        <v>941.52715000000001</v>
      </c>
      <c r="F12" s="68">
        <v>9.0491554073658609</v>
      </c>
    </row>
    <row r="13" spans="1:6" x14ac:dyDescent="0.2">
      <c r="A13" s="39" t="s">
        <v>1336</v>
      </c>
      <c r="B13" s="39" t="str">
        <f>IFERROR(VLOOKUP(A13,[1]Bonds!$B$1:$K$2669,10,0),VLOOKUP(A13,[1]CPCD!$B$1:$H$1476,7,0))</f>
        <v>9.70% Power Finance Corp Ltd (09-Jun-2021) **</v>
      </c>
      <c r="C13" s="39" t="s">
        <v>361</v>
      </c>
      <c r="D13" s="39">
        <v>77</v>
      </c>
      <c r="E13" s="68">
        <v>799.46636000000001</v>
      </c>
      <c r="F13" s="68">
        <v>7.6837883374909604</v>
      </c>
    </row>
    <row r="14" spans="1:6" x14ac:dyDescent="0.2">
      <c r="A14" s="39" t="s">
        <v>1220</v>
      </c>
      <c r="B14" s="39" t="str">
        <f>IFERROR(VLOOKUP(A14,[1]Bonds!$B$1:$K$2669,10,0),VLOOKUP(A14,[1]CPCD!$B$1:$H$1476,7,0))</f>
        <v>10.40% Sikka Ports &amp; Terminals Limited (18-Jul-2021) **</v>
      </c>
      <c r="C14" s="39" t="s">
        <v>916</v>
      </c>
      <c r="D14" s="39">
        <v>75</v>
      </c>
      <c r="E14" s="68">
        <v>774.74175000000002</v>
      </c>
      <c r="F14" s="68">
        <v>7.4461564877067898</v>
      </c>
    </row>
    <row r="15" spans="1:6" x14ac:dyDescent="0.2">
      <c r="A15" s="39" t="s">
        <v>1337</v>
      </c>
      <c r="B15" s="39" t="str">
        <f>IFERROR(VLOOKUP(A15,[1]Bonds!$B$1:$K$2669,10,0),VLOOKUP(A15,[1]CPCD!$B$1:$H$1476,7,0))</f>
        <v>0.00% Fullerton India Credit Co Ltd (15-Jul-2021) **</v>
      </c>
      <c r="C15" s="39" t="s">
        <v>361</v>
      </c>
      <c r="D15" s="39">
        <v>70</v>
      </c>
      <c r="E15" s="68">
        <v>770.93449999999996</v>
      </c>
      <c r="F15" s="68">
        <v>7.4095644500531899</v>
      </c>
    </row>
    <row r="16" spans="1:6" x14ac:dyDescent="0.2">
      <c r="A16" s="39" t="s">
        <v>1338</v>
      </c>
      <c r="B16" s="39" t="str">
        <f>IFERROR(VLOOKUP(A16,[1]Bonds!$B$1:$K$2669,10,0),VLOOKUP(A16,[1]CPCD!$B$1:$H$1476,7,0))</f>
        <v>8.25% L&amp;T Finance Ltd (21-Jun-2021) **</v>
      </c>
      <c r="C16" s="39" t="s">
        <v>916</v>
      </c>
      <c r="D16" s="39">
        <v>21</v>
      </c>
      <c r="E16" s="68">
        <v>522.52305000000001</v>
      </c>
      <c r="F16" s="68">
        <v>5.0220456025944697</v>
      </c>
    </row>
    <row r="17" spans="1:6" x14ac:dyDescent="0.2">
      <c r="A17" s="39" t="s">
        <v>1339</v>
      </c>
      <c r="B17" s="39" t="str">
        <f>IFERROR(VLOOKUP(A17,[1]Bonds!$B$1:$K$2669,10,0),VLOOKUP(A17,[1]CPCD!$B$1:$H$1476,7,0))</f>
        <v>8.05% Power Finance Corp Ltd (27-Apr-2021) **</v>
      </c>
      <c r="C17" s="39" t="s">
        <v>361</v>
      </c>
      <c r="D17" s="39">
        <v>33</v>
      </c>
      <c r="E17" s="68">
        <v>333.60525000000001</v>
      </c>
      <c r="F17" s="68">
        <v>3.20632894331633</v>
      </c>
    </row>
    <row r="18" spans="1:6" x14ac:dyDescent="0.2">
      <c r="A18" s="39" t="s">
        <v>1248</v>
      </c>
      <c r="B18" s="39" t="str">
        <f>IFERROR(VLOOKUP(A18,[1]Bonds!$B$1:$K$2669,10,0),VLOOKUP(A18,[1]CPCD!$B$1:$H$1476,7,0))</f>
        <v>8.40% Power Grid Corp Of India Ltd (27-May-2021) **</v>
      </c>
      <c r="C18" s="39" t="s">
        <v>361</v>
      </c>
      <c r="D18" s="39">
        <v>32</v>
      </c>
      <c r="E18" s="68">
        <v>329.27136000000002</v>
      </c>
      <c r="F18" s="68">
        <v>3.1646752914504002</v>
      </c>
    </row>
    <row r="19" spans="1:6" x14ac:dyDescent="0.2">
      <c r="A19" s="39" t="s">
        <v>1241</v>
      </c>
      <c r="B19" s="39" t="str">
        <f>IFERROR(VLOOKUP(A19,[1]Bonds!$B$1:$K$2669,10,0),VLOOKUP(A19,[1]CPCD!$B$1:$H$1476,7,0))</f>
        <v>8.50% NHPC Ltd (14-Jul-2021) **</v>
      </c>
      <c r="C19" s="39" t="s">
        <v>916</v>
      </c>
      <c r="D19" s="39">
        <v>310</v>
      </c>
      <c r="E19" s="68">
        <v>319.89395999999999</v>
      </c>
      <c r="F19" s="68">
        <v>3.07454772591282</v>
      </c>
    </row>
    <row r="20" spans="1:6" x14ac:dyDescent="0.2">
      <c r="A20" s="39" t="s">
        <v>1340</v>
      </c>
      <c r="B20" s="39" t="str">
        <f>IFERROR(VLOOKUP(A20,[1]Bonds!$B$1:$K$2669,10,0),VLOOKUP(A20,[1]CPCD!$B$1:$H$1476,7,0))</f>
        <v>0.00% Sundaram Finance Ltd (15-Jun-2021) **</v>
      </c>
      <c r="C20" s="39" t="s">
        <v>973</v>
      </c>
      <c r="D20" s="39">
        <v>32</v>
      </c>
      <c r="E20" s="68">
        <v>280.22431999999998</v>
      </c>
      <c r="F20" s="68">
        <v>2.6932770027963802</v>
      </c>
    </row>
    <row r="21" spans="1:6" x14ac:dyDescent="0.2">
      <c r="A21" s="39" t="s">
        <v>1196</v>
      </c>
      <c r="B21" s="39" t="str">
        <f>IFERROR(VLOOKUP(A21,[1]Bonds!$B$1:$K$2669,10,0),VLOOKUP(A21,[1]CPCD!$B$1:$H$1476,7,0))</f>
        <v>8.75% Housing Development Finance Corp Ltd (04-Mar-2021) **</v>
      </c>
      <c r="C21" s="39" t="s">
        <v>361</v>
      </c>
      <c r="D21" s="39">
        <v>2</v>
      </c>
      <c r="E21" s="68">
        <v>204.0634</v>
      </c>
      <c r="F21" s="68">
        <v>1.96128324027136</v>
      </c>
    </row>
    <row r="22" spans="1:6" x14ac:dyDescent="0.2">
      <c r="A22" s="39" t="s">
        <v>1341</v>
      </c>
      <c r="B22" s="39" t="str">
        <f>IFERROR(VLOOKUP(A22,[1]Bonds!$B$1:$K$2669,10,0),VLOOKUP(A22,[1]CPCD!$B$1:$H$1476,7,0))</f>
        <v>9.00% ICICI Home Finance Company Ltd (27-May-2021) **</v>
      </c>
      <c r="C22" s="39" t="s">
        <v>973</v>
      </c>
      <c r="D22" s="39">
        <v>26</v>
      </c>
      <c r="E22" s="68">
        <v>130.01248000000001</v>
      </c>
      <c r="F22" s="68">
        <v>1.2495689969397501</v>
      </c>
    </row>
    <row r="23" spans="1:6" x14ac:dyDescent="0.2">
      <c r="A23" s="39" t="s">
        <v>974</v>
      </c>
      <c r="B23" s="39" t="str">
        <f>IFERROR(VLOOKUP(A23,[1]Bonds!$B$1:$K$2669,10,0),VLOOKUP(A23,[1]CPCD!$B$1:$H$1476,7,0))</f>
        <v>9.30% Fullerton India Credit Co Ltd (15-Mar-2021) **</v>
      </c>
      <c r="C23" s="39" t="s">
        <v>361</v>
      </c>
      <c r="D23" s="39">
        <v>4</v>
      </c>
      <c r="E23" s="68">
        <v>40.031799999999997</v>
      </c>
      <c r="F23" s="68">
        <v>0.38475149594633401</v>
      </c>
    </row>
    <row r="24" spans="1:6" x14ac:dyDescent="0.2">
      <c r="A24" s="39" t="s">
        <v>1342</v>
      </c>
      <c r="B24" s="39" t="str">
        <f>IFERROR(VLOOKUP(A24,[1]Bonds!$B$1:$K$2669,10,0),VLOOKUP(A24,[1]CPCD!$B$1:$H$1476,7,0))</f>
        <v>0.00% Bajaj Housing Finance Ltd (06-Apr-2021) **</v>
      </c>
      <c r="C24" s="39" t="s">
        <v>361</v>
      </c>
      <c r="D24" s="39">
        <v>2</v>
      </c>
      <c r="E24" s="68">
        <v>22.763819999999999</v>
      </c>
      <c r="F24" s="68">
        <v>0.21878640976556299</v>
      </c>
    </row>
    <row r="25" spans="1:6" x14ac:dyDescent="0.2">
      <c r="A25" s="39" t="s">
        <v>976</v>
      </c>
      <c r="B25" s="39" t="str">
        <f>IFERROR(VLOOKUP(A25,[1]Bonds!$B$1:$K$2669,10,0),VLOOKUP(A25,[1]CPCD!$B$1:$H$1476,7,0))</f>
        <v>0.00% Mahindra &amp; Mahindra Financial Services Ltd (07-Apr-2021) **</v>
      </c>
      <c r="C25" s="39" t="s">
        <v>977</v>
      </c>
      <c r="D25" s="39">
        <v>2</v>
      </c>
      <c r="E25" s="68">
        <v>22.485880000000002</v>
      </c>
      <c r="F25" s="68">
        <v>0.216115087697025</v>
      </c>
    </row>
    <row r="26" spans="1:6" x14ac:dyDescent="0.2">
      <c r="A26" s="39" t="s">
        <v>1343</v>
      </c>
      <c r="B26" s="39" t="str">
        <f>IFERROR(VLOOKUP(A26,[1]Bonds!$B$1:$K$2669,10,0),VLOOKUP(A26,[1]CPCD!$B$1:$H$1476,7,0))</f>
        <v>7.88% LIC Housing Finance Ltd (28-Jan-2021) **</v>
      </c>
      <c r="C26" s="39" t="s">
        <v>361</v>
      </c>
      <c r="D26" s="39">
        <v>1</v>
      </c>
      <c r="E26" s="68">
        <v>10.07371</v>
      </c>
      <c r="F26" s="68">
        <v>9.6819902982867301E-2</v>
      </c>
    </row>
    <row r="27" spans="1:6" x14ac:dyDescent="0.2">
      <c r="A27" s="38" t="s">
        <v>44</v>
      </c>
      <c r="B27" s="39"/>
      <c r="C27" s="39"/>
      <c r="D27" s="39"/>
      <c r="E27" s="69">
        <f>SUM(E8:E26)</f>
        <v>9987.6681900000021</v>
      </c>
      <c r="F27" s="69">
        <f>SUM(F8:F26)</f>
        <v>95.992942538634651</v>
      </c>
    </row>
    <row r="28" spans="1:6" x14ac:dyDescent="0.2">
      <c r="A28" s="39"/>
      <c r="B28" s="39"/>
      <c r="C28" s="39"/>
      <c r="D28" s="39"/>
      <c r="E28" s="68"/>
      <c r="F28" s="68"/>
    </row>
    <row r="29" spans="1:6" x14ac:dyDescent="0.2">
      <c r="A29" s="38" t="s">
        <v>815</v>
      </c>
      <c r="B29" s="39"/>
      <c r="C29" s="39"/>
      <c r="D29" s="39"/>
      <c r="E29" s="68"/>
      <c r="F29" s="68"/>
    </row>
    <row r="30" spans="1:6" x14ac:dyDescent="0.2">
      <c r="A30" s="39" t="s">
        <v>1251</v>
      </c>
      <c r="B30" s="39" t="str">
        <f>IFERROR(VLOOKUP(A30,[1]Bonds!$B$1:$K$2669,10,0),VLOOKUP(A30,[1]CPCD!$B$1:$H$1476,7,0))</f>
        <v>7.48% Bennett Coleman And Co Ltd (26-Apr-2021) **</v>
      </c>
      <c r="C30" s="39" t="s">
        <v>361</v>
      </c>
      <c r="D30" s="39">
        <v>29</v>
      </c>
      <c r="E30" s="68">
        <v>289.48786000000001</v>
      </c>
      <c r="F30" s="68">
        <v>2.7823102431892401</v>
      </c>
    </row>
    <row r="31" spans="1:6" x14ac:dyDescent="0.2">
      <c r="A31" s="38" t="s">
        <v>44</v>
      </c>
      <c r="B31" s="39"/>
      <c r="C31" s="39"/>
      <c r="D31" s="39"/>
      <c r="E31" s="69">
        <f>SUM(E30:E30)</f>
        <v>289.48786000000001</v>
      </c>
      <c r="F31" s="69">
        <f>SUM(F30:F30)</f>
        <v>2.7823102431892401</v>
      </c>
    </row>
    <row r="32" spans="1:6" x14ac:dyDescent="0.2">
      <c r="A32" s="39"/>
      <c r="B32" s="39"/>
      <c r="C32" s="39"/>
      <c r="D32" s="39"/>
      <c r="E32" s="68"/>
      <c r="F32" s="68"/>
    </row>
    <row r="33" spans="1:6" x14ac:dyDescent="0.2">
      <c r="A33" s="38" t="s">
        <v>44</v>
      </c>
      <c r="B33" s="39"/>
      <c r="C33" s="39"/>
      <c r="D33" s="39"/>
      <c r="E33" s="69">
        <f>E27+E31</f>
        <v>10277.156050000001</v>
      </c>
      <c r="F33" s="69">
        <f>F27+F31</f>
        <v>98.775252781823895</v>
      </c>
    </row>
    <row r="34" spans="1:6" x14ac:dyDescent="0.2">
      <c r="A34" s="39"/>
      <c r="B34" s="39"/>
      <c r="C34" s="39"/>
      <c r="D34" s="39"/>
      <c r="E34" s="68"/>
      <c r="F34" s="68"/>
    </row>
    <row r="35" spans="1:6" x14ac:dyDescent="0.2">
      <c r="A35" s="38" t="s">
        <v>76</v>
      </c>
      <c r="B35" s="39"/>
      <c r="C35" s="39"/>
      <c r="D35" s="39"/>
      <c r="E35" s="69">
        <v>127.42592670000001</v>
      </c>
      <c r="F35" s="69">
        <v>1.22</v>
      </c>
    </row>
    <row r="36" spans="1:6" x14ac:dyDescent="0.2">
      <c r="A36" s="39"/>
      <c r="B36" s="39"/>
      <c r="C36" s="39"/>
      <c r="D36" s="39"/>
      <c r="E36" s="68"/>
      <c r="F36" s="68"/>
    </row>
    <row r="37" spans="1:6" x14ac:dyDescent="0.2">
      <c r="A37" s="71" t="s">
        <v>77</v>
      </c>
      <c r="B37" s="66"/>
      <c r="C37" s="66"/>
      <c r="D37" s="66"/>
      <c r="E37" s="72">
        <f>E33+E35</f>
        <v>10404.581976700001</v>
      </c>
      <c r="F37" s="72">
        <f>F33+F35</f>
        <v>99.995252781823893</v>
      </c>
    </row>
    <row r="38" spans="1:6" x14ac:dyDescent="0.2">
      <c r="A38" s="52" t="s">
        <v>619</v>
      </c>
    </row>
    <row r="39" spans="1:6" x14ac:dyDescent="0.2">
      <c r="A39" s="4"/>
    </row>
    <row r="40" spans="1:6" x14ac:dyDescent="0.2">
      <c r="A40" s="4" t="s">
        <v>78</v>
      </c>
    </row>
    <row r="41" spans="1:6" x14ac:dyDescent="0.2">
      <c r="A41" s="4" t="s">
        <v>650</v>
      </c>
    </row>
    <row r="42" spans="1:6" x14ac:dyDescent="0.2">
      <c r="A42" s="4" t="s">
        <v>80</v>
      </c>
      <c r="D42" s="11"/>
    </row>
    <row r="43" spans="1:6" x14ac:dyDescent="0.2">
      <c r="A43" s="2" t="s">
        <v>638</v>
      </c>
      <c r="D43" s="88">
        <v>10.3947</v>
      </c>
    </row>
    <row r="44" spans="1:6" x14ac:dyDescent="0.2">
      <c r="A44" s="2" t="s">
        <v>639</v>
      </c>
      <c r="D44" s="88">
        <v>10.3947</v>
      </c>
    </row>
    <row r="45" spans="1:6" x14ac:dyDescent="0.2">
      <c r="A45" s="2" t="s">
        <v>652</v>
      </c>
      <c r="D45" s="88">
        <v>10.128</v>
      </c>
    </row>
    <row r="46" spans="1:6" x14ac:dyDescent="0.2">
      <c r="A46" s="2" t="s">
        <v>640</v>
      </c>
      <c r="D46" s="88">
        <v>10.457000000000001</v>
      </c>
    </row>
    <row r="47" spans="1:6" x14ac:dyDescent="0.2">
      <c r="A47" s="2" t="s">
        <v>641</v>
      </c>
      <c r="D47" s="88">
        <v>10.457000000000001</v>
      </c>
    </row>
    <row r="49" spans="1:5" x14ac:dyDescent="0.2">
      <c r="A49" s="4" t="s">
        <v>81</v>
      </c>
    </row>
    <row r="50" spans="1:5" x14ac:dyDescent="0.2">
      <c r="A50" s="2" t="s">
        <v>638</v>
      </c>
      <c r="D50" s="10">
        <v>10.976800000000001</v>
      </c>
    </row>
    <row r="51" spans="1:5" x14ac:dyDescent="0.2">
      <c r="A51" s="2" t="s">
        <v>639</v>
      </c>
      <c r="D51" s="10">
        <v>10.268599999999999</v>
      </c>
    </row>
    <row r="52" spans="1:5" x14ac:dyDescent="0.2">
      <c r="A52" s="2" t="s">
        <v>652</v>
      </c>
      <c r="D52" s="10">
        <v>10.2598</v>
      </c>
    </row>
    <row r="53" spans="1:5" x14ac:dyDescent="0.2">
      <c r="A53" s="2" t="s">
        <v>640</v>
      </c>
      <c r="D53" s="10">
        <v>11.087199999999999</v>
      </c>
    </row>
    <row r="54" spans="1:5" x14ac:dyDescent="0.2">
      <c r="A54" s="2" t="s">
        <v>641</v>
      </c>
      <c r="D54" s="10">
        <v>10.3788</v>
      </c>
    </row>
    <row r="56" spans="1:5" x14ac:dyDescent="0.2">
      <c r="A56" s="4" t="s">
        <v>82</v>
      </c>
      <c r="D56" s="44" t="s">
        <v>299</v>
      </c>
    </row>
    <row r="57" spans="1:5" x14ac:dyDescent="0.2">
      <c r="A57" s="45" t="s">
        <v>642</v>
      </c>
      <c r="B57" s="46"/>
      <c r="C57" s="100" t="s">
        <v>643</v>
      </c>
      <c r="D57" s="101"/>
    </row>
    <row r="58" spans="1:5" x14ac:dyDescent="0.2">
      <c r="A58" s="102"/>
      <c r="B58" s="103"/>
      <c r="C58" s="47" t="s">
        <v>644</v>
      </c>
      <c r="D58" s="47" t="s">
        <v>645</v>
      </c>
    </row>
    <row r="59" spans="1:5" x14ac:dyDescent="0.2">
      <c r="A59" s="48" t="s">
        <v>639</v>
      </c>
      <c r="B59" s="49"/>
      <c r="C59" s="50">
        <v>0.50422589000000007</v>
      </c>
      <c r="D59" s="50">
        <v>0.46691568700000002</v>
      </c>
    </row>
    <row r="60" spans="1:5" x14ac:dyDescent="0.2">
      <c r="A60" s="48" t="s">
        <v>652</v>
      </c>
      <c r="B60" s="49"/>
      <c r="C60" s="50">
        <v>0.30613714749999998</v>
      </c>
      <c r="D60" s="50">
        <v>0.28348452430000004</v>
      </c>
    </row>
    <row r="61" spans="1:5" x14ac:dyDescent="0.2">
      <c r="A61" s="83" t="s">
        <v>641</v>
      </c>
      <c r="B61" s="49"/>
      <c r="C61" s="50">
        <v>0.50422589000000007</v>
      </c>
      <c r="D61" s="50">
        <v>0.46691568700000002</v>
      </c>
    </row>
    <row r="63" spans="1:5" x14ac:dyDescent="0.2">
      <c r="A63" s="4" t="s">
        <v>647</v>
      </c>
      <c r="D63" s="53">
        <v>1.812812207060297</v>
      </c>
      <c r="E63" s="73" t="s">
        <v>1295</v>
      </c>
    </row>
  </sheetData>
  <mergeCells count="3">
    <mergeCell ref="A1:F1"/>
    <mergeCell ref="C57:D57"/>
    <mergeCell ref="A58:B58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5FF7B-5350-4196-89B3-041068B71CF7}">
  <dimension ref="A1:F64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49.140625" style="2" bestFit="1" customWidth="1"/>
    <col min="3" max="3" width="11.7109375" style="2" bestFit="1" customWidth="1"/>
    <col min="4" max="4" width="7.42578125" style="2" bestFit="1" customWidth="1"/>
    <col min="5" max="5" width="23" style="73" bestFit="1" customWidth="1"/>
    <col min="6" max="6" width="13.5703125" style="73" bestFit="1" customWidth="1"/>
    <col min="7" max="16384" width="9.140625" style="2"/>
  </cols>
  <sheetData>
    <row r="1" spans="1:6" ht="15" customHeight="1" x14ac:dyDescent="0.2">
      <c r="A1" s="108" t="s">
        <v>1344</v>
      </c>
      <c r="B1" s="108"/>
      <c r="C1" s="108"/>
      <c r="D1" s="108"/>
      <c r="E1" s="108"/>
      <c r="F1" s="108"/>
    </row>
    <row r="3" spans="1:6" s="4" customFormat="1" x14ac:dyDescent="0.2">
      <c r="A3" s="64" t="s">
        <v>1</v>
      </c>
      <c r="B3" s="64" t="s">
        <v>2</v>
      </c>
      <c r="C3" s="64" t="s">
        <v>716</v>
      </c>
      <c r="D3" s="64" t="s">
        <v>4</v>
      </c>
      <c r="E3" s="65" t="s">
        <v>5</v>
      </c>
      <c r="F3" s="65" t="s">
        <v>6</v>
      </c>
    </row>
    <row r="4" spans="1:6" x14ac:dyDescent="0.2">
      <c r="A4" s="66"/>
      <c r="B4" s="66"/>
      <c r="C4" s="66"/>
      <c r="D4" s="66"/>
      <c r="E4" s="67"/>
      <c r="F4" s="67"/>
    </row>
    <row r="5" spans="1:6" x14ac:dyDescent="0.2">
      <c r="A5" s="38" t="s">
        <v>359</v>
      </c>
      <c r="B5" s="39"/>
      <c r="C5" s="39"/>
      <c r="D5" s="39"/>
      <c r="E5" s="68"/>
      <c r="F5" s="68"/>
    </row>
    <row r="6" spans="1:6" x14ac:dyDescent="0.2">
      <c r="A6" s="38" t="s">
        <v>8</v>
      </c>
      <c r="B6" s="39"/>
      <c r="C6" s="39"/>
      <c r="D6" s="39"/>
      <c r="E6" s="68"/>
      <c r="F6" s="68"/>
    </row>
    <row r="7" spans="1:6" x14ac:dyDescent="0.2">
      <c r="A7" s="38"/>
      <c r="B7" s="39"/>
      <c r="C7" s="39"/>
      <c r="D7" s="39"/>
      <c r="E7" s="68"/>
      <c r="F7" s="68"/>
    </row>
    <row r="8" spans="1:6" x14ac:dyDescent="0.2">
      <c r="A8" s="39" t="s">
        <v>1345</v>
      </c>
      <c r="B8" s="39" t="str">
        <f>IFERROR(VLOOKUP(A8,[1]Bonds!$B$1:$K$2669,10,0),VLOOKUP(A8,[1]CPCD!$B$1:$H$1476,7,0))</f>
        <v>8.70% Reliance Jio Infocomm Limited (15-Jun-2021) **</v>
      </c>
      <c r="C8" s="39" t="s">
        <v>361</v>
      </c>
      <c r="D8" s="39">
        <v>119</v>
      </c>
      <c r="E8" s="68">
        <v>1208.62231</v>
      </c>
      <c r="F8" s="68">
        <v>10.8289441674005</v>
      </c>
    </row>
    <row r="9" spans="1:6" x14ac:dyDescent="0.2">
      <c r="A9" s="39" t="s">
        <v>1242</v>
      </c>
      <c r="B9" s="39" t="str">
        <f>IFERROR(VLOOKUP(A9,[1]Bonds!$B$1:$K$2669,10,0),VLOOKUP(A9,[1]CPCD!$B$1:$H$1476,7,0))</f>
        <v>8.36% Ultratech Cement Ltd (07-Jun-2021) **</v>
      </c>
      <c r="C9" s="39" t="s">
        <v>361</v>
      </c>
      <c r="D9" s="39">
        <v>114</v>
      </c>
      <c r="E9" s="68">
        <v>1166.24622</v>
      </c>
      <c r="F9" s="68">
        <v>10.449265330723501</v>
      </c>
    </row>
    <row r="10" spans="1:6" x14ac:dyDescent="0.2">
      <c r="A10" s="39" t="s">
        <v>1346</v>
      </c>
      <c r="B10" s="39" t="str">
        <f>IFERROR(VLOOKUP(A10,[1]Bonds!$B$1:$K$2669,10,0),VLOOKUP(A10,[1]CPCD!$B$1:$H$1476,7,0))</f>
        <v>0.00% Axis Finance Ltd (14-Jun-2021) **</v>
      </c>
      <c r="C10" s="39" t="s">
        <v>361</v>
      </c>
      <c r="D10" s="39">
        <v>99</v>
      </c>
      <c r="E10" s="68">
        <v>1114.3509300000001</v>
      </c>
      <c r="F10" s="68">
        <v>9.9842969172568505</v>
      </c>
    </row>
    <row r="11" spans="1:6" x14ac:dyDescent="0.2">
      <c r="A11" s="39" t="s">
        <v>1347</v>
      </c>
      <c r="B11" s="39" t="str">
        <f>IFERROR(VLOOKUP(A11,[1]Bonds!$B$1:$K$2669,10,0),VLOOKUP(A11,[1]CPCD!$B$1:$H$1476,7,0))</f>
        <v>8.50% Small Industries Development Bank Of India (21-Jun-2021) **</v>
      </c>
      <c r="C11" s="39" t="s">
        <v>916</v>
      </c>
      <c r="D11" s="39">
        <v>100</v>
      </c>
      <c r="E11" s="68">
        <v>1028.4369999999999</v>
      </c>
      <c r="F11" s="68">
        <v>9.21453026354353</v>
      </c>
    </row>
    <row r="12" spans="1:6" x14ac:dyDescent="0.2">
      <c r="A12" s="39" t="s">
        <v>1348</v>
      </c>
      <c r="B12" s="39" t="str">
        <f>IFERROR(VLOOKUP(A12,[1]Bonds!$B$1:$K$2669,10,0),VLOOKUP(A12,[1]CPCD!$B$1:$H$1476,7,0))</f>
        <v>7.73% Rec Ltd (15-Jun-2021) **</v>
      </c>
      <c r="C12" s="39" t="s">
        <v>361</v>
      </c>
      <c r="D12" s="39">
        <v>100</v>
      </c>
      <c r="E12" s="68">
        <v>1006.501</v>
      </c>
      <c r="F12" s="68">
        <v>9.0179893613189996</v>
      </c>
    </row>
    <row r="13" spans="1:6" x14ac:dyDescent="0.2">
      <c r="A13" s="39" t="s">
        <v>1349</v>
      </c>
      <c r="B13" s="39" t="str">
        <f>IFERROR(VLOOKUP(A13,[1]Bonds!$B$1:$K$2669,10,0),VLOOKUP(A13,[1]CPCD!$B$1:$H$1476,7,0))</f>
        <v>8.80% L&amp;T Housing Finance Limited (23-Jun-2021) **</v>
      </c>
      <c r="C13" s="39" t="s">
        <v>916</v>
      </c>
      <c r="D13" s="39">
        <v>100</v>
      </c>
      <c r="E13" s="68">
        <v>1004.926</v>
      </c>
      <c r="F13" s="68">
        <v>9.0038777675460402</v>
      </c>
    </row>
    <row r="14" spans="1:6" x14ac:dyDescent="0.2">
      <c r="A14" s="39" t="s">
        <v>1340</v>
      </c>
      <c r="B14" s="39" t="str">
        <f>IFERROR(VLOOKUP(A14,[1]Bonds!$B$1:$K$2669,10,0),VLOOKUP(A14,[1]CPCD!$B$1:$H$1476,7,0))</f>
        <v>0.00% Sundaram Finance Ltd (15-Jun-2021) **</v>
      </c>
      <c r="C14" s="39" t="s">
        <v>973</v>
      </c>
      <c r="D14" s="39">
        <v>96</v>
      </c>
      <c r="E14" s="68">
        <v>840.67295999999999</v>
      </c>
      <c r="F14" s="68">
        <v>7.5322128936072099</v>
      </c>
    </row>
    <row r="15" spans="1:6" x14ac:dyDescent="0.2">
      <c r="A15" s="39" t="s">
        <v>1228</v>
      </c>
      <c r="B15" s="39" t="str">
        <f>IFERROR(VLOOKUP(A15,[1]Bonds!$B$1:$K$2669,10,0),VLOOKUP(A15,[1]CPCD!$B$1:$H$1476,7,0))</f>
        <v>0.00% Fullerton India Credit Co Ltd (08-Apr-2021) **</v>
      </c>
      <c r="C15" s="39" t="s">
        <v>916</v>
      </c>
      <c r="D15" s="39">
        <v>74</v>
      </c>
      <c r="E15" s="68">
        <v>822.87112000000002</v>
      </c>
      <c r="F15" s="68">
        <v>7.3727129986921502</v>
      </c>
    </row>
    <row r="16" spans="1:6" x14ac:dyDescent="0.2">
      <c r="A16" s="39" t="s">
        <v>1248</v>
      </c>
      <c r="B16" s="39" t="str">
        <f>IFERROR(VLOOKUP(A16,[1]Bonds!$B$1:$K$2669,10,0),VLOOKUP(A16,[1]CPCD!$B$1:$H$1476,7,0))</f>
        <v>8.40% Power Grid Corp Of India Ltd (27-May-2021) **</v>
      </c>
      <c r="C16" s="39" t="s">
        <v>361</v>
      </c>
      <c r="D16" s="39">
        <v>67</v>
      </c>
      <c r="E16" s="68">
        <v>689.41191000000003</v>
      </c>
      <c r="F16" s="68">
        <v>6.1769528991492404</v>
      </c>
    </row>
    <row r="17" spans="1:6" x14ac:dyDescent="0.2">
      <c r="A17" s="39" t="s">
        <v>1196</v>
      </c>
      <c r="B17" s="39" t="str">
        <f>IFERROR(VLOOKUP(A17,[1]Bonds!$B$1:$K$2669,10,0),VLOOKUP(A17,[1]CPCD!$B$1:$H$1476,7,0))</f>
        <v>8.75% Housing Development Finance Corp Ltd (04-Mar-2021) **</v>
      </c>
      <c r="C17" s="39" t="s">
        <v>361</v>
      </c>
      <c r="D17" s="39">
        <v>5</v>
      </c>
      <c r="E17" s="68">
        <v>510.1585</v>
      </c>
      <c r="F17" s="68">
        <v>4.5708885789348104</v>
      </c>
    </row>
    <row r="18" spans="1:6" x14ac:dyDescent="0.2">
      <c r="A18" s="39" t="s">
        <v>1244</v>
      </c>
      <c r="B18" s="39" t="str">
        <f>IFERROR(VLOOKUP(A18,[1]Bonds!$B$1:$K$2669,10,0),VLOOKUP(A18,[1]CPCD!$B$1:$H$1476,7,0))</f>
        <v>9.57% Indian Railway Finance Corp Ltd (31-May-2021) **</v>
      </c>
      <c r="C18" s="39" t="s">
        <v>361</v>
      </c>
      <c r="D18" s="39">
        <v>46</v>
      </c>
      <c r="E18" s="68">
        <v>483.20148</v>
      </c>
      <c r="F18" s="68">
        <v>4.32936063254144</v>
      </c>
    </row>
    <row r="19" spans="1:6" x14ac:dyDescent="0.2">
      <c r="A19" s="39" t="s">
        <v>1336</v>
      </c>
      <c r="B19" s="39" t="str">
        <f>IFERROR(VLOOKUP(A19,[1]Bonds!$B$1:$K$2669,10,0),VLOOKUP(A19,[1]CPCD!$B$1:$H$1476,7,0))</f>
        <v>9.70% Power Finance Corp Ltd (09-Jun-2021) **</v>
      </c>
      <c r="C19" s="39" t="s">
        <v>361</v>
      </c>
      <c r="D19" s="39">
        <v>23</v>
      </c>
      <c r="E19" s="68">
        <v>238.80163999999999</v>
      </c>
      <c r="F19" s="68">
        <v>2.1396011022199999</v>
      </c>
    </row>
    <row r="20" spans="1:6" x14ac:dyDescent="0.2">
      <c r="A20" s="39" t="s">
        <v>1250</v>
      </c>
      <c r="B20" s="39" t="str">
        <f>IFERROR(VLOOKUP(A20,[1]Bonds!$B$1:$K$2669,10,0),VLOOKUP(A20,[1]CPCD!$B$1:$H$1476,7,0))</f>
        <v>7.18% Rec Ltd (21-May-2021) **</v>
      </c>
      <c r="C20" s="39" t="s">
        <v>361</v>
      </c>
      <c r="D20" s="39">
        <v>20</v>
      </c>
      <c r="E20" s="68">
        <v>199.518</v>
      </c>
      <c r="F20" s="68">
        <v>1.78762981993226</v>
      </c>
    </row>
    <row r="21" spans="1:6" x14ac:dyDescent="0.2">
      <c r="A21" s="39" t="s">
        <v>1339</v>
      </c>
      <c r="B21" s="39" t="str">
        <f>IFERROR(VLOOKUP(A21,[1]Bonds!$B$1:$K$2669,10,0),VLOOKUP(A21,[1]CPCD!$B$1:$H$1476,7,0))</f>
        <v>8.05% Power Finance Corp Ltd (27-Apr-2021) **</v>
      </c>
      <c r="C21" s="39" t="s">
        <v>361</v>
      </c>
      <c r="D21" s="39">
        <v>17</v>
      </c>
      <c r="E21" s="68">
        <v>171.85724999999999</v>
      </c>
      <c r="F21" s="68">
        <v>1.5397966342463001</v>
      </c>
    </row>
    <row r="22" spans="1:6" x14ac:dyDescent="0.2">
      <c r="A22" s="39" t="s">
        <v>976</v>
      </c>
      <c r="B22" s="39" t="str">
        <f>IFERROR(VLOOKUP(A22,[1]Bonds!$B$1:$K$2669,10,0),VLOOKUP(A22,[1]CPCD!$B$1:$H$1476,7,0))</f>
        <v>0.00% Mahindra &amp; Mahindra Financial Services Ltd (07-Apr-2021) **</v>
      </c>
      <c r="C22" s="39" t="s">
        <v>977</v>
      </c>
      <c r="D22" s="39">
        <v>2</v>
      </c>
      <c r="E22" s="68">
        <v>22.485880000000002</v>
      </c>
      <c r="F22" s="68">
        <v>0.20146768519842101</v>
      </c>
    </row>
    <row r="23" spans="1:6" x14ac:dyDescent="0.2">
      <c r="A23" s="39" t="s">
        <v>1341</v>
      </c>
      <c r="B23" s="39" t="str">
        <f>IFERROR(VLOOKUP(A23,[1]Bonds!$B$1:$K$2669,10,0),VLOOKUP(A23,[1]CPCD!$B$1:$H$1476,7,0))</f>
        <v>9.00% ICICI Home Finance Company Ltd (27-May-2021) **</v>
      </c>
      <c r="C23" s="39" t="s">
        <v>973</v>
      </c>
      <c r="D23" s="39">
        <v>4</v>
      </c>
      <c r="E23" s="68">
        <v>20.001919999999998</v>
      </c>
      <c r="F23" s="68">
        <v>0.17921204426617901</v>
      </c>
    </row>
    <row r="24" spans="1:6" x14ac:dyDescent="0.2">
      <c r="A24" s="39" t="s">
        <v>1342</v>
      </c>
      <c r="B24" s="39" t="str">
        <f>IFERROR(VLOOKUP(A24,[1]Bonds!$B$1:$K$2669,10,0),VLOOKUP(A24,[1]CPCD!$B$1:$H$1476,7,0))</f>
        <v>0.00% Bajaj Housing Finance Ltd (06-Apr-2021) **</v>
      </c>
      <c r="C24" s="39" t="s">
        <v>361</v>
      </c>
      <c r="D24" s="39">
        <v>1</v>
      </c>
      <c r="E24" s="68">
        <v>11.38191</v>
      </c>
      <c r="F24" s="68">
        <v>0.10197897795579999</v>
      </c>
    </row>
    <row r="25" spans="1:6" x14ac:dyDescent="0.2">
      <c r="A25" s="38" t="s">
        <v>44</v>
      </c>
      <c r="B25" s="39"/>
      <c r="C25" s="39"/>
      <c r="D25" s="39"/>
      <c r="E25" s="69">
        <f>SUM(E8:E24)</f>
        <v>10539.446030000001</v>
      </c>
      <c r="F25" s="69">
        <f>SUM(F8:F24)</f>
        <v>94.430718074533232</v>
      </c>
    </row>
    <row r="26" spans="1:6" x14ac:dyDescent="0.2">
      <c r="A26" s="39"/>
      <c r="B26" s="39"/>
      <c r="C26" s="39"/>
      <c r="D26" s="39"/>
      <c r="E26" s="68"/>
      <c r="F26" s="68"/>
    </row>
    <row r="27" spans="1:6" x14ac:dyDescent="0.2">
      <c r="A27" s="38" t="s">
        <v>815</v>
      </c>
      <c r="B27" s="39"/>
      <c r="C27" s="39"/>
      <c r="D27" s="39"/>
      <c r="E27" s="68"/>
      <c r="F27" s="68"/>
    </row>
    <row r="28" spans="1:6" x14ac:dyDescent="0.2">
      <c r="A28" s="39" t="s">
        <v>1251</v>
      </c>
      <c r="B28" s="39" t="str">
        <f>IFERROR(VLOOKUP(A28,[1]Bonds!$B$1:$K$2669,10,0),VLOOKUP(A28,[1]CPCD!$B$1:$H$1476,7,0))</f>
        <v>7.48% Bennett Coleman And Co Ltd (26-Apr-2021) **</v>
      </c>
      <c r="C28" s="39" t="s">
        <v>361</v>
      </c>
      <c r="D28" s="39">
        <v>37</v>
      </c>
      <c r="E28" s="68">
        <v>369.34658000000002</v>
      </c>
      <c r="F28" s="68">
        <v>3.3092500942170502</v>
      </c>
    </row>
    <row r="29" spans="1:6" x14ac:dyDescent="0.2">
      <c r="A29" s="38" t="s">
        <v>44</v>
      </c>
      <c r="B29" s="39"/>
      <c r="C29" s="39"/>
      <c r="D29" s="39"/>
      <c r="E29" s="69">
        <f>SUM(E28:E28)</f>
        <v>369.34658000000002</v>
      </c>
      <c r="F29" s="69">
        <f>SUM(F28:F28)</f>
        <v>3.3092500942170502</v>
      </c>
    </row>
    <row r="30" spans="1:6" x14ac:dyDescent="0.2">
      <c r="A30" s="39"/>
      <c r="B30" s="39"/>
      <c r="C30" s="39"/>
      <c r="D30" s="39"/>
      <c r="E30" s="68"/>
      <c r="F30" s="68"/>
    </row>
    <row r="31" spans="1:6" x14ac:dyDescent="0.2">
      <c r="A31" s="38" t="s">
        <v>44</v>
      </c>
      <c r="B31" s="39"/>
      <c r="C31" s="39"/>
      <c r="D31" s="39"/>
      <c r="E31" s="69">
        <f>E25+E29</f>
        <v>10908.79261</v>
      </c>
      <c r="F31" s="69">
        <f>F25+F29</f>
        <v>97.739968168750281</v>
      </c>
    </row>
    <row r="32" spans="1:6" x14ac:dyDescent="0.2">
      <c r="A32" s="39"/>
      <c r="B32" s="39"/>
      <c r="C32" s="39"/>
      <c r="D32" s="39"/>
      <c r="E32" s="68"/>
      <c r="F32" s="68"/>
    </row>
    <row r="33" spans="1:6" x14ac:dyDescent="0.2">
      <c r="A33" s="38" t="s">
        <v>76</v>
      </c>
      <c r="B33" s="39"/>
      <c r="C33" s="39"/>
      <c r="D33" s="39"/>
      <c r="E33" s="69">
        <v>252.2455665</v>
      </c>
      <c r="F33" s="69">
        <v>2.2599999999999998</v>
      </c>
    </row>
    <row r="34" spans="1:6" x14ac:dyDescent="0.2">
      <c r="A34" s="39"/>
      <c r="B34" s="39"/>
      <c r="C34" s="39"/>
      <c r="D34" s="39"/>
      <c r="E34" s="68"/>
      <c r="F34" s="68"/>
    </row>
    <row r="35" spans="1:6" x14ac:dyDescent="0.2">
      <c r="A35" s="71" t="s">
        <v>77</v>
      </c>
      <c r="B35" s="66"/>
      <c r="C35" s="66"/>
      <c r="D35" s="66"/>
      <c r="E35" s="72">
        <f>E31+E33</f>
        <v>11161.0381765</v>
      </c>
      <c r="F35" s="72">
        <f>F31+F33</f>
        <v>99.999968168750286</v>
      </c>
    </row>
    <row r="36" spans="1:6" x14ac:dyDescent="0.2">
      <c r="A36" s="52" t="s">
        <v>619</v>
      </c>
    </row>
    <row r="38" spans="1:6" x14ac:dyDescent="0.2">
      <c r="A38" s="4" t="s">
        <v>78</v>
      </c>
    </row>
    <row r="39" spans="1:6" x14ac:dyDescent="0.2">
      <c r="A39" s="4" t="s">
        <v>650</v>
      </c>
    </row>
    <row r="40" spans="1:6" x14ac:dyDescent="0.2">
      <c r="A40" s="4" t="s">
        <v>80</v>
      </c>
      <c r="D40" s="11"/>
    </row>
    <row r="41" spans="1:6" x14ac:dyDescent="0.2">
      <c r="A41" s="2" t="s">
        <v>638</v>
      </c>
      <c r="D41" s="88">
        <v>10.4724</v>
      </c>
    </row>
    <row r="42" spans="1:6" x14ac:dyDescent="0.2">
      <c r="A42" s="2" t="s">
        <v>639</v>
      </c>
      <c r="D42" s="88">
        <v>10.4724</v>
      </c>
    </row>
    <row r="43" spans="1:6" x14ac:dyDescent="0.2">
      <c r="A43" s="2" t="s">
        <v>652</v>
      </c>
      <c r="D43" s="88">
        <v>10.251799999999999</v>
      </c>
    </row>
    <row r="44" spans="1:6" x14ac:dyDescent="0.2">
      <c r="A44" s="2" t="s">
        <v>640</v>
      </c>
      <c r="D44" s="88">
        <v>10.543200000000001</v>
      </c>
    </row>
    <row r="45" spans="1:6" x14ac:dyDescent="0.2">
      <c r="A45" s="2" t="s">
        <v>641</v>
      </c>
      <c r="D45" s="88">
        <v>10.543200000000001</v>
      </c>
    </row>
    <row r="46" spans="1:6" x14ac:dyDescent="0.2">
      <c r="A46" s="2" t="s">
        <v>654</v>
      </c>
      <c r="D46" s="88">
        <v>10.2811</v>
      </c>
    </row>
    <row r="48" spans="1:6" x14ac:dyDescent="0.2">
      <c r="A48" s="4" t="s">
        <v>81</v>
      </c>
    </row>
    <row r="49" spans="1:5" x14ac:dyDescent="0.2">
      <c r="A49" s="2" t="s">
        <v>638</v>
      </c>
      <c r="D49" s="10">
        <v>11.0686</v>
      </c>
    </row>
    <row r="50" spans="1:5" x14ac:dyDescent="0.2">
      <c r="A50" s="2" t="s">
        <v>639</v>
      </c>
      <c r="D50" s="10">
        <v>10.4092</v>
      </c>
    </row>
    <row r="51" spans="1:5" x14ac:dyDescent="0.2">
      <c r="A51" s="2" t="s">
        <v>652</v>
      </c>
      <c r="D51" s="10">
        <v>10.374599999999999</v>
      </c>
    </row>
    <row r="52" spans="1:5" x14ac:dyDescent="0.2">
      <c r="A52" s="2" t="s">
        <v>640</v>
      </c>
      <c r="D52" s="10">
        <v>11.179600000000001</v>
      </c>
    </row>
    <row r="53" spans="1:5" x14ac:dyDescent="0.2">
      <c r="A53" s="2" t="s">
        <v>641</v>
      </c>
      <c r="D53" s="10">
        <v>10.520099999999999</v>
      </c>
    </row>
    <row r="54" spans="1:5" x14ac:dyDescent="0.2">
      <c r="A54" s="2" t="s">
        <v>654</v>
      </c>
      <c r="D54" s="10">
        <v>10.4399</v>
      </c>
    </row>
    <row r="56" spans="1:5" x14ac:dyDescent="0.2">
      <c r="A56" s="4" t="s">
        <v>82</v>
      </c>
      <c r="D56" s="44" t="s">
        <v>299</v>
      </c>
    </row>
    <row r="57" spans="1:5" x14ac:dyDescent="0.2">
      <c r="A57" s="45" t="s">
        <v>642</v>
      </c>
      <c r="B57" s="46"/>
      <c r="C57" s="100" t="s">
        <v>643</v>
      </c>
      <c r="D57" s="101"/>
    </row>
    <row r="58" spans="1:5" x14ac:dyDescent="0.2">
      <c r="A58" s="102"/>
      <c r="B58" s="103"/>
      <c r="C58" s="47" t="s">
        <v>644</v>
      </c>
      <c r="D58" s="47" t="s">
        <v>645</v>
      </c>
    </row>
    <row r="59" spans="1:5" x14ac:dyDescent="0.2">
      <c r="A59" s="2" t="s">
        <v>639</v>
      </c>
      <c r="B59" s="63"/>
      <c r="C59" s="89">
        <v>0.46460814150000002</v>
      </c>
      <c r="D59" s="89">
        <v>0.4302294545</v>
      </c>
    </row>
    <row r="60" spans="1:5" x14ac:dyDescent="0.2">
      <c r="A60" s="48" t="s">
        <v>1327</v>
      </c>
      <c r="B60" s="49"/>
      <c r="C60" s="89">
        <v>0.3205436015</v>
      </c>
      <c r="D60" s="89">
        <v>0.29682497250000001</v>
      </c>
    </row>
    <row r="61" spans="1:5" x14ac:dyDescent="0.2">
      <c r="A61" s="2" t="s">
        <v>641</v>
      </c>
      <c r="B61" s="49"/>
      <c r="C61" s="89">
        <v>0.46460814150000002</v>
      </c>
      <c r="D61" s="89">
        <v>0.4302294545</v>
      </c>
    </row>
    <row r="62" spans="1:5" x14ac:dyDescent="0.2">
      <c r="A62" s="48" t="s">
        <v>1333</v>
      </c>
      <c r="B62" s="49"/>
      <c r="C62" s="89">
        <v>0.3205436015</v>
      </c>
      <c r="D62" s="89">
        <v>0.29682497250000001</v>
      </c>
    </row>
    <row r="64" spans="1:5" x14ac:dyDescent="0.2">
      <c r="A64" s="4" t="s">
        <v>647</v>
      </c>
      <c r="D64" s="53">
        <v>1.7097286901565933</v>
      </c>
      <c r="E64" s="73" t="s">
        <v>648</v>
      </c>
    </row>
  </sheetData>
  <mergeCells count="3">
    <mergeCell ref="A1:F1"/>
    <mergeCell ref="C57:D57"/>
    <mergeCell ref="A58:B58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8640E-50F1-4625-8723-BA48F20789F2}">
  <dimension ref="A1:F57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49.140625" style="2" bestFit="1" customWidth="1"/>
    <col min="3" max="3" width="11.7109375" style="2" bestFit="1" customWidth="1"/>
    <col min="4" max="4" width="7.42578125" style="2" bestFit="1" customWidth="1"/>
    <col min="5" max="5" width="23" style="73" bestFit="1" customWidth="1"/>
    <col min="6" max="6" width="13.5703125" style="73" bestFit="1" customWidth="1"/>
    <col min="7" max="16384" width="9.140625" style="2"/>
  </cols>
  <sheetData>
    <row r="1" spans="1:6" ht="15" customHeight="1" x14ac:dyDescent="0.2">
      <c r="A1" s="108" t="s">
        <v>1350</v>
      </c>
      <c r="B1" s="108"/>
      <c r="C1" s="108"/>
      <c r="D1" s="108"/>
      <c r="E1" s="108"/>
      <c r="F1" s="108"/>
    </row>
    <row r="3" spans="1:6" s="4" customFormat="1" x14ac:dyDescent="0.2">
      <c r="A3" s="64" t="s">
        <v>1</v>
      </c>
      <c r="B3" s="64" t="s">
        <v>2</v>
      </c>
      <c r="C3" s="64" t="s">
        <v>716</v>
      </c>
      <c r="D3" s="64" t="s">
        <v>4</v>
      </c>
      <c r="E3" s="65" t="s">
        <v>5</v>
      </c>
      <c r="F3" s="65" t="s">
        <v>6</v>
      </c>
    </row>
    <row r="4" spans="1:6" x14ac:dyDescent="0.2">
      <c r="A4" s="66"/>
      <c r="B4" s="66"/>
      <c r="C4" s="66"/>
      <c r="D4" s="66"/>
      <c r="E4" s="67"/>
      <c r="F4" s="67"/>
    </row>
    <row r="5" spans="1:6" x14ac:dyDescent="0.2">
      <c r="A5" s="38" t="s">
        <v>359</v>
      </c>
      <c r="B5" s="39"/>
      <c r="C5" s="39"/>
      <c r="D5" s="39"/>
      <c r="E5" s="68"/>
      <c r="F5" s="68"/>
    </row>
    <row r="6" spans="1:6" x14ac:dyDescent="0.2">
      <c r="A6" s="38" t="s">
        <v>8</v>
      </c>
      <c r="B6" s="39"/>
      <c r="C6" s="39"/>
      <c r="D6" s="39"/>
      <c r="E6" s="68"/>
      <c r="F6" s="68"/>
    </row>
    <row r="7" spans="1:6" x14ac:dyDescent="0.2">
      <c r="A7" s="38"/>
      <c r="B7" s="39"/>
      <c r="C7" s="39"/>
      <c r="D7" s="39"/>
      <c r="E7" s="68"/>
      <c r="F7" s="68"/>
    </row>
    <row r="8" spans="1:6" x14ac:dyDescent="0.2">
      <c r="A8" s="39" t="s">
        <v>1250</v>
      </c>
      <c r="B8" s="39" t="str">
        <f>IFERROR(VLOOKUP(A8,[1]Bonds!$B$1:$K$2669,10,0),VLOOKUP(A8,[1]CPCD!$B$1:$H$1476,7,0))</f>
        <v>7.18% Rec Ltd (21-May-2021) **</v>
      </c>
      <c r="C8" s="39" t="s">
        <v>361</v>
      </c>
      <c r="D8" s="39">
        <v>105</v>
      </c>
      <c r="E8" s="68">
        <v>1047.4694999999999</v>
      </c>
      <c r="F8" s="68">
        <v>10.966157856902299</v>
      </c>
    </row>
    <row r="9" spans="1:6" x14ac:dyDescent="0.2">
      <c r="A9" s="39" t="s">
        <v>1351</v>
      </c>
      <c r="B9" s="39" t="str">
        <f>IFERROR(VLOOKUP(A9,[1]Bonds!$B$1:$K$2669,10,0),VLOOKUP(A9,[1]CPCD!$B$1:$H$1476,7,0))</f>
        <v>7.73% Housing &amp; Urban Development Corp Ltd (15-Apr-2021) **</v>
      </c>
      <c r="C9" s="39" t="s">
        <v>916</v>
      </c>
      <c r="D9" s="39">
        <v>100</v>
      </c>
      <c r="E9" s="68">
        <v>1013.763</v>
      </c>
      <c r="F9" s="68">
        <v>10.613278083502101</v>
      </c>
    </row>
    <row r="10" spans="1:6" x14ac:dyDescent="0.2">
      <c r="A10" s="39" t="s">
        <v>1341</v>
      </c>
      <c r="B10" s="39" t="str">
        <f>IFERROR(VLOOKUP(A10,[1]Bonds!$B$1:$K$2669,10,0),VLOOKUP(A10,[1]CPCD!$B$1:$H$1476,7,0))</f>
        <v>9.00% ICICI Home Finance Company Ltd (27-May-2021) **</v>
      </c>
      <c r="C10" s="39" t="s">
        <v>973</v>
      </c>
      <c r="D10" s="39">
        <v>170</v>
      </c>
      <c r="E10" s="68">
        <v>850.08159999999998</v>
      </c>
      <c r="F10" s="68">
        <v>8.8996663070839706</v>
      </c>
    </row>
    <row r="11" spans="1:6" x14ac:dyDescent="0.2">
      <c r="A11" s="39" t="s">
        <v>1352</v>
      </c>
      <c r="B11" s="39" t="str">
        <f>IFERROR(VLOOKUP(A11,[1]Bonds!$B$1:$K$2669,10,0),VLOOKUP(A11,[1]CPCD!$B$1:$H$1476,7,0))</f>
        <v>8.10% Mahindra &amp; Mahindra Financial Services Ltd (19-Apr-2021) **</v>
      </c>
      <c r="C11" s="39" t="s">
        <v>973</v>
      </c>
      <c r="D11" s="39">
        <v>78</v>
      </c>
      <c r="E11" s="68">
        <v>782.04204000000004</v>
      </c>
      <c r="F11" s="68">
        <v>8.1873471842129195</v>
      </c>
    </row>
    <row r="12" spans="1:6" x14ac:dyDescent="0.2">
      <c r="A12" s="39" t="s">
        <v>1228</v>
      </c>
      <c r="B12" s="39" t="str">
        <f>IFERROR(VLOOKUP(A12,[1]Bonds!$B$1:$K$2669,10,0),VLOOKUP(A12,[1]CPCD!$B$1:$H$1476,7,0))</f>
        <v>0.00% Fullerton India Credit Co Ltd (08-Apr-2021) **</v>
      </c>
      <c r="C12" s="39" t="s">
        <v>916</v>
      </c>
      <c r="D12" s="39">
        <v>63</v>
      </c>
      <c r="E12" s="68">
        <v>700.55244000000005</v>
      </c>
      <c r="F12" s="68">
        <v>7.3342170288281299</v>
      </c>
    </row>
    <row r="13" spans="1:6" x14ac:dyDescent="0.2">
      <c r="A13" s="39" t="s">
        <v>1346</v>
      </c>
      <c r="B13" s="39" t="str">
        <f>IFERROR(VLOOKUP(A13,[1]Bonds!$B$1:$K$2669,10,0),VLOOKUP(A13,[1]CPCD!$B$1:$H$1476,7,0))</f>
        <v>0.00% Axis Finance Ltd (14-Jun-2021) **</v>
      </c>
      <c r="C13" s="39" t="s">
        <v>361</v>
      </c>
      <c r="D13" s="39">
        <v>50</v>
      </c>
      <c r="E13" s="68">
        <v>562.80349999999999</v>
      </c>
      <c r="F13" s="68">
        <v>5.8920971192164799</v>
      </c>
    </row>
    <row r="14" spans="1:6" x14ac:dyDescent="0.2">
      <c r="A14" s="39" t="s">
        <v>1249</v>
      </c>
      <c r="B14" s="39" t="str">
        <f>IFERROR(VLOOKUP(A14,[1]Bonds!$B$1:$K$2669,10,0),VLOOKUP(A14,[1]CPCD!$B$1:$H$1476,7,0))</f>
        <v>7.65% Small Industries Development Bank Of India (15-Apr-2021) **</v>
      </c>
      <c r="C14" s="39" t="s">
        <v>916</v>
      </c>
      <c r="D14" s="39">
        <v>52</v>
      </c>
      <c r="E14" s="68">
        <v>526.67836</v>
      </c>
      <c r="F14" s="68">
        <v>5.5138961426317703</v>
      </c>
    </row>
    <row r="15" spans="1:6" x14ac:dyDescent="0.2">
      <c r="A15" s="39" t="s">
        <v>1353</v>
      </c>
      <c r="B15" s="39" t="str">
        <f>IFERROR(VLOOKUP(A15,[1]Bonds!$B$1:$K$2669,10,0),VLOOKUP(A15,[1]CPCD!$B$1:$H$1476,7,0))</f>
        <v>10.09% MRF Ltd (27-May-2021) **</v>
      </c>
      <c r="C15" s="39" t="s">
        <v>916</v>
      </c>
      <c r="D15" s="39">
        <v>50</v>
      </c>
      <c r="E15" s="68">
        <v>519.23649999999998</v>
      </c>
      <c r="F15" s="68">
        <v>5.4359858917758102</v>
      </c>
    </row>
    <row r="16" spans="1:6" x14ac:dyDescent="0.2">
      <c r="A16" s="39" t="s">
        <v>1339</v>
      </c>
      <c r="B16" s="39" t="str">
        <f>IFERROR(VLOOKUP(A16,[1]Bonds!$B$1:$K$2669,10,0),VLOOKUP(A16,[1]CPCD!$B$1:$H$1476,7,0))</f>
        <v>8.05% Power Finance Corp Ltd (27-Apr-2021) **</v>
      </c>
      <c r="C16" s="39" t="s">
        <v>361</v>
      </c>
      <c r="D16" s="39">
        <v>50</v>
      </c>
      <c r="E16" s="68">
        <v>505.46249999999998</v>
      </c>
      <c r="F16" s="68">
        <v>5.2917832602710497</v>
      </c>
    </row>
    <row r="17" spans="1:6" x14ac:dyDescent="0.2">
      <c r="A17" s="39" t="s">
        <v>1342</v>
      </c>
      <c r="B17" s="39" t="str">
        <f>IFERROR(VLOOKUP(A17,[1]Bonds!$B$1:$K$2669,10,0),VLOOKUP(A17,[1]CPCD!$B$1:$H$1476,7,0))</f>
        <v>0.00% Bajaj Housing Finance Ltd (06-Apr-2021) **</v>
      </c>
      <c r="C17" s="39" t="s">
        <v>361</v>
      </c>
      <c r="D17" s="39">
        <v>39</v>
      </c>
      <c r="E17" s="68">
        <v>443.89449000000002</v>
      </c>
      <c r="F17" s="68">
        <v>4.6472160279121697</v>
      </c>
    </row>
    <row r="18" spans="1:6" x14ac:dyDescent="0.2">
      <c r="A18" s="39" t="s">
        <v>1345</v>
      </c>
      <c r="B18" s="39" t="str">
        <f>IFERROR(VLOOKUP(A18,[1]Bonds!$B$1:$K$2669,10,0),VLOOKUP(A18,[1]CPCD!$B$1:$H$1476,7,0))</f>
        <v>8.70% Reliance Jio Infocomm Limited (15-Jun-2021) **</v>
      </c>
      <c r="C18" s="39" t="s">
        <v>361</v>
      </c>
      <c r="D18" s="39">
        <v>31</v>
      </c>
      <c r="E18" s="68">
        <v>314.85118999999997</v>
      </c>
      <c r="F18" s="68">
        <v>3.2962371228694902</v>
      </c>
    </row>
    <row r="19" spans="1:6" x14ac:dyDescent="0.2">
      <c r="A19" s="39" t="s">
        <v>1198</v>
      </c>
      <c r="B19" s="39" t="str">
        <f>IFERROR(VLOOKUP(A19,[1]Bonds!$B$1:$K$2669,10,0),VLOOKUP(A19,[1]CPCD!$B$1:$H$1476,7,0))</f>
        <v>7.65% Indian Railway Finance Corp Ltd (15-Mar-2021) **</v>
      </c>
      <c r="C19" s="39" t="s">
        <v>361</v>
      </c>
      <c r="D19" s="39">
        <v>28</v>
      </c>
      <c r="E19" s="68">
        <v>284.44416000000001</v>
      </c>
      <c r="F19" s="68">
        <v>2.9779001298214198</v>
      </c>
    </row>
    <row r="20" spans="1:6" x14ac:dyDescent="0.2">
      <c r="A20" s="39" t="s">
        <v>1354</v>
      </c>
      <c r="B20" s="39" t="str">
        <f>IFERROR(VLOOKUP(A20,[1]Bonds!$B$1:$K$2669,10,0),VLOOKUP(A20,[1]CPCD!$B$1:$H$1476,7,0))</f>
        <v>9.18% Power Finance Corp Ltd (15-Apr-2021) **</v>
      </c>
      <c r="C20" s="39" t="s">
        <v>361</v>
      </c>
      <c r="D20" s="39">
        <v>26</v>
      </c>
      <c r="E20" s="68">
        <v>267.09773999999999</v>
      </c>
      <c r="F20" s="68">
        <v>2.79629715238663</v>
      </c>
    </row>
    <row r="21" spans="1:6" x14ac:dyDescent="0.2">
      <c r="A21" s="39" t="s">
        <v>1355</v>
      </c>
      <c r="B21" s="39" t="str">
        <f>IFERROR(VLOOKUP(A21,[1]Bonds!$B$1:$K$2669,10,0),VLOOKUP(A21,[1]CPCD!$B$1:$H$1476,7,0))</f>
        <v>0.00% HDB Financial Services Limited (06-Apr-2021) **</v>
      </c>
      <c r="C21" s="39" t="s">
        <v>361</v>
      </c>
      <c r="D21" s="39">
        <v>21</v>
      </c>
      <c r="E21" s="68">
        <v>237.51378</v>
      </c>
      <c r="F21" s="68">
        <v>2.4865770360564801</v>
      </c>
    </row>
    <row r="22" spans="1:6" x14ac:dyDescent="0.2">
      <c r="A22" s="39" t="s">
        <v>1196</v>
      </c>
      <c r="B22" s="39" t="str">
        <f>IFERROR(VLOOKUP(A22,[1]Bonds!$B$1:$K$2669,10,0),VLOOKUP(A22,[1]CPCD!$B$1:$H$1476,7,0))</f>
        <v>8.75% Housing Development Finance Corp Ltd (04-Mar-2021) **</v>
      </c>
      <c r="C22" s="39" t="s">
        <v>361</v>
      </c>
      <c r="D22" s="39">
        <v>1</v>
      </c>
      <c r="E22" s="68">
        <v>102.0317</v>
      </c>
      <c r="F22" s="68">
        <v>1.06818931587803</v>
      </c>
    </row>
    <row r="23" spans="1:6" x14ac:dyDescent="0.2">
      <c r="A23" s="39" t="s">
        <v>976</v>
      </c>
      <c r="B23" s="39" t="str">
        <f>IFERROR(VLOOKUP(A23,[1]Bonds!$B$1:$K$2669,10,0),VLOOKUP(A23,[1]CPCD!$B$1:$H$1476,7,0))</f>
        <v>0.00% Mahindra &amp; Mahindra Financial Services Ltd (07-Apr-2021) **</v>
      </c>
      <c r="C23" s="39" t="s">
        <v>977</v>
      </c>
      <c r="D23" s="39">
        <v>6</v>
      </c>
      <c r="E23" s="68">
        <v>67.457639999999998</v>
      </c>
      <c r="F23" s="68">
        <v>0.70622689146947804</v>
      </c>
    </row>
    <row r="24" spans="1:6" x14ac:dyDescent="0.2">
      <c r="A24" s="39" t="s">
        <v>1356</v>
      </c>
      <c r="B24" s="39" t="str">
        <f>IFERROR(VLOOKUP(A24,[1]Bonds!$B$1:$K$2669,10,0),VLOOKUP(A24,[1]CPCD!$B$1:$H$1476,7,0))</f>
        <v>8.50% Lic Housing Finance Ltd (05-Jan-2021) **</v>
      </c>
      <c r="C24" s="39" t="s">
        <v>361</v>
      </c>
      <c r="D24" s="39">
        <v>1</v>
      </c>
      <c r="E24" s="68">
        <v>10.150359999999999</v>
      </c>
      <c r="F24" s="68">
        <v>0.106266053631525</v>
      </c>
    </row>
    <row r="25" spans="1:6" x14ac:dyDescent="0.2">
      <c r="A25" s="39" t="s">
        <v>974</v>
      </c>
      <c r="B25" s="39" t="str">
        <f>IFERROR(VLOOKUP(A25,[1]Bonds!$B$1:$K$2669,10,0),VLOOKUP(A25,[1]CPCD!$B$1:$H$1476,7,0))</f>
        <v>9.30% Fullerton India Credit Co Ltd (15-Mar-2021) **</v>
      </c>
      <c r="C25" s="39" t="s">
        <v>361</v>
      </c>
      <c r="D25" s="39">
        <v>1</v>
      </c>
      <c r="E25" s="68">
        <v>10.007949999999999</v>
      </c>
      <c r="F25" s="68">
        <v>0.104775136196315</v>
      </c>
    </row>
    <row r="26" spans="1:6" x14ac:dyDescent="0.2">
      <c r="A26" s="38" t="s">
        <v>44</v>
      </c>
      <c r="B26" s="39"/>
      <c r="C26" s="39"/>
      <c r="D26" s="39"/>
      <c r="E26" s="69">
        <f>SUM(E8:E25)</f>
        <v>8245.53845</v>
      </c>
      <c r="F26" s="69">
        <f>SUM(F8:F25)</f>
        <v>86.324113740646055</v>
      </c>
    </row>
    <row r="27" spans="1:6" x14ac:dyDescent="0.2">
      <c r="A27" s="39"/>
      <c r="B27" s="39"/>
      <c r="C27" s="39"/>
      <c r="D27" s="39"/>
      <c r="E27" s="68"/>
      <c r="F27" s="68"/>
    </row>
    <row r="28" spans="1:6" x14ac:dyDescent="0.2">
      <c r="A28" s="38" t="s">
        <v>815</v>
      </c>
      <c r="B28" s="39"/>
      <c r="C28" s="39"/>
      <c r="D28" s="39"/>
      <c r="E28" s="68"/>
      <c r="F28" s="68"/>
    </row>
    <row r="29" spans="1:6" x14ac:dyDescent="0.2">
      <c r="A29" s="39" t="s">
        <v>1357</v>
      </c>
      <c r="B29" s="39" t="str">
        <f>IFERROR(VLOOKUP(A29,[1]Bonds!$B$1:$K$2669,10,0),VLOOKUP(A29,[1]CPCD!$B$1:$H$1476,7,0))</f>
        <v>8.19% Mahindra Vehicle Manufactures Ltd (23-Feb-2021) **</v>
      </c>
      <c r="C29" s="39" t="s">
        <v>973</v>
      </c>
      <c r="D29" s="39">
        <v>95</v>
      </c>
      <c r="E29" s="68">
        <v>953.01149999999996</v>
      </c>
      <c r="F29" s="68">
        <v>9.9772590499706801</v>
      </c>
    </row>
    <row r="30" spans="1:6" x14ac:dyDescent="0.2">
      <c r="A30" s="39" t="s">
        <v>1251</v>
      </c>
      <c r="B30" s="39" t="str">
        <f>IFERROR(VLOOKUP(A30,[1]Bonds!$B$1:$K$2669,10,0),VLOOKUP(A30,[1]CPCD!$B$1:$H$1476,7,0))</f>
        <v>7.48% Bennett Coleman And Co Ltd (26-Apr-2021) **</v>
      </c>
      <c r="C30" s="39" t="s">
        <v>361</v>
      </c>
      <c r="D30" s="39">
        <v>3</v>
      </c>
      <c r="E30" s="68">
        <v>29.947019999999998</v>
      </c>
      <c r="F30" s="68">
        <v>0.31352106067413998</v>
      </c>
    </row>
    <row r="31" spans="1:6" x14ac:dyDescent="0.2">
      <c r="A31" s="38" t="s">
        <v>44</v>
      </c>
      <c r="B31" s="39"/>
      <c r="C31" s="39"/>
      <c r="D31" s="39"/>
      <c r="E31" s="69">
        <f>SUM(E29:E30)</f>
        <v>982.95851999999991</v>
      </c>
      <c r="F31" s="69">
        <f>SUM(F29:F30)</f>
        <v>10.290780110644819</v>
      </c>
    </row>
    <row r="32" spans="1:6" x14ac:dyDescent="0.2">
      <c r="A32" s="39"/>
      <c r="B32" s="39"/>
      <c r="C32" s="39"/>
      <c r="D32" s="39"/>
      <c r="E32" s="68"/>
      <c r="F32" s="68"/>
    </row>
    <row r="33" spans="1:6" x14ac:dyDescent="0.2">
      <c r="A33" s="38" t="s">
        <v>44</v>
      </c>
      <c r="B33" s="39"/>
      <c r="C33" s="39"/>
      <c r="D33" s="39"/>
      <c r="E33" s="69">
        <f>E26+E31</f>
        <v>9228.4969700000001</v>
      </c>
      <c r="F33" s="69">
        <f>F26+F31</f>
        <v>96.614893851290873</v>
      </c>
    </row>
    <row r="34" spans="1:6" x14ac:dyDescent="0.2">
      <c r="A34" s="39"/>
      <c r="B34" s="39"/>
      <c r="C34" s="39"/>
      <c r="D34" s="39"/>
      <c r="E34" s="68"/>
      <c r="F34" s="68"/>
    </row>
    <row r="35" spans="1:6" x14ac:dyDescent="0.2">
      <c r="A35" s="38" t="s">
        <v>76</v>
      </c>
      <c r="B35" s="39"/>
      <c r="C35" s="39"/>
      <c r="D35" s="39"/>
      <c r="E35" s="69">
        <v>323.33678429999998</v>
      </c>
      <c r="F35" s="69">
        <v>3.39</v>
      </c>
    </row>
    <row r="36" spans="1:6" x14ac:dyDescent="0.2">
      <c r="A36" s="39"/>
      <c r="B36" s="39"/>
      <c r="C36" s="39"/>
      <c r="D36" s="39"/>
      <c r="E36" s="68"/>
      <c r="F36" s="68"/>
    </row>
    <row r="37" spans="1:6" x14ac:dyDescent="0.2">
      <c r="A37" s="71" t="s">
        <v>77</v>
      </c>
      <c r="B37" s="66"/>
      <c r="C37" s="66"/>
      <c r="D37" s="66"/>
      <c r="E37" s="72">
        <f>E33+E35</f>
        <v>9551.8337542999998</v>
      </c>
      <c r="F37" s="72">
        <f>F33+F35</f>
        <v>100.00489385129087</v>
      </c>
    </row>
    <row r="38" spans="1:6" x14ac:dyDescent="0.2">
      <c r="A38" s="52" t="s">
        <v>619</v>
      </c>
    </row>
    <row r="40" spans="1:6" x14ac:dyDescent="0.2">
      <c r="A40" s="4" t="s">
        <v>78</v>
      </c>
    </row>
    <row r="41" spans="1:6" x14ac:dyDescent="0.2">
      <c r="A41" s="4" t="s">
        <v>650</v>
      </c>
    </row>
    <row r="42" spans="1:6" x14ac:dyDescent="0.2">
      <c r="A42" s="4" t="s">
        <v>80</v>
      </c>
      <c r="D42" s="88"/>
    </row>
    <row r="43" spans="1:6" x14ac:dyDescent="0.2">
      <c r="A43" s="2" t="s">
        <v>638</v>
      </c>
      <c r="D43" s="88">
        <v>10.5534</v>
      </c>
    </row>
    <row r="44" spans="1:6" x14ac:dyDescent="0.2">
      <c r="A44" s="2" t="s">
        <v>639</v>
      </c>
      <c r="D44" s="88">
        <v>10.5534</v>
      </c>
    </row>
    <row r="45" spans="1:6" x14ac:dyDescent="0.2">
      <c r="A45" s="2" t="s">
        <v>640</v>
      </c>
      <c r="D45" s="88">
        <v>10.61</v>
      </c>
    </row>
    <row r="46" spans="1:6" x14ac:dyDescent="0.2">
      <c r="D46" s="11"/>
    </row>
    <row r="47" spans="1:6" x14ac:dyDescent="0.2">
      <c r="A47" s="4" t="s">
        <v>81</v>
      </c>
    </row>
    <row r="48" spans="1:6" x14ac:dyDescent="0.2">
      <c r="A48" s="2" t="s">
        <v>638</v>
      </c>
      <c r="D48" s="10">
        <v>11.151199999999999</v>
      </c>
    </row>
    <row r="49" spans="1:5" x14ac:dyDescent="0.2">
      <c r="A49" s="2" t="s">
        <v>639</v>
      </c>
      <c r="D49" s="10">
        <v>10.486700000000001</v>
      </c>
    </row>
    <row r="50" spans="1:5" x14ac:dyDescent="0.2">
      <c r="A50" s="2" t="s">
        <v>640</v>
      </c>
      <c r="D50" s="10">
        <v>11.235099999999999</v>
      </c>
    </row>
    <row r="52" spans="1:5" x14ac:dyDescent="0.2">
      <c r="A52" s="4" t="s">
        <v>82</v>
      </c>
      <c r="D52" s="44" t="s">
        <v>299</v>
      </c>
    </row>
    <row r="53" spans="1:5" x14ac:dyDescent="0.2">
      <c r="A53" s="45" t="s">
        <v>642</v>
      </c>
      <c r="B53" s="46"/>
      <c r="C53" s="100" t="s">
        <v>643</v>
      </c>
      <c r="D53" s="101"/>
    </row>
    <row r="54" spans="1:5" x14ac:dyDescent="0.2">
      <c r="A54" s="102"/>
      <c r="B54" s="103"/>
      <c r="C54" s="47" t="s">
        <v>644</v>
      </c>
      <c r="D54" s="47" t="s">
        <v>645</v>
      </c>
    </row>
    <row r="55" spans="1:5" x14ac:dyDescent="0.2">
      <c r="A55" s="83" t="s">
        <v>639</v>
      </c>
      <c r="B55" s="63"/>
      <c r="C55" s="90">
        <v>0.46820975500000001</v>
      </c>
      <c r="D55" s="90">
        <v>0.43356456650000003</v>
      </c>
    </row>
    <row r="56" spans="1:5" x14ac:dyDescent="0.2">
      <c r="B56" s="91"/>
      <c r="C56" s="92"/>
      <c r="D56" s="92"/>
    </row>
    <row r="57" spans="1:5" x14ac:dyDescent="0.2">
      <c r="A57" s="4" t="s">
        <v>647</v>
      </c>
      <c r="D57" s="53">
        <v>1.5917856049599794</v>
      </c>
      <c r="E57" s="73" t="s">
        <v>1295</v>
      </c>
    </row>
  </sheetData>
  <mergeCells count="3">
    <mergeCell ref="A1:F1"/>
    <mergeCell ref="C53:D53"/>
    <mergeCell ref="A54:B54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BD248-0897-47F4-8614-2C375EB6F34F}">
  <dimension ref="A1:F65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6" style="2" bestFit="1" customWidth="1"/>
    <col min="3" max="3" width="11.7109375" style="2" bestFit="1" customWidth="1"/>
    <col min="4" max="4" width="7.42578125" style="2" bestFit="1" customWidth="1"/>
    <col min="5" max="5" width="23" style="73" bestFit="1" customWidth="1"/>
    <col min="6" max="6" width="13.5703125" style="73" bestFit="1" customWidth="1"/>
    <col min="7" max="16384" width="9.140625" style="2"/>
  </cols>
  <sheetData>
    <row r="1" spans="1:6" ht="15" customHeight="1" x14ac:dyDescent="0.2">
      <c r="A1" s="108" t="s">
        <v>1358</v>
      </c>
      <c r="B1" s="108"/>
      <c r="C1" s="108"/>
      <c r="D1" s="108"/>
      <c r="E1" s="108"/>
      <c r="F1" s="108"/>
    </row>
    <row r="3" spans="1:6" s="4" customFormat="1" x14ac:dyDescent="0.2">
      <c r="A3" s="64" t="s">
        <v>1</v>
      </c>
      <c r="B3" s="64" t="s">
        <v>2</v>
      </c>
      <c r="C3" s="64" t="s">
        <v>716</v>
      </c>
      <c r="D3" s="64" t="s">
        <v>4</v>
      </c>
      <c r="E3" s="65" t="s">
        <v>5</v>
      </c>
      <c r="F3" s="65" t="s">
        <v>6</v>
      </c>
    </row>
    <row r="4" spans="1:6" x14ac:dyDescent="0.2">
      <c r="A4" s="66"/>
      <c r="B4" s="66"/>
      <c r="C4" s="66"/>
      <c r="D4" s="66"/>
      <c r="E4" s="67"/>
      <c r="F4" s="67"/>
    </row>
    <row r="5" spans="1:6" x14ac:dyDescent="0.2">
      <c r="A5" s="38" t="s">
        <v>359</v>
      </c>
      <c r="B5" s="39"/>
      <c r="C5" s="39"/>
      <c r="D5" s="39"/>
      <c r="E5" s="68"/>
      <c r="F5" s="68"/>
    </row>
    <row r="6" spans="1:6" x14ac:dyDescent="0.2">
      <c r="A6" s="38" t="s">
        <v>8</v>
      </c>
      <c r="B6" s="39"/>
      <c r="C6" s="39"/>
      <c r="D6" s="39"/>
      <c r="E6" s="68"/>
      <c r="F6" s="68"/>
    </row>
    <row r="7" spans="1:6" x14ac:dyDescent="0.2">
      <c r="A7" s="38"/>
      <c r="B7" s="39"/>
      <c r="C7" s="39"/>
      <c r="D7" s="39"/>
      <c r="E7" s="68"/>
      <c r="F7" s="68"/>
    </row>
    <row r="8" spans="1:6" x14ac:dyDescent="0.2">
      <c r="A8" s="39" t="s">
        <v>1359</v>
      </c>
      <c r="B8" s="39" t="str">
        <f>IFERROR(VLOOKUP(A8,[1]Bonds!$B$1:$K$2669,10,0),VLOOKUP(A8,[1]CPCD!$B$1:$H$1476,7,0))</f>
        <v>7.75% Power Finance Corp Ltd (15-Apr-2021) **</v>
      </c>
      <c r="C8" s="39" t="s">
        <v>361</v>
      </c>
      <c r="D8" s="39">
        <v>173</v>
      </c>
      <c r="E8" s="68">
        <v>1741.0650800000001</v>
      </c>
      <c r="F8" s="68">
        <v>10.2291122426389</v>
      </c>
    </row>
    <row r="9" spans="1:6" x14ac:dyDescent="0.2">
      <c r="A9" s="39" t="s">
        <v>1239</v>
      </c>
      <c r="B9" s="39" t="str">
        <f>IFERROR(VLOOKUP(A9,[1]Bonds!$B$1:$K$2669,10,0),VLOOKUP(A9,[1]CPCD!$B$1:$H$1476,7,0))</f>
        <v>7.70% Rec Ltd (15-Mar-2021) **</v>
      </c>
      <c r="C9" s="39" t="s">
        <v>361</v>
      </c>
      <c r="D9" s="39">
        <v>161</v>
      </c>
      <c r="E9" s="68">
        <v>1619.0836200000001</v>
      </c>
      <c r="F9" s="68">
        <v>9.5124463005128703</v>
      </c>
    </row>
    <row r="10" spans="1:6" x14ac:dyDescent="0.2">
      <c r="A10" s="39" t="s">
        <v>1249</v>
      </c>
      <c r="B10" s="39" t="str">
        <f>IFERROR(VLOOKUP(A10,[1]Bonds!$B$1:$K$2669,10,0),VLOOKUP(A10,[1]CPCD!$B$1:$H$1476,7,0))</f>
        <v>7.65% Small Industries Development Bank Of India (15-Apr-2021) **</v>
      </c>
      <c r="C10" s="39" t="s">
        <v>916</v>
      </c>
      <c r="D10" s="39">
        <v>150</v>
      </c>
      <c r="E10" s="68">
        <v>1519.2645</v>
      </c>
      <c r="F10" s="68">
        <v>8.9259886234446206</v>
      </c>
    </row>
    <row r="11" spans="1:6" x14ac:dyDescent="0.2">
      <c r="A11" s="39" t="s">
        <v>1360</v>
      </c>
      <c r="B11" s="39" t="str">
        <f>IFERROR(VLOOKUP(A11,[1]Bonds!$B$1:$K$2669,10,0),VLOOKUP(A11,[1]CPCD!$B$1:$H$1476,7,0))</f>
        <v>7.68% Housing &amp; Urban Development Corp Ltd (05-Apr-2021) **</v>
      </c>
      <c r="C11" s="39" t="s">
        <v>973</v>
      </c>
      <c r="D11" s="39">
        <v>149</v>
      </c>
      <c r="E11" s="68">
        <v>1506.15905</v>
      </c>
      <c r="F11" s="68">
        <v>8.8489914332877202</v>
      </c>
    </row>
    <row r="12" spans="1:6" x14ac:dyDescent="0.2">
      <c r="A12" s="39" t="s">
        <v>1341</v>
      </c>
      <c r="B12" s="39" t="str">
        <f>IFERROR(VLOOKUP(A12,[1]Bonds!$B$1:$K$2669,10,0),VLOOKUP(A12,[1]CPCD!$B$1:$H$1476,7,0))</f>
        <v>9.00% ICICI Home Finance Company Ltd (27-May-2021) **</v>
      </c>
      <c r="C12" s="39" t="s">
        <v>973</v>
      </c>
      <c r="D12" s="39">
        <v>300</v>
      </c>
      <c r="E12" s="68">
        <v>1500.144</v>
      </c>
      <c r="F12" s="68">
        <v>8.8136517884336207</v>
      </c>
    </row>
    <row r="13" spans="1:6" x14ac:dyDescent="0.2">
      <c r="A13" s="39" t="s">
        <v>1361</v>
      </c>
      <c r="B13" s="39" t="str">
        <f>IFERROR(VLOOKUP(A13,[1]Bonds!$B$1:$K$2669,10,0),VLOOKUP(A13,[1]CPCD!$B$1:$H$1476,7,0))</f>
        <v>0.00% Kotak Mahindra Prime Ltd (27-May-2021) **</v>
      </c>
      <c r="C13" s="39" t="s">
        <v>361</v>
      </c>
      <c r="D13" s="39">
        <v>128</v>
      </c>
      <c r="E13" s="68">
        <v>1125.4387200000001</v>
      </c>
      <c r="F13" s="68">
        <v>6.6121818887389798</v>
      </c>
    </row>
    <row r="14" spans="1:6" x14ac:dyDescent="0.2">
      <c r="A14" s="39" t="s">
        <v>1248</v>
      </c>
      <c r="B14" s="39" t="str">
        <f>IFERROR(VLOOKUP(A14,[1]Bonds!$B$1:$K$2669,10,0),VLOOKUP(A14,[1]CPCD!$B$1:$H$1476,7,0))</f>
        <v>8.40% Power Grid Corp Of India Ltd (27-May-2021) **</v>
      </c>
      <c r="C14" s="39" t="s">
        <v>361</v>
      </c>
      <c r="D14" s="39">
        <v>100</v>
      </c>
      <c r="E14" s="68">
        <v>1028.973</v>
      </c>
      <c r="F14" s="68">
        <v>6.0454261202257298</v>
      </c>
    </row>
    <row r="15" spans="1:6" x14ac:dyDescent="0.2">
      <c r="A15" s="39" t="s">
        <v>1355</v>
      </c>
      <c r="B15" s="39" t="str">
        <f>IFERROR(VLOOKUP(A15,[1]Bonds!$B$1:$K$2669,10,0),VLOOKUP(A15,[1]CPCD!$B$1:$H$1476,7,0))</f>
        <v>0.00% HDB Financial Services Limited (06-Apr-2021) **</v>
      </c>
      <c r="C15" s="39" t="s">
        <v>361</v>
      </c>
      <c r="D15" s="39">
        <v>89</v>
      </c>
      <c r="E15" s="68">
        <v>1006.6060199999999</v>
      </c>
      <c r="F15" s="68">
        <v>5.91401555345423</v>
      </c>
    </row>
    <row r="16" spans="1:6" x14ac:dyDescent="0.2">
      <c r="A16" s="39" t="s">
        <v>1342</v>
      </c>
      <c r="B16" s="39" t="str">
        <f>IFERROR(VLOOKUP(A16,[1]Bonds!$B$1:$K$2669,10,0),VLOOKUP(A16,[1]CPCD!$B$1:$H$1476,7,0))</f>
        <v>0.00% Bajaj Housing Finance Ltd (06-Apr-2021) **</v>
      </c>
      <c r="C16" s="39" t="s">
        <v>361</v>
      </c>
      <c r="D16" s="39">
        <v>84</v>
      </c>
      <c r="E16" s="68">
        <v>956.08043999999995</v>
      </c>
      <c r="F16" s="68">
        <v>5.6171674718509701</v>
      </c>
    </row>
    <row r="17" spans="1:6" x14ac:dyDescent="0.2">
      <c r="A17" s="39" t="s">
        <v>1362</v>
      </c>
      <c r="B17" s="39" t="str">
        <f>IFERROR(VLOOKUP(A17,[1]Bonds!$B$1:$K$2669,10,0),VLOOKUP(A17,[1]CPCD!$B$1:$H$1476,7,0))</f>
        <v>7.40% National Bank For Agriculture And Rural Development (01-Feb-2021) **</v>
      </c>
      <c r="C17" s="39" t="s">
        <v>361</v>
      </c>
      <c r="D17" s="39">
        <v>50</v>
      </c>
      <c r="E17" s="68">
        <v>503.4855</v>
      </c>
      <c r="F17" s="68">
        <v>2.95807994267577</v>
      </c>
    </row>
    <row r="18" spans="1:6" x14ac:dyDescent="0.2">
      <c r="A18" s="39" t="s">
        <v>1198</v>
      </c>
      <c r="B18" s="39" t="str">
        <f>IFERROR(VLOOKUP(A18,[1]Bonds!$B$1:$K$2669,10,0),VLOOKUP(A18,[1]CPCD!$B$1:$H$1476,7,0))</f>
        <v>7.65% Indian Railway Finance Corp Ltd (15-Mar-2021) **</v>
      </c>
      <c r="C18" s="39" t="s">
        <v>361</v>
      </c>
      <c r="D18" s="39">
        <v>29</v>
      </c>
      <c r="E18" s="68">
        <v>294.60288000000003</v>
      </c>
      <c r="F18" s="68">
        <v>1.73085197167052</v>
      </c>
    </row>
    <row r="19" spans="1:6" x14ac:dyDescent="0.2">
      <c r="A19" s="39" t="s">
        <v>974</v>
      </c>
      <c r="B19" s="39" t="str">
        <f>IFERROR(VLOOKUP(A19,[1]Bonds!$B$1:$K$2669,10,0),VLOOKUP(A19,[1]CPCD!$B$1:$H$1476,7,0))</f>
        <v>9.30% Fullerton India Credit Co Ltd (15-Mar-2021) **</v>
      </c>
      <c r="C19" s="39" t="s">
        <v>361</v>
      </c>
      <c r="D19" s="39">
        <v>24</v>
      </c>
      <c r="E19" s="68">
        <v>240.1908</v>
      </c>
      <c r="F19" s="68">
        <v>1.41116991034547</v>
      </c>
    </row>
    <row r="20" spans="1:6" x14ac:dyDescent="0.2">
      <c r="A20" s="39" t="s">
        <v>1352</v>
      </c>
      <c r="B20" s="39" t="str">
        <f>IFERROR(VLOOKUP(A20,[1]Bonds!$B$1:$K$2669,10,0),VLOOKUP(A20,[1]CPCD!$B$1:$H$1476,7,0))</f>
        <v>8.10% Mahindra &amp; Mahindra Financial Services Ltd (19-Apr-2021) **</v>
      </c>
      <c r="C20" s="39" t="s">
        <v>973</v>
      </c>
      <c r="D20" s="39">
        <v>22</v>
      </c>
      <c r="E20" s="68">
        <v>220.57596000000001</v>
      </c>
      <c r="F20" s="68">
        <v>1.29592872706851</v>
      </c>
    </row>
    <row r="21" spans="1:6" x14ac:dyDescent="0.2">
      <c r="A21" s="39" t="s">
        <v>1330</v>
      </c>
      <c r="B21" s="39" t="str">
        <f>IFERROR(VLOOKUP(A21,[1]Bonds!$B$1:$K$2669,10,0),VLOOKUP(A21,[1]CPCD!$B$1:$H$1476,7,0))</f>
        <v>0.00% LIC Housing Finance Ltd (25-Mar-2021) **</v>
      </c>
      <c r="C21" s="39" t="s">
        <v>361</v>
      </c>
      <c r="D21" s="39">
        <v>15</v>
      </c>
      <c r="E21" s="68">
        <v>170.79990000000001</v>
      </c>
      <c r="F21" s="68">
        <v>1.0034842282469401</v>
      </c>
    </row>
    <row r="22" spans="1:6" x14ac:dyDescent="0.2">
      <c r="A22" s="39" t="s">
        <v>1250</v>
      </c>
      <c r="B22" s="39" t="str">
        <f>IFERROR(VLOOKUP(A22,[1]Bonds!$B$1:$K$2669,10,0),VLOOKUP(A22,[1]CPCD!$B$1:$H$1476,7,0))</f>
        <v>7.18% Rec Ltd (21-May-2021) **</v>
      </c>
      <c r="C22" s="39" t="s">
        <v>361</v>
      </c>
      <c r="D22" s="39">
        <v>8</v>
      </c>
      <c r="E22" s="68">
        <v>79.807199999999995</v>
      </c>
      <c r="F22" s="68">
        <v>0.46888356785073898</v>
      </c>
    </row>
    <row r="23" spans="1:6" x14ac:dyDescent="0.2">
      <c r="A23" s="38" t="s">
        <v>44</v>
      </c>
      <c r="B23" s="39"/>
      <c r="C23" s="39"/>
      <c r="D23" s="39"/>
      <c r="E23" s="69">
        <f>SUM(E8:E22)</f>
        <v>13512.276669999999</v>
      </c>
      <c r="F23" s="69">
        <f>SUM(F8:F22)</f>
        <v>79.387379770445591</v>
      </c>
    </row>
    <row r="24" spans="1:6" x14ac:dyDescent="0.2">
      <c r="A24" s="39"/>
      <c r="B24" s="39"/>
      <c r="C24" s="39"/>
      <c r="D24" s="39"/>
      <c r="E24" s="68"/>
      <c r="F24" s="68"/>
    </row>
    <row r="25" spans="1:6" x14ac:dyDescent="0.2">
      <c r="A25" s="38" t="s">
        <v>815</v>
      </c>
      <c r="B25" s="39"/>
      <c r="C25" s="39"/>
      <c r="D25" s="39"/>
      <c r="E25" s="68"/>
      <c r="F25" s="68"/>
    </row>
    <row r="26" spans="1:6" x14ac:dyDescent="0.2">
      <c r="A26" s="39" t="s">
        <v>1357</v>
      </c>
      <c r="B26" s="39" t="str">
        <f>IFERROR(VLOOKUP(A26,[1]Bonds!$B$1:$K$2669,10,0),VLOOKUP(A26,[1]CPCD!$B$1:$H$1476,7,0))</f>
        <v>8.19% Mahindra Vehicle Manufactures Ltd (23-Feb-2021) **</v>
      </c>
      <c r="C26" s="39" t="s">
        <v>973</v>
      </c>
      <c r="D26" s="39">
        <v>150</v>
      </c>
      <c r="E26" s="68">
        <v>1504.7550000000001</v>
      </c>
      <c r="F26" s="68">
        <v>8.8407423533370295</v>
      </c>
    </row>
    <row r="27" spans="1:6" x14ac:dyDescent="0.2">
      <c r="A27" s="39" t="s">
        <v>1363</v>
      </c>
      <c r="B27" s="39" t="str">
        <f>IFERROR(VLOOKUP(A27,[1]Bonds!$B$1:$K$2669,10,0),VLOOKUP(A27,[1]CPCD!$B$1:$H$1476,7,0))</f>
        <v>8.25% Tata Sons Pvt Ltd (24-Mar-2021) **</v>
      </c>
      <c r="C27" s="39" t="s">
        <v>361</v>
      </c>
      <c r="D27" s="39">
        <v>150</v>
      </c>
      <c r="E27" s="68">
        <v>1502.271</v>
      </c>
      <c r="F27" s="68">
        <v>8.8261483469999895</v>
      </c>
    </row>
    <row r="28" spans="1:6" x14ac:dyDescent="0.2">
      <c r="A28" s="39" t="s">
        <v>1251</v>
      </c>
      <c r="B28" s="39" t="str">
        <f>IFERROR(VLOOKUP(A28,[1]Bonds!$B$1:$K$2669,10,0),VLOOKUP(A28,[1]CPCD!$B$1:$H$1476,7,0))</f>
        <v>7.48% Bennett Coleman And Co Ltd (26-Apr-2021) **</v>
      </c>
      <c r="C28" s="39" t="s">
        <v>361</v>
      </c>
      <c r="D28" s="39">
        <v>2</v>
      </c>
      <c r="E28" s="68">
        <v>19.964680000000001</v>
      </c>
      <c r="F28" s="68">
        <v>0.117296564588136</v>
      </c>
    </row>
    <row r="29" spans="1:6" x14ac:dyDescent="0.2">
      <c r="A29" s="38" t="s">
        <v>44</v>
      </c>
      <c r="B29" s="39"/>
      <c r="C29" s="39"/>
      <c r="D29" s="39"/>
      <c r="E29" s="69">
        <f>SUM(E26:E28)</f>
        <v>3026.9906799999999</v>
      </c>
      <c r="F29" s="69">
        <f>SUM(F26:F28)</f>
        <v>17.784187264925158</v>
      </c>
    </row>
    <row r="30" spans="1:6" x14ac:dyDescent="0.2">
      <c r="A30" s="39"/>
      <c r="B30" s="39"/>
      <c r="C30" s="39"/>
      <c r="D30" s="39"/>
      <c r="E30" s="68"/>
      <c r="F30" s="68"/>
    </row>
    <row r="31" spans="1:6" x14ac:dyDescent="0.2">
      <c r="A31" s="38" t="s">
        <v>44</v>
      </c>
      <c r="B31" s="39"/>
      <c r="C31" s="39"/>
      <c r="D31" s="39"/>
      <c r="E31" s="69">
        <f>E23+E29</f>
        <v>16539.267349999998</v>
      </c>
      <c r="F31" s="69">
        <f>F23+F29</f>
        <v>97.171567035370742</v>
      </c>
    </row>
    <row r="32" spans="1:6" x14ac:dyDescent="0.2">
      <c r="A32" s="39"/>
      <c r="B32" s="39"/>
      <c r="C32" s="39"/>
      <c r="D32" s="39"/>
      <c r="E32" s="68"/>
      <c r="F32" s="68"/>
    </row>
    <row r="33" spans="1:6" x14ac:dyDescent="0.2">
      <c r="A33" s="38" t="s">
        <v>76</v>
      </c>
      <c r="B33" s="39"/>
      <c r="C33" s="39"/>
      <c r="D33" s="39"/>
      <c r="E33" s="69">
        <v>481.41604489999997</v>
      </c>
      <c r="F33" s="69">
        <v>2.83</v>
      </c>
    </row>
    <row r="34" spans="1:6" x14ac:dyDescent="0.2">
      <c r="A34" s="39"/>
      <c r="B34" s="39"/>
      <c r="C34" s="39"/>
      <c r="D34" s="39"/>
      <c r="E34" s="68"/>
      <c r="F34" s="68"/>
    </row>
    <row r="35" spans="1:6" x14ac:dyDescent="0.2">
      <c r="A35" s="71" t="s">
        <v>77</v>
      </c>
      <c r="B35" s="66"/>
      <c r="C35" s="66"/>
      <c r="D35" s="66"/>
      <c r="E35" s="72">
        <f>E31+E33</f>
        <v>17020.683394899999</v>
      </c>
      <c r="F35" s="72">
        <f>F31+F33</f>
        <v>100.00156703537074</v>
      </c>
    </row>
    <row r="36" spans="1:6" x14ac:dyDescent="0.2">
      <c r="A36" s="52" t="s">
        <v>619</v>
      </c>
    </row>
    <row r="38" spans="1:6" x14ac:dyDescent="0.2">
      <c r="A38" s="4" t="s">
        <v>78</v>
      </c>
    </row>
    <row r="39" spans="1:6" x14ac:dyDescent="0.2">
      <c r="A39" s="4" t="s">
        <v>650</v>
      </c>
    </row>
    <row r="40" spans="1:6" x14ac:dyDescent="0.2">
      <c r="A40" s="4" t="s">
        <v>80</v>
      </c>
    </row>
    <row r="41" spans="1:6" x14ac:dyDescent="0.2">
      <c r="A41" s="2" t="s">
        <v>638</v>
      </c>
      <c r="D41" s="10">
        <v>10.6089</v>
      </c>
    </row>
    <row r="42" spans="1:6" x14ac:dyDescent="0.2">
      <c r="A42" s="2" t="s">
        <v>639</v>
      </c>
      <c r="D42" s="10">
        <v>10.6089</v>
      </c>
    </row>
    <row r="43" spans="1:6" x14ac:dyDescent="0.2">
      <c r="A43" s="2" t="s">
        <v>652</v>
      </c>
      <c r="D43" s="10">
        <v>10.248200000000001</v>
      </c>
    </row>
    <row r="44" spans="1:6" x14ac:dyDescent="0.2">
      <c r="A44" s="2" t="s">
        <v>640</v>
      </c>
      <c r="D44" s="10">
        <v>10.657999999999999</v>
      </c>
    </row>
    <row r="45" spans="1:6" x14ac:dyDescent="0.2">
      <c r="A45" s="2" t="s">
        <v>641</v>
      </c>
      <c r="D45" s="10">
        <v>10.657999999999999</v>
      </c>
    </row>
    <row r="46" spans="1:6" x14ac:dyDescent="0.2">
      <c r="A46" s="2" t="s">
        <v>654</v>
      </c>
      <c r="D46" s="10">
        <v>10.2867</v>
      </c>
    </row>
    <row r="48" spans="1:6" x14ac:dyDescent="0.2">
      <c r="A48" s="4" t="s">
        <v>81</v>
      </c>
    </row>
    <row r="49" spans="1:4" x14ac:dyDescent="0.2">
      <c r="A49" s="2" t="s">
        <v>638</v>
      </c>
      <c r="D49" s="10">
        <v>11.214399999999999</v>
      </c>
    </row>
    <row r="50" spans="1:4" x14ac:dyDescent="0.2">
      <c r="A50" s="2" t="s">
        <v>639</v>
      </c>
      <c r="D50" s="10">
        <v>10.4986</v>
      </c>
    </row>
    <row r="51" spans="1:4" x14ac:dyDescent="0.2">
      <c r="A51" s="2" t="s">
        <v>652</v>
      </c>
      <c r="D51" s="10">
        <v>10.3935</v>
      </c>
    </row>
    <row r="52" spans="1:4" x14ac:dyDescent="0.2">
      <c r="A52" s="2" t="s">
        <v>640</v>
      </c>
      <c r="D52" s="10">
        <v>11.2819</v>
      </c>
    </row>
    <row r="53" spans="1:4" x14ac:dyDescent="0.2">
      <c r="A53" s="2" t="s">
        <v>641</v>
      </c>
      <c r="D53" s="10">
        <v>10.5661</v>
      </c>
    </row>
    <row r="54" spans="1:4" x14ac:dyDescent="0.2">
      <c r="A54" s="2" t="s">
        <v>654</v>
      </c>
      <c r="D54" s="10">
        <v>10.449299999999999</v>
      </c>
    </row>
    <row r="57" spans="1:4" x14ac:dyDescent="0.2">
      <c r="A57" s="4" t="s">
        <v>82</v>
      </c>
      <c r="D57" s="44" t="s">
        <v>299</v>
      </c>
    </row>
    <row r="58" spans="1:4" x14ac:dyDescent="0.2">
      <c r="A58" s="45" t="s">
        <v>642</v>
      </c>
      <c r="B58" s="46"/>
      <c r="C58" s="100" t="s">
        <v>643</v>
      </c>
      <c r="D58" s="101"/>
    </row>
    <row r="59" spans="1:4" x14ac:dyDescent="0.2">
      <c r="A59" s="102"/>
      <c r="B59" s="103"/>
      <c r="C59" s="47" t="s">
        <v>644</v>
      </c>
      <c r="D59" s="47" t="s">
        <v>645</v>
      </c>
    </row>
    <row r="60" spans="1:4" x14ac:dyDescent="0.2">
      <c r="A60" s="2" t="s">
        <v>639</v>
      </c>
      <c r="B60" s="63"/>
      <c r="C60" s="89">
        <v>0.50422589000000007</v>
      </c>
      <c r="D60" s="89">
        <v>0.46691568700000002</v>
      </c>
    </row>
    <row r="61" spans="1:4" x14ac:dyDescent="0.2">
      <c r="A61" s="48" t="s">
        <v>1327</v>
      </c>
      <c r="B61" s="49"/>
      <c r="C61" s="89">
        <v>0.30613714749999998</v>
      </c>
      <c r="D61" s="89">
        <v>0.28348452430000004</v>
      </c>
    </row>
    <row r="62" spans="1:4" x14ac:dyDescent="0.2">
      <c r="A62" s="83" t="s">
        <v>641</v>
      </c>
      <c r="B62" s="49"/>
      <c r="C62" s="89">
        <v>0.50422589000000007</v>
      </c>
      <c r="D62" s="89">
        <v>0.46691568700000002</v>
      </c>
    </row>
    <row r="63" spans="1:4" x14ac:dyDescent="0.2">
      <c r="A63" s="93" t="s">
        <v>654</v>
      </c>
      <c r="B63" s="49"/>
      <c r="C63" s="89">
        <v>0.30613714749999998</v>
      </c>
      <c r="D63" s="89">
        <v>0.28348452430000004</v>
      </c>
    </row>
    <row r="64" spans="1:4" x14ac:dyDescent="0.2">
      <c r="A64" s="4"/>
      <c r="D64" s="94"/>
    </row>
    <row r="65" spans="1:5" x14ac:dyDescent="0.2">
      <c r="A65" s="4" t="s">
        <v>647</v>
      </c>
      <c r="D65" s="53">
        <v>1.562252492209236</v>
      </c>
      <c r="E65" s="73" t="s">
        <v>1295</v>
      </c>
    </row>
  </sheetData>
  <mergeCells count="3">
    <mergeCell ref="A1:F1"/>
    <mergeCell ref="C58:D58"/>
    <mergeCell ref="A59:B59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FF7FE-948D-4CAB-A69B-0FEDA6F996E9}">
  <dimension ref="A1:F58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6" style="2" bestFit="1" customWidth="1"/>
    <col min="3" max="3" width="11.7109375" style="2" bestFit="1" customWidth="1"/>
    <col min="4" max="4" width="7.42578125" style="2" bestFit="1" customWidth="1"/>
    <col min="5" max="5" width="23" style="73" bestFit="1" customWidth="1"/>
    <col min="6" max="6" width="13.5703125" style="73" bestFit="1" customWidth="1"/>
    <col min="7" max="16384" width="9.140625" style="2"/>
  </cols>
  <sheetData>
    <row r="1" spans="1:6" ht="15" customHeight="1" x14ac:dyDescent="0.2">
      <c r="A1" s="108" t="s">
        <v>1364</v>
      </c>
      <c r="B1" s="108"/>
      <c r="C1" s="108"/>
      <c r="D1" s="108"/>
      <c r="E1" s="108"/>
      <c r="F1" s="108"/>
    </row>
    <row r="3" spans="1:6" s="4" customFormat="1" x14ac:dyDescent="0.2">
      <c r="A3" s="64" t="s">
        <v>1</v>
      </c>
      <c r="B3" s="64" t="s">
        <v>2</v>
      </c>
      <c r="C3" s="64" t="s">
        <v>716</v>
      </c>
      <c r="D3" s="64" t="s">
        <v>4</v>
      </c>
      <c r="E3" s="65" t="s">
        <v>5</v>
      </c>
      <c r="F3" s="65" t="s">
        <v>6</v>
      </c>
    </row>
    <row r="4" spans="1:6" x14ac:dyDescent="0.2">
      <c r="A4" s="66"/>
      <c r="B4" s="66"/>
      <c r="C4" s="66"/>
      <c r="D4" s="66"/>
      <c r="E4" s="67"/>
      <c r="F4" s="67"/>
    </row>
    <row r="5" spans="1:6" x14ac:dyDescent="0.2">
      <c r="A5" s="38" t="s">
        <v>359</v>
      </c>
      <c r="B5" s="39"/>
      <c r="C5" s="39"/>
      <c r="D5" s="39"/>
      <c r="E5" s="68"/>
      <c r="F5" s="68"/>
    </row>
    <row r="6" spans="1:6" x14ac:dyDescent="0.2">
      <c r="A6" s="38" t="s">
        <v>8</v>
      </c>
      <c r="B6" s="39"/>
      <c r="C6" s="39"/>
      <c r="D6" s="39"/>
      <c r="E6" s="68"/>
      <c r="F6" s="68"/>
    </row>
    <row r="7" spans="1:6" x14ac:dyDescent="0.2">
      <c r="A7" s="38"/>
      <c r="B7" s="39"/>
      <c r="C7" s="39"/>
      <c r="D7" s="39"/>
      <c r="E7" s="68"/>
      <c r="F7" s="68"/>
    </row>
    <row r="8" spans="1:6" x14ac:dyDescent="0.2">
      <c r="A8" s="39" t="s">
        <v>1239</v>
      </c>
      <c r="B8" s="39" t="str">
        <f>IFERROR(VLOOKUP(A8,[1]Bonds!$B$1:$K$2669,10,0),VLOOKUP(A8,[1]CPCD!$B$1:$H$1476,7,0))</f>
        <v>7.70% Rec Ltd (15-Mar-2021) **</v>
      </c>
      <c r="C8" s="39" t="s">
        <v>361</v>
      </c>
      <c r="D8" s="39">
        <v>52</v>
      </c>
      <c r="E8" s="68">
        <v>522.93384000000003</v>
      </c>
      <c r="F8" s="68">
        <v>9.9507165197979504</v>
      </c>
    </row>
    <row r="9" spans="1:6" x14ac:dyDescent="0.2">
      <c r="A9" s="39" t="s">
        <v>1342</v>
      </c>
      <c r="B9" s="39" t="str">
        <f>IFERROR(VLOOKUP(A9,[1]Bonds!$B$1:$K$2669,10,0),VLOOKUP(A9,[1]CPCD!$B$1:$H$1476,7,0))</f>
        <v>0.00% Bajaj Housing Finance Ltd (06-Apr-2021) **</v>
      </c>
      <c r="C9" s="39" t="s">
        <v>361</v>
      </c>
      <c r="D9" s="39">
        <v>45</v>
      </c>
      <c r="E9" s="68">
        <v>512.18595000000005</v>
      </c>
      <c r="F9" s="68">
        <v>9.7461988573418896</v>
      </c>
    </row>
    <row r="10" spans="1:6" x14ac:dyDescent="0.2">
      <c r="A10" s="39" t="s">
        <v>1355</v>
      </c>
      <c r="B10" s="39" t="str">
        <f>IFERROR(VLOOKUP(A10,[1]Bonds!$B$1:$K$2669,10,0),VLOOKUP(A10,[1]CPCD!$B$1:$H$1476,7,0))</f>
        <v>0.00% HDB Financial Services Limited (06-Apr-2021) **</v>
      </c>
      <c r="C10" s="39" t="s">
        <v>361</v>
      </c>
      <c r="D10" s="39">
        <v>45</v>
      </c>
      <c r="E10" s="68">
        <v>508.9581</v>
      </c>
      <c r="F10" s="68">
        <v>9.6847772818736892</v>
      </c>
    </row>
    <row r="11" spans="1:6" x14ac:dyDescent="0.2">
      <c r="A11" s="39" t="s">
        <v>1249</v>
      </c>
      <c r="B11" s="39" t="str">
        <f>IFERROR(VLOOKUP(A11,[1]Bonds!$B$1:$K$2669,10,0),VLOOKUP(A11,[1]CPCD!$B$1:$H$1476,7,0))</f>
        <v>7.65% Small Industries Development Bank Of India (15-Apr-2021) **</v>
      </c>
      <c r="C11" s="39" t="s">
        <v>916</v>
      </c>
      <c r="D11" s="39">
        <v>46</v>
      </c>
      <c r="E11" s="68">
        <v>465.90778</v>
      </c>
      <c r="F11" s="68">
        <v>8.8655885095299691</v>
      </c>
    </row>
    <row r="12" spans="1:6" x14ac:dyDescent="0.2">
      <c r="A12" s="39" t="s">
        <v>1362</v>
      </c>
      <c r="B12" s="39" t="str">
        <f>IFERROR(VLOOKUP(A12,[1]Bonds!$B$1:$K$2669,10,0),VLOOKUP(A12,[1]CPCD!$B$1:$H$1476,7,0))</f>
        <v>7.40% National Bank For Agriculture And Rural Development (01-Feb-2021) **</v>
      </c>
      <c r="C12" s="39" t="s">
        <v>361</v>
      </c>
      <c r="D12" s="39">
        <v>46</v>
      </c>
      <c r="E12" s="68">
        <v>463.20666</v>
      </c>
      <c r="F12" s="68">
        <v>8.8141898863199</v>
      </c>
    </row>
    <row r="13" spans="1:6" x14ac:dyDescent="0.2">
      <c r="A13" s="39" t="s">
        <v>1359</v>
      </c>
      <c r="B13" s="39" t="str">
        <f>IFERROR(VLOOKUP(A13,[1]Bonds!$B$1:$K$2669,10,0),VLOOKUP(A13,[1]CPCD!$B$1:$H$1476,7,0))</f>
        <v>7.75% Power Finance Corp Ltd (15-Apr-2021) **</v>
      </c>
      <c r="C13" s="39" t="s">
        <v>361</v>
      </c>
      <c r="D13" s="39">
        <v>45</v>
      </c>
      <c r="E13" s="68">
        <v>452.87819999999999</v>
      </c>
      <c r="F13" s="68">
        <v>8.6176534037199808</v>
      </c>
    </row>
    <row r="14" spans="1:6" x14ac:dyDescent="0.2">
      <c r="A14" s="39" t="s">
        <v>1198</v>
      </c>
      <c r="B14" s="39" t="str">
        <f>IFERROR(VLOOKUP(A14,[1]Bonds!$B$1:$K$2669,10,0),VLOOKUP(A14,[1]CPCD!$B$1:$H$1476,7,0))</f>
        <v>7.65% Indian Railway Finance Corp Ltd (15-Mar-2021) **</v>
      </c>
      <c r="C14" s="39" t="s">
        <v>361</v>
      </c>
      <c r="D14" s="39">
        <v>38</v>
      </c>
      <c r="E14" s="68">
        <v>386.03136000000001</v>
      </c>
      <c r="F14" s="68">
        <v>7.3456493676371499</v>
      </c>
    </row>
    <row r="15" spans="1:6" x14ac:dyDescent="0.2">
      <c r="A15" s="39" t="s">
        <v>1228</v>
      </c>
      <c r="B15" s="39" t="str">
        <f>IFERROR(VLOOKUP(A15,[1]Bonds!$B$1:$K$2669,10,0),VLOOKUP(A15,[1]CPCD!$B$1:$H$1476,7,0))</f>
        <v>0.00% Fullerton India Credit Co Ltd (08-Apr-2021) **</v>
      </c>
      <c r="C15" s="39" t="s">
        <v>916</v>
      </c>
      <c r="D15" s="39">
        <v>34</v>
      </c>
      <c r="E15" s="68">
        <v>378.07592</v>
      </c>
      <c r="F15" s="68">
        <v>7.1942682135120704</v>
      </c>
    </row>
    <row r="16" spans="1:6" x14ac:dyDescent="0.2">
      <c r="A16" s="39" t="s">
        <v>1330</v>
      </c>
      <c r="B16" s="39" t="str">
        <f>IFERROR(VLOOKUP(A16,[1]Bonds!$B$1:$K$2669,10,0),VLOOKUP(A16,[1]CPCD!$B$1:$H$1476,7,0))</f>
        <v>0.00% LIC Housing Finance Ltd (25-Mar-2021) **</v>
      </c>
      <c r="C16" s="39" t="s">
        <v>361</v>
      </c>
      <c r="D16" s="39">
        <v>28</v>
      </c>
      <c r="E16" s="68">
        <v>318.82648</v>
      </c>
      <c r="F16" s="68">
        <v>6.0668323195244502</v>
      </c>
    </row>
    <row r="17" spans="1:6" x14ac:dyDescent="0.2">
      <c r="A17" s="39" t="s">
        <v>976</v>
      </c>
      <c r="B17" s="39" t="str">
        <f>IFERROR(VLOOKUP(A17,[1]Bonds!$B$1:$K$2669,10,0),VLOOKUP(A17,[1]CPCD!$B$1:$H$1476,7,0))</f>
        <v>0.00% Mahindra &amp; Mahindra Financial Services Ltd (07-Apr-2021) **</v>
      </c>
      <c r="C17" s="39" t="s">
        <v>977</v>
      </c>
      <c r="D17" s="39">
        <v>20</v>
      </c>
      <c r="E17" s="68">
        <v>224.8588</v>
      </c>
      <c r="F17" s="68">
        <v>4.2787557519359298</v>
      </c>
    </row>
    <row r="18" spans="1:6" x14ac:dyDescent="0.2">
      <c r="A18" s="39" t="s">
        <v>1351</v>
      </c>
      <c r="B18" s="39" t="str">
        <f>IFERROR(VLOOKUP(A18,[1]Bonds!$B$1:$K$2669,10,0),VLOOKUP(A18,[1]CPCD!$B$1:$H$1476,7,0))</f>
        <v>7.73% Housing &amp; Urban Development Corp Ltd (15-Apr-2021) **</v>
      </c>
      <c r="C18" s="39" t="s">
        <v>916</v>
      </c>
      <c r="D18" s="39">
        <v>20</v>
      </c>
      <c r="E18" s="68">
        <v>202.7526</v>
      </c>
      <c r="F18" s="68">
        <v>3.8581049684066802</v>
      </c>
    </row>
    <row r="19" spans="1:6" x14ac:dyDescent="0.2">
      <c r="A19" s="39" t="s">
        <v>1365</v>
      </c>
      <c r="B19" s="39" t="str">
        <f>IFERROR(VLOOKUP(A19,[1]Bonds!$B$1:$K$2669,10,0),VLOOKUP(A19,[1]CPCD!$B$1:$H$1476,7,0))</f>
        <v>0.00% Kotak Mahindra Prime Ltd (26-Apr-2021) **</v>
      </c>
      <c r="C19" s="39" t="s">
        <v>361</v>
      </c>
      <c r="D19" s="39">
        <v>17</v>
      </c>
      <c r="E19" s="68">
        <v>150.4143</v>
      </c>
      <c r="F19" s="68">
        <v>2.8621786263131201</v>
      </c>
    </row>
    <row r="20" spans="1:6" x14ac:dyDescent="0.2">
      <c r="A20" s="39" t="s">
        <v>974</v>
      </c>
      <c r="B20" s="39" t="str">
        <f>IFERROR(VLOOKUP(A20,[1]Bonds!$B$1:$K$2669,10,0),VLOOKUP(A20,[1]CPCD!$B$1:$H$1476,7,0))</f>
        <v>9.30% Fullerton India Credit Co Ltd (15-Mar-2021) **</v>
      </c>
      <c r="C20" s="39" t="s">
        <v>361</v>
      </c>
      <c r="D20" s="39">
        <v>1</v>
      </c>
      <c r="E20" s="68">
        <v>10.007949999999999</v>
      </c>
      <c r="F20" s="68">
        <v>0.19043761519490099</v>
      </c>
    </row>
    <row r="21" spans="1:6" x14ac:dyDescent="0.2">
      <c r="A21" s="38" t="s">
        <v>44</v>
      </c>
      <c r="B21" s="39"/>
      <c r="C21" s="39"/>
      <c r="D21" s="39"/>
      <c r="E21" s="69">
        <f>SUM(E8:E20)</f>
        <v>4597.0379400000011</v>
      </c>
      <c r="F21" s="69">
        <f>SUM(F8:F20)</f>
        <v>87.475351321107681</v>
      </c>
    </row>
    <row r="22" spans="1:6" x14ac:dyDescent="0.2">
      <c r="A22" s="39"/>
      <c r="B22" s="39"/>
      <c r="C22" s="39"/>
      <c r="D22" s="39"/>
      <c r="E22" s="68"/>
      <c r="F22" s="68"/>
    </row>
    <row r="23" spans="1:6" x14ac:dyDescent="0.2">
      <c r="A23" s="38" t="s">
        <v>815</v>
      </c>
      <c r="B23" s="39"/>
      <c r="C23" s="39"/>
      <c r="D23" s="39"/>
      <c r="E23" s="68"/>
      <c r="F23" s="68"/>
    </row>
    <row r="24" spans="1:6" x14ac:dyDescent="0.2">
      <c r="A24" s="39" t="s">
        <v>1357</v>
      </c>
      <c r="B24" s="39" t="str">
        <f>IFERROR(VLOOKUP(A24,[1]Bonds!$B$1:$K$2669,10,0),VLOOKUP(A24,[1]CPCD!$B$1:$H$1476,7,0))</f>
        <v>8.19% Mahindra Vehicle Manufactures Ltd (23-Feb-2021) **</v>
      </c>
      <c r="C24" s="39" t="s">
        <v>973</v>
      </c>
      <c r="D24" s="39">
        <v>45</v>
      </c>
      <c r="E24" s="68">
        <v>451.42649999999998</v>
      </c>
      <c r="F24" s="68">
        <v>8.5900295360968908</v>
      </c>
    </row>
    <row r="25" spans="1:6" x14ac:dyDescent="0.2">
      <c r="A25" s="39" t="s">
        <v>1251</v>
      </c>
      <c r="B25" s="39" t="str">
        <f>IFERROR(VLOOKUP(A25,[1]Bonds!$B$1:$K$2669,10,0),VLOOKUP(A25,[1]CPCD!$B$1:$H$1476,7,0))</f>
        <v>7.48% Bennett Coleman And Co Ltd (26-Apr-2021) **</v>
      </c>
      <c r="C25" s="39" t="s">
        <v>361</v>
      </c>
      <c r="D25" s="39">
        <v>6</v>
      </c>
      <c r="E25" s="68">
        <v>59.894039999999997</v>
      </c>
      <c r="F25" s="68">
        <v>1.13970175130651</v>
      </c>
    </row>
    <row r="26" spans="1:6" x14ac:dyDescent="0.2">
      <c r="A26" s="38" t="s">
        <v>44</v>
      </c>
      <c r="B26" s="39"/>
      <c r="C26" s="39"/>
      <c r="D26" s="39"/>
      <c r="E26" s="69">
        <f>SUM(E24:E25)</f>
        <v>511.32053999999999</v>
      </c>
      <c r="F26" s="69">
        <f>SUM(F24:F25)</f>
        <v>9.7297312874033999</v>
      </c>
    </row>
    <row r="27" spans="1:6" x14ac:dyDescent="0.2">
      <c r="A27" s="39"/>
      <c r="B27" s="39"/>
      <c r="C27" s="39"/>
      <c r="D27" s="39"/>
      <c r="E27" s="68"/>
      <c r="F27" s="68"/>
    </row>
    <row r="28" spans="1:6" x14ac:dyDescent="0.2">
      <c r="A28" s="38" t="s">
        <v>44</v>
      </c>
      <c r="B28" s="39"/>
      <c r="C28" s="39"/>
      <c r="D28" s="39"/>
      <c r="E28" s="69">
        <f>E21+E26</f>
        <v>5108.3584800000008</v>
      </c>
      <c r="F28" s="69">
        <f>F21+F26</f>
        <v>97.205082608511077</v>
      </c>
    </row>
    <row r="29" spans="1:6" x14ac:dyDescent="0.2">
      <c r="A29" s="39"/>
      <c r="B29" s="39"/>
      <c r="C29" s="39"/>
      <c r="D29" s="39"/>
      <c r="E29" s="68"/>
      <c r="F29" s="68"/>
    </row>
    <row r="30" spans="1:6" x14ac:dyDescent="0.2">
      <c r="A30" s="38" t="s">
        <v>76</v>
      </c>
      <c r="B30" s="39"/>
      <c r="C30" s="39"/>
      <c r="D30" s="39"/>
      <c r="E30" s="69">
        <v>146.87804199999999</v>
      </c>
      <c r="F30" s="69">
        <v>2.79</v>
      </c>
    </row>
    <row r="31" spans="1:6" x14ac:dyDescent="0.2">
      <c r="A31" s="39"/>
      <c r="B31" s="39"/>
      <c r="C31" s="39"/>
      <c r="D31" s="39"/>
      <c r="E31" s="68"/>
      <c r="F31" s="68"/>
    </row>
    <row r="32" spans="1:6" x14ac:dyDescent="0.2">
      <c r="A32" s="71" t="s">
        <v>77</v>
      </c>
      <c r="B32" s="66"/>
      <c r="C32" s="66"/>
      <c r="D32" s="66"/>
      <c r="E32" s="72">
        <f>E28+E30</f>
        <v>5255.2365220000011</v>
      </c>
      <c r="F32" s="72">
        <f>F28+F30</f>
        <v>99.995082608511083</v>
      </c>
    </row>
    <row r="33" spans="1:4" x14ac:dyDescent="0.2">
      <c r="A33" s="52" t="s">
        <v>619</v>
      </c>
    </row>
    <row r="34" spans="1:4" x14ac:dyDescent="0.2">
      <c r="A34" s="4"/>
    </row>
    <row r="35" spans="1:4" x14ac:dyDescent="0.2">
      <c r="A35" s="4" t="s">
        <v>78</v>
      </c>
    </row>
    <row r="36" spans="1:4" x14ac:dyDescent="0.2">
      <c r="A36" s="4" t="s">
        <v>650</v>
      </c>
    </row>
    <row r="37" spans="1:4" x14ac:dyDescent="0.2">
      <c r="A37" s="4" t="s">
        <v>80</v>
      </c>
    </row>
    <row r="38" spans="1:4" x14ac:dyDescent="0.2">
      <c r="A38" s="2" t="s">
        <v>638</v>
      </c>
      <c r="D38" s="10">
        <v>10.533799999999999</v>
      </c>
    </row>
    <row r="39" spans="1:4" x14ac:dyDescent="0.2">
      <c r="A39" s="2" t="s">
        <v>639</v>
      </c>
      <c r="D39" s="10">
        <v>10.533799999999999</v>
      </c>
    </row>
    <row r="40" spans="1:4" x14ac:dyDescent="0.2">
      <c r="A40" s="2" t="s">
        <v>652</v>
      </c>
      <c r="D40" s="10">
        <v>10.251200000000001</v>
      </c>
    </row>
    <row r="41" spans="1:4" x14ac:dyDescent="0.2">
      <c r="A41" s="2" t="s">
        <v>640</v>
      </c>
      <c r="D41" s="10">
        <v>10.593400000000001</v>
      </c>
    </row>
    <row r="42" spans="1:4" x14ac:dyDescent="0.2">
      <c r="A42" s="2" t="s">
        <v>654</v>
      </c>
      <c r="D42" s="10">
        <v>10.3001</v>
      </c>
    </row>
    <row r="44" spans="1:4" x14ac:dyDescent="0.2">
      <c r="A44" s="4" t="s">
        <v>81</v>
      </c>
    </row>
    <row r="45" spans="1:4" x14ac:dyDescent="0.2">
      <c r="A45" s="2" t="s">
        <v>638</v>
      </c>
      <c r="D45" s="10">
        <v>11.1534</v>
      </c>
    </row>
    <row r="46" spans="1:4" x14ac:dyDescent="0.2">
      <c r="A46" s="2" t="s">
        <v>639</v>
      </c>
      <c r="D46" s="10">
        <v>10.5572</v>
      </c>
    </row>
    <row r="47" spans="1:4" x14ac:dyDescent="0.2">
      <c r="A47" s="2" t="s">
        <v>652</v>
      </c>
      <c r="D47" s="10">
        <v>10.285399999999999</v>
      </c>
    </row>
    <row r="48" spans="1:4" x14ac:dyDescent="0.2">
      <c r="A48" s="2" t="s">
        <v>640</v>
      </c>
      <c r="D48" s="10">
        <v>11.220499999999999</v>
      </c>
    </row>
    <row r="49" spans="1:5" x14ac:dyDescent="0.2">
      <c r="A49" s="2" t="s">
        <v>654</v>
      </c>
      <c r="D49" s="10">
        <v>10.340999999999999</v>
      </c>
    </row>
    <row r="51" spans="1:5" x14ac:dyDescent="0.2">
      <c r="A51" s="4" t="s">
        <v>82</v>
      </c>
      <c r="D51" s="44" t="s">
        <v>299</v>
      </c>
    </row>
    <row r="52" spans="1:5" x14ac:dyDescent="0.2">
      <c r="A52" s="45" t="s">
        <v>642</v>
      </c>
      <c r="B52" s="46"/>
      <c r="C52" s="100" t="s">
        <v>643</v>
      </c>
      <c r="D52" s="101"/>
    </row>
    <row r="53" spans="1:5" x14ac:dyDescent="0.2">
      <c r="A53" s="102"/>
      <c r="B53" s="103"/>
      <c r="C53" s="47" t="s">
        <v>644</v>
      </c>
      <c r="D53" s="47" t="s">
        <v>645</v>
      </c>
    </row>
    <row r="54" spans="1:5" x14ac:dyDescent="0.2">
      <c r="A54" s="2" t="s">
        <v>639</v>
      </c>
      <c r="B54" s="63"/>
      <c r="C54" s="89">
        <v>0.41058393900000001</v>
      </c>
      <c r="D54" s="89">
        <v>0.3802027737</v>
      </c>
    </row>
    <row r="55" spans="1:5" x14ac:dyDescent="0.2">
      <c r="A55" s="48" t="s">
        <v>652</v>
      </c>
      <c r="B55" s="49"/>
      <c r="C55" s="89">
        <v>0.396177485</v>
      </c>
      <c r="D55" s="89">
        <v>0.36686232560000004</v>
      </c>
    </row>
    <row r="56" spans="1:5" x14ac:dyDescent="0.2">
      <c r="A56" s="48" t="s">
        <v>654</v>
      </c>
      <c r="B56" s="49"/>
      <c r="C56" s="89">
        <v>0.396177485</v>
      </c>
      <c r="D56" s="89">
        <v>0.36686232560000004</v>
      </c>
    </row>
    <row r="58" spans="1:5" x14ac:dyDescent="0.2">
      <c r="A58" s="4" t="s">
        <v>647</v>
      </c>
      <c r="D58" s="53">
        <v>1.5238624432004069</v>
      </c>
      <c r="E58" s="73" t="s">
        <v>648</v>
      </c>
    </row>
  </sheetData>
  <mergeCells count="3">
    <mergeCell ref="A1:F1"/>
    <mergeCell ref="C52:D52"/>
    <mergeCell ref="A53:B53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5411C-80C7-415B-8F1B-479252CDABC0}">
  <dimension ref="A1:F66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6" style="2" bestFit="1" customWidth="1"/>
    <col min="3" max="3" width="11.7109375" style="2" bestFit="1" customWidth="1"/>
    <col min="4" max="4" width="7.42578125" style="2" bestFit="1" customWidth="1"/>
    <col min="5" max="5" width="23" style="73" bestFit="1" customWidth="1"/>
    <col min="6" max="6" width="13.5703125" style="73" bestFit="1" customWidth="1"/>
    <col min="7" max="16384" width="9.140625" style="2"/>
  </cols>
  <sheetData>
    <row r="1" spans="1:6" ht="15" customHeight="1" x14ac:dyDescent="0.2">
      <c r="A1" s="108" t="s">
        <v>1366</v>
      </c>
      <c r="B1" s="108"/>
      <c r="C1" s="108"/>
      <c r="D1" s="108"/>
      <c r="E1" s="108"/>
      <c r="F1" s="108"/>
    </row>
    <row r="3" spans="1:6" s="4" customFormat="1" x14ac:dyDescent="0.2">
      <c r="A3" s="64" t="s">
        <v>1</v>
      </c>
      <c r="B3" s="64" t="s">
        <v>2</v>
      </c>
      <c r="C3" s="64" t="s">
        <v>716</v>
      </c>
      <c r="D3" s="64" t="s">
        <v>4</v>
      </c>
      <c r="E3" s="65" t="s">
        <v>5</v>
      </c>
      <c r="F3" s="65" t="s">
        <v>6</v>
      </c>
    </row>
    <row r="4" spans="1:6" x14ac:dyDescent="0.2">
      <c r="A4" s="66"/>
      <c r="B4" s="66"/>
      <c r="C4" s="66"/>
      <c r="D4" s="66"/>
      <c r="E4" s="67"/>
      <c r="F4" s="67"/>
    </row>
    <row r="5" spans="1:6" x14ac:dyDescent="0.2">
      <c r="A5" s="38" t="s">
        <v>359</v>
      </c>
      <c r="B5" s="39"/>
      <c r="C5" s="39"/>
      <c r="D5" s="39"/>
      <c r="E5" s="68"/>
      <c r="F5" s="68"/>
    </row>
    <row r="6" spans="1:6" x14ac:dyDescent="0.2">
      <c r="A6" s="38" t="s">
        <v>8</v>
      </c>
      <c r="B6" s="39"/>
      <c r="C6" s="39"/>
      <c r="D6" s="39"/>
      <c r="E6" s="68"/>
      <c r="F6" s="68"/>
    </row>
    <row r="7" spans="1:6" x14ac:dyDescent="0.2">
      <c r="A7" s="38"/>
      <c r="B7" s="39"/>
      <c r="C7" s="39"/>
      <c r="D7" s="39"/>
      <c r="E7" s="68"/>
      <c r="F7" s="68"/>
    </row>
    <row r="8" spans="1:6" x14ac:dyDescent="0.2">
      <c r="A8" s="39" t="s">
        <v>1342</v>
      </c>
      <c r="B8" s="39" t="str">
        <f>IFERROR(VLOOKUP(A8,[1]Bonds!$B$1:$K$2669,10,0),VLOOKUP(A8,[1]CPCD!$B$1:$H$1476,7,0))</f>
        <v>0.00% Bajaj Housing Finance Ltd (06-Apr-2021) **</v>
      </c>
      <c r="C8" s="39" t="s">
        <v>361</v>
      </c>
      <c r="D8" s="39">
        <v>100</v>
      </c>
      <c r="E8" s="68">
        <v>1138.191</v>
      </c>
      <c r="F8" s="68">
        <v>9.9050333806646904</v>
      </c>
    </row>
    <row r="9" spans="1:6" x14ac:dyDescent="0.2">
      <c r="A9" s="39" t="s">
        <v>1239</v>
      </c>
      <c r="B9" s="39" t="str">
        <f>IFERROR(VLOOKUP(A9,[1]Bonds!$B$1:$K$2669,10,0),VLOOKUP(A9,[1]CPCD!$B$1:$H$1476,7,0))</f>
        <v>7.70% Rec Ltd (15-Mar-2021) **</v>
      </c>
      <c r="C9" s="39" t="s">
        <v>361</v>
      </c>
      <c r="D9" s="39">
        <v>111</v>
      </c>
      <c r="E9" s="68">
        <v>1116.26262</v>
      </c>
      <c r="F9" s="68">
        <v>9.7142030754840203</v>
      </c>
    </row>
    <row r="10" spans="1:6" x14ac:dyDescent="0.2">
      <c r="A10" s="39" t="s">
        <v>1198</v>
      </c>
      <c r="B10" s="39" t="str">
        <f>IFERROR(VLOOKUP(A10,[1]Bonds!$B$1:$K$2669,10,0),VLOOKUP(A10,[1]CPCD!$B$1:$H$1476,7,0))</f>
        <v>7.65% Indian Railway Finance Corp Ltd (15-Mar-2021) **</v>
      </c>
      <c r="C10" s="39" t="s">
        <v>361</v>
      </c>
      <c r="D10" s="39">
        <v>103</v>
      </c>
      <c r="E10" s="68">
        <v>1046.34816</v>
      </c>
      <c r="F10" s="68">
        <v>9.1057770203745108</v>
      </c>
    </row>
    <row r="11" spans="1:6" x14ac:dyDescent="0.2">
      <c r="A11" s="39" t="s">
        <v>1351</v>
      </c>
      <c r="B11" s="39" t="str">
        <f>IFERROR(VLOOKUP(A11,[1]Bonds!$B$1:$K$2669,10,0),VLOOKUP(A11,[1]CPCD!$B$1:$H$1476,7,0))</f>
        <v>7.73% Housing &amp; Urban Development Corp Ltd (15-Apr-2021) **</v>
      </c>
      <c r="C11" s="39" t="s">
        <v>916</v>
      </c>
      <c r="D11" s="39">
        <v>101</v>
      </c>
      <c r="E11" s="68">
        <v>1023.90063</v>
      </c>
      <c r="F11" s="68">
        <v>8.9104288459789291</v>
      </c>
    </row>
    <row r="12" spans="1:6" x14ac:dyDescent="0.2">
      <c r="A12" s="39" t="s">
        <v>1355</v>
      </c>
      <c r="B12" s="39" t="str">
        <f>IFERROR(VLOOKUP(A12,[1]Bonds!$B$1:$K$2669,10,0),VLOOKUP(A12,[1]CPCD!$B$1:$H$1476,7,0))</f>
        <v>0.00% HDB Financial Services Limited (06-Apr-2021) **</v>
      </c>
      <c r="C12" s="39" t="s">
        <v>361</v>
      </c>
      <c r="D12" s="39">
        <v>84</v>
      </c>
      <c r="E12" s="68">
        <v>950.05511999999999</v>
      </c>
      <c r="F12" s="68">
        <v>8.2677930831217292</v>
      </c>
    </row>
    <row r="13" spans="1:6" x14ac:dyDescent="0.2">
      <c r="A13" s="39" t="s">
        <v>1330</v>
      </c>
      <c r="B13" s="39" t="str">
        <f>IFERROR(VLOOKUP(A13,[1]Bonds!$B$1:$K$2669,10,0),VLOOKUP(A13,[1]CPCD!$B$1:$H$1476,7,0))</f>
        <v>0.00% LIC Housing Finance Ltd (25-Mar-2021) **</v>
      </c>
      <c r="C13" s="39" t="s">
        <v>361</v>
      </c>
      <c r="D13" s="39">
        <v>77</v>
      </c>
      <c r="E13" s="68">
        <v>876.77282000000002</v>
      </c>
      <c r="F13" s="68">
        <v>7.6300586187726998</v>
      </c>
    </row>
    <row r="14" spans="1:6" x14ac:dyDescent="0.2">
      <c r="A14" s="39" t="s">
        <v>1228</v>
      </c>
      <c r="B14" s="39" t="str">
        <f>IFERROR(VLOOKUP(A14,[1]Bonds!$B$1:$K$2669,10,0),VLOOKUP(A14,[1]CPCD!$B$1:$H$1476,7,0))</f>
        <v>0.00% Fullerton India Credit Co Ltd (08-Apr-2021) **</v>
      </c>
      <c r="C14" s="39" t="s">
        <v>916</v>
      </c>
      <c r="D14" s="39">
        <v>70</v>
      </c>
      <c r="E14" s="68">
        <v>778.39160000000004</v>
      </c>
      <c r="F14" s="68">
        <v>6.7739024304611402</v>
      </c>
    </row>
    <row r="15" spans="1:6" x14ac:dyDescent="0.2">
      <c r="A15" s="39" t="s">
        <v>1367</v>
      </c>
      <c r="B15" s="39" t="str">
        <f>IFERROR(VLOOKUP(A15,[1]Bonds!$B$1:$K$2669,10,0),VLOOKUP(A15,[1]CPCD!$B$1:$H$1476,7,0))</f>
        <v>7.73% Power Finance Corp Ltd (05-Apr-2021) **</v>
      </c>
      <c r="C15" s="39" t="s">
        <v>361</v>
      </c>
      <c r="D15" s="39">
        <v>75</v>
      </c>
      <c r="E15" s="68">
        <v>754.57500000000005</v>
      </c>
      <c r="F15" s="68">
        <v>6.5666400131569</v>
      </c>
    </row>
    <row r="16" spans="1:6" x14ac:dyDescent="0.2">
      <c r="A16" s="39" t="s">
        <v>1368</v>
      </c>
      <c r="B16" s="39" t="str">
        <f>IFERROR(VLOOKUP(A16,[1]Bonds!$B$1:$K$2669,10,0),VLOOKUP(A16,[1]CPCD!$B$1:$H$1476,7,0))</f>
        <v>7.52% Small Industries Development Bank Of India (10-Feb-2021) **</v>
      </c>
      <c r="C16" s="39" t="s">
        <v>916</v>
      </c>
      <c r="D16" s="39">
        <v>56</v>
      </c>
      <c r="E16" s="68">
        <v>565.91751999999997</v>
      </c>
      <c r="F16" s="68">
        <v>4.9248605254328801</v>
      </c>
    </row>
    <row r="17" spans="1:6" x14ac:dyDescent="0.2">
      <c r="A17" s="39" t="s">
        <v>1162</v>
      </c>
      <c r="B17" s="39" t="str">
        <f>IFERROR(VLOOKUP(A17,[1]Bonds!$B$1:$K$2669,10,0),VLOOKUP(A17,[1]CPCD!$B$1:$H$1476,7,0))</f>
        <v>7.07% Reliance Industries Ltd (24-Dec-2020) **</v>
      </c>
      <c r="C17" s="39" t="s">
        <v>361</v>
      </c>
      <c r="D17" s="39">
        <v>45</v>
      </c>
      <c r="E17" s="68">
        <v>449.95679999999999</v>
      </c>
      <c r="F17" s="68">
        <v>3.91571987817253</v>
      </c>
    </row>
    <row r="18" spans="1:6" x14ac:dyDescent="0.2">
      <c r="A18" s="39" t="s">
        <v>1359</v>
      </c>
      <c r="B18" s="39" t="str">
        <f>IFERROR(VLOOKUP(A18,[1]Bonds!$B$1:$K$2669,10,0),VLOOKUP(A18,[1]CPCD!$B$1:$H$1476,7,0))</f>
        <v>7.75% Power Finance Corp Ltd (15-Apr-2021) **</v>
      </c>
      <c r="C18" s="39" t="s">
        <v>361</v>
      </c>
      <c r="D18" s="39">
        <v>27</v>
      </c>
      <c r="E18" s="68">
        <v>271.72692000000001</v>
      </c>
      <c r="F18" s="68">
        <v>2.3646859033547099</v>
      </c>
    </row>
    <row r="19" spans="1:6" x14ac:dyDescent="0.2">
      <c r="A19" s="39" t="s">
        <v>1354</v>
      </c>
      <c r="B19" s="39" t="str">
        <f>IFERROR(VLOOKUP(A19,[1]Bonds!$B$1:$K$2669,10,0),VLOOKUP(A19,[1]CPCD!$B$1:$H$1476,7,0))</f>
        <v>9.18% Power Finance Corp Ltd (15-Apr-2021) **</v>
      </c>
      <c r="C19" s="39" t="s">
        <v>361</v>
      </c>
      <c r="D19" s="39">
        <v>11</v>
      </c>
      <c r="E19" s="68">
        <v>113.00288999999999</v>
      </c>
      <c r="F19" s="68">
        <v>0.98340032346203798</v>
      </c>
    </row>
    <row r="20" spans="1:6" x14ac:dyDescent="0.2">
      <c r="A20" s="39" t="s">
        <v>976</v>
      </c>
      <c r="B20" s="39" t="str">
        <f>IFERROR(VLOOKUP(A20,[1]Bonds!$B$1:$K$2669,10,0),VLOOKUP(A20,[1]CPCD!$B$1:$H$1476,7,0))</f>
        <v>0.00% Mahindra &amp; Mahindra Financial Services Ltd (07-Apr-2021) **</v>
      </c>
      <c r="C20" s="39" t="s">
        <v>977</v>
      </c>
      <c r="D20" s="39">
        <v>9</v>
      </c>
      <c r="E20" s="68">
        <v>101.18646</v>
      </c>
      <c r="F20" s="68">
        <v>0.88056860752834298</v>
      </c>
    </row>
    <row r="21" spans="1:6" x14ac:dyDescent="0.2">
      <c r="A21" s="39" t="s">
        <v>1369</v>
      </c>
      <c r="B21" s="39" t="str">
        <f>IFERROR(VLOOKUP(A21,[1]Bonds!$B$1:$K$2669,10,0),VLOOKUP(A21,[1]CPCD!$B$1:$H$1476,7,0))</f>
        <v>7.60% Rec Ltd (17-Apr-2021) **</v>
      </c>
      <c r="C21" s="39" t="s">
        <v>361</v>
      </c>
      <c r="D21" s="39">
        <v>8</v>
      </c>
      <c r="E21" s="68">
        <v>80.304479999999998</v>
      </c>
      <c r="F21" s="68">
        <v>0.69884453050228001</v>
      </c>
    </row>
    <row r="22" spans="1:6" x14ac:dyDescent="0.2">
      <c r="A22" s="39" t="s">
        <v>1362</v>
      </c>
      <c r="B22" s="39" t="str">
        <f>IFERROR(VLOOKUP(A22,[1]Bonds!$B$1:$K$2669,10,0),VLOOKUP(A22,[1]CPCD!$B$1:$H$1476,7,0))</f>
        <v>7.40% National Bank For Agriculture And Rural Development (01-Feb-2021) **</v>
      </c>
      <c r="C22" s="39" t="s">
        <v>361</v>
      </c>
      <c r="D22" s="39">
        <v>4</v>
      </c>
      <c r="E22" s="68">
        <v>40.278840000000002</v>
      </c>
      <c r="F22" s="68">
        <v>0.35052399354278202</v>
      </c>
    </row>
    <row r="23" spans="1:6" x14ac:dyDescent="0.2">
      <c r="A23" s="39" t="s">
        <v>1370</v>
      </c>
      <c r="B23" s="39" t="str">
        <f>IFERROR(VLOOKUP(A23,[1]Bonds!$B$1:$K$2669,10,0),VLOOKUP(A23,[1]CPCD!$B$1:$H$1476,7,0))</f>
        <v>8.84% Power Grid Corp Of India Ltd (29-Mar-2021) **</v>
      </c>
      <c r="C23" s="39" t="s">
        <v>361</v>
      </c>
      <c r="D23" s="39">
        <v>3</v>
      </c>
      <c r="E23" s="68">
        <v>38.736375000000002</v>
      </c>
      <c r="F23" s="68">
        <v>0.33710079188901099</v>
      </c>
    </row>
    <row r="24" spans="1:6" x14ac:dyDescent="0.2">
      <c r="A24" s="39" t="s">
        <v>1249</v>
      </c>
      <c r="B24" s="39" t="str">
        <f>IFERROR(VLOOKUP(A24,[1]Bonds!$B$1:$K$2669,10,0),VLOOKUP(A24,[1]CPCD!$B$1:$H$1476,7,0))</f>
        <v>7.65% Small Industries Development Bank Of India (15-Apr-2021) **</v>
      </c>
      <c r="C24" s="39" t="s">
        <v>916</v>
      </c>
      <c r="D24" s="39">
        <v>1</v>
      </c>
      <c r="E24" s="68">
        <v>10.12843</v>
      </c>
      <c r="F24" s="68">
        <v>8.8142005378469598E-2</v>
      </c>
    </row>
    <row r="25" spans="1:6" x14ac:dyDescent="0.2">
      <c r="A25" s="39" t="s">
        <v>974</v>
      </c>
      <c r="B25" s="39" t="str">
        <f>IFERROR(VLOOKUP(A25,[1]Bonds!$B$1:$K$2669,10,0),VLOOKUP(A25,[1]CPCD!$B$1:$H$1476,7,0))</f>
        <v>9.30% Fullerton India Credit Co Ltd (15-Mar-2021) **</v>
      </c>
      <c r="C25" s="39" t="s">
        <v>361</v>
      </c>
      <c r="D25" s="39">
        <v>1</v>
      </c>
      <c r="E25" s="68">
        <v>10.007949999999999</v>
      </c>
      <c r="F25" s="68">
        <v>8.7093535990025603E-2</v>
      </c>
    </row>
    <row r="26" spans="1:6" x14ac:dyDescent="0.2">
      <c r="A26" s="38" t="s">
        <v>44</v>
      </c>
      <c r="B26" s="39"/>
      <c r="C26" s="39"/>
      <c r="D26" s="39"/>
      <c r="E26" s="69">
        <f>SUM(E8:E25)</f>
        <v>9365.7436150000012</v>
      </c>
      <c r="F26" s="69">
        <f>SUM(F8:F25)</f>
        <v>81.504776563267697</v>
      </c>
    </row>
    <row r="27" spans="1:6" x14ac:dyDescent="0.2">
      <c r="A27" s="39"/>
      <c r="B27" s="39"/>
      <c r="C27" s="39"/>
      <c r="D27" s="39"/>
      <c r="E27" s="68"/>
      <c r="F27" s="68"/>
    </row>
    <row r="28" spans="1:6" x14ac:dyDescent="0.2">
      <c r="A28" s="38" t="s">
        <v>815</v>
      </c>
      <c r="B28" s="39"/>
      <c r="C28" s="39"/>
      <c r="D28" s="39"/>
      <c r="E28" s="68"/>
      <c r="F28" s="68"/>
    </row>
    <row r="29" spans="1:6" x14ac:dyDescent="0.2">
      <c r="A29" s="39" t="s">
        <v>1357</v>
      </c>
      <c r="B29" s="39" t="str">
        <f>IFERROR(VLOOKUP(A29,[1]Bonds!$B$1:$K$2669,10,0),VLOOKUP(A29,[1]CPCD!$B$1:$H$1476,7,0))</f>
        <v>8.19% Mahindra Vehicle Manufactures Ltd (23-Feb-2021) **</v>
      </c>
      <c r="C29" s="39" t="s">
        <v>973</v>
      </c>
      <c r="D29" s="39">
        <v>100</v>
      </c>
      <c r="E29" s="68">
        <v>1003.17</v>
      </c>
      <c r="F29" s="68">
        <v>8.7300218825147997</v>
      </c>
    </row>
    <row r="30" spans="1:6" x14ac:dyDescent="0.2">
      <c r="A30" s="39" t="s">
        <v>1371</v>
      </c>
      <c r="B30" s="39" t="str">
        <f>IFERROR(VLOOKUP(A30,[1]Bonds!$B$1:$K$2669,10,0),VLOOKUP(A30,[1]CPCD!$B$1:$H$1476,7,0))</f>
        <v>8.25% Tata Sons Pvt Ltd (23-Mar-2021) **</v>
      </c>
      <c r="C30" s="39" t="s">
        <v>361</v>
      </c>
      <c r="D30" s="39">
        <v>72</v>
      </c>
      <c r="E30" s="68">
        <v>721.08</v>
      </c>
      <c r="F30" s="68">
        <v>6.2751519473706097</v>
      </c>
    </row>
    <row r="31" spans="1:6" x14ac:dyDescent="0.2">
      <c r="A31" s="38" t="s">
        <v>44</v>
      </c>
      <c r="B31" s="39"/>
      <c r="C31" s="39"/>
      <c r="D31" s="39"/>
      <c r="E31" s="69">
        <f>SUM(E29:E30)</f>
        <v>1724.25</v>
      </c>
      <c r="F31" s="69">
        <f>SUM(F29:F30)</f>
        <v>15.005173829885409</v>
      </c>
    </row>
    <row r="32" spans="1:6" x14ac:dyDescent="0.2">
      <c r="A32" s="39"/>
      <c r="B32" s="39"/>
      <c r="C32" s="39"/>
      <c r="D32" s="39"/>
      <c r="E32" s="68"/>
      <c r="F32" s="68"/>
    </row>
    <row r="33" spans="1:6" x14ac:dyDescent="0.2">
      <c r="A33" s="38" t="s">
        <v>44</v>
      </c>
      <c r="B33" s="39"/>
      <c r="C33" s="39"/>
      <c r="D33" s="39"/>
      <c r="E33" s="69">
        <f>E26+E31</f>
        <v>11089.993615000001</v>
      </c>
      <c r="F33" s="69">
        <f>F26+F31</f>
        <v>96.509950393153105</v>
      </c>
    </row>
    <row r="34" spans="1:6" x14ac:dyDescent="0.2">
      <c r="A34" s="39"/>
      <c r="B34" s="39"/>
      <c r="C34" s="39"/>
      <c r="D34" s="39"/>
      <c r="E34" s="68"/>
      <c r="F34" s="68"/>
    </row>
    <row r="35" spans="1:6" x14ac:dyDescent="0.2">
      <c r="A35" s="38" t="s">
        <v>76</v>
      </c>
      <c r="B35" s="39"/>
      <c r="C35" s="39"/>
      <c r="D35" s="39"/>
      <c r="E35" s="69">
        <v>401.04648880000002</v>
      </c>
      <c r="F35" s="69">
        <v>3.49</v>
      </c>
    </row>
    <row r="36" spans="1:6" x14ac:dyDescent="0.2">
      <c r="A36" s="39"/>
      <c r="B36" s="39"/>
      <c r="C36" s="39"/>
      <c r="D36" s="39"/>
      <c r="E36" s="68"/>
      <c r="F36" s="68"/>
    </row>
    <row r="37" spans="1:6" x14ac:dyDescent="0.2">
      <c r="A37" s="71" t="s">
        <v>77</v>
      </c>
      <c r="B37" s="66"/>
      <c r="C37" s="66"/>
      <c r="D37" s="66"/>
      <c r="E37" s="72">
        <f>E33+E35</f>
        <v>11491.040103800002</v>
      </c>
      <c r="F37" s="72">
        <f>F33+F35</f>
        <v>99.9999503931531</v>
      </c>
    </row>
    <row r="38" spans="1:6" x14ac:dyDescent="0.2">
      <c r="A38" s="52" t="s">
        <v>619</v>
      </c>
    </row>
    <row r="40" spans="1:6" x14ac:dyDescent="0.2">
      <c r="A40" s="4" t="s">
        <v>78</v>
      </c>
    </row>
    <row r="41" spans="1:6" x14ac:dyDescent="0.2">
      <c r="A41" s="4" t="s">
        <v>650</v>
      </c>
    </row>
    <row r="42" spans="1:6" x14ac:dyDescent="0.2">
      <c r="A42" s="4" t="s">
        <v>80</v>
      </c>
    </row>
    <row r="43" spans="1:6" x14ac:dyDescent="0.2">
      <c r="A43" s="2" t="s">
        <v>638</v>
      </c>
      <c r="D43" s="10">
        <v>10.5556</v>
      </c>
    </row>
    <row r="44" spans="1:6" x14ac:dyDescent="0.2">
      <c r="A44" s="2" t="s">
        <v>639</v>
      </c>
      <c r="D44" s="10">
        <v>10.5556</v>
      </c>
    </row>
    <row r="45" spans="1:6" x14ac:dyDescent="0.2">
      <c r="A45" s="2" t="s">
        <v>652</v>
      </c>
      <c r="D45" s="10">
        <v>10.2628</v>
      </c>
    </row>
    <row r="46" spans="1:6" x14ac:dyDescent="0.2">
      <c r="A46" s="2" t="s">
        <v>640</v>
      </c>
      <c r="D46" s="10">
        <v>10.6167</v>
      </c>
    </row>
    <row r="47" spans="1:6" x14ac:dyDescent="0.2">
      <c r="A47" s="2" t="s">
        <v>641</v>
      </c>
      <c r="D47" s="10">
        <v>10.6167</v>
      </c>
    </row>
    <row r="48" spans="1:6" x14ac:dyDescent="0.2">
      <c r="A48" s="2" t="s">
        <v>654</v>
      </c>
      <c r="D48" s="10">
        <v>10.292400000000001</v>
      </c>
    </row>
    <row r="50" spans="1:4" x14ac:dyDescent="0.2">
      <c r="A50" s="4" t="s">
        <v>81</v>
      </c>
    </row>
    <row r="51" spans="1:4" x14ac:dyDescent="0.2">
      <c r="A51" s="2" t="s">
        <v>638</v>
      </c>
      <c r="D51" s="10">
        <v>11.1753</v>
      </c>
    </row>
    <row r="52" spans="1:4" x14ac:dyDescent="0.2">
      <c r="A52" s="2" t="s">
        <v>639</v>
      </c>
      <c r="D52" s="10">
        <v>10.5738</v>
      </c>
    </row>
    <row r="53" spans="1:4" x14ac:dyDescent="0.2">
      <c r="A53" s="2" t="s">
        <v>652</v>
      </c>
      <c r="D53" s="10">
        <v>10.2805</v>
      </c>
    </row>
    <row r="54" spans="1:4" x14ac:dyDescent="0.2">
      <c r="A54" s="2" t="s">
        <v>640</v>
      </c>
      <c r="D54" s="10">
        <v>11.2425</v>
      </c>
    </row>
    <row r="55" spans="1:4" x14ac:dyDescent="0.2">
      <c r="A55" s="2" t="s">
        <v>641</v>
      </c>
      <c r="D55" s="10">
        <v>10.641</v>
      </c>
    </row>
    <row r="56" spans="1:4" x14ac:dyDescent="0.2">
      <c r="A56" s="2" t="s">
        <v>654</v>
      </c>
      <c r="D56" s="10">
        <v>10.314299999999999</v>
      </c>
    </row>
    <row r="58" spans="1:4" x14ac:dyDescent="0.2">
      <c r="A58" s="4" t="s">
        <v>82</v>
      </c>
      <c r="D58" s="94" t="s">
        <v>299</v>
      </c>
    </row>
    <row r="59" spans="1:4" x14ac:dyDescent="0.2">
      <c r="A59" s="45" t="s">
        <v>642</v>
      </c>
      <c r="B59" s="46"/>
      <c r="C59" s="100" t="s">
        <v>643</v>
      </c>
      <c r="D59" s="101"/>
    </row>
    <row r="60" spans="1:4" x14ac:dyDescent="0.2">
      <c r="A60" s="102"/>
      <c r="B60" s="103"/>
      <c r="C60" s="47" t="s">
        <v>644</v>
      </c>
      <c r="D60" s="47" t="s">
        <v>645</v>
      </c>
    </row>
    <row r="61" spans="1:4" x14ac:dyDescent="0.2">
      <c r="A61" s="2" t="s">
        <v>639</v>
      </c>
      <c r="B61" s="63"/>
      <c r="C61" s="95">
        <v>0.4141855525</v>
      </c>
      <c r="D61" s="95">
        <v>0.38353788580000003</v>
      </c>
    </row>
    <row r="62" spans="1:4" x14ac:dyDescent="0.2">
      <c r="A62" s="48" t="s">
        <v>652</v>
      </c>
      <c r="B62" s="49"/>
      <c r="C62" s="89">
        <v>0.40698232550000002</v>
      </c>
      <c r="D62" s="89">
        <v>0.37686766170000002</v>
      </c>
    </row>
    <row r="63" spans="1:4" x14ac:dyDescent="0.2">
      <c r="A63" s="2" t="s">
        <v>641</v>
      </c>
      <c r="B63" s="49"/>
      <c r="C63" s="89">
        <v>0.4141855525</v>
      </c>
      <c r="D63" s="89">
        <v>0.38353788580000003</v>
      </c>
    </row>
    <row r="64" spans="1:4" x14ac:dyDescent="0.2">
      <c r="A64" s="48" t="s">
        <v>654</v>
      </c>
      <c r="B64" s="49"/>
      <c r="C64" s="89">
        <v>0.40698232550000002</v>
      </c>
      <c r="D64" s="89">
        <v>0.37686766170000002</v>
      </c>
    </row>
    <row r="66" spans="1:5" x14ac:dyDescent="0.2">
      <c r="A66" s="4" t="s">
        <v>647</v>
      </c>
      <c r="D66" s="53">
        <v>1.5006455314336506</v>
      </c>
      <c r="E66" s="73" t="s">
        <v>648</v>
      </c>
    </row>
  </sheetData>
  <mergeCells count="3">
    <mergeCell ref="A1:F1"/>
    <mergeCell ref="C59:D59"/>
    <mergeCell ref="A60:B60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6CC68-0AF4-4DBE-9D05-FDC1EB3F0991}">
  <dimension ref="A1:F58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49.140625" style="2" bestFit="1" customWidth="1"/>
    <col min="3" max="3" width="11.7109375" style="2" bestFit="1" customWidth="1"/>
    <col min="4" max="4" width="7.42578125" style="2" bestFit="1" customWidth="1"/>
    <col min="5" max="5" width="23" style="73" bestFit="1" customWidth="1"/>
    <col min="6" max="6" width="13.5703125" style="73" bestFit="1" customWidth="1"/>
    <col min="7" max="16384" width="9.140625" style="2"/>
  </cols>
  <sheetData>
    <row r="1" spans="1:6" ht="15" customHeight="1" x14ac:dyDescent="0.2">
      <c r="A1" s="108" t="s">
        <v>1372</v>
      </c>
      <c r="B1" s="108"/>
      <c r="C1" s="108"/>
      <c r="D1" s="108"/>
      <c r="E1" s="108"/>
      <c r="F1" s="108"/>
    </row>
    <row r="3" spans="1:6" s="4" customFormat="1" x14ac:dyDescent="0.2">
      <c r="A3" s="64" t="s">
        <v>1</v>
      </c>
      <c r="B3" s="64" t="s">
        <v>2</v>
      </c>
      <c r="C3" s="64" t="s">
        <v>716</v>
      </c>
      <c r="D3" s="64" t="s">
        <v>4</v>
      </c>
      <c r="E3" s="65" t="s">
        <v>5</v>
      </c>
      <c r="F3" s="65" t="s">
        <v>6</v>
      </c>
    </row>
    <row r="4" spans="1:6" x14ac:dyDescent="0.2">
      <c r="A4" s="66"/>
      <c r="B4" s="66"/>
      <c r="C4" s="66"/>
      <c r="D4" s="66"/>
      <c r="E4" s="67"/>
      <c r="F4" s="67"/>
    </row>
    <row r="5" spans="1:6" x14ac:dyDescent="0.2">
      <c r="A5" s="38" t="s">
        <v>359</v>
      </c>
      <c r="B5" s="39"/>
      <c r="C5" s="39"/>
      <c r="D5" s="39"/>
      <c r="E5" s="68"/>
      <c r="F5" s="68"/>
    </row>
    <row r="6" spans="1:6" x14ac:dyDescent="0.2">
      <c r="A6" s="38" t="s">
        <v>8</v>
      </c>
      <c r="B6" s="39"/>
      <c r="C6" s="39"/>
      <c r="D6" s="39"/>
      <c r="E6" s="68"/>
      <c r="F6" s="68"/>
    </row>
    <row r="7" spans="1:6" x14ac:dyDescent="0.2">
      <c r="A7" s="38"/>
      <c r="B7" s="39"/>
      <c r="C7" s="39"/>
      <c r="D7" s="39"/>
      <c r="E7" s="68"/>
      <c r="F7" s="68"/>
    </row>
    <row r="8" spans="1:6" x14ac:dyDescent="0.2">
      <c r="A8" s="39" t="s">
        <v>1342</v>
      </c>
      <c r="B8" s="39" t="str">
        <f>IFERROR(VLOOKUP(A8,[1]Bonds!$B$1:$K$2669,10,0),VLOOKUP(A8,[1]CPCD!$B$1:$H$1476,7,0))</f>
        <v>0.00% Bajaj Housing Finance Ltd (06-Apr-2021) **</v>
      </c>
      <c r="C8" s="39" t="s">
        <v>361</v>
      </c>
      <c r="D8" s="39">
        <v>61</v>
      </c>
      <c r="E8" s="68">
        <v>694.29651000000001</v>
      </c>
      <c r="F8" s="68">
        <v>9.9499019796694697</v>
      </c>
    </row>
    <row r="9" spans="1:6" x14ac:dyDescent="0.2">
      <c r="A9" s="39" t="s">
        <v>1351</v>
      </c>
      <c r="B9" s="39" t="str">
        <f>IFERROR(VLOOKUP(A9,[1]Bonds!$B$1:$K$2669,10,0),VLOOKUP(A9,[1]CPCD!$B$1:$H$1476,7,0))</f>
        <v>7.73% Housing &amp; Urban Development Corp Ltd (15-Apr-2021) **</v>
      </c>
      <c r="C9" s="39" t="s">
        <v>916</v>
      </c>
      <c r="D9" s="39">
        <v>61</v>
      </c>
      <c r="E9" s="68">
        <v>618.39543000000003</v>
      </c>
      <c r="F9" s="68">
        <v>8.8621703041191306</v>
      </c>
    </row>
    <row r="10" spans="1:6" x14ac:dyDescent="0.2">
      <c r="A10" s="39" t="s">
        <v>1368</v>
      </c>
      <c r="B10" s="39" t="str">
        <f>IFERROR(VLOOKUP(A10,[1]Bonds!$B$1:$K$2669,10,0),VLOOKUP(A10,[1]CPCD!$B$1:$H$1476,7,0))</f>
        <v>7.52% Small Industries Development Bank Of India (10-Feb-2021) **</v>
      </c>
      <c r="C10" s="39" t="s">
        <v>916</v>
      </c>
      <c r="D10" s="39">
        <v>61</v>
      </c>
      <c r="E10" s="68">
        <v>616.44587000000001</v>
      </c>
      <c r="F10" s="68">
        <v>8.8342313319017904</v>
      </c>
    </row>
    <row r="11" spans="1:6" x14ac:dyDescent="0.2">
      <c r="A11" s="39" t="s">
        <v>1367</v>
      </c>
      <c r="B11" s="39" t="str">
        <f>IFERROR(VLOOKUP(A11,[1]Bonds!$B$1:$K$2669,10,0),VLOOKUP(A11,[1]CPCD!$B$1:$H$1476,7,0))</f>
        <v>7.73% Power Finance Corp Ltd (05-Apr-2021) **</v>
      </c>
      <c r="C11" s="39" t="s">
        <v>361</v>
      </c>
      <c r="D11" s="39">
        <v>61</v>
      </c>
      <c r="E11" s="68">
        <v>613.721</v>
      </c>
      <c r="F11" s="68">
        <v>8.7951814605329393</v>
      </c>
    </row>
    <row r="12" spans="1:6" x14ac:dyDescent="0.2">
      <c r="A12" s="39" t="s">
        <v>1369</v>
      </c>
      <c r="B12" s="39" t="str">
        <f>IFERROR(VLOOKUP(A12,[1]Bonds!$B$1:$K$2669,10,0),VLOOKUP(A12,[1]CPCD!$B$1:$H$1476,7,0))</f>
        <v>7.60% Rec Ltd (17-Apr-2021) **</v>
      </c>
      <c r="C12" s="39" t="s">
        <v>361</v>
      </c>
      <c r="D12" s="39">
        <v>61</v>
      </c>
      <c r="E12" s="68">
        <v>612.32165999999995</v>
      </c>
      <c r="F12" s="68">
        <v>8.7751276425521603</v>
      </c>
    </row>
    <row r="13" spans="1:6" x14ac:dyDescent="0.2">
      <c r="A13" s="39" t="s">
        <v>1196</v>
      </c>
      <c r="B13" s="39" t="str">
        <f>IFERROR(VLOOKUP(A13,[1]Bonds!$B$1:$K$2669,10,0),VLOOKUP(A13,[1]CPCD!$B$1:$H$1476,7,0))</f>
        <v>8.75% Housing Development Finance Corp Ltd (04-Mar-2021) **</v>
      </c>
      <c r="C13" s="39" t="s">
        <v>361</v>
      </c>
      <c r="D13" s="39">
        <v>5</v>
      </c>
      <c r="E13" s="68">
        <v>510.1585</v>
      </c>
      <c r="F13" s="68">
        <v>7.3110364174165401</v>
      </c>
    </row>
    <row r="14" spans="1:6" x14ac:dyDescent="0.2">
      <c r="A14" s="39" t="s">
        <v>1228</v>
      </c>
      <c r="B14" s="39" t="str">
        <f>IFERROR(VLOOKUP(A14,[1]Bonds!$B$1:$K$2669,10,0),VLOOKUP(A14,[1]CPCD!$B$1:$H$1476,7,0))</f>
        <v>0.00% Fullerton India Credit Co Ltd (08-Apr-2021) **</v>
      </c>
      <c r="C14" s="39" t="s">
        <v>916</v>
      </c>
      <c r="D14" s="39">
        <v>40</v>
      </c>
      <c r="E14" s="68">
        <v>444.79520000000002</v>
      </c>
      <c r="F14" s="68">
        <v>6.3743207365790697</v>
      </c>
    </row>
    <row r="15" spans="1:6" x14ac:dyDescent="0.2">
      <c r="A15" s="39" t="s">
        <v>1198</v>
      </c>
      <c r="B15" s="39" t="str">
        <f>IFERROR(VLOOKUP(A15,[1]Bonds!$B$1:$K$2669,10,0),VLOOKUP(A15,[1]CPCD!$B$1:$H$1476,7,0))</f>
        <v>7.65% Indian Railway Finance Corp Ltd (15-Mar-2021) **</v>
      </c>
      <c r="C15" s="39" t="s">
        <v>361</v>
      </c>
      <c r="D15" s="39">
        <v>36</v>
      </c>
      <c r="E15" s="68">
        <v>365.71391999999997</v>
      </c>
      <c r="F15" s="68">
        <v>5.2410138956347101</v>
      </c>
    </row>
    <row r="16" spans="1:6" x14ac:dyDescent="0.2">
      <c r="A16" s="39" t="s">
        <v>1162</v>
      </c>
      <c r="B16" s="39" t="str">
        <f>IFERROR(VLOOKUP(A16,[1]Bonds!$B$1:$K$2669,10,0),VLOOKUP(A16,[1]CPCD!$B$1:$H$1476,7,0))</f>
        <v>7.07% Reliance Industries Ltd (24-Dec-2020) **</v>
      </c>
      <c r="C16" s="39" t="s">
        <v>361</v>
      </c>
      <c r="D16" s="39">
        <v>36</v>
      </c>
      <c r="E16" s="68">
        <v>359.96544</v>
      </c>
      <c r="F16" s="68">
        <v>5.1586329363352101</v>
      </c>
    </row>
    <row r="17" spans="1:6" x14ac:dyDescent="0.2">
      <c r="A17" s="39" t="s">
        <v>1330</v>
      </c>
      <c r="B17" s="39" t="str">
        <f>IFERROR(VLOOKUP(A17,[1]Bonds!$B$1:$K$2669,10,0),VLOOKUP(A17,[1]CPCD!$B$1:$H$1476,7,0))</f>
        <v>0.00% LIC Housing Finance Ltd (25-Mar-2021) **</v>
      </c>
      <c r="C17" s="39" t="s">
        <v>361</v>
      </c>
      <c r="D17" s="39">
        <v>30</v>
      </c>
      <c r="E17" s="68">
        <v>341.59980000000002</v>
      </c>
      <c r="F17" s="68">
        <v>4.89543657114839</v>
      </c>
    </row>
    <row r="18" spans="1:6" x14ac:dyDescent="0.2">
      <c r="A18" s="39" t="s">
        <v>976</v>
      </c>
      <c r="B18" s="39" t="str">
        <f>IFERROR(VLOOKUP(A18,[1]Bonds!$B$1:$K$2669,10,0),VLOOKUP(A18,[1]CPCD!$B$1:$H$1476,7,0))</f>
        <v>0.00% Mahindra &amp; Mahindra Financial Services Ltd (07-Apr-2021) **</v>
      </c>
      <c r="C18" s="39" t="s">
        <v>977</v>
      </c>
      <c r="D18" s="39">
        <v>10</v>
      </c>
      <c r="E18" s="68">
        <v>112.4294</v>
      </c>
      <c r="F18" s="68">
        <v>1.61121580408499</v>
      </c>
    </row>
    <row r="19" spans="1:6" x14ac:dyDescent="0.2">
      <c r="A19" s="39" t="s">
        <v>1354</v>
      </c>
      <c r="B19" s="39" t="str">
        <f>IFERROR(VLOOKUP(A19,[1]Bonds!$B$1:$K$2669,10,0),VLOOKUP(A19,[1]CPCD!$B$1:$H$1476,7,0))</f>
        <v>9.18% Power Finance Corp Ltd (15-Apr-2021) **</v>
      </c>
      <c r="C19" s="39" t="s">
        <v>361</v>
      </c>
      <c r="D19" s="39">
        <v>10</v>
      </c>
      <c r="E19" s="68">
        <v>102.7299</v>
      </c>
      <c r="F19" s="68">
        <v>1.4722131260335001</v>
      </c>
    </row>
    <row r="20" spans="1:6" x14ac:dyDescent="0.2">
      <c r="A20" s="39" t="s">
        <v>1239</v>
      </c>
      <c r="B20" s="39" t="str">
        <f>IFERROR(VLOOKUP(A20,[1]Bonds!$B$1:$K$2669,10,0),VLOOKUP(A20,[1]CPCD!$B$1:$H$1476,7,0))</f>
        <v>7.70% Rec Ltd (15-Mar-2021) **</v>
      </c>
      <c r="C20" s="39" t="s">
        <v>361</v>
      </c>
      <c r="D20" s="39">
        <v>5</v>
      </c>
      <c r="E20" s="68">
        <v>50.2821</v>
      </c>
      <c r="F20" s="68">
        <v>0.72058833528046695</v>
      </c>
    </row>
    <row r="21" spans="1:6" x14ac:dyDescent="0.2">
      <c r="A21" s="39" t="s">
        <v>974</v>
      </c>
      <c r="B21" s="39" t="str">
        <f>IFERROR(VLOOKUP(A21,[1]Bonds!$B$1:$K$2669,10,0),VLOOKUP(A21,[1]CPCD!$B$1:$H$1476,7,0))</f>
        <v>9.30% Fullerton India Credit Co Ltd (15-Mar-2021) **</v>
      </c>
      <c r="C21" s="39" t="s">
        <v>361</v>
      </c>
      <c r="D21" s="39">
        <v>2</v>
      </c>
      <c r="E21" s="68">
        <v>20.015899999999998</v>
      </c>
      <c r="F21" s="68">
        <v>0.286846095531816</v>
      </c>
    </row>
    <row r="22" spans="1:6" x14ac:dyDescent="0.2">
      <c r="A22" s="39" t="s">
        <v>1355</v>
      </c>
      <c r="B22" s="39" t="str">
        <f>IFERROR(VLOOKUP(A22,[1]Bonds!$B$1:$K$2669,10,0),VLOOKUP(A22,[1]CPCD!$B$1:$H$1476,7,0))</f>
        <v>0.00% HDB Financial Services Limited (06-Apr-2021) **</v>
      </c>
      <c r="C22" s="39" t="s">
        <v>361</v>
      </c>
      <c r="D22" s="39">
        <v>1</v>
      </c>
      <c r="E22" s="68">
        <v>11.310180000000001</v>
      </c>
      <c r="F22" s="68">
        <v>0.162085190911327</v>
      </c>
    </row>
    <row r="23" spans="1:6" x14ac:dyDescent="0.2">
      <c r="A23" s="39" t="s">
        <v>1373</v>
      </c>
      <c r="B23" s="39" t="str">
        <f>IFERROR(VLOOKUP(A23,[1]Bonds!$B$1:$K$2669,10,0),VLOOKUP(A23,[1]CPCD!$B$1:$H$1476,7,0))</f>
        <v>7.50% Bajaj Finance Ltd (10-Aug-2020) **</v>
      </c>
      <c r="C23" s="39" t="s">
        <v>361</v>
      </c>
      <c r="D23" s="39">
        <v>1</v>
      </c>
      <c r="E23" s="68">
        <v>10.025130000000001</v>
      </c>
      <c r="F23" s="68">
        <v>0.14366925282894399</v>
      </c>
    </row>
    <row r="24" spans="1:6" x14ac:dyDescent="0.2">
      <c r="A24" s="38" t="s">
        <v>44</v>
      </c>
      <c r="B24" s="39"/>
      <c r="C24" s="39"/>
      <c r="D24" s="39"/>
      <c r="E24" s="69">
        <f>SUM(E8:E23)</f>
        <v>5484.2059400000016</v>
      </c>
      <c r="F24" s="69">
        <f>SUM(F8:F23)</f>
        <v>78.593671080560455</v>
      </c>
    </row>
    <row r="25" spans="1:6" x14ac:dyDescent="0.2">
      <c r="A25" s="39"/>
      <c r="B25" s="39"/>
      <c r="C25" s="39"/>
      <c r="D25" s="39"/>
      <c r="E25" s="68"/>
      <c r="F25" s="68"/>
    </row>
    <row r="26" spans="1:6" x14ac:dyDescent="0.2">
      <c r="A26" s="38" t="s">
        <v>815</v>
      </c>
      <c r="B26" s="39"/>
      <c r="C26" s="39"/>
      <c r="D26" s="39"/>
      <c r="E26" s="68"/>
      <c r="F26" s="68"/>
    </row>
    <row r="27" spans="1:6" x14ac:dyDescent="0.2">
      <c r="A27" s="39" t="s">
        <v>1357</v>
      </c>
      <c r="B27" s="39" t="str">
        <f>IFERROR(VLOOKUP(A27,[1]Bonds!$B$1:$K$2669,10,0),VLOOKUP(A27,[1]CPCD!$B$1:$H$1476,7,0))</f>
        <v>8.19% Mahindra Vehicle Manufactures Ltd (23-Feb-2021) **</v>
      </c>
      <c r="C27" s="39" t="s">
        <v>973</v>
      </c>
      <c r="D27" s="39">
        <v>61</v>
      </c>
      <c r="E27" s="68">
        <v>611.93370000000004</v>
      </c>
      <c r="F27" s="68">
        <v>8.7695678220483408</v>
      </c>
    </row>
    <row r="28" spans="1:6" x14ac:dyDescent="0.2">
      <c r="A28" s="39" t="s">
        <v>1371</v>
      </c>
      <c r="B28" s="39" t="str">
        <f>IFERROR(VLOOKUP(A28,[1]Bonds!$B$1:$K$2669,10,0),VLOOKUP(A28,[1]CPCD!$B$1:$H$1476,7,0))</f>
        <v>8.25% Tata Sons Pvt Ltd (23-Mar-2021) **</v>
      </c>
      <c r="C28" s="39" t="s">
        <v>361</v>
      </c>
      <c r="D28" s="39">
        <v>61</v>
      </c>
      <c r="E28" s="68">
        <v>610.91499999999996</v>
      </c>
      <c r="F28" s="68">
        <v>8.7549689222977296</v>
      </c>
    </row>
    <row r="29" spans="1:6" x14ac:dyDescent="0.2">
      <c r="A29" s="38" t="s">
        <v>44</v>
      </c>
      <c r="B29" s="39"/>
      <c r="C29" s="39"/>
      <c r="D29" s="39"/>
      <c r="E29" s="69">
        <f>SUM(E27:E28)</f>
        <v>1222.8487</v>
      </c>
      <c r="F29" s="69">
        <f>SUM(F27:F28)</f>
        <v>17.524536744346072</v>
      </c>
    </row>
    <row r="30" spans="1:6" x14ac:dyDescent="0.2">
      <c r="A30" s="39"/>
      <c r="B30" s="39"/>
      <c r="C30" s="39"/>
      <c r="D30" s="39"/>
      <c r="E30" s="68"/>
      <c r="F30" s="68"/>
    </row>
    <row r="31" spans="1:6" x14ac:dyDescent="0.2">
      <c r="A31" s="38" t="s">
        <v>44</v>
      </c>
      <c r="B31" s="39"/>
      <c r="C31" s="39"/>
      <c r="D31" s="39"/>
      <c r="E31" s="69">
        <f>E24+E29</f>
        <v>6707.0546400000021</v>
      </c>
      <c r="F31" s="69">
        <f>F24+F29</f>
        <v>96.118207824906534</v>
      </c>
    </row>
    <row r="32" spans="1:6" x14ac:dyDescent="0.2">
      <c r="A32" s="39"/>
      <c r="B32" s="39"/>
      <c r="C32" s="39"/>
      <c r="D32" s="39"/>
      <c r="E32" s="68"/>
      <c r="F32" s="68"/>
    </row>
    <row r="33" spans="1:6" x14ac:dyDescent="0.2">
      <c r="A33" s="38" t="s">
        <v>76</v>
      </c>
      <c r="B33" s="39"/>
      <c r="C33" s="39"/>
      <c r="D33" s="39"/>
      <c r="E33" s="69">
        <v>270.87311340000002</v>
      </c>
      <c r="F33" s="69">
        <v>3.88</v>
      </c>
    </row>
    <row r="34" spans="1:6" x14ac:dyDescent="0.2">
      <c r="A34" s="39"/>
      <c r="B34" s="39"/>
      <c r="C34" s="39"/>
      <c r="D34" s="39"/>
      <c r="E34" s="68"/>
      <c r="F34" s="68"/>
    </row>
    <row r="35" spans="1:6" x14ac:dyDescent="0.2">
      <c r="A35" s="71" t="s">
        <v>77</v>
      </c>
      <c r="B35" s="66"/>
      <c r="C35" s="66"/>
      <c r="D35" s="66"/>
      <c r="E35" s="72">
        <f>E31+E33</f>
        <v>6977.9277534000021</v>
      </c>
      <c r="F35" s="72">
        <f>F31+F33</f>
        <v>99.99820782490653</v>
      </c>
    </row>
    <row r="36" spans="1:6" x14ac:dyDescent="0.2">
      <c r="A36" s="52" t="s">
        <v>619</v>
      </c>
    </row>
    <row r="37" spans="1:6" x14ac:dyDescent="0.2">
      <c r="A37" s="4"/>
    </row>
    <row r="38" spans="1:6" x14ac:dyDescent="0.2">
      <c r="A38" s="4" t="s">
        <v>78</v>
      </c>
    </row>
    <row r="39" spans="1:6" x14ac:dyDescent="0.2">
      <c r="A39" s="4" t="s">
        <v>650</v>
      </c>
    </row>
    <row r="40" spans="1:6" x14ac:dyDescent="0.2">
      <c r="A40" s="4" t="s">
        <v>80</v>
      </c>
    </row>
    <row r="41" spans="1:6" x14ac:dyDescent="0.2">
      <c r="A41" s="2" t="s">
        <v>638</v>
      </c>
      <c r="D41" s="10">
        <v>10.621600000000001</v>
      </c>
    </row>
    <row r="42" spans="1:6" x14ac:dyDescent="0.2">
      <c r="A42" s="2" t="s">
        <v>639</v>
      </c>
      <c r="D42" s="10">
        <v>10.621600000000001</v>
      </c>
    </row>
    <row r="43" spans="1:6" x14ac:dyDescent="0.2">
      <c r="A43" s="2" t="s">
        <v>652</v>
      </c>
      <c r="D43" s="10">
        <v>10.2613</v>
      </c>
    </row>
    <row r="44" spans="1:6" x14ac:dyDescent="0.2">
      <c r="A44" s="2" t="s">
        <v>640</v>
      </c>
      <c r="D44" s="10">
        <v>10.6738</v>
      </c>
    </row>
    <row r="46" spans="1:6" x14ac:dyDescent="0.2">
      <c r="A46" s="4" t="s">
        <v>81</v>
      </c>
    </row>
    <row r="47" spans="1:6" x14ac:dyDescent="0.2">
      <c r="A47" s="2" t="s">
        <v>638</v>
      </c>
      <c r="D47" s="10">
        <v>11.244</v>
      </c>
    </row>
    <row r="48" spans="1:6" x14ac:dyDescent="0.2">
      <c r="A48" s="2" t="s">
        <v>639</v>
      </c>
      <c r="D48" s="10">
        <v>10.5641</v>
      </c>
    </row>
    <row r="49" spans="1:5" x14ac:dyDescent="0.2">
      <c r="A49" s="2" t="s">
        <v>652</v>
      </c>
      <c r="D49" s="10">
        <v>10.2883</v>
      </c>
    </row>
    <row r="50" spans="1:5" x14ac:dyDescent="0.2">
      <c r="A50" s="2" t="s">
        <v>640</v>
      </c>
      <c r="D50" s="10">
        <v>11.3003</v>
      </c>
    </row>
    <row r="52" spans="1:5" x14ac:dyDescent="0.2">
      <c r="A52" s="4" t="s">
        <v>82</v>
      </c>
      <c r="D52" s="44" t="s">
        <v>299</v>
      </c>
    </row>
    <row r="53" spans="1:5" x14ac:dyDescent="0.2">
      <c r="A53" s="45" t="s">
        <v>642</v>
      </c>
      <c r="B53" s="46"/>
      <c r="C53" s="100" t="s">
        <v>643</v>
      </c>
      <c r="D53" s="101"/>
    </row>
    <row r="54" spans="1:5" x14ac:dyDescent="0.2">
      <c r="A54" s="102"/>
      <c r="B54" s="103"/>
      <c r="C54" s="47" t="s">
        <v>644</v>
      </c>
      <c r="D54" s="47" t="s">
        <v>645</v>
      </c>
    </row>
    <row r="55" spans="1:5" x14ac:dyDescent="0.2">
      <c r="A55" s="2" t="s">
        <v>639</v>
      </c>
      <c r="B55" s="63"/>
      <c r="C55" s="89">
        <v>0.46820975500000001</v>
      </c>
      <c r="D55" s="89">
        <v>0.43356456650000003</v>
      </c>
    </row>
    <row r="56" spans="1:5" x14ac:dyDescent="0.2">
      <c r="A56" s="48" t="s">
        <v>652</v>
      </c>
      <c r="B56" s="49"/>
      <c r="C56" s="89">
        <v>0.39977909850000004</v>
      </c>
      <c r="D56" s="89">
        <v>0.37019743760000001</v>
      </c>
    </row>
    <row r="58" spans="1:5" x14ac:dyDescent="0.2">
      <c r="A58" s="4" t="s">
        <v>647</v>
      </c>
      <c r="D58" s="53">
        <v>1.4875489158740316</v>
      </c>
      <c r="E58" s="73" t="s">
        <v>648</v>
      </c>
    </row>
  </sheetData>
  <mergeCells count="3">
    <mergeCell ref="A1:F1"/>
    <mergeCell ref="C53:D53"/>
    <mergeCell ref="A54:B54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30ACD-7063-4C18-9247-5E961B2B065E}">
  <dimension ref="A1:F52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49.140625" style="2" bestFit="1" customWidth="1"/>
    <col min="3" max="3" width="9.28515625" style="2" bestFit="1" customWidth="1"/>
    <col min="4" max="4" width="7.42578125" style="2" bestFit="1" customWidth="1"/>
    <col min="5" max="5" width="23" style="73" bestFit="1" customWidth="1"/>
    <col min="6" max="6" width="13.5703125" style="73" bestFit="1" customWidth="1"/>
    <col min="7" max="16384" width="9.140625" style="2"/>
  </cols>
  <sheetData>
    <row r="1" spans="1:6" ht="15" customHeight="1" x14ac:dyDescent="0.2">
      <c r="A1" s="108" t="s">
        <v>1374</v>
      </c>
      <c r="B1" s="108"/>
      <c r="C1" s="108"/>
      <c r="D1" s="108"/>
      <c r="E1" s="108"/>
      <c r="F1" s="108"/>
    </row>
    <row r="3" spans="1:6" s="4" customFormat="1" x14ac:dyDescent="0.2">
      <c r="A3" s="64" t="s">
        <v>1</v>
      </c>
      <c r="B3" s="64" t="s">
        <v>2</v>
      </c>
      <c r="C3" s="64" t="s">
        <v>716</v>
      </c>
      <c r="D3" s="64" t="s">
        <v>4</v>
      </c>
      <c r="E3" s="65" t="s">
        <v>5</v>
      </c>
      <c r="F3" s="65" t="s">
        <v>6</v>
      </c>
    </row>
    <row r="4" spans="1:6" x14ac:dyDescent="0.2">
      <c r="A4" s="66"/>
      <c r="B4" s="66"/>
      <c r="C4" s="66"/>
      <c r="D4" s="66"/>
      <c r="E4" s="67"/>
      <c r="F4" s="67"/>
    </row>
    <row r="5" spans="1:6" x14ac:dyDescent="0.2">
      <c r="A5" s="38" t="s">
        <v>359</v>
      </c>
      <c r="B5" s="39"/>
      <c r="C5" s="39"/>
      <c r="D5" s="39"/>
      <c r="E5" s="68"/>
      <c r="F5" s="68"/>
    </row>
    <row r="6" spans="1:6" x14ac:dyDescent="0.2">
      <c r="A6" s="38" t="s">
        <v>8</v>
      </c>
      <c r="B6" s="39"/>
      <c r="C6" s="39"/>
      <c r="D6" s="39"/>
      <c r="E6" s="68"/>
      <c r="F6" s="68"/>
    </row>
    <row r="7" spans="1:6" x14ac:dyDescent="0.2">
      <c r="A7" s="38"/>
      <c r="B7" s="39"/>
      <c r="C7" s="39"/>
      <c r="D7" s="39"/>
      <c r="E7" s="68"/>
      <c r="F7" s="68"/>
    </row>
    <row r="8" spans="1:6" x14ac:dyDescent="0.2">
      <c r="A8" s="39" t="s">
        <v>1342</v>
      </c>
      <c r="B8" s="39" t="str">
        <f>IFERROR(VLOOKUP(A8,[1]Bonds!$B$1:$K$2669,10,0),VLOOKUP(A8,[1]CPCD!$B$1:$H$1476,7,0))</f>
        <v>0.00% Bajaj Housing Finance Ltd (06-Apr-2021) **</v>
      </c>
      <c r="C8" s="39" t="s">
        <v>361</v>
      </c>
      <c r="D8" s="39">
        <v>67</v>
      </c>
      <c r="E8" s="68">
        <v>762.58797000000004</v>
      </c>
      <c r="F8" s="68">
        <v>9.8940491732208091</v>
      </c>
    </row>
    <row r="9" spans="1:6" x14ac:dyDescent="0.2">
      <c r="A9" s="39" t="s">
        <v>1365</v>
      </c>
      <c r="B9" s="39" t="str">
        <f>IFERROR(VLOOKUP(A9,[1]Bonds!$B$1:$K$2669,10,0),VLOOKUP(A9,[1]CPCD!$B$1:$H$1476,7,0))</f>
        <v>0.00% Kotak Mahindra Prime Ltd (26-Apr-2021) **</v>
      </c>
      <c r="C9" s="39" t="s">
        <v>361</v>
      </c>
      <c r="D9" s="39">
        <v>86</v>
      </c>
      <c r="E9" s="68">
        <v>760.9194</v>
      </c>
      <c r="F9" s="68">
        <v>9.8724006365556392</v>
      </c>
    </row>
    <row r="10" spans="1:6" x14ac:dyDescent="0.2">
      <c r="A10" s="39" t="s">
        <v>1198</v>
      </c>
      <c r="B10" s="39" t="str">
        <f>IFERROR(VLOOKUP(A10,[1]Bonds!$B$1:$K$2669,10,0),VLOOKUP(A10,[1]CPCD!$B$1:$H$1476,7,0))</f>
        <v>7.65% Indian Railway Finance Corp Ltd (15-Mar-2021) **</v>
      </c>
      <c r="C10" s="39" t="s">
        <v>361</v>
      </c>
      <c r="D10" s="39">
        <v>72</v>
      </c>
      <c r="E10" s="68">
        <v>731.42783999999995</v>
      </c>
      <c r="F10" s="68">
        <v>9.4897681320919407</v>
      </c>
    </row>
    <row r="11" spans="1:6" x14ac:dyDescent="0.2">
      <c r="A11" s="39" t="s">
        <v>1351</v>
      </c>
      <c r="B11" s="39" t="str">
        <f>IFERROR(VLOOKUP(A11,[1]Bonds!$B$1:$K$2669,10,0),VLOOKUP(A11,[1]CPCD!$B$1:$H$1476,7,0))</f>
        <v>7.73% Housing &amp; Urban Development Corp Ltd (15-Apr-2021) **</v>
      </c>
      <c r="C11" s="39" t="s">
        <v>916</v>
      </c>
      <c r="D11" s="39">
        <v>68</v>
      </c>
      <c r="E11" s="68">
        <v>689.35883999999999</v>
      </c>
      <c r="F11" s="68">
        <v>8.9439520806425197</v>
      </c>
    </row>
    <row r="12" spans="1:6" x14ac:dyDescent="0.2">
      <c r="A12" s="39" t="s">
        <v>1368</v>
      </c>
      <c r="B12" s="39" t="str">
        <f>IFERROR(VLOOKUP(A12,[1]Bonds!$B$1:$K$2669,10,0),VLOOKUP(A12,[1]CPCD!$B$1:$H$1476,7,0))</f>
        <v>7.52% Small Industries Development Bank Of India (10-Feb-2021) **</v>
      </c>
      <c r="C12" s="39" t="s">
        <v>916</v>
      </c>
      <c r="D12" s="39">
        <v>68</v>
      </c>
      <c r="E12" s="68">
        <v>687.18556000000001</v>
      </c>
      <c r="F12" s="68">
        <v>8.9157552823279893</v>
      </c>
    </row>
    <row r="13" spans="1:6" x14ac:dyDescent="0.2">
      <c r="A13" s="39" t="s">
        <v>1367</v>
      </c>
      <c r="B13" s="39" t="str">
        <f>IFERROR(VLOOKUP(A13,[1]Bonds!$B$1:$K$2669,10,0),VLOOKUP(A13,[1]CPCD!$B$1:$H$1476,7,0))</f>
        <v>7.73% Power Finance Corp Ltd (05-Apr-2021) **</v>
      </c>
      <c r="C13" s="39" t="s">
        <v>361</v>
      </c>
      <c r="D13" s="39">
        <v>68</v>
      </c>
      <c r="E13" s="68">
        <v>684.14800000000002</v>
      </c>
      <c r="F13" s="68">
        <v>8.8763450513921303</v>
      </c>
    </row>
    <row r="14" spans="1:6" x14ac:dyDescent="0.2">
      <c r="A14" s="39" t="s">
        <v>1369</v>
      </c>
      <c r="B14" s="39" t="str">
        <f>IFERROR(VLOOKUP(A14,[1]Bonds!$B$1:$K$2669,10,0),VLOOKUP(A14,[1]CPCD!$B$1:$H$1476,7,0))</f>
        <v>7.60% Rec Ltd (17-Apr-2021) **</v>
      </c>
      <c r="C14" s="39" t="s">
        <v>361</v>
      </c>
      <c r="D14" s="39">
        <v>68</v>
      </c>
      <c r="E14" s="68">
        <v>682.58807999999999</v>
      </c>
      <c r="F14" s="68">
        <v>8.85610617300242</v>
      </c>
    </row>
    <row r="15" spans="1:6" x14ac:dyDescent="0.2">
      <c r="A15" s="39" t="s">
        <v>1375</v>
      </c>
      <c r="B15" s="39" t="str">
        <f>IFERROR(VLOOKUP(A15,[1]Bonds!$B$1:$K$2669,10,0),VLOOKUP(A15,[1]CPCD!$B$1:$H$1476,7,0))</f>
        <v>9.60% LIC Housing Finance Ltd (07-Mar-2021) **</v>
      </c>
      <c r="C15" s="39" t="s">
        <v>361</v>
      </c>
      <c r="D15" s="39">
        <v>50</v>
      </c>
      <c r="E15" s="68">
        <v>516.00900000000001</v>
      </c>
      <c r="F15" s="68">
        <v>6.6948583254263703</v>
      </c>
    </row>
    <row r="16" spans="1:6" x14ac:dyDescent="0.2">
      <c r="A16" s="39" t="s">
        <v>1343</v>
      </c>
      <c r="B16" s="39" t="str">
        <f>IFERROR(VLOOKUP(A16,[1]Bonds!$B$1:$K$2669,10,0),VLOOKUP(A16,[1]CPCD!$B$1:$H$1476,7,0))</f>
        <v>7.88% LIC Housing Finance Ltd (28-Jan-2021) **</v>
      </c>
      <c r="C16" s="39" t="s">
        <v>361</v>
      </c>
      <c r="D16" s="39">
        <v>16</v>
      </c>
      <c r="E16" s="68">
        <v>161.17936</v>
      </c>
      <c r="F16" s="68">
        <v>2.0911902315325799</v>
      </c>
    </row>
    <row r="17" spans="1:6" x14ac:dyDescent="0.2">
      <c r="A17" s="39" t="s">
        <v>974</v>
      </c>
      <c r="B17" s="39" t="str">
        <f>IFERROR(VLOOKUP(A17,[1]Bonds!$B$1:$K$2669,10,0),VLOOKUP(A17,[1]CPCD!$B$1:$H$1476,7,0))</f>
        <v>9.30% Fullerton India Credit Co Ltd (15-Mar-2021) **</v>
      </c>
      <c r="C17" s="39" t="s">
        <v>361</v>
      </c>
      <c r="D17" s="39">
        <v>7</v>
      </c>
      <c r="E17" s="68">
        <v>70.05565</v>
      </c>
      <c r="F17" s="68">
        <v>0.90892339406028999</v>
      </c>
    </row>
    <row r="18" spans="1:6" x14ac:dyDescent="0.2">
      <c r="A18" s="39" t="s">
        <v>1239</v>
      </c>
      <c r="B18" s="39" t="str">
        <f>IFERROR(VLOOKUP(A18,[1]Bonds!$B$1:$K$2669,10,0),VLOOKUP(A18,[1]CPCD!$B$1:$H$1476,7,0))</f>
        <v>7.70% Rec Ltd (15-Mar-2021) **</v>
      </c>
      <c r="C18" s="39" t="s">
        <v>361</v>
      </c>
      <c r="D18" s="39">
        <v>6</v>
      </c>
      <c r="E18" s="68">
        <v>60.338520000000003</v>
      </c>
      <c r="F18" s="68">
        <v>0.78285038238849702</v>
      </c>
    </row>
    <row r="19" spans="1:6" x14ac:dyDescent="0.2">
      <c r="A19" s="39" t="s">
        <v>1355</v>
      </c>
      <c r="B19" s="39" t="str">
        <f>IFERROR(VLOOKUP(A19,[1]Bonds!$B$1:$K$2669,10,0),VLOOKUP(A19,[1]CPCD!$B$1:$H$1476,7,0))</f>
        <v>0.00% HDB Financial Services Limited (06-Apr-2021) **</v>
      </c>
      <c r="C19" s="39" t="s">
        <v>361</v>
      </c>
      <c r="D19" s="39">
        <v>4</v>
      </c>
      <c r="E19" s="68">
        <v>45.240720000000003</v>
      </c>
      <c r="F19" s="68">
        <v>0.58696691519001298</v>
      </c>
    </row>
    <row r="20" spans="1:6" x14ac:dyDescent="0.2">
      <c r="A20" s="39" t="s">
        <v>976</v>
      </c>
      <c r="B20" s="39" t="str">
        <f>IFERROR(VLOOKUP(A20,[1]Bonds!$B$1:$K$2669,10,0),VLOOKUP(A20,[1]CPCD!$B$1:$H$1476,7,0))</f>
        <v>0.00% Mahindra &amp; Mahindra Financial Services Ltd (07-Apr-2021) **</v>
      </c>
      <c r="C20" s="39" t="s">
        <v>977</v>
      </c>
      <c r="D20" s="39">
        <v>3</v>
      </c>
      <c r="E20" s="68">
        <v>33.728819999999999</v>
      </c>
      <c r="F20" s="68">
        <v>0.43760800951884099</v>
      </c>
    </row>
    <row r="21" spans="1:6" x14ac:dyDescent="0.2">
      <c r="A21" s="39" t="s">
        <v>1354</v>
      </c>
      <c r="B21" s="39" t="str">
        <f>IFERROR(VLOOKUP(A21,[1]Bonds!$B$1:$K$2669,10,0),VLOOKUP(A21,[1]CPCD!$B$1:$H$1476,7,0))</f>
        <v>9.18% Power Finance Corp Ltd (15-Apr-2021) **</v>
      </c>
      <c r="C21" s="39" t="s">
        <v>361</v>
      </c>
      <c r="D21" s="39">
        <v>3</v>
      </c>
      <c r="E21" s="68">
        <v>30.81897</v>
      </c>
      <c r="F21" s="68">
        <v>0.39985472711825898</v>
      </c>
    </row>
    <row r="22" spans="1:6" x14ac:dyDescent="0.2">
      <c r="A22" s="39" t="s">
        <v>1376</v>
      </c>
      <c r="B22" s="39" t="str">
        <f>IFERROR(VLOOKUP(A22,[1]Bonds!$B$1:$K$2669,10,0),VLOOKUP(A22,[1]CPCD!$B$1:$H$1476,7,0))</f>
        <v>7.14% Housing &amp; Urban Development Corp Ltd (22-Dec-2020) **</v>
      </c>
      <c r="C22" s="39" t="s">
        <v>916</v>
      </c>
      <c r="D22" s="39">
        <v>1</v>
      </c>
      <c r="E22" s="68">
        <v>10.035679999999999</v>
      </c>
      <c r="F22" s="68">
        <v>0.130205976638615</v>
      </c>
    </row>
    <row r="23" spans="1:6" x14ac:dyDescent="0.2">
      <c r="A23" s="38" t="s">
        <v>44</v>
      </c>
      <c r="B23" s="39"/>
      <c r="C23" s="39"/>
      <c r="D23" s="39"/>
      <c r="E23" s="69">
        <f>SUM(E8:E22)</f>
        <v>5925.6224099999999</v>
      </c>
      <c r="F23" s="69">
        <f>SUM(F8:F22)</f>
        <v>76.880834491106924</v>
      </c>
    </row>
    <row r="24" spans="1:6" x14ac:dyDescent="0.2">
      <c r="A24" s="39"/>
      <c r="B24" s="39"/>
      <c r="C24" s="39"/>
      <c r="D24" s="39"/>
      <c r="E24" s="68"/>
      <c r="F24" s="68"/>
    </row>
    <row r="25" spans="1:6" x14ac:dyDescent="0.2">
      <c r="A25" s="38" t="s">
        <v>815</v>
      </c>
      <c r="B25" s="39"/>
      <c r="C25" s="39"/>
      <c r="D25" s="39"/>
      <c r="E25" s="68"/>
      <c r="F25" s="68"/>
    </row>
    <row r="26" spans="1:6" x14ac:dyDescent="0.2">
      <c r="A26" s="39" t="s">
        <v>1371</v>
      </c>
      <c r="B26" s="39" t="str">
        <f>IFERROR(VLOOKUP(A26,[1]Bonds!$B$1:$K$2669,10,0),VLOOKUP(A26,[1]CPCD!$B$1:$H$1476,7,0))</f>
        <v>8.25% Tata Sons Pvt Ltd (23-Mar-2021) **</v>
      </c>
      <c r="C26" s="39" t="s">
        <v>361</v>
      </c>
      <c r="D26" s="39">
        <v>68</v>
      </c>
      <c r="E26" s="68">
        <v>681.02</v>
      </c>
      <c r="F26" s="68">
        <v>8.8357614242811096</v>
      </c>
    </row>
    <row r="27" spans="1:6" x14ac:dyDescent="0.2">
      <c r="A27" s="39" t="s">
        <v>1357</v>
      </c>
      <c r="B27" s="39" t="str">
        <f>IFERROR(VLOOKUP(A27,[1]Bonds!$B$1:$K$2669,10,0),VLOOKUP(A27,[1]CPCD!$B$1:$H$1476,7,0))</f>
        <v>8.19% Mahindra Vehicle Manufactures Ltd (23-Feb-2021) **</v>
      </c>
      <c r="C27" s="39" t="s">
        <v>973</v>
      </c>
      <c r="D27" s="39">
        <v>67</v>
      </c>
      <c r="E27" s="68">
        <v>672.12390000000005</v>
      </c>
      <c r="F27" s="68">
        <v>8.7203407065245795</v>
      </c>
    </row>
    <row r="28" spans="1:6" x14ac:dyDescent="0.2">
      <c r="A28" s="39" t="s">
        <v>1251</v>
      </c>
      <c r="B28" s="39" t="str">
        <f>IFERROR(VLOOKUP(A28,[1]Bonds!$B$1:$K$2669,10,0),VLOOKUP(A28,[1]CPCD!$B$1:$H$1476,7,0))</f>
        <v>7.48% Bennett Coleman And Co Ltd (26-Apr-2021) **</v>
      </c>
      <c r="C28" s="39" t="s">
        <v>361</v>
      </c>
      <c r="D28" s="39">
        <v>12</v>
      </c>
      <c r="E28" s="68">
        <v>119.78807999999999</v>
      </c>
      <c r="F28" s="68">
        <v>1.55416712629981</v>
      </c>
    </row>
    <row r="29" spans="1:6" x14ac:dyDescent="0.2">
      <c r="A29" s="38" t="s">
        <v>44</v>
      </c>
      <c r="B29" s="39"/>
      <c r="C29" s="39"/>
      <c r="D29" s="39"/>
      <c r="E29" s="69">
        <f>SUM(E26:E28)</f>
        <v>1472.9319800000001</v>
      </c>
      <c r="F29" s="69">
        <f>SUM(F26:F28)</f>
        <v>19.1102692571055</v>
      </c>
    </row>
    <row r="30" spans="1:6" x14ac:dyDescent="0.2">
      <c r="A30" s="39"/>
      <c r="B30" s="39"/>
      <c r="C30" s="39"/>
      <c r="D30" s="39"/>
      <c r="E30" s="68"/>
      <c r="F30" s="68"/>
    </row>
    <row r="31" spans="1:6" x14ac:dyDescent="0.2">
      <c r="A31" s="38" t="s">
        <v>44</v>
      </c>
      <c r="B31" s="39"/>
      <c r="C31" s="39"/>
      <c r="D31" s="39"/>
      <c r="E31" s="69">
        <f>E23+E29</f>
        <v>7398.5543900000002</v>
      </c>
      <c r="F31" s="69">
        <f>F23+F29</f>
        <v>95.991103748212424</v>
      </c>
    </row>
    <row r="32" spans="1:6" x14ac:dyDescent="0.2">
      <c r="A32" s="39"/>
      <c r="B32" s="39"/>
      <c r="C32" s="39"/>
      <c r="D32" s="39"/>
      <c r="E32" s="68"/>
      <c r="F32" s="68"/>
    </row>
    <row r="33" spans="1:6" x14ac:dyDescent="0.2">
      <c r="A33" s="38" t="s">
        <v>76</v>
      </c>
      <c r="B33" s="39"/>
      <c r="C33" s="39"/>
      <c r="D33" s="39"/>
      <c r="E33" s="69">
        <v>308.99174199999999</v>
      </c>
      <c r="F33" s="69">
        <v>4.01</v>
      </c>
    </row>
    <row r="34" spans="1:6" x14ac:dyDescent="0.2">
      <c r="A34" s="39"/>
      <c r="B34" s="39"/>
      <c r="C34" s="39"/>
      <c r="D34" s="39"/>
      <c r="E34" s="68"/>
      <c r="F34" s="68"/>
    </row>
    <row r="35" spans="1:6" x14ac:dyDescent="0.2">
      <c r="A35" s="71" t="s">
        <v>77</v>
      </c>
      <c r="B35" s="66"/>
      <c r="C35" s="66"/>
      <c r="D35" s="66"/>
      <c r="E35" s="72">
        <f>E31+E33</f>
        <v>7707.5461320000004</v>
      </c>
      <c r="F35" s="72">
        <f>F31+F33</f>
        <v>100.00110374821243</v>
      </c>
    </row>
    <row r="36" spans="1:6" x14ac:dyDescent="0.2">
      <c r="A36" s="52" t="s">
        <v>619</v>
      </c>
    </row>
    <row r="38" spans="1:6" x14ac:dyDescent="0.2">
      <c r="A38" s="4" t="s">
        <v>78</v>
      </c>
    </row>
    <row r="39" spans="1:6" x14ac:dyDescent="0.2">
      <c r="A39" s="4" t="s">
        <v>650</v>
      </c>
    </row>
    <row r="40" spans="1:6" x14ac:dyDescent="0.2">
      <c r="A40" s="4" t="s">
        <v>80</v>
      </c>
    </row>
    <row r="41" spans="1:6" x14ac:dyDescent="0.2">
      <c r="A41" s="2" t="s">
        <v>638</v>
      </c>
      <c r="D41" s="10">
        <v>10.6388</v>
      </c>
    </row>
    <row r="42" spans="1:6" x14ac:dyDescent="0.2">
      <c r="A42" s="2" t="s">
        <v>639</v>
      </c>
      <c r="D42" s="10">
        <v>10.1233</v>
      </c>
    </row>
    <row r="43" spans="1:6" x14ac:dyDescent="0.2">
      <c r="A43" s="2" t="s">
        <v>640</v>
      </c>
      <c r="D43" s="10">
        <v>10.6953</v>
      </c>
    </row>
    <row r="45" spans="1:6" x14ac:dyDescent="0.2">
      <c r="A45" s="4" t="s">
        <v>81</v>
      </c>
    </row>
    <row r="46" spans="1:6" x14ac:dyDescent="0.2">
      <c r="A46" s="2" t="s">
        <v>638</v>
      </c>
      <c r="D46" s="10">
        <v>11.2682</v>
      </c>
    </row>
    <row r="47" spans="1:6" x14ac:dyDescent="0.2">
      <c r="A47" s="2" t="s">
        <v>639</v>
      </c>
      <c r="D47" s="10">
        <v>10.7224</v>
      </c>
    </row>
    <row r="48" spans="1:6" x14ac:dyDescent="0.2">
      <c r="A48" s="2" t="s">
        <v>640</v>
      </c>
      <c r="D48" s="10">
        <v>11.328099999999999</v>
      </c>
    </row>
    <row r="50" spans="1:5" x14ac:dyDescent="0.2">
      <c r="A50" s="4" t="s">
        <v>82</v>
      </c>
      <c r="D50" s="94" t="s">
        <v>83</v>
      </c>
    </row>
    <row r="52" spans="1:5" x14ac:dyDescent="0.2">
      <c r="A52" s="4" t="s">
        <v>647</v>
      </c>
      <c r="D52" s="53">
        <v>1.5020036798807643</v>
      </c>
      <c r="E52" s="73" t="s">
        <v>648</v>
      </c>
    </row>
  </sheetData>
  <mergeCells count="1">
    <mergeCell ref="A1:F1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15F00-72E0-4469-9B0C-C7429C13B8C8}">
  <dimension ref="A1:F63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6" style="2" bestFit="1" customWidth="1"/>
    <col min="3" max="3" width="11.7109375" style="2" bestFit="1" customWidth="1"/>
    <col min="4" max="4" width="7.42578125" style="2" bestFit="1" customWidth="1"/>
    <col min="5" max="5" width="23" style="73" bestFit="1" customWidth="1"/>
    <col min="6" max="6" width="13.5703125" style="73" bestFit="1" customWidth="1"/>
    <col min="7" max="16384" width="9.140625" style="2"/>
  </cols>
  <sheetData>
    <row r="1" spans="1:6" ht="15" customHeight="1" x14ac:dyDescent="0.2">
      <c r="A1" s="108" t="s">
        <v>1377</v>
      </c>
      <c r="B1" s="108"/>
      <c r="C1" s="108"/>
      <c r="D1" s="108"/>
      <c r="E1" s="108"/>
      <c r="F1" s="108"/>
    </row>
    <row r="3" spans="1:6" s="4" customFormat="1" x14ac:dyDescent="0.2">
      <c r="A3" s="64" t="s">
        <v>1</v>
      </c>
      <c r="B3" s="64" t="s">
        <v>2</v>
      </c>
      <c r="C3" s="64" t="s">
        <v>716</v>
      </c>
      <c r="D3" s="64" t="s">
        <v>4</v>
      </c>
      <c r="E3" s="65" t="s">
        <v>5</v>
      </c>
      <c r="F3" s="65" t="s">
        <v>6</v>
      </c>
    </row>
    <row r="4" spans="1:6" x14ac:dyDescent="0.2">
      <c r="A4" s="66"/>
      <c r="B4" s="66"/>
      <c r="C4" s="66"/>
      <c r="D4" s="66"/>
      <c r="E4" s="67"/>
      <c r="F4" s="67"/>
    </row>
    <row r="5" spans="1:6" x14ac:dyDescent="0.2">
      <c r="A5" s="38" t="s">
        <v>359</v>
      </c>
      <c r="B5" s="39"/>
      <c r="C5" s="39"/>
      <c r="D5" s="39"/>
      <c r="E5" s="68"/>
      <c r="F5" s="68"/>
    </row>
    <row r="6" spans="1:6" x14ac:dyDescent="0.2">
      <c r="A6" s="38" t="s">
        <v>8</v>
      </c>
      <c r="B6" s="39"/>
      <c r="C6" s="39"/>
      <c r="D6" s="39"/>
      <c r="E6" s="68"/>
      <c r="F6" s="68"/>
    </row>
    <row r="7" spans="1:6" x14ac:dyDescent="0.2">
      <c r="A7" s="38"/>
      <c r="B7" s="39"/>
      <c r="C7" s="39"/>
      <c r="D7" s="39"/>
      <c r="E7" s="68"/>
      <c r="F7" s="68"/>
    </row>
    <row r="8" spans="1:6" x14ac:dyDescent="0.2">
      <c r="A8" s="39" t="s">
        <v>1365</v>
      </c>
      <c r="B8" s="39" t="str">
        <f>IFERROR(VLOOKUP(A8,[1]Bonds!$B$1:$K$2669,10,0),VLOOKUP(A8,[1]CPCD!$B$1:$H$1476,7,0))</f>
        <v>0.00% Kotak Mahindra Prime Ltd (26-Apr-2021) **</v>
      </c>
      <c r="C8" s="39" t="s">
        <v>361</v>
      </c>
      <c r="D8" s="39">
        <v>107</v>
      </c>
      <c r="E8" s="68">
        <v>946.72529999999995</v>
      </c>
      <c r="F8" s="68">
        <v>9.8445858688169992</v>
      </c>
    </row>
    <row r="9" spans="1:6" x14ac:dyDescent="0.2">
      <c r="A9" s="39" t="s">
        <v>1376</v>
      </c>
      <c r="B9" s="39" t="str">
        <f>IFERROR(VLOOKUP(A9,[1]Bonds!$B$1:$K$2669,10,0),VLOOKUP(A9,[1]CPCD!$B$1:$H$1476,7,0))</f>
        <v>7.14% Housing &amp; Urban Development Corp Ltd (22-Dec-2020) **</v>
      </c>
      <c r="C9" s="39" t="s">
        <v>916</v>
      </c>
      <c r="D9" s="39">
        <v>87</v>
      </c>
      <c r="E9" s="68">
        <v>873.10415999999998</v>
      </c>
      <c r="F9" s="68">
        <v>9.0790315580890599</v>
      </c>
    </row>
    <row r="10" spans="1:6" x14ac:dyDescent="0.2">
      <c r="A10" s="39" t="s">
        <v>1162</v>
      </c>
      <c r="B10" s="39" t="str">
        <f>IFERROR(VLOOKUP(A10,[1]Bonds!$B$1:$K$2669,10,0),VLOOKUP(A10,[1]CPCD!$B$1:$H$1476,7,0))</f>
        <v>7.07% Reliance Industries Ltd (24-Dec-2020) **</v>
      </c>
      <c r="C10" s="39" t="s">
        <v>361</v>
      </c>
      <c r="D10" s="39">
        <v>84</v>
      </c>
      <c r="E10" s="68">
        <v>839.91935999999998</v>
      </c>
      <c r="F10" s="68">
        <v>8.7339572127224407</v>
      </c>
    </row>
    <row r="11" spans="1:6" x14ac:dyDescent="0.2">
      <c r="A11" s="39" t="s">
        <v>1343</v>
      </c>
      <c r="B11" s="39" t="str">
        <f>IFERROR(VLOOKUP(A11,[1]Bonds!$B$1:$K$2669,10,0),VLOOKUP(A11,[1]CPCD!$B$1:$H$1476,7,0))</f>
        <v>7.88% LIC Housing Finance Ltd (28-Jan-2021) **</v>
      </c>
      <c r="C11" s="39" t="s">
        <v>361</v>
      </c>
      <c r="D11" s="39">
        <v>83</v>
      </c>
      <c r="E11" s="68">
        <v>836.11793</v>
      </c>
      <c r="F11" s="68">
        <v>8.6944277905560607</v>
      </c>
    </row>
    <row r="12" spans="1:6" x14ac:dyDescent="0.2">
      <c r="A12" s="39" t="s">
        <v>1362</v>
      </c>
      <c r="B12" s="39" t="str">
        <f>IFERROR(VLOOKUP(A12,[1]Bonds!$B$1:$K$2669,10,0),VLOOKUP(A12,[1]CPCD!$B$1:$H$1476,7,0))</f>
        <v>7.40% National Bank For Agriculture And Rural Development (01-Feb-2021) **</v>
      </c>
      <c r="C12" s="39" t="s">
        <v>361</v>
      </c>
      <c r="D12" s="39">
        <v>83</v>
      </c>
      <c r="E12" s="68">
        <v>835.78593000000001</v>
      </c>
      <c r="F12" s="68">
        <v>8.6909754665202996</v>
      </c>
    </row>
    <row r="13" spans="1:6" x14ac:dyDescent="0.2">
      <c r="A13" s="39" t="s">
        <v>1378</v>
      </c>
      <c r="B13" s="39" t="str">
        <f>IFERROR(VLOOKUP(A13,[1]Bonds!$B$1:$K$2669,10,0),VLOOKUP(A13,[1]CPCD!$B$1:$H$1476,7,0))</f>
        <v>7.94% HDB Financial Services Limited (15-Apr-2021) **</v>
      </c>
      <c r="C13" s="39" t="s">
        <v>361</v>
      </c>
      <c r="D13" s="39">
        <v>80</v>
      </c>
      <c r="E13" s="68">
        <v>803.25840000000005</v>
      </c>
      <c r="F13" s="68">
        <v>8.3527357868735006</v>
      </c>
    </row>
    <row r="14" spans="1:6" x14ac:dyDescent="0.2">
      <c r="A14" s="39" t="s">
        <v>1370</v>
      </c>
      <c r="B14" s="39" t="str">
        <f>IFERROR(VLOOKUP(A14,[1]Bonds!$B$1:$K$2669,10,0),VLOOKUP(A14,[1]CPCD!$B$1:$H$1476,7,0))</f>
        <v>8.84% Power Grid Corp Of India Ltd (29-Mar-2021) **</v>
      </c>
      <c r="C14" s="39" t="s">
        <v>361</v>
      </c>
      <c r="D14" s="39">
        <v>62</v>
      </c>
      <c r="E14" s="68">
        <v>800.55174999999997</v>
      </c>
      <c r="F14" s="68">
        <v>8.3245905072006803</v>
      </c>
    </row>
    <row r="15" spans="1:6" x14ac:dyDescent="0.2">
      <c r="A15" s="39" t="s">
        <v>1368</v>
      </c>
      <c r="B15" s="39" t="str">
        <f>IFERROR(VLOOKUP(A15,[1]Bonds!$B$1:$K$2669,10,0),VLOOKUP(A15,[1]CPCD!$B$1:$H$1476,7,0))</f>
        <v>7.52% Small Industries Development Bank Of India (10-Feb-2021) **</v>
      </c>
      <c r="C15" s="39" t="s">
        <v>916</v>
      </c>
      <c r="D15" s="39">
        <v>65</v>
      </c>
      <c r="E15" s="68">
        <v>656.86855000000003</v>
      </c>
      <c r="F15" s="68">
        <v>6.8304912153507598</v>
      </c>
    </row>
    <row r="16" spans="1:6" x14ac:dyDescent="0.2">
      <c r="A16" s="39" t="s">
        <v>1196</v>
      </c>
      <c r="B16" s="39" t="str">
        <f>IFERROR(VLOOKUP(A16,[1]Bonds!$B$1:$K$2669,10,0),VLOOKUP(A16,[1]CPCD!$B$1:$H$1476,7,0))</f>
        <v>8.75% Housing Development Finance Corp Ltd (04-Mar-2021) **</v>
      </c>
      <c r="C16" s="39" t="s">
        <v>361</v>
      </c>
      <c r="D16" s="39">
        <v>5</v>
      </c>
      <c r="E16" s="68">
        <v>510.1585</v>
      </c>
      <c r="F16" s="68">
        <v>5.3049170228754603</v>
      </c>
    </row>
    <row r="17" spans="1:6" x14ac:dyDescent="0.2">
      <c r="A17" s="39" t="s">
        <v>1369</v>
      </c>
      <c r="B17" s="39" t="str">
        <f>IFERROR(VLOOKUP(A17,[1]Bonds!$B$1:$K$2669,10,0),VLOOKUP(A17,[1]CPCD!$B$1:$H$1476,7,0))</f>
        <v>7.60% Rec Ltd (17-Apr-2021) **</v>
      </c>
      <c r="C17" s="39" t="s">
        <v>361</v>
      </c>
      <c r="D17" s="39">
        <v>13</v>
      </c>
      <c r="E17" s="68">
        <v>130.49477999999999</v>
      </c>
      <c r="F17" s="68">
        <v>1.3569586311281501</v>
      </c>
    </row>
    <row r="18" spans="1:6" x14ac:dyDescent="0.2">
      <c r="A18" s="39" t="s">
        <v>1239</v>
      </c>
      <c r="B18" s="39" t="str">
        <f>IFERROR(VLOOKUP(A18,[1]Bonds!$B$1:$K$2669,10,0),VLOOKUP(A18,[1]CPCD!$B$1:$H$1476,7,0))</f>
        <v>7.70% Rec Ltd (15-Mar-2021) **</v>
      </c>
      <c r="C18" s="39" t="s">
        <v>361</v>
      </c>
      <c r="D18" s="39">
        <v>11</v>
      </c>
      <c r="E18" s="68">
        <v>110.62062</v>
      </c>
      <c r="F18" s="68">
        <v>1.15029585926538</v>
      </c>
    </row>
    <row r="19" spans="1:6" x14ac:dyDescent="0.2">
      <c r="A19" s="39" t="s">
        <v>1367</v>
      </c>
      <c r="B19" s="39" t="str">
        <f>IFERROR(VLOOKUP(A19,[1]Bonds!$B$1:$K$2669,10,0),VLOOKUP(A19,[1]CPCD!$B$1:$H$1476,7,0))</f>
        <v>7.73% Power Finance Corp Ltd (05-Apr-2021) **</v>
      </c>
      <c r="C19" s="39" t="s">
        <v>361</v>
      </c>
      <c r="D19" s="39">
        <v>8</v>
      </c>
      <c r="E19" s="68">
        <v>80.488</v>
      </c>
      <c r="F19" s="68">
        <v>0.83695981021035604</v>
      </c>
    </row>
    <row r="20" spans="1:6" x14ac:dyDescent="0.2">
      <c r="A20" s="39" t="s">
        <v>976</v>
      </c>
      <c r="B20" s="39" t="str">
        <f>IFERROR(VLOOKUP(A20,[1]Bonds!$B$1:$K$2669,10,0),VLOOKUP(A20,[1]CPCD!$B$1:$H$1476,7,0))</f>
        <v>0.00% Mahindra &amp; Mahindra Financial Services Ltd (07-Apr-2021) **</v>
      </c>
      <c r="C20" s="39" t="s">
        <v>977</v>
      </c>
      <c r="D20" s="39">
        <v>6</v>
      </c>
      <c r="E20" s="68">
        <v>67.457639999999998</v>
      </c>
      <c r="F20" s="68">
        <v>0.70146274688945598</v>
      </c>
    </row>
    <row r="21" spans="1:6" x14ac:dyDescent="0.2">
      <c r="A21" s="39" t="s">
        <v>1359</v>
      </c>
      <c r="B21" s="39" t="str">
        <f>IFERROR(VLOOKUP(A21,[1]Bonds!$B$1:$K$2669,10,0),VLOOKUP(A21,[1]CPCD!$B$1:$H$1476,7,0))</f>
        <v>7.75% Power Finance Corp Ltd (15-Apr-2021) **</v>
      </c>
      <c r="C21" s="39" t="s">
        <v>361</v>
      </c>
      <c r="D21" s="39">
        <v>5</v>
      </c>
      <c r="E21" s="68">
        <v>50.319800000000001</v>
      </c>
      <c r="F21" s="68">
        <v>0.52325378016378898</v>
      </c>
    </row>
    <row r="22" spans="1:6" x14ac:dyDescent="0.2">
      <c r="A22" s="39" t="s">
        <v>1354</v>
      </c>
      <c r="B22" s="39" t="str">
        <f>IFERROR(VLOOKUP(A22,[1]Bonds!$B$1:$K$2669,10,0),VLOOKUP(A22,[1]CPCD!$B$1:$H$1476,7,0))</f>
        <v>9.18% Power Finance Corp Ltd (15-Apr-2021) **</v>
      </c>
      <c r="C22" s="39" t="s">
        <v>361</v>
      </c>
      <c r="D22" s="39">
        <v>3</v>
      </c>
      <c r="E22" s="68">
        <v>30.81897</v>
      </c>
      <c r="F22" s="68">
        <v>0.32047310508496502</v>
      </c>
    </row>
    <row r="23" spans="1:6" x14ac:dyDescent="0.2">
      <c r="A23" s="39" t="s">
        <v>1373</v>
      </c>
      <c r="B23" s="39" t="str">
        <f>IFERROR(VLOOKUP(A23,[1]Bonds!$B$1:$K$2669,10,0),VLOOKUP(A23,[1]CPCD!$B$1:$H$1476,7,0))</f>
        <v>7.50% Bajaj Finance Ltd (10-Aug-2020) **</v>
      </c>
      <c r="C23" s="39" t="s">
        <v>361</v>
      </c>
      <c r="D23" s="39">
        <v>3</v>
      </c>
      <c r="E23" s="68">
        <v>30.075389999999999</v>
      </c>
      <c r="F23" s="68">
        <v>0.31274093910151102</v>
      </c>
    </row>
    <row r="24" spans="1:6" x14ac:dyDescent="0.2">
      <c r="A24" s="39" t="s">
        <v>974</v>
      </c>
      <c r="B24" s="39" t="str">
        <f>IFERROR(VLOOKUP(A24,[1]Bonds!$B$1:$K$2669,10,0),VLOOKUP(A24,[1]CPCD!$B$1:$H$1476,7,0))</f>
        <v>9.30% Fullerton India Credit Co Ltd (15-Mar-2021) **</v>
      </c>
      <c r="C24" s="39" t="s">
        <v>361</v>
      </c>
      <c r="D24" s="39">
        <v>3</v>
      </c>
      <c r="E24" s="68">
        <v>30.023849999999999</v>
      </c>
      <c r="F24" s="68">
        <v>0.31220499699066001</v>
      </c>
    </row>
    <row r="25" spans="1:6" x14ac:dyDescent="0.2">
      <c r="A25" s="39" t="s">
        <v>1342</v>
      </c>
      <c r="B25" s="39" t="str">
        <f>IFERROR(VLOOKUP(A25,[1]Bonds!$B$1:$K$2669,10,0),VLOOKUP(A25,[1]CPCD!$B$1:$H$1476,7,0))</f>
        <v>0.00% Bajaj Housing Finance Ltd (06-Apr-2021) **</v>
      </c>
      <c r="C25" s="39" t="s">
        <v>361</v>
      </c>
      <c r="D25" s="39">
        <v>1</v>
      </c>
      <c r="E25" s="68">
        <v>11.38191</v>
      </c>
      <c r="F25" s="68">
        <v>0.118355546583731</v>
      </c>
    </row>
    <row r="26" spans="1:6" x14ac:dyDescent="0.2">
      <c r="A26" s="39" t="s">
        <v>1198</v>
      </c>
      <c r="B26" s="39" t="str">
        <f>IFERROR(VLOOKUP(A26,[1]Bonds!$B$1:$K$2669,10,0),VLOOKUP(A26,[1]CPCD!$B$1:$H$1476,7,0))</f>
        <v>7.65% Indian Railway Finance Corp Ltd (15-Mar-2021) **</v>
      </c>
      <c r="C26" s="39" t="s">
        <v>361</v>
      </c>
      <c r="D26" s="39">
        <v>1</v>
      </c>
      <c r="E26" s="68">
        <v>10.158720000000001</v>
      </c>
      <c r="F26" s="68">
        <v>0.10563612418224</v>
      </c>
    </row>
    <row r="27" spans="1:6" x14ac:dyDescent="0.2">
      <c r="A27" s="38" t="s">
        <v>44</v>
      </c>
      <c r="B27" s="39"/>
      <c r="C27" s="39"/>
      <c r="D27" s="39"/>
      <c r="E27" s="69">
        <f>SUM(E8:E26)</f>
        <v>7654.3295599999992</v>
      </c>
      <c r="F27" s="69">
        <f>SUM(F8:F26)</f>
        <v>79.594053968605522</v>
      </c>
    </row>
    <row r="28" spans="1:6" x14ac:dyDescent="0.2">
      <c r="A28" s="39"/>
      <c r="B28" s="39"/>
      <c r="C28" s="39"/>
      <c r="D28" s="39"/>
      <c r="E28" s="68"/>
      <c r="F28" s="68"/>
    </row>
    <row r="29" spans="1:6" x14ac:dyDescent="0.2">
      <c r="A29" s="38" t="s">
        <v>815</v>
      </c>
      <c r="B29" s="39"/>
      <c r="C29" s="39"/>
      <c r="D29" s="39"/>
      <c r="E29" s="68"/>
      <c r="F29" s="68"/>
    </row>
    <row r="30" spans="1:6" x14ac:dyDescent="0.2">
      <c r="A30" s="39" t="s">
        <v>1357</v>
      </c>
      <c r="B30" s="39" t="str">
        <f>IFERROR(VLOOKUP(A30,[1]Bonds!$B$1:$K$2669,10,0),VLOOKUP(A30,[1]CPCD!$B$1:$H$1476,7,0))</f>
        <v>8.19% Mahindra Vehicle Manufactures Ltd (23-Feb-2021) **</v>
      </c>
      <c r="C30" s="39" t="s">
        <v>973</v>
      </c>
      <c r="D30" s="39">
        <v>82</v>
      </c>
      <c r="E30" s="68">
        <v>822.59939999999995</v>
      </c>
      <c r="F30" s="68">
        <v>8.5538544590889707</v>
      </c>
    </row>
    <row r="31" spans="1:6" x14ac:dyDescent="0.2">
      <c r="A31" s="39" t="s">
        <v>1371</v>
      </c>
      <c r="B31" s="39" t="str">
        <f>IFERROR(VLOOKUP(A31,[1]Bonds!$B$1:$K$2669,10,0),VLOOKUP(A31,[1]CPCD!$B$1:$H$1476,7,0))</f>
        <v>8.25% Tata Sons Pvt Ltd (23-Mar-2021) **</v>
      </c>
      <c r="C31" s="39" t="s">
        <v>361</v>
      </c>
      <c r="D31" s="39">
        <v>49</v>
      </c>
      <c r="E31" s="68">
        <v>490.73500000000001</v>
      </c>
      <c r="F31" s="68">
        <v>5.1029404689342401</v>
      </c>
    </row>
    <row r="32" spans="1:6" x14ac:dyDescent="0.2">
      <c r="A32" s="39" t="s">
        <v>1251</v>
      </c>
      <c r="B32" s="39" t="str">
        <f>IFERROR(VLOOKUP(A32,[1]Bonds!$B$1:$K$2669,10,0),VLOOKUP(A32,[1]CPCD!$B$1:$H$1476,7,0))</f>
        <v>7.48% Bennett Coleman And Co Ltd (26-Apr-2021) **</v>
      </c>
      <c r="C32" s="39" t="s">
        <v>361</v>
      </c>
      <c r="D32" s="39">
        <v>27</v>
      </c>
      <c r="E32" s="68">
        <v>269.52318000000002</v>
      </c>
      <c r="F32" s="68">
        <v>2.8026546762261701</v>
      </c>
    </row>
    <row r="33" spans="1:6" x14ac:dyDescent="0.2">
      <c r="A33" s="38" t="s">
        <v>44</v>
      </c>
      <c r="B33" s="39"/>
      <c r="C33" s="39"/>
      <c r="D33" s="39"/>
      <c r="E33" s="69">
        <f>SUM(E30:E32)</f>
        <v>1582.8575799999999</v>
      </c>
      <c r="F33" s="69">
        <f>SUM(F30:F32)</f>
        <v>16.459449604249379</v>
      </c>
    </row>
    <row r="34" spans="1:6" x14ac:dyDescent="0.2">
      <c r="A34" s="39"/>
      <c r="B34" s="39"/>
      <c r="C34" s="39"/>
      <c r="D34" s="39"/>
      <c r="E34" s="68"/>
      <c r="F34" s="68"/>
    </row>
    <row r="35" spans="1:6" x14ac:dyDescent="0.2">
      <c r="A35" s="38" t="s">
        <v>44</v>
      </c>
      <c r="B35" s="39"/>
      <c r="C35" s="39"/>
      <c r="D35" s="39"/>
      <c r="E35" s="69">
        <f>E27+E33</f>
        <v>9237.1871399999982</v>
      </c>
      <c r="F35" s="69">
        <f>F27+F33</f>
        <v>96.053503572854908</v>
      </c>
    </row>
    <row r="36" spans="1:6" x14ac:dyDescent="0.2">
      <c r="A36" s="39"/>
      <c r="B36" s="39"/>
      <c r="C36" s="39"/>
      <c r="D36" s="39"/>
      <c r="E36" s="68"/>
      <c r="F36" s="68"/>
    </row>
    <row r="37" spans="1:6" x14ac:dyDescent="0.2">
      <c r="A37" s="38" t="s">
        <v>76</v>
      </c>
      <c r="B37" s="39"/>
      <c r="C37" s="39"/>
      <c r="D37" s="39"/>
      <c r="E37" s="69">
        <v>379.52026710000001</v>
      </c>
      <c r="F37" s="69">
        <v>3.95</v>
      </c>
    </row>
    <row r="38" spans="1:6" x14ac:dyDescent="0.2">
      <c r="A38" s="39"/>
      <c r="B38" s="39"/>
      <c r="C38" s="39"/>
      <c r="D38" s="39"/>
      <c r="E38" s="68"/>
      <c r="F38" s="68"/>
    </row>
    <row r="39" spans="1:6" x14ac:dyDescent="0.2">
      <c r="A39" s="71" t="s">
        <v>77</v>
      </c>
      <c r="B39" s="66"/>
      <c r="C39" s="66"/>
      <c r="D39" s="66"/>
      <c r="E39" s="72">
        <f>E35+E37</f>
        <v>9616.7074070999988</v>
      </c>
      <c r="F39" s="72">
        <f>F35+F37</f>
        <v>100.00350357285491</v>
      </c>
    </row>
    <row r="40" spans="1:6" x14ac:dyDescent="0.2">
      <c r="A40" s="52" t="s">
        <v>619</v>
      </c>
    </row>
    <row r="41" spans="1:6" x14ac:dyDescent="0.2">
      <c r="A41" s="4"/>
    </row>
    <row r="42" spans="1:6" x14ac:dyDescent="0.2">
      <c r="A42" s="4" t="s">
        <v>78</v>
      </c>
    </row>
    <row r="43" spans="1:6" x14ac:dyDescent="0.2">
      <c r="A43" s="4" t="s">
        <v>650</v>
      </c>
    </row>
    <row r="44" spans="1:6" x14ac:dyDescent="0.2">
      <c r="A44" s="4" t="s">
        <v>80</v>
      </c>
    </row>
    <row r="45" spans="1:6" x14ac:dyDescent="0.2">
      <c r="A45" s="2" t="s">
        <v>638</v>
      </c>
      <c r="D45" s="10">
        <v>10.6982</v>
      </c>
    </row>
    <row r="46" spans="1:6" x14ac:dyDescent="0.2">
      <c r="A46" s="2" t="s">
        <v>639</v>
      </c>
      <c r="D46" s="10">
        <v>10.153600000000001</v>
      </c>
    </row>
    <row r="47" spans="1:6" x14ac:dyDescent="0.2">
      <c r="A47" s="2" t="s">
        <v>652</v>
      </c>
      <c r="D47" s="10">
        <v>10.1502</v>
      </c>
    </row>
    <row r="48" spans="1:6" x14ac:dyDescent="0.2">
      <c r="A48" s="2" t="s">
        <v>640</v>
      </c>
      <c r="D48" s="10">
        <v>10.751799999999999</v>
      </c>
    </row>
    <row r="49" spans="1:5" x14ac:dyDescent="0.2">
      <c r="A49" s="2" t="s">
        <v>641</v>
      </c>
      <c r="D49" s="10">
        <v>10.2073</v>
      </c>
    </row>
    <row r="51" spans="1:5" x14ac:dyDescent="0.2">
      <c r="A51" s="4" t="s">
        <v>81</v>
      </c>
    </row>
    <row r="52" spans="1:5" x14ac:dyDescent="0.2">
      <c r="A52" s="2" t="s">
        <v>638</v>
      </c>
      <c r="D52" s="10">
        <v>11.3178</v>
      </c>
    </row>
    <row r="53" spans="1:5" x14ac:dyDescent="0.2">
      <c r="A53" s="2" t="s">
        <v>639</v>
      </c>
      <c r="D53" s="10">
        <v>10.7417</v>
      </c>
    </row>
    <row r="54" spans="1:5" x14ac:dyDescent="0.2">
      <c r="A54" s="2" t="s">
        <v>652</v>
      </c>
      <c r="D54" s="10">
        <v>10.2136</v>
      </c>
    </row>
    <row r="55" spans="1:5" x14ac:dyDescent="0.2">
      <c r="A55" s="2" t="s">
        <v>640</v>
      </c>
      <c r="D55" s="10">
        <v>11.374499999999999</v>
      </c>
    </row>
    <row r="56" spans="1:5" x14ac:dyDescent="0.2">
      <c r="A56" s="2" t="s">
        <v>641</v>
      </c>
      <c r="D56" s="10">
        <v>10.798500000000001</v>
      </c>
    </row>
    <row r="58" spans="1:5" x14ac:dyDescent="0.2">
      <c r="A58" s="4" t="s">
        <v>82</v>
      </c>
      <c r="D58" s="44" t="s">
        <v>299</v>
      </c>
    </row>
    <row r="59" spans="1:5" x14ac:dyDescent="0.2">
      <c r="A59" s="45" t="s">
        <v>642</v>
      </c>
      <c r="B59" s="46"/>
      <c r="C59" s="100" t="s">
        <v>643</v>
      </c>
      <c r="D59" s="101"/>
    </row>
    <row r="60" spans="1:5" x14ac:dyDescent="0.2">
      <c r="A60" s="102"/>
      <c r="B60" s="103"/>
      <c r="C60" s="47" t="s">
        <v>644</v>
      </c>
      <c r="D60" s="47" t="s">
        <v>645</v>
      </c>
    </row>
    <row r="61" spans="1:5" x14ac:dyDescent="0.2">
      <c r="A61" s="48" t="s">
        <v>652</v>
      </c>
      <c r="B61" s="49"/>
      <c r="C61" s="50">
        <v>0.36736457700000003</v>
      </c>
      <c r="D61" s="50">
        <v>0.34018142910000004</v>
      </c>
    </row>
    <row r="63" spans="1:5" x14ac:dyDescent="0.2">
      <c r="A63" s="4" t="s">
        <v>647</v>
      </c>
      <c r="D63" s="53">
        <v>1.4312622024949009</v>
      </c>
      <c r="E63" s="73" t="s">
        <v>648</v>
      </c>
    </row>
  </sheetData>
  <mergeCells count="3">
    <mergeCell ref="A1:F1"/>
    <mergeCell ref="C59:D59"/>
    <mergeCell ref="A60:B60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B8E0B-05D1-416A-A015-6EBEC6103D71}">
  <dimension ref="A1:F58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6" style="2" bestFit="1" customWidth="1"/>
    <col min="3" max="3" width="11.7109375" style="2" bestFit="1" customWidth="1"/>
    <col min="4" max="4" width="7.42578125" style="2" bestFit="1" customWidth="1"/>
    <col min="5" max="5" width="23" style="73" bestFit="1" customWidth="1"/>
    <col min="6" max="6" width="13.5703125" style="73" bestFit="1" customWidth="1"/>
    <col min="7" max="16384" width="9.140625" style="2"/>
  </cols>
  <sheetData>
    <row r="1" spans="1:6" ht="15" customHeight="1" x14ac:dyDescent="0.2">
      <c r="A1" s="108" t="s">
        <v>1379</v>
      </c>
      <c r="B1" s="108"/>
      <c r="C1" s="108"/>
      <c r="D1" s="108"/>
      <c r="E1" s="108"/>
      <c r="F1" s="108"/>
    </row>
    <row r="3" spans="1:6" s="4" customFormat="1" x14ac:dyDescent="0.2">
      <c r="A3" s="64" t="s">
        <v>1</v>
      </c>
      <c r="B3" s="64" t="s">
        <v>2</v>
      </c>
      <c r="C3" s="64" t="s">
        <v>716</v>
      </c>
      <c r="D3" s="64" t="s">
        <v>4</v>
      </c>
      <c r="E3" s="65" t="s">
        <v>5</v>
      </c>
      <c r="F3" s="65" t="s">
        <v>6</v>
      </c>
    </row>
    <row r="4" spans="1:6" x14ac:dyDescent="0.2">
      <c r="A4" s="66"/>
      <c r="B4" s="66"/>
      <c r="C4" s="66"/>
      <c r="D4" s="66"/>
      <c r="E4" s="67"/>
      <c r="F4" s="67"/>
    </row>
    <row r="5" spans="1:6" x14ac:dyDescent="0.2">
      <c r="A5" s="38" t="s">
        <v>359</v>
      </c>
      <c r="B5" s="39"/>
      <c r="C5" s="39"/>
      <c r="D5" s="39"/>
      <c r="E5" s="68"/>
      <c r="F5" s="68"/>
    </row>
    <row r="6" spans="1:6" x14ac:dyDescent="0.2">
      <c r="A6" s="38" t="s">
        <v>8</v>
      </c>
      <c r="B6" s="39"/>
      <c r="C6" s="39"/>
      <c r="D6" s="39"/>
      <c r="E6" s="68"/>
      <c r="F6" s="68"/>
    </row>
    <row r="7" spans="1:6" x14ac:dyDescent="0.2">
      <c r="A7" s="38"/>
      <c r="B7" s="39"/>
      <c r="C7" s="39"/>
      <c r="D7" s="39"/>
      <c r="E7" s="68"/>
      <c r="F7" s="68"/>
    </row>
    <row r="8" spans="1:6" x14ac:dyDescent="0.2">
      <c r="A8" s="39" t="s">
        <v>1239</v>
      </c>
      <c r="B8" s="39" t="str">
        <f>IFERROR(VLOOKUP(A8,[1]Bonds!$B$1:$K$2669,10,0),VLOOKUP(A8,[1]CPCD!$B$1:$H$1476,7,0))</f>
        <v>7.70% Rec Ltd (15-Mar-2021) **</v>
      </c>
      <c r="C8" s="39" t="s">
        <v>361</v>
      </c>
      <c r="D8" s="39">
        <v>113</v>
      </c>
      <c r="E8" s="68">
        <v>1136.37546</v>
      </c>
      <c r="F8" s="68">
        <v>9.8234394349187593</v>
      </c>
    </row>
    <row r="9" spans="1:6" x14ac:dyDescent="0.2">
      <c r="A9" s="39" t="s">
        <v>1376</v>
      </c>
      <c r="B9" s="39" t="str">
        <f>IFERROR(VLOOKUP(A9,[1]Bonds!$B$1:$K$2669,10,0),VLOOKUP(A9,[1]CPCD!$B$1:$H$1476,7,0))</f>
        <v>7.14% Housing &amp; Urban Development Corp Ltd (22-Dec-2020) **</v>
      </c>
      <c r="C9" s="39" t="s">
        <v>916</v>
      </c>
      <c r="D9" s="39">
        <v>106</v>
      </c>
      <c r="E9" s="68">
        <v>1063.78208</v>
      </c>
      <c r="F9" s="68">
        <v>9.1959032931174995</v>
      </c>
    </row>
    <row r="10" spans="1:6" x14ac:dyDescent="0.2">
      <c r="A10" s="39" t="s">
        <v>1264</v>
      </c>
      <c r="B10" s="39" t="str">
        <f>IFERROR(VLOOKUP(A10,[1]Bonds!$B$1:$K$2669,10,0),VLOOKUP(A10,[1]CPCD!$B$1:$H$1476,7,0))</f>
        <v>8.13% Power Grid Corp Of India Ltd (23-Apr-2021) **</v>
      </c>
      <c r="C10" s="39" t="s">
        <v>361</v>
      </c>
      <c r="D10" s="39">
        <v>99</v>
      </c>
      <c r="E10" s="68">
        <v>1013.0986799999999</v>
      </c>
      <c r="F10" s="68">
        <v>8.7577687787944196</v>
      </c>
    </row>
    <row r="11" spans="1:6" x14ac:dyDescent="0.2">
      <c r="A11" s="39" t="s">
        <v>1162</v>
      </c>
      <c r="B11" s="39" t="str">
        <f>IFERROR(VLOOKUP(A11,[1]Bonds!$B$1:$K$2669,10,0),VLOOKUP(A11,[1]CPCD!$B$1:$H$1476,7,0))</f>
        <v>7.07% Reliance Industries Ltd (24-Dec-2020) **</v>
      </c>
      <c r="C11" s="39" t="s">
        <v>361</v>
      </c>
      <c r="D11" s="39">
        <v>100</v>
      </c>
      <c r="E11" s="68">
        <v>999.904</v>
      </c>
      <c r="F11" s="68">
        <v>8.6437068825236807</v>
      </c>
    </row>
    <row r="12" spans="1:6" x14ac:dyDescent="0.2">
      <c r="A12" s="39" t="s">
        <v>1354</v>
      </c>
      <c r="B12" s="39" t="str">
        <f>IFERROR(VLOOKUP(A12,[1]Bonds!$B$1:$K$2669,10,0),VLOOKUP(A12,[1]CPCD!$B$1:$H$1476,7,0))</f>
        <v>9.18% Power Finance Corp Ltd (15-Apr-2021) **</v>
      </c>
      <c r="C12" s="39" t="s">
        <v>361</v>
      </c>
      <c r="D12" s="39">
        <v>97</v>
      </c>
      <c r="E12" s="68">
        <v>996.48003000000006</v>
      </c>
      <c r="F12" s="68">
        <v>8.6141082480002105</v>
      </c>
    </row>
    <row r="13" spans="1:6" x14ac:dyDescent="0.2">
      <c r="A13" s="39" t="s">
        <v>1380</v>
      </c>
      <c r="B13" s="39" t="str">
        <f>IFERROR(VLOOKUP(A13,[1]Bonds!$B$1:$K$2669,10,0),VLOOKUP(A13,[1]CPCD!$B$1:$H$1476,7,0))</f>
        <v>7.64% Can Fin Homes Ltd (28-Feb-2021) **</v>
      </c>
      <c r="C13" s="39" t="s">
        <v>916</v>
      </c>
      <c r="D13" s="39">
        <v>100</v>
      </c>
      <c r="E13" s="68">
        <v>989.39300000000003</v>
      </c>
      <c r="F13" s="68">
        <v>8.5528441566597895</v>
      </c>
    </row>
    <row r="14" spans="1:6" x14ac:dyDescent="0.2">
      <c r="A14" s="39" t="s">
        <v>1362</v>
      </c>
      <c r="B14" s="39" t="str">
        <f>IFERROR(VLOOKUP(A14,[1]Bonds!$B$1:$K$2669,10,0),VLOOKUP(A14,[1]CPCD!$B$1:$H$1476,7,0))</f>
        <v>7.40% National Bank For Agriculture And Rural Development (01-Feb-2021) **</v>
      </c>
      <c r="C14" s="39" t="s">
        <v>361</v>
      </c>
      <c r="D14" s="39">
        <v>73</v>
      </c>
      <c r="E14" s="68">
        <v>735.08883000000003</v>
      </c>
      <c r="F14" s="68">
        <v>6.3545024113687703</v>
      </c>
    </row>
    <row r="15" spans="1:6" x14ac:dyDescent="0.2">
      <c r="A15" s="39" t="s">
        <v>1196</v>
      </c>
      <c r="B15" s="39" t="str">
        <f>IFERROR(VLOOKUP(A15,[1]Bonds!$B$1:$K$2669,10,0),VLOOKUP(A15,[1]CPCD!$B$1:$H$1476,7,0))</f>
        <v>8.75% Housing Development Finance Corp Ltd (04-Mar-2021) **</v>
      </c>
      <c r="C15" s="39" t="s">
        <v>361</v>
      </c>
      <c r="D15" s="39">
        <v>5</v>
      </c>
      <c r="E15" s="68">
        <v>510.1585</v>
      </c>
      <c r="F15" s="68">
        <v>4.4100839056829004</v>
      </c>
    </row>
    <row r="16" spans="1:6" x14ac:dyDescent="0.2">
      <c r="A16" s="39" t="s">
        <v>1381</v>
      </c>
      <c r="B16" s="39" t="str">
        <f>IFERROR(VLOOKUP(A16,[1]Bonds!$B$1:$K$2669,10,0),VLOOKUP(A16,[1]CPCD!$B$1:$H$1476,7,0))</f>
        <v>8.75% Lic Housing Finance Ltd (12-Feb-2021) **</v>
      </c>
      <c r="C16" s="39" t="s">
        <v>916</v>
      </c>
      <c r="D16" s="39">
        <v>50</v>
      </c>
      <c r="E16" s="68">
        <v>509.83100000000002</v>
      </c>
      <c r="F16" s="68">
        <v>4.4072528198946399</v>
      </c>
    </row>
    <row r="17" spans="1:6" x14ac:dyDescent="0.2">
      <c r="A17" s="39" t="s">
        <v>1356</v>
      </c>
      <c r="B17" s="39" t="str">
        <f>IFERROR(VLOOKUP(A17,[1]Bonds!$B$1:$K$2669,10,0),VLOOKUP(A17,[1]CPCD!$B$1:$H$1476,7,0))</f>
        <v>8.50% Lic Housing Finance Ltd (05-Jan-2021) **</v>
      </c>
      <c r="C17" s="39" t="s">
        <v>361</v>
      </c>
      <c r="D17" s="39">
        <v>49</v>
      </c>
      <c r="E17" s="68">
        <v>497.36763999999999</v>
      </c>
      <c r="F17" s="68">
        <v>4.2995128462457997</v>
      </c>
    </row>
    <row r="18" spans="1:6" x14ac:dyDescent="0.2">
      <c r="A18" s="39" t="s">
        <v>1373</v>
      </c>
      <c r="B18" s="39" t="str">
        <f>IFERROR(VLOOKUP(A18,[1]Bonds!$B$1:$K$2669,10,0),VLOOKUP(A18,[1]CPCD!$B$1:$H$1476,7,0))</f>
        <v>7.50% Bajaj Finance Ltd (10-Aug-2020) **</v>
      </c>
      <c r="C18" s="39" t="s">
        <v>361</v>
      </c>
      <c r="D18" s="39">
        <v>46</v>
      </c>
      <c r="E18" s="68">
        <v>461.15598</v>
      </c>
      <c r="F18" s="68">
        <v>3.9864798203056999</v>
      </c>
    </row>
    <row r="19" spans="1:6" x14ac:dyDescent="0.2">
      <c r="A19" s="39" t="s">
        <v>976</v>
      </c>
      <c r="B19" s="39" t="str">
        <f>IFERROR(VLOOKUP(A19,[1]Bonds!$B$1:$K$2669,10,0),VLOOKUP(A19,[1]CPCD!$B$1:$H$1476,7,0))</f>
        <v>0.00% Mahindra &amp; Mahindra Financial Services Ltd (07-Apr-2021) **</v>
      </c>
      <c r="C19" s="39" t="s">
        <v>977</v>
      </c>
      <c r="D19" s="39">
        <v>24</v>
      </c>
      <c r="E19" s="68">
        <v>269.83055999999999</v>
      </c>
      <c r="F19" s="68">
        <v>2.3325601943658798</v>
      </c>
    </row>
    <row r="20" spans="1:6" x14ac:dyDescent="0.2">
      <c r="A20" s="39" t="s">
        <v>1365</v>
      </c>
      <c r="B20" s="39" t="str">
        <f>IFERROR(VLOOKUP(A20,[1]Bonds!$B$1:$K$2669,10,0),VLOOKUP(A20,[1]CPCD!$B$1:$H$1476,7,0))</f>
        <v>0.00% Kotak Mahindra Prime Ltd (26-Apr-2021) **</v>
      </c>
      <c r="C20" s="39" t="s">
        <v>361</v>
      </c>
      <c r="D20" s="39">
        <v>18</v>
      </c>
      <c r="E20" s="68">
        <v>159.26220000000001</v>
      </c>
      <c r="F20" s="68">
        <v>1.3767479420683</v>
      </c>
    </row>
    <row r="21" spans="1:6" x14ac:dyDescent="0.2">
      <c r="A21" s="39" t="s">
        <v>1198</v>
      </c>
      <c r="B21" s="39" t="str">
        <f>IFERROR(VLOOKUP(A21,[1]Bonds!$B$1:$K$2669,10,0),VLOOKUP(A21,[1]CPCD!$B$1:$H$1476,7,0))</f>
        <v>7.65% Indian Railway Finance Corp Ltd (15-Mar-2021) **</v>
      </c>
      <c r="C21" s="39" t="s">
        <v>361</v>
      </c>
      <c r="D21" s="39">
        <v>9</v>
      </c>
      <c r="E21" s="68">
        <v>91.428479999999993</v>
      </c>
      <c r="F21" s="68">
        <v>0.79035685609286299</v>
      </c>
    </row>
    <row r="22" spans="1:6" x14ac:dyDescent="0.2">
      <c r="A22" s="39" t="s">
        <v>1355</v>
      </c>
      <c r="B22" s="39" t="str">
        <f>IFERROR(VLOOKUP(A22,[1]Bonds!$B$1:$K$2669,10,0),VLOOKUP(A22,[1]CPCD!$B$1:$H$1476,7,0))</f>
        <v>0.00% HDB Financial Services Limited (06-Apr-2021) **</v>
      </c>
      <c r="C22" s="39" t="s">
        <v>361</v>
      </c>
      <c r="D22" s="39">
        <v>6</v>
      </c>
      <c r="E22" s="68">
        <v>67.861080000000001</v>
      </c>
      <c r="F22" s="68">
        <v>0.58662760050113805</v>
      </c>
    </row>
    <row r="23" spans="1:6" x14ac:dyDescent="0.2">
      <c r="A23" s="39" t="s">
        <v>1228</v>
      </c>
      <c r="B23" s="39" t="str">
        <f>IFERROR(VLOOKUP(A23,[1]Bonds!$B$1:$K$2669,10,0),VLOOKUP(A23,[1]CPCD!$B$1:$H$1476,7,0))</f>
        <v>0.00% Fullerton India Credit Co Ltd (08-Apr-2021) **</v>
      </c>
      <c r="C23" s="39" t="s">
        <v>916</v>
      </c>
      <c r="D23" s="39">
        <v>3</v>
      </c>
      <c r="E23" s="68">
        <v>33.359639999999999</v>
      </c>
      <c r="F23" s="68">
        <v>0.288378634215397</v>
      </c>
    </row>
    <row r="24" spans="1:6" x14ac:dyDescent="0.2">
      <c r="A24" s="39" t="s">
        <v>974</v>
      </c>
      <c r="B24" s="39" t="str">
        <f>IFERROR(VLOOKUP(A24,[1]Bonds!$B$1:$K$2669,10,0),VLOOKUP(A24,[1]CPCD!$B$1:$H$1476,7,0))</f>
        <v>9.30% Fullerton India Credit Co Ltd (15-Mar-2021) **</v>
      </c>
      <c r="C24" s="39" t="s">
        <v>361</v>
      </c>
      <c r="D24" s="39">
        <v>3</v>
      </c>
      <c r="E24" s="68">
        <v>30.023849999999999</v>
      </c>
      <c r="F24" s="68">
        <v>0.25954227494325299</v>
      </c>
    </row>
    <row r="25" spans="1:6" x14ac:dyDescent="0.2">
      <c r="A25" s="38" t="s">
        <v>44</v>
      </c>
      <c r="B25" s="39"/>
      <c r="C25" s="39"/>
      <c r="D25" s="39"/>
      <c r="E25" s="69">
        <f>SUM(E8:E24)</f>
        <v>9564.4010099999996</v>
      </c>
      <c r="F25" s="69">
        <f>SUM(F8:F24)</f>
        <v>82.679816099698996</v>
      </c>
    </row>
    <row r="26" spans="1:6" x14ac:dyDescent="0.2">
      <c r="A26" s="39"/>
      <c r="B26" s="39"/>
      <c r="C26" s="39"/>
      <c r="D26" s="39"/>
      <c r="E26" s="68"/>
      <c r="F26" s="68"/>
    </row>
    <row r="27" spans="1:6" x14ac:dyDescent="0.2">
      <c r="A27" s="38" t="s">
        <v>815</v>
      </c>
      <c r="B27" s="39"/>
      <c r="C27" s="39"/>
      <c r="D27" s="39"/>
      <c r="E27" s="68"/>
      <c r="F27" s="68"/>
    </row>
    <row r="28" spans="1:6" x14ac:dyDescent="0.2">
      <c r="A28" s="39" t="s">
        <v>1382</v>
      </c>
      <c r="B28" s="39" t="str">
        <f>IFERROR(VLOOKUP(A28,[1]Bonds!$B$1:$K$2669,10,0),VLOOKUP(A28,[1]CPCD!$B$1:$H$1476,7,0))</f>
        <v>7.85% Tata Sons Pvt Ltd (31-Jan-2021) **</v>
      </c>
      <c r="C28" s="39" t="s">
        <v>361</v>
      </c>
      <c r="D28" s="39">
        <v>100</v>
      </c>
      <c r="E28" s="68">
        <v>996.31100000000004</v>
      </c>
      <c r="F28" s="68">
        <v>8.6126470619519999</v>
      </c>
    </row>
    <row r="29" spans="1:6" x14ac:dyDescent="0.2">
      <c r="A29" s="39" t="s">
        <v>1251</v>
      </c>
      <c r="B29" s="39" t="str">
        <f>IFERROR(VLOOKUP(A29,[1]Bonds!$B$1:$K$2669,10,0),VLOOKUP(A29,[1]CPCD!$B$1:$H$1476,7,0))</f>
        <v>7.48% Bennett Coleman And Co Ltd (26-Apr-2021) **</v>
      </c>
      <c r="C29" s="39" t="s">
        <v>361</v>
      </c>
      <c r="D29" s="39">
        <v>56</v>
      </c>
      <c r="E29" s="68">
        <v>559.01103999999998</v>
      </c>
      <c r="F29" s="68">
        <v>4.8323914834371298</v>
      </c>
    </row>
    <row r="30" spans="1:6" x14ac:dyDescent="0.2">
      <c r="A30" s="38" t="s">
        <v>44</v>
      </c>
      <c r="B30" s="39"/>
      <c r="C30" s="39"/>
      <c r="D30" s="39"/>
      <c r="E30" s="69">
        <f>SUM(E28:E29)</f>
        <v>1555.32204</v>
      </c>
      <c r="F30" s="69">
        <f>SUM(F28:F29)</f>
        <v>13.44503854538913</v>
      </c>
    </row>
    <row r="31" spans="1:6" x14ac:dyDescent="0.2">
      <c r="A31" s="39"/>
      <c r="B31" s="39"/>
      <c r="C31" s="39"/>
      <c r="D31" s="39"/>
      <c r="E31" s="68"/>
      <c r="F31" s="68"/>
    </row>
    <row r="32" spans="1:6" x14ac:dyDescent="0.2">
      <c r="A32" s="38" t="s">
        <v>44</v>
      </c>
      <c r="B32" s="39"/>
      <c r="C32" s="39"/>
      <c r="D32" s="39"/>
      <c r="E32" s="69">
        <f>E25+E30</f>
        <v>11119.723050000001</v>
      </c>
      <c r="F32" s="69">
        <f>F25+F30</f>
        <v>96.124854645088121</v>
      </c>
    </row>
    <row r="33" spans="1:6" x14ac:dyDescent="0.2">
      <c r="A33" s="39"/>
      <c r="B33" s="39"/>
      <c r="C33" s="39"/>
      <c r="D33" s="39"/>
      <c r="E33" s="68"/>
      <c r="F33" s="68"/>
    </row>
    <row r="34" spans="1:6" x14ac:dyDescent="0.2">
      <c r="A34" s="38" t="s">
        <v>76</v>
      </c>
      <c r="B34" s="39"/>
      <c r="C34" s="39"/>
      <c r="D34" s="39"/>
      <c r="E34" s="69">
        <v>448.27985919999998</v>
      </c>
      <c r="F34" s="69">
        <v>3.88</v>
      </c>
    </row>
    <row r="35" spans="1:6" x14ac:dyDescent="0.2">
      <c r="A35" s="39"/>
      <c r="B35" s="39"/>
      <c r="C35" s="39"/>
      <c r="D35" s="39"/>
      <c r="E35" s="68"/>
      <c r="F35" s="68"/>
    </row>
    <row r="36" spans="1:6" x14ac:dyDescent="0.2">
      <c r="A36" s="71" t="s">
        <v>77</v>
      </c>
      <c r="B36" s="66"/>
      <c r="C36" s="66"/>
      <c r="D36" s="66"/>
      <c r="E36" s="72">
        <f>E32+E34</f>
        <v>11568.0029092</v>
      </c>
      <c r="F36" s="72">
        <f>F32+F34</f>
        <v>100.00485464508812</v>
      </c>
    </row>
    <row r="37" spans="1:6" x14ac:dyDescent="0.2">
      <c r="A37" s="52" t="s">
        <v>619</v>
      </c>
    </row>
    <row r="38" spans="1:6" x14ac:dyDescent="0.2">
      <c r="A38" s="4"/>
    </row>
    <row r="39" spans="1:6" x14ac:dyDescent="0.2">
      <c r="A39" s="4" t="s">
        <v>78</v>
      </c>
    </row>
    <row r="40" spans="1:6" x14ac:dyDescent="0.2">
      <c r="A40" s="4" t="s">
        <v>650</v>
      </c>
    </row>
    <row r="41" spans="1:6" x14ac:dyDescent="0.2">
      <c r="A41" s="4" t="s">
        <v>80</v>
      </c>
    </row>
    <row r="42" spans="1:6" x14ac:dyDescent="0.2">
      <c r="A42" s="2" t="s">
        <v>638</v>
      </c>
      <c r="D42" s="10">
        <v>10.710800000000001</v>
      </c>
    </row>
    <row r="43" spans="1:6" x14ac:dyDescent="0.2">
      <c r="A43" s="2" t="s">
        <v>1383</v>
      </c>
      <c r="D43" s="10">
        <v>10.3027</v>
      </c>
    </row>
    <row r="44" spans="1:6" x14ac:dyDescent="0.2">
      <c r="A44" s="2" t="s">
        <v>652</v>
      </c>
      <c r="D44" s="10">
        <v>10.2866</v>
      </c>
    </row>
    <row r="45" spans="1:6" x14ac:dyDescent="0.2">
      <c r="A45" s="2" t="s">
        <v>640</v>
      </c>
      <c r="D45" s="10">
        <v>10.7645</v>
      </c>
    </row>
    <row r="47" spans="1:6" x14ac:dyDescent="0.2">
      <c r="A47" s="4" t="s">
        <v>81</v>
      </c>
    </row>
    <row r="48" spans="1:6" x14ac:dyDescent="0.2">
      <c r="A48" s="2" t="s">
        <v>638</v>
      </c>
      <c r="D48" s="10">
        <v>11.3241</v>
      </c>
    </row>
    <row r="49" spans="1:5" x14ac:dyDescent="0.2">
      <c r="A49" s="2" t="s">
        <v>1383</v>
      </c>
      <c r="D49" s="10">
        <v>10.8926</v>
      </c>
    </row>
    <row r="50" spans="1:5" x14ac:dyDescent="0.2">
      <c r="A50" s="2" t="s">
        <v>652</v>
      </c>
      <c r="D50" s="10">
        <v>10.286</v>
      </c>
    </row>
    <row r="51" spans="1:5" x14ac:dyDescent="0.2">
      <c r="A51" s="2" t="s">
        <v>640</v>
      </c>
      <c r="D51" s="10">
        <v>11.380800000000001</v>
      </c>
    </row>
    <row r="53" spans="1:5" x14ac:dyDescent="0.2">
      <c r="A53" s="4" t="s">
        <v>82</v>
      </c>
      <c r="D53" s="94" t="s">
        <v>299</v>
      </c>
    </row>
    <row r="54" spans="1:5" x14ac:dyDescent="0.2">
      <c r="A54" s="45" t="s">
        <v>642</v>
      </c>
      <c r="B54" s="46"/>
      <c r="C54" s="100" t="s">
        <v>643</v>
      </c>
      <c r="D54" s="101"/>
    </row>
    <row r="55" spans="1:5" x14ac:dyDescent="0.2">
      <c r="A55" s="102"/>
      <c r="B55" s="103"/>
      <c r="C55" s="47" t="s">
        <v>644</v>
      </c>
      <c r="D55" s="47" t="s">
        <v>645</v>
      </c>
    </row>
    <row r="56" spans="1:5" x14ac:dyDescent="0.2">
      <c r="A56" s="48" t="s">
        <v>652</v>
      </c>
      <c r="B56" s="49"/>
      <c r="C56" s="89">
        <v>0.41058393900000001</v>
      </c>
      <c r="D56" s="89">
        <v>0.3802027737</v>
      </c>
    </row>
    <row r="58" spans="1:5" x14ac:dyDescent="0.2">
      <c r="A58" s="4" t="s">
        <v>647</v>
      </c>
      <c r="D58" s="53">
        <v>1.4067031551256481</v>
      </c>
      <c r="E58" s="73" t="s">
        <v>648</v>
      </c>
    </row>
  </sheetData>
  <mergeCells count="3">
    <mergeCell ref="A1:F1"/>
    <mergeCell ref="C54:D54"/>
    <mergeCell ref="A55:B55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00994-46AE-42F0-9B65-824EA1F01C40}">
  <dimension ref="A1:F67"/>
  <sheetViews>
    <sheetView showGridLines="0" workbookViewId="0">
      <selection sqref="A1:F1"/>
    </sheetView>
  </sheetViews>
  <sheetFormatPr defaultRowHeight="11.25" x14ac:dyDescent="0.2"/>
  <cols>
    <col min="1" max="1" width="60.140625" style="2" bestFit="1" customWidth="1"/>
    <col min="2" max="2" width="56" style="2" bestFit="1" customWidth="1"/>
    <col min="3" max="3" width="11.7109375" style="2" bestFit="1" customWidth="1"/>
    <col min="4" max="4" width="6.85546875" style="2" bestFit="1" customWidth="1"/>
    <col min="5" max="5" width="8.7109375" style="73" bestFit="1" customWidth="1"/>
    <col min="6" max="6" width="13.5703125" style="73" bestFit="1" customWidth="1"/>
    <col min="7" max="16384" width="9.140625" style="2"/>
  </cols>
  <sheetData>
    <row r="1" spans="1:6" ht="15" customHeight="1" x14ac:dyDescent="0.2">
      <c r="A1" s="108" t="s">
        <v>1384</v>
      </c>
      <c r="B1" s="108"/>
      <c r="C1" s="108"/>
      <c r="D1" s="108"/>
      <c r="E1" s="108"/>
      <c r="F1" s="108"/>
    </row>
    <row r="3" spans="1:6" s="4" customFormat="1" x14ac:dyDescent="0.2">
      <c r="A3" s="64" t="s">
        <v>1</v>
      </c>
      <c r="B3" s="64" t="s">
        <v>2</v>
      </c>
      <c r="C3" s="64" t="s">
        <v>716</v>
      </c>
      <c r="D3" s="64" t="s">
        <v>4</v>
      </c>
      <c r="E3" s="65" t="s">
        <v>5</v>
      </c>
      <c r="F3" s="65" t="s">
        <v>6</v>
      </c>
    </row>
    <row r="4" spans="1:6" x14ac:dyDescent="0.2">
      <c r="A4" s="66"/>
      <c r="B4" s="66"/>
      <c r="C4" s="66"/>
      <c r="D4" s="66"/>
      <c r="E4" s="67"/>
      <c r="F4" s="67"/>
    </row>
    <row r="5" spans="1:6" x14ac:dyDescent="0.2">
      <c r="A5" s="38" t="s">
        <v>359</v>
      </c>
      <c r="B5" s="39"/>
      <c r="C5" s="39"/>
      <c r="D5" s="39"/>
      <c r="E5" s="68"/>
      <c r="F5" s="68"/>
    </row>
    <row r="6" spans="1:6" x14ac:dyDescent="0.2">
      <c r="A6" s="38" t="s">
        <v>8</v>
      </c>
      <c r="B6" s="39"/>
      <c r="C6" s="39"/>
      <c r="D6" s="39"/>
      <c r="E6" s="68"/>
      <c r="F6" s="68"/>
    </row>
    <row r="7" spans="1:6" x14ac:dyDescent="0.2">
      <c r="A7" s="38"/>
      <c r="B7" s="39"/>
      <c r="C7" s="39"/>
      <c r="D7" s="39"/>
      <c r="E7" s="68"/>
      <c r="F7" s="68"/>
    </row>
    <row r="8" spans="1:6" x14ac:dyDescent="0.2">
      <c r="A8" s="39" t="s">
        <v>1376</v>
      </c>
      <c r="B8" s="39" t="str">
        <f>IFERROR(VLOOKUP(A8,[1]Bonds!$B$1:$K$2669,10,0),VLOOKUP(A8,[1]CPCD!$B$1:$H$1476,7,0))</f>
        <v>7.14% Housing &amp; Urban Development Corp Ltd (22-Dec-2020) **</v>
      </c>
      <c r="C8" s="39" t="s">
        <v>916</v>
      </c>
      <c r="D8" s="39">
        <v>156</v>
      </c>
      <c r="E8" s="68">
        <v>1565.5660800000001</v>
      </c>
      <c r="F8" s="68">
        <v>8.8879893016346596</v>
      </c>
    </row>
    <row r="9" spans="1:6" x14ac:dyDescent="0.2">
      <c r="A9" s="39" t="s">
        <v>1385</v>
      </c>
      <c r="B9" s="39" t="str">
        <f>IFERROR(VLOOKUP(A9,[1]Bonds!$B$1:$K$2669,10,0),VLOOKUP(A9,[1]CPCD!$B$1:$H$1476,7,0))</f>
        <v>8.33% NTPC Ltd (24-Feb-2021) **</v>
      </c>
      <c r="C9" s="39" t="s">
        <v>361</v>
      </c>
      <c r="D9" s="39">
        <v>150</v>
      </c>
      <c r="E9" s="68">
        <v>1536.6375</v>
      </c>
      <c r="F9" s="68">
        <v>8.7237567516093808</v>
      </c>
    </row>
    <row r="10" spans="1:6" x14ac:dyDescent="0.2">
      <c r="A10" s="39" t="s">
        <v>1380</v>
      </c>
      <c r="B10" s="39" t="str">
        <f>IFERROR(VLOOKUP(A10,[1]Bonds!$B$1:$K$2669,10,0),VLOOKUP(A10,[1]CPCD!$B$1:$H$1476,7,0))</f>
        <v>7.64% Can Fin Homes Ltd (28-Feb-2021) **</v>
      </c>
      <c r="C10" s="39" t="s">
        <v>916</v>
      </c>
      <c r="D10" s="39">
        <v>150</v>
      </c>
      <c r="E10" s="68">
        <v>1484.0895</v>
      </c>
      <c r="F10" s="68">
        <v>8.4254326707616993</v>
      </c>
    </row>
    <row r="11" spans="1:6" x14ac:dyDescent="0.2">
      <c r="A11" s="39" t="s">
        <v>1196</v>
      </c>
      <c r="B11" s="39" t="str">
        <f>IFERROR(VLOOKUP(A11,[1]Bonds!$B$1:$K$2669,10,0),VLOOKUP(A11,[1]CPCD!$B$1:$H$1476,7,0))</f>
        <v>8.75% Housing Development Finance Corp Ltd (04-Mar-2021) **</v>
      </c>
      <c r="C11" s="39" t="s">
        <v>361</v>
      </c>
      <c r="D11" s="39">
        <v>14</v>
      </c>
      <c r="E11" s="68">
        <v>1428.4438</v>
      </c>
      <c r="F11" s="68">
        <v>8.1095224114630504</v>
      </c>
    </row>
    <row r="12" spans="1:6" x14ac:dyDescent="0.2">
      <c r="A12" s="39" t="s">
        <v>1386</v>
      </c>
      <c r="B12" s="39" t="str">
        <f>IFERROR(VLOOKUP(A12,[1]Bonds!$B$1:$K$2669,10,0),VLOOKUP(A12,[1]CPCD!$B$1:$H$1476,7,0))</f>
        <v>9.7% Power Finance Corp Ltd (30-Jan-2021) **</v>
      </c>
      <c r="C12" s="39" t="s">
        <v>361</v>
      </c>
      <c r="D12" s="39">
        <v>100</v>
      </c>
      <c r="E12" s="68">
        <v>1031.279</v>
      </c>
      <c r="F12" s="68">
        <v>5.8547491773713496</v>
      </c>
    </row>
    <row r="13" spans="1:6" x14ac:dyDescent="0.2">
      <c r="A13" s="39" t="s">
        <v>1387</v>
      </c>
      <c r="B13" s="39" t="str">
        <f>IFERROR(VLOOKUP(A13,[1]Bonds!$B$1:$K$2669,10,0),VLOOKUP(A13,[1]CPCD!$B$1:$H$1476,7,0))</f>
        <v>8.62% India Infradebt Ltd (08-Mar-2021) **</v>
      </c>
      <c r="C13" s="39" t="s">
        <v>361</v>
      </c>
      <c r="D13" s="39">
        <v>100</v>
      </c>
      <c r="E13" s="68">
        <v>1002.1079999999999</v>
      </c>
      <c r="F13" s="68">
        <v>5.6891403670948897</v>
      </c>
    </row>
    <row r="14" spans="1:6" x14ac:dyDescent="0.2">
      <c r="A14" s="39" t="s">
        <v>1388</v>
      </c>
      <c r="B14" s="39" t="str">
        <f>IFERROR(VLOOKUP(A14,[1]Bonds!$B$1:$K$2669,10,0),VLOOKUP(A14,[1]CPCD!$B$1:$H$1476,7,0))</f>
        <v>8.70% L&amp;T Infrastructure Debt Fund Ltd (24-Feb-2021) **</v>
      </c>
      <c r="C14" s="39" t="s">
        <v>361</v>
      </c>
      <c r="D14" s="39">
        <v>40</v>
      </c>
      <c r="E14" s="68">
        <v>1000.074</v>
      </c>
      <c r="F14" s="68">
        <v>5.6775929974434396</v>
      </c>
    </row>
    <row r="15" spans="1:6" x14ac:dyDescent="0.2">
      <c r="A15" s="39" t="s">
        <v>1389</v>
      </c>
      <c r="B15" s="39" t="str">
        <f>IFERROR(VLOOKUP(A15,[1]Bonds!$B$1:$K$2669,10,0),VLOOKUP(A15,[1]CPCD!$B$1:$H$1476,7,0))</f>
        <v>8.78% NHPC Ltd (11-Feb-2021) **</v>
      </c>
      <c r="C15" s="39" t="s">
        <v>973</v>
      </c>
      <c r="D15" s="39">
        <v>800</v>
      </c>
      <c r="E15" s="68">
        <v>823.24800000000005</v>
      </c>
      <c r="F15" s="68">
        <v>4.6737212245887001</v>
      </c>
    </row>
    <row r="16" spans="1:6" x14ac:dyDescent="0.2">
      <c r="A16" s="39" t="s">
        <v>1162</v>
      </c>
      <c r="B16" s="39" t="str">
        <f>IFERROR(VLOOKUP(A16,[1]Bonds!$B$1:$K$2669,10,0),VLOOKUP(A16,[1]CPCD!$B$1:$H$1476,7,0))</f>
        <v>7.07% Reliance Industries Ltd (24-Dec-2020) **</v>
      </c>
      <c r="C16" s="39" t="s">
        <v>361</v>
      </c>
      <c r="D16" s="39">
        <v>62</v>
      </c>
      <c r="E16" s="68">
        <v>619.94047999999998</v>
      </c>
      <c r="F16" s="68">
        <v>3.5195092843926798</v>
      </c>
    </row>
    <row r="17" spans="1:6" x14ac:dyDescent="0.2">
      <c r="A17" s="39" t="s">
        <v>1390</v>
      </c>
      <c r="B17" s="39" t="str">
        <f>IFERROR(VLOOKUP(A17,[1]Bonds!$B$1:$K$2669,10,0),VLOOKUP(A17,[1]CPCD!$B$1:$H$1476,7,0))</f>
        <v>9.47% Power Grid Corp Of India Ltd (31-Mar-2021) **</v>
      </c>
      <c r="C17" s="39" t="s">
        <v>361</v>
      </c>
      <c r="D17" s="39">
        <v>40</v>
      </c>
      <c r="E17" s="68">
        <v>521.11149999999998</v>
      </c>
      <c r="F17" s="68">
        <v>2.95844007872142</v>
      </c>
    </row>
    <row r="18" spans="1:6" x14ac:dyDescent="0.2">
      <c r="A18" s="39" t="s">
        <v>1391</v>
      </c>
      <c r="B18" s="39" t="str">
        <f>IFERROR(VLOOKUP(A18,[1]Bonds!$B$1:$K$2669,10,0),VLOOKUP(A18,[1]CPCD!$B$1:$H$1476,7,0))</f>
        <v>9.15% Export-Import Bank Of India (18-Mar-2021) **</v>
      </c>
      <c r="C18" s="39" t="s">
        <v>361</v>
      </c>
      <c r="D18" s="39">
        <v>50</v>
      </c>
      <c r="E18" s="68">
        <v>518.35599999999999</v>
      </c>
      <c r="F18" s="68">
        <v>2.94279662883226</v>
      </c>
    </row>
    <row r="19" spans="1:6" x14ac:dyDescent="0.2">
      <c r="A19" s="39" t="s">
        <v>1392</v>
      </c>
      <c r="B19" s="39" t="str">
        <f>IFERROR(VLOOKUP(A19,[1]Bonds!$B$1:$K$2669,10,0),VLOOKUP(A19,[1]CPCD!$B$1:$H$1476,7,0))</f>
        <v>9.15% Export-Import Bank Of India (25-Feb-2021) **</v>
      </c>
      <c r="C19" s="39" t="s">
        <v>361</v>
      </c>
      <c r="D19" s="39">
        <v>50</v>
      </c>
      <c r="E19" s="68">
        <v>517.67449999999997</v>
      </c>
      <c r="F19" s="68">
        <v>2.93892763551001</v>
      </c>
    </row>
    <row r="20" spans="1:6" x14ac:dyDescent="0.2">
      <c r="A20" s="39" t="s">
        <v>1362</v>
      </c>
      <c r="B20" s="39" t="str">
        <f>IFERROR(VLOOKUP(A20,[1]Bonds!$B$1:$K$2669,10,0),VLOOKUP(A20,[1]CPCD!$B$1:$H$1476,7,0))</f>
        <v>7.40% National Bank For Agriculture And Rural Development (01-Feb-2021) **</v>
      </c>
      <c r="C20" s="39" t="s">
        <v>361</v>
      </c>
      <c r="D20" s="39">
        <v>44</v>
      </c>
      <c r="E20" s="68">
        <v>443.06724000000003</v>
      </c>
      <c r="F20" s="68">
        <v>2.5153693218907698</v>
      </c>
    </row>
    <row r="21" spans="1:6" x14ac:dyDescent="0.2">
      <c r="A21" s="39" t="s">
        <v>1367</v>
      </c>
      <c r="B21" s="39" t="str">
        <f>IFERROR(VLOOKUP(A21,[1]Bonds!$B$1:$K$2669,10,0),VLOOKUP(A21,[1]CPCD!$B$1:$H$1476,7,0))</f>
        <v>7.73% Power Finance Corp Ltd (05-Apr-2021) **</v>
      </c>
      <c r="C21" s="39" t="s">
        <v>361</v>
      </c>
      <c r="D21" s="39">
        <v>38</v>
      </c>
      <c r="E21" s="68">
        <v>382.31799999999998</v>
      </c>
      <c r="F21" s="68">
        <v>2.1704853836781899</v>
      </c>
    </row>
    <row r="22" spans="1:6" x14ac:dyDescent="0.2">
      <c r="A22" s="39" t="s">
        <v>1239</v>
      </c>
      <c r="B22" s="39" t="str">
        <f>IFERROR(VLOOKUP(A22,[1]Bonds!$B$1:$K$2669,10,0),VLOOKUP(A22,[1]CPCD!$B$1:$H$1476,7,0))</f>
        <v>7.70% Rec Ltd (15-Mar-2021) **</v>
      </c>
      <c r="C22" s="39" t="s">
        <v>361</v>
      </c>
      <c r="D22" s="39">
        <v>31</v>
      </c>
      <c r="E22" s="68">
        <v>311.74901999999997</v>
      </c>
      <c r="F22" s="68">
        <v>1.7698530837836599</v>
      </c>
    </row>
    <row r="23" spans="1:6" x14ac:dyDescent="0.2">
      <c r="A23" s="39" t="s">
        <v>974</v>
      </c>
      <c r="B23" s="39" t="str">
        <f>IFERROR(VLOOKUP(A23,[1]Bonds!$B$1:$K$2669,10,0),VLOOKUP(A23,[1]CPCD!$B$1:$H$1476,7,0))</f>
        <v>9.30% Fullerton India Credit Co Ltd (15-Mar-2021) **</v>
      </c>
      <c r="C23" s="39" t="s">
        <v>361</v>
      </c>
      <c r="D23" s="39">
        <v>25</v>
      </c>
      <c r="E23" s="68">
        <v>250.19874999999999</v>
      </c>
      <c r="F23" s="68">
        <v>1.42042155977368</v>
      </c>
    </row>
    <row r="24" spans="1:6" x14ac:dyDescent="0.2">
      <c r="A24" s="39" t="s">
        <v>1370</v>
      </c>
      <c r="B24" s="39" t="str">
        <f>IFERROR(VLOOKUP(A24,[1]Bonds!$B$1:$K$2669,10,0),VLOOKUP(A24,[1]CPCD!$B$1:$H$1476,7,0))</f>
        <v>8.84% Power Grid Corp Of India Ltd (29-Mar-2021) **</v>
      </c>
      <c r="C24" s="39" t="s">
        <v>361</v>
      </c>
      <c r="D24" s="39">
        <v>15</v>
      </c>
      <c r="E24" s="68">
        <v>193.68187499999999</v>
      </c>
      <c r="F24" s="68">
        <v>1.0995654893855</v>
      </c>
    </row>
    <row r="25" spans="1:6" x14ac:dyDescent="0.2">
      <c r="A25" s="39" t="s">
        <v>1330</v>
      </c>
      <c r="B25" s="39" t="str">
        <f>IFERROR(VLOOKUP(A25,[1]Bonds!$B$1:$K$2669,10,0),VLOOKUP(A25,[1]CPCD!$B$1:$H$1476,7,0))</f>
        <v>0.00% LIC Housing Finance Ltd (25-Mar-2021) **</v>
      </c>
      <c r="C25" s="39" t="s">
        <v>361</v>
      </c>
      <c r="D25" s="39">
        <v>10</v>
      </c>
      <c r="E25" s="68">
        <v>113.86660000000001</v>
      </c>
      <c r="F25" s="68">
        <v>0.646440374215002</v>
      </c>
    </row>
    <row r="26" spans="1:6" x14ac:dyDescent="0.2">
      <c r="A26" s="39" t="s">
        <v>1198</v>
      </c>
      <c r="B26" s="39" t="str">
        <f>IFERROR(VLOOKUP(A26,[1]Bonds!$B$1:$K$2669,10,0),VLOOKUP(A26,[1]CPCD!$B$1:$H$1476,7,0))</f>
        <v>7.65% Indian Railway Finance Corp Ltd (15-Mar-2021) **</v>
      </c>
      <c r="C26" s="39" t="s">
        <v>361</v>
      </c>
      <c r="D26" s="39">
        <v>5</v>
      </c>
      <c r="E26" s="68">
        <v>50.793599999999998</v>
      </c>
      <c r="F26" s="68">
        <v>0.288364048735337</v>
      </c>
    </row>
    <row r="27" spans="1:6" x14ac:dyDescent="0.2">
      <c r="A27" s="39" t="s">
        <v>1393</v>
      </c>
      <c r="B27" s="39" t="str">
        <f>IFERROR(VLOOKUP(A27,[1]Bonds!$B$1:$K$2669,10,0),VLOOKUP(A27,[1]CPCD!$B$1:$H$1476,7,0))</f>
        <v>7.80% LIC Housing Finance Ltd (19-Mar-2020) **</v>
      </c>
      <c r="C27" s="39" t="s">
        <v>361</v>
      </c>
      <c r="D27" s="39">
        <v>3</v>
      </c>
      <c r="E27" s="68">
        <v>30.198</v>
      </c>
      <c r="F27" s="68">
        <v>0.17143926683105201</v>
      </c>
    </row>
    <row r="28" spans="1:6" x14ac:dyDescent="0.2">
      <c r="A28" s="39" t="s">
        <v>1360</v>
      </c>
      <c r="B28" s="39" t="str">
        <f>IFERROR(VLOOKUP(A28,[1]Bonds!$B$1:$K$2669,10,0),VLOOKUP(A28,[1]CPCD!$B$1:$H$1476,7,0))</f>
        <v>7.68% Housing &amp; Urban Development Corp Ltd (05-Apr-2021) **</v>
      </c>
      <c r="C28" s="39" t="s">
        <v>973</v>
      </c>
      <c r="D28" s="39">
        <v>1</v>
      </c>
      <c r="E28" s="68">
        <v>10.108449999999999</v>
      </c>
      <c r="F28" s="68">
        <v>5.73874182660555E-2</v>
      </c>
    </row>
    <row r="29" spans="1:6" x14ac:dyDescent="0.2">
      <c r="A29" s="38" t="s">
        <v>44</v>
      </c>
      <c r="B29" s="39"/>
      <c r="C29" s="39"/>
      <c r="D29" s="39"/>
      <c r="E29" s="69">
        <f>SUM(E8:E28)</f>
        <v>13834.509894999997</v>
      </c>
      <c r="F29" s="69">
        <f>SUM(F8:F28)</f>
        <v>78.540904475982799</v>
      </c>
    </row>
    <row r="30" spans="1:6" x14ac:dyDescent="0.2">
      <c r="A30" s="39"/>
      <c r="B30" s="39"/>
      <c r="C30" s="39"/>
      <c r="D30" s="39"/>
      <c r="E30" s="68"/>
      <c r="F30" s="68"/>
    </row>
    <row r="31" spans="1:6" x14ac:dyDescent="0.2">
      <c r="A31" s="38" t="s">
        <v>815</v>
      </c>
      <c r="B31" s="39"/>
      <c r="C31" s="39"/>
      <c r="D31" s="39"/>
      <c r="E31" s="68"/>
      <c r="F31" s="68"/>
    </row>
    <row r="32" spans="1:6" x14ac:dyDescent="0.2">
      <c r="A32" s="39" t="s">
        <v>1357</v>
      </c>
      <c r="B32" s="39" t="str">
        <f>IFERROR(VLOOKUP(A32,[1]Bonds!$B$1:$K$2669,10,0),VLOOKUP(A32,[1]CPCD!$B$1:$H$1476,7,0))</f>
        <v>8.19% Mahindra Vehicle Manufactures Ltd (23-Feb-2021) **</v>
      </c>
      <c r="C32" s="39" t="s">
        <v>973</v>
      </c>
      <c r="D32" s="39">
        <v>150</v>
      </c>
      <c r="E32" s="68">
        <v>1504.7550000000001</v>
      </c>
      <c r="F32" s="68">
        <v>8.5427542870507693</v>
      </c>
    </row>
    <row r="33" spans="1:6" x14ac:dyDescent="0.2">
      <c r="A33" s="39" t="s">
        <v>1382</v>
      </c>
      <c r="B33" s="39" t="str">
        <f>IFERROR(VLOOKUP(A33,[1]Bonds!$B$1:$K$2669,10,0),VLOOKUP(A33,[1]CPCD!$B$1:$H$1476,7,0))</f>
        <v>7.85% Tata Sons Pvt Ltd (31-Jan-2021) **</v>
      </c>
      <c r="C33" s="39" t="s">
        <v>361</v>
      </c>
      <c r="D33" s="39">
        <v>150</v>
      </c>
      <c r="E33" s="68">
        <v>1494.4665</v>
      </c>
      <c r="F33" s="68">
        <v>8.4843446938064702</v>
      </c>
    </row>
    <row r="34" spans="1:6" x14ac:dyDescent="0.2">
      <c r="A34" s="38" t="s">
        <v>44</v>
      </c>
      <c r="B34" s="39"/>
      <c r="C34" s="39"/>
      <c r="D34" s="39"/>
      <c r="E34" s="69">
        <f>SUM(E32:E33)</f>
        <v>2999.2215000000001</v>
      </c>
      <c r="F34" s="69">
        <f>SUM(F32:F33)</f>
        <v>17.027098980857239</v>
      </c>
    </row>
    <row r="35" spans="1:6" x14ac:dyDescent="0.2">
      <c r="A35" s="39"/>
      <c r="B35" s="39"/>
      <c r="C35" s="39"/>
      <c r="D35" s="39"/>
      <c r="E35" s="68"/>
      <c r="F35" s="68"/>
    </row>
    <row r="36" spans="1:6" x14ac:dyDescent="0.2">
      <c r="A36" s="38" t="s">
        <v>44</v>
      </c>
      <c r="B36" s="39"/>
      <c r="C36" s="39"/>
      <c r="D36" s="39"/>
      <c r="E36" s="69">
        <f>E29+E34</f>
        <v>16833.731394999999</v>
      </c>
      <c r="F36" s="69">
        <f>F29+F34</f>
        <v>95.568003456840046</v>
      </c>
    </row>
    <row r="37" spans="1:6" x14ac:dyDescent="0.2">
      <c r="A37" s="39"/>
      <c r="B37" s="39"/>
      <c r="C37" s="39"/>
      <c r="D37" s="39"/>
      <c r="E37" s="68"/>
      <c r="F37" s="68"/>
    </row>
    <row r="38" spans="1:6" x14ac:dyDescent="0.2">
      <c r="A38" s="38" t="s">
        <v>76</v>
      </c>
      <c r="B38" s="39"/>
      <c r="C38" s="39"/>
      <c r="D38" s="39"/>
      <c r="E38" s="69">
        <v>780.67104019999999</v>
      </c>
      <c r="F38" s="69">
        <v>4.43</v>
      </c>
    </row>
    <row r="39" spans="1:6" x14ac:dyDescent="0.2">
      <c r="A39" s="39"/>
      <c r="B39" s="39"/>
      <c r="C39" s="39"/>
      <c r="D39" s="39"/>
      <c r="E39" s="68"/>
      <c r="F39" s="68"/>
    </row>
    <row r="40" spans="1:6" x14ac:dyDescent="0.2">
      <c r="A40" s="71" t="s">
        <v>77</v>
      </c>
      <c r="B40" s="66"/>
      <c r="C40" s="66"/>
      <c r="D40" s="66"/>
      <c r="E40" s="72">
        <f>E36+E38</f>
        <v>17614.402435199998</v>
      </c>
      <c r="F40" s="72">
        <f>F36+F38</f>
        <v>99.998003456840053</v>
      </c>
    </row>
    <row r="41" spans="1:6" x14ac:dyDescent="0.2">
      <c r="A41" s="52" t="s">
        <v>619</v>
      </c>
    </row>
    <row r="43" spans="1:6" x14ac:dyDescent="0.2">
      <c r="A43" s="4" t="s">
        <v>78</v>
      </c>
    </row>
    <row r="44" spans="1:6" x14ac:dyDescent="0.2">
      <c r="A44" s="4" t="s">
        <v>650</v>
      </c>
    </row>
    <row r="45" spans="1:6" x14ac:dyDescent="0.2">
      <c r="A45" s="4" t="s">
        <v>80</v>
      </c>
    </row>
    <row r="46" spans="1:6" x14ac:dyDescent="0.2">
      <c r="A46" s="2" t="s">
        <v>638</v>
      </c>
      <c r="D46" s="10">
        <v>10.6913</v>
      </c>
    </row>
    <row r="47" spans="1:6" x14ac:dyDescent="0.2">
      <c r="A47" s="2" t="s">
        <v>1383</v>
      </c>
      <c r="D47" s="10">
        <v>10.337199999999999</v>
      </c>
    </row>
    <row r="48" spans="1:6" x14ac:dyDescent="0.2">
      <c r="A48" s="2" t="s">
        <v>652</v>
      </c>
      <c r="D48" s="10">
        <v>10.1081</v>
      </c>
    </row>
    <row r="49" spans="1:4" x14ac:dyDescent="0.2">
      <c r="A49" s="2" t="s">
        <v>640</v>
      </c>
      <c r="D49" s="10">
        <v>10.744899999999999</v>
      </c>
    </row>
    <row r="50" spans="1:4" x14ac:dyDescent="0.2">
      <c r="A50" s="2" t="s">
        <v>641</v>
      </c>
      <c r="D50" s="10">
        <v>10.36</v>
      </c>
    </row>
    <row r="51" spans="1:4" x14ac:dyDescent="0.2">
      <c r="A51" s="2" t="s">
        <v>654</v>
      </c>
      <c r="D51" s="10">
        <v>10.1294</v>
      </c>
    </row>
    <row r="53" spans="1:4" x14ac:dyDescent="0.2">
      <c r="A53" s="4" t="s">
        <v>81</v>
      </c>
    </row>
    <row r="54" spans="1:4" x14ac:dyDescent="0.2">
      <c r="A54" s="2" t="s">
        <v>638</v>
      </c>
      <c r="D54" s="10">
        <v>11.287699999999999</v>
      </c>
    </row>
    <row r="55" spans="1:4" x14ac:dyDescent="0.2">
      <c r="A55" s="2" t="s">
        <v>1383</v>
      </c>
      <c r="D55" s="10">
        <v>10.9139</v>
      </c>
    </row>
    <row r="56" spans="1:4" x14ac:dyDescent="0.2">
      <c r="A56" s="2" t="s">
        <v>652</v>
      </c>
      <c r="D56" s="10">
        <v>10.0951</v>
      </c>
    </row>
    <row r="57" spans="1:4" x14ac:dyDescent="0.2">
      <c r="A57" s="2" t="s">
        <v>640</v>
      </c>
      <c r="D57" s="10">
        <v>11.3443</v>
      </c>
    </row>
    <row r="58" spans="1:4" x14ac:dyDescent="0.2">
      <c r="A58" s="2" t="s">
        <v>641</v>
      </c>
      <c r="D58" s="10">
        <v>10.938000000000001</v>
      </c>
    </row>
    <row r="59" spans="1:4" x14ac:dyDescent="0.2">
      <c r="A59" s="2" t="s">
        <v>654</v>
      </c>
      <c r="D59" s="10">
        <v>10.117599999999999</v>
      </c>
    </row>
    <row r="61" spans="1:4" x14ac:dyDescent="0.2">
      <c r="A61" s="4" t="s">
        <v>82</v>
      </c>
      <c r="D61" s="44" t="s">
        <v>299</v>
      </c>
    </row>
    <row r="62" spans="1:4" x14ac:dyDescent="0.2">
      <c r="A62" s="45" t="s">
        <v>642</v>
      </c>
      <c r="B62" s="46"/>
      <c r="C62" s="100" t="s">
        <v>643</v>
      </c>
      <c r="D62" s="101"/>
    </row>
    <row r="63" spans="1:4" x14ac:dyDescent="0.2">
      <c r="A63" s="102"/>
      <c r="B63" s="103"/>
      <c r="C63" s="47" t="s">
        <v>644</v>
      </c>
      <c r="D63" s="47" t="s">
        <v>645</v>
      </c>
    </row>
    <row r="64" spans="1:4" x14ac:dyDescent="0.2">
      <c r="A64" s="48" t="s">
        <v>652</v>
      </c>
      <c r="B64" s="49"/>
      <c r="C64" s="50">
        <v>0.41058393900000001</v>
      </c>
      <c r="D64" s="50">
        <v>0.3802027738</v>
      </c>
    </row>
    <row r="65" spans="1:5" x14ac:dyDescent="0.2">
      <c r="A65" s="48" t="s">
        <v>654</v>
      </c>
      <c r="B65" s="49"/>
      <c r="C65" s="50">
        <v>0.41058393900000001</v>
      </c>
      <c r="D65" s="50">
        <v>0.3802027738</v>
      </c>
    </row>
    <row r="66" spans="1:5" x14ac:dyDescent="0.2">
      <c r="A66" s="77"/>
      <c r="B66" s="77"/>
      <c r="C66" s="78"/>
      <c r="D66" s="78"/>
    </row>
    <row r="67" spans="1:5" x14ac:dyDescent="0.2">
      <c r="A67" s="4" t="s">
        <v>647</v>
      </c>
      <c r="D67" s="53">
        <v>1.3993028417338567</v>
      </c>
      <c r="E67" s="73" t="s">
        <v>1295</v>
      </c>
    </row>
  </sheetData>
  <mergeCells count="3">
    <mergeCell ref="A1:F1"/>
    <mergeCell ref="C62:D62"/>
    <mergeCell ref="A63:B63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CF4C3-C795-4B2D-BF53-4A6C534DE6EF}">
  <dimension ref="A1:F64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6" style="2" bestFit="1" customWidth="1"/>
    <col min="3" max="3" width="11.7109375" style="2" bestFit="1" customWidth="1"/>
    <col min="4" max="4" width="7.42578125" style="2" bestFit="1" customWidth="1"/>
    <col min="5" max="5" width="23" style="73" bestFit="1" customWidth="1"/>
    <col min="6" max="6" width="13.5703125" style="73" bestFit="1" customWidth="1"/>
    <col min="7" max="16384" width="9.140625" style="2"/>
  </cols>
  <sheetData>
    <row r="1" spans="1:6" ht="15" customHeight="1" x14ac:dyDescent="0.2">
      <c r="A1" s="108" t="s">
        <v>1394</v>
      </c>
      <c r="B1" s="108"/>
      <c r="C1" s="108"/>
      <c r="D1" s="108"/>
      <c r="E1" s="108"/>
      <c r="F1" s="108"/>
    </row>
    <row r="3" spans="1:6" s="4" customFormat="1" x14ac:dyDescent="0.2">
      <c r="A3" s="64" t="s">
        <v>1</v>
      </c>
      <c r="B3" s="64" t="s">
        <v>2</v>
      </c>
      <c r="C3" s="64" t="s">
        <v>716</v>
      </c>
      <c r="D3" s="64" t="s">
        <v>4</v>
      </c>
      <c r="E3" s="65" t="s">
        <v>5</v>
      </c>
      <c r="F3" s="65" t="s">
        <v>6</v>
      </c>
    </row>
    <row r="4" spans="1:6" x14ac:dyDescent="0.2">
      <c r="A4" s="66"/>
      <c r="B4" s="66"/>
      <c r="C4" s="66"/>
      <c r="D4" s="66"/>
      <c r="E4" s="67"/>
      <c r="F4" s="67"/>
    </row>
    <row r="5" spans="1:6" x14ac:dyDescent="0.2">
      <c r="A5" s="38" t="s">
        <v>359</v>
      </c>
      <c r="B5" s="39"/>
      <c r="C5" s="39"/>
      <c r="D5" s="39"/>
      <c r="E5" s="68"/>
      <c r="F5" s="68"/>
    </row>
    <row r="6" spans="1:6" x14ac:dyDescent="0.2">
      <c r="A6" s="38" t="s">
        <v>8</v>
      </c>
      <c r="B6" s="39"/>
      <c r="C6" s="39"/>
      <c r="D6" s="39"/>
      <c r="E6" s="68"/>
      <c r="F6" s="68"/>
    </row>
    <row r="7" spans="1:6" x14ac:dyDescent="0.2">
      <c r="A7" s="38"/>
      <c r="B7" s="39"/>
      <c r="C7" s="39"/>
      <c r="D7" s="39"/>
      <c r="E7" s="68"/>
      <c r="F7" s="68"/>
    </row>
    <row r="8" spans="1:6" x14ac:dyDescent="0.2">
      <c r="A8" s="39" t="s">
        <v>972</v>
      </c>
      <c r="B8" s="39" t="str">
        <f>IFERROR(VLOOKUP(A8,[1]Bonds!$B$1:$K$2669,10,0),VLOOKUP(A8,[1]CPCD!$B$1:$H$1476,7,0))</f>
        <v>8.87% Rec Ltd (08-Mar-2020) **</v>
      </c>
      <c r="C8" s="39" t="s">
        <v>973</v>
      </c>
      <c r="D8" s="39">
        <v>26</v>
      </c>
      <c r="E8" s="68">
        <v>263.07657999999998</v>
      </c>
      <c r="F8" s="68">
        <v>10.681608546785601</v>
      </c>
    </row>
    <row r="9" spans="1:6" x14ac:dyDescent="0.2">
      <c r="A9" s="39" t="s">
        <v>971</v>
      </c>
      <c r="B9" s="39" t="str">
        <f>IFERROR(VLOOKUP(A9,[1]Bonds!$B$1:$K$2669,10,0),VLOOKUP(A9,[1]CPCD!$B$1:$H$1476,7,0))</f>
        <v>8.15% National Bank For Agriculture And Rural Development (04-Mar-2020) **</v>
      </c>
      <c r="C9" s="39" t="s">
        <v>361</v>
      </c>
      <c r="D9" s="39">
        <v>26</v>
      </c>
      <c r="E9" s="68">
        <v>262.09924000000001</v>
      </c>
      <c r="F9" s="68">
        <v>10.641925944491099</v>
      </c>
    </row>
    <row r="10" spans="1:6" x14ac:dyDescent="0.2">
      <c r="A10" s="39" t="s">
        <v>1229</v>
      </c>
      <c r="B10" s="39" t="str">
        <f>IFERROR(VLOOKUP(A10,[1]Bonds!$B$1:$K$2669,10,0),VLOOKUP(A10,[1]CPCD!$B$1:$H$1476,7,0))</f>
        <v>7.8526% Kotak Mahindra Prime Ltd (07-Apr-2020) **</v>
      </c>
      <c r="C10" s="39" t="s">
        <v>361</v>
      </c>
      <c r="D10" s="39">
        <v>24</v>
      </c>
      <c r="E10" s="68">
        <v>241.09247999999999</v>
      </c>
      <c r="F10" s="68">
        <v>9.7889956412453305</v>
      </c>
    </row>
    <row r="11" spans="1:6" x14ac:dyDescent="0.2">
      <c r="A11" s="39" t="s">
        <v>813</v>
      </c>
      <c r="B11" s="39" t="str">
        <f>IFERROR(VLOOKUP(A11,[1]Bonds!$B$1:$K$2669,10,0),VLOOKUP(A11,[1]CPCD!$B$1:$H$1476,7,0))</f>
        <v>8.15% Power Grid Corp Of India Ltd (09-Mar-2020) **</v>
      </c>
      <c r="C11" s="39" t="s">
        <v>361</v>
      </c>
      <c r="D11" s="39">
        <v>21</v>
      </c>
      <c r="E11" s="68">
        <v>211.96077</v>
      </c>
      <c r="F11" s="68">
        <v>8.60617076752043</v>
      </c>
    </row>
    <row r="12" spans="1:6" x14ac:dyDescent="0.2">
      <c r="A12" s="39" t="s">
        <v>1395</v>
      </c>
      <c r="B12" s="39" t="str">
        <f>IFERROR(VLOOKUP(A12,[1]Bonds!$B$1:$K$2669,10,0),VLOOKUP(A12,[1]CPCD!$B$1:$H$1476,7,0))</f>
        <v>8.78% NTPC Ltd (09-Mar-2020) **</v>
      </c>
      <c r="C12" s="39" t="s">
        <v>361</v>
      </c>
      <c r="D12" s="39">
        <v>20</v>
      </c>
      <c r="E12" s="68">
        <v>202.63900000000001</v>
      </c>
      <c r="F12" s="68">
        <v>8.2276821232512596</v>
      </c>
    </row>
    <row r="13" spans="1:6" x14ac:dyDescent="0.2">
      <c r="A13" s="39" t="s">
        <v>1396</v>
      </c>
      <c r="B13" s="39" t="str">
        <f>IFERROR(VLOOKUP(A13,[1]Bonds!$B$1:$K$2669,10,0),VLOOKUP(A13,[1]CPCD!$B$1:$H$1476,7,0))</f>
        <v>8.36% Power Finance Corp Ltd (26-Feb-2020) **</v>
      </c>
      <c r="C13" s="39" t="s">
        <v>361</v>
      </c>
      <c r="D13" s="39">
        <v>20</v>
      </c>
      <c r="E13" s="68">
        <v>201.74459999999999</v>
      </c>
      <c r="F13" s="68">
        <v>8.1913671054558908</v>
      </c>
    </row>
    <row r="14" spans="1:6" x14ac:dyDescent="0.2">
      <c r="A14" s="39" t="s">
        <v>979</v>
      </c>
      <c r="B14" s="39" t="str">
        <f>IFERROR(VLOOKUP(A14,[1]Bonds!$B$1:$K$2669,10,0),VLOOKUP(A14,[1]CPCD!$B$1:$H$1476,7,0))</f>
        <v>7.78% Housing Development Finance Corp Ltd (24-Mar-2020) **</v>
      </c>
      <c r="C14" s="39" t="s">
        <v>361</v>
      </c>
      <c r="D14" s="39">
        <v>2</v>
      </c>
      <c r="E14" s="68">
        <v>201.31379999999999</v>
      </c>
      <c r="F14" s="68">
        <v>8.1738754801582107</v>
      </c>
    </row>
    <row r="15" spans="1:6" x14ac:dyDescent="0.2">
      <c r="A15" s="39" t="s">
        <v>1397</v>
      </c>
      <c r="B15" s="39" t="str">
        <f>IFERROR(VLOOKUP(A15,[1]Bonds!$B$1:$K$2669,10,0),VLOOKUP(A15,[1]CPCD!$B$1:$H$1476,7,0))</f>
        <v>6.73% Indian Railway Finance Corp Ltd (23-Mar-2020) **</v>
      </c>
      <c r="C15" s="39" t="s">
        <v>361</v>
      </c>
      <c r="D15" s="39">
        <v>19</v>
      </c>
      <c r="E15" s="68">
        <v>190.66918000000001</v>
      </c>
      <c r="F15" s="68">
        <v>7.7416756090435497</v>
      </c>
    </row>
    <row r="16" spans="1:6" x14ac:dyDescent="0.2">
      <c r="A16" s="39" t="s">
        <v>1393</v>
      </c>
      <c r="B16" s="39" t="str">
        <f>IFERROR(VLOOKUP(A16,[1]Bonds!$B$1:$K$2669,10,0),VLOOKUP(A16,[1]CPCD!$B$1:$H$1476,7,0))</f>
        <v>7.80% LIC Housing Finance Ltd (19-Mar-2020) **</v>
      </c>
      <c r="C16" s="39" t="s">
        <v>361</v>
      </c>
      <c r="D16" s="39">
        <v>15</v>
      </c>
      <c r="E16" s="68">
        <v>150.99</v>
      </c>
      <c r="F16" s="68">
        <v>6.1305954124808499</v>
      </c>
    </row>
    <row r="17" spans="1:6" x14ac:dyDescent="0.2">
      <c r="A17" s="39" t="s">
        <v>1243</v>
      </c>
      <c r="B17" s="39" t="str">
        <f>IFERROR(VLOOKUP(A17,[1]Bonds!$B$1:$K$2669,10,0),VLOOKUP(A17,[1]CPCD!$B$1:$H$1476,7,0))</f>
        <v>7.8535% Bajaj Finance Ltd (07-Apr-2020) **</v>
      </c>
      <c r="C17" s="39" t="s">
        <v>361</v>
      </c>
      <c r="D17" s="39">
        <v>13</v>
      </c>
      <c r="E17" s="68">
        <v>130.58955</v>
      </c>
      <c r="F17" s="68">
        <v>5.3022829071325202</v>
      </c>
    </row>
    <row r="18" spans="1:6" x14ac:dyDescent="0.2">
      <c r="A18" s="39" t="s">
        <v>805</v>
      </c>
      <c r="B18" s="39" t="str">
        <f>IFERROR(VLOOKUP(A18,[1]Bonds!$B$1:$K$2669,10,0),VLOOKUP(A18,[1]CPCD!$B$1:$H$1476,7,0))</f>
        <v>7.09% Export-Import Bank Of India (02-Mar-2020) **</v>
      </c>
      <c r="C18" s="39" t="s">
        <v>361</v>
      </c>
      <c r="D18" s="39">
        <v>3</v>
      </c>
      <c r="E18" s="68">
        <v>30.125820000000001</v>
      </c>
      <c r="F18" s="68">
        <v>1.2231883826029799</v>
      </c>
    </row>
    <row r="19" spans="1:6" x14ac:dyDescent="0.2">
      <c r="A19" s="38" t="s">
        <v>44</v>
      </c>
      <c r="B19" s="39"/>
      <c r="C19" s="39"/>
      <c r="D19" s="39"/>
      <c r="E19" s="69">
        <f>SUM(E8:E18)</f>
        <v>2086.3010200000003</v>
      </c>
      <c r="F19" s="69">
        <f>SUM(F8:F18)</f>
        <v>84.709367920167722</v>
      </c>
    </row>
    <row r="20" spans="1:6" x14ac:dyDescent="0.2">
      <c r="A20" s="39"/>
      <c r="B20" s="39"/>
      <c r="C20" s="39"/>
      <c r="D20" s="39"/>
      <c r="E20" s="68"/>
      <c r="F20" s="68"/>
    </row>
    <row r="21" spans="1:6" x14ac:dyDescent="0.2">
      <c r="A21" s="38" t="s">
        <v>815</v>
      </c>
      <c r="B21" s="39"/>
      <c r="C21" s="39"/>
      <c r="D21" s="39"/>
      <c r="E21" s="68"/>
      <c r="F21" s="68"/>
    </row>
    <row r="22" spans="1:6" x14ac:dyDescent="0.2">
      <c r="A22" s="39" t="s">
        <v>1035</v>
      </c>
      <c r="B22" s="39" t="str">
        <f>IFERROR(VLOOKUP(A22,[1]Bonds!$B$1:$K$2669,10,0),VLOOKUP(A22,[1]CPCD!$B$1:$H$1476,7,0))</f>
        <v>7.90% Tata Sons Pvt Ltd (06-Mar-2020) **</v>
      </c>
      <c r="C22" s="39" t="s">
        <v>361</v>
      </c>
      <c r="D22" s="39">
        <v>22</v>
      </c>
      <c r="E22" s="68">
        <v>221.04983999999999</v>
      </c>
      <c r="F22" s="68">
        <v>8.9752111731480699</v>
      </c>
    </row>
    <row r="23" spans="1:6" x14ac:dyDescent="0.2">
      <c r="A23" s="38" t="s">
        <v>44</v>
      </c>
      <c r="B23" s="39"/>
      <c r="C23" s="39"/>
      <c r="D23" s="39"/>
      <c r="E23" s="69">
        <f>SUM(E22:E22)</f>
        <v>221.04983999999999</v>
      </c>
      <c r="F23" s="69">
        <f>SUM(F22:F22)</f>
        <v>8.9752111731480699</v>
      </c>
    </row>
    <row r="24" spans="1:6" x14ac:dyDescent="0.2">
      <c r="A24" s="39"/>
      <c r="B24" s="39"/>
      <c r="C24" s="39"/>
      <c r="D24" s="39"/>
      <c r="E24" s="68"/>
      <c r="F24" s="68"/>
    </row>
    <row r="25" spans="1:6" x14ac:dyDescent="0.2">
      <c r="A25" s="38" t="s">
        <v>870</v>
      </c>
      <c r="B25" s="39"/>
      <c r="C25" s="39"/>
      <c r="D25" s="39"/>
      <c r="E25" s="68"/>
      <c r="F25" s="68"/>
    </row>
    <row r="26" spans="1:6" x14ac:dyDescent="0.2">
      <c r="A26" s="39" t="s">
        <v>1062</v>
      </c>
      <c r="B26" s="39" t="str">
        <f>IFERROR(VLOOKUP(A26,[1]Bonds!$B$1:$K$2669,10,0),VLOOKUP(A26,[1]CPCD!$B$1:$H$1476,7,0))</f>
        <v>Power Finance Corp Ltd (06-Mar-2020) **</v>
      </c>
      <c r="C26" s="39" t="s">
        <v>872</v>
      </c>
      <c r="D26" s="39">
        <v>5</v>
      </c>
      <c r="E26" s="68">
        <v>24.233000000000001</v>
      </c>
      <c r="F26" s="68">
        <v>0.98392422432378601</v>
      </c>
    </row>
    <row r="27" spans="1:6" x14ac:dyDescent="0.2">
      <c r="A27" s="39" t="s">
        <v>1076</v>
      </c>
      <c r="B27" s="39" t="str">
        <f>IFERROR(VLOOKUP(A27,[1]Bonds!$B$1:$K$2669,10,0),VLOOKUP(A27,[1]CPCD!$B$1:$H$1476,7,0))</f>
        <v>Lic Housing Finance Ltd (24-Mar-2020) **</v>
      </c>
      <c r="C27" s="39" t="s">
        <v>869</v>
      </c>
      <c r="D27" s="39">
        <v>5</v>
      </c>
      <c r="E27" s="68">
        <v>24.157425</v>
      </c>
      <c r="F27" s="68">
        <v>0.98085567840486299</v>
      </c>
    </row>
    <row r="28" spans="1:6" x14ac:dyDescent="0.2">
      <c r="A28" s="39" t="s">
        <v>883</v>
      </c>
      <c r="B28" s="39" t="str">
        <f>IFERROR(VLOOKUP(A28,[1]Bonds!$B$1:$K$2669,10,0),VLOOKUP(A28,[1]CPCD!$B$1:$H$1476,7,0))</f>
        <v>Housing Development Finance Corp Ltd (02-Mar-2020) **</v>
      </c>
      <c r="C28" s="39" t="s">
        <v>867</v>
      </c>
      <c r="D28" s="39">
        <v>2</v>
      </c>
      <c r="E28" s="68">
        <v>9.69787</v>
      </c>
      <c r="F28" s="68">
        <v>0.39375930414488203</v>
      </c>
    </row>
    <row r="29" spans="1:6" x14ac:dyDescent="0.2">
      <c r="A29" s="38" t="s">
        <v>44</v>
      </c>
      <c r="B29" s="39"/>
      <c r="C29" s="39"/>
      <c r="D29" s="39"/>
      <c r="E29" s="69">
        <f>SUM(E26:E28)</f>
        <v>58.088295000000002</v>
      </c>
      <c r="F29" s="69">
        <f>SUM(F26:F28)</f>
        <v>2.3585392068735311</v>
      </c>
    </row>
    <row r="30" spans="1:6" x14ac:dyDescent="0.2">
      <c r="A30" s="39"/>
      <c r="B30" s="39"/>
      <c r="C30" s="39"/>
      <c r="D30" s="39"/>
      <c r="E30" s="68"/>
      <c r="F30" s="68"/>
    </row>
    <row r="31" spans="1:6" x14ac:dyDescent="0.2">
      <c r="A31" s="38" t="s">
        <v>44</v>
      </c>
      <c r="B31" s="39"/>
      <c r="C31" s="39"/>
      <c r="D31" s="39"/>
      <c r="E31" s="69">
        <f>E19+E23+E29</f>
        <v>2365.4391550000005</v>
      </c>
      <c r="F31" s="69">
        <f>F19+F23+F29</f>
        <v>96.04311830018932</v>
      </c>
    </row>
    <row r="32" spans="1:6" x14ac:dyDescent="0.2">
      <c r="A32" s="39"/>
      <c r="B32" s="39"/>
      <c r="C32" s="39"/>
      <c r="D32" s="39"/>
      <c r="E32" s="68"/>
      <c r="F32" s="68"/>
    </row>
    <row r="33" spans="1:6" x14ac:dyDescent="0.2">
      <c r="A33" s="38" t="s">
        <v>76</v>
      </c>
      <c r="B33" s="39"/>
      <c r="C33" s="39"/>
      <c r="D33" s="39"/>
      <c r="E33" s="69">
        <v>97.452914000000007</v>
      </c>
      <c r="F33" s="69">
        <v>3.96</v>
      </c>
    </row>
    <row r="34" spans="1:6" x14ac:dyDescent="0.2">
      <c r="A34" s="39"/>
      <c r="B34" s="39"/>
      <c r="C34" s="39"/>
      <c r="D34" s="39"/>
      <c r="E34" s="68"/>
      <c r="F34" s="68"/>
    </row>
    <row r="35" spans="1:6" x14ac:dyDescent="0.2">
      <c r="A35" s="71" t="s">
        <v>77</v>
      </c>
      <c r="B35" s="66"/>
      <c r="C35" s="66"/>
      <c r="D35" s="66"/>
      <c r="E35" s="72">
        <f>E31+E33</f>
        <v>2462.8920690000004</v>
      </c>
      <c r="F35" s="72">
        <f>F31+F33</f>
        <v>100.00311830018931</v>
      </c>
    </row>
    <row r="36" spans="1:6" x14ac:dyDescent="0.2">
      <c r="A36" s="52" t="s">
        <v>619</v>
      </c>
    </row>
    <row r="37" spans="1:6" x14ac:dyDescent="0.2">
      <c r="A37" s="4"/>
    </row>
    <row r="38" spans="1:6" x14ac:dyDescent="0.2">
      <c r="A38" s="4" t="s">
        <v>78</v>
      </c>
    </row>
    <row r="39" spans="1:6" x14ac:dyDescent="0.2">
      <c r="A39" s="4" t="s">
        <v>650</v>
      </c>
    </row>
    <row r="40" spans="1:6" x14ac:dyDescent="0.2">
      <c r="A40" s="4" t="s">
        <v>80</v>
      </c>
    </row>
    <row r="41" spans="1:6" x14ac:dyDescent="0.2">
      <c r="A41" s="2" t="s">
        <v>638</v>
      </c>
      <c r="D41" s="10">
        <v>11.235200000000001</v>
      </c>
    </row>
    <row r="42" spans="1:6" x14ac:dyDescent="0.2">
      <c r="A42" s="2" t="s">
        <v>639</v>
      </c>
      <c r="D42" s="10">
        <v>10.9156</v>
      </c>
    </row>
    <row r="43" spans="1:6" x14ac:dyDescent="0.2">
      <c r="A43" s="2" t="s">
        <v>652</v>
      </c>
      <c r="D43" s="10">
        <v>10.1015</v>
      </c>
    </row>
    <row r="44" spans="1:6" x14ac:dyDescent="0.2">
      <c r="A44" s="2" t="s">
        <v>640</v>
      </c>
      <c r="D44" s="10">
        <v>11.284599999999999</v>
      </c>
    </row>
    <row r="45" spans="1:6" x14ac:dyDescent="0.2">
      <c r="A45" s="2" t="s">
        <v>641</v>
      </c>
      <c r="D45" s="10">
        <v>10.965</v>
      </c>
    </row>
    <row r="46" spans="1:6" x14ac:dyDescent="0.2">
      <c r="A46" s="2" t="s">
        <v>654</v>
      </c>
      <c r="D46" s="10">
        <v>10.1286</v>
      </c>
    </row>
    <row r="48" spans="1:6" x14ac:dyDescent="0.2">
      <c r="A48" s="4" t="s">
        <v>81</v>
      </c>
    </row>
    <row r="49" spans="1:5" x14ac:dyDescent="0.2">
      <c r="A49" s="2" t="s">
        <v>638</v>
      </c>
      <c r="D49" s="10">
        <v>11.792199999999999</v>
      </c>
    </row>
    <row r="50" spans="1:5" x14ac:dyDescent="0.2">
      <c r="A50" s="2" t="s">
        <v>639</v>
      </c>
      <c r="D50" s="10">
        <v>10.5343</v>
      </c>
    </row>
    <row r="51" spans="1:5" x14ac:dyDescent="0.2">
      <c r="A51" s="2" t="s">
        <v>652</v>
      </c>
      <c r="D51" s="10">
        <v>10.116199999999999</v>
      </c>
    </row>
    <row r="52" spans="1:5" x14ac:dyDescent="0.2">
      <c r="A52" s="2" t="s">
        <v>640</v>
      </c>
      <c r="D52" s="10">
        <v>11.843999999999999</v>
      </c>
    </row>
    <row r="53" spans="1:5" x14ac:dyDescent="0.2">
      <c r="A53" s="2" t="s">
        <v>641</v>
      </c>
      <c r="D53" s="10">
        <v>10.5861</v>
      </c>
    </row>
    <row r="54" spans="1:5" x14ac:dyDescent="0.2">
      <c r="A54" s="2" t="s">
        <v>654</v>
      </c>
      <c r="D54" s="10">
        <v>10.144600000000001</v>
      </c>
    </row>
    <row r="56" spans="1:5" x14ac:dyDescent="0.2">
      <c r="A56" s="4" t="s">
        <v>82</v>
      </c>
      <c r="D56" s="94" t="s">
        <v>299</v>
      </c>
    </row>
    <row r="57" spans="1:5" x14ac:dyDescent="0.2">
      <c r="A57" s="45" t="s">
        <v>642</v>
      </c>
      <c r="B57" s="46"/>
      <c r="C57" s="100" t="s">
        <v>643</v>
      </c>
      <c r="D57" s="101"/>
    </row>
    <row r="58" spans="1:5" x14ac:dyDescent="0.2">
      <c r="A58" s="102"/>
      <c r="B58" s="103"/>
      <c r="C58" s="47" t="s">
        <v>644</v>
      </c>
      <c r="D58" s="47" t="s">
        <v>645</v>
      </c>
    </row>
    <row r="59" spans="1:5" x14ac:dyDescent="0.2">
      <c r="A59" s="62" t="s">
        <v>639</v>
      </c>
      <c r="B59" s="63"/>
      <c r="C59" s="89">
        <v>0.64829042999999997</v>
      </c>
      <c r="D59" s="89">
        <v>0.60032016900000007</v>
      </c>
    </row>
    <row r="60" spans="1:5" x14ac:dyDescent="0.2">
      <c r="A60" s="48" t="s">
        <v>652</v>
      </c>
      <c r="B60" s="49"/>
      <c r="C60" s="89">
        <v>0.34575489599999998</v>
      </c>
      <c r="D60" s="89">
        <v>0.32017075690000002</v>
      </c>
    </row>
    <row r="61" spans="1:5" x14ac:dyDescent="0.2">
      <c r="A61" s="48" t="s">
        <v>641</v>
      </c>
      <c r="B61" s="49"/>
      <c r="C61" s="89">
        <v>0.64829042999999997</v>
      </c>
      <c r="D61" s="89">
        <v>0.60032016900000007</v>
      </c>
    </row>
    <row r="62" spans="1:5" x14ac:dyDescent="0.2">
      <c r="A62" s="48" t="s">
        <v>1398</v>
      </c>
      <c r="B62" s="49"/>
      <c r="C62" s="89">
        <v>0.34575489599999998</v>
      </c>
      <c r="D62" s="89">
        <v>0.32017075690000002</v>
      </c>
    </row>
    <row r="64" spans="1:5" x14ac:dyDescent="0.2">
      <c r="A64" s="4" t="s">
        <v>647</v>
      </c>
      <c r="D64" s="53">
        <v>0.51862183061378864</v>
      </c>
      <c r="E64" s="73" t="s">
        <v>1295</v>
      </c>
    </row>
  </sheetData>
  <mergeCells count="3">
    <mergeCell ref="A1:F1"/>
    <mergeCell ref="C57:D57"/>
    <mergeCell ref="A58:B58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EEDBF-6ED0-45E3-A28A-7CCAC66A4DC8}">
  <dimension ref="A1:F55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56" style="2" bestFit="1" customWidth="1"/>
    <col min="3" max="3" width="11.7109375" style="2" bestFit="1" customWidth="1"/>
    <col min="4" max="4" width="7.42578125" style="2" bestFit="1" customWidth="1"/>
    <col min="5" max="5" width="23" style="73" bestFit="1" customWidth="1"/>
    <col min="6" max="6" width="13.5703125" style="73" bestFit="1" customWidth="1"/>
    <col min="7" max="16384" width="9.140625" style="2"/>
  </cols>
  <sheetData>
    <row r="1" spans="1:6" ht="15" customHeight="1" x14ac:dyDescent="0.2">
      <c r="A1" s="108" t="s">
        <v>1399</v>
      </c>
      <c r="B1" s="108"/>
      <c r="C1" s="108"/>
      <c r="D1" s="108"/>
      <c r="E1" s="108"/>
      <c r="F1" s="108"/>
    </row>
    <row r="3" spans="1:6" s="4" customFormat="1" x14ac:dyDescent="0.2">
      <c r="A3" s="64" t="s">
        <v>1</v>
      </c>
      <c r="B3" s="64" t="s">
        <v>2</v>
      </c>
      <c r="C3" s="64" t="s">
        <v>716</v>
      </c>
      <c r="D3" s="64" t="s">
        <v>4</v>
      </c>
      <c r="E3" s="65" t="s">
        <v>5</v>
      </c>
      <c r="F3" s="65" t="s">
        <v>6</v>
      </c>
    </row>
    <row r="4" spans="1:6" x14ac:dyDescent="0.2">
      <c r="A4" s="66"/>
      <c r="B4" s="66"/>
      <c r="C4" s="66"/>
      <c r="D4" s="66"/>
      <c r="E4" s="67"/>
      <c r="F4" s="67"/>
    </row>
    <row r="5" spans="1:6" x14ac:dyDescent="0.2">
      <c r="A5" s="38" t="s">
        <v>359</v>
      </c>
      <c r="B5" s="39"/>
      <c r="C5" s="39"/>
      <c r="D5" s="39"/>
      <c r="E5" s="68"/>
      <c r="F5" s="68"/>
    </row>
    <row r="6" spans="1:6" x14ac:dyDescent="0.2">
      <c r="A6" s="38" t="s">
        <v>8</v>
      </c>
      <c r="B6" s="39"/>
      <c r="C6" s="39"/>
      <c r="D6" s="39"/>
      <c r="E6" s="68"/>
      <c r="F6" s="68"/>
    </row>
    <row r="7" spans="1:6" x14ac:dyDescent="0.2">
      <c r="A7" s="38"/>
      <c r="B7" s="39"/>
      <c r="C7" s="39"/>
      <c r="D7" s="39"/>
      <c r="E7" s="68"/>
      <c r="F7" s="68"/>
    </row>
    <row r="8" spans="1:6" x14ac:dyDescent="0.2">
      <c r="A8" s="39" t="s">
        <v>972</v>
      </c>
      <c r="B8" s="39" t="str">
        <f>IFERROR(VLOOKUP(A8,[1]Bonds!$B$1:$K$2669,10,0),VLOOKUP(A8,[1]CPCD!$B$1:$H$1476,7,0))</f>
        <v>8.87% Rec Ltd (08-Mar-2020) **</v>
      </c>
      <c r="C8" s="39" t="s">
        <v>973</v>
      </c>
      <c r="D8" s="39">
        <v>38</v>
      </c>
      <c r="E8" s="68">
        <v>384.49653999999998</v>
      </c>
      <c r="F8" s="68">
        <v>10.458877786331801</v>
      </c>
    </row>
    <row r="9" spans="1:6" x14ac:dyDescent="0.2">
      <c r="A9" s="39" t="s">
        <v>971</v>
      </c>
      <c r="B9" s="39" t="str">
        <f>IFERROR(VLOOKUP(A9,[1]Bonds!$B$1:$K$2669,10,0),VLOOKUP(A9,[1]CPCD!$B$1:$H$1476,7,0))</f>
        <v>8.15% National Bank For Agriculture And Rural Development (04-Mar-2020) **</v>
      </c>
      <c r="C9" s="39" t="s">
        <v>361</v>
      </c>
      <c r="D9" s="39">
        <v>37</v>
      </c>
      <c r="E9" s="68">
        <v>372.98737999999997</v>
      </c>
      <c r="F9" s="68">
        <v>10.1458115156618</v>
      </c>
    </row>
    <row r="10" spans="1:6" x14ac:dyDescent="0.2">
      <c r="A10" s="39" t="s">
        <v>1229</v>
      </c>
      <c r="B10" s="39" t="str">
        <f>IFERROR(VLOOKUP(A10,[1]Bonds!$B$1:$K$2669,10,0),VLOOKUP(A10,[1]CPCD!$B$1:$H$1476,7,0))</f>
        <v>7.8526% Kotak Mahindra Prime Ltd (07-Apr-2020) **</v>
      </c>
      <c r="C10" s="39" t="s">
        <v>361</v>
      </c>
      <c r="D10" s="39">
        <v>34</v>
      </c>
      <c r="E10" s="68">
        <v>341.54768000000001</v>
      </c>
      <c r="F10" s="68">
        <v>9.2906049124009797</v>
      </c>
    </row>
    <row r="11" spans="1:6" x14ac:dyDescent="0.2">
      <c r="A11" s="39" t="s">
        <v>813</v>
      </c>
      <c r="B11" s="39" t="str">
        <f>IFERROR(VLOOKUP(A11,[1]Bonds!$B$1:$K$2669,10,0),VLOOKUP(A11,[1]CPCD!$B$1:$H$1476,7,0))</f>
        <v>8.15% Power Grid Corp Of India Ltd (09-Mar-2020) **</v>
      </c>
      <c r="C11" s="39" t="s">
        <v>361</v>
      </c>
      <c r="D11" s="39">
        <v>32</v>
      </c>
      <c r="E11" s="68">
        <v>322.98784000000001</v>
      </c>
      <c r="F11" s="68">
        <v>8.7857496585828994</v>
      </c>
    </row>
    <row r="12" spans="1:6" x14ac:dyDescent="0.2">
      <c r="A12" s="39" t="s">
        <v>1393</v>
      </c>
      <c r="B12" s="39" t="str">
        <f>IFERROR(VLOOKUP(A12,[1]Bonds!$B$1:$K$2669,10,0),VLOOKUP(A12,[1]CPCD!$B$1:$H$1476,7,0))</f>
        <v>7.80% LIC Housing Finance Ltd (19-Mar-2020) **</v>
      </c>
      <c r="C12" s="39" t="s">
        <v>361</v>
      </c>
      <c r="D12" s="39">
        <v>32</v>
      </c>
      <c r="E12" s="68">
        <v>322.11200000000002</v>
      </c>
      <c r="F12" s="68">
        <v>8.7619255078626299</v>
      </c>
    </row>
    <row r="13" spans="1:6" x14ac:dyDescent="0.2">
      <c r="A13" s="39" t="s">
        <v>1243</v>
      </c>
      <c r="B13" s="39" t="str">
        <f>IFERROR(VLOOKUP(A13,[1]Bonds!$B$1:$K$2669,10,0),VLOOKUP(A13,[1]CPCD!$B$1:$H$1476,7,0))</f>
        <v>7.8535% Bajaj Finance Ltd (07-Apr-2020) **</v>
      </c>
      <c r="C13" s="39" t="s">
        <v>361</v>
      </c>
      <c r="D13" s="39">
        <v>32</v>
      </c>
      <c r="E13" s="68">
        <v>321.45119999999997</v>
      </c>
      <c r="F13" s="68">
        <v>8.7439507649918404</v>
      </c>
    </row>
    <row r="14" spans="1:6" x14ac:dyDescent="0.2">
      <c r="A14" s="39" t="s">
        <v>1397</v>
      </c>
      <c r="B14" s="39" t="str">
        <f>IFERROR(VLOOKUP(A14,[1]Bonds!$B$1:$K$2669,10,0),VLOOKUP(A14,[1]CPCD!$B$1:$H$1476,7,0))</f>
        <v>6.73% Indian Railway Finance Corp Ltd (23-Mar-2020) **</v>
      </c>
      <c r="C14" s="39" t="s">
        <v>361</v>
      </c>
      <c r="D14" s="39">
        <v>31</v>
      </c>
      <c r="E14" s="68">
        <v>311.09181999999998</v>
      </c>
      <c r="F14" s="68">
        <v>8.4621602204991095</v>
      </c>
    </row>
    <row r="15" spans="1:6" x14ac:dyDescent="0.2">
      <c r="A15" s="39" t="s">
        <v>1395</v>
      </c>
      <c r="B15" s="39" t="str">
        <f>IFERROR(VLOOKUP(A15,[1]Bonds!$B$1:$K$2669,10,0),VLOOKUP(A15,[1]CPCD!$B$1:$H$1476,7,0))</f>
        <v>8.78% NTPC Ltd (09-Mar-2020) **</v>
      </c>
      <c r="C15" s="39" t="s">
        <v>361</v>
      </c>
      <c r="D15" s="39">
        <v>30</v>
      </c>
      <c r="E15" s="68">
        <v>303.95850000000002</v>
      </c>
      <c r="F15" s="68">
        <v>8.2681233064327397</v>
      </c>
    </row>
    <row r="16" spans="1:6" x14ac:dyDescent="0.2">
      <c r="A16" s="39" t="s">
        <v>1396</v>
      </c>
      <c r="B16" s="39" t="str">
        <f>IFERROR(VLOOKUP(A16,[1]Bonds!$B$1:$K$2669,10,0),VLOOKUP(A16,[1]CPCD!$B$1:$H$1476,7,0))</f>
        <v>8.36% Power Finance Corp Ltd (26-Feb-2020) **</v>
      </c>
      <c r="C16" s="39" t="s">
        <v>361</v>
      </c>
      <c r="D16" s="39">
        <v>30</v>
      </c>
      <c r="E16" s="68">
        <v>302.61689999999999</v>
      </c>
      <c r="F16" s="68">
        <v>8.2316297909432592</v>
      </c>
    </row>
    <row r="17" spans="1:6" x14ac:dyDescent="0.2">
      <c r="A17" s="39" t="s">
        <v>979</v>
      </c>
      <c r="B17" s="39" t="str">
        <f>IFERROR(VLOOKUP(A17,[1]Bonds!$B$1:$K$2669,10,0),VLOOKUP(A17,[1]CPCD!$B$1:$H$1476,7,0))</f>
        <v>7.78% Housing Development Finance Corp Ltd (24-Mar-2020) **</v>
      </c>
      <c r="C17" s="39" t="s">
        <v>361</v>
      </c>
      <c r="D17" s="39">
        <v>2</v>
      </c>
      <c r="E17" s="68">
        <v>201.31379999999999</v>
      </c>
      <c r="F17" s="68">
        <v>5.4760347931922899</v>
      </c>
    </row>
    <row r="18" spans="1:6" x14ac:dyDescent="0.2">
      <c r="A18" s="39" t="s">
        <v>805</v>
      </c>
      <c r="B18" s="39" t="str">
        <f>IFERROR(VLOOKUP(A18,[1]Bonds!$B$1:$K$2669,10,0),VLOOKUP(A18,[1]CPCD!$B$1:$H$1476,7,0))</f>
        <v>7.09% Export-Import Bank Of India (02-Mar-2020) **</v>
      </c>
      <c r="C18" s="39" t="s">
        <v>361</v>
      </c>
      <c r="D18" s="39">
        <v>6</v>
      </c>
      <c r="E18" s="68">
        <v>60.251640000000002</v>
      </c>
      <c r="F18" s="68">
        <v>1.63893422600386</v>
      </c>
    </row>
    <row r="19" spans="1:6" x14ac:dyDescent="0.2">
      <c r="A19" s="38" t="s">
        <v>44</v>
      </c>
      <c r="B19" s="39"/>
      <c r="C19" s="39"/>
      <c r="D19" s="39"/>
      <c r="E19" s="69">
        <f>SUM(E8:E18)</f>
        <v>3244.8152999999998</v>
      </c>
      <c r="F19" s="69">
        <f>SUM(F8:F18)</f>
        <v>88.263802482903202</v>
      </c>
    </row>
    <row r="20" spans="1:6" x14ac:dyDescent="0.2">
      <c r="A20" s="39"/>
      <c r="B20" s="39"/>
      <c r="C20" s="39"/>
      <c r="D20" s="39"/>
      <c r="E20" s="68"/>
      <c r="F20" s="68"/>
    </row>
    <row r="21" spans="1:6" x14ac:dyDescent="0.2">
      <c r="A21" s="38" t="s">
        <v>815</v>
      </c>
      <c r="B21" s="39"/>
      <c r="C21" s="39"/>
      <c r="D21" s="39"/>
      <c r="E21" s="68"/>
      <c r="F21" s="68"/>
    </row>
    <row r="22" spans="1:6" x14ac:dyDescent="0.2">
      <c r="A22" s="39" t="s">
        <v>1035</v>
      </c>
      <c r="B22" s="39" t="str">
        <f>IFERROR(VLOOKUP(A22,[1]Bonds!$B$1:$K$2669,10,0),VLOOKUP(A22,[1]CPCD!$B$1:$H$1476,7,0))</f>
        <v>7.90% Tata Sons Pvt Ltd (06-Mar-2020) **</v>
      </c>
      <c r="C22" s="39" t="s">
        <v>361</v>
      </c>
      <c r="D22" s="39">
        <v>22</v>
      </c>
      <c r="E22" s="68">
        <v>221.04983999999999</v>
      </c>
      <c r="F22" s="68">
        <v>6.0128844364846801</v>
      </c>
    </row>
    <row r="23" spans="1:6" x14ac:dyDescent="0.2">
      <c r="A23" s="38" t="s">
        <v>44</v>
      </c>
      <c r="B23" s="39"/>
      <c r="C23" s="39"/>
      <c r="D23" s="39"/>
      <c r="E23" s="69">
        <f>SUM(E22:E22)</f>
        <v>221.04983999999999</v>
      </c>
      <c r="F23" s="69">
        <f>SUM(F22:F22)</f>
        <v>6.0128844364846801</v>
      </c>
    </row>
    <row r="24" spans="1:6" x14ac:dyDescent="0.2">
      <c r="A24" s="39"/>
      <c r="B24" s="39"/>
      <c r="C24" s="39"/>
      <c r="D24" s="39"/>
      <c r="E24" s="68"/>
      <c r="F24" s="68"/>
    </row>
    <row r="25" spans="1:6" x14ac:dyDescent="0.2">
      <c r="A25" s="38" t="s">
        <v>870</v>
      </c>
      <c r="B25" s="39"/>
      <c r="C25" s="39"/>
      <c r="D25" s="39"/>
      <c r="E25" s="68"/>
      <c r="F25" s="68"/>
    </row>
    <row r="26" spans="1:6" x14ac:dyDescent="0.2">
      <c r="A26" s="39" t="s">
        <v>1076</v>
      </c>
      <c r="B26" s="39" t="str">
        <f>IFERROR(VLOOKUP(A26,[1]Bonds!$B$1:$K$2669,10,0),VLOOKUP(A26,[1]CPCD!$B$1:$H$1476,7,0))</f>
        <v>Lic Housing Finance Ltd (24-Mar-2020) **</v>
      </c>
      <c r="C26" s="39" t="s">
        <v>869</v>
      </c>
      <c r="D26" s="39">
        <v>8</v>
      </c>
      <c r="E26" s="68">
        <v>38.651879999999998</v>
      </c>
      <c r="F26" s="68">
        <v>1.05138862662318</v>
      </c>
    </row>
    <row r="27" spans="1:6" x14ac:dyDescent="0.2">
      <c r="A27" s="39" t="s">
        <v>1062</v>
      </c>
      <c r="B27" s="39" t="str">
        <f>IFERROR(VLOOKUP(A27,[1]Bonds!$B$1:$K$2669,10,0),VLOOKUP(A27,[1]CPCD!$B$1:$H$1476,7,0))</f>
        <v>Power Finance Corp Ltd (06-Mar-2020) **</v>
      </c>
      <c r="C27" s="39" t="s">
        <v>872</v>
      </c>
      <c r="D27" s="39">
        <v>5</v>
      </c>
      <c r="E27" s="68">
        <v>24.233000000000001</v>
      </c>
      <c r="F27" s="68">
        <v>0.65917364404938406</v>
      </c>
    </row>
    <row r="28" spans="1:6" x14ac:dyDescent="0.2">
      <c r="A28" s="39" t="s">
        <v>883</v>
      </c>
      <c r="B28" s="39" t="str">
        <f>IFERROR(VLOOKUP(A28,[1]Bonds!$B$1:$K$2669,10,0),VLOOKUP(A28,[1]CPCD!$B$1:$H$1476,7,0))</f>
        <v>Housing Development Finance Corp Ltd (02-Mar-2020) **</v>
      </c>
      <c r="C28" s="39" t="s">
        <v>867</v>
      </c>
      <c r="D28" s="39">
        <v>3</v>
      </c>
      <c r="E28" s="68">
        <v>14.546805000000001</v>
      </c>
      <c r="F28" s="68">
        <v>0.395694732848834</v>
      </c>
    </row>
    <row r="29" spans="1:6" x14ac:dyDescent="0.2">
      <c r="A29" s="38" t="s">
        <v>44</v>
      </c>
      <c r="B29" s="39"/>
      <c r="C29" s="39"/>
      <c r="D29" s="39"/>
      <c r="E29" s="69">
        <f>SUM(E26:E28)</f>
        <v>77.431685000000002</v>
      </c>
      <c r="F29" s="69">
        <f>SUM(F26:F28)</f>
        <v>2.1062570035213981</v>
      </c>
    </row>
    <row r="30" spans="1:6" x14ac:dyDescent="0.2">
      <c r="A30" s="39"/>
      <c r="B30" s="39"/>
      <c r="C30" s="39"/>
      <c r="D30" s="39"/>
      <c r="E30" s="68"/>
      <c r="F30" s="68"/>
    </row>
    <row r="31" spans="1:6" x14ac:dyDescent="0.2">
      <c r="A31" s="38" t="s">
        <v>44</v>
      </c>
      <c r="B31" s="39"/>
      <c r="C31" s="39"/>
      <c r="D31" s="39"/>
      <c r="E31" s="69">
        <f>E19+E23+E29</f>
        <v>3543.2968249999999</v>
      </c>
      <c r="F31" s="69">
        <f>F19+F23+F29</f>
        <v>96.382943922909277</v>
      </c>
    </row>
    <row r="32" spans="1:6" x14ac:dyDescent="0.2">
      <c r="A32" s="39"/>
      <c r="B32" s="39"/>
      <c r="C32" s="39"/>
      <c r="D32" s="39"/>
      <c r="E32" s="68"/>
      <c r="F32" s="68"/>
    </row>
    <row r="33" spans="1:6" x14ac:dyDescent="0.2">
      <c r="A33" s="38" t="s">
        <v>76</v>
      </c>
      <c r="B33" s="39"/>
      <c r="C33" s="39"/>
      <c r="D33" s="39"/>
      <c r="E33" s="69">
        <v>132.96955639999999</v>
      </c>
      <c r="F33" s="69">
        <v>3.62</v>
      </c>
    </row>
    <row r="34" spans="1:6" x14ac:dyDescent="0.2">
      <c r="A34" s="39"/>
      <c r="B34" s="39"/>
      <c r="C34" s="39"/>
      <c r="D34" s="39"/>
      <c r="E34" s="68"/>
      <c r="F34" s="68"/>
    </row>
    <row r="35" spans="1:6" x14ac:dyDescent="0.2">
      <c r="A35" s="71" t="s">
        <v>77</v>
      </c>
      <c r="B35" s="66"/>
      <c r="C35" s="66"/>
      <c r="D35" s="66"/>
      <c r="E35" s="72">
        <f>E31+E33</f>
        <v>3676.2663813999998</v>
      </c>
      <c r="F35" s="72">
        <f>F31+F33</f>
        <v>100.00294392290928</v>
      </c>
    </row>
    <row r="36" spans="1:6" x14ac:dyDescent="0.2">
      <c r="A36" s="4" t="s">
        <v>619</v>
      </c>
    </row>
    <row r="38" spans="1:6" x14ac:dyDescent="0.2">
      <c r="A38" s="4" t="s">
        <v>78</v>
      </c>
    </row>
    <row r="39" spans="1:6" x14ac:dyDescent="0.2">
      <c r="A39" s="4" t="s">
        <v>650</v>
      </c>
    </row>
    <row r="40" spans="1:6" x14ac:dyDescent="0.2">
      <c r="A40" s="4" t="s">
        <v>80</v>
      </c>
    </row>
    <row r="41" spans="1:6" x14ac:dyDescent="0.2">
      <c r="A41" s="2" t="s">
        <v>638</v>
      </c>
      <c r="D41" s="10">
        <v>11.3226</v>
      </c>
    </row>
    <row r="42" spans="1:6" x14ac:dyDescent="0.2">
      <c r="A42" s="2" t="s">
        <v>1383</v>
      </c>
      <c r="D42" s="10">
        <v>10.7887</v>
      </c>
    </row>
    <row r="43" spans="1:6" x14ac:dyDescent="0.2">
      <c r="A43" s="2" t="s">
        <v>640</v>
      </c>
      <c r="D43" s="10">
        <v>11.373699999999999</v>
      </c>
    </row>
    <row r="45" spans="1:6" x14ac:dyDescent="0.2">
      <c r="A45" s="4" t="s">
        <v>81</v>
      </c>
    </row>
    <row r="46" spans="1:6" x14ac:dyDescent="0.2">
      <c r="A46" s="2" t="s">
        <v>638</v>
      </c>
      <c r="D46" s="10">
        <v>11.8848</v>
      </c>
    </row>
    <row r="47" spans="1:6" x14ac:dyDescent="0.2">
      <c r="A47" s="2" t="s">
        <v>1383</v>
      </c>
      <c r="D47" s="10">
        <v>10.305400000000001</v>
      </c>
    </row>
    <row r="48" spans="1:6" x14ac:dyDescent="0.2">
      <c r="A48" s="2" t="s">
        <v>640</v>
      </c>
      <c r="D48" s="10">
        <v>11.9384</v>
      </c>
    </row>
    <row r="50" spans="1:5" x14ac:dyDescent="0.2">
      <c r="A50" s="4" t="s">
        <v>82</v>
      </c>
      <c r="D50" s="44" t="s">
        <v>299</v>
      </c>
    </row>
    <row r="51" spans="1:5" x14ac:dyDescent="0.2">
      <c r="A51" s="45" t="s">
        <v>642</v>
      </c>
      <c r="B51" s="46"/>
      <c r="C51" s="100" t="s">
        <v>643</v>
      </c>
      <c r="D51" s="101"/>
    </row>
    <row r="52" spans="1:5" x14ac:dyDescent="0.2">
      <c r="A52" s="86"/>
      <c r="B52" s="87"/>
      <c r="C52" s="47" t="s">
        <v>644</v>
      </c>
      <c r="D52" s="47" t="s">
        <v>645</v>
      </c>
    </row>
    <row r="53" spans="1:5" x14ac:dyDescent="0.2">
      <c r="A53" s="83" t="s">
        <v>1383</v>
      </c>
      <c r="B53" s="63"/>
      <c r="C53" s="89">
        <v>0.72032269999999998</v>
      </c>
      <c r="D53" s="89">
        <v>0.66702241000000007</v>
      </c>
    </row>
    <row r="55" spans="1:5" x14ac:dyDescent="0.2">
      <c r="A55" s="4" t="s">
        <v>647</v>
      </c>
      <c r="D55" s="53">
        <v>0.52290488131836321</v>
      </c>
      <c r="E55" s="73" t="s">
        <v>648</v>
      </c>
    </row>
  </sheetData>
  <mergeCells count="2">
    <mergeCell ref="A1:F1"/>
    <mergeCell ref="C51:D51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BFD86-3BB9-4784-8DB5-AA8ADBDA9E41}">
  <dimension ref="A1:G92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83.7109375" style="2" bestFit="1" customWidth="1"/>
    <col min="3" max="3" width="18" style="2" bestFit="1" customWidth="1"/>
    <col min="4" max="4" width="7.42578125" style="2" bestFit="1" customWidth="1"/>
    <col min="5" max="5" width="23" style="73" bestFit="1" customWidth="1"/>
    <col min="6" max="6" width="15.5703125" style="73" bestFit="1" customWidth="1"/>
    <col min="7" max="16384" width="9.140625" style="2"/>
  </cols>
  <sheetData>
    <row r="1" spans="1:6" ht="15" customHeight="1" x14ac:dyDescent="0.2">
      <c r="A1" s="108" t="s">
        <v>1400</v>
      </c>
      <c r="B1" s="108"/>
      <c r="C1" s="108"/>
      <c r="D1" s="108"/>
      <c r="E1" s="108"/>
      <c r="F1" s="108"/>
    </row>
    <row r="3" spans="1:6" s="4" customFormat="1" x14ac:dyDescent="0.2">
      <c r="A3" s="64" t="s">
        <v>1</v>
      </c>
      <c r="B3" s="64" t="s">
        <v>2</v>
      </c>
      <c r="C3" s="64" t="s">
        <v>1401</v>
      </c>
      <c r="D3" s="64" t="s">
        <v>4</v>
      </c>
      <c r="E3" s="65" t="s">
        <v>5</v>
      </c>
      <c r="F3" s="65" t="s">
        <v>6</v>
      </c>
    </row>
    <row r="4" spans="1:6" x14ac:dyDescent="0.2">
      <c r="A4" s="66"/>
      <c r="B4" s="66"/>
      <c r="C4" s="66"/>
      <c r="D4" s="66"/>
      <c r="E4" s="67"/>
      <c r="F4" s="67"/>
    </row>
    <row r="5" spans="1:6" x14ac:dyDescent="0.2">
      <c r="A5" s="38" t="s">
        <v>7</v>
      </c>
      <c r="B5" s="39"/>
      <c r="C5" s="39"/>
      <c r="D5" s="39"/>
      <c r="E5" s="68"/>
      <c r="F5" s="68"/>
    </row>
    <row r="6" spans="1:6" x14ac:dyDescent="0.2">
      <c r="A6" s="38" t="s">
        <v>8</v>
      </c>
      <c r="B6" s="39"/>
      <c r="C6" s="39"/>
      <c r="D6" s="39"/>
      <c r="E6" s="68"/>
      <c r="F6" s="68"/>
    </row>
    <row r="7" spans="1:6" x14ac:dyDescent="0.2">
      <c r="A7" s="39" t="s">
        <v>10</v>
      </c>
      <c r="B7" s="39" t="s">
        <v>11</v>
      </c>
      <c r="C7" s="39" t="s">
        <v>12</v>
      </c>
      <c r="D7" s="39">
        <v>79000</v>
      </c>
      <c r="E7" s="68">
        <v>1760.0805</v>
      </c>
      <c r="F7" s="43">
        <f>IF((E7/$E$73*100)&lt;0.01,"0.00*",E7/$E$73*100)</f>
        <v>4.0380483244317666</v>
      </c>
    </row>
    <row r="8" spans="1:6" x14ac:dyDescent="0.2">
      <c r="A8" s="39" t="s">
        <v>97</v>
      </c>
      <c r="B8" s="39" t="s">
        <v>98</v>
      </c>
      <c r="C8" s="39" t="s">
        <v>12</v>
      </c>
      <c r="D8" s="39">
        <v>206475</v>
      </c>
      <c r="E8" s="68">
        <v>1370.787525</v>
      </c>
      <c r="F8" s="43">
        <f t="shared" ref="F8:F39" si="0">IF((E8/$E$73*100)&lt;0.01,"0.00*",E8/$E$73*100)</f>
        <v>3.1449165356233522</v>
      </c>
    </row>
    <row r="9" spans="1:6" x14ac:dyDescent="0.2">
      <c r="A9" s="39" t="s">
        <v>156</v>
      </c>
      <c r="B9" s="39" t="s">
        <v>157</v>
      </c>
      <c r="C9" s="39" t="s">
        <v>64</v>
      </c>
      <c r="D9" s="39">
        <v>109904</v>
      </c>
      <c r="E9" s="68">
        <v>895.60769600000003</v>
      </c>
      <c r="F9" s="43">
        <f t="shared" si="0"/>
        <v>2.0547396304776937</v>
      </c>
    </row>
    <row r="10" spans="1:6" x14ac:dyDescent="0.2">
      <c r="A10" s="39" t="s">
        <v>85</v>
      </c>
      <c r="B10" s="39" t="s">
        <v>86</v>
      </c>
      <c r="C10" s="39" t="s">
        <v>12</v>
      </c>
      <c r="D10" s="39">
        <v>206474</v>
      </c>
      <c r="E10" s="68">
        <v>845.820741</v>
      </c>
      <c r="F10" s="43">
        <f t="shared" si="0"/>
        <v>1.9405163718163372</v>
      </c>
    </row>
    <row r="11" spans="1:6" x14ac:dyDescent="0.2">
      <c r="A11" s="39" t="s">
        <v>21</v>
      </c>
      <c r="B11" s="39" t="s">
        <v>22</v>
      </c>
      <c r="C11" s="39" t="s">
        <v>12</v>
      </c>
      <c r="D11" s="39">
        <v>53853</v>
      </c>
      <c r="E11" s="68">
        <v>770.87876849999998</v>
      </c>
      <c r="F11" s="43">
        <f t="shared" si="0"/>
        <v>1.7685814481107245</v>
      </c>
    </row>
    <row r="12" spans="1:6" x14ac:dyDescent="0.2">
      <c r="A12" s="39" t="s">
        <v>89</v>
      </c>
      <c r="B12" s="39" t="s">
        <v>90</v>
      </c>
      <c r="C12" s="39" t="s">
        <v>43</v>
      </c>
      <c r="D12" s="39">
        <v>205373</v>
      </c>
      <c r="E12" s="68">
        <v>712.233564</v>
      </c>
      <c r="F12" s="43">
        <f t="shared" si="0"/>
        <v>1.6340352328852374</v>
      </c>
    </row>
    <row r="13" spans="1:6" x14ac:dyDescent="0.2">
      <c r="A13" s="39" t="s">
        <v>160</v>
      </c>
      <c r="B13" s="39" t="s">
        <v>161</v>
      </c>
      <c r="C13" s="39" t="s">
        <v>162</v>
      </c>
      <c r="D13" s="39">
        <v>25367</v>
      </c>
      <c r="E13" s="68">
        <v>648.76102500000002</v>
      </c>
      <c r="F13" s="43">
        <f t="shared" si="0"/>
        <v>1.4884139503607281</v>
      </c>
    </row>
    <row r="14" spans="1:6" x14ac:dyDescent="0.2">
      <c r="A14" s="39" t="s">
        <v>172</v>
      </c>
      <c r="B14" s="39" t="s">
        <v>173</v>
      </c>
      <c r="C14" s="39" t="s">
        <v>53</v>
      </c>
      <c r="D14" s="39">
        <v>79950</v>
      </c>
      <c r="E14" s="68">
        <v>568.40452500000004</v>
      </c>
      <c r="F14" s="43">
        <f t="shared" si="0"/>
        <v>1.3040567972747179</v>
      </c>
    </row>
    <row r="15" spans="1:6" x14ac:dyDescent="0.2">
      <c r="A15" s="39" t="s">
        <v>212</v>
      </c>
      <c r="B15" s="39" t="s">
        <v>213</v>
      </c>
      <c r="C15" s="39" t="s">
        <v>96</v>
      </c>
      <c r="D15" s="39">
        <v>203475</v>
      </c>
      <c r="E15" s="68">
        <v>529.34021250000001</v>
      </c>
      <c r="F15" s="43">
        <f t="shared" si="0"/>
        <v>1.2144338614853014</v>
      </c>
    </row>
    <row r="16" spans="1:6" x14ac:dyDescent="0.2">
      <c r="A16" s="39" t="s">
        <v>101</v>
      </c>
      <c r="B16" s="39" t="s">
        <v>102</v>
      </c>
      <c r="C16" s="39" t="s">
        <v>103</v>
      </c>
      <c r="D16" s="39">
        <v>190244</v>
      </c>
      <c r="E16" s="68">
        <v>507.66611399999999</v>
      </c>
      <c r="F16" s="43">
        <f t="shared" si="0"/>
        <v>1.1647082624962244</v>
      </c>
    </row>
    <row r="17" spans="1:6" x14ac:dyDescent="0.2">
      <c r="A17" s="39" t="s">
        <v>23</v>
      </c>
      <c r="B17" s="39" t="s">
        <v>24</v>
      </c>
      <c r="C17" s="39" t="s">
        <v>25</v>
      </c>
      <c r="D17" s="39">
        <v>254936</v>
      </c>
      <c r="E17" s="68">
        <v>470.22945199999998</v>
      </c>
      <c r="F17" s="43">
        <f t="shared" si="0"/>
        <v>1.0788195487348833</v>
      </c>
    </row>
    <row r="18" spans="1:6" x14ac:dyDescent="0.2">
      <c r="A18" s="39" t="s">
        <v>259</v>
      </c>
      <c r="B18" s="39" t="s">
        <v>260</v>
      </c>
      <c r="C18" s="39" t="s">
        <v>72</v>
      </c>
      <c r="D18" s="39">
        <v>60000</v>
      </c>
      <c r="E18" s="68">
        <v>384</v>
      </c>
      <c r="F18" s="43">
        <f t="shared" si="0"/>
        <v>0.88098843012112127</v>
      </c>
    </row>
    <row r="19" spans="1:6" x14ac:dyDescent="0.2">
      <c r="A19" s="39" t="s">
        <v>193</v>
      </c>
      <c r="B19" s="39" t="s">
        <v>194</v>
      </c>
      <c r="C19" s="39" t="s">
        <v>103</v>
      </c>
      <c r="D19" s="39">
        <v>168573</v>
      </c>
      <c r="E19" s="68">
        <v>370.60774049999998</v>
      </c>
      <c r="F19" s="43">
        <f t="shared" si="0"/>
        <v>0.8502633632651847</v>
      </c>
    </row>
    <row r="20" spans="1:6" x14ac:dyDescent="0.2">
      <c r="A20" s="39" t="s">
        <v>163</v>
      </c>
      <c r="B20" s="39" t="s">
        <v>164</v>
      </c>
      <c r="C20" s="39" t="s">
        <v>40</v>
      </c>
      <c r="D20" s="39">
        <v>66526</v>
      </c>
      <c r="E20" s="68">
        <v>351.78948800000001</v>
      </c>
      <c r="F20" s="43">
        <f t="shared" si="0"/>
        <v>0.8070897624120652</v>
      </c>
    </row>
    <row r="21" spans="1:6" x14ac:dyDescent="0.2">
      <c r="A21" s="39" t="s">
        <v>195</v>
      </c>
      <c r="B21" s="39" t="s">
        <v>196</v>
      </c>
      <c r="C21" s="39" t="s">
        <v>37</v>
      </c>
      <c r="D21" s="39">
        <v>26468</v>
      </c>
      <c r="E21" s="68">
        <v>337.347894</v>
      </c>
      <c r="F21" s="43">
        <f t="shared" si="0"/>
        <v>0.77395726963470424</v>
      </c>
    </row>
    <row r="22" spans="1:6" x14ac:dyDescent="0.2">
      <c r="A22" s="39" t="s">
        <v>94</v>
      </c>
      <c r="B22" s="39" t="s">
        <v>95</v>
      </c>
      <c r="C22" s="39" t="s">
        <v>96</v>
      </c>
      <c r="D22" s="39">
        <v>93000</v>
      </c>
      <c r="E22" s="68">
        <v>330.38249999999999</v>
      </c>
      <c r="F22" s="43">
        <f t="shared" si="0"/>
        <v>0.75797697920440454</v>
      </c>
    </row>
    <row r="23" spans="1:6" x14ac:dyDescent="0.2">
      <c r="A23" s="39" t="s">
        <v>233</v>
      </c>
      <c r="B23" s="39" t="s">
        <v>234</v>
      </c>
      <c r="C23" s="39" t="s">
        <v>216</v>
      </c>
      <c r="D23" s="39">
        <v>40000</v>
      </c>
      <c r="E23" s="68">
        <v>297.77999999999997</v>
      </c>
      <c r="F23" s="43">
        <f t="shared" si="0"/>
        <v>0.6831789966704882</v>
      </c>
    </row>
    <row r="24" spans="1:6" x14ac:dyDescent="0.2">
      <c r="A24" s="39" t="s">
        <v>91</v>
      </c>
      <c r="B24" s="39" t="s">
        <v>92</v>
      </c>
      <c r="C24" s="39" t="s">
        <v>93</v>
      </c>
      <c r="D24" s="39">
        <v>221251</v>
      </c>
      <c r="E24" s="68">
        <v>269.15184149999999</v>
      </c>
      <c r="F24" s="43">
        <f t="shared" si="0"/>
        <v>0.6174991101752445</v>
      </c>
    </row>
    <row r="25" spans="1:6" x14ac:dyDescent="0.2">
      <c r="A25" s="39" t="s">
        <v>191</v>
      </c>
      <c r="B25" s="39" t="s">
        <v>192</v>
      </c>
      <c r="C25" s="39" t="s">
        <v>37</v>
      </c>
      <c r="D25" s="39">
        <v>57182</v>
      </c>
      <c r="E25" s="68">
        <v>263.380292</v>
      </c>
      <c r="F25" s="43">
        <f t="shared" si="0"/>
        <v>0.60425778639042327</v>
      </c>
    </row>
    <row r="26" spans="1:6" x14ac:dyDescent="0.2">
      <c r="A26" s="39" t="s">
        <v>199</v>
      </c>
      <c r="B26" s="39" t="s">
        <v>200</v>
      </c>
      <c r="C26" s="39" t="s">
        <v>93</v>
      </c>
      <c r="D26" s="39">
        <v>130625</v>
      </c>
      <c r="E26" s="68">
        <v>261.90312499999999</v>
      </c>
      <c r="F26" s="43">
        <f t="shared" si="0"/>
        <v>0.60086880973324419</v>
      </c>
    </row>
    <row r="27" spans="1:6" x14ac:dyDescent="0.2">
      <c r="A27" s="39" t="s">
        <v>243</v>
      </c>
      <c r="B27" s="39" t="s">
        <v>244</v>
      </c>
      <c r="C27" s="39" t="s">
        <v>245</v>
      </c>
      <c r="D27" s="39">
        <v>74355</v>
      </c>
      <c r="E27" s="68">
        <v>256.45039500000001</v>
      </c>
      <c r="F27" s="43">
        <f t="shared" si="0"/>
        <v>0.58835893462237365</v>
      </c>
    </row>
    <row r="28" spans="1:6" x14ac:dyDescent="0.2">
      <c r="A28" s="39" t="s">
        <v>87</v>
      </c>
      <c r="B28" s="39" t="s">
        <v>88</v>
      </c>
      <c r="C28" s="39" t="s">
        <v>12</v>
      </c>
      <c r="D28" s="39">
        <v>88509</v>
      </c>
      <c r="E28" s="68">
        <v>242.38189650000001</v>
      </c>
      <c r="F28" s="43">
        <f t="shared" si="0"/>
        <v>0.55608241272738312</v>
      </c>
    </row>
    <row r="29" spans="1:6" x14ac:dyDescent="0.2">
      <c r="A29" s="39" t="s">
        <v>176</v>
      </c>
      <c r="B29" s="39" t="s">
        <v>177</v>
      </c>
      <c r="C29" s="39" t="s">
        <v>37</v>
      </c>
      <c r="D29" s="39">
        <v>15000</v>
      </c>
      <c r="E29" s="68">
        <v>205.8075</v>
      </c>
      <c r="F29" s="43">
        <f t="shared" si="0"/>
        <v>0.47217194357331421</v>
      </c>
    </row>
    <row r="30" spans="1:6" x14ac:dyDescent="0.2">
      <c r="A30" s="39" t="s">
        <v>29</v>
      </c>
      <c r="B30" s="39" t="s">
        <v>30</v>
      </c>
      <c r="C30" s="39" t="s">
        <v>31</v>
      </c>
      <c r="D30" s="39">
        <v>32100</v>
      </c>
      <c r="E30" s="68">
        <v>184.49475000000001</v>
      </c>
      <c r="F30" s="43">
        <f t="shared" si="0"/>
        <v>0.42327536502106444</v>
      </c>
    </row>
    <row r="31" spans="1:6" x14ac:dyDescent="0.2">
      <c r="A31" s="39" t="s">
        <v>283</v>
      </c>
      <c r="B31" s="39" t="s">
        <v>284</v>
      </c>
      <c r="C31" s="39" t="s">
        <v>12</v>
      </c>
      <c r="D31" s="39">
        <v>301582</v>
      </c>
      <c r="E31" s="68">
        <v>175.21914200000001</v>
      </c>
      <c r="F31" s="43">
        <f t="shared" si="0"/>
        <v>0.40199488759830687</v>
      </c>
    </row>
    <row r="32" spans="1:6" x14ac:dyDescent="0.2">
      <c r="A32" s="39" t="s">
        <v>178</v>
      </c>
      <c r="B32" s="39" t="s">
        <v>179</v>
      </c>
      <c r="C32" s="39" t="s">
        <v>162</v>
      </c>
      <c r="D32" s="39">
        <v>72000</v>
      </c>
      <c r="E32" s="68">
        <v>162.18</v>
      </c>
      <c r="F32" s="43">
        <f t="shared" si="0"/>
        <v>0.37207995728396737</v>
      </c>
    </row>
    <row r="33" spans="1:7" x14ac:dyDescent="0.2">
      <c r="A33" s="39" t="s">
        <v>320</v>
      </c>
      <c r="B33" s="39" t="s">
        <v>321</v>
      </c>
      <c r="C33" s="39" t="s">
        <v>40</v>
      </c>
      <c r="D33" s="39">
        <v>4923</v>
      </c>
      <c r="E33" s="68">
        <v>137.26800900000001</v>
      </c>
      <c r="F33" s="43">
        <f t="shared" si="0"/>
        <v>0.31492585352802593</v>
      </c>
    </row>
    <row r="34" spans="1:7" x14ac:dyDescent="0.2">
      <c r="A34" s="39" t="s">
        <v>239</v>
      </c>
      <c r="B34" s="39" t="s">
        <v>240</v>
      </c>
      <c r="C34" s="39" t="s">
        <v>15</v>
      </c>
      <c r="D34" s="39">
        <v>65910</v>
      </c>
      <c r="E34" s="68">
        <v>124.932405</v>
      </c>
      <c r="F34" s="43">
        <f t="shared" si="0"/>
        <v>0.28662500872970342</v>
      </c>
    </row>
    <row r="35" spans="1:7" x14ac:dyDescent="0.2">
      <c r="A35" s="39" t="s">
        <v>475</v>
      </c>
      <c r="B35" s="39" t="s">
        <v>476</v>
      </c>
      <c r="C35" s="39" t="s">
        <v>162</v>
      </c>
      <c r="D35" s="39">
        <v>7072</v>
      </c>
      <c r="E35" s="68">
        <v>120.761472</v>
      </c>
      <c r="F35" s="43">
        <f t="shared" si="0"/>
        <v>0.27705588446978058</v>
      </c>
    </row>
    <row r="36" spans="1:7" x14ac:dyDescent="0.2">
      <c r="A36" s="39" t="s">
        <v>248</v>
      </c>
      <c r="B36" s="39" t="s">
        <v>249</v>
      </c>
      <c r="C36" s="39" t="s">
        <v>60</v>
      </c>
      <c r="D36" s="39">
        <v>153047</v>
      </c>
      <c r="E36" s="68">
        <v>97.261368500000003</v>
      </c>
      <c r="F36" s="43">
        <f t="shared" si="0"/>
        <v>0.22314099048501793</v>
      </c>
    </row>
    <row r="37" spans="1:7" x14ac:dyDescent="0.2">
      <c r="A37" s="39" t="s">
        <v>38</v>
      </c>
      <c r="B37" s="39" t="s">
        <v>39</v>
      </c>
      <c r="C37" s="39" t="s">
        <v>40</v>
      </c>
      <c r="D37" s="39">
        <v>74940</v>
      </c>
      <c r="E37" s="68">
        <v>87.454980000000006</v>
      </c>
      <c r="F37" s="43">
        <f t="shared" si="0"/>
        <v>0.20064277483456788</v>
      </c>
    </row>
    <row r="38" spans="1:7" x14ac:dyDescent="0.2">
      <c r="A38" s="39" t="s">
        <v>265</v>
      </c>
      <c r="B38" s="39" t="s">
        <v>266</v>
      </c>
      <c r="C38" s="39" t="s">
        <v>40</v>
      </c>
      <c r="D38" s="39">
        <v>23121</v>
      </c>
      <c r="E38" s="68">
        <v>81.605569500000001</v>
      </c>
      <c r="F38" s="43">
        <f t="shared" si="0"/>
        <v>0.18722281917433609</v>
      </c>
    </row>
    <row r="39" spans="1:7" x14ac:dyDescent="0.2">
      <c r="A39" s="39" t="s">
        <v>308</v>
      </c>
      <c r="B39" s="39" t="s">
        <v>309</v>
      </c>
      <c r="C39" s="39" t="s">
        <v>310</v>
      </c>
      <c r="D39" s="39">
        <v>984</v>
      </c>
      <c r="E39" s="68">
        <v>1.8179399999999999</v>
      </c>
      <c r="F39" s="43" t="str">
        <f t="shared" si="0"/>
        <v>0.00*</v>
      </c>
      <c r="G39" s="73"/>
    </row>
    <row r="40" spans="1:7" x14ac:dyDescent="0.2">
      <c r="A40" s="38" t="s">
        <v>44</v>
      </c>
      <c r="B40" s="39"/>
      <c r="C40" s="39"/>
      <c r="D40" s="39"/>
      <c r="E40" s="69">
        <f>SUM(E7:E39)</f>
        <v>13823.788431499999</v>
      </c>
      <c r="F40" s="69">
        <f>SUM(F7:F39)</f>
        <v>31.710927303351692</v>
      </c>
    </row>
    <row r="41" spans="1:7" x14ac:dyDescent="0.2">
      <c r="A41" s="39"/>
      <c r="B41" s="39"/>
      <c r="C41" s="39"/>
      <c r="D41" s="39"/>
      <c r="E41" s="68"/>
      <c r="F41" s="68"/>
    </row>
    <row r="42" spans="1:7" x14ac:dyDescent="0.2">
      <c r="A42" s="38" t="s">
        <v>359</v>
      </c>
      <c r="B42" s="39"/>
      <c r="C42" s="39"/>
      <c r="D42" s="39"/>
      <c r="E42" s="68"/>
      <c r="F42" s="68"/>
    </row>
    <row r="43" spans="1:7" x14ac:dyDescent="0.2">
      <c r="A43" s="38" t="s">
        <v>8</v>
      </c>
      <c r="B43" s="39"/>
      <c r="C43" s="39"/>
      <c r="D43" s="39"/>
      <c r="E43" s="68"/>
      <c r="F43" s="68"/>
    </row>
    <row r="44" spans="1:7" x14ac:dyDescent="0.2">
      <c r="A44" s="38"/>
      <c r="B44" s="39"/>
      <c r="C44" s="39"/>
      <c r="D44" s="39"/>
      <c r="E44" s="68"/>
      <c r="F44" s="68"/>
    </row>
    <row r="45" spans="1:7" x14ac:dyDescent="0.2">
      <c r="A45" s="39" t="s">
        <v>799</v>
      </c>
      <c r="B45" s="39" t="str">
        <f>IFERROR(VLOOKUP(A45,[1]Bonds!$B$1:$K$2669,10,0),VLOOKUP(A45,[1]CPCD!$B$1:$H$1476,7,0))</f>
        <v>8.9508% Pipeline Infrastructure Pvt Ltd (22-Mar-2024)</v>
      </c>
      <c r="C45" s="39" t="s">
        <v>361</v>
      </c>
      <c r="D45" s="39">
        <v>400</v>
      </c>
      <c r="E45" s="68">
        <v>4026.808</v>
      </c>
      <c r="F45" s="43">
        <f t="shared" ref="F45:F62" si="1">IF((E45/$E$73*100)&lt;0.01,"0.00*",E45/$E$73*100)</f>
        <v>9.2384668185395107</v>
      </c>
    </row>
    <row r="46" spans="1:7" x14ac:dyDescent="0.2">
      <c r="A46" s="39" t="s">
        <v>1402</v>
      </c>
      <c r="B46" s="39" t="str">
        <f>IFERROR(VLOOKUP(A46,[1]Bonds!$B$1:$K$2669,10,0),VLOOKUP(A46,[1]CPCD!$B$1:$H$1476,7,0))</f>
        <v>9.00% State Bank Of India (06-Sep-2021) **</v>
      </c>
      <c r="C46" s="39" t="s">
        <v>727</v>
      </c>
      <c r="D46" s="39">
        <v>250</v>
      </c>
      <c r="E46" s="68">
        <v>2520.8074999999999</v>
      </c>
      <c r="F46" s="43">
        <f t="shared" si="1"/>
        <v>5.7833391720378868</v>
      </c>
    </row>
    <row r="47" spans="1:7" x14ac:dyDescent="0.2">
      <c r="A47" s="39" t="s">
        <v>369</v>
      </c>
      <c r="B47" s="39" t="str">
        <f>IFERROR(VLOOKUP(A47,[1]Bonds!$B$1:$K$2669,10,0),VLOOKUP(A47,[1]CPCD!$B$1:$H$1476,7,0))</f>
        <v>9.45% Vedanta Ltd (17-Aug-2020) **</v>
      </c>
      <c r="C47" s="39" t="s">
        <v>370</v>
      </c>
      <c r="D47" s="39">
        <v>210</v>
      </c>
      <c r="E47" s="68">
        <v>2091.8708999999999</v>
      </c>
      <c r="F47" s="43">
        <f t="shared" si="1"/>
        <v>4.7992553651225442</v>
      </c>
    </row>
    <row r="48" spans="1:7" x14ac:dyDescent="0.2">
      <c r="A48" s="39" t="s">
        <v>1403</v>
      </c>
      <c r="B48" s="39" t="str">
        <f>IFERROR(VLOOKUP(A48,[1]Bonds!$B$1:$K$2669,10,0),VLOOKUP(A48,[1]CPCD!$B$1:$H$1476,7,0))</f>
        <v>12.40% Hinduja Leyland Finance Ltd (03-Nov-2019) **</v>
      </c>
      <c r="C48" s="39" t="s">
        <v>753</v>
      </c>
      <c r="D48" s="39">
        <v>200</v>
      </c>
      <c r="E48" s="68">
        <v>2014.46</v>
      </c>
      <c r="F48" s="43">
        <f t="shared" si="1"/>
        <v>4.6216561274525887</v>
      </c>
    </row>
    <row r="49" spans="1:6" x14ac:dyDescent="0.2">
      <c r="A49" s="39" t="s">
        <v>746</v>
      </c>
      <c r="B49" s="39" t="str">
        <f>IFERROR(VLOOKUP(A49,[1]Bonds!$B$1:$K$2669,10,0),VLOOKUP(A49,[1]CPCD!$B$1:$H$1476,7,0))</f>
        <v>8.40% Edelweiss Rural &amp; Corporate Services Ltd (26-Oct-2020) **</v>
      </c>
      <c r="C49" s="39" t="s">
        <v>370</v>
      </c>
      <c r="D49" s="39">
        <v>200</v>
      </c>
      <c r="E49" s="68">
        <v>1984.2239999999999</v>
      </c>
      <c r="F49" s="43">
        <f t="shared" si="1"/>
        <v>4.5522874655433645</v>
      </c>
    </row>
    <row r="50" spans="1:6" x14ac:dyDescent="0.2">
      <c r="A50" s="39" t="s">
        <v>930</v>
      </c>
      <c r="B50" s="39" t="str">
        <f>IFERROR(VLOOKUP(A50,[1]Bonds!$B$1:$K$2669,10,0),VLOOKUP(A50,[1]CPCD!$B$1:$H$1476,7,0))</f>
        <v>8.80% Rec Ltd (14-May-2029) **</v>
      </c>
      <c r="C50" s="39" t="s">
        <v>361</v>
      </c>
      <c r="D50" s="39">
        <v>150</v>
      </c>
      <c r="E50" s="68">
        <v>1542.6210000000001</v>
      </c>
      <c r="F50" s="43">
        <f t="shared" si="1"/>
        <v>3.5391438881819641</v>
      </c>
    </row>
    <row r="51" spans="1:6" x14ac:dyDescent="0.2">
      <c r="A51" s="39" t="s">
        <v>1215</v>
      </c>
      <c r="B51" s="39" t="str">
        <f>IFERROR(VLOOKUP(A51,[1]Bonds!$B$1:$K$2669,10,0),VLOOKUP(A51,[1]CPCD!$B$1:$H$1476,7,0))</f>
        <v>9.25% Reliance Jio Infocomm Limited (17-Jun-2024) **</v>
      </c>
      <c r="C51" s="39" t="s">
        <v>361</v>
      </c>
      <c r="D51" s="39">
        <v>150</v>
      </c>
      <c r="E51" s="68">
        <v>1540.1655000000001</v>
      </c>
      <c r="F51" s="43">
        <f t="shared" si="1"/>
        <v>3.5335103801346661</v>
      </c>
    </row>
    <row r="52" spans="1:6" x14ac:dyDescent="0.2">
      <c r="A52" s="39" t="s">
        <v>1179</v>
      </c>
      <c r="B52" s="39" t="str">
        <f>IFERROR(VLOOKUP(A52,[1]Bonds!$B$1:$K$2669,10,0),VLOOKUP(A52,[1]CPCD!$B$1:$H$1476,7,0))</f>
        <v>9.15% Tata Steel Ltd (24-Jan-2021) **</v>
      </c>
      <c r="C52" s="39" t="s">
        <v>1180</v>
      </c>
      <c r="D52" s="39">
        <v>150</v>
      </c>
      <c r="E52" s="68">
        <v>1501.1085</v>
      </c>
      <c r="F52" s="43">
        <f t="shared" si="1"/>
        <v>3.4439042209803943</v>
      </c>
    </row>
    <row r="53" spans="1:6" x14ac:dyDescent="0.2">
      <c r="A53" s="39" t="s">
        <v>1234</v>
      </c>
      <c r="B53" s="39" t="str">
        <f>IFERROR(VLOOKUP(A53,[1]Bonds!$B$1:$K$2669,10,0),VLOOKUP(A53,[1]CPCD!$B$1:$H$1476,7,0))</f>
        <v>8.60% Export-Import Bank Of India (31-Mar-2022) **</v>
      </c>
      <c r="C53" s="39" t="s">
        <v>842</v>
      </c>
      <c r="D53" s="39">
        <v>150</v>
      </c>
      <c r="E53" s="68">
        <v>1496.6955</v>
      </c>
      <c r="F53" s="43">
        <f t="shared" si="1"/>
        <v>3.4337797367561116</v>
      </c>
    </row>
    <row r="54" spans="1:6" x14ac:dyDescent="0.2">
      <c r="A54" s="39" t="s">
        <v>1214</v>
      </c>
      <c r="B54" s="39" t="str">
        <f>IFERROR(VLOOKUP(A54,[1]Bonds!$B$1:$K$2669,10,0),VLOOKUP(A54,[1]CPCD!$B$1:$H$1476,7,0))</f>
        <v>9.15% ICICI Bank Ltd (20-Jun-2023) **</v>
      </c>
      <c r="C54" s="39" t="s">
        <v>763</v>
      </c>
      <c r="D54" s="39">
        <v>100</v>
      </c>
      <c r="E54" s="68">
        <v>1005.917</v>
      </c>
      <c r="F54" s="43">
        <f t="shared" si="1"/>
        <v>2.3078157256826772</v>
      </c>
    </row>
    <row r="55" spans="1:6" x14ac:dyDescent="0.2">
      <c r="A55" s="39" t="s">
        <v>363</v>
      </c>
      <c r="B55" s="39" t="str">
        <f>IFERROR(VLOOKUP(A55,[1]Bonds!$B$1:$K$2669,10,0),VLOOKUP(A55,[1]CPCD!$B$1:$H$1476,7,0))</f>
        <v>9.70% Coastal Gujarat Power Ltd (25-Aug-2023) **</v>
      </c>
      <c r="C55" s="39" t="s">
        <v>364</v>
      </c>
      <c r="D55" s="39">
        <v>100</v>
      </c>
      <c r="E55" s="68">
        <v>1005.431</v>
      </c>
      <c r="F55" s="43">
        <f t="shared" si="1"/>
        <v>2.3067007247008049</v>
      </c>
    </row>
    <row r="56" spans="1:6" x14ac:dyDescent="0.2">
      <c r="A56" s="39" t="s">
        <v>1404</v>
      </c>
      <c r="B56" s="39" t="str">
        <f>IFERROR(VLOOKUP(A56,[1]Bonds!$B$1:$K$2669,10,0),VLOOKUP(A56,[1]CPCD!$B$1:$H$1476,7,0))</f>
        <v>7.33% Indian Railway Finance Corp Ltd (27-Aug-2027) **</v>
      </c>
      <c r="C56" s="39" t="s">
        <v>361</v>
      </c>
      <c r="D56" s="39">
        <v>100</v>
      </c>
      <c r="E56" s="68">
        <v>990.94</v>
      </c>
      <c r="F56" s="43">
        <f t="shared" si="1"/>
        <v>2.27345488266725</v>
      </c>
    </row>
    <row r="57" spans="1:6" x14ac:dyDescent="0.2">
      <c r="A57" s="39" t="s">
        <v>1405</v>
      </c>
      <c r="B57" s="39" t="str">
        <f>IFERROR(VLOOKUP(A57,[1]Bonds!$B$1:$K$2669,10,0),VLOOKUP(A57,[1]CPCD!$B$1:$H$1476,7,0))</f>
        <v>9.48% The Tata Power Co Ltd (17-Nov-2019) **</v>
      </c>
      <c r="C57" s="39" t="s">
        <v>723</v>
      </c>
      <c r="D57" s="39">
        <v>90</v>
      </c>
      <c r="E57" s="68">
        <v>904.06889999999999</v>
      </c>
      <c r="F57" s="43">
        <f t="shared" si="1"/>
        <v>2.0741516690946069</v>
      </c>
    </row>
    <row r="58" spans="1:6" x14ac:dyDescent="0.2">
      <c r="A58" s="39" t="s">
        <v>915</v>
      </c>
      <c r="B58" s="39" t="str">
        <f>IFERROR(VLOOKUP(A58,[1]Bonds!$B$1:$K$2669,10,0),VLOOKUP(A58,[1]CPCD!$B$1:$H$1476,7,0))</f>
        <v>8.97% Rec Ltd (28-Mar-2029) **</v>
      </c>
      <c r="C58" s="39" t="s">
        <v>916</v>
      </c>
      <c r="D58" s="39">
        <v>85</v>
      </c>
      <c r="E58" s="68">
        <v>872.88030000000003</v>
      </c>
      <c r="F58" s="43">
        <f t="shared" si="1"/>
        <v>2.0025975134912848</v>
      </c>
    </row>
    <row r="59" spans="1:6" x14ac:dyDescent="0.2">
      <c r="A59" s="39" t="s">
        <v>368</v>
      </c>
      <c r="B59" s="39" t="str">
        <f>IFERROR(VLOOKUP(A59,[1]Bonds!$B$1:$K$2669,10,0),VLOOKUP(A59,[1]CPCD!$B$1:$H$1476,7,0))</f>
        <v>8.85% Rec Ltd (16-Apr-2029) **</v>
      </c>
      <c r="C59" s="39" t="s">
        <v>361</v>
      </c>
      <c r="D59" s="39">
        <v>60</v>
      </c>
      <c r="E59" s="68">
        <v>618.83280000000002</v>
      </c>
      <c r="F59" s="43">
        <f t="shared" si="1"/>
        <v>1.4197513983840049</v>
      </c>
    </row>
    <row r="60" spans="1:6" x14ac:dyDescent="0.2">
      <c r="A60" s="39" t="s">
        <v>720</v>
      </c>
      <c r="B60" s="39" t="str">
        <f>IFERROR(VLOOKUP(A60,[1]Bonds!$B$1:$K$2669,10,0),VLOOKUP(A60,[1]CPCD!$B$1:$H$1476,7,0))</f>
        <v>Indostar Capital Finance Ltd (1Y SBI MCLR + 200 Bps) (02-May-2023) **</v>
      </c>
      <c r="C60" s="39" t="s">
        <v>721</v>
      </c>
      <c r="D60" s="39">
        <v>50</v>
      </c>
      <c r="E60" s="68">
        <v>500.59399999999999</v>
      </c>
      <c r="F60" s="43">
        <f t="shared" si="1"/>
        <v>1.1484831306980536</v>
      </c>
    </row>
    <row r="61" spans="1:6" x14ac:dyDescent="0.2">
      <c r="A61" s="39" t="s">
        <v>366</v>
      </c>
      <c r="B61" s="39" t="str">
        <f>IFERROR(VLOOKUP(A61,[1]Bonds!$B$1:$K$2669,10,0),VLOOKUP(A61,[1]CPCD!$B$1:$H$1476,7,0))</f>
        <v>8.80% JM Financial Products Ltd (28-Sep-2020) **</v>
      </c>
      <c r="C61" s="39" t="s">
        <v>367</v>
      </c>
      <c r="D61" s="39">
        <v>50</v>
      </c>
      <c r="E61" s="68">
        <v>486.65750000000003</v>
      </c>
      <c r="F61" s="43">
        <f t="shared" si="1"/>
        <v>1.1165094451345563</v>
      </c>
    </row>
    <row r="62" spans="1:6" x14ac:dyDescent="0.2">
      <c r="A62" s="39" t="s">
        <v>926</v>
      </c>
      <c r="B62" s="39" t="str">
        <f>IFERROR(VLOOKUP(A62,[1]Bonds!$B$1:$K$2669,10,0),VLOOKUP(A62,[1]CPCD!$B$1:$H$1476,7,0))</f>
        <v>8.85% Power Finance Corp Ltd (25-May-2029)</v>
      </c>
      <c r="C62" s="39" t="s">
        <v>361</v>
      </c>
      <c r="D62" s="39">
        <v>5</v>
      </c>
      <c r="E62" s="68">
        <v>51.666899999999998</v>
      </c>
      <c r="F62" s="43">
        <f t="shared" si="1"/>
        <v>0.11853630500058585</v>
      </c>
    </row>
    <row r="63" spans="1:6" x14ac:dyDescent="0.2">
      <c r="A63" s="38" t="s">
        <v>44</v>
      </c>
      <c r="B63" s="39"/>
      <c r="C63" s="39"/>
      <c r="D63" s="39"/>
      <c r="E63" s="69">
        <f>SUM(E45:E62)</f>
        <v>25155.749300000003</v>
      </c>
      <c r="F63" s="69">
        <f>SUM(F45:F62)</f>
        <v>57.71334396960286</v>
      </c>
    </row>
    <row r="64" spans="1:6" x14ac:dyDescent="0.2">
      <c r="A64" s="39"/>
      <c r="B64" s="39"/>
      <c r="C64" s="39"/>
      <c r="D64" s="39"/>
      <c r="E64" s="68"/>
      <c r="F64" s="68"/>
    </row>
    <row r="65" spans="1:6" x14ac:dyDescent="0.2">
      <c r="A65" s="38" t="s">
        <v>815</v>
      </c>
      <c r="B65" s="39"/>
      <c r="C65" s="39"/>
      <c r="D65" s="39"/>
      <c r="E65" s="68"/>
      <c r="F65" s="68"/>
    </row>
    <row r="66" spans="1:6" x14ac:dyDescent="0.2">
      <c r="A66" s="39" t="s">
        <v>862</v>
      </c>
      <c r="B66" s="39" t="str">
        <f>IFERROR(VLOOKUP(A66,[1]Bonds!$B$1:$K$2669,10,0),VLOOKUP(A66,[1]CPCD!$B$1:$H$1476,7,0))</f>
        <v>0.00% KKR India Financial Services Pvt Ltd (10-Mar-2021) **</v>
      </c>
      <c r="C66" s="39" t="s">
        <v>727</v>
      </c>
      <c r="D66" s="39">
        <v>14</v>
      </c>
      <c r="E66" s="68">
        <v>1729.9716000000001</v>
      </c>
      <c r="F66" s="68">
        <v>3.96897126051595</v>
      </c>
    </row>
    <row r="67" spans="1:6" x14ac:dyDescent="0.2">
      <c r="A67" s="38" t="s">
        <v>44</v>
      </c>
      <c r="B67" s="39"/>
      <c r="C67" s="39"/>
      <c r="D67" s="39"/>
      <c r="E67" s="69">
        <f>SUM(E66:E66)</f>
        <v>1729.9716000000001</v>
      </c>
      <c r="F67" s="69">
        <f>SUM(F66:F66)</f>
        <v>3.96897126051595</v>
      </c>
    </row>
    <row r="68" spans="1:6" x14ac:dyDescent="0.2">
      <c r="A68" s="39"/>
      <c r="B68" s="39"/>
      <c r="C68" s="39"/>
      <c r="D68" s="39"/>
      <c r="E68" s="68"/>
      <c r="F68" s="68"/>
    </row>
    <row r="69" spans="1:6" x14ac:dyDescent="0.2">
      <c r="A69" s="38" t="s">
        <v>44</v>
      </c>
      <c r="B69" s="39"/>
      <c r="C69" s="39"/>
      <c r="D69" s="39"/>
      <c r="E69" s="69">
        <f>E67+E63+E40</f>
        <v>40709.509331500005</v>
      </c>
      <c r="F69" s="69">
        <f>F67+F63+F40</f>
        <v>93.393242533470499</v>
      </c>
    </row>
    <row r="70" spans="1:6" x14ac:dyDescent="0.2">
      <c r="A70" s="39"/>
      <c r="B70" s="39"/>
      <c r="C70" s="39"/>
      <c r="D70" s="39"/>
      <c r="E70" s="68"/>
      <c r="F70" s="68"/>
    </row>
    <row r="71" spans="1:6" x14ac:dyDescent="0.2">
      <c r="A71" s="38" t="s">
        <v>76</v>
      </c>
      <c r="B71" s="39"/>
      <c r="C71" s="39"/>
      <c r="D71" s="39"/>
      <c r="E71" s="69">
        <v>2877.895563</v>
      </c>
      <c r="F71" s="42">
        <f t="shared" ref="F71" si="2">IF((E71/$E$73*100)&lt;0.01,"0.00*",E71/$E$73*100)</f>
        <v>6.6025851408851839</v>
      </c>
    </row>
    <row r="72" spans="1:6" x14ac:dyDescent="0.2">
      <c r="A72" s="39"/>
      <c r="B72" s="39"/>
      <c r="C72" s="39"/>
      <c r="D72" s="39"/>
      <c r="E72" s="68"/>
      <c r="F72" s="68"/>
    </row>
    <row r="73" spans="1:6" x14ac:dyDescent="0.2">
      <c r="A73" s="71" t="s">
        <v>77</v>
      </c>
      <c r="B73" s="66"/>
      <c r="C73" s="66"/>
      <c r="D73" s="66"/>
      <c r="E73" s="72">
        <v>43587.405563</v>
      </c>
      <c r="F73" s="72">
        <f xml:space="preserve"> ROUND(SUM(F69:F72),2)</f>
        <v>100</v>
      </c>
    </row>
    <row r="74" spans="1:6" x14ac:dyDescent="0.2">
      <c r="A74" s="4" t="s">
        <v>619</v>
      </c>
      <c r="F74" s="74" t="s">
        <v>884</v>
      </c>
    </row>
    <row r="75" spans="1:6" x14ac:dyDescent="0.2">
      <c r="A75" s="4"/>
    </row>
    <row r="76" spans="1:6" x14ac:dyDescent="0.2">
      <c r="A76" s="4" t="s">
        <v>78</v>
      </c>
    </row>
    <row r="77" spans="1:6" x14ac:dyDescent="0.2">
      <c r="A77" s="4" t="s">
        <v>650</v>
      </c>
    </row>
    <row r="78" spans="1:6" x14ac:dyDescent="0.2">
      <c r="A78" s="4" t="s">
        <v>80</v>
      </c>
    </row>
    <row r="79" spans="1:6" x14ac:dyDescent="0.2">
      <c r="A79" s="2" t="s">
        <v>638</v>
      </c>
      <c r="D79" s="10">
        <v>122.6917</v>
      </c>
    </row>
    <row r="80" spans="1:6" x14ac:dyDescent="0.2">
      <c r="A80" s="2" t="s">
        <v>639</v>
      </c>
      <c r="D80" s="10">
        <v>16.5078</v>
      </c>
    </row>
    <row r="81" spans="1:5" x14ac:dyDescent="0.2">
      <c r="A81" s="2" t="s">
        <v>640</v>
      </c>
      <c r="D81" s="10">
        <v>128.0463</v>
      </c>
    </row>
    <row r="82" spans="1:5" x14ac:dyDescent="0.2">
      <c r="A82" s="2" t="s">
        <v>641</v>
      </c>
      <c r="D82" s="10">
        <v>17.378499999999999</v>
      </c>
    </row>
    <row r="83" spans="1:5" x14ac:dyDescent="0.2">
      <c r="D83" s="10"/>
    </row>
    <row r="84" spans="1:5" x14ac:dyDescent="0.2">
      <c r="A84" s="4" t="s">
        <v>81</v>
      </c>
    </row>
    <row r="85" spans="1:5" x14ac:dyDescent="0.2">
      <c r="A85" s="2" t="s">
        <v>638</v>
      </c>
      <c r="D85" s="10">
        <v>127.01439999999999</v>
      </c>
    </row>
    <row r="86" spans="1:5" x14ac:dyDescent="0.2">
      <c r="A86" s="2" t="s">
        <v>639</v>
      </c>
      <c r="D86" s="10">
        <v>17.0886</v>
      </c>
    </row>
    <row r="87" spans="1:5" x14ac:dyDescent="0.2">
      <c r="A87" s="2" t="s">
        <v>640</v>
      </c>
      <c r="D87" s="10">
        <v>133.04499999999999</v>
      </c>
    </row>
    <row r="88" spans="1:5" x14ac:dyDescent="0.2">
      <c r="A88" s="2" t="s">
        <v>641</v>
      </c>
      <c r="D88" s="10">
        <v>18.0534</v>
      </c>
    </row>
    <row r="90" spans="1:5" x14ac:dyDescent="0.2">
      <c r="A90" s="4" t="s">
        <v>82</v>
      </c>
      <c r="D90" s="44" t="s">
        <v>83</v>
      </c>
    </row>
    <row r="92" spans="1:5" x14ac:dyDescent="0.2">
      <c r="A92" s="4" t="s">
        <v>647</v>
      </c>
      <c r="D92" s="53">
        <v>3.0665086389254284</v>
      </c>
      <c r="E92" s="73" t="s">
        <v>648</v>
      </c>
    </row>
  </sheetData>
  <mergeCells count="1">
    <mergeCell ref="A1:F1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A5FAF-3D15-4460-8CA9-3038752C94C3}">
  <dimension ref="A1:F92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48" style="2" bestFit="1" customWidth="1"/>
    <col min="3" max="3" width="18" style="2" bestFit="1" customWidth="1"/>
    <col min="4" max="4" width="7.42578125" style="2" bestFit="1" customWidth="1"/>
    <col min="5" max="5" width="23" style="73" bestFit="1" customWidth="1"/>
    <col min="6" max="6" width="15.5703125" style="73" bestFit="1" customWidth="1"/>
    <col min="7" max="16384" width="9.140625" style="2"/>
  </cols>
  <sheetData>
    <row r="1" spans="1:6" ht="15" customHeight="1" x14ac:dyDescent="0.2">
      <c r="A1" s="108" t="s">
        <v>1406</v>
      </c>
      <c r="B1" s="108"/>
      <c r="C1" s="108"/>
      <c r="D1" s="108"/>
      <c r="E1" s="108"/>
      <c r="F1" s="108"/>
    </row>
    <row r="3" spans="1:6" s="4" customFormat="1" x14ac:dyDescent="0.2">
      <c r="A3" s="64" t="s">
        <v>1</v>
      </c>
      <c r="B3" s="64" t="s">
        <v>2</v>
      </c>
      <c r="C3" s="64" t="s">
        <v>1401</v>
      </c>
      <c r="D3" s="64" t="s">
        <v>4</v>
      </c>
      <c r="E3" s="65" t="s">
        <v>5</v>
      </c>
      <c r="F3" s="65" t="s">
        <v>6</v>
      </c>
    </row>
    <row r="4" spans="1:6" x14ac:dyDescent="0.2">
      <c r="A4" s="66"/>
      <c r="B4" s="66"/>
      <c r="C4" s="66"/>
      <c r="D4" s="66"/>
      <c r="E4" s="67"/>
      <c r="F4" s="67"/>
    </row>
    <row r="5" spans="1:6" x14ac:dyDescent="0.2">
      <c r="A5" s="38" t="s">
        <v>7</v>
      </c>
      <c r="B5" s="39"/>
      <c r="C5" s="39"/>
      <c r="D5" s="39"/>
      <c r="E5" s="68"/>
      <c r="F5" s="68"/>
    </row>
    <row r="6" spans="1:6" x14ac:dyDescent="0.2">
      <c r="A6" s="38" t="s">
        <v>8</v>
      </c>
      <c r="B6" s="39"/>
      <c r="C6" s="39"/>
      <c r="D6" s="39"/>
      <c r="E6" s="68"/>
      <c r="F6" s="68"/>
    </row>
    <row r="7" spans="1:6" x14ac:dyDescent="0.2">
      <c r="A7" s="39" t="s">
        <v>10</v>
      </c>
      <c r="B7" s="39" t="s">
        <v>11</v>
      </c>
      <c r="C7" s="39" t="s">
        <v>12</v>
      </c>
      <c r="D7" s="39">
        <v>29743</v>
      </c>
      <c r="E7" s="68">
        <v>662.65916849999996</v>
      </c>
      <c r="F7" s="43">
        <f>IF((E7/$E$63*100)&lt;0.01,"0.00*",E7/$E$63*100)</f>
        <v>2.1829838647700917</v>
      </c>
    </row>
    <row r="8" spans="1:6" x14ac:dyDescent="0.2">
      <c r="A8" s="39" t="s">
        <v>97</v>
      </c>
      <c r="B8" s="39" t="s">
        <v>98</v>
      </c>
      <c r="C8" s="39" t="s">
        <v>12</v>
      </c>
      <c r="D8" s="39">
        <v>95488</v>
      </c>
      <c r="E8" s="68">
        <v>633.94483200000002</v>
      </c>
      <c r="F8" s="43">
        <f t="shared" ref="F8:F33" si="0">IF((E8/$E$63*100)&lt;0.01,"0.00*",E8/$E$63*100)</f>
        <v>2.0883908428264459</v>
      </c>
    </row>
    <row r="9" spans="1:6" x14ac:dyDescent="0.2">
      <c r="A9" s="39" t="s">
        <v>156</v>
      </c>
      <c r="B9" s="39" t="s">
        <v>157</v>
      </c>
      <c r="C9" s="39" t="s">
        <v>64</v>
      </c>
      <c r="D9" s="39">
        <v>63338</v>
      </c>
      <c r="E9" s="68">
        <v>516.14136199999996</v>
      </c>
      <c r="F9" s="43">
        <f t="shared" si="0"/>
        <v>1.7003134020418507</v>
      </c>
    </row>
    <row r="10" spans="1:6" x14ac:dyDescent="0.2">
      <c r="A10" s="39" t="s">
        <v>21</v>
      </c>
      <c r="B10" s="39" t="s">
        <v>22</v>
      </c>
      <c r="C10" s="39" t="s">
        <v>12</v>
      </c>
      <c r="D10" s="39">
        <v>30909</v>
      </c>
      <c r="E10" s="68">
        <v>442.44688050000002</v>
      </c>
      <c r="F10" s="43">
        <f t="shared" si="0"/>
        <v>1.4575432546050422</v>
      </c>
    </row>
    <row r="11" spans="1:6" x14ac:dyDescent="0.2">
      <c r="A11" s="39" t="s">
        <v>193</v>
      </c>
      <c r="B11" s="39" t="s">
        <v>194</v>
      </c>
      <c r="C11" s="39" t="s">
        <v>103</v>
      </c>
      <c r="D11" s="39">
        <v>170586</v>
      </c>
      <c r="E11" s="68">
        <v>375.033321</v>
      </c>
      <c r="F11" s="43">
        <f t="shared" si="0"/>
        <v>1.2354642135976761</v>
      </c>
    </row>
    <row r="12" spans="1:6" x14ac:dyDescent="0.2">
      <c r="A12" s="39" t="s">
        <v>191</v>
      </c>
      <c r="B12" s="39" t="s">
        <v>192</v>
      </c>
      <c r="C12" s="39" t="s">
        <v>37</v>
      </c>
      <c r="D12" s="39">
        <v>67697</v>
      </c>
      <c r="E12" s="68">
        <v>311.81238200000001</v>
      </c>
      <c r="F12" s="43">
        <f t="shared" si="0"/>
        <v>1.0271968322453358</v>
      </c>
    </row>
    <row r="13" spans="1:6" x14ac:dyDescent="0.2">
      <c r="A13" s="39" t="s">
        <v>199</v>
      </c>
      <c r="B13" s="39" t="s">
        <v>200</v>
      </c>
      <c r="C13" s="39" t="s">
        <v>93</v>
      </c>
      <c r="D13" s="39">
        <v>138926</v>
      </c>
      <c r="E13" s="68">
        <v>278.54662999999999</v>
      </c>
      <c r="F13" s="43">
        <f t="shared" si="0"/>
        <v>0.91761017998513494</v>
      </c>
    </row>
    <row r="14" spans="1:6" x14ac:dyDescent="0.2">
      <c r="A14" s="39" t="s">
        <v>89</v>
      </c>
      <c r="B14" s="39" t="s">
        <v>90</v>
      </c>
      <c r="C14" s="39" t="s">
        <v>43</v>
      </c>
      <c r="D14" s="39">
        <v>76153</v>
      </c>
      <c r="E14" s="68">
        <v>264.09860400000002</v>
      </c>
      <c r="F14" s="43">
        <f t="shared" si="0"/>
        <v>0.8700143582791251</v>
      </c>
    </row>
    <row r="15" spans="1:6" x14ac:dyDescent="0.2">
      <c r="A15" s="39" t="s">
        <v>160</v>
      </c>
      <c r="B15" s="39" t="s">
        <v>161</v>
      </c>
      <c r="C15" s="39" t="s">
        <v>162</v>
      </c>
      <c r="D15" s="39">
        <v>10300</v>
      </c>
      <c r="E15" s="68">
        <v>263.42250000000001</v>
      </c>
      <c r="F15" s="43">
        <f t="shared" si="0"/>
        <v>0.86778708339474153</v>
      </c>
    </row>
    <row r="16" spans="1:6" x14ac:dyDescent="0.2">
      <c r="A16" s="39" t="s">
        <v>259</v>
      </c>
      <c r="B16" s="39" t="s">
        <v>260</v>
      </c>
      <c r="C16" s="39" t="s">
        <v>72</v>
      </c>
      <c r="D16" s="39">
        <v>40000</v>
      </c>
      <c r="E16" s="68">
        <v>256</v>
      </c>
      <c r="F16" s="43">
        <f t="shared" si="0"/>
        <v>0.84333530108116739</v>
      </c>
    </row>
    <row r="17" spans="1:6" x14ac:dyDescent="0.2">
      <c r="A17" s="39" t="s">
        <v>163</v>
      </c>
      <c r="B17" s="39" t="s">
        <v>164</v>
      </c>
      <c r="C17" s="39" t="s">
        <v>40</v>
      </c>
      <c r="D17" s="39">
        <v>47341</v>
      </c>
      <c r="E17" s="68">
        <v>250.33920800000001</v>
      </c>
      <c r="F17" s="43">
        <f t="shared" si="0"/>
        <v>0.82468707559023824</v>
      </c>
    </row>
    <row r="18" spans="1:6" x14ac:dyDescent="0.2">
      <c r="A18" s="39" t="s">
        <v>85</v>
      </c>
      <c r="B18" s="39" t="s">
        <v>86</v>
      </c>
      <c r="C18" s="39" t="s">
        <v>12</v>
      </c>
      <c r="D18" s="39">
        <v>60374</v>
      </c>
      <c r="E18" s="68">
        <v>247.322091</v>
      </c>
      <c r="F18" s="43">
        <f t="shared" si="0"/>
        <v>0.81474785186526921</v>
      </c>
    </row>
    <row r="19" spans="1:6" x14ac:dyDescent="0.2">
      <c r="A19" s="39" t="s">
        <v>172</v>
      </c>
      <c r="B19" s="39" t="s">
        <v>173</v>
      </c>
      <c r="C19" s="39" t="s">
        <v>53</v>
      </c>
      <c r="D19" s="39">
        <v>34754</v>
      </c>
      <c r="E19" s="68">
        <v>247.083563</v>
      </c>
      <c r="F19" s="43">
        <f t="shared" si="0"/>
        <v>0.81396207419848676</v>
      </c>
    </row>
    <row r="20" spans="1:6" x14ac:dyDescent="0.2">
      <c r="A20" s="39" t="s">
        <v>94</v>
      </c>
      <c r="B20" s="39" t="s">
        <v>95</v>
      </c>
      <c r="C20" s="39" t="s">
        <v>96</v>
      </c>
      <c r="D20" s="39">
        <v>60000</v>
      </c>
      <c r="E20" s="68">
        <v>213.15</v>
      </c>
      <c r="F20" s="43">
        <f t="shared" si="0"/>
        <v>0.70217546650566731</v>
      </c>
    </row>
    <row r="21" spans="1:6" x14ac:dyDescent="0.2">
      <c r="A21" s="39" t="s">
        <v>233</v>
      </c>
      <c r="B21" s="39" t="s">
        <v>234</v>
      </c>
      <c r="C21" s="39" t="s">
        <v>216</v>
      </c>
      <c r="D21" s="39">
        <v>26000</v>
      </c>
      <c r="E21" s="68">
        <v>193.55699999999999</v>
      </c>
      <c r="F21" s="43">
        <f t="shared" si="0"/>
        <v>0.63763066746627939</v>
      </c>
    </row>
    <row r="22" spans="1:6" x14ac:dyDescent="0.2">
      <c r="A22" s="39" t="s">
        <v>23</v>
      </c>
      <c r="B22" s="39" t="s">
        <v>24</v>
      </c>
      <c r="C22" s="39" t="s">
        <v>25</v>
      </c>
      <c r="D22" s="39">
        <v>96457</v>
      </c>
      <c r="E22" s="68">
        <v>177.91493650000001</v>
      </c>
      <c r="F22" s="43">
        <f t="shared" si="0"/>
        <v>0.58610135367212612</v>
      </c>
    </row>
    <row r="23" spans="1:6" x14ac:dyDescent="0.2">
      <c r="A23" s="39" t="s">
        <v>176</v>
      </c>
      <c r="B23" s="39" t="s">
        <v>177</v>
      </c>
      <c r="C23" s="39" t="s">
        <v>37</v>
      </c>
      <c r="D23" s="39">
        <v>10000</v>
      </c>
      <c r="E23" s="68">
        <v>137.20500000000001</v>
      </c>
      <c r="F23" s="43">
        <f t="shared" si="0"/>
        <v>0.4519914843157874</v>
      </c>
    </row>
    <row r="24" spans="1:6" x14ac:dyDescent="0.2">
      <c r="A24" s="39" t="s">
        <v>195</v>
      </c>
      <c r="B24" s="39" t="s">
        <v>196</v>
      </c>
      <c r="C24" s="39" t="s">
        <v>37</v>
      </c>
      <c r="D24" s="39">
        <v>9526</v>
      </c>
      <c r="E24" s="68">
        <v>121.413633</v>
      </c>
      <c r="F24" s="43">
        <f t="shared" si="0"/>
        <v>0.39997032320864595</v>
      </c>
    </row>
    <row r="25" spans="1:6" x14ac:dyDescent="0.2">
      <c r="A25" s="39" t="s">
        <v>29</v>
      </c>
      <c r="B25" s="39" t="s">
        <v>30</v>
      </c>
      <c r="C25" s="39" t="s">
        <v>31</v>
      </c>
      <c r="D25" s="39">
        <v>20015</v>
      </c>
      <c r="E25" s="68">
        <v>115.0362125</v>
      </c>
      <c r="F25" s="43">
        <f t="shared" si="0"/>
        <v>0.37896132384345571</v>
      </c>
    </row>
    <row r="26" spans="1:6" x14ac:dyDescent="0.2">
      <c r="A26" s="39" t="s">
        <v>178</v>
      </c>
      <c r="B26" s="39" t="s">
        <v>179</v>
      </c>
      <c r="C26" s="39" t="s">
        <v>162</v>
      </c>
      <c r="D26" s="39">
        <v>45000</v>
      </c>
      <c r="E26" s="68">
        <v>101.3625</v>
      </c>
      <c r="F26" s="43">
        <f t="shared" si="0"/>
        <v>0.33391630646812437</v>
      </c>
    </row>
    <row r="27" spans="1:6" x14ac:dyDescent="0.2">
      <c r="A27" s="39" t="s">
        <v>265</v>
      </c>
      <c r="B27" s="39" t="s">
        <v>266</v>
      </c>
      <c r="C27" s="39" t="s">
        <v>40</v>
      </c>
      <c r="D27" s="39">
        <v>25761</v>
      </c>
      <c r="E27" s="68">
        <v>90.923449500000004</v>
      </c>
      <c r="F27" s="43">
        <f t="shared" si="0"/>
        <v>0.2995271666383626</v>
      </c>
    </row>
    <row r="28" spans="1:6" x14ac:dyDescent="0.2">
      <c r="A28" s="39" t="s">
        <v>87</v>
      </c>
      <c r="B28" s="39" t="s">
        <v>88</v>
      </c>
      <c r="C28" s="39" t="s">
        <v>12</v>
      </c>
      <c r="D28" s="39">
        <v>29755</v>
      </c>
      <c r="E28" s="68">
        <v>81.484067499999995</v>
      </c>
      <c r="F28" s="43">
        <f t="shared" si="0"/>
        <v>0.26843121327511982</v>
      </c>
    </row>
    <row r="29" spans="1:6" x14ac:dyDescent="0.2">
      <c r="A29" s="39" t="s">
        <v>239</v>
      </c>
      <c r="B29" s="39" t="s">
        <v>240</v>
      </c>
      <c r="C29" s="39" t="s">
        <v>15</v>
      </c>
      <c r="D29" s="39">
        <v>35367</v>
      </c>
      <c r="E29" s="68">
        <v>67.038148500000005</v>
      </c>
      <c r="F29" s="43">
        <f t="shared" si="0"/>
        <v>0.22084233261395123</v>
      </c>
    </row>
    <row r="30" spans="1:6" x14ac:dyDescent="0.2">
      <c r="A30" s="39" t="s">
        <v>248</v>
      </c>
      <c r="B30" s="39" t="s">
        <v>249</v>
      </c>
      <c r="C30" s="39" t="s">
        <v>60</v>
      </c>
      <c r="D30" s="39">
        <v>97694</v>
      </c>
      <c r="E30" s="68">
        <v>62.084536999999997</v>
      </c>
      <c r="F30" s="43">
        <f t="shared" si="0"/>
        <v>0.20452375665382766</v>
      </c>
    </row>
    <row r="31" spans="1:6" x14ac:dyDescent="0.2">
      <c r="A31" s="39" t="s">
        <v>38</v>
      </c>
      <c r="B31" s="39" t="s">
        <v>39</v>
      </c>
      <c r="C31" s="39" t="s">
        <v>40</v>
      </c>
      <c r="D31" s="39">
        <v>40000</v>
      </c>
      <c r="E31" s="68">
        <v>46.68</v>
      </c>
      <c r="F31" s="43">
        <f t="shared" si="0"/>
        <v>0.15377692130651913</v>
      </c>
    </row>
    <row r="32" spans="1:6" x14ac:dyDescent="0.2">
      <c r="A32" s="39" t="s">
        <v>283</v>
      </c>
      <c r="B32" s="39" t="s">
        <v>284</v>
      </c>
      <c r="C32" s="39" t="s">
        <v>12</v>
      </c>
      <c r="D32" s="39">
        <v>77000</v>
      </c>
      <c r="E32" s="68">
        <v>44.737000000000002</v>
      </c>
      <c r="F32" s="43">
        <f t="shared" si="0"/>
        <v>0.14737613814245384</v>
      </c>
    </row>
    <row r="33" spans="1:6" x14ac:dyDescent="0.2">
      <c r="A33" s="39" t="s">
        <v>308</v>
      </c>
      <c r="B33" s="39" t="s">
        <v>309</v>
      </c>
      <c r="C33" s="39" t="s">
        <v>310</v>
      </c>
      <c r="D33" s="39">
        <v>581</v>
      </c>
      <c r="E33" s="68">
        <v>1.0733975</v>
      </c>
      <c r="F33" s="43" t="str">
        <f t="shared" si="0"/>
        <v>0.00*</v>
      </c>
    </row>
    <row r="34" spans="1:6" x14ac:dyDescent="0.2">
      <c r="A34" s="38" t="s">
        <v>44</v>
      </c>
      <c r="B34" s="39"/>
      <c r="C34" s="39"/>
      <c r="D34" s="39"/>
      <c r="E34" s="69">
        <f>SUM(E7:E33)</f>
        <v>6202.5104240000001</v>
      </c>
      <c r="F34" s="69">
        <f>SUM(F7:F33)</f>
        <v>20.429260788590927</v>
      </c>
    </row>
    <row r="35" spans="1:6" x14ac:dyDescent="0.2">
      <c r="A35" s="39"/>
      <c r="B35" s="39"/>
      <c r="C35" s="39"/>
      <c r="D35" s="39"/>
      <c r="E35" s="68"/>
      <c r="F35" s="68"/>
    </row>
    <row r="36" spans="1:6" x14ac:dyDescent="0.2">
      <c r="A36" s="38" t="s">
        <v>359</v>
      </c>
      <c r="B36" s="39"/>
      <c r="C36" s="39"/>
      <c r="D36" s="39"/>
      <c r="E36" s="68"/>
      <c r="F36" s="68"/>
    </row>
    <row r="37" spans="1:6" x14ac:dyDescent="0.2">
      <c r="A37" s="38" t="s">
        <v>8</v>
      </c>
      <c r="B37" s="39"/>
      <c r="C37" s="39"/>
      <c r="D37" s="39"/>
      <c r="E37" s="68"/>
      <c r="F37" s="68"/>
    </row>
    <row r="38" spans="1:6" x14ac:dyDescent="0.2">
      <c r="A38" s="38"/>
      <c r="B38" s="39"/>
      <c r="C38" s="39"/>
      <c r="D38" s="39"/>
      <c r="E38" s="68"/>
      <c r="F38" s="68"/>
    </row>
    <row r="39" spans="1:6" x14ac:dyDescent="0.2">
      <c r="A39" s="39" t="s">
        <v>799</v>
      </c>
      <c r="B39" s="39" t="str">
        <f>IFERROR(VLOOKUP(A39,[1]Bonds!$B$1:$K$2669,10,0),VLOOKUP(A39,[1]CPCD!$B$1:$H$1476,7,0))</f>
        <v>8.9508% Pipeline Infrastructure Pvt Ltd (22-Mar-2024)</v>
      </c>
      <c r="C39" s="39" t="s">
        <v>361</v>
      </c>
      <c r="D39" s="39">
        <v>300</v>
      </c>
      <c r="E39" s="68">
        <v>3020.1060000000002</v>
      </c>
      <c r="F39" s="43">
        <f t="shared" ref="F39:F56" si="1">IF((E39/$E$63*100)&lt;0.01,"0.00*",E39/$E$63*100)</f>
        <v>9.9490703234650013</v>
      </c>
    </row>
    <row r="40" spans="1:6" x14ac:dyDescent="0.2">
      <c r="A40" s="39" t="s">
        <v>1234</v>
      </c>
      <c r="B40" s="39" t="str">
        <f>IFERROR(VLOOKUP(A40,[1]Bonds!$B$1:$K$2669,10,0),VLOOKUP(A40,[1]CPCD!$B$1:$H$1476,7,0))</f>
        <v>8.60% Export-Import Bank Of India (31-Mar-2022) **</v>
      </c>
      <c r="C40" s="39" t="s">
        <v>842</v>
      </c>
      <c r="D40" s="39">
        <v>250</v>
      </c>
      <c r="E40" s="68">
        <v>2494.4924999999998</v>
      </c>
      <c r="F40" s="43">
        <f t="shared" si="1"/>
        <v>8.2175530606727101</v>
      </c>
    </row>
    <row r="41" spans="1:6" x14ac:dyDescent="0.2">
      <c r="A41" s="39" t="s">
        <v>1402</v>
      </c>
      <c r="B41" s="39" t="str">
        <f>IFERROR(VLOOKUP(A41,[1]Bonds!$B$1:$K$2669,10,0),VLOOKUP(A41,[1]CPCD!$B$1:$H$1476,7,0))</f>
        <v>9.00% State Bank Of India (06-Sep-2021) **</v>
      </c>
      <c r="C41" s="39" t="s">
        <v>727</v>
      </c>
      <c r="D41" s="39">
        <v>200</v>
      </c>
      <c r="E41" s="68">
        <v>2016.646</v>
      </c>
      <c r="F41" s="43">
        <f t="shared" si="1"/>
        <v>6.6433935999380145</v>
      </c>
    </row>
    <row r="42" spans="1:6" x14ac:dyDescent="0.2">
      <c r="A42" s="39" t="s">
        <v>746</v>
      </c>
      <c r="B42" s="39" t="str">
        <f>IFERROR(VLOOKUP(A42,[1]Bonds!$B$1:$K$2669,10,0),VLOOKUP(A42,[1]CPCD!$B$1:$H$1476,7,0))</f>
        <v>8.40% Edelweiss Rural &amp; Corporate Services Ltd (26-Oct-2020) **</v>
      </c>
      <c r="C42" s="39" t="s">
        <v>370</v>
      </c>
      <c r="D42" s="39">
        <v>200</v>
      </c>
      <c r="E42" s="68">
        <v>1984.2239999999999</v>
      </c>
      <c r="F42" s="43">
        <f t="shared" si="1"/>
        <v>6.5365865017674922</v>
      </c>
    </row>
    <row r="43" spans="1:6" x14ac:dyDescent="0.2">
      <c r="A43" s="39" t="s">
        <v>942</v>
      </c>
      <c r="B43" s="39" t="str">
        <f>IFERROR(VLOOKUP(A43,[1]Bonds!$B$1:$K$2669,10,0),VLOOKUP(A43,[1]CPCD!$B$1:$H$1476,7,0))</f>
        <v>9.25% Power Finance Corp Ltd (25-Sep-2024) **</v>
      </c>
      <c r="C43" s="39" t="s">
        <v>361</v>
      </c>
      <c r="D43" s="39">
        <v>190</v>
      </c>
      <c r="E43" s="68">
        <v>1957.0817</v>
      </c>
      <c r="F43" s="43">
        <f t="shared" si="1"/>
        <v>6.447172205898215</v>
      </c>
    </row>
    <row r="44" spans="1:6" x14ac:dyDescent="0.2">
      <c r="A44" s="39" t="s">
        <v>1405</v>
      </c>
      <c r="B44" s="39" t="str">
        <f>IFERROR(VLOOKUP(A44,[1]Bonds!$B$1:$K$2669,10,0),VLOOKUP(A44,[1]CPCD!$B$1:$H$1476,7,0))</f>
        <v>9.48% The Tata Power Co Ltd (17-Nov-2019) **</v>
      </c>
      <c r="C44" s="39" t="s">
        <v>723</v>
      </c>
      <c r="D44" s="39">
        <v>160</v>
      </c>
      <c r="E44" s="68">
        <v>1607.2336</v>
      </c>
      <c r="F44" s="43">
        <f t="shared" si="1"/>
        <v>5.2946751248584709</v>
      </c>
    </row>
    <row r="45" spans="1:6" x14ac:dyDescent="0.2">
      <c r="A45" s="39" t="s">
        <v>930</v>
      </c>
      <c r="B45" s="39" t="str">
        <f>IFERROR(VLOOKUP(A45,[1]Bonds!$B$1:$K$2669,10,0),VLOOKUP(A45,[1]CPCD!$B$1:$H$1476,7,0))</f>
        <v>8.80% Rec Ltd (14-May-2029) **</v>
      </c>
      <c r="C45" s="39" t="s">
        <v>361</v>
      </c>
      <c r="D45" s="39">
        <v>100</v>
      </c>
      <c r="E45" s="68">
        <v>1028.414</v>
      </c>
      <c r="F45" s="43">
        <f t="shared" si="1"/>
        <v>3.3878821497112801</v>
      </c>
    </row>
    <row r="46" spans="1:6" x14ac:dyDescent="0.2">
      <c r="A46" s="39" t="s">
        <v>363</v>
      </c>
      <c r="B46" s="39" t="str">
        <f>IFERROR(VLOOKUP(A46,[1]Bonds!$B$1:$K$2669,10,0),VLOOKUP(A46,[1]CPCD!$B$1:$H$1476,7,0))</f>
        <v>9.70% Coastal Gujarat Power Ltd (25-Aug-2023) **</v>
      </c>
      <c r="C46" s="39" t="s">
        <v>364</v>
      </c>
      <c r="D46" s="39">
        <v>100</v>
      </c>
      <c r="E46" s="68">
        <v>1005.431</v>
      </c>
      <c r="F46" s="43">
        <f t="shared" si="1"/>
        <v>3.3121697464896065</v>
      </c>
    </row>
    <row r="47" spans="1:6" x14ac:dyDescent="0.2">
      <c r="A47" s="39" t="s">
        <v>1179</v>
      </c>
      <c r="B47" s="39" t="str">
        <f>IFERROR(VLOOKUP(A47,[1]Bonds!$B$1:$K$2669,10,0),VLOOKUP(A47,[1]CPCD!$B$1:$H$1476,7,0))</f>
        <v>9.15% Tata Steel Ltd (24-Jan-2021) **</v>
      </c>
      <c r="C47" s="39" t="s">
        <v>1180</v>
      </c>
      <c r="D47" s="39">
        <v>100</v>
      </c>
      <c r="E47" s="68">
        <v>1000.739</v>
      </c>
      <c r="F47" s="43">
        <f t="shared" si="1"/>
        <v>3.2967129916744784</v>
      </c>
    </row>
    <row r="48" spans="1:6" x14ac:dyDescent="0.2">
      <c r="A48" s="39" t="s">
        <v>1407</v>
      </c>
      <c r="B48" s="39" t="str">
        <f>IFERROR(VLOOKUP(A48,[1]Bonds!$B$1:$K$2669,10,0),VLOOKUP(A48,[1]CPCD!$B$1:$H$1476,7,0))</f>
        <v>9.55% Andhra Bank (26-Dec-2019) **</v>
      </c>
      <c r="C48" s="39" t="s">
        <v>735</v>
      </c>
      <c r="D48" s="39">
        <v>100</v>
      </c>
      <c r="E48" s="68">
        <v>999.63099999999997</v>
      </c>
      <c r="F48" s="43">
        <f t="shared" si="1"/>
        <v>3.2930629310744863</v>
      </c>
    </row>
    <row r="49" spans="1:6" x14ac:dyDescent="0.2">
      <c r="A49" s="39" t="s">
        <v>1404</v>
      </c>
      <c r="B49" s="39" t="str">
        <f>IFERROR(VLOOKUP(A49,[1]Bonds!$B$1:$K$2669,10,0),VLOOKUP(A49,[1]CPCD!$B$1:$H$1476,7,0))</f>
        <v>7.33% Indian Railway Finance Corp Ltd (27-Aug-2027) **</v>
      </c>
      <c r="C49" s="39" t="s">
        <v>361</v>
      </c>
      <c r="D49" s="39">
        <v>90</v>
      </c>
      <c r="E49" s="68">
        <v>891.846</v>
      </c>
      <c r="F49" s="43">
        <f t="shared" si="1"/>
        <v>2.9379891208126363</v>
      </c>
    </row>
    <row r="50" spans="1:6" x14ac:dyDescent="0.2">
      <c r="A50" s="39" t="s">
        <v>1275</v>
      </c>
      <c r="B50" s="39" t="str">
        <f>IFERROR(VLOOKUP(A50,[1]Bonds!$B$1:$K$2669,10,0),VLOOKUP(A50,[1]CPCD!$B$1:$H$1476,7,0))</f>
        <v>9.55% Hindalco Industries Ltd (27-Jun-2022) **</v>
      </c>
      <c r="C50" s="39" t="s">
        <v>763</v>
      </c>
      <c r="D50" s="39">
        <v>70</v>
      </c>
      <c r="E50" s="68">
        <v>727.8306</v>
      </c>
      <c r="F50" s="43">
        <f t="shared" si="1"/>
        <v>2.3976767116683075</v>
      </c>
    </row>
    <row r="51" spans="1:6" x14ac:dyDescent="0.2">
      <c r="A51" s="39" t="s">
        <v>926</v>
      </c>
      <c r="B51" s="39" t="str">
        <f>IFERROR(VLOOKUP(A51,[1]Bonds!$B$1:$K$2669,10,0),VLOOKUP(A51,[1]CPCD!$B$1:$H$1476,7,0))</f>
        <v>8.85% Power Finance Corp Ltd (25-May-2029)</v>
      </c>
      <c r="C51" s="39" t="s">
        <v>361</v>
      </c>
      <c r="D51" s="39">
        <v>65</v>
      </c>
      <c r="E51" s="68">
        <v>671.66970000000003</v>
      </c>
      <c r="F51" s="43">
        <f t="shared" si="1"/>
        <v>2.2126670651429587</v>
      </c>
    </row>
    <row r="52" spans="1:6" x14ac:dyDescent="0.2">
      <c r="A52" s="39" t="s">
        <v>368</v>
      </c>
      <c r="B52" s="39" t="str">
        <f>IFERROR(VLOOKUP(A52,[1]Bonds!$B$1:$K$2669,10,0),VLOOKUP(A52,[1]CPCD!$B$1:$H$1476,7,0))</f>
        <v>8.85% Rec Ltd (16-Apr-2029) **</v>
      </c>
      <c r="C52" s="39" t="s">
        <v>361</v>
      </c>
      <c r="D52" s="39">
        <v>60</v>
      </c>
      <c r="E52" s="68">
        <v>618.83280000000002</v>
      </c>
      <c r="F52" s="43">
        <f t="shared" si="1"/>
        <v>2.0386076004175853</v>
      </c>
    </row>
    <row r="53" spans="1:6" x14ac:dyDescent="0.2">
      <c r="A53" s="39" t="s">
        <v>915</v>
      </c>
      <c r="B53" s="39" t="str">
        <f>IFERROR(VLOOKUP(A53,[1]Bonds!$B$1:$K$2669,10,0),VLOOKUP(A53,[1]CPCD!$B$1:$H$1476,7,0))</f>
        <v>8.97% Rec Ltd (28-Mar-2029) **</v>
      </c>
      <c r="C53" s="39" t="s">
        <v>916</v>
      </c>
      <c r="D53" s="39">
        <v>55</v>
      </c>
      <c r="E53" s="68">
        <v>564.80489999999998</v>
      </c>
      <c r="F53" s="43">
        <f t="shared" si="1"/>
        <v>1.8606246499750727</v>
      </c>
    </row>
    <row r="54" spans="1:6" x14ac:dyDescent="0.2">
      <c r="A54" s="39" t="s">
        <v>369</v>
      </c>
      <c r="B54" s="39" t="str">
        <f>IFERROR(VLOOKUP(A54,[1]Bonds!$B$1:$K$2669,10,0),VLOOKUP(A54,[1]CPCD!$B$1:$H$1476,7,0))</f>
        <v>9.45% Vedanta Ltd (17-Aug-2020) **</v>
      </c>
      <c r="C54" s="39" t="s">
        <v>370</v>
      </c>
      <c r="D54" s="39">
        <v>50</v>
      </c>
      <c r="E54" s="68">
        <v>498.06450000000001</v>
      </c>
      <c r="F54" s="43">
        <f t="shared" si="1"/>
        <v>1.6407631838489887</v>
      </c>
    </row>
    <row r="55" spans="1:6" x14ac:dyDescent="0.2">
      <c r="A55" s="39" t="s">
        <v>1408</v>
      </c>
      <c r="B55" s="39" t="str">
        <f>IFERROR(VLOOKUP(A55,[1]Bonds!$B$1:$K$2669,10,0),VLOOKUP(A55,[1]CPCD!$B$1:$H$1476,7,0))</f>
        <v>10.25% Yes Bank Ltd (05-Mar-2020) **</v>
      </c>
      <c r="C55" s="39" t="s">
        <v>905</v>
      </c>
      <c r="D55" s="39">
        <v>50</v>
      </c>
      <c r="E55" s="68">
        <v>494.565</v>
      </c>
      <c r="F55" s="43">
        <f t="shared" si="1"/>
        <v>1.6292348561687795</v>
      </c>
    </row>
    <row r="56" spans="1:6" x14ac:dyDescent="0.2">
      <c r="A56" s="39" t="s">
        <v>366</v>
      </c>
      <c r="B56" s="39" t="str">
        <f>IFERROR(VLOOKUP(A56,[1]Bonds!$B$1:$K$2669,10,0),VLOOKUP(A56,[1]CPCD!$B$1:$H$1476,7,0))</f>
        <v>8.80% JM Financial Products Ltd (28-Sep-2020) **</v>
      </c>
      <c r="C56" s="39" t="s">
        <v>367</v>
      </c>
      <c r="D56" s="39">
        <v>50</v>
      </c>
      <c r="E56" s="68">
        <v>486.65750000000003</v>
      </c>
      <c r="F56" s="43">
        <f t="shared" si="1"/>
        <v>1.6031853487730792</v>
      </c>
    </row>
    <row r="57" spans="1:6" x14ac:dyDescent="0.2">
      <c r="A57" s="38" t="s">
        <v>44</v>
      </c>
      <c r="B57" s="39"/>
      <c r="C57" s="39"/>
      <c r="D57" s="39"/>
      <c r="E57" s="69">
        <f>SUM(E39:E56)</f>
        <v>22068.269800000002</v>
      </c>
      <c r="F57" s="69">
        <f>SUM(F39:F56)</f>
        <v>72.699027172357177</v>
      </c>
    </row>
    <row r="58" spans="1:6" x14ac:dyDescent="0.2">
      <c r="A58" s="39"/>
      <c r="B58" s="39"/>
      <c r="C58" s="39"/>
      <c r="D58" s="39"/>
      <c r="E58" s="68"/>
      <c r="F58" s="68"/>
    </row>
    <row r="59" spans="1:6" x14ac:dyDescent="0.2">
      <c r="A59" s="38" t="s">
        <v>44</v>
      </c>
      <c r="B59" s="39"/>
      <c r="C59" s="39"/>
      <c r="D59" s="39"/>
      <c r="E59" s="69">
        <f>E34+E57</f>
        <v>28270.780224000002</v>
      </c>
      <c r="F59" s="69">
        <f>F34+F57</f>
        <v>93.1282879609481</v>
      </c>
    </row>
    <row r="60" spans="1:6" x14ac:dyDescent="0.2">
      <c r="A60" s="39"/>
      <c r="B60" s="39"/>
      <c r="C60" s="39"/>
      <c r="D60" s="39"/>
      <c r="E60" s="68"/>
      <c r="F60" s="68"/>
    </row>
    <row r="61" spans="1:6" x14ac:dyDescent="0.2">
      <c r="A61" s="38" t="s">
        <v>76</v>
      </c>
      <c r="B61" s="39"/>
      <c r="C61" s="39"/>
      <c r="D61" s="39"/>
      <c r="E61" s="69">
        <v>2084.8801724999998</v>
      </c>
      <c r="F61" s="69">
        <v>6.87</v>
      </c>
    </row>
    <row r="62" spans="1:6" x14ac:dyDescent="0.2">
      <c r="A62" s="39"/>
      <c r="B62" s="39"/>
      <c r="C62" s="39"/>
      <c r="D62" s="39"/>
      <c r="E62" s="68"/>
      <c r="F62" s="68"/>
    </row>
    <row r="63" spans="1:6" x14ac:dyDescent="0.2">
      <c r="A63" s="71" t="s">
        <v>77</v>
      </c>
      <c r="B63" s="66"/>
      <c r="C63" s="66"/>
      <c r="D63" s="66"/>
      <c r="E63" s="72">
        <f>E59+E61</f>
        <v>30355.660396500003</v>
      </c>
      <c r="F63" s="72">
        <f>F59+F61</f>
        <v>99.998287960948105</v>
      </c>
    </row>
    <row r="64" spans="1:6" x14ac:dyDescent="0.2">
      <c r="A64" s="4" t="s">
        <v>619</v>
      </c>
      <c r="F64" s="74" t="s">
        <v>884</v>
      </c>
    </row>
    <row r="66" spans="1:4" x14ac:dyDescent="0.2">
      <c r="A66" s="4" t="s">
        <v>78</v>
      </c>
    </row>
    <row r="67" spans="1:4" x14ac:dyDescent="0.2">
      <c r="A67" s="4" t="s">
        <v>650</v>
      </c>
    </row>
    <row r="68" spans="1:4" x14ac:dyDescent="0.2">
      <c r="A68" s="4" t="s">
        <v>80</v>
      </c>
    </row>
    <row r="69" spans="1:4" x14ac:dyDescent="0.2">
      <c r="A69" s="2" t="s">
        <v>638</v>
      </c>
      <c r="D69" s="10">
        <v>54.113399999999999</v>
      </c>
    </row>
    <row r="70" spans="1:4" x14ac:dyDescent="0.2">
      <c r="A70" s="2" t="s">
        <v>651</v>
      </c>
      <c r="D70" s="10">
        <v>13.054</v>
      </c>
    </row>
    <row r="71" spans="1:4" x14ac:dyDescent="0.2">
      <c r="A71" s="2" t="s">
        <v>652</v>
      </c>
      <c r="D71" s="10">
        <v>12.6944</v>
      </c>
    </row>
    <row r="72" spans="1:4" x14ac:dyDescent="0.2">
      <c r="A72" s="2" t="s">
        <v>640</v>
      </c>
      <c r="D72" s="10">
        <v>56.643900000000002</v>
      </c>
    </row>
    <row r="73" spans="1:4" x14ac:dyDescent="0.2">
      <c r="A73" s="2" t="s">
        <v>653</v>
      </c>
      <c r="D73" s="10">
        <v>13.811400000000001</v>
      </c>
    </row>
    <row r="74" spans="1:4" x14ac:dyDescent="0.2">
      <c r="A74" s="2" t="s">
        <v>654</v>
      </c>
      <c r="D74" s="10">
        <v>13.4246</v>
      </c>
    </row>
    <row r="76" spans="1:4" x14ac:dyDescent="0.2">
      <c r="A76" s="4" t="s">
        <v>81</v>
      </c>
    </row>
    <row r="77" spans="1:4" x14ac:dyDescent="0.2">
      <c r="A77" s="2" t="s">
        <v>638</v>
      </c>
      <c r="D77" s="10">
        <v>56.326999999999998</v>
      </c>
    </row>
    <row r="78" spans="1:4" x14ac:dyDescent="0.2">
      <c r="A78" s="2" t="s">
        <v>651</v>
      </c>
      <c r="D78" s="10">
        <v>13.0746</v>
      </c>
    </row>
    <row r="79" spans="1:4" x14ac:dyDescent="0.2">
      <c r="A79" s="2" t="s">
        <v>652</v>
      </c>
      <c r="D79" s="10">
        <v>12.686999999999999</v>
      </c>
    </row>
    <row r="80" spans="1:4" x14ac:dyDescent="0.2">
      <c r="A80" s="2" t="s">
        <v>640</v>
      </c>
      <c r="D80" s="10">
        <v>59.159799999999997</v>
      </c>
    </row>
    <row r="81" spans="1:5" x14ac:dyDescent="0.2">
      <c r="A81" s="2" t="s">
        <v>653</v>
      </c>
      <c r="D81" s="10">
        <v>13.902200000000001</v>
      </c>
    </row>
    <row r="82" spans="1:5" x14ac:dyDescent="0.2">
      <c r="A82" s="2" t="s">
        <v>654</v>
      </c>
      <c r="D82" s="10">
        <v>13.485300000000001</v>
      </c>
    </row>
    <row r="84" spans="1:5" x14ac:dyDescent="0.2">
      <c r="A84" s="4" t="s">
        <v>82</v>
      </c>
      <c r="D84" s="44" t="s">
        <v>299</v>
      </c>
    </row>
    <row r="85" spans="1:5" x14ac:dyDescent="0.2">
      <c r="A85" s="106" t="s">
        <v>642</v>
      </c>
      <c r="B85" s="107"/>
      <c r="C85" s="109" t="s">
        <v>643</v>
      </c>
      <c r="D85" s="109"/>
    </row>
    <row r="86" spans="1:5" x14ac:dyDescent="0.2">
      <c r="A86" s="110"/>
      <c r="B86" s="110"/>
      <c r="C86" s="47" t="s">
        <v>644</v>
      </c>
      <c r="D86" s="47" t="s">
        <v>645</v>
      </c>
    </row>
    <row r="87" spans="1:5" x14ac:dyDescent="0.2">
      <c r="A87" s="48" t="s">
        <v>651</v>
      </c>
      <c r="B87" s="49"/>
      <c r="C87" s="54">
        <v>0.36736457699999997</v>
      </c>
      <c r="D87" s="54">
        <v>0.34018142940000001</v>
      </c>
    </row>
    <row r="88" spans="1:5" x14ac:dyDescent="0.2">
      <c r="A88" s="48" t="s">
        <v>652</v>
      </c>
      <c r="B88" s="49"/>
      <c r="C88" s="54">
        <v>0.374567804</v>
      </c>
      <c r="D88" s="54">
        <v>0.3468516532</v>
      </c>
    </row>
    <row r="89" spans="1:5" x14ac:dyDescent="0.2">
      <c r="A89" s="48" t="s">
        <v>653</v>
      </c>
      <c r="B89" s="49"/>
      <c r="C89" s="54">
        <v>0.36736457699999997</v>
      </c>
      <c r="D89" s="54">
        <v>0.34018142940000001</v>
      </c>
    </row>
    <row r="90" spans="1:5" x14ac:dyDescent="0.2">
      <c r="A90" s="48" t="s">
        <v>654</v>
      </c>
      <c r="B90" s="49"/>
      <c r="C90" s="54">
        <v>0.374567804</v>
      </c>
      <c r="D90" s="54">
        <v>0.3468516532</v>
      </c>
    </row>
    <row r="91" spans="1:5" x14ac:dyDescent="0.2">
      <c r="A91" s="4"/>
      <c r="D91" s="44"/>
    </row>
    <row r="92" spans="1:5" x14ac:dyDescent="0.2">
      <c r="A92" s="4" t="s">
        <v>647</v>
      </c>
      <c r="D92" s="53">
        <v>3.390358733879796</v>
      </c>
      <c r="E92" s="73" t="s">
        <v>648</v>
      </c>
    </row>
  </sheetData>
  <mergeCells count="4">
    <mergeCell ref="A1:F1"/>
    <mergeCell ref="A85:B85"/>
    <mergeCell ref="C85:D85"/>
    <mergeCell ref="A86:B86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69418-FDA8-499F-BB5B-A93565E15600}">
  <dimension ref="A1:F111"/>
  <sheetViews>
    <sheetView showGridLines="0" workbookViewId="0">
      <selection sqref="A1:F1"/>
    </sheetView>
  </sheetViews>
  <sheetFormatPr defaultRowHeight="11.25" x14ac:dyDescent="0.2"/>
  <cols>
    <col min="1" max="1" width="38" style="2" customWidth="1"/>
    <col min="2" max="2" width="83.7109375" style="2" bestFit="1" customWidth="1"/>
    <col min="3" max="3" width="35.7109375" style="2" bestFit="1" customWidth="1"/>
    <col min="4" max="4" width="7.42578125" style="2" bestFit="1" customWidth="1"/>
    <col min="5" max="5" width="23" style="73" bestFit="1" customWidth="1"/>
    <col min="6" max="6" width="15.5703125" style="73" bestFit="1" customWidth="1"/>
    <col min="7" max="16384" width="9.140625" style="2"/>
  </cols>
  <sheetData>
    <row r="1" spans="1:6" ht="15" customHeight="1" x14ac:dyDescent="0.2">
      <c r="A1" s="108" t="s">
        <v>1409</v>
      </c>
      <c r="B1" s="108"/>
      <c r="C1" s="108"/>
      <c r="D1" s="108"/>
      <c r="E1" s="108"/>
      <c r="F1" s="108"/>
    </row>
    <row r="3" spans="1:6" s="4" customFormat="1" x14ac:dyDescent="0.2">
      <c r="A3" s="64" t="s">
        <v>1</v>
      </c>
      <c r="B3" s="64" t="s">
        <v>2</v>
      </c>
      <c r="C3" s="64" t="s">
        <v>1401</v>
      </c>
      <c r="D3" s="64" t="s">
        <v>4</v>
      </c>
      <c r="E3" s="65" t="s">
        <v>5</v>
      </c>
      <c r="F3" s="65" t="s">
        <v>6</v>
      </c>
    </row>
    <row r="4" spans="1:6" x14ac:dyDescent="0.2">
      <c r="A4" s="66"/>
      <c r="B4" s="66"/>
      <c r="C4" s="66"/>
      <c r="D4" s="66"/>
      <c r="E4" s="67"/>
      <c r="F4" s="67"/>
    </row>
    <row r="5" spans="1:6" x14ac:dyDescent="0.2">
      <c r="A5" s="38" t="s">
        <v>7</v>
      </c>
      <c r="B5" s="39"/>
      <c r="C5" s="39"/>
      <c r="D5" s="39"/>
      <c r="E5" s="68"/>
      <c r="F5" s="68"/>
    </row>
    <row r="6" spans="1:6" x14ac:dyDescent="0.2">
      <c r="A6" s="38" t="s">
        <v>8</v>
      </c>
      <c r="B6" s="39"/>
      <c r="C6" s="39"/>
      <c r="D6" s="39"/>
      <c r="E6" s="68"/>
      <c r="F6" s="68"/>
    </row>
    <row r="7" spans="1:6" x14ac:dyDescent="0.2">
      <c r="A7" s="39" t="s">
        <v>97</v>
      </c>
      <c r="B7" s="39" t="s">
        <v>98</v>
      </c>
      <c r="C7" s="39" t="s">
        <v>12</v>
      </c>
      <c r="D7" s="39">
        <v>2000862</v>
      </c>
      <c r="E7" s="68">
        <v>13283.722818</v>
      </c>
      <c r="F7" s="43">
        <f>IF((E7/$E$86*100)&lt;0.01,"0.00*",E7/$E$86*100)</f>
        <v>7.3319880410181044</v>
      </c>
    </row>
    <row r="8" spans="1:6" x14ac:dyDescent="0.2">
      <c r="A8" s="39" t="s">
        <v>10</v>
      </c>
      <c r="B8" s="39" t="s">
        <v>11</v>
      </c>
      <c r="C8" s="39" t="s">
        <v>12</v>
      </c>
      <c r="D8" s="39">
        <v>494434</v>
      </c>
      <c r="E8" s="68">
        <v>11015.742303000001</v>
      </c>
      <c r="F8" s="43">
        <f t="shared" ref="F8:F43" si="0">IF((E8/$E$86*100)&lt;0.01,"0.00*",E8/$E$86*100)</f>
        <v>6.0801698390672669</v>
      </c>
    </row>
    <row r="9" spans="1:6" x14ac:dyDescent="0.2">
      <c r="A9" s="39" t="s">
        <v>85</v>
      </c>
      <c r="B9" s="39" t="s">
        <v>86</v>
      </c>
      <c r="C9" s="39" t="s">
        <v>12</v>
      </c>
      <c r="D9" s="39">
        <v>1656302</v>
      </c>
      <c r="E9" s="68">
        <v>6785.0411430000004</v>
      </c>
      <c r="F9" s="43">
        <f t="shared" si="0"/>
        <v>3.7450224759945616</v>
      </c>
    </row>
    <row r="10" spans="1:6" x14ac:dyDescent="0.2">
      <c r="A10" s="39" t="s">
        <v>21</v>
      </c>
      <c r="B10" s="39" t="s">
        <v>22</v>
      </c>
      <c r="C10" s="39" t="s">
        <v>12</v>
      </c>
      <c r="D10" s="39">
        <v>459760</v>
      </c>
      <c r="E10" s="68">
        <v>6581.23452</v>
      </c>
      <c r="F10" s="43">
        <f t="shared" si="0"/>
        <v>3.6325308392004367</v>
      </c>
    </row>
    <row r="11" spans="1:6" x14ac:dyDescent="0.2">
      <c r="A11" s="39" t="s">
        <v>156</v>
      </c>
      <c r="B11" s="39" t="s">
        <v>157</v>
      </c>
      <c r="C11" s="39" t="s">
        <v>64</v>
      </c>
      <c r="D11" s="39">
        <v>763784</v>
      </c>
      <c r="E11" s="68">
        <v>6224.0758159999996</v>
      </c>
      <c r="F11" s="43">
        <f t="shared" si="0"/>
        <v>3.4353960914830943</v>
      </c>
    </row>
    <row r="12" spans="1:6" x14ac:dyDescent="0.2">
      <c r="A12" s="39" t="s">
        <v>23</v>
      </c>
      <c r="B12" s="39" t="s">
        <v>24</v>
      </c>
      <c r="C12" s="39" t="s">
        <v>25</v>
      </c>
      <c r="D12" s="39">
        <v>3044188</v>
      </c>
      <c r="E12" s="68">
        <v>5615.004766</v>
      </c>
      <c r="F12" s="43">
        <f t="shared" si="0"/>
        <v>3.0992176183310409</v>
      </c>
    </row>
    <row r="13" spans="1:6" x14ac:dyDescent="0.2">
      <c r="A13" s="39" t="s">
        <v>199</v>
      </c>
      <c r="B13" s="39" t="s">
        <v>200</v>
      </c>
      <c r="C13" s="39" t="s">
        <v>93</v>
      </c>
      <c r="D13" s="39">
        <v>2508769</v>
      </c>
      <c r="E13" s="68">
        <v>5030.0818449999997</v>
      </c>
      <c r="F13" s="43">
        <f t="shared" si="0"/>
        <v>2.7763677726629212</v>
      </c>
    </row>
    <row r="14" spans="1:6" x14ac:dyDescent="0.2">
      <c r="A14" s="39" t="s">
        <v>89</v>
      </c>
      <c r="B14" s="39" t="s">
        <v>90</v>
      </c>
      <c r="C14" s="39" t="s">
        <v>43</v>
      </c>
      <c r="D14" s="39">
        <v>1264520</v>
      </c>
      <c r="E14" s="68">
        <v>4385.3553599999996</v>
      </c>
      <c r="F14" s="43">
        <f t="shared" si="0"/>
        <v>2.4205091822275513</v>
      </c>
    </row>
    <row r="15" spans="1:6" x14ac:dyDescent="0.2">
      <c r="A15" s="39" t="s">
        <v>163</v>
      </c>
      <c r="B15" s="39" t="s">
        <v>164</v>
      </c>
      <c r="C15" s="39" t="s">
        <v>40</v>
      </c>
      <c r="D15" s="39">
        <v>821320</v>
      </c>
      <c r="E15" s="68">
        <v>4343.1401599999999</v>
      </c>
      <c r="F15" s="43">
        <f t="shared" si="0"/>
        <v>2.397208384266774</v>
      </c>
    </row>
    <row r="16" spans="1:6" x14ac:dyDescent="0.2">
      <c r="A16" s="39" t="s">
        <v>172</v>
      </c>
      <c r="B16" s="39" t="s">
        <v>173</v>
      </c>
      <c r="C16" s="39" t="s">
        <v>53</v>
      </c>
      <c r="D16" s="39">
        <v>600350</v>
      </c>
      <c r="E16" s="68">
        <v>4268.1883250000001</v>
      </c>
      <c r="F16" s="43">
        <f t="shared" si="0"/>
        <v>2.3558385088634943</v>
      </c>
    </row>
    <row r="17" spans="1:6" x14ac:dyDescent="0.2">
      <c r="A17" s="39" t="s">
        <v>160</v>
      </c>
      <c r="B17" s="39" t="s">
        <v>161</v>
      </c>
      <c r="C17" s="39" t="s">
        <v>162</v>
      </c>
      <c r="D17" s="39">
        <v>154688</v>
      </c>
      <c r="E17" s="68">
        <v>3956.1455999999998</v>
      </c>
      <c r="F17" s="43">
        <f t="shared" si="0"/>
        <v>2.1836056522062846</v>
      </c>
    </row>
    <row r="18" spans="1:6" x14ac:dyDescent="0.2">
      <c r="A18" s="39" t="s">
        <v>101</v>
      </c>
      <c r="B18" s="39" t="s">
        <v>102</v>
      </c>
      <c r="C18" s="39" t="s">
        <v>103</v>
      </c>
      <c r="D18" s="39">
        <v>1446976</v>
      </c>
      <c r="E18" s="68">
        <v>3861.2554559999999</v>
      </c>
      <c r="F18" s="43">
        <f t="shared" si="0"/>
        <v>2.1312307712673553</v>
      </c>
    </row>
    <row r="19" spans="1:6" x14ac:dyDescent="0.2">
      <c r="A19" s="39" t="s">
        <v>224</v>
      </c>
      <c r="B19" s="39" t="s">
        <v>225</v>
      </c>
      <c r="C19" s="39" t="s">
        <v>37</v>
      </c>
      <c r="D19" s="39">
        <v>28764</v>
      </c>
      <c r="E19" s="68">
        <v>3703.4225280000001</v>
      </c>
      <c r="F19" s="43">
        <f t="shared" si="0"/>
        <v>2.044114444283569</v>
      </c>
    </row>
    <row r="20" spans="1:6" x14ac:dyDescent="0.2">
      <c r="A20" s="39" t="s">
        <v>195</v>
      </c>
      <c r="B20" s="39" t="s">
        <v>196</v>
      </c>
      <c r="C20" s="39" t="s">
        <v>37</v>
      </c>
      <c r="D20" s="39">
        <v>276850</v>
      </c>
      <c r="E20" s="68">
        <v>3528.5916750000001</v>
      </c>
      <c r="F20" s="43">
        <f t="shared" si="0"/>
        <v>1.9476160649542427</v>
      </c>
    </row>
    <row r="21" spans="1:6" x14ac:dyDescent="0.2">
      <c r="A21" s="39" t="s">
        <v>193</v>
      </c>
      <c r="B21" s="39" t="s">
        <v>194</v>
      </c>
      <c r="C21" s="39" t="s">
        <v>103</v>
      </c>
      <c r="D21" s="39">
        <v>1516102</v>
      </c>
      <c r="E21" s="68">
        <v>3333.150247</v>
      </c>
      <c r="F21" s="43">
        <f t="shared" si="0"/>
        <v>1.8397416209863391</v>
      </c>
    </row>
    <row r="22" spans="1:6" x14ac:dyDescent="0.2">
      <c r="A22" s="39" t="s">
        <v>104</v>
      </c>
      <c r="B22" s="39" t="s">
        <v>105</v>
      </c>
      <c r="C22" s="39" t="s">
        <v>96</v>
      </c>
      <c r="D22" s="39">
        <v>2568360</v>
      </c>
      <c r="E22" s="68">
        <v>3144.9568199999999</v>
      </c>
      <c r="F22" s="43">
        <f t="shared" si="0"/>
        <v>1.7358677314850852</v>
      </c>
    </row>
    <row r="23" spans="1:6" x14ac:dyDescent="0.2">
      <c r="A23" s="39" t="s">
        <v>91</v>
      </c>
      <c r="B23" s="39" t="s">
        <v>92</v>
      </c>
      <c r="C23" s="39" t="s">
        <v>93</v>
      </c>
      <c r="D23" s="39">
        <v>2512015</v>
      </c>
      <c r="E23" s="68">
        <v>3055.8662475000001</v>
      </c>
      <c r="F23" s="43">
        <f t="shared" si="0"/>
        <v>1.6866939402906227</v>
      </c>
    </row>
    <row r="24" spans="1:6" x14ac:dyDescent="0.2">
      <c r="A24" s="39" t="s">
        <v>235</v>
      </c>
      <c r="B24" s="39" t="s">
        <v>236</v>
      </c>
      <c r="C24" s="39" t="s">
        <v>64</v>
      </c>
      <c r="D24" s="39">
        <v>429717</v>
      </c>
      <c r="E24" s="68">
        <v>2980.7319705</v>
      </c>
      <c r="F24" s="43">
        <f t="shared" si="0"/>
        <v>1.6452233655140944</v>
      </c>
    </row>
    <row r="25" spans="1:6" x14ac:dyDescent="0.2">
      <c r="A25" s="39" t="s">
        <v>212</v>
      </c>
      <c r="B25" s="39" t="s">
        <v>213</v>
      </c>
      <c r="C25" s="39" t="s">
        <v>96</v>
      </c>
      <c r="D25" s="39">
        <v>998372</v>
      </c>
      <c r="E25" s="68">
        <v>2597.2647579999998</v>
      </c>
      <c r="F25" s="43">
        <f t="shared" si="0"/>
        <v>1.4335675627926807</v>
      </c>
    </row>
    <row r="26" spans="1:6" x14ac:dyDescent="0.2">
      <c r="A26" s="39" t="s">
        <v>176</v>
      </c>
      <c r="B26" s="39" t="s">
        <v>177</v>
      </c>
      <c r="C26" s="39" t="s">
        <v>37</v>
      </c>
      <c r="D26" s="39">
        <v>178251</v>
      </c>
      <c r="E26" s="68">
        <v>2445.6928455000002</v>
      </c>
      <c r="F26" s="43">
        <f t="shared" si="0"/>
        <v>1.3499070208624959</v>
      </c>
    </row>
    <row r="27" spans="1:6" x14ac:dyDescent="0.2">
      <c r="A27" s="39" t="s">
        <v>16</v>
      </c>
      <c r="B27" s="39" t="s">
        <v>17</v>
      </c>
      <c r="C27" s="39" t="s">
        <v>1410</v>
      </c>
      <c r="D27" s="39">
        <v>1583382</v>
      </c>
      <c r="E27" s="68">
        <v>2200.9009799999999</v>
      </c>
      <c r="F27" s="43">
        <f t="shared" si="0"/>
        <v>1.2147934645970437</v>
      </c>
    </row>
    <row r="28" spans="1:6" x14ac:dyDescent="0.2">
      <c r="A28" s="39" t="s">
        <v>201</v>
      </c>
      <c r="B28" s="39" t="s">
        <v>202</v>
      </c>
      <c r="C28" s="39" t="s">
        <v>28</v>
      </c>
      <c r="D28" s="39">
        <v>336933</v>
      </c>
      <c r="E28" s="68">
        <v>2171.7016515</v>
      </c>
      <c r="F28" s="43">
        <f t="shared" si="0"/>
        <v>1.1986768133915806</v>
      </c>
    </row>
    <row r="29" spans="1:6" x14ac:dyDescent="0.2">
      <c r="A29" s="39" t="s">
        <v>259</v>
      </c>
      <c r="B29" s="39" t="s">
        <v>260</v>
      </c>
      <c r="C29" s="39" t="s">
        <v>72</v>
      </c>
      <c r="D29" s="39">
        <v>274626</v>
      </c>
      <c r="E29" s="68">
        <v>1757.6063999999999</v>
      </c>
      <c r="F29" s="43">
        <f t="shared" si="0"/>
        <v>0.97011577869983845</v>
      </c>
    </row>
    <row r="30" spans="1:6" x14ac:dyDescent="0.2">
      <c r="A30" s="39" t="s">
        <v>87</v>
      </c>
      <c r="B30" s="39" t="s">
        <v>88</v>
      </c>
      <c r="C30" s="39" t="s">
        <v>12</v>
      </c>
      <c r="D30" s="39">
        <v>615662</v>
      </c>
      <c r="E30" s="68">
        <v>1685.9903870000001</v>
      </c>
      <c r="F30" s="43">
        <f t="shared" si="0"/>
        <v>0.93058711959910201</v>
      </c>
    </row>
    <row r="31" spans="1:6" x14ac:dyDescent="0.2">
      <c r="A31" s="39" t="s">
        <v>345</v>
      </c>
      <c r="B31" s="39" t="s">
        <v>346</v>
      </c>
      <c r="C31" s="39" t="s">
        <v>72</v>
      </c>
      <c r="D31" s="39">
        <v>147561</v>
      </c>
      <c r="E31" s="68">
        <v>1630.6966110000001</v>
      </c>
      <c r="F31" s="43">
        <f t="shared" si="0"/>
        <v>0.90006756495848717</v>
      </c>
    </row>
    <row r="32" spans="1:6" x14ac:dyDescent="0.2">
      <c r="A32" s="39" t="s">
        <v>233</v>
      </c>
      <c r="B32" s="39" t="s">
        <v>234</v>
      </c>
      <c r="C32" s="39" t="s">
        <v>216</v>
      </c>
      <c r="D32" s="39">
        <v>205000</v>
      </c>
      <c r="E32" s="68">
        <v>1526.1224999999999</v>
      </c>
      <c r="F32" s="43">
        <f t="shared" si="0"/>
        <v>0.8423475912916818</v>
      </c>
    </row>
    <row r="33" spans="1:6" x14ac:dyDescent="0.2">
      <c r="A33" s="39" t="s">
        <v>243</v>
      </c>
      <c r="B33" s="39" t="s">
        <v>244</v>
      </c>
      <c r="C33" s="39" t="s">
        <v>245</v>
      </c>
      <c r="D33" s="39">
        <v>385077</v>
      </c>
      <c r="E33" s="68">
        <v>1328.1305729999999</v>
      </c>
      <c r="F33" s="43">
        <f t="shared" si="0"/>
        <v>0.73306539225218892</v>
      </c>
    </row>
    <row r="34" spans="1:6" x14ac:dyDescent="0.2">
      <c r="A34" s="39" t="s">
        <v>38</v>
      </c>
      <c r="B34" s="39" t="s">
        <v>39</v>
      </c>
      <c r="C34" s="39" t="s">
        <v>40</v>
      </c>
      <c r="D34" s="39">
        <v>1081483</v>
      </c>
      <c r="E34" s="68">
        <v>1262.090661</v>
      </c>
      <c r="F34" s="43">
        <f t="shared" si="0"/>
        <v>0.69661447772710028</v>
      </c>
    </row>
    <row r="35" spans="1:6" x14ac:dyDescent="0.2">
      <c r="A35" s="39" t="s">
        <v>239</v>
      </c>
      <c r="B35" s="39" t="s">
        <v>240</v>
      </c>
      <c r="C35" s="39" t="s">
        <v>15</v>
      </c>
      <c r="D35" s="39">
        <v>649104</v>
      </c>
      <c r="E35" s="68">
        <v>1230.376632</v>
      </c>
      <c r="F35" s="43">
        <f t="shared" si="0"/>
        <v>0.67910983053245855</v>
      </c>
    </row>
    <row r="36" spans="1:6" x14ac:dyDescent="0.2">
      <c r="A36" s="39" t="s">
        <v>250</v>
      </c>
      <c r="B36" s="39" t="s">
        <v>251</v>
      </c>
      <c r="C36" s="39" t="s">
        <v>252</v>
      </c>
      <c r="D36" s="39">
        <v>921918</v>
      </c>
      <c r="E36" s="68">
        <v>1162.0776390000001</v>
      </c>
      <c r="F36" s="43">
        <f t="shared" si="0"/>
        <v>0.64141200991766689</v>
      </c>
    </row>
    <row r="37" spans="1:6" x14ac:dyDescent="0.2">
      <c r="A37" s="39" t="s">
        <v>320</v>
      </c>
      <c r="B37" s="39" t="s">
        <v>321</v>
      </c>
      <c r="C37" s="39" t="s">
        <v>40</v>
      </c>
      <c r="D37" s="39">
        <v>36783</v>
      </c>
      <c r="E37" s="68">
        <v>1025.6203889999999</v>
      </c>
      <c r="F37" s="43">
        <f t="shared" si="0"/>
        <v>0.56609404831773846</v>
      </c>
    </row>
    <row r="38" spans="1:6" x14ac:dyDescent="0.2">
      <c r="A38" s="39" t="s">
        <v>189</v>
      </c>
      <c r="B38" s="39" t="s">
        <v>190</v>
      </c>
      <c r="C38" s="39" t="s">
        <v>28</v>
      </c>
      <c r="D38" s="39">
        <v>195421</v>
      </c>
      <c r="E38" s="68">
        <v>879.78534200000001</v>
      </c>
      <c r="F38" s="43">
        <f t="shared" si="0"/>
        <v>0.48559998537956717</v>
      </c>
    </row>
    <row r="39" spans="1:6" x14ac:dyDescent="0.2">
      <c r="A39" s="39" t="s">
        <v>178</v>
      </c>
      <c r="B39" s="39" t="s">
        <v>179</v>
      </c>
      <c r="C39" s="39" t="s">
        <v>162</v>
      </c>
      <c r="D39" s="39">
        <v>374001</v>
      </c>
      <c r="E39" s="68">
        <v>842.4372525</v>
      </c>
      <c r="F39" s="43">
        <f t="shared" si="0"/>
        <v>0.46498560270080375</v>
      </c>
    </row>
    <row r="40" spans="1:6" x14ac:dyDescent="0.2">
      <c r="A40" s="39" t="s">
        <v>248</v>
      </c>
      <c r="B40" s="39" t="s">
        <v>249</v>
      </c>
      <c r="C40" s="39" t="s">
        <v>60</v>
      </c>
      <c r="D40" s="39">
        <v>1265151</v>
      </c>
      <c r="E40" s="68">
        <v>804.00346049999996</v>
      </c>
      <c r="F40" s="43">
        <f t="shared" si="0"/>
        <v>0.44377196348415793</v>
      </c>
    </row>
    <row r="41" spans="1:6" x14ac:dyDescent="0.2">
      <c r="A41" s="39" t="s">
        <v>214</v>
      </c>
      <c r="B41" s="39" t="s">
        <v>215</v>
      </c>
      <c r="C41" s="39" t="s">
        <v>216</v>
      </c>
      <c r="D41" s="39">
        <v>414842</v>
      </c>
      <c r="E41" s="68">
        <v>710.41692499999999</v>
      </c>
      <c r="F41" s="43">
        <f t="shared" si="0"/>
        <v>0.39211661291055822</v>
      </c>
    </row>
    <row r="42" spans="1:6" x14ac:dyDescent="0.2">
      <c r="A42" s="39" t="s">
        <v>94</v>
      </c>
      <c r="B42" s="39" t="s">
        <v>95</v>
      </c>
      <c r="C42" s="39" t="s">
        <v>96</v>
      </c>
      <c r="D42" s="39">
        <v>198568</v>
      </c>
      <c r="E42" s="68">
        <v>705.41282000000001</v>
      </c>
      <c r="F42" s="43">
        <f t="shared" si="0"/>
        <v>0.38935458313030097</v>
      </c>
    </row>
    <row r="43" spans="1:6" x14ac:dyDescent="0.2">
      <c r="A43" s="39" t="s">
        <v>217</v>
      </c>
      <c r="B43" s="39" t="s">
        <v>218</v>
      </c>
      <c r="C43" s="39" t="s">
        <v>31</v>
      </c>
      <c r="D43" s="39">
        <v>377910</v>
      </c>
      <c r="E43" s="68">
        <v>583.30408499999999</v>
      </c>
      <c r="F43" s="43">
        <f t="shared" si="0"/>
        <v>0.32195632460064538</v>
      </c>
    </row>
    <row r="44" spans="1:6" x14ac:dyDescent="0.2">
      <c r="A44" s="38" t="s">
        <v>44</v>
      </c>
      <c r="B44" s="39"/>
      <c r="C44" s="39"/>
      <c r="D44" s="39"/>
      <c r="E44" s="69">
        <f>SUM(E7:E43)</f>
        <v>121645.33951200002</v>
      </c>
      <c r="F44" s="69">
        <f>SUM(F7:F43)</f>
        <v>67.142486091248941</v>
      </c>
    </row>
    <row r="45" spans="1:6" x14ac:dyDescent="0.2">
      <c r="A45" s="39"/>
      <c r="B45" s="39"/>
      <c r="C45" s="39"/>
      <c r="D45" s="39"/>
      <c r="E45" s="68"/>
      <c r="F45" s="68"/>
    </row>
    <row r="46" spans="1:6" x14ac:dyDescent="0.2">
      <c r="A46" s="38" t="s">
        <v>298</v>
      </c>
      <c r="B46" s="39"/>
      <c r="C46" s="39"/>
      <c r="D46" s="81"/>
      <c r="E46" s="68"/>
      <c r="F46" s="68"/>
    </row>
    <row r="47" spans="1:6" x14ac:dyDescent="0.2">
      <c r="A47" s="39" t="s">
        <v>573</v>
      </c>
      <c r="B47" s="39" t="s">
        <v>574</v>
      </c>
      <c r="C47" s="39" t="s">
        <v>64</v>
      </c>
      <c r="D47" s="39">
        <v>270000</v>
      </c>
      <c r="E47" s="68">
        <v>2.7E-2</v>
      </c>
      <c r="F47" s="43" t="str">
        <f t="shared" ref="F47:F49" si="1">IF((E47/$E$86*100)&lt;0.01,"0.00*",E47/$E$86*100)</f>
        <v>0.00*</v>
      </c>
    </row>
    <row r="48" spans="1:6" x14ac:dyDescent="0.2">
      <c r="A48" s="39" t="s">
        <v>299</v>
      </c>
      <c r="B48" s="39" t="s">
        <v>300</v>
      </c>
      <c r="C48" s="39" t="s">
        <v>28</v>
      </c>
      <c r="D48" s="39">
        <v>27500</v>
      </c>
      <c r="E48" s="68">
        <v>2.7499999999999998E-3</v>
      </c>
      <c r="F48" s="43" t="str">
        <f t="shared" si="1"/>
        <v>0.00*</v>
      </c>
    </row>
    <row r="49" spans="1:6" x14ac:dyDescent="0.2">
      <c r="A49" s="38" t="s">
        <v>44</v>
      </c>
      <c r="B49" s="39"/>
      <c r="C49" s="39"/>
      <c r="D49" s="39"/>
      <c r="E49" s="69">
        <f>SUM(E47:E48)</f>
        <v>2.9749999999999999E-2</v>
      </c>
      <c r="F49" s="42" t="str">
        <f t="shared" si="1"/>
        <v>0.00*</v>
      </c>
    </row>
    <row r="50" spans="1:6" x14ac:dyDescent="0.2">
      <c r="A50" s="38"/>
      <c r="B50" s="39"/>
      <c r="C50" s="39"/>
      <c r="D50" s="39"/>
      <c r="E50" s="69"/>
      <c r="F50" s="69"/>
    </row>
    <row r="51" spans="1:6" x14ac:dyDescent="0.2">
      <c r="A51" s="38" t="s">
        <v>1411</v>
      </c>
      <c r="B51" s="39"/>
      <c r="C51" s="40"/>
      <c r="D51" s="96"/>
      <c r="E51" s="42"/>
      <c r="F51" s="42"/>
    </row>
    <row r="52" spans="1:6" x14ac:dyDescent="0.2">
      <c r="A52" s="39" t="s">
        <v>616</v>
      </c>
      <c r="B52" s="39" t="s">
        <v>595</v>
      </c>
      <c r="C52" s="40"/>
      <c r="D52" s="39">
        <v>1039200</v>
      </c>
      <c r="E52" s="43">
        <v>4068.8836799999999</v>
      </c>
      <c r="F52" s="43">
        <f t="shared" ref="F52" si="2">IF((E52/$E$86*100)&lt;0.01,"0.00*",E52/$E$86*100)</f>
        <v>2.2458317514446149</v>
      </c>
    </row>
    <row r="53" spans="1:6" x14ac:dyDescent="0.2">
      <c r="A53" s="38" t="s">
        <v>44</v>
      </c>
      <c r="B53" s="39"/>
      <c r="C53" s="40"/>
      <c r="D53" s="97"/>
      <c r="E53" s="42">
        <f>E52</f>
        <v>4068.8836799999999</v>
      </c>
      <c r="F53" s="42">
        <f>F52</f>
        <v>2.2458317514446149</v>
      </c>
    </row>
    <row r="54" spans="1:6" x14ac:dyDescent="0.2">
      <c r="A54" s="39"/>
      <c r="B54" s="39"/>
      <c r="C54" s="39"/>
      <c r="D54" s="39"/>
      <c r="E54" s="68"/>
      <c r="F54" s="68"/>
    </row>
    <row r="55" spans="1:6" x14ac:dyDescent="0.2">
      <c r="A55" s="38" t="s">
        <v>359</v>
      </c>
      <c r="B55" s="39"/>
      <c r="C55" s="39"/>
      <c r="D55" s="39"/>
      <c r="E55" s="68"/>
      <c r="F55" s="68"/>
    </row>
    <row r="56" spans="1:6" x14ac:dyDescent="0.2">
      <c r="A56" s="38" t="s">
        <v>8</v>
      </c>
      <c r="B56" s="39"/>
      <c r="C56" s="39"/>
      <c r="D56" s="39"/>
      <c r="E56" s="68"/>
      <c r="F56" s="68"/>
    </row>
    <row r="57" spans="1:6" x14ac:dyDescent="0.2">
      <c r="A57" s="38"/>
      <c r="B57" s="39"/>
      <c r="C57" s="39"/>
      <c r="D57" s="39"/>
      <c r="E57" s="68"/>
      <c r="F57" s="68"/>
    </row>
    <row r="58" spans="1:6" x14ac:dyDescent="0.2">
      <c r="A58" s="39" t="s">
        <v>1403</v>
      </c>
      <c r="B58" s="39" t="str">
        <f>IFERROR(VLOOKUP(A58,[1]Bonds!$B$1:$K$2669,10,0),VLOOKUP(A58,[1]CPCD!$B$1:$H$1476,7,0))</f>
        <v>12.40% Hinduja Leyland Finance Ltd (03-Nov-2019) **</v>
      </c>
      <c r="C58" s="39" t="s">
        <v>753</v>
      </c>
      <c r="D58" s="39">
        <v>900</v>
      </c>
      <c r="E58" s="68">
        <v>9065.07</v>
      </c>
      <c r="F58" s="43">
        <f t="shared" ref="F58:F74" si="3">IF((E58/$E$86*100)&lt;0.01,"0.00*",E58/$E$86*100)</f>
        <v>5.0034907940813964</v>
      </c>
    </row>
    <row r="59" spans="1:6" x14ac:dyDescent="0.2">
      <c r="A59" s="39" t="s">
        <v>1234</v>
      </c>
      <c r="B59" s="39" t="str">
        <f>IFERROR(VLOOKUP(A59,[1]Bonds!$B$1:$K$2669,10,0),VLOOKUP(A59,[1]CPCD!$B$1:$H$1476,7,0))</f>
        <v>8.60% Export-Import Bank Of India (31-Mar-2022) **</v>
      </c>
      <c r="C59" s="39" t="s">
        <v>842</v>
      </c>
      <c r="D59" s="39">
        <v>900</v>
      </c>
      <c r="E59" s="68">
        <v>8980.1730000000007</v>
      </c>
      <c r="F59" s="43">
        <f t="shared" si="3"/>
        <v>4.9566316569820561</v>
      </c>
    </row>
    <row r="60" spans="1:6" x14ac:dyDescent="0.2">
      <c r="A60" s="39" t="s">
        <v>363</v>
      </c>
      <c r="B60" s="39" t="str">
        <f>IFERROR(VLOOKUP(A60,[1]Bonds!$B$1:$K$2669,10,0),VLOOKUP(A60,[1]CPCD!$B$1:$H$1476,7,0))</f>
        <v>9.70% Coastal Gujarat Power Ltd (25-Aug-2023) **</v>
      </c>
      <c r="C60" s="39" t="s">
        <v>364</v>
      </c>
      <c r="D60" s="39">
        <v>700</v>
      </c>
      <c r="E60" s="68">
        <v>7038.0169999999998</v>
      </c>
      <c r="F60" s="43">
        <f t="shared" si="3"/>
        <v>3.8846532093065322</v>
      </c>
    </row>
    <row r="61" spans="1:6" x14ac:dyDescent="0.2">
      <c r="A61" s="39" t="s">
        <v>720</v>
      </c>
      <c r="B61" s="39" t="str">
        <f>IFERROR(VLOOKUP(A61,[1]Bonds!$B$1:$K$2669,10,0),VLOOKUP(A61,[1]CPCD!$B$1:$H$1476,7,0))</f>
        <v>Indostar Capital Finance Ltd (1Y SBI MCLR + 200 Bps) (02-May-2023) **</v>
      </c>
      <c r="C61" s="39" t="s">
        <v>721</v>
      </c>
      <c r="D61" s="39">
        <v>450</v>
      </c>
      <c r="E61" s="68">
        <v>4505.3459999999995</v>
      </c>
      <c r="F61" s="43">
        <f t="shared" si="3"/>
        <v>2.4867383522853594</v>
      </c>
    </row>
    <row r="62" spans="1:6" x14ac:dyDescent="0.2">
      <c r="A62" s="39" t="s">
        <v>1402</v>
      </c>
      <c r="B62" s="39" t="str">
        <f>IFERROR(VLOOKUP(A62,[1]Bonds!$B$1:$K$2669,10,0),VLOOKUP(A62,[1]CPCD!$B$1:$H$1476,7,0))</f>
        <v>9.00% State Bank Of India (06-Sep-2021) **</v>
      </c>
      <c r="C62" s="39" t="s">
        <v>727</v>
      </c>
      <c r="D62" s="39">
        <v>350</v>
      </c>
      <c r="E62" s="68">
        <v>3529.1305000000002</v>
      </c>
      <c r="F62" s="43">
        <f t="shared" si="3"/>
        <v>1.9479134709232115</v>
      </c>
    </row>
    <row r="63" spans="1:6" x14ac:dyDescent="0.2">
      <c r="A63" s="39" t="s">
        <v>369</v>
      </c>
      <c r="B63" s="39" t="str">
        <f>IFERROR(VLOOKUP(A63,[1]Bonds!$B$1:$K$2669,10,0),VLOOKUP(A63,[1]CPCD!$B$1:$H$1476,7,0))</f>
        <v>9.45% Vedanta Ltd (17-Aug-2020) **</v>
      </c>
      <c r="C63" s="39" t="s">
        <v>370</v>
      </c>
      <c r="D63" s="39">
        <v>300</v>
      </c>
      <c r="E63" s="68">
        <v>2988.3870000000002</v>
      </c>
      <c r="F63" s="43">
        <f t="shared" si="3"/>
        <v>1.6494485805021391</v>
      </c>
    </row>
    <row r="64" spans="1:6" x14ac:dyDescent="0.2">
      <c r="A64" s="39" t="s">
        <v>1412</v>
      </c>
      <c r="B64" s="39" t="str">
        <f>IFERROR(VLOOKUP(A64,[1]Bonds!$B$1:$K$2669,10,0),VLOOKUP(A64,[1]CPCD!$B$1:$H$1476,7,0))</f>
        <v>9.35% Rec Ltd (15-Jun-2022)</v>
      </c>
      <c r="C64" s="39" t="s">
        <v>361</v>
      </c>
      <c r="D64" s="39">
        <v>250</v>
      </c>
      <c r="E64" s="68">
        <v>2616.7449999999999</v>
      </c>
      <c r="F64" s="43">
        <f t="shared" si="3"/>
        <v>1.4443197369638099</v>
      </c>
    </row>
    <row r="65" spans="1:6" x14ac:dyDescent="0.2">
      <c r="A65" s="39" t="s">
        <v>1413</v>
      </c>
      <c r="B65" s="39" t="str">
        <f>IFERROR(VLOOKUP(A65,[1]Bonds!$B$1:$K$2669,10,0),VLOOKUP(A65,[1]CPCD!$B$1:$H$1476,7,0))</f>
        <v>10.25% Jm Financial Asset Reconstruction Co Ltd (31-Aug-2021) **</v>
      </c>
      <c r="C65" s="39" t="s">
        <v>723</v>
      </c>
      <c r="D65" s="39">
        <v>250</v>
      </c>
      <c r="E65" s="68">
        <v>2392.17</v>
      </c>
      <c r="F65" s="43">
        <f t="shared" si="3"/>
        <v>1.3203649362749208</v>
      </c>
    </row>
    <row r="66" spans="1:6" x14ac:dyDescent="0.2">
      <c r="A66" s="39" t="s">
        <v>1404</v>
      </c>
      <c r="B66" s="39" t="str">
        <f>IFERROR(VLOOKUP(A66,[1]Bonds!$B$1:$K$2669,10,0),VLOOKUP(A66,[1]CPCD!$B$1:$H$1476,7,0))</f>
        <v>7.33% Indian Railway Finance Corp Ltd (27-Aug-2027) **</v>
      </c>
      <c r="C66" s="39" t="s">
        <v>361</v>
      </c>
      <c r="D66" s="39">
        <v>210</v>
      </c>
      <c r="E66" s="68">
        <v>2080.9740000000002</v>
      </c>
      <c r="F66" s="43">
        <f t="shared" si="3"/>
        <v>1.1485994318546622</v>
      </c>
    </row>
    <row r="67" spans="1:6" x14ac:dyDescent="0.2">
      <c r="A67" s="39" t="s">
        <v>1407</v>
      </c>
      <c r="B67" s="39" t="str">
        <f>IFERROR(VLOOKUP(A67,[1]Bonds!$B$1:$K$2669,10,0),VLOOKUP(A67,[1]CPCD!$B$1:$H$1476,7,0))</f>
        <v>9.55% Andhra Bank (26-Dec-2019) **</v>
      </c>
      <c r="C67" s="39" t="s">
        <v>735</v>
      </c>
      <c r="D67" s="39">
        <v>141</v>
      </c>
      <c r="E67" s="68">
        <v>1409.4797100000001</v>
      </c>
      <c r="F67" s="43">
        <f t="shared" si="3"/>
        <v>0.77796627642472893</v>
      </c>
    </row>
    <row r="68" spans="1:6" x14ac:dyDescent="0.2">
      <c r="A68" s="39" t="s">
        <v>926</v>
      </c>
      <c r="B68" s="39" t="str">
        <f>IFERROR(VLOOKUP(A68,[1]Bonds!$B$1:$K$2669,10,0),VLOOKUP(A68,[1]CPCD!$B$1:$H$1476,7,0))</f>
        <v>8.85% Power Finance Corp Ltd (25-May-2029)</v>
      </c>
      <c r="C68" s="39" t="s">
        <v>361</v>
      </c>
      <c r="D68" s="39">
        <v>60</v>
      </c>
      <c r="E68" s="68">
        <v>620.00279999999998</v>
      </c>
      <c r="F68" s="43">
        <f t="shared" si="3"/>
        <v>0.34221228320406671</v>
      </c>
    </row>
    <row r="69" spans="1:6" x14ac:dyDescent="0.2">
      <c r="A69" s="39" t="s">
        <v>368</v>
      </c>
      <c r="B69" s="39" t="str">
        <f>IFERROR(VLOOKUP(A69,[1]Bonds!$B$1:$K$2669,10,0),VLOOKUP(A69,[1]CPCD!$B$1:$H$1476,7,0))</f>
        <v>8.85% Rec Ltd (16-Apr-2029) **</v>
      </c>
      <c r="C69" s="39" t="s">
        <v>361</v>
      </c>
      <c r="D69" s="39">
        <v>60</v>
      </c>
      <c r="E69" s="68">
        <v>618.83280000000002</v>
      </c>
      <c r="F69" s="43">
        <f t="shared" si="3"/>
        <v>0.34156649842479031</v>
      </c>
    </row>
    <row r="70" spans="1:6" x14ac:dyDescent="0.2">
      <c r="A70" s="39" t="s">
        <v>799</v>
      </c>
      <c r="B70" s="39" t="str">
        <f>IFERROR(VLOOKUP(A70,[1]Bonds!$B$1:$K$2669,10,0),VLOOKUP(A70,[1]CPCD!$B$1:$H$1476,7,0))</f>
        <v>8.9508% Pipeline Infrastructure Pvt Ltd (22-Mar-2024)</v>
      </c>
      <c r="C70" s="39" t="s">
        <v>361</v>
      </c>
      <c r="D70" s="39">
        <v>50</v>
      </c>
      <c r="E70" s="68">
        <v>503.351</v>
      </c>
      <c r="F70" s="43">
        <f t="shared" si="3"/>
        <v>0.27782599524236051</v>
      </c>
    </row>
    <row r="71" spans="1:6" x14ac:dyDescent="0.2">
      <c r="A71" s="39" t="s">
        <v>930</v>
      </c>
      <c r="B71" s="39" t="str">
        <f>IFERROR(VLOOKUP(A71,[1]Bonds!$B$1:$K$2669,10,0),VLOOKUP(A71,[1]CPCD!$B$1:$H$1476,7,0))</f>
        <v>8.80% Rec Ltd (14-May-2029) **</v>
      </c>
      <c r="C71" s="39" t="s">
        <v>361</v>
      </c>
      <c r="D71" s="39">
        <v>30</v>
      </c>
      <c r="E71" s="68">
        <v>308.52420000000001</v>
      </c>
      <c r="F71" s="43">
        <f t="shared" si="3"/>
        <v>0.17029079692173671</v>
      </c>
    </row>
    <row r="72" spans="1:6" x14ac:dyDescent="0.2">
      <c r="A72" s="39" t="s">
        <v>915</v>
      </c>
      <c r="B72" s="39" t="str">
        <f>IFERROR(VLOOKUP(A72,[1]Bonds!$B$1:$K$2669,10,0),VLOOKUP(A72,[1]CPCD!$B$1:$H$1476,7,0))</f>
        <v>8.97% Rec Ltd (28-Mar-2029) **</v>
      </c>
      <c r="C72" s="39" t="s">
        <v>916</v>
      </c>
      <c r="D72" s="39">
        <v>30</v>
      </c>
      <c r="E72" s="68">
        <v>308.0754</v>
      </c>
      <c r="F72" s="43">
        <f t="shared" si="3"/>
        <v>0.1700430805038399</v>
      </c>
    </row>
    <row r="73" spans="1:6" x14ac:dyDescent="0.2">
      <c r="A73" s="39" t="s">
        <v>366</v>
      </c>
      <c r="B73" s="39" t="str">
        <f>IFERROR(VLOOKUP(A73,[1]Bonds!$B$1:$K$2669,10,0),VLOOKUP(A73,[1]CPCD!$B$1:$H$1476,7,0))</f>
        <v>8.80% JM Financial Products Ltd (28-Sep-2020) **</v>
      </c>
      <c r="C73" s="39" t="s">
        <v>367</v>
      </c>
      <c r="D73" s="39">
        <v>20</v>
      </c>
      <c r="E73" s="68">
        <v>194.66300000000001</v>
      </c>
      <c r="F73" s="43">
        <f t="shared" si="3"/>
        <v>0.10744478845152515</v>
      </c>
    </row>
    <row r="74" spans="1:6" x14ac:dyDescent="0.2">
      <c r="A74" s="39" t="s">
        <v>807</v>
      </c>
      <c r="B74" s="39" t="str">
        <f>IFERROR(VLOOKUP(A74,[1]Bonds!$B$1:$K$2669,10,0),VLOOKUP(A74,[1]CPCD!$B$1:$H$1476,7,0))</f>
        <v>10.99% Andhra Bank (05-Aug-2021) **</v>
      </c>
      <c r="C74" s="39" t="s">
        <v>735</v>
      </c>
      <c r="D74" s="39">
        <v>8</v>
      </c>
      <c r="E74" s="68">
        <v>80.789680000000004</v>
      </c>
      <c r="F74" s="43">
        <f t="shared" si="3"/>
        <v>4.459209031334363E-2</v>
      </c>
    </row>
    <row r="75" spans="1:6" x14ac:dyDescent="0.2">
      <c r="A75" s="38" t="s">
        <v>44</v>
      </c>
      <c r="B75" s="39"/>
      <c r="C75" s="39"/>
      <c r="D75" s="39"/>
      <c r="E75" s="69">
        <f>SUM(E58:E74)</f>
        <v>47239.731090000008</v>
      </c>
      <c r="F75" s="69">
        <f>SUM(F58:F74)</f>
        <v>26.074101978660476</v>
      </c>
    </row>
    <row r="76" spans="1:6" x14ac:dyDescent="0.2">
      <c r="A76" s="39"/>
      <c r="B76" s="39"/>
      <c r="C76" s="39"/>
      <c r="D76" s="39"/>
      <c r="E76" s="68"/>
      <c r="F76" s="68"/>
    </row>
    <row r="77" spans="1:6" x14ac:dyDescent="0.2">
      <c r="A77" s="38" t="s">
        <v>815</v>
      </c>
      <c r="B77" s="39"/>
      <c r="C77" s="39"/>
      <c r="D77" s="39"/>
      <c r="E77" s="68"/>
      <c r="F77" s="68"/>
    </row>
    <row r="78" spans="1:6" x14ac:dyDescent="0.2">
      <c r="A78" s="39" t="s">
        <v>820</v>
      </c>
      <c r="B78" s="39" t="str">
        <f>IFERROR(VLOOKUP(A78,[1]Bonds!$B$1:$K$2669,10,0),VLOOKUP(A78,[1]CPCD!$B$1:$H$1476,7,0))</f>
        <v>Indostar Capital Finance Ltd (SBI MCLR + 225 Bps) (02-Nov-2021) **</v>
      </c>
      <c r="C78" s="39" t="s">
        <v>721</v>
      </c>
      <c r="D78" s="39">
        <v>250</v>
      </c>
      <c r="E78" s="68">
        <v>2506.34</v>
      </c>
      <c r="F78" s="43">
        <f t="shared" ref="F78:F79" si="4">IF((E78/$E$86*100)&lt;0.01,"0.00*",E78/$E$86*100)</f>
        <v>1.3833813877706369</v>
      </c>
    </row>
    <row r="79" spans="1:6" x14ac:dyDescent="0.2">
      <c r="A79" s="39" t="s">
        <v>862</v>
      </c>
      <c r="B79" s="39" t="str">
        <f>IFERROR(VLOOKUP(A79,[1]Bonds!$B$1:$K$2669,10,0),VLOOKUP(A79,[1]CPCD!$B$1:$H$1476,7,0))</f>
        <v>0.00% KKR India Financial Services Pvt Ltd (10-Mar-2021) **</v>
      </c>
      <c r="C79" s="39" t="s">
        <v>727</v>
      </c>
      <c r="D79" s="39">
        <v>14</v>
      </c>
      <c r="E79" s="68">
        <v>1729.9716000000001</v>
      </c>
      <c r="F79" s="43">
        <f t="shared" si="4"/>
        <v>0.95486267338501141</v>
      </c>
    </row>
    <row r="80" spans="1:6" x14ac:dyDescent="0.2">
      <c r="A80" s="38" t="s">
        <v>44</v>
      </c>
      <c r="B80" s="39"/>
      <c r="C80" s="39"/>
      <c r="D80" s="39"/>
      <c r="E80" s="69">
        <f>SUM(E78:E79)</f>
        <v>4236.3116</v>
      </c>
      <c r="F80" s="69">
        <f>SUM(F78:F79)</f>
        <v>2.3382440611556481</v>
      </c>
    </row>
    <row r="81" spans="1:6" x14ac:dyDescent="0.2">
      <c r="A81" s="39"/>
      <c r="B81" s="39"/>
      <c r="C81" s="39"/>
      <c r="D81" s="39"/>
      <c r="E81" s="68"/>
      <c r="F81" s="68"/>
    </row>
    <row r="82" spans="1:6" x14ac:dyDescent="0.2">
      <c r="A82" s="38" t="s">
        <v>44</v>
      </c>
      <c r="B82" s="39"/>
      <c r="C82" s="39"/>
      <c r="D82" s="39"/>
      <c r="E82" s="69">
        <f>E44+E49+E53+E75+E80</f>
        <v>177190.29563200002</v>
      </c>
      <c r="F82" s="69">
        <f>F44+F53+F75+F80</f>
        <v>97.800663882509681</v>
      </c>
    </row>
    <row r="83" spans="1:6" x14ac:dyDescent="0.2">
      <c r="A83" s="39"/>
      <c r="B83" s="39"/>
      <c r="C83" s="39"/>
      <c r="D83" s="39"/>
      <c r="E83" s="68"/>
      <c r="F83" s="68"/>
    </row>
    <row r="84" spans="1:6" x14ac:dyDescent="0.2">
      <c r="A84" s="38" t="s">
        <v>76</v>
      </c>
      <c r="B84" s="39"/>
      <c r="C84" s="39"/>
      <c r="D84" s="39"/>
      <c r="E84" s="69">
        <v>3984.6155064999998</v>
      </c>
      <c r="F84" s="42">
        <f t="shared" ref="F84" si="5">IF((E84/$E$86*100)&lt;0.01,"0.00*",E84/$E$86*100)</f>
        <v>2.1993196968944235</v>
      </c>
    </row>
    <row r="85" spans="1:6" x14ac:dyDescent="0.2">
      <c r="A85" s="39"/>
      <c r="B85" s="39"/>
      <c r="C85" s="39"/>
      <c r="D85" s="39"/>
      <c r="E85" s="68"/>
      <c r="F85" s="68"/>
    </row>
    <row r="86" spans="1:6" x14ac:dyDescent="0.2">
      <c r="A86" s="71" t="s">
        <v>77</v>
      </c>
      <c r="B86" s="66"/>
      <c r="C86" s="66"/>
      <c r="D86" s="66"/>
      <c r="E86" s="72">
        <f>E82+E84</f>
        <v>181174.91113850003</v>
      </c>
      <c r="F86" s="72">
        <f xml:space="preserve"> ROUND(SUM(F82:F85),2)</f>
        <v>100</v>
      </c>
    </row>
    <row r="87" spans="1:6" x14ac:dyDescent="0.2">
      <c r="A87" s="4" t="s">
        <v>619</v>
      </c>
      <c r="F87" s="74" t="s">
        <v>884</v>
      </c>
    </row>
    <row r="89" spans="1:6" x14ac:dyDescent="0.2">
      <c r="A89" s="4" t="s">
        <v>78</v>
      </c>
    </row>
    <row r="90" spans="1:6" x14ac:dyDescent="0.2">
      <c r="A90" s="4" t="s">
        <v>650</v>
      </c>
    </row>
    <row r="91" spans="1:6" x14ac:dyDescent="0.2">
      <c r="A91" s="4" t="s">
        <v>80</v>
      </c>
    </row>
    <row r="92" spans="1:6" x14ac:dyDescent="0.2">
      <c r="A92" s="2" t="s">
        <v>638</v>
      </c>
      <c r="D92" s="10">
        <v>113.99550000000001</v>
      </c>
    </row>
    <row r="93" spans="1:6" x14ac:dyDescent="0.2">
      <c r="A93" s="2" t="s">
        <v>639</v>
      </c>
      <c r="D93" s="10">
        <v>21.142099999999999</v>
      </c>
    </row>
    <row r="94" spans="1:6" x14ac:dyDescent="0.2">
      <c r="A94" s="2" t="s">
        <v>640</v>
      </c>
      <c r="D94" s="10">
        <v>121.91840000000001</v>
      </c>
    </row>
    <row r="95" spans="1:6" x14ac:dyDescent="0.2">
      <c r="A95" s="2" t="s">
        <v>641</v>
      </c>
      <c r="D95" s="10">
        <v>22.947700000000001</v>
      </c>
    </row>
    <row r="97" spans="1:5" x14ac:dyDescent="0.2">
      <c r="A97" s="4" t="s">
        <v>81</v>
      </c>
    </row>
    <row r="98" spans="1:5" x14ac:dyDescent="0.2">
      <c r="A98" s="2" t="s">
        <v>638</v>
      </c>
      <c r="D98" s="10">
        <v>115.63800000000001</v>
      </c>
    </row>
    <row r="99" spans="1:5" x14ac:dyDescent="0.2">
      <c r="A99" s="2" t="s">
        <v>639</v>
      </c>
      <c r="D99" s="10">
        <v>19.763999999999999</v>
      </c>
    </row>
    <row r="100" spans="1:5" x14ac:dyDescent="0.2">
      <c r="A100" s="2" t="s">
        <v>640</v>
      </c>
      <c r="D100" s="10">
        <v>124.35720000000001</v>
      </c>
    </row>
    <row r="101" spans="1:5" x14ac:dyDescent="0.2">
      <c r="A101" s="2" t="s">
        <v>641</v>
      </c>
      <c r="D101" s="10">
        <v>21.718499999999999</v>
      </c>
    </row>
    <row r="103" spans="1:5" x14ac:dyDescent="0.2">
      <c r="A103" s="4" t="s">
        <v>82</v>
      </c>
      <c r="D103" s="44" t="s">
        <v>299</v>
      </c>
    </row>
    <row r="104" spans="1:5" x14ac:dyDescent="0.2">
      <c r="A104" s="106" t="s">
        <v>642</v>
      </c>
      <c r="B104" s="107"/>
      <c r="C104" s="109" t="s">
        <v>643</v>
      </c>
      <c r="D104" s="109"/>
    </row>
    <row r="105" spans="1:5" x14ac:dyDescent="0.2">
      <c r="A105" s="110"/>
      <c r="B105" s="110"/>
      <c r="C105" s="47" t="s">
        <v>644</v>
      </c>
      <c r="D105" s="47" t="s">
        <v>645</v>
      </c>
    </row>
    <row r="106" spans="1:5" x14ac:dyDescent="0.2">
      <c r="A106" s="48" t="s">
        <v>639</v>
      </c>
      <c r="B106" s="49"/>
      <c r="C106" s="54">
        <v>1.5494648225000001</v>
      </c>
      <c r="D106" s="54">
        <v>1.5494648225000001</v>
      </c>
    </row>
    <row r="107" spans="1:5" x14ac:dyDescent="0.2">
      <c r="A107" s="48" t="s">
        <v>641</v>
      </c>
      <c r="B107" s="49"/>
      <c r="C107" s="54">
        <v>1.5494648225000001</v>
      </c>
      <c r="D107" s="54">
        <v>1.5494648225000001</v>
      </c>
    </row>
    <row r="108" spans="1:5" x14ac:dyDescent="0.2">
      <c r="A108" s="77"/>
      <c r="B108" s="77"/>
      <c r="C108" s="78"/>
      <c r="D108" s="78"/>
    </row>
    <row r="109" spans="1:5" x14ac:dyDescent="0.2">
      <c r="A109" s="4" t="s">
        <v>1414</v>
      </c>
      <c r="D109" s="53">
        <v>2.1807490755674084</v>
      </c>
      <c r="E109" s="73" t="s">
        <v>648</v>
      </c>
    </row>
    <row r="111" spans="1:5" x14ac:dyDescent="0.2">
      <c r="A111" s="9" t="s">
        <v>655</v>
      </c>
      <c r="B111" s="98"/>
      <c r="D111" s="98">
        <v>0.37877821489379387</v>
      </c>
    </row>
  </sheetData>
  <mergeCells count="4">
    <mergeCell ref="A1:F1"/>
    <mergeCell ref="A104:B104"/>
    <mergeCell ref="C104:D104"/>
    <mergeCell ref="A105:B10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75A580F-1D97-4D04-BE52-A5BCDAC2393D}"/>
</file>

<file path=customXml/itemProps2.xml><?xml version="1.0" encoding="utf-8"?>
<ds:datastoreItem xmlns:ds="http://schemas.openxmlformats.org/officeDocument/2006/customXml" ds:itemID="{32E2D34F-C257-4940-8CAE-68DEE0506ABB}"/>
</file>

<file path=customXml/itemProps3.xml><?xml version="1.0" encoding="utf-8"?>
<ds:datastoreItem xmlns:ds="http://schemas.openxmlformats.org/officeDocument/2006/customXml" ds:itemID="{EE9B79C9-6F4D-45CD-B304-58058F6ECC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64</vt:i4>
      </vt:variant>
    </vt:vector>
  </HeadingPairs>
  <TitlesOfParts>
    <vt:vector size="64" baseType="lpstr">
      <vt:lpstr>TIVF</vt:lpstr>
      <vt:lpstr>FITX</vt:lpstr>
      <vt:lpstr>FITF</vt:lpstr>
      <vt:lpstr>FISMF</vt:lpstr>
      <vt:lpstr>FIPF</vt:lpstr>
      <vt:lpstr>FIOF</vt:lpstr>
      <vt:lpstr>FIFEF</vt:lpstr>
      <vt:lpstr>FIEIF</vt:lpstr>
      <vt:lpstr>FIEF</vt:lpstr>
      <vt:lpstr>FIEAF</vt:lpstr>
      <vt:lpstr>FIBF</vt:lpstr>
      <vt:lpstr>FBIF</vt:lpstr>
      <vt:lpstr>FAEF</vt:lpstr>
      <vt:lpstr>FIESF</vt:lpstr>
      <vt:lpstr>FIIF-NSE</vt:lpstr>
      <vt:lpstr>FIUS</vt:lpstr>
      <vt:lpstr>FEGF</vt:lpstr>
      <vt:lpstr>FIMAS</vt:lpstr>
      <vt:lpstr>FF</vt:lpstr>
      <vt:lpstr>FIFOF-50's+</vt:lpstr>
      <vt:lpstr>FIFOF-50's</vt:lpstr>
      <vt:lpstr>FIFOF-40's</vt:lpstr>
      <vt:lpstr>FIFOF-30's</vt:lpstr>
      <vt:lpstr>FIFOF-20's</vt:lpstr>
      <vt:lpstr>FIUBF</vt:lpstr>
      <vt:lpstr>FISTIP</vt:lpstr>
      <vt:lpstr>FISF</vt:lpstr>
      <vt:lpstr>FIONF</vt:lpstr>
      <vt:lpstr>FILF</vt:lpstr>
      <vt:lpstr>FILDF</vt:lpstr>
      <vt:lpstr>FIGSF</vt:lpstr>
      <vt:lpstr>FIFRF</vt:lpstr>
      <vt:lpstr>FICRF</vt:lpstr>
      <vt:lpstr>FICDF</vt:lpstr>
      <vt:lpstr>FBPF</vt:lpstr>
      <vt:lpstr>TIIOF</vt:lpstr>
      <vt:lpstr>FIDA</vt:lpstr>
      <vt:lpstr>FMPS6C</vt:lpstr>
      <vt:lpstr>FMPS5F</vt:lpstr>
      <vt:lpstr>FMPS5E</vt:lpstr>
      <vt:lpstr>FMPS5D</vt:lpstr>
      <vt:lpstr>FMPS5C</vt:lpstr>
      <vt:lpstr>FMPS5B</vt:lpstr>
      <vt:lpstr>FMPS5A</vt:lpstr>
      <vt:lpstr>FMPS4F</vt:lpstr>
      <vt:lpstr>FMPS4E</vt:lpstr>
      <vt:lpstr>FMPS4D</vt:lpstr>
      <vt:lpstr>FMPS4C</vt:lpstr>
      <vt:lpstr>FMPS4B</vt:lpstr>
      <vt:lpstr>FMPS4A</vt:lpstr>
      <vt:lpstr>FMPS3F</vt:lpstr>
      <vt:lpstr>FMPS3E</vt:lpstr>
      <vt:lpstr>FMPS3D</vt:lpstr>
      <vt:lpstr>FMPS3C</vt:lpstr>
      <vt:lpstr>FMPS3B</vt:lpstr>
      <vt:lpstr>FMPS3A</vt:lpstr>
      <vt:lpstr>FMPS2C</vt:lpstr>
      <vt:lpstr>FMPS2B</vt:lpstr>
      <vt:lpstr>FMPS2A</vt:lpstr>
      <vt:lpstr>FMPS1B</vt:lpstr>
      <vt:lpstr>FMPS1A</vt:lpstr>
      <vt:lpstr>FIPP</vt:lpstr>
      <vt:lpstr>FIDHY</vt:lpstr>
      <vt:lpstr>FIEHF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ISIN_as_on_30_August_2019</dc:title>
  <dc:creator>Uchwani, Hussain</dc:creator>
  <cp:keywords>ISIN_as_on_30_August_2019; ISIN portfolio as on 30-08-19; fund information; International Securities Identification Number of funds</cp:keywords>
  <cp:lastModifiedBy>Bhogte, Amey</cp:lastModifiedBy>
  <dcterms:created xsi:type="dcterms:W3CDTF">2019-08-31T10:03:24Z</dcterms:created>
  <dcterms:modified xsi:type="dcterms:W3CDTF">2019-09-09T06:27:06Z</dcterms:modified>
</cp:coreProperties>
</file>