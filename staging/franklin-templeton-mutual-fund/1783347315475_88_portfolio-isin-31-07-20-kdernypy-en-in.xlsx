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325"/>
  <workbookPr filterPrivacy="1" defaultThemeVersion="124226"/>
  <xr:revisionPtr revIDLastSave="0" documentId="13_ncr:1_{E63816A2-5BE6-467E-9F0C-C43E9F5416B9}" xr6:coauthVersionLast="45" xr6:coauthVersionMax="45" xr10:uidLastSave="{00000000-0000-0000-0000-000000000000}"/>
  <bookViews>
    <workbookView xWindow="-110" yWindow="-110" windowWidth="19420" windowHeight="10420" xr2:uid="{00000000-000D-0000-FFFF-FFFF00000000}"/>
  </bookViews>
  <sheets>
    <sheet name="FILF" sheetId="14" r:id="rId1"/>
    <sheet name="FIONF" sheetId="13" r:id="rId2"/>
    <sheet name="FBPF" sheetId="12" r:id="rId3"/>
    <sheet name="FICDF" sheetId="11" r:id="rId4"/>
    <sheet name="FIGSF" sheetId="7" r:id="rId5"/>
    <sheet name="FISF" sheetId="4" r:id="rId6"/>
    <sheet name="FIFRF" sheetId="8" r:id="rId7"/>
    <sheet name="FIUBF" sheetId="2" r:id="rId8"/>
    <sheet name="FISTIP" sheetId="3" r:id="rId9"/>
    <sheet name="FILDF" sheetId="5" r:id="rId10"/>
    <sheet name="FIIOF" sheetId="6" r:id="rId11"/>
    <sheet name="FIDA" sheetId="9" r:id="rId12"/>
    <sheet name="FICRF" sheetId="10" r:id="rId13"/>
    <sheet name="FMPS6C" sheetId="15" r:id="rId14"/>
    <sheet name="FMPS5F" sheetId="16" r:id="rId15"/>
    <sheet name="FMPS5E" sheetId="17" r:id="rId16"/>
    <sheet name="FMPS5D" sheetId="18" r:id="rId17"/>
    <sheet name="FMPS5C" sheetId="19" r:id="rId18"/>
    <sheet name="FMPS5B" sheetId="20" r:id="rId19"/>
    <sheet name="FMPS5A" sheetId="21" r:id="rId20"/>
    <sheet name="FMPS4F" sheetId="22" r:id="rId21"/>
    <sheet name="FMPS4E" sheetId="23" r:id="rId22"/>
    <sheet name="FMPS4D" sheetId="24" r:id="rId23"/>
    <sheet name="FMPS4C" sheetId="25" r:id="rId24"/>
    <sheet name="FMPS4B" sheetId="26" r:id="rId25"/>
    <sheet name="FMPS4A" sheetId="27" r:id="rId26"/>
    <sheet name="FMPS3F" sheetId="28" r:id="rId27"/>
    <sheet name="FMPS3E" sheetId="29" r:id="rId28"/>
    <sheet name="FMPS3D" sheetId="30" r:id="rId29"/>
    <sheet name="FMPS3C" sheetId="31" r:id="rId30"/>
    <sheet name="FMPS3B" sheetId="32" r:id="rId31"/>
    <sheet name="FMPS3A" sheetId="33" r:id="rId32"/>
    <sheet name="FMPS2C" sheetId="34" r:id="rId33"/>
    <sheet name="FMPS2B" sheetId="35" r:id="rId34"/>
    <sheet name="FMPS2A" sheetId="36" r:id="rId35"/>
    <sheet name="FIPP" sheetId="37" r:id="rId36"/>
    <sheet name="FIDHY" sheetId="38"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57" r:id="rId56"/>
    <sheet name="FIFOF-50's+" sheetId="58" r:id="rId57"/>
    <sheet name="FIFOF-50's" sheetId="59" r:id="rId58"/>
    <sheet name="FIFOF-40's" sheetId="60" r:id="rId59"/>
    <sheet name="FIFOF-30's" sheetId="61" r:id="rId60"/>
    <sheet name="FIFOF-20's" sheetId="62" r:id="rId61"/>
    <sheet name="FF" sheetId="63"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3" i="39" l="1"/>
  <c r="F204" i="3" l="1"/>
  <c r="F206" i="3" s="1"/>
  <c r="E204" i="3"/>
  <c r="E206" i="3" s="1"/>
  <c r="F168" i="3"/>
  <c r="F170" i="3" s="1"/>
  <c r="E168" i="3"/>
  <c r="E170" i="3" s="1"/>
  <c r="F95" i="5"/>
  <c r="F97" i="5" s="1"/>
  <c r="E95" i="5"/>
  <c r="E97" i="5" s="1"/>
  <c r="F94" i="6"/>
  <c r="F96" i="6" s="1"/>
  <c r="E94" i="6"/>
  <c r="E96" i="6" s="1"/>
  <c r="E99" i="5" l="1"/>
  <c r="E172" i="3"/>
  <c r="E208" i="3"/>
  <c r="E98" i="6"/>
  <c r="F146" i="9"/>
  <c r="F148" i="9" s="1"/>
  <c r="E146" i="9"/>
  <c r="E148" i="9" s="1"/>
  <c r="F116" i="9"/>
  <c r="F118" i="9" s="1"/>
  <c r="E116" i="9"/>
  <c r="E118" i="9" s="1"/>
  <c r="F97" i="38"/>
  <c r="F99" i="38" s="1"/>
  <c r="E97" i="38"/>
  <c r="E99" i="38" s="1"/>
  <c r="F153" i="10"/>
  <c r="F155" i="10" s="1"/>
  <c r="E153" i="10"/>
  <c r="E157" i="10" s="1"/>
  <c r="F122" i="10"/>
  <c r="F124" i="10" s="1"/>
  <c r="E122" i="10"/>
  <c r="E124" i="10" s="1"/>
  <c r="E150" i="9" l="1"/>
  <c r="E120" i="9"/>
  <c r="E155" i="10"/>
  <c r="E126" i="10"/>
  <c r="E10" i="63" l="1"/>
  <c r="E14" i="63" s="1"/>
  <c r="D10" i="63"/>
  <c r="D12" i="63" s="1"/>
  <c r="E13" i="62"/>
  <c r="E17" i="62" s="1"/>
  <c r="D13" i="62"/>
  <c r="D17" i="62" s="1"/>
  <c r="E13" i="61"/>
  <c r="E17" i="61" s="1"/>
  <c r="E15" i="61"/>
  <c r="D13" i="61"/>
  <c r="D17" i="61" s="1"/>
  <c r="E17" i="60"/>
  <c r="E13" i="60"/>
  <c r="E15" i="60"/>
  <c r="D13" i="60"/>
  <c r="D17" i="60" s="1"/>
  <c r="E12" i="59"/>
  <c r="E16" i="59" s="1"/>
  <c r="D12" i="59"/>
  <c r="D16" i="59" s="1"/>
  <c r="E9" i="58"/>
  <c r="E13" i="58" s="1"/>
  <c r="D9" i="58"/>
  <c r="D11" i="58" s="1"/>
  <c r="E11" i="57"/>
  <c r="E13" i="57" s="1"/>
  <c r="D11" i="57"/>
  <c r="D15" i="57" s="1"/>
  <c r="D13" i="57"/>
  <c r="E7" i="56"/>
  <c r="E11" i="56" s="1"/>
  <c r="D7" i="56"/>
  <c r="D9" i="56" s="1"/>
  <c r="D11" i="55"/>
  <c r="E7" i="55"/>
  <c r="E9" i="55" s="1"/>
  <c r="D7" i="55"/>
  <c r="D9" i="55"/>
  <c r="F63" i="54"/>
  <c r="E63" i="54"/>
  <c r="F57" i="54"/>
  <c r="F65" i="54"/>
  <c r="E57" i="54"/>
  <c r="E65" i="54"/>
  <c r="F60" i="53"/>
  <c r="F58" i="53"/>
  <c r="F62" i="53" s="1"/>
  <c r="E58" i="53"/>
  <c r="E60" i="53" s="1"/>
  <c r="F60" i="52"/>
  <c r="E60" i="52"/>
  <c r="F19" i="52"/>
  <c r="F62" i="52" s="1"/>
  <c r="E19" i="52"/>
  <c r="E62" i="52" s="1"/>
  <c r="F42" i="51"/>
  <c r="F44" i="51" s="1"/>
  <c r="E42" i="51"/>
  <c r="E46" i="51" s="1"/>
  <c r="F32" i="50"/>
  <c r="F34" i="50" s="1"/>
  <c r="E32" i="50"/>
  <c r="E36" i="50" s="1"/>
  <c r="F66" i="49"/>
  <c r="F70" i="49" s="1"/>
  <c r="E66" i="49"/>
  <c r="E68" i="49" s="1"/>
  <c r="F66" i="48"/>
  <c r="F64" i="48"/>
  <c r="E64" i="48"/>
  <c r="E68" i="48" s="1"/>
  <c r="F58" i="48"/>
  <c r="F68" i="48"/>
  <c r="E58" i="48"/>
  <c r="E66" i="48"/>
  <c r="E37" i="47"/>
  <c r="F33" i="47"/>
  <c r="F35" i="47" s="1"/>
  <c r="E33" i="47"/>
  <c r="E35" i="47"/>
  <c r="F48" i="46"/>
  <c r="E48" i="46"/>
  <c r="F41" i="46"/>
  <c r="F50" i="46"/>
  <c r="E41" i="46"/>
  <c r="E52" i="46"/>
  <c r="F66" i="45"/>
  <c r="E66" i="45"/>
  <c r="F62" i="45"/>
  <c r="F68" i="45" s="1"/>
  <c r="E62" i="45"/>
  <c r="E70" i="45" s="1"/>
  <c r="E75" i="44"/>
  <c r="F71" i="44"/>
  <c r="F73" i="44" s="1"/>
  <c r="E71" i="44"/>
  <c r="E73" i="44"/>
  <c r="F39" i="43"/>
  <c r="E39" i="43"/>
  <c r="F35" i="43"/>
  <c r="E35" i="43"/>
  <c r="F21" i="43"/>
  <c r="E21" i="43"/>
  <c r="E43" i="43" s="1"/>
  <c r="F17" i="43"/>
  <c r="F43" i="43" s="1"/>
  <c r="E17" i="43"/>
  <c r="F63" i="42"/>
  <c r="E63" i="42"/>
  <c r="E65" i="42" s="1"/>
  <c r="F50" i="42"/>
  <c r="E50" i="42"/>
  <c r="E67" i="42" s="1"/>
  <c r="F46" i="42"/>
  <c r="F67" i="42"/>
  <c r="E46" i="42"/>
  <c r="E46" i="41"/>
  <c r="F42" i="41"/>
  <c r="F46" i="41" s="1"/>
  <c r="E42" i="41"/>
  <c r="E44" i="41"/>
  <c r="F77" i="40"/>
  <c r="E77" i="40"/>
  <c r="F70" i="40"/>
  <c r="E70" i="40"/>
  <c r="F65" i="40"/>
  <c r="E65" i="40"/>
  <c r="F60" i="40"/>
  <c r="E60" i="40"/>
  <c r="F48" i="40"/>
  <c r="E48" i="40"/>
  <c r="F43" i="40"/>
  <c r="E43" i="40"/>
  <c r="F59" i="39"/>
  <c r="E59" i="39"/>
  <c r="F54" i="39"/>
  <c r="E54" i="39"/>
  <c r="F49" i="39"/>
  <c r="E49" i="39"/>
  <c r="F43" i="39"/>
  <c r="E43" i="39"/>
  <c r="F56" i="38"/>
  <c r="E56" i="38"/>
  <c r="F50" i="38"/>
  <c r="E50" i="38"/>
  <c r="F45" i="38"/>
  <c r="E45" i="38"/>
  <c r="F35" i="38"/>
  <c r="E35" i="38"/>
  <c r="F70" i="37"/>
  <c r="E70" i="37"/>
  <c r="F63" i="37"/>
  <c r="E63" i="37"/>
  <c r="F57" i="37"/>
  <c r="E57" i="37"/>
  <c r="F53" i="37"/>
  <c r="F72" i="37" s="1"/>
  <c r="E53" i="37"/>
  <c r="F40" i="37"/>
  <c r="E40" i="37"/>
  <c r="E74" i="37" s="1"/>
  <c r="F37" i="36"/>
  <c r="E37" i="36"/>
  <c r="F32" i="36"/>
  <c r="E32" i="36"/>
  <c r="F27" i="36"/>
  <c r="F41" i="36" s="1"/>
  <c r="E27" i="36"/>
  <c r="E41" i="36" s="1"/>
  <c r="F38" i="35"/>
  <c r="E38" i="35"/>
  <c r="F34" i="35"/>
  <c r="F40" i="35" s="1"/>
  <c r="E34" i="35"/>
  <c r="F29" i="35"/>
  <c r="E29" i="35"/>
  <c r="F24" i="35"/>
  <c r="F42" i="35" s="1"/>
  <c r="E24" i="35"/>
  <c r="E42" i="35"/>
  <c r="F41" i="34"/>
  <c r="E41" i="34"/>
  <c r="F37" i="34"/>
  <c r="E37" i="34"/>
  <c r="F32" i="34"/>
  <c r="E32" i="34"/>
  <c r="F26" i="34"/>
  <c r="F45" i="34" s="1"/>
  <c r="E26" i="34"/>
  <c r="E45" i="34" s="1"/>
  <c r="F37" i="33"/>
  <c r="E37" i="33"/>
  <c r="F33" i="33"/>
  <c r="E33" i="33"/>
  <c r="F28" i="33"/>
  <c r="E28" i="33"/>
  <c r="F22" i="33"/>
  <c r="F41" i="33" s="1"/>
  <c r="E22" i="33"/>
  <c r="E41" i="33" s="1"/>
  <c r="F34" i="32"/>
  <c r="E34" i="32"/>
  <c r="E36" i="32" s="1"/>
  <c r="F29" i="32"/>
  <c r="E29" i="32"/>
  <c r="E38" i="32" s="1"/>
  <c r="F24" i="32"/>
  <c r="F36" i="32"/>
  <c r="E24" i="32"/>
  <c r="F35" i="31"/>
  <c r="E35" i="31"/>
  <c r="E39" i="31" s="1"/>
  <c r="F30" i="31"/>
  <c r="E30" i="31"/>
  <c r="E37" i="31" s="1"/>
  <c r="F25" i="31"/>
  <c r="F39" i="31"/>
  <c r="E25" i="31"/>
  <c r="F30" i="30"/>
  <c r="E30" i="30"/>
  <c r="E34" i="30" s="1"/>
  <c r="F25" i="30"/>
  <c r="E25" i="30"/>
  <c r="E32" i="30" s="1"/>
  <c r="F20" i="30"/>
  <c r="F34" i="30"/>
  <c r="E20" i="30"/>
  <c r="F37" i="29"/>
  <c r="E37" i="29"/>
  <c r="F33" i="29"/>
  <c r="E33" i="29"/>
  <c r="E39" i="29" s="1"/>
  <c r="F28" i="29"/>
  <c r="E28" i="29"/>
  <c r="E41" i="29" s="1"/>
  <c r="F22" i="29"/>
  <c r="F39" i="29" s="1"/>
  <c r="E22" i="29"/>
  <c r="F36" i="28"/>
  <c r="E36" i="28"/>
  <c r="F31" i="28"/>
  <c r="E31" i="28"/>
  <c r="F26" i="28"/>
  <c r="F40" i="28" s="1"/>
  <c r="E26" i="28"/>
  <c r="E40" i="28" s="1"/>
  <c r="F33" i="27"/>
  <c r="E33" i="27"/>
  <c r="F28" i="27"/>
  <c r="E28" i="27"/>
  <c r="F24" i="27"/>
  <c r="F35" i="27" s="1"/>
  <c r="E24" i="27"/>
  <c r="E37" i="27" s="1"/>
  <c r="F35" i="26"/>
  <c r="E35" i="26"/>
  <c r="F30" i="26"/>
  <c r="E30" i="26"/>
  <c r="E39" i="26" s="1"/>
  <c r="F26" i="26"/>
  <c r="F39" i="26"/>
  <c r="E26" i="26"/>
  <c r="E37" i="26"/>
  <c r="F28" i="25"/>
  <c r="E28" i="25"/>
  <c r="F23" i="25"/>
  <c r="F30" i="25" s="1"/>
  <c r="E23" i="25"/>
  <c r="E30" i="25" s="1"/>
  <c r="F27" i="24"/>
  <c r="F31" i="24" s="1"/>
  <c r="E27" i="24"/>
  <c r="F22" i="24"/>
  <c r="E22" i="24"/>
  <c r="E31" i="24"/>
  <c r="F17" i="24"/>
  <c r="E17" i="24"/>
  <c r="E29" i="24"/>
  <c r="F29" i="23"/>
  <c r="E29" i="23"/>
  <c r="E31" i="23" s="1"/>
  <c r="F24" i="23"/>
  <c r="E24" i="23"/>
  <c r="E33" i="23" s="1"/>
  <c r="F20" i="23"/>
  <c r="F33" i="23" s="1"/>
  <c r="F31" i="23"/>
  <c r="E20" i="23"/>
  <c r="E29" i="22"/>
  <c r="F27" i="22"/>
  <c r="E27" i="22"/>
  <c r="F23" i="22"/>
  <c r="F29" i="22" s="1"/>
  <c r="F31" i="22"/>
  <c r="E23" i="22"/>
  <c r="E31" i="22"/>
  <c r="F23" i="21"/>
  <c r="E23" i="21"/>
  <c r="F19" i="21"/>
  <c r="F21" i="21"/>
  <c r="E19" i="21"/>
  <c r="E21" i="21"/>
  <c r="E28" i="20"/>
  <c r="F24" i="20"/>
  <c r="F28" i="20" s="1"/>
  <c r="F26" i="20"/>
  <c r="E24" i="20"/>
  <c r="E26" i="20"/>
  <c r="F28" i="19"/>
  <c r="E28" i="19"/>
  <c r="F24" i="19"/>
  <c r="F26" i="19"/>
  <c r="E24" i="19"/>
  <c r="E26" i="19"/>
  <c r="F21" i="18"/>
  <c r="F25" i="18"/>
  <c r="E21" i="18"/>
  <c r="E25" i="18"/>
  <c r="F20" i="17"/>
  <c r="F22" i="17" s="1"/>
  <c r="E20" i="17"/>
  <c r="E24" i="17" s="1"/>
  <c r="F25" i="16"/>
  <c r="F23" i="16"/>
  <c r="F21" i="16"/>
  <c r="E21" i="16"/>
  <c r="E25" i="16" s="1"/>
  <c r="F26" i="15"/>
  <c r="F24" i="15"/>
  <c r="F22" i="15"/>
  <c r="E22" i="15"/>
  <c r="E26" i="15" s="1"/>
  <c r="F29" i="14"/>
  <c r="E29" i="14"/>
  <c r="F21" i="14"/>
  <c r="E21" i="14"/>
  <c r="F8" i="14"/>
  <c r="E8" i="14"/>
  <c r="E33" i="14" s="1"/>
  <c r="F61" i="12"/>
  <c r="E61" i="12"/>
  <c r="F52" i="12"/>
  <c r="E52" i="12"/>
  <c r="F48" i="12"/>
  <c r="E48" i="12"/>
  <c r="F41" i="12"/>
  <c r="F65" i="12" s="1"/>
  <c r="E41" i="12"/>
  <c r="E65" i="12" s="1"/>
  <c r="F66" i="11"/>
  <c r="E66" i="11"/>
  <c r="F61" i="11"/>
  <c r="E61" i="11"/>
  <c r="F56" i="11"/>
  <c r="E56" i="11"/>
  <c r="E70" i="11" s="1"/>
  <c r="F52" i="11"/>
  <c r="F70" i="11" s="1"/>
  <c r="E52" i="11"/>
  <c r="F79" i="10"/>
  <c r="E79" i="10"/>
  <c r="F58" i="10"/>
  <c r="E58" i="10"/>
  <c r="F69" i="9"/>
  <c r="E69" i="9"/>
  <c r="F44" i="9"/>
  <c r="E44" i="9"/>
  <c r="F25" i="8"/>
  <c r="E25" i="8"/>
  <c r="F17" i="8"/>
  <c r="E17" i="8"/>
  <c r="F12" i="8"/>
  <c r="E12" i="8"/>
  <c r="E29" i="8" s="1"/>
  <c r="F10" i="7"/>
  <c r="F14" i="7" s="1"/>
  <c r="E10" i="7"/>
  <c r="E14" i="7" s="1"/>
  <c r="F54" i="6"/>
  <c r="E54" i="6"/>
  <c r="F35" i="6"/>
  <c r="E35" i="6"/>
  <c r="F53" i="5"/>
  <c r="E53" i="5"/>
  <c r="F38" i="5"/>
  <c r="E38" i="5"/>
  <c r="F36" i="4"/>
  <c r="E36" i="4"/>
  <c r="F30" i="4"/>
  <c r="E30" i="4"/>
  <c r="F15" i="4"/>
  <c r="F40" i="4" s="1"/>
  <c r="E15" i="4"/>
  <c r="E38" i="4" s="1"/>
  <c r="F109" i="3"/>
  <c r="E109" i="3"/>
  <c r="F74" i="3"/>
  <c r="E74" i="3"/>
  <c r="F68" i="2"/>
  <c r="E68" i="2"/>
  <c r="F48" i="2"/>
  <c r="E48" i="2"/>
  <c r="E67" i="54"/>
  <c r="F67" i="54"/>
  <c r="E64" i="52"/>
  <c r="E50" i="46"/>
  <c r="F52" i="46"/>
  <c r="F41" i="43"/>
  <c r="F65" i="42"/>
  <c r="F61" i="39"/>
  <c r="E40" i="35"/>
  <c r="E39" i="33"/>
  <c r="F38" i="32"/>
  <c r="F37" i="31"/>
  <c r="F32" i="30"/>
  <c r="E35" i="27"/>
  <c r="F37" i="26"/>
  <c r="F29" i="24"/>
  <c r="E23" i="18"/>
  <c r="F23" i="18"/>
  <c r="E63" i="12" l="1"/>
  <c r="F63" i="12"/>
  <c r="E55" i="5"/>
  <c r="E56" i="6"/>
  <c r="F27" i="8"/>
  <c r="E68" i="11"/>
  <c r="F31" i="14"/>
  <c r="F33" i="14"/>
  <c r="F41" i="29"/>
  <c r="E81" i="40"/>
  <c r="E70" i="49"/>
  <c r="F46" i="51"/>
  <c r="E62" i="53"/>
  <c r="E22" i="17"/>
  <c r="E32" i="25"/>
  <c r="F38" i="28"/>
  <c r="E43" i="34"/>
  <c r="E81" i="10"/>
  <c r="E24" i="15"/>
  <c r="F24" i="17"/>
  <c r="F32" i="25"/>
  <c r="F37" i="27"/>
  <c r="F43" i="34"/>
  <c r="E39" i="36"/>
  <c r="F79" i="40"/>
  <c r="F44" i="41"/>
  <c r="F75" i="44"/>
  <c r="F70" i="45"/>
  <c r="F37" i="47"/>
  <c r="E34" i="50"/>
  <c r="E44" i="51"/>
  <c r="E15" i="57"/>
  <c r="F36" i="50"/>
  <c r="E27" i="8"/>
  <c r="F39" i="33"/>
  <c r="E72" i="37"/>
  <c r="F29" i="8"/>
  <c r="E23" i="16"/>
  <c r="E38" i="28"/>
  <c r="F39" i="36"/>
  <c r="E41" i="43"/>
  <c r="F64" i="52"/>
  <c r="D15" i="60"/>
  <c r="F73" i="9"/>
  <c r="E57" i="5"/>
  <c r="F57" i="5"/>
  <c r="F56" i="6"/>
  <c r="E58" i="6"/>
  <c r="F60" i="38"/>
  <c r="F58" i="38"/>
  <c r="E60" i="38"/>
  <c r="F81" i="10"/>
  <c r="F83" i="10"/>
  <c r="E71" i="9"/>
  <c r="F71" i="9"/>
  <c r="E73" i="9"/>
  <c r="F58" i="6"/>
  <c r="F55" i="5"/>
  <c r="F111" i="3"/>
  <c r="E111" i="3"/>
  <c r="F113" i="3"/>
  <c r="E113" i="3"/>
  <c r="E72" i="2"/>
  <c r="F70" i="2"/>
  <c r="E61" i="39"/>
  <c r="F64" i="39"/>
  <c r="E68" i="45"/>
  <c r="F68" i="49"/>
  <c r="F74" i="37"/>
  <c r="E64" i="39"/>
  <c r="E70" i="2"/>
  <c r="F72" i="2"/>
  <c r="F38" i="4"/>
  <c r="E40" i="4"/>
  <c r="E12" i="7"/>
  <c r="F12" i="7"/>
  <c r="E58" i="38"/>
  <c r="E83" i="10"/>
  <c r="F68" i="11"/>
  <c r="E31" i="14"/>
  <c r="E79" i="40"/>
  <c r="F81" i="40"/>
  <c r="E11" i="55"/>
  <c r="D11" i="56"/>
  <c r="E9" i="56"/>
  <c r="D15" i="62"/>
  <c r="D14" i="59"/>
  <c r="E11" i="58"/>
  <c r="D13" i="58"/>
  <c r="E14" i="59"/>
  <c r="D15" i="61"/>
  <c r="E15" i="62"/>
  <c r="E12" i="63"/>
  <c r="D14" i="63"/>
</calcChain>
</file>

<file path=xl/sharedStrings.xml><?xml version="1.0" encoding="utf-8"?>
<sst xmlns="http://schemas.openxmlformats.org/spreadsheetml/2006/main" count="7891" uniqueCount="1597">
  <si>
    <t>Name of the Instrument</t>
  </si>
  <si>
    <t>Quantity</t>
  </si>
  <si>
    <t>ISIN Number</t>
  </si>
  <si>
    <t xml:space="preserve">Market Value(Rs. in Lakhs) </t>
  </si>
  <si>
    <t>% to Net Assets</t>
  </si>
  <si>
    <t>Industry Classification / Rating</t>
  </si>
  <si>
    <t>Portfolio Statement as on July 31, 2020</t>
  </si>
  <si>
    <t>Franklin India Ultra Short Bond Fund - (No. of segregated Portfolio in the scheme -1) - (under winding up)</t>
  </si>
  <si>
    <t>Franklin India Short-Term Income Plan (No. of segregated Portfolios in the scheme - 3) - (under winding up)</t>
  </si>
  <si>
    <t>Franklin India Savings Fund</t>
  </si>
  <si>
    <t>Franklin India Low Duration Fund (No. of segregated Portfolio in the scheme -2) - (under winding up)</t>
  </si>
  <si>
    <t>Franklin India Income Opportunities Fund (No. of segregated Portfolio in the scheme - 2) - (under winding up)</t>
  </si>
  <si>
    <t>Franklin India Government Securities Fund</t>
  </si>
  <si>
    <t>Franklin India Floating Rate Fund</t>
  </si>
  <si>
    <t>Franklin India Dynamic Accrual Fund (No. of segregated Portfolios in the scheme - 3) - (under winding up)</t>
  </si>
  <si>
    <t>Franklin India Credit Risk Fund (No. of segregated Portfolios in the scheme -3) - (under winding up)</t>
  </si>
  <si>
    <t>Franklin India Corporate Debt Fund</t>
  </si>
  <si>
    <t>Franklin India Banking &amp; PSU Debt Fund</t>
  </si>
  <si>
    <t>Franklin India Overnight Fund</t>
  </si>
  <si>
    <t>Franklin India Liquid Fund</t>
  </si>
  <si>
    <t>Franklin India Fixed Maturity Plans-Series 6 – Plan C  (1169 days)</t>
  </si>
  <si>
    <t>Franklin India Fixed Maturity Plans-Series 5 – Plan F (1203 days)</t>
  </si>
  <si>
    <t>Franklin India Fixed Maturity Plans-Series 5 – Plan E (1224 days)</t>
  </si>
  <si>
    <t>Franklin India Fixed Maturity Plans – Series 5 – Plan D (1238 days)</t>
  </si>
  <si>
    <t>Franklin India Fixed Maturity Plans - Series 5 -Plan C (1259 Days)</t>
  </si>
  <si>
    <t>Franklin India Fixed Maturity Plans – Series 5 - Plan B (1244 days)</t>
  </si>
  <si>
    <t>Franklin India Fixed Maturity Plans - Series 5 - Plan A (1273 days)</t>
  </si>
  <si>
    <t>Franklin India Fixed Maturity Plans - Series 4 - Plan F (1286 Days)</t>
  </si>
  <si>
    <t>Franklin India Fixed Maturity Plans - Series 4 - Plan E (1098 days)</t>
  </si>
  <si>
    <t>Franklin India Fixed Maturity Plans - Series 4 - Plan D (1098 Days)</t>
  </si>
  <si>
    <t>Franklin India Fixed Maturity Plans - Series 4 - Plan C (1098 Days)</t>
  </si>
  <si>
    <t>Franklin India Fixed Maturity Plans - Series 4 - Plan B (1098 days)</t>
  </si>
  <si>
    <t>Franklin India Fixed Maturity Plans-Series 4 - Plan A (1098 Days)</t>
  </si>
  <si>
    <t>Franklin India Fixed Maturity Plans - Series 3 - Plan F (1098 days)</t>
  </si>
  <si>
    <t>Franklin India Fixed Maturity Plans - Series 3 - Plan E (1104 Days)</t>
  </si>
  <si>
    <t>Franklin India Fixed Maturity Plans - Series 3 - Plan D (1132 Days)</t>
  </si>
  <si>
    <t>Franklin India Fixed Maturity Plans - Series 3 - Plan C (1132 Days)</t>
  </si>
  <si>
    <t>Franklin India Fixed Maturity Plans - Series 3 - Plan B (1139 Days)</t>
  </si>
  <si>
    <t>Franklin India Fixed Maturity Plans-Series 3-Plan A (1157 Days)</t>
  </si>
  <si>
    <t>Franklin India Fixed Maturity Plans- Series 2 - Plan C (1205 Days)</t>
  </si>
  <si>
    <t>Franklin India Fixed Maturity Plans - Series 2 - Plan B (1224 Days)</t>
  </si>
  <si>
    <t>Franklin India Fixed Maturity Plans - Series 2- Plan A (1224 Days)</t>
  </si>
  <si>
    <t>Franklin India Pension Plan</t>
  </si>
  <si>
    <t>Franklin India Debt Hybrid Fund (No. of segregated Portfolio in the scheme - 1)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</si>
  <si>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</si>
  <si>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</si>
  <si>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</si>
  <si>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</si>
  <si>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</si>
  <si>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</si>
  <si>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</si>
  <si>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</si>
  <si>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</si>
  <si>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</si>
  <si>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</si>
  <si>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</si>
  <si>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</si>
  <si>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</si>
  <si>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</si>
  <si>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</si>
  <si>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</si>
  <si>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Feeder - Franklin European Growth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</si>
  <si>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</si>
  <si>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</si>
  <si>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</si>
  <si>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</si>
  <si>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</si>
  <si>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</si>
  <si>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</si>
  <si>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</si>
  <si>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</si>
  <si>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9.45% Vedanta Ltd (17-Aug-2020) **</t>
  </si>
  <si>
    <t>INE205A07030</t>
  </si>
  <si>
    <t>CRISIL AA</t>
  </si>
  <si>
    <t>JM Financial Credit Solutions Ltd (1Y SBI MCLR + 300 Bps) (23-Jul-2024) **</t>
  </si>
  <si>
    <t>INE651J07739</t>
  </si>
  <si>
    <t>ICRA AA</t>
  </si>
  <si>
    <t>Indostar Capital Finance Ltd (1Y SBI MCLR + 200 Bps) (02-May-2023) **</t>
  </si>
  <si>
    <t>INE896L07561</t>
  </si>
  <si>
    <t>CARE AA-</t>
  </si>
  <si>
    <t>Edelweiss Rural &amp; Corporate Services Ltd (1Y SBI MCLR + 250 Bps) (29-Nov-2021) **</t>
  </si>
  <si>
    <t>INE657N07597</t>
  </si>
  <si>
    <t>ICRA A+</t>
  </si>
  <si>
    <t>Edelweiss Rural &amp; Corporate Services Ltd (1Y SBI MCLR + 250 Bps) (29-Nov-2021) - Series II **</t>
  </si>
  <si>
    <t>INE657N07605</t>
  </si>
  <si>
    <t>CRISIL AA-</t>
  </si>
  <si>
    <t>12.75% Renew Power Private Ltd (26-Feb-2021) **</t>
  </si>
  <si>
    <t>INE003S07213</t>
  </si>
  <si>
    <t>CARE A+</t>
  </si>
  <si>
    <t>9.60% Piramal Enterprises Ltd (06-May-2022) **</t>
  </si>
  <si>
    <t>INE140A07567</t>
  </si>
  <si>
    <t>CARE AA</t>
  </si>
  <si>
    <t>Motilal Oswal Home Finance Ltd ( 1Y SBI MCLR + 215 Bps) (28-Sep-2023) **</t>
  </si>
  <si>
    <t>INE658R08149</t>
  </si>
  <si>
    <t>0.00% PNB Housing Finance Ltd (03-Aug-2020) **</t>
  </si>
  <si>
    <t>INE572E09494</t>
  </si>
  <si>
    <t>8.47% PNB Housing Finance Ltd (01-Jul-2021) **</t>
  </si>
  <si>
    <t>INE572E09361</t>
  </si>
  <si>
    <t>12.25% DLF Ltd Series IV (11-Aug-2020) **</t>
  </si>
  <si>
    <t>INE271C07137</t>
  </si>
  <si>
    <t>Motilal Oswal Home Finance Ltd (1Y SBI MCLR + 200 Bps) (24-Aug-2023) **</t>
  </si>
  <si>
    <t>INE658R07257</t>
  </si>
  <si>
    <t>10.15% Uttar Pradesh Power Corporation Ltd (20-Jan-2021) **</t>
  </si>
  <si>
    <t>INE540P07285</t>
  </si>
  <si>
    <t>CRISIL A+(CE)</t>
  </si>
  <si>
    <t>7.85% Talwandi Sabo Power Ltd (04-Aug-2020) **</t>
  </si>
  <si>
    <t>INE694L07107</t>
  </si>
  <si>
    <t>CRISIL AA(CE)</t>
  </si>
  <si>
    <t>8.25% Vizag General Cargo Berth Pvt Ltd (30-Sep-2020) **</t>
  </si>
  <si>
    <t>INE905O07028</t>
  </si>
  <si>
    <t>7.63% PNB Housing Finance Ltd (15-Dec-2020) **</t>
  </si>
  <si>
    <t>INE572E09452</t>
  </si>
  <si>
    <t>7.80% PNB Housing Finance Ltd (07-May-2021) **</t>
  </si>
  <si>
    <t>INE572E09429</t>
  </si>
  <si>
    <t>10.15% Uttar Pradesh Power Corporation Ltd (20-Jan-2022) **</t>
  </si>
  <si>
    <t>INE540P07293</t>
  </si>
  <si>
    <t>9.70% Xander Finance Pvt Ltd (15-Mar-2021) **</t>
  </si>
  <si>
    <t>INE252T07040</t>
  </si>
  <si>
    <t>Northern ARC Capital Ltd (6M SBI MCLR + 305 Bps) Series B (16-Jul-2021) **</t>
  </si>
  <si>
    <t>INE850M08069</t>
  </si>
  <si>
    <t>Northern ARC Capital Ltd (6M SBI MCLR + 305 Bps) Series A (16-Jul-2021) **</t>
  </si>
  <si>
    <t>INE850M08051</t>
  </si>
  <si>
    <t>Northern ARC Capital Ltd (6M SBI MCLR + 305 Bps) Series C (16-Jul-2021) **</t>
  </si>
  <si>
    <t>INE850M08077</t>
  </si>
  <si>
    <t>11.75% AU Small Finance Bank Ltd (04-May-2021) **</t>
  </si>
  <si>
    <t>INE949L08152</t>
  </si>
  <si>
    <t>IND AA-</t>
  </si>
  <si>
    <t>11.80% Tata Steel Ltd (18-Mar-2111) **</t>
  </si>
  <si>
    <t>INE081A08165</t>
  </si>
  <si>
    <t>9.23% Talwandi Sabo Power Ltd (30-Jul-2021) **</t>
  </si>
  <si>
    <t>INE694L07123</t>
  </si>
  <si>
    <t>7.50% PNB Housing Finance Ltd (15-Sep-2020) **</t>
  </si>
  <si>
    <t>INE572E09478</t>
  </si>
  <si>
    <t>11.40% Tata Power Co Ltd (02-Jun-2111) **</t>
  </si>
  <si>
    <t>INE245A08034</t>
  </si>
  <si>
    <t>7.58% PNB Housing Finance Ltd (15-Mar-2021) **</t>
  </si>
  <si>
    <t>INE572E09569</t>
  </si>
  <si>
    <t>8.55% Shriram Transport Finance Co Ltd (21-May-2021) **</t>
  </si>
  <si>
    <t>INE721A07NI6</t>
  </si>
  <si>
    <t>CRISIL AA+</t>
  </si>
  <si>
    <t>10.75% The Tata Power Co Ltd (21-Aug-2022) **</t>
  </si>
  <si>
    <t>INE245A08042</t>
  </si>
  <si>
    <t>9.75% Uttar Pradesh Power Corporation Ltd (20-Oct-2020) **</t>
  </si>
  <si>
    <t>INE540P07194</t>
  </si>
  <si>
    <t>7.40% Tata Motors Ltd (29-Jun-2021) **</t>
  </si>
  <si>
    <t>INE155A08365</t>
  </si>
  <si>
    <t>9.10% Shriram Transport Finance Co Ltd (12-Jul-2021) **</t>
  </si>
  <si>
    <t>INE721A07NV9</t>
  </si>
  <si>
    <t>11.30% Hinduja Leyland Finance Ltd (21-Jul-2021) **</t>
  </si>
  <si>
    <t>INE146O08084</t>
  </si>
  <si>
    <t>ICRA AA-</t>
  </si>
  <si>
    <t>9.70% Xander Finance Pvt Ltd (30-Apr-2021) **</t>
  </si>
  <si>
    <t>INE252T07057</t>
  </si>
  <si>
    <t>7.6414% Shriram Transport Finance Co Ltd (10-Nov-2020) **</t>
  </si>
  <si>
    <t>INE721A07MW9</t>
  </si>
  <si>
    <t>12.00% Vivriti Capital Pvt Ltd (19-Mar-2021) **</t>
  </si>
  <si>
    <t>INE01HV07015</t>
  </si>
  <si>
    <t>ICRA A-</t>
  </si>
  <si>
    <t>10.15% Uttar Pradesh Power Corporation Ltd (20-Jan-2023) **</t>
  </si>
  <si>
    <t>INE540P07301</t>
  </si>
  <si>
    <t>8.70% Edelweiss Rural &amp; Corporate Services Ltd (30-Jun-2027) **</t>
  </si>
  <si>
    <t>INE616U07036</t>
  </si>
  <si>
    <t>7.50% Tata Motors Ltd (20-Oct-2021) **</t>
  </si>
  <si>
    <t>INE155A08316</t>
  </si>
  <si>
    <t>10.25% Sikka Ports &amp; Terminals Ltd (22-Aug-2021)</t>
  </si>
  <si>
    <t>INE941D08065</t>
  </si>
  <si>
    <t>CRISIL AAA</t>
  </si>
  <si>
    <t>Sub Total</t>
  </si>
  <si>
    <t>(b) Privately Placed / Unlisted</t>
  </si>
  <si>
    <t>Indostar Capital Finance Ltd (1Y SBI MCLR + 325 Bps) (02-Nov-2021) **</t>
  </si>
  <si>
    <t>INE896L07660</t>
  </si>
  <si>
    <t>0.00% Bharti Telecom Ltd (19-Feb-2021) **</t>
  </si>
  <si>
    <t>INE403D08025</t>
  </si>
  <si>
    <t>11.25% Clix Capital Services Pvt Ltd (27-Jun-2023) **</t>
  </si>
  <si>
    <t>INE157D08027</t>
  </si>
  <si>
    <t>0.00% Tata Realty &amp; Infrastructure Ltd (04-Jun-2021) **</t>
  </si>
  <si>
    <t>INE371K08128</t>
  </si>
  <si>
    <t>11.25% Clix Capital Services Pvt Ltd (25-May-2023) **</t>
  </si>
  <si>
    <t>INE157D08019</t>
  </si>
  <si>
    <t>9.00% Pune Solapur Expressways Pvt Ltd (31-Mar-2029) **</t>
  </si>
  <si>
    <t>INE598K07011</t>
  </si>
  <si>
    <t>ICRA A</t>
  </si>
  <si>
    <t>0.00% Hero Wind Energy Pvt Ltd (08-Feb-2022) **</t>
  </si>
  <si>
    <t>INE918T07020</t>
  </si>
  <si>
    <t>9.40% Small Business Fincredit India Pvt Ltd (28-Sep-2020) **</t>
  </si>
  <si>
    <t>INE423Y07013</t>
  </si>
  <si>
    <t>4.00% HPCL-Mittal Energy Ltd (03-Sep-2020) **</t>
  </si>
  <si>
    <t>INE137K07018</t>
  </si>
  <si>
    <t>ICRA AA+</t>
  </si>
  <si>
    <t>12.50% Clix Finance India Pvt Ltd (06-Jan-2022) **</t>
  </si>
  <si>
    <t>INE587B08037</t>
  </si>
  <si>
    <t>12.50% Clix Capital Services Pvt Ltd (06-Sep-2021) **</t>
  </si>
  <si>
    <t>INE157D08035</t>
  </si>
  <si>
    <t>12.50% Clix Capital Services Pvt Ltd (06-Jul-2021) **</t>
  </si>
  <si>
    <t>INE157D08068</t>
  </si>
  <si>
    <t>12.50% Clix Capital Services Pvt Ltd (06-May-2021) **</t>
  </si>
  <si>
    <t>INE157D08050</t>
  </si>
  <si>
    <t>12.50% Clix Capital Services Pvt Ltd (12-Nov-2021) **</t>
  </si>
  <si>
    <t>INE157D08043</t>
  </si>
  <si>
    <t>11.96% Renew Power Pvt Ltd (28-Sep-2022) **</t>
  </si>
  <si>
    <t>INE003S07155</t>
  </si>
  <si>
    <t>9.99% India Shelter Finance Corporation Ltd (10-Feb-2022) **</t>
  </si>
  <si>
    <t>INE922K07013</t>
  </si>
  <si>
    <t>0.00% KKR India Financial Services Pvt Ltd (10-Mar-2021) **</t>
  </si>
  <si>
    <t>INE321N07244</t>
  </si>
  <si>
    <t>Total</t>
  </si>
  <si>
    <t>Net Assets</t>
  </si>
  <si>
    <t>Call, Cash &amp; Other Assets</t>
  </si>
  <si>
    <t>Rating</t>
  </si>
  <si>
    <t>** Non- Traded Scrips</t>
  </si>
  <si>
    <t>Notes</t>
  </si>
  <si>
    <t>a) NAV at the beginning and at the end of the Half-year ended 31-Jul-2020</t>
  </si>
  <si>
    <t xml:space="preserve">      Plan/Option</t>
  </si>
  <si>
    <t>As on 31-Jul-2020</t>
  </si>
  <si>
    <t>As on 31-Jan-2020</t>
  </si>
  <si>
    <t xml:space="preserve">      Retail Plan Growth Option</t>
  </si>
  <si>
    <t xml:space="preserve">      Retail Plan Daily Dividend Option</t>
  </si>
  <si>
    <t xml:space="preserve">      Retail Plan Weekly Dividend Option</t>
  </si>
  <si>
    <t xml:space="preserve">      Institutional Plan Growth Option</t>
  </si>
  <si>
    <t xml:space="preserve">      Institutional Plan Daily Dividend Option</t>
  </si>
  <si>
    <t xml:space="preserve">      Super Institutional Plan Growth Option</t>
  </si>
  <si>
    <t xml:space="preserve">      Super Institutional Plan Daily Dividend Option</t>
  </si>
  <si>
    <t xml:space="preserve">      Super Institutional Plan Weekly Dividend Option</t>
  </si>
  <si>
    <t xml:space="preserve">      Direct Super Institutional Plan Growth Option</t>
  </si>
  <si>
    <t xml:space="preserve">      Direct Super Institutional Plan Daily Dividend Option</t>
  </si>
  <si>
    <t xml:space="preserve">      Direct Super Institutional Plan Weekly Dividend Option</t>
  </si>
  <si>
    <t>b) Aggregate Dividends declared during the Half - year ended 31-Jul-2020</t>
  </si>
  <si>
    <t>Nil</t>
  </si>
  <si>
    <t>c) Average Maturity as on 31-Jul-2020</t>
  </si>
  <si>
    <t>(In Years)</t>
  </si>
  <si>
    <t xml:space="preserve">d) During the month additional instances of fair valuation/deviation from valuation price provided by the valuation agencies </t>
  </si>
  <si>
    <t>Refer below link for rationale of devation under Valuation policy</t>
  </si>
  <si>
    <t>Main Portfolio</t>
  </si>
  <si>
    <t>10.25% Shriram Transport Finance Co Ltd (26-Apr-2024) **</t>
  </si>
  <si>
    <t>INE721A08DC8</t>
  </si>
  <si>
    <t>9.50% Piramal Capital &amp; Housing Finance Ltd (15-Apr-2022) **</t>
  </si>
  <si>
    <t>INE516Y07105</t>
  </si>
  <si>
    <t>10.32% Andhra Pradesh Capital Region Development Authority (16-Aug-2025) **</t>
  </si>
  <si>
    <t>INE01E708024</t>
  </si>
  <si>
    <t>10.32% Andhra Pradesh Capital Region Development Authority (16-Aug-2024) **</t>
  </si>
  <si>
    <t>INE01E708016</t>
  </si>
  <si>
    <t>12.55% Sterlite Power Grid Ventures Ltd (28-Mar-2022) **</t>
  </si>
  <si>
    <t>INE615S07065</t>
  </si>
  <si>
    <t>IND A</t>
  </si>
  <si>
    <t>10.00% Aptus Value Housing Finance India Ltd (20-Aug-2025) **</t>
  </si>
  <si>
    <t>INE852O07097</t>
  </si>
  <si>
    <t>7.91% PNB Housing Finance Ltd (29-Mar-2022) **</t>
  </si>
  <si>
    <t>INE572E09403</t>
  </si>
  <si>
    <t>12.40% JM Financial Asset Reconstruction Co Ltd (02-Feb-2022) **</t>
  </si>
  <si>
    <t>INE265J07357</t>
  </si>
  <si>
    <t>12.64% Five-Star Business Finance Ltd (16-Apr-2022) **</t>
  </si>
  <si>
    <t>INE128S07374</t>
  </si>
  <si>
    <t>9.90% Shriram Transport Finance Co Ltd (21-Jun-2024) **</t>
  </si>
  <si>
    <t>INE721A08DF1</t>
  </si>
  <si>
    <t>12.00% Ess Kay Fincorp Ltd (01-Aug-2023) **</t>
  </si>
  <si>
    <t>INE124N07309</t>
  </si>
  <si>
    <t>CRISIL A</t>
  </si>
  <si>
    <t>8.50% Vedanta Ltd (05-Apr-2021) **</t>
  </si>
  <si>
    <t>INE205A07139</t>
  </si>
  <si>
    <t>10.00% Aptus Value Housing Finance India Ltd (20-Jul-2025) **</t>
  </si>
  <si>
    <t>INE852O07089</t>
  </si>
  <si>
    <t>INE657N07381</t>
  </si>
  <si>
    <t>10.15% Uttar Pradesh Power Corporation Ltd (19-Jan-2024) **</t>
  </si>
  <si>
    <t>INE540P07319</t>
  </si>
  <si>
    <t>10.15% Uttar Pradesh Power Corporation Ltd (20-Jan-2025)</t>
  </si>
  <si>
    <t>INE540P07327</t>
  </si>
  <si>
    <t>12.40% JM Financial Asset Reconstruction Co Ltd (02-Aug-2021) **</t>
  </si>
  <si>
    <t>INE265J07365</t>
  </si>
  <si>
    <t>12.64% Five-Star Business Finance Ltd (28-May-2022) **</t>
  </si>
  <si>
    <t>INE128S07390</t>
  </si>
  <si>
    <t>10.15% Uttar Pradesh Power Corporation Ltd (20-Jan-2026)</t>
  </si>
  <si>
    <t>INE540P07335</t>
  </si>
  <si>
    <t>10.50% Vistaar Financial Services Pvt Ltd (24-Aug-2025) **</t>
  </si>
  <si>
    <t>INE016P07146</t>
  </si>
  <si>
    <t>12.25% DLF Ltd Tranche II Series IV (11-Aug-2020) **</t>
  </si>
  <si>
    <t>INE271C07178</t>
  </si>
  <si>
    <t>11.60% Hinduja Leyland Finance Ltd (29-Sep-2024) **</t>
  </si>
  <si>
    <t>INE146O08159</t>
  </si>
  <si>
    <t>12.64% Five-Star Business Finance Ltd (29-Mar-2022) **</t>
  </si>
  <si>
    <t>INE128S07358</t>
  </si>
  <si>
    <t>10.40% Vastu Housing Finance Corporation Ltd (27-Nov-2025) **</t>
  </si>
  <si>
    <t>INE459T07082</t>
  </si>
  <si>
    <t>BWR A+</t>
  </si>
  <si>
    <t>INE459T07090</t>
  </si>
  <si>
    <t>9.90% Coastal Gujarat Power Ltd (25-Aug-2028) **</t>
  </si>
  <si>
    <t>INE295J08022</t>
  </si>
  <si>
    <t>CARE AA(CE)</t>
  </si>
  <si>
    <t>10.32% Andhra Pradesh Capital Region Development Authority (16-Aug-2026) **</t>
  </si>
  <si>
    <t>INE01E708032</t>
  </si>
  <si>
    <t>11.50% Hinduja Leyland Finance Ltd (31-May-2021) **</t>
  </si>
  <si>
    <t>INE146O08068</t>
  </si>
  <si>
    <t>9.95% Vastu Housing Finance Corporation Ltd (27-Feb-2025) **</t>
  </si>
  <si>
    <t>INE459T07025</t>
  </si>
  <si>
    <t>9.75% Uttar Pradesh Power Corporation Ltd (20-Oct-2021) **</t>
  </si>
  <si>
    <t>INE540P07202</t>
  </si>
  <si>
    <t>10.9007% Ess Kay Fincorp Ltd (11-Jun-2021) Series C **</t>
  </si>
  <si>
    <t>INE124N07200</t>
  </si>
  <si>
    <t>BWR A</t>
  </si>
  <si>
    <t>10.90% Punjab &amp; Sind Bank (07-May-2022) **</t>
  </si>
  <si>
    <t>INE608A08025</t>
  </si>
  <si>
    <t>8.45% Edelweiss Rural &amp; Corporate Services Ltd (11-Aug-2020) **</t>
  </si>
  <si>
    <t>INE657N07407</t>
  </si>
  <si>
    <t>10.21% Five-Star Business Finance Ltd (28-Mar-2023) **</t>
  </si>
  <si>
    <t>INE128S07333</t>
  </si>
  <si>
    <t>CARE A</t>
  </si>
  <si>
    <t>11.50% JM Financial Asset Reconstruction Co Ltd (29-May-2022) **</t>
  </si>
  <si>
    <t>INE265J07316</t>
  </si>
  <si>
    <t>9.18% Vedanta Ltd (02-Jul-2021) **</t>
  </si>
  <si>
    <t>INE205A07154</t>
  </si>
  <si>
    <t>12.64% Five-Star Business Finance Ltd (28-Jun-2022) **</t>
  </si>
  <si>
    <t>INE128S07408</t>
  </si>
  <si>
    <t>11.10% Hinduja Leyland Finance Ltd (08-Apr-2022) **</t>
  </si>
  <si>
    <t>INE146O08092</t>
  </si>
  <si>
    <t>9.85% DCB Bank Ltd (18-Nov-2026) **</t>
  </si>
  <si>
    <t>INE503A08028</t>
  </si>
  <si>
    <t>12.00% Hinduja Leyland Finance Ltd (28-Mar-2021) **</t>
  </si>
  <si>
    <t>INE146O08027</t>
  </si>
  <si>
    <t>9.73% Tata Motors Ltd (01-Oct-2020) **</t>
  </si>
  <si>
    <t>INE155A08225</t>
  </si>
  <si>
    <t>8.90% Vedanta Ltd (09-Dec-2021) **</t>
  </si>
  <si>
    <t>INE205A07162</t>
  </si>
  <si>
    <t>10.15% Uttar Pradesh Power Corporation Ltd (20-Jan-2027) **</t>
  </si>
  <si>
    <t>INE540P07343</t>
  </si>
  <si>
    <t>10.15% Uttar Pradesh Power Corporation Ltd (20-Jan-2028) **</t>
  </si>
  <si>
    <t>INE540P07350</t>
  </si>
  <si>
    <t>8.50% Bank of Baroda (02-Dec-2021) **</t>
  </si>
  <si>
    <t>INE028A08083</t>
  </si>
  <si>
    <t>10.00% Aptus Value Housing Finance India Ltd (24-Jan-2025) **</t>
  </si>
  <si>
    <t>INE852O07055</t>
  </si>
  <si>
    <t>INE128S07317</t>
  </si>
  <si>
    <t>7.50% Power Finance Corporation Ltd (17-Sep-2020) **</t>
  </si>
  <si>
    <t>INE134E08IW3</t>
  </si>
  <si>
    <t>9.30% Fullerton India Credit Co Ltd (15-Mar-2021) **</t>
  </si>
  <si>
    <t>INE535H07AU7</t>
  </si>
  <si>
    <t>0.00% Mahindra &amp; Mahindra Financial Services Ltd (07-Apr-2021) **</t>
  </si>
  <si>
    <t>INE774D07RY7</t>
  </si>
  <si>
    <t>IND AAA</t>
  </si>
  <si>
    <t>8.39% National Bank For Agriculture &amp; Rural Development (19-Jul-2021)</t>
  </si>
  <si>
    <t>INE261F08AL1</t>
  </si>
  <si>
    <t>8.32% Reliance Industries Ltd (08-Jul-2021)</t>
  </si>
  <si>
    <t>INE110L07070</t>
  </si>
  <si>
    <t>INE01EA07016</t>
  </si>
  <si>
    <t>9.45% Renew Power Pvt Ltd (31-Jul-2025) **</t>
  </si>
  <si>
    <t>INE003S07189</t>
  </si>
  <si>
    <t>11.50% S. D. Corporation Pvt Ltd (03-Jun-2022) **</t>
  </si>
  <si>
    <t>INE660N07047</t>
  </si>
  <si>
    <t>10.25% Star Health &amp; Allied Insurance Co Ltd (06-Sep-2024) **</t>
  </si>
  <si>
    <t>INE575P08016</t>
  </si>
  <si>
    <t>IND A+</t>
  </si>
  <si>
    <t>9.60% Narmada Wind Energy Pvt Ltd (31-Mar-2023) **</t>
  </si>
  <si>
    <t>INE209W07010</t>
  </si>
  <si>
    <t>CARE A+(CE)</t>
  </si>
  <si>
    <t>9.60% Renew Wind Energy (Rajasthan One) Pvt Ltd (31-Mar-2023) **</t>
  </si>
  <si>
    <t>INE964Q07012</t>
  </si>
  <si>
    <t>13.00% Rivaaz Trade Ventures Pvt Ltd (31-Dec-2023) $$ **</t>
  </si>
  <si>
    <t>INE971Z07109</t>
  </si>
  <si>
    <t>BWR BB+(CE)</t>
  </si>
  <si>
    <t>12.25% Rivaaz Trade Ventures Pvt Ltd (30-Jun-2022) $$ **</t>
  </si>
  <si>
    <t>INE971Z07042</t>
  </si>
  <si>
    <t>11.50% S D Corporation Pvt Ltd (03-Jun-2022) **</t>
  </si>
  <si>
    <t>INE660N07062</t>
  </si>
  <si>
    <t>12.25% Rivaaz Trade Ventures Pvt Ltd (30-Jun-2021) $$ **</t>
  </si>
  <si>
    <t>INE971Z07034</t>
  </si>
  <si>
    <t>9.95% Molagavalli Renewable Pvt Ltd (31-Mar-2023) **</t>
  </si>
  <si>
    <t>INE659X07014</t>
  </si>
  <si>
    <t>11.70% Svatantra Microfin Pvt Ltd (30-Nov-2023) **</t>
  </si>
  <si>
    <t>INE00MX08011</t>
  </si>
  <si>
    <t>13.00% Rivaaz Trade Ventures Pvt Ltd (30-Dec-2021) $$ **</t>
  </si>
  <si>
    <t>INE971Z07083</t>
  </si>
  <si>
    <t>13.00% Rivaaz Trade Ventures Pvt Ltd (30-Dec-2022) $$ **</t>
  </si>
  <si>
    <t>INE971Z07091</t>
  </si>
  <si>
    <t>13.00% Rivaaz Trade Ventures Pvt Ltd (30-Dec-2020) $$ **</t>
  </si>
  <si>
    <t>INE971Z07075</t>
  </si>
  <si>
    <t>12.65% Rivaaz Trade Ventures Pvt Ltd (07-Nov-2020) $$ **</t>
  </si>
  <si>
    <t>INE285T07099</t>
  </si>
  <si>
    <t>9.95% Narmada Wind Energy Pvt Ltd (31-Mar-2023) **</t>
  </si>
  <si>
    <t>INE209W07028</t>
  </si>
  <si>
    <t>12.41% Renew Solar Power Pvt Ltd (01-Nov-2022) **</t>
  </si>
  <si>
    <t>INE139S07017</t>
  </si>
  <si>
    <t>11.49% Reliance Infrastructure Consulting &amp; Engineers Pvt Ltd (15-Jan-2021) $$ ^^ **</t>
  </si>
  <si>
    <t>INE428K07011</t>
  </si>
  <si>
    <t>BWR D</t>
  </si>
  <si>
    <t>11.49% Reliance Big Pvt Ltd Series II (14-Jan-2021) $$ ^^ **</t>
  </si>
  <si>
    <t>INE333T07055</t>
  </si>
  <si>
    <t>8.01% Tata Sons Pvt Ltd (02-Sep-2021) **</t>
  </si>
  <si>
    <t>INE895D08634</t>
  </si>
  <si>
    <t>11.49% Reliance Big Pvt Ltd  Series I (14-Jan-2021) $$ ^^ **</t>
  </si>
  <si>
    <t>INE333T07048</t>
  </si>
  <si>
    <t>INE080T07110</t>
  </si>
  <si>
    <t>INE080T07094</t>
  </si>
  <si>
    <t>INE946S07114</t>
  </si>
  <si>
    <t>INE946S07122</t>
  </si>
  <si>
    <t>INE080T07102</t>
  </si>
  <si>
    <t>INE946S07098</t>
  </si>
  <si>
    <t>* Less than 0.01%</t>
  </si>
  <si>
    <t xml:space="preserve">      Retail Plan Monthly Dividend Option</t>
  </si>
  <si>
    <t xml:space="preserve">      Retail Plan Quarterly Dividend Option</t>
  </si>
  <si>
    <t xml:space="preserve">      Direct Retail Plan Growth Option</t>
  </si>
  <si>
    <t xml:space="preserve">      Direct Retail Plan Weekly Dividend Option</t>
  </si>
  <si>
    <t xml:space="preserve">      Direct Retail Plan Monthly Dividend Option</t>
  </si>
  <si>
    <t xml:space="preserve">      Direct Retail Plan Quarterly Dividend Option</t>
  </si>
  <si>
    <t>Plan Name</t>
  </si>
  <si>
    <t>Dividend per unit (Rs.)</t>
  </si>
  <si>
    <t>Individuals/HUF</t>
  </si>
  <si>
    <t>Others</t>
  </si>
  <si>
    <t>Franklin India Short Term Income Plan - Segregated Portfolio 2 - 10.90% Vodafone Idea Ltd (02-Sep-2023) P/C 03 Sep 2021</t>
  </si>
  <si>
    <t>10.90% Vodafone Idea Ltd (02-Sep-2023) $$^^ **</t>
  </si>
  <si>
    <t>INE669E08318</t>
  </si>
  <si>
    <t>CARE BB-</t>
  </si>
  <si>
    <t>Franklin India Short Term Income Plan - Segregated Portfolio 3 - 9.50% Yes Bank Ltd CO 23 Dec 2021</t>
  </si>
  <si>
    <t>9.50% Yes Bank Ltd (23-Dec-2021)  $$ **</t>
  </si>
  <si>
    <t>INE528G08352</t>
  </si>
  <si>
    <t>CARE D</t>
  </si>
  <si>
    <t>Money Market Instruments</t>
  </si>
  <si>
    <t>Certificate of Deposit</t>
  </si>
  <si>
    <t>Bank of Baroda (11-Feb-2021) **</t>
  </si>
  <si>
    <t>INE028A16BX1</t>
  </si>
  <si>
    <t>IND A1+</t>
  </si>
  <si>
    <t>Bank of Baroda (09-Mar-2021) **</t>
  </si>
  <si>
    <t>INE028A16BY9</t>
  </si>
  <si>
    <t>CRISIL A1+</t>
  </si>
  <si>
    <t>National Bank For Agriculture &amp; Rural Development (10-Jun-2021) **</t>
  </si>
  <si>
    <t>INE261F16538</t>
  </si>
  <si>
    <t>ICICI Bank Ltd (14-Sep-2020)</t>
  </si>
  <si>
    <t>INE090A166V8</t>
  </si>
  <si>
    <t>ICRA A1+</t>
  </si>
  <si>
    <t>National Bank For Agriculture &amp; Rural Development (05-Aug-2020) **</t>
  </si>
  <si>
    <t>INE261F16454</t>
  </si>
  <si>
    <t>National Bank For Agriculture &amp; Rural Development (03-Feb-2021) **</t>
  </si>
  <si>
    <t>INE261F16488</t>
  </si>
  <si>
    <t>National Bank For Agriculture &amp; Rural Development (05-Mar-2021) **</t>
  </si>
  <si>
    <t>INE261F16512</t>
  </si>
  <si>
    <t>Cooperatieve Rabobank (MIBOR+110 Bps) (27-Nov-2020) **</t>
  </si>
  <si>
    <t>INE480Q16465</t>
  </si>
  <si>
    <t>Commercial Paper</t>
  </si>
  <si>
    <t>Kotak Mahindra Prime Ltd (27-Nov-2020) **@</t>
  </si>
  <si>
    <t>INE916D14S54</t>
  </si>
  <si>
    <t>Export-Import Bank Of India (14-Oct-2020) **@</t>
  </si>
  <si>
    <t>INE514E14OP6</t>
  </si>
  <si>
    <t>Fullerton India Credit Co Ltd (08-Dec-2020) **@</t>
  </si>
  <si>
    <t>INE535H14ID2</t>
  </si>
  <si>
    <t>Reliance Jio Infocomm Ltd (09-Feb-2021) **@</t>
  </si>
  <si>
    <t>INE110L14NK1</t>
  </si>
  <si>
    <t>CARE A1+</t>
  </si>
  <si>
    <t>L&amp;T Infrastructure Finance Co Ltd (29-Jan-2021) **@</t>
  </si>
  <si>
    <t>INE691I14JS7</t>
  </si>
  <si>
    <t>Housing Development Finance Corporation Ltd (13-Jan-2021) **@</t>
  </si>
  <si>
    <t>INE001A14WG4</t>
  </si>
  <si>
    <t>Bajaj Housing Finance Ltd (29-Jan-2021) **@</t>
  </si>
  <si>
    <t>INE377Y14710</t>
  </si>
  <si>
    <t>Reliance Industries Ltd (05-Mar-2021) **@</t>
  </si>
  <si>
    <t>INE002A14FM5</t>
  </si>
  <si>
    <t>L&amp;T Infrastructure Finance Co Ltd (08-Feb-2021) **@</t>
  </si>
  <si>
    <t>INE691I14JR9</t>
  </si>
  <si>
    <t>Reliance Industries Ltd (15-Mar-2021)@</t>
  </si>
  <si>
    <t>INE002A14EY3</t>
  </si>
  <si>
    <t>Kotak Mahindra Investments Ltd (23-Mar-2021) **@</t>
  </si>
  <si>
    <t>INE975F14SW3</t>
  </si>
  <si>
    <t>Indian Oil Corporation Ltd (10-Aug-2020) **@</t>
  </si>
  <si>
    <t>INE242A14QS1</t>
  </si>
  <si>
    <t>Treasury Bill</t>
  </si>
  <si>
    <t>84 DCMB (20-Aug-2020)</t>
  </si>
  <si>
    <t>IN002020U015</t>
  </si>
  <si>
    <t xml:space="preserve"> SOVEREIGN</t>
  </si>
  <si>
    <t>364 DTB (25-Mar-2021)</t>
  </si>
  <si>
    <t>IN002019Z537</t>
  </si>
  <si>
    <t>364 DTB (30-Mar-2021)</t>
  </si>
  <si>
    <t>IN002019Z545</t>
  </si>
  <si>
    <t>@ Listed</t>
  </si>
  <si>
    <t xml:space="preserve">      Institutional Plan Dividend Option</t>
  </si>
  <si>
    <t xml:space="preserve">      Direct Retail Plan Daily Dividend Option</t>
  </si>
  <si>
    <t>11.50% JM Financial Asset Reconstruction Co Ltd (29-Mar-2022) **</t>
  </si>
  <si>
    <t>INE265J07324</t>
  </si>
  <si>
    <t>10.25% Shriram Transport Finance Co Ltd (27-Dec-2024) **</t>
  </si>
  <si>
    <t>INE721A08DE4</t>
  </si>
  <si>
    <t>10.25% Incred Financial Services Pvt Ltd (26-Apr-2021) **</t>
  </si>
  <si>
    <t>INE945W07035</t>
  </si>
  <si>
    <t>0.00% Sadbhav Infrastructure Project Ltd (23-Apr-2023) **</t>
  </si>
  <si>
    <t>INE764L07173</t>
  </si>
  <si>
    <t>CARE A-(CE)</t>
  </si>
  <si>
    <t>0.00% Shriram Transport Finance Co Ltd (31-May-2021) **</t>
  </si>
  <si>
    <t>INE721A07NQ9</t>
  </si>
  <si>
    <t>9.50% Piramal Capital &amp; Housing Finance Ltd (21-Apr-2022) **</t>
  </si>
  <si>
    <t>INE516Y07089</t>
  </si>
  <si>
    <t>9.00% Shriram Transport Finance Co Ltd (28-Mar-2028) **</t>
  </si>
  <si>
    <t>INE721A08DA2</t>
  </si>
  <si>
    <t xml:space="preserve">      Growth Plan</t>
  </si>
  <si>
    <t xml:space="preserve">      Monthly Dividend Plan</t>
  </si>
  <si>
    <t xml:space="preserve">      Quarterly Dividend Plan</t>
  </si>
  <si>
    <t xml:space="preserve">      Direct Growth Plan</t>
  </si>
  <si>
    <t xml:space="preserve">      Direct Monthly Dividend Plan</t>
  </si>
  <si>
    <t xml:space="preserve">      Direct Quarterly Dividend Plan</t>
  </si>
  <si>
    <t>Franklin India Low Duration Fund-Segregated Portfolio 2 - 10.90% Vodafone Idea Ltd (02-Sep-2023) P/C 03 Sep 2021</t>
  </si>
  <si>
    <t>9.55% Piramal Capital &amp; Housing Finance Ltd (08-Mar-2027) **</t>
  </si>
  <si>
    <t>INE641O08035</t>
  </si>
  <si>
    <t>9.85% DCB Bank Ltd (12-Jan-2028) **</t>
  </si>
  <si>
    <t>INE503A08044</t>
  </si>
  <si>
    <t>10.32% Andhra Pradesh Capital Region Development Authority (16-Aug-2028) **</t>
  </si>
  <si>
    <t>INE01E708057</t>
  </si>
  <si>
    <t>10.15% Hinduja Leyland Finance Ltd (27-Mar-2025) **</t>
  </si>
  <si>
    <t>INE146O08134</t>
  </si>
  <si>
    <t>INE459T07041</t>
  </si>
  <si>
    <t>10.00% Aptus Value Housing Finance India Ltd (26-Feb-2025) **</t>
  </si>
  <si>
    <t>INE852O07063</t>
  </si>
  <si>
    <t>0.00% India Shelter Finance Corporation Ltd (02-May-2025) **</t>
  </si>
  <si>
    <t>INE922K07039</t>
  </si>
  <si>
    <t>9.75% Uttar Pradesh Power Corporation Ltd (20-Oct-2022) **</t>
  </si>
  <si>
    <t>INE540P07210</t>
  </si>
  <si>
    <t>9.20% Hinduja Leyland Finance Ltd (13-Sep-2024) **</t>
  </si>
  <si>
    <t>INE146O08118</t>
  </si>
  <si>
    <t>INE459T07058</t>
  </si>
  <si>
    <t>12.25% Rivaaz Trade Ventures Pvt Ltd (30-Jun-2023) $$ **</t>
  </si>
  <si>
    <t>INE971Z07059</t>
  </si>
  <si>
    <t>0.00% Sadbhav Infrastructure Project Ltd (06-Jun-2023) **</t>
  </si>
  <si>
    <t>INE764L07181</t>
  </si>
  <si>
    <t>INE598K07029</t>
  </si>
  <si>
    <t>11.49% Reliance Big Pvt Ltd Series III (14-Jan-2021) $$ ^^ **</t>
  </si>
  <si>
    <t>INE333T07063</t>
  </si>
  <si>
    <t>INE946S07148</t>
  </si>
  <si>
    <t>INE080T07128</t>
  </si>
  <si>
    <t xml:space="preserve">      Dividend Plan</t>
  </si>
  <si>
    <t xml:space="preserve">      Direct Dividend Plan</t>
  </si>
  <si>
    <t>Franklin India Income Opportunities Fund-Segregated Portfolio 2 - 10.90% Vodafone Idea Ltd (02-Sep-2023) P/C 03 Sep 2021</t>
  </si>
  <si>
    <t>Government Securities</t>
  </si>
  <si>
    <t>5.79% GOI 2030 (11-May-2030)</t>
  </si>
  <si>
    <t>IN0020200070</t>
  </si>
  <si>
    <t>SOVEREIGN</t>
  </si>
  <si>
    <t>6.19% GOI 2034 (16-Sep-2034)</t>
  </si>
  <si>
    <t>IN0020200096</t>
  </si>
  <si>
    <t>7.27% GOI 2026 (08-Apr-2026)</t>
  </si>
  <si>
    <t>IN0020190016</t>
  </si>
  <si>
    <t>7.32% GOI 2024 (28-Jan-2024)</t>
  </si>
  <si>
    <t>IN0020180488</t>
  </si>
  <si>
    <t xml:space="preserve">      Growth Option</t>
  </si>
  <si>
    <t xml:space="preserve">      Quarterly Dividend Option</t>
  </si>
  <si>
    <t xml:space="preserve">      Direct Growth Option</t>
  </si>
  <si>
    <t xml:space="preserve">      Direct Quarterly Dividend Option</t>
  </si>
  <si>
    <t>Aditya Birla Housing Finance Ltd (364DTB +250 Bps) (17-Feb-2023) **</t>
  </si>
  <si>
    <t>INE831R07268</t>
  </si>
  <si>
    <t>ICRA AAA</t>
  </si>
  <si>
    <t>HDB Financial Services Ltd (91DTB + 205 Bps) (12-Jul-2021) **</t>
  </si>
  <si>
    <t>INE756I07CA5</t>
  </si>
  <si>
    <t>GOI FRB 2020 (21-Dec-2020)</t>
  </si>
  <si>
    <t>IN0020092071</t>
  </si>
  <si>
    <t>6.79% GOI 2027 (15-May-2027)</t>
  </si>
  <si>
    <t>IN0020170026</t>
  </si>
  <si>
    <t>5.22% GOI 2025 (15-Jun-2025)</t>
  </si>
  <si>
    <t>IN0020200112</t>
  </si>
  <si>
    <t>6.45% GOI 2029 (07-Oct-2029)</t>
  </si>
  <si>
    <t>IN0020190362</t>
  </si>
  <si>
    <t xml:space="preserve">      Daily Dividend Plan</t>
  </si>
  <si>
    <t xml:space="preserve">      Direct Daily Dividend Plan</t>
  </si>
  <si>
    <t>11.25% India Shelter Finance Corporation Ltd (01-Oct-2026) **</t>
  </si>
  <si>
    <t>INE922K07047</t>
  </si>
  <si>
    <t>12.50% JM Financial Asset Reconstruction Co Ltd (02-Aug-2022) **</t>
  </si>
  <si>
    <t>INE265J07373</t>
  </si>
  <si>
    <t>10.32% Andhra Pradesh Capital Region Development Authority (16-Aug-2027) **</t>
  </si>
  <si>
    <t>INE01E708040</t>
  </si>
  <si>
    <t>9.40% Hinduja Leyland Finance Ltd (28-Aug-2024) **</t>
  </si>
  <si>
    <t>INE146O08100</t>
  </si>
  <si>
    <t>9.75% Uttar Pradesh Power Corporation Ltd (20-Oct-2023) **</t>
  </si>
  <si>
    <t>INE540P07228</t>
  </si>
  <si>
    <t>8.36% Power Finance Corporation Ltd (04-Sep-2020) **</t>
  </si>
  <si>
    <t>INE134E08HV7</t>
  </si>
  <si>
    <t>8.85% REC Ltd (16-Apr-2029) **</t>
  </si>
  <si>
    <t>INE020B08BQ7</t>
  </si>
  <si>
    <t>10.20% Star Health &amp; Allied Insurance Co Ltd (31-Oct-2024) **</t>
  </si>
  <si>
    <t>INE575P08024</t>
  </si>
  <si>
    <t>9.41% Renew Wind Energy Delhi Pvt Ltd (30-Sep-2030) **</t>
  </si>
  <si>
    <t>INE458O07036</t>
  </si>
  <si>
    <t>CARE A+(SO)</t>
  </si>
  <si>
    <t>12.65% Rivaaz Trade Ventures Pvt Ltd (11-Aug-2020) $$ **</t>
  </si>
  <si>
    <t>INE840S07093</t>
  </si>
  <si>
    <t>CARE BB(CE)</t>
  </si>
  <si>
    <t>INE080T07086</t>
  </si>
  <si>
    <t>Franklin India Dynamic Accrual Fund - Segregated Portfolio 2 - 10.90% Vodafone Idea Ltd (02-Sep-2023) P/C 03 Sep 2021</t>
  </si>
  <si>
    <t>Franklin India Dynamic Accrual Fund - Segregated Portfolio 3 - 9.50% Yes Bank Ltd CO 23 Dec 2021</t>
  </si>
  <si>
    <t>10.50% Vistaar Financial Services Pvt Ltd (22-Jun-2023) **</t>
  </si>
  <si>
    <t>INE016P07120</t>
  </si>
  <si>
    <t>10.50% Vistaar Financial Services Pvt Ltd (23-Jul-2024) **</t>
  </si>
  <si>
    <t>INE016P07138</t>
  </si>
  <si>
    <t>INE128S07325</t>
  </si>
  <si>
    <t>INE128S07341</t>
  </si>
  <si>
    <t>10.00% Aptus Value Housing Finance India Ltd (26-Dec-2024) **</t>
  </si>
  <si>
    <t>INE852O07048</t>
  </si>
  <si>
    <t>10.00% Aptus Value Housing Finance India Ltd (20-Jun-2025) **</t>
  </si>
  <si>
    <t>INE852O07071</t>
  </si>
  <si>
    <t>8.9492% L&amp;T Finance Ltd (16-Aug-2021) **</t>
  </si>
  <si>
    <t>INE027E07709</t>
  </si>
  <si>
    <t>CARE AAA</t>
  </si>
  <si>
    <t>8.75% Housing Development Finance Corporation Ltd (04-Mar-2021) **</t>
  </si>
  <si>
    <t>INE001A07OO9</t>
  </si>
  <si>
    <t>INE660N07054</t>
  </si>
  <si>
    <t>INE946S07130</t>
  </si>
  <si>
    <t>Franklin India Credit Risk Fund-Segregated Portfolio 2 - 10.90% Vodafone Idea Ltd (02-Sep-2023) P/C 03 Sep 2021</t>
  </si>
  <si>
    <t>Franklin India Credit Risk Fund - Segregated Portfolio 3 - 9.50% Yes Bank Ltd CO 23 Dec 2021</t>
  </si>
  <si>
    <t>8.62% Food Corporation Of India (22-Mar-2023) **</t>
  </si>
  <si>
    <t>INE861G08019</t>
  </si>
  <si>
    <t>ICRA AAA(CE)</t>
  </si>
  <si>
    <t>8.45% Sikka Ports &amp; Terminals Ltd (12-Jun-2023)</t>
  </si>
  <si>
    <t>INE941D07133</t>
  </si>
  <si>
    <t>7.06% Housing Development Finance Corporation Ltd (13-Dec-2021) **</t>
  </si>
  <si>
    <t>INE001A07SL6</t>
  </si>
  <si>
    <t>8.60% ONGC Petro Additions Ltd (11-Mar-2022) **</t>
  </si>
  <si>
    <t>INE163N08065</t>
  </si>
  <si>
    <t>CARE AAA(CE)</t>
  </si>
  <si>
    <t>8.85% ONGC Petro Additions Ltd (19-Apr-2022) **</t>
  </si>
  <si>
    <t>INE163N08073</t>
  </si>
  <si>
    <t>7.90% National Bank For Agriculture &amp; Rural Development (18-Apr-2022) **</t>
  </si>
  <si>
    <t>INE261F08BI5</t>
  </si>
  <si>
    <t>7.60% National Highways Authority Of India (18-Mar-2022) **</t>
  </si>
  <si>
    <t>INE906B07FG1</t>
  </si>
  <si>
    <t>6.99% REC Ltd (30-Sep-2024) **</t>
  </si>
  <si>
    <t>INE020B08CM4</t>
  </si>
  <si>
    <t>7.44% Power Finance Corporation Ltd (11-Jun-2027) **</t>
  </si>
  <si>
    <t>INE134E08JC3</t>
  </si>
  <si>
    <t>7.09% REC Ltd (17-Oct-2022) **</t>
  </si>
  <si>
    <t>INE020B08AM8</t>
  </si>
  <si>
    <t>6.19% Indian Railway Finance Corporation Ltd (28-Apr-2023) **</t>
  </si>
  <si>
    <t>INE053F07CC9</t>
  </si>
  <si>
    <t>5.80% National Housing Bank (15-May-2023) **</t>
  </si>
  <si>
    <t>INE557F08FJ5</t>
  </si>
  <si>
    <t>7.00% Hindustan Petroleum Corporation Ltd (14-Aug-2024) **</t>
  </si>
  <si>
    <t>INE094A08036</t>
  </si>
  <si>
    <t>0.00% LIC Housing Finance Ltd (25-Feb-2022) **</t>
  </si>
  <si>
    <t>INE115A07NM3</t>
  </si>
  <si>
    <t>7.17% National Highways Authority Of India (23-Dec-2021) **</t>
  </si>
  <si>
    <t>INE906B07FE6</t>
  </si>
  <si>
    <t>8.02% Export-Import Bank of India (29-Oct-2025) **</t>
  </si>
  <si>
    <t>INE514E08EQ7</t>
  </si>
  <si>
    <t>8.30% REC Ltd (10-Apr-2025) **</t>
  </si>
  <si>
    <t>INE020B08930</t>
  </si>
  <si>
    <t>7.42% Power Finance Corporation Ltd (19-Nov-2024) **</t>
  </si>
  <si>
    <t>INE134E08KH0</t>
  </si>
  <si>
    <t>6.98% Power Finance Corporation Ltd (20-Apr-2023) **</t>
  </si>
  <si>
    <t>INE134E08KN8</t>
  </si>
  <si>
    <t>8.60% National Bank For Agriculture &amp; Rural Development (31-Jan-2022)</t>
  </si>
  <si>
    <t>INE261F08AI7</t>
  </si>
  <si>
    <t>8.18% Power Finance Corporation Ltd (19-Mar-2022) **</t>
  </si>
  <si>
    <t>INE134E08JW1</t>
  </si>
  <si>
    <t>8.41% Housing &amp; Urban Development Corporation Ltd (15-Mar-2029) **</t>
  </si>
  <si>
    <t>INE031A08699</t>
  </si>
  <si>
    <t>10.40% Sikka Ports &amp; Terminals Ltd (18-Jul-2021) **</t>
  </si>
  <si>
    <t>INE941D07125</t>
  </si>
  <si>
    <t>0.00% Fullerton India Credit Co Ltd (08-Apr-2021) **</t>
  </si>
  <si>
    <t>INE535H07AG6</t>
  </si>
  <si>
    <t>7.14% REC Ltd (02-Mar-2030) **</t>
  </si>
  <si>
    <t>INE020B08CO0</t>
  </si>
  <si>
    <t>9.25% Power Finance Corporation Ltd (25-Sep-2024) **</t>
  </si>
  <si>
    <t>INE134E08JY7</t>
  </si>
  <si>
    <t>0.00% LIC Housing Finance Ltd (04-May-2022) **</t>
  </si>
  <si>
    <t>INE115A07NW2</t>
  </si>
  <si>
    <t>8.81% Small Industries Development Bank Of India (25-Jan-2022) **</t>
  </si>
  <si>
    <t>INE556F08JI1</t>
  </si>
  <si>
    <t>7.50% Power Finance Corporation Ltd (16-Aug-2021) **</t>
  </si>
  <si>
    <t>INE134E08IH4</t>
  </si>
  <si>
    <t>7.07% Reliance Industries Ltd (24-Dec-2020) **</t>
  </si>
  <si>
    <t>INE002A08526</t>
  </si>
  <si>
    <t>8.85% Power Finance Corporation Ltd (25-May-2029) **</t>
  </si>
  <si>
    <t>INE134E08KC1</t>
  </si>
  <si>
    <t>8.40% Power Grid Corporation of India Ltd (14-Sep-2021) **</t>
  </si>
  <si>
    <t>INE752E07MZ9</t>
  </si>
  <si>
    <t>0.00% HDB Financial Services Ltd (29-Oct-2021) **</t>
  </si>
  <si>
    <t>INE756I07CD9</t>
  </si>
  <si>
    <t>8.50% NHPC Ltd (14-Jul-2021) **</t>
  </si>
  <si>
    <t>INE848E07815</t>
  </si>
  <si>
    <t>0.00% Aditya Birla Finance Ltd (08-Apr-2022) **</t>
  </si>
  <si>
    <t>INE860H07GE0</t>
  </si>
  <si>
    <t>7.35% Bharat Petroleum Corporation Ltd (10-Mar-2022) **</t>
  </si>
  <si>
    <t>INE029A07075</t>
  </si>
  <si>
    <t>7.65% Indian Railway Finance Corporation Ltd (15-Mar-2021) **</t>
  </si>
  <si>
    <t>INE053F07AK6</t>
  </si>
  <si>
    <t>9.57% Indian Railway Finance Corporation Ltd (31-May-2021) **</t>
  </si>
  <si>
    <t>INE053F09HR2</t>
  </si>
  <si>
    <t>6.70% Indian Railway Finance Corporation Ltd (24-Nov-2021) **</t>
  </si>
  <si>
    <t>INE053F07942</t>
  </si>
  <si>
    <t>7.48% Bennett Coleman and Co Ltd (26-Apr-2021) **</t>
  </si>
  <si>
    <t>INE801J08019</t>
  </si>
  <si>
    <t>L&amp;T Infrastructure Finance Co Ltd (17-Nov-2020) **@</t>
  </si>
  <si>
    <t>INE691I14JK4</t>
  </si>
  <si>
    <t>6.18% GOI 2024 (04-Nov-2024)</t>
  </si>
  <si>
    <t>IN0020190396</t>
  </si>
  <si>
    <t xml:space="preserve">      Half Yearly Dividend Plan</t>
  </si>
  <si>
    <t xml:space="preserve">      Annual Dividend Plan</t>
  </si>
  <si>
    <t xml:space="preserve">      Direct Half Yearly Dividend Plan</t>
  </si>
  <si>
    <t xml:space="preserve">      Direct Annual Dividend Plan</t>
  </si>
  <si>
    <t>7.05% National Housing Bank (18-Dec-2024) **</t>
  </si>
  <si>
    <t>INE557F08FG1</t>
  </si>
  <si>
    <t>7.62% Export-Import Bank of India (01-Sep-2026) **</t>
  </si>
  <si>
    <t>INE514E08FG5</t>
  </si>
  <si>
    <t>7.70% REC Ltd (10-Dec-2027) **</t>
  </si>
  <si>
    <t>INE020B08AQ9</t>
  </si>
  <si>
    <t>8.05% NTPC Ltd (05-May-2026) **</t>
  </si>
  <si>
    <t>INE733E07KA6</t>
  </si>
  <si>
    <t>7.29% Small Industries Development Bank Of India (01-Aug-2022) **</t>
  </si>
  <si>
    <t>INE556F08JM3</t>
  </si>
  <si>
    <t>9.17% NTPC Ltd (21-Sep-2024) **</t>
  </si>
  <si>
    <t>INE733E07JO9</t>
  </si>
  <si>
    <t>7.27% National Highways Authority Of India (06-Jun-2022) **</t>
  </si>
  <si>
    <t>INE906B07FT4</t>
  </si>
  <si>
    <t>6.70% National Bank For Agriculture &amp; Rural Development (11-Nov-2022) **</t>
  </si>
  <si>
    <t>INE261F08BQ8</t>
  </si>
  <si>
    <t>7.50% NHPC Ltd (07-Oct-2025) **</t>
  </si>
  <si>
    <t>INE848E07AO4</t>
  </si>
  <si>
    <t>8.27% REC Ltd (06-Feb-2025) **</t>
  </si>
  <si>
    <t>INE020B08906</t>
  </si>
  <si>
    <t>7.13% NHPC Ltd (11-Feb-2027) **</t>
  </si>
  <si>
    <t>INE848E07AZ0</t>
  </si>
  <si>
    <t>6.80% NHPC Ltd (23-Apr-2027) **</t>
  </si>
  <si>
    <t>INE848E07BK0</t>
  </si>
  <si>
    <t>10.20% RBL Bank Ltd (15-Apr-2023) **</t>
  </si>
  <si>
    <t>INE976G08064</t>
  </si>
  <si>
    <t>8.80% REC Ltd (14-May-2029) **</t>
  </si>
  <si>
    <t>INE020B08BS3</t>
  </si>
  <si>
    <t>8.19% NTPC Ltd (15-Dec-2025) **</t>
  </si>
  <si>
    <t>INE733E07JX0</t>
  </si>
  <si>
    <t>8.25% Export-Import Bank of India (28-Sep-2025) **</t>
  </si>
  <si>
    <t>INE514E08EP9</t>
  </si>
  <si>
    <t>8.40% Power Grid Corporation of India Ltd (27-May-2024) **</t>
  </si>
  <si>
    <t>INE752E07MQ8</t>
  </si>
  <si>
    <t>9.95% Food Corporation Of India (07-Mar-2022) **</t>
  </si>
  <si>
    <t>INE861G08035</t>
  </si>
  <si>
    <t>CRISIL AAA(CE)</t>
  </si>
  <si>
    <t>8.35% REC Ltd (11-Mar-2022) **</t>
  </si>
  <si>
    <t>INE020B08BM6</t>
  </si>
  <si>
    <t>8.13% Power Grid Corporation of India Ltd (23-Apr-2021) **</t>
  </si>
  <si>
    <t>INE752E07NN3</t>
  </si>
  <si>
    <t>Bank of Baroda (05-Aug-2020)</t>
  </si>
  <si>
    <t>INE028A16BW3</t>
  </si>
  <si>
    <t>IN0020170042</t>
  </si>
  <si>
    <t xml:space="preserve">      Weekly Dividend Plan</t>
  </si>
  <si>
    <t xml:space="preserve">      Direct Weekly Dividend Plan</t>
  </si>
  <si>
    <t>6.98% National Bank For Agriculture &amp; Rural Development (30-Sep-2020)</t>
  </si>
  <si>
    <t>INE261F08907</t>
  </si>
  <si>
    <t>NTPC Ltd (03-Aug-2020) **@</t>
  </si>
  <si>
    <t>INE733E14773</t>
  </si>
  <si>
    <t>Oil &amp; Natural Gas Corporation Ltd (11-Aug-2020) **@</t>
  </si>
  <si>
    <t>INE213A14170</t>
  </si>
  <si>
    <t>Reliance Jio Infocomm Ltd (14-Sep-2020) **@</t>
  </si>
  <si>
    <t>INE110L14OR4</t>
  </si>
  <si>
    <t>Reliance Jio Infocomm Ltd (19-Oct-2020) **@</t>
  </si>
  <si>
    <t>INE110L14OX2</t>
  </si>
  <si>
    <t>Reliance Industries Ltd (28-Oct-2020) **@</t>
  </si>
  <si>
    <t>INE002A14FS2</t>
  </si>
  <si>
    <t>ICICI Securities Ltd (11-Sep-2020) **@</t>
  </si>
  <si>
    <t>INE763G14IJ9</t>
  </si>
  <si>
    <t>Indian Oil Corporation Ltd (14-Aug-2020) **@</t>
  </si>
  <si>
    <t>INE242A14QU7</t>
  </si>
  <si>
    <t>Chambal Fertilizers &amp; Chemicals Ltd (29-Sep-2020) **@</t>
  </si>
  <si>
    <t>INE085A14HL8</t>
  </si>
  <si>
    <t>91 DTB (27-Aug-2020)</t>
  </si>
  <si>
    <t>IN002020X100</t>
  </si>
  <si>
    <t>182 DTB (06-Aug-2020)</t>
  </si>
  <si>
    <t>IN002019Y464</t>
  </si>
  <si>
    <t>91 DTB (22-Oct-2020)</t>
  </si>
  <si>
    <t>IN002020X183</t>
  </si>
  <si>
    <t>91 DTB (03-Sep-2020)</t>
  </si>
  <si>
    <t>IN002020X118</t>
  </si>
  <si>
    <t xml:space="preserve">      Regular Plan Growth Option</t>
  </si>
  <si>
    <t xml:space="preserve">      Regular Plan Daily Dividend Reinvestment Option</t>
  </si>
  <si>
    <t xml:space="preserve">      Regular Plan Weekly Dividend Option</t>
  </si>
  <si>
    <t xml:space="preserve">      Institutional Plan Daily Dividend Reinvestment Option</t>
  </si>
  <si>
    <t xml:space="preserve">      Institutional Plan Weekly Dividend Option</t>
  </si>
  <si>
    <t xml:space="preserve">      Super Institutional Plan Daily Dividend Reinvestment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</si>
  <si>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</si>
  <si>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</si>
  <si>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</si>
  <si>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</si>
  <si>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</si>
  <si>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</si>
  <si>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</si>
  <si>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0.00% Axis Finance Ltd (19-Apr-2022) **</t>
  </si>
  <si>
    <t>INE891K07416</t>
  </si>
  <si>
    <t>0.00% Bajaj Housing Finance Ltd (05-Apr-2022) **</t>
  </si>
  <si>
    <t>INE377Y07052</t>
  </si>
  <si>
    <t>0.00% Mahindra &amp; Mahindra Financial Services Ltd (29-Mar-2022) **</t>
  </si>
  <si>
    <t>INE774D07SQ1</t>
  </si>
  <si>
    <t>0.00% Bajaj Finance Ltd (05-Apr-2022) **</t>
  </si>
  <si>
    <t>INE296A07QQ5</t>
  </si>
  <si>
    <t>8.23% Housing &amp; Urban Development Corporation Ltd (15-Apr-2022) **</t>
  </si>
  <si>
    <t>INE031A08657</t>
  </si>
  <si>
    <t>0.00% Fullerton India Credit Co Ltd (13-Apr-2022) **</t>
  </si>
  <si>
    <t>INE535H07AT9</t>
  </si>
  <si>
    <t xml:space="preserve">      Dividend Plan </t>
  </si>
  <si>
    <t>8.45% REC Ltd (22-Mar-2022) **</t>
  </si>
  <si>
    <t>INE020B08BF0</t>
  </si>
  <si>
    <t>8.55% Power Finance Corporation Ltd (09-Dec-2021) **</t>
  </si>
  <si>
    <t>INE134E08GT3</t>
  </si>
  <si>
    <t>0.00% Aditya Birla Housing Finance Ltd (13-Apr-2022) **</t>
  </si>
  <si>
    <t>INE831R07235</t>
  </si>
  <si>
    <t>0.00% HDB Financial Services Ltd (05-Apr-2022) **</t>
  </si>
  <si>
    <t>INE756I07CI8</t>
  </si>
  <si>
    <t>0.00% Bajaj Housing Finance Ltd (05-May-2022) **</t>
  </si>
  <si>
    <t>INE377Y07086</t>
  </si>
  <si>
    <t>9.4756% Tata Capital Financial Services Ltd (08-Apr-2022) **</t>
  </si>
  <si>
    <t>INE306N07KG9</t>
  </si>
  <si>
    <t>9.05% Mahindra &amp; Mahindra Financial Services Ltd (18-Apr-2022) **</t>
  </si>
  <si>
    <t>INE774D07SS7</t>
  </si>
  <si>
    <t>0.00% Fullerton India Credit Co Ltd (19-Apr-2022) **</t>
  </si>
  <si>
    <t>INE535H07AQ5</t>
  </si>
  <si>
    <t>9.3772% L&amp;T Housing Finance Ltd (11-Mar-2022) **</t>
  </si>
  <si>
    <t>INE476M07BR8</t>
  </si>
  <si>
    <t>9.1791% Tata Capital Housing Finance Ltd (13-Apr-2022) **</t>
  </si>
  <si>
    <t>INE033L07GA4</t>
  </si>
  <si>
    <t>7.95% LIC Housing Finance Ltd (24-Mar-2022) **</t>
  </si>
  <si>
    <t>INE115A07LM7</t>
  </si>
  <si>
    <t>7.27% Power Finance Corporation Ltd (22-Dec-2021) **</t>
  </si>
  <si>
    <t>INE134E08IN2</t>
  </si>
  <si>
    <t>8.25% Tata Sons Pvt Ltd (23-Mar-2022) **</t>
  </si>
  <si>
    <t>INE895D08790</t>
  </si>
  <si>
    <t>8.36% Ultratech Cement Ltd (07-Jun-2021) **</t>
  </si>
  <si>
    <t>INE481G08057</t>
  </si>
  <si>
    <t>8.40% Small Industries Development Bank Of India (10-Aug-2021) **</t>
  </si>
  <si>
    <t>INE556F08JH3</t>
  </si>
  <si>
    <t>8.37% National Bank For Agriculture &amp; Rural Development (03-Aug-2021) **</t>
  </si>
  <si>
    <t>INE261F08AM9</t>
  </si>
  <si>
    <t>0.00% Sundaram Finance Ltd (31-Aug-2021) **</t>
  </si>
  <si>
    <t>INE660A07PT8</t>
  </si>
  <si>
    <t>7.18% REC Ltd (21-May-2021) **</t>
  </si>
  <si>
    <t>INE020B08AO4</t>
  </si>
  <si>
    <t>0.00% Aditya Birla Finance Ltd (26-Jul-2021) **</t>
  </si>
  <si>
    <t>INE860H07FW4</t>
  </si>
  <si>
    <t>8.1352% Bajaj Housing Finance Ltd (04-Jun-2021) **</t>
  </si>
  <si>
    <t>INE377Y07045</t>
  </si>
  <si>
    <t>0.00% LIC Housing Finance Ltd (25-Mar-2021) **</t>
  </si>
  <si>
    <t>INE115A07MX2</t>
  </si>
  <si>
    <t>0.00% Axis Finance Ltd (31-Aug-2021) **</t>
  </si>
  <si>
    <t>INE891K07440</t>
  </si>
  <si>
    <t>0.00% Aditya Birla Housing Finance Ltd (26-Jul-2021) **</t>
  </si>
  <si>
    <t>INE831R07201</t>
  </si>
  <si>
    <t>9.40% REC Ltd (17-Jul-2021) **</t>
  </si>
  <si>
    <t>INE020B07IW2</t>
  </si>
  <si>
    <t>0.00% Fullerton India Credit Co Ltd (15-Jul-2021) **</t>
  </si>
  <si>
    <t>INE535H07AK8</t>
  </si>
  <si>
    <t>9.70% Power Finance Corporation Ltd (09-Jun-2021) **</t>
  </si>
  <si>
    <t>INE134E08DN3</t>
  </si>
  <si>
    <t>8.25% L&amp;T Finance Ltd (21-Jun-2021) **</t>
  </si>
  <si>
    <t>INE027E07642</t>
  </si>
  <si>
    <t>8.05% Power Finance Corporation Ltd (27-Apr-2021) **</t>
  </si>
  <si>
    <t>INE134E08ID3</t>
  </si>
  <si>
    <t>8.40% Power Grid Corporation of India Ltd (27-May-2021) **</t>
  </si>
  <si>
    <t>INE752E07MN5</t>
  </si>
  <si>
    <t>0.00% Sundaram Finance Ltd (15-Jun-2021) **</t>
  </si>
  <si>
    <t>INE660A07PN1</t>
  </si>
  <si>
    <t>8.22% ICICI Home Finance Co Ltd (27-May-2021) **</t>
  </si>
  <si>
    <t>INE071G08940</t>
  </si>
  <si>
    <t>0.00% Bajaj Housing Finance Ltd (06-Apr-2021) **</t>
  </si>
  <si>
    <t>INE377Y07029</t>
  </si>
  <si>
    <t>7.88% LIC Housing Finance Ltd (28-Jan-2021) **</t>
  </si>
  <si>
    <t>INE115A07MT0</t>
  </si>
  <si>
    <t>8.70% Reliance Industries Ltd (15-Jun-2021) **</t>
  </si>
  <si>
    <t>INE110L07112</t>
  </si>
  <si>
    <t>0.00% Axis Finance Ltd (14-Jun-2021) **</t>
  </si>
  <si>
    <t>INE891K07390</t>
  </si>
  <si>
    <t>8.50% Small Industries Development Bank of India (21-Jun-2021)</t>
  </si>
  <si>
    <t>INE556F08JF7</t>
  </si>
  <si>
    <t>7.73% REC Ltd (15-Jun-2021)</t>
  </si>
  <si>
    <t>INE020B08AW7</t>
  </si>
  <si>
    <t>8.80% L&amp;T Housing Finance Ltd (23-Jun-2021) **</t>
  </si>
  <si>
    <t>INE476M07BM9</t>
  </si>
  <si>
    <t>7.73% Housing &amp; Urban Development Corporation Ltd (15-Apr-2021) **</t>
  </si>
  <si>
    <t>INE031A08566</t>
  </si>
  <si>
    <t>8.10% Mahindra &amp; Mahindra Financial Services Ltd (19-Apr-2021) **</t>
  </si>
  <si>
    <t>INE774D07SB3</t>
  </si>
  <si>
    <t>7.65% Small Industries Development Bank Of India (15-Apr-2021) **</t>
  </si>
  <si>
    <t>INE556F08JD2</t>
  </si>
  <si>
    <t>10.09% MRF Ltd (27-May-2021) **</t>
  </si>
  <si>
    <t>INE883A07174</t>
  </si>
  <si>
    <t>9.18% Power Finance Corporation Ltd (15-Apr-2021) **</t>
  </si>
  <si>
    <t>INE134E08DM5</t>
  </si>
  <si>
    <t>0.00% HDB Financial Services Ltd (06-Apr-2021) **</t>
  </si>
  <si>
    <t>INE756I07BW1</t>
  </si>
  <si>
    <t>8.50% LIC Housing Finance Ltd (05-Jan-2021) **</t>
  </si>
  <si>
    <t>INE115A07IO9</t>
  </si>
  <si>
    <t>8.19% Mahindra Vehicle Manufacturers Ltd (23-Feb-2021) **</t>
  </si>
  <si>
    <t>INE244N07065</t>
  </si>
  <si>
    <t>7.75% Power Finance Corporation Ltd (15-Apr-2021) **</t>
  </si>
  <si>
    <t>INE134E08JM2</t>
  </si>
  <si>
    <t>7.70% REC Ltd (15-Mar-2021) **</t>
  </si>
  <si>
    <t>INE020B08AS5</t>
  </si>
  <si>
    <t>7.68% Housing &amp; Urban Development Corporation Ltd (05-Apr-2021) **</t>
  </si>
  <si>
    <t>INE031A08590</t>
  </si>
  <si>
    <t>0.00% Kotak Mahindra Prime Ltd (27-May-2021) **</t>
  </si>
  <si>
    <t>INE916DA7PO3</t>
  </si>
  <si>
    <t>7.40% National Bank For Agriculture &amp; Rural Development (01-Feb-2021) **</t>
  </si>
  <si>
    <t>INE261F08956</t>
  </si>
  <si>
    <t>8.25% Tata Sons Pvt Ltd (24-Mar-2021) **</t>
  </si>
  <si>
    <t>INE895D08899</t>
  </si>
  <si>
    <t>Reliance Industries Ltd (02-Mar-2021) **@</t>
  </si>
  <si>
    <t>INE002A14EM8</t>
  </si>
  <si>
    <t>0.00% Kotak Mahindra Prime Ltd (26-Apr-2021) **</t>
  </si>
  <si>
    <t>INE916DA7PI5</t>
  </si>
  <si>
    <t>7.73% Power Finance Corporation Ltd (05-Apr-2021) **</t>
  </si>
  <si>
    <t>INE134E08JK6</t>
  </si>
  <si>
    <t>7.52% Small Industries Development Bank of India (10-Feb-2021) **</t>
  </si>
  <si>
    <t>INE556F08JA8</t>
  </si>
  <si>
    <t>7.60% REC Ltd (17-Apr-2021) **</t>
  </si>
  <si>
    <t>INE020B08AR7</t>
  </si>
  <si>
    <t>8.84% Power Grid Corporation of India Ltd (29-Mar-2021) **</t>
  </si>
  <si>
    <t>INE752E07GX6</t>
  </si>
  <si>
    <t>8.25% Tata Sons Pvt Ltd (23-Mar-2021) **</t>
  </si>
  <si>
    <t>INE895D08881</t>
  </si>
  <si>
    <t>7.50% Bajaj Finance Ltd (10-Aug-2020) **</t>
  </si>
  <si>
    <t>INE296A07QB7</t>
  </si>
  <si>
    <t>9.60% LIC Housing Finance Ltd (07-Mar-2021) **</t>
  </si>
  <si>
    <t>INE115A07AL2</t>
  </si>
  <si>
    <t>7.14% Housing &amp; Urban Development Corporation Ltd (22-Dec-2020) **</t>
  </si>
  <si>
    <t>INE031A08541</t>
  </si>
  <si>
    <t>7.9407% HDB Financial Services Ltd (15-Apr-2021) **</t>
  </si>
  <si>
    <t>INE756I07BU5</t>
  </si>
  <si>
    <t>7.64% Can Fin Homes Ltd (28-Feb-2021) **</t>
  </si>
  <si>
    <t>INE477A07274</t>
  </si>
  <si>
    <t>8.75% LIC Housing Finance Ltd (12-Feb-2021) **</t>
  </si>
  <si>
    <t>INE115A07JB4</t>
  </si>
  <si>
    <t>7.85% Tata Sons Pvt Ltd (31-Jan-2021) **</t>
  </si>
  <si>
    <t>INE895D08725</t>
  </si>
  <si>
    <t>8.33% NTPC Ltd (24-Feb-2021) **</t>
  </si>
  <si>
    <t>INE733E07JZ5</t>
  </si>
  <si>
    <t>9.70% Power Finance Corporation Ltd (31-Jan-2021) **</t>
  </si>
  <si>
    <t>INE134E07505</t>
  </si>
  <si>
    <t>8.62% India Infradebt Ltd (08-Mar-2021) **</t>
  </si>
  <si>
    <t>INE537P07117</t>
  </si>
  <si>
    <t>8.70% L&amp;T Infrastructure Debt Fund Ltd (24-Feb-2021) **</t>
  </si>
  <si>
    <t>INE235P07167</t>
  </si>
  <si>
    <t>8.78% NHPC Ltd (11-Feb-2021) **</t>
  </si>
  <si>
    <t>INE848E07419</t>
  </si>
  <si>
    <t>9.47% Power Grid Corporation of India Ltd (31-Mar-2021) **</t>
  </si>
  <si>
    <t>INE752E07ER3</t>
  </si>
  <si>
    <t>9.15% Export-Import Bank of India (18-Mar-2021) **</t>
  </si>
  <si>
    <t>INE514E08951</t>
  </si>
  <si>
    <t>9.15% Export-Import Bank of India (25-Feb-2021) **</t>
  </si>
  <si>
    <t>INE514E08928</t>
  </si>
  <si>
    <t>Equity &amp; Equity related</t>
  </si>
  <si>
    <t>HDFC Bank Ltd</t>
  </si>
  <si>
    <t>INE040A01034</t>
  </si>
  <si>
    <t>Banks</t>
  </si>
  <si>
    <t>Bharti Airtel Ltd</t>
  </si>
  <si>
    <t>INE397D01024</t>
  </si>
  <si>
    <t>Telecom - Services</t>
  </si>
  <si>
    <t>Infosys Ltd</t>
  </si>
  <si>
    <t>INE009A01021</t>
  </si>
  <si>
    <t>Software</t>
  </si>
  <si>
    <t>Axis Bank Ltd</t>
  </si>
  <si>
    <t>INE238A01034</t>
  </si>
  <si>
    <t>Kotak Mahindra Bank Ltd</t>
  </si>
  <si>
    <t>INE237A01028</t>
  </si>
  <si>
    <t>ICICI Bank Ltd</t>
  </si>
  <si>
    <t>INE090A01021</t>
  </si>
  <si>
    <t>Balkrishna Industries Ltd</t>
  </si>
  <si>
    <t>INE787D01026</t>
  </si>
  <si>
    <t>Auto Ancillaries</t>
  </si>
  <si>
    <t>Grasim Industries Ltd</t>
  </si>
  <si>
    <t>INE047A01021</t>
  </si>
  <si>
    <t>Cement</t>
  </si>
  <si>
    <t>Petronet LNG Ltd</t>
  </si>
  <si>
    <t>INE347G01014</t>
  </si>
  <si>
    <t>Gas</t>
  </si>
  <si>
    <t>Hindalco Industries Ltd</t>
  </si>
  <si>
    <t>INE038A01020</t>
  </si>
  <si>
    <t>Non - Ferrous Metals</t>
  </si>
  <si>
    <t>Mahindra &amp; Mahindra Ltd</t>
  </si>
  <si>
    <t>INE101A01026</t>
  </si>
  <si>
    <t>Auto</t>
  </si>
  <si>
    <t>Colgate Palmolive (India) Ltd</t>
  </si>
  <si>
    <t>INE259A01022</t>
  </si>
  <si>
    <t>Consumer Non Durables</t>
  </si>
  <si>
    <t>Voltas Ltd</t>
  </si>
  <si>
    <t>INE226A01021</t>
  </si>
  <si>
    <t>Consumer Durables</t>
  </si>
  <si>
    <t>Gujarat State Petronet Ltd</t>
  </si>
  <si>
    <t>INE246F01010</t>
  </si>
  <si>
    <t>Hindustan Petroleum Corporation Ltd</t>
  </si>
  <si>
    <t>INE094A01015</t>
  </si>
  <si>
    <t>Petroleum Products</t>
  </si>
  <si>
    <t>Cadila Healthcare Ltd</t>
  </si>
  <si>
    <t>INE010B01027</t>
  </si>
  <si>
    <t>Pharmaceuticals</t>
  </si>
  <si>
    <t>Tata Steel Ltd</t>
  </si>
  <si>
    <t>INE081A01012</t>
  </si>
  <si>
    <t>Ferrous Metals</t>
  </si>
  <si>
    <t>Power Grid Corporation of India Ltd</t>
  </si>
  <si>
    <t>INE752E01010</t>
  </si>
  <si>
    <t>Power</t>
  </si>
  <si>
    <t>NTPC Ltd</t>
  </si>
  <si>
    <t>INE733E01010</t>
  </si>
  <si>
    <t>Torrent Pharmaceuticals Ltd</t>
  </si>
  <si>
    <t>INE685A01028</t>
  </si>
  <si>
    <t>Bharat Petroleum Corporation Ltd</t>
  </si>
  <si>
    <t>INE029A01011</t>
  </si>
  <si>
    <t>State Bank of India</t>
  </si>
  <si>
    <t>INE062A01020</t>
  </si>
  <si>
    <t>Bajaj Auto Ltd</t>
  </si>
  <si>
    <t>INE917I01010</t>
  </si>
  <si>
    <t>United Breweries Ltd</t>
  </si>
  <si>
    <t>INE686F01025</t>
  </si>
  <si>
    <t>Cummins India Ltd</t>
  </si>
  <si>
    <t>INE298A01020</t>
  </si>
  <si>
    <t>Industrial Products</t>
  </si>
  <si>
    <t>Kansai Nerolac Paints Ltd</t>
  </si>
  <si>
    <t>INE531A01024</t>
  </si>
  <si>
    <t>Karur Vysya Bank Ltd</t>
  </si>
  <si>
    <t>INE036D01028</t>
  </si>
  <si>
    <t>TVS Motor Co Ltd</t>
  </si>
  <si>
    <t>INE494B01023</t>
  </si>
  <si>
    <t>Aditya Birla Fashion and Retail Ltd</t>
  </si>
  <si>
    <t>INE647O01011</t>
  </si>
  <si>
    <t>Retailing</t>
  </si>
  <si>
    <t>Tata Motors Ltd</t>
  </si>
  <si>
    <t>INE155A01022</t>
  </si>
  <si>
    <t>Jagran Prakashan Ltd</t>
  </si>
  <si>
    <t>INE199G01027</t>
  </si>
  <si>
    <t>Media &amp; Entertainment</t>
  </si>
  <si>
    <t>IN8647O01028</t>
  </si>
  <si>
    <t>Coal India Ltd</t>
  </si>
  <si>
    <t>INE522F01014</t>
  </si>
  <si>
    <t>Minerals/Mining</t>
  </si>
  <si>
    <t>9.00% State Bank of India (06-Sep-2021) **</t>
  </si>
  <si>
    <t>INE062A08124</t>
  </si>
  <si>
    <t>6.95% Housing Development Finance Corporation Ltd (27-Apr-2023) **</t>
  </si>
  <si>
    <t>INE001A07SK8</t>
  </si>
  <si>
    <t>9.25% Reliance Industries Ltd (17-Jun-2024) **</t>
  </si>
  <si>
    <t>INE110L08037</t>
  </si>
  <si>
    <t>Dr. Reddy's Laboratories Ltd</t>
  </si>
  <si>
    <t>INE089A01023</t>
  </si>
  <si>
    <t>Franklin India Debt Hybrid Fund - Segregated Portfolio 1 - 10.25% Yes Bank Ltd CO 05 Mar 2020</t>
  </si>
  <si>
    <t>10.25% Yes Bank Ltd (05-Mar-2110)  $$ **</t>
  </si>
  <si>
    <t>INE528G09061</t>
  </si>
  <si>
    <t>Housing Development Finance Corporation Ltd</t>
  </si>
  <si>
    <t>INE001A01036</t>
  </si>
  <si>
    <t>Finance</t>
  </si>
  <si>
    <t>Sun TV Network Ltd</t>
  </si>
  <si>
    <t>INE424H01027</t>
  </si>
  <si>
    <t>Maruti Suzuki India Ltd</t>
  </si>
  <si>
    <t>INE585B01010</t>
  </si>
  <si>
    <t>Cholamandalam Financial Holdings Ltd</t>
  </si>
  <si>
    <t>INE149A01033</t>
  </si>
  <si>
    <t>Tata Power Co Ltd</t>
  </si>
  <si>
    <t>INE245A01021</t>
  </si>
  <si>
    <t>NHPC Ltd</t>
  </si>
  <si>
    <t>INE848E01016</t>
  </si>
  <si>
    <t>Dabur India Ltd</t>
  </si>
  <si>
    <t>INE016A01026</t>
  </si>
  <si>
    <t>Tech Mahindra Ltd</t>
  </si>
  <si>
    <t>INE669C01036</t>
  </si>
  <si>
    <t>Larsen &amp; Toubro Ltd</t>
  </si>
  <si>
    <t>INE018A01030</t>
  </si>
  <si>
    <t>Construction Project</t>
  </si>
  <si>
    <t>Nestle India Ltd</t>
  </si>
  <si>
    <t>INE239A01016</t>
  </si>
  <si>
    <t>Indian Oil Corporation Ltd</t>
  </si>
  <si>
    <t>INE242A01010</t>
  </si>
  <si>
    <t>Indian Hotels Co Ltd</t>
  </si>
  <si>
    <t>INE053A01029</t>
  </si>
  <si>
    <t>Hotels/ Resorts And Other Recreational Activities</t>
  </si>
  <si>
    <t>Mahindra CIE Automotive Ltd</t>
  </si>
  <si>
    <t>INE536H01010</t>
  </si>
  <si>
    <t>Himatsingka Seide Ltd</t>
  </si>
  <si>
    <t>INE049A01027</t>
  </si>
  <si>
    <t>Textile Products</t>
  </si>
  <si>
    <t>PNB Housing Finance Ltd</t>
  </si>
  <si>
    <t>INE572E01012</t>
  </si>
  <si>
    <t>GAIL (India) Ltd</t>
  </si>
  <si>
    <t>INE129A01019</t>
  </si>
  <si>
    <t>Federal Bank Ltd</t>
  </si>
  <si>
    <t>INE171A01029</t>
  </si>
  <si>
    <t>c) Portfolio Turnover Ratio during the Half - year 31-Jul-2020</t>
  </si>
  <si>
    <t>d) Average Maturity as on 31-Jul-2020</t>
  </si>
  <si>
    <t xml:space="preserve">e) During the month additional instances of fair valuation/deviation from valuation price provided by the valuation agencies </t>
  </si>
  <si>
    <t>Tata Consultancy Services Ltd</t>
  </si>
  <si>
    <t>INE467B01029</t>
  </si>
  <si>
    <t>Titan Co Ltd</t>
  </si>
  <si>
    <t>INE280A01028</t>
  </si>
  <si>
    <t xml:space="preserve">(b) Unlisted </t>
  </si>
  <si>
    <t>Globsyn Technologies Ltd</t>
  </si>
  <si>
    <t>INE671B01018</t>
  </si>
  <si>
    <t>Numero Uno International Ltd</t>
  </si>
  <si>
    <t>10.25% JM Financial Asset Reconstruction Co Ltd (31-Aug-2021) **</t>
  </si>
  <si>
    <t>INE265J07282</t>
  </si>
  <si>
    <t>Union Bank of India (24-Feb-2021) **</t>
  </si>
  <si>
    <t>INE434A16RB3</t>
  </si>
  <si>
    <t>HCL Technologies Ltd</t>
  </si>
  <si>
    <t>INE860A01027</t>
  </si>
  <si>
    <t>ITC Ltd</t>
  </si>
  <si>
    <t>INE154A01025</t>
  </si>
  <si>
    <t>Tata Motors Ltd DVR</t>
  </si>
  <si>
    <t>IN9155A01020</t>
  </si>
  <si>
    <t>Bharat Electronics Ltd</t>
  </si>
  <si>
    <t>INE263A01024</t>
  </si>
  <si>
    <t>Industrial Capital Goods</t>
  </si>
  <si>
    <t>Oil &amp; Natural Gas Corporation Ltd</t>
  </si>
  <si>
    <t>INE213A01029</t>
  </si>
  <si>
    <t>Oil</t>
  </si>
  <si>
    <t>Tata Consumer Products Ltd</t>
  </si>
  <si>
    <t>INE192A01025</t>
  </si>
  <si>
    <t>Tata Chemicals Ltd</t>
  </si>
  <si>
    <t>INE092A01019</t>
  </si>
  <si>
    <t>Chemicals</t>
  </si>
  <si>
    <t>Container Corporation Of India Ltd</t>
  </si>
  <si>
    <t>INE111A01025</t>
  </si>
  <si>
    <t>Transportation</t>
  </si>
  <si>
    <t>Emami Ltd</t>
  </si>
  <si>
    <t>INE548C01032</t>
  </si>
  <si>
    <t>Finolex Cables Ltd</t>
  </si>
  <si>
    <t>INE235A01022</t>
  </si>
  <si>
    <t>Cyient Ltd</t>
  </si>
  <si>
    <t>INE136B01020</t>
  </si>
  <si>
    <t>Apollo Tyres Ltd</t>
  </si>
  <si>
    <t>INE438A01022</t>
  </si>
  <si>
    <t>Gulf Oil Lubricants India Ltd</t>
  </si>
  <si>
    <t>INE635Q01029</t>
  </si>
  <si>
    <t>Equitas Holdings Ltd</t>
  </si>
  <si>
    <t>INE988K01017</t>
  </si>
  <si>
    <t>Redington (India) Ltd</t>
  </si>
  <si>
    <t>INE891D01026</t>
  </si>
  <si>
    <t>Century Textile &amp; Industries Ltd</t>
  </si>
  <si>
    <t>INE055A01016</t>
  </si>
  <si>
    <t>Paper</t>
  </si>
  <si>
    <t>Ashok Leyland Ltd</t>
  </si>
  <si>
    <t>INE208A01029</t>
  </si>
  <si>
    <t>Vardhman Textiles Ltd</t>
  </si>
  <si>
    <t>INE825A01012</t>
  </si>
  <si>
    <t>Textiles - Cotton</t>
  </si>
  <si>
    <t>Industry Classification</t>
  </si>
  <si>
    <t>Tata Investment Corporation Ltd</t>
  </si>
  <si>
    <t>INE672A01018</t>
  </si>
  <si>
    <t>Finolex Industries Ltd</t>
  </si>
  <si>
    <t>INE183A01016</t>
  </si>
  <si>
    <t>J.K. Cement Ltd</t>
  </si>
  <si>
    <t>INE823G01014</t>
  </si>
  <si>
    <t>Dalmia Bharat Ltd</t>
  </si>
  <si>
    <t>INE00R701025</t>
  </si>
  <si>
    <t>National Aluminium Co Ltd</t>
  </si>
  <si>
    <t>INE139A01034</t>
  </si>
  <si>
    <t>K.P.R. Mill Ltd</t>
  </si>
  <si>
    <t>INE930H01023</t>
  </si>
  <si>
    <t>Sundaram Clayton Ltd</t>
  </si>
  <si>
    <t>INE105A01035</t>
  </si>
  <si>
    <t>NMDC Ltd</t>
  </si>
  <si>
    <t>INE584A01023</t>
  </si>
  <si>
    <t>CESC Ltd</t>
  </si>
  <si>
    <t>INE486A01013</t>
  </si>
  <si>
    <t>(b) Units of Real Estate Investment Trusts (REITs)</t>
  </si>
  <si>
    <t>Embassy Office Parks REIT</t>
  </si>
  <si>
    <t>INE041025011</t>
  </si>
  <si>
    <t>Foreign Equity Securities</t>
  </si>
  <si>
    <t>Xinyi Solar Holdings Ltd</t>
  </si>
  <si>
    <t>KYG9829N1025</t>
  </si>
  <si>
    <t>Unilever PLC ADR</t>
  </si>
  <si>
    <t>US9047677045</t>
  </si>
  <si>
    <t>Aramex PJSC</t>
  </si>
  <si>
    <t>AEA002301017</t>
  </si>
  <si>
    <t>Novatek Microelectronics Corp. Ltd</t>
  </si>
  <si>
    <t>TW0003034005</t>
  </si>
  <si>
    <t>Semiconductors</t>
  </si>
  <si>
    <t>Travelsky Technology Ltd, H</t>
  </si>
  <si>
    <t>CNE1000004J3</t>
  </si>
  <si>
    <t>Xtep International Holdings Ltd</t>
  </si>
  <si>
    <t>KYG982771092</t>
  </si>
  <si>
    <t>Medy-Tox Inc.</t>
  </si>
  <si>
    <t>KR7086900008</t>
  </si>
  <si>
    <t>Mahle-Metal Leve S A</t>
  </si>
  <si>
    <t>BRLEVEACNOR2</t>
  </si>
  <si>
    <t>Primax Electronics Ltd</t>
  </si>
  <si>
    <t>TW0004915004</t>
  </si>
  <si>
    <t>Hardware</t>
  </si>
  <si>
    <t>Fanhua Inc, (ADR)</t>
  </si>
  <si>
    <t>US30712A1034</t>
  </si>
  <si>
    <t>Info Edge (India) Ltd</t>
  </si>
  <si>
    <t>INE663F01024</t>
  </si>
  <si>
    <t>Larsen &amp; Toubro Infotech Ltd</t>
  </si>
  <si>
    <t>INE214T01019</t>
  </si>
  <si>
    <t>Vodafone Idea Ltd</t>
  </si>
  <si>
    <t>INE669E01016</t>
  </si>
  <si>
    <t>Hexaware Technologies Ltd</t>
  </si>
  <si>
    <t>INE093A01033</t>
  </si>
  <si>
    <t>Brillio Technologies Pvt Ltd</t>
  </si>
  <si>
    <t>Cognizant Technology Solutions Corp., A</t>
  </si>
  <si>
    <t>US1924461023</t>
  </si>
  <si>
    <t>Taiwan Semiconductor Manufacturing Co. Ltd</t>
  </si>
  <si>
    <t>TW0002330008</t>
  </si>
  <si>
    <t>Samsung Electronics Co. Ltd</t>
  </si>
  <si>
    <t>KR7005930003</t>
  </si>
  <si>
    <t>Twitter Inc.</t>
  </si>
  <si>
    <t>US90184L1026</t>
  </si>
  <si>
    <t>Qualcomm Inc.</t>
  </si>
  <si>
    <t>US7475251036</t>
  </si>
  <si>
    <t>Telecom -  Equipment &amp; Accessories</t>
  </si>
  <si>
    <t>Sunny Optical Technology Group Co. Ltd</t>
  </si>
  <si>
    <t>KYG8586D1097</t>
  </si>
  <si>
    <t>Nvidia Corp</t>
  </si>
  <si>
    <t>US67066G1040</t>
  </si>
  <si>
    <t>Alphabet Inc</t>
  </si>
  <si>
    <t>US02079K3059</t>
  </si>
  <si>
    <t>Apple Inc</t>
  </si>
  <si>
    <t>US0378331005</t>
  </si>
  <si>
    <t>Microsoft Corp</t>
  </si>
  <si>
    <t>US5949181045</t>
  </si>
  <si>
    <t>Makemytrip Ltd</t>
  </si>
  <si>
    <t>MU0295S00016</t>
  </si>
  <si>
    <t>Foreign Mutual Fund Units</t>
  </si>
  <si>
    <t>LU0626261944</t>
  </si>
  <si>
    <t>Foreign Mutual Fund</t>
  </si>
  <si>
    <t>Deepak Nitrite Ltd</t>
  </si>
  <si>
    <t>INE288B01029</t>
  </si>
  <si>
    <t>J.B. Chemicals &amp; Pharmaceuticals Ltd</t>
  </si>
  <si>
    <t>INE572A01028</t>
  </si>
  <si>
    <t>Brigade Enterprises Ltd</t>
  </si>
  <si>
    <t>INE791I01019</t>
  </si>
  <si>
    <t>Construction</t>
  </si>
  <si>
    <t>CCL Products (India) Ltd</t>
  </si>
  <si>
    <t>INE421D01022</t>
  </si>
  <si>
    <t>Jyothy Labs Ltd</t>
  </si>
  <si>
    <t>INE668F01031</t>
  </si>
  <si>
    <t>Nesco Ltd</t>
  </si>
  <si>
    <t>INE317F01035</t>
  </si>
  <si>
    <t>Commercial Services</t>
  </si>
  <si>
    <t>Eris Lifesciences Ltd</t>
  </si>
  <si>
    <t>INE406M01024</t>
  </si>
  <si>
    <t>Atul Ltd</t>
  </si>
  <si>
    <t>INE100A01010</t>
  </si>
  <si>
    <t>Blue Star Ltd</t>
  </si>
  <si>
    <t>INE472A01039</t>
  </si>
  <si>
    <t>TTK Prestige Ltd</t>
  </si>
  <si>
    <t>INE690A01010</t>
  </si>
  <si>
    <t>Indiamart Intermesh Ltd</t>
  </si>
  <si>
    <t>INE933S01016</t>
  </si>
  <si>
    <t>Quess Corp Ltd</t>
  </si>
  <si>
    <t>INE615P01015</t>
  </si>
  <si>
    <t>Services</t>
  </si>
  <si>
    <t>Navneet Education Ltd</t>
  </si>
  <si>
    <t>INE060A01024</t>
  </si>
  <si>
    <t>Kajaria Ceramics Ltd</t>
  </si>
  <si>
    <t>INE217B01036</t>
  </si>
  <si>
    <t>Teamlease Services Ltd</t>
  </si>
  <si>
    <t>INE985S01024</t>
  </si>
  <si>
    <t>DCB Bank Ltd</t>
  </si>
  <si>
    <t>INE503A01015</t>
  </si>
  <si>
    <t>Narayana Hrudayalaya Ltd</t>
  </si>
  <si>
    <t>INE410P01011</t>
  </si>
  <si>
    <t>Healthcare Services</t>
  </si>
  <si>
    <t>Ahluwalia Contracts (India) Ltd</t>
  </si>
  <si>
    <t>INE758C01029</t>
  </si>
  <si>
    <t>JK Lakshmi Cement Ltd</t>
  </si>
  <si>
    <t>INE786A01032</t>
  </si>
  <si>
    <t>Carborundum Universal Ltd</t>
  </si>
  <si>
    <t>INE120A01034</t>
  </si>
  <si>
    <t>Rallis India Ltd</t>
  </si>
  <si>
    <t>INE613A01020</t>
  </si>
  <si>
    <t>Pesticides</t>
  </si>
  <si>
    <t>Multi Commodity Exchange Of India Ltd</t>
  </si>
  <si>
    <t>INE745G01035</t>
  </si>
  <si>
    <t>Sobha Ltd</t>
  </si>
  <si>
    <t>INE671H01015</t>
  </si>
  <si>
    <t>Metropolis Healthcare Ltd</t>
  </si>
  <si>
    <t>INE112L01020</t>
  </si>
  <si>
    <t>KNR Constructions Ltd</t>
  </si>
  <si>
    <t>INE634I01029</t>
  </si>
  <si>
    <t>V.I.P. Industries Ltd</t>
  </si>
  <si>
    <t>INE054A01027</t>
  </si>
  <si>
    <t>TV Today Network Ltd</t>
  </si>
  <si>
    <t>INE038F01029</t>
  </si>
  <si>
    <t>Lemon Tree Hotels Ltd</t>
  </si>
  <si>
    <t>INE970X01018</t>
  </si>
  <si>
    <t>GHCL Ltd</t>
  </si>
  <si>
    <t>INE539A01019</t>
  </si>
  <si>
    <t>City Union Bank Ltd</t>
  </si>
  <si>
    <t>INE491A01021</t>
  </si>
  <si>
    <t>Tube Investments of India Ltd</t>
  </si>
  <si>
    <t>INE974X01010</t>
  </si>
  <si>
    <t>Schaeffler India Ltd</t>
  </si>
  <si>
    <t>INE513A01014</t>
  </si>
  <si>
    <t>CARE Ratings Ltd</t>
  </si>
  <si>
    <t>INE752H01013</t>
  </si>
  <si>
    <t>Himadri Speciality Chemical Ltd</t>
  </si>
  <si>
    <t>INE019C01026</t>
  </si>
  <si>
    <t>Inox Leisure Ltd</t>
  </si>
  <si>
    <t>INE312H01016</t>
  </si>
  <si>
    <t>Music Broadcast Ltd</t>
  </si>
  <si>
    <t>INE919I01024</t>
  </si>
  <si>
    <t>Techno Electric &amp; Engineering Co Ltd</t>
  </si>
  <si>
    <t>INE285K01026</t>
  </si>
  <si>
    <t>Shankara Building Products Ltd</t>
  </si>
  <si>
    <t>INE274V01019</t>
  </si>
  <si>
    <t>Ashoka Buildcon Ltd</t>
  </si>
  <si>
    <t>INE442H01029</t>
  </si>
  <si>
    <t>M M Forgings Ltd</t>
  </si>
  <si>
    <t>INE227C01017</t>
  </si>
  <si>
    <t>Cholamandalam Investment and Finance Co Ltd</t>
  </si>
  <si>
    <t>INE121A01024</t>
  </si>
  <si>
    <t>Sanghi Industries Ltd</t>
  </si>
  <si>
    <t>INE999B01013</t>
  </si>
  <si>
    <t>Ramkrishna Forgings Ltd</t>
  </si>
  <si>
    <t>INE399G01015</t>
  </si>
  <si>
    <t>HT Media Ltd</t>
  </si>
  <si>
    <t>INE501G01024</t>
  </si>
  <si>
    <t>Pennar Industries Ltd</t>
  </si>
  <si>
    <t>INE932A01024</t>
  </si>
  <si>
    <t>eClerx Services Ltd</t>
  </si>
  <si>
    <t>INE738I01010</t>
  </si>
  <si>
    <t>Dixon Technologies (India) Ltd</t>
  </si>
  <si>
    <t>INE935N01012</t>
  </si>
  <si>
    <t>The Ramco Cements Ltd</t>
  </si>
  <si>
    <t>INE331A01037</t>
  </si>
  <si>
    <t>WABCO India Ltd</t>
  </si>
  <si>
    <t>INE342J01019</t>
  </si>
  <si>
    <t>Crompton Greaves Consumer Electricals Ltd</t>
  </si>
  <si>
    <t>INE299U01018</t>
  </si>
  <si>
    <t>Trent Ltd</t>
  </si>
  <si>
    <t>INE849A01020</t>
  </si>
  <si>
    <t>Aarti Industries Ltd</t>
  </si>
  <si>
    <t>INE769A01020</t>
  </si>
  <si>
    <t>Coromandel International Ltd</t>
  </si>
  <si>
    <t>INE169A01031</t>
  </si>
  <si>
    <t>Fertilisers</t>
  </si>
  <si>
    <t>SKF India Ltd</t>
  </si>
  <si>
    <t>INE640A01023</t>
  </si>
  <si>
    <t>Apollo Hospitals Enterprise Ltd</t>
  </si>
  <si>
    <t>INE437A01024</t>
  </si>
  <si>
    <t>Torrent Power Ltd</t>
  </si>
  <si>
    <t>INE813H01021</t>
  </si>
  <si>
    <t>PI Industries Ltd</t>
  </si>
  <si>
    <t>INE603J01030</t>
  </si>
  <si>
    <t>Hindustan Unilever Ltd</t>
  </si>
  <si>
    <t>INE030A01027</t>
  </si>
  <si>
    <t>ACC Ltd</t>
  </si>
  <si>
    <t>INE012A01025</t>
  </si>
  <si>
    <t>Sundaram Finance Ltd</t>
  </si>
  <si>
    <t>INE660A01013</t>
  </si>
  <si>
    <t>Oberoi Realty Ltd</t>
  </si>
  <si>
    <t>INE093I01010</t>
  </si>
  <si>
    <t>Bharat Forge Ltd</t>
  </si>
  <si>
    <t>INE465A01025</t>
  </si>
  <si>
    <t>AIA Engineering Ltd</t>
  </si>
  <si>
    <t>INE212H01026</t>
  </si>
  <si>
    <t>Sundram Fasteners Ltd</t>
  </si>
  <si>
    <t>INE387A01021</t>
  </si>
  <si>
    <t>RBL Bank Ltd</t>
  </si>
  <si>
    <t>INE976G01028</t>
  </si>
  <si>
    <t>Phoenix Mills Ltd</t>
  </si>
  <si>
    <t>INE211B01039</t>
  </si>
  <si>
    <t>PVR Ltd</t>
  </si>
  <si>
    <t>INE191H01014</t>
  </si>
  <si>
    <t>IN8191H01013</t>
  </si>
  <si>
    <t>INE09EO01013</t>
  </si>
  <si>
    <t>Asian Paints Ltd</t>
  </si>
  <si>
    <t>INE021A01026</t>
  </si>
  <si>
    <t>Kalyani Invest Co Ltd</t>
  </si>
  <si>
    <t>INE029L01018</t>
  </si>
  <si>
    <t>Sundaram Finance Holdings Ltd</t>
  </si>
  <si>
    <t>INE202Z01029</t>
  </si>
  <si>
    <t>Quantum Information Services</t>
  </si>
  <si>
    <t>INE696201123</t>
  </si>
  <si>
    <t>Chennai Interactive Business Services Pvt Ltd</t>
  </si>
  <si>
    <t>Ultratech Cement Ltd</t>
  </si>
  <si>
    <t>INE481G01011</t>
  </si>
  <si>
    <t>Interglobe Aviation Ltd</t>
  </si>
  <si>
    <t>INE646L01027</t>
  </si>
  <si>
    <t>Lupin Ltd</t>
  </si>
  <si>
    <t>INE326A01037</t>
  </si>
  <si>
    <t>KEI Industries Ltd</t>
  </si>
  <si>
    <t>INE878B01027</t>
  </si>
  <si>
    <t>Orient Cement Ltd</t>
  </si>
  <si>
    <t>INE876N01018</t>
  </si>
  <si>
    <t>Spicejet Ltd</t>
  </si>
  <si>
    <t>INE285B01017</t>
  </si>
  <si>
    <t>ITD Cementation India Ltd</t>
  </si>
  <si>
    <t>INE686A01026</t>
  </si>
  <si>
    <t>Somany Ceramics Ltd</t>
  </si>
  <si>
    <t>INE355A01028</t>
  </si>
  <si>
    <t>United Spirits Ltd</t>
  </si>
  <si>
    <t>INE854D01024</t>
  </si>
  <si>
    <t>ICICI Prudential Life Insurance Co Ltd</t>
  </si>
  <si>
    <t>INE726G01019</t>
  </si>
  <si>
    <t>Marico Ltd</t>
  </si>
  <si>
    <t>INE196A01026</t>
  </si>
  <si>
    <t>Sun Pharmaceutical Industries Ltd</t>
  </si>
  <si>
    <t>INE044A01036</t>
  </si>
  <si>
    <t>Aditya Birla Capital Ltd</t>
  </si>
  <si>
    <t>INE674K01013</t>
  </si>
  <si>
    <t>Gujarat Pipavav Port Ltd</t>
  </si>
  <si>
    <t>INE517F01014</t>
  </si>
  <si>
    <t>Arvind Fashions Ltd</t>
  </si>
  <si>
    <t>INE955V01021</t>
  </si>
  <si>
    <t>CG Power and Industrial Solutions Ltd</t>
  </si>
  <si>
    <t>INE067A01029</t>
  </si>
  <si>
    <t>Arvind Ltd</t>
  </si>
  <si>
    <t>INE034A01011</t>
  </si>
  <si>
    <t>Quantum Information Systems</t>
  </si>
  <si>
    <t>IndusInd Bank Ltd</t>
  </si>
  <si>
    <t>INE095A01012</t>
  </si>
  <si>
    <t>NRB Bearings Ltd</t>
  </si>
  <si>
    <t>INE349A01021</t>
  </si>
  <si>
    <t>Ambuja Cements Ltd</t>
  </si>
  <si>
    <t>INE079A01024</t>
  </si>
  <si>
    <t>Dish TV India Ltd</t>
  </si>
  <si>
    <t>INE836F01026</t>
  </si>
  <si>
    <t>Spencers Retail Ltd</t>
  </si>
  <si>
    <t>INE020801028</t>
  </si>
  <si>
    <t>Spencers Retail Ltd -Rights Entitlements ##</t>
  </si>
  <si>
    <t>INE020820010</t>
  </si>
  <si>
    <t>Hero MotoCorp Ltd</t>
  </si>
  <si>
    <t>INE158A01026</t>
  </si>
  <si>
    <t>Gateway Distriparks Ltd</t>
  </si>
  <si>
    <t>INE852F01015</t>
  </si>
  <si>
    <t>Puravankara Ltd</t>
  </si>
  <si>
    <t>INE323I01011</t>
  </si>
  <si>
    <t>The New India Assurance Co Ltd</t>
  </si>
  <si>
    <t>INE470Y01017</t>
  </si>
  <si>
    <t>Punjab National Bank</t>
  </si>
  <si>
    <t>INE160A01022</t>
  </si>
  <si>
    <t>Hindustan Media Vent Ltd</t>
  </si>
  <si>
    <t>INE871K01015</t>
  </si>
  <si>
    <t>Gateway Distriparks Ltd -Rights Entitlements</t>
  </si>
  <si>
    <t>INE852F20015</t>
  </si>
  <si>
    <t>Godrej Properties Ltd</t>
  </si>
  <si>
    <t>INE484J01027</t>
  </si>
  <si>
    <t>Motilal Oswal Financial Services Ltd</t>
  </si>
  <si>
    <t>INE338I01027</t>
  </si>
  <si>
    <t>Tencent Holdings Ltd</t>
  </si>
  <si>
    <t>KYG875721634</t>
  </si>
  <si>
    <t>Alibaba Group Holding Ltd (ADR)</t>
  </si>
  <si>
    <t>US01609W1027</t>
  </si>
  <si>
    <t>AIA Group Ltd</t>
  </si>
  <si>
    <t>HK0000069689</t>
  </si>
  <si>
    <t>Ping An Insurance (Group) Co. Of China Ltd, H</t>
  </si>
  <si>
    <t>CNE1000003X6</t>
  </si>
  <si>
    <t>New Oriental Education &amp; Technology Group Inc, (ADR)</t>
  </si>
  <si>
    <t>US6475811070</t>
  </si>
  <si>
    <t>Diversified Consumer Service</t>
  </si>
  <si>
    <t>China Mengniu Dairy Co. Ltd</t>
  </si>
  <si>
    <t>KYG210961051</t>
  </si>
  <si>
    <t>Naver Corp</t>
  </si>
  <si>
    <t>KR7035420009</t>
  </si>
  <si>
    <t>Meituan Dianping</t>
  </si>
  <si>
    <t>KYG596691041</t>
  </si>
  <si>
    <t>Bank Central Asia Tbk Pt</t>
  </si>
  <si>
    <t>ID1000109507</t>
  </si>
  <si>
    <t>Techtronic Industries Co. Ltd</t>
  </si>
  <si>
    <t>HK0669013440</t>
  </si>
  <si>
    <t>Kweichow Moutai Co. Ltd, A</t>
  </si>
  <si>
    <t>CNE0000018R8</t>
  </si>
  <si>
    <t>China Resources Land Ltd</t>
  </si>
  <si>
    <t>KYG2108Y1052</t>
  </si>
  <si>
    <t>China Merchants Bank Co Ltd</t>
  </si>
  <si>
    <t>CNE1000002M1</t>
  </si>
  <si>
    <t>Budweiser Brewing Co APAC Ltd</t>
  </si>
  <si>
    <t>KYG1674K1013</t>
  </si>
  <si>
    <t>SM Investments Corp</t>
  </si>
  <si>
    <t>PHY806761029</t>
  </si>
  <si>
    <t>ACE Hardware Indonesia Tbk Pt</t>
  </si>
  <si>
    <t>ID1000125503</t>
  </si>
  <si>
    <t>Midea Group Co Ltd</t>
  </si>
  <si>
    <t>CNE100001QQ5</t>
  </si>
  <si>
    <t>The Siam Cement PCL, Fgn.</t>
  </si>
  <si>
    <t>TH0003010Z12</t>
  </si>
  <si>
    <t>Trip.Com Group Ltd, (ADR)</t>
  </si>
  <si>
    <t>US89677Q1076</t>
  </si>
  <si>
    <t>Yum China Holdings INC</t>
  </si>
  <si>
    <t>US98850P1093</t>
  </si>
  <si>
    <t>Indocement Tunggal Prakarsa Tbk Pt</t>
  </si>
  <si>
    <t>ID1000061302</t>
  </si>
  <si>
    <t>Country Garden Services Holdings Co Ltd</t>
  </si>
  <si>
    <t>KYG2453A1085</t>
  </si>
  <si>
    <t>China Resources Cement Holdings Ltd</t>
  </si>
  <si>
    <t>KYG2113L1068</t>
  </si>
  <si>
    <t>CNOOC Ltd</t>
  </si>
  <si>
    <t>HK0883013259</t>
  </si>
  <si>
    <t>Semen Indonesia (Persero) Tbk PT</t>
  </si>
  <si>
    <t>ID1000106800</t>
  </si>
  <si>
    <t>Shinhan Financial Group Co. Ltd</t>
  </si>
  <si>
    <t>KR7055550008</t>
  </si>
  <si>
    <t>Largan Precision Co. Ltd</t>
  </si>
  <si>
    <t>TW0003008009</t>
  </si>
  <si>
    <t>Minor International Pcl, Fgn.</t>
  </si>
  <si>
    <t>TH0128B10Z17</t>
  </si>
  <si>
    <t>SK Hynix Inc</t>
  </si>
  <si>
    <t>KR7000660001</t>
  </si>
  <si>
    <t>Samsonite International S A</t>
  </si>
  <si>
    <t>LU0633102719</t>
  </si>
  <si>
    <t>Alibaba Health Information Technology Ltd</t>
  </si>
  <si>
    <t>BMG0171K1018</t>
  </si>
  <si>
    <t>Health &amp; Happiness H&amp;H International Holdings Ltd</t>
  </si>
  <si>
    <t>KYG4387E1070</t>
  </si>
  <si>
    <t>Sea Ltd (ADR)</t>
  </si>
  <si>
    <t>US81141R1005</t>
  </si>
  <si>
    <t>Minor International PCL- Warrants</t>
  </si>
  <si>
    <t>TH0128051909</t>
  </si>
  <si>
    <t>Reliance Industries Ltd</t>
  </si>
  <si>
    <t>INE002A01018</t>
  </si>
  <si>
    <t>Bajaj Finance Ltd</t>
  </si>
  <si>
    <t>INE296A01024</t>
  </si>
  <si>
    <t>Britannia Industries Ltd</t>
  </si>
  <si>
    <t>INE216A01030</t>
  </si>
  <si>
    <t>Wipro Ltd</t>
  </si>
  <si>
    <t>INE075A01022</t>
  </si>
  <si>
    <t>Bajaj Finserv Ltd</t>
  </si>
  <si>
    <t>INE918I01018</t>
  </si>
  <si>
    <t>Cipla Ltd</t>
  </si>
  <si>
    <t>INE059A01026</t>
  </si>
  <si>
    <t>HDFC Life Insurance Co Ltd</t>
  </si>
  <si>
    <t>INE795G01014</t>
  </si>
  <si>
    <t>Shree Cement Ltd</t>
  </si>
  <si>
    <t>INE070A01015</t>
  </si>
  <si>
    <t>Eicher Motors Ltd</t>
  </si>
  <si>
    <t>INE066A01013</t>
  </si>
  <si>
    <t>UPL Ltd</t>
  </si>
  <si>
    <t>INE628A01036</t>
  </si>
  <si>
    <t>Adani Ports and Special Economic Zone Ltd</t>
  </si>
  <si>
    <t>INE742F01042</t>
  </si>
  <si>
    <t>JSW Steel Ltd</t>
  </si>
  <si>
    <t>INE019A01038</t>
  </si>
  <si>
    <t>Bharti Infratel Ltd</t>
  </si>
  <si>
    <t>INE121J01017</t>
  </si>
  <si>
    <t>Zee Entertainment Enterprises Ltd</t>
  </si>
  <si>
    <t>INE256A01028</t>
  </si>
  <si>
    <t>Yes Bank Ltd</t>
  </si>
  <si>
    <t>INE528G01035</t>
  </si>
  <si>
    <t>Franklin U.S. Opportunities Fund, Class I (Acc)</t>
  </si>
  <si>
    <t>LU0195948665</t>
  </si>
  <si>
    <t>Franklin European Growth Fund, Class I (Acc)</t>
  </si>
  <si>
    <t>LU0195949390</t>
  </si>
  <si>
    <t>Mutual Fund Units</t>
  </si>
  <si>
    <t>Franklin India Bluechip Fund Direct-Growth Plan</t>
  </si>
  <si>
    <t>INF090I01FN7</t>
  </si>
  <si>
    <t>INF090I01GK1</t>
  </si>
  <si>
    <t>Nippon India ETF Gold Bees</t>
  </si>
  <si>
    <t>INF204KB17I5</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</si>
  <si>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</si>
  <si>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</si>
  <si>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</si>
  <si>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</si>
  <si>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</si>
  <si>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</si>
  <si>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</si>
  <si>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</si>
  <si>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Dividend Option</t>
  </si>
  <si>
    <t xml:space="preserve">      Direct Dividend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</si>
  <si>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</si>
  <si>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</si>
  <si>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</si>
  <si>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</si>
  <si>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</si>
  <si>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</si>
  <si>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</si>
  <si>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</si>
  <si>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</si>
  <si>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Equity Fund Direct-Growth Plan</t>
  </si>
  <si>
    <t>INF090I01FK3</t>
  </si>
  <si>
    <t>^^ Securities are fair Valued</t>
  </si>
  <si>
    <t>Franklin India Short-Term Income Plan (No. of Segregated Portfolios in the Scheme- 3) - (under winding up) Direct-Growth Plan ^^</t>
  </si>
  <si>
    <t>Franklin India Dynamic Accrual Fund (No. of Segregated Portfolios in the Scheme- 3) - (under winding up) Direct-Growth Plan ^^</t>
  </si>
  <si>
    <t>## Awaiting Listing</t>
  </si>
  <si>
    <t>% to Net Assets Derivative</t>
  </si>
  <si>
    <t>Margin on Derivatives</t>
  </si>
  <si>
    <t>N..A **</t>
  </si>
  <si>
    <t>** Plan closed effective 19 June 2020</t>
  </si>
  <si>
    <t>** Plan closed effective 09 July 2020</t>
  </si>
  <si>
    <t xml:space="preserve"> $$ Indicates securties below investment grade or default</t>
  </si>
  <si>
    <t>https://www.franklintempletonindia.com/investor/reports?firstFilter-4</t>
  </si>
  <si>
    <t>e) For ISIN INE498F07071 - 0% Essel Infra Series II 22 May 2020 and ISIN INE498F07063 - 0% Essel Infra Series I 22 May 2020, the amount due at maturity was not received. For further details refer below link</t>
  </si>
  <si>
    <t>https://www.franklintempletonindia.com/downloadsServlet/pdf/franklin-templetonupdate-on-essel-infraproject22may2020-k9zjtc8d</t>
  </si>
  <si>
    <t xml:space="preserve">b) During the month additional instances of fair valuation/deviation from valuation price provided by the valuation agencies </t>
  </si>
  <si>
    <t>****Portfolio was created on March 06, 2020 on account of Segregation</t>
  </si>
  <si>
    <t>NA****</t>
  </si>
  <si>
    <t>e) For ISIN INE498F07071 - 0% Essel Infra Series II 22 May 2020 the amount due at maturity was not received. For further details refer below link</t>
  </si>
  <si>
    <t>NIL</t>
  </si>
  <si>
    <t>Aarti Surfactants Ltd ^^</t>
  </si>
  <si>
    <t>PVR Ltd -Rights Entitlements ##</t>
  </si>
  <si>
    <t>11.90% Vishal Mega Mart Pvt Ltd (20-Oct-2023) **</t>
  </si>
  <si>
    <t>6.68% GOI 2031 (17-Sep-2031)</t>
  </si>
  <si>
    <t>Aditya Birla Fashion and Retail Ltd - Partly-Paid Rights ##</t>
  </si>
  <si>
    <t>e) For ISIN INE445K07106 - 9.50% Reliance Broadcast Network Ltd (20-Jul-2020), the amount due at maturity was not received. For further details refer below link</t>
  </si>
  <si>
    <t>f) For ISIN INE445K07106 - 9.50% Reliance Broadcast Network Ltd (20-Jul-2020), the amount due at maturity was not received. For further details refer below link</t>
  </si>
  <si>
    <t xml:space="preserve">13.50% Future Ideas Co Ltd (30-Sep-2020) $$ @@ @ ** </t>
  </si>
  <si>
    <t>13.55% Nufuture Digital (India) Ltd (31-Dec-2023) $$  @@ @ **</t>
  </si>
  <si>
    <t>12.90% Nufuture Digital (India) Ltd (02-Sep-2020) $$ @@ @ **</t>
  </si>
  <si>
    <t>14.15% Future Ideas Co Ltd (31-Jan-2023) $$ @@@ **</t>
  </si>
  <si>
    <t>14.15% Future Ideas Co Ltd (31-Jan-2021) $$ @@@ **</t>
  </si>
  <si>
    <t>12.90% Nufuture Digital (India) Ltd (02-Sep-2020) $$ @@@ **</t>
  </si>
  <si>
    <t>13.55% Nufuture Digital (India) Ltd (31-Dec-2020) $$ @@@ **</t>
  </si>
  <si>
    <t>13.55% Nufuture Digital (India) Ltd (31-Dec-2021) $$ @@@ **</t>
  </si>
  <si>
    <t>14.15% Future Ideas Co Ltd (31-Jan-2022) $$ @@@ **</t>
  </si>
  <si>
    <t>13.50% Future Ideas Co Ltd (30-Sep-2020) $$ @@@ **</t>
  </si>
  <si>
    <t>13.55% Nufuture Digital (India) Ltd (31-Dec-2022) $$ @@@ **</t>
  </si>
  <si>
    <t>14.15% Future Ideas Co Ltd (31-Dec-2023) $$ @@@ **</t>
  </si>
  <si>
    <t>13.55% Nufuture Digital (India) Ltd (31-Dec-2023) $$ @@@ **</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</si>
  <si>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</si>
  <si>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</si>
  <si>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e) @@@ On July 31, 2020, coupons/ part payments were due to be paid by Nufuture Digital (India) Ltd. and Future Ideas Co. Ltd. However, these issuers were unable to meet their payment obligations. Due to default in payment, the securities of these issuers are valued at zero basis the AMFI standard haircut matrix. This amount only reflects the realizable value and does not indicate any reduction or write-off of the amount repayable by the issuers. For more details kindly refer to the note on our website.</t>
  </si>
  <si>
    <t>g) @@@ On July 31, 2020, coupons/ part payments were due to be paid by Nufuture Digital (India) Ltd. and Future Ideas Co. Ltd. However, these issuers were unable to meet their payment obligations. Due to default in payment, the securities of these issuers are valued at zero basis the AMFI standard haircut matrix. This amount only reflects the realizable value and does not indicate any reduction or write-off of the amount repayable by the issuers. For more details kindly refer to the note on our website.</t>
  </si>
  <si>
    <t>f)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</si>
  <si>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</si>
  <si>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 @@@ On July 31, 2020, coupons/ part payments were due to be paid by Nufuture Digital (India) Ltd. and Future Ideas Co. Ltd. However, these issuers were unable to meet their payment obligations. Due to default in payment, the securities of these issuers are valued at zero basis the AMFI standard haircut matrix. This amount only reflects the realizable value and does not indicate any reduction or write-off of the amount repayable by the issuers. For more details kindly refer to the note on our website.</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</si>
  <si>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</si>
  <si>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https://www.franklintempletonindia.com/downloadsServlet/pdf/franklin-templeton-update-on-reliance-broadcast-july-23-2020-kcg9m1gq</t>
  </si>
  <si>
    <t>https://www.franklintempletonindia.com/downloadsServlet/pdf/franklin-templeton-update-on-future-group-july-31-2020-kd193hq1</t>
  </si>
  <si>
    <r>
      <t xml:space="preserve">Please note that AMFI Best Practices Guidelines Circular No. 88 / 2020 -21, dated July 30 2020 recommends various best practices as additional disclosures in monthly factsheets effective August 1, 2020. This would also be  implemented for ISIN portfolio disclosure. However below two recommendation would be implemented from August 2020 ISIN Portfolio to be released in September 2020. 
</t>
    </r>
    <r>
      <rPr>
        <b/>
        <sz val="8"/>
        <color theme="1"/>
        <rFont val="Arial"/>
        <family val="2"/>
      </rPr>
      <t xml:space="preserve">Floating Rate Bonds – </t>
    </r>
    <r>
      <rPr>
        <sz val="8"/>
        <color theme="1"/>
        <rFont val="Arial"/>
        <family val="2"/>
      </rPr>
      <t xml:space="preserve">Average Maturity to be based on contracted maturity and not basis the next interest reset date (used for computing duration).
</t>
    </r>
    <r>
      <rPr>
        <b/>
        <sz val="8"/>
        <color theme="1"/>
        <rFont val="Arial"/>
        <family val="2"/>
      </rPr>
      <t xml:space="preserve">Bonds with intermediate redemption structure - </t>
    </r>
    <r>
      <rPr>
        <sz val="8"/>
        <color theme="1"/>
        <rFont val="Arial"/>
        <family val="2"/>
      </rPr>
      <t>Maturity to be computed based on the weighted average maturity and not final maturity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</si>
</sst>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_);\(0.00\)"/>
  </numFmts>
  <fonts count="10"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52">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2" fontId="6" fillId="0" borderId="1" xfId="0" applyNumberFormat="1"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0" fontId="6" fillId="0" borderId="1" xfId="0" applyNumberFormat="1" applyFont="1" applyBorder="1" applyAlignment="1">
      <alignment vertical="center"/>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9" fillId="2" borderId="0" xfId="0" applyFont="1" applyFill="1"/>
    <xf numFmtId="0" fontId="6" fillId="2" borderId="1" xfId="0" applyFont="1" applyFill="1" applyBorder="1" applyAlignment="1">
      <alignment horizontal="right"/>
    </xf>
    <xf numFmtId="0" fontId="6" fillId="2" borderId="1" xfId="0" applyNumberFormat="1" applyFont="1" applyFill="1" applyBorder="1" applyAlignment="1">
      <alignment horizontal="right"/>
    </xf>
    <xf numFmtId="164" fontId="7" fillId="2" borderId="1" xfId="0" applyNumberFormat="1" applyFont="1" applyFill="1" applyBorder="1"/>
    <xf numFmtId="165" fontId="7" fillId="2" borderId="0" xfId="0" applyNumberFormat="1" applyFont="1" applyFill="1"/>
    <xf numFmtId="0"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wrapText="1"/>
    </xf>
    <xf numFmtId="2" fontId="6" fillId="0" borderId="1" xfId="0" applyNumberFormat="1" applyFont="1" applyBorder="1" applyAlignment="1">
      <alignment horizontal="right" vertical="center"/>
    </xf>
    <xf numFmtId="0" fontId="7" fillId="2" borderId="4" xfId="0" applyFont="1" applyFill="1" applyBorder="1" applyAlignment="1">
      <alignment wrapText="1"/>
    </xf>
    <xf numFmtId="39" fontId="6" fillId="3" borderId="0" xfId="0" applyNumberFormat="1" applyFont="1" applyFill="1" applyBorder="1" applyAlignment="1">
      <alignment horizontal="right"/>
    </xf>
    <xf numFmtId="0" fontId="6" fillId="2" borderId="0" xfId="0" applyFont="1" applyFill="1"/>
    <xf numFmtId="0" fontId="7" fillId="2" borderId="4" xfId="0" applyFont="1" applyFill="1" applyBorder="1" applyAlignment="1">
      <alignment wrapText="1"/>
    </xf>
    <xf numFmtId="0" fontId="6" fillId="2" borderId="0" xfId="0" applyFont="1" applyFill="1"/>
    <xf numFmtId="0" fontId="7" fillId="2" borderId="4" xfId="0" applyFont="1" applyFill="1" applyBorder="1" applyAlignment="1">
      <alignment wrapText="1"/>
    </xf>
    <xf numFmtId="0" fontId="6" fillId="2" borderId="0" xfId="0" applyFont="1" applyFill="1"/>
    <xf numFmtId="0" fontId="7" fillId="2" borderId="4" xfId="0" applyFont="1" applyFill="1" applyBorder="1" applyAlignment="1">
      <alignment wrapText="1"/>
    </xf>
    <xf numFmtId="0" fontId="6" fillId="2" borderId="0" xfId="0" applyFont="1" applyFill="1"/>
    <xf numFmtId="0" fontId="7" fillId="2" borderId="4" xfId="0" applyFont="1" applyFill="1" applyBorder="1" applyAlignment="1">
      <alignment wrapText="1"/>
    </xf>
    <xf numFmtId="0" fontId="6" fillId="2" borderId="0" xfId="0" applyFont="1" applyFill="1"/>
    <xf numFmtId="0" fontId="6" fillId="2" borderId="0" xfId="0" applyFont="1" applyFill="1"/>
    <xf numFmtId="0" fontId="7" fillId="2" borderId="4" xfId="0" applyFont="1" applyFill="1" applyBorder="1" applyAlignment="1">
      <alignment wrapText="1"/>
    </xf>
    <xf numFmtId="0" fontId="6" fillId="2" borderId="0" xfId="0" applyFont="1" applyFill="1"/>
    <xf numFmtId="0" fontId="7" fillId="2" borderId="0" xfId="0" applyFont="1" applyFill="1"/>
    <xf numFmtId="39" fontId="7" fillId="3" borderId="0" xfId="0" applyNumberFormat="1" applyFont="1" applyFill="1" applyBorder="1"/>
    <xf numFmtId="0" fontId="6" fillId="2" borderId="0" xfId="0" applyFont="1" applyFill="1"/>
    <xf numFmtId="39" fontId="6" fillId="3" borderId="0" xfId="0" applyNumberFormat="1" applyFont="1" applyFill="1" applyBorder="1" applyAlignment="1">
      <alignment horizontal="right"/>
    </xf>
    <xf numFmtId="2" fontId="6" fillId="0" borderId="1" xfId="0" applyNumberFormat="1" applyFont="1" applyBorder="1" applyAlignment="1">
      <alignment horizontal="right" vertical="center"/>
    </xf>
    <xf numFmtId="0" fontId="0" fillId="0" borderId="0" xfId="0"/>
    <xf numFmtId="0" fontId="6" fillId="2" borderId="0" xfId="0" applyFont="1" applyFill="1"/>
    <xf numFmtId="0" fontId="6" fillId="2" borderId="0" xfId="0" applyNumberFormat="1" applyFont="1" applyFill="1" applyAlignment="1">
      <alignment horizontal="right"/>
    </xf>
    <xf numFmtId="0" fontId="6" fillId="2" borderId="0" xfId="0" applyFont="1" applyFill="1"/>
    <xf numFmtId="0" fontId="6" fillId="0" borderId="1" xfId="0" applyFont="1" applyBorder="1" applyAlignment="1">
      <alignment vertical="center"/>
    </xf>
    <xf numFmtId="2" fontId="6" fillId="0" borderId="1" xfId="0" applyNumberFormat="1" applyFont="1" applyBorder="1" applyAlignment="1">
      <alignment vertical="center"/>
    </xf>
    <xf numFmtId="0" fontId="6" fillId="0" borderId="1" xfId="0" applyNumberFormat="1" applyFont="1" applyBorder="1" applyAlignment="1">
      <alignment horizontal="center" vertical="center"/>
    </xf>
    <xf numFmtId="0" fontId="6" fillId="0" borderId="1" xfId="0" applyFont="1" applyBorder="1" applyAlignment="1">
      <alignment vertical="center"/>
    </xf>
    <xf numFmtId="2" fontId="6" fillId="0" borderId="1" xfId="0" applyNumberFormat="1" applyFont="1" applyBorder="1" applyAlignment="1">
      <alignment vertical="center"/>
    </xf>
    <xf numFmtId="0" fontId="7" fillId="2" borderId="0" xfId="0" applyFont="1" applyFill="1"/>
    <xf numFmtId="0" fontId="7" fillId="2" borderId="0" xfId="0" applyNumberFormat="1" applyFont="1" applyFill="1"/>
    <xf numFmtId="0" fontId="6" fillId="0" borderId="1" xfId="0" applyNumberFormat="1" applyFont="1" applyBorder="1" applyAlignment="1">
      <alignment vertical="center"/>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0" fontId="6" fillId="2" borderId="0" xfId="0" applyFont="1" applyFill="1"/>
    <xf numFmtId="39" fontId="6" fillId="3" borderId="0" xfId="0" applyNumberFormat="1"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164" fontId="7" fillId="2" borderId="0" xfId="0" applyNumberFormat="1" applyFont="1" applyFill="1"/>
    <xf numFmtId="4" fontId="7" fillId="2" borderId="0" xfId="0" applyNumberFormat="1" applyFont="1" applyFill="1"/>
    <xf numFmtId="0" fontId="8" fillId="2" borderId="0" xfId="1" applyFill="1"/>
    <xf numFmtId="0" fontId="6" fillId="2" borderId="0" xfId="0" applyNumberFormat="1" applyFont="1" applyFill="1" applyAlignment="1">
      <alignment horizontal="right"/>
    </xf>
    <xf numFmtId="39" fontId="6" fillId="3" borderId="0" xfId="0" applyNumberFormat="1" applyFont="1" applyFill="1" applyBorder="1" applyAlignment="1">
      <alignment horizontal="right"/>
    </xf>
    <xf numFmtId="2" fontId="6" fillId="0" borderId="1" xfId="0" applyNumberFormat="1" applyFont="1" applyBorder="1" applyAlignment="1">
      <alignment horizontal="right" vertical="center"/>
    </xf>
    <xf numFmtId="0" fontId="6" fillId="0" borderId="1" xfId="0" applyNumberFormat="1" applyFont="1" applyBorder="1" applyAlignment="1">
      <alignment horizontal="center" vertical="center"/>
    </xf>
    <xf numFmtId="4" fontId="7" fillId="3" borderId="4" xfId="0" applyNumberFormat="1" applyFont="1" applyFill="1" applyBorder="1"/>
    <xf numFmtId="0" fontId="7" fillId="3" borderId="0" xfId="0" applyFont="1" applyFill="1"/>
    <xf numFmtId="4" fontId="6" fillId="2" borderId="4" xfId="0" applyNumberFormat="1" applyFont="1" applyFill="1" applyBorder="1"/>
    <xf numFmtId="4" fontId="6" fillId="3" borderId="4" xfId="0" applyNumberFormat="1" applyFont="1" applyFill="1" applyBorder="1"/>
    <xf numFmtId="4" fontId="7" fillId="2" borderId="4" xfId="0" applyNumberFormat="1" applyFont="1" applyFill="1" applyBorder="1"/>
    <xf numFmtId="4" fontId="6" fillId="2" borderId="5" xfId="0" applyNumberFormat="1" applyFont="1" applyFill="1" applyBorder="1"/>
    <xf numFmtId="4" fontId="6" fillId="3" borderId="5" xfId="0" applyNumberFormat="1" applyFont="1" applyFill="1" applyBorder="1"/>
    <xf numFmtId="164" fontId="7" fillId="2" borderId="0" xfId="0" applyNumberFormat="1" applyFont="1" applyFill="1" applyAlignment="1">
      <alignment horizontal="right"/>
    </xf>
    <xf numFmtId="0" fontId="8" fillId="2" borderId="0" xfId="1" applyFill="1" applyAlignment="1"/>
    <xf numFmtId="0" fontId="6" fillId="3" borderId="0" xfId="0" applyFont="1" applyFill="1"/>
    <xf numFmtId="0" fontId="6" fillId="3" borderId="0" xfId="0" quotePrefix="1" applyFont="1" applyFill="1"/>
    <xf numFmtId="0" fontId="6" fillId="0" borderId="1" xfId="0" applyFont="1" applyBorder="1" applyAlignment="1">
      <alignment horizontal="center" vertical="center"/>
    </xf>
    <xf numFmtId="164" fontId="7" fillId="3" borderId="0" xfId="0" applyNumberFormat="1" applyFont="1" applyFill="1"/>
    <xf numFmtId="164" fontId="7" fillId="3" borderId="0" xfId="0" applyNumberFormat="1" applyFont="1" applyFill="1" applyAlignment="1">
      <alignment horizontal="right"/>
    </xf>
    <xf numFmtId="39" fontId="7" fillId="3" borderId="0" xfId="0" applyNumberFormat="1" applyFont="1" applyFill="1"/>
    <xf numFmtId="0" fontId="7" fillId="3" borderId="0" xfId="0" applyNumberFormat="1" applyFont="1" applyFill="1"/>
    <xf numFmtId="0" fontId="8" fillId="3" borderId="0" xfId="1" applyFill="1"/>
    <xf numFmtId="0" fontId="5" fillId="3" borderId="0" xfId="0" applyFont="1" applyFill="1"/>
    <xf numFmtId="2" fontId="6" fillId="3" borderId="1" xfId="0" applyNumberFormat="1" applyFont="1" applyFill="1" applyBorder="1" applyAlignment="1">
      <alignment horizontal="center" vertical="center" wrapText="1"/>
    </xf>
    <xf numFmtId="0" fontId="7" fillId="3" borderId="4" xfId="0" applyFont="1" applyFill="1" applyBorder="1"/>
    <xf numFmtId="166" fontId="7" fillId="3" borderId="4" xfId="0" applyNumberFormat="1" applyFont="1" applyFill="1" applyBorder="1"/>
    <xf numFmtId="0" fontId="6" fillId="3" borderId="4" xfId="0" applyFont="1" applyFill="1" applyBorder="1"/>
    <xf numFmtId="0" fontId="6" fillId="3" borderId="5" xfId="0" applyFont="1" applyFill="1" applyBorder="1"/>
    <xf numFmtId="0" fontId="6" fillId="3" borderId="4" xfId="0" applyNumberFormat="1" applyFont="1" applyFill="1" applyBorder="1"/>
    <xf numFmtId="0" fontId="8" fillId="0" borderId="0" xfId="1" applyAlignment="1">
      <alignment vertical="center"/>
    </xf>
    <xf numFmtId="0" fontId="6" fillId="2" borderId="0" xfId="0" quotePrefix="1" applyFont="1" applyFill="1" applyAlignment="1">
      <alignment horizontal="justify" vertical="top" wrapText="1"/>
    </xf>
    <xf numFmtId="0" fontId="6" fillId="2" borderId="0" xfId="0" applyFont="1" applyFill="1" applyAlignment="1">
      <alignment horizontal="left"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8" fillId="0" borderId="0" xfId="1" applyAlignment="1">
      <alignment vertical="top"/>
    </xf>
    <xf numFmtId="0" fontId="7" fillId="2" borderId="0" xfId="0" applyFont="1" applyFill="1" applyAlignment="1">
      <alignment vertical="top" wrapText="1"/>
    </xf>
    <xf numFmtId="0" fontId="0" fillId="0" borderId="0" xfId="0" applyFont="1" applyAlignment="1">
      <alignment vertical="top"/>
    </xf>
    <xf numFmtId="0" fontId="7" fillId="2" borderId="0" xfId="0" applyFont="1" applyFill="1" applyAlignment="1">
      <alignment vertical="top" wrapText="1"/>
    </xf>
    <xf numFmtId="0" fontId="0" fillId="0" borderId="0" xfId="0" applyFont="1" applyAlignment="1">
      <alignment vertical="top"/>
    </xf>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cellXfs>
  <cellStyles count="2">
    <cellStyle name="Hyperlink" xfId="1" builtinId="8"/>
    <cellStyle name="Normal" xfId="0" builtinId="0"/>
  </cellStyles>
  <dxfs count="95">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7" Type="http://schemas.openxmlformats.org/officeDocument/2006/relationships/printerSettings" Target="../printerSettings/printerSettings9.bin"/><Relationship Id="rId2" Type="http://schemas.openxmlformats.org/officeDocument/2006/relationships/hyperlink" Target="https://www.franklintempletonindia.com/downloadsServlet/pdf/franklin-templetonupdate-on-essel-infraproject22may2020-k9zjtc8d"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franklin-templeton-update-on-future-group-july-31-2020-kd193hq1" TargetMode="External"/><Relationship Id="rId5" Type="http://schemas.openxmlformats.org/officeDocument/2006/relationships/hyperlink" Target="https://www.franklintempletonindia.com/downloadsServlet/pdf/franklin-templeton-update-on-reliance-broadcast-july-23-2020-kcg9m1gq" TargetMode="External"/><Relationship Id="rId4" Type="http://schemas.openxmlformats.org/officeDocument/2006/relationships/hyperlink" Target="https://www.franklintempletonindia.com/investor/reports?firstFilter-4"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essel-infraproject22may2020-k9zjtc8d"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july-31-2020-kd193hq1"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essel-infraproject22may2020-k9zjtc8d"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12.bin"/><Relationship Id="rId5" Type="http://schemas.openxmlformats.org/officeDocument/2006/relationships/hyperlink" Target="https://www.franklintempletonindia.com/downloadsServlet/pdf/franklin-templeton-update-on-future-group-july-31-2020-kd193hq1" TargetMode="External"/><Relationship Id="rId4" Type="http://schemas.openxmlformats.org/officeDocument/2006/relationships/hyperlink" Target="https://www.franklintempletonindia.com/investor/reports?firstFilter-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franklin-templetonupdate-on-essel-infraproject22may2020-k9zjtc8d" TargetMode="External"/><Relationship Id="rId6" Type="http://schemas.openxmlformats.org/officeDocument/2006/relationships/printerSettings" Target="../printerSettings/printerSettings13.bin"/><Relationship Id="rId5" Type="http://schemas.openxmlformats.org/officeDocument/2006/relationships/hyperlink" Target="https://www.franklintempletonindia.com/downloadsServlet/pdf/franklin-templeton-update-on-future-group-july-31-2020-kd193hq1" TargetMode="External"/><Relationship Id="rId4" Type="http://schemas.openxmlformats.org/officeDocument/2006/relationships/hyperlink" Target="https://www.franklintempletonindia.com/investor/reports?firstFilter-4"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7"/>
  <sheetViews>
    <sheetView tabSelected="1" workbookViewId="0">
      <selection sqref="A1:F1"/>
    </sheetView>
  </sheetViews>
  <sheetFormatPr defaultColWidth="9.1796875" defaultRowHeight="10" x14ac:dyDescent="0.2"/>
  <cols>
    <col min="1" max="1" width="38.7265625" style="10" bestFit="1" customWidth="1"/>
    <col min="2" max="2" width="52.5429687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4.453125" style="10" bestFit="1" customWidth="1"/>
    <col min="8" max="16384" width="9.1796875" style="10"/>
  </cols>
  <sheetData>
    <row r="1" spans="1:9" s="1" customFormat="1" ht="14" x14ac:dyDescent="0.25">
      <c r="A1" s="143" t="s">
        <v>19</v>
      </c>
      <c r="B1" s="144"/>
      <c r="C1" s="144"/>
      <c r="D1" s="144"/>
      <c r="E1" s="144"/>
      <c r="F1" s="144"/>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208</v>
      </c>
      <c r="D4" s="80" t="s">
        <v>1</v>
      </c>
      <c r="E4" s="9" t="s">
        <v>3</v>
      </c>
      <c r="F4" s="9" t="s">
        <v>4</v>
      </c>
    </row>
    <row r="5" spans="1:9" ht="10.5" x14ac:dyDescent="0.25">
      <c r="A5" s="20" t="s">
        <v>69</v>
      </c>
      <c r="B5" s="21"/>
      <c r="C5" s="21"/>
      <c r="D5" s="22"/>
      <c r="E5" s="23"/>
      <c r="F5" s="24"/>
    </row>
    <row r="6" spans="1:9" ht="10.5" x14ac:dyDescent="0.25">
      <c r="A6" s="25" t="s">
        <v>70</v>
      </c>
      <c r="B6" s="26"/>
      <c r="C6" s="26"/>
      <c r="D6" s="27"/>
      <c r="E6" s="28"/>
      <c r="F6" s="29"/>
    </row>
    <row r="7" spans="1:9" x14ac:dyDescent="0.2">
      <c r="A7" s="26" t="s">
        <v>733</v>
      </c>
      <c r="B7" s="26" t="s">
        <v>732</v>
      </c>
      <c r="C7" s="26" t="s">
        <v>166</v>
      </c>
      <c r="D7" s="30">
        <v>750</v>
      </c>
      <c r="E7" s="28">
        <v>7544.3474999999999</v>
      </c>
      <c r="F7" s="29">
        <v>3.4204373258945102</v>
      </c>
    </row>
    <row r="8" spans="1:9" ht="10.5" x14ac:dyDescent="0.25">
      <c r="A8" s="25" t="s">
        <v>167</v>
      </c>
      <c r="B8" s="25"/>
      <c r="C8" s="25"/>
      <c r="D8" s="31"/>
      <c r="E8" s="32">
        <f>SUM(E6:E7)</f>
        <v>7544.3474999999999</v>
      </c>
      <c r="F8" s="33">
        <f>SUM(F6:F7)</f>
        <v>3.4204373258945102</v>
      </c>
      <c r="G8" s="17"/>
      <c r="H8" s="17"/>
      <c r="I8" s="17"/>
    </row>
    <row r="9" spans="1:9" x14ac:dyDescent="0.2">
      <c r="A9" s="26"/>
      <c r="B9" s="26"/>
      <c r="C9" s="26"/>
      <c r="D9" s="27"/>
      <c r="E9" s="28"/>
      <c r="F9" s="29"/>
    </row>
    <row r="10" spans="1:9" ht="10.5" x14ac:dyDescent="0.25">
      <c r="A10" s="25" t="s">
        <v>413</v>
      </c>
      <c r="B10" s="26"/>
      <c r="C10" s="26"/>
      <c r="D10" s="27"/>
      <c r="E10" s="28"/>
      <c r="F10" s="29"/>
    </row>
    <row r="11" spans="1:9" ht="10.5" x14ac:dyDescent="0.25">
      <c r="A11" s="25" t="s">
        <v>434</v>
      </c>
      <c r="B11" s="26"/>
      <c r="C11" s="26"/>
      <c r="D11" s="27"/>
      <c r="E11" s="28"/>
      <c r="F11" s="29"/>
    </row>
    <row r="12" spans="1:9" x14ac:dyDescent="0.2">
      <c r="A12" s="26" t="s">
        <v>735</v>
      </c>
      <c r="B12" s="26" t="s">
        <v>734</v>
      </c>
      <c r="C12" s="26" t="s">
        <v>420</v>
      </c>
      <c r="D12" s="30">
        <v>2000</v>
      </c>
      <c r="E12" s="28">
        <v>9998.19</v>
      </c>
      <c r="F12" s="29">
        <v>4.5329542770113997</v>
      </c>
    </row>
    <row r="13" spans="1:9" x14ac:dyDescent="0.2">
      <c r="A13" s="26" t="s">
        <v>737</v>
      </c>
      <c r="B13" s="26" t="s">
        <v>736</v>
      </c>
      <c r="C13" s="26" t="s">
        <v>420</v>
      </c>
      <c r="D13" s="30">
        <v>2000</v>
      </c>
      <c r="E13" s="28">
        <v>9990.9</v>
      </c>
      <c r="F13" s="29">
        <v>4.52964915511639</v>
      </c>
    </row>
    <row r="14" spans="1:9" x14ac:dyDescent="0.2">
      <c r="A14" s="26" t="s">
        <v>739</v>
      </c>
      <c r="B14" s="26" t="s">
        <v>738</v>
      </c>
      <c r="C14" s="26" t="s">
        <v>420</v>
      </c>
      <c r="D14" s="30">
        <v>2000</v>
      </c>
      <c r="E14" s="28">
        <v>9958.4</v>
      </c>
      <c r="F14" s="29">
        <v>4.5149143867230297</v>
      </c>
    </row>
    <row r="15" spans="1:9" x14ac:dyDescent="0.2">
      <c r="A15" s="26" t="s">
        <v>741</v>
      </c>
      <c r="B15" s="26" t="s">
        <v>740</v>
      </c>
      <c r="C15" s="26" t="s">
        <v>420</v>
      </c>
      <c r="D15" s="30">
        <v>2000</v>
      </c>
      <c r="E15" s="28">
        <v>9924.2900000000009</v>
      </c>
      <c r="F15" s="29">
        <v>4.4994496805723303</v>
      </c>
    </row>
    <row r="16" spans="1:9" x14ac:dyDescent="0.2">
      <c r="A16" s="26" t="s">
        <v>743</v>
      </c>
      <c r="B16" s="26" t="s">
        <v>742</v>
      </c>
      <c r="C16" s="26" t="s">
        <v>420</v>
      </c>
      <c r="D16" s="30">
        <v>2000</v>
      </c>
      <c r="E16" s="28">
        <v>9917.51</v>
      </c>
      <c r="F16" s="29">
        <v>4.49637578119673</v>
      </c>
    </row>
    <row r="17" spans="1:9" x14ac:dyDescent="0.2">
      <c r="A17" s="26" t="s">
        <v>459</v>
      </c>
      <c r="B17" s="26" t="s">
        <v>458</v>
      </c>
      <c r="C17" s="26" t="s">
        <v>420</v>
      </c>
      <c r="D17" s="30">
        <v>1700</v>
      </c>
      <c r="E17" s="28">
        <v>8493.0044999999991</v>
      </c>
      <c r="F17" s="29">
        <v>3.8505370545020701</v>
      </c>
    </row>
    <row r="18" spans="1:9" x14ac:dyDescent="0.2">
      <c r="A18" s="26" t="s">
        <v>745</v>
      </c>
      <c r="B18" s="26" t="s">
        <v>744</v>
      </c>
      <c r="C18" s="26" t="s">
        <v>420</v>
      </c>
      <c r="D18" s="30">
        <v>1500</v>
      </c>
      <c r="E18" s="28">
        <v>7470.5024999999996</v>
      </c>
      <c r="F18" s="29">
        <v>3.3869576652173401</v>
      </c>
    </row>
    <row r="19" spans="1:9" x14ac:dyDescent="0.2">
      <c r="A19" s="26" t="s">
        <v>747</v>
      </c>
      <c r="B19" s="26" t="s">
        <v>746</v>
      </c>
      <c r="C19" s="26" t="s">
        <v>425</v>
      </c>
      <c r="D19" s="30">
        <v>1000</v>
      </c>
      <c r="E19" s="28">
        <v>4994.0600000000004</v>
      </c>
      <c r="F19" s="29">
        <v>2.2641943828484501</v>
      </c>
    </row>
    <row r="20" spans="1:9" x14ac:dyDescent="0.2">
      <c r="A20" s="26" t="s">
        <v>749</v>
      </c>
      <c r="B20" s="26" t="s">
        <v>748</v>
      </c>
      <c r="C20" s="26" t="s">
        <v>420</v>
      </c>
      <c r="D20" s="30">
        <v>500</v>
      </c>
      <c r="E20" s="28">
        <v>2484.1799999999998</v>
      </c>
      <c r="F20" s="29">
        <v>1.1262712906902299</v>
      </c>
    </row>
    <row r="21" spans="1:9" ht="10.5" x14ac:dyDescent="0.25">
      <c r="A21" s="25" t="s">
        <v>167</v>
      </c>
      <c r="B21" s="25"/>
      <c r="C21" s="25"/>
      <c r="D21" s="31"/>
      <c r="E21" s="32">
        <f>SUM(E11:E20)</f>
        <v>73231.036999999997</v>
      </c>
      <c r="F21" s="33">
        <f>SUM(F11:F20)</f>
        <v>33.201303673877966</v>
      </c>
      <c r="G21" s="17"/>
      <c r="H21" s="17"/>
      <c r="I21" s="17"/>
    </row>
    <row r="22" spans="1:9" x14ac:dyDescent="0.2">
      <c r="A22" s="26"/>
      <c r="B22" s="26"/>
      <c r="C22" s="26"/>
      <c r="D22" s="27"/>
      <c r="E22" s="28"/>
      <c r="F22" s="29"/>
    </row>
    <row r="23" spans="1:9" ht="10.5" x14ac:dyDescent="0.25">
      <c r="A23" s="25" t="s">
        <v>460</v>
      </c>
      <c r="B23" s="26"/>
      <c r="C23" s="26"/>
      <c r="D23" s="27"/>
      <c r="E23" s="28"/>
      <c r="F23" s="29"/>
    </row>
    <row r="24" spans="1:9" x14ac:dyDescent="0.2">
      <c r="A24" s="26" t="s">
        <v>462</v>
      </c>
      <c r="B24" s="26" t="s">
        <v>461</v>
      </c>
      <c r="C24" s="89" t="s">
        <v>526</v>
      </c>
      <c r="D24" s="30">
        <v>42500000</v>
      </c>
      <c r="E24" s="28">
        <v>42425.794999999998</v>
      </c>
      <c r="F24" s="29">
        <v>19.234900407059602</v>
      </c>
    </row>
    <row r="25" spans="1:9" x14ac:dyDescent="0.2">
      <c r="A25" s="26" t="s">
        <v>751</v>
      </c>
      <c r="B25" s="26" t="s">
        <v>750</v>
      </c>
      <c r="C25" s="89" t="s">
        <v>526</v>
      </c>
      <c r="D25" s="30">
        <v>37000000</v>
      </c>
      <c r="E25" s="28">
        <v>36911.792000000001</v>
      </c>
      <c r="F25" s="29">
        <v>16.734975572434099</v>
      </c>
    </row>
    <row r="26" spans="1:9" x14ac:dyDescent="0.2">
      <c r="A26" s="26" t="s">
        <v>753</v>
      </c>
      <c r="B26" s="26" t="s">
        <v>752</v>
      </c>
      <c r="C26" s="89" t="s">
        <v>526</v>
      </c>
      <c r="D26" s="30">
        <v>15000000</v>
      </c>
      <c r="E26" s="28">
        <v>14993.22</v>
      </c>
      <c r="F26" s="29">
        <v>6.7975884360242</v>
      </c>
    </row>
    <row r="27" spans="1:9" x14ac:dyDescent="0.2">
      <c r="A27" s="26" t="s">
        <v>755</v>
      </c>
      <c r="B27" s="26" t="s">
        <v>754</v>
      </c>
      <c r="C27" s="89" t="s">
        <v>526</v>
      </c>
      <c r="D27" s="30">
        <v>10000000</v>
      </c>
      <c r="E27" s="28">
        <v>9927.07</v>
      </c>
      <c r="F27" s="29">
        <v>4.5007100699918201</v>
      </c>
    </row>
    <row r="28" spans="1:9" x14ac:dyDescent="0.2">
      <c r="A28" s="26" t="s">
        <v>757</v>
      </c>
      <c r="B28" s="26" t="s">
        <v>756</v>
      </c>
      <c r="C28" s="89" t="s">
        <v>526</v>
      </c>
      <c r="D28" s="30">
        <v>9500000</v>
      </c>
      <c r="E28" s="28">
        <v>9471.8705000000009</v>
      </c>
      <c r="F28" s="29">
        <v>4.2943328636756304</v>
      </c>
    </row>
    <row r="29" spans="1:9" ht="10.5" x14ac:dyDescent="0.25">
      <c r="A29" s="25" t="s">
        <v>167</v>
      </c>
      <c r="B29" s="25"/>
      <c r="C29" s="25"/>
      <c r="D29" s="31"/>
      <c r="E29" s="32">
        <f>SUM(E23:E28)</f>
        <v>113729.74750000001</v>
      </c>
      <c r="F29" s="33">
        <f>SUM(F23:F28)</f>
        <v>51.562507349185346</v>
      </c>
      <c r="G29" s="17"/>
      <c r="H29" s="17"/>
      <c r="I29" s="17"/>
    </row>
    <row r="30" spans="1:9" x14ac:dyDescent="0.2">
      <c r="A30" s="26"/>
      <c r="B30" s="26"/>
      <c r="C30" s="26"/>
      <c r="D30" s="27"/>
      <c r="E30" s="28"/>
      <c r="F30" s="29"/>
    </row>
    <row r="31" spans="1:9" ht="10.5" x14ac:dyDescent="0.25">
      <c r="A31" s="25" t="s">
        <v>205</v>
      </c>
      <c r="B31" s="25"/>
      <c r="C31" s="25"/>
      <c r="D31" s="31"/>
      <c r="E31" s="32">
        <f>E8+E21+E29</f>
        <v>194505.13200000001</v>
      </c>
      <c r="F31" s="33">
        <f>F8+F21+F29</f>
        <v>88.184248348957823</v>
      </c>
      <c r="G31" s="17"/>
      <c r="H31" s="17"/>
      <c r="I31" s="17"/>
    </row>
    <row r="32" spans="1:9" ht="10.5" x14ac:dyDescent="0.25">
      <c r="A32" s="25"/>
      <c r="B32" s="25"/>
      <c r="C32" s="25"/>
      <c r="D32" s="31"/>
      <c r="E32" s="32"/>
      <c r="F32" s="33"/>
      <c r="G32" s="17"/>
      <c r="H32" s="17"/>
      <c r="I32" s="17"/>
    </row>
    <row r="33" spans="1:9" ht="10.5" x14ac:dyDescent="0.25">
      <c r="A33" s="25" t="s">
        <v>207</v>
      </c>
      <c r="B33" s="25"/>
      <c r="C33" s="25"/>
      <c r="D33" s="31"/>
      <c r="E33" s="32">
        <f>E35-(E8+E21+E29)</f>
        <v>26061.619592999981</v>
      </c>
      <c r="F33" s="33">
        <f>F35-(F8+F21+F29)</f>
        <v>11.815751651042177</v>
      </c>
      <c r="G33" s="17"/>
      <c r="H33" s="17"/>
      <c r="I33" s="17"/>
    </row>
    <row r="34" spans="1:9" ht="10.5" x14ac:dyDescent="0.25">
      <c r="A34" s="25"/>
      <c r="B34" s="25"/>
      <c r="C34" s="25"/>
      <c r="D34" s="31"/>
      <c r="E34" s="32"/>
      <c r="F34" s="33"/>
      <c r="G34" s="17"/>
      <c r="H34" s="17"/>
      <c r="I34" s="17"/>
    </row>
    <row r="35" spans="1:9" ht="10.5" x14ac:dyDescent="0.25">
      <c r="A35" s="34" t="s">
        <v>206</v>
      </c>
      <c r="B35" s="34"/>
      <c r="C35" s="34"/>
      <c r="D35" s="35"/>
      <c r="E35" s="36">
        <v>220566.75159299999</v>
      </c>
      <c r="F35" s="37">
        <v>100</v>
      </c>
      <c r="G35" s="17"/>
      <c r="H35" s="17"/>
      <c r="I35" s="17"/>
    </row>
    <row r="37" spans="1:9" ht="10.5" x14ac:dyDescent="0.25">
      <c r="A37" s="17" t="s">
        <v>468</v>
      </c>
    </row>
    <row r="38" spans="1:9" ht="10.5" x14ac:dyDescent="0.25">
      <c r="A38" s="17" t="s">
        <v>209</v>
      </c>
    </row>
    <row r="40" spans="1:9" ht="10.5" x14ac:dyDescent="0.25">
      <c r="A40" s="17" t="s">
        <v>210</v>
      </c>
    </row>
    <row r="41" spans="1:9" ht="10.5" x14ac:dyDescent="0.25">
      <c r="A41" s="17" t="s">
        <v>211</v>
      </c>
    </row>
    <row r="42" spans="1:9" ht="10.5" x14ac:dyDescent="0.25">
      <c r="A42" s="17" t="s">
        <v>212</v>
      </c>
      <c r="B42" s="17"/>
      <c r="C42" s="38" t="s">
        <v>214</v>
      </c>
      <c r="D42" s="18" t="s">
        <v>213</v>
      </c>
    </row>
    <row r="43" spans="1:9" x14ac:dyDescent="0.2">
      <c r="A43" s="10" t="s">
        <v>758</v>
      </c>
      <c r="C43" s="39">
        <v>4582.2671</v>
      </c>
      <c r="D43" s="39">
        <v>4682.0965999999999</v>
      </c>
    </row>
    <row r="44" spans="1:9" x14ac:dyDescent="0.2">
      <c r="A44" s="10" t="s">
        <v>759</v>
      </c>
      <c r="C44" s="39">
        <v>1512.2955999999999</v>
      </c>
      <c r="D44" s="39">
        <v>1510.5263</v>
      </c>
    </row>
    <row r="45" spans="1:9" x14ac:dyDescent="0.2">
      <c r="A45" s="10" t="s">
        <v>760</v>
      </c>
      <c r="C45" s="39">
        <v>1245.1473000000001</v>
      </c>
      <c r="D45" s="39">
        <v>1244.6609000000001</v>
      </c>
    </row>
    <row r="46" spans="1:9" s="108" customFormat="1" x14ac:dyDescent="0.2">
      <c r="A46" s="108" t="s">
        <v>218</v>
      </c>
      <c r="C46" s="119">
        <v>2977.2692999999999</v>
      </c>
      <c r="D46" s="120" t="s">
        <v>1554</v>
      </c>
      <c r="E46" s="121"/>
      <c r="F46" s="83"/>
    </row>
    <row r="47" spans="1:9" x14ac:dyDescent="0.2">
      <c r="A47" s="10" t="s">
        <v>761</v>
      </c>
      <c r="C47" s="39">
        <v>1000.6505</v>
      </c>
      <c r="D47" s="39">
        <v>1000</v>
      </c>
    </row>
    <row r="48" spans="1:9" x14ac:dyDescent="0.2">
      <c r="A48" s="10" t="s">
        <v>762</v>
      </c>
      <c r="C48" s="39">
        <v>1055.4549</v>
      </c>
      <c r="D48" s="39">
        <v>1055.0608999999999</v>
      </c>
    </row>
    <row r="49" spans="1:6" x14ac:dyDescent="0.2">
      <c r="A49" s="10" t="s">
        <v>220</v>
      </c>
      <c r="C49" s="39">
        <v>2938.8897999999999</v>
      </c>
      <c r="D49" s="39">
        <v>3013.0223000000001</v>
      </c>
    </row>
    <row r="50" spans="1:6" x14ac:dyDescent="0.2">
      <c r="A50" s="10" t="s">
        <v>763</v>
      </c>
      <c r="C50" s="39">
        <v>1000.7051</v>
      </c>
      <c r="D50" s="39">
        <v>1000</v>
      </c>
    </row>
    <row r="51" spans="1:6" x14ac:dyDescent="0.2">
      <c r="A51" s="10" t="s">
        <v>222</v>
      </c>
      <c r="C51" s="39">
        <v>1021.8952</v>
      </c>
      <c r="D51" s="39">
        <v>1022.3172</v>
      </c>
    </row>
    <row r="52" spans="1:6" x14ac:dyDescent="0.2">
      <c r="A52" s="10" t="s">
        <v>764</v>
      </c>
      <c r="C52" s="39">
        <v>2951.3591000000001</v>
      </c>
      <c r="D52" s="39">
        <v>3026.9566</v>
      </c>
    </row>
    <row r="53" spans="1:6" x14ac:dyDescent="0.2">
      <c r="A53" s="10" t="s">
        <v>765</v>
      </c>
      <c r="C53" s="39">
        <v>1001.8422</v>
      </c>
      <c r="D53" s="39">
        <v>1002.2243</v>
      </c>
    </row>
    <row r="54" spans="1:6" x14ac:dyDescent="0.2">
      <c r="A54" s="10" t="s">
        <v>766</v>
      </c>
      <c r="C54" s="39">
        <v>1022.1684</v>
      </c>
      <c r="D54" s="39">
        <v>1021.7917</v>
      </c>
    </row>
    <row r="55" spans="1:6" x14ac:dyDescent="0.2">
      <c r="A55" s="10" t="s">
        <v>767</v>
      </c>
      <c r="C55" s="39">
        <v>12.459899999999999</v>
      </c>
      <c r="D55" s="39">
        <v>12.778600000000001</v>
      </c>
    </row>
    <row r="56" spans="1:6" x14ac:dyDescent="0.2">
      <c r="A56" s="10" t="s">
        <v>768</v>
      </c>
      <c r="C56" s="39">
        <v>12.459899999999999</v>
      </c>
      <c r="D56" s="39">
        <v>12.778600000000001</v>
      </c>
    </row>
    <row r="57" spans="1:6" x14ac:dyDescent="0.2">
      <c r="A57" s="10" t="s">
        <v>769</v>
      </c>
      <c r="C57" s="39">
        <v>10</v>
      </c>
      <c r="D57" s="39">
        <v>10</v>
      </c>
    </row>
    <row r="58" spans="1:6" x14ac:dyDescent="0.2">
      <c r="A58" s="10" t="s">
        <v>770</v>
      </c>
      <c r="C58" s="39">
        <v>10</v>
      </c>
      <c r="D58" s="39">
        <v>10</v>
      </c>
    </row>
    <row r="60" spans="1:6" s="78" customFormat="1" x14ac:dyDescent="0.2">
      <c r="A60" s="78" t="s">
        <v>1556</v>
      </c>
      <c r="D60" s="79"/>
      <c r="E60" s="82"/>
      <c r="F60" s="83"/>
    </row>
    <row r="61" spans="1:6" s="78" customFormat="1" x14ac:dyDescent="0.2">
      <c r="D61" s="79"/>
      <c r="E61" s="82"/>
      <c r="F61" s="83"/>
    </row>
    <row r="62" spans="1:6" ht="10.5" x14ac:dyDescent="0.25">
      <c r="A62" s="17" t="s">
        <v>226</v>
      </c>
    </row>
    <row r="63" spans="1:6" ht="10.5" x14ac:dyDescent="0.25">
      <c r="A63" s="147" t="s">
        <v>401</v>
      </c>
      <c r="B63" s="148"/>
      <c r="C63" s="145" t="s">
        <v>402</v>
      </c>
      <c r="D63" s="146"/>
    </row>
    <row r="64" spans="1:6" ht="10.5" x14ac:dyDescent="0.25">
      <c r="A64" s="147"/>
      <c r="B64" s="148"/>
      <c r="C64" s="43" t="s">
        <v>403</v>
      </c>
      <c r="D64" s="44" t="s">
        <v>404</v>
      </c>
    </row>
    <row r="65" spans="1:6" x14ac:dyDescent="0.2">
      <c r="A65" s="141" t="s">
        <v>759</v>
      </c>
      <c r="B65" s="142"/>
      <c r="C65" s="45">
        <v>28.172095410000001</v>
      </c>
      <c r="D65" s="45">
        <v>27.289579610000001</v>
      </c>
    </row>
    <row r="66" spans="1:6" x14ac:dyDescent="0.2">
      <c r="A66" s="141" t="s">
        <v>760</v>
      </c>
      <c r="B66" s="142"/>
      <c r="C66" s="45">
        <v>22.660960986999999</v>
      </c>
      <c r="D66" s="45">
        <v>22.028719986999999</v>
      </c>
    </row>
    <row r="67" spans="1:6" x14ac:dyDescent="0.2">
      <c r="A67" s="141" t="s">
        <v>761</v>
      </c>
      <c r="B67" s="142"/>
      <c r="C67" s="45">
        <v>19.373573064999999</v>
      </c>
      <c r="D67" s="45">
        <v>18.807199956000002</v>
      </c>
    </row>
    <row r="68" spans="1:6" x14ac:dyDescent="0.2">
      <c r="A68" s="141" t="s">
        <v>762</v>
      </c>
      <c r="B68" s="142"/>
      <c r="C68" s="45">
        <v>20.341046543000001</v>
      </c>
      <c r="D68" s="45">
        <v>19.782100707000001</v>
      </c>
    </row>
    <row r="69" spans="1:6" x14ac:dyDescent="0.2">
      <c r="A69" s="141" t="s">
        <v>763</v>
      </c>
      <c r="B69" s="142"/>
      <c r="C69" s="45">
        <v>21.209938229999999</v>
      </c>
      <c r="D69" s="45">
        <v>20.602721648999999</v>
      </c>
    </row>
    <row r="70" spans="1:6" x14ac:dyDescent="0.2">
      <c r="A70" s="141" t="s">
        <v>222</v>
      </c>
      <c r="B70" s="142"/>
      <c r="C70" s="45">
        <v>20.813229304</v>
      </c>
      <c r="D70" s="45">
        <v>20.240978498</v>
      </c>
    </row>
    <row r="71" spans="1:6" x14ac:dyDescent="0.2">
      <c r="A71" s="141" t="s">
        <v>765</v>
      </c>
      <c r="B71" s="142"/>
      <c r="C71" s="45">
        <v>20.704072714999999</v>
      </c>
      <c r="D71" s="45">
        <v>20.136867917</v>
      </c>
    </row>
    <row r="72" spans="1:6" x14ac:dyDescent="0.2">
      <c r="A72" s="141" t="s">
        <v>766</v>
      </c>
      <c r="B72" s="142"/>
      <c r="C72" s="45">
        <v>21.784284239000002</v>
      </c>
      <c r="D72" s="45">
        <v>21.197073756999998</v>
      </c>
    </row>
    <row r="74" spans="1:6" ht="10.5" x14ac:dyDescent="0.25">
      <c r="A74" s="17" t="s">
        <v>228</v>
      </c>
      <c r="D74" s="41">
        <v>7.978912235616438E-2</v>
      </c>
      <c r="E74" s="15" t="s">
        <v>229</v>
      </c>
    </row>
    <row r="75" spans="1:6" s="78" customFormat="1" ht="42.5" customHeight="1" x14ac:dyDescent="0.2">
      <c r="A75" s="139" t="s">
        <v>1596</v>
      </c>
      <c r="B75" s="140"/>
      <c r="C75" s="140"/>
      <c r="D75" s="140"/>
      <c r="E75" s="140"/>
      <c r="F75" s="83"/>
    </row>
    <row r="77" spans="1:6" ht="10.5" x14ac:dyDescent="0.25">
      <c r="A77" s="17" t="s">
        <v>230</v>
      </c>
      <c r="D77" s="103" t="s">
        <v>227</v>
      </c>
    </row>
  </sheetData>
  <mergeCells count="13">
    <mergeCell ref="A1:F1"/>
    <mergeCell ref="C63:D63"/>
    <mergeCell ref="A63:B63"/>
    <mergeCell ref="A64:B64"/>
    <mergeCell ref="A65:B65"/>
    <mergeCell ref="A75:E75"/>
    <mergeCell ref="A71:B71"/>
    <mergeCell ref="A72:B72"/>
    <mergeCell ref="A66:B66"/>
    <mergeCell ref="A67:B67"/>
    <mergeCell ref="A68:B68"/>
    <mergeCell ref="A69:B69"/>
    <mergeCell ref="A70:B70"/>
  </mergeCells>
  <conditionalFormatting sqref="F2:F3 F5:F65537">
    <cfRule type="cellIs" dxfId="9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9"/>
  <sheetViews>
    <sheetView workbookViewId="0">
      <selection sqref="A1:F1"/>
    </sheetView>
  </sheetViews>
  <sheetFormatPr defaultColWidth="9.1796875" defaultRowHeight="10" x14ac:dyDescent="0.2"/>
  <cols>
    <col min="1" max="1" width="31.7265625" style="10" bestFit="1" customWidth="1"/>
    <col min="2" max="2" width="20"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6" style="10" bestFit="1" customWidth="1"/>
    <col min="8" max="16384" width="9.1796875" style="10"/>
  </cols>
  <sheetData>
    <row r="1" spans="1:9" s="1" customFormat="1" ht="14" x14ac:dyDescent="0.25">
      <c r="A1" s="143" t="s">
        <v>18</v>
      </c>
      <c r="B1" s="144"/>
      <c r="C1" s="144"/>
      <c r="D1" s="144"/>
      <c r="E1" s="144"/>
      <c r="F1" s="144"/>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208</v>
      </c>
      <c r="D4" s="13" t="s">
        <v>1</v>
      </c>
      <c r="E4" s="9" t="s">
        <v>3</v>
      </c>
      <c r="F4" s="9" t="s">
        <v>4</v>
      </c>
    </row>
    <row r="5" spans="1:9" ht="10.5" x14ac:dyDescent="0.25">
      <c r="A5" s="25" t="s">
        <v>207</v>
      </c>
      <c r="B5" s="25"/>
      <c r="C5" s="25"/>
      <c r="D5" s="31"/>
      <c r="E5" s="32">
        <v>56273.971421900002</v>
      </c>
      <c r="F5" s="33">
        <v>100</v>
      </c>
      <c r="G5" s="17"/>
      <c r="H5" s="17"/>
      <c r="I5" s="17"/>
    </row>
    <row r="6" spans="1:9" ht="10.5" x14ac:dyDescent="0.25">
      <c r="A6" s="25"/>
      <c r="B6" s="25"/>
      <c r="C6" s="25"/>
      <c r="D6" s="31"/>
      <c r="E6" s="32"/>
      <c r="F6" s="33"/>
      <c r="G6" s="17"/>
      <c r="H6" s="17"/>
      <c r="I6" s="17"/>
    </row>
    <row r="7" spans="1:9" ht="10.5" x14ac:dyDescent="0.25">
      <c r="A7" s="34" t="s">
        <v>206</v>
      </c>
      <c r="B7" s="34"/>
      <c r="C7" s="34"/>
      <c r="D7" s="35"/>
      <c r="E7" s="36">
        <v>56273.971421900002</v>
      </c>
      <c r="F7" s="37">
        <v>100</v>
      </c>
      <c r="G7" s="17"/>
      <c r="H7" s="17"/>
      <c r="I7" s="17"/>
    </row>
    <row r="10" spans="1:9" ht="10.5" x14ac:dyDescent="0.25">
      <c r="A10" s="17" t="s">
        <v>210</v>
      </c>
    </row>
    <row r="11" spans="1:9" ht="10.5" x14ac:dyDescent="0.25">
      <c r="A11" s="17" t="s">
        <v>211</v>
      </c>
    </row>
    <row r="12" spans="1:9" ht="10.5" x14ac:dyDescent="0.25">
      <c r="A12" s="17" t="s">
        <v>212</v>
      </c>
      <c r="B12" s="17"/>
      <c r="C12" s="38" t="s">
        <v>214</v>
      </c>
      <c r="D12" s="18" t="s">
        <v>213</v>
      </c>
    </row>
    <row r="13" spans="1:9" x14ac:dyDescent="0.2">
      <c r="A13" s="10" t="s">
        <v>486</v>
      </c>
      <c r="C13" s="39">
        <v>1037.4884999999999</v>
      </c>
      <c r="D13" s="39">
        <v>1053.7532000000001</v>
      </c>
    </row>
    <row r="14" spans="1:9" x14ac:dyDescent="0.2">
      <c r="A14" s="10" t="s">
        <v>550</v>
      </c>
      <c r="C14" s="39">
        <v>1000</v>
      </c>
      <c r="D14" s="39">
        <v>1000</v>
      </c>
    </row>
    <row r="15" spans="1:9" x14ac:dyDescent="0.2">
      <c r="A15" s="10" t="s">
        <v>730</v>
      </c>
      <c r="C15" s="39">
        <v>1000.6518</v>
      </c>
      <c r="D15" s="39">
        <v>1000.4081</v>
      </c>
    </row>
    <row r="16" spans="1:9" x14ac:dyDescent="0.2">
      <c r="A16" s="10" t="s">
        <v>489</v>
      </c>
      <c r="C16" s="39">
        <v>1037.8916999999999</v>
      </c>
      <c r="D16" s="39">
        <v>1054.5583999999999</v>
      </c>
    </row>
    <row r="17" spans="1:5" x14ac:dyDescent="0.2">
      <c r="A17" s="10" t="s">
        <v>551</v>
      </c>
      <c r="C17" s="39">
        <v>1000</v>
      </c>
      <c r="D17" s="39">
        <v>1000</v>
      </c>
    </row>
    <row r="18" spans="1:5" x14ac:dyDescent="0.2">
      <c r="A18" s="10" t="s">
        <v>731</v>
      </c>
      <c r="C18" s="39">
        <v>1000.6574000000001</v>
      </c>
      <c r="D18" s="39">
        <v>1000.414</v>
      </c>
    </row>
    <row r="20" spans="1:5" ht="10.5" x14ac:dyDescent="0.25">
      <c r="A20" s="17" t="s">
        <v>226</v>
      </c>
    </row>
    <row r="21" spans="1:5" ht="10.5" x14ac:dyDescent="0.25">
      <c r="A21" s="147" t="s">
        <v>401</v>
      </c>
      <c r="B21" s="148"/>
      <c r="C21" s="145" t="s">
        <v>402</v>
      </c>
      <c r="D21" s="146"/>
    </row>
    <row r="22" spans="1:5" ht="10.5" x14ac:dyDescent="0.25">
      <c r="A22" s="147"/>
      <c r="B22" s="148"/>
      <c r="C22" s="43" t="s">
        <v>403</v>
      </c>
      <c r="D22" s="44" t="s">
        <v>404</v>
      </c>
    </row>
    <row r="23" spans="1:5" x14ac:dyDescent="0.2">
      <c r="A23" s="141" t="s">
        <v>550</v>
      </c>
      <c r="B23" s="142"/>
      <c r="C23" s="45">
        <v>12.977518229999999</v>
      </c>
      <c r="D23" s="45">
        <v>12.629588649</v>
      </c>
    </row>
    <row r="24" spans="1:5" x14ac:dyDescent="0.2">
      <c r="A24" s="141" t="s">
        <v>730</v>
      </c>
      <c r="B24" s="142"/>
      <c r="C24" s="45">
        <v>13.114899002</v>
      </c>
      <c r="D24" s="45">
        <v>12.730877980000001</v>
      </c>
    </row>
    <row r="25" spans="1:5" x14ac:dyDescent="0.2">
      <c r="A25" s="141" t="s">
        <v>551</v>
      </c>
      <c r="B25" s="142"/>
      <c r="C25" s="45">
        <v>13.293129437999999</v>
      </c>
      <c r="D25" s="45">
        <v>12.938477528</v>
      </c>
    </row>
    <row r="26" spans="1:5" x14ac:dyDescent="0.2">
      <c r="A26" s="141" t="s">
        <v>731</v>
      </c>
      <c r="B26" s="142"/>
      <c r="C26" s="45">
        <v>13.398310970000001</v>
      </c>
      <c r="D26" s="45">
        <v>13.010326603999999</v>
      </c>
    </row>
    <row r="28" spans="1:5" ht="10.5" x14ac:dyDescent="0.25">
      <c r="A28" s="17" t="s">
        <v>228</v>
      </c>
      <c r="D28" s="41">
        <v>8.21917808219178E-3</v>
      </c>
      <c r="E28" s="15" t="s">
        <v>229</v>
      </c>
    </row>
    <row r="29" spans="1:5" ht="55.5" customHeight="1" x14ac:dyDescent="0.2">
      <c r="A29" s="139" t="s">
        <v>1596</v>
      </c>
      <c r="B29" s="140"/>
      <c r="C29" s="140"/>
      <c r="D29" s="140"/>
      <c r="E29" s="140"/>
    </row>
  </sheetData>
  <mergeCells count="9">
    <mergeCell ref="A29:E29"/>
    <mergeCell ref="A25:B25"/>
    <mergeCell ref="A26:B26"/>
    <mergeCell ref="A1:F1"/>
    <mergeCell ref="C21:D21"/>
    <mergeCell ref="A21:B21"/>
    <mergeCell ref="A22:B22"/>
    <mergeCell ref="A23:B23"/>
    <mergeCell ref="A24:B24"/>
  </mergeCells>
  <conditionalFormatting sqref="F2:F3 F5:F65536">
    <cfRule type="cellIs" dxfId="9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9"/>
  <sheetViews>
    <sheetView workbookViewId="0">
      <selection sqref="A1:F1"/>
    </sheetView>
  </sheetViews>
  <sheetFormatPr defaultColWidth="9.1796875" defaultRowHeight="10" x14ac:dyDescent="0.2"/>
  <cols>
    <col min="1" max="1" width="38.7265625" style="10" bestFit="1" customWidth="1"/>
    <col min="2" max="2" width="54.179687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5.26953125" style="10" bestFit="1" customWidth="1"/>
    <col min="8" max="16384" width="9.1796875" style="10"/>
  </cols>
  <sheetData>
    <row r="1" spans="1:6" s="1" customFormat="1" ht="14" x14ac:dyDescent="0.25">
      <c r="A1" s="143" t="s">
        <v>17</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687</v>
      </c>
      <c r="B7" s="26" t="s">
        <v>686</v>
      </c>
      <c r="C7" s="26" t="s">
        <v>166</v>
      </c>
      <c r="D7" s="30">
        <v>750</v>
      </c>
      <c r="E7" s="28">
        <v>8040.165</v>
      </c>
      <c r="F7" s="29">
        <v>7.7187500969444702</v>
      </c>
    </row>
    <row r="8" spans="1:6" x14ac:dyDescent="0.2">
      <c r="A8" s="26" t="s">
        <v>689</v>
      </c>
      <c r="B8" s="26" t="s">
        <v>688</v>
      </c>
      <c r="C8" s="26" t="s">
        <v>166</v>
      </c>
      <c r="D8" s="30">
        <v>400</v>
      </c>
      <c r="E8" s="28">
        <v>4402.232</v>
      </c>
      <c r="F8" s="29">
        <v>4.2262476798389104</v>
      </c>
    </row>
    <row r="9" spans="1:6" x14ac:dyDescent="0.2">
      <c r="A9" s="26" t="s">
        <v>633</v>
      </c>
      <c r="B9" s="26" t="s">
        <v>632</v>
      </c>
      <c r="C9" s="26" t="s">
        <v>166</v>
      </c>
      <c r="D9" s="30">
        <v>400</v>
      </c>
      <c r="E9" s="28">
        <v>4246.5280000000002</v>
      </c>
      <c r="F9" s="29">
        <v>4.0767681274796503</v>
      </c>
    </row>
    <row r="10" spans="1:6" x14ac:dyDescent="0.2">
      <c r="A10" s="26" t="s">
        <v>691</v>
      </c>
      <c r="B10" s="26" t="s">
        <v>690</v>
      </c>
      <c r="C10" s="26" t="s">
        <v>166</v>
      </c>
      <c r="D10" s="30">
        <v>350</v>
      </c>
      <c r="E10" s="28">
        <v>3707.4555</v>
      </c>
      <c r="F10" s="29">
        <v>3.5592456746897998</v>
      </c>
    </row>
    <row r="11" spans="1:6" x14ac:dyDescent="0.2">
      <c r="A11" s="26" t="s">
        <v>693</v>
      </c>
      <c r="B11" s="26" t="s">
        <v>692</v>
      </c>
      <c r="C11" s="26" t="s">
        <v>166</v>
      </c>
      <c r="D11" s="30">
        <v>300</v>
      </c>
      <c r="E11" s="28">
        <v>3340.701</v>
      </c>
      <c r="F11" s="29">
        <v>3.20715261037709</v>
      </c>
    </row>
    <row r="12" spans="1:6" x14ac:dyDescent="0.2">
      <c r="A12" s="26" t="s">
        <v>695</v>
      </c>
      <c r="B12" s="26" t="s">
        <v>694</v>
      </c>
      <c r="C12" s="26" t="s">
        <v>589</v>
      </c>
      <c r="D12" s="30">
        <v>300</v>
      </c>
      <c r="E12" s="28">
        <v>3152.9520000000002</v>
      </c>
      <c r="F12" s="29">
        <v>3.02690909398765</v>
      </c>
    </row>
    <row r="13" spans="1:6" x14ac:dyDescent="0.2">
      <c r="A13" s="26" t="s">
        <v>604</v>
      </c>
      <c r="B13" s="26" t="s">
        <v>603</v>
      </c>
      <c r="C13" s="26" t="s">
        <v>605</v>
      </c>
      <c r="D13" s="30">
        <v>300</v>
      </c>
      <c r="E13" s="28">
        <v>3106.1219999999998</v>
      </c>
      <c r="F13" s="29">
        <v>2.9819511774473999</v>
      </c>
    </row>
    <row r="14" spans="1:6" x14ac:dyDescent="0.2">
      <c r="A14" s="26" t="s">
        <v>697</v>
      </c>
      <c r="B14" s="26" t="s">
        <v>696</v>
      </c>
      <c r="C14" s="26" t="s">
        <v>166</v>
      </c>
      <c r="D14" s="30">
        <v>250</v>
      </c>
      <c r="E14" s="28">
        <v>2866.1</v>
      </c>
      <c r="F14" s="29">
        <v>2.7515243347434502</v>
      </c>
    </row>
    <row r="15" spans="1:6" x14ac:dyDescent="0.2">
      <c r="A15" s="26" t="s">
        <v>699</v>
      </c>
      <c r="B15" s="26" t="s">
        <v>698</v>
      </c>
      <c r="C15" s="26" t="s">
        <v>589</v>
      </c>
      <c r="D15" s="30">
        <v>250</v>
      </c>
      <c r="E15" s="28">
        <v>2623.0050000000001</v>
      </c>
      <c r="F15" s="29">
        <v>2.5181473387717599</v>
      </c>
    </row>
    <row r="16" spans="1:6" x14ac:dyDescent="0.2">
      <c r="A16" s="26" t="s">
        <v>701</v>
      </c>
      <c r="B16" s="26" t="s">
        <v>700</v>
      </c>
      <c r="C16" s="26" t="s">
        <v>166</v>
      </c>
      <c r="D16" s="30">
        <v>250</v>
      </c>
      <c r="E16" s="28">
        <v>2611.23</v>
      </c>
      <c r="F16" s="29">
        <v>2.50684305802733</v>
      </c>
    </row>
    <row r="17" spans="1:6" x14ac:dyDescent="0.2">
      <c r="A17" s="26" t="s">
        <v>629</v>
      </c>
      <c r="B17" s="26" t="s">
        <v>628</v>
      </c>
      <c r="C17" s="26" t="s">
        <v>166</v>
      </c>
      <c r="D17" s="30">
        <v>210</v>
      </c>
      <c r="E17" s="28">
        <v>2347.7601</v>
      </c>
      <c r="F17" s="29">
        <v>2.25390567226883</v>
      </c>
    </row>
    <row r="18" spans="1:6" x14ac:dyDescent="0.2">
      <c r="A18" s="26" t="s">
        <v>647</v>
      </c>
      <c r="B18" s="26" t="s">
        <v>646</v>
      </c>
      <c r="C18" s="26" t="s">
        <v>166</v>
      </c>
      <c r="D18" s="30">
        <v>200</v>
      </c>
      <c r="E18" s="28">
        <v>2103.8960000000002</v>
      </c>
      <c r="F18" s="29">
        <v>2.01979032195994</v>
      </c>
    </row>
    <row r="19" spans="1:6" x14ac:dyDescent="0.2">
      <c r="A19" s="26" t="s">
        <v>703</v>
      </c>
      <c r="B19" s="26" t="s">
        <v>702</v>
      </c>
      <c r="C19" s="26" t="s">
        <v>539</v>
      </c>
      <c r="D19" s="30">
        <v>750</v>
      </c>
      <c r="E19" s="28">
        <v>1634.193</v>
      </c>
      <c r="F19" s="29">
        <v>1.5688642431064499</v>
      </c>
    </row>
    <row r="20" spans="1:6" x14ac:dyDescent="0.2">
      <c r="A20" s="26" t="s">
        <v>635</v>
      </c>
      <c r="B20" s="26" t="s">
        <v>634</v>
      </c>
      <c r="C20" s="26" t="s">
        <v>166</v>
      </c>
      <c r="D20" s="30">
        <v>150</v>
      </c>
      <c r="E20" s="28">
        <v>1563.0585000000001</v>
      </c>
      <c r="F20" s="29">
        <v>1.50057342708823</v>
      </c>
    </row>
    <row r="21" spans="1:6" x14ac:dyDescent="0.2">
      <c r="A21" s="26" t="s">
        <v>643</v>
      </c>
      <c r="B21" s="26" t="s">
        <v>642</v>
      </c>
      <c r="C21" s="26" t="s">
        <v>589</v>
      </c>
      <c r="D21" s="30">
        <v>120</v>
      </c>
      <c r="E21" s="28">
        <v>1264.8576</v>
      </c>
      <c r="F21" s="29">
        <v>1.2142934532588501</v>
      </c>
    </row>
    <row r="22" spans="1:6" x14ac:dyDescent="0.2">
      <c r="A22" s="26" t="s">
        <v>627</v>
      </c>
      <c r="B22" s="26" t="s">
        <v>626</v>
      </c>
      <c r="C22" s="26" t="s">
        <v>166</v>
      </c>
      <c r="D22" s="30">
        <v>120</v>
      </c>
      <c r="E22" s="28">
        <v>1247.2704000000001</v>
      </c>
      <c r="F22" s="29">
        <v>1.1974093219375399</v>
      </c>
    </row>
    <row r="23" spans="1:6" x14ac:dyDescent="0.2">
      <c r="A23" s="26" t="s">
        <v>649</v>
      </c>
      <c r="B23" s="26" t="s">
        <v>648</v>
      </c>
      <c r="C23" s="26" t="s">
        <v>166</v>
      </c>
      <c r="D23" s="30">
        <v>110</v>
      </c>
      <c r="E23" s="28">
        <v>1220.5435</v>
      </c>
      <c r="F23" s="29">
        <v>1.1717508607037199</v>
      </c>
    </row>
    <row r="24" spans="1:6" x14ac:dyDescent="0.2">
      <c r="A24" s="26" t="s">
        <v>705</v>
      </c>
      <c r="B24" s="26" t="s">
        <v>704</v>
      </c>
      <c r="C24" s="26" t="s">
        <v>166</v>
      </c>
      <c r="D24" s="30">
        <v>100</v>
      </c>
      <c r="E24" s="28">
        <v>1093.75</v>
      </c>
      <c r="F24" s="29">
        <v>1.0500260776405701</v>
      </c>
    </row>
    <row r="25" spans="1:6" x14ac:dyDescent="0.2">
      <c r="A25" s="26" t="s">
        <v>707</v>
      </c>
      <c r="B25" s="26" t="s">
        <v>706</v>
      </c>
      <c r="C25" s="26" t="s">
        <v>589</v>
      </c>
      <c r="D25" s="30">
        <v>500</v>
      </c>
      <c r="E25" s="28">
        <v>1055.806</v>
      </c>
      <c r="F25" s="29">
        <v>1.01359893296401</v>
      </c>
    </row>
    <row r="26" spans="1:6" x14ac:dyDescent="0.2">
      <c r="A26" s="26" t="s">
        <v>709</v>
      </c>
      <c r="B26" s="26" t="s">
        <v>708</v>
      </c>
      <c r="C26" s="26" t="s">
        <v>589</v>
      </c>
      <c r="D26" s="30">
        <v>500</v>
      </c>
      <c r="E26" s="28">
        <v>1039.521</v>
      </c>
      <c r="F26" s="29">
        <v>0.99796494469029096</v>
      </c>
    </row>
    <row r="27" spans="1:6" x14ac:dyDescent="0.2">
      <c r="A27" s="26" t="s">
        <v>711</v>
      </c>
      <c r="B27" s="26" t="s">
        <v>710</v>
      </c>
      <c r="C27" s="26" t="s">
        <v>150</v>
      </c>
      <c r="D27" s="30">
        <v>100</v>
      </c>
      <c r="E27" s="28">
        <v>1039.0260000000001</v>
      </c>
      <c r="F27" s="29">
        <v>0.99748973288829601</v>
      </c>
    </row>
    <row r="28" spans="1:6" x14ac:dyDescent="0.2">
      <c r="A28" s="26" t="s">
        <v>713</v>
      </c>
      <c r="B28" s="26" t="s">
        <v>712</v>
      </c>
      <c r="C28" s="26" t="s">
        <v>166</v>
      </c>
      <c r="D28" s="30">
        <v>80</v>
      </c>
      <c r="E28" s="28">
        <v>895.42880000000002</v>
      </c>
      <c r="F28" s="29">
        <v>0.85963299718437003</v>
      </c>
    </row>
    <row r="29" spans="1:6" x14ac:dyDescent="0.2">
      <c r="A29" s="26" t="s">
        <v>565</v>
      </c>
      <c r="B29" s="26" t="s">
        <v>564</v>
      </c>
      <c r="C29" s="26" t="s">
        <v>166</v>
      </c>
      <c r="D29" s="30">
        <v>70</v>
      </c>
      <c r="E29" s="28">
        <v>785.11300000000006</v>
      </c>
      <c r="F29" s="29">
        <v>0.75372719898936902</v>
      </c>
    </row>
    <row r="30" spans="1:6" x14ac:dyDescent="0.2">
      <c r="A30" s="26" t="s">
        <v>715</v>
      </c>
      <c r="B30" s="26" t="s">
        <v>714</v>
      </c>
      <c r="C30" s="26" t="s">
        <v>166</v>
      </c>
      <c r="D30" s="30">
        <v>50</v>
      </c>
      <c r="E30" s="28">
        <v>564.81100000000004</v>
      </c>
      <c r="F30" s="29">
        <v>0.54223202645782798</v>
      </c>
    </row>
    <row r="31" spans="1:6" x14ac:dyDescent="0.2">
      <c r="A31" s="26" t="s">
        <v>717</v>
      </c>
      <c r="B31" s="26" t="s">
        <v>716</v>
      </c>
      <c r="C31" s="26" t="s">
        <v>166</v>
      </c>
      <c r="D31" s="30">
        <v>50</v>
      </c>
      <c r="E31" s="28">
        <v>563.27149999999995</v>
      </c>
      <c r="F31" s="29">
        <v>0.54075406975243101</v>
      </c>
    </row>
    <row r="32" spans="1:6" x14ac:dyDescent="0.2">
      <c r="A32" s="26" t="s">
        <v>719</v>
      </c>
      <c r="B32" s="26" t="s">
        <v>718</v>
      </c>
      <c r="C32" s="26" t="s">
        <v>166</v>
      </c>
      <c r="D32" s="30">
        <v>50</v>
      </c>
      <c r="E32" s="28">
        <v>554.82050000000004</v>
      </c>
      <c r="F32" s="29">
        <v>0.53264090826018795</v>
      </c>
    </row>
    <row r="33" spans="1:9" x14ac:dyDescent="0.2">
      <c r="A33" s="26" t="s">
        <v>631</v>
      </c>
      <c r="B33" s="26" t="s">
        <v>630</v>
      </c>
      <c r="C33" s="26" t="s">
        <v>166</v>
      </c>
      <c r="D33" s="30">
        <v>50</v>
      </c>
      <c r="E33" s="28">
        <v>548.96450000000004</v>
      </c>
      <c r="F33" s="29">
        <v>0.52701900863901097</v>
      </c>
    </row>
    <row r="34" spans="1:9" x14ac:dyDescent="0.2">
      <c r="A34" s="26" t="s">
        <v>607</v>
      </c>
      <c r="B34" s="26" t="s">
        <v>606</v>
      </c>
      <c r="C34" s="26" t="s">
        <v>598</v>
      </c>
      <c r="D34" s="30">
        <v>50</v>
      </c>
      <c r="E34" s="28">
        <v>519.76350000000002</v>
      </c>
      <c r="F34" s="29">
        <v>0.49898535241667302</v>
      </c>
    </row>
    <row r="35" spans="1:9" x14ac:dyDescent="0.2">
      <c r="A35" s="26" t="s">
        <v>609</v>
      </c>
      <c r="B35" s="26" t="s">
        <v>608</v>
      </c>
      <c r="C35" s="26" t="s">
        <v>166</v>
      </c>
      <c r="D35" s="30">
        <v>32</v>
      </c>
      <c r="E35" s="28">
        <v>336.98016000000001</v>
      </c>
      <c r="F35" s="29">
        <v>0.32350898802056499</v>
      </c>
    </row>
    <row r="36" spans="1:9" x14ac:dyDescent="0.2">
      <c r="A36" s="26" t="s">
        <v>721</v>
      </c>
      <c r="B36" s="26" t="s">
        <v>720</v>
      </c>
      <c r="C36" s="26" t="s">
        <v>722</v>
      </c>
      <c r="D36" s="30">
        <v>27</v>
      </c>
      <c r="E36" s="28">
        <v>293.57585999999998</v>
      </c>
      <c r="F36" s="29">
        <v>0.28183982515726402</v>
      </c>
    </row>
    <row r="37" spans="1:9" x14ac:dyDescent="0.2">
      <c r="A37" s="26" t="s">
        <v>675</v>
      </c>
      <c r="B37" s="26" t="s">
        <v>674</v>
      </c>
      <c r="C37" s="26" t="s">
        <v>166</v>
      </c>
      <c r="D37" s="30">
        <v>23</v>
      </c>
      <c r="E37" s="28">
        <v>237.25903</v>
      </c>
      <c r="F37" s="29">
        <v>0.22777432562807501</v>
      </c>
    </row>
    <row r="38" spans="1:9" x14ac:dyDescent="0.2">
      <c r="A38" s="26" t="s">
        <v>724</v>
      </c>
      <c r="B38" s="26" t="s">
        <v>723</v>
      </c>
      <c r="C38" s="26" t="s">
        <v>589</v>
      </c>
      <c r="D38" s="30">
        <v>5</v>
      </c>
      <c r="E38" s="28">
        <v>52.667000000000002</v>
      </c>
      <c r="F38" s="29">
        <v>5.0561575708430603E-2</v>
      </c>
    </row>
    <row r="39" spans="1:9" x14ac:dyDescent="0.2">
      <c r="A39" s="26" t="s">
        <v>671</v>
      </c>
      <c r="B39" s="26" t="s">
        <v>670</v>
      </c>
      <c r="C39" s="26" t="s">
        <v>166</v>
      </c>
      <c r="D39" s="30">
        <v>2</v>
      </c>
      <c r="E39" s="28">
        <v>20.473500000000001</v>
      </c>
      <c r="F39" s="29">
        <v>1.9655048137667899E-2</v>
      </c>
    </row>
    <row r="40" spans="1:9" x14ac:dyDescent="0.2">
      <c r="A40" s="26" t="s">
        <v>726</v>
      </c>
      <c r="B40" s="26" t="s">
        <v>725</v>
      </c>
      <c r="C40" s="26" t="s">
        <v>166</v>
      </c>
      <c r="D40" s="30">
        <v>1</v>
      </c>
      <c r="E40" s="28">
        <v>10.301310000000001</v>
      </c>
      <c r="F40" s="29">
        <v>9.8895032081002098E-3</v>
      </c>
    </row>
    <row r="41" spans="1:9" ht="10.5" x14ac:dyDescent="0.25">
      <c r="A41" s="25" t="s">
        <v>167</v>
      </c>
      <c r="B41" s="25"/>
      <c r="C41" s="25"/>
      <c r="D41" s="31"/>
      <c r="E41" s="32">
        <f>SUM(E6:E40)</f>
        <v>59089.602260000014</v>
      </c>
      <c r="F41" s="33">
        <f>SUM(F6:F40)</f>
        <v>56.727427008374185</v>
      </c>
      <c r="G41" s="17"/>
      <c r="H41" s="17"/>
      <c r="I41" s="17"/>
    </row>
    <row r="42" spans="1:9" x14ac:dyDescent="0.2">
      <c r="A42" s="26"/>
      <c r="B42" s="26"/>
      <c r="C42" s="26"/>
      <c r="D42" s="27"/>
      <c r="E42" s="28"/>
      <c r="F42" s="29"/>
    </row>
    <row r="43" spans="1:9" ht="10.5" x14ac:dyDescent="0.25">
      <c r="A43" s="25" t="s">
        <v>413</v>
      </c>
      <c r="B43" s="26"/>
      <c r="C43" s="26"/>
      <c r="D43" s="27"/>
      <c r="E43" s="28"/>
      <c r="F43" s="29"/>
    </row>
    <row r="44" spans="1:9" ht="10.5" x14ac:dyDescent="0.25">
      <c r="A44" s="25" t="s">
        <v>414</v>
      </c>
      <c r="B44" s="26"/>
      <c r="C44" s="26"/>
      <c r="D44" s="27"/>
      <c r="E44" s="28"/>
      <c r="F44" s="29"/>
    </row>
    <row r="45" spans="1:9" x14ac:dyDescent="0.2">
      <c r="A45" s="26" t="s">
        <v>728</v>
      </c>
      <c r="B45" s="26" t="s">
        <v>727</v>
      </c>
      <c r="C45" s="26" t="s">
        <v>420</v>
      </c>
      <c r="D45" s="30">
        <v>5000</v>
      </c>
      <c r="E45" s="28">
        <v>4998.22</v>
      </c>
      <c r="F45" s="29">
        <v>4.7984103696316902</v>
      </c>
    </row>
    <row r="46" spans="1:9" x14ac:dyDescent="0.2">
      <c r="A46" s="26" t="s">
        <v>422</v>
      </c>
      <c r="B46" s="26" t="s">
        <v>421</v>
      </c>
      <c r="C46" s="26" t="s">
        <v>420</v>
      </c>
      <c r="D46" s="30">
        <v>5000</v>
      </c>
      <c r="E46" s="28">
        <v>4842.6149999999998</v>
      </c>
      <c r="F46" s="29">
        <v>4.64902585963282</v>
      </c>
    </row>
    <row r="47" spans="1:9" x14ac:dyDescent="0.2">
      <c r="A47" s="26" t="s">
        <v>424</v>
      </c>
      <c r="B47" s="26" t="s">
        <v>423</v>
      </c>
      <c r="C47" s="26" t="s">
        <v>425</v>
      </c>
      <c r="D47" s="30">
        <v>1000</v>
      </c>
      <c r="E47" s="28">
        <v>995.97799999999995</v>
      </c>
      <c r="F47" s="29">
        <v>0.95616262652004702</v>
      </c>
    </row>
    <row r="48" spans="1:9" ht="10.5" x14ac:dyDescent="0.25">
      <c r="A48" s="25" t="s">
        <v>167</v>
      </c>
      <c r="B48" s="25"/>
      <c r="C48" s="25"/>
      <c r="D48" s="31"/>
      <c r="E48" s="32">
        <f>SUM(E44:E47)</f>
        <v>10836.812999999998</v>
      </c>
      <c r="F48" s="33">
        <f>SUM(F44:F47)</f>
        <v>10.403598855784558</v>
      </c>
      <c r="G48" s="17"/>
      <c r="H48" s="17"/>
      <c r="I48" s="17"/>
    </row>
    <row r="49" spans="1:9" x14ac:dyDescent="0.2">
      <c r="A49" s="26"/>
      <c r="B49" s="26"/>
      <c r="C49" s="26"/>
      <c r="D49" s="27"/>
      <c r="E49" s="28"/>
      <c r="F49" s="29"/>
    </row>
    <row r="50" spans="1:9" ht="10.5" x14ac:dyDescent="0.25">
      <c r="A50" s="25" t="s">
        <v>434</v>
      </c>
      <c r="B50" s="26"/>
      <c r="C50" s="26"/>
      <c r="D50" s="27"/>
      <c r="E50" s="28"/>
      <c r="F50" s="29"/>
    </row>
    <row r="51" spans="1:9" x14ac:dyDescent="0.2">
      <c r="A51" s="26" t="s">
        <v>679</v>
      </c>
      <c r="B51" s="26" t="s">
        <v>678</v>
      </c>
      <c r="C51" s="26" t="s">
        <v>425</v>
      </c>
      <c r="D51" s="30">
        <v>300</v>
      </c>
      <c r="E51" s="28">
        <v>1482.4545000000001</v>
      </c>
      <c r="F51" s="29">
        <v>1.42319166529428</v>
      </c>
    </row>
    <row r="52" spans="1:9" ht="10.5" x14ac:dyDescent="0.25">
      <c r="A52" s="25" t="s">
        <v>167</v>
      </c>
      <c r="B52" s="25"/>
      <c r="C52" s="25"/>
      <c r="D52" s="31"/>
      <c r="E52" s="32">
        <f>SUM(E50:E51)</f>
        <v>1482.4545000000001</v>
      </c>
      <c r="F52" s="33">
        <f>SUM(F50:F51)</f>
        <v>1.42319166529428</v>
      </c>
      <c r="G52" s="17"/>
      <c r="H52" s="17"/>
      <c r="I52" s="17"/>
    </row>
    <row r="53" spans="1:9" x14ac:dyDescent="0.2">
      <c r="A53" s="26"/>
      <c r="B53" s="26"/>
      <c r="C53" s="26"/>
      <c r="D53" s="27"/>
      <c r="E53" s="28"/>
      <c r="F53" s="29"/>
    </row>
    <row r="54" spans="1:9" ht="10.5" x14ac:dyDescent="0.25">
      <c r="A54" s="25" t="s">
        <v>523</v>
      </c>
      <c r="B54" s="26"/>
      <c r="C54" s="26"/>
      <c r="D54" s="27"/>
      <c r="E54" s="28"/>
      <c r="F54" s="29"/>
    </row>
    <row r="55" spans="1:9" x14ac:dyDescent="0.2">
      <c r="A55" s="26" t="s">
        <v>525</v>
      </c>
      <c r="B55" s="26" t="s">
        <v>524</v>
      </c>
      <c r="C55" s="26" t="s">
        <v>526</v>
      </c>
      <c r="D55" s="30">
        <v>9500000</v>
      </c>
      <c r="E55" s="28">
        <v>9465.61</v>
      </c>
      <c r="F55" s="29">
        <v>9.0872112829946303</v>
      </c>
    </row>
    <row r="56" spans="1:9" x14ac:dyDescent="0.2">
      <c r="A56" s="26" t="s">
        <v>545</v>
      </c>
      <c r="B56" s="26" t="s">
        <v>544</v>
      </c>
      <c r="C56" s="26" t="s">
        <v>526</v>
      </c>
      <c r="D56" s="30">
        <v>5500000</v>
      </c>
      <c r="E56" s="28">
        <v>5826.4470000000001</v>
      </c>
      <c r="F56" s="29">
        <v>5.5935280365629101</v>
      </c>
    </row>
    <row r="57" spans="1:9" x14ac:dyDescent="0.2">
      <c r="A57" s="26" t="s">
        <v>729</v>
      </c>
      <c r="B57" s="26" t="s">
        <v>1569</v>
      </c>
      <c r="C57" s="26" t="s">
        <v>526</v>
      </c>
      <c r="D57" s="30">
        <v>5000000</v>
      </c>
      <c r="E57" s="28">
        <v>5226.4399999999996</v>
      </c>
      <c r="F57" s="29">
        <v>5.0175070109474698</v>
      </c>
    </row>
    <row r="58" spans="1:9" x14ac:dyDescent="0.2">
      <c r="A58" s="26" t="s">
        <v>530</v>
      </c>
      <c r="B58" s="26" t="s">
        <v>529</v>
      </c>
      <c r="C58" s="26" t="s">
        <v>526</v>
      </c>
      <c r="D58" s="30">
        <v>2500000</v>
      </c>
      <c r="E58" s="28">
        <v>2723.89</v>
      </c>
      <c r="F58" s="29">
        <v>2.6149993441137198</v>
      </c>
    </row>
    <row r="59" spans="1:9" x14ac:dyDescent="0.2">
      <c r="A59" s="26" t="s">
        <v>528</v>
      </c>
      <c r="B59" s="26" t="s">
        <v>527</v>
      </c>
      <c r="C59" s="26" t="s">
        <v>526</v>
      </c>
      <c r="D59" s="30">
        <v>2500000</v>
      </c>
      <c r="E59" s="28">
        <v>2505.9475000000002</v>
      </c>
      <c r="F59" s="29">
        <v>2.4057693478383499</v>
      </c>
    </row>
    <row r="60" spans="1:9" x14ac:dyDescent="0.2">
      <c r="A60" s="26" t="s">
        <v>547</v>
      </c>
      <c r="B60" s="26" t="s">
        <v>546</v>
      </c>
      <c r="C60" s="26" t="s">
        <v>526</v>
      </c>
      <c r="D60" s="30">
        <v>1500000</v>
      </c>
      <c r="E60" s="28">
        <v>1514.4359999999999</v>
      </c>
      <c r="F60" s="29">
        <v>1.4538946678104501</v>
      </c>
    </row>
    <row r="61" spans="1:9" ht="10.5" x14ac:dyDescent="0.25">
      <c r="A61" s="25" t="s">
        <v>167</v>
      </c>
      <c r="B61" s="25"/>
      <c r="C61" s="25"/>
      <c r="D61" s="31"/>
      <c r="E61" s="32">
        <f>SUM(E55:E60)</f>
        <v>27262.770499999999</v>
      </c>
      <c r="F61" s="33">
        <f>SUM(F55:F60)</f>
        <v>26.172909690267531</v>
      </c>
      <c r="G61" s="17"/>
      <c r="H61" s="17"/>
      <c r="I61" s="17"/>
    </row>
    <row r="62" spans="1:9" x14ac:dyDescent="0.2">
      <c r="A62" s="26"/>
      <c r="B62" s="26"/>
      <c r="C62" s="26"/>
      <c r="D62" s="27"/>
      <c r="E62" s="28"/>
      <c r="F62" s="29"/>
    </row>
    <row r="63" spans="1:9" ht="10.5" x14ac:dyDescent="0.25">
      <c r="A63" s="25" t="s">
        <v>205</v>
      </c>
      <c r="B63" s="25"/>
      <c r="C63" s="25"/>
      <c r="D63" s="31"/>
      <c r="E63" s="32">
        <f>E41+E48+E52+E61</f>
        <v>98671.640260000015</v>
      </c>
      <c r="F63" s="33">
        <f>F41+F48+F52+F61</f>
        <v>94.727127219720558</v>
      </c>
      <c r="G63" s="17"/>
      <c r="H63" s="17"/>
      <c r="I63" s="17"/>
    </row>
    <row r="64" spans="1:9" ht="10.5" x14ac:dyDescent="0.25">
      <c r="A64" s="25"/>
      <c r="B64" s="25"/>
      <c r="C64" s="25"/>
      <c r="D64" s="31"/>
      <c r="E64" s="32"/>
      <c r="F64" s="33"/>
      <c r="G64" s="17"/>
      <c r="H64" s="17"/>
      <c r="I64" s="17"/>
    </row>
    <row r="65" spans="1:9" ht="10.5" x14ac:dyDescent="0.25">
      <c r="A65" s="25" t="s">
        <v>207</v>
      </c>
      <c r="B65" s="25"/>
      <c r="C65" s="25"/>
      <c r="D65" s="31"/>
      <c r="E65" s="32">
        <f>E67-(E41+E48+E52+E61)</f>
        <v>5492.4394033999852</v>
      </c>
      <c r="F65" s="33">
        <f>F67-(F41+F48+F52+F61)</f>
        <v>5.2728727802794424</v>
      </c>
      <c r="G65" s="17"/>
      <c r="H65" s="17"/>
      <c r="I65" s="17"/>
    </row>
    <row r="66" spans="1:9" ht="10.5" x14ac:dyDescent="0.25">
      <c r="A66" s="25"/>
      <c r="B66" s="25"/>
      <c r="C66" s="25"/>
      <c r="D66" s="31"/>
      <c r="E66" s="32"/>
      <c r="F66" s="33"/>
      <c r="G66" s="17"/>
      <c r="H66" s="17"/>
      <c r="I66" s="17"/>
    </row>
    <row r="67" spans="1:9" ht="10.5" x14ac:dyDescent="0.25">
      <c r="A67" s="34" t="s">
        <v>206</v>
      </c>
      <c r="B67" s="34"/>
      <c r="C67" s="34"/>
      <c r="D67" s="35"/>
      <c r="E67" s="36">
        <v>104164.0796634</v>
      </c>
      <c r="F67" s="37">
        <v>100</v>
      </c>
      <c r="G67" s="17"/>
      <c r="H67" s="17"/>
      <c r="I67" s="17"/>
    </row>
    <row r="69" spans="1:9" ht="10.5" x14ac:dyDescent="0.25">
      <c r="A69" s="17" t="s">
        <v>468</v>
      </c>
    </row>
    <row r="70" spans="1:9" ht="10.5" x14ac:dyDescent="0.25">
      <c r="A70" s="17" t="s">
        <v>209</v>
      </c>
    </row>
    <row r="72" spans="1:9" ht="10.5" x14ac:dyDescent="0.25">
      <c r="A72" s="17" t="s">
        <v>210</v>
      </c>
    </row>
    <row r="73" spans="1:9" ht="10.5" x14ac:dyDescent="0.25">
      <c r="A73" s="17" t="s">
        <v>211</v>
      </c>
    </row>
    <row r="74" spans="1:9" ht="10.5" x14ac:dyDescent="0.25">
      <c r="A74" s="17" t="s">
        <v>212</v>
      </c>
      <c r="B74" s="17"/>
      <c r="C74" s="38" t="s">
        <v>214</v>
      </c>
      <c r="D74" s="18" t="s">
        <v>213</v>
      </c>
    </row>
    <row r="75" spans="1:9" x14ac:dyDescent="0.2">
      <c r="A75" s="10" t="s">
        <v>486</v>
      </c>
      <c r="C75" s="39">
        <v>16.139600000000002</v>
      </c>
      <c r="D75" s="39">
        <v>17.0869</v>
      </c>
    </row>
    <row r="76" spans="1:9" x14ac:dyDescent="0.2">
      <c r="A76" s="10" t="s">
        <v>520</v>
      </c>
      <c r="C76" s="39">
        <v>10.738200000000001</v>
      </c>
      <c r="D76" s="39">
        <v>10.9503</v>
      </c>
    </row>
    <row r="77" spans="1:9" x14ac:dyDescent="0.2">
      <c r="A77" s="10" t="s">
        <v>489</v>
      </c>
      <c r="C77" s="39">
        <v>16.5608</v>
      </c>
      <c r="D77" s="39">
        <v>17.561499999999999</v>
      </c>
    </row>
    <row r="78" spans="1:9" x14ac:dyDescent="0.2">
      <c r="A78" s="10" t="s">
        <v>521</v>
      </c>
      <c r="C78" s="39">
        <v>11.0733</v>
      </c>
      <c r="D78" s="39">
        <v>11.3255</v>
      </c>
    </row>
    <row r="80" spans="1:9" ht="10.5" x14ac:dyDescent="0.25">
      <c r="A80" s="17" t="s">
        <v>226</v>
      </c>
    </row>
    <row r="81" spans="1:6" ht="10.5" x14ac:dyDescent="0.25">
      <c r="A81" s="147" t="s">
        <v>401</v>
      </c>
      <c r="B81" s="148"/>
      <c r="C81" s="145" t="s">
        <v>402</v>
      </c>
      <c r="D81" s="146"/>
    </row>
    <row r="82" spans="1:6" ht="10.5" x14ac:dyDescent="0.25">
      <c r="A82" s="147"/>
      <c r="B82" s="148"/>
      <c r="C82" s="43" t="s">
        <v>403</v>
      </c>
      <c r="D82" s="44" t="s">
        <v>404</v>
      </c>
    </row>
    <row r="83" spans="1:6" x14ac:dyDescent="0.2">
      <c r="A83" s="141" t="s">
        <v>520</v>
      </c>
      <c r="B83" s="142"/>
      <c r="C83" s="45">
        <v>0.32906454000000002</v>
      </c>
      <c r="D83" s="45">
        <v>0.31840448199999999</v>
      </c>
    </row>
    <row r="84" spans="1:6" x14ac:dyDescent="0.2">
      <c r="A84" s="141" t="s">
        <v>521</v>
      </c>
      <c r="B84" s="142"/>
      <c r="C84" s="45">
        <v>0.32906454000000002</v>
      </c>
      <c r="D84" s="45">
        <v>0.31840448199999999</v>
      </c>
    </row>
    <row r="86" spans="1:6" ht="10.5" x14ac:dyDescent="0.25">
      <c r="A86" s="17" t="s">
        <v>228</v>
      </c>
      <c r="D86" s="41">
        <v>4.9641115379726033</v>
      </c>
      <c r="E86" s="15" t="s">
        <v>229</v>
      </c>
    </row>
    <row r="87" spans="1:6" s="78" customFormat="1" ht="46.5" customHeight="1" x14ac:dyDescent="0.2">
      <c r="A87" s="139" t="s">
        <v>1596</v>
      </c>
      <c r="B87" s="140"/>
      <c r="C87" s="140"/>
      <c r="D87" s="140"/>
      <c r="E87" s="140"/>
      <c r="F87" s="83"/>
    </row>
    <row r="89" spans="1:6" ht="10.5" x14ac:dyDescent="0.25">
      <c r="A89" s="17" t="s">
        <v>230</v>
      </c>
      <c r="D89" s="103" t="s">
        <v>227</v>
      </c>
    </row>
  </sheetData>
  <mergeCells count="7">
    <mergeCell ref="A87:E87"/>
    <mergeCell ref="A84:B84"/>
    <mergeCell ref="A1:F1"/>
    <mergeCell ref="C81:D81"/>
    <mergeCell ref="A81:B81"/>
    <mergeCell ref="A82:B82"/>
    <mergeCell ref="A83:B83"/>
  </mergeCells>
  <conditionalFormatting sqref="F2:F3 F5:F65537">
    <cfRule type="cellIs" dxfId="9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9"/>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6" style="10" bestFit="1" customWidth="1"/>
    <col min="8" max="16384" width="9.1796875" style="10"/>
  </cols>
  <sheetData>
    <row r="1" spans="1:6" s="1" customFormat="1" ht="14" x14ac:dyDescent="0.25">
      <c r="A1" s="143" t="s">
        <v>16</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597</v>
      </c>
      <c r="B7" s="26" t="s">
        <v>596</v>
      </c>
      <c r="C7" s="26" t="s">
        <v>598</v>
      </c>
      <c r="D7" s="30">
        <v>550</v>
      </c>
      <c r="E7" s="28">
        <v>6005.4719999999998</v>
      </c>
      <c r="F7" s="29">
        <v>7.1785767697091103</v>
      </c>
    </row>
    <row r="8" spans="1:6" x14ac:dyDescent="0.2">
      <c r="A8" s="26" t="s">
        <v>600</v>
      </c>
      <c r="B8" s="26" t="s">
        <v>599</v>
      </c>
      <c r="C8" s="26" t="s">
        <v>166</v>
      </c>
      <c r="D8" s="30">
        <v>500</v>
      </c>
      <c r="E8" s="28">
        <v>5336.26</v>
      </c>
      <c r="F8" s="29">
        <v>6.3786413579362202</v>
      </c>
    </row>
    <row r="9" spans="1:6" x14ac:dyDescent="0.2">
      <c r="A9" s="26" t="s">
        <v>602</v>
      </c>
      <c r="B9" s="26" t="s">
        <v>601</v>
      </c>
      <c r="C9" s="26" t="s">
        <v>166</v>
      </c>
      <c r="D9" s="30">
        <v>500</v>
      </c>
      <c r="E9" s="28">
        <v>5153.32</v>
      </c>
      <c r="F9" s="29">
        <v>6.15996598416866</v>
      </c>
    </row>
    <row r="10" spans="1:6" x14ac:dyDescent="0.2">
      <c r="A10" s="26" t="s">
        <v>604</v>
      </c>
      <c r="B10" s="26" t="s">
        <v>603</v>
      </c>
      <c r="C10" s="26" t="s">
        <v>605</v>
      </c>
      <c r="D10" s="30">
        <v>430</v>
      </c>
      <c r="E10" s="28">
        <v>4452.1081999999997</v>
      </c>
      <c r="F10" s="29">
        <v>5.3217799534743397</v>
      </c>
    </row>
    <row r="11" spans="1:6" x14ac:dyDescent="0.2">
      <c r="A11" s="26" t="s">
        <v>234</v>
      </c>
      <c r="B11" s="26" t="s">
        <v>233</v>
      </c>
      <c r="C11" s="26" t="s">
        <v>139</v>
      </c>
      <c r="D11" s="30">
        <v>500</v>
      </c>
      <c r="E11" s="28">
        <v>4331.54</v>
      </c>
      <c r="F11" s="29">
        <v>5.1776600442173102</v>
      </c>
    </row>
    <row r="12" spans="1:6" x14ac:dyDescent="0.2">
      <c r="A12" s="26" t="s">
        <v>285</v>
      </c>
      <c r="B12" s="26" t="s">
        <v>284</v>
      </c>
      <c r="C12" s="26" t="s">
        <v>286</v>
      </c>
      <c r="D12" s="30">
        <v>310</v>
      </c>
      <c r="E12" s="28">
        <v>3116.7244999999998</v>
      </c>
      <c r="F12" s="29">
        <v>3.7255433200393302</v>
      </c>
    </row>
    <row r="13" spans="1:6" x14ac:dyDescent="0.2">
      <c r="A13" s="26" t="s">
        <v>607</v>
      </c>
      <c r="B13" s="26" t="s">
        <v>606</v>
      </c>
      <c r="C13" s="26" t="s">
        <v>598</v>
      </c>
      <c r="D13" s="30">
        <v>264</v>
      </c>
      <c r="E13" s="28">
        <v>2744.3512799999999</v>
      </c>
      <c r="F13" s="29">
        <v>3.2804309713756798</v>
      </c>
    </row>
    <row r="14" spans="1:6" x14ac:dyDescent="0.2">
      <c r="A14" s="26" t="s">
        <v>609</v>
      </c>
      <c r="B14" s="26" t="s">
        <v>608</v>
      </c>
      <c r="C14" s="26" t="s">
        <v>166</v>
      </c>
      <c r="D14" s="30">
        <v>250</v>
      </c>
      <c r="E14" s="28">
        <v>2632.6574999999998</v>
      </c>
      <c r="F14" s="29">
        <v>3.1469190052173199</v>
      </c>
    </row>
    <row r="15" spans="1:6" x14ac:dyDescent="0.2">
      <c r="A15" s="26" t="s">
        <v>611</v>
      </c>
      <c r="B15" s="26" t="s">
        <v>610</v>
      </c>
      <c r="C15" s="26" t="s">
        <v>166</v>
      </c>
      <c r="D15" s="30">
        <v>250</v>
      </c>
      <c r="E15" s="28">
        <v>2623.33</v>
      </c>
      <c r="F15" s="29">
        <v>3.1357694777831</v>
      </c>
    </row>
    <row r="16" spans="1:6" x14ac:dyDescent="0.2">
      <c r="A16" s="26" t="s">
        <v>613</v>
      </c>
      <c r="B16" s="26" t="s">
        <v>612</v>
      </c>
      <c r="C16" s="26" t="s">
        <v>166</v>
      </c>
      <c r="D16" s="30">
        <v>250</v>
      </c>
      <c r="E16" s="28">
        <v>2617.2350000000001</v>
      </c>
      <c r="F16" s="29">
        <v>3.1284838846754499</v>
      </c>
    </row>
    <row r="17" spans="1:6" x14ac:dyDescent="0.2">
      <c r="A17" s="26" t="s">
        <v>615</v>
      </c>
      <c r="B17" s="26" t="s">
        <v>614</v>
      </c>
      <c r="C17" s="26" t="s">
        <v>166</v>
      </c>
      <c r="D17" s="30">
        <v>250</v>
      </c>
      <c r="E17" s="28">
        <v>2616.7975000000001</v>
      </c>
      <c r="F17" s="29">
        <v>3.1279609237263699</v>
      </c>
    </row>
    <row r="18" spans="1:6" x14ac:dyDescent="0.2">
      <c r="A18" s="26" t="s">
        <v>617</v>
      </c>
      <c r="B18" s="26" t="s">
        <v>616</v>
      </c>
      <c r="C18" s="26" t="s">
        <v>166</v>
      </c>
      <c r="D18" s="30">
        <v>250</v>
      </c>
      <c r="E18" s="28">
        <v>2602.9450000000002</v>
      </c>
      <c r="F18" s="29">
        <v>3.1114024859046001</v>
      </c>
    </row>
    <row r="19" spans="1:6" x14ac:dyDescent="0.2">
      <c r="A19" s="26" t="s">
        <v>619</v>
      </c>
      <c r="B19" s="26" t="s">
        <v>618</v>
      </c>
      <c r="C19" s="26" t="s">
        <v>166</v>
      </c>
      <c r="D19" s="30">
        <v>250</v>
      </c>
      <c r="E19" s="28">
        <v>2584.5475000000001</v>
      </c>
      <c r="F19" s="29">
        <v>3.08941123090904</v>
      </c>
    </row>
    <row r="20" spans="1:6" x14ac:dyDescent="0.2">
      <c r="A20" s="26" t="s">
        <v>621</v>
      </c>
      <c r="B20" s="26" t="s">
        <v>620</v>
      </c>
      <c r="C20" s="26" t="s">
        <v>166</v>
      </c>
      <c r="D20" s="30">
        <v>250</v>
      </c>
      <c r="E20" s="28">
        <v>2560.5875000000001</v>
      </c>
      <c r="F20" s="29">
        <v>3.0607709009895498</v>
      </c>
    </row>
    <row r="21" spans="1:6" x14ac:dyDescent="0.2">
      <c r="A21" s="26" t="s">
        <v>623</v>
      </c>
      <c r="B21" s="26" t="s">
        <v>622</v>
      </c>
      <c r="C21" s="26" t="s">
        <v>166</v>
      </c>
      <c r="D21" s="30">
        <v>200</v>
      </c>
      <c r="E21" s="28">
        <v>2130.9279999999999</v>
      </c>
      <c r="F21" s="29">
        <v>2.54718200979418</v>
      </c>
    </row>
    <row r="22" spans="1:6" x14ac:dyDescent="0.2">
      <c r="A22" s="26" t="s">
        <v>625</v>
      </c>
      <c r="B22" s="26" t="s">
        <v>624</v>
      </c>
      <c r="C22" s="26" t="s">
        <v>166</v>
      </c>
      <c r="D22" s="30">
        <v>166</v>
      </c>
      <c r="E22" s="28">
        <v>2043.5346999999999</v>
      </c>
      <c r="F22" s="29">
        <v>2.4427173626843102</v>
      </c>
    </row>
    <row r="23" spans="1:6" x14ac:dyDescent="0.2">
      <c r="A23" s="26" t="s">
        <v>165</v>
      </c>
      <c r="B23" s="26" t="s">
        <v>164</v>
      </c>
      <c r="C23" s="26" t="s">
        <v>166</v>
      </c>
      <c r="D23" s="30">
        <v>187</v>
      </c>
      <c r="E23" s="28">
        <v>1975.06969</v>
      </c>
      <c r="F23" s="29">
        <v>2.3608784447235101</v>
      </c>
    </row>
    <row r="24" spans="1:6" x14ac:dyDescent="0.2">
      <c r="A24" s="26" t="s">
        <v>627</v>
      </c>
      <c r="B24" s="26" t="s">
        <v>626</v>
      </c>
      <c r="C24" s="26" t="s">
        <v>166</v>
      </c>
      <c r="D24" s="30">
        <v>180</v>
      </c>
      <c r="E24" s="28">
        <v>1870.9056</v>
      </c>
      <c r="F24" s="29">
        <v>2.2363670130305602</v>
      </c>
    </row>
    <row r="25" spans="1:6" x14ac:dyDescent="0.2">
      <c r="A25" s="26" t="s">
        <v>629</v>
      </c>
      <c r="B25" s="26" t="s">
        <v>628</v>
      </c>
      <c r="C25" s="26" t="s">
        <v>166</v>
      </c>
      <c r="D25" s="30">
        <v>140</v>
      </c>
      <c r="E25" s="28">
        <v>1565.1733999999999</v>
      </c>
      <c r="F25" s="29">
        <v>1.8709132953757199</v>
      </c>
    </row>
    <row r="26" spans="1:6" x14ac:dyDescent="0.2">
      <c r="A26" s="26" t="s">
        <v>338</v>
      </c>
      <c r="B26" s="26" t="s">
        <v>337</v>
      </c>
      <c r="C26" s="26" t="s">
        <v>166</v>
      </c>
      <c r="D26" s="30">
        <v>118</v>
      </c>
      <c r="E26" s="28">
        <v>1226.5993800000001</v>
      </c>
      <c r="F26" s="29">
        <v>1.4662024591918199</v>
      </c>
    </row>
    <row r="27" spans="1:6" x14ac:dyDescent="0.2">
      <c r="A27" s="26" t="s">
        <v>631</v>
      </c>
      <c r="B27" s="26" t="s">
        <v>630</v>
      </c>
      <c r="C27" s="26" t="s">
        <v>166</v>
      </c>
      <c r="D27" s="30">
        <v>100</v>
      </c>
      <c r="E27" s="28">
        <v>1097.9290000000001</v>
      </c>
      <c r="F27" s="29">
        <v>1.31239769566654</v>
      </c>
    </row>
    <row r="28" spans="1:6" x14ac:dyDescent="0.2">
      <c r="A28" s="26" t="s">
        <v>633</v>
      </c>
      <c r="B28" s="26" t="s">
        <v>632</v>
      </c>
      <c r="C28" s="26" t="s">
        <v>166</v>
      </c>
      <c r="D28" s="30">
        <v>100</v>
      </c>
      <c r="E28" s="28">
        <v>1061.6320000000001</v>
      </c>
      <c r="F28" s="29">
        <v>1.2690104646528699</v>
      </c>
    </row>
    <row r="29" spans="1:6" x14ac:dyDescent="0.2">
      <c r="A29" s="26" t="s">
        <v>635</v>
      </c>
      <c r="B29" s="26" t="s">
        <v>634</v>
      </c>
      <c r="C29" s="26" t="s">
        <v>166</v>
      </c>
      <c r="D29" s="30">
        <v>100</v>
      </c>
      <c r="E29" s="28">
        <v>1042.039</v>
      </c>
      <c r="F29" s="29">
        <v>1.24559018150962</v>
      </c>
    </row>
    <row r="30" spans="1:6" x14ac:dyDescent="0.2">
      <c r="A30" s="26" t="s">
        <v>637</v>
      </c>
      <c r="B30" s="26" t="s">
        <v>636</v>
      </c>
      <c r="C30" s="26" t="s">
        <v>166</v>
      </c>
      <c r="D30" s="30">
        <v>76</v>
      </c>
      <c r="E30" s="28">
        <v>804.68115999999998</v>
      </c>
      <c r="F30" s="29">
        <v>0.96186702430692905</v>
      </c>
    </row>
    <row r="31" spans="1:6" x14ac:dyDescent="0.2">
      <c r="A31" s="26" t="s">
        <v>639</v>
      </c>
      <c r="B31" s="26" t="s">
        <v>638</v>
      </c>
      <c r="C31" s="26" t="s">
        <v>539</v>
      </c>
      <c r="D31" s="30">
        <v>59</v>
      </c>
      <c r="E31" s="28">
        <v>620.82808999999997</v>
      </c>
      <c r="F31" s="29">
        <v>0.74210022207361503</v>
      </c>
    </row>
    <row r="32" spans="1:6" x14ac:dyDescent="0.2">
      <c r="A32" s="26" t="s">
        <v>641</v>
      </c>
      <c r="B32" s="26" t="s">
        <v>640</v>
      </c>
      <c r="C32" s="26" t="s">
        <v>589</v>
      </c>
      <c r="D32" s="30">
        <v>50</v>
      </c>
      <c r="E32" s="28">
        <v>567.01700000000005</v>
      </c>
      <c r="F32" s="29">
        <v>0.67777771076614002</v>
      </c>
    </row>
    <row r="33" spans="1:6" x14ac:dyDescent="0.2">
      <c r="A33" s="26" t="s">
        <v>643</v>
      </c>
      <c r="B33" s="26" t="s">
        <v>642</v>
      </c>
      <c r="C33" s="26" t="s">
        <v>589</v>
      </c>
      <c r="D33" s="30">
        <v>53</v>
      </c>
      <c r="E33" s="28">
        <v>558.64544000000001</v>
      </c>
      <c r="F33" s="29">
        <v>0.667770855993988</v>
      </c>
    </row>
    <row r="34" spans="1:6" x14ac:dyDescent="0.2">
      <c r="A34" s="26" t="s">
        <v>645</v>
      </c>
      <c r="B34" s="26" t="s">
        <v>644</v>
      </c>
      <c r="C34" s="26" t="s">
        <v>589</v>
      </c>
      <c r="D34" s="30">
        <v>44</v>
      </c>
      <c r="E34" s="28">
        <v>543.05416000000002</v>
      </c>
      <c r="F34" s="29">
        <v>0.64913398608300799</v>
      </c>
    </row>
    <row r="35" spans="1:6" x14ac:dyDescent="0.2">
      <c r="A35" s="26" t="s">
        <v>647</v>
      </c>
      <c r="B35" s="26" t="s">
        <v>646</v>
      </c>
      <c r="C35" s="26" t="s">
        <v>166</v>
      </c>
      <c r="D35" s="30">
        <v>50</v>
      </c>
      <c r="E35" s="28">
        <v>525.97400000000005</v>
      </c>
      <c r="F35" s="29">
        <v>0.62871739937693105</v>
      </c>
    </row>
    <row r="36" spans="1:6" x14ac:dyDescent="0.2">
      <c r="A36" s="26" t="s">
        <v>565</v>
      </c>
      <c r="B36" s="26" t="s">
        <v>564</v>
      </c>
      <c r="C36" s="26" t="s">
        <v>166</v>
      </c>
      <c r="D36" s="30">
        <v>45</v>
      </c>
      <c r="E36" s="28">
        <v>504.71550000000002</v>
      </c>
      <c r="F36" s="29">
        <v>0.603306278609261</v>
      </c>
    </row>
    <row r="37" spans="1:6" x14ac:dyDescent="0.2">
      <c r="A37" s="26" t="s">
        <v>649</v>
      </c>
      <c r="B37" s="26" t="s">
        <v>648</v>
      </c>
      <c r="C37" s="26" t="s">
        <v>166</v>
      </c>
      <c r="D37" s="30">
        <v>45</v>
      </c>
      <c r="E37" s="28">
        <v>499.31324999999998</v>
      </c>
      <c r="F37" s="29">
        <v>0.59684875681011496</v>
      </c>
    </row>
    <row r="38" spans="1:6" x14ac:dyDescent="0.2">
      <c r="A38" s="26" t="s">
        <v>651</v>
      </c>
      <c r="B38" s="26" t="s">
        <v>650</v>
      </c>
      <c r="C38" s="26" t="s">
        <v>166</v>
      </c>
      <c r="D38" s="30">
        <v>31</v>
      </c>
      <c r="E38" s="28">
        <v>370.99466999999999</v>
      </c>
      <c r="F38" s="29">
        <v>0.443464513654863</v>
      </c>
    </row>
    <row r="39" spans="1:6" x14ac:dyDescent="0.2">
      <c r="A39" s="26" t="s">
        <v>653</v>
      </c>
      <c r="B39" s="26" t="s">
        <v>652</v>
      </c>
      <c r="C39" s="26" t="s">
        <v>589</v>
      </c>
      <c r="D39" s="30">
        <v>34</v>
      </c>
      <c r="E39" s="28">
        <v>361.28433999999999</v>
      </c>
      <c r="F39" s="29">
        <v>0.43185737447176298</v>
      </c>
    </row>
    <row r="40" spans="1:6" x14ac:dyDescent="0.2">
      <c r="A40" s="26" t="s">
        <v>655</v>
      </c>
      <c r="B40" s="26" t="s">
        <v>654</v>
      </c>
      <c r="C40" s="26" t="s">
        <v>166</v>
      </c>
      <c r="D40" s="30">
        <v>33</v>
      </c>
      <c r="E40" s="28">
        <v>340.33989000000003</v>
      </c>
      <c r="F40" s="29">
        <v>0.40682165001507897</v>
      </c>
    </row>
    <row r="41" spans="1:6" x14ac:dyDescent="0.2">
      <c r="A41" s="26" t="s">
        <v>657</v>
      </c>
      <c r="B41" s="26" t="s">
        <v>656</v>
      </c>
      <c r="C41" s="26" t="s">
        <v>166</v>
      </c>
      <c r="D41" s="30">
        <v>23</v>
      </c>
      <c r="E41" s="28">
        <v>232.88466</v>
      </c>
      <c r="F41" s="29">
        <v>0.278376189298294</v>
      </c>
    </row>
    <row r="42" spans="1:6" x14ac:dyDescent="0.2">
      <c r="A42" s="26" t="s">
        <v>659</v>
      </c>
      <c r="B42" s="26" t="s">
        <v>658</v>
      </c>
      <c r="C42" s="26" t="s">
        <v>166</v>
      </c>
      <c r="D42" s="30">
        <v>20</v>
      </c>
      <c r="E42" s="28">
        <v>224.5574</v>
      </c>
      <c r="F42" s="29">
        <v>0.26842228805767099</v>
      </c>
    </row>
    <row r="43" spans="1:6" x14ac:dyDescent="0.2">
      <c r="A43" s="26" t="s">
        <v>331</v>
      </c>
      <c r="B43" s="26" t="s">
        <v>330</v>
      </c>
      <c r="C43" s="26" t="s">
        <v>166</v>
      </c>
      <c r="D43" s="30">
        <v>20</v>
      </c>
      <c r="E43" s="28">
        <v>201.00960000000001</v>
      </c>
      <c r="F43" s="29">
        <v>0.24027467700266</v>
      </c>
    </row>
    <row r="44" spans="1:6" x14ac:dyDescent="0.2">
      <c r="A44" s="26" t="s">
        <v>661</v>
      </c>
      <c r="B44" s="26" t="s">
        <v>660</v>
      </c>
      <c r="C44" s="26" t="s">
        <v>589</v>
      </c>
      <c r="D44" s="30">
        <v>19</v>
      </c>
      <c r="E44" s="28">
        <v>198.79053999999999</v>
      </c>
      <c r="F44" s="29">
        <v>0.23762214734860601</v>
      </c>
    </row>
    <row r="45" spans="1:6" x14ac:dyDescent="0.2">
      <c r="A45" s="26" t="s">
        <v>663</v>
      </c>
      <c r="B45" s="26" t="s">
        <v>662</v>
      </c>
      <c r="C45" s="26" t="s">
        <v>166</v>
      </c>
      <c r="D45" s="30">
        <v>15</v>
      </c>
      <c r="E45" s="28">
        <v>185.4537</v>
      </c>
      <c r="F45" s="29">
        <v>0.22168009819654499</v>
      </c>
    </row>
    <row r="46" spans="1:6" x14ac:dyDescent="0.2">
      <c r="A46" s="26" t="s">
        <v>665</v>
      </c>
      <c r="B46" s="26" t="s">
        <v>664</v>
      </c>
      <c r="C46" s="26" t="s">
        <v>589</v>
      </c>
      <c r="D46" s="30">
        <v>70</v>
      </c>
      <c r="E46" s="28">
        <v>72.837450000000004</v>
      </c>
      <c r="F46" s="29">
        <v>8.7065467382888298E-2</v>
      </c>
    </row>
    <row r="47" spans="1:6" x14ac:dyDescent="0.2">
      <c r="A47" s="26" t="s">
        <v>667</v>
      </c>
      <c r="B47" s="26" t="s">
        <v>666</v>
      </c>
      <c r="C47" s="26" t="s">
        <v>539</v>
      </c>
      <c r="D47" s="30">
        <v>3</v>
      </c>
      <c r="E47" s="28">
        <v>36.676679999999998</v>
      </c>
      <c r="F47" s="29">
        <v>4.3841077443713801E-2</v>
      </c>
    </row>
    <row r="48" spans="1:6" x14ac:dyDescent="0.2">
      <c r="A48" s="26" t="s">
        <v>669</v>
      </c>
      <c r="B48" s="26" t="s">
        <v>668</v>
      </c>
      <c r="C48" s="26" t="s">
        <v>166</v>
      </c>
      <c r="D48" s="30">
        <v>3</v>
      </c>
      <c r="E48" s="28">
        <v>31.2135</v>
      </c>
      <c r="F48" s="29">
        <v>3.73107236202775E-2</v>
      </c>
    </row>
    <row r="49" spans="1:9" x14ac:dyDescent="0.2">
      <c r="A49" s="26" t="s">
        <v>671</v>
      </c>
      <c r="B49" s="26" t="s">
        <v>670</v>
      </c>
      <c r="C49" s="26" t="s">
        <v>166</v>
      </c>
      <c r="D49" s="30">
        <v>3</v>
      </c>
      <c r="E49" s="28">
        <v>30.710249999999998</v>
      </c>
      <c r="F49" s="29">
        <v>3.6709169111430198E-2</v>
      </c>
    </row>
    <row r="50" spans="1:9" x14ac:dyDescent="0.2">
      <c r="A50" s="26" t="s">
        <v>673</v>
      </c>
      <c r="B50" s="26" t="s">
        <v>672</v>
      </c>
      <c r="C50" s="26" t="s">
        <v>166</v>
      </c>
      <c r="D50" s="30">
        <v>2</v>
      </c>
      <c r="E50" s="28">
        <v>20.935099999999998</v>
      </c>
      <c r="F50" s="29">
        <v>2.50245480341157E-2</v>
      </c>
    </row>
    <row r="51" spans="1:9" x14ac:dyDescent="0.2">
      <c r="A51" s="26" t="s">
        <v>675</v>
      </c>
      <c r="B51" s="26" t="s">
        <v>674</v>
      </c>
      <c r="C51" s="26" t="s">
        <v>166</v>
      </c>
      <c r="D51" s="30">
        <v>2</v>
      </c>
      <c r="E51" s="28">
        <v>20.631219999999999</v>
      </c>
      <c r="F51" s="29">
        <v>2.46613083239349E-2</v>
      </c>
    </row>
    <row r="52" spans="1:9" ht="10.5" x14ac:dyDescent="0.25">
      <c r="A52" s="25" t="s">
        <v>167</v>
      </c>
      <c r="B52" s="25"/>
      <c r="C52" s="25"/>
      <c r="D52" s="31"/>
      <c r="E52" s="32">
        <f>SUM(E6:E51)</f>
        <v>70344.234350000013</v>
      </c>
      <c r="F52" s="33">
        <f>SUM(F6:F51)</f>
        <v>84.085228702736998</v>
      </c>
      <c r="G52" s="17"/>
      <c r="H52" s="17"/>
      <c r="I52" s="17"/>
    </row>
    <row r="53" spans="1:9" x14ac:dyDescent="0.2">
      <c r="A53" s="26"/>
      <c r="B53" s="26"/>
      <c r="C53" s="26"/>
      <c r="D53" s="27"/>
      <c r="E53" s="28"/>
      <c r="F53" s="29"/>
    </row>
    <row r="54" spans="1:9" ht="10.5" x14ac:dyDescent="0.25">
      <c r="A54" s="25" t="s">
        <v>168</v>
      </c>
      <c r="B54" s="26"/>
      <c r="C54" s="26"/>
      <c r="D54" s="27"/>
      <c r="E54" s="28"/>
      <c r="F54" s="29"/>
    </row>
    <row r="55" spans="1:9" x14ac:dyDescent="0.2">
      <c r="A55" s="26" t="s">
        <v>677</v>
      </c>
      <c r="B55" s="26" t="s">
        <v>676</v>
      </c>
      <c r="C55" s="26" t="s">
        <v>166</v>
      </c>
      <c r="D55" s="30">
        <v>49</v>
      </c>
      <c r="E55" s="28">
        <v>499.00963000000002</v>
      </c>
      <c r="F55" s="29">
        <v>0.59648582788815596</v>
      </c>
    </row>
    <row r="56" spans="1:9" ht="10.5" x14ac:dyDescent="0.25">
      <c r="A56" s="25" t="s">
        <v>167</v>
      </c>
      <c r="B56" s="25"/>
      <c r="C56" s="25"/>
      <c r="D56" s="31"/>
      <c r="E56" s="32">
        <f>SUM(E54:E55)</f>
        <v>499.00963000000002</v>
      </c>
      <c r="F56" s="33">
        <f>SUM(F54:F55)</f>
        <v>0.59648582788815596</v>
      </c>
      <c r="G56" s="17"/>
      <c r="H56" s="17"/>
      <c r="I56" s="17"/>
    </row>
    <row r="57" spans="1:9" x14ac:dyDescent="0.2">
      <c r="A57" s="26"/>
      <c r="B57" s="26"/>
      <c r="C57" s="26"/>
      <c r="D57" s="27"/>
      <c r="E57" s="28"/>
      <c r="F57" s="29"/>
    </row>
    <row r="58" spans="1:9" ht="10.5" x14ac:dyDescent="0.25">
      <c r="A58" s="25" t="s">
        <v>413</v>
      </c>
      <c r="B58" s="26"/>
      <c r="C58" s="26"/>
      <c r="D58" s="27"/>
      <c r="E58" s="28"/>
      <c r="F58" s="29"/>
    </row>
    <row r="59" spans="1:9" ht="10.5" x14ac:dyDescent="0.25">
      <c r="A59" s="25" t="s">
        <v>434</v>
      </c>
      <c r="B59" s="26"/>
      <c r="C59" s="26"/>
      <c r="D59" s="27"/>
      <c r="E59" s="28"/>
      <c r="F59" s="29"/>
    </row>
    <row r="60" spans="1:9" x14ac:dyDescent="0.2">
      <c r="A60" s="26" t="s">
        <v>679</v>
      </c>
      <c r="B60" s="26" t="s">
        <v>678</v>
      </c>
      <c r="C60" s="26" t="s">
        <v>425</v>
      </c>
      <c r="D60" s="30">
        <v>200</v>
      </c>
      <c r="E60" s="28">
        <v>988.303</v>
      </c>
      <c r="F60" s="29">
        <v>1.1813574282310899</v>
      </c>
    </row>
    <row r="61" spans="1:9" ht="10.5" x14ac:dyDescent="0.25">
      <c r="A61" s="25" t="s">
        <v>167</v>
      </c>
      <c r="B61" s="25"/>
      <c r="C61" s="25"/>
      <c r="D61" s="31"/>
      <c r="E61" s="32">
        <f>SUM(E59:E60)</f>
        <v>988.303</v>
      </c>
      <c r="F61" s="33">
        <f>SUM(F59:F60)</f>
        <v>1.1813574282310899</v>
      </c>
      <c r="G61" s="17"/>
      <c r="H61" s="17"/>
      <c r="I61" s="17"/>
    </row>
    <row r="62" spans="1:9" x14ac:dyDescent="0.2">
      <c r="A62" s="26"/>
      <c r="B62" s="26"/>
      <c r="C62" s="26"/>
      <c r="D62" s="27"/>
      <c r="E62" s="28"/>
      <c r="F62" s="29"/>
    </row>
    <row r="63" spans="1:9" ht="10.5" x14ac:dyDescent="0.25">
      <c r="A63" s="25" t="s">
        <v>523</v>
      </c>
      <c r="B63" s="26"/>
      <c r="C63" s="26"/>
      <c r="D63" s="27"/>
      <c r="E63" s="28"/>
      <c r="F63" s="29"/>
    </row>
    <row r="64" spans="1:9" x14ac:dyDescent="0.2">
      <c r="A64" s="26" t="s">
        <v>681</v>
      </c>
      <c r="B64" s="26" t="s">
        <v>680</v>
      </c>
      <c r="C64" s="26" t="s">
        <v>526</v>
      </c>
      <c r="D64" s="30">
        <v>6000000</v>
      </c>
      <c r="E64" s="28">
        <v>6293.2139999999999</v>
      </c>
      <c r="F64" s="29">
        <v>7.5225260940702299</v>
      </c>
    </row>
    <row r="65" spans="1:9" x14ac:dyDescent="0.2">
      <c r="A65" s="26" t="s">
        <v>545</v>
      </c>
      <c r="B65" s="26" t="s">
        <v>544</v>
      </c>
      <c r="C65" s="26" t="s">
        <v>526</v>
      </c>
      <c r="D65" s="30">
        <v>500000</v>
      </c>
      <c r="E65" s="28">
        <v>529.67700000000002</v>
      </c>
      <c r="F65" s="29">
        <v>0.63314374084988001</v>
      </c>
    </row>
    <row r="66" spans="1:9" ht="10.5" x14ac:dyDescent="0.25">
      <c r="A66" s="25" t="s">
        <v>167</v>
      </c>
      <c r="B66" s="25"/>
      <c r="C66" s="25"/>
      <c r="D66" s="31"/>
      <c r="E66" s="32">
        <f>SUM(E64:E65)</f>
        <v>6822.8909999999996</v>
      </c>
      <c r="F66" s="33">
        <f>SUM(F64:F65)</f>
        <v>8.1556698349201096</v>
      </c>
      <c r="G66" s="17"/>
      <c r="H66" s="17"/>
      <c r="I66" s="17"/>
    </row>
    <row r="67" spans="1:9" x14ac:dyDescent="0.2">
      <c r="A67" s="26"/>
      <c r="B67" s="26"/>
      <c r="C67" s="26"/>
      <c r="D67" s="27"/>
      <c r="E67" s="28"/>
      <c r="F67" s="29"/>
    </row>
    <row r="68" spans="1:9" ht="10.5" x14ac:dyDescent="0.25">
      <c r="A68" s="25" t="s">
        <v>205</v>
      </c>
      <c r="B68" s="25"/>
      <c r="C68" s="25"/>
      <c r="D68" s="31"/>
      <c r="E68" s="32">
        <f>E52+E56+E61+E66</f>
        <v>78654.437980000017</v>
      </c>
      <c r="F68" s="33">
        <f>F52+F56+F61+F66</f>
        <v>94.018741793776357</v>
      </c>
      <c r="G68" s="17"/>
      <c r="H68" s="17"/>
      <c r="I68" s="17"/>
    </row>
    <row r="69" spans="1:9" ht="10.5" x14ac:dyDescent="0.25">
      <c r="A69" s="25"/>
      <c r="B69" s="25"/>
      <c r="C69" s="25"/>
      <c r="D69" s="31"/>
      <c r="E69" s="32"/>
      <c r="F69" s="33"/>
      <c r="G69" s="17"/>
      <c r="H69" s="17"/>
      <c r="I69" s="17"/>
    </row>
    <row r="70" spans="1:9" ht="10.5" x14ac:dyDescent="0.25">
      <c r="A70" s="25" t="s">
        <v>207</v>
      </c>
      <c r="B70" s="25"/>
      <c r="C70" s="25"/>
      <c r="D70" s="31"/>
      <c r="E70" s="32">
        <f>E72-(E52+E56+E61+E66)</f>
        <v>5003.8161928999762</v>
      </c>
      <c r="F70" s="33">
        <f>F72-(F52+F56+F61+F66)</f>
        <v>5.981258206223643</v>
      </c>
      <c r="G70" s="17"/>
      <c r="H70" s="17"/>
      <c r="I70" s="17"/>
    </row>
    <row r="71" spans="1:9" ht="10.5" x14ac:dyDescent="0.25">
      <c r="A71" s="25"/>
      <c r="B71" s="25"/>
      <c r="C71" s="25"/>
      <c r="D71" s="31"/>
      <c r="E71" s="32"/>
      <c r="F71" s="33"/>
      <c r="G71" s="17"/>
      <c r="H71" s="17"/>
      <c r="I71" s="17"/>
    </row>
    <row r="72" spans="1:9" ht="10.5" x14ac:dyDescent="0.25">
      <c r="A72" s="34" t="s">
        <v>206</v>
      </c>
      <c r="B72" s="34"/>
      <c r="C72" s="34"/>
      <c r="D72" s="35"/>
      <c r="E72" s="36">
        <v>83658.254172899993</v>
      </c>
      <c r="F72" s="37">
        <v>100</v>
      </c>
      <c r="G72" s="17"/>
      <c r="H72" s="17"/>
      <c r="I72" s="17"/>
    </row>
    <row r="74" spans="1:9" ht="10.5" x14ac:dyDescent="0.25">
      <c r="A74" s="17" t="s">
        <v>468</v>
      </c>
    </row>
    <row r="75" spans="1:9" ht="10.5" x14ac:dyDescent="0.25">
      <c r="A75" s="17" t="s">
        <v>209</v>
      </c>
    </row>
    <row r="77" spans="1:9" ht="10.5" x14ac:dyDescent="0.25">
      <c r="A77" s="17" t="s">
        <v>210</v>
      </c>
    </row>
    <row r="78" spans="1:9" ht="10.5" x14ac:dyDescent="0.25">
      <c r="A78" s="17" t="s">
        <v>211</v>
      </c>
    </row>
    <row r="79" spans="1:9" ht="10.5" x14ac:dyDescent="0.25">
      <c r="A79" s="17" t="s">
        <v>212</v>
      </c>
      <c r="B79" s="17"/>
      <c r="C79" s="38" t="s">
        <v>214</v>
      </c>
      <c r="D79" s="18" t="s">
        <v>213</v>
      </c>
    </row>
    <row r="80" spans="1:9" x14ac:dyDescent="0.2">
      <c r="A80" s="10" t="s">
        <v>486</v>
      </c>
      <c r="C80" s="39">
        <v>71.276499999999999</v>
      </c>
      <c r="D80" s="39">
        <v>74.084100000000007</v>
      </c>
    </row>
    <row r="81" spans="1:4" x14ac:dyDescent="0.2">
      <c r="A81" s="10" t="s">
        <v>487</v>
      </c>
      <c r="C81" s="39">
        <v>16.151800000000001</v>
      </c>
      <c r="D81" s="39">
        <v>16.1724</v>
      </c>
    </row>
    <row r="82" spans="1:4" x14ac:dyDescent="0.2">
      <c r="A82" s="10" t="s">
        <v>488</v>
      </c>
      <c r="C82" s="39">
        <v>13.523999999999999</v>
      </c>
      <c r="D82" s="39">
        <v>13.486499999999999</v>
      </c>
    </row>
    <row r="83" spans="1:4" x14ac:dyDescent="0.2">
      <c r="A83" s="10" t="s">
        <v>682</v>
      </c>
      <c r="C83" s="39">
        <v>14.282500000000001</v>
      </c>
      <c r="D83" s="39">
        <v>14.264900000000001</v>
      </c>
    </row>
    <row r="84" spans="1:4" x14ac:dyDescent="0.2">
      <c r="A84" s="10" t="s">
        <v>683</v>
      </c>
      <c r="C84" s="39">
        <v>18.5579</v>
      </c>
      <c r="D84" s="39">
        <v>17.8123</v>
      </c>
    </row>
    <row r="85" spans="1:4" x14ac:dyDescent="0.2">
      <c r="A85" s="10" t="s">
        <v>489</v>
      </c>
      <c r="C85" s="39">
        <v>74.9251</v>
      </c>
      <c r="D85" s="39">
        <v>78.101500000000001</v>
      </c>
    </row>
    <row r="86" spans="1:4" x14ac:dyDescent="0.2">
      <c r="A86" s="10" t="s">
        <v>490</v>
      </c>
      <c r="C86" s="39">
        <v>17.296800000000001</v>
      </c>
      <c r="D86" s="39">
        <v>17.413499999999999</v>
      </c>
    </row>
    <row r="87" spans="1:4" x14ac:dyDescent="0.2">
      <c r="A87" s="10" t="s">
        <v>491</v>
      </c>
      <c r="C87" s="39">
        <v>14.5122</v>
      </c>
      <c r="D87" s="39">
        <v>14.5573</v>
      </c>
    </row>
    <row r="88" spans="1:4" x14ac:dyDescent="0.2">
      <c r="A88" s="10" t="s">
        <v>684</v>
      </c>
      <c r="C88" s="39">
        <v>15.591699999999999</v>
      </c>
      <c r="D88" s="39">
        <v>15.6723</v>
      </c>
    </row>
    <row r="89" spans="1:4" x14ac:dyDescent="0.2">
      <c r="A89" s="10" t="s">
        <v>685</v>
      </c>
      <c r="C89" s="39">
        <v>19.868200000000002</v>
      </c>
      <c r="D89" s="39">
        <v>19.230899999999998</v>
      </c>
    </row>
    <row r="91" spans="1:4" ht="10.5" x14ac:dyDescent="0.25">
      <c r="A91" s="17" t="s">
        <v>226</v>
      </c>
    </row>
    <row r="92" spans="1:4" ht="10.5" x14ac:dyDescent="0.25">
      <c r="A92" s="147" t="s">
        <v>401</v>
      </c>
      <c r="B92" s="148"/>
      <c r="C92" s="145" t="s">
        <v>402</v>
      </c>
      <c r="D92" s="146"/>
    </row>
    <row r="93" spans="1:4" ht="10.5" x14ac:dyDescent="0.25">
      <c r="A93" s="147"/>
      <c r="B93" s="148"/>
      <c r="C93" s="43" t="s">
        <v>403</v>
      </c>
      <c r="D93" s="44" t="s">
        <v>404</v>
      </c>
    </row>
    <row r="94" spans="1:4" x14ac:dyDescent="0.2">
      <c r="A94" s="141" t="s">
        <v>487</v>
      </c>
      <c r="B94" s="142"/>
      <c r="C94" s="45">
        <v>0.51156453999999996</v>
      </c>
      <c r="D94" s="45">
        <v>0.50090448200000004</v>
      </c>
    </row>
    <row r="95" spans="1:4" x14ac:dyDescent="0.2">
      <c r="A95" s="141" t="s">
        <v>488</v>
      </c>
      <c r="B95" s="142"/>
      <c r="C95" s="45">
        <v>0.45246374249999999</v>
      </c>
      <c r="D95" s="45">
        <v>0.43780616280000001</v>
      </c>
    </row>
    <row r="96" spans="1:4" x14ac:dyDescent="0.2">
      <c r="A96" s="141" t="s">
        <v>682</v>
      </c>
      <c r="B96" s="142"/>
      <c r="C96" s="45">
        <v>0.396177485</v>
      </c>
      <c r="D96" s="45">
        <v>0.36686232549999997</v>
      </c>
    </row>
    <row r="97" spans="1:6" x14ac:dyDescent="0.2">
      <c r="A97" s="141" t="s">
        <v>683</v>
      </c>
      <c r="B97" s="142"/>
      <c r="C97" s="45">
        <v>1.0084517799999999</v>
      </c>
      <c r="D97" s="45">
        <v>0.93383137400000005</v>
      </c>
    </row>
    <row r="98" spans="1:6" x14ac:dyDescent="0.2">
      <c r="A98" s="141" t="s">
        <v>490</v>
      </c>
      <c r="B98" s="142"/>
      <c r="C98" s="45">
        <v>0.51156453999999996</v>
      </c>
      <c r="D98" s="45">
        <v>0.50090448200000004</v>
      </c>
    </row>
    <row r="99" spans="1:6" x14ac:dyDescent="0.2">
      <c r="A99" s="141" t="s">
        <v>491</v>
      </c>
      <c r="B99" s="142"/>
      <c r="C99" s="45">
        <v>0.45246374249999999</v>
      </c>
      <c r="D99" s="45">
        <v>0.43780616280000001</v>
      </c>
    </row>
    <row r="100" spans="1:6" x14ac:dyDescent="0.2">
      <c r="A100" s="141" t="s">
        <v>684</v>
      </c>
      <c r="B100" s="142"/>
      <c r="C100" s="45">
        <v>0.396177485</v>
      </c>
      <c r="D100" s="45">
        <v>0.36686232549999997</v>
      </c>
    </row>
    <row r="101" spans="1:6" x14ac:dyDescent="0.2">
      <c r="A101" s="141" t="s">
        <v>685</v>
      </c>
      <c r="B101" s="142"/>
      <c r="C101" s="45">
        <v>1.0084517799999999</v>
      </c>
      <c r="D101" s="45">
        <v>0.93383137400000005</v>
      </c>
    </row>
    <row r="103" spans="1:6" ht="10.5" x14ac:dyDescent="0.25">
      <c r="A103" s="17" t="s">
        <v>228</v>
      </c>
      <c r="D103" s="41">
        <v>2.9001595267945204</v>
      </c>
      <c r="E103" s="15" t="s">
        <v>229</v>
      </c>
    </row>
    <row r="104" spans="1:6" ht="46.5" customHeight="1" x14ac:dyDescent="0.2">
      <c r="A104" s="139" t="s">
        <v>1596</v>
      </c>
      <c r="B104" s="140"/>
      <c r="C104" s="140"/>
      <c r="D104" s="140"/>
      <c r="E104" s="140"/>
    </row>
    <row r="105" spans="1:6" s="78" customFormat="1" ht="14.5" x14ac:dyDescent="0.2">
      <c r="A105" s="137"/>
      <c r="B105" s="138"/>
      <c r="C105" s="138"/>
      <c r="D105" s="138"/>
      <c r="E105" s="138"/>
      <c r="F105" s="83"/>
    </row>
    <row r="106" spans="1:6" ht="10.5" x14ac:dyDescent="0.25">
      <c r="A106" s="17" t="s">
        <v>230</v>
      </c>
      <c r="D106" s="103" t="s">
        <v>227</v>
      </c>
    </row>
    <row r="108" spans="1:6" ht="10.5" x14ac:dyDescent="0.25">
      <c r="A108" s="84" t="s">
        <v>1571</v>
      </c>
    </row>
    <row r="109" spans="1:6" ht="14.5" x14ac:dyDescent="0.2">
      <c r="A109" s="131" t="s">
        <v>1594</v>
      </c>
    </row>
  </sheetData>
  <mergeCells count="13">
    <mergeCell ref="A1:F1"/>
    <mergeCell ref="C92:D92"/>
    <mergeCell ref="A92:B92"/>
    <mergeCell ref="A93:B93"/>
    <mergeCell ref="A94:B94"/>
    <mergeCell ref="A104:E104"/>
    <mergeCell ref="A100:B100"/>
    <mergeCell ref="A101:B101"/>
    <mergeCell ref="A95:B95"/>
    <mergeCell ref="A96:B96"/>
    <mergeCell ref="A97:B97"/>
    <mergeCell ref="A98:B98"/>
    <mergeCell ref="A99:B99"/>
  </mergeCells>
  <conditionalFormatting sqref="F2:F3 F5:F65537">
    <cfRule type="cellIs" dxfId="91" priority="1" stopIfTrue="1" operator="between">
      <formula>0.009</formula>
      <formula>-0.009</formula>
    </cfRule>
  </conditionalFormatting>
  <hyperlinks>
    <hyperlink ref="A109" r:id="rId1" xr:uid="{00000000-0004-0000-09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workbookViewId="0">
      <selection sqref="A1:F1"/>
    </sheetView>
  </sheetViews>
  <sheetFormatPr defaultColWidth="9.1796875" defaultRowHeight="10" x14ac:dyDescent="0.2"/>
  <cols>
    <col min="1" max="2" width="40.7265625" style="10" customWidth="1"/>
    <col min="3" max="3" width="15.1796875" style="10" bestFit="1" customWidth="1"/>
    <col min="4" max="4" width="14.7265625" style="11" bestFit="1" customWidth="1"/>
    <col min="5" max="5" width="23" style="15" bestFit="1" customWidth="1"/>
    <col min="6" max="6" width="13.54296875" style="16" bestFit="1" customWidth="1"/>
    <col min="7" max="7" width="5.81640625" style="10" bestFit="1" customWidth="1"/>
    <col min="8" max="16384" width="9.1796875" style="10"/>
  </cols>
  <sheetData>
    <row r="1" spans="1:9" s="1" customFormat="1" ht="14" x14ac:dyDescent="0.25">
      <c r="A1" s="143" t="s">
        <v>12</v>
      </c>
      <c r="B1" s="144"/>
      <c r="C1" s="144"/>
      <c r="D1" s="144"/>
      <c r="E1" s="144"/>
      <c r="F1" s="144"/>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208</v>
      </c>
      <c r="D4" s="106" t="s">
        <v>1</v>
      </c>
      <c r="E4" s="9" t="s">
        <v>3</v>
      </c>
      <c r="F4" s="9" t="s">
        <v>4</v>
      </c>
    </row>
    <row r="5" spans="1:9" ht="10.5" x14ac:dyDescent="0.25">
      <c r="A5" s="20" t="s">
        <v>523</v>
      </c>
      <c r="B5" s="21"/>
      <c r="C5" s="21"/>
      <c r="D5" s="22"/>
      <c r="E5" s="23"/>
      <c r="F5" s="24"/>
    </row>
    <row r="6" spans="1:9" x14ac:dyDescent="0.2">
      <c r="A6" s="26" t="s">
        <v>525</v>
      </c>
      <c r="B6" s="26" t="s">
        <v>524</v>
      </c>
      <c r="C6" s="26" t="s">
        <v>526</v>
      </c>
      <c r="D6" s="30">
        <v>17900000</v>
      </c>
      <c r="E6" s="28">
        <v>17835.202000000001</v>
      </c>
      <c r="F6" s="29">
        <v>60.385806750492897</v>
      </c>
    </row>
    <row r="7" spans="1:9" x14ac:dyDescent="0.2">
      <c r="A7" s="26" t="s">
        <v>528</v>
      </c>
      <c r="B7" s="26" t="s">
        <v>527</v>
      </c>
      <c r="C7" s="26" t="s">
        <v>526</v>
      </c>
      <c r="D7" s="30">
        <v>5300000</v>
      </c>
      <c r="E7" s="28">
        <v>5312.6086999999998</v>
      </c>
      <c r="F7" s="29">
        <v>17.987245801824301</v>
      </c>
    </row>
    <row r="8" spans="1:9" x14ac:dyDescent="0.2">
      <c r="A8" s="26" t="s">
        <v>530</v>
      </c>
      <c r="B8" s="26" t="s">
        <v>529</v>
      </c>
      <c r="C8" s="26" t="s">
        <v>526</v>
      </c>
      <c r="D8" s="30">
        <v>1900000</v>
      </c>
      <c r="E8" s="28">
        <v>2070.1563999999998</v>
      </c>
      <c r="F8" s="29">
        <v>7.00906355384683</v>
      </c>
    </row>
    <row r="9" spans="1:9" x14ac:dyDescent="0.2">
      <c r="A9" s="26" t="s">
        <v>532</v>
      </c>
      <c r="B9" s="26" t="s">
        <v>531</v>
      </c>
      <c r="C9" s="26" t="s">
        <v>526</v>
      </c>
      <c r="D9" s="30">
        <v>300000</v>
      </c>
      <c r="E9" s="28">
        <v>324.71910000000003</v>
      </c>
      <c r="F9" s="29">
        <v>1.0994226373659199</v>
      </c>
    </row>
    <row r="10" spans="1:9" ht="10.5" x14ac:dyDescent="0.25">
      <c r="A10" s="25" t="s">
        <v>167</v>
      </c>
      <c r="B10" s="25"/>
      <c r="C10" s="25"/>
      <c r="D10" s="31"/>
      <c r="E10" s="32">
        <f>SUM(E6:E9)</f>
        <v>25542.6862</v>
      </c>
      <c r="F10" s="33">
        <f>SUM(F6:F9)</f>
        <v>86.481538743529953</v>
      </c>
      <c r="G10" s="17"/>
      <c r="H10" s="17"/>
      <c r="I10" s="17"/>
    </row>
    <row r="11" spans="1:9" x14ac:dyDescent="0.2">
      <c r="A11" s="26"/>
      <c r="B11" s="26"/>
      <c r="C11" s="26"/>
      <c r="D11" s="27"/>
      <c r="E11" s="28"/>
      <c r="F11" s="29"/>
    </row>
    <row r="12" spans="1:9" ht="10.5" x14ac:dyDescent="0.25">
      <c r="A12" s="25" t="s">
        <v>205</v>
      </c>
      <c r="B12" s="25"/>
      <c r="C12" s="25"/>
      <c r="D12" s="31"/>
      <c r="E12" s="32">
        <f>E10</f>
        <v>25542.6862</v>
      </c>
      <c r="F12" s="33">
        <f>F10</f>
        <v>86.481538743529953</v>
      </c>
      <c r="G12" s="17"/>
      <c r="H12" s="17"/>
      <c r="I12" s="17"/>
    </row>
    <row r="13" spans="1:9" ht="10.5" x14ac:dyDescent="0.25">
      <c r="A13" s="25"/>
      <c r="B13" s="25"/>
      <c r="C13" s="25"/>
      <c r="D13" s="31"/>
      <c r="E13" s="32"/>
      <c r="F13" s="33"/>
      <c r="G13" s="17"/>
      <c r="H13" s="17"/>
      <c r="I13" s="17"/>
    </row>
    <row r="14" spans="1:9" ht="10.5" x14ac:dyDescent="0.25">
      <c r="A14" s="25" t="s">
        <v>207</v>
      </c>
      <c r="B14" s="25"/>
      <c r="C14" s="25"/>
      <c r="D14" s="31"/>
      <c r="E14" s="32">
        <f>E16-(E10)</f>
        <v>3992.7343892999997</v>
      </c>
      <c r="F14" s="33">
        <f>F16-(F10)</f>
        <v>13.518461256470047</v>
      </c>
      <c r="G14" s="17"/>
      <c r="H14" s="17"/>
      <c r="I14" s="17"/>
    </row>
    <row r="15" spans="1:9" ht="10.5" x14ac:dyDescent="0.25">
      <c r="A15" s="25"/>
      <c r="B15" s="25"/>
      <c r="C15" s="25"/>
      <c r="D15" s="31"/>
      <c r="E15" s="32"/>
      <c r="F15" s="33"/>
      <c r="G15" s="17"/>
      <c r="H15" s="17"/>
      <c r="I15" s="17"/>
    </row>
    <row r="16" spans="1:9" ht="10.5" x14ac:dyDescent="0.25">
      <c r="A16" s="34" t="s">
        <v>206</v>
      </c>
      <c r="B16" s="34"/>
      <c r="C16" s="34"/>
      <c r="D16" s="35"/>
      <c r="E16" s="36">
        <v>29535.4205893</v>
      </c>
      <c r="F16" s="37">
        <v>100</v>
      </c>
      <c r="G16" s="17"/>
      <c r="H16" s="17"/>
      <c r="I16" s="17"/>
    </row>
    <row r="19" spans="1:4" ht="10.5" x14ac:dyDescent="0.25">
      <c r="A19" s="17" t="s">
        <v>210</v>
      </c>
    </row>
    <row r="20" spans="1:4" ht="10.5" x14ac:dyDescent="0.25">
      <c r="A20" s="17" t="s">
        <v>211</v>
      </c>
    </row>
    <row r="21" spans="1:4" ht="10.5" x14ac:dyDescent="0.25">
      <c r="A21" s="17" t="s">
        <v>212</v>
      </c>
      <c r="B21" s="17"/>
      <c r="C21" s="38" t="s">
        <v>214</v>
      </c>
      <c r="D21" s="18" t="s">
        <v>213</v>
      </c>
    </row>
    <row r="22" spans="1:4" x14ac:dyDescent="0.2">
      <c r="A22" s="10" t="s">
        <v>533</v>
      </c>
      <c r="C22" s="39">
        <v>44.019100000000002</v>
      </c>
      <c r="D22" s="39">
        <v>47.099800000000002</v>
      </c>
    </row>
    <row r="23" spans="1:4" x14ac:dyDescent="0.2">
      <c r="A23" s="10" t="s">
        <v>534</v>
      </c>
      <c r="C23" s="39">
        <v>10.7522</v>
      </c>
      <c r="D23" s="39">
        <v>11.052300000000001</v>
      </c>
    </row>
    <row r="24" spans="1:4" x14ac:dyDescent="0.2">
      <c r="A24" s="10" t="s">
        <v>535</v>
      </c>
      <c r="C24" s="39">
        <v>46.984299999999998</v>
      </c>
      <c r="D24" s="39">
        <v>50.41</v>
      </c>
    </row>
    <row r="25" spans="1:4" x14ac:dyDescent="0.2">
      <c r="A25" s="10" t="s">
        <v>536</v>
      </c>
      <c r="C25" s="39">
        <v>11.718999999999999</v>
      </c>
      <c r="D25" s="39">
        <v>12.12</v>
      </c>
    </row>
    <row r="27" spans="1:4" ht="10.5" x14ac:dyDescent="0.25">
      <c r="A27" s="17" t="s">
        <v>226</v>
      </c>
    </row>
    <row r="28" spans="1:4" ht="10.5" x14ac:dyDescent="0.25">
      <c r="A28" s="147" t="s">
        <v>401</v>
      </c>
      <c r="B28" s="148"/>
      <c r="C28" s="145" t="s">
        <v>402</v>
      </c>
      <c r="D28" s="146"/>
    </row>
    <row r="29" spans="1:4" ht="10.5" x14ac:dyDescent="0.25">
      <c r="A29" s="147"/>
      <c r="B29" s="148"/>
      <c r="C29" s="43" t="s">
        <v>403</v>
      </c>
      <c r="D29" s="44" t="s">
        <v>404</v>
      </c>
    </row>
    <row r="30" spans="1:4" x14ac:dyDescent="0.2">
      <c r="A30" s="141" t="s">
        <v>534</v>
      </c>
      <c r="B30" s="142"/>
      <c r="C30" s="45">
        <v>0.36197099399999999</v>
      </c>
      <c r="D30" s="45">
        <v>0.35024493020000003</v>
      </c>
    </row>
    <row r="31" spans="1:4" x14ac:dyDescent="0.2">
      <c r="A31" s="141" t="s">
        <v>536</v>
      </c>
      <c r="B31" s="142"/>
      <c r="C31" s="45">
        <v>0.36197099399999999</v>
      </c>
      <c r="D31" s="45">
        <v>0.35024493020000003</v>
      </c>
    </row>
    <row r="33" spans="1:6" ht="10.5" x14ac:dyDescent="0.25">
      <c r="A33" s="17" t="s">
        <v>228</v>
      </c>
      <c r="D33" s="41">
        <v>8.8880163241917813</v>
      </c>
      <c r="E33" s="15" t="s">
        <v>229</v>
      </c>
    </row>
    <row r="34" spans="1:6" ht="46.5" customHeight="1" x14ac:dyDescent="0.2">
      <c r="A34" s="139" t="s">
        <v>1596</v>
      </c>
      <c r="B34" s="140"/>
      <c r="C34" s="140"/>
      <c r="D34" s="140"/>
      <c r="E34" s="140"/>
    </row>
    <row r="35" spans="1:6" s="78" customFormat="1" ht="14.5" x14ac:dyDescent="0.2">
      <c r="A35" s="137"/>
      <c r="B35" s="138"/>
      <c r="C35" s="138"/>
      <c r="D35" s="138"/>
      <c r="E35" s="138"/>
      <c r="F35" s="83"/>
    </row>
    <row r="36" spans="1:6" ht="10.5" x14ac:dyDescent="0.25">
      <c r="A36" s="17" t="s">
        <v>230</v>
      </c>
      <c r="D36" s="103" t="s">
        <v>227</v>
      </c>
    </row>
  </sheetData>
  <mergeCells count="7">
    <mergeCell ref="A34:E34"/>
    <mergeCell ref="A31:B31"/>
    <mergeCell ref="A1:F1"/>
    <mergeCell ref="C28:D28"/>
    <mergeCell ref="A28:B28"/>
    <mergeCell ref="A29:B29"/>
    <mergeCell ref="A30:B30"/>
  </mergeCells>
  <conditionalFormatting sqref="F2:F3 F5:F65537">
    <cfRule type="cellIs" dxfId="9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workbookViewId="0">
      <selection sqref="A1:F1"/>
    </sheetView>
  </sheetViews>
  <sheetFormatPr defaultColWidth="9.1796875" defaultRowHeight="10" x14ac:dyDescent="0.2"/>
  <cols>
    <col min="1" max="1" width="31.7265625" style="10" bestFit="1" customWidth="1"/>
    <col min="2" max="2" width="49.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4.54296875" style="10" bestFit="1" customWidth="1"/>
    <col min="8" max="16384" width="9.1796875" style="10"/>
  </cols>
  <sheetData>
    <row r="1" spans="1:9" s="1" customFormat="1" ht="14" x14ac:dyDescent="0.25">
      <c r="A1" s="143" t="s">
        <v>9</v>
      </c>
      <c r="B1" s="144"/>
      <c r="C1" s="144"/>
      <c r="D1" s="144"/>
      <c r="E1" s="144"/>
      <c r="F1" s="144"/>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208</v>
      </c>
      <c r="D4" s="13" t="s">
        <v>1</v>
      </c>
      <c r="E4" s="9" t="s">
        <v>3</v>
      </c>
      <c r="F4" s="9" t="s">
        <v>4</v>
      </c>
    </row>
    <row r="5" spans="1:9" ht="10.5" x14ac:dyDescent="0.25">
      <c r="A5" s="20" t="s">
        <v>413</v>
      </c>
      <c r="B5" s="21"/>
      <c r="C5" s="21"/>
      <c r="D5" s="22"/>
      <c r="E5" s="23"/>
      <c r="F5" s="24"/>
    </row>
    <row r="6" spans="1:9" ht="10.5" x14ac:dyDescent="0.25">
      <c r="A6" s="25" t="s">
        <v>414</v>
      </c>
      <c r="B6" s="26"/>
      <c r="C6" s="26"/>
      <c r="D6" s="27"/>
      <c r="E6" s="28"/>
      <c r="F6" s="29"/>
    </row>
    <row r="7" spans="1:9" x14ac:dyDescent="0.2">
      <c r="A7" s="26" t="s">
        <v>416</v>
      </c>
      <c r="B7" s="26" t="s">
        <v>415</v>
      </c>
      <c r="C7" s="26" t="s">
        <v>417</v>
      </c>
      <c r="D7" s="30">
        <v>10000</v>
      </c>
      <c r="E7" s="28">
        <v>9817.3700000000008</v>
      </c>
      <c r="F7" s="29">
        <v>7.4613776666806197</v>
      </c>
    </row>
    <row r="8" spans="1:9" x14ac:dyDescent="0.2">
      <c r="A8" s="26" t="s">
        <v>419</v>
      </c>
      <c r="B8" s="26" t="s">
        <v>418</v>
      </c>
      <c r="C8" s="26" t="s">
        <v>420</v>
      </c>
      <c r="D8" s="30">
        <v>5000</v>
      </c>
      <c r="E8" s="28">
        <v>4896.7</v>
      </c>
      <c r="F8" s="29">
        <v>3.7215800179106</v>
      </c>
    </row>
    <row r="9" spans="1:9" x14ac:dyDescent="0.2">
      <c r="A9" s="26" t="s">
        <v>422</v>
      </c>
      <c r="B9" s="26" t="s">
        <v>421</v>
      </c>
      <c r="C9" s="26" t="s">
        <v>420</v>
      </c>
      <c r="D9" s="30">
        <v>5000</v>
      </c>
      <c r="E9" s="28">
        <v>4842.6149999999998</v>
      </c>
      <c r="F9" s="29">
        <v>3.6804744457357299</v>
      </c>
    </row>
    <row r="10" spans="1:9" x14ac:dyDescent="0.2">
      <c r="A10" s="26" t="s">
        <v>424</v>
      </c>
      <c r="B10" s="26" t="s">
        <v>423</v>
      </c>
      <c r="C10" s="26" t="s">
        <v>425</v>
      </c>
      <c r="D10" s="30">
        <v>4000</v>
      </c>
      <c r="E10" s="28">
        <v>3983.9119999999998</v>
      </c>
      <c r="F10" s="29">
        <v>3.02784473059699</v>
      </c>
    </row>
    <row r="11" spans="1:9" x14ac:dyDescent="0.2">
      <c r="A11" s="26" t="s">
        <v>427</v>
      </c>
      <c r="B11" s="26" t="s">
        <v>426</v>
      </c>
      <c r="C11" s="26" t="s">
        <v>420</v>
      </c>
      <c r="D11" s="30">
        <v>2500</v>
      </c>
      <c r="E11" s="28">
        <v>2499.0974999999999</v>
      </c>
      <c r="F11" s="29">
        <v>1.8993590211388001</v>
      </c>
    </row>
    <row r="12" spans="1:9" x14ac:dyDescent="0.2">
      <c r="A12" s="26" t="s">
        <v>429</v>
      </c>
      <c r="B12" s="26" t="s">
        <v>428</v>
      </c>
      <c r="C12" s="26" t="s">
        <v>417</v>
      </c>
      <c r="D12" s="30">
        <v>2500</v>
      </c>
      <c r="E12" s="28">
        <v>2455.7624999999998</v>
      </c>
      <c r="F12" s="29">
        <v>1.8664236421945799</v>
      </c>
    </row>
    <row r="13" spans="1:9" x14ac:dyDescent="0.2">
      <c r="A13" s="26" t="s">
        <v>431</v>
      </c>
      <c r="B13" s="26" t="s">
        <v>430</v>
      </c>
      <c r="C13" s="26" t="s">
        <v>420</v>
      </c>
      <c r="D13" s="30">
        <v>1022</v>
      </c>
      <c r="E13" s="28">
        <v>1001.0581979999999</v>
      </c>
      <c r="F13" s="29">
        <v>0.76082222444552405</v>
      </c>
    </row>
    <row r="14" spans="1:9" x14ac:dyDescent="0.2">
      <c r="A14" s="26" t="s">
        <v>433</v>
      </c>
      <c r="B14" s="26" t="s">
        <v>432</v>
      </c>
      <c r="C14" s="26" t="s">
        <v>420</v>
      </c>
      <c r="D14" s="30">
        <v>200</v>
      </c>
      <c r="E14" s="28">
        <v>200.03219999999999</v>
      </c>
      <c r="F14" s="29">
        <v>0.152028067567688</v>
      </c>
    </row>
    <row r="15" spans="1:9" ht="10.5" x14ac:dyDescent="0.25">
      <c r="A15" s="25" t="s">
        <v>167</v>
      </c>
      <c r="B15" s="25"/>
      <c r="C15" s="25"/>
      <c r="D15" s="31"/>
      <c r="E15" s="32">
        <f>SUM(E6:E14)</f>
        <v>29696.547397999999</v>
      </c>
      <c r="F15" s="33">
        <f>SUM(F6:F14)</f>
        <v>22.569909816270528</v>
      </c>
      <c r="G15" s="17"/>
      <c r="H15" s="17"/>
      <c r="I15" s="17"/>
    </row>
    <row r="16" spans="1:9" x14ac:dyDescent="0.2">
      <c r="A16" s="26"/>
      <c r="B16" s="26"/>
      <c r="C16" s="26"/>
      <c r="D16" s="27"/>
      <c r="E16" s="28"/>
      <c r="F16" s="29"/>
    </row>
    <row r="17" spans="1:9" ht="10.5" x14ac:dyDescent="0.25">
      <c r="A17" s="25" t="s">
        <v>434</v>
      </c>
      <c r="B17" s="26"/>
      <c r="C17" s="26"/>
      <c r="D17" s="27"/>
      <c r="E17" s="28"/>
      <c r="F17" s="29"/>
    </row>
    <row r="18" spans="1:9" x14ac:dyDescent="0.2">
      <c r="A18" s="26" t="s">
        <v>436</v>
      </c>
      <c r="B18" s="26" t="s">
        <v>435</v>
      </c>
      <c r="C18" s="26" t="s">
        <v>425</v>
      </c>
      <c r="D18" s="30">
        <v>2500</v>
      </c>
      <c r="E18" s="28">
        <v>12353.237499999999</v>
      </c>
      <c r="F18" s="29">
        <v>9.3886825487581298</v>
      </c>
    </row>
    <row r="19" spans="1:9" x14ac:dyDescent="0.2">
      <c r="A19" s="26" t="s">
        <v>438</v>
      </c>
      <c r="B19" s="26" t="s">
        <v>437</v>
      </c>
      <c r="C19" s="26" t="s">
        <v>420</v>
      </c>
      <c r="D19" s="30">
        <v>2000</v>
      </c>
      <c r="E19" s="28">
        <v>9932.34</v>
      </c>
      <c r="F19" s="29">
        <v>7.5487569332599902</v>
      </c>
    </row>
    <row r="20" spans="1:9" x14ac:dyDescent="0.2">
      <c r="A20" s="26" t="s">
        <v>440</v>
      </c>
      <c r="B20" s="26" t="s">
        <v>439</v>
      </c>
      <c r="C20" s="26" t="s">
        <v>425</v>
      </c>
      <c r="D20" s="30">
        <v>2000</v>
      </c>
      <c r="E20" s="28">
        <v>9844.65</v>
      </c>
      <c r="F20" s="29">
        <v>7.4821109570371096</v>
      </c>
    </row>
    <row r="21" spans="1:9" x14ac:dyDescent="0.2">
      <c r="A21" s="26" t="s">
        <v>442</v>
      </c>
      <c r="B21" s="26" t="s">
        <v>441</v>
      </c>
      <c r="C21" s="26" t="s">
        <v>443</v>
      </c>
      <c r="D21" s="30">
        <v>2000</v>
      </c>
      <c r="E21" s="28">
        <v>9805.2999999999993</v>
      </c>
      <c r="F21" s="29">
        <v>7.4522042497230396</v>
      </c>
    </row>
    <row r="22" spans="1:9" x14ac:dyDescent="0.2">
      <c r="A22" s="26" t="s">
        <v>445</v>
      </c>
      <c r="B22" s="26" t="s">
        <v>444</v>
      </c>
      <c r="C22" s="26" t="s">
        <v>425</v>
      </c>
      <c r="D22" s="30">
        <v>1500</v>
      </c>
      <c r="E22" s="28">
        <v>7342.4324999999999</v>
      </c>
      <c r="F22" s="29">
        <v>5.5803806798164901</v>
      </c>
    </row>
    <row r="23" spans="1:9" x14ac:dyDescent="0.2">
      <c r="A23" s="26" t="s">
        <v>447</v>
      </c>
      <c r="B23" s="26" t="s">
        <v>446</v>
      </c>
      <c r="C23" s="26" t="s">
        <v>425</v>
      </c>
      <c r="D23" s="30">
        <v>1000</v>
      </c>
      <c r="E23" s="28">
        <v>4915.5600000000004</v>
      </c>
      <c r="F23" s="29">
        <v>3.7359139569180599</v>
      </c>
    </row>
    <row r="24" spans="1:9" x14ac:dyDescent="0.2">
      <c r="A24" s="26" t="s">
        <v>449</v>
      </c>
      <c r="B24" s="26" t="s">
        <v>448</v>
      </c>
      <c r="C24" s="26" t="s">
        <v>420</v>
      </c>
      <c r="D24" s="30">
        <v>1000</v>
      </c>
      <c r="E24" s="28">
        <v>4903.47</v>
      </c>
      <c r="F24" s="29">
        <v>3.7267253396009798</v>
      </c>
    </row>
    <row r="25" spans="1:9" x14ac:dyDescent="0.2">
      <c r="A25" s="26" t="s">
        <v>451</v>
      </c>
      <c r="B25" s="26" t="s">
        <v>450</v>
      </c>
      <c r="C25" s="26" t="s">
        <v>443</v>
      </c>
      <c r="D25" s="30">
        <v>1000</v>
      </c>
      <c r="E25" s="28">
        <v>4892.8649999999998</v>
      </c>
      <c r="F25" s="29">
        <v>3.7186653489766899</v>
      </c>
    </row>
    <row r="26" spans="1:9" x14ac:dyDescent="0.2">
      <c r="A26" s="26" t="s">
        <v>453</v>
      </c>
      <c r="B26" s="26" t="s">
        <v>452</v>
      </c>
      <c r="C26" s="26" t="s">
        <v>425</v>
      </c>
      <c r="D26" s="30">
        <v>1000</v>
      </c>
      <c r="E26" s="28">
        <v>4889.2849999999999</v>
      </c>
      <c r="F26" s="29">
        <v>3.71594448462639</v>
      </c>
    </row>
    <row r="27" spans="1:9" x14ac:dyDescent="0.2">
      <c r="A27" s="26" t="s">
        <v>455</v>
      </c>
      <c r="B27" s="26" t="s">
        <v>454</v>
      </c>
      <c r="C27" s="26" t="s">
        <v>420</v>
      </c>
      <c r="D27" s="30">
        <v>1000</v>
      </c>
      <c r="E27" s="28">
        <v>4888.0200000000004</v>
      </c>
      <c r="F27" s="29">
        <v>3.7149830618880801</v>
      </c>
    </row>
    <row r="28" spans="1:9" x14ac:dyDescent="0.2">
      <c r="A28" s="26" t="s">
        <v>457</v>
      </c>
      <c r="B28" s="26" t="s">
        <v>456</v>
      </c>
      <c r="C28" s="26" t="s">
        <v>420</v>
      </c>
      <c r="D28" s="30">
        <v>1000</v>
      </c>
      <c r="E28" s="28">
        <v>4872.0950000000003</v>
      </c>
      <c r="F28" s="29">
        <v>3.7028797756370899</v>
      </c>
    </row>
    <row r="29" spans="1:9" x14ac:dyDescent="0.2">
      <c r="A29" s="26" t="s">
        <v>459</v>
      </c>
      <c r="B29" s="26" t="s">
        <v>458</v>
      </c>
      <c r="C29" s="26" t="s">
        <v>420</v>
      </c>
      <c r="D29" s="30">
        <v>300</v>
      </c>
      <c r="E29" s="28">
        <v>1498.7655</v>
      </c>
      <c r="F29" s="29">
        <v>1.13908872022664</v>
      </c>
    </row>
    <row r="30" spans="1:9" ht="10.5" x14ac:dyDescent="0.25">
      <c r="A30" s="25" t="s">
        <v>167</v>
      </c>
      <c r="B30" s="25"/>
      <c r="C30" s="25"/>
      <c r="D30" s="31"/>
      <c r="E30" s="32">
        <f>SUM(E17:E29)</f>
        <v>80138.020499999999</v>
      </c>
      <c r="F30" s="33">
        <f>SUM(F17:F29)</f>
        <v>60.906336056468689</v>
      </c>
      <c r="G30" s="17"/>
      <c r="H30" s="17"/>
      <c r="I30" s="17"/>
    </row>
    <row r="31" spans="1:9" x14ac:dyDescent="0.2">
      <c r="A31" s="26"/>
      <c r="B31" s="26"/>
      <c r="C31" s="26"/>
      <c r="D31" s="27"/>
      <c r="E31" s="28"/>
      <c r="F31" s="29"/>
    </row>
    <row r="32" spans="1:9" ht="10.5" x14ac:dyDescent="0.25">
      <c r="A32" s="25" t="s">
        <v>460</v>
      </c>
      <c r="B32" s="26"/>
      <c r="C32" s="26"/>
      <c r="D32" s="27"/>
      <c r="E32" s="28"/>
      <c r="F32" s="29"/>
    </row>
    <row r="33" spans="1:9" x14ac:dyDescent="0.2">
      <c r="A33" s="26" t="s">
        <v>462</v>
      </c>
      <c r="B33" s="26" t="s">
        <v>461</v>
      </c>
      <c r="C33" s="26" t="s">
        <v>463</v>
      </c>
      <c r="D33" s="30">
        <v>10000000</v>
      </c>
      <c r="E33" s="28">
        <v>9982.5400000000009</v>
      </c>
      <c r="F33" s="29">
        <v>7.5869098356022002</v>
      </c>
    </row>
    <row r="34" spans="1:9" x14ac:dyDescent="0.2">
      <c r="A34" s="26" t="s">
        <v>465</v>
      </c>
      <c r="B34" s="26" t="s">
        <v>464</v>
      </c>
      <c r="C34" s="26" t="s">
        <v>463</v>
      </c>
      <c r="D34" s="30">
        <v>5000000</v>
      </c>
      <c r="E34" s="28">
        <v>4891.83</v>
      </c>
      <c r="F34" s="29">
        <v>3.71787873037262</v>
      </c>
    </row>
    <row r="35" spans="1:9" x14ac:dyDescent="0.2">
      <c r="A35" s="26" t="s">
        <v>467</v>
      </c>
      <c r="B35" s="26" t="s">
        <v>466</v>
      </c>
      <c r="C35" s="26" t="s">
        <v>463</v>
      </c>
      <c r="D35" s="30">
        <v>5000000</v>
      </c>
      <c r="E35" s="28">
        <v>4889.585</v>
      </c>
      <c r="F35" s="29">
        <v>3.7161724900188702</v>
      </c>
    </row>
    <row r="36" spans="1:9" ht="10.5" x14ac:dyDescent="0.25">
      <c r="A36" s="25" t="s">
        <v>167</v>
      </c>
      <c r="B36" s="25"/>
      <c r="C36" s="25"/>
      <c r="D36" s="31"/>
      <c r="E36" s="32">
        <f>SUM(E32:E35)</f>
        <v>19763.955000000002</v>
      </c>
      <c r="F36" s="33">
        <f>SUM(F32:F35)</f>
        <v>15.020961055993691</v>
      </c>
      <c r="G36" s="17"/>
      <c r="H36" s="17"/>
      <c r="I36" s="17"/>
    </row>
    <row r="37" spans="1:9" x14ac:dyDescent="0.2">
      <c r="A37" s="26"/>
      <c r="B37" s="26"/>
      <c r="C37" s="26"/>
      <c r="D37" s="27"/>
      <c r="E37" s="28"/>
      <c r="F37" s="29"/>
    </row>
    <row r="38" spans="1:9" ht="10.5" x14ac:dyDescent="0.25">
      <c r="A38" s="25" t="s">
        <v>205</v>
      </c>
      <c r="B38" s="25"/>
      <c r="C38" s="25"/>
      <c r="D38" s="31"/>
      <c r="E38" s="32">
        <f>E15+E30+E36</f>
        <v>129598.522898</v>
      </c>
      <c r="F38" s="33">
        <f>F15+F30+F36</f>
        <v>98.497206928732908</v>
      </c>
      <c r="G38" s="17"/>
      <c r="H38" s="17"/>
      <c r="I38" s="17"/>
    </row>
    <row r="39" spans="1:9" ht="10.5" x14ac:dyDescent="0.25">
      <c r="A39" s="25"/>
      <c r="B39" s="25"/>
      <c r="C39" s="25"/>
      <c r="D39" s="31"/>
      <c r="E39" s="32"/>
      <c r="F39" s="33"/>
      <c r="G39" s="17"/>
      <c r="H39" s="17"/>
      <c r="I39" s="17"/>
    </row>
    <row r="40" spans="1:9" ht="10.5" x14ac:dyDescent="0.25">
      <c r="A40" s="25" t="s">
        <v>207</v>
      </c>
      <c r="B40" s="25"/>
      <c r="C40" s="25"/>
      <c r="D40" s="31"/>
      <c r="E40" s="32">
        <f>E42-(E15+E30+E36)</f>
        <v>1977.3125384000014</v>
      </c>
      <c r="F40" s="33">
        <f>F42-(F15+F30+F36)</f>
        <v>1.5027930712670923</v>
      </c>
      <c r="G40" s="17"/>
      <c r="H40" s="17"/>
      <c r="I40" s="17"/>
    </row>
    <row r="41" spans="1:9" ht="10.5" x14ac:dyDescent="0.25">
      <c r="A41" s="25"/>
      <c r="B41" s="25"/>
      <c r="C41" s="25"/>
      <c r="D41" s="31"/>
      <c r="E41" s="32"/>
      <c r="F41" s="33"/>
      <c r="G41" s="17"/>
      <c r="H41" s="17"/>
      <c r="I41" s="17"/>
    </row>
    <row r="42" spans="1:9" ht="10.5" x14ac:dyDescent="0.25">
      <c r="A42" s="34" t="s">
        <v>206</v>
      </c>
      <c r="B42" s="34"/>
      <c r="C42" s="34"/>
      <c r="D42" s="35"/>
      <c r="E42" s="36">
        <v>131575.8354364</v>
      </c>
      <c r="F42" s="37">
        <v>100</v>
      </c>
      <c r="G42" s="17"/>
      <c r="H42" s="17"/>
      <c r="I42" s="17"/>
    </row>
    <row r="44" spans="1:9" ht="10.5" x14ac:dyDescent="0.25">
      <c r="A44" s="17" t="s">
        <v>468</v>
      </c>
    </row>
    <row r="45" spans="1:9" ht="10.5" x14ac:dyDescent="0.25">
      <c r="A45" s="17" t="s">
        <v>209</v>
      </c>
    </row>
    <row r="47" spans="1:9" ht="10.5" x14ac:dyDescent="0.25">
      <c r="A47" s="17" t="s">
        <v>210</v>
      </c>
    </row>
    <row r="48" spans="1:9" ht="10.5" x14ac:dyDescent="0.25">
      <c r="A48" s="17" t="s">
        <v>211</v>
      </c>
    </row>
    <row r="49" spans="1:6" ht="10.5" x14ac:dyDescent="0.25">
      <c r="A49" s="17" t="s">
        <v>212</v>
      </c>
      <c r="B49" s="17"/>
      <c r="C49" s="38" t="s">
        <v>214</v>
      </c>
      <c r="D49" s="18" t="s">
        <v>213</v>
      </c>
    </row>
    <row r="50" spans="1:6" x14ac:dyDescent="0.2">
      <c r="A50" s="10" t="s">
        <v>215</v>
      </c>
      <c r="C50" s="39">
        <v>36.594999999999999</v>
      </c>
      <c r="D50" s="39">
        <v>38.027200000000001</v>
      </c>
    </row>
    <row r="51" spans="1:6" x14ac:dyDescent="0.2">
      <c r="A51" s="10" t="s">
        <v>216</v>
      </c>
      <c r="C51" s="39">
        <v>10.071899999999999</v>
      </c>
      <c r="D51" s="39">
        <v>10.1119</v>
      </c>
    </row>
    <row r="52" spans="1:6" x14ac:dyDescent="0.2">
      <c r="A52" s="10" t="s">
        <v>395</v>
      </c>
      <c r="C52" s="39">
        <v>10.2033</v>
      </c>
      <c r="D52" s="39">
        <v>10.2049</v>
      </c>
    </row>
    <row r="53" spans="1:6" x14ac:dyDescent="0.2">
      <c r="A53" s="10" t="s">
        <v>396</v>
      </c>
      <c r="C53" s="39">
        <v>10.908200000000001</v>
      </c>
      <c r="D53" s="39">
        <v>10.884399999999999</v>
      </c>
    </row>
    <row r="54" spans="1:6" x14ac:dyDescent="0.2">
      <c r="A54" s="10" t="s">
        <v>469</v>
      </c>
      <c r="C54" s="39">
        <v>10.385400000000001</v>
      </c>
      <c r="D54" s="114" t="s">
        <v>1554</v>
      </c>
    </row>
    <row r="55" spans="1:6" x14ac:dyDescent="0.2">
      <c r="A55" s="10" t="s">
        <v>397</v>
      </c>
      <c r="C55" s="39">
        <v>37.488</v>
      </c>
      <c r="D55" s="39">
        <v>38.9848</v>
      </c>
    </row>
    <row r="56" spans="1:6" x14ac:dyDescent="0.2">
      <c r="A56" s="10" t="s">
        <v>470</v>
      </c>
      <c r="C56" s="39">
        <v>10.0776</v>
      </c>
      <c r="D56" s="39">
        <v>10.121499999999999</v>
      </c>
    </row>
    <row r="57" spans="1:6" x14ac:dyDescent="0.2">
      <c r="A57" s="10" t="s">
        <v>399</v>
      </c>
      <c r="C57" s="39">
        <v>10.5113</v>
      </c>
      <c r="D57" s="39">
        <v>10.5327</v>
      </c>
    </row>
    <row r="58" spans="1:6" x14ac:dyDescent="0.2">
      <c r="A58" s="10" t="s">
        <v>400</v>
      </c>
      <c r="C58" s="39">
        <v>11.2616</v>
      </c>
      <c r="D58" s="39">
        <v>11.260199999999999</v>
      </c>
    </row>
    <row r="60" spans="1:6" s="78" customFormat="1" ht="10.5" x14ac:dyDescent="0.25">
      <c r="A60" s="84" t="s">
        <v>1555</v>
      </c>
      <c r="D60" s="79"/>
      <c r="E60" s="82"/>
      <c r="F60" s="83"/>
    </row>
    <row r="61" spans="1:6" s="78" customFormat="1" x14ac:dyDescent="0.2">
      <c r="D61" s="79"/>
      <c r="E61" s="82"/>
      <c r="F61" s="83"/>
    </row>
    <row r="62" spans="1:6" ht="10.5" x14ac:dyDescent="0.25">
      <c r="A62" s="17" t="s">
        <v>226</v>
      </c>
    </row>
    <row r="63" spans="1:6" ht="10.5" x14ac:dyDescent="0.25">
      <c r="A63" s="147" t="s">
        <v>401</v>
      </c>
      <c r="B63" s="148"/>
      <c r="C63" s="145" t="s">
        <v>402</v>
      </c>
      <c r="D63" s="146"/>
    </row>
    <row r="64" spans="1:6" ht="10.5" x14ac:dyDescent="0.25">
      <c r="A64" s="147"/>
      <c r="B64" s="148"/>
      <c r="C64" s="43" t="s">
        <v>403</v>
      </c>
      <c r="D64" s="44" t="s">
        <v>404</v>
      </c>
    </row>
    <row r="65" spans="1:6" x14ac:dyDescent="0.2">
      <c r="A65" s="141" t="s">
        <v>216</v>
      </c>
      <c r="B65" s="142"/>
      <c r="C65" s="45">
        <v>0.2947467433</v>
      </c>
      <c r="D65" s="45">
        <v>0.28843736910000001</v>
      </c>
    </row>
    <row r="66" spans="1:6" x14ac:dyDescent="0.2">
      <c r="A66" s="141" t="s">
        <v>395</v>
      </c>
      <c r="B66" s="142"/>
      <c r="C66" s="45">
        <v>0.33251695100000001</v>
      </c>
      <c r="D66" s="45">
        <v>0.32558791339999998</v>
      </c>
    </row>
    <row r="67" spans="1:6" x14ac:dyDescent="0.2">
      <c r="A67" s="141" t="s">
        <v>396</v>
      </c>
      <c r="B67" s="142"/>
      <c r="C67" s="45">
        <v>0.36197099399999999</v>
      </c>
      <c r="D67" s="45">
        <v>0.35024493020000003</v>
      </c>
    </row>
    <row r="68" spans="1:6" x14ac:dyDescent="0.2">
      <c r="A68" s="141" t="s">
        <v>469</v>
      </c>
      <c r="B68" s="142"/>
      <c r="C68" s="45">
        <v>0.25474608450000003</v>
      </c>
      <c r="D68" s="45">
        <v>0.24581295589999999</v>
      </c>
    </row>
    <row r="69" spans="1:6" x14ac:dyDescent="0.2">
      <c r="A69" s="141" t="s">
        <v>470</v>
      </c>
      <c r="B69" s="142"/>
      <c r="C69" s="45">
        <v>0.29839489800000002</v>
      </c>
      <c r="D69" s="45">
        <v>0.29208936559999998</v>
      </c>
    </row>
    <row r="70" spans="1:6" x14ac:dyDescent="0.2">
      <c r="A70" s="141" t="s">
        <v>399</v>
      </c>
      <c r="B70" s="142"/>
      <c r="C70" s="45">
        <v>0.33251695100000001</v>
      </c>
      <c r="D70" s="45">
        <v>0.32558791339999998</v>
      </c>
    </row>
    <row r="71" spans="1:6" x14ac:dyDescent="0.2">
      <c r="A71" s="141" t="s">
        <v>400</v>
      </c>
      <c r="B71" s="142"/>
      <c r="C71" s="45">
        <v>0.36197099399999999</v>
      </c>
      <c r="D71" s="45">
        <v>0.35024493020000003</v>
      </c>
    </row>
    <row r="73" spans="1:6" ht="10.5" x14ac:dyDescent="0.25">
      <c r="A73" s="17" t="s">
        <v>228</v>
      </c>
      <c r="D73" s="41">
        <v>0.43005347783561643</v>
      </c>
      <c r="E73" s="15" t="s">
        <v>229</v>
      </c>
    </row>
    <row r="74" spans="1:6" ht="45" customHeight="1" x14ac:dyDescent="0.2">
      <c r="A74" s="139" t="s">
        <v>1596</v>
      </c>
      <c r="B74" s="140"/>
      <c r="C74" s="140"/>
      <c r="D74" s="140"/>
      <c r="E74" s="140"/>
    </row>
    <row r="75" spans="1:6" s="78" customFormat="1" ht="14.5" x14ac:dyDescent="0.2">
      <c r="A75" s="137"/>
      <c r="B75" s="138"/>
      <c r="C75" s="138"/>
      <c r="D75" s="138"/>
      <c r="E75" s="138"/>
      <c r="F75" s="83"/>
    </row>
    <row r="76" spans="1:6" ht="10.5" x14ac:dyDescent="0.25">
      <c r="A76" s="17" t="s">
        <v>230</v>
      </c>
      <c r="D76" s="103" t="s">
        <v>227</v>
      </c>
    </row>
  </sheetData>
  <mergeCells count="12">
    <mergeCell ref="A74:E74"/>
    <mergeCell ref="A71:B71"/>
    <mergeCell ref="A1:F1"/>
    <mergeCell ref="C63:D63"/>
    <mergeCell ref="A63:B63"/>
    <mergeCell ref="A64:B64"/>
    <mergeCell ref="A65:B65"/>
    <mergeCell ref="A66:B66"/>
    <mergeCell ref="A67:B67"/>
    <mergeCell ref="A68:B68"/>
    <mergeCell ref="A69:B69"/>
    <mergeCell ref="A70:B70"/>
  </mergeCells>
  <conditionalFormatting sqref="F2:F3 F5:F65537">
    <cfRule type="cellIs" dxfId="8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2"/>
  <sheetViews>
    <sheetView workbookViewId="0">
      <selection sqref="A1:F1"/>
    </sheetView>
  </sheetViews>
  <sheetFormatPr defaultColWidth="9.1796875" defaultRowHeight="10" x14ac:dyDescent="0.2"/>
  <cols>
    <col min="1" max="1" width="38.7265625" style="10" bestFit="1" customWidth="1"/>
    <col min="2" max="2" width="53.816406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5.7265625" style="10" bestFit="1" customWidth="1"/>
    <col min="8" max="16384" width="9.1796875" style="10"/>
  </cols>
  <sheetData>
    <row r="1" spans="1:9" s="1" customFormat="1" ht="14" x14ac:dyDescent="0.25">
      <c r="A1" s="143" t="s">
        <v>13</v>
      </c>
      <c r="B1" s="144"/>
      <c r="C1" s="144"/>
      <c r="D1" s="144"/>
      <c r="E1" s="144"/>
      <c r="F1" s="144"/>
    </row>
    <row r="2" spans="1:9" s="1" customFormat="1" ht="11.5" x14ac:dyDescent="0.25">
      <c r="D2" s="6"/>
      <c r="E2" s="7"/>
      <c r="F2" s="14"/>
    </row>
    <row r="3" spans="1:9" s="1" customFormat="1" ht="11.5" x14ac:dyDescent="0.25">
      <c r="A3" s="12" t="s">
        <v>6</v>
      </c>
      <c r="B3" s="2"/>
      <c r="C3" s="3"/>
      <c r="D3" s="4"/>
      <c r="E3" s="5"/>
      <c r="F3" s="14"/>
    </row>
    <row r="4" spans="1:9" s="1" customFormat="1" ht="17.5" customHeight="1" x14ac:dyDescent="0.25">
      <c r="A4" s="8" t="s">
        <v>2</v>
      </c>
      <c r="B4" s="8" t="s">
        <v>0</v>
      </c>
      <c r="C4" s="8" t="s">
        <v>208</v>
      </c>
      <c r="D4" s="13" t="s">
        <v>1</v>
      </c>
      <c r="E4" s="9" t="s">
        <v>3</v>
      </c>
      <c r="F4" s="9" t="s">
        <v>4</v>
      </c>
    </row>
    <row r="5" spans="1:9" ht="10.5" x14ac:dyDescent="0.25">
      <c r="A5" s="20" t="s">
        <v>69</v>
      </c>
      <c r="B5" s="21"/>
      <c r="C5" s="21"/>
      <c r="D5" s="22"/>
      <c r="E5" s="23"/>
      <c r="F5" s="24"/>
    </row>
    <row r="6" spans="1:9" ht="10.5" x14ac:dyDescent="0.25">
      <c r="A6" s="25" t="s">
        <v>70</v>
      </c>
      <c r="B6" s="26"/>
      <c r="C6" s="26"/>
      <c r="D6" s="27"/>
      <c r="E6" s="28"/>
      <c r="F6" s="29"/>
    </row>
    <row r="7" spans="1:9" x14ac:dyDescent="0.2">
      <c r="A7" s="26" t="s">
        <v>538</v>
      </c>
      <c r="B7" s="26" t="s">
        <v>537</v>
      </c>
      <c r="C7" s="26" t="s">
        <v>539</v>
      </c>
      <c r="D7" s="30">
        <v>250</v>
      </c>
      <c r="E7" s="28">
        <v>2531.9225000000001</v>
      </c>
      <c r="F7" s="29">
        <v>14.8496611789816</v>
      </c>
    </row>
    <row r="8" spans="1:9" x14ac:dyDescent="0.2">
      <c r="A8" s="26" t="s">
        <v>541</v>
      </c>
      <c r="B8" s="26" t="s">
        <v>540</v>
      </c>
      <c r="C8" s="26" t="s">
        <v>166</v>
      </c>
      <c r="D8" s="30">
        <v>250</v>
      </c>
      <c r="E8" s="28">
        <v>2510.0725000000002</v>
      </c>
      <c r="F8" s="29">
        <v>14.721511483735901</v>
      </c>
    </row>
    <row r="9" spans="1:9" x14ac:dyDescent="0.2">
      <c r="A9" s="26" t="s">
        <v>75</v>
      </c>
      <c r="B9" s="26" t="s">
        <v>74</v>
      </c>
      <c r="C9" s="26" t="s">
        <v>76</v>
      </c>
      <c r="D9" s="30">
        <v>100</v>
      </c>
      <c r="E9" s="28">
        <v>1002.421</v>
      </c>
      <c r="F9" s="29">
        <v>5.8791737143202001</v>
      </c>
    </row>
    <row r="10" spans="1:9" x14ac:dyDescent="0.2">
      <c r="A10" s="26" t="s">
        <v>132</v>
      </c>
      <c r="B10" s="26" t="s">
        <v>131</v>
      </c>
      <c r="C10" s="26" t="s">
        <v>91</v>
      </c>
      <c r="D10" s="30">
        <v>100</v>
      </c>
      <c r="E10" s="28">
        <v>998.41300000000001</v>
      </c>
      <c r="F10" s="29">
        <v>5.8556668960801703</v>
      </c>
    </row>
    <row r="11" spans="1:9" x14ac:dyDescent="0.2">
      <c r="A11" s="26" t="s">
        <v>78</v>
      </c>
      <c r="B11" s="26" t="s">
        <v>77</v>
      </c>
      <c r="C11" s="26" t="s">
        <v>79</v>
      </c>
      <c r="D11" s="30">
        <v>100</v>
      </c>
      <c r="E11" s="28">
        <v>987.42200000000003</v>
      </c>
      <c r="F11" s="29">
        <v>5.7912049601330002</v>
      </c>
    </row>
    <row r="12" spans="1:9" ht="10.5" x14ac:dyDescent="0.25">
      <c r="A12" s="25" t="s">
        <v>167</v>
      </c>
      <c r="B12" s="25"/>
      <c r="C12" s="25"/>
      <c r="D12" s="31"/>
      <c r="E12" s="32">
        <f>SUM(E6:E11)</f>
        <v>8030.251000000002</v>
      </c>
      <c r="F12" s="33">
        <f>SUM(F6:F11)</f>
        <v>47.097218233250878</v>
      </c>
      <c r="G12" s="17"/>
      <c r="H12" s="17"/>
      <c r="I12" s="17"/>
    </row>
    <row r="13" spans="1:9" x14ac:dyDescent="0.2">
      <c r="A13" s="26"/>
      <c r="B13" s="26"/>
      <c r="C13" s="26"/>
      <c r="D13" s="27"/>
      <c r="E13" s="28"/>
      <c r="F13" s="29"/>
    </row>
    <row r="14" spans="1:9" ht="10.5" x14ac:dyDescent="0.25">
      <c r="A14" s="25" t="s">
        <v>413</v>
      </c>
      <c r="B14" s="26"/>
      <c r="C14" s="26"/>
      <c r="D14" s="27"/>
      <c r="E14" s="28"/>
      <c r="F14" s="29"/>
    </row>
    <row r="15" spans="1:9" ht="10.5" x14ac:dyDescent="0.25">
      <c r="A15" s="25" t="s">
        <v>414</v>
      </c>
      <c r="B15" s="26"/>
      <c r="C15" s="26"/>
      <c r="D15" s="27"/>
      <c r="E15" s="28"/>
      <c r="F15" s="29"/>
    </row>
    <row r="16" spans="1:9" x14ac:dyDescent="0.2">
      <c r="A16" s="26" t="s">
        <v>433</v>
      </c>
      <c r="B16" s="26" t="s">
        <v>432</v>
      </c>
      <c r="C16" s="26" t="s">
        <v>420</v>
      </c>
      <c r="D16" s="30">
        <v>2300</v>
      </c>
      <c r="E16" s="28">
        <v>2300.3703</v>
      </c>
      <c r="F16" s="29">
        <v>13.4916134049096</v>
      </c>
    </row>
    <row r="17" spans="1:9" ht="10.5" x14ac:dyDescent="0.25">
      <c r="A17" s="25" t="s">
        <v>167</v>
      </c>
      <c r="B17" s="25"/>
      <c r="C17" s="25"/>
      <c r="D17" s="31"/>
      <c r="E17" s="32">
        <f>SUM(E15:E16)</f>
        <v>2300.3703</v>
      </c>
      <c r="F17" s="33">
        <f>SUM(F15:F16)</f>
        <v>13.4916134049096</v>
      </c>
      <c r="G17" s="17"/>
      <c r="H17" s="17"/>
      <c r="I17" s="17"/>
    </row>
    <row r="18" spans="1:9" x14ac:dyDescent="0.2">
      <c r="A18" s="26"/>
      <c r="B18" s="26"/>
      <c r="C18" s="26"/>
      <c r="D18" s="27"/>
      <c r="E18" s="28"/>
      <c r="F18" s="29"/>
    </row>
    <row r="19" spans="1:9" ht="10.5" x14ac:dyDescent="0.25">
      <c r="A19" s="25" t="s">
        <v>523</v>
      </c>
      <c r="B19" s="26"/>
      <c r="C19" s="26"/>
      <c r="D19" s="27"/>
      <c r="E19" s="28"/>
      <c r="F19" s="29"/>
    </row>
    <row r="20" spans="1:9" x14ac:dyDescent="0.2">
      <c r="A20" s="26" t="s">
        <v>543</v>
      </c>
      <c r="B20" s="26" t="s">
        <v>542</v>
      </c>
      <c r="C20" s="26" t="s">
        <v>526</v>
      </c>
      <c r="D20" s="30">
        <v>3000000</v>
      </c>
      <c r="E20" s="28">
        <v>3000.5819999999999</v>
      </c>
      <c r="F20" s="29">
        <v>17.598337247585899</v>
      </c>
    </row>
    <row r="21" spans="1:9" x14ac:dyDescent="0.2">
      <c r="A21" s="26" t="s">
        <v>545</v>
      </c>
      <c r="B21" s="26" t="s">
        <v>544</v>
      </c>
      <c r="C21" s="26" t="s">
        <v>526</v>
      </c>
      <c r="D21" s="30">
        <v>1000000</v>
      </c>
      <c r="E21" s="28">
        <v>1059.354</v>
      </c>
      <c r="F21" s="29">
        <v>6.2130843138361698</v>
      </c>
    </row>
    <row r="22" spans="1:9" x14ac:dyDescent="0.2">
      <c r="A22" s="26" t="s">
        <v>547</v>
      </c>
      <c r="B22" s="26" t="s">
        <v>546</v>
      </c>
      <c r="C22" s="26" t="s">
        <v>526</v>
      </c>
      <c r="D22" s="30">
        <v>1000000</v>
      </c>
      <c r="E22" s="28">
        <v>1009.624</v>
      </c>
      <c r="F22" s="29">
        <v>5.9214191264417</v>
      </c>
    </row>
    <row r="23" spans="1:9" x14ac:dyDescent="0.2">
      <c r="A23" s="26" t="s">
        <v>530</v>
      </c>
      <c r="B23" s="26" t="s">
        <v>529</v>
      </c>
      <c r="C23" s="26" t="s">
        <v>526</v>
      </c>
      <c r="D23" s="30">
        <v>500000</v>
      </c>
      <c r="E23" s="28">
        <v>544.77800000000002</v>
      </c>
      <c r="F23" s="29">
        <v>3.1951091385155799</v>
      </c>
    </row>
    <row r="24" spans="1:9" x14ac:dyDescent="0.2">
      <c r="A24" s="26" t="s">
        <v>549</v>
      </c>
      <c r="B24" s="26" t="s">
        <v>548</v>
      </c>
      <c r="C24" s="26" t="s">
        <v>526</v>
      </c>
      <c r="D24" s="30">
        <v>500000</v>
      </c>
      <c r="E24" s="28">
        <v>517.17750000000001</v>
      </c>
      <c r="F24" s="29">
        <v>3.0332329067705399</v>
      </c>
    </row>
    <row r="25" spans="1:9" ht="10.5" x14ac:dyDescent="0.25">
      <c r="A25" s="25" t="s">
        <v>167</v>
      </c>
      <c r="B25" s="25"/>
      <c r="C25" s="25"/>
      <c r="D25" s="31"/>
      <c r="E25" s="32">
        <f>SUM(E20:E24)</f>
        <v>6131.5154999999995</v>
      </c>
      <c r="F25" s="33">
        <f>SUM(F20:F24)</f>
        <v>35.96118273314989</v>
      </c>
      <c r="G25" s="17"/>
      <c r="H25" s="17"/>
      <c r="I25" s="17"/>
    </row>
    <row r="26" spans="1:9" x14ac:dyDescent="0.2">
      <c r="A26" s="26"/>
      <c r="B26" s="26"/>
      <c r="C26" s="26"/>
      <c r="D26" s="27"/>
      <c r="E26" s="28"/>
      <c r="F26" s="29"/>
    </row>
    <row r="27" spans="1:9" ht="10.5" x14ac:dyDescent="0.25">
      <c r="A27" s="25" t="s">
        <v>205</v>
      </c>
      <c r="B27" s="25"/>
      <c r="C27" s="25"/>
      <c r="D27" s="31"/>
      <c r="E27" s="32">
        <f>E12+E17+E25</f>
        <v>16462.1368</v>
      </c>
      <c r="F27" s="33">
        <f>F12+F17+F25</f>
        <v>96.550014371310368</v>
      </c>
      <c r="G27" s="17"/>
      <c r="H27" s="17"/>
      <c r="I27" s="17"/>
    </row>
    <row r="28" spans="1:9" ht="10.5" x14ac:dyDescent="0.25">
      <c r="A28" s="25"/>
      <c r="B28" s="25"/>
      <c r="C28" s="25"/>
      <c r="D28" s="31"/>
      <c r="E28" s="32"/>
      <c r="F28" s="33"/>
      <c r="G28" s="17"/>
      <c r="H28" s="17"/>
      <c r="I28" s="17"/>
    </row>
    <row r="29" spans="1:9" ht="10.5" x14ac:dyDescent="0.25">
      <c r="A29" s="25" t="s">
        <v>207</v>
      </c>
      <c r="B29" s="25"/>
      <c r="C29" s="25"/>
      <c r="D29" s="31"/>
      <c r="E29" s="32">
        <f>E31-(E12+E17+E25)</f>
        <v>588.23539019999953</v>
      </c>
      <c r="F29" s="33">
        <f>F31-(F12+F17+F25)</f>
        <v>3.4499856286896318</v>
      </c>
      <c r="G29" s="17"/>
      <c r="H29" s="17"/>
      <c r="I29" s="17"/>
    </row>
    <row r="30" spans="1:9" ht="10.5" x14ac:dyDescent="0.25">
      <c r="A30" s="25"/>
      <c r="B30" s="25"/>
      <c r="C30" s="25"/>
      <c r="D30" s="31"/>
      <c r="E30" s="32"/>
      <c r="F30" s="33"/>
      <c r="G30" s="17"/>
      <c r="H30" s="17"/>
      <c r="I30" s="17"/>
    </row>
    <row r="31" spans="1:9" ht="10.5" x14ac:dyDescent="0.25">
      <c r="A31" s="34" t="s">
        <v>206</v>
      </c>
      <c r="B31" s="34"/>
      <c r="C31" s="34"/>
      <c r="D31" s="35"/>
      <c r="E31" s="36">
        <v>17050.3721902</v>
      </c>
      <c r="F31" s="37">
        <v>100</v>
      </c>
      <c r="G31" s="17"/>
      <c r="H31" s="17"/>
      <c r="I31" s="17"/>
    </row>
    <row r="33" spans="1:4" ht="10.5" x14ac:dyDescent="0.25">
      <c r="A33" s="17" t="s">
        <v>209</v>
      </c>
    </row>
    <row r="35" spans="1:4" ht="10.5" x14ac:dyDescent="0.25">
      <c r="A35" s="17" t="s">
        <v>210</v>
      </c>
    </row>
    <row r="36" spans="1:4" ht="10.5" x14ac:dyDescent="0.25">
      <c r="A36" s="17" t="s">
        <v>211</v>
      </c>
    </row>
    <row r="37" spans="1:4" ht="10.5" x14ac:dyDescent="0.25">
      <c r="A37" s="17" t="s">
        <v>212</v>
      </c>
      <c r="B37" s="17"/>
      <c r="C37" s="38" t="s">
        <v>214</v>
      </c>
      <c r="D37" s="18" t="s">
        <v>213</v>
      </c>
    </row>
    <row r="38" spans="1:4" x14ac:dyDescent="0.2">
      <c r="A38" s="10" t="s">
        <v>486</v>
      </c>
      <c r="C38" s="39">
        <v>29.620699999999999</v>
      </c>
      <c r="D38" s="39">
        <v>30.474599999999999</v>
      </c>
    </row>
    <row r="39" spans="1:4" x14ac:dyDescent="0.2">
      <c r="A39" s="10" t="s">
        <v>550</v>
      </c>
      <c r="C39" s="39">
        <v>10.0321</v>
      </c>
      <c r="D39" s="39">
        <v>10.1349</v>
      </c>
    </row>
    <row r="40" spans="1:4" x14ac:dyDescent="0.2">
      <c r="A40" s="10" t="s">
        <v>489</v>
      </c>
      <c r="C40" s="39">
        <v>31.119499999999999</v>
      </c>
      <c r="D40" s="39">
        <v>32.139299999999999</v>
      </c>
    </row>
    <row r="41" spans="1:4" x14ac:dyDescent="0.2">
      <c r="A41" s="10" t="s">
        <v>551</v>
      </c>
      <c r="C41" s="39">
        <v>10.0473</v>
      </c>
      <c r="D41" s="39">
        <v>10.036799999999999</v>
      </c>
    </row>
    <row r="43" spans="1:4" ht="10.5" x14ac:dyDescent="0.25">
      <c r="A43" s="17" t="s">
        <v>226</v>
      </c>
    </row>
    <row r="44" spans="1:4" ht="10.5" x14ac:dyDescent="0.25">
      <c r="A44" s="147" t="s">
        <v>401</v>
      </c>
      <c r="B44" s="148"/>
      <c r="C44" s="145" t="s">
        <v>402</v>
      </c>
      <c r="D44" s="146"/>
    </row>
    <row r="45" spans="1:4" ht="10.5" x14ac:dyDescent="0.25">
      <c r="A45" s="147"/>
      <c r="B45" s="148"/>
      <c r="C45" s="43" t="s">
        <v>403</v>
      </c>
      <c r="D45" s="44" t="s">
        <v>404</v>
      </c>
    </row>
    <row r="46" spans="1:4" x14ac:dyDescent="0.2">
      <c r="A46" s="141" t="s">
        <v>550</v>
      </c>
      <c r="B46" s="142"/>
      <c r="C46" s="45">
        <v>0.14747923600000001</v>
      </c>
      <c r="D46" s="45">
        <v>0.1417616947</v>
      </c>
    </row>
    <row r="47" spans="1:4" x14ac:dyDescent="0.2">
      <c r="A47" s="141" t="s">
        <v>551</v>
      </c>
      <c r="B47" s="142"/>
      <c r="C47" s="45">
        <v>0.2805983407</v>
      </c>
      <c r="D47" s="45">
        <v>0.27353040839999998</v>
      </c>
    </row>
    <row r="49" spans="1:6" ht="10.5" x14ac:dyDescent="0.25">
      <c r="A49" s="17" t="s">
        <v>228</v>
      </c>
      <c r="D49" s="41">
        <v>1.8686176914520549</v>
      </c>
      <c r="E49" s="15" t="s">
        <v>229</v>
      </c>
    </row>
    <row r="50" spans="1:6" ht="49" customHeight="1" x14ac:dyDescent="0.2">
      <c r="A50" s="139" t="s">
        <v>1596</v>
      </c>
      <c r="B50" s="140"/>
      <c r="C50" s="140"/>
      <c r="D50" s="140"/>
      <c r="E50" s="140"/>
    </row>
    <row r="51" spans="1:6" s="78" customFormat="1" ht="14.5" x14ac:dyDescent="0.2">
      <c r="A51" s="137"/>
      <c r="B51" s="138"/>
      <c r="C51" s="138"/>
      <c r="D51" s="138"/>
      <c r="E51" s="138"/>
      <c r="F51" s="83"/>
    </row>
    <row r="52" spans="1:6" ht="10.5" x14ac:dyDescent="0.25">
      <c r="A52" s="17" t="s">
        <v>230</v>
      </c>
      <c r="D52" s="103" t="s">
        <v>227</v>
      </c>
    </row>
  </sheetData>
  <mergeCells count="7">
    <mergeCell ref="A50:E50"/>
    <mergeCell ref="A47:B47"/>
    <mergeCell ref="A1:F1"/>
    <mergeCell ref="C44:D44"/>
    <mergeCell ref="A44:B44"/>
    <mergeCell ref="A45:B45"/>
    <mergeCell ref="A46:B46"/>
  </mergeCells>
  <conditionalFormatting sqref="F2:F3 F5:F65537">
    <cfRule type="cellIs" dxfId="8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
  <sheetViews>
    <sheetView workbookViewId="0">
      <selection sqref="A1:F1"/>
    </sheetView>
  </sheetViews>
  <sheetFormatPr defaultColWidth="9.1796875" defaultRowHeight="10" x14ac:dyDescent="0.2"/>
  <cols>
    <col min="1" max="1" width="38.7265625" style="10" bestFit="1" customWidth="1"/>
    <col min="2" max="2" width="69.179687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5.81640625" style="10" bestFit="1" customWidth="1"/>
    <col min="8" max="16384" width="9.1796875" style="10"/>
  </cols>
  <sheetData>
    <row r="1" spans="1:6" s="1" customFormat="1" ht="14" x14ac:dyDescent="0.25">
      <c r="A1" s="143" t="s">
        <v>7</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76" t="s">
        <v>208</v>
      </c>
      <c r="D4" s="80"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72</v>
      </c>
      <c r="B7" s="26" t="s">
        <v>71</v>
      </c>
      <c r="C7" s="26" t="s">
        <v>73</v>
      </c>
      <c r="D7" s="30">
        <v>7900</v>
      </c>
      <c r="E7" s="28">
        <v>78912.626000000004</v>
      </c>
      <c r="F7" s="29">
        <v>8.0033547233422997</v>
      </c>
    </row>
    <row r="8" spans="1:6" x14ac:dyDescent="0.2">
      <c r="A8" s="26" t="s">
        <v>75</v>
      </c>
      <c r="B8" s="26" t="s">
        <v>74</v>
      </c>
      <c r="C8" s="26" t="s">
        <v>76</v>
      </c>
      <c r="D8" s="30">
        <v>5400</v>
      </c>
      <c r="E8" s="28">
        <v>54130.733999999997</v>
      </c>
      <c r="F8" s="29">
        <v>5.4899638701275197</v>
      </c>
    </row>
    <row r="9" spans="1:6" x14ac:dyDescent="0.2">
      <c r="A9" s="26" t="s">
        <v>78</v>
      </c>
      <c r="B9" s="26" t="s">
        <v>77</v>
      </c>
      <c r="C9" s="26" t="s">
        <v>79</v>
      </c>
      <c r="D9" s="30">
        <v>4400</v>
      </c>
      <c r="E9" s="28">
        <v>43446.567999999999</v>
      </c>
      <c r="F9" s="29">
        <v>4.4063708539595696</v>
      </c>
    </row>
    <row r="10" spans="1:6" x14ac:dyDescent="0.2">
      <c r="A10" s="26" t="s">
        <v>81</v>
      </c>
      <c r="B10" s="26" t="s">
        <v>80</v>
      </c>
      <c r="C10" s="26" t="s">
        <v>82</v>
      </c>
      <c r="D10" s="30">
        <v>7500</v>
      </c>
      <c r="E10" s="28">
        <v>37312.800000000003</v>
      </c>
      <c r="F10" s="29">
        <v>3.7842812900577698</v>
      </c>
    </row>
    <row r="11" spans="1:6" x14ac:dyDescent="0.2">
      <c r="A11" s="26" t="s">
        <v>84</v>
      </c>
      <c r="B11" s="26" t="s">
        <v>83</v>
      </c>
      <c r="C11" s="26" t="s">
        <v>85</v>
      </c>
      <c r="D11" s="30">
        <v>3650</v>
      </c>
      <c r="E11" s="28">
        <v>36214.497000000003</v>
      </c>
      <c r="F11" s="29">
        <v>3.6728908960451498</v>
      </c>
    </row>
    <row r="12" spans="1:6" x14ac:dyDescent="0.2">
      <c r="A12" s="26" t="s">
        <v>87</v>
      </c>
      <c r="B12" s="26" t="s">
        <v>86</v>
      </c>
      <c r="C12" s="26" t="s">
        <v>88</v>
      </c>
      <c r="D12" s="30">
        <v>2890</v>
      </c>
      <c r="E12" s="28">
        <v>28790.469000000001</v>
      </c>
      <c r="F12" s="29">
        <v>2.9199425711468501</v>
      </c>
    </row>
    <row r="13" spans="1:6" x14ac:dyDescent="0.2">
      <c r="A13" s="26" t="s">
        <v>90</v>
      </c>
      <c r="B13" s="26" t="s">
        <v>89</v>
      </c>
      <c r="C13" s="26" t="s">
        <v>91</v>
      </c>
      <c r="D13" s="30">
        <v>2550</v>
      </c>
      <c r="E13" s="28">
        <v>25506.884999999998</v>
      </c>
      <c r="F13" s="29">
        <v>2.5869199758033501</v>
      </c>
    </row>
    <row r="14" spans="1:6" x14ac:dyDescent="0.2">
      <c r="A14" s="26" t="s">
        <v>93</v>
      </c>
      <c r="B14" s="26" t="s">
        <v>92</v>
      </c>
      <c r="C14" s="26" t="s">
        <v>85</v>
      </c>
      <c r="D14" s="30">
        <v>2000</v>
      </c>
      <c r="E14" s="28">
        <v>20064.439999999999</v>
      </c>
      <c r="F14" s="29">
        <v>2.0349447076468898</v>
      </c>
    </row>
    <row r="15" spans="1:6" x14ac:dyDescent="0.2">
      <c r="A15" s="26" t="s">
        <v>95</v>
      </c>
      <c r="B15" s="26" t="s">
        <v>94</v>
      </c>
      <c r="C15" s="26" t="s">
        <v>91</v>
      </c>
      <c r="D15" s="30">
        <v>2000</v>
      </c>
      <c r="E15" s="28">
        <v>19990.38</v>
      </c>
      <c r="F15" s="29">
        <v>2.02743350847819</v>
      </c>
    </row>
    <row r="16" spans="1:6" x14ac:dyDescent="0.2">
      <c r="A16" s="26" t="s">
        <v>97</v>
      </c>
      <c r="B16" s="26" t="s">
        <v>96</v>
      </c>
      <c r="C16" s="26" t="s">
        <v>91</v>
      </c>
      <c r="D16" s="30">
        <v>1910</v>
      </c>
      <c r="E16" s="28">
        <v>18802.918600000001</v>
      </c>
      <c r="F16" s="29">
        <v>1.90700062864377</v>
      </c>
    </row>
    <row r="17" spans="1:6" x14ac:dyDescent="0.2">
      <c r="A17" s="26" t="s">
        <v>99</v>
      </c>
      <c r="B17" s="26" t="s">
        <v>98</v>
      </c>
      <c r="C17" s="26" t="s">
        <v>82</v>
      </c>
      <c r="D17" s="30">
        <v>37</v>
      </c>
      <c r="E17" s="28">
        <v>18523.143499999998</v>
      </c>
      <c r="F17" s="29">
        <v>1.8786257096788599</v>
      </c>
    </row>
    <row r="18" spans="1:6" x14ac:dyDescent="0.2">
      <c r="A18" s="26" t="s">
        <v>101</v>
      </c>
      <c r="B18" s="26" t="s">
        <v>100</v>
      </c>
      <c r="C18" s="26" t="s">
        <v>85</v>
      </c>
      <c r="D18" s="30">
        <v>1500</v>
      </c>
      <c r="E18" s="28">
        <v>15015.96</v>
      </c>
      <c r="F18" s="29">
        <v>1.52292555048819</v>
      </c>
    </row>
    <row r="19" spans="1:6" x14ac:dyDescent="0.2">
      <c r="A19" s="26" t="s">
        <v>103</v>
      </c>
      <c r="B19" s="26" t="s">
        <v>102</v>
      </c>
      <c r="C19" s="26" t="s">
        <v>104</v>
      </c>
      <c r="D19" s="30">
        <v>2244</v>
      </c>
      <c r="E19" s="28">
        <v>11210.86692</v>
      </c>
      <c r="F19" s="29">
        <v>1.1370112650533799</v>
      </c>
    </row>
    <row r="20" spans="1:6" x14ac:dyDescent="0.2">
      <c r="A20" s="26" t="s">
        <v>106</v>
      </c>
      <c r="B20" s="26" t="s">
        <v>105</v>
      </c>
      <c r="C20" s="26" t="s">
        <v>107</v>
      </c>
      <c r="D20" s="30">
        <v>1000</v>
      </c>
      <c r="E20" s="28">
        <v>9995.59</v>
      </c>
      <c r="F20" s="29">
        <v>1.01375732242256</v>
      </c>
    </row>
    <row r="21" spans="1:6" x14ac:dyDescent="0.2">
      <c r="A21" s="26" t="s">
        <v>109</v>
      </c>
      <c r="B21" s="26" t="s">
        <v>108</v>
      </c>
      <c r="C21" s="26" t="s">
        <v>107</v>
      </c>
      <c r="D21" s="30">
        <v>1000</v>
      </c>
      <c r="E21" s="28">
        <v>9940.16</v>
      </c>
      <c r="F21" s="29">
        <v>1.00813558639879</v>
      </c>
    </row>
    <row r="22" spans="1:6" x14ac:dyDescent="0.2">
      <c r="A22" s="26" t="s">
        <v>111</v>
      </c>
      <c r="B22" s="26" t="s">
        <v>110</v>
      </c>
      <c r="C22" s="26" t="s">
        <v>91</v>
      </c>
      <c r="D22" s="30">
        <v>1000</v>
      </c>
      <c r="E22" s="28">
        <v>9909.2900000000009</v>
      </c>
      <c r="F22" s="29">
        <v>1.0050047368398101</v>
      </c>
    </row>
    <row r="23" spans="1:6" x14ac:dyDescent="0.2">
      <c r="A23" s="26" t="s">
        <v>113</v>
      </c>
      <c r="B23" s="26" t="s">
        <v>112</v>
      </c>
      <c r="C23" s="26" t="s">
        <v>91</v>
      </c>
      <c r="D23" s="30">
        <v>1000</v>
      </c>
      <c r="E23" s="28">
        <v>9809.5400000000009</v>
      </c>
      <c r="F23" s="29">
        <v>0.99488804608802694</v>
      </c>
    </row>
    <row r="24" spans="1:6" x14ac:dyDescent="0.2">
      <c r="A24" s="26" t="s">
        <v>115</v>
      </c>
      <c r="B24" s="26" t="s">
        <v>114</v>
      </c>
      <c r="C24" s="26" t="s">
        <v>104</v>
      </c>
      <c r="D24" s="30">
        <v>938</v>
      </c>
      <c r="E24" s="28">
        <v>9292.7659999999996</v>
      </c>
      <c r="F24" s="29">
        <v>0.94247658998212402</v>
      </c>
    </row>
    <row r="25" spans="1:6" x14ac:dyDescent="0.2">
      <c r="A25" s="26" t="s">
        <v>117</v>
      </c>
      <c r="B25" s="26" t="s">
        <v>116</v>
      </c>
      <c r="C25" s="26" t="s">
        <v>82</v>
      </c>
      <c r="D25" s="30">
        <v>1600</v>
      </c>
      <c r="E25" s="28">
        <v>8029.2</v>
      </c>
      <c r="F25" s="29">
        <v>0.81432514670922196</v>
      </c>
    </row>
    <row r="26" spans="1:6" x14ac:dyDescent="0.2">
      <c r="A26" s="26" t="s">
        <v>119</v>
      </c>
      <c r="B26" s="26" t="s">
        <v>118</v>
      </c>
      <c r="C26" s="26" t="s">
        <v>82</v>
      </c>
      <c r="D26" s="30">
        <v>800</v>
      </c>
      <c r="E26" s="28">
        <v>7996.9759999999997</v>
      </c>
      <c r="F26" s="29">
        <v>0.81105697384921704</v>
      </c>
    </row>
    <row r="27" spans="1:6" x14ac:dyDescent="0.2">
      <c r="A27" s="26" t="s">
        <v>121</v>
      </c>
      <c r="B27" s="26" t="s">
        <v>120</v>
      </c>
      <c r="C27" s="26" t="s">
        <v>82</v>
      </c>
      <c r="D27" s="30">
        <v>800</v>
      </c>
      <c r="E27" s="28">
        <v>7996.9759999999997</v>
      </c>
      <c r="F27" s="29">
        <v>0.81105697384921704</v>
      </c>
    </row>
    <row r="28" spans="1:6" x14ac:dyDescent="0.2">
      <c r="A28" s="26" t="s">
        <v>123</v>
      </c>
      <c r="B28" s="26" t="s">
        <v>122</v>
      </c>
      <c r="C28" s="26" t="s">
        <v>82</v>
      </c>
      <c r="D28" s="30">
        <v>780</v>
      </c>
      <c r="E28" s="28">
        <v>7797.0515999999998</v>
      </c>
      <c r="F28" s="29">
        <v>0.79078054950298604</v>
      </c>
    </row>
    <row r="29" spans="1:6" x14ac:dyDescent="0.2">
      <c r="A29" s="26" t="s">
        <v>125</v>
      </c>
      <c r="B29" s="26" t="s">
        <v>124</v>
      </c>
      <c r="C29" s="26" t="s">
        <v>126</v>
      </c>
      <c r="D29" s="30">
        <v>750</v>
      </c>
      <c r="E29" s="28">
        <v>7727.5275000000001</v>
      </c>
      <c r="F29" s="29">
        <v>0.783729383392748</v>
      </c>
    </row>
    <row r="30" spans="1:6" x14ac:dyDescent="0.2">
      <c r="A30" s="26" t="s">
        <v>128</v>
      </c>
      <c r="B30" s="26" t="s">
        <v>127</v>
      </c>
      <c r="C30" s="26" t="s">
        <v>79</v>
      </c>
      <c r="D30" s="30">
        <v>750</v>
      </c>
      <c r="E30" s="28">
        <v>7652.7224999999999</v>
      </c>
      <c r="F30" s="29">
        <v>0.77614262598234796</v>
      </c>
    </row>
    <row r="31" spans="1:6" x14ac:dyDescent="0.2">
      <c r="A31" s="26" t="s">
        <v>130</v>
      </c>
      <c r="B31" s="26" t="s">
        <v>129</v>
      </c>
      <c r="C31" s="26" t="s">
        <v>107</v>
      </c>
      <c r="D31" s="30">
        <v>750</v>
      </c>
      <c r="E31" s="28">
        <v>7162.9274999999998</v>
      </c>
      <c r="F31" s="29">
        <v>0.72646739243075598</v>
      </c>
    </row>
    <row r="32" spans="1:6" x14ac:dyDescent="0.2">
      <c r="A32" s="26" t="s">
        <v>132</v>
      </c>
      <c r="B32" s="26" t="s">
        <v>131</v>
      </c>
      <c r="C32" s="26" t="s">
        <v>91</v>
      </c>
      <c r="D32" s="30">
        <v>700</v>
      </c>
      <c r="E32" s="28">
        <v>6988.8909999999996</v>
      </c>
      <c r="F32" s="29">
        <v>0.70881653077638695</v>
      </c>
    </row>
    <row r="33" spans="1:9" x14ac:dyDescent="0.2">
      <c r="A33" s="26" t="s">
        <v>134</v>
      </c>
      <c r="B33" s="26" t="s">
        <v>133</v>
      </c>
      <c r="C33" s="26" t="s">
        <v>91</v>
      </c>
      <c r="D33" s="30">
        <v>670</v>
      </c>
      <c r="E33" s="28">
        <v>6871.4998999999998</v>
      </c>
      <c r="F33" s="29">
        <v>0.69691067157125297</v>
      </c>
    </row>
    <row r="34" spans="1:9" x14ac:dyDescent="0.2">
      <c r="A34" s="26" t="s">
        <v>136</v>
      </c>
      <c r="B34" s="26" t="s">
        <v>135</v>
      </c>
      <c r="C34" s="26" t="s">
        <v>91</v>
      </c>
      <c r="D34" s="30">
        <v>550</v>
      </c>
      <c r="E34" s="28">
        <v>5406.4504999999999</v>
      </c>
      <c r="F34" s="29">
        <v>0.54832468945706303</v>
      </c>
    </row>
    <row r="35" spans="1:9" x14ac:dyDescent="0.2">
      <c r="A35" s="26" t="s">
        <v>138</v>
      </c>
      <c r="B35" s="26" t="s">
        <v>137</v>
      </c>
      <c r="C35" s="26" t="s">
        <v>139</v>
      </c>
      <c r="D35" s="30">
        <v>550</v>
      </c>
      <c r="E35" s="28">
        <v>5256.174</v>
      </c>
      <c r="F35" s="29">
        <v>0.53308357790056304</v>
      </c>
    </row>
    <row r="36" spans="1:9" x14ac:dyDescent="0.2">
      <c r="A36" s="26" t="s">
        <v>141</v>
      </c>
      <c r="B36" s="26" t="s">
        <v>140</v>
      </c>
      <c r="C36" s="26" t="s">
        <v>85</v>
      </c>
      <c r="D36" s="30">
        <v>500</v>
      </c>
      <c r="E36" s="28">
        <v>5204.7250000000004</v>
      </c>
      <c r="F36" s="29">
        <v>0.52786559672273203</v>
      </c>
    </row>
    <row r="37" spans="1:9" x14ac:dyDescent="0.2">
      <c r="A37" s="26" t="s">
        <v>143</v>
      </c>
      <c r="B37" s="26" t="s">
        <v>142</v>
      </c>
      <c r="C37" s="26" t="s">
        <v>104</v>
      </c>
      <c r="D37" s="30">
        <v>2030</v>
      </c>
      <c r="E37" s="28">
        <v>5064.5048999999999</v>
      </c>
      <c r="F37" s="29">
        <v>0.51364440986674598</v>
      </c>
    </row>
    <row r="38" spans="1:9" x14ac:dyDescent="0.2">
      <c r="A38" s="26" t="s">
        <v>145</v>
      </c>
      <c r="B38" s="26" t="s">
        <v>144</v>
      </c>
      <c r="C38" s="26" t="s">
        <v>79</v>
      </c>
      <c r="D38" s="30">
        <v>502</v>
      </c>
      <c r="E38" s="28">
        <v>5048.8700200000003</v>
      </c>
      <c r="F38" s="29">
        <v>0.51205871316598095</v>
      </c>
    </row>
    <row r="39" spans="1:9" x14ac:dyDescent="0.2">
      <c r="A39" s="26" t="s">
        <v>147</v>
      </c>
      <c r="B39" s="26" t="s">
        <v>146</v>
      </c>
      <c r="C39" s="26" t="s">
        <v>139</v>
      </c>
      <c r="D39" s="30">
        <v>300000</v>
      </c>
      <c r="E39" s="28">
        <v>2857.623</v>
      </c>
      <c r="F39" s="29">
        <v>0.28982143535030203</v>
      </c>
    </row>
    <row r="40" spans="1:9" x14ac:dyDescent="0.2">
      <c r="A40" s="26" t="s">
        <v>149</v>
      </c>
      <c r="B40" s="26" t="s">
        <v>148</v>
      </c>
      <c r="C40" s="26" t="s">
        <v>150</v>
      </c>
      <c r="D40" s="30">
        <v>280</v>
      </c>
      <c r="E40" s="28">
        <v>2816.9371999999998</v>
      </c>
      <c r="F40" s="29">
        <v>0.28569506285316898</v>
      </c>
    </row>
    <row r="41" spans="1:9" x14ac:dyDescent="0.2">
      <c r="A41" s="26" t="s">
        <v>152</v>
      </c>
      <c r="B41" s="26" t="s">
        <v>151</v>
      </c>
      <c r="C41" s="26" t="s">
        <v>82</v>
      </c>
      <c r="D41" s="30">
        <v>500</v>
      </c>
      <c r="E41" s="28">
        <v>2503.7399999999998</v>
      </c>
      <c r="F41" s="29">
        <v>0.25393045917672402</v>
      </c>
    </row>
    <row r="42" spans="1:9" x14ac:dyDescent="0.2">
      <c r="A42" s="26" t="s">
        <v>154</v>
      </c>
      <c r="B42" s="26" t="s">
        <v>153</v>
      </c>
      <c r="C42" s="26" t="s">
        <v>139</v>
      </c>
      <c r="D42" s="30">
        <v>200</v>
      </c>
      <c r="E42" s="28">
        <v>1973.932</v>
      </c>
      <c r="F42" s="29">
        <v>0.20019708881258799</v>
      </c>
    </row>
    <row r="43" spans="1:9" x14ac:dyDescent="0.2">
      <c r="A43" s="26" t="s">
        <v>156</v>
      </c>
      <c r="B43" s="26" t="s">
        <v>155</v>
      </c>
      <c r="C43" s="26" t="s">
        <v>157</v>
      </c>
      <c r="D43" s="30">
        <v>200</v>
      </c>
      <c r="E43" s="28">
        <v>1485.7874999999999</v>
      </c>
      <c r="F43" s="29">
        <v>0.150689249728021</v>
      </c>
    </row>
    <row r="44" spans="1:9" x14ac:dyDescent="0.2">
      <c r="A44" s="26" t="s">
        <v>159</v>
      </c>
      <c r="B44" s="26" t="s">
        <v>158</v>
      </c>
      <c r="C44" s="26" t="s">
        <v>104</v>
      </c>
      <c r="D44" s="30">
        <v>61</v>
      </c>
      <c r="E44" s="28">
        <v>598.58568000000002</v>
      </c>
      <c r="F44" s="29">
        <v>6.0708834215617902E-2</v>
      </c>
    </row>
    <row r="45" spans="1:9" x14ac:dyDescent="0.2">
      <c r="A45" s="26" t="s">
        <v>161</v>
      </c>
      <c r="B45" s="26" t="s">
        <v>160</v>
      </c>
      <c r="C45" s="26" t="s">
        <v>82</v>
      </c>
      <c r="D45" s="30">
        <v>70</v>
      </c>
      <c r="E45" s="28">
        <v>576.87840000000006</v>
      </c>
      <c r="F45" s="29">
        <v>5.8507271921658603E-2</v>
      </c>
    </row>
    <row r="46" spans="1:9" x14ac:dyDescent="0.2">
      <c r="A46" s="26" t="s">
        <v>163</v>
      </c>
      <c r="B46" s="26" t="s">
        <v>162</v>
      </c>
      <c r="C46" s="26" t="s">
        <v>79</v>
      </c>
      <c r="D46" s="30">
        <v>34</v>
      </c>
      <c r="E46" s="28">
        <v>341.98968000000002</v>
      </c>
      <c r="F46" s="29">
        <v>3.4684750204134897E-2</v>
      </c>
    </row>
    <row r="47" spans="1:9" x14ac:dyDescent="0.2">
      <c r="A47" s="26" t="s">
        <v>165</v>
      </c>
      <c r="B47" s="26" t="s">
        <v>164</v>
      </c>
      <c r="C47" s="26" t="s">
        <v>166</v>
      </c>
      <c r="D47" s="30">
        <v>22</v>
      </c>
      <c r="E47" s="28">
        <v>232.36114000000001</v>
      </c>
      <c r="F47" s="29">
        <v>2.3566173394612401E-2</v>
      </c>
    </row>
    <row r="48" spans="1:9" ht="10.5" x14ac:dyDescent="0.25">
      <c r="A48" s="25" t="s">
        <v>167</v>
      </c>
      <c r="B48" s="25"/>
      <c r="C48" s="25"/>
      <c r="D48" s="31"/>
      <c r="E48" s="32">
        <f>SUM(E6:E47)</f>
        <v>564461.96504000039</v>
      </c>
      <c r="F48" s="33">
        <f>SUM(F6:F47)</f>
        <v>57.247991393037132</v>
      </c>
      <c r="G48" s="17"/>
      <c r="H48" s="17"/>
      <c r="I48" s="17"/>
    </row>
    <row r="49" spans="1:6" x14ac:dyDescent="0.2">
      <c r="A49" s="26"/>
      <c r="B49" s="26"/>
      <c r="C49" s="26"/>
      <c r="D49" s="27"/>
      <c r="E49" s="28"/>
      <c r="F49" s="29"/>
    </row>
    <row r="50" spans="1:6" ht="10.5" x14ac:dyDescent="0.25">
      <c r="A50" s="25" t="s">
        <v>168</v>
      </c>
      <c r="B50" s="26"/>
      <c r="C50" s="26"/>
      <c r="D50" s="27"/>
      <c r="E50" s="28"/>
      <c r="F50" s="29"/>
    </row>
    <row r="51" spans="1:6" x14ac:dyDescent="0.2">
      <c r="A51" s="26" t="s">
        <v>170</v>
      </c>
      <c r="B51" s="26" t="s">
        <v>169</v>
      </c>
      <c r="C51" s="26" t="s">
        <v>79</v>
      </c>
      <c r="D51" s="30">
        <v>3900</v>
      </c>
      <c r="E51" s="28">
        <v>38999.843999999997</v>
      </c>
      <c r="F51" s="29">
        <v>3.9553820663250101</v>
      </c>
    </row>
    <row r="52" spans="1:6" x14ac:dyDescent="0.2">
      <c r="A52" s="26" t="s">
        <v>172</v>
      </c>
      <c r="B52" s="26" t="s">
        <v>171</v>
      </c>
      <c r="C52" s="26" t="s">
        <v>139</v>
      </c>
      <c r="D52" s="30">
        <v>2400</v>
      </c>
      <c r="E52" s="28">
        <v>29909.975999999999</v>
      </c>
      <c r="F52" s="29">
        <v>3.0334834845650001</v>
      </c>
    </row>
    <row r="53" spans="1:6" x14ac:dyDescent="0.2">
      <c r="A53" s="26" t="s">
        <v>174</v>
      </c>
      <c r="B53" s="26" t="s">
        <v>173</v>
      </c>
      <c r="C53" s="26" t="s">
        <v>88</v>
      </c>
      <c r="D53" s="30">
        <v>2350</v>
      </c>
      <c r="E53" s="28">
        <v>23410.23</v>
      </c>
      <c r="F53" s="29">
        <v>2.3742762640420798</v>
      </c>
    </row>
    <row r="54" spans="1:6" x14ac:dyDescent="0.2">
      <c r="A54" s="26" t="s">
        <v>176</v>
      </c>
      <c r="B54" s="26" t="s">
        <v>175</v>
      </c>
      <c r="C54" s="26" t="s">
        <v>76</v>
      </c>
      <c r="D54" s="30">
        <v>2000</v>
      </c>
      <c r="E54" s="28">
        <v>22559.22</v>
      </c>
      <c r="F54" s="29">
        <v>2.2879664395139798</v>
      </c>
    </row>
    <row r="55" spans="1:6" x14ac:dyDescent="0.2">
      <c r="A55" s="26" t="s">
        <v>178</v>
      </c>
      <c r="B55" s="26" t="s">
        <v>177</v>
      </c>
      <c r="C55" s="26" t="s">
        <v>88</v>
      </c>
      <c r="D55" s="30">
        <v>2000</v>
      </c>
      <c r="E55" s="28">
        <v>19924.12</v>
      </c>
      <c r="F55" s="29">
        <v>2.0207133888870801</v>
      </c>
    </row>
    <row r="56" spans="1:6" x14ac:dyDescent="0.2">
      <c r="A56" s="26" t="s">
        <v>180</v>
      </c>
      <c r="B56" s="26" t="s">
        <v>179</v>
      </c>
      <c r="C56" s="26" t="s">
        <v>181</v>
      </c>
      <c r="D56" s="30">
        <v>20127</v>
      </c>
      <c r="E56" s="28">
        <v>19251.274229999999</v>
      </c>
      <c r="F56" s="29">
        <v>1.9524730622831901</v>
      </c>
    </row>
    <row r="57" spans="1:6" x14ac:dyDescent="0.2">
      <c r="A57" s="26" t="s">
        <v>183</v>
      </c>
      <c r="B57" s="26" t="s">
        <v>182</v>
      </c>
      <c r="C57" s="26" t="s">
        <v>181</v>
      </c>
      <c r="D57" s="30">
        <v>890</v>
      </c>
      <c r="E57" s="28">
        <v>13373.5049</v>
      </c>
      <c r="F57" s="29">
        <v>1.3563470009103</v>
      </c>
    </row>
    <row r="58" spans="1:6" x14ac:dyDescent="0.2">
      <c r="A58" s="26" t="s">
        <v>185</v>
      </c>
      <c r="B58" s="26" t="s">
        <v>184</v>
      </c>
      <c r="C58" s="26" t="s">
        <v>181</v>
      </c>
      <c r="D58" s="30">
        <v>1190</v>
      </c>
      <c r="E58" s="28">
        <v>11915.1844</v>
      </c>
      <c r="F58" s="29">
        <v>1.20844346692042</v>
      </c>
    </row>
    <row r="59" spans="1:6" x14ac:dyDescent="0.2">
      <c r="A59" s="26" t="s">
        <v>187</v>
      </c>
      <c r="B59" s="26" t="s">
        <v>186</v>
      </c>
      <c r="C59" s="26" t="s">
        <v>188</v>
      </c>
      <c r="D59" s="30">
        <v>650</v>
      </c>
      <c r="E59" s="28">
        <v>11770.869500000001</v>
      </c>
      <c r="F59" s="29">
        <v>1.19380698357029</v>
      </c>
    </row>
    <row r="60" spans="1:6" x14ac:dyDescent="0.2">
      <c r="A60" s="26" t="s">
        <v>190</v>
      </c>
      <c r="B60" s="26" t="s">
        <v>189</v>
      </c>
      <c r="C60" s="26" t="s">
        <v>88</v>
      </c>
      <c r="D60" s="30">
        <v>1000</v>
      </c>
      <c r="E60" s="28">
        <v>10072.99</v>
      </c>
      <c r="F60" s="29">
        <v>1.0216072659232001</v>
      </c>
    </row>
    <row r="61" spans="1:6" x14ac:dyDescent="0.2">
      <c r="A61" s="26" t="s">
        <v>192</v>
      </c>
      <c r="B61" s="26" t="s">
        <v>191</v>
      </c>
      <c r="C61" s="26" t="s">
        <v>88</v>
      </c>
      <c r="D61" s="30">
        <v>1000</v>
      </c>
      <c r="E61" s="28">
        <v>10050.86</v>
      </c>
      <c r="F61" s="29">
        <v>1.0193628311729499</v>
      </c>
    </row>
    <row r="62" spans="1:6" x14ac:dyDescent="0.2">
      <c r="A62" s="26" t="s">
        <v>194</v>
      </c>
      <c r="B62" s="26" t="s">
        <v>193</v>
      </c>
      <c r="C62" s="26" t="s">
        <v>88</v>
      </c>
      <c r="D62" s="30">
        <v>1000</v>
      </c>
      <c r="E62" s="28">
        <v>10046.24</v>
      </c>
      <c r="F62" s="29">
        <v>1.01889426865392</v>
      </c>
    </row>
    <row r="63" spans="1:6" x14ac:dyDescent="0.2">
      <c r="A63" s="26" t="s">
        <v>196</v>
      </c>
      <c r="B63" s="26" t="s">
        <v>195</v>
      </c>
      <c r="C63" s="26" t="s">
        <v>88</v>
      </c>
      <c r="D63" s="30">
        <v>1000</v>
      </c>
      <c r="E63" s="28">
        <v>10035.41</v>
      </c>
      <c r="F63" s="29">
        <v>1.01779588508658</v>
      </c>
    </row>
    <row r="64" spans="1:6" x14ac:dyDescent="0.2">
      <c r="A64" s="26" t="s">
        <v>198</v>
      </c>
      <c r="B64" s="26" t="s">
        <v>197</v>
      </c>
      <c r="C64" s="26" t="s">
        <v>88</v>
      </c>
      <c r="D64" s="30">
        <v>900</v>
      </c>
      <c r="E64" s="28">
        <v>9056.1059999999998</v>
      </c>
      <c r="F64" s="29">
        <v>0.91847442423457704</v>
      </c>
    </row>
    <row r="65" spans="1:9" x14ac:dyDescent="0.2">
      <c r="A65" s="26" t="s">
        <v>200</v>
      </c>
      <c r="B65" s="26" t="s">
        <v>199</v>
      </c>
      <c r="C65" s="26" t="s">
        <v>88</v>
      </c>
      <c r="D65" s="30">
        <v>850</v>
      </c>
      <c r="E65" s="28">
        <v>8546.3505000000005</v>
      </c>
      <c r="F65" s="29">
        <v>0.86677478761781201</v>
      </c>
    </row>
    <row r="66" spans="1:9" x14ac:dyDescent="0.2">
      <c r="A66" s="26" t="s">
        <v>202</v>
      </c>
      <c r="B66" s="26" t="s">
        <v>201</v>
      </c>
      <c r="C66" s="26" t="s">
        <v>181</v>
      </c>
      <c r="D66" s="30">
        <v>2500</v>
      </c>
      <c r="E66" s="28">
        <v>1245.1824999999999</v>
      </c>
      <c r="F66" s="29">
        <v>0.12628698027104299</v>
      </c>
    </row>
    <row r="67" spans="1:9" x14ac:dyDescent="0.2">
      <c r="A67" s="26" t="s">
        <v>204</v>
      </c>
      <c r="B67" s="26" t="s">
        <v>203</v>
      </c>
      <c r="C67" s="26" t="s">
        <v>73</v>
      </c>
      <c r="D67" s="30">
        <v>7</v>
      </c>
      <c r="E67" s="28">
        <v>940.10490000000004</v>
      </c>
      <c r="F67" s="29">
        <v>9.5345870150769493E-2</v>
      </c>
    </row>
    <row r="68" spans="1:9" ht="10.5" x14ac:dyDescent="0.25">
      <c r="A68" s="25" t="s">
        <v>167</v>
      </c>
      <c r="B68" s="25"/>
      <c r="C68" s="25"/>
      <c r="D68" s="31"/>
      <c r="E68" s="32">
        <f>SUM(E50:E67)</f>
        <v>251107.46692999997</v>
      </c>
      <c r="F68" s="33">
        <f>SUM(F50:F67)</f>
        <v>25.4674344701282</v>
      </c>
      <c r="G68" s="17"/>
      <c r="H68" s="17"/>
      <c r="I68" s="17"/>
    </row>
    <row r="69" spans="1:9" x14ac:dyDescent="0.2">
      <c r="A69" s="26"/>
      <c r="B69" s="26"/>
      <c r="C69" s="26"/>
      <c r="D69" s="27"/>
      <c r="E69" s="28"/>
      <c r="F69" s="29"/>
    </row>
    <row r="70" spans="1:9" ht="10.5" x14ac:dyDescent="0.25">
      <c r="A70" s="25" t="s">
        <v>205</v>
      </c>
      <c r="B70" s="25"/>
      <c r="C70" s="25"/>
      <c r="D70" s="31"/>
      <c r="E70" s="32">
        <f>E48+E68</f>
        <v>815569.43197000038</v>
      </c>
      <c r="F70" s="33">
        <f>F48+F68</f>
        <v>82.715425863165336</v>
      </c>
      <c r="G70" s="17"/>
      <c r="H70" s="17"/>
      <c r="I70" s="17"/>
    </row>
    <row r="71" spans="1:9" ht="10.5" x14ac:dyDescent="0.25">
      <c r="A71" s="25"/>
      <c r="B71" s="25"/>
      <c r="C71" s="25"/>
      <c r="D71" s="31"/>
      <c r="E71" s="32"/>
      <c r="F71" s="33"/>
      <c r="G71" s="17"/>
      <c r="H71" s="17"/>
      <c r="I71" s="17"/>
    </row>
    <row r="72" spans="1:9" ht="10.5" x14ac:dyDescent="0.25">
      <c r="A72" s="25" t="s">
        <v>207</v>
      </c>
      <c r="B72" s="25"/>
      <c r="C72" s="25"/>
      <c r="D72" s="31"/>
      <c r="E72" s="32">
        <f>E74-(E48+E68)</f>
        <v>170424.92574409966</v>
      </c>
      <c r="F72" s="33">
        <f>F74-(F48+F68)</f>
        <v>17.284574136834664</v>
      </c>
      <c r="G72" s="17"/>
      <c r="H72" s="17"/>
      <c r="I72" s="17"/>
    </row>
    <row r="73" spans="1:9" ht="10.5" x14ac:dyDescent="0.25">
      <c r="A73" s="25"/>
      <c r="B73" s="25"/>
      <c r="C73" s="25"/>
      <c r="D73" s="31"/>
      <c r="E73" s="32"/>
      <c r="F73" s="33"/>
      <c r="G73" s="17"/>
      <c r="H73" s="17"/>
      <c r="I73" s="17"/>
    </row>
    <row r="74" spans="1:9" ht="10.5" x14ac:dyDescent="0.25">
      <c r="A74" s="34" t="s">
        <v>206</v>
      </c>
      <c r="B74" s="34"/>
      <c r="C74" s="34"/>
      <c r="D74" s="35"/>
      <c r="E74" s="36">
        <v>985994.35771410004</v>
      </c>
      <c r="F74" s="37">
        <v>100</v>
      </c>
      <c r="G74" s="17"/>
      <c r="H74" s="17"/>
      <c r="I74" s="17"/>
    </row>
    <row r="75" spans="1:9" ht="10.5" x14ac:dyDescent="0.25">
      <c r="A75" s="84" t="s">
        <v>209</v>
      </c>
    </row>
    <row r="76" spans="1:9" ht="10.5" x14ac:dyDescent="0.25">
      <c r="A76" s="84"/>
    </row>
    <row r="77" spans="1:9" s="78" customFormat="1" ht="10.5" x14ac:dyDescent="0.25">
      <c r="A77" s="84"/>
      <c r="D77" s="79"/>
      <c r="E77" s="82"/>
      <c r="F77" s="83"/>
    </row>
    <row r="78" spans="1:9" ht="10.5" x14ac:dyDescent="0.25">
      <c r="A78" s="17" t="s">
        <v>210</v>
      </c>
    </row>
    <row r="79" spans="1:9" ht="10.5" x14ac:dyDescent="0.25">
      <c r="A79" s="17" t="s">
        <v>211</v>
      </c>
    </row>
    <row r="80" spans="1:9" ht="10.5" x14ac:dyDescent="0.25">
      <c r="A80" s="17" t="s">
        <v>212</v>
      </c>
      <c r="B80" s="17"/>
      <c r="C80" s="38" t="s">
        <v>214</v>
      </c>
      <c r="D80" s="18" t="s">
        <v>213</v>
      </c>
    </row>
    <row r="81" spans="1:5" x14ac:dyDescent="0.2">
      <c r="A81" s="10" t="s">
        <v>215</v>
      </c>
      <c r="C81" s="39">
        <v>25.5947</v>
      </c>
      <c r="D81" s="39">
        <v>26.717700000000001</v>
      </c>
    </row>
    <row r="82" spans="1:5" x14ac:dyDescent="0.2">
      <c r="A82" s="10" t="s">
        <v>216</v>
      </c>
      <c r="C82" s="39">
        <v>9.6495999999999995</v>
      </c>
      <c r="D82" s="39">
        <v>10.073</v>
      </c>
    </row>
    <row r="83" spans="1:5" x14ac:dyDescent="0.2">
      <c r="A83" s="10" t="s">
        <v>217</v>
      </c>
      <c r="C83" s="39">
        <v>9.7294</v>
      </c>
      <c r="D83" s="39">
        <v>10.1563</v>
      </c>
    </row>
    <row r="84" spans="1:5" x14ac:dyDescent="0.2">
      <c r="A84" s="10" t="s">
        <v>218</v>
      </c>
      <c r="C84" s="39">
        <v>26.222000000000001</v>
      </c>
      <c r="D84" s="39">
        <v>27.3916</v>
      </c>
    </row>
    <row r="85" spans="1:5" x14ac:dyDescent="0.2">
      <c r="A85" s="10" t="s">
        <v>219</v>
      </c>
      <c r="C85" s="39">
        <v>9.6031999999999993</v>
      </c>
      <c r="D85" s="39">
        <v>10.031700000000001</v>
      </c>
    </row>
    <row r="86" spans="1:5" x14ac:dyDescent="0.2">
      <c r="A86" s="10" t="s">
        <v>220</v>
      </c>
      <c r="C86" s="39">
        <v>27.081800000000001</v>
      </c>
      <c r="D86" s="39">
        <v>28.3034</v>
      </c>
    </row>
    <row r="87" spans="1:5" x14ac:dyDescent="0.2">
      <c r="A87" s="10" t="s">
        <v>221</v>
      </c>
      <c r="C87" s="39">
        <v>9.6796000000000006</v>
      </c>
      <c r="D87" s="39">
        <v>10.116300000000001</v>
      </c>
    </row>
    <row r="88" spans="1:5" x14ac:dyDescent="0.2">
      <c r="A88" s="10" t="s">
        <v>222</v>
      </c>
      <c r="C88" s="39">
        <v>9.7048000000000005</v>
      </c>
      <c r="D88" s="39">
        <v>10.1425</v>
      </c>
    </row>
    <row r="89" spans="1:5" x14ac:dyDescent="0.2">
      <c r="A89" s="10" t="s">
        <v>223</v>
      </c>
      <c r="C89" s="39">
        <v>27.222899999999999</v>
      </c>
      <c r="D89" s="39">
        <v>28.464099999999998</v>
      </c>
    </row>
    <row r="90" spans="1:5" x14ac:dyDescent="0.2">
      <c r="A90" s="10" t="s">
        <v>224</v>
      </c>
      <c r="C90" s="39">
        <v>9.6623999999999999</v>
      </c>
      <c r="D90" s="39">
        <v>10.1027</v>
      </c>
    </row>
    <row r="91" spans="1:5" x14ac:dyDescent="0.2">
      <c r="A91" s="10" t="s">
        <v>225</v>
      </c>
      <c r="C91" s="39">
        <v>9.6980000000000004</v>
      </c>
      <c r="D91" s="39">
        <v>10.14</v>
      </c>
    </row>
    <row r="93" spans="1:5" ht="10.5" x14ac:dyDescent="0.25">
      <c r="A93" s="17" t="s">
        <v>226</v>
      </c>
      <c r="D93" s="40" t="s">
        <v>227</v>
      </c>
    </row>
    <row r="95" spans="1:5" ht="10.5" x14ac:dyDescent="0.25">
      <c r="A95" s="17" t="s">
        <v>228</v>
      </c>
      <c r="D95" s="41">
        <v>0.35373150676712328</v>
      </c>
      <c r="E95" s="15" t="s">
        <v>229</v>
      </c>
    </row>
    <row r="96" spans="1:5" ht="43.5" customHeight="1" x14ac:dyDescent="0.2">
      <c r="A96" s="139" t="s">
        <v>1596</v>
      </c>
      <c r="B96" s="140"/>
      <c r="C96" s="140"/>
      <c r="D96" s="140"/>
      <c r="E96" s="140"/>
    </row>
    <row r="97" spans="1:6" s="78" customFormat="1" ht="14.5" x14ac:dyDescent="0.2">
      <c r="A97" s="137"/>
      <c r="B97" s="138"/>
      <c r="C97" s="138"/>
      <c r="D97" s="138"/>
      <c r="E97" s="138"/>
      <c r="F97" s="83"/>
    </row>
    <row r="98" spans="1:6" s="78" customFormat="1" ht="10.5" x14ac:dyDescent="0.25">
      <c r="A98" s="84" t="s">
        <v>230</v>
      </c>
      <c r="D98" s="103" t="s">
        <v>227</v>
      </c>
      <c r="E98" s="82"/>
      <c r="F98" s="83"/>
    </row>
    <row r="100" spans="1:6" ht="30" customHeight="1" x14ac:dyDescent="0.2">
      <c r="A100" s="149" t="s">
        <v>1586</v>
      </c>
      <c r="B100" s="149"/>
      <c r="C100" s="149"/>
      <c r="D100" s="149"/>
      <c r="E100" s="149"/>
      <c r="F100" s="149"/>
    </row>
  </sheetData>
  <mergeCells count="3">
    <mergeCell ref="A1:F1"/>
    <mergeCell ref="A100:F100"/>
    <mergeCell ref="A96:E96"/>
  </mergeCells>
  <conditionalFormatting sqref="F2:F3 F5:F97 F99 F101:F65533">
    <cfRule type="cellIs" dxfId="87" priority="2" stopIfTrue="1" operator="between">
      <formula>0.009</formula>
      <formula>-0.009</formula>
    </cfRule>
  </conditionalFormatting>
  <conditionalFormatting sqref="F98">
    <cfRule type="cellIs" dxfId="8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1"/>
  <sheetViews>
    <sheetView workbookViewId="0">
      <selection sqref="A1:F1"/>
    </sheetView>
  </sheetViews>
  <sheetFormatPr defaultColWidth="9.1796875" defaultRowHeight="10" x14ac:dyDescent="0.2"/>
  <cols>
    <col min="1" max="1" width="38.7265625" style="10" bestFit="1" customWidth="1"/>
    <col min="2" max="2" width="69.1796875" style="10" bestFit="1" customWidth="1"/>
    <col min="3" max="3" width="15.1796875" style="10" bestFit="1" customWidth="1"/>
    <col min="4" max="4" width="14.7265625" style="11" bestFit="1" customWidth="1"/>
    <col min="5" max="5" width="23" style="15" bestFit="1" customWidth="1"/>
    <col min="6" max="6" width="14.7265625" style="16" bestFit="1" customWidth="1"/>
    <col min="7" max="7" width="6.1796875" style="10" bestFit="1" customWidth="1"/>
    <col min="8" max="16384" width="9.1796875" style="10"/>
  </cols>
  <sheetData>
    <row r="1" spans="1:6" s="1" customFormat="1" ht="14" x14ac:dyDescent="0.25">
      <c r="A1" s="143" t="s">
        <v>8</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105"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234</v>
      </c>
      <c r="B7" s="26" t="s">
        <v>233</v>
      </c>
      <c r="C7" s="26" t="s">
        <v>139</v>
      </c>
      <c r="D7" s="30">
        <v>7200</v>
      </c>
      <c r="E7" s="28">
        <v>62374.175999999999</v>
      </c>
      <c r="F7" s="29">
        <v>11.661453596791601</v>
      </c>
    </row>
    <row r="8" spans="1:6" x14ac:dyDescent="0.2">
      <c r="A8" s="26" t="s">
        <v>236</v>
      </c>
      <c r="B8" s="26" t="s">
        <v>235</v>
      </c>
      <c r="C8" s="26" t="s">
        <v>91</v>
      </c>
      <c r="D8" s="30">
        <v>4813</v>
      </c>
      <c r="E8" s="28">
        <v>37318.384830000003</v>
      </c>
      <c r="F8" s="29">
        <v>6.9770318569380096</v>
      </c>
    </row>
    <row r="9" spans="1:6" x14ac:dyDescent="0.2">
      <c r="A9" s="26" t="s">
        <v>161</v>
      </c>
      <c r="B9" s="26" t="s">
        <v>160</v>
      </c>
      <c r="C9" s="26" t="s">
        <v>82</v>
      </c>
      <c r="D9" s="30">
        <v>3100</v>
      </c>
      <c r="E9" s="28">
        <v>25547.472000000002</v>
      </c>
      <c r="F9" s="29">
        <v>4.7763462116651301</v>
      </c>
    </row>
    <row r="10" spans="1:6" x14ac:dyDescent="0.2">
      <c r="A10" s="26" t="s">
        <v>238</v>
      </c>
      <c r="B10" s="26" t="s">
        <v>237</v>
      </c>
      <c r="C10" s="26" t="s">
        <v>104</v>
      </c>
      <c r="D10" s="30">
        <v>11135</v>
      </c>
      <c r="E10" s="28">
        <v>22591.445179999999</v>
      </c>
      <c r="F10" s="29">
        <v>4.2236884965186903</v>
      </c>
    </row>
    <row r="11" spans="1:6" x14ac:dyDescent="0.2">
      <c r="A11" s="26" t="s">
        <v>240</v>
      </c>
      <c r="B11" s="26" t="s">
        <v>239</v>
      </c>
      <c r="C11" s="26" t="s">
        <v>104</v>
      </c>
      <c r="D11" s="30">
        <v>10675</v>
      </c>
      <c r="E11" s="28">
        <v>21749.9709</v>
      </c>
      <c r="F11" s="29">
        <v>4.0663667666233998</v>
      </c>
    </row>
    <row r="12" spans="1:6" x14ac:dyDescent="0.2">
      <c r="A12" s="26" t="s">
        <v>242</v>
      </c>
      <c r="B12" s="26" t="s">
        <v>241</v>
      </c>
      <c r="C12" s="26" t="s">
        <v>243</v>
      </c>
      <c r="D12" s="30">
        <v>2100</v>
      </c>
      <c r="E12" s="28">
        <v>21262.773000000001</v>
      </c>
      <c r="F12" s="29">
        <v>3.97528042179851</v>
      </c>
    </row>
    <row r="13" spans="1:6" x14ac:dyDescent="0.2">
      <c r="A13" s="26" t="s">
        <v>84</v>
      </c>
      <c r="B13" s="26" t="s">
        <v>83</v>
      </c>
      <c r="C13" s="26" t="s">
        <v>85</v>
      </c>
      <c r="D13" s="30">
        <v>2020</v>
      </c>
      <c r="E13" s="28">
        <v>20041.995599999998</v>
      </c>
      <c r="F13" s="29">
        <v>3.7470443164892901</v>
      </c>
    </row>
    <row r="14" spans="1:6" x14ac:dyDescent="0.2">
      <c r="A14" s="26" t="s">
        <v>115</v>
      </c>
      <c r="B14" s="26" t="s">
        <v>114</v>
      </c>
      <c r="C14" s="26" t="s">
        <v>104</v>
      </c>
      <c r="D14" s="30">
        <v>1349</v>
      </c>
      <c r="E14" s="28">
        <v>13364.543</v>
      </c>
      <c r="F14" s="29">
        <v>2.4986301708711398</v>
      </c>
    </row>
    <row r="15" spans="1:6" x14ac:dyDescent="0.2">
      <c r="A15" s="26" t="s">
        <v>245</v>
      </c>
      <c r="B15" s="26" t="s">
        <v>244</v>
      </c>
      <c r="C15" s="26" t="s">
        <v>82</v>
      </c>
      <c r="D15" s="30">
        <v>12500</v>
      </c>
      <c r="E15" s="28">
        <v>12408.4125</v>
      </c>
      <c r="F15" s="29">
        <v>2.31987235516505</v>
      </c>
    </row>
    <row r="16" spans="1:6" x14ac:dyDescent="0.2">
      <c r="A16" s="26" t="s">
        <v>247</v>
      </c>
      <c r="B16" s="26" t="s">
        <v>246</v>
      </c>
      <c r="C16" s="26" t="s">
        <v>91</v>
      </c>
      <c r="D16" s="30">
        <v>1250</v>
      </c>
      <c r="E16" s="28">
        <v>12006.862499999999</v>
      </c>
      <c r="F16" s="29">
        <v>2.2447987110372001</v>
      </c>
    </row>
    <row r="17" spans="1:6" x14ac:dyDescent="0.2">
      <c r="A17" s="26" t="s">
        <v>249</v>
      </c>
      <c r="B17" s="26" t="s">
        <v>248</v>
      </c>
      <c r="C17" s="26" t="s">
        <v>150</v>
      </c>
      <c r="D17" s="30">
        <v>1180</v>
      </c>
      <c r="E17" s="28">
        <v>11746.781999999999</v>
      </c>
      <c r="F17" s="29">
        <v>2.1961741539419699</v>
      </c>
    </row>
    <row r="18" spans="1:6" x14ac:dyDescent="0.2">
      <c r="A18" s="26" t="s">
        <v>251</v>
      </c>
      <c r="B18" s="26" t="s">
        <v>250</v>
      </c>
      <c r="C18" s="26" t="s">
        <v>181</v>
      </c>
      <c r="D18" s="30">
        <v>1150</v>
      </c>
      <c r="E18" s="28">
        <v>11556.718000000001</v>
      </c>
      <c r="F18" s="29">
        <v>2.1606398566003802</v>
      </c>
    </row>
    <row r="19" spans="1:6" x14ac:dyDescent="0.2">
      <c r="A19" s="26" t="s">
        <v>253</v>
      </c>
      <c r="B19" s="26" t="s">
        <v>252</v>
      </c>
      <c r="C19" s="26" t="s">
        <v>139</v>
      </c>
      <c r="D19" s="30">
        <v>1300</v>
      </c>
      <c r="E19" s="28">
        <v>10644.946</v>
      </c>
      <c r="F19" s="29">
        <v>1.9901752901609899</v>
      </c>
    </row>
    <row r="20" spans="1:6" x14ac:dyDescent="0.2">
      <c r="A20" s="26" t="s">
        <v>255</v>
      </c>
      <c r="B20" s="26" t="s">
        <v>254</v>
      </c>
      <c r="C20" s="26" t="s">
        <v>256</v>
      </c>
      <c r="D20" s="30">
        <v>1000</v>
      </c>
      <c r="E20" s="28">
        <v>10447.709999999999</v>
      </c>
      <c r="F20" s="29">
        <v>1.9533001182690699</v>
      </c>
    </row>
    <row r="21" spans="1:6" x14ac:dyDescent="0.2">
      <c r="A21" s="26" t="s">
        <v>156</v>
      </c>
      <c r="B21" s="26" t="s">
        <v>155</v>
      </c>
      <c r="C21" s="26" t="s">
        <v>157</v>
      </c>
      <c r="D21" s="30">
        <v>1390</v>
      </c>
      <c r="E21" s="28">
        <v>10326.22313</v>
      </c>
      <c r="F21" s="29">
        <v>1.9305869765816499</v>
      </c>
    </row>
    <row r="22" spans="1:6" x14ac:dyDescent="0.2">
      <c r="A22" s="26" t="s">
        <v>258</v>
      </c>
      <c r="B22" s="26" t="s">
        <v>257</v>
      </c>
      <c r="C22" s="26" t="s">
        <v>73</v>
      </c>
      <c r="D22" s="30">
        <v>1000</v>
      </c>
      <c r="E22" s="28">
        <v>9706.58</v>
      </c>
      <c r="F22" s="29">
        <v>1.8147387190100299</v>
      </c>
    </row>
    <row r="23" spans="1:6" x14ac:dyDescent="0.2">
      <c r="A23" s="26" t="s">
        <v>159</v>
      </c>
      <c r="B23" s="26" t="s">
        <v>158</v>
      </c>
      <c r="C23" s="26" t="s">
        <v>104</v>
      </c>
      <c r="D23" s="30">
        <v>879</v>
      </c>
      <c r="E23" s="28">
        <v>8625.5215200000002</v>
      </c>
      <c r="F23" s="29">
        <v>1.6126244129238301</v>
      </c>
    </row>
    <row r="24" spans="1:6" x14ac:dyDescent="0.2">
      <c r="A24" s="26" t="s">
        <v>260</v>
      </c>
      <c r="B24" s="26" t="s">
        <v>259</v>
      </c>
      <c r="C24" s="26" t="s">
        <v>82</v>
      </c>
      <c r="D24" s="30">
        <v>8500</v>
      </c>
      <c r="E24" s="28">
        <v>8439.3354999999992</v>
      </c>
      <c r="F24" s="29">
        <v>1.5778151413335899</v>
      </c>
    </row>
    <row r="25" spans="1:6" x14ac:dyDescent="0.2">
      <c r="A25" s="26" t="s">
        <v>261</v>
      </c>
      <c r="B25" s="26" t="s">
        <v>160</v>
      </c>
      <c r="C25" s="26" t="s">
        <v>82</v>
      </c>
      <c r="D25" s="30">
        <v>1000</v>
      </c>
      <c r="E25" s="28">
        <v>8250.44</v>
      </c>
      <c r="F25" s="29">
        <v>1.5424993063333401</v>
      </c>
    </row>
    <row r="26" spans="1:6" x14ac:dyDescent="0.2">
      <c r="A26" s="26" t="s">
        <v>263</v>
      </c>
      <c r="B26" s="26" t="s">
        <v>262</v>
      </c>
      <c r="C26" s="26" t="s">
        <v>104</v>
      </c>
      <c r="D26" s="30">
        <v>822</v>
      </c>
      <c r="E26" s="28">
        <v>7993.4403599999996</v>
      </c>
      <c r="F26" s="29">
        <v>1.4944507457198599</v>
      </c>
    </row>
    <row r="27" spans="1:6" x14ac:dyDescent="0.2">
      <c r="A27" s="26" t="s">
        <v>265</v>
      </c>
      <c r="B27" s="26" t="s">
        <v>264</v>
      </c>
      <c r="C27" s="26" t="s">
        <v>104</v>
      </c>
      <c r="D27" s="30">
        <v>822</v>
      </c>
      <c r="E27" s="28">
        <v>7935.0043800000003</v>
      </c>
      <c r="F27" s="29">
        <v>1.4835255758362</v>
      </c>
    </row>
    <row r="28" spans="1:6" x14ac:dyDescent="0.2">
      <c r="A28" s="26" t="s">
        <v>267</v>
      </c>
      <c r="B28" s="26" t="s">
        <v>266</v>
      </c>
      <c r="C28" s="26" t="s">
        <v>150</v>
      </c>
      <c r="D28" s="30">
        <v>760</v>
      </c>
      <c r="E28" s="28">
        <v>7599.5667999999996</v>
      </c>
      <c r="F28" s="29">
        <v>1.420812286064</v>
      </c>
    </row>
    <row r="29" spans="1:6" x14ac:dyDescent="0.2">
      <c r="A29" s="26" t="s">
        <v>269</v>
      </c>
      <c r="B29" s="26" t="s">
        <v>268</v>
      </c>
      <c r="C29" s="26" t="s">
        <v>181</v>
      </c>
      <c r="D29" s="30">
        <v>750</v>
      </c>
      <c r="E29" s="28">
        <v>7526.1075000000001</v>
      </c>
      <c r="F29" s="29">
        <v>1.40707836165588</v>
      </c>
    </row>
    <row r="30" spans="1:6" x14ac:dyDescent="0.2">
      <c r="A30" s="26" t="s">
        <v>271</v>
      </c>
      <c r="B30" s="26" t="s">
        <v>270</v>
      </c>
      <c r="C30" s="26" t="s">
        <v>104</v>
      </c>
      <c r="D30" s="30">
        <v>754</v>
      </c>
      <c r="E30" s="28">
        <v>7218.0344599999999</v>
      </c>
      <c r="F30" s="29">
        <v>1.34948113647759</v>
      </c>
    </row>
    <row r="31" spans="1:6" x14ac:dyDescent="0.2">
      <c r="A31" s="26" t="s">
        <v>273</v>
      </c>
      <c r="B31" s="26" t="s">
        <v>272</v>
      </c>
      <c r="C31" s="26" t="s">
        <v>157</v>
      </c>
      <c r="D31" s="30">
        <v>690</v>
      </c>
      <c r="E31" s="28">
        <v>6795.4994999999999</v>
      </c>
      <c r="F31" s="29">
        <v>1.2704841517468799</v>
      </c>
    </row>
    <row r="32" spans="1:6" x14ac:dyDescent="0.2">
      <c r="A32" s="26" t="s">
        <v>275</v>
      </c>
      <c r="B32" s="26" t="s">
        <v>274</v>
      </c>
      <c r="C32" s="26" t="s">
        <v>82</v>
      </c>
      <c r="D32" s="30">
        <v>11</v>
      </c>
      <c r="E32" s="28">
        <v>5506.8805000000002</v>
      </c>
      <c r="F32" s="29">
        <v>1.02956440520876</v>
      </c>
    </row>
    <row r="33" spans="1:6" x14ac:dyDescent="0.2">
      <c r="A33" s="26" t="s">
        <v>99</v>
      </c>
      <c r="B33" s="26" t="s">
        <v>98</v>
      </c>
      <c r="C33" s="26" t="s">
        <v>82</v>
      </c>
      <c r="D33" s="30">
        <v>11</v>
      </c>
      <c r="E33" s="28">
        <v>5506.8805000000002</v>
      </c>
      <c r="F33" s="29">
        <v>1.02956440520876</v>
      </c>
    </row>
    <row r="34" spans="1:6" x14ac:dyDescent="0.2">
      <c r="A34" s="26" t="s">
        <v>277</v>
      </c>
      <c r="B34" s="26" t="s">
        <v>276</v>
      </c>
      <c r="C34" s="26" t="s">
        <v>79</v>
      </c>
      <c r="D34" s="30">
        <v>550</v>
      </c>
      <c r="E34" s="28">
        <v>5489.5940000000001</v>
      </c>
      <c r="F34" s="29">
        <v>1.02633252736238</v>
      </c>
    </row>
    <row r="35" spans="1:6" x14ac:dyDescent="0.2">
      <c r="A35" s="26" t="s">
        <v>279</v>
      </c>
      <c r="B35" s="26" t="s">
        <v>278</v>
      </c>
      <c r="C35" s="26" t="s">
        <v>181</v>
      </c>
      <c r="D35" s="30">
        <v>500</v>
      </c>
      <c r="E35" s="28">
        <v>5024.66</v>
      </c>
      <c r="F35" s="29">
        <v>0.93940863330451196</v>
      </c>
    </row>
    <row r="36" spans="1:6" x14ac:dyDescent="0.2">
      <c r="A36" s="26" t="s">
        <v>281</v>
      </c>
      <c r="B36" s="26" t="s">
        <v>280</v>
      </c>
      <c r="C36" s="26" t="s">
        <v>282</v>
      </c>
      <c r="D36" s="30">
        <v>500</v>
      </c>
      <c r="E36" s="28">
        <v>4939.1899999999996</v>
      </c>
      <c r="F36" s="29">
        <v>0.92342919272773005</v>
      </c>
    </row>
    <row r="37" spans="1:6" x14ac:dyDescent="0.2">
      <c r="A37" s="26" t="s">
        <v>283</v>
      </c>
      <c r="B37" s="26" t="s">
        <v>280</v>
      </c>
      <c r="C37" s="26" t="s">
        <v>282</v>
      </c>
      <c r="D37" s="30">
        <v>500</v>
      </c>
      <c r="E37" s="28">
        <v>4938.0550000000003</v>
      </c>
      <c r="F37" s="29">
        <v>0.92321699353439102</v>
      </c>
    </row>
    <row r="38" spans="1:6" x14ac:dyDescent="0.2">
      <c r="A38" s="26" t="s">
        <v>113</v>
      </c>
      <c r="B38" s="26" t="s">
        <v>112</v>
      </c>
      <c r="C38" s="26" t="s">
        <v>91</v>
      </c>
      <c r="D38" s="30">
        <v>500</v>
      </c>
      <c r="E38" s="28">
        <v>4904.7700000000004</v>
      </c>
      <c r="F38" s="29">
        <v>0.916994041860141</v>
      </c>
    </row>
    <row r="39" spans="1:6" x14ac:dyDescent="0.2">
      <c r="A39" s="26" t="s">
        <v>285</v>
      </c>
      <c r="B39" s="26" t="s">
        <v>284</v>
      </c>
      <c r="C39" s="26" t="s">
        <v>286</v>
      </c>
      <c r="D39" s="30">
        <v>460</v>
      </c>
      <c r="E39" s="28">
        <v>4624.817</v>
      </c>
      <c r="F39" s="29">
        <v>0.86465412928506102</v>
      </c>
    </row>
    <row r="40" spans="1:6" x14ac:dyDescent="0.2">
      <c r="A40" s="26" t="s">
        <v>90</v>
      </c>
      <c r="B40" s="26" t="s">
        <v>89</v>
      </c>
      <c r="C40" s="26" t="s">
        <v>91</v>
      </c>
      <c r="D40" s="30">
        <v>450</v>
      </c>
      <c r="E40" s="28">
        <v>4501.2150000000001</v>
      </c>
      <c r="F40" s="29">
        <v>0.84154554365066903</v>
      </c>
    </row>
    <row r="41" spans="1:6" x14ac:dyDescent="0.2">
      <c r="A41" s="26" t="s">
        <v>288</v>
      </c>
      <c r="B41" s="26" t="s">
        <v>287</v>
      </c>
      <c r="C41" s="26" t="s">
        <v>104</v>
      </c>
      <c r="D41" s="30">
        <v>2125</v>
      </c>
      <c r="E41" s="28">
        <v>4243.7015000000001</v>
      </c>
      <c r="F41" s="29">
        <v>0.79340091195569595</v>
      </c>
    </row>
    <row r="42" spans="1:6" x14ac:dyDescent="0.2">
      <c r="A42" s="26" t="s">
        <v>290</v>
      </c>
      <c r="B42" s="26" t="s">
        <v>289</v>
      </c>
      <c r="C42" s="26" t="s">
        <v>150</v>
      </c>
      <c r="D42" s="30">
        <v>370</v>
      </c>
      <c r="E42" s="28">
        <v>3740.7592</v>
      </c>
      <c r="F42" s="29">
        <v>0.69937099974789996</v>
      </c>
    </row>
    <row r="43" spans="1:6" x14ac:dyDescent="0.2">
      <c r="A43" s="26" t="s">
        <v>292</v>
      </c>
      <c r="B43" s="26" t="s">
        <v>291</v>
      </c>
      <c r="C43" s="26" t="s">
        <v>282</v>
      </c>
      <c r="D43" s="30">
        <v>350</v>
      </c>
      <c r="E43" s="28">
        <v>3468.136</v>
      </c>
      <c r="F43" s="29">
        <v>0.64840146395461196</v>
      </c>
    </row>
    <row r="44" spans="1:6" x14ac:dyDescent="0.2">
      <c r="A44" s="26" t="s">
        <v>294</v>
      </c>
      <c r="B44" s="26" t="s">
        <v>293</v>
      </c>
      <c r="C44" s="26" t="s">
        <v>104</v>
      </c>
      <c r="D44" s="30">
        <v>350</v>
      </c>
      <c r="E44" s="28">
        <v>3467.9679999999998</v>
      </c>
      <c r="F44" s="29">
        <v>0.64837005473480502</v>
      </c>
    </row>
    <row r="45" spans="1:6" x14ac:dyDescent="0.2">
      <c r="A45" s="26" t="s">
        <v>296</v>
      </c>
      <c r="B45" s="26" t="s">
        <v>295</v>
      </c>
      <c r="C45" s="26" t="s">
        <v>297</v>
      </c>
      <c r="D45" s="30">
        <v>330</v>
      </c>
      <c r="E45" s="28">
        <v>3283.2755999999999</v>
      </c>
      <c r="F45" s="29">
        <v>0.61384002980461405</v>
      </c>
    </row>
    <row r="46" spans="1:6" x14ac:dyDescent="0.2">
      <c r="A46" s="26" t="s">
        <v>103</v>
      </c>
      <c r="B46" s="26" t="s">
        <v>102</v>
      </c>
      <c r="C46" s="26" t="s">
        <v>104</v>
      </c>
      <c r="D46" s="30">
        <v>650</v>
      </c>
      <c r="E46" s="28">
        <v>3247.3544999999999</v>
      </c>
      <c r="F46" s="29">
        <v>0.60712423381885705</v>
      </c>
    </row>
    <row r="47" spans="1:6" x14ac:dyDescent="0.2">
      <c r="A47" s="26" t="s">
        <v>299</v>
      </c>
      <c r="B47" s="26" t="s">
        <v>298</v>
      </c>
      <c r="C47" s="26" t="s">
        <v>88</v>
      </c>
      <c r="D47" s="30">
        <v>272</v>
      </c>
      <c r="E47" s="28">
        <v>2694.1817599999999</v>
      </c>
      <c r="F47" s="29">
        <v>0.50370325654582504</v>
      </c>
    </row>
    <row r="48" spans="1:6" x14ac:dyDescent="0.2">
      <c r="A48" s="26" t="s">
        <v>152</v>
      </c>
      <c r="B48" s="26" t="s">
        <v>151</v>
      </c>
      <c r="C48" s="26" t="s">
        <v>82</v>
      </c>
      <c r="D48" s="30">
        <v>500</v>
      </c>
      <c r="E48" s="28">
        <v>2503.7399999999998</v>
      </c>
      <c r="F48" s="29">
        <v>0.46809833332998402</v>
      </c>
    </row>
    <row r="49" spans="1:6" x14ac:dyDescent="0.2">
      <c r="A49" s="26" t="s">
        <v>301</v>
      </c>
      <c r="B49" s="26" t="s">
        <v>300</v>
      </c>
      <c r="C49" s="26" t="s">
        <v>82</v>
      </c>
      <c r="D49" s="30">
        <v>250</v>
      </c>
      <c r="E49" s="28">
        <v>2493.7399999999998</v>
      </c>
      <c r="F49" s="29">
        <v>0.46622873691290501</v>
      </c>
    </row>
    <row r="50" spans="1:6" x14ac:dyDescent="0.2">
      <c r="A50" s="26" t="s">
        <v>97</v>
      </c>
      <c r="B50" s="26" t="s">
        <v>96</v>
      </c>
      <c r="C50" s="26" t="s">
        <v>91</v>
      </c>
      <c r="D50" s="30">
        <v>250</v>
      </c>
      <c r="E50" s="28">
        <v>2461.1149999999998</v>
      </c>
      <c r="F50" s="29">
        <v>0.460129178602181</v>
      </c>
    </row>
    <row r="51" spans="1:6" x14ac:dyDescent="0.2">
      <c r="A51" s="26" t="s">
        <v>303</v>
      </c>
      <c r="B51" s="26" t="s">
        <v>302</v>
      </c>
      <c r="C51" s="26" t="s">
        <v>304</v>
      </c>
      <c r="D51" s="30">
        <v>240</v>
      </c>
      <c r="E51" s="28">
        <v>2366.1048000000001</v>
      </c>
      <c r="F51" s="29">
        <v>0.44236610565157602</v>
      </c>
    </row>
    <row r="52" spans="1:6" x14ac:dyDescent="0.2">
      <c r="A52" s="26" t="s">
        <v>306</v>
      </c>
      <c r="B52" s="26" t="s">
        <v>305</v>
      </c>
      <c r="C52" s="26" t="s">
        <v>150</v>
      </c>
      <c r="D52" s="30">
        <v>200</v>
      </c>
      <c r="E52" s="28">
        <v>1946.12</v>
      </c>
      <c r="F52" s="29">
        <v>0.36384589792076999</v>
      </c>
    </row>
    <row r="53" spans="1:6" x14ac:dyDescent="0.2">
      <c r="A53" s="26" t="s">
        <v>308</v>
      </c>
      <c r="B53" s="26" t="s">
        <v>307</v>
      </c>
      <c r="C53" s="26" t="s">
        <v>73</v>
      </c>
      <c r="D53" s="30">
        <v>200</v>
      </c>
      <c r="E53" s="28">
        <v>1932.826</v>
      </c>
      <c r="F53" s="29">
        <v>0.36136045644390402</v>
      </c>
    </row>
    <row r="54" spans="1:6" x14ac:dyDescent="0.2">
      <c r="A54" s="26" t="s">
        <v>310</v>
      </c>
      <c r="B54" s="26" t="s">
        <v>309</v>
      </c>
      <c r="C54" s="26" t="s">
        <v>181</v>
      </c>
      <c r="D54" s="30">
        <v>150</v>
      </c>
      <c r="E54" s="28">
        <v>1505.55</v>
      </c>
      <c r="F54" s="29">
        <v>0.28147708857347697</v>
      </c>
    </row>
    <row r="55" spans="1:6" x14ac:dyDescent="0.2">
      <c r="A55" s="26" t="s">
        <v>312</v>
      </c>
      <c r="B55" s="26" t="s">
        <v>311</v>
      </c>
      <c r="C55" s="26" t="s">
        <v>79</v>
      </c>
      <c r="D55" s="30">
        <v>150</v>
      </c>
      <c r="E55" s="28">
        <v>1500.9825000000001</v>
      </c>
      <c r="F55" s="29">
        <v>0.28062315040997599</v>
      </c>
    </row>
    <row r="56" spans="1:6" x14ac:dyDescent="0.2">
      <c r="A56" s="26" t="s">
        <v>314</v>
      </c>
      <c r="B56" s="26" t="s">
        <v>313</v>
      </c>
      <c r="C56" s="26" t="s">
        <v>82</v>
      </c>
      <c r="D56" s="30">
        <v>1400</v>
      </c>
      <c r="E56" s="28">
        <v>1403.1976</v>
      </c>
      <c r="F56" s="29">
        <v>0.26234132054152398</v>
      </c>
    </row>
    <row r="57" spans="1:6" x14ac:dyDescent="0.2">
      <c r="A57" s="26" t="s">
        <v>316</v>
      </c>
      <c r="B57" s="26" t="s">
        <v>315</v>
      </c>
      <c r="C57" s="26" t="s">
        <v>126</v>
      </c>
      <c r="D57" s="30">
        <v>100</v>
      </c>
      <c r="E57" s="28">
        <v>1012.403</v>
      </c>
      <c r="F57" s="29">
        <v>0.18927850214410299</v>
      </c>
    </row>
    <row r="58" spans="1:6" x14ac:dyDescent="0.2">
      <c r="A58" s="26" t="s">
        <v>318</v>
      </c>
      <c r="B58" s="26" t="s">
        <v>317</v>
      </c>
      <c r="C58" s="26" t="s">
        <v>79</v>
      </c>
      <c r="D58" s="30">
        <v>100</v>
      </c>
      <c r="E58" s="28">
        <v>1004.86</v>
      </c>
      <c r="F58" s="29">
        <v>0.187868265566699</v>
      </c>
    </row>
    <row r="59" spans="1:6" x14ac:dyDescent="0.2">
      <c r="A59" s="26" t="s">
        <v>320</v>
      </c>
      <c r="B59" s="26" t="s">
        <v>319</v>
      </c>
      <c r="C59" s="26" t="s">
        <v>73</v>
      </c>
      <c r="D59" s="30">
        <v>100</v>
      </c>
      <c r="E59" s="28">
        <v>941.61400000000003</v>
      </c>
      <c r="F59" s="29">
        <v>0.17604381606723499</v>
      </c>
    </row>
    <row r="60" spans="1:6" x14ac:dyDescent="0.2">
      <c r="A60" s="26" t="s">
        <v>322</v>
      </c>
      <c r="B60" s="26" t="s">
        <v>321</v>
      </c>
      <c r="C60" s="26" t="s">
        <v>104</v>
      </c>
      <c r="D60" s="30">
        <v>62</v>
      </c>
      <c r="E60" s="28">
        <v>589.00372000000004</v>
      </c>
      <c r="F60" s="29">
        <v>0.110119924455878</v>
      </c>
    </row>
    <row r="61" spans="1:6" x14ac:dyDescent="0.2">
      <c r="A61" s="26" t="s">
        <v>324</v>
      </c>
      <c r="B61" s="26" t="s">
        <v>323</v>
      </c>
      <c r="C61" s="26" t="s">
        <v>104</v>
      </c>
      <c r="D61" s="30">
        <v>62</v>
      </c>
      <c r="E61" s="28">
        <v>585.36369999999999</v>
      </c>
      <c r="F61" s="29">
        <v>0.10943938762086799</v>
      </c>
    </row>
    <row r="62" spans="1:6" x14ac:dyDescent="0.2">
      <c r="A62" s="26" t="s">
        <v>326</v>
      </c>
      <c r="B62" s="26" t="s">
        <v>325</v>
      </c>
      <c r="C62" s="26" t="s">
        <v>91</v>
      </c>
      <c r="D62" s="30">
        <v>55</v>
      </c>
      <c r="E62" s="28">
        <v>555.82669999999996</v>
      </c>
      <c r="F62" s="29">
        <v>0.103917160683739</v>
      </c>
    </row>
    <row r="63" spans="1:6" x14ac:dyDescent="0.2">
      <c r="A63" s="26" t="s">
        <v>149</v>
      </c>
      <c r="B63" s="26" t="s">
        <v>148</v>
      </c>
      <c r="C63" s="26" t="s">
        <v>150</v>
      </c>
      <c r="D63" s="30">
        <v>50</v>
      </c>
      <c r="E63" s="28">
        <v>503.02449999999999</v>
      </c>
      <c r="F63" s="29">
        <v>9.4045280290345201E-2</v>
      </c>
    </row>
    <row r="64" spans="1:6" x14ac:dyDescent="0.2">
      <c r="A64" s="26" t="s">
        <v>328</v>
      </c>
      <c r="B64" s="26" t="s">
        <v>327</v>
      </c>
      <c r="C64" s="26" t="s">
        <v>82</v>
      </c>
      <c r="D64" s="30">
        <v>500</v>
      </c>
      <c r="E64" s="28">
        <v>497.43049999999999</v>
      </c>
      <c r="F64" s="29">
        <v>9.2999428054630601E-2</v>
      </c>
    </row>
    <row r="65" spans="1:9" x14ac:dyDescent="0.2">
      <c r="A65" s="26" t="s">
        <v>329</v>
      </c>
      <c r="B65" s="26" t="s">
        <v>302</v>
      </c>
      <c r="C65" s="26" t="s">
        <v>304</v>
      </c>
      <c r="D65" s="30">
        <v>50</v>
      </c>
      <c r="E65" s="28">
        <v>493.9545</v>
      </c>
      <c r="F65" s="29">
        <v>9.2349556340053596E-2</v>
      </c>
    </row>
    <row r="66" spans="1:9" x14ac:dyDescent="0.2">
      <c r="A66" s="26" t="s">
        <v>331</v>
      </c>
      <c r="B66" s="26" t="s">
        <v>330</v>
      </c>
      <c r="C66" s="26" t="s">
        <v>166</v>
      </c>
      <c r="D66" s="30">
        <v>30</v>
      </c>
      <c r="E66" s="28">
        <v>301.51440000000002</v>
      </c>
      <c r="F66" s="29">
        <v>5.6371024193802202E-2</v>
      </c>
    </row>
    <row r="67" spans="1:9" x14ac:dyDescent="0.2">
      <c r="A67" s="26" t="s">
        <v>333</v>
      </c>
      <c r="B67" s="26" t="s">
        <v>332</v>
      </c>
      <c r="C67" s="26" t="s">
        <v>166</v>
      </c>
      <c r="D67" s="30">
        <v>28</v>
      </c>
      <c r="E67" s="28">
        <v>286.80596000000003</v>
      </c>
      <c r="F67" s="29">
        <v>5.3621139521318598E-2</v>
      </c>
    </row>
    <row r="68" spans="1:9" x14ac:dyDescent="0.2">
      <c r="A68" s="26" t="s">
        <v>335</v>
      </c>
      <c r="B68" s="26" t="s">
        <v>334</v>
      </c>
      <c r="C68" s="26" t="s">
        <v>336</v>
      </c>
      <c r="D68" s="30">
        <v>18</v>
      </c>
      <c r="E68" s="28">
        <v>221.26266000000001</v>
      </c>
      <c r="F68" s="29">
        <v>4.1367187636958701E-2</v>
      </c>
    </row>
    <row r="69" spans="1:9" x14ac:dyDescent="0.2">
      <c r="A69" s="26" t="s">
        <v>143</v>
      </c>
      <c r="B69" s="26" t="s">
        <v>142</v>
      </c>
      <c r="C69" s="26" t="s">
        <v>104</v>
      </c>
      <c r="D69" s="30">
        <v>76</v>
      </c>
      <c r="E69" s="28">
        <v>189.60708</v>
      </c>
      <c r="F69" s="29">
        <v>3.5448871742099798E-2</v>
      </c>
    </row>
    <row r="70" spans="1:9" x14ac:dyDescent="0.2">
      <c r="A70" s="26" t="s">
        <v>338</v>
      </c>
      <c r="B70" s="26" t="s">
        <v>337</v>
      </c>
      <c r="C70" s="26" t="s">
        <v>166</v>
      </c>
      <c r="D70" s="30">
        <v>12</v>
      </c>
      <c r="E70" s="28">
        <v>124.73891999999999</v>
      </c>
      <c r="F70" s="29">
        <v>2.33211437902427E-2</v>
      </c>
    </row>
    <row r="71" spans="1:9" x14ac:dyDescent="0.2">
      <c r="A71" s="26" t="s">
        <v>340</v>
      </c>
      <c r="B71" s="26" t="s">
        <v>339</v>
      </c>
      <c r="C71" s="26" t="s">
        <v>166</v>
      </c>
      <c r="D71" s="30">
        <v>12</v>
      </c>
      <c r="E71" s="28">
        <v>124.33271999999999</v>
      </c>
      <c r="F71" s="29">
        <v>2.3245200783780898E-2</v>
      </c>
    </row>
    <row r="72" spans="1:9" x14ac:dyDescent="0.2">
      <c r="A72" s="26" t="s">
        <v>147</v>
      </c>
      <c r="B72" s="26" t="s">
        <v>146</v>
      </c>
      <c r="C72" s="26" t="s">
        <v>139</v>
      </c>
      <c r="D72" s="30">
        <v>4000</v>
      </c>
      <c r="E72" s="28">
        <v>38.101640000000003</v>
      </c>
      <c r="F72" s="91">
        <v>7.1234689628871502E-3</v>
      </c>
    </row>
    <row r="73" spans="1:9" x14ac:dyDescent="0.2">
      <c r="A73" s="26" t="s">
        <v>145</v>
      </c>
      <c r="B73" s="26" t="s">
        <v>144</v>
      </c>
      <c r="C73" s="26" t="s">
        <v>79</v>
      </c>
      <c r="D73" s="30">
        <v>3</v>
      </c>
      <c r="E73" s="28">
        <v>30.172529999999998</v>
      </c>
      <c r="F73" s="91">
        <v>5.6410453982238401E-3</v>
      </c>
    </row>
    <row r="74" spans="1:9" ht="10.5" x14ac:dyDescent="0.25">
      <c r="A74" s="25" t="s">
        <v>167</v>
      </c>
      <c r="B74" s="25"/>
      <c r="C74" s="25"/>
      <c r="D74" s="31"/>
      <c r="E74" s="32">
        <f>SUM(E6:E73)</f>
        <v>478672.77564999985</v>
      </c>
      <c r="F74" s="33">
        <f>SUM(F6:F73)</f>
        <v>89.492490630897152</v>
      </c>
      <c r="G74" s="17"/>
      <c r="H74" s="17"/>
      <c r="I74" s="17"/>
    </row>
    <row r="75" spans="1:9" x14ac:dyDescent="0.2">
      <c r="A75" s="26"/>
      <c r="B75" s="26"/>
      <c r="C75" s="26"/>
      <c r="D75" s="27"/>
      <c r="E75" s="28"/>
      <c r="F75" s="29"/>
    </row>
    <row r="76" spans="1:9" ht="10.5" x14ac:dyDescent="0.25">
      <c r="A76" s="25" t="s">
        <v>168</v>
      </c>
      <c r="B76" s="26"/>
      <c r="C76" s="26"/>
      <c r="D76" s="27"/>
      <c r="E76" s="28"/>
      <c r="F76" s="29"/>
    </row>
    <row r="77" spans="1:9" x14ac:dyDescent="0.2">
      <c r="A77" s="26" t="s">
        <v>341</v>
      </c>
      <c r="B77" s="26" t="s">
        <v>1568</v>
      </c>
      <c r="C77" s="26" t="s">
        <v>243</v>
      </c>
      <c r="D77" s="30">
        <v>350</v>
      </c>
      <c r="E77" s="28">
        <v>35427.699999999997</v>
      </c>
      <c r="F77" s="29">
        <v>6.6235500985384599</v>
      </c>
    </row>
    <row r="78" spans="1:9" x14ac:dyDescent="0.2">
      <c r="A78" s="26" t="s">
        <v>343</v>
      </c>
      <c r="B78" s="26" t="s">
        <v>342</v>
      </c>
      <c r="C78" s="26" t="s">
        <v>88</v>
      </c>
      <c r="D78" s="30">
        <v>2560</v>
      </c>
      <c r="E78" s="28">
        <v>24049.279999999999</v>
      </c>
      <c r="F78" s="29">
        <v>4.4962447721353396</v>
      </c>
    </row>
    <row r="79" spans="1:9" x14ac:dyDescent="0.2">
      <c r="A79" s="26" t="s">
        <v>345</v>
      </c>
      <c r="B79" s="26" t="s">
        <v>344</v>
      </c>
      <c r="C79" s="26" t="s">
        <v>286</v>
      </c>
      <c r="D79" s="30">
        <v>2450</v>
      </c>
      <c r="E79" s="28">
        <v>21643.495999999999</v>
      </c>
      <c r="F79" s="29">
        <v>4.0464602574684996</v>
      </c>
    </row>
    <row r="80" spans="1:9" x14ac:dyDescent="0.2">
      <c r="A80" s="26" t="s">
        <v>347</v>
      </c>
      <c r="B80" s="26" t="s">
        <v>346</v>
      </c>
      <c r="C80" s="26" t="s">
        <v>348</v>
      </c>
      <c r="D80" s="30">
        <v>1480</v>
      </c>
      <c r="E80" s="28">
        <v>14651.437599999999</v>
      </c>
      <c r="F80" s="29">
        <v>2.7392275242031001</v>
      </c>
    </row>
    <row r="81" spans="1:6" x14ac:dyDescent="0.2">
      <c r="A81" s="26" t="s">
        <v>350</v>
      </c>
      <c r="B81" s="26" t="s">
        <v>349</v>
      </c>
      <c r="C81" s="26" t="s">
        <v>351</v>
      </c>
      <c r="D81" s="30">
        <v>1660</v>
      </c>
      <c r="E81" s="28">
        <v>14039.421560000001</v>
      </c>
      <c r="F81" s="29">
        <v>2.6248052246451499</v>
      </c>
    </row>
    <row r="82" spans="1:6" x14ac:dyDescent="0.2">
      <c r="A82" s="26" t="s">
        <v>200</v>
      </c>
      <c r="B82" s="26" t="s">
        <v>199</v>
      </c>
      <c r="C82" s="26" t="s">
        <v>88</v>
      </c>
      <c r="D82" s="30">
        <v>1150</v>
      </c>
      <c r="E82" s="28">
        <v>11562.709500000001</v>
      </c>
      <c r="F82" s="29">
        <v>2.16176002529367</v>
      </c>
    </row>
    <row r="83" spans="1:6" x14ac:dyDescent="0.2">
      <c r="A83" s="26" t="s">
        <v>353</v>
      </c>
      <c r="B83" s="26" t="s">
        <v>352</v>
      </c>
      <c r="C83" s="26" t="s">
        <v>351</v>
      </c>
      <c r="D83" s="30">
        <v>1280</v>
      </c>
      <c r="E83" s="28">
        <v>11078.959800000001</v>
      </c>
      <c r="F83" s="29">
        <v>2.07131835470532</v>
      </c>
    </row>
    <row r="84" spans="1:6" x14ac:dyDescent="0.2">
      <c r="A84" s="26" t="s">
        <v>355</v>
      </c>
      <c r="B84" s="26" t="s">
        <v>354</v>
      </c>
      <c r="C84" s="26" t="s">
        <v>356</v>
      </c>
      <c r="D84" s="30">
        <v>1000</v>
      </c>
      <c r="E84" s="28">
        <v>7500</v>
      </c>
      <c r="F84" s="29">
        <v>1.40219731280999</v>
      </c>
    </row>
    <row r="85" spans="1:6" x14ac:dyDescent="0.2">
      <c r="A85" s="26" t="s">
        <v>358</v>
      </c>
      <c r="B85" s="26" t="s">
        <v>357</v>
      </c>
      <c r="C85" s="26" t="s">
        <v>356</v>
      </c>
      <c r="D85" s="30">
        <v>800</v>
      </c>
      <c r="E85" s="28">
        <v>6000</v>
      </c>
      <c r="F85" s="29">
        <v>1.1217578502479899</v>
      </c>
    </row>
    <row r="86" spans="1:6" x14ac:dyDescent="0.2">
      <c r="A86" s="26" t="s">
        <v>360</v>
      </c>
      <c r="B86" s="26" t="s">
        <v>359</v>
      </c>
      <c r="C86" s="26" t="s">
        <v>286</v>
      </c>
      <c r="D86" s="30">
        <v>650</v>
      </c>
      <c r="E86" s="28">
        <v>5729.6265000000003</v>
      </c>
      <c r="F86" s="29">
        <v>1.0712089175606501</v>
      </c>
    </row>
    <row r="87" spans="1:6" x14ac:dyDescent="0.2">
      <c r="A87" s="26" t="s">
        <v>362</v>
      </c>
      <c r="B87" s="26" t="s">
        <v>361</v>
      </c>
      <c r="C87" s="26" t="s">
        <v>356</v>
      </c>
      <c r="D87" s="30">
        <v>600</v>
      </c>
      <c r="E87" s="28">
        <v>4500</v>
      </c>
      <c r="F87" s="29">
        <v>0.84131838768599398</v>
      </c>
    </row>
    <row r="88" spans="1:6" x14ac:dyDescent="0.2">
      <c r="A88" s="26" t="s">
        <v>364</v>
      </c>
      <c r="B88" s="26" t="s">
        <v>363</v>
      </c>
      <c r="C88" s="26" t="s">
        <v>351</v>
      </c>
      <c r="D88" s="30">
        <v>385</v>
      </c>
      <c r="E88" s="28">
        <v>3491.24505</v>
      </c>
      <c r="F88" s="29">
        <v>0.652721923662824</v>
      </c>
    </row>
    <row r="89" spans="1:6" x14ac:dyDescent="0.2">
      <c r="A89" s="26" t="s">
        <v>366</v>
      </c>
      <c r="B89" s="26" t="s">
        <v>365</v>
      </c>
      <c r="C89" s="26" t="s">
        <v>157</v>
      </c>
      <c r="D89" s="30">
        <v>300</v>
      </c>
      <c r="E89" s="28">
        <v>2955.2040000000002</v>
      </c>
      <c r="F89" s="29">
        <v>0.55250388101404402</v>
      </c>
    </row>
    <row r="90" spans="1:6" x14ac:dyDescent="0.2">
      <c r="A90" s="26" t="s">
        <v>368</v>
      </c>
      <c r="B90" s="26" t="s">
        <v>367</v>
      </c>
      <c r="C90" s="26" t="s">
        <v>356</v>
      </c>
      <c r="D90" s="30">
        <v>375</v>
      </c>
      <c r="E90" s="28">
        <v>2812.5</v>
      </c>
      <c r="F90" s="29">
        <v>0.52582399230374599</v>
      </c>
    </row>
    <row r="91" spans="1:6" x14ac:dyDescent="0.2">
      <c r="A91" s="26" t="s">
        <v>370</v>
      </c>
      <c r="B91" s="26" t="s">
        <v>369</v>
      </c>
      <c r="C91" s="26" t="s">
        <v>356</v>
      </c>
      <c r="D91" s="30">
        <v>350</v>
      </c>
      <c r="E91" s="28">
        <v>2625</v>
      </c>
      <c r="F91" s="29">
        <v>0.49076905948349597</v>
      </c>
    </row>
    <row r="92" spans="1:6" x14ac:dyDescent="0.2">
      <c r="A92" s="26" t="s">
        <v>204</v>
      </c>
      <c r="B92" s="26" t="s">
        <v>203</v>
      </c>
      <c r="C92" s="26" t="s">
        <v>73</v>
      </c>
      <c r="D92" s="30">
        <v>15</v>
      </c>
      <c r="E92" s="28">
        <v>2014.5105000000001</v>
      </c>
      <c r="F92" s="29">
        <v>0.376632161297001</v>
      </c>
    </row>
    <row r="93" spans="1:6" x14ac:dyDescent="0.2">
      <c r="A93" s="26" t="s">
        <v>372</v>
      </c>
      <c r="B93" s="26" t="s">
        <v>371</v>
      </c>
      <c r="C93" s="26" t="s">
        <v>356</v>
      </c>
      <c r="D93" s="30">
        <v>250</v>
      </c>
      <c r="E93" s="28">
        <v>1875</v>
      </c>
      <c r="F93" s="29">
        <v>0.35054932820249701</v>
      </c>
    </row>
    <row r="94" spans="1:6" x14ac:dyDescent="0.2">
      <c r="A94" s="26" t="s">
        <v>374</v>
      </c>
      <c r="B94" s="26" t="s">
        <v>373</v>
      </c>
      <c r="C94" s="26" t="s">
        <v>356</v>
      </c>
      <c r="D94" s="30">
        <v>394</v>
      </c>
      <c r="E94" s="28">
        <v>1798.0947679999999</v>
      </c>
      <c r="F94" s="29">
        <v>0.33617115358230698</v>
      </c>
    </row>
    <row r="95" spans="1:6" x14ac:dyDescent="0.2">
      <c r="A95" s="26" t="s">
        <v>376</v>
      </c>
      <c r="B95" s="26" t="s">
        <v>375</v>
      </c>
      <c r="C95" s="26" t="s">
        <v>351</v>
      </c>
      <c r="D95" s="30">
        <v>150</v>
      </c>
      <c r="E95" s="28">
        <v>1332.4887120000001</v>
      </c>
      <c r="F95" s="29">
        <v>0.24912161217547299</v>
      </c>
    </row>
    <row r="96" spans="1:6" x14ac:dyDescent="0.2">
      <c r="A96" s="26" t="s">
        <v>378</v>
      </c>
      <c r="B96" s="26" t="s">
        <v>377</v>
      </c>
      <c r="C96" s="26" t="s">
        <v>351</v>
      </c>
      <c r="D96" s="30">
        <v>102</v>
      </c>
      <c r="E96" s="28">
        <v>1029.9868200000001</v>
      </c>
      <c r="F96" s="29">
        <v>0.19256596683116101</v>
      </c>
    </row>
    <row r="97" spans="1:9" x14ac:dyDescent="0.2">
      <c r="A97" s="26" t="s">
        <v>198</v>
      </c>
      <c r="B97" s="26" t="s">
        <v>197</v>
      </c>
      <c r="C97" s="26" t="s">
        <v>88</v>
      </c>
      <c r="D97" s="30">
        <v>100</v>
      </c>
      <c r="E97" s="28">
        <v>1006.234</v>
      </c>
      <c r="F97" s="29">
        <v>0.188125148114406</v>
      </c>
    </row>
    <row r="98" spans="1:9" x14ac:dyDescent="0.2">
      <c r="A98" s="26" t="s">
        <v>380</v>
      </c>
      <c r="B98" s="26" t="s">
        <v>379</v>
      </c>
      <c r="C98" s="26" t="s">
        <v>381</v>
      </c>
      <c r="D98" s="30">
        <v>1678</v>
      </c>
      <c r="E98" s="28">
        <v>547.53139999999996</v>
      </c>
      <c r="F98" s="29">
        <v>0.102366274367879</v>
      </c>
    </row>
    <row r="99" spans="1:9" x14ac:dyDescent="0.2">
      <c r="A99" s="26" t="s">
        <v>383</v>
      </c>
      <c r="B99" s="26" t="s">
        <v>382</v>
      </c>
      <c r="C99" s="26" t="s">
        <v>381</v>
      </c>
      <c r="D99" s="30">
        <v>786</v>
      </c>
      <c r="E99" s="28">
        <v>253.87799999999999</v>
      </c>
      <c r="F99" s="29">
        <v>4.7464939917543303E-2</v>
      </c>
    </row>
    <row r="100" spans="1:9" x14ac:dyDescent="0.2">
      <c r="A100" s="26" t="s">
        <v>385</v>
      </c>
      <c r="B100" s="26" t="s">
        <v>384</v>
      </c>
      <c r="C100" s="26" t="s">
        <v>166</v>
      </c>
      <c r="D100" s="30">
        <v>13</v>
      </c>
      <c r="E100" s="28">
        <v>131.86797000000001</v>
      </c>
      <c r="F100" s="29">
        <v>2.4653988423961101E-2</v>
      </c>
    </row>
    <row r="101" spans="1:9" x14ac:dyDescent="0.2">
      <c r="A101" s="26" t="s">
        <v>185</v>
      </c>
      <c r="B101" s="26" t="s">
        <v>184</v>
      </c>
      <c r="C101" s="26" t="s">
        <v>181</v>
      </c>
      <c r="D101" s="30">
        <v>10</v>
      </c>
      <c r="E101" s="28">
        <v>100.1276</v>
      </c>
      <c r="F101" s="29">
        <v>1.87198202210818E-2</v>
      </c>
    </row>
    <row r="102" spans="1:9" x14ac:dyDescent="0.2">
      <c r="A102" s="26" t="s">
        <v>387</v>
      </c>
      <c r="B102" s="26" t="s">
        <v>386</v>
      </c>
      <c r="C102" s="26" t="s">
        <v>381</v>
      </c>
      <c r="D102" s="30">
        <v>28</v>
      </c>
      <c r="E102" s="28">
        <v>9.0440000000000005</v>
      </c>
      <c r="F102" s="29">
        <v>1.6908629996071399E-3</v>
      </c>
    </row>
    <row r="103" spans="1:9" x14ac:dyDescent="0.2">
      <c r="A103" s="26" t="s">
        <v>388</v>
      </c>
      <c r="B103" s="26" t="s">
        <v>1576</v>
      </c>
      <c r="C103" s="26" t="s">
        <v>356</v>
      </c>
      <c r="D103" s="30">
        <v>300</v>
      </c>
      <c r="E103" s="28">
        <v>0</v>
      </c>
      <c r="F103" s="29">
        <v>0</v>
      </c>
    </row>
    <row r="104" spans="1:9" x14ac:dyDescent="0.2">
      <c r="A104" s="26" t="s">
        <v>389</v>
      </c>
      <c r="B104" s="26" t="s">
        <v>1577</v>
      </c>
      <c r="C104" s="26" t="s">
        <v>356</v>
      </c>
      <c r="D104" s="30">
        <v>100</v>
      </c>
      <c r="E104" s="28">
        <v>0</v>
      </c>
      <c r="F104" s="29">
        <v>0</v>
      </c>
    </row>
    <row r="105" spans="1:9" x14ac:dyDescent="0.2">
      <c r="A105" s="26" t="s">
        <v>390</v>
      </c>
      <c r="B105" s="26" t="s">
        <v>1579</v>
      </c>
      <c r="C105" s="26" t="s">
        <v>356</v>
      </c>
      <c r="D105" s="30">
        <v>250</v>
      </c>
      <c r="E105" s="28">
        <v>0</v>
      </c>
      <c r="F105" s="29">
        <v>0</v>
      </c>
    </row>
    <row r="106" spans="1:9" x14ac:dyDescent="0.2">
      <c r="A106" s="26" t="s">
        <v>391</v>
      </c>
      <c r="B106" s="26" t="s">
        <v>1580</v>
      </c>
      <c r="C106" s="26" t="s">
        <v>356</v>
      </c>
      <c r="D106" s="30">
        <v>500</v>
      </c>
      <c r="E106" s="28">
        <v>0</v>
      </c>
      <c r="F106" s="29">
        <v>0</v>
      </c>
    </row>
    <row r="107" spans="1:9" x14ac:dyDescent="0.2">
      <c r="A107" s="26" t="s">
        <v>392</v>
      </c>
      <c r="B107" s="26" t="s">
        <v>1581</v>
      </c>
      <c r="C107" s="26" t="s">
        <v>356</v>
      </c>
      <c r="D107" s="30">
        <v>200</v>
      </c>
      <c r="E107" s="28">
        <v>0</v>
      </c>
      <c r="F107" s="29">
        <v>0</v>
      </c>
    </row>
    <row r="108" spans="1:9" x14ac:dyDescent="0.2">
      <c r="A108" s="26" t="s">
        <v>393</v>
      </c>
      <c r="B108" s="26" t="s">
        <v>1578</v>
      </c>
      <c r="C108" s="26" t="s">
        <v>356</v>
      </c>
      <c r="D108" s="30">
        <v>200</v>
      </c>
      <c r="E108" s="28">
        <v>0</v>
      </c>
      <c r="F108" s="29">
        <v>0</v>
      </c>
    </row>
    <row r="109" spans="1:9" ht="10.5" x14ac:dyDescent="0.25">
      <c r="A109" s="25" t="s">
        <v>167</v>
      </c>
      <c r="B109" s="25"/>
      <c r="C109" s="25"/>
      <c r="D109" s="31"/>
      <c r="E109" s="32">
        <f>SUM(E76:E108)</f>
        <v>178165.34378</v>
      </c>
      <c r="F109" s="33">
        <f>SUM(F76:F108)</f>
        <v>33.3097288378912</v>
      </c>
      <c r="G109" s="17"/>
      <c r="H109" s="17"/>
      <c r="I109" s="17"/>
    </row>
    <row r="110" spans="1:9" x14ac:dyDescent="0.2">
      <c r="A110" s="26"/>
      <c r="B110" s="26"/>
      <c r="C110" s="26"/>
      <c r="D110" s="27"/>
      <c r="E110" s="28"/>
      <c r="F110" s="29"/>
    </row>
    <row r="111" spans="1:9" ht="10.5" x14ac:dyDescent="0.25">
      <c r="A111" s="25" t="s">
        <v>205</v>
      </c>
      <c r="B111" s="25"/>
      <c r="C111" s="25"/>
      <c r="D111" s="31"/>
      <c r="E111" s="32">
        <f>E74+E109</f>
        <v>656838.11942999985</v>
      </c>
      <c r="F111" s="33">
        <f>F74+F109</f>
        <v>122.80221946878835</v>
      </c>
      <c r="G111" s="17"/>
      <c r="H111" s="17"/>
      <c r="I111" s="17"/>
    </row>
    <row r="112" spans="1:9" ht="10.5" x14ac:dyDescent="0.25">
      <c r="A112" s="25"/>
      <c r="B112" s="25"/>
      <c r="C112" s="25"/>
      <c r="D112" s="31"/>
      <c r="E112" s="32"/>
      <c r="F112" s="33"/>
      <c r="G112" s="17"/>
      <c r="H112" s="17"/>
      <c r="I112" s="17"/>
    </row>
    <row r="113" spans="1:9" ht="10.5" x14ac:dyDescent="0.25">
      <c r="A113" s="25" t="s">
        <v>207</v>
      </c>
      <c r="B113" s="25"/>
      <c r="C113" s="25"/>
      <c r="D113" s="31"/>
      <c r="E113" s="32">
        <f>E115-(E74+E109)</f>
        <v>-121963.32460029982</v>
      </c>
      <c r="F113" s="33">
        <f>F115-(F74+F109)</f>
        <v>-22.802219468788351</v>
      </c>
      <c r="G113" s="17"/>
      <c r="H113" s="17"/>
      <c r="I113" s="17"/>
    </row>
    <row r="114" spans="1:9" ht="10.5" x14ac:dyDescent="0.25">
      <c r="A114" s="25"/>
      <c r="B114" s="25"/>
      <c r="C114" s="25"/>
      <c r="D114" s="31"/>
      <c r="E114" s="32"/>
      <c r="F114" s="33"/>
      <c r="G114" s="17"/>
      <c r="H114" s="17"/>
      <c r="I114" s="17"/>
    </row>
    <row r="115" spans="1:9" ht="10.5" x14ac:dyDescent="0.25">
      <c r="A115" s="34" t="s">
        <v>206</v>
      </c>
      <c r="B115" s="34"/>
      <c r="C115" s="34"/>
      <c r="D115" s="35"/>
      <c r="E115" s="36">
        <v>534874.79482970003</v>
      </c>
      <c r="F115" s="37">
        <v>100</v>
      </c>
      <c r="G115" s="17"/>
      <c r="H115" s="17"/>
      <c r="I115" s="17"/>
    </row>
    <row r="116" spans="1:9" ht="10.5" x14ac:dyDescent="0.25">
      <c r="A116" s="84" t="s">
        <v>209</v>
      </c>
      <c r="F116" s="104" t="s">
        <v>394</v>
      </c>
    </row>
    <row r="117" spans="1:9" ht="10.5" x14ac:dyDescent="0.25">
      <c r="A117" s="84" t="s">
        <v>1557</v>
      </c>
    </row>
    <row r="118" spans="1:9" ht="10.5" x14ac:dyDescent="0.25">
      <c r="A118" s="84" t="s">
        <v>1548</v>
      </c>
    </row>
    <row r="119" spans="1:9" s="78" customFormat="1" x14ac:dyDescent="0.2">
      <c r="D119" s="79"/>
      <c r="E119" s="82"/>
      <c r="F119" s="83"/>
    </row>
    <row r="120" spans="1:9" ht="10.5" x14ac:dyDescent="0.25">
      <c r="A120" s="17" t="s">
        <v>210</v>
      </c>
    </row>
    <row r="121" spans="1:9" ht="10.5" x14ac:dyDescent="0.25">
      <c r="A121" s="17" t="s">
        <v>211</v>
      </c>
    </row>
    <row r="122" spans="1:9" ht="10.5" x14ac:dyDescent="0.25">
      <c r="A122" s="17" t="s">
        <v>212</v>
      </c>
      <c r="B122" s="17"/>
      <c r="C122" s="38" t="s">
        <v>214</v>
      </c>
      <c r="D122" s="18" t="s">
        <v>213</v>
      </c>
    </row>
    <row r="123" spans="1:9" x14ac:dyDescent="0.2">
      <c r="A123" s="10" t="s">
        <v>215</v>
      </c>
      <c r="C123" s="39">
        <v>3935.5124999999998</v>
      </c>
      <c r="D123" s="39">
        <v>3710.8757999999998</v>
      </c>
    </row>
    <row r="124" spans="1:9" x14ac:dyDescent="0.2">
      <c r="A124" s="10" t="s">
        <v>217</v>
      </c>
      <c r="C124" s="39">
        <v>1007.2812</v>
      </c>
      <c r="D124" s="39">
        <v>937.90380000000005</v>
      </c>
    </row>
    <row r="125" spans="1:9" x14ac:dyDescent="0.2">
      <c r="A125" s="10" t="s">
        <v>395</v>
      </c>
      <c r="C125" s="39">
        <v>1119.1088</v>
      </c>
      <c r="D125" s="39">
        <v>1035.4919</v>
      </c>
    </row>
    <row r="126" spans="1:9" x14ac:dyDescent="0.2">
      <c r="A126" s="10" t="s">
        <v>396</v>
      </c>
      <c r="C126" s="39">
        <v>1165.6488999999999</v>
      </c>
      <c r="D126" s="39">
        <v>1077.2316000000001</v>
      </c>
    </row>
    <row r="127" spans="1:9" x14ac:dyDescent="0.2">
      <c r="A127" s="10" t="s">
        <v>218</v>
      </c>
      <c r="C127" s="39">
        <v>3257.7188000000001</v>
      </c>
      <c r="D127" s="39">
        <v>3074.4340000000002</v>
      </c>
    </row>
    <row r="128" spans="1:9" x14ac:dyDescent="0.2">
      <c r="A128" s="10" t="s">
        <v>397</v>
      </c>
      <c r="C128" s="39">
        <v>4157.4632000000001</v>
      </c>
      <c r="D128" s="39">
        <v>3934.4011999999998</v>
      </c>
    </row>
    <row r="129" spans="1:5" x14ac:dyDescent="0.2">
      <c r="A129" s="10" t="s">
        <v>398</v>
      </c>
      <c r="C129" s="39">
        <v>1010.851</v>
      </c>
      <c r="D129" s="39">
        <v>944.14549999999997</v>
      </c>
    </row>
    <row r="130" spans="1:5" x14ac:dyDescent="0.2">
      <c r="A130" s="10" t="s">
        <v>399</v>
      </c>
      <c r="C130" s="39">
        <v>1199.8679</v>
      </c>
      <c r="D130" s="39">
        <v>1115.7326</v>
      </c>
    </row>
    <row r="131" spans="1:5" x14ac:dyDescent="0.2">
      <c r="A131" s="10" t="s">
        <v>400</v>
      </c>
      <c r="C131" s="39">
        <v>1251.3499999999999</v>
      </c>
      <c r="D131" s="39">
        <v>1162.2827</v>
      </c>
    </row>
    <row r="133" spans="1:5" ht="10.5" x14ac:dyDescent="0.25">
      <c r="A133" s="17" t="s">
        <v>226</v>
      </c>
    </row>
    <row r="134" spans="1:5" ht="10.5" x14ac:dyDescent="0.25">
      <c r="A134" s="147" t="s">
        <v>401</v>
      </c>
      <c r="B134" s="148"/>
      <c r="C134" s="145" t="s">
        <v>402</v>
      </c>
      <c r="D134" s="146"/>
    </row>
    <row r="135" spans="1:5" ht="10.5" x14ac:dyDescent="0.25">
      <c r="A135" s="147"/>
      <c r="B135" s="148"/>
      <c r="C135" s="43" t="s">
        <v>403</v>
      </c>
      <c r="D135" s="44" t="s">
        <v>404</v>
      </c>
    </row>
    <row r="136" spans="1:5" x14ac:dyDescent="0.2">
      <c r="A136" s="141" t="s">
        <v>217</v>
      </c>
      <c r="B136" s="142"/>
      <c r="C136" s="45">
        <v>9.1357807710000003</v>
      </c>
      <c r="D136" s="45">
        <v>8.4597785240000007</v>
      </c>
    </row>
    <row r="137" spans="1:5" x14ac:dyDescent="0.2">
      <c r="A137" s="141" t="s">
        <v>395</v>
      </c>
      <c r="B137" s="142"/>
      <c r="C137" s="45">
        <v>15.844679149999999</v>
      </c>
      <c r="D137" s="45">
        <v>15.071824944999999</v>
      </c>
    </row>
    <row r="138" spans="1:5" x14ac:dyDescent="0.2">
      <c r="A138" s="141" t="s">
        <v>396</v>
      </c>
      <c r="B138" s="142"/>
      <c r="C138" s="45">
        <v>15.847099399999999</v>
      </c>
      <c r="D138" s="45">
        <v>14.67449302</v>
      </c>
    </row>
    <row r="139" spans="1:5" x14ac:dyDescent="0.2">
      <c r="A139" s="141" t="s">
        <v>398</v>
      </c>
      <c r="B139" s="142"/>
      <c r="C139" s="45">
        <v>9.6796244100000006</v>
      </c>
      <c r="D139" s="45">
        <v>8.9633804430000001</v>
      </c>
    </row>
    <row r="140" spans="1:5" x14ac:dyDescent="0.2">
      <c r="A140" s="141" t="s">
        <v>399</v>
      </c>
      <c r="B140" s="142"/>
      <c r="C140" s="45">
        <v>15.844679149999999</v>
      </c>
      <c r="D140" s="45">
        <v>15.071824944999999</v>
      </c>
    </row>
    <row r="141" spans="1:5" x14ac:dyDescent="0.2">
      <c r="A141" s="141" t="s">
        <v>400</v>
      </c>
      <c r="B141" s="142"/>
      <c r="C141" s="45">
        <v>15.847099399999999</v>
      </c>
      <c r="D141" s="45">
        <v>14.67449302</v>
      </c>
    </row>
    <row r="143" spans="1:5" ht="10.5" x14ac:dyDescent="0.25">
      <c r="A143" s="17" t="s">
        <v>228</v>
      </c>
      <c r="D143" s="41">
        <v>2.8081795569589043</v>
      </c>
      <c r="E143" s="15" t="s">
        <v>229</v>
      </c>
    </row>
    <row r="144" spans="1:5" ht="43.5" customHeight="1" x14ac:dyDescent="0.2">
      <c r="A144" s="139" t="s">
        <v>1596</v>
      </c>
      <c r="B144" s="140"/>
      <c r="C144" s="140"/>
      <c r="D144" s="140"/>
      <c r="E144" s="140"/>
    </row>
    <row r="145" spans="1:6" s="78" customFormat="1" ht="14.5" x14ac:dyDescent="0.2">
      <c r="A145" s="137"/>
      <c r="B145" s="138"/>
      <c r="C145" s="138"/>
      <c r="D145" s="138"/>
      <c r="E145" s="138"/>
      <c r="F145" s="83"/>
    </row>
    <row r="146" spans="1:6" s="78" customFormat="1" ht="10.5" x14ac:dyDescent="0.25">
      <c r="A146" s="84" t="s">
        <v>230</v>
      </c>
      <c r="D146" s="103" t="s">
        <v>1565</v>
      </c>
      <c r="E146" s="82"/>
      <c r="F146" s="83"/>
    </row>
    <row r="147" spans="1:6" s="78" customFormat="1" x14ac:dyDescent="0.2">
      <c r="A147" s="78" t="s">
        <v>231</v>
      </c>
      <c r="D147" s="79"/>
      <c r="E147" s="82"/>
      <c r="F147" s="83"/>
    </row>
    <row r="148" spans="1:6" s="78" customFormat="1" ht="14.5" x14ac:dyDescent="0.35">
      <c r="A148" s="102" t="s">
        <v>1558</v>
      </c>
      <c r="D148" s="79"/>
      <c r="E148" s="82"/>
      <c r="F148" s="83"/>
    </row>
    <row r="149" spans="1:6" s="78" customFormat="1" ht="14.5" x14ac:dyDescent="0.35">
      <c r="A149" s="102"/>
      <c r="D149" s="79"/>
      <c r="E149" s="82"/>
      <c r="F149" s="83"/>
    </row>
    <row r="150" spans="1:6" s="78" customFormat="1" ht="10.5" x14ac:dyDescent="0.25">
      <c r="A150" s="84" t="s">
        <v>1559</v>
      </c>
      <c r="D150" s="79"/>
      <c r="E150" s="82"/>
      <c r="F150" s="83"/>
    </row>
    <row r="151" spans="1:6" s="78" customFormat="1" ht="14.5" x14ac:dyDescent="0.35">
      <c r="A151" s="115" t="s">
        <v>1560</v>
      </c>
      <c r="D151" s="79"/>
      <c r="E151" s="82"/>
      <c r="F151" s="83"/>
    </row>
    <row r="152" spans="1:6" s="78" customFormat="1" ht="14.5" x14ac:dyDescent="0.35">
      <c r="A152" s="115"/>
      <c r="D152" s="79"/>
      <c r="E152" s="82"/>
      <c r="F152" s="83"/>
    </row>
    <row r="153" spans="1:6" ht="10.5" x14ac:dyDescent="0.25">
      <c r="A153" s="84" t="s">
        <v>1572</v>
      </c>
    </row>
    <row r="154" spans="1:6" ht="11.25" customHeight="1" x14ac:dyDescent="0.2">
      <c r="A154" s="131" t="s">
        <v>1594</v>
      </c>
    </row>
    <row r="155" spans="1:6" s="78" customFormat="1" x14ac:dyDescent="0.2">
      <c r="D155" s="79"/>
      <c r="E155" s="82"/>
      <c r="F155" s="83"/>
    </row>
    <row r="156" spans="1:6" s="78" customFormat="1" ht="38.15" customHeight="1" x14ac:dyDescent="0.2">
      <c r="A156" s="150" t="s">
        <v>1589</v>
      </c>
      <c r="B156" s="150"/>
      <c r="C156" s="150"/>
      <c r="D156" s="150"/>
      <c r="E156" s="150"/>
      <c r="F156" s="150"/>
    </row>
    <row r="157" spans="1:6" s="78" customFormat="1" ht="16" customHeight="1" x14ac:dyDescent="0.2">
      <c r="A157" s="131" t="s">
        <v>1595</v>
      </c>
      <c r="B157" s="134"/>
      <c r="C157" s="134"/>
      <c r="D157" s="134"/>
      <c r="E157" s="134"/>
      <c r="F157" s="134"/>
    </row>
    <row r="158" spans="1:6" s="78" customFormat="1" ht="10.5" x14ac:dyDescent="0.2">
      <c r="A158" s="132"/>
      <c r="B158" s="132"/>
      <c r="C158" s="132"/>
      <c r="D158" s="132"/>
      <c r="E158" s="132"/>
      <c r="F158" s="132"/>
    </row>
    <row r="159" spans="1:6" s="78" customFormat="1" ht="30" customHeight="1" x14ac:dyDescent="0.2">
      <c r="A159" s="149" t="s">
        <v>1587</v>
      </c>
      <c r="B159" s="149"/>
      <c r="C159" s="149"/>
      <c r="D159" s="149"/>
      <c r="E159" s="149"/>
      <c r="F159" s="149"/>
    </row>
    <row r="160" spans="1:6" s="78" customFormat="1" x14ac:dyDescent="0.2">
      <c r="D160" s="79"/>
      <c r="E160" s="82"/>
      <c r="F160" s="83"/>
    </row>
    <row r="161" spans="1:9" s="78" customFormat="1" x14ac:dyDescent="0.2">
      <c r="D161" s="79"/>
      <c r="E161" s="82"/>
      <c r="F161" s="83"/>
    </row>
    <row r="162" spans="1:9" s="1" customFormat="1" ht="14" x14ac:dyDescent="0.25">
      <c r="A162" s="143" t="s">
        <v>405</v>
      </c>
      <c r="B162" s="144"/>
      <c r="C162" s="144"/>
      <c r="D162" s="144"/>
      <c r="E162" s="144"/>
      <c r="F162" s="144"/>
    </row>
    <row r="163" spans="1:9" ht="10.5" x14ac:dyDescent="0.25">
      <c r="A163" s="17" t="s">
        <v>6</v>
      </c>
    </row>
    <row r="164" spans="1:9" s="1" customFormat="1" ht="17.5" customHeight="1" x14ac:dyDescent="0.25">
      <c r="A164" s="8" t="s">
        <v>2</v>
      </c>
      <c r="B164" s="8" t="s">
        <v>0</v>
      </c>
      <c r="C164" s="8" t="s">
        <v>208</v>
      </c>
      <c r="D164" s="13" t="s">
        <v>1</v>
      </c>
      <c r="E164" s="9" t="s">
        <v>3</v>
      </c>
      <c r="F164" s="9" t="s">
        <v>4</v>
      </c>
    </row>
    <row r="165" spans="1:9" ht="10.5" x14ac:dyDescent="0.25">
      <c r="A165" s="20" t="s">
        <v>69</v>
      </c>
      <c r="B165" s="21"/>
      <c r="C165" s="21"/>
      <c r="D165" s="22"/>
      <c r="E165" s="23"/>
      <c r="F165" s="24"/>
    </row>
    <row r="166" spans="1:9" ht="10.5" x14ac:dyDescent="0.25">
      <c r="A166" s="25" t="s">
        <v>70</v>
      </c>
      <c r="B166" s="26"/>
      <c r="C166" s="26"/>
      <c r="D166" s="27"/>
      <c r="E166" s="28"/>
      <c r="F166" s="29"/>
    </row>
    <row r="167" spans="1:9" x14ac:dyDescent="0.2">
      <c r="A167" s="26" t="s">
        <v>407</v>
      </c>
      <c r="B167" s="26" t="s">
        <v>406</v>
      </c>
      <c r="C167" s="26" t="s">
        <v>408</v>
      </c>
      <c r="D167" s="30">
        <v>5230</v>
      </c>
      <c r="E167" s="91">
        <v>0</v>
      </c>
      <c r="F167" s="92">
        <v>100</v>
      </c>
    </row>
    <row r="168" spans="1:9" ht="10.5" x14ac:dyDescent="0.25">
      <c r="A168" s="25" t="s">
        <v>167</v>
      </c>
      <c r="B168" s="25"/>
      <c r="C168" s="25"/>
      <c r="D168" s="31"/>
      <c r="E168" s="95">
        <f>SUM(E166:E167)</f>
        <v>0</v>
      </c>
      <c r="F168" s="96">
        <f>SUM(F166:F167)</f>
        <v>100</v>
      </c>
      <c r="G168" s="17"/>
      <c r="H168" s="17"/>
      <c r="I168" s="17"/>
    </row>
    <row r="169" spans="1:9" x14ac:dyDescent="0.2">
      <c r="A169" s="26"/>
      <c r="B169" s="26"/>
      <c r="C169" s="26"/>
      <c r="D169" s="27"/>
      <c r="E169" s="91"/>
      <c r="F169" s="92"/>
    </row>
    <row r="170" spans="1:9" ht="10.5" x14ac:dyDescent="0.25">
      <c r="A170" s="25" t="s">
        <v>205</v>
      </c>
      <c r="B170" s="25"/>
      <c r="C170" s="25"/>
      <c r="D170" s="31"/>
      <c r="E170" s="95">
        <f>E168</f>
        <v>0</v>
      </c>
      <c r="F170" s="96">
        <f>F168</f>
        <v>100</v>
      </c>
      <c r="G170" s="17"/>
      <c r="H170" s="17"/>
      <c r="I170" s="17"/>
    </row>
    <row r="171" spans="1:9" ht="10.5" x14ac:dyDescent="0.25">
      <c r="A171" s="25"/>
      <c r="B171" s="25"/>
      <c r="C171" s="25"/>
      <c r="D171" s="31"/>
      <c r="E171" s="95"/>
      <c r="F171" s="96"/>
      <c r="G171" s="17"/>
      <c r="H171" s="17"/>
      <c r="I171" s="17"/>
    </row>
    <row r="172" spans="1:9" ht="10.5" x14ac:dyDescent="0.25">
      <c r="A172" s="25" t="s">
        <v>207</v>
      </c>
      <c r="B172" s="25"/>
      <c r="C172" s="25"/>
      <c r="D172" s="31"/>
      <c r="E172" s="95">
        <f>E174-(E168)</f>
        <v>0</v>
      </c>
      <c r="F172" s="96">
        <v>0</v>
      </c>
      <c r="G172" s="17"/>
      <c r="H172" s="17"/>
      <c r="I172" s="17"/>
    </row>
    <row r="173" spans="1:9" ht="10.5" x14ac:dyDescent="0.25">
      <c r="A173" s="25"/>
      <c r="B173" s="25"/>
      <c r="C173" s="25"/>
      <c r="D173" s="31"/>
      <c r="E173" s="95"/>
      <c r="F173" s="96"/>
      <c r="G173" s="17"/>
      <c r="H173" s="17"/>
      <c r="I173" s="17"/>
    </row>
    <row r="174" spans="1:9" ht="10.5" x14ac:dyDescent="0.25">
      <c r="A174" s="34" t="s">
        <v>206</v>
      </c>
      <c r="B174" s="34"/>
      <c r="C174" s="34"/>
      <c r="D174" s="35"/>
      <c r="E174" s="98">
        <v>0</v>
      </c>
      <c r="F174" s="99">
        <v>100</v>
      </c>
      <c r="G174" s="17"/>
      <c r="H174" s="17"/>
      <c r="I174" s="17"/>
    </row>
    <row r="175" spans="1:9" ht="10.5" x14ac:dyDescent="0.25">
      <c r="A175" s="116" t="s">
        <v>209</v>
      </c>
      <c r="E175" s="82"/>
      <c r="F175" s="85"/>
    </row>
    <row r="176" spans="1:9" ht="10.5" x14ac:dyDescent="0.25">
      <c r="A176" s="116" t="s">
        <v>1557</v>
      </c>
    </row>
    <row r="177" spans="1:6" s="78" customFormat="1" ht="10.5" x14ac:dyDescent="0.25">
      <c r="A177" s="117" t="s">
        <v>1548</v>
      </c>
      <c r="D177" s="79"/>
      <c r="E177" s="82"/>
      <c r="F177" s="83"/>
    </row>
    <row r="178" spans="1:6" s="78" customFormat="1" ht="10.5" x14ac:dyDescent="0.25">
      <c r="A178" s="84"/>
      <c r="D178" s="79"/>
      <c r="E178" s="82"/>
      <c r="F178" s="83"/>
    </row>
    <row r="180" spans="1:6" ht="10.5" x14ac:dyDescent="0.25">
      <c r="A180" s="17" t="s">
        <v>210</v>
      </c>
    </row>
    <row r="181" spans="1:6" ht="10.5" x14ac:dyDescent="0.25">
      <c r="A181" s="17" t="s">
        <v>211</v>
      </c>
    </row>
    <row r="182" spans="1:6" ht="10.5" x14ac:dyDescent="0.25">
      <c r="A182" s="17" t="s">
        <v>212</v>
      </c>
      <c r="B182" s="17"/>
      <c r="C182" s="38" t="s">
        <v>214</v>
      </c>
      <c r="D182" s="18" t="s">
        <v>213</v>
      </c>
    </row>
    <row r="183" spans="1:6" x14ac:dyDescent="0.2">
      <c r="A183" s="10" t="s">
        <v>215</v>
      </c>
      <c r="C183" s="39">
        <v>0</v>
      </c>
      <c r="D183" s="39">
        <v>0</v>
      </c>
    </row>
    <row r="184" spans="1:6" x14ac:dyDescent="0.2">
      <c r="A184" s="10" t="s">
        <v>217</v>
      </c>
      <c r="C184" s="39">
        <v>0</v>
      </c>
      <c r="D184" s="39">
        <v>0</v>
      </c>
    </row>
    <row r="185" spans="1:6" x14ac:dyDescent="0.2">
      <c r="A185" s="10" t="s">
        <v>395</v>
      </c>
      <c r="C185" s="39">
        <v>0</v>
      </c>
      <c r="D185" s="39">
        <v>0</v>
      </c>
    </row>
    <row r="186" spans="1:6" x14ac:dyDescent="0.2">
      <c r="A186" s="10" t="s">
        <v>396</v>
      </c>
      <c r="C186" s="39">
        <v>0</v>
      </c>
      <c r="D186" s="39">
        <v>0</v>
      </c>
    </row>
    <row r="187" spans="1:6" x14ac:dyDescent="0.2">
      <c r="A187" s="10" t="s">
        <v>218</v>
      </c>
      <c r="C187" s="39">
        <v>0</v>
      </c>
      <c r="D187" s="39">
        <v>0</v>
      </c>
    </row>
    <row r="188" spans="1:6" x14ac:dyDescent="0.2">
      <c r="A188" s="10" t="s">
        <v>397</v>
      </c>
      <c r="C188" s="39">
        <v>0</v>
      </c>
      <c r="D188" s="39">
        <v>0</v>
      </c>
    </row>
    <row r="189" spans="1:6" x14ac:dyDescent="0.2">
      <c r="A189" s="10" t="s">
        <v>398</v>
      </c>
      <c r="C189" s="39">
        <v>0</v>
      </c>
      <c r="D189" s="39">
        <v>0</v>
      </c>
    </row>
    <row r="190" spans="1:6" x14ac:dyDescent="0.2">
      <c r="A190" s="10" t="s">
        <v>399</v>
      </c>
      <c r="C190" s="39">
        <v>0</v>
      </c>
      <c r="D190" s="39">
        <v>0</v>
      </c>
    </row>
    <row r="191" spans="1:6" x14ac:dyDescent="0.2">
      <c r="A191" s="10" t="s">
        <v>400</v>
      </c>
      <c r="C191" s="39">
        <v>0</v>
      </c>
      <c r="D191" s="39">
        <v>0</v>
      </c>
    </row>
    <row r="193" spans="1:9" ht="10.5" x14ac:dyDescent="0.25">
      <c r="A193" s="84" t="s">
        <v>1561</v>
      </c>
      <c r="B193" s="78"/>
      <c r="C193" s="78"/>
      <c r="D193" s="103" t="s">
        <v>227</v>
      </c>
    </row>
    <row r="194" spans="1:9" x14ac:dyDescent="0.2">
      <c r="A194" s="78" t="s">
        <v>231</v>
      </c>
      <c r="B194" s="78"/>
      <c r="C194" s="78"/>
      <c r="D194" s="79"/>
    </row>
    <row r="195" spans="1:9" ht="14.5" x14ac:dyDescent="0.35">
      <c r="A195" s="102" t="s">
        <v>1558</v>
      </c>
      <c r="B195" s="78"/>
      <c r="C195" s="78"/>
      <c r="D195" s="79"/>
    </row>
    <row r="197" spans="1:9" s="78" customFormat="1" x14ac:dyDescent="0.2">
      <c r="D197" s="79"/>
      <c r="E197" s="82"/>
      <c r="F197" s="83"/>
    </row>
    <row r="198" spans="1:9" s="1" customFormat="1" ht="14" x14ac:dyDescent="0.25">
      <c r="A198" s="143" t="s">
        <v>409</v>
      </c>
      <c r="B198" s="144"/>
      <c r="C198" s="144"/>
      <c r="D198" s="144"/>
      <c r="E198" s="144"/>
      <c r="F198" s="144"/>
    </row>
    <row r="199" spans="1:9" ht="10.5" x14ac:dyDescent="0.25">
      <c r="A199" s="17" t="s">
        <v>6</v>
      </c>
    </row>
    <row r="200" spans="1:9" s="1" customFormat="1" ht="17.5" customHeight="1" x14ac:dyDescent="0.25">
      <c r="A200" s="8" t="s">
        <v>2</v>
      </c>
      <c r="B200" s="8" t="s">
        <v>0</v>
      </c>
      <c r="C200" s="8" t="s">
        <v>208</v>
      </c>
      <c r="D200" s="13" t="s">
        <v>1</v>
      </c>
      <c r="E200" s="9" t="s">
        <v>3</v>
      </c>
      <c r="F200" s="9" t="s">
        <v>4</v>
      </c>
    </row>
    <row r="201" spans="1:9" ht="10.5" x14ac:dyDescent="0.25">
      <c r="A201" s="20" t="s">
        <v>69</v>
      </c>
      <c r="B201" s="21"/>
      <c r="C201" s="21"/>
      <c r="D201" s="22"/>
      <c r="E201" s="23"/>
      <c r="F201" s="24"/>
    </row>
    <row r="202" spans="1:9" ht="10.5" x14ac:dyDescent="0.25">
      <c r="A202" s="25" t="s">
        <v>70</v>
      </c>
      <c r="B202" s="26"/>
      <c r="C202" s="26"/>
      <c r="D202" s="27"/>
      <c r="E202" s="28"/>
      <c r="F202" s="29"/>
    </row>
    <row r="203" spans="1:9" x14ac:dyDescent="0.2">
      <c r="A203" s="26" t="s">
        <v>411</v>
      </c>
      <c r="B203" s="26" t="s">
        <v>410</v>
      </c>
      <c r="C203" s="26" t="s">
        <v>412</v>
      </c>
      <c r="D203" s="30">
        <v>3523</v>
      </c>
      <c r="E203" s="91">
        <v>0</v>
      </c>
      <c r="F203" s="92">
        <v>100</v>
      </c>
    </row>
    <row r="204" spans="1:9" ht="10.5" x14ac:dyDescent="0.25">
      <c r="A204" s="25" t="s">
        <v>167</v>
      </c>
      <c r="B204" s="25"/>
      <c r="C204" s="25"/>
      <c r="D204" s="31"/>
      <c r="E204" s="95">
        <f>SUM(E202:E203)</f>
        <v>0</v>
      </c>
      <c r="F204" s="96">
        <f>SUM(F202:F203)</f>
        <v>100</v>
      </c>
      <c r="G204" s="17"/>
      <c r="H204" s="17"/>
      <c r="I204" s="17"/>
    </row>
    <row r="205" spans="1:9" x14ac:dyDescent="0.2">
      <c r="A205" s="26"/>
      <c r="B205" s="26"/>
      <c r="C205" s="26"/>
      <c r="D205" s="27"/>
      <c r="E205" s="91"/>
      <c r="F205" s="92"/>
    </row>
    <row r="206" spans="1:9" ht="10.5" x14ac:dyDescent="0.25">
      <c r="A206" s="25" t="s">
        <v>205</v>
      </c>
      <c r="B206" s="25"/>
      <c r="C206" s="25"/>
      <c r="D206" s="31"/>
      <c r="E206" s="95">
        <f>E204</f>
        <v>0</v>
      </c>
      <c r="F206" s="96">
        <f>F204</f>
        <v>100</v>
      </c>
      <c r="G206" s="17"/>
      <c r="H206" s="17"/>
      <c r="I206" s="17"/>
    </row>
    <row r="207" spans="1:9" ht="10.5" x14ac:dyDescent="0.25">
      <c r="A207" s="25"/>
      <c r="B207" s="25"/>
      <c r="C207" s="25"/>
      <c r="D207" s="31"/>
      <c r="E207" s="95"/>
      <c r="F207" s="96"/>
      <c r="G207" s="17"/>
      <c r="H207" s="17"/>
      <c r="I207" s="17"/>
    </row>
    <row r="208" spans="1:9" ht="10.5" x14ac:dyDescent="0.25">
      <c r="A208" s="25" t="s">
        <v>207</v>
      </c>
      <c r="B208" s="25"/>
      <c r="C208" s="25"/>
      <c r="D208" s="31"/>
      <c r="E208" s="95">
        <f>E210-(E204)</f>
        <v>0</v>
      </c>
      <c r="F208" s="96">
        <v>0</v>
      </c>
      <c r="G208" s="17"/>
      <c r="H208" s="17"/>
      <c r="I208" s="17"/>
    </row>
    <row r="209" spans="1:9" ht="10.5" x14ac:dyDescent="0.25">
      <c r="A209" s="25"/>
      <c r="B209" s="25"/>
      <c r="C209" s="25"/>
      <c r="D209" s="31"/>
      <c r="E209" s="95"/>
      <c r="F209" s="96"/>
      <c r="G209" s="17"/>
      <c r="H209" s="17"/>
      <c r="I209" s="17"/>
    </row>
    <row r="210" spans="1:9" ht="10.5" x14ac:dyDescent="0.25">
      <c r="A210" s="34" t="s">
        <v>206</v>
      </c>
      <c r="B210" s="34"/>
      <c r="C210" s="34"/>
      <c r="D210" s="35"/>
      <c r="E210" s="98">
        <v>0</v>
      </c>
      <c r="F210" s="99">
        <v>100</v>
      </c>
      <c r="G210" s="17"/>
      <c r="H210" s="17"/>
      <c r="I210" s="17"/>
    </row>
    <row r="211" spans="1:9" ht="10.5" x14ac:dyDescent="0.25">
      <c r="A211" s="84" t="s">
        <v>209</v>
      </c>
      <c r="E211" s="82"/>
      <c r="F211" s="85"/>
    </row>
    <row r="212" spans="1:9" ht="10.5" x14ac:dyDescent="0.25">
      <c r="A212" s="116" t="s">
        <v>1557</v>
      </c>
    </row>
    <row r="214" spans="1:9" ht="10.5" x14ac:dyDescent="0.25">
      <c r="A214" s="17" t="s">
        <v>210</v>
      </c>
    </row>
    <row r="215" spans="1:9" ht="10.5" x14ac:dyDescent="0.25">
      <c r="A215" s="17" t="s">
        <v>211</v>
      </c>
    </row>
    <row r="216" spans="1:9" ht="10.5" x14ac:dyDescent="0.25">
      <c r="A216" s="17" t="s">
        <v>212</v>
      </c>
      <c r="B216" s="17"/>
      <c r="C216" s="38" t="s">
        <v>214</v>
      </c>
      <c r="D216" s="18" t="s">
        <v>213</v>
      </c>
    </row>
    <row r="217" spans="1:9" x14ac:dyDescent="0.2">
      <c r="A217" s="10" t="s">
        <v>215</v>
      </c>
      <c r="C217" s="114" t="s">
        <v>1563</v>
      </c>
      <c r="D217" s="39">
        <v>0</v>
      </c>
    </row>
    <row r="218" spans="1:9" x14ac:dyDescent="0.2">
      <c r="A218" s="10" t="s">
        <v>217</v>
      </c>
      <c r="C218" s="114" t="s">
        <v>1563</v>
      </c>
      <c r="D218" s="39">
        <v>0</v>
      </c>
    </row>
    <row r="219" spans="1:9" x14ac:dyDescent="0.2">
      <c r="A219" s="10" t="s">
        <v>395</v>
      </c>
      <c r="C219" s="114" t="s">
        <v>1563</v>
      </c>
      <c r="D219" s="39">
        <v>0</v>
      </c>
    </row>
    <row r="220" spans="1:9" x14ac:dyDescent="0.2">
      <c r="A220" s="10" t="s">
        <v>396</v>
      </c>
      <c r="C220" s="114" t="s">
        <v>1563</v>
      </c>
      <c r="D220" s="39">
        <v>0</v>
      </c>
    </row>
    <row r="221" spans="1:9" x14ac:dyDescent="0.2">
      <c r="A221" s="10" t="s">
        <v>218</v>
      </c>
      <c r="C221" s="114" t="s">
        <v>1563</v>
      </c>
      <c r="D221" s="39">
        <v>0</v>
      </c>
    </row>
    <row r="222" spans="1:9" x14ac:dyDescent="0.2">
      <c r="A222" s="10" t="s">
        <v>397</v>
      </c>
      <c r="C222" s="114" t="s">
        <v>1563</v>
      </c>
      <c r="D222" s="39">
        <v>0</v>
      </c>
    </row>
    <row r="223" spans="1:9" x14ac:dyDescent="0.2">
      <c r="A223" s="10" t="s">
        <v>398</v>
      </c>
      <c r="C223" s="114" t="s">
        <v>1563</v>
      </c>
      <c r="D223" s="39">
        <v>0</v>
      </c>
    </row>
    <row r="224" spans="1:9" x14ac:dyDescent="0.2">
      <c r="A224" s="10" t="s">
        <v>399</v>
      </c>
      <c r="C224" s="114" t="s">
        <v>1563</v>
      </c>
      <c r="D224" s="39">
        <v>0</v>
      </c>
    </row>
    <row r="225" spans="1:6" x14ac:dyDescent="0.2">
      <c r="A225" s="10" t="s">
        <v>400</v>
      </c>
      <c r="C225" s="114" t="s">
        <v>1563</v>
      </c>
      <c r="D225" s="39">
        <v>0</v>
      </c>
    </row>
    <row r="227" spans="1:6" s="78" customFormat="1" ht="10.5" x14ac:dyDescent="0.25">
      <c r="A227" s="84" t="s">
        <v>1562</v>
      </c>
      <c r="C227" s="114"/>
      <c r="D227" s="100"/>
      <c r="E227" s="101"/>
      <c r="F227" s="81"/>
    </row>
    <row r="228" spans="1:6" s="78" customFormat="1" x14ac:dyDescent="0.2">
      <c r="D228" s="79"/>
      <c r="E228" s="101"/>
      <c r="F228" s="81"/>
    </row>
    <row r="229" spans="1:6" s="78" customFormat="1" ht="10.5" x14ac:dyDescent="0.25">
      <c r="A229" s="84" t="s">
        <v>1561</v>
      </c>
      <c r="D229" s="103" t="s">
        <v>227</v>
      </c>
      <c r="E229" s="101"/>
      <c r="F229" s="81"/>
    </row>
    <row r="230" spans="1:6" s="78" customFormat="1" x14ac:dyDescent="0.2">
      <c r="A230" s="78" t="s">
        <v>231</v>
      </c>
      <c r="D230" s="79"/>
      <c r="E230" s="101"/>
      <c r="F230" s="81"/>
    </row>
    <row r="231" spans="1:6" s="78" customFormat="1" ht="14.5" x14ac:dyDescent="0.35">
      <c r="A231" s="102" t="s">
        <v>1558</v>
      </c>
      <c r="D231" s="79"/>
      <c r="E231" s="101"/>
      <c r="F231" s="81"/>
    </row>
  </sheetData>
  <mergeCells count="15">
    <mergeCell ref="A1:F1"/>
    <mergeCell ref="C134:D134"/>
    <mergeCell ref="A134:B134"/>
    <mergeCell ref="A135:B135"/>
    <mergeCell ref="A136:B136"/>
    <mergeCell ref="A162:F162"/>
    <mergeCell ref="A198:F198"/>
    <mergeCell ref="A137:B137"/>
    <mergeCell ref="A138:B138"/>
    <mergeCell ref="A139:B139"/>
    <mergeCell ref="A140:B140"/>
    <mergeCell ref="A141:B141"/>
    <mergeCell ref="A159:F159"/>
    <mergeCell ref="A156:F156"/>
    <mergeCell ref="A144:E144"/>
  </mergeCells>
  <conditionalFormatting sqref="F2:F3 F165:F166 F201:F202 F5:F71 F176:F197 F212:F226 F232:F65542 F163 F199 F153:F155 F74:F145 F160:F161">
    <cfRule type="cellIs" dxfId="85" priority="5" stopIfTrue="1" operator="between">
      <formula>0.009</formula>
      <formula>-0.009</formula>
    </cfRule>
  </conditionalFormatting>
  <conditionalFormatting sqref="F146:F152">
    <cfRule type="cellIs" dxfId="84" priority="4" stopIfTrue="1" operator="between">
      <formula>0.009</formula>
      <formula>-0.009</formula>
    </cfRule>
  </conditionalFormatting>
  <conditionalFormatting sqref="F167:F171 F173:F175">
    <cfRule type="cellIs" dxfId="83" priority="3" stopIfTrue="1" operator="between">
      <formula>0.009</formula>
      <formula>-0.009</formula>
    </cfRule>
  </conditionalFormatting>
  <conditionalFormatting sqref="F203:F207 F209:F211">
    <cfRule type="cellIs" dxfId="82" priority="2" stopIfTrue="1" operator="between">
      <formula>0.009</formula>
      <formula>-0.009</formula>
    </cfRule>
  </conditionalFormatting>
  <conditionalFormatting sqref="F227:F231">
    <cfRule type="cellIs" dxfId="81" priority="1" stopIfTrue="1" operator="between">
      <formula>0.009</formula>
      <formula>-0.009</formula>
    </cfRule>
  </conditionalFormatting>
  <hyperlinks>
    <hyperlink ref="A148" r:id="rId1" xr:uid="{00000000-0004-0000-0100-000000000000}"/>
    <hyperlink ref="A151" r:id="rId2" xr:uid="{00000000-0004-0000-0100-000001000000}"/>
    <hyperlink ref="A195" r:id="rId3" xr:uid="{00000000-0004-0000-0100-000002000000}"/>
    <hyperlink ref="A231" r:id="rId4" xr:uid="{00000000-0004-0000-0100-000003000000}"/>
    <hyperlink ref="A154" r:id="rId5" xr:uid="{00000000-0004-0000-0100-000004000000}"/>
    <hyperlink ref="A157" r:id="rId6" xr:uid="{5B338D25-EC31-4401-9676-097B4196FB70}"/>
  </hyperlinks>
  <pageMargins left="0.7" right="0.7" top="0.75" bottom="0.75" header="0.3" footer="0.3"/>
  <pageSetup paperSize="9" orientation="portrait" r:id="rId7"/>
  <headerFooter>
    <oddFooter>&amp;LPUBLIC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8"/>
  <sheetViews>
    <sheetView workbookViewId="0">
      <selection sqref="A1:F1"/>
    </sheetView>
  </sheetViews>
  <sheetFormatPr defaultColWidth="9.1796875" defaultRowHeight="10" x14ac:dyDescent="0.2"/>
  <cols>
    <col min="1" max="1" width="38.7265625" style="10" bestFit="1" customWidth="1"/>
    <col min="2" max="2" width="62"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5.7265625" style="10" bestFit="1" customWidth="1"/>
    <col min="8" max="16384" width="9.1796875" style="10"/>
  </cols>
  <sheetData>
    <row r="1" spans="1:6" s="1" customFormat="1" ht="14" x14ac:dyDescent="0.25">
      <c r="A1" s="143" t="s">
        <v>10</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87</v>
      </c>
      <c r="B7" s="26" t="s">
        <v>86</v>
      </c>
      <c r="C7" s="26" t="s">
        <v>88</v>
      </c>
      <c r="D7" s="30">
        <v>2170</v>
      </c>
      <c r="E7" s="28">
        <v>21617.757000000001</v>
      </c>
      <c r="F7" s="29">
        <v>8.9563433651706994</v>
      </c>
    </row>
    <row r="8" spans="1:6" x14ac:dyDescent="0.2">
      <c r="A8" s="26" t="s">
        <v>255</v>
      </c>
      <c r="B8" s="26" t="s">
        <v>254</v>
      </c>
      <c r="C8" s="26" t="s">
        <v>256</v>
      </c>
      <c r="D8" s="30">
        <v>2000</v>
      </c>
      <c r="E8" s="28">
        <v>20895.419999999998</v>
      </c>
      <c r="F8" s="29">
        <v>8.6570755827931194</v>
      </c>
    </row>
    <row r="9" spans="1:6" x14ac:dyDescent="0.2">
      <c r="A9" s="26" t="s">
        <v>242</v>
      </c>
      <c r="B9" s="26" t="s">
        <v>241</v>
      </c>
      <c r="C9" s="26" t="s">
        <v>243</v>
      </c>
      <c r="D9" s="30">
        <v>1450</v>
      </c>
      <c r="E9" s="28">
        <v>14681.4385</v>
      </c>
      <c r="F9" s="29">
        <v>6.0825923938656796</v>
      </c>
    </row>
    <row r="10" spans="1:6" x14ac:dyDescent="0.2">
      <c r="A10" s="26" t="s">
        <v>472</v>
      </c>
      <c r="B10" s="26" t="s">
        <v>471</v>
      </c>
      <c r="C10" s="26" t="s">
        <v>150</v>
      </c>
      <c r="D10" s="30">
        <v>1500</v>
      </c>
      <c r="E10" s="28">
        <v>14626.59</v>
      </c>
      <c r="F10" s="29">
        <v>6.0598683897488597</v>
      </c>
    </row>
    <row r="11" spans="1:6" x14ac:dyDescent="0.2">
      <c r="A11" s="26" t="s">
        <v>306</v>
      </c>
      <c r="B11" s="26" t="s">
        <v>305</v>
      </c>
      <c r="C11" s="26" t="s">
        <v>150</v>
      </c>
      <c r="D11" s="30">
        <v>1300</v>
      </c>
      <c r="E11" s="28">
        <v>12649.78</v>
      </c>
      <c r="F11" s="29">
        <v>5.2408662551748098</v>
      </c>
    </row>
    <row r="12" spans="1:6" x14ac:dyDescent="0.2">
      <c r="A12" s="26" t="s">
        <v>81</v>
      </c>
      <c r="B12" s="26" t="s">
        <v>80</v>
      </c>
      <c r="C12" s="26" t="s">
        <v>82</v>
      </c>
      <c r="D12" s="30">
        <v>2000</v>
      </c>
      <c r="E12" s="28">
        <v>9950.08</v>
      </c>
      <c r="F12" s="29">
        <v>4.1223672275952401</v>
      </c>
    </row>
    <row r="13" spans="1:6" x14ac:dyDescent="0.2">
      <c r="A13" s="26" t="s">
        <v>130</v>
      </c>
      <c r="B13" s="26" t="s">
        <v>129</v>
      </c>
      <c r="C13" s="26" t="s">
        <v>107</v>
      </c>
      <c r="D13" s="30">
        <v>1000</v>
      </c>
      <c r="E13" s="28">
        <v>9550.57</v>
      </c>
      <c r="F13" s="29">
        <v>3.9568482638184101</v>
      </c>
    </row>
    <row r="14" spans="1:6" x14ac:dyDescent="0.2">
      <c r="A14" s="26" t="s">
        <v>101</v>
      </c>
      <c r="B14" s="26" t="s">
        <v>100</v>
      </c>
      <c r="C14" s="26" t="s">
        <v>85</v>
      </c>
      <c r="D14" s="30">
        <v>915</v>
      </c>
      <c r="E14" s="28">
        <v>9159.7356</v>
      </c>
      <c r="F14" s="29">
        <v>3.7949236439181799</v>
      </c>
    </row>
    <row r="15" spans="1:6" x14ac:dyDescent="0.2">
      <c r="A15" s="26" t="s">
        <v>141</v>
      </c>
      <c r="B15" s="26" t="s">
        <v>140</v>
      </c>
      <c r="C15" s="26" t="s">
        <v>85</v>
      </c>
      <c r="D15" s="30">
        <v>780</v>
      </c>
      <c r="E15" s="28">
        <v>8119.3710000000001</v>
      </c>
      <c r="F15" s="29">
        <v>3.36389545803523</v>
      </c>
    </row>
    <row r="16" spans="1:6" x14ac:dyDescent="0.2">
      <c r="A16" s="26" t="s">
        <v>103</v>
      </c>
      <c r="B16" s="26" t="s">
        <v>102</v>
      </c>
      <c r="C16" s="26" t="s">
        <v>104</v>
      </c>
      <c r="D16" s="30">
        <v>1102</v>
      </c>
      <c r="E16" s="28">
        <v>5505.5148600000002</v>
      </c>
      <c r="F16" s="29">
        <v>2.2809619651201398</v>
      </c>
    </row>
    <row r="17" spans="1:6" x14ac:dyDescent="0.2">
      <c r="A17" s="26" t="s">
        <v>75</v>
      </c>
      <c r="B17" s="26" t="s">
        <v>74</v>
      </c>
      <c r="C17" s="26" t="s">
        <v>76</v>
      </c>
      <c r="D17" s="30">
        <v>500</v>
      </c>
      <c r="E17" s="28">
        <v>5012.1049999999996</v>
      </c>
      <c r="F17" s="29">
        <v>2.0765398261387098</v>
      </c>
    </row>
    <row r="18" spans="1:6" x14ac:dyDescent="0.2">
      <c r="A18" s="26" t="s">
        <v>72</v>
      </c>
      <c r="B18" s="26" t="s">
        <v>71</v>
      </c>
      <c r="C18" s="26" t="s">
        <v>73</v>
      </c>
      <c r="D18" s="30">
        <v>450</v>
      </c>
      <c r="E18" s="28">
        <v>4495.0230000000001</v>
      </c>
      <c r="F18" s="29">
        <v>1.8623102027809699</v>
      </c>
    </row>
    <row r="19" spans="1:6" x14ac:dyDescent="0.2">
      <c r="A19" s="26" t="s">
        <v>474</v>
      </c>
      <c r="B19" s="26" t="s">
        <v>473</v>
      </c>
      <c r="C19" s="26" t="s">
        <v>139</v>
      </c>
      <c r="D19" s="30">
        <v>500</v>
      </c>
      <c r="E19" s="28">
        <v>4246.21</v>
      </c>
      <c r="F19" s="29">
        <v>1.75922574949017</v>
      </c>
    </row>
    <row r="20" spans="1:6" x14ac:dyDescent="0.2">
      <c r="A20" s="26" t="s">
        <v>476</v>
      </c>
      <c r="B20" s="26" t="s">
        <v>475</v>
      </c>
      <c r="C20" s="26" t="s">
        <v>304</v>
      </c>
      <c r="D20" s="30">
        <v>300</v>
      </c>
      <c r="E20" s="28">
        <v>3004.317</v>
      </c>
      <c r="F20" s="29">
        <v>1.24470335335065</v>
      </c>
    </row>
    <row r="21" spans="1:6" x14ac:dyDescent="0.2">
      <c r="A21" s="26" t="s">
        <v>294</v>
      </c>
      <c r="B21" s="26" t="s">
        <v>293</v>
      </c>
      <c r="C21" s="26" t="s">
        <v>104</v>
      </c>
      <c r="D21" s="30">
        <v>300</v>
      </c>
      <c r="E21" s="28">
        <v>2972.5439999999999</v>
      </c>
      <c r="F21" s="29">
        <v>1.2315396427149199</v>
      </c>
    </row>
    <row r="22" spans="1:6" x14ac:dyDescent="0.2">
      <c r="A22" s="26" t="s">
        <v>478</v>
      </c>
      <c r="B22" s="26" t="s">
        <v>477</v>
      </c>
      <c r="C22" s="26" t="s">
        <v>479</v>
      </c>
      <c r="D22" s="30">
        <v>232</v>
      </c>
      <c r="E22" s="28">
        <v>2923.0631199999998</v>
      </c>
      <c r="F22" s="29">
        <v>1.21103947004248</v>
      </c>
    </row>
    <row r="23" spans="1:6" x14ac:dyDescent="0.2">
      <c r="A23" s="26" t="s">
        <v>481</v>
      </c>
      <c r="B23" s="26" t="s">
        <v>480</v>
      </c>
      <c r="C23" s="26" t="s">
        <v>139</v>
      </c>
      <c r="D23" s="30">
        <v>250</v>
      </c>
      <c r="E23" s="28">
        <v>2897.39</v>
      </c>
      <c r="F23" s="29">
        <v>1.2004029697813701</v>
      </c>
    </row>
    <row r="24" spans="1:6" x14ac:dyDescent="0.2">
      <c r="A24" s="26" t="s">
        <v>149</v>
      </c>
      <c r="B24" s="26" t="s">
        <v>148</v>
      </c>
      <c r="C24" s="26" t="s">
        <v>150</v>
      </c>
      <c r="D24" s="30">
        <v>250</v>
      </c>
      <c r="E24" s="28">
        <v>2515.1224999999999</v>
      </c>
      <c r="F24" s="29">
        <v>1.04202765881153</v>
      </c>
    </row>
    <row r="25" spans="1:6" x14ac:dyDescent="0.2">
      <c r="A25" s="26" t="s">
        <v>310</v>
      </c>
      <c r="B25" s="26" t="s">
        <v>309</v>
      </c>
      <c r="C25" s="26" t="s">
        <v>181</v>
      </c>
      <c r="D25" s="30">
        <v>250</v>
      </c>
      <c r="E25" s="28">
        <v>2509.25</v>
      </c>
      <c r="F25" s="29">
        <v>1.0395946530925699</v>
      </c>
    </row>
    <row r="26" spans="1:6" x14ac:dyDescent="0.2">
      <c r="A26" s="26" t="s">
        <v>267</v>
      </c>
      <c r="B26" s="26" t="s">
        <v>266</v>
      </c>
      <c r="C26" s="26" t="s">
        <v>150</v>
      </c>
      <c r="D26" s="30">
        <v>240</v>
      </c>
      <c r="E26" s="28">
        <v>2399.8631999999998</v>
      </c>
      <c r="F26" s="29">
        <v>0.99427516224913204</v>
      </c>
    </row>
    <row r="27" spans="1:6" x14ac:dyDescent="0.2">
      <c r="A27" s="26" t="s">
        <v>253</v>
      </c>
      <c r="B27" s="26" t="s">
        <v>252</v>
      </c>
      <c r="C27" s="26" t="s">
        <v>139</v>
      </c>
      <c r="D27" s="30">
        <v>250</v>
      </c>
      <c r="E27" s="28">
        <v>2047.105</v>
      </c>
      <c r="F27" s="29">
        <v>0.84812569983822805</v>
      </c>
    </row>
    <row r="28" spans="1:6" x14ac:dyDescent="0.2">
      <c r="A28" s="26" t="s">
        <v>117</v>
      </c>
      <c r="B28" s="26" t="s">
        <v>116</v>
      </c>
      <c r="C28" s="26" t="s">
        <v>82</v>
      </c>
      <c r="D28" s="30">
        <v>400</v>
      </c>
      <c r="E28" s="28">
        <v>2007.3</v>
      </c>
      <c r="F28" s="29">
        <v>0.831634291980761</v>
      </c>
    </row>
    <row r="29" spans="1:6" x14ac:dyDescent="0.2">
      <c r="A29" s="26" t="s">
        <v>115</v>
      </c>
      <c r="B29" s="26" t="s">
        <v>114</v>
      </c>
      <c r="C29" s="26" t="s">
        <v>104</v>
      </c>
      <c r="D29" s="30">
        <v>176</v>
      </c>
      <c r="E29" s="28">
        <v>1743.6320000000001</v>
      </c>
      <c r="F29" s="29">
        <v>0.72239533891047603</v>
      </c>
    </row>
    <row r="30" spans="1:6" x14ac:dyDescent="0.2">
      <c r="A30" s="26" t="s">
        <v>161</v>
      </c>
      <c r="B30" s="26" t="s">
        <v>160</v>
      </c>
      <c r="C30" s="26" t="s">
        <v>82</v>
      </c>
      <c r="D30" s="30">
        <v>200</v>
      </c>
      <c r="E30" s="28">
        <v>1648.2239999999999</v>
      </c>
      <c r="F30" s="29">
        <v>0.68286733386424403</v>
      </c>
    </row>
    <row r="31" spans="1:6" x14ac:dyDescent="0.2">
      <c r="A31" s="26" t="s">
        <v>303</v>
      </c>
      <c r="B31" s="26" t="s">
        <v>302</v>
      </c>
      <c r="C31" s="26" t="s">
        <v>304</v>
      </c>
      <c r="D31" s="30">
        <v>150</v>
      </c>
      <c r="E31" s="28">
        <v>1478.8154999999999</v>
      </c>
      <c r="F31" s="29">
        <v>0.61268055662465803</v>
      </c>
    </row>
    <row r="32" spans="1:6" x14ac:dyDescent="0.2">
      <c r="A32" s="26" t="s">
        <v>483</v>
      </c>
      <c r="B32" s="26" t="s">
        <v>482</v>
      </c>
      <c r="C32" s="26" t="s">
        <v>91</v>
      </c>
      <c r="D32" s="30">
        <v>150</v>
      </c>
      <c r="E32" s="28">
        <v>1162.7292</v>
      </c>
      <c r="F32" s="29">
        <v>0.48172444328568598</v>
      </c>
    </row>
    <row r="33" spans="1:9" x14ac:dyDescent="0.2">
      <c r="A33" s="26" t="s">
        <v>485</v>
      </c>
      <c r="B33" s="26" t="s">
        <v>484</v>
      </c>
      <c r="C33" s="26" t="s">
        <v>139</v>
      </c>
      <c r="D33" s="30">
        <v>115</v>
      </c>
      <c r="E33" s="28">
        <v>773.17949999999996</v>
      </c>
      <c r="F33" s="29">
        <v>0.32033208093286403</v>
      </c>
    </row>
    <row r="34" spans="1:9" x14ac:dyDescent="0.2">
      <c r="A34" s="26" t="s">
        <v>263</v>
      </c>
      <c r="B34" s="26" t="s">
        <v>262</v>
      </c>
      <c r="C34" s="26" t="s">
        <v>104</v>
      </c>
      <c r="D34" s="30">
        <v>62</v>
      </c>
      <c r="E34" s="28">
        <v>602.91156000000001</v>
      </c>
      <c r="F34" s="29">
        <v>0.249789233461673</v>
      </c>
    </row>
    <row r="35" spans="1:9" x14ac:dyDescent="0.2">
      <c r="A35" s="26" t="s">
        <v>265</v>
      </c>
      <c r="B35" s="26" t="s">
        <v>264</v>
      </c>
      <c r="C35" s="26" t="s">
        <v>104</v>
      </c>
      <c r="D35" s="30">
        <v>62</v>
      </c>
      <c r="E35" s="28">
        <v>598.50397999999996</v>
      </c>
      <c r="F35" s="29">
        <v>0.24796315132514701</v>
      </c>
    </row>
    <row r="36" spans="1:9" x14ac:dyDescent="0.2">
      <c r="A36" s="26" t="s">
        <v>159</v>
      </c>
      <c r="B36" s="26" t="s">
        <v>158</v>
      </c>
      <c r="C36" s="26" t="s">
        <v>104</v>
      </c>
      <c r="D36" s="30">
        <v>55</v>
      </c>
      <c r="E36" s="28">
        <v>539.70839999999998</v>
      </c>
      <c r="F36" s="29">
        <v>0.22360385249343401</v>
      </c>
    </row>
    <row r="37" spans="1:9" x14ac:dyDescent="0.2">
      <c r="A37" s="26" t="s">
        <v>143</v>
      </c>
      <c r="B37" s="26" t="s">
        <v>142</v>
      </c>
      <c r="C37" s="26" t="s">
        <v>104</v>
      </c>
      <c r="D37" s="30">
        <v>174</v>
      </c>
      <c r="E37" s="28">
        <v>434.10041999999999</v>
      </c>
      <c r="F37" s="29">
        <v>0.17984994541685401</v>
      </c>
    </row>
    <row r="38" spans="1:9" ht="10.5" x14ac:dyDescent="0.25">
      <c r="A38" s="25" t="s">
        <v>167</v>
      </c>
      <c r="B38" s="25"/>
      <c r="C38" s="25"/>
      <c r="D38" s="31"/>
      <c r="E38" s="32">
        <f>SUM(E6:E37)</f>
        <v>172767.35434000002</v>
      </c>
      <c r="F38" s="33">
        <f>SUM(F6:F37)</f>
        <v>71.57836716182689</v>
      </c>
      <c r="G38" s="17"/>
      <c r="H38" s="17"/>
      <c r="I38" s="17"/>
    </row>
    <row r="39" spans="1:9" x14ac:dyDescent="0.2">
      <c r="A39" s="26"/>
      <c r="B39" s="26"/>
      <c r="C39" s="26"/>
      <c r="D39" s="27"/>
      <c r="E39" s="28"/>
      <c r="F39" s="29"/>
    </row>
    <row r="40" spans="1:9" ht="10.5" x14ac:dyDescent="0.25">
      <c r="A40" s="25" t="s">
        <v>168</v>
      </c>
      <c r="B40" s="26"/>
      <c r="C40" s="26"/>
      <c r="D40" s="27"/>
      <c r="E40" s="28"/>
      <c r="F40" s="29"/>
    </row>
    <row r="41" spans="1:9" x14ac:dyDescent="0.2">
      <c r="A41" s="26" t="s">
        <v>185</v>
      </c>
      <c r="B41" s="26" t="s">
        <v>184</v>
      </c>
      <c r="C41" s="26" t="s">
        <v>181</v>
      </c>
      <c r="D41" s="30">
        <v>1750</v>
      </c>
      <c r="E41" s="28">
        <v>17522.330000000002</v>
      </c>
      <c r="F41" s="29">
        <v>7.2595877563907996</v>
      </c>
    </row>
    <row r="42" spans="1:9" x14ac:dyDescent="0.2">
      <c r="A42" s="26" t="s">
        <v>378</v>
      </c>
      <c r="B42" s="26" t="s">
        <v>377</v>
      </c>
      <c r="C42" s="26" t="s">
        <v>351</v>
      </c>
      <c r="D42" s="30">
        <v>1498</v>
      </c>
      <c r="E42" s="28">
        <v>15126.669180000001</v>
      </c>
      <c r="F42" s="29">
        <v>6.2670536609059404</v>
      </c>
    </row>
    <row r="43" spans="1:9" x14ac:dyDescent="0.2">
      <c r="A43" s="26" t="s">
        <v>174</v>
      </c>
      <c r="B43" s="26" t="s">
        <v>173</v>
      </c>
      <c r="C43" s="26" t="s">
        <v>88</v>
      </c>
      <c r="D43" s="30">
        <v>650</v>
      </c>
      <c r="E43" s="28">
        <v>6475.17</v>
      </c>
      <c r="F43" s="29">
        <v>2.68269487291639</v>
      </c>
    </row>
    <row r="44" spans="1:9" x14ac:dyDescent="0.2">
      <c r="A44" s="26" t="s">
        <v>345</v>
      </c>
      <c r="B44" s="26" t="s">
        <v>344</v>
      </c>
      <c r="C44" s="26" t="s">
        <v>286</v>
      </c>
      <c r="D44" s="30">
        <v>600</v>
      </c>
      <c r="E44" s="28">
        <v>5300.4480000000003</v>
      </c>
      <c r="F44" s="29">
        <v>2.1960017534304002</v>
      </c>
    </row>
    <row r="45" spans="1:9" x14ac:dyDescent="0.2">
      <c r="A45" s="26" t="s">
        <v>180</v>
      </c>
      <c r="B45" s="26" t="s">
        <v>179</v>
      </c>
      <c r="C45" s="26" t="s">
        <v>181</v>
      </c>
      <c r="D45" s="30">
        <v>5150</v>
      </c>
      <c r="E45" s="28">
        <v>4925.9234999999999</v>
      </c>
      <c r="F45" s="29">
        <v>2.0408344055566601</v>
      </c>
    </row>
    <row r="46" spans="1:9" x14ac:dyDescent="0.2">
      <c r="A46" s="26" t="s">
        <v>183</v>
      </c>
      <c r="B46" s="26" t="s">
        <v>182</v>
      </c>
      <c r="C46" s="26" t="s">
        <v>181</v>
      </c>
      <c r="D46" s="30">
        <v>310</v>
      </c>
      <c r="E46" s="28">
        <v>4658.1871000000001</v>
      </c>
      <c r="F46" s="29">
        <v>1.9299098942970201</v>
      </c>
    </row>
    <row r="47" spans="1:9" x14ac:dyDescent="0.2">
      <c r="A47" s="26" t="s">
        <v>170</v>
      </c>
      <c r="B47" s="26" t="s">
        <v>169</v>
      </c>
      <c r="C47" s="26" t="s">
        <v>79</v>
      </c>
      <c r="D47" s="30">
        <v>350</v>
      </c>
      <c r="E47" s="28">
        <v>3499.9859999999999</v>
      </c>
      <c r="F47" s="29">
        <v>1.4500614651783901</v>
      </c>
    </row>
    <row r="48" spans="1:9" x14ac:dyDescent="0.2">
      <c r="A48" s="26" t="s">
        <v>353</v>
      </c>
      <c r="B48" s="26" t="s">
        <v>352</v>
      </c>
      <c r="C48" s="26" t="s">
        <v>351</v>
      </c>
      <c r="D48" s="30">
        <v>180</v>
      </c>
      <c r="E48" s="28">
        <v>1557.978721</v>
      </c>
      <c r="F48" s="29">
        <v>0.64547826959593801</v>
      </c>
    </row>
    <row r="49" spans="1:9" x14ac:dyDescent="0.2">
      <c r="A49" s="26" t="s">
        <v>376</v>
      </c>
      <c r="B49" s="26" t="s">
        <v>375</v>
      </c>
      <c r="C49" s="26" t="s">
        <v>351</v>
      </c>
      <c r="D49" s="30">
        <v>120</v>
      </c>
      <c r="E49" s="28">
        <v>1065.9909700000001</v>
      </c>
      <c r="F49" s="29">
        <v>0.44164531738844898</v>
      </c>
    </row>
    <row r="50" spans="1:9" x14ac:dyDescent="0.2">
      <c r="A50" s="26" t="s">
        <v>380</v>
      </c>
      <c r="B50" s="26" t="s">
        <v>379</v>
      </c>
      <c r="C50" s="26" t="s">
        <v>381</v>
      </c>
      <c r="D50" s="30">
        <v>1088</v>
      </c>
      <c r="E50" s="28">
        <v>355.01440000000002</v>
      </c>
      <c r="F50" s="29">
        <v>0.147084217200705</v>
      </c>
    </row>
    <row r="51" spans="1:9" x14ac:dyDescent="0.2">
      <c r="A51" s="26" t="s">
        <v>350</v>
      </c>
      <c r="B51" s="26" t="s">
        <v>349</v>
      </c>
      <c r="C51" s="26" t="s">
        <v>351</v>
      </c>
      <c r="D51" s="30">
        <v>40</v>
      </c>
      <c r="E51" s="28">
        <v>338.2993146</v>
      </c>
      <c r="F51" s="29">
        <v>0.140159074864219</v>
      </c>
    </row>
    <row r="52" spans="1:9" x14ac:dyDescent="0.2">
      <c r="A52" s="26" t="s">
        <v>387</v>
      </c>
      <c r="B52" s="26" t="s">
        <v>386</v>
      </c>
      <c r="C52" s="26" t="s">
        <v>381</v>
      </c>
      <c r="D52" s="30">
        <v>327</v>
      </c>
      <c r="E52" s="28">
        <v>105.621</v>
      </c>
      <c r="F52" s="29">
        <v>4.3759301326807103E-2</v>
      </c>
    </row>
    <row r="53" spans="1:9" ht="10.5" x14ac:dyDescent="0.25">
      <c r="A53" s="25" t="s">
        <v>167</v>
      </c>
      <c r="B53" s="25"/>
      <c r="C53" s="25"/>
      <c r="D53" s="31"/>
      <c r="E53" s="32">
        <f>SUM(E40:E52)</f>
        <v>60931.618185599997</v>
      </c>
      <c r="F53" s="33">
        <f>SUM(F40:F52)</f>
        <v>25.24426998905172</v>
      </c>
      <c r="G53" s="17"/>
      <c r="H53" s="17"/>
      <c r="I53" s="17"/>
    </row>
    <row r="54" spans="1:9" x14ac:dyDescent="0.2">
      <c r="A54" s="26"/>
      <c r="B54" s="26"/>
      <c r="C54" s="26"/>
      <c r="D54" s="27"/>
      <c r="E54" s="28"/>
      <c r="F54" s="29"/>
    </row>
    <row r="55" spans="1:9" ht="10.5" x14ac:dyDescent="0.25">
      <c r="A55" s="25" t="s">
        <v>205</v>
      </c>
      <c r="B55" s="25"/>
      <c r="C55" s="25"/>
      <c r="D55" s="31"/>
      <c r="E55" s="32">
        <f>E38+E53</f>
        <v>233698.97252560002</v>
      </c>
      <c r="F55" s="33">
        <f>F38+F53</f>
        <v>96.822637150878606</v>
      </c>
      <c r="G55" s="17"/>
      <c r="H55" s="17"/>
      <c r="I55" s="17"/>
    </row>
    <row r="56" spans="1:9" ht="10.5" x14ac:dyDescent="0.25">
      <c r="A56" s="25"/>
      <c r="B56" s="25"/>
      <c r="C56" s="25"/>
      <c r="D56" s="31"/>
      <c r="E56" s="32"/>
      <c r="F56" s="33"/>
      <c r="G56" s="17"/>
      <c r="H56" s="17"/>
      <c r="I56" s="17"/>
    </row>
    <row r="57" spans="1:9" ht="10.5" x14ac:dyDescent="0.25">
      <c r="A57" s="25" t="s">
        <v>207</v>
      </c>
      <c r="B57" s="25"/>
      <c r="C57" s="25"/>
      <c r="D57" s="31"/>
      <c r="E57" s="32">
        <f>E59-(E38+E53)</f>
        <v>7669.1407611999894</v>
      </c>
      <c r="F57" s="33">
        <f>F59-(F38+F53)</f>
        <v>3.1773628491213941</v>
      </c>
      <c r="G57" s="17"/>
      <c r="H57" s="17"/>
      <c r="I57" s="17"/>
    </row>
    <row r="58" spans="1:9" ht="10.5" x14ac:dyDescent="0.25">
      <c r="A58" s="25"/>
      <c r="B58" s="25"/>
      <c r="C58" s="25"/>
      <c r="D58" s="31"/>
      <c r="E58" s="32"/>
      <c r="F58" s="33"/>
      <c r="G58" s="17"/>
      <c r="H58" s="17"/>
      <c r="I58" s="17"/>
    </row>
    <row r="59" spans="1:9" ht="10.5" x14ac:dyDescent="0.25">
      <c r="A59" s="34" t="s">
        <v>206</v>
      </c>
      <c r="B59" s="34"/>
      <c r="C59" s="34"/>
      <c r="D59" s="35"/>
      <c r="E59" s="36">
        <v>241368.11328680001</v>
      </c>
      <c r="F59" s="37">
        <v>100</v>
      </c>
      <c r="G59" s="17"/>
      <c r="H59" s="17"/>
      <c r="I59" s="17"/>
    </row>
    <row r="60" spans="1:9" ht="10.5" x14ac:dyDescent="0.25">
      <c r="A60" s="84" t="s">
        <v>209</v>
      </c>
    </row>
    <row r="61" spans="1:9" ht="10.5" x14ac:dyDescent="0.25">
      <c r="A61" s="84" t="s">
        <v>1557</v>
      </c>
    </row>
    <row r="62" spans="1:9" ht="10.5" x14ac:dyDescent="0.25">
      <c r="A62" s="84" t="s">
        <v>1548</v>
      </c>
    </row>
    <row r="63" spans="1:9" s="78" customFormat="1" x14ac:dyDescent="0.2">
      <c r="D63" s="79"/>
      <c r="E63" s="82"/>
      <c r="F63" s="83"/>
    </row>
    <row r="64" spans="1:9" ht="10.5" x14ac:dyDescent="0.25">
      <c r="A64" s="17" t="s">
        <v>210</v>
      </c>
    </row>
    <row r="65" spans="1:6" ht="10.5" x14ac:dyDescent="0.25">
      <c r="A65" s="17" t="s">
        <v>211</v>
      </c>
    </row>
    <row r="66" spans="1:6" ht="10.5" x14ac:dyDescent="0.25">
      <c r="A66" s="17" t="s">
        <v>212</v>
      </c>
      <c r="B66" s="17"/>
      <c r="C66" s="38" t="s">
        <v>214</v>
      </c>
      <c r="D66" s="18" t="s">
        <v>213</v>
      </c>
    </row>
    <row r="67" spans="1:6" x14ac:dyDescent="0.2">
      <c r="A67" s="10" t="s">
        <v>486</v>
      </c>
      <c r="C67" s="39">
        <v>21.017600000000002</v>
      </c>
      <c r="D67" s="39">
        <v>21.220500000000001</v>
      </c>
    </row>
    <row r="68" spans="1:6" x14ac:dyDescent="0.2">
      <c r="A68" s="10" t="s">
        <v>487</v>
      </c>
      <c r="C68" s="39">
        <v>9.6912000000000003</v>
      </c>
      <c r="D68" s="39">
        <v>9.7848000000000006</v>
      </c>
    </row>
    <row r="69" spans="1:6" x14ac:dyDescent="0.2">
      <c r="A69" s="10" t="s">
        <v>488</v>
      </c>
      <c r="C69" s="39">
        <v>9.5181000000000004</v>
      </c>
      <c r="D69" s="39">
        <v>9.61</v>
      </c>
    </row>
    <row r="70" spans="1:6" x14ac:dyDescent="0.2">
      <c r="A70" s="10" t="s">
        <v>489</v>
      </c>
      <c r="C70" s="39">
        <v>21.500299999999999</v>
      </c>
      <c r="D70" s="39">
        <v>21.745999999999999</v>
      </c>
    </row>
    <row r="71" spans="1:6" x14ac:dyDescent="0.2">
      <c r="A71" s="10" t="s">
        <v>490</v>
      </c>
      <c r="C71" s="39">
        <v>9.9923000000000002</v>
      </c>
      <c r="D71" s="39">
        <v>10.106400000000001</v>
      </c>
    </row>
    <row r="72" spans="1:6" x14ac:dyDescent="0.2">
      <c r="A72" s="10" t="s">
        <v>491</v>
      </c>
      <c r="C72" s="39">
        <v>9.8193000000000001</v>
      </c>
      <c r="D72" s="39">
        <v>9.9314</v>
      </c>
    </row>
    <row r="74" spans="1:6" ht="10.5" x14ac:dyDescent="0.25">
      <c r="A74" s="17" t="s">
        <v>226</v>
      </c>
      <c r="D74" s="40" t="s">
        <v>227</v>
      </c>
    </row>
    <row r="76" spans="1:6" ht="10.5" x14ac:dyDescent="0.25">
      <c r="A76" s="17" t="s">
        <v>228</v>
      </c>
      <c r="D76" s="41">
        <v>1.1619084114794518</v>
      </c>
      <c r="E76" s="15" t="s">
        <v>229</v>
      </c>
    </row>
    <row r="77" spans="1:6" ht="44.5" customHeight="1" x14ac:dyDescent="0.2">
      <c r="A77" s="139" t="s">
        <v>1596</v>
      </c>
      <c r="B77" s="140"/>
      <c r="C77" s="140"/>
      <c r="D77" s="140"/>
      <c r="E77" s="140"/>
    </row>
    <row r="78" spans="1:6" s="78" customFormat="1" ht="14.5" x14ac:dyDescent="0.2">
      <c r="A78" s="137"/>
      <c r="B78" s="138"/>
      <c r="C78" s="138"/>
      <c r="D78" s="138"/>
      <c r="E78" s="138"/>
      <c r="F78" s="83"/>
    </row>
    <row r="79" spans="1:6" ht="10.5" x14ac:dyDescent="0.25">
      <c r="A79" s="17" t="s">
        <v>230</v>
      </c>
      <c r="D79" s="103" t="s">
        <v>227</v>
      </c>
    </row>
    <row r="80" spans="1:6" x14ac:dyDescent="0.2">
      <c r="A80" s="78" t="s">
        <v>231</v>
      </c>
    </row>
    <row r="81" spans="1:9" ht="14.5" x14ac:dyDescent="0.35">
      <c r="A81" s="102" t="s">
        <v>1558</v>
      </c>
    </row>
    <row r="82" spans="1:9" s="78" customFormat="1" ht="14.5" x14ac:dyDescent="0.35">
      <c r="A82" s="102"/>
      <c r="D82" s="79"/>
      <c r="E82" s="82"/>
      <c r="F82" s="83"/>
    </row>
    <row r="83" spans="1:9" s="78" customFormat="1" ht="10.5" x14ac:dyDescent="0.25">
      <c r="A83" s="84" t="s">
        <v>1559</v>
      </c>
      <c r="D83" s="79"/>
      <c r="E83" s="82"/>
      <c r="F83" s="83"/>
    </row>
    <row r="84" spans="1:9" s="78" customFormat="1" ht="14.5" x14ac:dyDescent="0.35">
      <c r="A84" s="115" t="s">
        <v>1560</v>
      </c>
      <c r="D84" s="79"/>
      <c r="E84" s="82"/>
      <c r="F84" s="83"/>
    </row>
    <row r="86" spans="1:9" ht="30" customHeight="1" x14ac:dyDescent="0.2">
      <c r="A86" s="149" t="s">
        <v>1590</v>
      </c>
      <c r="B86" s="149"/>
      <c r="C86" s="149"/>
      <c r="D86" s="149"/>
      <c r="E86" s="149"/>
      <c r="F86" s="149"/>
    </row>
    <row r="87" spans="1:9" s="78" customFormat="1" x14ac:dyDescent="0.2">
      <c r="D87" s="79"/>
      <c r="E87" s="82"/>
      <c r="F87" s="83"/>
    </row>
    <row r="88" spans="1:9" s="78" customFormat="1" x14ac:dyDescent="0.2">
      <c r="D88" s="79"/>
      <c r="E88" s="82"/>
      <c r="F88" s="83"/>
    </row>
    <row r="89" spans="1:9" s="1" customFormat="1" ht="14" x14ac:dyDescent="0.25">
      <c r="A89" s="143" t="s">
        <v>492</v>
      </c>
      <c r="B89" s="144"/>
      <c r="C89" s="144"/>
      <c r="D89" s="144"/>
      <c r="E89" s="144"/>
      <c r="F89" s="144"/>
    </row>
    <row r="90" spans="1:9" ht="10.5" x14ac:dyDescent="0.25">
      <c r="A90" s="17" t="s">
        <v>6</v>
      </c>
    </row>
    <row r="91" spans="1:9" s="1" customFormat="1" ht="17.5" customHeight="1" x14ac:dyDescent="0.25">
      <c r="A91" s="8" t="s">
        <v>2</v>
      </c>
      <c r="B91" s="8" t="s">
        <v>0</v>
      </c>
      <c r="C91" s="8" t="s">
        <v>208</v>
      </c>
      <c r="D91" s="106" t="s">
        <v>1</v>
      </c>
      <c r="E91" s="77" t="s">
        <v>3</v>
      </c>
      <c r="F91" s="77" t="s">
        <v>4</v>
      </c>
    </row>
    <row r="92" spans="1:9" ht="10.5" x14ac:dyDescent="0.25">
      <c r="A92" s="20" t="s">
        <v>69</v>
      </c>
      <c r="B92" s="21"/>
      <c r="C92" s="21"/>
      <c r="D92" s="22"/>
      <c r="E92" s="87"/>
      <c r="F92" s="88"/>
    </row>
    <row r="93" spans="1:9" ht="10.5" x14ac:dyDescent="0.25">
      <c r="A93" s="25" t="s">
        <v>70</v>
      </c>
      <c r="B93" s="26"/>
      <c r="C93" s="26"/>
      <c r="D93" s="27"/>
      <c r="E93" s="91"/>
      <c r="F93" s="92"/>
    </row>
    <row r="94" spans="1:9" x14ac:dyDescent="0.2">
      <c r="A94" s="26" t="s">
        <v>407</v>
      </c>
      <c r="B94" s="26" t="s">
        <v>406</v>
      </c>
      <c r="C94" s="26" t="s">
        <v>408</v>
      </c>
      <c r="D94" s="30">
        <v>1510</v>
      </c>
      <c r="E94" s="91">
        <v>0</v>
      </c>
      <c r="F94" s="92">
        <v>100</v>
      </c>
    </row>
    <row r="95" spans="1:9" ht="10.5" x14ac:dyDescent="0.25">
      <c r="A95" s="25" t="s">
        <v>167</v>
      </c>
      <c r="B95" s="25"/>
      <c r="C95" s="25"/>
      <c r="D95" s="31"/>
      <c r="E95" s="95">
        <f>SUM(E93:E94)</f>
        <v>0</v>
      </c>
      <c r="F95" s="96">
        <f>SUM(F93:F94)</f>
        <v>100</v>
      </c>
      <c r="G95" s="17"/>
      <c r="H95" s="17"/>
      <c r="I95" s="17"/>
    </row>
    <row r="96" spans="1:9" x14ac:dyDescent="0.2">
      <c r="A96" s="26"/>
      <c r="B96" s="26"/>
      <c r="C96" s="26"/>
      <c r="D96" s="27"/>
      <c r="E96" s="91"/>
      <c r="F96" s="92"/>
    </row>
    <row r="97" spans="1:9" ht="10.5" x14ac:dyDescent="0.25">
      <c r="A97" s="25" t="s">
        <v>205</v>
      </c>
      <c r="B97" s="25"/>
      <c r="C97" s="25"/>
      <c r="D97" s="31"/>
      <c r="E97" s="95">
        <f>E95</f>
        <v>0</v>
      </c>
      <c r="F97" s="96">
        <f>F95</f>
        <v>100</v>
      </c>
      <c r="G97" s="17"/>
      <c r="H97" s="17"/>
      <c r="I97" s="17"/>
    </row>
    <row r="98" spans="1:9" ht="10.5" x14ac:dyDescent="0.25">
      <c r="A98" s="25"/>
      <c r="B98" s="25"/>
      <c r="C98" s="25"/>
      <c r="D98" s="31"/>
      <c r="E98" s="95"/>
      <c r="F98" s="96"/>
      <c r="G98" s="17"/>
      <c r="H98" s="17"/>
      <c r="I98" s="17"/>
    </row>
    <row r="99" spans="1:9" ht="10.5" x14ac:dyDescent="0.25">
      <c r="A99" s="25" t="s">
        <v>207</v>
      </c>
      <c r="B99" s="25"/>
      <c r="C99" s="25"/>
      <c r="D99" s="31"/>
      <c r="E99" s="95">
        <f>E101-(E95)</f>
        <v>0</v>
      </c>
      <c r="F99" s="96">
        <v>0</v>
      </c>
      <c r="G99" s="17"/>
      <c r="H99" s="17"/>
      <c r="I99" s="17"/>
    </row>
    <row r="100" spans="1:9" ht="10.5" x14ac:dyDescent="0.25">
      <c r="A100" s="25"/>
      <c r="B100" s="25"/>
      <c r="C100" s="25"/>
      <c r="D100" s="31"/>
      <c r="E100" s="95"/>
      <c r="F100" s="96"/>
      <c r="G100" s="17"/>
      <c r="H100" s="17"/>
      <c r="I100" s="17"/>
    </row>
    <row r="101" spans="1:9" ht="10.5" x14ac:dyDescent="0.25">
      <c r="A101" s="34" t="s">
        <v>206</v>
      </c>
      <c r="B101" s="34"/>
      <c r="C101" s="34"/>
      <c r="D101" s="35"/>
      <c r="E101" s="98">
        <v>0</v>
      </c>
      <c r="F101" s="99">
        <v>100</v>
      </c>
      <c r="G101" s="17"/>
      <c r="H101" s="17"/>
      <c r="I101" s="17"/>
    </row>
    <row r="102" spans="1:9" ht="10.5" x14ac:dyDescent="0.25">
      <c r="A102" s="116" t="s">
        <v>209</v>
      </c>
      <c r="F102" s="19"/>
    </row>
    <row r="103" spans="1:9" ht="10.5" x14ac:dyDescent="0.25">
      <c r="A103" s="116" t="s">
        <v>1557</v>
      </c>
    </row>
    <row r="104" spans="1:9" ht="10.5" x14ac:dyDescent="0.25">
      <c r="A104" s="117" t="s">
        <v>1548</v>
      </c>
    </row>
    <row r="105" spans="1:9" s="78" customFormat="1" ht="10.5" x14ac:dyDescent="0.25">
      <c r="A105" s="117"/>
      <c r="D105" s="79"/>
      <c r="E105" s="82"/>
      <c r="F105" s="83"/>
    </row>
    <row r="106" spans="1:9" ht="10.5" x14ac:dyDescent="0.25">
      <c r="A106" s="17" t="s">
        <v>210</v>
      </c>
    </row>
    <row r="107" spans="1:9" ht="10.5" x14ac:dyDescent="0.25">
      <c r="A107" s="17" t="s">
        <v>211</v>
      </c>
    </row>
    <row r="108" spans="1:9" ht="10.5" x14ac:dyDescent="0.25">
      <c r="A108" s="17" t="s">
        <v>212</v>
      </c>
      <c r="B108" s="17"/>
      <c r="C108" s="38" t="s">
        <v>214</v>
      </c>
      <c r="D108" s="18" t="s">
        <v>213</v>
      </c>
    </row>
    <row r="109" spans="1:9" x14ac:dyDescent="0.2">
      <c r="A109" s="10" t="s">
        <v>486</v>
      </c>
      <c r="C109" s="39">
        <v>0</v>
      </c>
      <c r="D109" s="39">
        <v>0</v>
      </c>
    </row>
    <row r="110" spans="1:9" x14ac:dyDescent="0.2">
      <c r="A110" s="10" t="s">
        <v>487</v>
      </c>
      <c r="C110" s="39">
        <v>0</v>
      </c>
      <c r="D110" s="39">
        <v>0</v>
      </c>
    </row>
    <row r="111" spans="1:9" x14ac:dyDescent="0.2">
      <c r="A111" s="10" t="s">
        <v>488</v>
      </c>
      <c r="C111" s="39">
        <v>0</v>
      </c>
      <c r="D111" s="39">
        <v>0</v>
      </c>
    </row>
    <row r="112" spans="1:9" x14ac:dyDescent="0.2">
      <c r="A112" s="10" t="s">
        <v>489</v>
      </c>
      <c r="C112" s="39">
        <v>0</v>
      </c>
      <c r="D112" s="39">
        <v>0</v>
      </c>
    </row>
    <row r="113" spans="1:6" x14ac:dyDescent="0.2">
      <c r="A113" s="10" t="s">
        <v>490</v>
      </c>
      <c r="C113" s="39">
        <v>0</v>
      </c>
      <c r="D113" s="39">
        <v>0</v>
      </c>
    </row>
    <row r="114" spans="1:6" x14ac:dyDescent="0.2">
      <c r="A114" s="10" t="s">
        <v>491</v>
      </c>
      <c r="C114" s="39">
        <v>0</v>
      </c>
      <c r="D114" s="39">
        <v>0</v>
      </c>
    </row>
    <row r="116" spans="1:6" s="78" customFormat="1" ht="10.5" x14ac:dyDescent="0.25">
      <c r="A116" s="84" t="s">
        <v>1561</v>
      </c>
      <c r="D116" s="103" t="s">
        <v>227</v>
      </c>
      <c r="E116" s="101"/>
      <c r="F116" s="81"/>
    </row>
    <row r="117" spans="1:6" s="78" customFormat="1" x14ac:dyDescent="0.2">
      <c r="A117" s="78" t="s">
        <v>231</v>
      </c>
      <c r="D117" s="79"/>
      <c r="E117" s="101"/>
      <c r="F117" s="81"/>
    </row>
    <row r="118" spans="1:6" s="78" customFormat="1" ht="14.5" x14ac:dyDescent="0.35">
      <c r="A118" s="102" t="s">
        <v>1558</v>
      </c>
      <c r="D118" s="79"/>
      <c r="E118" s="101"/>
      <c r="F118" s="81"/>
    </row>
  </sheetData>
  <mergeCells count="4">
    <mergeCell ref="A1:F1"/>
    <mergeCell ref="A89:F89"/>
    <mergeCell ref="A86:F86"/>
    <mergeCell ref="A77:E77"/>
  </mergeCells>
  <conditionalFormatting sqref="F2:F3 F5:F85 F102:F115 F119:F65537 F90 F87:F88">
    <cfRule type="cellIs" dxfId="80" priority="4" stopIfTrue="1" operator="between">
      <formula>0.009</formula>
      <formula>-0.009</formula>
    </cfRule>
  </conditionalFormatting>
  <conditionalFormatting sqref="F92:F93">
    <cfRule type="cellIs" dxfId="79" priority="3" stopIfTrue="1" operator="between">
      <formula>0.009</formula>
      <formula>-0.009</formula>
    </cfRule>
  </conditionalFormatting>
  <conditionalFormatting sqref="F94:F98 F100:F101">
    <cfRule type="cellIs" dxfId="78" priority="2" stopIfTrue="1" operator="between">
      <formula>0.009</formula>
      <formula>-0.009</formula>
    </cfRule>
  </conditionalFormatting>
  <conditionalFormatting sqref="F116:F118">
    <cfRule type="cellIs" dxfId="77" priority="1" stopIfTrue="1" operator="between">
      <formula>0.009</formula>
      <formula>-0.009</formula>
    </cfRule>
  </conditionalFormatting>
  <hyperlinks>
    <hyperlink ref="A118" r:id="rId1" xr:uid="{00000000-0004-0000-0300-000000000000}"/>
    <hyperlink ref="A81" r:id="rId2" xr:uid="{00000000-0004-0000-0300-000001000000}"/>
    <hyperlink ref="A84" r:id="rId3" xr:uid="{00000000-0004-0000-0300-000002000000}"/>
  </hyperlinks>
  <pageMargins left="0.7" right="0.7" top="0.75" bottom="0.75" header="0.3" footer="0.3"/>
  <pageSetup paperSize="9" orientation="portrait" r:id="rId4"/>
  <headerFooter>
    <oddFooter>&amp;LPUBLIC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5"/>
  <sheetViews>
    <sheetView workbookViewId="0">
      <selection sqref="A1:F1"/>
    </sheetView>
  </sheetViews>
  <sheetFormatPr defaultColWidth="9.1796875" defaultRowHeight="10" x14ac:dyDescent="0.2"/>
  <cols>
    <col min="1" max="1" width="38.7265625" style="10" bestFit="1" customWidth="1"/>
    <col min="2" max="2" width="69.1796875" style="10" bestFit="1" customWidth="1"/>
    <col min="3" max="3" width="15.1796875" style="10" bestFit="1" customWidth="1"/>
    <col min="4" max="4" width="14.7265625" style="11" bestFit="1" customWidth="1"/>
    <col min="5" max="5" width="23" style="15" bestFit="1" customWidth="1"/>
    <col min="6" max="6" width="14.7265625" style="16" bestFit="1" customWidth="1"/>
    <col min="7" max="7" width="5.1796875" style="10" bestFit="1" customWidth="1"/>
    <col min="8" max="16384" width="9.1796875" style="10"/>
  </cols>
  <sheetData>
    <row r="1" spans="1:6" s="1" customFormat="1" ht="14" x14ac:dyDescent="0.25">
      <c r="A1" s="143" t="s">
        <v>11</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105"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494</v>
      </c>
      <c r="B7" s="26" t="s">
        <v>493</v>
      </c>
      <c r="C7" s="26" t="s">
        <v>91</v>
      </c>
      <c r="D7" s="30">
        <v>2797</v>
      </c>
      <c r="E7" s="28">
        <v>23255.712439999999</v>
      </c>
      <c r="F7" s="29">
        <v>14.170997521610801</v>
      </c>
    </row>
    <row r="8" spans="1:6" x14ac:dyDescent="0.2">
      <c r="A8" s="26" t="s">
        <v>285</v>
      </c>
      <c r="B8" s="26" t="s">
        <v>284</v>
      </c>
      <c r="C8" s="26" t="s">
        <v>286</v>
      </c>
      <c r="D8" s="30">
        <v>1910</v>
      </c>
      <c r="E8" s="28">
        <v>19203.0445</v>
      </c>
      <c r="F8" s="29">
        <v>11.701481806630101</v>
      </c>
    </row>
    <row r="9" spans="1:6" x14ac:dyDescent="0.2">
      <c r="A9" s="26" t="s">
        <v>253</v>
      </c>
      <c r="B9" s="26" t="s">
        <v>252</v>
      </c>
      <c r="C9" s="26" t="s">
        <v>139</v>
      </c>
      <c r="D9" s="30">
        <v>1550</v>
      </c>
      <c r="E9" s="28">
        <v>12692.050999999999</v>
      </c>
      <c r="F9" s="29">
        <v>7.7339717598072202</v>
      </c>
    </row>
    <row r="10" spans="1:6" x14ac:dyDescent="0.2">
      <c r="A10" s="26" t="s">
        <v>496</v>
      </c>
      <c r="B10" s="26" t="s">
        <v>495</v>
      </c>
      <c r="C10" s="26" t="s">
        <v>85</v>
      </c>
      <c r="D10" s="30">
        <v>12100</v>
      </c>
      <c r="E10" s="28">
        <v>12082.9753</v>
      </c>
      <c r="F10" s="29">
        <v>7.362828099623</v>
      </c>
    </row>
    <row r="11" spans="1:6" x14ac:dyDescent="0.2">
      <c r="A11" s="26" t="s">
        <v>498</v>
      </c>
      <c r="B11" s="26" t="s">
        <v>497</v>
      </c>
      <c r="C11" s="26" t="s">
        <v>104</v>
      </c>
      <c r="D11" s="30">
        <v>5858</v>
      </c>
      <c r="E11" s="28">
        <v>11445.11436</v>
      </c>
      <c r="F11" s="29">
        <v>6.9741439935912704</v>
      </c>
    </row>
    <row r="12" spans="1:6" x14ac:dyDescent="0.2">
      <c r="A12" s="26" t="s">
        <v>500</v>
      </c>
      <c r="B12" s="26" t="s">
        <v>499</v>
      </c>
      <c r="C12" s="26" t="s">
        <v>79</v>
      </c>
      <c r="D12" s="30">
        <v>1000</v>
      </c>
      <c r="E12" s="28">
        <v>9463.1</v>
      </c>
      <c r="F12" s="29">
        <v>5.7663925365751902</v>
      </c>
    </row>
    <row r="13" spans="1:6" x14ac:dyDescent="0.2">
      <c r="A13" s="26" t="s">
        <v>84</v>
      </c>
      <c r="B13" s="26" t="s">
        <v>83</v>
      </c>
      <c r="C13" s="26" t="s">
        <v>85</v>
      </c>
      <c r="D13" s="30">
        <v>780</v>
      </c>
      <c r="E13" s="28">
        <v>7738.9884000000002</v>
      </c>
      <c r="F13" s="29">
        <v>4.7157955585803801</v>
      </c>
    </row>
    <row r="14" spans="1:6" x14ac:dyDescent="0.2">
      <c r="A14" s="26" t="s">
        <v>249</v>
      </c>
      <c r="B14" s="26" t="s">
        <v>248</v>
      </c>
      <c r="C14" s="26" t="s">
        <v>150</v>
      </c>
      <c r="D14" s="30">
        <v>700</v>
      </c>
      <c r="E14" s="28">
        <v>6968.43</v>
      </c>
      <c r="F14" s="29">
        <v>4.2462515183868597</v>
      </c>
    </row>
    <row r="15" spans="1:6" x14ac:dyDescent="0.2">
      <c r="A15" s="26" t="s">
        <v>320</v>
      </c>
      <c r="B15" s="26" t="s">
        <v>319</v>
      </c>
      <c r="C15" s="26" t="s">
        <v>73</v>
      </c>
      <c r="D15" s="30">
        <v>650</v>
      </c>
      <c r="E15" s="28">
        <v>6120.491</v>
      </c>
      <c r="F15" s="29">
        <v>3.7295551798644899</v>
      </c>
    </row>
    <row r="16" spans="1:6" x14ac:dyDescent="0.2">
      <c r="A16" s="26" t="s">
        <v>324</v>
      </c>
      <c r="B16" s="26" t="s">
        <v>323</v>
      </c>
      <c r="C16" s="26" t="s">
        <v>104</v>
      </c>
      <c r="D16" s="30">
        <v>646</v>
      </c>
      <c r="E16" s="28">
        <v>6099.1121000000003</v>
      </c>
      <c r="F16" s="29">
        <v>3.7165278284257202</v>
      </c>
    </row>
    <row r="17" spans="1:6" x14ac:dyDescent="0.2">
      <c r="A17" s="26" t="s">
        <v>242</v>
      </c>
      <c r="B17" s="26" t="s">
        <v>241</v>
      </c>
      <c r="C17" s="26" t="s">
        <v>243</v>
      </c>
      <c r="D17" s="30">
        <v>550</v>
      </c>
      <c r="E17" s="28">
        <v>5568.8215</v>
      </c>
      <c r="F17" s="29">
        <v>3.39339230644498</v>
      </c>
    </row>
    <row r="18" spans="1:6" x14ac:dyDescent="0.2">
      <c r="A18" s="26" t="s">
        <v>234</v>
      </c>
      <c r="B18" s="26" t="s">
        <v>233</v>
      </c>
      <c r="C18" s="26" t="s">
        <v>139</v>
      </c>
      <c r="D18" s="30">
        <v>620</v>
      </c>
      <c r="E18" s="28">
        <v>5371.1095999999998</v>
      </c>
      <c r="F18" s="29">
        <v>3.2729154622235201</v>
      </c>
    </row>
    <row r="19" spans="1:6" x14ac:dyDescent="0.2">
      <c r="A19" s="26" t="s">
        <v>310</v>
      </c>
      <c r="B19" s="26" t="s">
        <v>309</v>
      </c>
      <c r="C19" s="26" t="s">
        <v>181</v>
      </c>
      <c r="D19" s="30">
        <v>500</v>
      </c>
      <c r="E19" s="28">
        <v>5018.5</v>
      </c>
      <c r="F19" s="29">
        <v>3.0580508443113299</v>
      </c>
    </row>
    <row r="20" spans="1:6" x14ac:dyDescent="0.2">
      <c r="A20" s="26" t="s">
        <v>159</v>
      </c>
      <c r="B20" s="26" t="s">
        <v>158</v>
      </c>
      <c r="C20" s="26" t="s">
        <v>104</v>
      </c>
      <c r="D20" s="30">
        <v>501</v>
      </c>
      <c r="E20" s="28">
        <v>4916.25288</v>
      </c>
      <c r="F20" s="29">
        <v>2.9957459939288702</v>
      </c>
    </row>
    <row r="21" spans="1:6" x14ac:dyDescent="0.2">
      <c r="A21" s="26" t="s">
        <v>260</v>
      </c>
      <c r="B21" s="26" t="s">
        <v>259</v>
      </c>
      <c r="C21" s="26" t="s">
        <v>82</v>
      </c>
      <c r="D21" s="30">
        <v>4000</v>
      </c>
      <c r="E21" s="28">
        <v>3971.4520000000002</v>
      </c>
      <c r="F21" s="29">
        <v>2.42002633092397</v>
      </c>
    </row>
    <row r="22" spans="1:6" x14ac:dyDescent="0.2">
      <c r="A22" s="26" t="s">
        <v>501</v>
      </c>
      <c r="B22" s="26" t="s">
        <v>291</v>
      </c>
      <c r="C22" s="26" t="s">
        <v>282</v>
      </c>
      <c r="D22" s="30">
        <v>400</v>
      </c>
      <c r="E22" s="28">
        <v>3964.6280000000002</v>
      </c>
      <c r="F22" s="29">
        <v>2.4158680886281498</v>
      </c>
    </row>
    <row r="23" spans="1:6" x14ac:dyDescent="0.2">
      <c r="A23" s="26" t="s">
        <v>322</v>
      </c>
      <c r="B23" s="26" t="s">
        <v>321</v>
      </c>
      <c r="C23" s="26" t="s">
        <v>104</v>
      </c>
      <c r="D23" s="30">
        <v>350</v>
      </c>
      <c r="E23" s="28">
        <v>3325.0210000000002</v>
      </c>
      <c r="F23" s="29">
        <v>2.0261200112390001</v>
      </c>
    </row>
    <row r="24" spans="1:6" x14ac:dyDescent="0.2">
      <c r="A24" s="26" t="s">
        <v>115</v>
      </c>
      <c r="B24" s="26" t="s">
        <v>114</v>
      </c>
      <c r="C24" s="26" t="s">
        <v>104</v>
      </c>
      <c r="D24" s="30">
        <v>240</v>
      </c>
      <c r="E24" s="28">
        <v>2377.6799999999998</v>
      </c>
      <c r="F24" s="29">
        <v>1.4488525120060101</v>
      </c>
    </row>
    <row r="25" spans="1:6" x14ac:dyDescent="0.2">
      <c r="A25" s="26" t="s">
        <v>141</v>
      </c>
      <c r="B25" s="26" t="s">
        <v>140</v>
      </c>
      <c r="C25" s="26" t="s">
        <v>85</v>
      </c>
      <c r="D25" s="30">
        <v>204</v>
      </c>
      <c r="E25" s="28">
        <v>2123.5277999999998</v>
      </c>
      <c r="F25" s="29">
        <v>1.2939834575487901</v>
      </c>
    </row>
    <row r="26" spans="1:6" x14ac:dyDescent="0.2">
      <c r="A26" s="26" t="s">
        <v>312</v>
      </c>
      <c r="B26" s="26" t="s">
        <v>311</v>
      </c>
      <c r="C26" s="26" t="s">
        <v>79</v>
      </c>
      <c r="D26" s="30">
        <v>200</v>
      </c>
      <c r="E26" s="28">
        <v>2001.31</v>
      </c>
      <c r="F26" s="29">
        <v>1.2195093624048501</v>
      </c>
    </row>
    <row r="27" spans="1:6" x14ac:dyDescent="0.2">
      <c r="A27" s="26" t="s">
        <v>503</v>
      </c>
      <c r="B27" s="26" t="s">
        <v>502</v>
      </c>
      <c r="C27" s="26" t="s">
        <v>82</v>
      </c>
      <c r="D27" s="30">
        <v>2000</v>
      </c>
      <c r="E27" s="28">
        <v>1989.4059999999999</v>
      </c>
      <c r="F27" s="29">
        <v>1.2122555938981801</v>
      </c>
    </row>
    <row r="28" spans="1:6" x14ac:dyDescent="0.2">
      <c r="A28" s="26" t="s">
        <v>236</v>
      </c>
      <c r="B28" s="26" t="s">
        <v>235</v>
      </c>
      <c r="C28" s="26" t="s">
        <v>91</v>
      </c>
      <c r="D28" s="30">
        <v>250</v>
      </c>
      <c r="E28" s="28">
        <v>1938.4159999999999</v>
      </c>
      <c r="F28" s="29">
        <v>1.18118455423465</v>
      </c>
    </row>
    <row r="29" spans="1:6" x14ac:dyDescent="0.2">
      <c r="A29" s="26" t="s">
        <v>505</v>
      </c>
      <c r="B29" s="26" t="s">
        <v>504</v>
      </c>
      <c r="C29" s="26" t="s">
        <v>181</v>
      </c>
      <c r="D29" s="30">
        <v>150</v>
      </c>
      <c r="E29" s="28">
        <v>1806.7650000000001</v>
      </c>
      <c r="F29" s="29">
        <v>1.10096228628518</v>
      </c>
    </row>
    <row r="30" spans="1:6" x14ac:dyDescent="0.2">
      <c r="A30" s="26" t="s">
        <v>292</v>
      </c>
      <c r="B30" s="26" t="s">
        <v>291</v>
      </c>
      <c r="C30" s="26" t="s">
        <v>282</v>
      </c>
      <c r="D30" s="30">
        <v>150</v>
      </c>
      <c r="E30" s="28">
        <v>1486.3440000000001</v>
      </c>
      <c r="F30" s="29">
        <v>0.90571197053643204</v>
      </c>
    </row>
    <row r="31" spans="1:6" x14ac:dyDescent="0.2">
      <c r="A31" s="26" t="s">
        <v>507</v>
      </c>
      <c r="B31" s="26" t="s">
        <v>506</v>
      </c>
      <c r="C31" s="26" t="s">
        <v>104</v>
      </c>
      <c r="D31" s="30">
        <v>150</v>
      </c>
      <c r="E31" s="28">
        <v>1466.9114999999999</v>
      </c>
      <c r="F31" s="29">
        <v>0.89387066874663901</v>
      </c>
    </row>
    <row r="32" spans="1:6" x14ac:dyDescent="0.2">
      <c r="A32" s="26" t="s">
        <v>509</v>
      </c>
      <c r="B32" s="26" t="s">
        <v>508</v>
      </c>
      <c r="C32" s="26" t="s">
        <v>79</v>
      </c>
      <c r="D32" s="30">
        <v>150</v>
      </c>
      <c r="E32" s="28">
        <v>1384.5840000000001</v>
      </c>
      <c r="F32" s="29">
        <v>0.84370394943109805</v>
      </c>
    </row>
    <row r="33" spans="1:9" x14ac:dyDescent="0.2">
      <c r="A33" s="26" t="s">
        <v>510</v>
      </c>
      <c r="B33" s="26" t="s">
        <v>291</v>
      </c>
      <c r="C33" s="26" t="s">
        <v>282</v>
      </c>
      <c r="D33" s="30">
        <v>40</v>
      </c>
      <c r="E33" s="28">
        <v>396.62079999999997</v>
      </c>
      <c r="F33" s="29">
        <v>0.241683087040239</v>
      </c>
    </row>
    <row r="34" spans="1:9" x14ac:dyDescent="0.2">
      <c r="A34" s="26" t="s">
        <v>134</v>
      </c>
      <c r="B34" s="26" t="s">
        <v>133</v>
      </c>
      <c r="C34" s="26" t="s">
        <v>91</v>
      </c>
      <c r="D34" s="30">
        <v>30</v>
      </c>
      <c r="E34" s="28">
        <v>307.67910000000001</v>
      </c>
      <c r="F34" s="29">
        <v>0.18748596822396199</v>
      </c>
    </row>
    <row r="35" spans="1:9" ht="10.5" x14ac:dyDescent="0.25">
      <c r="A35" s="25" t="s">
        <v>167</v>
      </c>
      <c r="B35" s="25"/>
      <c r="C35" s="25"/>
      <c r="D35" s="31"/>
      <c r="E35" s="32">
        <f>SUM(E6:E34)</f>
        <v>164484.04828000002</v>
      </c>
      <c r="F35" s="33">
        <f>SUM(F6:F34)</f>
        <v>100.2292682511509</v>
      </c>
      <c r="G35" s="17"/>
      <c r="H35" s="17"/>
      <c r="I35" s="17"/>
    </row>
    <row r="36" spans="1:9" x14ac:dyDescent="0.2">
      <c r="A36" s="26"/>
      <c r="B36" s="26"/>
      <c r="C36" s="26"/>
      <c r="D36" s="27"/>
      <c r="E36" s="28"/>
      <c r="F36" s="29"/>
    </row>
    <row r="37" spans="1:9" ht="10.5" x14ac:dyDescent="0.25">
      <c r="A37" s="25" t="s">
        <v>168</v>
      </c>
      <c r="B37" s="26"/>
      <c r="C37" s="26"/>
      <c r="D37" s="27"/>
      <c r="E37" s="28"/>
      <c r="F37" s="29"/>
    </row>
    <row r="38" spans="1:9" x14ac:dyDescent="0.2">
      <c r="A38" s="26" t="s">
        <v>512</v>
      </c>
      <c r="B38" s="26" t="s">
        <v>511</v>
      </c>
      <c r="C38" s="26" t="s">
        <v>356</v>
      </c>
      <c r="D38" s="30">
        <v>1400</v>
      </c>
      <c r="E38" s="28">
        <v>10500</v>
      </c>
      <c r="F38" s="29">
        <v>6.3982333098075204</v>
      </c>
    </row>
    <row r="39" spans="1:9" x14ac:dyDescent="0.2">
      <c r="A39" s="26" t="s">
        <v>514</v>
      </c>
      <c r="B39" s="26" t="s">
        <v>513</v>
      </c>
      <c r="C39" s="26" t="s">
        <v>479</v>
      </c>
      <c r="D39" s="30">
        <v>723</v>
      </c>
      <c r="E39" s="28">
        <v>9011.3129399999998</v>
      </c>
      <c r="F39" s="29">
        <v>5.4910935826483298</v>
      </c>
    </row>
    <row r="40" spans="1:9" x14ac:dyDescent="0.2">
      <c r="A40" s="26" t="s">
        <v>360</v>
      </c>
      <c r="B40" s="26" t="s">
        <v>359</v>
      </c>
      <c r="C40" s="26" t="s">
        <v>286</v>
      </c>
      <c r="D40" s="30">
        <v>1000</v>
      </c>
      <c r="E40" s="28">
        <v>8814.81</v>
      </c>
      <c r="F40" s="29">
        <v>5.3713534249166104</v>
      </c>
    </row>
    <row r="41" spans="1:9" x14ac:dyDescent="0.2">
      <c r="A41" s="26" t="s">
        <v>353</v>
      </c>
      <c r="B41" s="26" t="s">
        <v>352</v>
      </c>
      <c r="C41" s="26" t="s">
        <v>351</v>
      </c>
      <c r="D41" s="30">
        <v>770</v>
      </c>
      <c r="E41" s="28">
        <v>6664.6867519999996</v>
      </c>
      <c r="F41" s="29">
        <v>4.0611638834361203</v>
      </c>
    </row>
    <row r="42" spans="1:9" x14ac:dyDescent="0.2">
      <c r="A42" s="26" t="s">
        <v>347</v>
      </c>
      <c r="B42" s="26" t="s">
        <v>346</v>
      </c>
      <c r="C42" s="26" t="s">
        <v>348</v>
      </c>
      <c r="D42" s="30">
        <v>370</v>
      </c>
      <c r="E42" s="28">
        <v>3662.8593999999998</v>
      </c>
      <c r="F42" s="29">
        <v>2.2319837164020502</v>
      </c>
    </row>
    <row r="43" spans="1:9" x14ac:dyDescent="0.2">
      <c r="A43" s="26" t="s">
        <v>515</v>
      </c>
      <c r="B43" s="26" t="s">
        <v>179</v>
      </c>
      <c r="C43" s="26" t="s">
        <v>181</v>
      </c>
      <c r="D43" s="30">
        <v>3559</v>
      </c>
      <c r="E43" s="28">
        <v>3404.1479100000001</v>
      </c>
      <c r="F43" s="29">
        <v>2.0743364332641598</v>
      </c>
    </row>
    <row r="44" spans="1:9" x14ac:dyDescent="0.2">
      <c r="A44" s="26" t="s">
        <v>180</v>
      </c>
      <c r="B44" s="26" t="s">
        <v>179</v>
      </c>
      <c r="C44" s="26" t="s">
        <v>181</v>
      </c>
      <c r="D44" s="30">
        <v>3473</v>
      </c>
      <c r="E44" s="28">
        <v>3321.8897700000002</v>
      </c>
      <c r="F44" s="29">
        <v>2.0242119788497899</v>
      </c>
    </row>
    <row r="45" spans="1:9" x14ac:dyDescent="0.2">
      <c r="A45" s="26" t="s">
        <v>366</v>
      </c>
      <c r="B45" s="26" t="s">
        <v>365</v>
      </c>
      <c r="C45" s="26" t="s">
        <v>157</v>
      </c>
      <c r="D45" s="30">
        <v>300</v>
      </c>
      <c r="E45" s="28">
        <v>2955.2040000000002</v>
      </c>
      <c r="F45" s="29">
        <v>1.80076996857871</v>
      </c>
    </row>
    <row r="46" spans="1:9" x14ac:dyDescent="0.2">
      <c r="A46" s="26" t="s">
        <v>376</v>
      </c>
      <c r="B46" s="26" t="s">
        <v>375</v>
      </c>
      <c r="C46" s="26" t="s">
        <v>351</v>
      </c>
      <c r="D46" s="30">
        <v>250</v>
      </c>
      <c r="E46" s="28">
        <v>2220.8145199999999</v>
      </c>
      <c r="F46" s="29">
        <v>1.3532656606445901</v>
      </c>
    </row>
    <row r="47" spans="1:9" x14ac:dyDescent="0.2">
      <c r="A47" s="26" t="s">
        <v>341</v>
      </c>
      <c r="B47" s="26" t="s">
        <v>1568</v>
      </c>
      <c r="C47" s="26" t="s">
        <v>243</v>
      </c>
      <c r="D47" s="30">
        <v>10</v>
      </c>
      <c r="E47" s="28">
        <v>1012.22</v>
      </c>
      <c r="F47" s="29">
        <v>0.616801878176511</v>
      </c>
    </row>
    <row r="48" spans="1:9" x14ac:dyDescent="0.2">
      <c r="A48" s="26" t="s">
        <v>378</v>
      </c>
      <c r="B48" s="26" t="s">
        <v>377</v>
      </c>
      <c r="C48" s="26" t="s">
        <v>351</v>
      </c>
      <c r="D48" s="30">
        <v>100</v>
      </c>
      <c r="E48" s="28">
        <v>1009.7910000000001</v>
      </c>
      <c r="F48" s="29">
        <v>0.61532175353750895</v>
      </c>
    </row>
    <row r="49" spans="1:9" x14ac:dyDescent="0.2">
      <c r="A49" s="26" t="s">
        <v>364</v>
      </c>
      <c r="B49" s="26" t="s">
        <v>363</v>
      </c>
      <c r="C49" s="26" t="s">
        <v>351</v>
      </c>
      <c r="D49" s="30">
        <v>110</v>
      </c>
      <c r="E49" s="28">
        <v>997.49858559999996</v>
      </c>
      <c r="F49" s="29">
        <v>0.60783130255921902</v>
      </c>
    </row>
    <row r="50" spans="1:9" x14ac:dyDescent="0.2">
      <c r="A50" s="26" t="s">
        <v>343</v>
      </c>
      <c r="B50" s="26" t="s">
        <v>342</v>
      </c>
      <c r="C50" s="26" t="s">
        <v>88</v>
      </c>
      <c r="D50" s="30">
        <v>50</v>
      </c>
      <c r="E50" s="28">
        <v>469.71249999999998</v>
      </c>
      <c r="F50" s="29">
        <v>0.28622192033647298</v>
      </c>
    </row>
    <row r="51" spans="1:9" x14ac:dyDescent="0.2">
      <c r="A51" s="26" t="s">
        <v>517</v>
      </c>
      <c r="B51" s="26" t="s">
        <v>516</v>
      </c>
      <c r="C51" s="26" t="s">
        <v>381</v>
      </c>
      <c r="D51" s="30">
        <v>607</v>
      </c>
      <c r="E51" s="28">
        <v>196.06100000000001</v>
      </c>
      <c r="F51" s="29">
        <v>0.11947085913849299</v>
      </c>
    </row>
    <row r="52" spans="1:9" x14ac:dyDescent="0.2">
      <c r="A52" s="26" t="s">
        <v>518</v>
      </c>
      <c r="B52" s="26" t="s">
        <v>1585</v>
      </c>
      <c r="C52" s="26" t="s">
        <v>356</v>
      </c>
      <c r="D52" s="30">
        <v>688</v>
      </c>
      <c r="E52" s="28">
        <v>0</v>
      </c>
      <c r="F52" s="29">
        <v>0</v>
      </c>
    </row>
    <row r="53" spans="1:9" x14ac:dyDescent="0.2">
      <c r="A53" s="26" t="s">
        <v>519</v>
      </c>
      <c r="B53" s="26" t="s">
        <v>1584</v>
      </c>
      <c r="C53" s="26" t="s">
        <v>356</v>
      </c>
      <c r="D53" s="30">
        <v>400</v>
      </c>
      <c r="E53" s="28">
        <v>0</v>
      </c>
      <c r="F53" s="29">
        <v>0</v>
      </c>
    </row>
    <row r="54" spans="1:9" ht="10.5" x14ac:dyDescent="0.25">
      <c r="A54" s="25" t="s">
        <v>167</v>
      </c>
      <c r="B54" s="25"/>
      <c r="C54" s="25"/>
      <c r="D54" s="31"/>
      <c r="E54" s="32">
        <f>SUM(E37:E53)</f>
        <v>54241.008377600003</v>
      </c>
      <c r="F54" s="33">
        <f>SUM(F37:F53)</f>
        <v>33.052059672296089</v>
      </c>
      <c r="G54" s="17"/>
      <c r="H54" s="17"/>
      <c r="I54" s="17"/>
    </row>
    <row r="55" spans="1:9" x14ac:dyDescent="0.2">
      <c r="A55" s="26"/>
      <c r="B55" s="26"/>
      <c r="C55" s="26"/>
      <c r="D55" s="27"/>
      <c r="E55" s="28"/>
      <c r="F55" s="29"/>
    </row>
    <row r="56" spans="1:9" ht="10.5" x14ac:dyDescent="0.25">
      <c r="A56" s="25" t="s">
        <v>205</v>
      </c>
      <c r="B56" s="25"/>
      <c r="C56" s="25"/>
      <c r="D56" s="31"/>
      <c r="E56" s="32">
        <f>E35+E54</f>
        <v>218725.05665760001</v>
      </c>
      <c r="F56" s="33">
        <f>F35+F54</f>
        <v>133.28132792344698</v>
      </c>
      <c r="G56" s="17"/>
      <c r="H56" s="17"/>
      <c r="I56" s="17"/>
    </row>
    <row r="57" spans="1:9" ht="10.5" x14ac:dyDescent="0.25">
      <c r="A57" s="25"/>
      <c r="B57" s="25"/>
      <c r="C57" s="25"/>
      <c r="D57" s="31"/>
      <c r="E57" s="32"/>
      <c r="F57" s="33"/>
      <c r="G57" s="17"/>
      <c r="H57" s="17"/>
      <c r="I57" s="17"/>
    </row>
    <row r="58" spans="1:9" ht="10.5" x14ac:dyDescent="0.25">
      <c r="A58" s="25" t="s">
        <v>207</v>
      </c>
      <c r="B58" s="25"/>
      <c r="C58" s="25"/>
      <c r="D58" s="31"/>
      <c r="E58" s="32">
        <f>E60-(E35+E54)</f>
        <v>-54617.255463400012</v>
      </c>
      <c r="F58" s="33">
        <f>F60-(F35+F54)</f>
        <v>-33.28132792344698</v>
      </c>
      <c r="G58" s="17"/>
      <c r="H58" s="17"/>
      <c r="I58" s="17"/>
    </row>
    <row r="59" spans="1:9" ht="10.5" x14ac:dyDescent="0.25">
      <c r="A59" s="25"/>
      <c r="B59" s="25"/>
      <c r="C59" s="25"/>
      <c r="D59" s="31"/>
      <c r="E59" s="32"/>
      <c r="F59" s="33"/>
      <c r="G59" s="17"/>
      <c r="H59" s="17"/>
      <c r="I59" s="17"/>
    </row>
    <row r="60" spans="1:9" ht="10.5" x14ac:dyDescent="0.25">
      <c r="A60" s="34" t="s">
        <v>206</v>
      </c>
      <c r="B60" s="34"/>
      <c r="C60" s="34"/>
      <c r="D60" s="35"/>
      <c r="E60" s="36">
        <v>164107.8011942</v>
      </c>
      <c r="F60" s="37">
        <v>100</v>
      </c>
      <c r="G60" s="17"/>
      <c r="H60" s="17"/>
      <c r="I60" s="17"/>
    </row>
    <row r="61" spans="1:9" ht="10.5" x14ac:dyDescent="0.25">
      <c r="A61" s="116" t="s">
        <v>209</v>
      </c>
      <c r="F61" s="19" t="s">
        <v>394</v>
      </c>
    </row>
    <row r="62" spans="1:9" ht="10.5" x14ac:dyDescent="0.25">
      <c r="A62" s="116" t="s">
        <v>1557</v>
      </c>
    </row>
    <row r="63" spans="1:9" ht="10.5" x14ac:dyDescent="0.25">
      <c r="A63" s="117" t="s">
        <v>1548</v>
      </c>
    </row>
    <row r="64" spans="1:9" s="78" customFormat="1" x14ac:dyDescent="0.2">
      <c r="D64" s="79"/>
      <c r="E64" s="82"/>
      <c r="F64" s="83"/>
    </row>
    <row r="65" spans="1:6" ht="10.5" x14ac:dyDescent="0.25">
      <c r="A65" s="17" t="s">
        <v>210</v>
      </c>
    </row>
    <row r="66" spans="1:6" ht="10.5" x14ac:dyDescent="0.25">
      <c r="A66" s="17" t="s">
        <v>211</v>
      </c>
    </row>
    <row r="67" spans="1:6" ht="10.5" x14ac:dyDescent="0.25">
      <c r="A67" s="17" t="s">
        <v>212</v>
      </c>
      <c r="B67" s="17"/>
      <c r="C67" s="38" t="s">
        <v>214</v>
      </c>
      <c r="D67" s="18" t="s">
        <v>213</v>
      </c>
    </row>
    <row r="68" spans="1:6" x14ac:dyDescent="0.2">
      <c r="A68" s="10" t="s">
        <v>486</v>
      </c>
      <c r="C68" s="39">
        <v>22.069700000000001</v>
      </c>
      <c r="D68" s="39">
        <v>20.903600000000001</v>
      </c>
    </row>
    <row r="69" spans="1:6" x14ac:dyDescent="0.2">
      <c r="A69" s="10" t="s">
        <v>520</v>
      </c>
      <c r="C69" s="39">
        <v>10.2317</v>
      </c>
      <c r="D69" s="39">
        <v>9.6908999999999992</v>
      </c>
    </row>
    <row r="70" spans="1:6" x14ac:dyDescent="0.2">
      <c r="A70" s="10" t="s">
        <v>489</v>
      </c>
      <c r="C70" s="39">
        <v>23.3369</v>
      </c>
      <c r="D70" s="39">
        <v>22.185400000000001</v>
      </c>
    </row>
    <row r="71" spans="1:6" x14ac:dyDescent="0.2">
      <c r="A71" s="10" t="s">
        <v>521</v>
      </c>
      <c r="C71" s="39">
        <v>10.9594</v>
      </c>
      <c r="D71" s="39">
        <v>10.418799999999999</v>
      </c>
    </row>
    <row r="73" spans="1:6" ht="10.5" x14ac:dyDescent="0.25">
      <c r="A73" s="17" t="s">
        <v>226</v>
      </c>
      <c r="D73" s="40" t="s">
        <v>227</v>
      </c>
    </row>
    <row r="75" spans="1:6" ht="10.5" x14ac:dyDescent="0.25">
      <c r="A75" s="17" t="s">
        <v>228</v>
      </c>
      <c r="D75" s="41">
        <v>5.3078061709315074</v>
      </c>
      <c r="E75" s="15" t="s">
        <v>229</v>
      </c>
    </row>
    <row r="76" spans="1:6" ht="42" customHeight="1" x14ac:dyDescent="0.2">
      <c r="A76" s="139" t="s">
        <v>1596</v>
      </c>
      <c r="B76" s="140"/>
      <c r="C76" s="140"/>
      <c r="D76" s="140"/>
      <c r="E76" s="140"/>
    </row>
    <row r="77" spans="1:6" s="78" customFormat="1" ht="14.5" x14ac:dyDescent="0.2">
      <c r="A77" s="137"/>
      <c r="B77" s="138"/>
      <c r="C77" s="138"/>
      <c r="D77" s="138"/>
      <c r="E77" s="138"/>
      <c r="F77" s="83"/>
    </row>
    <row r="78" spans="1:6" ht="10.5" x14ac:dyDescent="0.25">
      <c r="A78" s="84" t="s">
        <v>230</v>
      </c>
      <c r="B78" s="78"/>
      <c r="C78" s="78"/>
      <c r="D78" s="103" t="s">
        <v>227</v>
      </c>
    </row>
    <row r="79" spans="1:6" x14ac:dyDescent="0.2">
      <c r="A79" s="78" t="s">
        <v>231</v>
      </c>
      <c r="B79" s="78"/>
      <c r="C79" s="78"/>
      <c r="D79" s="79"/>
    </row>
    <row r="80" spans="1:6" ht="14.5" x14ac:dyDescent="0.35">
      <c r="A80" s="102" t="s">
        <v>1558</v>
      </c>
      <c r="B80" s="78"/>
      <c r="C80" s="78"/>
      <c r="D80" s="79"/>
    </row>
    <row r="82" spans="1:9" s="78" customFormat="1" ht="38.15" customHeight="1" x14ac:dyDescent="0.2">
      <c r="A82" s="151" t="s">
        <v>1588</v>
      </c>
      <c r="B82" s="151"/>
      <c r="C82" s="151"/>
      <c r="D82" s="151"/>
      <c r="E82" s="151"/>
      <c r="F82" s="151"/>
    </row>
    <row r="83" spans="1:9" s="78" customFormat="1" ht="15" customHeight="1" x14ac:dyDescent="0.2">
      <c r="A83" s="136" t="s">
        <v>1595</v>
      </c>
      <c r="B83" s="135"/>
      <c r="C83" s="135"/>
      <c r="D83" s="135"/>
      <c r="E83" s="135"/>
      <c r="F83" s="135"/>
    </row>
    <row r="84" spans="1:9" s="78" customFormat="1" x14ac:dyDescent="0.2">
      <c r="D84" s="79"/>
      <c r="E84" s="82"/>
      <c r="F84" s="83"/>
    </row>
    <row r="85" spans="1:9" s="78" customFormat="1" ht="30" customHeight="1" x14ac:dyDescent="0.2">
      <c r="A85" s="151" t="s">
        <v>1591</v>
      </c>
      <c r="B85" s="151"/>
      <c r="C85" s="151"/>
      <c r="D85" s="151"/>
      <c r="E85" s="151"/>
      <c r="F85" s="151"/>
    </row>
    <row r="88" spans="1:9" s="1" customFormat="1" ht="14" x14ac:dyDescent="0.25">
      <c r="A88" s="143" t="s">
        <v>522</v>
      </c>
      <c r="B88" s="144"/>
      <c r="C88" s="144"/>
      <c r="D88" s="144"/>
      <c r="E88" s="144"/>
      <c r="F88" s="144"/>
    </row>
    <row r="89" spans="1:9" ht="10.5" x14ac:dyDescent="0.25">
      <c r="A89" s="17" t="s">
        <v>6</v>
      </c>
    </row>
    <row r="90" spans="1:9" s="1" customFormat="1" ht="17.5" customHeight="1" x14ac:dyDescent="0.25">
      <c r="A90" s="8" t="s">
        <v>2</v>
      </c>
      <c r="B90" s="8" t="s">
        <v>0</v>
      </c>
      <c r="C90" s="8" t="s">
        <v>208</v>
      </c>
      <c r="D90" s="13" t="s">
        <v>1</v>
      </c>
      <c r="E90" s="9" t="s">
        <v>3</v>
      </c>
      <c r="F90" s="105" t="s">
        <v>4</v>
      </c>
    </row>
    <row r="91" spans="1:9" ht="10.5" x14ac:dyDescent="0.25">
      <c r="A91" s="20" t="s">
        <v>69</v>
      </c>
      <c r="B91" s="21"/>
      <c r="C91" s="21"/>
      <c r="D91" s="22"/>
      <c r="E91" s="23"/>
      <c r="F91" s="24"/>
    </row>
    <row r="92" spans="1:9" ht="10.5" x14ac:dyDescent="0.25">
      <c r="A92" s="25" t="s">
        <v>70</v>
      </c>
      <c r="B92" s="26"/>
      <c r="C92" s="26"/>
      <c r="D92" s="27"/>
      <c r="E92" s="28"/>
      <c r="F92" s="29"/>
    </row>
    <row r="93" spans="1:9" x14ac:dyDescent="0.2">
      <c r="A93" s="26" t="s">
        <v>407</v>
      </c>
      <c r="B93" s="26" t="s">
        <v>406</v>
      </c>
      <c r="C93" s="26" t="s">
        <v>408</v>
      </c>
      <c r="D93" s="30">
        <v>1450</v>
      </c>
      <c r="E93" s="91">
        <v>0</v>
      </c>
      <c r="F93" s="92">
        <v>100</v>
      </c>
    </row>
    <row r="94" spans="1:9" ht="10.5" x14ac:dyDescent="0.25">
      <c r="A94" s="25" t="s">
        <v>167</v>
      </c>
      <c r="B94" s="25"/>
      <c r="C94" s="25"/>
      <c r="D94" s="31"/>
      <c r="E94" s="95">
        <f>SUM(E92:E93)</f>
        <v>0</v>
      </c>
      <c r="F94" s="96">
        <f>SUM(F92:F93)</f>
        <v>100</v>
      </c>
      <c r="G94" s="17"/>
      <c r="H94" s="17"/>
      <c r="I94" s="17"/>
    </row>
    <row r="95" spans="1:9" x14ac:dyDescent="0.2">
      <c r="A95" s="26"/>
      <c r="B95" s="26"/>
      <c r="C95" s="26"/>
      <c r="D95" s="27"/>
      <c r="E95" s="91"/>
      <c r="F95" s="92"/>
    </row>
    <row r="96" spans="1:9" ht="10.5" x14ac:dyDescent="0.25">
      <c r="A96" s="25" t="s">
        <v>205</v>
      </c>
      <c r="B96" s="25"/>
      <c r="C96" s="25"/>
      <c r="D96" s="31"/>
      <c r="E96" s="95">
        <f>E94</f>
        <v>0</v>
      </c>
      <c r="F96" s="96">
        <f>F94</f>
        <v>100</v>
      </c>
      <c r="G96" s="17"/>
      <c r="H96" s="17"/>
      <c r="I96" s="17"/>
    </row>
    <row r="97" spans="1:9" ht="10.5" x14ac:dyDescent="0.25">
      <c r="A97" s="25"/>
      <c r="B97" s="25"/>
      <c r="C97" s="25"/>
      <c r="D97" s="31"/>
      <c r="E97" s="95"/>
      <c r="F97" s="96"/>
      <c r="G97" s="17"/>
      <c r="H97" s="17"/>
      <c r="I97" s="17"/>
    </row>
    <row r="98" spans="1:9" ht="10.5" x14ac:dyDescent="0.25">
      <c r="A98" s="25" t="s">
        <v>207</v>
      </c>
      <c r="B98" s="25"/>
      <c r="C98" s="25"/>
      <c r="D98" s="31"/>
      <c r="E98" s="95">
        <f>E100-(E94)</f>
        <v>0</v>
      </c>
      <c r="F98" s="96">
        <v>0</v>
      </c>
      <c r="G98" s="17"/>
      <c r="H98" s="17"/>
      <c r="I98" s="17"/>
    </row>
    <row r="99" spans="1:9" ht="10.5" x14ac:dyDescent="0.25">
      <c r="A99" s="25"/>
      <c r="B99" s="25"/>
      <c r="C99" s="25"/>
      <c r="D99" s="31"/>
      <c r="E99" s="95"/>
      <c r="F99" s="96"/>
      <c r="G99" s="17"/>
      <c r="H99" s="17"/>
      <c r="I99" s="17"/>
    </row>
    <row r="100" spans="1:9" ht="10.5" x14ac:dyDescent="0.25">
      <c r="A100" s="34" t="s">
        <v>206</v>
      </c>
      <c r="B100" s="34"/>
      <c r="C100" s="34"/>
      <c r="D100" s="35"/>
      <c r="E100" s="98">
        <v>0</v>
      </c>
      <c r="F100" s="99">
        <v>100</v>
      </c>
      <c r="G100" s="17"/>
      <c r="H100" s="17"/>
      <c r="I100" s="17"/>
    </row>
    <row r="101" spans="1:9" ht="10.5" x14ac:dyDescent="0.25">
      <c r="A101" s="116" t="s">
        <v>209</v>
      </c>
      <c r="F101" s="19"/>
    </row>
    <row r="102" spans="1:9" ht="10.5" x14ac:dyDescent="0.25">
      <c r="A102" s="116" t="s">
        <v>1557</v>
      </c>
    </row>
    <row r="103" spans="1:9" s="78" customFormat="1" ht="10.5" x14ac:dyDescent="0.25">
      <c r="A103" s="117" t="s">
        <v>1548</v>
      </c>
      <c r="D103" s="79"/>
      <c r="E103" s="82"/>
      <c r="F103" s="83"/>
    </row>
    <row r="105" spans="1:9" ht="10.5" x14ac:dyDescent="0.25">
      <c r="A105" s="17" t="s">
        <v>210</v>
      </c>
    </row>
    <row r="106" spans="1:9" ht="10.5" x14ac:dyDescent="0.25">
      <c r="A106" s="17" t="s">
        <v>211</v>
      </c>
    </row>
    <row r="107" spans="1:9" ht="10.5" x14ac:dyDescent="0.25">
      <c r="A107" s="17" t="s">
        <v>212</v>
      </c>
      <c r="B107" s="17"/>
      <c r="C107" s="38" t="s">
        <v>214</v>
      </c>
      <c r="D107" s="18" t="s">
        <v>213</v>
      </c>
    </row>
    <row r="108" spans="1:9" x14ac:dyDescent="0.2">
      <c r="A108" s="10" t="s">
        <v>486</v>
      </c>
      <c r="C108" s="39">
        <v>0</v>
      </c>
      <c r="D108" s="39">
        <v>0</v>
      </c>
    </row>
    <row r="109" spans="1:9" x14ac:dyDescent="0.2">
      <c r="A109" s="10" t="s">
        <v>520</v>
      </c>
      <c r="C109" s="39">
        <v>0</v>
      </c>
      <c r="D109" s="39">
        <v>0</v>
      </c>
    </row>
    <row r="110" spans="1:9" x14ac:dyDescent="0.2">
      <c r="A110" s="10" t="s">
        <v>489</v>
      </c>
      <c r="C110" s="39">
        <v>0</v>
      </c>
      <c r="D110" s="39">
        <v>0</v>
      </c>
    </row>
    <row r="111" spans="1:9" x14ac:dyDescent="0.2">
      <c r="A111" s="10" t="s">
        <v>521</v>
      </c>
      <c r="C111" s="39">
        <v>0</v>
      </c>
      <c r="D111" s="39">
        <v>0</v>
      </c>
    </row>
    <row r="113" spans="1:6" s="78" customFormat="1" ht="10.5" x14ac:dyDescent="0.25">
      <c r="A113" s="84" t="s">
        <v>1561</v>
      </c>
      <c r="D113" s="103" t="s">
        <v>227</v>
      </c>
      <c r="E113" s="82"/>
      <c r="F113" s="83"/>
    </row>
    <row r="114" spans="1:6" s="78" customFormat="1" x14ac:dyDescent="0.2">
      <c r="A114" s="78" t="s">
        <v>231</v>
      </c>
      <c r="D114" s="79"/>
      <c r="E114" s="82"/>
      <c r="F114" s="83"/>
    </row>
    <row r="115" spans="1:6" s="78" customFormat="1" ht="14.5" x14ac:dyDescent="0.35">
      <c r="A115" s="102" t="s">
        <v>1558</v>
      </c>
      <c r="D115" s="79"/>
      <c r="E115" s="82"/>
      <c r="F115" s="83"/>
    </row>
  </sheetData>
  <mergeCells count="5">
    <mergeCell ref="A1:F1"/>
    <mergeCell ref="A88:F88"/>
    <mergeCell ref="A85:F85"/>
    <mergeCell ref="A82:F82"/>
    <mergeCell ref="A76:E76"/>
  </mergeCells>
  <conditionalFormatting sqref="F2:F3 F91:F92 F101:F112 F116:F65540 F89 F86:F87 F5:F81 F84">
    <cfRule type="cellIs" dxfId="76" priority="3" stopIfTrue="1" operator="between">
      <formula>0.009</formula>
      <formula>-0.009</formula>
    </cfRule>
  </conditionalFormatting>
  <conditionalFormatting sqref="F93:F97 F99:F100">
    <cfRule type="cellIs" dxfId="75" priority="2" stopIfTrue="1" operator="between">
      <formula>0.009</formula>
      <formula>-0.009</formula>
    </cfRule>
  </conditionalFormatting>
  <conditionalFormatting sqref="F113:F115">
    <cfRule type="cellIs" dxfId="74" priority="1" stopIfTrue="1" operator="between">
      <formula>0.009</formula>
      <formula>-0.009</formula>
    </cfRule>
  </conditionalFormatting>
  <hyperlinks>
    <hyperlink ref="A80" r:id="rId1" xr:uid="{00000000-0004-0000-0400-000000000000}"/>
    <hyperlink ref="A115" r:id="rId2" xr:uid="{00000000-0004-0000-0400-000001000000}"/>
    <hyperlink ref="A83" r:id="rId3" xr:uid="{DDB93F67-E764-4002-A8D1-1E5F7CF4FCA9}"/>
  </hyperlinks>
  <pageMargins left="0.7" right="0.7" top="0.75" bottom="0.75" header="0.3" footer="0.3"/>
  <pageSetup paperSize="9" orientation="portrait" r:id="rId4"/>
  <headerFooter>
    <oddFooter>&amp;LPUBLIC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8"/>
  <sheetViews>
    <sheetView workbookViewId="0">
      <selection sqref="A1:F1"/>
    </sheetView>
  </sheetViews>
  <sheetFormatPr defaultColWidth="9.1796875" defaultRowHeight="10" x14ac:dyDescent="0.2"/>
  <cols>
    <col min="1" max="1" width="38.7265625" style="10" bestFit="1" customWidth="1"/>
    <col min="2" max="2" width="69.1796875" style="10" bestFit="1" customWidth="1"/>
    <col min="3" max="3" width="15.1796875" style="10" bestFit="1" customWidth="1"/>
    <col min="4" max="4" width="14.7265625" style="11" bestFit="1" customWidth="1"/>
    <col min="5" max="5" width="23" style="15" bestFit="1" customWidth="1"/>
    <col min="6" max="6" width="14.7265625" style="16" bestFit="1" customWidth="1"/>
    <col min="7" max="7" width="4.7265625" style="10" bestFit="1" customWidth="1"/>
    <col min="8" max="16384" width="9.1796875" style="10"/>
  </cols>
  <sheetData>
    <row r="1" spans="1:6" s="1" customFormat="1" ht="14" x14ac:dyDescent="0.25">
      <c r="A1" s="143" t="s">
        <v>14</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234</v>
      </c>
      <c r="B7" s="26" t="s">
        <v>233</v>
      </c>
      <c r="C7" s="26" t="s">
        <v>139</v>
      </c>
      <c r="D7" s="30">
        <v>2750</v>
      </c>
      <c r="E7" s="28">
        <v>23823.47</v>
      </c>
      <c r="F7" s="29">
        <v>9.6686110808439008</v>
      </c>
    </row>
    <row r="8" spans="1:6" x14ac:dyDescent="0.2">
      <c r="A8" s="26" t="s">
        <v>159</v>
      </c>
      <c r="B8" s="26" t="s">
        <v>158</v>
      </c>
      <c r="C8" s="26" t="s">
        <v>104</v>
      </c>
      <c r="D8" s="30">
        <v>1112</v>
      </c>
      <c r="E8" s="28">
        <v>10911.922560000001</v>
      </c>
      <c r="F8" s="29">
        <v>4.42853771415023</v>
      </c>
    </row>
    <row r="9" spans="1:6" x14ac:dyDescent="0.2">
      <c r="A9" s="26" t="s">
        <v>84</v>
      </c>
      <c r="B9" s="26" t="s">
        <v>83</v>
      </c>
      <c r="C9" s="26" t="s">
        <v>85</v>
      </c>
      <c r="D9" s="30">
        <v>1000</v>
      </c>
      <c r="E9" s="28">
        <v>9921.7800000000007</v>
      </c>
      <c r="F9" s="29">
        <v>4.0266943501385599</v>
      </c>
    </row>
    <row r="10" spans="1:6" x14ac:dyDescent="0.2">
      <c r="A10" s="26" t="s">
        <v>553</v>
      </c>
      <c r="B10" s="26" t="s">
        <v>552</v>
      </c>
      <c r="C10" s="26" t="s">
        <v>181</v>
      </c>
      <c r="D10" s="30">
        <v>1000</v>
      </c>
      <c r="E10" s="28">
        <v>9900.6299999999992</v>
      </c>
      <c r="F10" s="29">
        <v>4.0181107506729896</v>
      </c>
    </row>
    <row r="11" spans="1:6" x14ac:dyDescent="0.2">
      <c r="A11" s="26" t="s">
        <v>555</v>
      </c>
      <c r="B11" s="26" t="s">
        <v>554</v>
      </c>
      <c r="C11" s="26" t="s">
        <v>150</v>
      </c>
      <c r="D11" s="30">
        <v>1000</v>
      </c>
      <c r="E11" s="28">
        <v>9882.75</v>
      </c>
      <c r="F11" s="29">
        <v>4.0108542609120397</v>
      </c>
    </row>
    <row r="12" spans="1:6" x14ac:dyDescent="0.2">
      <c r="A12" s="26" t="s">
        <v>557</v>
      </c>
      <c r="B12" s="26" t="s">
        <v>556</v>
      </c>
      <c r="C12" s="26" t="s">
        <v>104</v>
      </c>
      <c r="D12" s="30">
        <v>4810</v>
      </c>
      <c r="E12" s="28">
        <v>9571.9961999999996</v>
      </c>
      <c r="F12" s="29">
        <v>3.8847367123729599</v>
      </c>
    </row>
    <row r="13" spans="1:6" x14ac:dyDescent="0.2">
      <c r="A13" s="26" t="s">
        <v>494</v>
      </c>
      <c r="B13" s="26" t="s">
        <v>493</v>
      </c>
      <c r="C13" s="26" t="s">
        <v>91</v>
      </c>
      <c r="D13" s="30">
        <v>990</v>
      </c>
      <c r="E13" s="28">
        <v>8231.3747999999996</v>
      </c>
      <c r="F13" s="29">
        <v>3.3406536328191998</v>
      </c>
    </row>
    <row r="14" spans="1:6" x14ac:dyDescent="0.2">
      <c r="A14" s="26" t="s">
        <v>320</v>
      </c>
      <c r="B14" s="26" t="s">
        <v>319</v>
      </c>
      <c r="C14" s="26" t="s">
        <v>73</v>
      </c>
      <c r="D14" s="30">
        <v>800</v>
      </c>
      <c r="E14" s="28">
        <v>7532.9120000000003</v>
      </c>
      <c r="F14" s="29">
        <v>3.0571867336799401</v>
      </c>
    </row>
    <row r="15" spans="1:6" x14ac:dyDescent="0.2">
      <c r="A15" s="26" t="s">
        <v>236</v>
      </c>
      <c r="B15" s="26" t="s">
        <v>235</v>
      </c>
      <c r="C15" s="26" t="s">
        <v>91</v>
      </c>
      <c r="D15" s="30">
        <v>937</v>
      </c>
      <c r="E15" s="28">
        <v>7265.1831679999996</v>
      </c>
      <c r="F15" s="29">
        <v>2.9485306079460898</v>
      </c>
    </row>
    <row r="16" spans="1:6" x14ac:dyDescent="0.2">
      <c r="A16" s="26" t="s">
        <v>242</v>
      </c>
      <c r="B16" s="26" t="s">
        <v>241</v>
      </c>
      <c r="C16" s="26" t="s">
        <v>243</v>
      </c>
      <c r="D16" s="30">
        <v>650</v>
      </c>
      <c r="E16" s="28">
        <v>6581.3344999999999</v>
      </c>
      <c r="F16" s="29">
        <v>2.6709947658103701</v>
      </c>
    </row>
    <row r="17" spans="1:6" x14ac:dyDescent="0.2">
      <c r="A17" s="26" t="s">
        <v>145</v>
      </c>
      <c r="B17" s="26" t="s">
        <v>144</v>
      </c>
      <c r="C17" s="26" t="s">
        <v>79</v>
      </c>
      <c r="D17" s="30">
        <v>600</v>
      </c>
      <c r="E17" s="28">
        <v>6034.5060000000003</v>
      </c>
      <c r="F17" s="29">
        <v>2.4490677293869898</v>
      </c>
    </row>
    <row r="18" spans="1:6" x14ac:dyDescent="0.2">
      <c r="A18" s="26" t="s">
        <v>269</v>
      </c>
      <c r="B18" s="26" t="s">
        <v>268</v>
      </c>
      <c r="C18" s="26" t="s">
        <v>181</v>
      </c>
      <c r="D18" s="30">
        <v>560</v>
      </c>
      <c r="E18" s="28">
        <v>5619.4935999999998</v>
      </c>
      <c r="F18" s="29">
        <v>2.2806374591816998</v>
      </c>
    </row>
    <row r="19" spans="1:6" x14ac:dyDescent="0.2">
      <c r="A19" s="26" t="s">
        <v>510</v>
      </c>
      <c r="B19" s="26" t="s">
        <v>291</v>
      </c>
      <c r="C19" s="26" t="s">
        <v>282</v>
      </c>
      <c r="D19" s="30">
        <v>560</v>
      </c>
      <c r="E19" s="28">
        <v>5552.6912000000002</v>
      </c>
      <c r="F19" s="29">
        <v>2.2535261095392198</v>
      </c>
    </row>
    <row r="20" spans="1:6" x14ac:dyDescent="0.2">
      <c r="A20" s="26" t="s">
        <v>559</v>
      </c>
      <c r="B20" s="26" t="s">
        <v>558</v>
      </c>
      <c r="C20" s="26" t="s">
        <v>79</v>
      </c>
      <c r="D20" s="30">
        <v>450</v>
      </c>
      <c r="E20" s="28">
        <v>4195.17</v>
      </c>
      <c r="F20" s="29">
        <v>1.7025843484607399</v>
      </c>
    </row>
    <row r="21" spans="1:6" x14ac:dyDescent="0.2">
      <c r="A21" s="26" t="s">
        <v>275</v>
      </c>
      <c r="B21" s="26" t="s">
        <v>274</v>
      </c>
      <c r="C21" s="26" t="s">
        <v>82</v>
      </c>
      <c r="D21" s="30">
        <v>8</v>
      </c>
      <c r="E21" s="28">
        <v>4005.0039999999999</v>
      </c>
      <c r="F21" s="29">
        <v>1.6254066285568001</v>
      </c>
    </row>
    <row r="22" spans="1:6" x14ac:dyDescent="0.2">
      <c r="A22" s="26" t="s">
        <v>261</v>
      </c>
      <c r="B22" s="26" t="s">
        <v>160</v>
      </c>
      <c r="C22" s="26" t="s">
        <v>82</v>
      </c>
      <c r="D22" s="30">
        <v>450</v>
      </c>
      <c r="E22" s="28">
        <v>3712.6979999999999</v>
      </c>
      <c r="F22" s="29">
        <v>1.5067760079714201</v>
      </c>
    </row>
    <row r="23" spans="1:6" x14ac:dyDescent="0.2">
      <c r="A23" s="26" t="s">
        <v>483</v>
      </c>
      <c r="B23" s="26" t="s">
        <v>482</v>
      </c>
      <c r="C23" s="26" t="s">
        <v>91</v>
      </c>
      <c r="D23" s="30">
        <v>475</v>
      </c>
      <c r="E23" s="28">
        <v>3681.9758000000002</v>
      </c>
      <c r="F23" s="29">
        <v>1.49430758908249</v>
      </c>
    </row>
    <row r="24" spans="1:6" x14ac:dyDescent="0.2">
      <c r="A24" s="26" t="s">
        <v>141</v>
      </c>
      <c r="B24" s="26" t="s">
        <v>140</v>
      </c>
      <c r="C24" s="26" t="s">
        <v>85</v>
      </c>
      <c r="D24" s="30">
        <v>290</v>
      </c>
      <c r="E24" s="28">
        <v>3018.7404999999999</v>
      </c>
      <c r="F24" s="29">
        <v>1.22513755756371</v>
      </c>
    </row>
    <row r="25" spans="1:6" x14ac:dyDescent="0.2">
      <c r="A25" s="26" t="s">
        <v>507</v>
      </c>
      <c r="B25" s="26" t="s">
        <v>506</v>
      </c>
      <c r="C25" s="26" t="s">
        <v>104</v>
      </c>
      <c r="D25" s="30">
        <v>300</v>
      </c>
      <c r="E25" s="28">
        <v>2933.8229999999999</v>
      </c>
      <c r="F25" s="29">
        <v>1.19067430424849</v>
      </c>
    </row>
    <row r="26" spans="1:6" x14ac:dyDescent="0.2">
      <c r="A26" s="26" t="s">
        <v>561</v>
      </c>
      <c r="B26" s="26" t="s">
        <v>560</v>
      </c>
      <c r="C26" s="26" t="s">
        <v>104</v>
      </c>
      <c r="D26" s="30">
        <v>270</v>
      </c>
      <c r="E26" s="28">
        <v>2607.12</v>
      </c>
      <c r="F26" s="29">
        <v>1.05808386944008</v>
      </c>
    </row>
    <row r="27" spans="1:6" x14ac:dyDescent="0.2">
      <c r="A27" s="26" t="s">
        <v>251</v>
      </c>
      <c r="B27" s="26" t="s">
        <v>250</v>
      </c>
      <c r="C27" s="26" t="s">
        <v>181</v>
      </c>
      <c r="D27" s="30">
        <v>250</v>
      </c>
      <c r="E27" s="28">
        <v>2512.33</v>
      </c>
      <c r="F27" s="29">
        <v>1.0196139217644</v>
      </c>
    </row>
    <row r="28" spans="1:6" x14ac:dyDescent="0.2">
      <c r="A28" s="26" t="s">
        <v>258</v>
      </c>
      <c r="B28" s="26" t="s">
        <v>257</v>
      </c>
      <c r="C28" s="26" t="s">
        <v>73</v>
      </c>
      <c r="D28" s="30">
        <v>250</v>
      </c>
      <c r="E28" s="28">
        <v>2426.645</v>
      </c>
      <c r="F28" s="29">
        <v>0.98483918322034802</v>
      </c>
    </row>
    <row r="29" spans="1:6" x14ac:dyDescent="0.2">
      <c r="A29" s="26" t="s">
        <v>161</v>
      </c>
      <c r="B29" s="26" t="s">
        <v>160</v>
      </c>
      <c r="C29" s="26" t="s">
        <v>82</v>
      </c>
      <c r="D29" s="30">
        <v>250</v>
      </c>
      <c r="E29" s="28">
        <v>2060.2800000000002</v>
      </c>
      <c r="F29" s="29">
        <v>0.83615216581132301</v>
      </c>
    </row>
    <row r="30" spans="1:6" x14ac:dyDescent="0.2">
      <c r="A30" s="26" t="s">
        <v>277</v>
      </c>
      <c r="B30" s="26" t="s">
        <v>276</v>
      </c>
      <c r="C30" s="26" t="s">
        <v>79</v>
      </c>
      <c r="D30" s="30">
        <v>200</v>
      </c>
      <c r="E30" s="28">
        <v>1996.2159999999999</v>
      </c>
      <c r="F30" s="29">
        <v>0.81015217923156801</v>
      </c>
    </row>
    <row r="31" spans="1:6" x14ac:dyDescent="0.2">
      <c r="A31" s="26" t="s">
        <v>478</v>
      </c>
      <c r="B31" s="26" t="s">
        <v>477</v>
      </c>
      <c r="C31" s="26" t="s">
        <v>479</v>
      </c>
      <c r="D31" s="30">
        <v>150</v>
      </c>
      <c r="E31" s="28">
        <v>1889.9114999999999</v>
      </c>
      <c r="F31" s="29">
        <v>0.76700914143549703</v>
      </c>
    </row>
    <row r="32" spans="1:6" x14ac:dyDescent="0.2">
      <c r="A32" s="26" t="s">
        <v>285</v>
      </c>
      <c r="B32" s="26" t="s">
        <v>284</v>
      </c>
      <c r="C32" s="26" t="s">
        <v>286</v>
      </c>
      <c r="D32" s="30">
        <v>170</v>
      </c>
      <c r="E32" s="28">
        <v>1709.1714999999999</v>
      </c>
      <c r="F32" s="29">
        <v>0.69365690656997503</v>
      </c>
    </row>
    <row r="33" spans="1:9" x14ac:dyDescent="0.2">
      <c r="A33" s="26" t="s">
        <v>296</v>
      </c>
      <c r="B33" s="26" t="s">
        <v>295</v>
      </c>
      <c r="C33" s="26" t="s">
        <v>297</v>
      </c>
      <c r="D33" s="30">
        <v>170</v>
      </c>
      <c r="E33" s="28">
        <v>1691.3843999999999</v>
      </c>
      <c r="F33" s="29">
        <v>0.68643811971163404</v>
      </c>
    </row>
    <row r="34" spans="1:9" x14ac:dyDescent="0.2">
      <c r="A34" s="26" t="s">
        <v>115</v>
      </c>
      <c r="B34" s="26" t="s">
        <v>114</v>
      </c>
      <c r="C34" s="26" t="s">
        <v>104</v>
      </c>
      <c r="D34" s="30">
        <v>160</v>
      </c>
      <c r="E34" s="28">
        <v>1585.12</v>
      </c>
      <c r="F34" s="29">
        <v>0.64331135625781199</v>
      </c>
    </row>
    <row r="35" spans="1:9" x14ac:dyDescent="0.2">
      <c r="A35" s="26" t="s">
        <v>72</v>
      </c>
      <c r="B35" s="26" t="s">
        <v>71</v>
      </c>
      <c r="C35" s="26" t="s">
        <v>73</v>
      </c>
      <c r="D35" s="30">
        <v>150</v>
      </c>
      <c r="E35" s="28">
        <v>1498.3409999999999</v>
      </c>
      <c r="F35" s="29">
        <v>0.60809262443643697</v>
      </c>
    </row>
    <row r="36" spans="1:9" x14ac:dyDescent="0.2">
      <c r="A36" s="26" t="s">
        <v>290</v>
      </c>
      <c r="B36" s="26" t="s">
        <v>289</v>
      </c>
      <c r="C36" s="26" t="s">
        <v>150</v>
      </c>
      <c r="D36" s="30">
        <v>140</v>
      </c>
      <c r="E36" s="28">
        <v>1415.4223999999999</v>
      </c>
      <c r="F36" s="29">
        <v>0.57444061258559997</v>
      </c>
    </row>
    <row r="37" spans="1:9" x14ac:dyDescent="0.2">
      <c r="A37" s="26" t="s">
        <v>331</v>
      </c>
      <c r="B37" s="26" t="s">
        <v>330</v>
      </c>
      <c r="C37" s="26" t="s">
        <v>166</v>
      </c>
      <c r="D37" s="30">
        <v>100</v>
      </c>
      <c r="E37" s="28">
        <v>1005.048</v>
      </c>
      <c r="F37" s="29">
        <v>0.40789264660353902</v>
      </c>
    </row>
    <row r="38" spans="1:9" x14ac:dyDescent="0.2">
      <c r="A38" s="26" t="s">
        <v>563</v>
      </c>
      <c r="B38" s="26" t="s">
        <v>562</v>
      </c>
      <c r="C38" s="26" t="s">
        <v>166</v>
      </c>
      <c r="D38" s="30">
        <v>100</v>
      </c>
      <c r="E38" s="28">
        <v>1004.289</v>
      </c>
      <c r="F38" s="29">
        <v>0.40758461104825</v>
      </c>
    </row>
    <row r="39" spans="1:9" x14ac:dyDescent="0.2">
      <c r="A39" s="26" t="s">
        <v>99</v>
      </c>
      <c r="B39" s="26" t="s">
        <v>98</v>
      </c>
      <c r="C39" s="26" t="s">
        <v>82</v>
      </c>
      <c r="D39" s="30">
        <v>2</v>
      </c>
      <c r="E39" s="28">
        <v>1001.251</v>
      </c>
      <c r="F39" s="29">
        <v>0.40635165713920102</v>
      </c>
    </row>
    <row r="40" spans="1:9" x14ac:dyDescent="0.2">
      <c r="A40" s="26" t="s">
        <v>312</v>
      </c>
      <c r="B40" s="26" t="s">
        <v>311</v>
      </c>
      <c r="C40" s="26" t="s">
        <v>79</v>
      </c>
      <c r="D40" s="30">
        <v>100</v>
      </c>
      <c r="E40" s="28">
        <v>1000.655</v>
      </c>
      <c r="F40" s="29">
        <v>0.40610977414716898</v>
      </c>
    </row>
    <row r="41" spans="1:9" x14ac:dyDescent="0.2">
      <c r="A41" s="26" t="s">
        <v>318</v>
      </c>
      <c r="B41" s="26" t="s">
        <v>317</v>
      </c>
      <c r="C41" s="26" t="s">
        <v>79</v>
      </c>
      <c r="D41" s="30">
        <v>50</v>
      </c>
      <c r="E41" s="28">
        <v>502.43</v>
      </c>
      <c r="F41" s="29">
        <v>0.20390817397081101</v>
      </c>
    </row>
    <row r="42" spans="1:9" x14ac:dyDescent="0.2">
      <c r="A42" s="26" t="s">
        <v>134</v>
      </c>
      <c r="B42" s="26" t="s">
        <v>133</v>
      </c>
      <c r="C42" s="26" t="s">
        <v>91</v>
      </c>
      <c r="D42" s="30">
        <v>20</v>
      </c>
      <c r="E42" s="28">
        <v>205.11940000000001</v>
      </c>
      <c r="F42" s="29">
        <v>8.3246466771467506E-2</v>
      </c>
    </row>
    <row r="43" spans="1:9" x14ac:dyDescent="0.2">
      <c r="A43" s="26" t="s">
        <v>565</v>
      </c>
      <c r="B43" s="26" t="s">
        <v>564</v>
      </c>
      <c r="C43" s="26" t="s">
        <v>166</v>
      </c>
      <c r="D43" s="30">
        <v>5</v>
      </c>
      <c r="E43" s="28">
        <v>56.079500000000003</v>
      </c>
      <c r="F43" s="29">
        <v>2.2759525590024698E-2</v>
      </c>
    </row>
    <row r="44" spans="1:9" ht="10.5" x14ac:dyDescent="0.25">
      <c r="A44" s="25" t="s">
        <v>167</v>
      </c>
      <c r="B44" s="25"/>
      <c r="C44" s="25"/>
      <c r="D44" s="31"/>
      <c r="E44" s="32">
        <f>SUM(E6:E43)</f>
        <v>168544.26902799989</v>
      </c>
      <c r="F44" s="33">
        <f>SUM(F6:F43)</f>
        <v>68.402671279072976</v>
      </c>
      <c r="G44" s="17"/>
      <c r="H44" s="17"/>
      <c r="I44" s="17"/>
    </row>
    <row r="45" spans="1:9" x14ac:dyDescent="0.2">
      <c r="A45" s="26"/>
      <c r="B45" s="26"/>
      <c r="C45" s="26"/>
      <c r="D45" s="27"/>
      <c r="E45" s="28"/>
      <c r="F45" s="29"/>
    </row>
    <row r="46" spans="1:9" ht="10.5" x14ac:dyDescent="0.25">
      <c r="A46" s="25" t="s">
        <v>168</v>
      </c>
      <c r="B46" s="26"/>
      <c r="C46" s="26"/>
      <c r="D46" s="27"/>
      <c r="E46" s="28"/>
      <c r="F46" s="29"/>
    </row>
    <row r="47" spans="1:9" x14ac:dyDescent="0.2">
      <c r="A47" s="26" t="s">
        <v>180</v>
      </c>
      <c r="B47" s="26" t="s">
        <v>179</v>
      </c>
      <c r="C47" s="26" t="s">
        <v>181</v>
      </c>
      <c r="D47" s="30">
        <v>6878</v>
      </c>
      <c r="E47" s="28">
        <v>6578.7382200000002</v>
      </c>
      <c r="F47" s="29">
        <v>2.6699410812892999</v>
      </c>
    </row>
    <row r="48" spans="1:9" x14ac:dyDescent="0.2">
      <c r="A48" s="26" t="s">
        <v>360</v>
      </c>
      <c r="B48" s="26" t="s">
        <v>359</v>
      </c>
      <c r="C48" s="26" t="s">
        <v>286</v>
      </c>
      <c r="D48" s="30">
        <v>550</v>
      </c>
      <c r="E48" s="28">
        <v>4848.1454999999996</v>
      </c>
      <c r="F48" s="29">
        <v>1.96759050225863</v>
      </c>
    </row>
    <row r="49" spans="1:6" x14ac:dyDescent="0.2">
      <c r="A49" s="26" t="s">
        <v>514</v>
      </c>
      <c r="B49" s="26" t="s">
        <v>513</v>
      </c>
      <c r="C49" s="26" t="s">
        <v>479</v>
      </c>
      <c r="D49" s="30">
        <v>385</v>
      </c>
      <c r="E49" s="28">
        <v>4798.5553</v>
      </c>
      <c r="F49" s="29">
        <v>1.9474646197897401</v>
      </c>
    </row>
    <row r="50" spans="1:6" x14ac:dyDescent="0.2">
      <c r="A50" s="26" t="s">
        <v>512</v>
      </c>
      <c r="B50" s="26" t="s">
        <v>511</v>
      </c>
      <c r="C50" s="26" t="s">
        <v>356</v>
      </c>
      <c r="D50" s="30">
        <v>600</v>
      </c>
      <c r="E50" s="28">
        <v>4500</v>
      </c>
      <c r="F50" s="29">
        <v>1.8262977586303599</v>
      </c>
    </row>
    <row r="51" spans="1:6" x14ac:dyDescent="0.2">
      <c r="A51" s="26" t="s">
        <v>364</v>
      </c>
      <c r="B51" s="26" t="s">
        <v>363</v>
      </c>
      <c r="C51" s="26" t="s">
        <v>351</v>
      </c>
      <c r="D51" s="30">
        <v>440</v>
      </c>
      <c r="E51" s="28">
        <v>3989.994342</v>
      </c>
      <c r="F51" s="29">
        <v>1.61931504972054</v>
      </c>
    </row>
    <row r="52" spans="1:6" x14ac:dyDescent="0.2">
      <c r="A52" s="26" t="s">
        <v>345</v>
      </c>
      <c r="B52" s="26" t="s">
        <v>344</v>
      </c>
      <c r="C52" s="26" t="s">
        <v>286</v>
      </c>
      <c r="D52" s="30">
        <v>450</v>
      </c>
      <c r="E52" s="28">
        <v>3975.3359999999998</v>
      </c>
      <c r="F52" s="29">
        <v>1.61336605035613</v>
      </c>
    </row>
    <row r="53" spans="1:6" x14ac:dyDescent="0.2">
      <c r="A53" s="26" t="s">
        <v>353</v>
      </c>
      <c r="B53" s="26" t="s">
        <v>352</v>
      </c>
      <c r="C53" s="26" t="s">
        <v>351</v>
      </c>
      <c r="D53" s="30">
        <v>450</v>
      </c>
      <c r="E53" s="28">
        <v>3894.9468029999998</v>
      </c>
      <c r="F53" s="29">
        <v>1.58074058140075</v>
      </c>
    </row>
    <row r="54" spans="1:6" x14ac:dyDescent="0.2">
      <c r="A54" s="26" t="s">
        <v>567</v>
      </c>
      <c r="B54" s="26" t="s">
        <v>566</v>
      </c>
      <c r="C54" s="26" t="s">
        <v>348</v>
      </c>
      <c r="D54" s="30">
        <v>390</v>
      </c>
      <c r="E54" s="28">
        <v>3855.9884999999999</v>
      </c>
      <c r="F54" s="29">
        <v>1.5649295899676501</v>
      </c>
    </row>
    <row r="55" spans="1:6" x14ac:dyDescent="0.2">
      <c r="A55" s="26" t="s">
        <v>343</v>
      </c>
      <c r="B55" s="26" t="s">
        <v>342</v>
      </c>
      <c r="C55" s="26" t="s">
        <v>88</v>
      </c>
      <c r="D55" s="30">
        <v>400</v>
      </c>
      <c r="E55" s="28">
        <v>3757.7</v>
      </c>
      <c r="F55" s="29">
        <v>1.52503979724562</v>
      </c>
    </row>
    <row r="56" spans="1:6" x14ac:dyDescent="0.2">
      <c r="A56" s="26" t="s">
        <v>569</v>
      </c>
      <c r="B56" s="26" t="s">
        <v>568</v>
      </c>
      <c r="C56" s="26" t="s">
        <v>570</v>
      </c>
      <c r="D56" s="30">
        <v>400</v>
      </c>
      <c r="E56" s="28">
        <v>3071.3493600000002</v>
      </c>
      <c r="F56" s="29">
        <v>1.24648854491973</v>
      </c>
    </row>
    <row r="57" spans="1:6" x14ac:dyDescent="0.2">
      <c r="A57" s="26" t="s">
        <v>355</v>
      </c>
      <c r="B57" s="26" t="s">
        <v>354</v>
      </c>
      <c r="C57" s="26" t="s">
        <v>356</v>
      </c>
      <c r="D57" s="30">
        <v>250</v>
      </c>
      <c r="E57" s="28">
        <v>1875</v>
      </c>
      <c r="F57" s="29">
        <v>0.76095739942931595</v>
      </c>
    </row>
    <row r="58" spans="1:6" x14ac:dyDescent="0.2">
      <c r="A58" s="26" t="s">
        <v>202</v>
      </c>
      <c r="B58" s="26" t="s">
        <v>201</v>
      </c>
      <c r="C58" s="26" t="s">
        <v>181</v>
      </c>
      <c r="D58" s="30">
        <v>2500</v>
      </c>
      <c r="E58" s="28">
        <v>1245.1824999999999</v>
      </c>
      <c r="F58" s="29">
        <v>0.50534977974127704</v>
      </c>
    </row>
    <row r="59" spans="1:6" x14ac:dyDescent="0.2">
      <c r="A59" s="26" t="s">
        <v>374</v>
      </c>
      <c r="B59" s="26" t="s">
        <v>373</v>
      </c>
      <c r="C59" s="26" t="s">
        <v>356</v>
      </c>
      <c r="D59" s="30">
        <v>250</v>
      </c>
      <c r="E59" s="28">
        <v>1140.923076</v>
      </c>
      <c r="F59" s="29">
        <v>0.46303672365965598</v>
      </c>
    </row>
    <row r="60" spans="1:6" x14ac:dyDescent="0.2">
      <c r="A60" s="26" t="s">
        <v>341</v>
      </c>
      <c r="B60" s="26" t="s">
        <v>1568</v>
      </c>
      <c r="C60" s="26" t="s">
        <v>243</v>
      </c>
      <c r="D60" s="30">
        <v>10</v>
      </c>
      <c r="E60" s="28">
        <v>1012.22</v>
      </c>
      <c r="F60" s="29">
        <v>0.41080335938684898</v>
      </c>
    </row>
    <row r="61" spans="1:6" x14ac:dyDescent="0.2">
      <c r="A61" s="26" t="s">
        <v>378</v>
      </c>
      <c r="B61" s="26" t="s">
        <v>377</v>
      </c>
      <c r="C61" s="26" t="s">
        <v>351</v>
      </c>
      <c r="D61" s="30">
        <v>100</v>
      </c>
      <c r="E61" s="28">
        <v>1009.7910000000001</v>
      </c>
      <c r="F61" s="29">
        <v>0.40981756444113498</v>
      </c>
    </row>
    <row r="62" spans="1:6" x14ac:dyDescent="0.2">
      <c r="A62" s="26" t="s">
        <v>347</v>
      </c>
      <c r="B62" s="26" t="s">
        <v>346</v>
      </c>
      <c r="C62" s="26" t="s">
        <v>348</v>
      </c>
      <c r="D62" s="30">
        <v>100</v>
      </c>
      <c r="E62" s="28">
        <v>989.96199999999999</v>
      </c>
      <c r="F62" s="29">
        <v>0.40177008482871701</v>
      </c>
    </row>
    <row r="63" spans="1:6" x14ac:dyDescent="0.2">
      <c r="A63" s="26" t="s">
        <v>376</v>
      </c>
      <c r="B63" s="26" t="s">
        <v>375</v>
      </c>
      <c r="C63" s="26" t="s">
        <v>351</v>
      </c>
      <c r="D63" s="30">
        <v>50</v>
      </c>
      <c r="E63" s="28">
        <v>444.16290400000003</v>
      </c>
      <c r="F63" s="29">
        <v>0.18026082578710001</v>
      </c>
    </row>
    <row r="64" spans="1:6" x14ac:dyDescent="0.2">
      <c r="A64" s="26" t="s">
        <v>572</v>
      </c>
      <c r="B64" s="26" t="s">
        <v>571</v>
      </c>
      <c r="C64" s="26" t="s">
        <v>573</v>
      </c>
      <c r="D64" s="30">
        <v>200</v>
      </c>
      <c r="E64" s="28">
        <v>118.5219616</v>
      </c>
      <c r="F64" s="29">
        <v>4.8101420626345197E-2</v>
      </c>
    </row>
    <row r="65" spans="1:9" x14ac:dyDescent="0.2">
      <c r="A65" s="26" t="s">
        <v>517</v>
      </c>
      <c r="B65" s="26" t="s">
        <v>516</v>
      </c>
      <c r="C65" s="26" t="s">
        <v>381</v>
      </c>
      <c r="D65" s="30">
        <v>321</v>
      </c>
      <c r="E65" s="28">
        <v>103.68300000000001</v>
      </c>
      <c r="F65" s="29">
        <v>4.2079117890682499E-2</v>
      </c>
    </row>
    <row r="66" spans="1:9" x14ac:dyDescent="0.2">
      <c r="A66" s="26" t="s">
        <v>574</v>
      </c>
      <c r="B66" s="26" t="s">
        <v>1573</v>
      </c>
      <c r="C66" s="26" t="s">
        <v>356</v>
      </c>
      <c r="D66" s="30">
        <v>230</v>
      </c>
      <c r="E66" s="28">
        <v>0</v>
      </c>
      <c r="F66" s="29">
        <v>0</v>
      </c>
    </row>
    <row r="67" spans="1:9" x14ac:dyDescent="0.2">
      <c r="A67" s="26" t="s">
        <v>518</v>
      </c>
      <c r="B67" s="26" t="s">
        <v>1574</v>
      </c>
      <c r="C67" s="26" t="s">
        <v>356</v>
      </c>
      <c r="D67" s="30">
        <v>250</v>
      </c>
      <c r="E67" s="28">
        <v>0</v>
      </c>
      <c r="F67" s="29">
        <v>0</v>
      </c>
    </row>
    <row r="68" spans="1:9" x14ac:dyDescent="0.2">
      <c r="A68" s="26" t="s">
        <v>393</v>
      </c>
      <c r="B68" s="26" t="s">
        <v>1575</v>
      </c>
      <c r="C68" s="26" t="s">
        <v>356</v>
      </c>
      <c r="D68" s="30">
        <v>230</v>
      </c>
      <c r="E68" s="28">
        <v>0</v>
      </c>
      <c r="F68" s="29">
        <v>0</v>
      </c>
    </row>
    <row r="69" spans="1:9" ht="10.5" x14ac:dyDescent="0.25">
      <c r="A69" s="25" t="s">
        <v>167</v>
      </c>
      <c r="B69" s="25"/>
      <c r="C69" s="25"/>
      <c r="D69" s="31"/>
      <c r="E69" s="32">
        <f>SUM(E46:E68)</f>
        <v>51210.200466599992</v>
      </c>
      <c r="F69" s="33">
        <f>SUM(F46:F68)</f>
        <v>20.783349851369529</v>
      </c>
      <c r="G69" s="17"/>
      <c r="H69" s="17"/>
      <c r="I69" s="17"/>
    </row>
    <row r="70" spans="1:9" x14ac:dyDescent="0.2">
      <c r="A70" s="26"/>
      <c r="B70" s="26"/>
      <c r="C70" s="26"/>
      <c r="D70" s="27"/>
      <c r="E70" s="28"/>
      <c r="F70" s="29"/>
    </row>
    <row r="71" spans="1:9" ht="10.5" x14ac:dyDescent="0.25">
      <c r="A71" s="25" t="s">
        <v>205</v>
      </c>
      <c r="B71" s="25"/>
      <c r="C71" s="25"/>
      <c r="D71" s="31"/>
      <c r="E71" s="32">
        <f>E44+E69</f>
        <v>219754.46949459988</v>
      </c>
      <c r="F71" s="33">
        <f>F44+F69</f>
        <v>89.186021130442498</v>
      </c>
      <c r="G71" s="17"/>
      <c r="H71" s="17"/>
      <c r="I71" s="17"/>
    </row>
    <row r="72" spans="1:9" ht="10.5" x14ac:dyDescent="0.25">
      <c r="A72" s="25"/>
      <c r="B72" s="25"/>
      <c r="C72" s="25"/>
      <c r="D72" s="31"/>
      <c r="E72" s="32"/>
      <c r="F72" s="33"/>
      <c r="G72" s="17"/>
      <c r="H72" s="17"/>
      <c r="I72" s="17"/>
    </row>
    <row r="73" spans="1:9" ht="10.5" x14ac:dyDescent="0.25">
      <c r="A73" s="25" t="s">
        <v>207</v>
      </c>
      <c r="B73" s="25"/>
      <c r="C73" s="25"/>
      <c r="D73" s="31"/>
      <c r="E73" s="32">
        <f>E75-(E44+E69)</f>
        <v>26645.657688100124</v>
      </c>
      <c r="F73" s="33">
        <f>F75-(F44+F69)</f>
        <v>10.813978869557502</v>
      </c>
      <c r="G73" s="17"/>
      <c r="H73" s="17"/>
      <c r="I73" s="17"/>
    </row>
    <row r="74" spans="1:9" ht="10.5" x14ac:dyDescent="0.25">
      <c r="A74" s="25"/>
      <c r="B74" s="25"/>
      <c r="C74" s="25"/>
      <c r="D74" s="31"/>
      <c r="E74" s="32"/>
      <c r="F74" s="33"/>
      <c r="G74" s="17"/>
      <c r="H74" s="17"/>
      <c r="I74" s="17"/>
    </row>
    <row r="75" spans="1:9" ht="10.5" x14ac:dyDescent="0.25">
      <c r="A75" s="34" t="s">
        <v>206</v>
      </c>
      <c r="B75" s="34"/>
      <c r="C75" s="34"/>
      <c r="D75" s="35"/>
      <c r="E75" s="36">
        <v>246400.1271827</v>
      </c>
      <c r="F75" s="37">
        <v>100</v>
      </c>
      <c r="G75" s="17"/>
      <c r="H75" s="17"/>
      <c r="I75" s="17"/>
    </row>
    <row r="76" spans="1:9" ht="10.5" x14ac:dyDescent="0.25">
      <c r="A76" s="84" t="s">
        <v>209</v>
      </c>
      <c r="F76" s="19" t="s">
        <v>394</v>
      </c>
    </row>
    <row r="77" spans="1:9" ht="10.5" x14ac:dyDescent="0.25">
      <c r="A77" s="84" t="s">
        <v>1557</v>
      </c>
    </row>
    <row r="78" spans="1:9" ht="10.5" x14ac:dyDescent="0.25">
      <c r="A78" s="84" t="s">
        <v>1548</v>
      </c>
    </row>
    <row r="79" spans="1:9" s="78" customFormat="1" x14ac:dyDescent="0.2">
      <c r="D79" s="79"/>
      <c r="E79" s="82"/>
      <c r="F79" s="83"/>
    </row>
    <row r="80" spans="1:9" ht="10.5" x14ac:dyDescent="0.25">
      <c r="A80" s="17" t="s">
        <v>210</v>
      </c>
    </row>
    <row r="81" spans="1:6" ht="10.5" x14ac:dyDescent="0.25">
      <c r="A81" s="17" t="s">
        <v>211</v>
      </c>
    </row>
    <row r="82" spans="1:6" ht="10.5" x14ac:dyDescent="0.25">
      <c r="A82" s="17" t="s">
        <v>212</v>
      </c>
      <c r="B82" s="17"/>
      <c r="C82" s="38" t="s">
        <v>214</v>
      </c>
      <c r="D82" s="18" t="s">
        <v>213</v>
      </c>
    </row>
    <row r="83" spans="1:6" x14ac:dyDescent="0.2">
      <c r="A83" s="10" t="s">
        <v>486</v>
      </c>
      <c r="C83" s="39">
        <v>67.154899999999998</v>
      </c>
      <c r="D83" s="39">
        <v>65.701400000000007</v>
      </c>
    </row>
    <row r="84" spans="1:6" x14ac:dyDescent="0.2">
      <c r="A84" s="10" t="s">
        <v>520</v>
      </c>
      <c r="C84" s="39">
        <v>11.325900000000001</v>
      </c>
      <c r="D84" s="39">
        <v>10.8597</v>
      </c>
    </row>
    <row r="85" spans="1:6" x14ac:dyDescent="0.2">
      <c r="A85" s="10" t="s">
        <v>489</v>
      </c>
      <c r="C85" s="39">
        <v>71.145600000000002</v>
      </c>
      <c r="D85" s="39">
        <v>69.889499999999998</v>
      </c>
    </row>
    <row r="86" spans="1:6" x14ac:dyDescent="0.2">
      <c r="A86" s="10" t="s">
        <v>521</v>
      </c>
      <c r="C86" s="39">
        <v>12.2163</v>
      </c>
      <c r="D86" s="39">
        <v>11.7796</v>
      </c>
    </row>
    <row r="88" spans="1:6" ht="10.5" x14ac:dyDescent="0.25">
      <c r="A88" s="17" t="s">
        <v>226</v>
      </c>
    </row>
    <row r="89" spans="1:6" ht="10.5" x14ac:dyDescent="0.25">
      <c r="A89" s="147" t="s">
        <v>401</v>
      </c>
      <c r="B89" s="148"/>
      <c r="C89" s="145" t="s">
        <v>402</v>
      </c>
      <c r="D89" s="146"/>
    </row>
    <row r="90" spans="1:6" ht="10.5" x14ac:dyDescent="0.25">
      <c r="A90" s="147"/>
      <c r="B90" s="148"/>
      <c r="C90" s="43" t="s">
        <v>403</v>
      </c>
      <c r="D90" s="44" t="s">
        <v>404</v>
      </c>
    </row>
    <row r="91" spans="1:6" x14ac:dyDescent="0.2">
      <c r="A91" s="141" t="s">
        <v>520</v>
      </c>
      <c r="B91" s="142"/>
      <c r="C91" s="45">
        <v>0.158470994</v>
      </c>
      <c r="D91" s="45">
        <v>0.14674493020000001</v>
      </c>
    </row>
    <row r="92" spans="1:6" x14ac:dyDescent="0.2">
      <c r="A92" s="141" t="s">
        <v>521</v>
      </c>
      <c r="B92" s="142"/>
      <c r="C92" s="45">
        <v>0.158470994</v>
      </c>
      <c r="D92" s="45">
        <v>0.14674493020000001</v>
      </c>
    </row>
    <row r="94" spans="1:6" ht="10.5" x14ac:dyDescent="0.25">
      <c r="A94" s="17" t="s">
        <v>228</v>
      </c>
      <c r="D94" s="41">
        <v>2.2526922644931506</v>
      </c>
      <c r="E94" s="15" t="s">
        <v>229</v>
      </c>
    </row>
    <row r="95" spans="1:6" ht="44.5" customHeight="1" x14ac:dyDescent="0.2">
      <c r="A95" s="139" t="s">
        <v>1596</v>
      </c>
      <c r="B95" s="140"/>
      <c r="C95" s="140"/>
      <c r="D95" s="140"/>
      <c r="E95" s="140"/>
    </row>
    <row r="96" spans="1:6" s="78" customFormat="1" ht="14.5" x14ac:dyDescent="0.2">
      <c r="A96" s="137"/>
      <c r="B96" s="138"/>
      <c r="C96" s="138"/>
      <c r="D96" s="138"/>
      <c r="E96" s="138"/>
      <c r="F96" s="83"/>
    </row>
    <row r="97" spans="1:6" s="78" customFormat="1" ht="10.5" x14ac:dyDescent="0.25">
      <c r="A97" s="84" t="s">
        <v>230</v>
      </c>
      <c r="D97" s="103" t="s">
        <v>227</v>
      </c>
      <c r="E97" s="82"/>
      <c r="F97" s="83"/>
    </row>
    <row r="98" spans="1:6" s="78" customFormat="1" x14ac:dyDescent="0.2">
      <c r="A98" s="78" t="s">
        <v>231</v>
      </c>
      <c r="D98" s="79"/>
      <c r="E98" s="82"/>
      <c r="F98" s="83"/>
    </row>
    <row r="99" spans="1:6" s="78" customFormat="1" ht="14.5" x14ac:dyDescent="0.35">
      <c r="A99" s="102" t="s">
        <v>1558</v>
      </c>
      <c r="D99" s="79"/>
      <c r="E99" s="82"/>
      <c r="F99" s="83"/>
    </row>
    <row r="100" spans="1:6" s="78" customFormat="1" x14ac:dyDescent="0.2">
      <c r="D100" s="79"/>
      <c r="E100" s="82"/>
      <c r="F100" s="83"/>
    </row>
    <row r="101" spans="1:6" s="78" customFormat="1" ht="10.5" x14ac:dyDescent="0.25">
      <c r="A101" s="84" t="s">
        <v>1564</v>
      </c>
      <c r="D101" s="79"/>
      <c r="E101" s="82"/>
      <c r="F101" s="83"/>
    </row>
    <row r="102" spans="1:6" s="78" customFormat="1" ht="14.5" x14ac:dyDescent="0.35">
      <c r="A102" s="115" t="s">
        <v>1560</v>
      </c>
      <c r="D102" s="79"/>
      <c r="E102" s="82"/>
      <c r="F102" s="83"/>
    </row>
    <row r="103" spans="1:6" s="78" customFormat="1" ht="14.5" x14ac:dyDescent="0.35">
      <c r="A103" s="115"/>
      <c r="D103" s="79"/>
      <c r="E103" s="82"/>
      <c r="F103" s="83"/>
    </row>
    <row r="104" spans="1:6" s="78" customFormat="1" ht="40" customHeight="1" x14ac:dyDescent="0.2">
      <c r="A104" s="150" t="s">
        <v>1592</v>
      </c>
      <c r="B104" s="150"/>
      <c r="C104" s="150"/>
      <c r="D104" s="150"/>
      <c r="E104" s="150"/>
      <c r="F104" s="150"/>
    </row>
    <row r="105" spans="1:6" s="78" customFormat="1" ht="15.5" customHeight="1" x14ac:dyDescent="0.2">
      <c r="A105" s="136" t="s">
        <v>1595</v>
      </c>
      <c r="B105" s="134"/>
      <c r="C105" s="134"/>
      <c r="D105" s="134"/>
      <c r="E105" s="134"/>
      <c r="F105" s="134"/>
    </row>
    <row r="106" spans="1:6" s="78" customFormat="1" ht="14.5" x14ac:dyDescent="0.35">
      <c r="A106" s="115"/>
      <c r="D106" s="79"/>
      <c r="E106" s="82"/>
      <c r="F106" s="83"/>
    </row>
    <row r="107" spans="1:6" s="78" customFormat="1" ht="30" customHeight="1" x14ac:dyDescent="0.2">
      <c r="A107" s="149" t="s">
        <v>1593</v>
      </c>
      <c r="B107" s="149"/>
      <c r="C107" s="149"/>
      <c r="D107" s="149"/>
      <c r="E107" s="149"/>
      <c r="F107" s="149"/>
    </row>
    <row r="108" spans="1:6" s="78" customFormat="1" ht="10.5" x14ac:dyDescent="0.2">
      <c r="A108" s="133"/>
      <c r="B108" s="133"/>
      <c r="C108" s="133"/>
      <c r="D108" s="133"/>
      <c r="E108" s="133"/>
      <c r="F108" s="133"/>
    </row>
    <row r="109" spans="1:6" s="78" customFormat="1" ht="14.5" x14ac:dyDescent="0.35">
      <c r="A109" s="115"/>
      <c r="D109" s="79"/>
      <c r="E109" s="82"/>
      <c r="F109" s="83"/>
    </row>
    <row r="110" spans="1:6" s="1" customFormat="1" ht="14" x14ac:dyDescent="0.25">
      <c r="A110" s="143" t="s">
        <v>575</v>
      </c>
      <c r="B110" s="144"/>
      <c r="C110" s="144"/>
      <c r="D110" s="144"/>
      <c r="E110" s="144"/>
      <c r="F110" s="144"/>
    </row>
    <row r="111" spans="1:6" ht="10.5" x14ac:dyDescent="0.25">
      <c r="A111" s="17" t="s">
        <v>6</v>
      </c>
    </row>
    <row r="112" spans="1:6" s="1" customFormat="1" ht="17.5" customHeight="1" x14ac:dyDescent="0.25">
      <c r="A112" s="8" t="s">
        <v>2</v>
      </c>
      <c r="B112" s="8" t="s">
        <v>0</v>
      </c>
      <c r="C112" s="8" t="s">
        <v>208</v>
      </c>
      <c r="D112" s="13" t="s">
        <v>1</v>
      </c>
      <c r="E112" s="77" t="s">
        <v>3</v>
      </c>
      <c r="F112" s="77" t="s">
        <v>4</v>
      </c>
    </row>
    <row r="113" spans="1:9" ht="10.5" x14ac:dyDescent="0.25">
      <c r="A113" s="20" t="s">
        <v>69</v>
      </c>
      <c r="B113" s="21"/>
      <c r="C113" s="21"/>
      <c r="D113" s="22"/>
      <c r="E113" s="87"/>
      <c r="F113" s="88"/>
    </row>
    <row r="114" spans="1:9" ht="10.5" x14ac:dyDescent="0.25">
      <c r="A114" s="25" t="s">
        <v>70</v>
      </c>
      <c r="B114" s="26"/>
      <c r="C114" s="26"/>
      <c r="D114" s="27"/>
      <c r="E114" s="91"/>
      <c r="F114" s="92"/>
    </row>
    <row r="115" spans="1:9" x14ac:dyDescent="0.2">
      <c r="A115" s="26" t="s">
        <v>407</v>
      </c>
      <c r="B115" s="26" t="s">
        <v>406</v>
      </c>
      <c r="C115" s="26" t="s">
        <v>408</v>
      </c>
      <c r="D115" s="30">
        <v>940</v>
      </c>
      <c r="E115" s="91">
        <v>0</v>
      </c>
      <c r="F115" s="111">
        <v>100</v>
      </c>
    </row>
    <row r="116" spans="1:9" ht="10.5" x14ac:dyDescent="0.25">
      <c r="A116" s="25" t="s">
        <v>167</v>
      </c>
      <c r="B116" s="25"/>
      <c r="C116" s="25"/>
      <c r="D116" s="31"/>
      <c r="E116" s="95">
        <f>SUM(E114:E115)</f>
        <v>0</v>
      </c>
      <c r="F116" s="110">
        <f>SUM(F114:F115)</f>
        <v>100</v>
      </c>
      <c r="G116" s="17"/>
      <c r="H116" s="17"/>
      <c r="I116" s="17"/>
    </row>
    <row r="117" spans="1:9" x14ac:dyDescent="0.2">
      <c r="A117" s="26"/>
      <c r="B117" s="26"/>
      <c r="C117" s="26"/>
      <c r="D117" s="27"/>
      <c r="E117" s="91"/>
      <c r="F117" s="107"/>
    </row>
    <row r="118" spans="1:9" ht="10.5" x14ac:dyDescent="0.25">
      <c r="A118" s="25" t="s">
        <v>205</v>
      </c>
      <c r="B118" s="25"/>
      <c r="C118" s="25"/>
      <c r="D118" s="31"/>
      <c r="E118" s="95">
        <f>E116</f>
        <v>0</v>
      </c>
      <c r="F118" s="110">
        <f>F116</f>
        <v>100</v>
      </c>
      <c r="G118" s="17"/>
      <c r="H118" s="17"/>
      <c r="I118" s="17"/>
    </row>
    <row r="119" spans="1:9" ht="10.5" x14ac:dyDescent="0.25">
      <c r="A119" s="25"/>
      <c r="B119" s="25"/>
      <c r="C119" s="25"/>
      <c r="D119" s="31"/>
      <c r="E119" s="95"/>
      <c r="F119" s="110"/>
      <c r="G119" s="17"/>
      <c r="H119" s="17"/>
      <c r="I119" s="17"/>
    </row>
    <row r="120" spans="1:9" ht="10.5" x14ac:dyDescent="0.25">
      <c r="A120" s="25" t="s">
        <v>207</v>
      </c>
      <c r="B120" s="25"/>
      <c r="C120" s="25"/>
      <c r="D120" s="31"/>
      <c r="E120" s="95">
        <f>E122-(E116)</f>
        <v>0</v>
      </c>
      <c r="F120" s="96">
        <v>0</v>
      </c>
      <c r="G120" s="17"/>
      <c r="H120" s="17"/>
      <c r="I120" s="17"/>
    </row>
    <row r="121" spans="1:9" ht="10.5" x14ac:dyDescent="0.25">
      <c r="A121" s="25"/>
      <c r="B121" s="25"/>
      <c r="C121" s="25"/>
      <c r="D121" s="31"/>
      <c r="E121" s="95"/>
      <c r="F121" s="110"/>
      <c r="G121" s="17"/>
      <c r="H121" s="17"/>
      <c r="I121" s="17"/>
    </row>
    <row r="122" spans="1:9" ht="10.5" x14ac:dyDescent="0.25">
      <c r="A122" s="34" t="s">
        <v>206</v>
      </c>
      <c r="B122" s="34"/>
      <c r="C122" s="34"/>
      <c r="D122" s="35"/>
      <c r="E122" s="98">
        <v>0</v>
      </c>
      <c r="F122" s="113">
        <v>100</v>
      </c>
      <c r="G122" s="17"/>
      <c r="H122" s="17"/>
      <c r="I122" s="17"/>
    </row>
    <row r="123" spans="1:9" ht="10.5" x14ac:dyDescent="0.25">
      <c r="A123" s="84" t="s">
        <v>209</v>
      </c>
      <c r="E123" s="82"/>
      <c r="F123" s="85"/>
    </row>
    <row r="124" spans="1:9" ht="10.5" x14ac:dyDescent="0.25">
      <c r="A124" s="84" t="s">
        <v>1557</v>
      </c>
    </row>
    <row r="125" spans="1:9" ht="10.5" x14ac:dyDescent="0.25">
      <c r="A125" s="84" t="s">
        <v>1548</v>
      </c>
    </row>
    <row r="126" spans="1:9" s="78" customFormat="1" ht="10.5" x14ac:dyDescent="0.25">
      <c r="A126" s="84"/>
      <c r="D126" s="79"/>
      <c r="E126" s="82"/>
      <c r="F126" s="83"/>
    </row>
    <row r="127" spans="1:9" ht="10.5" x14ac:dyDescent="0.25">
      <c r="A127" s="17" t="s">
        <v>210</v>
      </c>
    </row>
    <row r="128" spans="1:9" ht="10.5" x14ac:dyDescent="0.25">
      <c r="A128" s="17" t="s">
        <v>211</v>
      </c>
    </row>
    <row r="129" spans="1:6" ht="10.5" x14ac:dyDescent="0.25">
      <c r="A129" s="17" t="s">
        <v>212</v>
      </c>
      <c r="B129" s="17"/>
      <c r="C129" s="38" t="s">
        <v>214</v>
      </c>
      <c r="D129" s="18" t="s">
        <v>213</v>
      </c>
    </row>
    <row r="130" spans="1:6" x14ac:dyDescent="0.2">
      <c r="A130" s="10" t="s">
        <v>486</v>
      </c>
      <c r="C130" s="39">
        <v>0</v>
      </c>
      <c r="D130" s="39">
        <v>0</v>
      </c>
    </row>
    <row r="131" spans="1:6" x14ac:dyDescent="0.2">
      <c r="A131" s="10" t="s">
        <v>520</v>
      </c>
      <c r="C131" s="39">
        <v>0</v>
      </c>
      <c r="D131" s="39">
        <v>0</v>
      </c>
    </row>
    <row r="132" spans="1:6" x14ac:dyDescent="0.2">
      <c r="A132" s="10" t="s">
        <v>489</v>
      </c>
      <c r="C132" s="39">
        <v>0</v>
      </c>
      <c r="D132" s="39">
        <v>0</v>
      </c>
    </row>
    <row r="133" spans="1:6" x14ac:dyDescent="0.2">
      <c r="A133" s="10" t="s">
        <v>521</v>
      </c>
      <c r="C133" s="39">
        <v>0</v>
      </c>
      <c r="D133" s="39">
        <v>0</v>
      </c>
    </row>
    <row r="135" spans="1:6" s="78" customFormat="1" ht="10.5" x14ac:dyDescent="0.25">
      <c r="A135" s="84" t="s">
        <v>1561</v>
      </c>
      <c r="D135" s="103" t="s">
        <v>227</v>
      </c>
      <c r="E135" s="82"/>
      <c r="F135" s="83"/>
    </row>
    <row r="136" spans="1:6" s="78" customFormat="1" x14ac:dyDescent="0.2">
      <c r="A136" s="78" t="s">
        <v>231</v>
      </c>
      <c r="D136" s="79"/>
      <c r="E136" s="82"/>
      <c r="F136" s="83"/>
    </row>
    <row r="137" spans="1:6" s="78" customFormat="1" ht="14.5" x14ac:dyDescent="0.35">
      <c r="A137" s="102" t="s">
        <v>1558</v>
      </c>
      <c r="D137" s="79"/>
      <c r="E137" s="82"/>
      <c r="F137" s="83"/>
    </row>
    <row r="138" spans="1:6" s="78" customFormat="1" ht="14.5" x14ac:dyDescent="0.35">
      <c r="A138" s="102"/>
      <c r="D138" s="79"/>
      <c r="E138" s="82"/>
      <c r="F138" s="83"/>
    </row>
    <row r="140" spans="1:6" s="1" customFormat="1" ht="14" x14ac:dyDescent="0.25">
      <c r="A140" s="143" t="s">
        <v>576</v>
      </c>
      <c r="B140" s="144"/>
      <c r="C140" s="144"/>
      <c r="D140" s="144"/>
      <c r="E140" s="144"/>
      <c r="F140" s="144"/>
    </row>
    <row r="141" spans="1:6" ht="10.5" x14ac:dyDescent="0.25">
      <c r="A141" s="17" t="s">
        <v>6</v>
      </c>
    </row>
    <row r="142" spans="1:6" s="1" customFormat="1" ht="17.5" customHeight="1" x14ac:dyDescent="0.25">
      <c r="A142" s="8" t="s">
        <v>2</v>
      </c>
      <c r="B142" s="8" t="s">
        <v>0</v>
      </c>
      <c r="C142" s="8" t="s">
        <v>208</v>
      </c>
      <c r="D142" s="13" t="s">
        <v>1</v>
      </c>
      <c r="E142" s="9" t="s">
        <v>3</v>
      </c>
      <c r="F142" s="9" t="s">
        <v>4</v>
      </c>
    </row>
    <row r="143" spans="1:6" ht="10.5" x14ac:dyDescent="0.25">
      <c r="A143" s="20" t="s">
        <v>69</v>
      </c>
      <c r="B143" s="21"/>
      <c r="C143" s="21"/>
      <c r="D143" s="22"/>
      <c r="E143" s="23"/>
      <c r="F143" s="24"/>
    </row>
    <row r="144" spans="1:6" ht="10.5" x14ac:dyDescent="0.25">
      <c r="A144" s="25" t="s">
        <v>70</v>
      </c>
      <c r="B144" s="26"/>
      <c r="C144" s="26"/>
      <c r="D144" s="27"/>
      <c r="E144" s="28"/>
      <c r="F144" s="29"/>
    </row>
    <row r="145" spans="1:9" x14ac:dyDescent="0.2">
      <c r="A145" s="26" t="s">
        <v>411</v>
      </c>
      <c r="B145" s="26" t="s">
        <v>410</v>
      </c>
      <c r="C145" s="26" t="s">
        <v>412</v>
      </c>
      <c r="D145" s="30">
        <v>682</v>
      </c>
      <c r="E145" s="91">
        <v>0</v>
      </c>
      <c r="F145" s="111">
        <v>100</v>
      </c>
    </row>
    <row r="146" spans="1:9" ht="10.5" x14ac:dyDescent="0.25">
      <c r="A146" s="25" t="s">
        <v>167</v>
      </c>
      <c r="B146" s="25"/>
      <c r="C146" s="25"/>
      <c r="D146" s="31"/>
      <c r="E146" s="95">
        <f>SUM(E144:E145)</f>
        <v>0</v>
      </c>
      <c r="F146" s="110">
        <f>SUM(F144:F145)</f>
        <v>100</v>
      </c>
      <c r="G146" s="17"/>
      <c r="H146" s="17"/>
      <c r="I146" s="17"/>
    </row>
    <row r="147" spans="1:9" x14ac:dyDescent="0.2">
      <c r="A147" s="26"/>
      <c r="B147" s="26"/>
      <c r="C147" s="26"/>
      <c r="D147" s="27"/>
      <c r="E147" s="91"/>
      <c r="F147" s="107"/>
    </row>
    <row r="148" spans="1:9" ht="10.5" x14ac:dyDescent="0.25">
      <c r="A148" s="25" t="s">
        <v>205</v>
      </c>
      <c r="B148" s="25"/>
      <c r="C148" s="25"/>
      <c r="D148" s="31"/>
      <c r="E148" s="95">
        <f>E146</f>
        <v>0</v>
      </c>
      <c r="F148" s="110">
        <f>F146</f>
        <v>100</v>
      </c>
      <c r="G148" s="17"/>
      <c r="H148" s="17"/>
      <c r="I148" s="17"/>
    </row>
    <row r="149" spans="1:9" ht="10.5" x14ac:dyDescent="0.25">
      <c r="A149" s="25"/>
      <c r="B149" s="25"/>
      <c r="C149" s="25"/>
      <c r="D149" s="31"/>
      <c r="E149" s="95"/>
      <c r="F149" s="110"/>
      <c r="G149" s="17"/>
      <c r="H149" s="17"/>
      <c r="I149" s="17"/>
    </row>
    <row r="150" spans="1:9" ht="10.5" x14ac:dyDescent="0.25">
      <c r="A150" s="25" t="s">
        <v>207</v>
      </c>
      <c r="B150" s="25"/>
      <c r="C150" s="25"/>
      <c r="D150" s="31"/>
      <c r="E150" s="95">
        <f>E152-(E146)</f>
        <v>0</v>
      </c>
      <c r="F150" s="96">
        <v>0</v>
      </c>
      <c r="G150" s="17"/>
      <c r="H150" s="17"/>
      <c r="I150" s="17"/>
    </row>
    <row r="151" spans="1:9" ht="10.5" x14ac:dyDescent="0.25">
      <c r="A151" s="25"/>
      <c r="B151" s="25"/>
      <c r="C151" s="25"/>
      <c r="D151" s="31"/>
      <c r="E151" s="95"/>
      <c r="F151" s="110"/>
      <c r="G151" s="17"/>
      <c r="H151" s="17"/>
      <c r="I151" s="17"/>
    </row>
    <row r="152" spans="1:9" ht="10.5" x14ac:dyDescent="0.25">
      <c r="A152" s="34" t="s">
        <v>206</v>
      </c>
      <c r="B152" s="34"/>
      <c r="C152" s="34"/>
      <c r="D152" s="35"/>
      <c r="E152" s="98">
        <v>0</v>
      </c>
      <c r="F152" s="113">
        <v>100</v>
      </c>
      <c r="G152" s="17"/>
      <c r="H152" s="17"/>
      <c r="I152" s="17"/>
    </row>
    <row r="153" spans="1:9" ht="10.5" x14ac:dyDescent="0.25">
      <c r="A153" s="84" t="s">
        <v>209</v>
      </c>
      <c r="E153" s="82"/>
      <c r="F153" s="85"/>
    </row>
    <row r="154" spans="1:9" ht="10.5" x14ac:dyDescent="0.25">
      <c r="A154" s="116" t="s">
        <v>1557</v>
      </c>
    </row>
    <row r="156" spans="1:9" ht="10.5" x14ac:dyDescent="0.25">
      <c r="A156" s="17" t="s">
        <v>210</v>
      </c>
    </row>
    <row r="157" spans="1:9" ht="10.5" x14ac:dyDescent="0.25">
      <c r="A157" s="17" t="s">
        <v>211</v>
      </c>
    </row>
    <row r="158" spans="1:9" ht="10.5" x14ac:dyDescent="0.25">
      <c r="A158" s="17" t="s">
        <v>212</v>
      </c>
      <c r="B158" s="17"/>
      <c r="C158" s="38" t="s">
        <v>214</v>
      </c>
      <c r="D158" s="18" t="s">
        <v>213</v>
      </c>
    </row>
    <row r="159" spans="1:9" x14ac:dyDescent="0.2">
      <c r="A159" s="10" t="s">
        <v>486</v>
      </c>
      <c r="C159" s="114" t="s">
        <v>1563</v>
      </c>
      <c r="D159" s="39">
        <v>0</v>
      </c>
    </row>
    <row r="160" spans="1:9" x14ac:dyDescent="0.2">
      <c r="A160" s="10" t="s">
        <v>520</v>
      </c>
      <c r="C160" s="114" t="s">
        <v>1563</v>
      </c>
      <c r="D160" s="39">
        <v>0</v>
      </c>
    </row>
    <row r="161" spans="1:6" x14ac:dyDescent="0.2">
      <c r="A161" s="10" t="s">
        <v>489</v>
      </c>
      <c r="C161" s="114" t="s">
        <v>1563</v>
      </c>
      <c r="D161" s="39">
        <v>0</v>
      </c>
    </row>
    <row r="162" spans="1:6" x14ac:dyDescent="0.2">
      <c r="A162" s="10" t="s">
        <v>521</v>
      </c>
      <c r="C162" s="114" t="s">
        <v>1563</v>
      </c>
      <c r="D162" s="39">
        <v>0</v>
      </c>
    </row>
    <row r="164" spans="1:6" s="78" customFormat="1" ht="10.5" x14ac:dyDescent="0.25">
      <c r="A164" s="84" t="s">
        <v>1562</v>
      </c>
      <c r="D164" s="79"/>
      <c r="E164" s="82"/>
      <c r="F164" s="83"/>
    </row>
    <row r="165" spans="1:6" s="78" customFormat="1" x14ac:dyDescent="0.2">
      <c r="D165" s="79"/>
      <c r="E165" s="82"/>
      <c r="F165" s="83"/>
    </row>
    <row r="166" spans="1:6" s="78" customFormat="1" ht="10.5" x14ac:dyDescent="0.25">
      <c r="A166" s="84" t="s">
        <v>1561</v>
      </c>
      <c r="D166" s="103" t="s">
        <v>227</v>
      </c>
      <c r="E166" s="82"/>
      <c r="F166" s="83"/>
    </row>
    <row r="167" spans="1:6" s="78" customFormat="1" x14ac:dyDescent="0.2">
      <c r="A167" s="78" t="s">
        <v>231</v>
      </c>
      <c r="D167" s="79"/>
      <c r="E167" s="82"/>
      <c r="F167" s="83"/>
    </row>
    <row r="168" spans="1:6" s="78" customFormat="1" ht="14.5" x14ac:dyDescent="0.35">
      <c r="A168" s="102" t="s">
        <v>1558</v>
      </c>
      <c r="D168" s="79"/>
      <c r="E168" s="82"/>
      <c r="F168" s="83"/>
    </row>
  </sheetData>
  <mergeCells count="11">
    <mergeCell ref="A110:F110"/>
    <mergeCell ref="A140:F140"/>
    <mergeCell ref="A1:F1"/>
    <mergeCell ref="C89:D89"/>
    <mergeCell ref="A89:B89"/>
    <mergeCell ref="A90:B90"/>
    <mergeCell ref="A91:B91"/>
    <mergeCell ref="A92:B92"/>
    <mergeCell ref="A107:F107"/>
    <mergeCell ref="A104:F104"/>
    <mergeCell ref="A95:E95"/>
  </mergeCells>
  <conditionalFormatting sqref="F2:F3 F124:F134 F143:F144 F139 F154:F163 F169:F65540 F111 F141 F5:F96 F106 F109">
    <cfRule type="cellIs" dxfId="73" priority="10" stopIfTrue="1" operator="between">
      <formula>0.009</formula>
      <formula>-0.009</formula>
    </cfRule>
  </conditionalFormatting>
  <conditionalFormatting sqref="F97:F103">
    <cfRule type="cellIs" dxfId="72" priority="9" stopIfTrue="1" operator="between">
      <formula>0.009</formula>
      <formula>-0.009</formula>
    </cfRule>
  </conditionalFormatting>
  <conditionalFormatting sqref="F113:F114">
    <cfRule type="cellIs" dxfId="71" priority="8" stopIfTrue="1" operator="between">
      <formula>0.009</formula>
      <formula>-0.009</formula>
    </cfRule>
  </conditionalFormatting>
  <conditionalFormatting sqref="F123">
    <cfRule type="cellIs" dxfId="70" priority="7" stopIfTrue="1" operator="between">
      <formula>0.009</formula>
      <formula>-0.009</formula>
    </cfRule>
  </conditionalFormatting>
  <conditionalFormatting sqref="F116:F119 F121:F122">
    <cfRule type="cellIs" dxfId="69" priority="6" stopIfTrue="1" operator="between">
      <formula>0.009</formula>
      <formula>-0.009</formula>
    </cfRule>
  </conditionalFormatting>
  <conditionalFormatting sqref="F135:F138">
    <cfRule type="cellIs" dxfId="68" priority="5" stopIfTrue="1" operator="between">
      <formula>0.009</formula>
      <formula>-0.009</formula>
    </cfRule>
  </conditionalFormatting>
  <conditionalFormatting sqref="F153">
    <cfRule type="cellIs" dxfId="67" priority="4" stopIfTrue="1" operator="between">
      <formula>0.009</formula>
      <formula>-0.009</formula>
    </cfRule>
  </conditionalFormatting>
  <conditionalFormatting sqref="F146:F149 F151:F152">
    <cfRule type="cellIs" dxfId="66" priority="3" stopIfTrue="1" operator="between">
      <formula>0.009</formula>
      <formula>-0.009</formula>
    </cfRule>
  </conditionalFormatting>
  <conditionalFormatting sqref="F164:F165">
    <cfRule type="cellIs" dxfId="65" priority="2" stopIfTrue="1" operator="between">
      <formula>0.009</formula>
      <formula>-0.009</formula>
    </cfRule>
  </conditionalFormatting>
  <conditionalFormatting sqref="F166:F168">
    <cfRule type="cellIs" dxfId="64" priority="1" stopIfTrue="1" operator="between">
      <formula>0.009</formula>
      <formula>-0.009</formula>
    </cfRule>
  </conditionalFormatting>
  <hyperlinks>
    <hyperlink ref="A99" r:id="rId1" xr:uid="{00000000-0004-0000-0700-000000000000}"/>
    <hyperlink ref="A102" r:id="rId2" xr:uid="{00000000-0004-0000-0700-000001000000}"/>
    <hyperlink ref="A137" r:id="rId3" xr:uid="{00000000-0004-0000-0700-000002000000}"/>
    <hyperlink ref="A168" r:id="rId4" xr:uid="{00000000-0004-0000-0700-000003000000}"/>
    <hyperlink ref="A105" r:id="rId5" xr:uid="{995EB7D2-3F5D-49E5-98E9-891B0B7FBCB0}"/>
  </hyperlinks>
  <pageMargins left="0.7" right="0.7" top="0.75" bottom="0.75" header="0.3" footer="0.3"/>
  <pageSetup paperSize="9" orientation="portrait" r:id="rId6"/>
  <headerFooter>
    <oddFooter>&amp;LPUBLIC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76"/>
  <sheetViews>
    <sheetView workbookViewId="0">
      <selection sqref="A1:F1"/>
    </sheetView>
  </sheetViews>
  <sheetFormatPr defaultColWidth="9.1796875" defaultRowHeight="10" x14ac:dyDescent="0.2"/>
  <cols>
    <col min="1" max="1" width="38.7265625" style="10" bestFit="1" customWidth="1"/>
    <col min="2" max="2" width="69.1796875" style="10" bestFit="1" customWidth="1"/>
    <col min="3" max="3" width="15.1796875" style="10" bestFit="1" customWidth="1"/>
    <col min="4" max="4" width="14.7265625" style="11" bestFit="1" customWidth="1"/>
    <col min="5" max="5" width="23" style="15" bestFit="1" customWidth="1"/>
    <col min="6" max="6" width="14.7265625" style="16" bestFit="1" customWidth="1"/>
    <col min="7" max="7" width="6" style="10" bestFit="1" customWidth="1"/>
    <col min="8" max="16384" width="9.1796875" style="10"/>
  </cols>
  <sheetData>
    <row r="1" spans="1:6" s="1" customFormat="1" ht="14" x14ac:dyDescent="0.25">
      <c r="A1" s="143" t="s">
        <v>15</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3" t="s">
        <v>1</v>
      </c>
      <c r="E4" s="9" t="s">
        <v>3</v>
      </c>
      <c r="F4" s="105"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234</v>
      </c>
      <c r="B7" s="26" t="s">
        <v>233</v>
      </c>
      <c r="C7" s="26" t="s">
        <v>139</v>
      </c>
      <c r="D7" s="30">
        <v>3930</v>
      </c>
      <c r="E7" s="28">
        <v>34045.904399999999</v>
      </c>
      <c r="F7" s="29">
        <v>10.184112163990701</v>
      </c>
    </row>
    <row r="8" spans="1:6" x14ac:dyDescent="0.2">
      <c r="A8" s="26" t="s">
        <v>288</v>
      </c>
      <c r="B8" s="26" t="s">
        <v>287</v>
      </c>
      <c r="C8" s="26" t="s">
        <v>104</v>
      </c>
      <c r="D8" s="30">
        <v>10140</v>
      </c>
      <c r="E8" s="28">
        <v>20249.945039999999</v>
      </c>
      <c r="F8" s="29">
        <v>6.05734273288998</v>
      </c>
    </row>
    <row r="9" spans="1:6" x14ac:dyDescent="0.2">
      <c r="A9" s="26" t="s">
        <v>236</v>
      </c>
      <c r="B9" s="26" t="s">
        <v>235</v>
      </c>
      <c r="C9" s="26" t="s">
        <v>91</v>
      </c>
      <c r="D9" s="30">
        <v>2125</v>
      </c>
      <c r="E9" s="28">
        <v>16476.536</v>
      </c>
      <c r="F9" s="29">
        <v>4.9286072335335103</v>
      </c>
    </row>
    <row r="10" spans="1:6" x14ac:dyDescent="0.2">
      <c r="A10" s="26" t="s">
        <v>285</v>
      </c>
      <c r="B10" s="26" t="s">
        <v>284</v>
      </c>
      <c r="C10" s="26" t="s">
        <v>286</v>
      </c>
      <c r="D10" s="30">
        <v>1150</v>
      </c>
      <c r="E10" s="28">
        <v>11562.0425</v>
      </c>
      <c r="F10" s="29">
        <v>3.4585404541295501</v>
      </c>
    </row>
    <row r="11" spans="1:6" x14ac:dyDescent="0.2">
      <c r="A11" s="26" t="s">
        <v>557</v>
      </c>
      <c r="B11" s="26" t="s">
        <v>556</v>
      </c>
      <c r="C11" s="26" t="s">
        <v>104</v>
      </c>
      <c r="D11" s="30">
        <v>5580</v>
      </c>
      <c r="E11" s="28">
        <v>11104.311600000001</v>
      </c>
      <c r="F11" s="29">
        <v>3.3216199372956901</v>
      </c>
    </row>
    <row r="12" spans="1:6" x14ac:dyDescent="0.2">
      <c r="A12" s="26" t="s">
        <v>72</v>
      </c>
      <c r="B12" s="26" t="s">
        <v>71</v>
      </c>
      <c r="C12" s="26" t="s">
        <v>73</v>
      </c>
      <c r="D12" s="30">
        <v>1100</v>
      </c>
      <c r="E12" s="28">
        <v>10987.834000000001</v>
      </c>
      <c r="F12" s="29">
        <v>3.2867781269840601</v>
      </c>
    </row>
    <row r="13" spans="1:6" x14ac:dyDescent="0.2">
      <c r="A13" s="26" t="s">
        <v>253</v>
      </c>
      <c r="B13" s="26" t="s">
        <v>252</v>
      </c>
      <c r="C13" s="26" t="s">
        <v>139</v>
      </c>
      <c r="D13" s="30">
        <v>1000</v>
      </c>
      <c r="E13" s="28">
        <v>8188.42</v>
      </c>
      <c r="F13" s="29">
        <v>2.4493926419491601</v>
      </c>
    </row>
    <row r="14" spans="1:6" x14ac:dyDescent="0.2">
      <c r="A14" s="26" t="s">
        <v>509</v>
      </c>
      <c r="B14" s="26" t="s">
        <v>508</v>
      </c>
      <c r="C14" s="26" t="s">
        <v>79</v>
      </c>
      <c r="D14" s="30">
        <v>850</v>
      </c>
      <c r="E14" s="28">
        <v>7845.9759999999997</v>
      </c>
      <c r="F14" s="29">
        <v>2.3469577627075502</v>
      </c>
    </row>
    <row r="15" spans="1:6" x14ac:dyDescent="0.2">
      <c r="A15" s="26" t="s">
        <v>242</v>
      </c>
      <c r="B15" s="26" t="s">
        <v>241</v>
      </c>
      <c r="C15" s="26" t="s">
        <v>243</v>
      </c>
      <c r="D15" s="30">
        <v>750</v>
      </c>
      <c r="E15" s="28">
        <v>7593.8474999999999</v>
      </c>
      <c r="F15" s="29">
        <v>2.2715388549419799</v>
      </c>
    </row>
    <row r="16" spans="1:6" x14ac:dyDescent="0.2">
      <c r="A16" s="26" t="s">
        <v>578</v>
      </c>
      <c r="B16" s="26" t="s">
        <v>577</v>
      </c>
      <c r="C16" s="26" t="s">
        <v>157</v>
      </c>
      <c r="D16" s="30">
        <v>650</v>
      </c>
      <c r="E16" s="28">
        <v>6534.3135000000002</v>
      </c>
      <c r="F16" s="29">
        <v>1.95460167005223</v>
      </c>
    </row>
    <row r="17" spans="1:6" x14ac:dyDescent="0.2">
      <c r="A17" s="26" t="s">
        <v>580</v>
      </c>
      <c r="B17" s="26" t="s">
        <v>579</v>
      </c>
      <c r="C17" s="26" t="s">
        <v>157</v>
      </c>
      <c r="D17" s="30">
        <v>650</v>
      </c>
      <c r="E17" s="28">
        <v>6465.5694999999996</v>
      </c>
      <c r="F17" s="29">
        <v>1.9340383565218799</v>
      </c>
    </row>
    <row r="18" spans="1:6" x14ac:dyDescent="0.2">
      <c r="A18" s="26" t="s">
        <v>478</v>
      </c>
      <c r="B18" s="26" t="s">
        <v>477</v>
      </c>
      <c r="C18" s="26" t="s">
        <v>479</v>
      </c>
      <c r="D18" s="30">
        <v>510</v>
      </c>
      <c r="E18" s="28">
        <v>6425.6990999999998</v>
      </c>
      <c r="F18" s="29">
        <v>1.92211196969859</v>
      </c>
    </row>
    <row r="19" spans="1:6" x14ac:dyDescent="0.2">
      <c r="A19" s="26" t="s">
        <v>581</v>
      </c>
      <c r="B19" s="26" t="s">
        <v>302</v>
      </c>
      <c r="C19" s="26" t="s">
        <v>304</v>
      </c>
      <c r="D19" s="30">
        <v>650</v>
      </c>
      <c r="E19" s="28">
        <v>6422.3249999999998</v>
      </c>
      <c r="F19" s="29">
        <v>1.92110267905239</v>
      </c>
    </row>
    <row r="20" spans="1:6" x14ac:dyDescent="0.2">
      <c r="A20" s="26" t="s">
        <v>582</v>
      </c>
      <c r="B20" s="26" t="s">
        <v>302</v>
      </c>
      <c r="C20" s="26" t="s">
        <v>304</v>
      </c>
      <c r="D20" s="30">
        <v>650</v>
      </c>
      <c r="E20" s="28">
        <v>6364.3905000000004</v>
      </c>
      <c r="F20" s="29">
        <v>1.9037727988050399</v>
      </c>
    </row>
    <row r="21" spans="1:6" x14ac:dyDescent="0.2">
      <c r="A21" s="26" t="s">
        <v>249</v>
      </c>
      <c r="B21" s="26" t="s">
        <v>248</v>
      </c>
      <c r="C21" s="26" t="s">
        <v>150</v>
      </c>
      <c r="D21" s="30">
        <v>620</v>
      </c>
      <c r="E21" s="28">
        <v>6172.0379999999996</v>
      </c>
      <c r="F21" s="29">
        <v>1.84623461706051</v>
      </c>
    </row>
    <row r="22" spans="1:6" x14ac:dyDescent="0.2">
      <c r="A22" s="26" t="s">
        <v>322</v>
      </c>
      <c r="B22" s="26" t="s">
        <v>321</v>
      </c>
      <c r="C22" s="26" t="s">
        <v>104</v>
      </c>
      <c r="D22" s="30">
        <v>648</v>
      </c>
      <c r="E22" s="28">
        <v>6156.0388800000001</v>
      </c>
      <c r="F22" s="29">
        <v>1.8414488187250999</v>
      </c>
    </row>
    <row r="23" spans="1:6" x14ac:dyDescent="0.2">
      <c r="A23" s="26" t="s">
        <v>310</v>
      </c>
      <c r="B23" s="26" t="s">
        <v>309</v>
      </c>
      <c r="C23" s="26" t="s">
        <v>181</v>
      </c>
      <c r="D23" s="30">
        <v>600</v>
      </c>
      <c r="E23" s="28">
        <v>6022.2</v>
      </c>
      <c r="F23" s="29">
        <v>1.8014137487263999</v>
      </c>
    </row>
    <row r="24" spans="1:6" x14ac:dyDescent="0.2">
      <c r="A24" s="26" t="s">
        <v>159</v>
      </c>
      <c r="B24" s="26" t="s">
        <v>158</v>
      </c>
      <c r="C24" s="26" t="s">
        <v>104</v>
      </c>
      <c r="D24" s="30">
        <v>606</v>
      </c>
      <c r="E24" s="28">
        <v>5946.6052799999998</v>
      </c>
      <c r="F24" s="29">
        <v>1.77880118721414</v>
      </c>
    </row>
    <row r="25" spans="1:6" x14ac:dyDescent="0.2">
      <c r="A25" s="26" t="s">
        <v>584</v>
      </c>
      <c r="B25" s="26" t="s">
        <v>583</v>
      </c>
      <c r="C25" s="26" t="s">
        <v>82</v>
      </c>
      <c r="D25" s="30">
        <v>5500</v>
      </c>
      <c r="E25" s="28">
        <v>5510.4994999999999</v>
      </c>
      <c r="F25" s="29">
        <v>1.64834936761482</v>
      </c>
    </row>
    <row r="26" spans="1:6" x14ac:dyDescent="0.2">
      <c r="A26" s="26" t="s">
        <v>84</v>
      </c>
      <c r="B26" s="26" t="s">
        <v>83</v>
      </c>
      <c r="C26" s="26" t="s">
        <v>85</v>
      </c>
      <c r="D26" s="30">
        <v>550</v>
      </c>
      <c r="E26" s="28">
        <v>5456.9790000000003</v>
      </c>
      <c r="F26" s="29">
        <v>1.63233984210276</v>
      </c>
    </row>
    <row r="27" spans="1:6" x14ac:dyDescent="0.2">
      <c r="A27" s="26" t="s">
        <v>507</v>
      </c>
      <c r="B27" s="26" t="s">
        <v>506</v>
      </c>
      <c r="C27" s="26" t="s">
        <v>104</v>
      </c>
      <c r="D27" s="30">
        <v>550</v>
      </c>
      <c r="E27" s="28">
        <v>5378.6755000000003</v>
      </c>
      <c r="F27" s="29">
        <v>1.60891700634948</v>
      </c>
    </row>
    <row r="28" spans="1:6" x14ac:dyDescent="0.2">
      <c r="A28" s="26" t="s">
        <v>559</v>
      </c>
      <c r="B28" s="26" t="s">
        <v>558</v>
      </c>
      <c r="C28" s="26" t="s">
        <v>79</v>
      </c>
      <c r="D28" s="30">
        <v>550</v>
      </c>
      <c r="E28" s="28">
        <v>5127.43</v>
      </c>
      <c r="F28" s="29">
        <v>1.5337622293567501</v>
      </c>
    </row>
    <row r="29" spans="1:6" x14ac:dyDescent="0.2">
      <c r="A29" s="26" t="s">
        <v>586</v>
      </c>
      <c r="B29" s="26" t="s">
        <v>585</v>
      </c>
      <c r="C29" s="26" t="s">
        <v>82</v>
      </c>
      <c r="D29" s="30">
        <v>5000</v>
      </c>
      <c r="E29" s="28">
        <v>4968.7349999999997</v>
      </c>
      <c r="F29" s="29">
        <v>1.4862919768154601</v>
      </c>
    </row>
    <row r="30" spans="1:6" x14ac:dyDescent="0.2">
      <c r="A30" s="26" t="s">
        <v>555</v>
      </c>
      <c r="B30" s="26" t="s">
        <v>554</v>
      </c>
      <c r="C30" s="26" t="s">
        <v>150</v>
      </c>
      <c r="D30" s="30">
        <v>500</v>
      </c>
      <c r="E30" s="28">
        <v>4941.375</v>
      </c>
      <c r="F30" s="29">
        <v>1.4781078115328199</v>
      </c>
    </row>
    <row r="31" spans="1:6" x14ac:dyDescent="0.2">
      <c r="A31" s="26" t="s">
        <v>261</v>
      </c>
      <c r="B31" s="26" t="s">
        <v>160</v>
      </c>
      <c r="C31" s="26" t="s">
        <v>82</v>
      </c>
      <c r="D31" s="30">
        <v>550</v>
      </c>
      <c r="E31" s="28">
        <v>4537.7420000000002</v>
      </c>
      <c r="F31" s="29">
        <v>1.35736953720787</v>
      </c>
    </row>
    <row r="32" spans="1:6" x14ac:dyDescent="0.2">
      <c r="A32" s="26" t="s">
        <v>476</v>
      </c>
      <c r="B32" s="26" t="s">
        <v>475</v>
      </c>
      <c r="C32" s="26" t="s">
        <v>304</v>
      </c>
      <c r="D32" s="30">
        <v>450</v>
      </c>
      <c r="E32" s="28">
        <v>4506.4754999999996</v>
      </c>
      <c r="F32" s="29">
        <v>1.3480168250803199</v>
      </c>
    </row>
    <row r="33" spans="1:6" x14ac:dyDescent="0.2">
      <c r="A33" s="26" t="s">
        <v>505</v>
      </c>
      <c r="B33" s="26" t="s">
        <v>504</v>
      </c>
      <c r="C33" s="26" t="s">
        <v>181</v>
      </c>
      <c r="D33" s="30">
        <v>350</v>
      </c>
      <c r="E33" s="28">
        <v>4215.7849999999999</v>
      </c>
      <c r="F33" s="29">
        <v>1.2610629106762501</v>
      </c>
    </row>
    <row r="34" spans="1:6" x14ac:dyDescent="0.2">
      <c r="A34" s="26" t="s">
        <v>115</v>
      </c>
      <c r="B34" s="26" t="s">
        <v>114</v>
      </c>
      <c r="C34" s="26" t="s">
        <v>104</v>
      </c>
      <c r="D34" s="30">
        <v>351</v>
      </c>
      <c r="E34" s="28">
        <v>3477.357</v>
      </c>
      <c r="F34" s="29">
        <v>1.04017779366843</v>
      </c>
    </row>
    <row r="35" spans="1:6" x14ac:dyDescent="0.2">
      <c r="A35" s="26" t="s">
        <v>294</v>
      </c>
      <c r="B35" s="26" t="s">
        <v>293</v>
      </c>
      <c r="C35" s="26" t="s">
        <v>104</v>
      </c>
      <c r="D35" s="30">
        <v>350</v>
      </c>
      <c r="E35" s="28">
        <v>3467.9679999999998</v>
      </c>
      <c r="F35" s="29">
        <v>1.03736927291409</v>
      </c>
    </row>
    <row r="36" spans="1:6" x14ac:dyDescent="0.2">
      <c r="A36" s="26" t="s">
        <v>324</v>
      </c>
      <c r="B36" s="26" t="s">
        <v>323</v>
      </c>
      <c r="C36" s="26" t="s">
        <v>104</v>
      </c>
      <c r="D36" s="30">
        <v>352</v>
      </c>
      <c r="E36" s="28">
        <v>3323.3552</v>
      </c>
      <c r="F36" s="29">
        <v>0.99411141263680802</v>
      </c>
    </row>
    <row r="37" spans="1:6" x14ac:dyDescent="0.2">
      <c r="A37" s="26" t="s">
        <v>141</v>
      </c>
      <c r="B37" s="26" t="s">
        <v>140</v>
      </c>
      <c r="C37" s="26" t="s">
        <v>85</v>
      </c>
      <c r="D37" s="30">
        <v>310</v>
      </c>
      <c r="E37" s="28">
        <v>3226.9295000000002</v>
      </c>
      <c r="F37" s="29">
        <v>0.96526770407339801</v>
      </c>
    </row>
    <row r="38" spans="1:6" x14ac:dyDescent="0.2">
      <c r="A38" s="26" t="s">
        <v>161</v>
      </c>
      <c r="B38" s="26" t="s">
        <v>160</v>
      </c>
      <c r="C38" s="26" t="s">
        <v>82</v>
      </c>
      <c r="D38" s="30">
        <v>380</v>
      </c>
      <c r="E38" s="28">
        <v>3131.6255999999998</v>
      </c>
      <c r="F38" s="29">
        <v>0.93675955825172996</v>
      </c>
    </row>
    <row r="39" spans="1:6" x14ac:dyDescent="0.2">
      <c r="A39" s="26" t="s">
        <v>156</v>
      </c>
      <c r="B39" s="26" t="s">
        <v>155</v>
      </c>
      <c r="C39" s="26" t="s">
        <v>157</v>
      </c>
      <c r="D39" s="30">
        <v>400</v>
      </c>
      <c r="E39" s="28">
        <v>2971.5749999999998</v>
      </c>
      <c r="F39" s="29">
        <v>0.888883806644027</v>
      </c>
    </row>
    <row r="40" spans="1:6" x14ac:dyDescent="0.2">
      <c r="A40" s="26" t="s">
        <v>271</v>
      </c>
      <c r="B40" s="26" t="s">
        <v>270</v>
      </c>
      <c r="C40" s="26" t="s">
        <v>104</v>
      </c>
      <c r="D40" s="30">
        <v>306</v>
      </c>
      <c r="E40" s="28">
        <v>2929.3349400000002</v>
      </c>
      <c r="F40" s="29">
        <v>0.87624858615466605</v>
      </c>
    </row>
    <row r="41" spans="1:6" x14ac:dyDescent="0.2">
      <c r="A41" s="26" t="s">
        <v>258</v>
      </c>
      <c r="B41" s="26" t="s">
        <v>257</v>
      </c>
      <c r="C41" s="26" t="s">
        <v>73</v>
      </c>
      <c r="D41" s="30">
        <v>300</v>
      </c>
      <c r="E41" s="28">
        <v>2911.9740000000002</v>
      </c>
      <c r="F41" s="29">
        <v>0.87105542817140202</v>
      </c>
    </row>
    <row r="42" spans="1:6" x14ac:dyDescent="0.2">
      <c r="A42" s="26" t="s">
        <v>149</v>
      </c>
      <c r="B42" s="26" t="s">
        <v>148</v>
      </c>
      <c r="C42" s="26" t="s">
        <v>150</v>
      </c>
      <c r="D42" s="30">
        <v>270</v>
      </c>
      <c r="E42" s="28">
        <v>2716.3323</v>
      </c>
      <c r="F42" s="29">
        <v>0.81253335181986797</v>
      </c>
    </row>
    <row r="43" spans="1:6" x14ac:dyDescent="0.2">
      <c r="A43" s="26" t="s">
        <v>303</v>
      </c>
      <c r="B43" s="26" t="s">
        <v>302</v>
      </c>
      <c r="C43" s="26" t="s">
        <v>304</v>
      </c>
      <c r="D43" s="30">
        <v>260</v>
      </c>
      <c r="E43" s="28">
        <v>2563.2802000000001</v>
      </c>
      <c r="F43" s="29">
        <v>0.76675105345524297</v>
      </c>
    </row>
    <row r="44" spans="1:6" x14ac:dyDescent="0.2">
      <c r="A44" s="26" t="s">
        <v>277</v>
      </c>
      <c r="B44" s="26" t="s">
        <v>276</v>
      </c>
      <c r="C44" s="26" t="s">
        <v>79</v>
      </c>
      <c r="D44" s="30">
        <v>250</v>
      </c>
      <c r="E44" s="28">
        <v>2495.27</v>
      </c>
      <c r="F44" s="29">
        <v>0.74640724067359598</v>
      </c>
    </row>
    <row r="45" spans="1:6" x14ac:dyDescent="0.2">
      <c r="A45" s="26" t="s">
        <v>328</v>
      </c>
      <c r="B45" s="26" t="s">
        <v>327</v>
      </c>
      <c r="C45" s="26" t="s">
        <v>82</v>
      </c>
      <c r="D45" s="30">
        <v>2000</v>
      </c>
      <c r="E45" s="28">
        <v>1989.722</v>
      </c>
      <c r="F45" s="29">
        <v>0.59518324979964099</v>
      </c>
    </row>
    <row r="46" spans="1:6" x14ac:dyDescent="0.2">
      <c r="A46" s="26" t="s">
        <v>269</v>
      </c>
      <c r="B46" s="26" t="s">
        <v>268</v>
      </c>
      <c r="C46" s="26" t="s">
        <v>181</v>
      </c>
      <c r="D46" s="30">
        <v>190</v>
      </c>
      <c r="E46" s="28">
        <v>1906.6139000000001</v>
      </c>
      <c r="F46" s="29">
        <v>0.57032321958302101</v>
      </c>
    </row>
    <row r="47" spans="1:6" x14ac:dyDescent="0.2">
      <c r="A47" s="26" t="s">
        <v>263</v>
      </c>
      <c r="B47" s="26" t="s">
        <v>262</v>
      </c>
      <c r="C47" s="26" t="s">
        <v>104</v>
      </c>
      <c r="D47" s="30">
        <v>176</v>
      </c>
      <c r="E47" s="28">
        <v>1711.4908800000001</v>
      </c>
      <c r="F47" s="29">
        <v>0.51195629538239296</v>
      </c>
    </row>
    <row r="48" spans="1:6" x14ac:dyDescent="0.2">
      <c r="A48" s="26" t="s">
        <v>265</v>
      </c>
      <c r="B48" s="26" t="s">
        <v>264</v>
      </c>
      <c r="C48" s="26" t="s">
        <v>104</v>
      </c>
      <c r="D48" s="30">
        <v>176</v>
      </c>
      <c r="E48" s="28">
        <v>1698.9790399999999</v>
      </c>
      <c r="F48" s="29">
        <v>0.50821364309620798</v>
      </c>
    </row>
    <row r="49" spans="1:9" x14ac:dyDescent="0.2">
      <c r="A49" s="26" t="s">
        <v>312</v>
      </c>
      <c r="B49" s="26" t="s">
        <v>311</v>
      </c>
      <c r="C49" s="26" t="s">
        <v>79</v>
      </c>
      <c r="D49" s="30">
        <v>150</v>
      </c>
      <c r="E49" s="28">
        <v>1500.9825000000001</v>
      </c>
      <c r="F49" s="29">
        <v>0.448987166168133</v>
      </c>
    </row>
    <row r="50" spans="1:9" x14ac:dyDescent="0.2">
      <c r="A50" s="26" t="s">
        <v>251</v>
      </c>
      <c r="B50" s="26" t="s">
        <v>250</v>
      </c>
      <c r="C50" s="26" t="s">
        <v>181</v>
      </c>
      <c r="D50" s="30">
        <v>100</v>
      </c>
      <c r="E50" s="28">
        <v>1004.932</v>
      </c>
      <c r="F50" s="29">
        <v>0.30060415152853098</v>
      </c>
    </row>
    <row r="51" spans="1:9" x14ac:dyDescent="0.2">
      <c r="A51" s="26" t="s">
        <v>290</v>
      </c>
      <c r="B51" s="26" t="s">
        <v>289</v>
      </c>
      <c r="C51" s="26" t="s">
        <v>150</v>
      </c>
      <c r="D51" s="30">
        <v>90</v>
      </c>
      <c r="E51" s="28">
        <v>909.9144</v>
      </c>
      <c r="F51" s="29">
        <v>0.27218164629606101</v>
      </c>
    </row>
    <row r="52" spans="1:9" x14ac:dyDescent="0.2">
      <c r="A52" s="26" t="s">
        <v>494</v>
      </c>
      <c r="B52" s="26" t="s">
        <v>493</v>
      </c>
      <c r="C52" s="26" t="s">
        <v>91</v>
      </c>
      <c r="D52" s="30">
        <v>95</v>
      </c>
      <c r="E52" s="28">
        <v>789.87940000000003</v>
      </c>
      <c r="F52" s="29">
        <v>0.236275715020385</v>
      </c>
    </row>
    <row r="53" spans="1:9" x14ac:dyDescent="0.2">
      <c r="A53" s="26" t="s">
        <v>588</v>
      </c>
      <c r="B53" s="26" t="s">
        <v>587</v>
      </c>
      <c r="C53" s="26" t="s">
        <v>589</v>
      </c>
      <c r="D53" s="30">
        <v>74</v>
      </c>
      <c r="E53" s="28">
        <v>762.42718000000002</v>
      </c>
      <c r="F53" s="29">
        <v>0.228063964075371</v>
      </c>
    </row>
    <row r="54" spans="1:9" x14ac:dyDescent="0.2">
      <c r="A54" s="26" t="s">
        <v>318</v>
      </c>
      <c r="B54" s="26" t="s">
        <v>317</v>
      </c>
      <c r="C54" s="26" t="s">
        <v>79</v>
      </c>
      <c r="D54" s="30">
        <v>50</v>
      </c>
      <c r="E54" s="28">
        <v>502.43</v>
      </c>
      <c r="F54" s="29">
        <v>0.15029130712573599</v>
      </c>
    </row>
    <row r="55" spans="1:9" x14ac:dyDescent="0.2">
      <c r="A55" s="26" t="s">
        <v>134</v>
      </c>
      <c r="B55" s="26" t="s">
        <v>133</v>
      </c>
      <c r="C55" s="26" t="s">
        <v>91</v>
      </c>
      <c r="D55" s="30">
        <v>40</v>
      </c>
      <c r="E55" s="28">
        <v>410.23880000000003</v>
      </c>
      <c r="F55" s="29">
        <v>0.12271425966939301</v>
      </c>
    </row>
    <row r="56" spans="1:9" x14ac:dyDescent="0.2">
      <c r="A56" s="26" t="s">
        <v>496</v>
      </c>
      <c r="B56" s="26" t="s">
        <v>495</v>
      </c>
      <c r="C56" s="26" t="s">
        <v>85</v>
      </c>
      <c r="D56" s="30">
        <v>400</v>
      </c>
      <c r="E56" s="28">
        <v>399.43720000000002</v>
      </c>
      <c r="F56" s="29">
        <v>0.119483189504297</v>
      </c>
    </row>
    <row r="57" spans="1:9" x14ac:dyDescent="0.2">
      <c r="A57" s="26" t="s">
        <v>591</v>
      </c>
      <c r="B57" s="26" t="s">
        <v>590</v>
      </c>
      <c r="C57" s="26" t="s">
        <v>166</v>
      </c>
      <c r="D57" s="30">
        <v>3</v>
      </c>
      <c r="E57" s="28">
        <v>308.04419999999999</v>
      </c>
      <c r="F57" s="29">
        <v>9.2144906694468107E-2</v>
      </c>
    </row>
    <row r="58" spans="1:9" ht="10.5" x14ac:dyDescent="0.25">
      <c r="A58" s="25" t="s">
        <v>167</v>
      </c>
      <c r="B58" s="25"/>
      <c r="C58" s="25"/>
      <c r="D58" s="31"/>
      <c r="E58" s="32">
        <f>SUM(E6:E57)</f>
        <v>276317.78653999994</v>
      </c>
      <c r="F58" s="33">
        <f>SUM(F6:F57)</f>
        <v>82.654621183421909</v>
      </c>
      <c r="G58" s="17"/>
      <c r="H58" s="17"/>
      <c r="I58" s="17"/>
    </row>
    <row r="59" spans="1:9" x14ac:dyDescent="0.2">
      <c r="A59" s="26"/>
      <c r="B59" s="26"/>
      <c r="C59" s="26"/>
      <c r="D59" s="27"/>
      <c r="E59" s="28"/>
      <c r="F59" s="29"/>
    </row>
    <row r="60" spans="1:9" ht="10.5" x14ac:dyDescent="0.25">
      <c r="A60" s="25" t="s">
        <v>168</v>
      </c>
      <c r="B60" s="26"/>
      <c r="C60" s="26"/>
      <c r="D60" s="27"/>
      <c r="E60" s="28"/>
      <c r="F60" s="29"/>
    </row>
    <row r="61" spans="1:9" x14ac:dyDescent="0.2">
      <c r="A61" s="26" t="s">
        <v>341</v>
      </c>
      <c r="B61" s="26" t="s">
        <v>1568</v>
      </c>
      <c r="C61" s="26" t="s">
        <v>243</v>
      </c>
      <c r="D61" s="30">
        <v>230</v>
      </c>
      <c r="E61" s="28">
        <v>23281.06</v>
      </c>
      <c r="F61" s="29">
        <v>6.9640366591817404</v>
      </c>
    </row>
    <row r="62" spans="1:9" x14ac:dyDescent="0.2">
      <c r="A62" s="26" t="s">
        <v>592</v>
      </c>
      <c r="B62" s="26" t="s">
        <v>344</v>
      </c>
      <c r="C62" s="26" t="s">
        <v>286</v>
      </c>
      <c r="D62" s="30">
        <v>1250</v>
      </c>
      <c r="E62" s="28">
        <v>11040.387500000001</v>
      </c>
      <c r="F62" s="29">
        <v>3.3024983949000601</v>
      </c>
    </row>
    <row r="63" spans="1:9" x14ac:dyDescent="0.2">
      <c r="A63" s="26" t="s">
        <v>569</v>
      </c>
      <c r="B63" s="26" t="s">
        <v>568</v>
      </c>
      <c r="C63" s="26" t="s">
        <v>570</v>
      </c>
      <c r="D63" s="30">
        <v>1000</v>
      </c>
      <c r="E63" s="28">
        <v>7678.3734000000004</v>
      </c>
      <c r="F63" s="29">
        <v>2.2968229900393702</v>
      </c>
    </row>
    <row r="64" spans="1:9" x14ac:dyDescent="0.2">
      <c r="A64" s="26" t="s">
        <v>364</v>
      </c>
      <c r="B64" s="26" t="s">
        <v>363</v>
      </c>
      <c r="C64" s="26" t="s">
        <v>351</v>
      </c>
      <c r="D64" s="30">
        <v>580</v>
      </c>
      <c r="E64" s="28">
        <v>5259.5379970000004</v>
      </c>
      <c r="F64" s="29">
        <v>1.5732795423175501</v>
      </c>
    </row>
    <row r="65" spans="1:9" x14ac:dyDescent="0.2">
      <c r="A65" s="26" t="s">
        <v>360</v>
      </c>
      <c r="B65" s="26" t="s">
        <v>359</v>
      </c>
      <c r="C65" s="26" t="s">
        <v>286</v>
      </c>
      <c r="D65" s="30">
        <v>550</v>
      </c>
      <c r="E65" s="28">
        <v>4848.1454999999996</v>
      </c>
      <c r="F65" s="29">
        <v>1.45022017859354</v>
      </c>
    </row>
    <row r="66" spans="1:9" x14ac:dyDescent="0.2">
      <c r="A66" s="26" t="s">
        <v>378</v>
      </c>
      <c r="B66" s="26" t="s">
        <v>377</v>
      </c>
      <c r="C66" s="26" t="s">
        <v>351</v>
      </c>
      <c r="D66" s="30">
        <v>200</v>
      </c>
      <c r="E66" s="28">
        <v>2019.5820000000001</v>
      </c>
      <c r="F66" s="29">
        <v>0.604115237202412</v>
      </c>
    </row>
    <row r="67" spans="1:9" x14ac:dyDescent="0.2">
      <c r="A67" s="26" t="s">
        <v>343</v>
      </c>
      <c r="B67" s="26" t="s">
        <v>342</v>
      </c>
      <c r="C67" s="26" t="s">
        <v>88</v>
      </c>
      <c r="D67" s="30">
        <v>200</v>
      </c>
      <c r="E67" s="28">
        <v>1878.85</v>
      </c>
      <c r="F67" s="29">
        <v>0.56201823615864699</v>
      </c>
    </row>
    <row r="68" spans="1:9" x14ac:dyDescent="0.2">
      <c r="A68" s="26" t="s">
        <v>376</v>
      </c>
      <c r="B68" s="26" t="s">
        <v>375</v>
      </c>
      <c r="C68" s="26" t="s">
        <v>351</v>
      </c>
      <c r="D68" s="30">
        <v>130</v>
      </c>
      <c r="E68" s="28">
        <v>1154.8235500000001</v>
      </c>
      <c r="F68" s="29">
        <v>0.34544103821245298</v>
      </c>
    </row>
    <row r="69" spans="1:9" x14ac:dyDescent="0.2">
      <c r="A69" s="26" t="s">
        <v>370</v>
      </c>
      <c r="B69" s="26" t="s">
        <v>369</v>
      </c>
      <c r="C69" s="26" t="s">
        <v>356</v>
      </c>
      <c r="D69" s="30">
        <v>150</v>
      </c>
      <c r="E69" s="28">
        <v>1125</v>
      </c>
      <c r="F69" s="29">
        <v>0.336519954056193</v>
      </c>
    </row>
    <row r="70" spans="1:9" x14ac:dyDescent="0.2">
      <c r="A70" s="26" t="s">
        <v>567</v>
      </c>
      <c r="B70" s="26" t="s">
        <v>566</v>
      </c>
      <c r="C70" s="26" t="s">
        <v>348</v>
      </c>
      <c r="D70" s="30">
        <v>110</v>
      </c>
      <c r="E70" s="28">
        <v>1087.5864999999999</v>
      </c>
      <c r="F70" s="29">
        <v>0.32532849689967602</v>
      </c>
    </row>
    <row r="71" spans="1:9" x14ac:dyDescent="0.2">
      <c r="A71" s="26" t="s">
        <v>347</v>
      </c>
      <c r="B71" s="26" t="s">
        <v>346</v>
      </c>
      <c r="C71" s="26" t="s">
        <v>348</v>
      </c>
      <c r="D71" s="30">
        <v>50</v>
      </c>
      <c r="E71" s="28">
        <v>494.98099999999999</v>
      </c>
      <c r="F71" s="29">
        <v>0.14806309633661199</v>
      </c>
    </row>
    <row r="72" spans="1:9" x14ac:dyDescent="0.2">
      <c r="A72" s="26" t="s">
        <v>380</v>
      </c>
      <c r="B72" s="26" t="s">
        <v>379</v>
      </c>
      <c r="C72" s="26" t="s">
        <v>381</v>
      </c>
      <c r="D72" s="30">
        <v>979</v>
      </c>
      <c r="E72" s="28">
        <v>319.4477</v>
      </c>
      <c r="F72" s="29">
        <v>9.5556022513205705E-2</v>
      </c>
    </row>
    <row r="73" spans="1:9" x14ac:dyDescent="0.2">
      <c r="A73" s="26" t="s">
        <v>517</v>
      </c>
      <c r="B73" s="26" t="s">
        <v>516</v>
      </c>
      <c r="C73" s="26" t="s">
        <v>381</v>
      </c>
      <c r="D73" s="30">
        <v>855</v>
      </c>
      <c r="E73" s="28">
        <v>276.16500000000002</v>
      </c>
      <c r="F73" s="29">
        <v>8.26089183217142E-2</v>
      </c>
    </row>
    <row r="74" spans="1:9" x14ac:dyDescent="0.2">
      <c r="A74" s="26" t="s">
        <v>572</v>
      </c>
      <c r="B74" s="26" t="s">
        <v>571</v>
      </c>
      <c r="C74" s="26" t="s">
        <v>573</v>
      </c>
      <c r="D74" s="30">
        <v>422</v>
      </c>
      <c r="E74" s="28">
        <v>250.08133889999999</v>
      </c>
      <c r="F74" s="29">
        <v>7.4806542823945901E-2</v>
      </c>
    </row>
    <row r="75" spans="1:9" x14ac:dyDescent="0.2">
      <c r="A75" s="26" t="s">
        <v>383</v>
      </c>
      <c r="B75" s="26" t="s">
        <v>382</v>
      </c>
      <c r="C75" s="26" t="s">
        <v>381</v>
      </c>
      <c r="D75" s="30">
        <v>641</v>
      </c>
      <c r="E75" s="28">
        <v>207.04300000000001</v>
      </c>
      <c r="F75" s="29">
        <v>6.1932534086805602E-2</v>
      </c>
    </row>
    <row r="76" spans="1:9" x14ac:dyDescent="0.2">
      <c r="A76" s="26" t="s">
        <v>393</v>
      </c>
      <c r="B76" s="26" t="s">
        <v>1578</v>
      </c>
      <c r="C76" s="26" t="s">
        <v>356</v>
      </c>
      <c r="D76" s="30">
        <v>320</v>
      </c>
      <c r="E76" s="28">
        <v>0</v>
      </c>
      <c r="F76" s="29">
        <v>0</v>
      </c>
    </row>
    <row r="77" spans="1:9" x14ac:dyDescent="0.2">
      <c r="A77" s="26" t="s">
        <v>593</v>
      </c>
      <c r="B77" s="26" t="s">
        <v>1583</v>
      </c>
      <c r="C77" s="26" t="s">
        <v>356</v>
      </c>
      <c r="D77" s="30">
        <v>750</v>
      </c>
      <c r="E77" s="28">
        <v>0</v>
      </c>
      <c r="F77" s="29">
        <v>0</v>
      </c>
    </row>
    <row r="78" spans="1:9" x14ac:dyDescent="0.2">
      <c r="A78" s="26" t="s">
        <v>574</v>
      </c>
      <c r="B78" s="26" t="s">
        <v>1582</v>
      </c>
      <c r="C78" s="26" t="s">
        <v>356</v>
      </c>
      <c r="D78" s="30">
        <v>370</v>
      </c>
      <c r="E78" s="28">
        <v>0</v>
      </c>
      <c r="F78" s="29">
        <v>0</v>
      </c>
    </row>
    <row r="79" spans="1:9" ht="10.5" x14ac:dyDescent="0.25">
      <c r="A79" s="25" t="s">
        <v>167</v>
      </c>
      <c r="B79" s="25"/>
      <c r="C79" s="25"/>
      <c r="D79" s="31"/>
      <c r="E79" s="32">
        <f>SUM(E60:E78)</f>
        <v>60921.064485900002</v>
      </c>
      <c r="F79" s="33">
        <f>SUM(F60:F78)</f>
        <v>18.223247841643921</v>
      </c>
      <c r="G79" s="17"/>
      <c r="H79" s="17"/>
      <c r="I79" s="17"/>
    </row>
    <row r="80" spans="1:9" x14ac:dyDescent="0.2">
      <c r="A80" s="26"/>
      <c r="B80" s="26"/>
      <c r="C80" s="26"/>
      <c r="D80" s="27"/>
      <c r="E80" s="28"/>
      <c r="F80" s="29"/>
    </row>
    <row r="81" spans="1:9" ht="10.5" x14ac:dyDescent="0.25">
      <c r="A81" s="25" t="s">
        <v>205</v>
      </c>
      <c r="B81" s="25"/>
      <c r="C81" s="25"/>
      <c r="D81" s="31"/>
      <c r="E81" s="32">
        <f>E58+E79</f>
        <v>337238.85102589993</v>
      </c>
      <c r="F81" s="33">
        <f>F58+F79</f>
        <v>100.87786902506583</v>
      </c>
      <c r="G81" s="17"/>
      <c r="H81" s="17"/>
      <c r="I81" s="17"/>
    </row>
    <row r="82" spans="1:9" ht="10.5" x14ac:dyDescent="0.25">
      <c r="A82" s="25"/>
      <c r="B82" s="25"/>
      <c r="C82" s="25"/>
      <c r="D82" s="31"/>
      <c r="E82" s="32"/>
      <c r="F82" s="33"/>
      <c r="G82" s="17"/>
      <c r="H82" s="17"/>
      <c r="I82" s="17"/>
    </row>
    <row r="83" spans="1:9" ht="10.5" x14ac:dyDescent="0.25">
      <c r="A83" s="25" t="s">
        <v>207</v>
      </c>
      <c r="B83" s="25"/>
      <c r="C83" s="25"/>
      <c r="D83" s="31"/>
      <c r="E83" s="32">
        <f>E85-(E58+E79)</f>
        <v>-2934.7521336999489</v>
      </c>
      <c r="F83" s="33">
        <f>F85-(F58+F79)</f>
        <v>-0.87786902506583431</v>
      </c>
      <c r="G83" s="17"/>
      <c r="H83" s="17"/>
      <c r="I83" s="17"/>
    </row>
    <row r="84" spans="1:9" ht="10.5" x14ac:dyDescent="0.25">
      <c r="A84" s="25"/>
      <c r="B84" s="25"/>
      <c r="C84" s="25"/>
      <c r="D84" s="31"/>
      <c r="E84" s="32"/>
      <c r="F84" s="33"/>
      <c r="G84" s="17"/>
      <c r="H84" s="17"/>
      <c r="I84" s="17"/>
    </row>
    <row r="85" spans="1:9" ht="10.5" x14ac:dyDescent="0.25">
      <c r="A85" s="34" t="s">
        <v>206</v>
      </c>
      <c r="B85" s="34"/>
      <c r="C85" s="34"/>
      <c r="D85" s="35"/>
      <c r="E85" s="36">
        <v>334304.09889219998</v>
      </c>
      <c r="F85" s="37">
        <v>100</v>
      </c>
      <c r="G85" s="17"/>
      <c r="H85" s="17"/>
      <c r="I85" s="17"/>
    </row>
    <row r="86" spans="1:9" ht="10.5" x14ac:dyDescent="0.25">
      <c r="A86" s="84" t="s">
        <v>209</v>
      </c>
      <c r="F86" s="19" t="s">
        <v>394</v>
      </c>
    </row>
    <row r="87" spans="1:9" ht="10.5" x14ac:dyDescent="0.25">
      <c r="A87" s="84" t="s">
        <v>1557</v>
      </c>
    </row>
    <row r="88" spans="1:9" s="78" customFormat="1" ht="10.5" x14ac:dyDescent="0.25">
      <c r="A88" s="84" t="s">
        <v>1548</v>
      </c>
      <c r="D88" s="79"/>
      <c r="E88" s="82"/>
      <c r="F88" s="83"/>
    </row>
    <row r="90" spans="1:9" ht="10.5" x14ac:dyDescent="0.25">
      <c r="A90" s="17" t="s">
        <v>210</v>
      </c>
    </row>
    <row r="91" spans="1:9" ht="10.5" x14ac:dyDescent="0.25">
      <c r="A91" s="17" t="s">
        <v>211</v>
      </c>
    </row>
    <row r="92" spans="1:9" ht="10.5" x14ac:dyDescent="0.25">
      <c r="A92" s="17" t="s">
        <v>212</v>
      </c>
      <c r="B92" s="17"/>
      <c r="C92" s="38" t="s">
        <v>214</v>
      </c>
      <c r="D92" s="18" t="s">
        <v>213</v>
      </c>
    </row>
    <row r="93" spans="1:9" x14ac:dyDescent="0.2">
      <c r="A93" s="10" t="s">
        <v>486</v>
      </c>
      <c r="C93" s="39">
        <v>19.188300000000002</v>
      </c>
      <c r="D93" s="39">
        <v>18.295999999999999</v>
      </c>
    </row>
    <row r="94" spans="1:9" x14ac:dyDescent="0.2">
      <c r="A94" s="10" t="s">
        <v>520</v>
      </c>
      <c r="C94" s="39">
        <v>10.2898</v>
      </c>
      <c r="D94" s="39">
        <v>9.8112999999999992</v>
      </c>
    </row>
    <row r="95" spans="1:9" x14ac:dyDescent="0.2">
      <c r="A95" s="10" t="s">
        <v>489</v>
      </c>
      <c r="C95" s="39">
        <v>20.303699999999999</v>
      </c>
      <c r="D95" s="39">
        <v>19.418199999999999</v>
      </c>
    </row>
    <row r="96" spans="1:9" x14ac:dyDescent="0.2">
      <c r="A96" s="10" t="s">
        <v>521</v>
      </c>
      <c r="C96" s="39">
        <v>11.126799999999999</v>
      </c>
      <c r="D96" s="39">
        <v>10.6419</v>
      </c>
    </row>
    <row r="98" spans="1:6" ht="10.5" x14ac:dyDescent="0.25">
      <c r="A98" s="17" t="s">
        <v>226</v>
      </c>
      <c r="D98" s="40" t="s">
        <v>227</v>
      </c>
    </row>
    <row r="100" spans="1:6" ht="10.5" x14ac:dyDescent="0.25">
      <c r="A100" s="17" t="s">
        <v>228</v>
      </c>
      <c r="D100" s="41">
        <v>2.7742462694246584</v>
      </c>
      <c r="E100" s="15" t="s">
        <v>229</v>
      </c>
    </row>
    <row r="101" spans="1:6" ht="46" customHeight="1" x14ac:dyDescent="0.2">
      <c r="A101" s="139" t="s">
        <v>1596</v>
      </c>
      <c r="B101" s="140"/>
      <c r="C101" s="140"/>
      <c r="D101" s="140"/>
      <c r="E101" s="140"/>
    </row>
    <row r="102" spans="1:6" s="78" customFormat="1" ht="14.5" x14ac:dyDescent="0.2">
      <c r="A102" s="137"/>
      <c r="B102" s="138"/>
      <c r="C102" s="138"/>
      <c r="D102" s="138"/>
      <c r="E102" s="138"/>
      <c r="F102" s="83"/>
    </row>
    <row r="103" spans="1:6" ht="10.5" x14ac:dyDescent="0.25">
      <c r="A103" s="17" t="s">
        <v>230</v>
      </c>
      <c r="D103" s="103" t="s">
        <v>227</v>
      </c>
    </row>
    <row r="104" spans="1:6" s="78" customFormat="1" x14ac:dyDescent="0.2">
      <c r="A104" s="78" t="s">
        <v>231</v>
      </c>
      <c r="D104" s="79"/>
      <c r="E104" s="82"/>
      <c r="F104" s="83"/>
    </row>
    <row r="105" spans="1:6" s="78" customFormat="1" ht="14.5" x14ac:dyDescent="0.35">
      <c r="A105" s="102" t="s">
        <v>1558</v>
      </c>
      <c r="D105" s="79"/>
      <c r="E105" s="82"/>
      <c r="F105" s="83"/>
    </row>
    <row r="106" spans="1:6" s="78" customFormat="1" ht="14.5" x14ac:dyDescent="0.35">
      <c r="A106" s="102"/>
      <c r="D106" s="79"/>
      <c r="E106" s="82"/>
      <c r="F106" s="83"/>
    </row>
    <row r="107" spans="1:6" s="78" customFormat="1" ht="10.5" x14ac:dyDescent="0.25">
      <c r="A107" s="84" t="s">
        <v>1559</v>
      </c>
      <c r="D107" s="79"/>
      <c r="E107" s="82"/>
      <c r="F107" s="83"/>
    </row>
    <row r="108" spans="1:6" s="78" customFormat="1" ht="14.5" x14ac:dyDescent="0.35">
      <c r="A108" s="115" t="s">
        <v>1560</v>
      </c>
      <c r="D108" s="79"/>
      <c r="E108" s="82"/>
      <c r="F108" s="83"/>
    </row>
    <row r="109" spans="1:6" s="78" customFormat="1" ht="14.5" x14ac:dyDescent="0.35">
      <c r="A109" s="102"/>
      <c r="D109" s="79"/>
      <c r="E109" s="82"/>
      <c r="F109" s="83"/>
    </row>
    <row r="110" spans="1:6" s="78" customFormat="1" ht="42" customHeight="1" x14ac:dyDescent="0.2">
      <c r="A110" s="150" t="s">
        <v>1592</v>
      </c>
      <c r="B110" s="150"/>
      <c r="C110" s="150"/>
      <c r="D110" s="150"/>
      <c r="E110" s="150"/>
      <c r="F110" s="150"/>
    </row>
    <row r="111" spans="1:6" s="78" customFormat="1" ht="19" customHeight="1" x14ac:dyDescent="0.2">
      <c r="A111" s="136" t="s">
        <v>1595</v>
      </c>
      <c r="B111" s="134"/>
      <c r="C111" s="134"/>
      <c r="D111" s="134"/>
      <c r="E111" s="134"/>
      <c r="F111" s="134"/>
    </row>
    <row r="112" spans="1:6" s="78" customFormat="1" ht="14.5" x14ac:dyDescent="0.35">
      <c r="A112" s="102"/>
      <c r="D112" s="79"/>
      <c r="E112" s="82"/>
      <c r="F112" s="83"/>
    </row>
    <row r="113" spans="1:9" ht="30" customHeight="1" x14ac:dyDescent="0.2">
      <c r="A113" s="149" t="s">
        <v>1593</v>
      </c>
      <c r="B113" s="149"/>
      <c r="C113" s="149"/>
      <c r="D113" s="149"/>
      <c r="E113" s="149"/>
      <c r="F113" s="149"/>
    </row>
    <row r="116" spans="1:9" s="1" customFormat="1" ht="14" x14ac:dyDescent="0.25">
      <c r="A116" s="143" t="s">
        <v>594</v>
      </c>
      <c r="B116" s="144"/>
      <c r="C116" s="144"/>
      <c r="D116" s="144"/>
      <c r="E116" s="144"/>
      <c r="F116" s="144"/>
    </row>
    <row r="117" spans="1:9" ht="10.5" x14ac:dyDescent="0.25">
      <c r="A117" s="17" t="s">
        <v>6</v>
      </c>
    </row>
    <row r="118" spans="1:9" s="1" customFormat="1" ht="17.5" customHeight="1" x14ac:dyDescent="0.25">
      <c r="A118" s="8" t="s">
        <v>2</v>
      </c>
      <c r="B118" s="8" t="s">
        <v>0</v>
      </c>
      <c r="C118" s="8" t="s">
        <v>208</v>
      </c>
      <c r="D118" s="13" t="s">
        <v>1</v>
      </c>
      <c r="E118" s="77" t="s">
        <v>3</v>
      </c>
      <c r="F118" s="77" t="s">
        <v>4</v>
      </c>
    </row>
    <row r="119" spans="1:9" ht="10.5" x14ac:dyDescent="0.25">
      <c r="A119" s="20" t="s">
        <v>69</v>
      </c>
      <c r="B119" s="21"/>
      <c r="C119" s="21"/>
      <c r="D119" s="22"/>
      <c r="E119" s="87"/>
      <c r="F119" s="88"/>
    </row>
    <row r="120" spans="1:9" ht="10.5" x14ac:dyDescent="0.25">
      <c r="A120" s="25" t="s">
        <v>70</v>
      </c>
      <c r="B120" s="26"/>
      <c r="C120" s="26"/>
      <c r="D120" s="27"/>
      <c r="E120" s="91"/>
      <c r="F120" s="92"/>
    </row>
    <row r="121" spans="1:9" x14ac:dyDescent="0.2">
      <c r="A121" s="26" t="s">
        <v>407</v>
      </c>
      <c r="B121" s="26" t="s">
        <v>406</v>
      </c>
      <c r="C121" s="26" t="s">
        <v>408</v>
      </c>
      <c r="D121" s="30">
        <v>3370</v>
      </c>
      <c r="E121" s="91">
        <v>0</v>
      </c>
      <c r="F121" s="111">
        <v>100</v>
      </c>
    </row>
    <row r="122" spans="1:9" ht="10.5" x14ac:dyDescent="0.25">
      <c r="A122" s="25" t="s">
        <v>167</v>
      </c>
      <c r="B122" s="25"/>
      <c r="C122" s="25"/>
      <c r="D122" s="31"/>
      <c r="E122" s="95">
        <f>SUM(E120:E121)</f>
        <v>0</v>
      </c>
      <c r="F122" s="110">
        <f>SUM(F120:F121)</f>
        <v>100</v>
      </c>
      <c r="G122" s="17"/>
      <c r="H122" s="17"/>
      <c r="I122" s="17"/>
    </row>
    <row r="123" spans="1:9" x14ac:dyDescent="0.2">
      <c r="A123" s="26"/>
      <c r="B123" s="26"/>
      <c r="C123" s="26"/>
      <c r="D123" s="27"/>
      <c r="E123" s="91"/>
      <c r="F123" s="107"/>
    </row>
    <row r="124" spans="1:9" ht="10.5" x14ac:dyDescent="0.25">
      <c r="A124" s="25" t="s">
        <v>205</v>
      </c>
      <c r="B124" s="25"/>
      <c r="C124" s="25"/>
      <c r="D124" s="31"/>
      <c r="E124" s="95">
        <f>E122</f>
        <v>0</v>
      </c>
      <c r="F124" s="110">
        <f>F122</f>
        <v>100</v>
      </c>
      <c r="G124" s="17"/>
      <c r="H124" s="17"/>
      <c r="I124" s="17"/>
    </row>
    <row r="125" spans="1:9" ht="10.5" x14ac:dyDescent="0.25">
      <c r="A125" s="25"/>
      <c r="B125" s="25"/>
      <c r="C125" s="25"/>
      <c r="D125" s="31"/>
      <c r="E125" s="95"/>
      <c r="F125" s="110"/>
      <c r="G125" s="17"/>
      <c r="H125" s="17"/>
      <c r="I125" s="17"/>
    </row>
    <row r="126" spans="1:9" ht="10.5" x14ac:dyDescent="0.25">
      <c r="A126" s="25" t="s">
        <v>207</v>
      </c>
      <c r="B126" s="25"/>
      <c r="C126" s="25"/>
      <c r="D126" s="31"/>
      <c r="E126" s="95">
        <f>E128-(E122)</f>
        <v>0</v>
      </c>
      <c r="F126" s="96">
        <v>0</v>
      </c>
      <c r="G126" s="17"/>
      <c r="H126" s="17"/>
      <c r="I126" s="17"/>
    </row>
    <row r="127" spans="1:9" ht="10.5" x14ac:dyDescent="0.25">
      <c r="A127" s="25"/>
      <c r="B127" s="25"/>
      <c r="C127" s="25"/>
      <c r="D127" s="31"/>
      <c r="E127" s="95"/>
      <c r="F127" s="110"/>
      <c r="G127" s="17"/>
      <c r="H127" s="17"/>
      <c r="I127" s="17"/>
    </row>
    <row r="128" spans="1:9" ht="10.5" x14ac:dyDescent="0.25">
      <c r="A128" s="34" t="s">
        <v>206</v>
      </c>
      <c r="B128" s="34"/>
      <c r="C128" s="34"/>
      <c r="D128" s="35"/>
      <c r="E128" s="98">
        <v>0</v>
      </c>
      <c r="F128" s="113">
        <v>100</v>
      </c>
      <c r="G128" s="17"/>
      <c r="H128" s="17"/>
      <c r="I128" s="17"/>
    </row>
    <row r="129" spans="1:6" ht="10.5" x14ac:dyDescent="0.25">
      <c r="A129" s="116" t="s">
        <v>209</v>
      </c>
      <c r="F129" s="19"/>
    </row>
    <row r="130" spans="1:6" ht="10.5" x14ac:dyDescent="0.25">
      <c r="A130" s="116" t="s">
        <v>1557</v>
      </c>
    </row>
    <row r="131" spans="1:6" ht="10.5" x14ac:dyDescent="0.25">
      <c r="A131" s="117" t="s">
        <v>1548</v>
      </c>
    </row>
    <row r="132" spans="1:6" s="78" customFormat="1" ht="10.5" x14ac:dyDescent="0.25">
      <c r="A132" s="117"/>
      <c r="D132" s="79"/>
      <c r="E132" s="82"/>
      <c r="F132" s="83"/>
    </row>
    <row r="133" spans="1:6" ht="10.5" x14ac:dyDescent="0.25">
      <c r="A133" s="17" t="s">
        <v>210</v>
      </c>
    </row>
    <row r="134" spans="1:6" ht="10.5" x14ac:dyDescent="0.25">
      <c r="A134" s="17" t="s">
        <v>211</v>
      </c>
    </row>
    <row r="135" spans="1:6" ht="10.5" x14ac:dyDescent="0.25">
      <c r="A135" s="17" t="s">
        <v>212</v>
      </c>
      <c r="B135" s="17"/>
      <c r="C135" s="38" t="s">
        <v>214</v>
      </c>
      <c r="D135" s="18" t="s">
        <v>213</v>
      </c>
    </row>
    <row r="136" spans="1:6" x14ac:dyDescent="0.2">
      <c r="A136" s="10" t="s">
        <v>486</v>
      </c>
      <c r="C136" s="39">
        <v>0</v>
      </c>
      <c r="D136" s="39">
        <v>0</v>
      </c>
    </row>
    <row r="137" spans="1:6" x14ac:dyDescent="0.2">
      <c r="A137" s="10" t="s">
        <v>520</v>
      </c>
      <c r="C137" s="39">
        <v>0</v>
      </c>
      <c r="D137" s="39">
        <v>0</v>
      </c>
    </row>
    <row r="138" spans="1:6" x14ac:dyDescent="0.2">
      <c r="A138" s="10" t="s">
        <v>489</v>
      </c>
      <c r="C138" s="39">
        <v>0</v>
      </c>
      <c r="D138" s="39">
        <v>0</v>
      </c>
    </row>
    <row r="139" spans="1:6" x14ac:dyDescent="0.2">
      <c r="A139" s="10" t="s">
        <v>521</v>
      </c>
      <c r="C139" s="39">
        <v>0</v>
      </c>
      <c r="D139" s="39">
        <v>0</v>
      </c>
    </row>
    <row r="141" spans="1:6" s="78" customFormat="1" x14ac:dyDescent="0.2">
      <c r="D141" s="79"/>
      <c r="E141" s="82"/>
      <c r="F141" s="83"/>
    </row>
    <row r="142" spans="1:6" s="78" customFormat="1" ht="10.5" x14ac:dyDescent="0.25">
      <c r="A142" s="84" t="s">
        <v>1561</v>
      </c>
      <c r="D142" s="103" t="s">
        <v>227</v>
      </c>
      <c r="E142" s="82"/>
      <c r="F142" s="83"/>
    </row>
    <row r="143" spans="1:6" s="78" customFormat="1" x14ac:dyDescent="0.2">
      <c r="A143" s="78" t="s">
        <v>231</v>
      </c>
      <c r="D143" s="79"/>
      <c r="E143" s="82"/>
      <c r="F143" s="83"/>
    </row>
    <row r="144" spans="1:6" s="78" customFormat="1" ht="14.5" x14ac:dyDescent="0.35">
      <c r="A144" s="102" t="s">
        <v>1558</v>
      </c>
      <c r="D144" s="79"/>
      <c r="E144" s="82"/>
      <c r="F144" s="83"/>
    </row>
    <row r="145" spans="1:9" s="78" customFormat="1" x14ac:dyDescent="0.2">
      <c r="D145" s="79"/>
      <c r="E145" s="82"/>
      <c r="F145" s="83"/>
    </row>
    <row r="147" spans="1:9" s="1" customFormat="1" ht="14" x14ac:dyDescent="0.25">
      <c r="A147" s="143" t="s">
        <v>595</v>
      </c>
      <c r="B147" s="144"/>
      <c r="C147" s="144"/>
      <c r="D147" s="144"/>
      <c r="E147" s="144"/>
      <c r="F147" s="144"/>
    </row>
    <row r="148" spans="1:9" ht="10.5" x14ac:dyDescent="0.25">
      <c r="A148" s="17" t="s">
        <v>6</v>
      </c>
    </row>
    <row r="149" spans="1:9" s="1" customFormat="1" ht="17.5" customHeight="1" x14ac:dyDescent="0.25">
      <c r="A149" s="8" t="s">
        <v>2</v>
      </c>
      <c r="B149" s="8" t="s">
        <v>0</v>
      </c>
      <c r="C149" s="8" t="s">
        <v>208</v>
      </c>
      <c r="D149" s="106" t="s">
        <v>1</v>
      </c>
      <c r="E149" s="77" t="s">
        <v>3</v>
      </c>
      <c r="F149" s="77" t="s">
        <v>4</v>
      </c>
    </row>
    <row r="150" spans="1:9" ht="10.5" x14ac:dyDescent="0.25">
      <c r="A150" s="20" t="s">
        <v>69</v>
      </c>
      <c r="B150" s="21"/>
      <c r="C150" s="21"/>
      <c r="D150" s="86"/>
      <c r="E150" s="87"/>
      <c r="F150" s="88"/>
    </row>
    <row r="151" spans="1:9" ht="10.5" x14ac:dyDescent="0.25">
      <c r="A151" s="25" t="s">
        <v>70</v>
      </c>
      <c r="B151" s="26"/>
      <c r="C151" s="26"/>
      <c r="D151" s="90"/>
      <c r="E151" s="91"/>
      <c r="F151" s="92"/>
    </row>
    <row r="152" spans="1:9" x14ac:dyDescent="0.2">
      <c r="A152" s="26" t="s">
        <v>411</v>
      </c>
      <c r="B152" s="26" t="s">
        <v>410</v>
      </c>
      <c r="C152" s="26" t="s">
        <v>412</v>
      </c>
      <c r="D152" s="93">
        <v>1695</v>
      </c>
      <c r="E152" s="91">
        <v>0</v>
      </c>
      <c r="F152" s="111">
        <v>100</v>
      </c>
    </row>
    <row r="153" spans="1:9" ht="10.5" x14ac:dyDescent="0.25">
      <c r="A153" s="25" t="s">
        <v>167</v>
      </c>
      <c r="B153" s="25"/>
      <c r="C153" s="25"/>
      <c r="D153" s="94"/>
      <c r="E153" s="95">
        <f>SUM(E151:E152)</f>
        <v>0</v>
      </c>
      <c r="F153" s="110">
        <f>SUM(F151:F152)</f>
        <v>100</v>
      </c>
      <c r="G153" s="17"/>
      <c r="H153" s="17"/>
      <c r="I153" s="17"/>
    </row>
    <row r="154" spans="1:9" x14ac:dyDescent="0.2">
      <c r="A154" s="26"/>
      <c r="B154" s="26"/>
      <c r="C154" s="26"/>
      <c r="D154" s="90"/>
      <c r="E154" s="91"/>
      <c r="F154" s="107"/>
    </row>
    <row r="155" spans="1:9" ht="10.5" x14ac:dyDescent="0.25">
      <c r="A155" s="25" t="s">
        <v>205</v>
      </c>
      <c r="B155" s="25"/>
      <c r="C155" s="25"/>
      <c r="D155" s="94"/>
      <c r="E155" s="95">
        <f>E153</f>
        <v>0</v>
      </c>
      <c r="F155" s="110">
        <f>F153</f>
        <v>100</v>
      </c>
      <c r="G155" s="17"/>
      <c r="H155" s="17"/>
      <c r="I155" s="17"/>
    </row>
    <row r="156" spans="1:9" ht="10.5" x14ac:dyDescent="0.25">
      <c r="A156" s="25"/>
      <c r="B156" s="25"/>
      <c r="C156" s="25"/>
      <c r="D156" s="94"/>
      <c r="E156" s="95"/>
      <c r="F156" s="110"/>
      <c r="G156" s="17"/>
      <c r="H156" s="17"/>
      <c r="I156" s="17"/>
    </row>
    <row r="157" spans="1:9" ht="10.5" x14ac:dyDescent="0.25">
      <c r="A157" s="25" t="s">
        <v>207</v>
      </c>
      <c r="B157" s="25"/>
      <c r="C157" s="25"/>
      <c r="D157" s="94"/>
      <c r="E157" s="95">
        <f>E159-(E153)</f>
        <v>0</v>
      </c>
      <c r="F157" s="96">
        <v>0</v>
      </c>
      <c r="G157" s="17"/>
      <c r="H157" s="17"/>
      <c r="I157" s="17"/>
    </row>
    <row r="158" spans="1:9" ht="10.5" x14ac:dyDescent="0.25">
      <c r="A158" s="25"/>
      <c r="B158" s="25"/>
      <c r="C158" s="25"/>
      <c r="D158" s="94"/>
      <c r="E158" s="95"/>
      <c r="F158" s="110"/>
      <c r="G158" s="17"/>
      <c r="H158" s="17"/>
      <c r="I158" s="17"/>
    </row>
    <row r="159" spans="1:9" ht="10.5" x14ac:dyDescent="0.25">
      <c r="A159" s="34" t="s">
        <v>206</v>
      </c>
      <c r="B159" s="34"/>
      <c r="C159" s="34"/>
      <c r="D159" s="97"/>
      <c r="E159" s="98">
        <v>0</v>
      </c>
      <c r="F159" s="113">
        <v>100</v>
      </c>
      <c r="G159" s="17"/>
      <c r="H159" s="17"/>
      <c r="I159" s="17"/>
    </row>
    <row r="160" spans="1:9" ht="10.5" x14ac:dyDescent="0.25">
      <c r="A160" s="84" t="s">
        <v>209</v>
      </c>
      <c r="D160" s="79"/>
      <c r="E160" s="82"/>
      <c r="F160" s="85"/>
    </row>
    <row r="161" spans="1:6" ht="10.5" x14ac:dyDescent="0.25">
      <c r="A161" s="116" t="s">
        <v>1557</v>
      </c>
    </row>
    <row r="162" spans="1:6" s="78" customFormat="1" ht="10.5" x14ac:dyDescent="0.25">
      <c r="A162" s="84"/>
      <c r="D162" s="79"/>
      <c r="E162" s="82"/>
      <c r="F162" s="83"/>
    </row>
    <row r="164" spans="1:6" ht="10.5" x14ac:dyDescent="0.25">
      <c r="A164" s="17" t="s">
        <v>210</v>
      </c>
    </row>
    <row r="165" spans="1:6" ht="10.5" x14ac:dyDescent="0.25">
      <c r="A165" s="17" t="s">
        <v>211</v>
      </c>
    </row>
    <row r="166" spans="1:6" ht="10.5" x14ac:dyDescent="0.25">
      <c r="A166" s="17" t="s">
        <v>212</v>
      </c>
      <c r="B166" s="17"/>
      <c r="C166" s="38" t="s">
        <v>214</v>
      </c>
      <c r="D166" s="18" t="s">
        <v>213</v>
      </c>
    </row>
    <row r="167" spans="1:6" x14ac:dyDescent="0.2">
      <c r="A167" s="10" t="s">
        <v>486</v>
      </c>
      <c r="C167" s="114" t="s">
        <v>1563</v>
      </c>
      <c r="D167" s="39">
        <v>0</v>
      </c>
    </row>
    <row r="168" spans="1:6" x14ac:dyDescent="0.2">
      <c r="A168" s="10" t="s">
        <v>520</v>
      </c>
      <c r="C168" s="114" t="s">
        <v>1563</v>
      </c>
      <c r="D168" s="39">
        <v>0</v>
      </c>
    </row>
    <row r="169" spans="1:6" x14ac:dyDescent="0.2">
      <c r="A169" s="10" t="s">
        <v>489</v>
      </c>
      <c r="C169" s="114" t="s">
        <v>1563</v>
      </c>
      <c r="D169" s="39">
        <v>0</v>
      </c>
    </row>
    <row r="170" spans="1:6" x14ac:dyDescent="0.2">
      <c r="A170" s="10" t="s">
        <v>521</v>
      </c>
      <c r="C170" s="114" t="s">
        <v>1563</v>
      </c>
      <c r="D170" s="39">
        <v>0</v>
      </c>
    </row>
    <row r="172" spans="1:6" s="78" customFormat="1" ht="10.5" x14ac:dyDescent="0.25">
      <c r="A172" s="84" t="s">
        <v>1562</v>
      </c>
      <c r="D172" s="79"/>
      <c r="E172" s="82"/>
      <c r="F172" s="83"/>
    </row>
    <row r="173" spans="1:6" s="78" customFormat="1" x14ac:dyDescent="0.2">
      <c r="D173" s="79"/>
      <c r="E173" s="82"/>
      <c r="F173" s="83"/>
    </row>
    <row r="174" spans="1:6" s="78" customFormat="1" ht="10.5" x14ac:dyDescent="0.25">
      <c r="A174" s="84" t="s">
        <v>1561</v>
      </c>
      <c r="D174" s="103" t="s">
        <v>227</v>
      </c>
      <c r="E174" s="82"/>
      <c r="F174" s="83"/>
    </row>
    <row r="175" spans="1:6" s="108" customFormat="1" x14ac:dyDescent="0.2">
      <c r="A175" s="108" t="s">
        <v>231</v>
      </c>
      <c r="D175" s="122"/>
      <c r="E175" s="121"/>
      <c r="F175" s="83"/>
    </row>
    <row r="176" spans="1:6" s="108" customFormat="1" ht="14.5" x14ac:dyDescent="0.35">
      <c r="A176" s="123" t="s">
        <v>1558</v>
      </c>
      <c r="D176" s="122"/>
      <c r="E176" s="121"/>
      <c r="F176" s="83"/>
    </row>
  </sheetData>
  <mergeCells count="6">
    <mergeCell ref="A1:F1"/>
    <mergeCell ref="A116:F116"/>
    <mergeCell ref="A147:F147"/>
    <mergeCell ref="A113:F113"/>
    <mergeCell ref="A110:F110"/>
    <mergeCell ref="A101:E101"/>
  </mergeCells>
  <conditionalFormatting sqref="F2:F3 F161:F171 F145:F146 F177:F65538 F129:F141 F117 F148 F5:F103 F114:F115">
    <cfRule type="cellIs" dxfId="63" priority="10" stopIfTrue="1" operator="between">
      <formula>0.009</formula>
      <formula>-0.009</formula>
    </cfRule>
  </conditionalFormatting>
  <conditionalFormatting sqref="F104:F106 F109 F112">
    <cfRule type="cellIs" dxfId="62" priority="9" stopIfTrue="1" operator="between">
      <formula>0.009</formula>
      <formula>-0.009</formula>
    </cfRule>
  </conditionalFormatting>
  <conditionalFormatting sqref="F107:F108">
    <cfRule type="cellIs" dxfId="61" priority="8" stopIfTrue="1" operator="between">
      <formula>0.009</formula>
      <formula>-0.009</formula>
    </cfRule>
  </conditionalFormatting>
  <conditionalFormatting sqref="F119:F120">
    <cfRule type="cellIs" dxfId="60" priority="7" stopIfTrue="1" operator="between">
      <formula>0.009</formula>
      <formula>-0.009</formula>
    </cfRule>
  </conditionalFormatting>
  <conditionalFormatting sqref="F122:F125 F127:F128">
    <cfRule type="cellIs" dxfId="59" priority="6" stopIfTrue="1" operator="between">
      <formula>0.009</formula>
      <formula>-0.009</formula>
    </cfRule>
  </conditionalFormatting>
  <conditionalFormatting sqref="F142:F144">
    <cfRule type="cellIs" dxfId="58" priority="4" stopIfTrue="1" operator="between">
      <formula>0.009</formula>
      <formula>-0.009</formula>
    </cfRule>
  </conditionalFormatting>
  <conditionalFormatting sqref="F150:F151 F160">
    <cfRule type="cellIs" dxfId="57" priority="3" stopIfTrue="1" operator="between">
      <formula>0.009</formula>
      <formula>-0.009</formula>
    </cfRule>
  </conditionalFormatting>
  <conditionalFormatting sqref="F153:F156 F158:F159">
    <cfRule type="cellIs" dxfId="56" priority="2" stopIfTrue="1" operator="between">
      <formula>0.009</formula>
      <formula>-0.009</formula>
    </cfRule>
  </conditionalFormatting>
  <conditionalFormatting sqref="F172:F176">
    <cfRule type="cellIs" dxfId="55" priority="1" stopIfTrue="1" operator="between">
      <formula>0.009</formula>
      <formula>-0.009</formula>
    </cfRule>
  </conditionalFormatting>
  <hyperlinks>
    <hyperlink ref="A108" r:id="rId1" xr:uid="{00000000-0004-0000-0800-000000000000}"/>
    <hyperlink ref="A105" r:id="rId2" xr:uid="{00000000-0004-0000-0800-000001000000}"/>
    <hyperlink ref="A144" r:id="rId3" xr:uid="{00000000-0004-0000-0800-000002000000}"/>
    <hyperlink ref="A176" r:id="rId4" xr:uid="{00000000-0004-0000-0800-000003000000}"/>
    <hyperlink ref="A111" r:id="rId5" xr:uid="{58E1A656-4DBE-4491-A0BE-7C7CC7894E26}"/>
  </hyperlinks>
  <pageMargins left="0.7" right="0.7" top="0.75" bottom="0.75" header="0.3" footer="0.3"/>
  <pageSetup paperSize="9" orientation="portrait" r:id="rId6"/>
  <headerFooter>
    <oddFooter>&amp;LPUBLIC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8"/>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20</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772</v>
      </c>
      <c r="B7" s="26" t="s">
        <v>771</v>
      </c>
      <c r="C7" s="26" t="s">
        <v>336</v>
      </c>
      <c r="D7" s="30">
        <v>40</v>
      </c>
      <c r="E7" s="28">
        <v>499.84199999999998</v>
      </c>
      <c r="F7" s="29">
        <v>10.0332967174582</v>
      </c>
    </row>
    <row r="8" spans="1:6" x14ac:dyDescent="0.2">
      <c r="A8" s="26" t="s">
        <v>774</v>
      </c>
      <c r="B8" s="26" t="s">
        <v>773</v>
      </c>
      <c r="C8" s="26" t="s">
        <v>166</v>
      </c>
      <c r="D8" s="30">
        <v>40</v>
      </c>
      <c r="E8" s="28">
        <v>494.78719999999998</v>
      </c>
      <c r="F8" s="29">
        <v>9.9318320381247194</v>
      </c>
    </row>
    <row r="9" spans="1:6" x14ac:dyDescent="0.2">
      <c r="A9" s="26" t="s">
        <v>724</v>
      </c>
      <c r="B9" s="26" t="s">
        <v>723</v>
      </c>
      <c r="C9" s="26" t="s">
        <v>589</v>
      </c>
      <c r="D9" s="30">
        <v>42</v>
      </c>
      <c r="E9" s="28">
        <v>442.40280000000001</v>
      </c>
      <c r="F9" s="29">
        <v>8.88032330423278</v>
      </c>
    </row>
    <row r="10" spans="1:6" x14ac:dyDescent="0.2">
      <c r="A10" s="26" t="s">
        <v>165</v>
      </c>
      <c r="B10" s="26" t="s">
        <v>164</v>
      </c>
      <c r="C10" s="26" t="s">
        <v>166</v>
      </c>
      <c r="D10" s="30">
        <v>41</v>
      </c>
      <c r="E10" s="28">
        <v>433.03667000000002</v>
      </c>
      <c r="F10" s="29">
        <v>8.6923175716527101</v>
      </c>
    </row>
    <row r="11" spans="1:6" x14ac:dyDescent="0.2">
      <c r="A11" s="26" t="s">
        <v>639</v>
      </c>
      <c r="B11" s="26" t="s">
        <v>638</v>
      </c>
      <c r="C11" s="26" t="s">
        <v>539</v>
      </c>
      <c r="D11" s="30">
        <v>41</v>
      </c>
      <c r="E11" s="28">
        <v>431.42291</v>
      </c>
      <c r="F11" s="29">
        <v>8.6599246696741492</v>
      </c>
    </row>
    <row r="12" spans="1:6" x14ac:dyDescent="0.2">
      <c r="A12" s="26" t="s">
        <v>607</v>
      </c>
      <c r="B12" s="26" t="s">
        <v>606</v>
      </c>
      <c r="C12" s="26" t="s">
        <v>598</v>
      </c>
      <c r="D12" s="30">
        <v>40</v>
      </c>
      <c r="E12" s="28">
        <v>415.81079999999997</v>
      </c>
      <c r="F12" s="29">
        <v>8.3465437772809601</v>
      </c>
    </row>
    <row r="13" spans="1:6" x14ac:dyDescent="0.2">
      <c r="A13" s="26" t="s">
        <v>721</v>
      </c>
      <c r="B13" s="26" t="s">
        <v>720</v>
      </c>
      <c r="C13" s="26" t="s">
        <v>722</v>
      </c>
      <c r="D13" s="30">
        <v>37</v>
      </c>
      <c r="E13" s="28">
        <v>402.30766</v>
      </c>
      <c r="F13" s="29">
        <v>8.0754961057419994</v>
      </c>
    </row>
    <row r="14" spans="1:6" x14ac:dyDescent="0.2">
      <c r="A14" s="26" t="s">
        <v>651</v>
      </c>
      <c r="B14" s="26" t="s">
        <v>650</v>
      </c>
      <c r="C14" s="26" t="s">
        <v>166</v>
      </c>
      <c r="D14" s="30">
        <v>30</v>
      </c>
      <c r="E14" s="28">
        <v>359.02710000000002</v>
      </c>
      <c r="F14" s="29">
        <v>7.2067281739200402</v>
      </c>
    </row>
    <row r="15" spans="1:6" x14ac:dyDescent="0.2">
      <c r="A15" s="26" t="s">
        <v>637</v>
      </c>
      <c r="B15" s="26" t="s">
        <v>636</v>
      </c>
      <c r="C15" s="26" t="s">
        <v>166</v>
      </c>
      <c r="D15" s="30">
        <v>30</v>
      </c>
      <c r="E15" s="28">
        <v>317.63729999999998</v>
      </c>
      <c r="F15" s="29">
        <v>6.3759133474823804</v>
      </c>
    </row>
    <row r="16" spans="1:6" x14ac:dyDescent="0.2">
      <c r="A16" s="26" t="s">
        <v>776</v>
      </c>
      <c r="B16" s="26" t="s">
        <v>775</v>
      </c>
      <c r="C16" s="26" t="s">
        <v>336</v>
      </c>
      <c r="D16" s="30">
        <v>21</v>
      </c>
      <c r="E16" s="28">
        <v>257.31405000000001</v>
      </c>
      <c r="F16" s="29">
        <v>5.1650485817935996</v>
      </c>
    </row>
    <row r="17" spans="1:9" x14ac:dyDescent="0.2">
      <c r="A17" s="26" t="s">
        <v>778</v>
      </c>
      <c r="B17" s="26" t="s">
        <v>777</v>
      </c>
      <c r="C17" s="26" t="s">
        <v>166</v>
      </c>
      <c r="D17" s="30">
        <v>19</v>
      </c>
      <c r="E17" s="28">
        <v>233.77789999999999</v>
      </c>
      <c r="F17" s="29">
        <v>4.6926089377928903</v>
      </c>
    </row>
    <row r="18" spans="1:9" x14ac:dyDescent="0.2">
      <c r="A18" s="26" t="s">
        <v>780</v>
      </c>
      <c r="B18" s="26" t="s">
        <v>779</v>
      </c>
      <c r="C18" s="26" t="s">
        <v>539</v>
      </c>
      <c r="D18" s="30">
        <v>18</v>
      </c>
      <c r="E18" s="28">
        <v>190.27529999999999</v>
      </c>
      <c r="F18" s="29">
        <v>3.8193840111542801</v>
      </c>
    </row>
    <row r="19" spans="1:9" x14ac:dyDescent="0.2">
      <c r="A19" s="26" t="s">
        <v>782</v>
      </c>
      <c r="B19" s="26" t="s">
        <v>781</v>
      </c>
      <c r="C19" s="26" t="s">
        <v>166</v>
      </c>
      <c r="D19" s="30">
        <v>12</v>
      </c>
      <c r="E19" s="28">
        <v>145.74647999999999</v>
      </c>
      <c r="F19" s="29">
        <v>2.9255598356382402</v>
      </c>
    </row>
    <row r="20" spans="1:9" x14ac:dyDescent="0.2">
      <c r="A20" s="26" t="s">
        <v>609</v>
      </c>
      <c r="B20" s="26" t="s">
        <v>608</v>
      </c>
      <c r="C20" s="26" t="s">
        <v>166</v>
      </c>
      <c r="D20" s="30">
        <v>10</v>
      </c>
      <c r="E20" s="28">
        <v>105.30629999999999</v>
      </c>
      <c r="F20" s="29">
        <v>2.1138066711434198</v>
      </c>
    </row>
    <row r="21" spans="1:9" x14ac:dyDescent="0.2">
      <c r="A21" s="26" t="s">
        <v>604</v>
      </c>
      <c r="B21" s="26" t="s">
        <v>603</v>
      </c>
      <c r="C21" s="26" t="s">
        <v>605</v>
      </c>
      <c r="D21" s="30">
        <v>5</v>
      </c>
      <c r="E21" s="28">
        <v>51.768700000000003</v>
      </c>
      <c r="F21" s="29">
        <v>1.0391498268994599</v>
      </c>
    </row>
    <row r="22" spans="1:9" ht="10.5" x14ac:dyDescent="0.25">
      <c r="A22" s="25" t="s">
        <v>167</v>
      </c>
      <c r="B22" s="25"/>
      <c r="C22" s="25"/>
      <c r="D22" s="31"/>
      <c r="E22" s="32">
        <f>SUM(E6:E21)</f>
        <v>4780.4631699999991</v>
      </c>
      <c r="F22" s="33">
        <f>SUM(F6:F21)</f>
        <v>95.957933569989834</v>
      </c>
      <c r="G22" s="17"/>
      <c r="H22" s="17"/>
      <c r="I22" s="17"/>
    </row>
    <row r="23" spans="1:9" x14ac:dyDescent="0.2">
      <c r="A23" s="26"/>
      <c r="B23" s="26"/>
      <c r="C23" s="26"/>
      <c r="D23" s="27"/>
      <c r="E23" s="28"/>
      <c r="F23" s="29"/>
    </row>
    <row r="24" spans="1:9" ht="10.5" x14ac:dyDescent="0.25">
      <c r="A24" s="25" t="s">
        <v>205</v>
      </c>
      <c r="B24" s="25"/>
      <c r="C24" s="25"/>
      <c r="D24" s="31"/>
      <c r="E24" s="32">
        <f>E22</f>
        <v>4780.4631699999991</v>
      </c>
      <c r="F24" s="33">
        <f>F22</f>
        <v>95.957933569989834</v>
      </c>
      <c r="G24" s="17"/>
      <c r="H24" s="17"/>
      <c r="I24" s="17"/>
    </row>
    <row r="25" spans="1:9" ht="10.5" x14ac:dyDescent="0.25">
      <c r="A25" s="25"/>
      <c r="B25" s="25"/>
      <c r="C25" s="25"/>
      <c r="D25" s="31"/>
      <c r="E25" s="32"/>
      <c r="F25" s="33"/>
      <c r="G25" s="17"/>
      <c r="H25" s="17"/>
      <c r="I25" s="17"/>
    </row>
    <row r="26" spans="1:9" ht="10.5" x14ac:dyDescent="0.25">
      <c r="A26" s="25" t="s">
        <v>207</v>
      </c>
      <c r="B26" s="25"/>
      <c r="C26" s="25"/>
      <c r="D26" s="31"/>
      <c r="E26" s="32">
        <f>E28-(E22)</f>
        <v>201.3689643000007</v>
      </c>
      <c r="F26" s="33">
        <f>F28-(F22)</f>
        <v>4.0420664300101663</v>
      </c>
      <c r="G26" s="17"/>
      <c r="H26" s="17"/>
      <c r="I26" s="17"/>
    </row>
    <row r="27" spans="1:9" ht="10.5" x14ac:dyDescent="0.25">
      <c r="A27" s="25"/>
      <c r="B27" s="25"/>
      <c r="C27" s="25"/>
      <c r="D27" s="31"/>
      <c r="E27" s="32"/>
      <c r="F27" s="33"/>
      <c r="G27" s="17"/>
      <c r="H27" s="17"/>
      <c r="I27" s="17"/>
    </row>
    <row r="28" spans="1:9" ht="10.5" x14ac:dyDescent="0.25">
      <c r="A28" s="34" t="s">
        <v>206</v>
      </c>
      <c r="B28" s="34"/>
      <c r="C28" s="34"/>
      <c r="D28" s="35"/>
      <c r="E28" s="36">
        <v>4981.8321342999998</v>
      </c>
      <c r="F28" s="37">
        <v>100</v>
      </c>
      <c r="G28" s="17"/>
      <c r="H28" s="17"/>
      <c r="I28" s="17"/>
    </row>
    <row r="30" spans="1:9" ht="10.5" x14ac:dyDescent="0.25">
      <c r="A30" s="17" t="s">
        <v>209</v>
      </c>
    </row>
    <row r="32" spans="1:9" ht="10.5" x14ac:dyDescent="0.25">
      <c r="A32" s="17" t="s">
        <v>210</v>
      </c>
    </row>
    <row r="33" spans="1:5" ht="10.5" x14ac:dyDescent="0.25">
      <c r="A33" s="17" t="s">
        <v>211</v>
      </c>
    </row>
    <row r="34" spans="1:5" ht="10.5" x14ac:dyDescent="0.25">
      <c r="A34" s="17" t="s">
        <v>212</v>
      </c>
      <c r="B34" s="17"/>
      <c r="C34" s="38" t="s">
        <v>214</v>
      </c>
      <c r="D34" s="18" t="s">
        <v>213</v>
      </c>
    </row>
    <row r="35" spans="1:5" x14ac:dyDescent="0.2">
      <c r="A35" s="10" t="s">
        <v>486</v>
      </c>
      <c r="C35" s="39">
        <v>10.917899999999999</v>
      </c>
      <c r="D35" s="39">
        <v>11.6114</v>
      </c>
    </row>
    <row r="36" spans="1:5" x14ac:dyDescent="0.2">
      <c r="A36" s="10" t="s">
        <v>783</v>
      </c>
      <c r="C36" s="39">
        <v>10.917899999999999</v>
      </c>
      <c r="D36" s="39">
        <v>10.795500000000001</v>
      </c>
    </row>
    <row r="37" spans="1:5" x14ac:dyDescent="0.2">
      <c r="A37" s="10" t="s">
        <v>488</v>
      </c>
      <c r="C37" s="39">
        <v>10.349500000000001</v>
      </c>
      <c r="D37" s="39">
        <v>10.5886</v>
      </c>
    </row>
    <row r="38" spans="1:5" x14ac:dyDescent="0.2">
      <c r="A38" s="10" t="s">
        <v>489</v>
      </c>
      <c r="C38" s="39">
        <v>10.9369</v>
      </c>
      <c r="D38" s="39">
        <v>11.6432</v>
      </c>
    </row>
    <row r="40" spans="1:5" ht="10.5" x14ac:dyDescent="0.25">
      <c r="A40" s="17" t="s">
        <v>226</v>
      </c>
    </row>
    <row r="41" spans="1:5" ht="10.5" x14ac:dyDescent="0.25">
      <c r="A41" s="147" t="s">
        <v>401</v>
      </c>
      <c r="B41" s="148"/>
      <c r="C41" s="145" t="s">
        <v>402</v>
      </c>
      <c r="D41" s="146"/>
    </row>
    <row r="42" spans="1:5" ht="10.5" x14ac:dyDescent="0.25">
      <c r="A42" s="147"/>
      <c r="B42" s="148"/>
      <c r="C42" s="43" t="s">
        <v>403</v>
      </c>
      <c r="D42" s="44" t="s">
        <v>404</v>
      </c>
    </row>
    <row r="43" spans="1:5" x14ac:dyDescent="0.2">
      <c r="A43" s="141" t="s">
        <v>783</v>
      </c>
      <c r="B43" s="142"/>
      <c r="C43" s="45">
        <v>0.55825009250000002</v>
      </c>
      <c r="D43" s="45">
        <v>0.51694236780000002</v>
      </c>
    </row>
    <row r="44" spans="1:5" x14ac:dyDescent="0.2">
      <c r="A44" s="141" t="s">
        <v>488</v>
      </c>
      <c r="B44" s="142"/>
      <c r="C44" s="45">
        <v>0.33266615350000001</v>
      </c>
      <c r="D44" s="45">
        <v>0.32173959410000003</v>
      </c>
    </row>
    <row r="46" spans="1:5" ht="10.5" x14ac:dyDescent="0.25">
      <c r="A46" s="17" t="s">
        <v>228</v>
      </c>
      <c r="D46" s="41">
        <v>1.5435488294520545</v>
      </c>
      <c r="E46" s="15" t="s">
        <v>229</v>
      </c>
    </row>
    <row r="47" spans="1:5" ht="43" customHeight="1" x14ac:dyDescent="0.2">
      <c r="A47" s="139" t="s">
        <v>1596</v>
      </c>
      <c r="B47" s="140"/>
      <c r="C47" s="140"/>
      <c r="D47" s="140"/>
      <c r="E47" s="140"/>
    </row>
    <row r="48" spans="1:5" ht="10.5" x14ac:dyDescent="0.25">
      <c r="A48" s="17" t="s">
        <v>230</v>
      </c>
      <c r="D48" s="40" t="s">
        <v>227</v>
      </c>
    </row>
  </sheetData>
  <mergeCells count="7">
    <mergeCell ref="A47:E47"/>
    <mergeCell ref="A44:B44"/>
    <mergeCell ref="A1:F1"/>
    <mergeCell ref="C41:D41"/>
    <mergeCell ref="A41:B41"/>
    <mergeCell ref="A42:B42"/>
    <mergeCell ref="A43:B43"/>
  </mergeCells>
  <conditionalFormatting sqref="F2:F3 F5:F65536">
    <cfRule type="cellIs" dxfId="5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1"/>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21</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651</v>
      </c>
      <c r="B7" s="26" t="s">
        <v>650</v>
      </c>
      <c r="C7" s="26" t="s">
        <v>166</v>
      </c>
      <c r="D7" s="30">
        <v>39</v>
      </c>
      <c r="E7" s="28">
        <v>466.73523</v>
      </c>
      <c r="F7" s="29">
        <v>11.977593490573501</v>
      </c>
    </row>
    <row r="8" spans="1:6" x14ac:dyDescent="0.2">
      <c r="A8" s="26" t="s">
        <v>785</v>
      </c>
      <c r="B8" s="26" t="s">
        <v>784</v>
      </c>
      <c r="C8" s="26" t="s">
        <v>166</v>
      </c>
      <c r="D8" s="30">
        <v>39</v>
      </c>
      <c r="E8" s="28">
        <v>412.51587000000001</v>
      </c>
      <c r="F8" s="29">
        <v>10.5861890889836</v>
      </c>
    </row>
    <row r="9" spans="1:6" x14ac:dyDescent="0.2">
      <c r="A9" s="26" t="s">
        <v>787</v>
      </c>
      <c r="B9" s="26" t="s">
        <v>786</v>
      </c>
      <c r="C9" s="26" t="s">
        <v>166</v>
      </c>
      <c r="D9" s="30">
        <v>39</v>
      </c>
      <c r="E9" s="28">
        <v>410.02533</v>
      </c>
      <c r="F9" s="29">
        <v>10.5222756027614</v>
      </c>
    </row>
    <row r="10" spans="1:6" x14ac:dyDescent="0.2">
      <c r="A10" s="26" t="s">
        <v>165</v>
      </c>
      <c r="B10" s="26" t="s">
        <v>164</v>
      </c>
      <c r="C10" s="26" t="s">
        <v>166</v>
      </c>
      <c r="D10" s="30">
        <v>38</v>
      </c>
      <c r="E10" s="28">
        <v>401.35106000000002</v>
      </c>
      <c r="F10" s="29">
        <v>10.2996721367932</v>
      </c>
    </row>
    <row r="11" spans="1:6" x14ac:dyDescent="0.2">
      <c r="A11" s="26" t="s">
        <v>780</v>
      </c>
      <c r="B11" s="26" t="s">
        <v>779</v>
      </c>
      <c r="C11" s="26" t="s">
        <v>539</v>
      </c>
      <c r="D11" s="30">
        <v>37</v>
      </c>
      <c r="E11" s="28">
        <v>391.12144999999998</v>
      </c>
      <c r="F11" s="29">
        <v>10.037154755906601</v>
      </c>
    </row>
    <row r="12" spans="1:6" x14ac:dyDescent="0.2">
      <c r="A12" s="26" t="s">
        <v>776</v>
      </c>
      <c r="B12" s="26" t="s">
        <v>775</v>
      </c>
      <c r="C12" s="26" t="s">
        <v>336</v>
      </c>
      <c r="D12" s="30">
        <v>29</v>
      </c>
      <c r="E12" s="28">
        <v>355.33845000000002</v>
      </c>
      <c r="F12" s="29">
        <v>9.1188734685197694</v>
      </c>
    </row>
    <row r="13" spans="1:6" x14ac:dyDescent="0.2">
      <c r="A13" s="26" t="s">
        <v>604</v>
      </c>
      <c r="B13" s="26" t="s">
        <v>603</v>
      </c>
      <c r="C13" s="26" t="s">
        <v>605</v>
      </c>
      <c r="D13" s="30">
        <v>34</v>
      </c>
      <c r="E13" s="28">
        <v>352.02715999999998</v>
      </c>
      <c r="F13" s="29">
        <v>9.0338974842783397</v>
      </c>
    </row>
    <row r="14" spans="1:6" x14ac:dyDescent="0.2">
      <c r="A14" s="26" t="s">
        <v>663</v>
      </c>
      <c r="B14" s="26" t="s">
        <v>662</v>
      </c>
      <c r="C14" s="26" t="s">
        <v>166</v>
      </c>
      <c r="D14" s="30">
        <v>27</v>
      </c>
      <c r="E14" s="28">
        <v>333.81666000000001</v>
      </c>
      <c r="F14" s="29">
        <v>8.5665705026401895</v>
      </c>
    </row>
    <row r="15" spans="1:6" x14ac:dyDescent="0.2">
      <c r="A15" s="26" t="s">
        <v>782</v>
      </c>
      <c r="B15" s="26" t="s">
        <v>781</v>
      </c>
      <c r="C15" s="26" t="s">
        <v>166</v>
      </c>
      <c r="D15" s="30">
        <v>24</v>
      </c>
      <c r="E15" s="28">
        <v>291.49295999999998</v>
      </c>
      <c r="F15" s="29">
        <v>7.4804384923846401</v>
      </c>
    </row>
    <row r="16" spans="1:6" x14ac:dyDescent="0.2">
      <c r="A16" s="26" t="s">
        <v>637</v>
      </c>
      <c r="B16" s="26" t="s">
        <v>636</v>
      </c>
      <c r="C16" s="26" t="s">
        <v>166</v>
      </c>
      <c r="D16" s="30">
        <v>13</v>
      </c>
      <c r="E16" s="28">
        <v>137.64283</v>
      </c>
      <c r="F16" s="29">
        <v>3.5322593167696201</v>
      </c>
    </row>
    <row r="17" spans="1:9" x14ac:dyDescent="0.2">
      <c r="A17" s="26" t="s">
        <v>609</v>
      </c>
      <c r="B17" s="26" t="s">
        <v>608</v>
      </c>
      <c r="C17" s="26" t="s">
        <v>166</v>
      </c>
      <c r="D17" s="30">
        <v>12</v>
      </c>
      <c r="E17" s="28">
        <v>126.36756</v>
      </c>
      <c r="F17" s="29">
        <v>3.2429076846752198</v>
      </c>
    </row>
    <row r="18" spans="1:9" x14ac:dyDescent="0.2">
      <c r="A18" s="26" t="s">
        <v>774</v>
      </c>
      <c r="B18" s="26" t="s">
        <v>773</v>
      </c>
      <c r="C18" s="26" t="s">
        <v>166</v>
      </c>
      <c r="D18" s="30">
        <v>4</v>
      </c>
      <c r="E18" s="28">
        <v>49.478720000000003</v>
      </c>
      <c r="F18" s="29">
        <v>1.26974772098071</v>
      </c>
    </row>
    <row r="19" spans="1:9" x14ac:dyDescent="0.2">
      <c r="A19" s="26" t="s">
        <v>789</v>
      </c>
      <c r="B19" s="26" t="s">
        <v>788</v>
      </c>
      <c r="C19" s="26" t="s">
        <v>336</v>
      </c>
      <c r="D19" s="30">
        <v>1</v>
      </c>
      <c r="E19" s="28">
        <v>12.020810000000001</v>
      </c>
      <c r="F19" s="29">
        <v>0.30848405338380103</v>
      </c>
    </row>
    <row r="20" spans="1:9" x14ac:dyDescent="0.2">
      <c r="A20" s="26" t="s">
        <v>607</v>
      </c>
      <c r="B20" s="26" t="s">
        <v>606</v>
      </c>
      <c r="C20" s="26" t="s">
        <v>598</v>
      </c>
      <c r="D20" s="30">
        <v>1</v>
      </c>
      <c r="E20" s="28">
        <v>10.39527</v>
      </c>
      <c r="F20" s="29">
        <v>0.26676863086755598</v>
      </c>
    </row>
    <row r="21" spans="1:9" ht="10.5" x14ac:dyDescent="0.25">
      <c r="A21" s="25" t="s">
        <v>167</v>
      </c>
      <c r="B21" s="25"/>
      <c r="C21" s="25"/>
      <c r="D21" s="31"/>
      <c r="E21" s="32">
        <f>SUM(E6:E20)</f>
        <v>3750.3293600000002</v>
      </c>
      <c r="F21" s="33">
        <f>SUM(F6:F20)</f>
        <v>96.242832429518145</v>
      </c>
      <c r="G21" s="17"/>
      <c r="H21" s="17"/>
      <c r="I21" s="17"/>
    </row>
    <row r="22" spans="1:9" x14ac:dyDescent="0.2">
      <c r="A22" s="26"/>
      <c r="B22" s="26"/>
      <c r="C22" s="26"/>
      <c r="D22" s="27"/>
      <c r="E22" s="28"/>
      <c r="F22" s="29"/>
    </row>
    <row r="23" spans="1:9" ht="10.5" x14ac:dyDescent="0.25">
      <c r="A23" s="25" t="s">
        <v>205</v>
      </c>
      <c r="B23" s="25"/>
      <c r="C23" s="25"/>
      <c r="D23" s="31"/>
      <c r="E23" s="32">
        <f>E21</f>
        <v>3750.3293600000002</v>
      </c>
      <c r="F23" s="33">
        <f>F21</f>
        <v>96.242832429518145</v>
      </c>
      <c r="G23" s="17"/>
      <c r="H23" s="17"/>
      <c r="I23" s="17"/>
    </row>
    <row r="24" spans="1:9" ht="10.5" x14ac:dyDescent="0.25">
      <c r="A24" s="25"/>
      <c r="B24" s="25"/>
      <c r="C24" s="25"/>
      <c r="D24" s="31"/>
      <c r="E24" s="32"/>
      <c r="F24" s="33"/>
      <c r="G24" s="17"/>
      <c r="H24" s="17"/>
      <c r="I24" s="17"/>
    </row>
    <row r="25" spans="1:9" ht="10.5" x14ac:dyDescent="0.25">
      <c r="A25" s="25" t="s">
        <v>207</v>
      </c>
      <c r="B25" s="25"/>
      <c r="C25" s="25"/>
      <c r="D25" s="31"/>
      <c r="E25" s="32">
        <f>E27-(E21)</f>
        <v>146.40691149999975</v>
      </c>
      <c r="F25" s="33">
        <f>F27-(F21)</f>
        <v>3.7571675704818546</v>
      </c>
      <c r="G25" s="17"/>
      <c r="H25" s="17"/>
      <c r="I25" s="17"/>
    </row>
    <row r="26" spans="1:9" ht="10.5" x14ac:dyDescent="0.25">
      <c r="A26" s="25"/>
      <c r="B26" s="25"/>
      <c r="C26" s="25"/>
      <c r="D26" s="31"/>
      <c r="E26" s="32"/>
      <c r="F26" s="33"/>
      <c r="G26" s="17"/>
      <c r="H26" s="17"/>
      <c r="I26" s="17"/>
    </row>
    <row r="27" spans="1:9" ht="10.5" x14ac:dyDescent="0.25">
      <c r="A27" s="34" t="s">
        <v>206</v>
      </c>
      <c r="B27" s="34"/>
      <c r="C27" s="34"/>
      <c r="D27" s="35"/>
      <c r="E27" s="36">
        <v>3896.7362714999999</v>
      </c>
      <c r="F27" s="37">
        <v>100</v>
      </c>
      <c r="G27" s="17"/>
      <c r="H27" s="17"/>
      <c r="I27" s="17"/>
    </row>
    <row r="29" spans="1:9" ht="10.5" x14ac:dyDescent="0.25">
      <c r="A29" s="17" t="s">
        <v>209</v>
      </c>
    </row>
    <row r="31" spans="1:9" ht="10.5" x14ac:dyDescent="0.25">
      <c r="A31" s="17" t="s">
        <v>210</v>
      </c>
    </row>
    <row r="32" spans="1:9" ht="10.5" x14ac:dyDescent="0.25">
      <c r="A32" s="17" t="s">
        <v>211</v>
      </c>
    </row>
    <row r="33" spans="1:4" ht="10.5" x14ac:dyDescent="0.25">
      <c r="A33" s="17" t="s">
        <v>212</v>
      </c>
      <c r="B33" s="17"/>
      <c r="C33" s="38" t="s">
        <v>214</v>
      </c>
      <c r="D33" s="18" t="s">
        <v>213</v>
      </c>
    </row>
    <row r="34" spans="1:4" x14ac:dyDescent="0.2">
      <c r="A34" s="10" t="s">
        <v>486</v>
      </c>
      <c r="C34" s="39">
        <v>11.039400000000001</v>
      </c>
      <c r="D34" s="39">
        <v>11.757899999999999</v>
      </c>
    </row>
    <row r="35" spans="1:4" x14ac:dyDescent="0.2">
      <c r="A35" s="10" t="s">
        <v>783</v>
      </c>
      <c r="C35" s="39">
        <v>11.039400000000001</v>
      </c>
      <c r="D35" s="39">
        <v>10.914999999999999</v>
      </c>
    </row>
    <row r="36" spans="1:4" x14ac:dyDescent="0.2">
      <c r="A36" s="10" t="s">
        <v>488</v>
      </c>
      <c r="C36" s="39">
        <v>10.452199999999999</v>
      </c>
      <c r="D36" s="39">
        <v>10.719200000000001</v>
      </c>
    </row>
    <row r="37" spans="1:4" x14ac:dyDescent="0.2">
      <c r="A37" s="10" t="s">
        <v>489</v>
      </c>
      <c r="C37" s="39">
        <v>11.060700000000001</v>
      </c>
      <c r="D37" s="39">
        <v>11.792299999999999</v>
      </c>
    </row>
    <row r="38" spans="1:4" x14ac:dyDescent="0.2">
      <c r="A38" s="10" t="s">
        <v>521</v>
      </c>
      <c r="C38" s="39">
        <v>11.060700000000001</v>
      </c>
      <c r="D38" s="39">
        <v>10.9483</v>
      </c>
    </row>
    <row r="39" spans="1:4" x14ac:dyDescent="0.2">
      <c r="A39" s="10" t="s">
        <v>491</v>
      </c>
      <c r="C39" s="39">
        <v>10.472899999999999</v>
      </c>
      <c r="D39" s="39">
        <v>10.7521</v>
      </c>
    </row>
    <row r="41" spans="1:4" ht="10.5" x14ac:dyDescent="0.25">
      <c r="A41" s="17" t="s">
        <v>226</v>
      </c>
    </row>
    <row r="42" spans="1:4" ht="10.5" x14ac:dyDescent="0.25">
      <c r="A42" s="147" t="s">
        <v>401</v>
      </c>
      <c r="B42" s="148"/>
      <c r="C42" s="145" t="s">
        <v>402</v>
      </c>
      <c r="D42" s="146"/>
    </row>
    <row r="43" spans="1:4" ht="10.5" x14ac:dyDescent="0.25">
      <c r="A43" s="147"/>
      <c r="B43" s="148"/>
      <c r="C43" s="43" t="s">
        <v>403</v>
      </c>
      <c r="D43" s="44" t="s">
        <v>404</v>
      </c>
    </row>
    <row r="44" spans="1:4" x14ac:dyDescent="0.2">
      <c r="A44" s="141" t="s">
        <v>783</v>
      </c>
      <c r="B44" s="142"/>
      <c r="C44" s="45">
        <v>0.57625815999999996</v>
      </c>
      <c r="D44" s="45">
        <v>0.53361792799999996</v>
      </c>
    </row>
    <row r="45" spans="1:4" x14ac:dyDescent="0.2">
      <c r="A45" s="141" t="s">
        <v>488</v>
      </c>
      <c r="B45" s="142"/>
      <c r="C45" s="45">
        <v>0.32136938050000002</v>
      </c>
      <c r="D45" s="45">
        <v>0.30990981820000002</v>
      </c>
    </row>
    <row r="46" spans="1:4" x14ac:dyDescent="0.2">
      <c r="A46" s="141" t="s">
        <v>521</v>
      </c>
      <c r="B46" s="142"/>
      <c r="C46" s="45">
        <v>0.57625815999999996</v>
      </c>
      <c r="D46" s="45">
        <v>0.53361792799999996</v>
      </c>
    </row>
    <row r="47" spans="1:4" x14ac:dyDescent="0.2">
      <c r="A47" s="141" t="s">
        <v>491</v>
      </c>
      <c r="B47" s="142"/>
      <c r="C47" s="45">
        <v>0.32136938050000002</v>
      </c>
      <c r="D47" s="45">
        <v>0.30990981820000002</v>
      </c>
    </row>
    <row r="49" spans="1:5" ht="10.5" x14ac:dyDescent="0.25">
      <c r="A49" s="17" t="s">
        <v>228</v>
      </c>
      <c r="D49" s="41">
        <v>1.4788076868219178</v>
      </c>
      <c r="E49" s="15" t="s">
        <v>229</v>
      </c>
    </row>
    <row r="50" spans="1:5" ht="50" customHeight="1" x14ac:dyDescent="0.2">
      <c r="A50" s="139" t="s">
        <v>1596</v>
      </c>
      <c r="B50" s="140"/>
      <c r="C50" s="140"/>
      <c r="D50" s="140"/>
      <c r="E50" s="140"/>
    </row>
    <row r="51" spans="1:5" ht="10.5" x14ac:dyDescent="0.25">
      <c r="A51" s="17" t="s">
        <v>230</v>
      </c>
      <c r="D51" s="40" t="s">
        <v>227</v>
      </c>
    </row>
  </sheetData>
  <mergeCells count="9">
    <mergeCell ref="A50:E50"/>
    <mergeCell ref="A46:B46"/>
    <mergeCell ref="A47:B47"/>
    <mergeCell ref="A1:F1"/>
    <mergeCell ref="C42:D42"/>
    <mergeCell ref="A42:B42"/>
    <mergeCell ref="A43:B43"/>
    <mergeCell ref="A44:B44"/>
    <mergeCell ref="A45:B45"/>
  </mergeCells>
  <conditionalFormatting sqref="F2:F3 F5:F65536">
    <cfRule type="cellIs" dxfId="5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8"/>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22</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791</v>
      </c>
      <c r="B7" s="26" t="s">
        <v>790</v>
      </c>
      <c r="C7" s="26" t="s">
        <v>166</v>
      </c>
      <c r="D7" s="30">
        <v>23</v>
      </c>
      <c r="E7" s="28">
        <v>282.49358999999998</v>
      </c>
      <c r="F7" s="29">
        <v>11.8679146111586</v>
      </c>
    </row>
    <row r="8" spans="1:6" x14ac:dyDescent="0.2">
      <c r="A8" s="26" t="s">
        <v>793</v>
      </c>
      <c r="B8" s="26" t="s">
        <v>792</v>
      </c>
      <c r="C8" s="26" t="s">
        <v>166</v>
      </c>
      <c r="D8" s="30">
        <v>23</v>
      </c>
      <c r="E8" s="28">
        <v>281.80014</v>
      </c>
      <c r="F8" s="29">
        <v>11.838781895662001</v>
      </c>
    </row>
    <row r="9" spans="1:6" x14ac:dyDescent="0.2">
      <c r="A9" s="26" t="s">
        <v>780</v>
      </c>
      <c r="B9" s="26" t="s">
        <v>779</v>
      </c>
      <c r="C9" s="26" t="s">
        <v>539</v>
      </c>
      <c r="D9" s="30">
        <v>24</v>
      </c>
      <c r="E9" s="28">
        <v>253.7004</v>
      </c>
      <c r="F9" s="29">
        <v>10.658276118820201</v>
      </c>
    </row>
    <row r="10" spans="1:6" x14ac:dyDescent="0.2">
      <c r="A10" s="26" t="s">
        <v>787</v>
      </c>
      <c r="B10" s="26" t="s">
        <v>786</v>
      </c>
      <c r="C10" s="26" t="s">
        <v>166</v>
      </c>
      <c r="D10" s="30">
        <v>24</v>
      </c>
      <c r="E10" s="28">
        <v>252.32328000000001</v>
      </c>
      <c r="F10" s="29">
        <v>10.600421558051901</v>
      </c>
    </row>
    <row r="11" spans="1:6" x14ac:dyDescent="0.2">
      <c r="A11" s="26" t="s">
        <v>785</v>
      </c>
      <c r="B11" s="26" t="s">
        <v>784</v>
      </c>
      <c r="C11" s="26" t="s">
        <v>166</v>
      </c>
      <c r="D11" s="30">
        <v>23</v>
      </c>
      <c r="E11" s="28">
        <v>243.27859000000001</v>
      </c>
      <c r="F11" s="29">
        <v>10.220442640284601</v>
      </c>
    </row>
    <row r="12" spans="1:6" x14ac:dyDescent="0.2">
      <c r="A12" s="26" t="s">
        <v>165</v>
      </c>
      <c r="B12" s="26" t="s">
        <v>164</v>
      </c>
      <c r="C12" s="26" t="s">
        <v>166</v>
      </c>
      <c r="D12" s="30">
        <v>23</v>
      </c>
      <c r="E12" s="28">
        <v>242.92301</v>
      </c>
      <c r="F12" s="29">
        <v>10.2055042727364</v>
      </c>
    </row>
    <row r="13" spans="1:6" x14ac:dyDescent="0.2">
      <c r="A13" s="26" t="s">
        <v>604</v>
      </c>
      <c r="B13" s="26" t="s">
        <v>603</v>
      </c>
      <c r="C13" s="26" t="s">
        <v>605</v>
      </c>
      <c r="D13" s="30">
        <v>21</v>
      </c>
      <c r="E13" s="28">
        <v>217.42854</v>
      </c>
      <c r="F13" s="29">
        <v>9.1344491984716907</v>
      </c>
    </row>
    <row r="14" spans="1:6" x14ac:dyDescent="0.2">
      <c r="A14" s="26" t="s">
        <v>789</v>
      </c>
      <c r="B14" s="26" t="s">
        <v>788</v>
      </c>
      <c r="C14" s="26" t="s">
        <v>336</v>
      </c>
      <c r="D14" s="30">
        <v>18</v>
      </c>
      <c r="E14" s="28">
        <v>216.37458000000001</v>
      </c>
      <c r="F14" s="29">
        <v>9.0901709998634495</v>
      </c>
    </row>
    <row r="15" spans="1:6" x14ac:dyDescent="0.2">
      <c r="A15" s="26" t="s">
        <v>782</v>
      </c>
      <c r="B15" s="26" t="s">
        <v>781</v>
      </c>
      <c r="C15" s="26" t="s">
        <v>166</v>
      </c>
      <c r="D15" s="30">
        <v>14</v>
      </c>
      <c r="E15" s="28">
        <v>170.03756000000001</v>
      </c>
      <c r="F15" s="29">
        <v>7.1434939205868799</v>
      </c>
    </row>
    <row r="16" spans="1:6" x14ac:dyDescent="0.2">
      <c r="A16" s="26" t="s">
        <v>609</v>
      </c>
      <c r="B16" s="26" t="s">
        <v>608</v>
      </c>
      <c r="C16" s="26" t="s">
        <v>166</v>
      </c>
      <c r="D16" s="30">
        <v>6</v>
      </c>
      <c r="E16" s="28">
        <v>63.183779999999999</v>
      </c>
      <c r="F16" s="29">
        <v>2.6544308699189698</v>
      </c>
    </row>
    <row r="17" spans="1:9" x14ac:dyDescent="0.2">
      <c r="A17" s="26" t="s">
        <v>637</v>
      </c>
      <c r="B17" s="26" t="s">
        <v>636</v>
      </c>
      <c r="C17" s="26" t="s">
        <v>166</v>
      </c>
      <c r="D17" s="30">
        <v>3</v>
      </c>
      <c r="E17" s="28">
        <v>31.763729999999999</v>
      </c>
      <c r="F17" s="29">
        <v>1.3344346516743899</v>
      </c>
    </row>
    <row r="18" spans="1:9" x14ac:dyDescent="0.2">
      <c r="A18" s="26" t="s">
        <v>611</v>
      </c>
      <c r="B18" s="26" t="s">
        <v>610</v>
      </c>
      <c r="C18" s="26" t="s">
        <v>166</v>
      </c>
      <c r="D18" s="30">
        <v>2</v>
      </c>
      <c r="E18" s="28">
        <v>20.986640000000001</v>
      </c>
      <c r="F18" s="29">
        <v>0.88167540897167396</v>
      </c>
    </row>
    <row r="19" spans="1:9" x14ac:dyDescent="0.2">
      <c r="A19" s="26" t="s">
        <v>795</v>
      </c>
      <c r="B19" s="26" t="s">
        <v>794</v>
      </c>
      <c r="C19" s="26" t="s">
        <v>539</v>
      </c>
      <c r="D19" s="30">
        <v>1</v>
      </c>
      <c r="E19" s="28">
        <v>10.666</v>
      </c>
      <c r="F19" s="29">
        <v>0.44809221066792398</v>
      </c>
    </row>
    <row r="20" spans="1:9" ht="10.5" x14ac:dyDescent="0.25">
      <c r="A20" s="25" t="s">
        <v>167</v>
      </c>
      <c r="B20" s="25"/>
      <c r="C20" s="25"/>
      <c r="D20" s="31"/>
      <c r="E20" s="32">
        <f>SUM(E6:E19)</f>
        <v>2286.95984</v>
      </c>
      <c r="F20" s="33">
        <f>SUM(F6:F19)</f>
        <v>96.078088356868662</v>
      </c>
      <c r="G20" s="17"/>
      <c r="H20" s="17"/>
      <c r="I20" s="17"/>
    </row>
    <row r="21" spans="1:9" x14ac:dyDescent="0.2">
      <c r="A21" s="26"/>
      <c r="B21" s="26"/>
      <c r="C21" s="26"/>
      <c r="D21" s="27"/>
      <c r="E21" s="28"/>
      <c r="F21" s="29"/>
    </row>
    <row r="22" spans="1:9" ht="10.5" x14ac:dyDescent="0.25">
      <c r="A22" s="25" t="s">
        <v>205</v>
      </c>
      <c r="B22" s="25"/>
      <c r="C22" s="25"/>
      <c r="D22" s="31"/>
      <c r="E22" s="32">
        <f>E20</f>
        <v>2286.95984</v>
      </c>
      <c r="F22" s="33">
        <f>F20</f>
        <v>96.078088356868662</v>
      </c>
      <c r="G22" s="17"/>
      <c r="H22" s="17"/>
      <c r="I22" s="17"/>
    </row>
    <row r="23" spans="1:9" ht="10.5" x14ac:dyDescent="0.25">
      <c r="A23" s="25"/>
      <c r="B23" s="25"/>
      <c r="C23" s="25"/>
      <c r="D23" s="31"/>
      <c r="E23" s="32"/>
      <c r="F23" s="33"/>
      <c r="G23" s="17"/>
      <c r="H23" s="17"/>
      <c r="I23" s="17"/>
    </row>
    <row r="24" spans="1:9" ht="10.5" x14ac:dyDescent="0.25">
      <c r="A24" s="25" t="s">
        <v>207</v>
      </c>
      <c r="B24" s="25"/>
      <c r="C24" s="25"/>
      <c r="D24" s="31"/>
      <c r="E24" s="32">
        <f>E26-(E20)</f>
        <v>93.353797700000086</v>
      </c>
      <c r="F24" s="33">
        <f>F26-(F20)</f>
        <v>3.9219116431313381</v>
      </c>
      <c r="G24" s="17"/>
      <c r="H24" s="17"/>
      <c r="I24" s="17"/>
    </row>
    <row r="25" spans="1:9" ht="10.5" x14ac:dyDescent="0.25">
      <c r="A25" s="25"/>
      <c r="B25" s="25"/>
      <c r="C25" s="25"/>
      <c r="D25" s="31"/>
      <c r="E25" s="32"/>
      <c r="F25" s="33"/>
      <c r="G25" s="17"/>
      <c r="H25" s="17"/>
      <c r="I25" s="17"/>
    </row>
    <row r="26" spans="1:9" ht="10.5" x14ac:dyDescent="0.25">
      <c r="A26" s="34" t="s">
        <v>206</v>
      </c>
      <c r="B26" s="34"/>
      <c r="C26" s="34"/>
      <c r="D26" s="35"/>
      <c r="E26" s="36">
        <v>2380.3136377000001</v>
      </c>
      <c r="F26" s="37">
        <v>100</v>
      </c>
      <c r="G26" s="17"/>
      <c r="H26" s="17"/>
      <c r="I26" s="17"/>
    </row>
    <row r="28" spans="1:9" ht="10.5" x14ac:dyDescent="0.25">
      <c r="A28" s="17" t="s">
        <v>209</v>
      </c>
    </row>
    <row r="30" spans="1:9" ht="10.5" x14ac:dyDescent="0.25">
      <c r="A30" s="17" t="s">
        <v>210</v>
      </c>
    </row>
    <row r="31" spans="1:9" ht="10.5" x14ac:dyDescent="0.25">
      <c r="A31" s="17" t="s">
        <v>211</v>
      </c>
    </row>
    <row r="32" spans="1:9" ht="10.5" x14ac:dyDescent="0.25">
      <c r="A32" s="17" t="s">
        <v>212</v>
      </c>
      <c r="B32" s="17"/>
      <c r="C32" s="38" t="s">
        <v>214</v>
      </c>
      <c r="D32" s="18" t="s">
        <v>213</v>
      </c>
    </row>
    <row r="33" spans="1:5" x14ac:dyDescent="0.2">
      <c r="A33" s="10" t="s">
        <v>486</v>
      </c>
      <c r="C33" s="39">
        <v>11.0886</v>
      </c>
      <c r="D33" s="39">
        <v>11.794600000000001</v>
      </c>
    </row>
    <row r="34" spans="1:5" x14ac:dyDescent="0.2">
      <c r="A34" s="10" t="s">
        <v>783</v>
      </c>
      <c r="C34" s="39">
        <v>10.344200000000001</v>
      </c>
      <c r="D34" s="39">
        <v>11.002700000000001</v>
      </c>
    </row>
    <row r="35" spans="1:5" x14ac:dyDescent="0.2">
      <c r="A35" s="10" t="s">
        <v>488</v>
      </c>
      <c r="C35" s="39">
        <v>10.3353</v>
      </c>
      <c r="D35" s="39">
        <v>10.5373</v>
      </c>
    </row>
    <row r="36" spans="1:5" x14ac:dyDescent="0.2">
      <c r="A36" s="10" t="s">
        <v>489</v>
      </c>
      <c r="C36" s="39">
        <v>11.116899999999999</v>
      </c>
      <c r="D36" s="39">
        <v>11.839399999999999</v>
      </c>
    </row>
    <row r="37" spans="1:5" x14ac:dyDescent="0.2">
      <c r="A37" s="10" t="s">
        <v>521</v>
      </c>
      <c r="C37" s="39">
        <v>10.372400000000001</v>
      </c>
      <c r="D37" s="39">
        <v>11.0466</v>
      </c>
    </row>
    <row r="38" spans="1:5" x14ac:dyDescent="0.2">
      <c r="A38" s="10" t="s">
        <v>491</v>
      </c>
      <c r="C38" s="39">
        <v>10.3629</v>
      </c>
      <c r="D38" s="39">
        <v>10.5801</v>
      </c>
    </row>
    <row r="40" spans="1:5" ht="10.5" x14ac:dyDescent="0.25">
      <c r="A40" s="17" t="s">
        <v>226</v>
      </c>
    </row>
    <row r="41" spans="1:5" ht="10.5" x14ac:dyDescent="0.25">
      <c r="A41" s="147" t="s">
        <v>401</v>
      </c>
      <c r="B41" s="148"/>
      <c r="C41" s="145" t="s">
        <v>402</v>
      </c>
      <c r="D41" s="146"/>
    </row>
    <row r="42" spans="1:5" ht="10.5" x14ac:dyDescent="0.25">
      <c r="A42" s="147"/>
      <c r="B42" s="148"/>
      <c r="C42" s="43" t="s">
        <v>403</v>
      </c>
      <c r="D42" s="44" t="s">
        <v>404</v>
      </c>
    </row>
    <row r="43" spans="1:5" x14ac:dyDescent="0.2">
      <c r="A43" s="141" t="s">
        <v>488</v>
      </c>
      <c r="B43" s="142"/>
      <c r="C43" s="45">
        <v>0.40575</v>
      </c>
      <c r="D43" s="45">
        <v>0.40575</v>
      </c>
    </row>
    <row r="44" spans="1:5" x14ac:dyDescent="0.2">
      <c r="A44" s="141" t="s">
        <v>491</v>
      </c>
      <c r="B44" s="142"/>
      <c r="C44" s="45">
        <v>0.40575</v>
      </c>
      <c r="D44" s="45">
        <v>0.40575</v>
      </c>
    </row>
    <row r="46" spans="1:5" ht="10.5" x14ac:dyDescent="0.25">
      <c r="A46" s="17" t="s">
        <v>228</v>
      </c>
      <c r="D46" s="41">
        <v>1.5206553775616438</v>
      </c>
      <c r="E46" s="15" t="s">
        <v>229</v>
      </c>
    </row>
    <row r="47" spans="1:5" ht="46" customHeight="1" x14ac:dyDescent="0.2">
      <c r="A47" s="139" t="s">
        <v>1596</v>
      </c>
      <c r="B47" s="140"/>
      <c r="C47" s="140"/>
      <c r="D47" s="140"/>
      <c r="E47" s="140"/>
    </row>
    <row r="48" spans="1:5" ht="10.5" x14ac:dyDescent="0.25">
      <c r="A48" s="17" t="s">
        <v>230</v>
      </c>
      <c r="D48" s="40" t="s">
        <v>227</v>
      </c>
    </row>
  </sheetData>
  <mergeCells count="7">
    <mergeCell ref="A47:E47"/>
    <mergeCell ref="A44:B44"/>
    <mergeCell ref="A1:F1"/>
    <mergeCell ref="C41:D41"/>
    <mergeCell ref="A41:B41"/>
    <mergeCell ref="A42:B42"/>
    <mergeCell ref="A43:B43"/>
  </mergeCells>
  <conditionalFormatting sqref="F2:F3 F5:F65536">
    <cfRule type="cellIs" dxfId="5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7"/>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23</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793</v>
      </c>
      <c r="B7" s="26" t="s">
        <v>792</v>
      </c>
      <c r="C7" s="26" t="s">
        <v>166</v>
      </c>
      <c r="D7" s="30">
        <v>68</v>
      </c>
      <c r="E7" s="28">
        <v>833.14823999999999</v>
      </c>
      <c r="F7" s="29">
        <v>11.757374174015901</v>
      </c>
    </row>
    <row r="8" spans="1:6" x14ac:dyDescent="0.2">
      <c r="A8" s="26" t="s">
        <v>780</v>
      </c>
      <c r="B8" s="26" t="s">
        <v>779</v>
      </c>
      <c r="C8" s="26" t="s">
        <v>539</v>
      </c>
      <c r="D8" s="30">
        <v>71</v>
      </c>
      <c r="E8" s="28">
        <v>750.53035</v>
      </c>
      <c r="F8" s="29">
        <v>10.5914718776879</v>
      </c>
    </row>
    <row r="9" spans="1:6" x14ac:dyDescent="0.2">
      <c r="A9" s="26" t="s">
        <v>787</v>
      </c>
      <c r="B9" s="26" t="s">
        <v>786</v>
      </c>
      <c r="C9" s="26" t="s">
        <v>166</v>
      </c>
      <c r="D9" s="30">
        <v>71</v>
      </c>
      <c r="E9" s="28">
        <v>746.45636999999999</v>
      </c>
      <c r="F9" s="29">
        <v>10.5339799393535</v>
      </c>
    </row>
    <row r="10" spans="1:6" x14ac:dyDescent="0.2">
      <c r="A10" s="26" t="s">
        <v>785</v>
      </c>
      <c r="B10" s="26" t="s">
        <v>784</v>
      </c>
      <c r="C10" s="26" t="s">
        <v>166</v>
      </c>
      <c r="D10" s="30">
        <v>70</v>
      </c>
      <c r="E10" s="28">
        <v>740.41309999999999</v>
      </c>
      <c r="F10" s="29">
        <v>10.4486974131315</v>
      </c>
    </row>
    <row r="11" spans="1:6" x14ac:dyDescent="0.2">
      <c r="A11" s="26" t="s">
        <v>797</v>
      </c>
      <c r="B11" s="26" t="s">
        <v>796</v>
      </c>
      <c r="C11" s="26" t="s">
        <v>589</v>
      </c>
      <c r="D11" s="30">
        <v>70000</v>
      </c>
      <c r="E11" s="28">
        <v>736.70519999999999</v>
      </c>
      <c r="F11" s="29">
        <v>10.396371589698401</v>
      </c>
    </row>
    <row r="12" spans="1:6" x14ac:dyDescent="0.2">
      <c r="A12" s="26" t="s">
        <v>165</v>
      </c>
      <c r="B12" s="26" t="s">
        <v>164</v>
      </c>
      <c r="C12" s="26" t="s">
        <v>166</v>
      </c>
      <c r="D12" s="30">
        <v>69</v>
      </c>
      <c r="E12" s="28">
        <v>728.76903000000004</v>
      </c>
      <c r="F12" s="29">
        <v>10.284376490004499</v>
      </c>
    </row>
    <row r="13" spans="1:6" x14ac:dyDescent="0.2">
      <c r="A13" s="26" t="s">
        <v>604</v>
      </c>
      <c r="B13" s="26" t="s">
        <v>603</v>
      </c>
      <c r="C13" s="26" t="s">
        <v>605</v>
      </c>
      <c r="D13" s="30">
        <v>70</v>
      </c>
      <c r="E13" s="28">
        <v>724.76179999999999</v>
      </c>
      <c r="F13" s="29">
        <v>10.2278265265654</v>
      </c>
    </row>
    <row r="14" spans="1:6" x14ac:dyDescent="0.2">
      <c r="A14" s="26" t="s">
        <v>667</v>
      </c>
      <c r="B14" s="26" t="s">
        <v>666</v>
      </c>
      <c r="C14" s="26" t="s">
        <v>539</v>
      </c>
      <c r="D14" s="30">
        <v>47</v>
      </c>
      <c r="E14" s="28">
        <v>574.60131999999999</v>
      </c>
      <c r="F14" s="29">
        <v>8.1087643180083493</v>
      </c>
    </row>
    <row r="15" spans="1:6" x14ac:dyDescent="0.2">
      <c r="A15" s="26" t="s">
        <v>795</v>
      </c>
      <c r="B15" s="26" t="s">
        <v>794</v>
      </c>
      <c r="C15" s="26" t="s">
        <v>539</v>
      </c>
      <c r="D15" s="30">
        <v>31</v>
      </c>
      <c r="E15" s="28">
        <v>330.64600000000002</v>
      </c>
      <c r="F15" s="29">
        <v>4.6660708797052397</v>
      </c>
    </row>
    <row r="16" spans="1:6" x14ac:dyDescent="0.2">
      <c r="A16" s="26" t="s">
        <v>789</v>
      </c>
      <c r="B16" s="26" t="s">
        <v>788</v>
      </c>
      <c r="C16" s="26" t="s">
        <v>336</v>
      </c>
      <c r="D16" s="30">
        <v>20</v>
      </c>
      <c r="E16" s="28">
        <v>240.4162</v>
      </c>
      <c r="F16" s="29">
        <v>3.3927494354366599</v>
      </c>
    </row>
    <row r="17" spans="1:9" x14ac:dyDescent="0.2">
      <c r="A17" s="26" t="s">
        <v>609</v>
      </c>
      <c r="B17" s="26" t="s">
        <v>608</v>
      </c>
      <c r="C17" s="26" t="s">
        <v>166</v>
      </c>
      <c r="D17" s="30">
        <v>22</v>
      </c>
      <c r="E17" s="28">
        <v>231.67385999999999</v>
      </c>
      <c r="F17" s="29">
        <v>3.26937767804512</v>
      </c>
    </row>
    <row r="18" spans="1:9" x14ac:dyDescent="0.2">
      <c r="A18" s="26" t="s">
        <v>721</v>
      </c>
      <c r="B18" s="26" t="s">
        <v>720</v>
      </c>
      <c r="C18" s="26" t="s">
        <v>722</v>
      </c>
      <c r="D18" s="30">
        <v>11</v>
      </c>
      <c r="E18" s="28">
        <v>119.60498</v>
      </c>
      <c r="F18" s="29">
        <v>1.6878634982601499</v>
      </c>
    </row>
    <row r="19" spans="1:9" x14ac:dyDescent="0.2">
      <c r="A19" s="26" t="s">
        <v>778</v>
      </c>
      <c r="B19" s="26" t="s">
        <v>777</v>
      </c>
      <c r="C19" s="26" t="s">
        <v>166</v>
      </c>
      <c r="D19" s="30">
        <v>2</v>
      </c>
      <c r="E19" s="28">
        <v>24.6082</v>
      </c>
      <c r="F19" s="29">
        <v>0.34727051112659002</v>
      </c>
    </row>
    <row r="20" spans="1:9" x14ac:dyDescent="0.2">
      <c r="A20" s="26" t="s">
        <v>637</v>
      </c>
      <c r="B20" s="26" t="s">
        <v>636</v>
      </c>
      <c r="C20" s="26" t="s">
        <v>166</v>
      </c>
      <c r="D20" s="30">
        <v>1</v>
      </c>
      <c r="E20" s="28">
        <v>10.587910000000001</v>
      </c>
      <c r="F20" s="29">
        <v>0.149416410686776</v>
      </c>
    </row>
    <row r="21" spans="1:9" ht="10.5" x14ac:dyDescent="0.25">
      <c r="A21" s="25" t="s">
        <v>167</v>
      </c>
      <c r="B21" s="25"/>
      <c r="C21" s="25"/>
      <c r="D21" s="31"/>
      <c r="E21" s="32">
        <f>SUM(E6:E20)</f>
        <v>6792.9225599999991</v>
      </c>
      <c r="F21" s="33">
        <f>SUM(F6:F20)</f>
        <v>95.861610741726011</v>
      </c>
      <c r="G21" s="17"/>
      <c r="H21" s="17"/>
      <c r="I21" s="17"/>
    </row>
    <row r="22" spans="1:9" x14ac:dyDescent="0.2">
      <c r="A22" s="26"/>
      <c r="B22" s="26"/>
      <c r="C22" s="26"/>
      <c r="D22" s="27"/>
      <c r="E22" s="28"/>
      <c r="F22" s="29"/>
    </row>
    <row r="23" spans="1:9" ht="10.5" x14ac:dyDescent="0.25">
      <c r="A23" s="25" t="s">
        <v>205</v>
      </c>
      <c r="B23" s="25"/>
      <c r="C23" s="25"/>
      <c r="D23" s="31"/>
      <c r="E23" s="32">
        <f>E21</f>
        <v>6792.9225599999991</v>
      </c>
      <c r="F23" s="33">
        <f>F21</f>
        <v>95.861610741726011</v>
      </c>
      <c r="G23" s="17"/>
      <c r="H23" s="17"/>
      <c r="I23" s="17"/>
    </row>
    <row r="24" spans="1:9" ht="10.5" x14ac:dyDescent="0.25">
      <c r="A24" s="25"/>
      <c r="B24" s="25"/>
      <c r="C24" s="25"/>
      <c r="D24" s="31"/>
      <c r="E24" s="32"/>
      <c r="F24" s="33"/>
      <c r="G24" s="17"/>
      <c r="H24" s="17"/>
      <c r="I24" s="17"/>
    </row>
    <row r="25" spans="1:9" ht="10.5" x14ac:dyDescent="0.25">
      <c r="A25" s="25" t="s">
        <v>207</v>
      </c>
      <c r="B25" s="25"/>
      <c r="C25" s="25"/>
      <c r="D25" s="31"/>
      <c r="E25" s="32">
        <f>E27-(E21)</f>
        <v>293.2535510000007</v>
      </c>
      <c r="F25" s="33">
        <f>F27-(F21)</f>
        <v>4.138389258273989</v>
      </c>
      <c r="G25" s="17"/>
      <c r="H25" s="17"/>
      <c r="I25" s="17"/>
    </row>
    <row r="26" spans="1:9" ht="10.5" x14ac:dyDescent="0.25">
      <c r="A26" s="25"/>
      <c r="B26" s="25"/>
      <c r="C26" s="25"/>
      <c r="D26" s="31"/>
      <c r="E26" s="32"/>
      <c r="F26" s="33"/>
      <c r="G26" s="17"/>
      <c r="H26" s="17"/>
      <c r="I26" s="17"/>
    </row>
    <row r="27" spans="1:9" ht="10.5" x14ac:dyDescent="0.25">
      <c r="A27" s="34" t="s">
        <v>206</v>
      </c>
      <c r="B27" s="34"/>
      <c r="C27" s="34"/>
      <c r="D27" s="35"/>
      <c r="E27" s="36">
        <v>7086.1761109999998</v>
      </c>
      <c r="F27" s="37">
        <v>100</v>
      </c>
      <c r="G27" s="17"/>
      <c r="H27" s="17"/>
      <c r="I27" s="17"/>
    </row>
    <row r="29" spans="1:9" ht="10.5" x14ac:dyDescent="0.25">
      <c r="A29" s="17" t="s">
        <v>209</v>
      </c>
    </row>
    <row r="31" spans="1:9" ht="10.5" x14ac:dyDescent="0.25">
      <c r="A31" s="17" t="s">
        <v>210</v>
      </c>
    </row>
    <row r="32" spans="1:9" ht="10.5" x14ac:dyDescent="0.25">
      <c r="A32" s="17" t="s">
        <v>211</v>
      </c>
    </row>
    <row r="33" spans="1:5" ht="10.5" x14ac:dyDescent="0.25">
      <c r="A33" s="17" t="s">
        <v>212</v>
      </c>
      <c r="B33" s="17"/>
      <c r="C33" s="38" t="s">
        <v>214</v>
      </c>
      <c r="D33" s="18" t="s">
        <v>213</v>
      </c>
    </row>
    <row r="34" spans="1:5" x14ac:dyDescent="0.2">
      <c r="A34" s="10" t="s">
        <v>486</v>
      </c>
      <c r="C34" s="39">
        <v>11.129099999999999</v>
      </c>
      <c r="D34" s="39">
        <v>11.81</v>
      </c>
    </row>
    <row r="35" spans="1:5" x14ac:dyDescent="0.2">
      <c r="A35" s="10" t="s">
        <v>783</v>
      </c>
      <c r="C35" s="39">
        <v>10.3545</v>
      </c>
      <c r="D35" s="39">
        <v>10.988</v>
      </c>
    </row>
    <row r="36" spans="1:5" x14ac:dyDescent="0.2">
      <c r="A36" s="10" t="s">
        <v>488</v>
      </c>
      <c r="C36" s="39">
        <v>10.3439</v>
      </c>
      <c r="D36" s="39">
        <v>10.5314</v>
      </c>
    </row>
    <row r="37" spans="1:5" x14ac:dyDescent="0.2">
      <c r="A37" s="10" t="s">
        <v>489</v>
      </c>
      <c r="C37" s="39">
        <v>11.1586</v>
      </c>
      <c r="D37" s="39">
        <v>11.856</v>
      </c>
    </row>
    <row r="38" spans="1:5" x14ac:dyDescent="0.2">
      <c r="A38" s="10" t="s">
        <v>521</v>
      </c>
      <c r="C38" s="39">
        <v>10.383900000000001</v>
      </c>
      <c r="D38" s="39">
        <v>11.0329</v>
      </c>
    </row>
    <row r="40" spans="1:5" ht="10.5" x14ac:dyDescent="0.25">
      <c r="A40" s="17" t="s">
        <v>226</v>
      </c>
    </row>
    <row r="41" spans="1:5" ht="10.5" x14ac:dyDescent="0.25">
      <c r="A41" s="147" t="s">
        <v>401</v>
      </c>
      <c r="B41" s="148"/>
      <c r="C41" s="145" t="s">
        <v>402</v>
      </c>
      <c r="D41" s="146"/>
    </row>
    <row r="42" spans="1:5" ht="10.5" x14ac:dyDescent="0.25">
      <c r="A42" s="147"/>
      <c r="B42" s="148"/>
      <c r="C42" s="43" t="s">
        <v>403</v>
      </c>
      <c r="D42" s="44" t="s">
        <v>404</v>
      </c>
    </row>
    <row r="43" spans="1:5" x14ac:dyDescent="0.2">
      <c r="A43" s="141" t="s">
        <v>488</v>
      </c>
      <c r="B43" s="142"/>
      <c r="C43" s="45">
        <v>0.39662500000000001</v>
      </c>
      <c r="D43" s="45">
        <v>0.39662500000000001</v>
      </c>
    </row>
    <row r="45" spans="1:5" ht="10.5" x14ac:dyDescent="0.25">
      <c r="A45" s="17" t="s">
        <v>228</v>
      </c>
      <c r="D45" s="41">
        <v>1.5191148327945203</v>
      </c>
      <c r="E45" s="15" t="s">
        <v>229</v>
      </c>
    </row>
    <row r="46" spans="1:5" ht="49" customHeight="1" x14ac:dyDescent="0.2">
      <c r="A46" s="139" t="s">
        <v>1596</v>
      </c>
      <c r="B46" s="140"/>
      <c r="C46" s="140"/>
      <c r="D46" s="140"/>
      <c r="E46" s="140"/>
    </row>
    <row r="47" spans="1:5" ht="10.5" x14ac:dyDescent="0.25">
      <c r="A47" s="17" t="s">
        <v>230</v>
      </c>
      <c r="D47" s="40" t="s">
        <v>227</v>
      </c>
    </row>
  </sheetData>
  <mergeCells count="6">
    <mergeCell ref="A46:E46"/>
    <mergeCell ref="A1:F1"/>
    <mergeCell ref="C41:D41"/>
    <mergeCell ref="A41:B41"/>
    <mergeCell ref="A42:B42"/>
    <mergeCell ref="A43:B43"/>
  </mergeCells>
  <conditionalFormatting sqref="F2:F3 F5:F65536">
    <cfRule type="cellIs" dxfId="5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3"/>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24</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625</v>
      </c>
      <c r="B7" s="26" t="s">
        <v>624</v>
      </c>
      <c r="C7" s="26" t="s">
        <v>166</v>
      </c>
      <c r="D7" s="30">
        <v>37</v>
      </c>
      <c r="E7" s="28">
        <v>455.48665</v>
      </c>
      <c r="F7" s="29">
        <v>12.0236546231798</v>
      </c>
    </row>
    <row r="8" spans="1:6" x14ac:dyDescent="0.2">
      <c r="A8" s="26" t="s">
        <v>724</v>
      </c>
      <c r="B8" s="26" t="s">
        <v>723</v>
      </c>
      <c r="C8" s="26" t="s">
        <v>589</v>
      </c>
      <c r="D8" s="30">
        <v>37</v>
      </c>
      <c r="E8" s="28">
        <v>389.73579999999998</v>
      </c>
      <c r="F8" s="29">
        <v>10.288004387151</v>
      </c>
    </row>
    <row r="9" spans="1:6" x14ac:dyDescent="0.2">
      <c r="A9" s="26" t="s">
        <v>669</v>
      </c>
      <c r="B9" s="26" t="s">
        <v>668</v>
      </c>
      <c r="C9" s="26" t="s">
        <v>166</v>
      </c>
      <c r="D9" s="30">
        <v>37</v>
      </c>
      <c r="E9" s="28">
        <v>384.9665</v>
      </c>
      <c r="F9" s="29">
        <v>10.162107358128599</v>
      </c>
    </row>
    <row r="10" spans="1:6" x14ac:dyDescent="0.2">
      <c r="A10" s="26" t="s">
        <v>795</v>
      </c>
      <c r="B10" s="26" t="s">
        <v>794</v>
      </c>
      <c r="C10" s="26" t="s">
        <v>539</v>
      </c>
      <c r="D10" s="30">
        <v>36</v>
      </c>
      <c r="E10" s="28">
        <v>383.976</v>
      </c>
      <c r="F10" s="29">
        <v>10.135960752285699</v>
      </c>
    </row>
    <row r="11" spans="1:6" x14ac:dyDescent="0.2">
      <c r="A11" s="26" t="s">
        <v>165</v>
      </c>
      <c r="B11" s="26" t="s">
        <v>164</v>
      </c>
      <c r="C11" s="26" t="s">
        <v>166</v>
      </c>
      <c r="D11" s="30">
        <v>36</v>
      </c>
      <c r="E11" s="28">
        <v>380.22732000000002</v>
      </c>
      <c r="F11" s="29">
        <v>10.0370054182209</v>
      </c>
    </row>
    <row r="12" spans="1:6" x14ac:dyDescent="0.2">
      <c r="A12" s="26" t="s">
        <v>604</v>
      </c>
      <c r="B12" s="26" t="s">
        <v>603</v>
      </c>
      <c r="C12" s="26" t="s">
        <v>605</v>
      </c>
      <c r="D12" s="30">
        <v>33</v>
      </c>
      <c r="E12" s="28">
        <v>341.67342000000002</v>
      </c>
      <c r="F12" s="29">
        <v>9.0192834323479403</v>
      </c>
    </row>
    <row r="13" spans="1:6" x14ac:dyDescent="0.2">
      <c r="A13" s="26" t="s">
        <v>637</v>
      </c>
      <c r="B13" s="26" t="s">
        <v>636</v>
      </c>
      <c r="C13" s="26" t="s">
        <v>166</v>
      </c>
      <c r="D13" s="30">
        <v>27</v>
      </c>
      <c r="E13" s="28">
        <v>285.87356999999997</v>
      </c>
      <c r="F13" s="29">
        <v>7.5463135342724597</v>
      </c>
    </row>
    <row r="14" spans="1:6" x14ac:dyDescent="0.2">
      <c r="A14" s="26" t="s">
        <v>799</v>
      </c>
      <c r="B14" s="26" t="s">
        <v>798</v>
      </c>
      <c r="C14" s="26" t="s">
        <v>166</v>
      </c>
      <c r="D14" s="30">
        <v>21</v>
      </c>
      <c r="E14" s="28">
        <v>258.55788000000001</v>
      </c>
      <c r="F14" s="29">
        <v>6.8252508591010903</v>
      </c>
    </row>
    <row r="15" spans="1:6" x14ac:dyDescent="0.2">
      <c r="A15" s="26" t="s">
        <v>653</v>
      </c>
      <c r="B15" s="26" t="s">
        <v>652</v>
      </c>
      <c r="C15" s="26" t="s">
        <v>589</v>
      </c>
      <c r="D15" s="30">
        <v>20</v>
      </c>
      <c r="E15" s="28">
        <v>212.52019999999999</v>
      </c>
      <c r="F15" s="29">
        <v>5.6099766815319398</v>
      </c>
    </row>
    <row r="16" spans="1:6" x14ac:dyDescent="0.2">
      <c r="A16" s="26" t="s">
        <v>667</v>
      </c>
      <c r="B16" s="26" t="s">
        <v>666</v>
      </c>
      <c r="C16" s="26" t="s">
        <v>539</v>
      </c>
      <c r="D16" s="30">
        <v>12</v>
      </c>
      <c r="E16" s="28">
        <v>146.70671999999999</v>
      </c>
      <c r="F16" s="29">
        <v>3.87267317753341</v>
      </c>
    </row>
    <row r="17" spans="1:9" x14ac:dyDescent="0.2">
      <c r="A17" s="26" t="s">
        <v>609</v>
      </c>
      <c r="B17" s="26" t="s">
        <v>608</v>
      </c>
      <c r="C17" s="26" t="s">
        <v>166</v>
      </c>
      <c r="D17" s="30">
        <v>10</v>
      </c>
      <c r="E17" s="28">
        <v>105.30629999999999</v>
      </c>
      <c r="F17" s="29">
        <v>2.77981051880437</v>
      </c>
    </row>
    <row r="18" spans="1:9" x14ac:dyDescent="0.2">
      <c r="A18" s="26" t="s">
        <v>663</v>
      </c>
      <c r="B18" s="26" t="s">
        <v>662</v>
      </c>
      <c r="C18" s="26" t="s">
        <v>166</v>
      </c>
      <c r="D18" s="30">
        <v>8</v>
      </c>
      <c r="E18" s="28">
        <v>98.908640000000005</v>
      </c>
      <c r="F18" s="29">
        <v>2.6109290505186702</v>
      </c>
    </row>
    <row r="19" spans="1:9" x14ac:dyDescent="0.2">
      <c r="A19" s="26" t="s">
        <v>774</v>
      </c>
      <c r="B19" s="26" t="s">
        <v>773</v>
      </c>
      <c r="C19" s="26" t="s">
        <v>166</v>
      </c>
      <c r="D19" s="30">
        <v>3</v>
      </c>
      <c r="E19" s="28">
        <v>37.10904</v>
      </c>
      <c r="F19" s="29">
        <v>0.97958146601610696</v>
      </c>
    </row>
    <row r="20" spans="1:9" x14ac:dyDescent="0.2">
      <c r="A20" s="26" t="s">
        <v>789</v>
      </c>
      <c r="B20" s="26" t="s">
        <v>788</v>
      </c>
      <c r="C20" s="26" t="s">
        <v>336</v>
      </c>
      <c r="D20" s="30">
        <v>3</v>
      </c>
      <c r="E20" s="28">
        <v>36.062429999999999</v>
      </c>
      <c r="F20" s="29">
        <v>0.95195370312741101</v>
      </c>
    </row>
    <row r="21" spans="1:9" x14ac:dyDescent="0.2">
      <c r="A21" s="26" t="s">
        <v>611</v>
      </c>
      <c r="B21" s="26" t="s">
        <v>610</v>
      </c>
      <c r="C21" s="26" t="s">
        <v>166</v>
      </c>
      <c r="D21" s="30">
        <v>3</v>
      </c>
      <c r="E21" s="28">
        <v>31.479959999999998</v>
      </c>
      <c r="F21" s="29">
        <v>0.83098849679022702</v>
      </c>
    </row>
    <row r="22" spans="1:9" x14ac:dyDescent="0.2">
      <c r="A22" s="26" t="s">
        <v>801</v>
      </c>
      <c r="B22" s="26" t="s">
        <v>800</v>
      </c>
      <c r="C22" s="26" t="s">
        <v>539</v>
      </c>
      <c r="D22" s="30">
        <v>3</v>
      </c>
      <c r="E22" s="28">
        <v>31.196940000000001</v>
      </c>
      <c r="F22" s="29">
        <v>0.82351751003034601</v>
      </c>
    </row>
    <row r="23" spans="1:9" x14ac:dyDescent="0.2">
      <c r="A23" s="26" t="s">
        <v>778</v>
      </c>
      <c r="B23" s="26" t="s">
        <v>777</v>
      </c>
      <c r="C23" s="26" t="s">
        <v>166</v>
      </c>
      <c r="D23" s="30">
        <v>2</v>
      </c>
      <c r="E23" s="28">
        <v>24.6082</v>
      </c>
      <c r="F23" s="29">
        <v>0.649592030190421</v>
      </c>
    </row>
    <row r="24" spans="1:9" ht="10.5" x14ac:dyDescent="0.25">
      <c r="A24" s="25" t="s">
        <v>167</v>
      </c>
      <c r="B24" s="25"/>
      <c r="C24" s="25"/>
      <c r="D24" s="31"/>
      <c r="E24" s="32">
        <f>SUM(E6:E23)</f>
        <v>3604.3955700000001</v>
      </c>
      <c r="F24" s="33">
        <f>SUM(F6:F23)</f>
        <v>95.146602999230367</v>
      </c>
      <c r="G24" s="17"/>
      <c r="H24" s="17"/>
      <c r="I24" s="17"/>
    </row>
    <row r="25" spans="1:9" x14ac:dyDescent="0.2">
      <c r="A25" s="26"/>
      <c r="B25" s="26"/>
      <c r="C25" s="26"/>
      <c r="D25" s="27"/>
      <c r="E25" s="28"/>
      <c r="F25" s="29"/>
    </row>
    <row r="26" spans="1:9" ht="10.5" x14ac:dyDescent="0.25">
      <c r="A26" s="25" t="s">
        <v>205</v>
      </c>
      <c r="B26" s="25"/>
      <c r="C26" s="25"/>
      <c r="D26" s="31"/>
      <c r="E26" s="32">
        <f>E24</f>
        <v>3604.3955700000001</v>
      </c>
      <c r="F26" s="33">
        <f>F24</f>
        <v>95.146602999230367</v>
      </c>
      <c r="G26" s="17"/>
      <c r="H26" s="17"/>
      <c r="I26" s="17"/>
    </row>
    <row r="27" spans="1:9" ht="10.5" x14ac:dyDescent="0.25">
      <c r="A27" s="25"/>
      <c r="B27" s="25"/>
      <c r="C27" s="25"/>
      <c r="D27" s="31"/>
      <c r="E27" s="32"/>
      <c r="F27" s="33"/>
      <c r="G27" s="17"/>
      <c r="H27" s="17"/>
      <c r="I27" s="17"/>
    </row>
    <row r="28" spans="1:9" ht="10.5" x14ac:dyDescent="0.25">
      <c r="A28" s="25" t="s">
        <v>207</v>
      </c>
      <c r="B28" s="25"/>
      <c r="C28" s="25"/>
      <c r="D28" s="31"/>
      <c r="E28" s="32">
        <f>E30-(E24)</f>
        <v>183.85903539999981</v>
      </c>
      <c r="F28" s="33">
        <f>F30-(F24)</f>
        <v>4.8533970007696325</v>
      </c>
      <c r="G28" s="17"/>
      <c r="H28" s="17"/>
      <c r="I28" s="17"/>
    </row>
    <row r="29" spans="1:9" ht="10.5" x14ac:dyDescent="0.25">
      <c r="A29" s="25"/>
      <c r="B29" s="25"/>
      <c r="C29" s="25"/>
      <c r="D29" s="31"/>
      <c r="E29" s="32"/>
      <c r="F29" s="33"/>
      <c r="G29" s="17"/>
      <c r="H29" s="17"/>
      <c r="I29" s="17"/>
    </row>
    <row r="30" spans="1:9" ht="10.5" x14ac:dyDescent="0.25">
      <c r="A30" s="34" t="s">
        <v>206</v>
      </c>
      <c r="B30" s="34"/>
      <c r="C30" s="34"/>
      <c r="D30" s="35"/>
      <c r="E30" s="36">
        <v>3788.2546053999999</v>
      </c>
      <c r="F30" s="37">
        <v>100</v>
      </c>
      <c r="G30" s="17"/>
      <c r="H30" s="17"/>
      <c r="I30" s="17"/>
    </row>
    <row r="32" spans="1:9" ht="10.5" x14ac:dyDescent="0.25">
      <c r="A32" s="17" t="s">
        <v>209</v>
      </c>
    </row>
    <row r="34" spans="1:4" ht="10.5" x14ac:dyDescent="0.25">
      <c r="A34" s="17" t="s">
        <v>210</v>
      </c>
    </row>
    <row r="35" spans="1:4" ht="10.5" x14ac:dyDescent="0.25">
      <c r="A35" s="17" t="s">
        <v>211</v>
      </c>
    </row>
    <row r="36" spans="1:4" ht="10.5" x14ac:dyDescent="0.25">
      <c r="A36" s="17" t="s">
        <v>212</v>
      </c>
      <c r="B36" s="17"/>
      <c r="C36" s="38" t="s">
        <v>214</v>
      </c>
      <c r="D36" s="18" t="s">
        <v>213</v>
      </c>
    </row>
    <row r="37" spans="1:4" x14ac:dyDescent="0.2">
      <c r="A37" s="10" t="s">
        <v>486</v>
      </c>
      <c r="C37" s="39">
        <v>11.1958</v>
      </c>
      <c r="D37" s="39">
        <v>11.9232</v>
      </c>
    </row>
    <row r="38" spans="1:4" x14ac:dyDescent="0.2">
      <c r="A38" s="10" t="s">
        <v>783</v>
      </c>
      <c r="C38" s="39">
        <v>10.3881</v>
      </c>
      <c r="D38" s="39">
        <v>11.0627</v>
      </c>
    </row>
    <row r="39" spans="1:4" x14ac:dyDescent="0.2">
      <c r="A39" s="10" t="s">
        <v>488</v>
      </c>
      <c r="C39" s="39">
        <v>10.375999999999999</v>
      </c>
      <c r="D39" s="39">
        <v>10.6267</v>
      </c>
    </row>
    <row r="40" spans="1:4" x14ac:dyDescent="0.2">
      <c r="A40" s="10" t="s">
        <v>489</v>
      </c>
      <c r="C40" s="39">
        <v>11.2271</v>
      </c>
      <c r="D40" s="39">
        <v>11.971399999999999</v>
      </c>
    </row>
    <row r="41" spans="1:4" x14ac:dyDescent="0.2">
      <c r="A41" s="10" t="s">
        <v>521</v>
      </c>
      <c r="C41" s="39">
        <v>10.4192</v>
      </c>
      <c r="D41" s="39">
        <v>11.1099</v>
      </c>
    </row>
    <row r="42" spans="1:4" x14ac:dyDescent="0.2">
      <c r="A42" s="10" t="s">
        <v>491</v>
      </c>
      <c r="C42" s="39">
        <v>10.406700000000001</v>
      </c>
      <c r="D42" s="39">
        <v>10.674799999999999</v>
      </c>
    </row>
    <row r="44" spans="1:4" ht="10.5" x14ac:dyDescent="0.25">
      <c r="A44" s="17" t="s">
        <v>226</v>
      </c>
    </row>
    <row r="45" spans="1:4" ht="10.5" x14ac:dyDescent="0.25">
      <c r="A45" s="147" t="s">
        <v>401</v>
      </c>
      <c r="B45" s="148"/>
      <c r="C45" s="145" t="s">
        <v>402</v>
      </c>
      <c r="D45" s="146"/>
    </row>
    <row r="46" spans="1:4" ht="10.5" x14ac:dyDescent="0.25">
      <c r="A46" s="147"/>
      <c r="B46" s="148"/>
      <c r="C46" s="43" t="s">
        <v>403</v>
      </c>
      <c r="D46" s="44" t="s">
        <v>404</v>
      </c>
    </row>
    <row r="47" spans="1:4" x14ac:dyDescent="0.2">
      <c r="A47" s="141" t="s">
        <v>488</v>
      </c>
      <c r="B47" s="142"/>
      <c r="C47" s="45">
        <v>0.336267767</v>
      </c>
      <c r="D47" s="45">
        <v>0.3250747061</v>
      </c>
    </row>
    <row r="48" spans="1:4" x14ac:dyDescent="0.2">
      <c r="A48" s="141" t="s">
        <v>491</v>
      </c>
      <c r="B48" s="142"/>
      <c r="C48" s="45">
        <v>0.336267767</v>
      </c>
      <c r="D48" s="45">
        <v>0.3250747061</v>
      </c>
    </row>
    <row r="50" spans="1:6" ht="10.5" x14ac:dyDescent="0.25">
      <c r="A50" s="17" t="s">
        <v>228</v>
      </c>
      <c r="D50" s="41">
        <v>1.471185824547945</v>
      </c>
      <c r="E50" s="15" t="s">
        <v>229</v>
      </c>
    </row>
    <row r="51" spans="1:6" ht="47.5" customHeight="1" x14ac:dyDescent="0.2">
      <c r="A51" s="139" t="s">
        <v>1596</v>
      </c>
      <c r="B51" s="140"/>
      <c r="C51" s="140"/>
      <c r="D51" s="140"/>
      <c r="E51" s="140"/>
    </row>
    <row r="52" spans="1:6" s="78" customFormat="1" ht="14.5" x14ac:dyDescent="0.2">
      <c r="A52" s="137"/>
      <c r="B52" s="138"/>
      <c r="C52" s="138"/>
      <c r="D52" s="138"/>
      <c r="E52" s="138"/>
      <c r="F52" s="83"/>
    </row>
    <row r="53" spans="1:6" ht="10.5" x14ac:dyDescent="0.25">
      <c r="A53" s="17" t="s">
        <v>230</v>
      </c>
      <c r="D53" s="40" t="s">
        <v>227</v>
      </c>
    </row>
  </sheetData>
  <mergeCells count="7">
    <mergeCell ref="A51:E51"/>
    <mergeCell ref="A48:B48"/>
    <mergeCell ref="A1:F1"/>
    <mergeCell ref="C45:D45"/>
    <mergeCell ref="A45:B45"/>
    <mergeCell ref="A46:B46"/>
    <mergeCell ref="A47:B47"/>
  </mergeCells>
  <conditionalFormatting sqref="F2:F3 F5:F65537">
    <cfRule type="cellIs" dxfId="5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0"/>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25</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625</v>
      </c>
      <c r="B7" s="26" t="s">
        <v>624</v>
      </c>
      <c r="C7" s="26" t="s">
        <v>166</v>
      </c>
      <c r="D7" s="30">
        <v>47</v>
      </c>
      <c r="E7" s="28">
        <v>578.59114999999997</v>
      </c>
      <c r="F7" s="29">
        <v>12.0408696376323</v>
      </c>
    </row>
    <row r="8" spans="1:6" x14ac:dyDescent="0.2">
      <c r="A8" s="26" t="s">
        <v>724</v>
      </c>
      <c r="B8" s="26" t="s">
        <v>723</v>
      </c>
      <c r="C8" s="26" t="s">
        <v>589</v>
      </c>
      <c r="D8" s="30">
        <v>47</v>
      </c>
      <c r="E8" s="28">
        <v>495.06979999999999</v>
      </c>
      <c r="F8" s="29">
        <v>10.302734363166</v>
      </c>
    </row>
    <row r="9" spans="1:6" x14ac:dyDescent="0.2">
      <c r="A9" s="26" t="s">
        <v>165</v>
      </c>
      <c r="B9" s="26" t="s">
        <v>164</v>
      </c>
      <c r="C9" s="26" t="s">
        <v>166</v>
      </c>
      <c r="D9" s="30">
        <v>46</v>
      </c>
      <c r="E9" s="28">
        <v>485.84602000000001</v>
      </c>
      <c r="F9" s="29">
        <v>10.1107813190411</v>
      </c>
    </row>
    <row r="10" spans="1:6" x14ac:dyDescent="0.2">
      <c r="A10" s="26" t="s">
        <v>675</v>
      </c>
      <c r="B10" s="26" t="s">
        <v>674</v>
      </c>
      <c r="C10" s="26" t="s">
        <v>166</v>
      </c>
      <c r="D10" s="30">
        <v>47</v>
      </c>
      <c r="E10" s="28">
        <v>484.83366999999998</v>
      </c>
      <c r="F10" s="29">
        <v>10.089713637003999</v>
      </c>
    </row>
    <row r="11" spans="1:6" x14ac:dyDescent="0.2">
      <c r="A11" s="26" t="s">
        <v>611</v>
      </c>
      <c r="B11" s="26" t="s">
        <v>610</v>
      </c>
      <c r="C11" s="26" t="s">
        <v>166</v>
      </c>
      <c r="D11" s="30">
        <v>45</v>
      </c>
      <c r="E11" s="28">
        <v>472.19940000000003</v>
      </c>
      <c r="F11" s="29">
        <v>9.8267860100663604</v>
      </c>
    </row>
    <row r="12" spans="1:6" x14ac:dyDescent="0.2">
      <c r="A12" s="26" t="s">
        <v>667</v>
      </c>
      <c r="B12" s="26" t="s">
        <v>666</v>
      </c>
      <c r="C12" s="26" t="s">
        <v>539</v>
      </c>
      <c r="D12" s="30">
        <v>38</v>
      </c>
      <c r="E12" s="28">
        <v>464.57128</v>
      </c>
      <c r="F12" s="29">
        <v>9.6680397200475507</v>
      </c>
    </row>
    <row r="13" spans="1:6" x14ac:dyDescent="0.2">
      <c r="A13" s="26" t="s">
        <v>803</v>
      </c>
      <c r="B13" s="26" t="s">
        <v>802</v>
      </c>
      <c r="C13" s="26" t="s">
        <v>166</v>
      </c>
      <c r="D13" s="30">
        <v>35</v>
      </c>
      <c r="E13" s="28">
        <v>371.38010000000003</v>
      </c>
      <c r="F13" s="29">
        <v>7.7286688019871397</v>
      </c>
    </row>
    <row r="14" spans="1:6" x14ac:dyDescent="0.2">
      <c r="A14" s="26" t="s">
        <v>799</v>
      </c>
      <c r="B14" s="26" t="s">
        <v>798</v>
      </c>
      <c r="C14" s="26" t="s">
        <v>166</v>
      </c>
      <c r="D14" s="30">
        <v>29</v>
      </c>
      <c r="E14" s="28">
        <v>357.05612000000002</v>
      </c>
      <c r="F14" s="29">
        <v>7.4305771774055103</v>
      </c>
    </row>
    <row r="15" spans="1:6" x14ac:dyDescent="0.2">
      <c r="A15" s="26" t="s">
        <v>637</v>
      </c>
      <c r="B15" s="26" t="s">
        <v>636</v>
      </c>
      <c r="C15" s="26" t="s">
        <v>166</v>
      </c>
      <c r="D15" s="30">
        <v>24</v>
      </c>
      <c r="E15" s="28">
        <v>254.10983999999999</v>
      </c>
      <c r="F15" s="29">
        <v>5.2881960898980402</v>
      </c>
    </row>
    <row r="16" spans="1:6" x14ac:dyDescent="0.2">
      <c r="A16" s="26" t="s">
        <v>721</v>
      </c>
      <c r="B16" s="26" t="s">
        <v>720</v>
      </c>
      <c r="C16" s="26" t="s">
        <v>722</v>
      </c>
      <c r="D16" s="30">
        <v>22</v>
      </c>
      <c r="E16" s="28">
        <v>239.20996</v>
      </c>
      <c r="F16" s="29">
        <v>4.9781196003140504</v>
      </c>
    </row>
    <row r="17" spans="1:9" x14ac:dyDescent="0.2">
      <c r="A17" s="26" t="s">
        <v>669</v>
      </c>
      <c r="B17" s="26" t="s">
        <v>668</v>
      </c>
      <c r="C17" s="26" t="s">
        <v>166</v>
      </c>
      <c r="D17" s="30">
        <v>10</v>
      </c>
      <c r="E17" s="28">
        <v>104.045</v>
      </c>
      <c r="F17" s="29">
        <v>2.1652461871348301</v>
      </c>
    </row>
    <row r="18" spans="1:9" x14ac:dyDescent="0.2">
      <c r="A18" s="26" t="s">
        <v>609</v>
      </c>
      <c r="B18" s="26" t="s">
        <v>608</v>
      </c>
      <c r="C18" s="26" t="s">
        <v>166</v>
      </c>
      <c r="D18" s="30">
        <v>8</v>
      </c>
      <c r="E18" s="28">
        <v>84.245040000000003</v>
      </c>
      <c r="F18" s="29">
        <v>1.75319574842637</v>
      </c>
    </row>
    <row r="19" spans="1:9" x14ac:dyDescent="0.2">
      <c r="A19" s="26" t="s">
        <v>604</v>
      </c>
      <c r="B19" s="26" t="s">
        <v>603</v>
      </c>
      <c r="C19" s="26" t="s">
        <v>605</v>
      </c>
      <c r="D19" s="30">
        <v>6</v>
      </c>
      <c r="E19" s="28">
        <v>62.122439999999997</v>
      </c>
      <c r="F19" s="29">
        <v>1.2928096145467101</v>
      </c>
    </row>
    <row r="20" spans="1:9" x14ac:dyDescent="0.2">
      <c r="A20" s="26" t="s">
        <v>789</v>
      </c>
      <c r="B20" s="26" t="s">
        <v>788</v>
      </c>
      <c r="C20" s="26" t="s">
        <v>336</v>
      </c>
      <c r="D20" s="30">
        <v>5</v>
      </c>
      <c r="E20" s="28">
        <v>60.104050000000001</v>
      </c>
      <c r="F20" s="29">
        <v>1.2508055658019199</v>
      </c>
    </row>
    <row r="21" spans="1:9" x14ac:dyDescent="0.2">
      <c r="A21" s="26" t="s">
        <v>795</v>
      </c>
      <c r="B21" s="26" t="s">
        <v>794</v>
      </c>
      <c r="C21" s="26" t="s">
        <v>539</v>
      </c>
      <c r="D21" s="30">
        <v>4</v>
      </c>
      <c r="E21" s="28">
        <v>42.664000000000001</v>
      </c>
      <c r="F21" s="29">
        <v>0.88786643594521997</v>
      </c>
    </row>
    <row r="22" spans="1:9" x14ac:dyDescent="0.2">
      <c r="A22" s="26" t="s">
        <v>778</v>
      </c>
      <c r="B22" s="26" t="s">
        <v>777</v>
      </c>
      <c r="C22" s="26" t="s">
        <v>166</v>
      </c>
      <c r="D22" s="30">
        <v>1</v>
      </c>
      <c r="E22" s="28">
        <v>12.3041</v>
      </c>
      <c r="F22" s="29">
        <v>0.25605656793815801</v>
      </c>
    </row>
    <row r="23" spans="1:9" x14ac:dyDescent="0.2">
      <c r="A23" s="26" t="s">
        <v>607</v>
      </c>
      <c r="B23" s="26" t="s">
        <v>606</v>
      </c>
      <c r="C23" s="26" t="s">
        <v>598</v>
      </c>
      <c r="D23" s="30">
        <v>1</v>
      </c>
      <c r="E23" s="28">
        <v>10.39527</v>
      </c>
      <c r="F23" s="29">
        <v>0.216332536226989</v>
      </c>
    </row>
    <row r="24" spans="1:9" ht="10.5" x14ac:dyDescent="0.25">
      <c r="A24" s="25" t="s">
        <v>167</v>
      </c>
      <c r="B24" s="25"/>
      <c r="C24" s="25"/>
      <c r="D24" s="31"/>
      <c r="E24" s="32">
        <f>SUM(E6:E23)</f>
        <v>4578.7472399999997</v>
      </c>
      <c r="F24" s="33">
        <f>SUM(F6:F23)</f>
        <v>95.286799012582222</v>
      </c>
      <c r="G24" s="17"/>
      <c r="H24" s="17"/>
      <c r="I24" s="17"/>
    </row>
    <row r="25" spans="1:9" x14ac:dyDescent="0.2">
      <c r="A25" s="26"/>
      <c r="B25" s="26"/>
      <c r="C25" s="26"/>
      <c r="D25" s="27"/>
      <c r="E25" s="28"/>
      <c r="F25" s="29"/>
    </row>
    <row r="26" spans="1:9" ht="10.5" x14ac:dyDescent="0.25">
      <c r="A26" s="25" t="s">
        <v>205</v>
      </c>
      <c r="B26" s="25"/>
      <c r="C26" s="25"/>
      <c r="D26" s="31"/>
      <c r="E26" s="32">
        <f>E24</f>
        <v>4578.7472399999997</v>
      </c>
      <c r="F26" s="33">
        <f>F24</f>
        <v>95.286799012582222</v>
      </c>
      <c r="G26" s="17"/>
      <c r="H26" s="17"/>
      <c r="I26" s="17"/>
    </row>
    <row r="27" spans="1:9" ht="10.5" x14ac:dyDescent="0.25">
      <c r="A27" s="25"/>
      <c r="B27" s="25"/>
      <c r="C27" s="25"/>
      <c r="D27" s="31"/>
      <c r="E27" s="32"/>
      <c r="F27" s="33"/>
      <c r="G27" s="17"/>
      <c r="H27" s="17"/>
      <c r="I27" s="17"/>
    </row>
    <row r="28" spans="1:9" ht="10.5" x14ac:dyDescent="0.25">
      <c r="A28" s="25" t="s">
        <v>207</v>
      </c>
      <c r="B28" s="25"/>
      <c r="C28" s="25"/>
      <c r="D28" s="31"/>
      <c r="E28" s="32">
        <f>E30-(E24)</f>
        <v>226.48001860000022</v>
      </c>
      <c r="F28" s="33">
        <f>F30-(F24)</f>
        <v>4.7132009874177783</v>
      </c>
      <c r="G28" s="17"/>
      <c r="H28" s="17"/>
      <c r="I28" s="17"/>
    </row>
    <row r="29" spans="1:9" ht="10.5" x14ac:dyDescent="0.25">
      <c r="A29" s="25"/>
      <c r="B29" s="25"/>
      <c r="C29" s="25"/>
      <c r="D29" s="31"/>
      <c r="E29" s="32"/>
      <c r="F29" s="33"/>
      <c r="G29" s="17"/>
      <c r="H29" s="17"/>
      <c r="I29" s="17"/>
    </row>
    <row r="30" spans="1:9" ht="10.5" x14ac:dyDescent="0.25">
      <c r="A30" s="34" t="s">
        <v>206</v>
      </c>
      <c r="B30" s="34"/>
      <c r="C30" s="34"/>
      <c r="D30" s="35"/>
      <c r="E30" s="36">
        <v>4805.2272585999999</v>
      </c>
      <c r="F30" s="37">
        <v>100</v>
      </c>
      <c r="G30" s="17"/>
      <c r="H30" s="17"/>
      <c r="I30" s="17"/>
    </row>
    <row r="32" spans="1:9" ht="10.5" x14ac:dyDescent="0.25">
      <c r="A32" s="17" t="s">
        <v>209</v>
      </c>
    </row>
    <row r="34" spans="1:5" ht="10.5" x14ac:dyDescent="0.25">
      <c r="A34" s="17" t="s">
        <v>210</v>
      </c>
    </row>
    <row r="35" spans="1:5" ht="10.5" x14ac:dyDescent="0.25">
      <c r="A35" s="17" t="s">
        <v>211</v>
      </c>
    </row>
    <row r="36" spans="1:5" ht="10.5" x14ac:dyDescent="0.25">
      <c r="A36" s="17" t="s">
        <v>212</v>
      </c>
      <c r="B36" s="17"/>
      <c r="C36" s="38" t="s">
        <v>214</v>
      </c>
      <c r="D36" s="18" t="s">
        <v>213</v>
      </c>
    </row>
    <row r="37" spans="1:5" x14ac:dyDescent="0.2">
      <c r="A37" s="10" t="s">
        <v>486</v>
      </c>
      <c r="C37" s="39">
        <v>11.2896</v>
      </c>
      <c r="D37" s="39">
        <v>12.0161</v>
      </c>
    </row>
    <row r="38" spans="1:5" x14ac:dyDescent="0.2">
      <c r="A38" s="10" t="s">
        <v>783</v>
      </c>
      <c r="C38" s="39">
        <v>10.504200000000001</v>
      </c>
      <c r="D38" s="39">
        <v>11.1799</v>
      </c>
    </row>
    <row r="39" spans="1:5" x14ac:dyDescent="0.2">
      <c r="A39" s="10" t="s">
        <v>488</v>
      </c>
      <c r="C39" s="39">
        <v>10.5025</v>
      </c>
      <c r="D39" s="39">
        <v>10.7606</v>
      </c>
    </row>
    <row r="40" spans="1:5" x14ac:dyDescent="0.2">
      <c r="A40" s="10" t="s">
        <v>489</v>
      </c>
      <c r="C40" s="39">
        <v>11.329000000000001</v>
      </c>
      <c r="D40" s="39">
        <v>12.0761</v>
      </c>
    </row>
    <row r="42" spans="1:5" ht="10.5" x14ac:dyDescent="0.25">
      <c r="A42" s="17" t="s">
        <v>226</v>
      </c>
    </row>
    <row r="43" spans="1:5" ht="10.5" x14ac:dyDescent="0.25">
      <c r="A43" s="147" t="s">
        <v>401</v>
      </c>
      <c r="B43" s="148"/>
      <c r="C43" s="145" t="s">
        <v>402</v>
      </c>
      <c r="D43" s="146"/>
    </row>
    <row r="44" spans="1:5" ht="10.5" x14ac:dyDescent="0.25">
      <c r="A44" s="147"/>
      <c r="B44" s="148"/>
      <c r="C44" s="43" t="s">
        <v>403</v>
      </c>
      <c r="D44" s="44" t="s">
        <v>404</v>
      </c>
    </row>
    <row r="45" spans="1:5" x14ac:dyDescent="0.2">
      <c r="A45" s="141" t="s">
        <v>488</v>
      </c>
      <c r="B45" s="142"/>
      <c r="C45" s="45">
        <v>0.32599438050000001</v>
      </c>
      <c r="D45" s="45">
        <v>0.31453481820000001</v>
      </c>
    </row>
    <row r="47" spans="1:5" ht="10.5" x14ac:dyDescent="0.25">
      <c r="A47" s="17" t="s">
        <v>228</v>
      </c>
      <c r="D47" s="41">
        <v>1.4671729032054797</v>
      </c>
      <c r="E47" s="15" t="s">
        <v>229</v>
      </c>
    </row>
    <row r="48" spans="1:5" ht="49.5" customHeight="1" x14ac:dyDescent="0.2">
      <c r="A48" s="139" t="s">
        <v>1596</v>
      </c>
      <c r="B48" s="140"/>
      <c r="C48" s="140"/>
      <c r="D48" s="140"/>
      <c r="E48" s="140"/>
    </row>
    <row r="49" spans="1:6" s="78" customFormat="1" ht="14.5" x14ac:dyDescent="0.2">
      <c r="A49" s="137"/>
      <c r="B49" s="138"/>
      <c r="C49" s="138"/>
      <c r="D49" s="138"/>
      <c r="E49" s="138"/>
      <c r="F49" s="83"/>
    </row>
    <row r="50" spans="1:6" ht="10.5" x14ac:dyDescent="0.25">
      <c r="A50" s="17" t="s">
        <v>230</v>
      </c>
      <c r="D50" s="40" t="s">
        <v>227</v>
      </c>
    </row>
  </sheetData>
  <mergeCells count="6">
    <mergeCell ref="A48:E48"/>
    <mergeCell ref="A1:F1"/>
    <mergeCell ref="C43:D43"/>
    <mergeCell ref="A43:B43"/>
    <mergeCell ref="A44:B44"/>
    <mergeCell ref="A45:B45"/>
  </mergeCells>
  <conditionalFormatting sqref="F2:F3 F5:F65537">
    <cfRule type="cellIs" dxfId="4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8"/>
  <sheetViews>
    <sheetView workbookViewId="0">
      <selection sqref="A1:F1"/>
    </sheetView>
  </sheetViews>
  <sheetFormatPr defaultColWidth="9.1796875" defaultRowHeight="10" x14ac:dyDescent="0.2"/>
  <cols>
    <col min="1" max="1" width="38.7265625" style="10" bestFit="1" customWidth="1"/>
    <col min="2" max="2" width="52.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26</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667</v>
      </c>
      <c r="B7" s="26" t="s">
        <v>666</v>
      </c>
      <c r="C7" s="26" t="s">
        <v>539</v>
      </c>
      <c r="D7" s="30">
        <v>26</v>
      </c>
      <c r="E7" s="28">
        <v>317.86455999999998</v>
      </c>
      <c r="F7" s="29">
        <v>11.7441914934031</v>
      </c>
    </row>
    <row r="8" spans="1:6" x14ac:dyDescent="0.2">
      <c r="A8" s="26" t="s">
        <v>675</v>
      </c>
      <c r="B8" s="26" t="s">
        <v>674</v>
      </c>
      <c r="C8" s="26" t="s">
        <v>166</v>
      </c>
      <c r="D8" s="30">
        <v>28</v>
      </c>
      <c r="E8" s="28">
        <v>288.83708000000001</v>
      </c>
      <c r="F8" s="29">
        <v>10.6717086608064</v>
      </c>
    </row>
    <row r="9" spans="1:6" x14ac:dyDescent="0.2">
      <c r="A9" s="26" t="s">
        <v>724</v>
      </c>
      <c r="B9" s="26" t="s">
        <v>723</v>
      </c>
      <c r="C9" s="26" t="s">
        <v>589</v>
      </c>
      <c r="D9" s="30">
        <v>27</v>
      </c>
      <c r="E9" s="28">
        <v>284.40179999999998</v>
      </c>
      <c r="F9" s="29">
        <v>10.5078376786281</v>
      </c>
    </row>
    <row r="10" spans="1:6" x14ac:dyDescent="0.2">
      <c r="A10" s="26" t="s">
        <v>653</v>
      </c>
      <c r="B10" s="26" t="s">
        <v>652</v>
      </c>
      <c r="C10" s="26" t="s">
        <v>589</v>
      </c>
      <c r="D10" s="30">
        <v>26</v>
      </c>
      <c r="E10" s="28">
        <v>276.27625999999998</v>
      </c>
      <c r="F10" s="29">
        <v>10.207622084453901</v>
      </c>
    </row>
    <row r="11" spans="1:6" x14ac:dyDescent="0.2">
      <c r="A11" s="26" t="s">
        <v>637</v>
      </c>
      <c r="B11" s="26" t="s">
        <v>636</v>
      </c>
      <c r="C11" s="26" t="s">
        <v>166</v>
      </c>
      <c r="D11" s="30">
        <v>26</v>
      </c>
      <c r="E11" s="28">
        <v>275.28566000000001</v>
      </c>
      <c r="F11" s="29">
        <v>10.1710222316947</v>
      </c>
    </row>
    <row r="12" spans="1:6" x14ac:dyDescent="0.2">
      <c r="A12" s="26" t="s">
        <v>165</v>
      </c>
      <c r="B12" s="26" t="s">
        <v>164</v>
      </c>
      <c r="C12" s="26" t="s">
        <v>166</v>
      </c>
      <c r="D12" s="30">
        <v>26</v>
      </c>
      <c r="E12" s="28">
        <v>274.60861999999997</v>
      </c>
      <c r="F12" s="29">
        <v>10.146007529179</v>
      </c>
    </row>
    <row r="13" spans="1:6" x14ac:dyDescent="0.2">
      <c r="A13" s="26" t="s">
        <v>801</v>
      </c>
      <c r="B13" s="26" t="s">
        <v>800</v>
      </c>
      <c r="C13" s="26" t="s">
        <v>539</v>
      </c>
      <c r="D13" s="30">
        <v>26</v>
      </c>
      <c r="E13" s="28">
        <v>270.37347999999997</v>
      </c>
      <c r="F13" s="29">
        <v>9.9895311508077693</v>
      </c>
    </row>
    <row r="14" spans="1:6" x14ac:dyDescent="0.2">
      <c r="A14" s="26" t="s">
        <v>607</v>
      </c>
      <c r="B14" s="26" t="s">
        <v>606</v>
      </c>
      <c r="C14" s="26" t="s">
        <v>598</v>
      </c>
      <c r="D14" s="30">
        <v>24</v>
      </c>
      <c r="E14" s="28">
        <v>249.48648</v>
      </c>
      <c r="F14" s="29">
        <v>9.2178159028961701</v>
      </c>
    </row>
    <row r="15" spans="1:6" x14ac:dyDescent="0.2">
      <c r="A15" s="26" t="s">
        <v>787</v>
      </c>
      <c r="B15" s="26" t="s">
        <v>786</v>
      </c>
      <c r="C15" s="26" t="s">
        <v>166</v>
      </c>
      <c r="D15" s="30">
        <v>12</v>
      </c>
      <c r="E15" s="28">
        <v>126.16164000000001</v>
      </c>
      <c r="F15" s="29">
        <v>4.6613137975551302</v>
      </c>
    </row>
    <row r="16" spans="1:6" x14ac:dyDescent="0.2">
      <c r="A16" s="26" t="s">
        <v>799</v>
      </c>
      <c r="B16" s="26" t="s">
        <v>798</v>
      </c>
      <c r="C16" s="26" t="s">
        <v>166</v>
      </c>
      <c r="D16" s="30">
        <v>10</v>
      </c>
      <c r="E16" s="28">
        <v>123.1228</v>
      </c>
      <c r="F16" s="29">
        <v>4.54903730193758</v>
      </c>
    </row>
    <row r="17" spans="1:9" x14ac:dyDescent="0.2">
      <c r="A17" s="26" t="s">
        <v>778</v>
      </c>
      <c r="B17" s="26" t="s">
        <v>777</v>
      </c>
      <c r="C17" s="26" t="s">
        <v>166</v>
      </c>
      <c r="D17" s="30">
        <v>2</v>
      </c>
      <c r="E17" s="28">
        <v>24.6082</v>
      </c>
      <c r="F17" s="29">
        <v>0.909203004914934</v>
      </c>
    </row>
    <row r="18" spans="1:9" x14ac:dyDescent="0.2">
      <c r="A18" s="26" t="s">
        <v>795</v>
      </c>
      <c r="B18" s="26" t="s">
        <v>794</v>
      </c>
      <c r="C18" s="26" t="s">
        <v>539</v>
      </c>
      <c r="D18" s="30">
        <v>2</v>
      </c>
      <c r="E18" s="28">
        <v>21.332000000000001</v>
      </c>
      <c r="F18" s="29">
        <v>0.78815673234309602</v>
      </c>
    </row>
    <row r="19" spans="1:9" ht="10.5" x14ac:dyDescent="0.25">
      <c r="A19" s="25" t="s">
        <v>167</v>
      </c>
      <c r="B19" s="25"/>
      <c r="C19" s="25"/>
      <c r="D19" s="31"/>
      <c r="E19" s="32">
        <f>SUM(E6:E18)</f>
        <v>2532.3585799999996</v>
      </c>
      <c r="F19" s="33">
        <f>SUM(F6:F18)</f>
        <v>93.563447568619878</v>
      </c>
      <c r="G19" s="17"/>
      <c r="H19" s="17"/>
      <c r="I19" s="17"/>
    </row>
    <row r="20" spans="1:9" x14ac:dyDescent="0.2">
      <c r="A20" s="26"/>
      <c r="B20" s="26"/>
      <c r="C20" s="26"/>
      <c r="D20" s="27"/>
      <c r="E20" s="28"/>
      <c r="F20" s="29"/>
    </row>
    <row r="21" spans="1:9" ht="10.5" x14ac:dyDescent="0.25">
      <c r="A21" s="25" t="s">
        <v>205</v>
      </c>
      <c r="B21" s="25"/>
      <c r="C21" s="25"/>
      <c r="D21" s="31"/>
      <c r="E21" s="32">
        <f>E19</f>
        <v>2532.3585799999996</v>
      </c>
      <c r="F21" s="33">
        <f>F19</f>
        <v>93.563447568619878</v>
      </c>
      <c r="G21" s="17"/>
      <c r="H21" s="17"/>
      <c r="I21" s="17"/>
    </row>
    <row r="22" spans="1:9" ht="10.5" x14ac:dyDescent="0.25">
      <c r="A22" s="25"/>
      <c r="B22" s="25"/>
      <c r="C22" s="25"/>
      <c r="D22" s="31"/>
      <c r="E22" s="32"/>
      <c r="F22" s="33"/>
      <c r="G22" s="17"/>
      <c r="H22" s="17"/>
      <c r="I22" s="17"/>
    </row>
    <row r="23" spans="1:9" ht="10.5" x14ac:dyDescent="0.25">
      <c r="A23" s="25" t="s">
        <v>207</v>
      </c>
      <c r="B23" s="25"/>
      <c r="C23" s="25"/>
      <c r="D23" s="31"/>
      <c r="E23" s="32">
        <f>E25-(E19)</f>
        <v>174.20968550000043</v>
      </c>
      <c r="F23" s="33">
        <f>F25-(F19)</f>
        <v>6.4365524313801217</v>
      </c>
      <c r="G23" s="17"/>
      <c r="H23" s="17"/>
      <c r="I23" s="17"/>
    </row>
    <row r="24" spans="1:9" ht="10.5" x14ac:dyDescent="0.25">
      <c r="A24" s="25"/>
      <c r="B24" s="25"/>
      <c r="C24" s="25"/>
      <c r="D24" s="31"/>
      <c r="E24" s="32"/>
      <c r="F24" s="33"/>
      <c r="G24" s="17"/>
      <c r="H24" s="17"/>
      <c r="I24" s="17"/>
    </row>
    <row r="25" spans="1:9" ht="10.5" x14ac:dyDescent="0.25">
      <c r="A25" s="34" t="s">
        <v>206</v>
      </c>
      <c r="B25" s="34"/>
      <c r="C25" s="34"/>
      <c r="D25" s="35"/>
      <c r="E25" s="36">
        <v>2706.5682655000001</v>
      </c>
      <c r="F25" s="37">
        <v>100</v>
      </c>
      <c r="G25" s="17"/>
      <c r="H25" s="17"/>
      <c r="I25" s="17"/>
    </row>
    <row r="27" spans="1:9" ht="10.5" x14ac:dyDescent="0.25">
      <c r="A27" s="17" t="s">
        <v>209</v>
      </c>
    </row>
    <row r="29" spans="1:9" ht="10.5" x14ac:dyDescent="0.25">
      <c r="A29" s="17" t="s">
        <v>210</v>
      </c>
    </row>
    <row r="30" spans="1:9" ht="10.5" x14ac:dyDescent="0.25">
      <c r="A30" s="17" t="s">
        <v>211</v>
      </c>
    </row>
    <row r="31" spans="1:9" ht="10.5" x14ac:dyDescent="0.25">
      <c r="A31" s="17" t="s">
        <v>212</v>
      </c>
      <c r="B31" s="17"/>
      <c r="C31" s="38" t="s">
        <v>214</v>
      </c>
      <c r="D31" s="18" t="s">
        <v>213</v>
      </c>
    </row>
    <row r="32" spans="1:9" x14ac:dyDescent="0.2">
      <c r="A32" s="10" t="s">
        <v>486</v>
      </c>
      <c r="C32" s="39">
        <v>11.4376</v>
      </c>
      <c r="D32" s="39">
        <v>12.1348</v>
      </c>
    </row>
    <row r="33" spans="1:6" x14ac:dyDescent="0.2">
      <c r="A33" s="10" t="s">
        <v>783</v>
      </c>
      <c r="C33" s="39">
        <v>10.628</v>
      </c>
      <c r="D33" s="39">
        <v>11.2775</v>
      </c>
    </row>
    <row r="34" spans="1:6" x14ac:dyDescent="0.2">
      <c r="A34" s="10" t="s">
        <v>488</v>
      </c>
      <c r="C34" s="39">
        <v>10.372299999999999</v>
      </c>
      <c r="D34" s="39">
        <v>10.5494</v>
      </c>
    </row>
    <row r="35" spans="1:6" x14ac:dyDescent="0.2">
      <c r="A35" s="10" t="s">
        <v>489</v>
      </c>
      <c r="C35" s="39">
        <v>11.480600000000001</v>
      </c>
      <c r="D35" s="39">
        <v>12.198700000000001</v>
      </c>
    </row>
    <row r="36" spans="1:6" x14ac:dyDescent="0.2">
      <c r="A36" s="10" t="s">
        <v>521</v>
      </c>
      <c r="C36" s="39">
        <v>10.669600000000001</v>
      </c>
      <c r="D36" s="39">
        <v>11.3368</v>
      </c>
    </row>
    <row r="37" spans="1:6" x14ac:dyDescent="0.2">
      <c r="A37" s="10" t="s">
        <v>491</v>
      </c>
      <c r="C37" s="39">
        <v>10.4138</v>
      </c>
      <c r="D37" s="39">
        <v>10.6098</v>
      </c>
    </row>
    <row r="39" spans="1:6" ht="10.5" x14ac:dyDescent="0.25">
      <c r="A39" s="17" t="s">
        <v>226</v>
      </c>
    </row>
    <row r="40" spans="1:6" ht="10.5" x14ac:dyDescent="0.25">
      <c r="A40" s="147" t="s">
        <v>401</v>
      </c>
      <c r="B40" s="148"/>
      <c r="C40" s="145" t="s">
        <v>402</v>
      </c>
      <c r="D40" s="146"/>
    </row>
    <row r="41" spans="1:6" ht="10.5" x14ac:dyDescent="0.25">
      <c r="A41" s="147"/>
      <c r="B41" s="148"/>
      <c r="C41" s="43" t="s">
        <v>403</v>
      </c>
      <c r="D41" s="44" t="s">
        <v>404</v>
      </c>
    </row>
    <row r="42" spans="1:6" x14ac:dyDescent="0.2">
      <c r="A42" s="141" t="s">
        <v>488</v>
      </c>
      <c r="B42" s="142"/>
      <c r="C42" s="45">
        <v>0.40575</v>
      </c>
      <c r="D42" s="45">
        <v>0.40575</v>
      </c>
    </row>
    <row r="43" spans="1:6" x14ac:dyDescent="0.2">
      <c r="A43" s="141" t="s">
        <v>491</v>
      </c>
      <c r="B43" s="142"/>
      <c r="C43" s="45">
        <v>0.40575</v>
      </c>
      <c r="D43" s="45">
        <v>0.40575</v>
      </c>
    </row>
    <row r="45" spans="1:6" ht="10.5" x14ac:dyDescent="0.25">
      <c r="A45" s="17" t="s">
        <v>228</v>
      </c>
      <c r="D45" s="41">
        <v>1.4098568850136983</v>
      </c>
      <c r="E45" s="15" t="s">
        <v>229</v>
      </c>
    </row>
    <row r="46" spans="1:6" ht="46.5" customHeight="1" x14ac:dyDescent="0.2">
      <c r="A46" s="139" t="s">
        <v>1596</v>
      </c>
      <c r="B46" s="140"/>
      <c r="C46" s="140"/>
      <c r="D46" s="140"/>
      <c r="E46" s="140"/>
    </row>
    <row r="47" spans="1:6" s="78" customFormat="1" ht="14.5" x14ac:dyDescent="0.2">
      <c r="A47" s="137"/>
      <c r="B47" s="138"/>
      <c r="C47" s="138"/>
      <c r="D47" s="138"/>
      <c r="E47" s="138"/>
      <c r="F47" s="83"/>
    </row>
    <row r="48" spans="1:6" ht="10.5" x14ac:dyDescent="0.25">
      <c r="A48" s="17" t="s">
        <v>230</v>
      </c>
      <c r="D48" s="40" t="s">
        <v>227</v>
      </c>
    </row>
  </sheetData>
  <mergeCells count="7">
    <mergeCell ref="A46:E46"/>
    <mergeCell ref="A43:B43"/>
    <mergeCell ref="A1:F1"/>
    <mergeCell ref="C40:D40"/>
    <mergeCell ref="A40:B40"/>
    <mergeCell ref="A41:B41"/>
    <mergeCell ref="A42:B42"/>
  </mergeCells>
  <conditionalFormatting sqref="F2:F3 F5:F65537">
    <cfRule type="cellIs" dxfId="4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6"/>
  <sheetViews>
    <sheetView workbookViewId="0">
      <selection sqref="A1:F1"/>
    </sheetView>
  </sheetViews>
  <sheetFormatPr defaultColWidth="9.1796875" defaultRowHeight="10" x14ac:dyDescent="0.2"/>
  <cols>
    <col min="1" max="1" width="38.7265625" style="10" bestFit="1" customWidth="1"/>
    <col min="2" max="2" width="52.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27</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667</v>
      </c>
      <c r="B7" s="26" t="s">
        <v>666</v>
      </c>
      <c r="C7" s="26" t="s">
        <v>539</v>
      </c>
      <c r="D7" s="30">
        <v>50</v>
      </c>
      <c r="E7" s="28">
        <v>611.27800000000002</v>
      </c>
      <c r="F7" s="29">
        <v>11.8185368089352</v>
      </c>
    </row>
    <row r="8" spans="1:6" x14ac:dyDescent="0.2">
      <c r="A8" s="26" t="s">
        <v>637</v>
      </c>
      <c r="B8" s="26" t="s">
        <v>636</v>
      </c>
      <c r="C8" s="26" t="s">
        <v>166</v>
      </c>
      <c r="D8" s="30">
        <v>50</v>
      </c>
      <c r="E8" s="28">
        <v>529.39549999999997</v>
      </c>
      <c r="F8" s="29">
        <v>10.235408771843</v>
      </c>
    </row>
    <row r="9" spans="1:6" x14ac:dyDescent="0.2">
      <c r="A9" s="26" t="s">
        <v>724</v>
      </c>
      <c r="B9" s="26" t="s">
        <v>723</v>
      </c>
      <c r="C9" s="26" t="s">
        <v>589</v>
      </c>
      <c r="D9" s="30">
        <v>50</v>
      </c>
      <c r="E9" s="28">
        <v>526.66999999999996</v>
      </c>
      <c r="F9" s="29">
        <v>10.1827135626702</v>
      </c>
    </row>
    <row r="10" spans="1:6" x14ac:dyDescent="0.2">
      <c r="A10" s="26" t="s">
        <v>805</v>
      </c>
      <c r="B10" s="26" t="s">
        <v>804</v>
      </c>
      <c r="C10" s="26" t="s">
        <v>166</v>
      </c>
      <c r="D10" s="30">
        <v>50</v>
      </c>
      <c r="E10" s="28">
        <v>523.27850000000001</v>
      </c>
      <c r="F10" s="29">
        <v>10.1171418136665</v>
      </c>
    </row>
    <row r="11" spans="1:6" x14ac:dyDescent="0.2">
      <c r="A11" s="26" t="s">
        <v>721</v>
      </c>
      <c r="B11" s="26" t="s">
        <v>720</v>
      </c>
      <c r="C11" s="26" t="s">
        <v>722</v>
      </c>
      <c r="D11" s="30">
        <v>48</v>
      </c>
      <c r="E11" s="28">
        <v>521.91264000000001</v>
      </c>
      <c r="F11" s="29">
        <v>10.090734079892499</v>
      </c>
    </row>
    <row r="12" spans="1:6" x14ac:dyDescent="0.2">
      <c r="A12" s="26" t="s">
        <v>807</v>
      </c>
      <c r="B12" s="26" t="s">
        <v>806</v>
      </c>
      <c r="C12" s="26" t="s">
        <v>166</v>
      </c>
      <c r="D12" s="30">
        <v>50</v>
      </c>
      <c r="E12" s="28">
        <v>517.91600000000005</v>
      </c>
      <c r="F12" s="29">
        <v>10.013462467055099</v>
      </c>
    </row>
    <row r="13" spans="1:6" x14ac:dyDescent="0.2">
      <c r="A13" s="26" t="s">
        <v>165</v>
      </c>
      <c r="B13" s="26" t="s">
        <v>164</v>
      </c>
      <c r="C13" s="26" t="s">
        <v>166</v>
      </c>
      <c r="D13" s="30">
        <v>49</v>
      </c>
      <c r="E13" s="28">
        <v>517.53162999999995</v>
      </c>
      <c r="F13" s="29">
        <v>10.006031002167999</v>
      </c>
    </row>
    <row r="14" spans="1:6" x14ac:dyDescent="0.2">
      <c r="A14" s="26" t="s">
        <v>653</v>
      </c>
      <c r="B14" s="26" t="s">
        <v>652</v>
      </c>
      <c r="C14" s="26" t="s">
        <v>589</v>
      </c>
      <c r="D14" s="30">
        <v>20</v>
      </c>
      <c r="E14" s="28">
        <v>212.52019999999999</v>
      </c>
      <c r="F14" s="29">
        <v>4.1088961263815698</v>
      </c>
    </row>
    <row r="15" spans="1:6" x14ac:dyDescent="0.2">
      <c r="A15" s="26" t="s">
        <v>801</v>
      </c>
      <c r="B15" s="26" t="s">
        <v>800</v>
      </c>
      <c r="C15" s="26" t="s">
        <v>539</v>
      </c>
      <c r="D15" s="30">
        <v>15</v>
      </c>
      <c r="E15" s="28">
        <v>155.9847</v>
      </c>
      <c r="F15" s="29">
        <v>3.0158306344751802</v>
      </c>
    </row>
    <row r="16" spans="1:6" x14ac:dyDescent="0.2">
      <c r="A16" s="26" t="s">
        <v>795</v>
      </c>
      <c r="B16" s="26" t="s">
        <v>794</v>
      </c>
      <c r="C16" s="26" t="s">
        <v>539</v>
      </c>
      <c r="D16" s="30">
        <v>6</v>
      </c>
      <c r="E16" s="28">
        <v>63.996000000000002</v>
      </c>
      <c r="F16" s="29">
        <v>1.2373078723994899</v>
      </c>
    </row>
    <row r="17" spans="1:9" x14ac:dyDescent="0.2">
      <c r="A17" s="26" t="s">
        <v>787</v>
      </c>
      <c r="B17" s="26" t="s">
        <v>786</v>
      </c>
      <c r="C17" s="26" t="s">
        <v>166</v>
      </c>
      <c r="D17" s="30">
        <v>4</v>
      </c>
      <c r="E17" s="28">
        <v>42.053879999999999</v>
      </c>
      <c r="F17" s="29">
        <v>0.81307576706268603</v>
      </c>
    </row>
    <row r="18" spans="1:9" x14ac:dyDescent="0.2">
      <c r="A18" s="26" t="s">
        <v>774</v>
      </c>
      <c r="B18" s="26" t="s">
        <v>773</v>
      </c>
      <c r="C18" s="26" t="s">
        <v>166</v>
      </c>
      <c r="D18" s="30">
        <v>3</v>
      </c>
      <c r="E18" s="28">
        <v>37.10904</v>
      </c>
      <c r="F18" s="29">
        <v>0.71747151898849504</v>
      </c>
    </row>
    <row r="19" spans="1:9" x14ac:dyDescent="0.2">
      <c r="A19" s="26" t="s">
        <v>778</v>
      </c>
      <c r="B19" s="26" t="s">
        <v>777</v>
      </c>
      <c r="C19" s="26" t="s">
        <v>166</v>
      </c>
      <c r="D19" s="30">
        <v>3</v>
      </c>
      <c r="E19" s="28">
        <v>36.912300000000002</v>
      </c>
      <c r="F19" s="29">
        <v>0.71366771951953001</v>
      </c>
    </row>
    <row r="20" spans="1:9" x14ac:dyDescent="0.2">
      <c r="A20" s="26" t="s">
        <v>789</v>
      </c>
      <c r="B20" s="26" t="s">
        <v>788</v>
      </c>
      <c r="C20" s="26" t="s">
        <v>336</v>
      </c>
      <c r="D20" s="30">
        <v>3</v>
      </c>
      <c r="E20" s="28">
        <v>36.062429999999999</v>
      </c>
      <c r="F20" s="29">
        <v>0.69723621065153596</v>
      </c>
    </row>
    <row r="21" spans="1:9" x14ac:dyDescent="0.2">
      <c r="A21" s="26" t="s">
        <v>643</v>
      </c>
      <c r="B21" s="26" t="s">
        <v>642</v>
      </c>
      <c r="C21" s="26" t="s">
        <v>589</v>
      </c>
      <c r="D21" s="30">
        <v>2</v>
      </c>
      <c r="E21" s="28">
        <v>21.080960000000001</v>
      </c>
      <c r="F21" s="29">
        <v>0.40758231398429301</v>
      </c>
    </row>
    <row r="22" spans="1:9" x14ac:dyDescent="0.2">
      <c r="A22" s="26" t="s">
        <v>604</v>
      </c>
      <c r="B22" s="26" t="s">
        <v>603</v>
      </c>
      <c r="C22" s="26" t="s">
        <v>605</v>
      </c>
      <c r="D22" s="30">
        <v>1</v>
      </c>
      <c r="E22" s="28">
        <v>10.35374</v>
      </c>
      <c r="F22" s="29">
        <v>0.20018069896208401</v>
      </c>
    </row>
    <row r="23" spans="1:9" ht="10.5" x14ac:dyDescent="0.25">
      <c r="A23" s="25" t="s">
        <v>167</v>
      </c>
      <c r="B23" s="25"/>
      <c r="C23" s="25"/>
      <c r="D23" s="31"/>
      <c r="E23" s="32">
        <f>SUM(E6:E22)</f>
        <v>4364.0555200000008</v>
      </c>
      <c r="F23" s="33">
        <f>SUM(F6:F22)</f>
        <v>84.375277368655347</v>
      </c>
      <c r="G23" s="17"/>
      <c r="H23" s="17"/>
      <c r="I23" s="17"/>
    </row>
    <row r="24" spans="1:9" x14ac:dyDescent="0.2">
      <c r="A24" s="26"/>
      <c r="B24" s="26"/>
      <c r="C24" s="26"/>
      <c r="D24" s="27"/>
      <c r="E24" s="28"/>
      <c r="F24" s="29"/>
    </row>
    <row r="25" spans="1:9" ht="10.5" x14ac:dyDescent="0.25">
      <c r="A25" s="25" t="s">
        <v>168</v>
      </c>
      <c r="B25" s="26"/>
      <c r="C25" s="26"/>
      <c r="D25" s="27"/>
      <c r="E25" s="28"/>
      <c r="F25" s="29"/>
    </row>
    <row r="26" spans="1:9" x14ac:dyDescent="0.2">
      <c r="A26" s="26" t="s">
        <v>809</v>
      </c>
      <c r="B26" s="26" t="s">
        <v>808</v>
      </c>
      <c r="C26" s="26" t="s">
        <v>166</v>
      </c>
      <c r="D26" s="30">
        <v>50</v>
      </c>
      <c r="E26" s="28">
        <v>509.52249999999998</v>
      </c>
      <c r="F26" s="29">
        <v>9.8511813303123805</v>
      </c>
    </row>
    <row r="27" spans="1:9" ht="10.5" x14ac:dyDescent="0.25">
      <c r="A27" s="25" t="s">
        <v>167</v>
      </c>
      <c r="B27" s="25"/>
      <c r="C27" s="25"/>
      <c r="D27" s="31"/>
      <c r="E27" s="32">
        <f>SUM(E25:E26)</f>
        <v>509.52249999999998</v>
      </c>
      <c r="F27" s="33">
        <f>SUM(F25:F26)</f>
        <v>9.8511813303123805</v>
      </c>
      <c r="G27" s="17"/>
      <c r="H27" s="17"/>
      <c r="I27" s="17"/>
    </row>
    <row r="28" spans="1:9" x14ac:dyDescent="0.2">
      <c r="A28" s="26"/>
      <c r="B28" s="26"/>
      <c r="C28" s="26"/>
      <c r="D28" s="27"/>
      <c r="E28" s="28"/>
      <c r="F28" s="29"/>
    </row>
    <row r="29" spans="1:9" ht="10.5" x14ac:dyDescent="0.25">
      <c r="A29" s="25" t="s">
        <v>205</v>
      </c>
      <c r="B29" s="25"/>
      <c r="C29" s="25"/>
      <c r="D29" s="31"/>
      <c r="E29" s="32">
        <f>E23+E27</f>
        <v>4873.5780200000008</v>
      </c>
      <c r="F29" s="33">
        <f>F23+F27</f>
        <v>94.226458698967733</v>
      </c>
      <c r="G29" s="17"/>
      <c r="H29" s="17"/>
      <c r="I29" s="17"/>
    </row>
    <row r="30" spans="1:9" ht="10.5" x14ac:dyDescent="0.25">
      <c r="A30" s="25"/>
      <c r="B30" s="25"/>
      <c r="C30" s="25"/>
      <c r="D30" s="31"/>
      <c r="E30" s="32"/>
      <c r="F30" s="33"/>
      <c r="G30" s="17"/>
      <c r="H30" s="17"/>
      <c r="I30" s="17"/>
    </row>
    <row r="31" spans="1:9" ht="10.5" x14ac:dyDescent="0.25">
      <c r="A31" s="25" t="s">
        <v>207</v>
      </c>
      <c r="B31" s="25"/>
      <c r="C31" s="25"/>
      <c r="D31" s="31"/>
      <c r="E31" s="32">
        <f>E33-(E23+E27)</f>
        <v>298.61892689999877</v>
      </c>
      <c r="F31" s="33">
        <f>F33-(F23+F27)</f>
        <v>5.7735413010322674</v>
      </c>
      <c r="G31" s="17"/>
      <c r="H31" s="17"/>
      <c r="I31" s="17"/>
    </row>
    <row r="32" spans="1:9" ht="10.5" x14ac:dyDescent="0.25">
      <c r="A32" s="25"/>
      <c r="B32" s="25"/>
      <c r="C32" s="25"/>
      <c r="D32" s="31"/>
      <c r="E32" s="32"/>
      <c r="F32" s="33"/>
      <c r="G32" s="17"/>
      <c r="H32" s="17"/>
      <c r="I32" s="17"/>
    </row>
    <row r="33" spans="1:9" ht="10.5" x14ac:dyDescent="0.25">
      <c r="A33" s="34" t="s">
        <v>206</v>
      </c>
      <c r="B33" s="34"/>
      <c r="C33" s="34"/>
      <c r="D33" s="35"/>
      <c r="E33" s="36">
        <v>5172.1969468999996</v>
      </c>
      <c r="F33" s="37">
        <v>100</v>
      </c>
      <c r="G33" s="17"/>
      <c r="H33" s="17"/>
      <c r="I33" s="17"/>
    </row>
    <row r="35" spans="1:9" ht="10.5" x14ac:dyDescent="0.25">
      <c r="A35" s="17" t="s">
        <v>209</v>
      </c>
    </row>
    <row r="37" spans="1:9" ht="10.5" x14ac:dyDescent="0.25">
      <c r="A37" s="17" t="s">
        <v>210</v>
      </c>
    </row>
    <row r="38" spans="1:9" ht="10.5" x14ac:dyDescent="0.25">
      <c r="A38" s="17" t="s">
        <v>211</v>
      </c>
    </row>
    <row r="39" spans="1:9" ht="10.5" x14ac:dyDescent="0.25">
      <c r="A39" s="17" t="s">
        <v>212</v>
      </c>
      <c r="B39" s="17"/>
      <c r="C39" s="38" t="s">
        <v>214</v>
      </c>
      <c r="D39" s="18" t="s">
        <v>213</v>
      </c>
    </row>
    <row r="40" spans="1:9" x14ac:dyDescent="0.2">
      <c r="A40" s="10" t="s">
        <v>486</v>
      </c>
      <c r="C40" s="39">
        <v>11.402100000000001</v>
      </c>
      <c r="D40" s="39">
        <v>12.104200000000001</v>
      </c>
    </row>
    <row r="41" spans="1:9" x14ac:dyDescent="0.2">
      <c r="A41" s="10" t="s">
        <v>783</v>
      </c>
      <c r="C41" s="39">
        <v>10.623900000000001</v>
      </c>
      <c r="D41" s="39">
        <v>11.2798</v>
      </c>
    </row>
    <row r="42" spans="1:9" x14ac:dyDescent="0.2">
      <c r="A42" s="10" t="s">
        <v>488</v>
      </c>
      <c r="C42" s="39">
        <v>10.4246</v>
      </c>
      <c r="D42" s="39">
        <v>10.5922</v>
      </c>
    </row>
    <row r="43" spans="1:9" x14ac:dyDescent="0.2">
      <c r="A43" s="10" t="s">
        <v>489</v>
      </c>
      <c r="C43" s="39">
        <v>11.522600000000001</v>
      </c>
      <c r="D43" s="39">
        <v>12.232100000000001</v>
      </c>
    </row>
    <row r="44" spans="1:9" x14ac:dyDescent="0.2">
      <c r="A44" s="10" t="s">
        <v>521</v>
      </c>
      <c r="C44" s="39">
        <v>10.640700000000001</v>
      </c>
      <c r="D44" s="39">
        <v>11.2959</v>
      </c>
    </row>
    <row r="45" spans="1:9" x14ac:dyDescent="0.2">
      <c r="A45" s="10" t="s">
        <v>491</v>
      </c>
      <c r="C45" s="39">
        <v>10.4503</v>
      </c>
      <c r="D45" s="39">
        <v>10.619199999999999</v>
      </c>
    </row>
    <row r="47" spans="1:9" ht="10.5" x14ac:dyDescent="0.25">
      <c r="A47" s="17" t="s">
        <v>226</v>
      </c>
    </row>
    <row r="48" spans="1:9" ht="10.5" x14ac:dyDescent="0.25">
      <c r="A48" s="147" t="s">
        <v>401</v>
      </c>
      <c r="B48" s="148"/>
      <c r="C48" s="145" t="s">
        <v>402</v>
      </c>
      <c r="D48" s="146"/>
    </row>
    <row r="49" spans="1:6" ht="10.5" x14ac:dyDescent="0.25">
      <c r="A49" s="147"/>
      <c r="B49" s="148"/>
      <c r="C49" s="43" t="s">
        <v>403</v>
      </c>
      <c r="D49" s="44" t="s">
        <v>404</v>
      </c>
    </row>
    <row r="50" spans="1:6" x14ac:dyDescent="0.2">
      <c r="A50" s="141" t="s">
        <v>488</v>
      </c>
      <c r="B50" s="142"/>
      <c r="C50" s="45">
        <v>0.42399999999999999</v>
      </c>
      <c r="D50" s="45">
        <v>0.42399999999999999</v>
      </c>
    </row>
    <row r="51" spans="1:6" x14ac:dyDescent="0.2">
      <c r="A51" s="141" t="s">
        <v>491</v>
      </c>
      <c r="B51" s="142"/>
      <c r="C51" s="45">
        <v>0.42399999999999999</v>
      </c>
      <c r="D51" s="45">
        <v>0.42399999999999999</v>
      </c>
    </row>
    <row r="53" spans="1:6" ht="10.5" x14ac:dyDescent="0.25">
      <c r="A53" s="17" t="s">
        <v>228</v>
      </c>
      <c r="D53" s="41">
        <v>1.4378502511232876</v>
      </c>
      <c r="E53" s="15" t="s">
        <v>229</v>
      </c>
    </row>
    <row r="54" spans="1:6" ht="49.5" customHeight="1" x14ac:dyDescent="0.2">
      <c r="A54" s="139" t="s">
        <v>1596</v>
      </c>
      <c r="B54" s="140"/>
      <c r="C54" s="140"/>
      <c r="D54" s="140"/>
      <c r="E54" s="140"/>
    </row>
    <row r="55" spans="1:6" s="78" customFormat="1" ht="14.5" x14ac:dyDescent="0.2">
      <c r="A55" s="137"/>
      <c r="B55" s="138"/>
      <c r="C55" s="138"/>
      <c r="D55" s="138"/>
      <c r="E55" s="138"/>
      <c r="F55" s="83"/>
    </row>
    <row r="56" spans="1:6" ht="10.5" x14ac:dyDescent="0.25">
      <c r="A56" s="17" t="s">
        <v>230</v>
      </c>
      <c r="D56" s="40" t="s">
        <v>227</v>
      </c>
    </row>
  </sheetData>
  <mergeCells count="7">
    <mergeCell ref="A54:E54"/>
    <mergeCell ref="A51:B51"/>
    <mergeCell ref="A1:F1"/>
    <mergeCell ref="C48:D48"/>
    <mergeCell ref="A48:B48"/>
    <mergeCell ref="A49:B49"/>
    <mergeCell ref="A50:B50"/>
  </mergeCells>
  <conditionalFormatting sqref="F2:F3 F5:F65537">
    <cfRule type="cellIs" dxfId="4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7"/>
  <sheetViews>
    <sheetView workbookViewId="0">
      <selection sqref="A1:F1"/>
    </sheetView>
  </sheetViews>
  <sheetFormatPr defaultColWidth="9.1796875" defaultRowHeight="10" x14ac:dyDescent="0.2"/>
  <cols>
    <col min="1" max="1" width="38.7265625" style="10" bestFit="1" customWidth="1"/>
    <col min="2" max="2" width="54.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28</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661</v>
      </c>
      <c r="B7" s="26" t="s">
        <v>660</v>
      </c>
      <c r="C7" s="26" t="s">
        <v>589</v>
      </c>
      <c r="D7" s="30">
        <v>31</v>
      </c>
      <c r="E7" s="28">
        <v>324.34246000000002</v>
      </c>
      <c r="F7" s="29">
        <v>10.197583764848201</v>
      </c>
    </row>
    <row r="8" spans="1:6" x14ac:dyDescent="0.2">
      <c r="A8" s="26" t="s">
        <v>811</v>
      </c>
      <c r="B8" s="26" t="s">
        <v>810</v>
      </c>
      <c r="C8" s="26" t="s">
        <v>166</v>
      </c>
      <c r="D8" s="30">
        <v>31</v>
      </c>
      <c r="E8" s="28">
        <v>320.92284999999998</v>
      </c>
      <c r="F8" s="29">
        <v>10.0900685187158</v>
      </c>
    </row>
    <row r="9" spans="1:6" x14ac:dyDescent="0.2">
      <c r="A9" s="26" t="s">
        <v>655</v>
      </c>
      <c r="B9" s="26" t="s">
        <v>654</v>
      </c>
      <c r="C9" s="26" t="s">
        <v>166</v>
      </c>
      <c r="D9" s="30">
        <v>31</v>
      </c>
      <c r="E9" s="28">
        <v>319.71323000000001</v>
      </c>
      <c r="F9" s="29">
        <v>10.0520371081085</v>
      </c>
    </row>
    <row r="10" spans="1:6" x14ac:dyDescent="0.2">
      <c r="A10" s="26" t="s">
        <v>165</v>
      </c>
      <c r="B10" s="26" t="s">
        <v>164</v>
      </c>
      <c r="C10" s="26" t="s">
        <v>166</v>
      </c>
      <c r="D10" s="30">
        <v>30</v>
      </c>
      <c r="E10" s="28">
        <v>316.85610000000003</v>
      </c>
      <c r="F10" s="29">
        <v>9.96220667856171</v>
      </c>
    </row>
    <row r="11" spans="1:6" x14ac:dyDescent="0.2">
      <c r="A11" s="26" t="s">
        <v>588</v>
      </c>
      <c r="B11" s="26" t="s">
        <v>587</v>
      </c>
      <c r="C11" s="26" t="s">
        <v>589</v>
      </c>
      <c r="D11" s="30">
        <v>26</v>
      </c>
      <c r="E11" s="28">
        <v>267.87982</v>
      </c>
      <c r="F11" s="29">
        <v>8.4223536547218405</v>
      </c>
    </row>
    <row r="12" spans="1:6" x14ac:dyDescent="0.2">
      <c r="A12" s="26" t="s">
        <v>340</v>
      </c>
      <c r="B12" s="26" t="s">
        <v>339</v>
      </c>
      <c r="C12" s="26" t="s">
        <v>166</v>
      </c>
      <c r="D12" s="30">
        <v>22</v>
      </c>
      <c r="E12" s="28">
        <v>227.94332</v>
      </c>
      <c r="F12" s="29">
        <v>7.1667184720051997</v>
      </c>
    </row>
    <row r="13" spans="1:6" x14ac:dyDescent="0.2">
      <c r="A13" s="26" t="s">
        <v>813</v>
      </c>
      <c r="B13" s="26" t="s">
        <v>812</v>
      </c>
      <c r="C13" s="26" t="s">
        <v>589</v>
      </c>
      <c r="D13" s="30">
        <v>19</v>
      </c>
      <c r="E13" s="28">
        <v>197.94200000000001</v>
      </c>
      <c r="F13" s="29">
        <v>6.22345321541186</v>
      </c>
    </row>
    <row r="14" spans="1:6" x14ac:dyDescent="0.2">
      <c r="A14" s="26" t="s">
        <v>815</v>
      </c>
      <c r="B14" s="26" t="s">
        <v>814</v>
      </c>
      <c r="C14" s="26" t="s">
        <v>166</v>
      </c>
      <c r="D14" s="30">
        <v>19</v>
      </c>
      <c r="E14" s="28">
        <v>197.75712999999999</v>
      </c>
      <c r="F14" s="29">
        <v>6.2176407562271798</v>
      </c>
    </row>
    <row r="15" spans="1:6" x14ac:dyDescent="0.2">
      <c r="A15" s="26" t="s">
        <v>645</v>
      </c>
      <c r="B15" s="26" t="s">
        <v>644</v>
      </c>
      <c r="C15" s="26" t="s">
        <v>589</v>
      </c>
      <c r="D15" s="30">
        <v>16</v>
      </c>
      <c r="E15" s="28">
        <v>197.47424000000001</v>
      </c>
      <c r="F15" s="29">
        <v>6.2087464706278297</v>
      </c>
    </row>
    <row r="16" spans="1:6" x14ac:dyDescent="0.2">
      <c r="A16" s="26" t="s">
        <v>817</v>
      </c>
      <c r="B16" s="26" t="s">
        <v>816</v>
      </c>
      <c r="C16" s="26" t="s">
        <v>166</v>
      </c>
      <c r="D16" s="30">
        <v>20</v>
      </c>
      <c r="E16" s="28">
        <v>190.05779999999999</v>
      </c>
      <c r="F16" s="29">
        <v>5.9755677245056802</v>
      </c>
    </row>
    <row r="17" spans="1:9" x14ac:dyDescent="0.2">
      <c r="A17" s="26" t="s">
        <v>819</v>
      </c>
      <c r="B17" s="26" t="s">
        <v>818</v>
      </c>
      <c r="C17" s="26" t="s">
        <v>166</v>
      </c>
      <c r="D17" s="30">
        <v>16</v>
      </c>
      <c r="E17" s="28">
        <v>163.82223999999999</v>
      </c>
      <c r="F17" s="29">
        <v>5.1507009441350204</v>
      </c>
    </row>
    <row r="18" spans="1:9" x14ac:dyDescent="0.2">
      <c r="A18" s="26" t="s">
        <v>591</v>
      </c>
      <c r="B18" s="26" t="s">
        <v>590</v>
      </c>
      <c r="C18" s="26" t="s">
        <v>166</v>
      </c>
      <c r="D18" s="30">
        <v>1</v>
      </c>
      <c r="E18" s="28">
        <v>102.6814</v>
      </c>
      <c r="F18" s="29">
        <v>3.2283845216931799</v>
      </c>
    </row>
    <row r="19" spans="1:9" x14ac:dyDescent="0.2">
      <c r="A19" s="26" t="s">
        <v>821</v>
      </c>
      <c r="B19" s="26" t="s">
        <v>820</v>
      </c>
      <c r="C19" s="26" t="s">
        <v>336</v>
      </c>
      <c r="D19" s="30">
        <v>7</v>
      </c>
      <c r="E19" s="28">
        <v>84.701329999999999</v>
      </c>
      <c r="F19" s="29">
        <v>2.66307688382537</v>
      </c>
    </row>
    <row r="20" spans="1:9" ht="10.5" x14ac:dyDescent="0.25">
      <c r="A20" s="25" t="s">
        <v>167</v>
      </c>
      <c r="B20" s="25"/>
      <c r="C20" s="25"/>
      <c r="D20" s="31"/>
      <c r="E20" s="32">
        <f>SUM(E6:E19)</f>
        <v>2912.0939200000003</v>
      </c>
      <c r="F20" s="33">
        <f>SUM(F6:F19)</f>
        <v>91.558538713387378</v>
      </c>
      <c r="G20" s="17"/>
      <c r="H20" s="17"/>
      <c r="I20" s="17"/>
    </row>
    <row r="21" spans="1:9" x14ac:dyDescent="0.2">
      <c r="A21" s="26"/>
      <c r="B21" s="26"/>
      <c r="C21" s="26"/>
      <c r="D21" s="27"/>
      <c r="E21" s="28"/>
      <c r="F21" s="29"/>
    </row>
    <row r="22" spans="1:9" ht="10.5" x14ac:dyDescent="0.25">
      <c r="A22" s="25" t="s">
        <v>168</v>
      </c>
      <c r="B22" s="26"/>
      <c r="C22" s="26"/>
      <c r="D22" s="27"/>
      <c r="E22" s="28"/>
      <c r="F22" s="29"/>
    </row>
    <row r="23" spans="1:9" x14ac:dyDescent="0.2">
      <c r="A23" s="26" t="s">
        <v>385</v>
      </c>
      <c r="B23" s="26" t="s">
        <v>384</v>
      </c>
      <c r="C23" s="26" t="s">
        <v>166</v>
      </c>
      <c r="D23" s="30">
        <v>3</v>
      </c>
      <c r="E23" s="28">
        <v>30.431069999999998</v>
      </c>
      <c r="F23" s="29">
        <v>0.956776936880113</v>
      </c>
    </row>
    <row r="24" spans="1:9" ht="10.5" x14ac:dyDescent="0.25">
      <c r="A24" s="25" t="s">
        <v>167</v>
      </c>
      <c r="B24" s="25"/>
      <c r="C24" s="25"/>
      <c r="D24" s="31"/>
      <c r="E24" s="32">
        <f>SUM(E22:E23)</f>
        <v>30.431069999999998</v>
      </c>
      <c r="F24" s="33">
        <f>SUM(F22:F23)</f>
        <v>0.956776936880113</v>
      </c>
      <c r="G24" s="17"/>
      <c r="H24" s="17"/>
      <c r="I24" s="17"/>
    </row>
    <row r="25" spans="1:9" x14ac:dyDescent="0.2">
      <c r="A25" s="26"/>
      <c r="B25" s="26"/>
      <c r="C25" s="26"/>
      <c r="D25" s="27"/>
      <c r="E25" s="28"/>
      <c r="F25" s="29"/>
    </row>
    <row r="26" spans="1:9" ht="10.5" x14ac:dyDescent="0.25">
      <c r="A26" s="25" t="s">
        <v>413</v>
      </c>
      <c r="B26" s="26"/>
      <c r="C26" s="26"/>
      <c r="D26" s="27"/>
      <c r="E26" s="28"/>
      <c r="F26" s="29"/>
    </row>
    <row r="27" spans="1:9" ht="10.5" x14ac:dyDescent="0.25">
      <c r="A27" s="25" t="s">
        <v>414</v>
      </c>
      <c r="B27" s="26"/>
      <c r="C27" s="26"/>
      <c r="D27" s="27"/>
      <c r="E27" s="28"/>
      <c r="F27" s="29"/>
    </row>
    <row r="28" spans="1:9" x14ac:dyDescent="0.2">
      <c r="A28" s="26" t="s">
        <v>431</v>
      </c>
      <c r="B28" s="26" t="s">
        <v>430</v>
      </c>
      <c r="C28" s="26" t="s">
        <v>420</v>
      </c>
      <c r="D28" s="30">
        <v>16</v>
      </c>
      <c r="E28" s="28">
        <v>15.672143999999999</v>
      </c>
      <c r="F28" s="29">
        <v>0.49274461695444999</v>
      </c>
    </row>
    <row r="29" spans="1:9" ht="10.5" x14ac:dyDescent="0.25">
      <c r="A29" s="25" t="s">
        <v>167</v>
      </c>
      <c r="B29" s="25"/>
      <c r="C29" s="25"/>
      <c r="D29" s="31"/>
      <c r="E29" s="32">
        <f>SUM(E27:E28)</f>
        <v>15.672143999999999</v>
      </c>
      <c r="F29" s="33">
        <f>SUM(F27:F28)</f>
        <v>0.49274461695444999</v>
      </c>
      <c r="G29" s="17"/>
      <c r="H29" s="17"/>
      <c r="I29" s="17"/>
    </row>
    <row r="30" spans="1:9" x14ac:dyDescent="0.2">
      <c r="A30" s="26"/>
      <c r="B30" s="26"/>
      <c r="C30" s="26"/>
      <c r="D30" s="27"/>
      <c r="E30" s="28"/>
      <c r="F30" s="29"/>
    </row>
    <row r="31" spans="1:9" ht="10.5" x14ac:dyDescent="0.25">
      <c r="A31" s="25" t="s">
        <v>205</v>
      </c>
      <c r="B31" s="25"/>
      <c r="C31" s="25"/>
      <c r="D31" s="31"/>
      <c r="E31" s="32">
        <f>E20+E24+E29</f>
        <v>2958.1971340000005</v>
      </c>
      <c r="F31" s="33">
        <f>F20+F24+F29</f>
        <v>93.00806026722195</v>
      </c>
      <c r="G31" s="17"/>
      <c r="H31" s="17"/>
      <c r="I31" s="17"/>
    </row>
    <row r="32" spans="1:9" ht="10.5" x14ac:dyDescent="0.25">
      <c r="A32" s="25"/>
      <c r="B32" s="25"/>
      <c r="C32" s="25"/>
      <c r="D32" s="31"/>
      <c r="E32" s="32"/>
      <c r="F32" s="33"/>
      <c r="G32" s="17"/>
      <c r="H32" s="17"/>
      <c r="I32" s="17"/>
    </row>
    <row r="33" spans="1:9" ht="10.5" x14ac:dyDescent="0.25">
      <c r="A33" s="25" t="s">
        <v>207</v>
      </c>
      <c r="B33" s="25"/>
      <c r="C33" s="25"/>
      <c r="D33" s="31"/>
      <c r="E33" s="32">
        <f>E35-(E20+E24+E29)</f>
        <v>222.38433979999945</v>
      </c>
      <c r="F33" s="33">
        <f>F35-(F20+F24+F29)</f>
        <v>6.9919397327780501</v>
      </c>
      <c r="G33" s="17"/>
      <c r="H33" s="17"/>
      <c r="I33" s="17"/>
    </row>
    <row r="34" spans="1:9" ht="10.5" x14ac:dyDescent="0.25">
      <c r="A34" s="25"/>
      <c r="B34" s="25"/>
      <c r="C34" s="25"/>
      <c r="D34" s="31"/>
      <c r="E34" s="32"/>
      <c r="F34" s="33"/>
      <c r="G34" s="17"/>
      <c r="H34" s="17"/>
      <c r="I34" s="17"/>
    </row>
    <row r="35" spans="1:9" ht="10.5" x14ac:dyDescent="0.25">
      <c r="A35" s="34" t="s">
        <v>206</v>
      </c>
      <c r="B35" s="34"/>
      <c r="C35" s="34"/>
      <c r="D35" s="35"/>
      <c r="E35" s="36">
        <v>3180.5814737999999</v>
      </c>
      <c r="F35" s="37">
        <v>100</v>
      </c>
      <c r="G35" s="17"/>
      <c r="H35" s="17"/>
      <c r="I35" s="17"/>
    </row>
    <row r="37" spans="1:9" ht="10.5" x14ac:dyDescent="0.25">
      <c r="A37" s="17" t="s">
        <v>209</v>
      </c>
    </row>
    <row r="39" spans="1:9" ht="10.5" x14ac:dyDescent="0.25">
      <c r="A39" s="17" t="s">
        <v>210</v>
      </c>
    </row>
    <row r="40" spans="1:9" ht="10.5" x14ac:dyDescent="0.25">
      <c r="A40" s="17" t="s">
        <v>211</v>
      </c>
    </row>
    <row r="41" spans="1:9" ht="10.5" x14ac:dyDescent="0.25">
      <c r="A41" s="17" t="s">
        <v>212</v>
      </c>
      <c r="B41" s="17"/>
      <c r="C41" s="38" t="s">
        <v>214</v>
      </c>
      <c r="D41" s="18" t="s">
        <v>213</v>
      </c>
    </row>
    <row r="42" spans="1:9" x14ac:dyDescent="0.2">
      <c r="A42" s="10" t="s">
        <v>486</v>
      </c>
      <c r="C42" s="39">
        <v>11.435600000000001</v>
      </c>
      <c r="D42" s="39">
        <v>12.057600000000001</v>
      </c>
    </row>
    <row r="43" spans="1:9" x14ac:dyDescent="0.2">
      <c r="A43" s="10" t="s">
        <v>783</v>
      </c>
      <c r="C43" s="39">
        <v>10.684200000000001</v>
      </c>
      <c r="D43" s="39">
        <v>11.2654</v>
      </c>
    </row>
    <row r="44" spans="1:9" x14ac:dyDescent="0.2">
      <c r="A44" s="10" t="s">
        <v>488</v>
      </c>
      <c r="C44" s="39">
        <v>10.445399999999999</v>
      </c>
      <c r="D44" s="39">
        <v>10.561500000000001</v>
      </c>
    </row>
    <row r="45" spans="1:9" x14ac:dyDescent="0.2">
      <c r="A45" s="10" t="s">
        <v>489</v>
      </c>
      <c r="C45" s="39">
        <v>11.5502</v>
      </c>
      <c r="D45" s="39">
        <v>12.1784</v>
      </c>
    </row>
    <row r="46" spans="1:9" x14ac:dyDescent="0.2">
      <c r="A46" s="10" t="s">
        <v>491</v>
      </c>
      <c r="C46" s="39">
        <v>10.5571</v>
      </c>
      <c r="D46" s="39">
        <v>10.6793</v>
      </c>
    </row>
    <row r="48" spans="1:9" ht="10.5" x14ac:dyDescent="0.25">
      <c r="A48" s="17" t="s">
        <v>226</v>
      </c>
    </row>
    <row r="49" spans="1:6" ht="10.5" x14ac:dyDescent="0.25">
      <c r="A49" s="147" t="s">
        <v>401</v>
      </c>
      <c r="B49" s="148"/>
      <c r="C49" s="145" t="s">
        <v>402</v>
      </c>
      <c r="D49" s="146"/>
    </row>
    <row r="50" spans="1:6" ht="10.5" x14ac:dyDescent="0.25">
      <c r="A50" s="147"/>
      <c r="B50" s="148"/>
      <c r="C50" s="43" t="s">
        <v>403</v>
      </c>
      <c r="D50" s="44" t="s">
        <v>404</v>
      </c>
    </row>
    <row r="51" spans="1:6" x14ac:dyDescent="0.2">
      <c r="A51" s="141" t="s">
        <v>488</v>
      </c>
      <c r="B51" s="142"/>
      <c r="C51" s="45">
        <v>0.36094760749999999</v>
      </c>
      <c r="D51" s="45">
        <v>0.34895504230000002</v>
      </c>
    </row>
    <row r="52" spans="1:6" x14ac:dyDescent="0.2">
      <c r="A52" s="141" t="s">
        <v>491</v>
      </c>
      <c r="B52" s="142"/>
      <c r="C52" s="45">
        <v>0.36094760749999999</v>
      </c>
      <c r="D52" s="45">
        <v>0.34895504230000002</v>
      </c>
    </row>
    <row r="54" spans="1:6" ht="10.5" x14ac:dyDescent="0.25">
      <c r="A54" s="17" t="s">
        <v>228</v>
      </c>
      <c r="D54" s="41">
        <v>0.90051590019178085</v>
      </c>
      <c r="E54" s="15" t="s">
        <v>229</v>
      </c>
    </row>
    <row r="55" spans="1:6" ht="47.5" customHeight="1" x14ac:dyDescent="0.2">
      <c r="A55" s="139" t="s">
        <v>1596</v>
      </c>
      <c r="B55" s="140"/>
      <c r="C55" s="140"/>
      <c r="D55" s="140"/>
      <c r="E55" s="140"/>
    </row>
    <row r="56" spans="1:6" s="78" customFormat="1" ht="14.5" x14ac:dyDescent="0.2">
      <c r="A56" s="137"/>
      <c r="B56" s="138"/>
      <c r="C56" s="138"/>
      <c r="D56" s="138"/>
      <c r="E56" s="138"/>
      <c r="F56" s="83"/>
    </row>
    <row r="57" spans="1:6" ht="10.5" x14ac:dyDescent="0.25">
      <c r="A57" s="17" t="s">
        <v>230</v>
      </c>
      <c r="D57" s="40" t="s">
        <v>227</v>
      </c>
    </row>
  </sheetData>
  <mergeCells count="7">
    <mergeCell ref="A55:E55"/>
    <mergeCell ref="A52:B52"/>
    <mergeCell ref="A1:F1"/>
    <mergeCell ref="C49:D49"/>
    <mergeCell ref="A49:B49"/>
    <mergeCell ref="A50:B50"/>
    <mergeCell ref="A51:B51"/>
  </mergeCells>
  <conditionalFormatting sqref="F2:F3 F5:F65537">
    <cfRule type="cellIs" dxfId="4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3"/>
  <sheetViews>
    <sheetView workbookViewId="0">
      <selection sqref="A1:F1"/>
    </sheetView>
  </sheetViews>
  <sheetFormatPr defaultColWidth="9.1796875" defaultRowHeight="10" x14ac:dyDescent="0.2"/>
  <cols>
    <col min="1" max="1" width="38.7265625" style="10" bestFit="1" customWidth="1"/>
    <col min="2" max="2" width="54.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29</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655</v>
      </c>
      <c r="B7" s="26" t="s">
        <v>654</v>
      </c>
      <c r="C7" s="26" t="s">
        <v>166</v>
      </c>
      <c r="D7" s="30">
        <v>44</v>
      </c>
      <c r="E7" s="28">
        <v>453.78652</v>
      </c>
      <c r="F7" s="29">
        <v>11.4985067624189</v>
      </c>
    </row>
    <row r="8" spans="1:6" x14ac:dyDescent="0.2">
      <c r="A8" s="26" t="s">
        <v>813</v>
      </c>
      <c r="B8" s="26" t="s">
        <v>812</v>
      </c>
      <c r="C8" s="26" t="s">
        <v>589</v>
      </c>
      <c r="D8" s="30">
        <v>41</v>
      </c>
      <c r="E8" s="28">
        <v>427.13799999999998</v>
      </c>
      <c r="F8" s="29">
        <v>10.8232593191311</v>
      </c>
    </row>
    <row r="9" spans="1:6" x14ac:dyDescent="0.2">
      <c r="A9" s="26" t="s">
        <v>815</v>
      </c>
      <c r="B9" s="26" t="s">
        <v>814</v>
      </c>
      <c r="C9" s="26" t="s">
        <v>166</v>
      </c>
      <c r="D9" s="30">
        <v>41</v>
      </c>
      <c r="E9" s="28">
        <v>426.73907000000003</v>
      </c>
      <c r="F9" s="29">
        <v>10.8131508229538</v>
      </c>
    </row>
    <row r="10" spans="1:6" x14ac:dyDescent="0.2">
      <c r="A10" s="26" t="s">
        <v>165</v>
      </c>
      <c r="B10" s="26" t="s">
        <v>164</v>
      </c>
      <c r="C10" s="26" t="s">
        <v>166</v>
      </c>
      <c r="D10" s="30">
        <v>40</v>
      </c>
      <c r="E10" s="28">
        <v>422.47480000000002</v>
      </c>
      <c r="F10" s="29">
        <v>10.7050983902112</v>
      </c>
    </row>
    <row r="11" spans="1:6" x14ac:dyDescent="0.2">
      <c r="A11" s="26" t="s">
        <v>817</v>
      </c>
      <c r="B11" s="26" t="s">
        <v>816</v>
      </c>
      <c r="C11" s="26" t="s">
        <v>166</v>
      </c>
      <c r="D11" s="30">
        <v>33</v>
      </c>
      <c r="E11" s="28">
        <v>313.59537</v>
      </c>
      <c r="F11" s="29">
        <v>7.94620008238289</v>
      </c>
    </row>
    <row r="12" spans="1:6" x14ac:dyDescent="0.2">
      <c r="A12" s="26" t="s">
        <v>340</v>
      </c>
      <c r="B12" s="26" t="s">
        <v>339</v>
      </c>
      <c r="C12" s="26" t="s">
        <v>166</v>
      </c>
      <c r="D12" s="30">
        <v>30</v>
      </c>
      <c r="E12" s="28">
        <v>310.83179999999999</v>
      </c>
      <c r="F12" s="29">
        <v>7.8761739204479397</v>
      </c>
    </row>
    <row r="13" spans="1:6" x14ac:dyDescent="0.2">
      <c r="A13" s="26" t="s">
        <v>823</v>
      </c>
      <c r="B13" s="26" t="s">
        <v>822</v>
      </c>
      <c r="C13" s="26" t="s">
        <v>166</v>
      </c>
      <c r="D13" s="30">
        <v>26</v>
      </c>
      <c r="E13" s="28">
        <v>266.47322000000003</v>
      </c>
      <c r="F13" s="29">
        <v>6.7521708713901996</v>
      </c>
    </row>
    <row r="14" spans="1:6" x14ac:dyDescent="0.2">
      <c r="A14" s="26" t="s">
        <v>147</v>
      </c>
      <c r="B14" s="26" t="s">
        <v>146</v>
      </c>
      <c r="C14" s="26" t="s">
        <v>139</v>
      </c>
      <c r="D14" s="30">
        <v>26000</v>
      </c>
      <c r="E14" s="28">
        <v>247.66066000000001</v>
      </c>
      <c r="F14" s="29">
        <v>6.2754789935036399</v>
      </c>
    </row>
    <row r="15" spans="1:6" x14ac:dyDescent="0.2">
      <c r="A15" s="26" t="s">
        <v>591</v>
      </c>
      <c r="B15" s="26" t="s">
        <v>590</v>
      </c>
      <c r="C15" s="26" t="s">
        <v>166</v>
      </c>
      <c r="D15" s="30">
        <v>2</v>
      </c>
      <c r="E15" s="28">
        <v>205.36279999999999</v>
      </c>
      <c r="F15" s="29">
        <v>5.2036925745376301</v>
      </c>
    </row>
    <row r="16" spans="1:6" x14ac:dyDescent="0.2">
      <c r="A16" s="26" t="s">
        <v>665</v>
      </c>
      <c r="B16" s="26" t="s">
        <v>664</v>
      </c>
      <c r="C16" s="26" t="s">
        <v>589</v>
      </c>
      <c r="D16" s="30">
        <v>150</v>
      </c>
      <c r="E16" s="28">
        <v>156.08025000000001</v>
      </c>
      <c r="F16" s="29">
        <v>3.95492093970757</v>
      </c>
    </row>
    <row r="17" spans="1:9" ht="10.5" x14ac:dyDescent="0.25">
      <c r="A17" s="25" t="s">
        <v>167</v>
      </c>
      <c r="B17" s="25"/>
      <c r="C17" s="25"/>
      <c r="D17" s="31"/>
      <c r="E17" s="32">
        <f>SUM(E6:E16)</f>
        <v>3230.1424899999997</v>
      </c>
      <c r="F17" s="33">
        <f>SUM(F6:F16)</f>
        <v>81.848652676684878</v>
      </c>
      <c r="G17" s="17"/>
      <c r="H17" s="17"/>
      <c r="I17" s="17"/>
    </row>
    <row r="18" spans="1:9" x14ac:dyDescent="0.2">
      <c r="A18" s="26"/>
      <c r="B18" s="26"/>
      <c r="C18" s="26"/>
      <c r="D18" s="27"/>
      <c r="E18" s="28"/>
      <c r="F18" s="29"/>
    </row>
    <row r="19" spans="1:9" ht="10.5" x14ac:dyDescent="0.25">
      <c r="A19" s="25" t="s">
        <v>168</v>
      </c>
      <c r="B19" s="26"/>
      <c r="C19" s="26"/>
      <c r="D19" s="27"/>
      <c r="E19" s="28"/>
      <c r="F19" s="29"/>
    </row>
    <row r="20" spans="1:9" x14ac:dyDescent="0.2">
      <c r="A20" s="26" t="s">
        <v>385</v>
      </c>
      <c r="B20" s="26" t="s">
        <v>384</v>
      </c>
      <c r="C20" s="26" t="s">
        <v>166</v>
      </c>
      <c r="D20" s="30">
        <v>34</v>
      </c>
      <c r="E20" s="28">
        <v>344.88546000000002</v>
      </c>
      <c r="F20" s="29">
        <v>8.7390603715375708</v>
      </c>
    </row>
    <row r="21" spans="1:9" x14ac:dyDescent="0.2">
      <c r="A21" s="26" t="s">
        <v>677</v>
      </c>
      <c r="B21" s="26" t="s">
        <v>676</v>
      </c>
      <c r="C21" s="26" t="s">
        <v>166</v>
      </c>
      <c r="D21" s="30">
        <v>7</v>
      </c>
      <c r="E21" s="28">
        <v>71.287090000000006</v>
      </c>
      <c r="F21" s="29">
        <v>1.8063451652071201</v>
      </c>
    </row>
    <row r="22" spans="1:9" ht="10.5" x14ac:dyDescent="0.25">
      <c r="A22" s="25" t="s">
        <v>167</v>
      </c>
      <c r="B22" s="25"/>
      <c r="C22" s="25"/>
      <c r="D22" s="31"/>
      <c r="E22" s="32">
        <f>SUM(E19:E21)</f>
        <v>416.17255</v>
      </c>
      <c r="F22" s="33">
        <f>SUM(F19:F21)</f>
        <v>10.54540553674469</v>
      </c>
      <c r="G22" s="17"/>
      <c r="H22" s="17"/>
      <c r="I22" s="17"/>
    </row>
    <row r="23" spans="1:9" x14ac:dyDescent="0.2">
      <c r="A23" s="26"/>
      <c r="B23" s="26"/>
      <c r="C23" s="26"/>
      <c r="D23" s="27"/>
      <c r="E23" s="28"/>
      <c r="F23" s="29"/>
    </row>
    <row r="24" spans="1:9" ht="10.5" x14ac:dyDescent="0.25">
      <c r="A24" s="25" t="s">
        <v>413</v>
      </c>
      <c r="B24" s="26"/>
      <c r="C24" s="26"/>
      <c r="D24" s="27"/>
      <c r="E24" s="28"/>
      <c r="F24" s="29"/>
    </row>
    <row r="25" spans="1:9" ht="10.5" x14ac:dyDescent="0.25">
      <c r="A25" s="25" t="s">
        <v>414</v>
      </c>
      <c r="B25" s="26"/>
      <c r="C25" s="26"/>
      <c r="D25" s="27"/>
      <c r="E25" s="28"/>
      <c r="F25" s="29"/>
    </row>
    <row r="26" spans="1:9" x14ac:dyDescent="0.2">
      <c r="A26" s="26" t="s">
        <v>431</v>
      </c>
      <c r="B26" s="26" t="s">
        <v>430</v>
      </c>
      <c r="C26" s="26" t="s">
        <v>420</v>
      </c>
      <c r="D26" s="30">
        <v>33</v>
      </c>
      <c r="E26" s="28">
        <v>32.323796999999999</v>
      </c>
      <c r="F26" s="29">
        <v>0.81905341390827202</v>
      </c>
    </row>
    <row r="27" spans="1:9" ht="10.5" x14ac:dyDescent="0.25">
      <c r="A27" s="25" t="s">
        <v>167</v>
      </c>
      <c r="B27" s="25"/>
      <c r="C27" s="25"/>
      <c r="D27" s="31"/>
      <c r="E27" s="32">
        <f>SUM(E25:E26)</f>
        <v>32.323796999999999</v>
      </c>
      <c r="F27" s="33">
        <f>SUM(F25:F26)</f>
        <v>0.81905341390827202</v>
      </c>
      <c r="G27" s="17"/>
      <c r="H27" s="17"/>
      <c r="I27" s="17"/>
    </row>
    <row r="28" spans="1:9" x14ac:dyDescent="0.2">
      <c r="A28" s="26"/>
      <c r="B28" s="26"/>
      <c r="C28" s="26"/>
      <c r="D28" s="27"/>
      <c r="E28" s="28"/>
      <c r="F28" s="29"/>
    </row>
    <row r="29" spans="1:9" ht="10.5" x14ac:dyDescent="0.25">
      <c r="A29" s="25" t="s">
        <v>205</v>
      </c>
      <c r="B29" s="25"/>
      <c r="C29" s="25"/>
      <c r="D29" s="31"/>
      <c r="E29" s="32">
        <f>E17+E22+E27</f>
        <v>3678.6388369999995</v>
      </c>
      <c r="F29" s="33">
        <f>F17+F22+F27</f>
        <v>93.213111627337852</v>
      </c>
      <c r="G29" s="17"/>
      <c r="H29" s="17"/>
      <c r="I29" s="17"/>
    </row>
    <row r="30" spans="1:9" ht="10.5" x14ac:dyDescent="0.25">
      <c r="A30" s="25"/>
      <c r="B30" s="25"/>
      <c r="C30" s="25"/>
      <c r="D30" s="31"/>
      <c r="E30" s="32"/>
      <c r="F30" s="33"/>
      <c r="G30" s="17"/>
      <c r="H30" s="17"/>
      <c r="I30" s="17"/>
    </row>
    <row r="31" spans="1:9" ht="10.5" x14ac:dyDescent="0.25">
      <c r="A31" s="25" t="s">
        <v>207</v>
      </c>
      <c r="B31" s="25"/>
      <c r="C31" s="25"/>
      <c r="D31" s="31"/>
      <c r="E31" s="32">
        <f>E33-(E17+E22+E27)</f>
        <v>267.84334000000035</v>
      </c>
      <c r="F31" s="33">
        <f>F33-(F17+F22+F27)</f>
        <v>6.7868883726621476</v>
      </c>
      <c r="G31" s="17"/>
      <c r="H31" s="17"/>
      <c r="I31" s="17"/>
    </row>
    <row r="32" spans="1:9" ht="10.5" x14ac:dyDescent="0.25">
      <c r="A32" s="25"/>
      <c r="B32" s="25"/>
      <c r="C32" s="25"/>
      <c r="D32" s="31"/>
      <c r="E32" s="32"/>
      <c r="F32" s="33"/>
      <c r="G32" s="17"/>
      <c r="H32" s="17"/>
      <c r="I32" s="17"/>
    </row>
    <row r="33" spans="1:9" ht="10.5" x14ac:dyDescent="0.25">
      <c r="A33" s="34" t="s">
        <v>206</v>
      </c>
      <c r="B33" s="34"/>
      <c r="C33" s="34"/>
      <c r="D33" s="35"/>
      <c r="E33" s="36">
        <v>3946.4821769999999</v>
      </c>
      <c r="F33" s="37">
        <v>100</v>
      </c>
      <c r="G33" s="17"/>
      <c r="H33" s="17"/>
      <c r="I33" s="17"/>
    </row>
    <row r="35" spans="1:9" ht="10.5" x14ac:dyDescent="0.25">
      <c r="A35" s="17" t="s">
        <v>209</v>
      </c>
    </row>
    <row r="37" spans="1:9" ht="10.5" x14ac:dyDescent="0.25">
      <c r="A37" s="17" t="s">
        <v>210</v>
      </c>
    </row>
    <row r="38" spans="1:9" ht="10.5" x14ac:dyDescent="0.25">
      <c r="A38" s="17" t="s">
        <v>211</v>
      </c>
    </row>
    <row r="39" spans="1:9" ht="10.5" x14ac:dyDescent="0.25">
      <c r="A39" s="17" t="s">
        <v>212</v>
      </c>
      <c r="B39" s="17"/>
      <c r="C39" s="38" t="s">
        <v>214</v>
      </c>
      <c r="D39" s="18" t="s">
        <v>213</v>
      </c>
    </row>
    <row r="40" spans="1:9" x14ac:dyDescent="0.2">
      <c r="A40" s="10" t="s">
        <v>486</v>
      </c>
      <c r="C40" s="39">
        <v>10.8613</v>
      </c>
      <c r="D40" s="39">
        <v>11.4064</v>
      </c>
    </row>
    <row r="41" spans="1:9" x14ac:dyDescent="0.2">
      <c r="A41" s="10" t="s">
        <v>783</v>
      </c>
      <c r="C41" s="39">
        <v>10.617800000000001</v>
      </c>
      <c r="D41" s="39">
        <v>11.150700000000001</v>
      </c>
    </row>
    <row r="42" spans="1:9" x14ac:dyDescent="0.2">
      <c r="A42" s="10" t="s">
        <v>488</v>
      </c>
      <c r="C42" s="39">
        <v>10.3878</v>
      </c>
      <c r="D42" s="39">
        <v>10.4682</v>
      </c>
    </row>
    <row r="43" spans="1:9" x14ac:dyDescent="0.2">
      <c r="A43" s="10" t="s">
        <v>489</v>
      </c>
      <c r="C43" s="39">
        <v>10.969799999999999</v>
      </c>
      <c r="D43" s="39">
        <v>11.5204</v>
      </c>
    </row>
    <row r="45" spans="1:9" ht="10.5" x14ac:dyDescent="0.25">
      <c r="A45" s="17" t="s">
        <v>226</v>
      </c>
    </row>
    <row r="46" spans="1:9" ht="10.5" x14ac:dyDescent="0.25">
      <c r="A46" s="147" t="s">
        <v>401</v>
      </c>
      <c r="B46" s="148"/>
      <c r="C46" s="145" t="s">
        <v>402</v>
      </c>
      <c r="D46" s="146"/>
    </row>
    <row r="47" spans="1:9" ht="10.5" x14ac:dyDescent="0.25">
      <c r="A47" s="147"/>
      <c r="B47" s="148"/>
      <c r="C47" s="43" t="s">
        <v>403</v>
      </c>
      <c r="D47" s="44" t="s">
        <v>404</v>
      </c>
    </row>
    <row r="48" spans="1:9" x14ac:dyDescent="0.2">
      <c r="A48" s="141" t="s">
        <v>488</v>
      </c>
      <c r="B48" s="142"/>
      <c r="C48" s="45">
        <v>0.35169760750000001</v>
      </c>
      <c r="D48" s="45">
        <v>0.33970504229999998</v>
      </c>
    </row>
    <row r="50" spans="1:6" ht="10.5" x14ac:dyDescent="0.25">
      <c r="A50" s="17" t="s">
        <v>228</v>
      </c>
      <c r="D50" s="41">
        <v>0.91219710350684924</v>
      </c>
      <c r="E50" s="15" t="s">
        <v>229</v>
      </c>
    </row>
    <row r="51" spans="1:6" ht="48" customHeight="1" x14ac:dyDescent="0.2">
      <c r="A51" s="139" t="s">
        <v>1596</v>
      </c>
      <c r="B51" s="140"/>
      <c r="C51" s="140"/>
      <c r="D51" s="140"/>
      <c r="E51" s="140"/>
    </row>
    <row r="52" spans="1:6" s="78" customFormat="1" ht="14.5" x14ac:dyDescent="0.2">
      <c r="A52" s="137"/>
      <c r="B52" s="138"/>
      <c r="C52" s="138"/>
      <c r="D52" s="138"/>
      <c r="E52" s="138"/>
      <c r="F52" s="83"/>
    </row>
    <row r="53" spans="1:6" ht="10.5" x14ac:dyDescent="0.25">
      <c r="A53" s="17" t="s">
        <v>230</v>
      </c>
      <c r="D53" s="40" t="s">
        <v>227</v>
      </c>
    </row>
  </sheetData>
  <mergeCells count="6">
    <mergeCell ref="A51:E51"/>
    <mergeCell ref="A1:F1"/>
    <mergeCell ref="C46:D46"/>
    <mergeCell ref="A46:B46"/>
    <mergeCell ref="A47:B47"/>
    <mergeCell ref="A48:B48"/>
  </mergeCells>
  <conditionalFormatting sqref="F2:F3 F5:F65537">
    <cfRule type="cellIs" dxfId="4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6"/>
  <sheetViews>
    <sheetView workbookViewId="0">
      <selection sqref="A1:F1"/>
    </sheetView>
  </sheetViews>
  <sheetFormatPr defaultColWidth="9.1796875" defaultRowHeight="10" x14ac:dyDescent="0.2"/>
  <cols>
    <col min="1" max="1" width="38.7265625" style="10" bestFit="1" customWidth="1"/>
    <col min="2" max="2" width="54.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30</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825</v>
      </c>
      <c r="B7" s="26" t="s">
        <v>824</v>
      </c>
      <c r="C7" s="26" t="s">
        <v>166</v>
      </c>
      <c r="D7" s="30">
        <v>90</v>
      </c>
      <c r="E7" s="28">
        <v>1113.9731999999999</v>
      </c>
      <c r="F7" s="29">
        <v>11.9066499166191</v>
      </c>
    </row>
    <row r="8" spans="1:6" x14ac:dyDescent="0.2">
      <c r="A8" s="26" t="s">
        <v>165</v>
      </c>
      <c r="B8" s="26" t="s">
        <v>164</v>
      </c>
      <c r="C8" s="26" t="s">
        <v>166</v>
      </c>
      <c r="D8" s="30">
        <v>98</v>
      </c>
      <c r="E8" s="28">
        <v>1035.0632599999999</v>
      </c>
      <c r="F8" s="29">
        <v>11.063224751165</v>
      </c>
    </row>
    <row r="9" spans="1:6" x14ac:dyDescent="0.2">
      <c r="A9" s="26" t="s">
        <v>655</v>
      </c>
      <c r="B9" s="26" t="s">
        <v>654</v>
      </c>
      <c r="C9" s="26" t="s">
        <v>166</v>
      </c>
      <c r="D9" s="30">
        <v>92</v>
      </c>
      <c r="E9" s="28">
        <v>948.82636000000002</v>
      </c>
      <c r="F9" s="29">
        <v>10.141485719925701</v>
      </c>
    </row>
    <row r="10" spans="1:6" x14ac:dyDescent="0.2">
      <c r="A10" s="26" t="s">
        <v>813</v>
      </c>
      <c r="B10" s="26" t="s">
        <v>812</v>
      </c>
      <c r="C10" s="26" t="s">
        <v>589</v>
      </c>
      <c r="D10" s="30">
        <v>90</v>
      </c>
      <c r="E10" s="28">
        <v>937.62</v>
      </c>
      <c r="F10" s="29">
        <v>10.0217070705295</v>
      </c>
    </row>
    <row r="11" spans="1:6" x14ac:dyDescent="0.2">
      <c r="A11" s="26" t="s">
        <v>815</v>
      </c>
      <c r="B11" s="26" t="s">
        <v>814</v>
      </c>
      <c r="C11" s="26" t="s">
        <v>166</v>
      </c>
      <c r="D11" s="30">
        <v>90</v>
      </c>
      <c r="E11" s="28">
        <v>936.74429999999995</v>
      </c>
      <c r="F11" s="29">
        <v>10.012347192453401</v>
      </c>
    </row>
    <row r="12" spans="1:6" x14ac:dyDescent="0.2">
      <c r="A12" s="26" t="s">
        <v>340</v>
      </c>
      <c r="B12" s="26" t="s">
        <v>339</v>
      </c>
      <c r="C12" s="26" t="s">
        <v>166</v>
      </c>
      <c r="D12" s="30">
        <v>71</v>
      </c>
      <c r="E12" s="28">
        <v>735.63526000000002</v>
      </c>
      <c r="F12" s="29">
        <v>7.8628027201561403</v>
      </c>
    </row>
    <row r="13" spans="1:6" x14ac:dyDescent="0.2">
      <c r="A13" s="26" t="s">
        <v>827</v>
      </c>
      <c r="B13" s="26" t="s">
        <v>826</v>
      </c>
      <c r="C13" s="26" t="s">
        <v>166</v>
      </c>
      <c r="D13" s="30">
        <v>60</v>
      </c>
      <c r="E13" s="28">
        <v>728.12339999999995</v>
      </c>
      <c r="F13" s="29">
        <v>7.7825125594569</v>
      </c>
    </row>
    <row r="14" spans="1:6" x14ac:dyDescent="0.2">
      <c r="A14" s="26" t="s">
        <v>817</v>
      </c>
      <c r="B14" s="26" t="s">
        <v>816</v>
      </c>
      <c r="C14" s="26" t="s">
        <v>166</v>
      </c>
      <c r="D14" s="30">
        <v>75</v>
      </c>
      <c r="E14" s="28">
        <v>712.71675000000005</v>
      </c>
      <c r="F14" s="29">
        <v>7.61783930884559</v>
      </c>
    </row>
    <row r="15" spans="1:6" x14ac:dyDescent="0.2">
      <c r="A15" s="26" t="s">
        <v>821</v>
      </c>
      <c r="B15" s="26" t="s">
        <v>820</v>
      </c>
      <c r="C15" s="26" t="s">
        <v>336</v>
      </c>
      <c r="D15" s="30">
        <v>58</v>
      </c>
      <c r="E15" s="28">
        <v>701.81101999999998</v>
      </c>
      <c r="F15" s="29">
        <v>7.5012739290005701</v>
      </c>
    </row>
    <row r="16" spans="1:6" x14ac:dyDescent="0.2">
      <c r="A16" s="26" t="s">
        <v>665</v>
      </c>
      <c r="B16" s="26" t="s">
        <v>664</v>
      </c>
      <c r="C16" s="26" t="s">
        <v>589</v>
      </c>
      <c r="D16" s="30">
        <v>470</v>
      </c>
      <c r="E16" s="28">
        <v>489.05144999999999</v>
      </c>
      <c r="F16" s="29">
        <v>5.2272033172476098</v>
      </c>
    </row>
    <row r="17" spans="1:9" x14ac:dyDescent="0.2">
      <c r="A17" s="26" t="s">
        <v>591</v>
      </c>
      <c r="B17" s="26" t="s">
        <v>590</v>
      </c>
      <c r="C17" s="26" t="s">
        <v>166</v>
      </c>
      <c r="D17" s="30">
        <v>2</v>
      </c>
      <c r="E17" s="28">
        <v>205.36279999999999</v>
      </c>
      <c r="F17" s="29">
        <v>2.1950105850810901</v>
      </c>
    </row>
    <row r="18" spans="1:9" x14ac:dyDescent="0.2">
      <c r="A18" s="26" t="s">
        <v>829</v>
      </c>
      <c r="B18" s="26" t="s">
        <v>828</v>
      </c>
      <c r="C18" s="26" t="s">
        <v>336</v>
      </c>
      <c r="D18" s="30">
        <v>10</v>
      </c>
      <c r="E18" s="28">
        <v>120.896</v>
      </c>
      <c r="F18" s="29">
        <v>1.2921911840604201</v>
      </c>
    </row>
    <row r="19" spans="1:9" x14ac:dyDescent="0.2">
      <c r="A19" s="26" t="s">
        <v>338</v>
      </c>
      <c r="B19" s="26" t="s">
        <v>337</v>
      </c>
      <c r="C19" s="26" t="s">
        <v>166</v>
      </c>
      <c r="D19" s="30">
        <v>8</v>
      </c>
      <c r="E19" s="28">
        <v>83.159279999999995</v>
      </c>
      <c r="F19" s="29">
        <v>0.88884403527670297</v>
      </c>
    </row>
    <row r="20" spans="1:9" x14ac:dyDescent="0.2">
      <c r="A20" s="26" t="s">
        <v>645</v>
      </c>
      <c r="B20" s="26" t="s">
        <v>644</v>
      </c>
      <c r="C20" s="26" t="s">
        <v>589</v>
      </c>
      <c r="D20" s="30">
        <v>6</v>
      </c>
      <c r="E20" s="28">
        <v>74.052840000000003</v>
      </c>
      <c r="F20" s="29">
        <v>0.79151028158613201</v>
      </c>
    </row>
    <row r="21" spans="1:9" x14ac:dyDescent="0.2">
      <c r="A21" s="26" t="s">
        <v>823</v>
      </c>
      <c r="B21" s="26" t="s">
        <v>822</v>
      </c>
      <c r="C21" s="26" t="s">
        <v>166</v>
      </c>
      <c r="D21" s="30">
        <v>4</v>
      </c>
      <c r="E21" s="28">
        <v>40.99588</v>
      </c>
      <c r="F21" s="29">
        <v>0.438182526459097</v>
      </c>
    </row>
    <row r="22" spans="1:9" x14ac:dyDescent="0.2">
      <c r="A22" s="26" t="s">
        <v>333</v>
      </c>
      <c r="B22" s="26" t="s">
        <v>332</v>
      </c>
      <c r="C22" s="26" t="s">
        <v>166</v>
      </c>
      <c r="D22" s="30">
        <v>1</v>
      </c>
      <c r="E22" s="28">
        <v>10.243069999999999</v>
      </c>
      <c r="F22" s="29">
        <v>0.10948256974353</v>
      </c>
    </row>
    <row r="23" spans="1:9" ht="10.5" x14ac:dyDescent="0.25">
      <c r="A23" s="25" t="s">
        <v>167</v>
      </c>
      <c r="B23" s="25"/>
      <c r="C23" s="25"/>
      <c r="D23" s="31"/>
      <c r="E23" s="32">
        <f>SUM(E6:E22)</f>
        <v>8874.2748700000011</v>
      </c>
      <c r="F23" s="33">
        <f>SUM(F6:F22)</f>
        <v>94.852267667606498</v>
      </c>
      <c r="G23" s="17"/>
      <c r="H23" s="17"/>
      <c r="I23" s="17"/>
    </row>
    <row r="24" spans="1:9" x14ac:dyDescent="0.2">
      <c r="A24" s="26"/>
      <c r="B24" s="26"/>
      <c r="C24" s="26"/>
      <c r="D24" s="27"/>
      <c r="E24" s="28"/>
      <c r="F24" s="29"/>
    </row>
    <row r="25" spans="1:9" ht="10.5" x14ac:dyDescent="0.25">
      <c r="A25" s="25" t="s">
        <v>413</v>
      </c>
      <c r="B25" s="26"/>
      <c r="C25" s="26"/>
      <c r="D25" s="27"/>
      <c r="E25" s="28"/>
      <c r="F25" s="29"/>
    </row>
    <row r="26" spans="1:9" ht="10.5" x14ac:dyDescent="0.25">
      <c r="A26" s="25" t="s">
        <v>414</v>
      </c>
      <c r="B26" s="26"/>
      <c r="C26" s="26"/>
      <c r="D26" s="27"/>
      <c r="E26" s="28"/>
      <c r="F26" s="29"/>
    </row>
    <row r="27" spans="1:9" x14ac:dyDescent="0.2">
      <c r="A27" s="26" t="s">
        <v>431</v>
      </c>
      <c r="B27" s="26" t="s">
        <v>430</v>
      </c>
      <c r="C27" s="26" t="s">
        <v>420</v>
      </c>
      <c r="D27" s="30">
        <v>48</v>
      </c>
      <c r="E27" s="28">
        <v>47.016432000000002</v>
      </c>
      <c r="F27" s="29">
        <v>0.50253291205975703</v>
      </c>
    </row>
    <row r="28" spans="1:9" ht="10.5" x14ac:dyDescent="0.25">
      <c r="A28" s="25" t="s">
        <v>167</v>
      </c>
      <c r="B28" s="25"/>
      <c r="C28" s="25"/>
      <c r="D28" s="31"/>
      <c r="E28" s="32">
        <f>SUM(E26:E27)</f>
        <v>47.016432000000002</v>
      </c>
      <c r="F28" s="33">
        <f>SUM(F26:F27)</f>
        <v>0.50253291205975703</v>
      </c>
      <c r="G28" s="17"/>
      <c r="H28" s="17"/>
      <c r="I28" s="17"/>
    </row>
    <row r="29" spans="1:9" x14ac:dyDescent="0.2">
      <c r="A29" s="26"/>
      <c r="B29" s="26"/>
      <c r="C29" s="26"/>
      <c r="D29" s="27"/>
      <c r="E29" s="28"/>
      <c r="F29" s="29"/>
    </row>
    <row r="30" spans="1:9" ht="10.5" x14ac:dyDescent="0.25">
      <c r="A30" s="25" t="s">
        <v>205</v>
      </c>
      <c r="B30" s="25"/>
      <c r="C30" s="25"/>
      <c r="D30" s="31"/>
      <c r="E30" s="32">
        <f>E23+E28</f>
        <v>8921.2913020000015</v>
      </c>
      <c r="F30" s="33">
        <f>F23+F28</f>
        <v>95.354800579666261</v>
      </c>
      <c r="G30" s="17"/>
      <c r="H30" s="17"/>
      <c r="I30" s="17"/>
    </row>
    <row r="31" spans="1:9" ht="10.5" x14ac:dyDescent="0.25">
      <c r="A31" s="25"/>
      <c r="B31" s="25"/>
      <c r="C31" s="25"/>
      <c r="D31" s="31"/>
      <c r="E31" s="32"/>
      <c r="F31" s="33"/>
      <c r="G31" s="17"/>
      <c r="H31" s="17"/>
      <c r="I31" s="17"/>
    </row>
    <row r="32" spans="1:9" ht="10.5" x14ac:dyDescent="0.25">
      <c r="A32" s="25" t="s">
        <v>207</v>
      </c>
      <c r="B32" s="25"/>
      <c r="C32" s="25"/>
      <c r="D32" s="31"/>
      <c r="E32" s="32">
        <f>E34-(E23+E28)</f>
        <v>434.59979919999932</v>
      </c>
      <c r="F32" s="33">
        <f>F34-(F23+F28)</f>
        <v>4.6451994203337392</v>
      </c>
      <c r="G32" s="17"/>
      <c r="H32" s="17"/>
      <c r="I32" s="17"/>
    </row>
    <row r="33" spans="1:9" ht="10.5" x14ac:dyDescent="0.25">
      <c r="A33" s="25"/>
      <c r="B33" s="25"/>
      <c r="C33" s="25"/>
      <c r="D33" s="31"/>
      <c r="E33" s="32"/>
      <c r="F33" s="33"/>
      <c r="G33" s="17"/>
      <c r="H33" s="17"/>
      <c r="I33" s="17"/>
    </row>
    <row r="34" spans="1:9" ht="10.5" x14ac:dyDescent="0.25">
      <c r="A34" s="34" t="s">
        <v>206</v>
      </c>
      <c r="B34" s="34"/>
      <c r="C34" s="34"/>
      <c r="D34" s="35"/>
      <c r="E34" s="36">
        <v>9355.8911012000008</v>
      </c>
      <c r="F34" s="37">
        <v>100</v>
      </c>
      <c r="G34" s="17"/>
      <c r="H34" s="17"/>
      <c r="I34" s="17"/>
    </row>
    <row r="36" spans="1:9" ht="10.5" x14ac:dyDescent="0.25">
      <c r="A36" s="17" t="s">
        <v>209</v>
      </c>
    </row>
    <row r="38" spans="1:9" ht="10.5" x14ac:dyDescent="0.25">
      <c r="A38" s="17" t="s">
        <v>210</v>
      </c>
    </row>
    <row r="39" spans="1:9" ht="10.5" x14ac:dyDescent="0.25">
      <c r="A39" s="17" t="s">
        <v>211</v>
      </c>
    </row>
    <row r="40" spans="1:9" ht="10.5" x14ac:dyDescent="0.25">
      <c r="A40" s="17" t="s">
        <v>212</v>
      </c>
      <c r="B40" s="17"/>
      <c r="C40" s="38" t="s">
        <v>214</v>
      </c>
      <c r="D40" s="18" t="s">
        <v>213</v>
      </c>
    </row>
    <row r="41" spans="1:9" x14ac:dyDescent="0.2">
      <c r="A41" s="10" t="s">
        <v>486</v>
      </c>
      <c r="C41" s="39">
        <v>11.400600000000001</v>
      </c>
      <c r="D41" s="39">
        <v>12.0168</v>
      </c>
    </row>
    <row r="42" spans="1:9" x14ac:dyDescent="0.2">
      <c r="A42" s="10" t="s">
        <v>783</v>
      </c>
      <c r="C42" s="39">
        <v>10.6836</v>
      </c>
      <c r="D42" s="39">
        <v>11.260999999999999</v>
      </c>
    </row>
    <row r="43" spans="1:9" x14ac:dyDescent="0.2">
      <c r="A43" s="10" t="s">
        <v>488</v>
      </c>
      <c r="C43" s="39">
        <v>10.462400000000001</v>
      </c>
      <c r="D43" s="39">
        <v>10.6075</v>
      </c>
    </row>
    <row r="44" spans="1:9" x14ac:dyDescent="0.2">
      <c r="A44" s="10" t="s">
        <v>489</v>
      </c>
      <c r="C44" s="39">
        <v>11.503500000000001</v>
      </c>
      <c r="D44" s="39">
        <v>12.125299999999999</v>
      </c>
    </row>
    <row r="45" spans="1:9" x14ac:dyDescent="0.2">
      <c r="A45" s="10" t="s">
        <v>491</v>
      </c>
      <c r="C45" s="39">
        <v>10.4709</v>
      </c>
      <c r="D45" s="39">
        <v>10.616</v>
      </c>
    </row>
    <row r="47" spans="1:9" ht="10.5" x14ac:dyDescent="0.25">
      <c r="A47" s="17" t="s">
        <v>226</v>
      </c>
    </row>
    <row r="48" spans="1:9" ht="10.5" x14ac:dyDescent="0.25">
      <c r="A48" s="147" t="s">
        <v>401</v>
      </c>
      <c r="B48" s="148"/>
      <c r="C48" s="145" t="s">
        <v>402</v>
      </c>
      <c r="D48" s="146"/>
    </row>
    <row r="49" spans="1:6" ht="10.5" x14ac:dyDescent="0.25">
      <c r="A49" s="147"/>
      <c r="B49" s="148"/>
      <c r="C49" s="43" t="s">
        <v>403</v>
      </c>
      <c r="D49" s="44" t="s">
        <v>404</v>
      </c>
    </row>
    <row r="50" spans="1:6" x14ac:dyDescent="0.2">
      <c r="A50" s="141" t="s">
        <v>488</v>
      </c>
      <c r="B50" s="142"/>
      <c r="C50" s="45">
        <v>0.329595994</v>
      </c>
      <c r="D50" s="45">
        <v>0.31786993019999998</v>
      </c>
    </row>
    <row r="51" spans="1:6" x14ac:dyDescent="0.2">
      <c r="A51" s="141" t="s">
        <v>491</v>
      </c>
      <c r="B51" s="142"/>
      <c r="C51" s="45">
        <v>0.329595994</v>
      </c>
      <c r="D51" s="45">
        <v>0.31786993019999998</v>
      </c>
    </row>
    <row r="53" spans="1:6" ht="10.5" x14ac:dyDescent="0.25">
      <c r="A53" s="17" t="s">
        <v>228</v>
      </c>
      <c r="D53" s="41">
        <v>0.91610088104109588</v>
      </c>
      <c r="E53" s="15" t="s">
        <v>229</v>
      </c>
    </row>
    <row r="54" spans="1:6" ht="48" customHeight="1" x14ac:dyDescent="0.2">
      <c r="A54" s="139" t="s">
        <v>1596</v>
      </c>
      <c r="B54" s="140"/>
      <c r="C54" s="140"/>
      <c r="D54" s="140"/>
      <c r="E54" s="140"/>
    </row>
    <row r="55" spans="1:6" s="78" customFormat="1" ht="14.5" x14ac:dyDescent="0.2">
      <c r="A55" s="137"/>
      <c r="B55" s="138"/>
      <c r="C55" s="138"/>
      <c r="D55" s="138"/>
      <c r="E55" s="138"/>
      <c r="F55" s="83"/>
    </row>
    <row r="56" spans="1:6" ht="10.5" x14ac:dyDescent="0.25">
      <c r="A56" s="17" t="s">
        <v>230</v>
      </c>
      <c r="D56" s="40" t="s">
        <v>227</v>
      </c>
    </row>
  </sheetData>
  <mergeCells count="7">
    <mergeCell ref="A54:E54"/>
    <mergeCell ref="A51:B51"/>
    <mergeCell ref="A1:F1"/>
    <mergeCell ref="C48:D48"/>
    <mergeCell ref="A48:B48"/>
    <mergeCell ref="A49:B49"/>
    <mergeCell ref="A50:B50"/>
  </mergeCells>
  <conditionalFormatting sqref="F2:F3 F5:F65537">
    <cfRule type="cellIs" dxfId="4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4"/>
  <sheetViews>
    <sheetView workbookViewId="0">
      <selection sqref="A1:F1"/>
    </sheetView>
  </sheetViews>
  <sheetFormatPr defaultColWidth="9.1796875" defaultRowHeight="10" x14ac:dyDescent="0.2"/>
  <cols>
    <col min="1" max="1" width="38.7265625" style="10" bestFit="1" customWidth="1"/>
    <col min="2" max="2" width="51.72656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31</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829</v>
      </c>
      <c r="B7" s="26" t="s">
        <v>828</v>
      </c>
      <c r="C7" s="26" t="s">
        <v>336</v>
      </c>
      <c r="D7" s="30">
        <v>103</v>
      </c>
      <c r="E7" s="28">
        <v>1245.2288000000001</v>
      </c>
      <c r="F7" s="29">
        <v>10.933348509633801</v>
      </c>
    </row>
    <row r="8" spans="1:6" x14ac:dyDescent="0.2">
      <c r="A8" s="26" t="s">
        <v>340</v>
      </c>
      <c r="B8" s="26" t="s">
        <v>339</v>
      </c>
      <c r="C8" s="26" t="s">
        <v>166</v>
      </c>
      <c r="D8" s="30">
        <v>115</v>
      </c>
      <c r="E8" s="28">
        <v>1191.5219</v>
      </c>
      <c r="F8" s="29">
        <v>10.4617915916826</v>
      </c>
    </row>
    <row r="9" spans="1:6" x14ac:dyDescent="0.2">
      <c r="A9" s="26" t="s">
        <v>338</v>
      </c>
      <c r="B9" s="26" t="s">
        <v>337</v>
      </c>
      <c r="C9" s="26" t="s">
        <v>166</v>
      </c>
      <c r="D9" s="30">
        <v>112</v>
      </c>
      <c r="E9" s="28">
        <v>1164.22992</v>
      </c>
      <c r="F9" s="29">
        <v>10.2221627549114</v>
      </c>
    </row>
    <row r="10" spans="1:6" x14ac:dyDescent="0.2">
      <c r="A10" s="26" t="s">
        <v>831</v>
      </c>
      <c r="B10" s="26" t="s">
        <v>830</v>
      </c>
      <c r="C10" s="26" t="s">
        <v>166</v>
      </c>
      <c r="D10" s="30">
        <v>100</v>
      </c>
      <c r="E10" s="28">
        <v>1045.7049999999999</v>
      </c>
      <c r="F10" s="29">
        <v>9.1814911470619407</v>
      </c>
    </row>
    <row r="11" spans="1:6" x14ac:dyDescent="0.2">
      <c r="A11" s="26" t="s">
        <v>821</v>
      </c>
      <c r="B11" s="26" t="s">
        <v>820</v>
      </c>
      <c r="C11" s="26" t="s">
        <v>336</v>
      </c>
      <c r="D11" s="30">
        <v>85</v>
      </c>
      <c r="E11" s="28">
        <v>1028.5161499999999</v>
      </c>
      <c r="F11" s="29">
        <v>9.0305697360491006</v>
      </c>
    </row>
    <row r="12" spans="1:6" x14ac:dyDescent="0.2">
      <c r="A12" s="26" t="s">
        <v>833</v>
      </c>
      <c r="B12" s="26" t="s">
        <v>832</v>
      </c>
      <c r="C12" s="26" t="s">
        <v>166</v>
      </c>
      <c r="D12" s="30">
        <v>70</v>
      </c>
      <c r="E12" s="28">
        <v>861.66079999999999</v>
      </c>
      <c r="F12" s="29">
        <v>7.5655476515559403</v>
      </c>
    </row>
    <row r="13" spans="1:6" x14ac:dyDescent="0.2">
      <c r="A13" s="26" t="s">
        <v>835</v>
      </c>
      <c r="B13" s="26" t="s">
        <v>834</v>
      </c>
      <c r="C13" s="26" t="s">
        <v>166</v>
      </c>
      <c r="D13" s="30">
        <v>77</v>
      </c>
      <c r="E13" s="28">
        <v>805.14279999999997</v>
      </c>
      <c r="F13" s="29">
        <v>7.0693087346055199</v>
      </c>
    </row>
    <row r="14" spans="1:6" x14ac:dyDescent="0.2">
      <c r="A14" s="26" t="s">
        <v>643</v>
      </c>
      <c r="B14" s="26" t="s">
        <v>642</v>
      </c>
      <c r="C14" s="26" t="s">
        <v>589</v>
      </c>
      <c r="D14" s="30">
        <v>75</v>
      </c>
      <c r="E14" s="28">
        <v>790.53599999999994</v>
      </c>
      <c r="F14" s="29">
        <v>6.9410582195110102</v>
      </c>
    </row>
    <row r="15" spans="1:6" x14ac:dyDescent="0.2">
      <c r="A15" s="26" t="s">
        <v>837</v>
      </c>
      <c r="B15" s="26" t="s">
        <v>836</v>
      </c>
      <c r="C15" s="26" t="s">
        <v>589</v>
      </c>
      <c r="D15" s="30">
        <v>21</v>
      </c>
      <c r="E15" s="28">
        <v>536.00609999999995</v>
      </c>
      <c r="F15" s="29">
        <v>4.70623671295556</v>
      </c>
    </row>
    <row r="16" spans="1:6" x14ac:dyDescent="0.2">
      <c r="A16" s="26" t="s">
        <v>839</v>
      </c>
      <c r="B16" s="26" t="s">
        <v>838</v>
      </c>
      <c r="C16" s="26" t="s">
        <v>166</v>
      </c>
      <c r="D16" s="30">
        <v>33</v>
      </c>
      <c r="E16" s="28">
        <v>339.28091999999998</v>
      </c>
      <c r="F16" s="29">
        <v>2.97895177258121</v>
      </c>
    </row>
    <row r="17" spans="1:9" x14ac:dyDescent="0.2">
      <c r="A17" s="26" t="s">
        <v>841</v>
      </c>
      <c r="B17" s="26" t="s">
        <v>840</v>
      </c>
      <c r="C17" s="26" t="s">
        <v>166</v>
      </c>
      <c r="D17" s="30">
        <v>32</v>
      </c>
      <c r="E17" s="28">
        <v>331.54752000000002</v>
      </c>
      <c r="F17" s="29">
        <v>2.9110510322799801</v>
      </c>
    </row>
    <row r="18" spans="1:9" x14ac:dyDescent="0.2">
      <c r="A18" s="26" t="s">
        <v>665</v>
      </c>
      <c r="B18" s="26" t="s">
        <v>664</v>
      </c>
      <c r="C18" s="26" t="s">
        <v>589</v>
      </c>
      <c r="D18" s="30">
        <v>310</v>
      </c>
      <c r="E18" s="28">
        <v>322.56585000000001</v>
      </c>
      <c r="F18" s="29">
        <v>2.8321902411478499</v>
      </c>
    </row>
    <row r="19" spans="1:9" x14ac:dyDescent="0.2">
      <c r="A19" s="26" t="s">
        <v>843</v>
      </c>
      <c r="B19" s="26" t="s">
        <v>842</v>
      </c>
      <c r="C19" s="26" t="s">
        <v>539</v>
      </c>
      <c r="D19" s="30">
        <v>32</v>
      </c>
      <c r="E19" s="28">
        <v>308.1216</v>
      </c>
      <c r="F19" s="29">
        <v>2.7053669463362602</v>
      </c>
    </row>
    <row r="20" spans="1:9" x14ac:dyDescent="0.2">
      <c r="A20" s="26" t="s">
        <v>591</v>
      </c>
      <c r="B20" s="26" t="s">
        <v>590</v>
      </c>
      <c r="C20" s="26" t="s">
        <v>166</v>
      </c>
      <c r="D20" s="30">
        <v>2</v>
      </c>
      <c r="E20" s="28">
        <v>205.36279999999999</v>
      </c>
      <c r="F20" s="29">
        <v>1.8031249062937</v>
      </c>
    </row>
    <row r="21" spans="1:9" x14ac:dyDescent="0.2">
      <c r="A21" s="26" t="s">
        <v>845</v>
      </c>
      <c r="B21" s="26" t="s">
        <v>844</v>
      </c>
      <c r="C21" s="26" t="s">
        <v>539</v>
      </c>
      <c r="D21" s="30">
        <v>26</v>
      </c>
      <c r="E21" s="28">
        <v>133.42875000000001</v>
      </c>
      <c r="F21" s="29">
        <v>1.1715301035077199</v>
      </c>
    </row>
    <row r="22" spans="1:9" x14ac:dyDescent="0.2">
      <c r="A22" s="26" t="s">
        <v>333</v>
      </c>
      <c r="B22" s="26" t="s">
        <v>332</v>
      </c>
      <c r="C22" s="26" t="s">
        <v>166</v>
      </c>
      <c r="D22" s="30">
        <v>4</v>
      </c>
      <c r="E22" s="28">
        <v>40.972279999999998</v>
      </c>
      <c r="F22" s="29">
        <v>0.35974450355974502</v>
      </c>
    </row>
    <row r="23" spans="1:9" x14ac:dyDescent="0.2">
      <c r="A23" s="26" t="s">
        <v>847</v>
      </c>
      <c r="B23" s="26" t="s">
        <v>846</v>
      </c>
      <c r="C23" s="26" t="s">
        <v>166</v>
      </c>
      <c r="D23" s="30">
        <v>2</v>
      </c>
      <c r="E23" s="28">
        <v>24.7883</v>
      </c>
      <c r="F23" s="29">
        <v>0.21764604453523301</v>
      </c>
    </row>
    <row r="24" spans="1:9" x14ac:dyDescent="0.2">
      <c r="A24" s="26" t="s">
        <v>335</v>
      </c>
      <c r="B24" s="26" t="s">
        <v>334</v>
      </c>
      <c r="C24" s="26" t="s">
        <v>336</v>
      </c>
      <c r="D24" s="30">
        <v>2</v>
      </c>
      <c r="E24" s="28">
        <v>24.58474</v>
      </c>
      <c r="F24" s="29">
        <v>0.21585874855989001</v>
      </c>
    </row>
    <row r="25" spans="1:9" x14ac:dyDescent="0.2">
      <c r="A25" s="26" t="s">
        <v>849</v>
      </c>
      <c r="B25" s="26" t="s">
        <v>848</v>
      </c>
      <c r="C25" s="26" t="s">
        <v>166</v>
      </c>
      <c r="D25" s="30">
        <v>1</v>
      </c>
      <c r="E25" s="28">
        <v>10.17942</v>
      </c>
      <c r="F25" s="29">
        <v>8.9377266640424599E-2</v>
      </c>
    </row>
    <row r="26" spans="1:9" ht="10.5" x14ac:dyDescent="0.25">
      <c r="A26" s="25" t="s">
        <v>167</v>
      </c>
      <c r="B26" s="25"/>
      <c r="C26" s="25"/>
      <c r="D26" s="31"/>
      <c r="E26" s="32">
        <f>SUM(E6:E25)</f>
        <v>10409.379650000001</v>
      </c>
      <c r="F26" s="33">
        <f>SUM(F6:F25)</f>
        <v>91.396356623408892</v>
      </c>
      <c r="G26" s="17"/>
      <c r="H26" s="17"/>
      <c r="I26" s="17"/>
    </row>
    <row r="27" spans="1:9" x14ac:dyDescent="0.2">
      <c r="A27" s="26"/>
      <c r="B27" s="26"/>
      <c r="C27" s="26"/>
      <c r="D27" s="27"/>
      <c r="E27" s="28"/>
      <c r="F27" s="29"/>
    </row>
    <row r="28" spans="1:9" ht="10.5" x14ac:dyDescent="0.25">
      <c r="A28" s="25" t="s">
        <v>168</v>
      </c>
      <c r="B28" s="26"/>
      <c r="C28" s="26"/>
      <c r="D28" s="27"/>
      <c r="E28" s="28"/>
      <c r="F28" s="29"/>
    </row>
    <row r="29" spans="1:9" x14ac:dyDescent="0.2">
      <c r="A29" s="26" t="s">
        <v>677</v>
      </c>
      <c r="B29" s="26" t="s">
        <v>676</v>
      </c>
      <c r="C29" s="26" t="s">
        <v>166</v>
      </c>
      <c r="D29" s="30">
        <v>29</v>
      </c>
      <c r="E29" s="28">
        <v>295.33222999999998</v>
      </c>
      <c r="F29" s="29">
        <v>2.59307381640813</v>
      </c>
    </row>
    <row r="30" spans="1:9" ht="10.5" x14ac:dyDescent="0.25">
      <c r="A30" s="25" t="s">
        <v>167</v>
      </c>
      <c r="B30" s="25"/>
      <c r="C30" s="25"/>
      <c r="D30" s="31"/>
      <c r="E30" s="32">
        <f>SUM(E28:E29)</f>
        <v>295.33222999999998</v>
      </c>
      <c r="F30" s="33">
        <f>SUM(F28:F29)</f>
        <v>2.59307381640813</v>
      </c>
      <c r="G30" s="17"/>
      <c r="H30" s="17"/>
      <c r="I30" s="17"/>
    </row>
    <row r="31" spans="1:9" x14ac:dyDescent="0.2">
      <c r="A31" s="26"/>
      <c r="B31" s="26"/>
      <c r="C31" s="26"/>
      <c r="D31" s="27"/>
      <c r="E31" s="28"/>
      <c r="F31" s="29"/>
    </row>
    <row r="32" spans="1:9" ht="10.5" x14ac:dyDescent="0.25">
      <c r="A32" s="25" t="s">
        <v>413</v>
      </c>
      <c r="B32" s="26"/>
      <c r="C32" s="26"/>
      <c r="D32" s="27"/>
      <c r="E32" s="28"/>
      <c r="F32" s="29"/>
    </row>
    <row r="33" spans="1:9" ht="10.5" x14ac:dyDescent="0.25">
      <c r="A33" s="25" t="s">
        <v>414</v>
      </c>
      <c r="B33" s="26"/>
      <c r="C33" s="26"/>
      <c r="D33" s="27"/>
      <c r="E33" s="28"/>
      <c r="F33" s="29"/>
    </row>
    <row r="34" spans="1:9" x14ac:dyDescent="0.2">
      <c r="A34" s="26" t="s">
        <v>431</v>
      </c>
      <c r="B34" s="26" t="s">
        <v>430</v>
      </c>
      <c r="C34" s="26" t="s">
        <v>420</v>
      </c>
      <c r="D34" s="30">
        <v>16</v>
      </c>
      <c r="E34" s="28">
        <v>15.672143999999999</v>
      </c>
      <c r="F34" s="29">
        <v>0.137604440441119</v>
      </c>
    </row>
    <row r="35" spans="1:9" ht="10.5" x14ac:dyDescent="0.25">
      <c r="A35" s="25" t="s">
        <v>167</v>
      </c>
      <c r="B35" s="25"/>
      <c r="C35" s="25"/>
      <c r="D35" s="31"/>
      <c r="E35" s="32">
        <f>SUM(E33:E34)</f>
        <v>15.672143999999999</v>
      </c>
      <c r="F35" s="33">
        <f>SUM(F33:F34)</f>
        <v>0.137604440441119</v>
      </c>
      <c r="G35" s="17"/>
      <c r="H35" s="17"/>
      <c r="I35" s="17"/>
    </row>
    <row r="36" spans="1:9" x14ac:dyDescent="0.2">
      <c r="A36" s="26"/>
      <c r="B36" s="26"/>
      <c r="C36" s="26"/>
      <c r="D36" s="27"/>
      <c r="E36" s="28"/>
      <c r="F36" s="29"/>
    </row>
    <row r="37" spans="1:9" ht="10.5" x14ac:dyDescent="0.25">
      <c r="A37" s="25" t="s">
        <v>205</v>
      </c>
      <c r="B37" s="25"/>
      <c r="C37" s="25"/>
      <c r="D37" s="31"/>
      <c r="E37" s="32">
        <f>E26+E30+E35</f>
        <v>10720.384024000001</v>
      </c>
      <c r="F37" s="33">
        <f>F26+F30+F35</f>
        <v>94.127034880258151</v>
      </c>
      <c r="G37" s="17"/>
      <c r="H37" s="17"/>
      <c r="I37" s="17"/>
    </row>
    <row r="38" spans="1:9" ht="10.5" x14ac:dyDescent="0.25">
      <c r="A38" s="25"/>
      <c r="B38" s="25"/>
      <c r="C38" s="25"/>
      <c r="D38" s="31"/>
      <c r="E38" s="32"/>
      <c r="F38" s="33"/>
      <c r="G38" s="17"/>
      <c r="H38" s="17"/>
      <c r="I38" s="17"/>
    </row>
    <row r="39" spans="1:9" ht="10.5" x14ac:dyDescent="0.25">
      <c r="A39" s="25" t="s">
        <v>207</v>
      </c>
      <c r="B39" s="25"/>
      <c r="C39" s="25"/>
      <c r="D39" s="31"/>
      <c r="E39" s="32">
        <f>E41-(E26+E30+E35)</f>
        <v>668.88797169999998</v>
      </c>
      <c r="F39" s="33">
        <f>F41-(F26+F30+F35)</f>
        <v>5.8729651197418491</v>
      </c>
      <c r="G39" s="17"/>
      <c r="H39" s="17"/>
      <c r="I39" s="17"/>
    </row>
    <row r="40" spans="1:9" ht="10.5" x14ac:dyDescent="0.25">
      <c r="A40" s="25"/>
      <c r="B40" s="25"/>
      <c r="C40" s="25"/>
      <c r="D40" s="31"/>
      <c r="E40" s="32"/>
      <c r="F40" s="33"/>
      <c r="G40" s="17"/>
      <c r="H40" s="17"/>
      <c r="I40" s="17"/>
    </row>
    <row r="41" spans="1:9" ht="10.5" x14ac:dyDescent="0.25">
      <c r="A41" s="34" t="s">
        <v>206</v>
      </c>
      <c r="B41" s="34"/>
      <c r="C41" s="34"/>
      <c r="D41" s="35"/>
      <c r="E41" s="36">
        <v>11389.271995700001</v>
      </c>
      <c r="F41" s="37">
        <v>100</v>
      </c>
      <c r="G41" s="17"/>
      <c r="H41" s="17"/>
      <c r="I41" s="17"/>
    </row>
    <row r="43" spans="1:9" ht="10.5" x14ac:dyDescent="0.25">
      <c r="A43" s="17" t="s">
        <v>209</v>
      </c>
    </row>
    <row r="45" spans="1:9" ht="10.5" x14ac:dyDescent="0.25">
      <c r="A45" s="17" t="s">
        <v>210</v>
      </c>
    </row>
    <row r="46" spans="1:9" ht="10.5" x14ac:dyDescent="0.25">
      <c r="A46" s="17" t="s">
        <v>211</v>
      </c>
    </row>
    <row r="47" spans="1:9" ht="10.5" x14ac:dyDescent="0.25">
      <c r="A47" s="17" t="s">
        <v>212</v>
      </c>
      <c r="B47" s="17"/>
      <c r="C47" s="38" t="s">
        <v>214</v>
      </c>
      <c r="D47" s="18" t="s">
        <v>213</v>
      </c>
    </row>
    <row r="48" spans="1:9" x14ac:dyDescent="0.2">
      <c r="A48" s="10" t="s">
        <v>486</v>
      </c>
      <c r="C48" s="39">
        <v>11.398199999999999</v>
      </c>
      <c r="D48" s="39">
        <v>12.016</v>
      </c>
    </row>
    <row r="49" spans="1:6" x14ac:dyDescent="0.2">
      <c r="A49" s="10" t="s">
        <v>783</v>
      </c>
      <c r="C49" s="39">
        <v>10.662800000000001</v>
      </c>
      <c r="D49" s="39">
        <v>10.3805</v>
      </c>
    </row>
    <row r="50" spans="1:6" x14ac:dyDescent="0.2">
      <c r="A50" s="10" t="s">
        <v>488</v>
      </c>
      <c r="C50" s="39">
        <v>10.251799999999999</v>
      </c>
      <c r="D50" s="39">
        <v>10.3636</v>
      </c>
    </row>
    <row r="51" spans="1:6" x14ac:dyDescent="0.2">
      <c r="A51" s="10" t="s">
        <v>489</v>
      </c>
      <c r="C51" s="39">
        <v>11.5128</v>
      </c>
      <c r="D51" s="39">
        <v>12.136799999999999</v>
      </c>
    </row>
    <row r="52" spans="1:6" x14ac:dyDescent="0.2">
      <c r="A52" s="10" t="s">
        <v>521</v>
      </c>
      <c r="C52" s="39">
        <v>10.7775</v>
      </c>
      <c r="D52" s="39">
        <v>10.502700000000001</v>
      </c>
    </row>
    <row r="54" spans="1:6" ht="10.5" x14ac:dyDescent="0.25">
      <c r="A54" s="17" t="s">
        <v>226</v>
      </c>
    </row>
    <row r="55" spans="1:6" ht="10.5" x14ac:dyDescent="0.25">
      <c r="A55" s="147" t="s">
        <v>401</v>
      </c>
      <c r="B55" s="148"/>
      <c r="C55" s="145" t="s">
        <v>402</v>
      </c>
      <c r="D55" s="146"/>
    </row>
    <row r="56" spans="1:6" ht="10.5" x14ac:dyDescent="0.25">
      <c r="A56" s="147"/>
      <c r="B56" s="148"/>
      <c r="C56" s="43" t="s">
        <v>403</v>
      </c>
      <c r="D56" s="44" t="s">
        <v>404</v>
      </c>
    </row>
    <row r="57" spans="1:6" x14ac:dyDescent="0.2">
      <c r="A57" s="141" t="s">
        <v>783</v>
      </c>
      <c r="B57" s="142"/>
      <c r="C57" s="45">
        <v>0.79549999999999998</v>
      </c>
      <c r="D57" s="45">
        <v>0.79549999999999998</v>
      </c>
    </row>
    <row r="58" spans="1:6" x14ac:dyDescent="0.2">
      <c r="A58" s="141" t="s">
        <v>488</v>
      </c>
      <c r="B58" s="142"/>
      <c r="C58" s="45">
        <v>0.39662500000000001</v>
      </c>
      <c r="D58" s="45">
        <v>0.39662500000000001</v>
      </c>
    </row>
    <row r="59" spans="1:6" x14ac:dyDescent="0.2">
      <c r="A59" s="141" t="s">
        <v>521</v>
      </c>
      <c r="B59" s="142"/>
      <c r="C59" s="45">
        <v>0.79549999999999998</v>
      </c>
      <c r="D59" s="45">
        <v>0.79549999999999998</v>
      </c>
    </row>
    <row r="61" spans="1:6" ht="10.5" x14ac:dyDescent="0.25">
      <c r="A61" s="17" t="s">
        <v>228</v>
      </c>
      <c r="D61" s="41">
        <v>0.8663697385479453</v>
      </c>
      <c r="E61" s="15" t="s">
        <v>229</v>
      </c>
    </row>
    <row r="62" spans="1:6" ht="49.5" customHeight="1" x14ac:dyDescent="0.2">
      <c r="A62" s="139" t="s">
        <v>1596</v>
      </c>
      <c r="B62" s="140"/>
      <c r="C62" s="140"/>
      <c r="D62" s="140"/>
      <c r="E62" s="140"/>
    </row>
    <row r="63" spans="1:6" s="78" customFormat="1" ht="14.5" x14ac:dyDescent="0.2">
      <c r="A63" s="137"/>
      <c r="B63" s="138"/>
      <c r="C63" s="138"/>
      <c r="D63" s="138"/>
      <c r="E63" s="138"/>
      <c r="F63" s="83"/>
    </row>
    <row r="64" spans="1:6" ht="10.5" x14ac:dyDescent="0.25">
      <c r="A64" s="17" t="s">
        <v>230</v>
      </c>
      <c r="D64" s="40" t="s">
        <v>227</v>
      </c>
    </row>
  </sheetData>
  <mergeCells count="8">
    <mergeCell ref="A62:E62"/>
    <mergeCell ref="A59:B59"/>
    <mergeCell ref="A1:F1"/>
    <mergeCell ref="C55:D55"/>
    <mergeCell ref="A55:B55"/>
    <mergeCell ref="A56:B56"/>
    <mergeCell ref="A57:B57"/>
    <mergeCell ref="A58:B58"/>
  </mergeCells>
  <conditionalFormatting sqref="F2:F3 F5:F65537">
    <cfRule type="cellIs" dxfId="4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4"/>
  <sheetViews>
    <sheetView workbookViewId="0">
      <selection sqref="A1:F1"/>
    </sheetView>
  </sheetViews>
  <sheetFormatPr defaultColWidth="9.1796875" defaultRowHeight="10" x14ac:dyDescent="0.2"/>
  <cols>
    <col min="1" max="1" width="38.7265625" style="10" bestFit="1" customWidth="1"/>
    <col min="2" max="2" width="51"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32</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851</v>
      </c>
      <c r="B7" s="26" t="s">
        <v>850</v>
      </c>
      <c r="C7" s="26" t="s">
        <v>166</v>
      </c>
      <c r="D7" s="30">
        <v>119</v>
      </c>
      <c r="E7" s="28">
        <v>1235.3247200000001</v>
      </c>
      <c r="F7" s="29">
        <v>10.1382062639862</v>
      </c>
    </row>
    <row r="8" spans="1:6" x14ac:dyDescent="0.2">
      <c r="A8" s="26" t="s">
        <v>811</v>
      </c>
      <c r="B8" s="26" t="s">
        <v>810</v>
      </c>
      <c r="C8" s="26" t="s">
        <v>166</v>
      </c>
      <c r="D8" s="30">
        <v>119</v>
      </c>
      <c r="E8" s="28">
        <v>1231.92965</v>
      </c>
      <c r="F8" s="29">
        <v>10.110343209533101</v>
      </c>
    </row>
    <row r="9" spans="1:6" x14ac:dyDescent="0.2">
      <c r="A9" s="26" t="s">
        <v>853</v>
      </c>
      <c r="B9" s="26" t="s">
        <v>852</v>
      </c>
      <c r="C9" s="26" t="s">
        <v>166</v>
      </c>
      <c r="D9" s="30">
        <v>99</v>
      </c>
      <c r="E9" s="28">
        <v>1222.1035199999999</v>
      </c>
      <c r="F9" s="29">
        <v>10.0297009855867</v>
      </c>
    </row>
    <row r="10" spans="1:6" x14ac:dyDescent="0.2">
      <c r="A10" s="26" t="s">
        <v>855</v>
      </c>
      <c r="B10" s="26" t="s">
        <v>854</v>
      </c>
      <c r="C10" s="26" t="s">
        <v>589</v>
      </c>
      <c r="D10" s="30">
        <v>100</v>
      </c>
      <c r="E10" s="28">
        <v>1039.6500000000001</v>
      </c>
      <c r="F10" s="29">
        <v>8.5323202650338299</v>
      </c>
    </row>
    <row r="11" spans="1:6" x14ac:dyDescent="0.2">
      <c r="A11" s="26" t="s">
        <v>857</v>
      </c>
      <c r="B11" s="26" t="s">
        <v>856</v>
      </c>
      <c r="C11" s="26" t="s">
        <v>166</v>
      </c>
      <c r="D11" s="30">
        <v>100</v>
      </c>
      <c r="E11" s="28">
        <v>1030.192</v>
      </c>
      <c r="F11" s="29">
        <v>8.4546992530906895</v>
      </c>
    </row>
    <row r="12" spans="1:6" x14ac:dyDescent="0.2">
      <c r="A12" s="26" t="s">
        <v>859</v>
      </c>
      <c r="B12" s="26" t="s">
        <v>858</v>
      </c>
      <c r="C12" s="26" t="s">
        <v>589</v>
      </c>
      <c r="D12" s="30">
        <v>100</v>
      </c>
      <c r="E12" s="28">
        <v>1023.615</v>
      </c>
      <c r="F12" s="29">
        <v>8.4007223662699992</v>
      </c>
    </row>
    <row r="13" spans="1:6" x14ac:dyDescent="0.2">
      <c r="A13" s="26" t="s">
        <v>843</v>
      </c>
      <c r="B13" s="26" t="s">
        <v>842</v>
      </c>
      <c r="C13" s="26" t="s">
        <v>539</v>
      </c>
      <c r="D13" s="30">
        <v>96</v>
      </c>
      <c r="E13" s="28">
        <v>924.36479999999995</v>
      </c>
      <c r="F13" s="29">
        <v>7.5861843075303703</v>
      </c>
    </row>
    <row r="14" spans="1:6" x14ac:dyDescent="0.2">
      <c r="A14" s="26" t="s">
        <v>645</v>
      </c>
      <c r="B14" s="26" t="s">
        <v>644</v>
      </c>
      <c r="C14" s="26" t="s">
        <v>589</v>
      </c>
      <c r="D14" s="30">
        <v>74</v>
      </c>
      <c r="E14" s="28">
        <v>913.31835999999998</v>
      </c>
      <c r="F14" s="29">
        <v>7.4955271018664602</v>
      </c>
    </row>
    <row r="15" spans="1:6" x14ac:dyDescent="0.2">
      <c r="A15" s="26" t="s">
        <v>841</v>
      </c>
      <c r="B15" s="26" t="s">
        <v>840</v>
      </c>
      <c r="C15" s="26" t="s">
        <v>166</v>
      </c>
      <c r="D15" s="30">
        <v>67</v>
      </c>
      <c r="E15" s="28">
        <v>694.17762000000005</v>
      </c>
      <c r="F15" s="29">
        <v>5.6970574468897803</v>
      </c>
    </row>
    <row r="16" spans="1:6" x14ac:dyDescent="0.2">
      <c r="A16" s="26" t="s">
        <v>591</v>
      </c>
      <c r="B16" s="26" t="s">
        <v>590</v>
      </c>
      <c r="C16" s="26" t="s">
        <v>166</v>
      </c>
      <c r="D16" s="30">
        <v>5</v>
      </c>
      <c r="E16" s="28">
        <v>513.40700000000004</v>
      </c>
      <c r="F16" s="29">
        <v>4.2134881453472097</v>
      </c>
    </row>
    <row r="17" spans="1:9" x14ac:dyDescent="0.2">
      <c r="A17" s="26" t="s">
        <v>673</v>
      </c>
      <c r="B17" s="26" t="s">
        <v>672</v>
      </c>
      <c r="C17" s="26" t="s">
        <v>166</v>
      </c>
      <c r="D17" s="30">
        <v>46</v>
      </c>
      <c r="E17" s="28">
        <v>481.50729999999999</v>
      </c>
      <c r="F17" s="29">
        <v>3.9516899856218202</v>
      </c>
    </row>
    <row r="18" spans="1:9" x14ac:dyDescent="0.2">
      <c r="A18" s="26" t="s">
        <v>835</v>
      </c>
      <c r="B18" s="26" t="s">
        <v>834</v>
      </c>
      <c r="C18" s="26" t="s">
        <v>166</v>
      </c>
      <c r="D18" s="30">
        <v>23</v>
      </c>
      <c r="E18" s="28">
        <v>240.49719999999999</v>
      </c>
      <c r="F18" s="29">
        <v>1.9737403291914499</v>
      </c>
    </row>
    <row r="19" spans="1:9" x14ac:dyDescent="0.2">
      <c r="A19" s="26" t="s">
        <v>819</v>
      </c>
      <c r="B19" s="26" t="s">
        <v>818</v>
      </c>
      <c r="C19" s="26" t="s">
        <v>166</v>
      </c>
      <c r="D19" s="30">
        <v>20</v>
      </c>
      <c r="E19" s="28">
        <v>204.77780000000001</v>
      </c>
      <c r="F19" s="29">
        <v>1.68059421225321</v>
      </c>
    </row>
    <row r="20" spans="1:9" x14ac:dyDescent="0.2">
      <c r="A20" s="26" t="s">
        <v>839</v>
      </c>
      <c r="B20" s="26" t="s">
        <v>838</v>
      </c>
      <c r="C20" s="26" t="s">
        <v>166</v>
      </c>
      <c r="D20" s="30">
        <v>17</v>
      </c>
      <c r="E20" s="28">
        <v>174.78108</v>
      </c>
      <c r="F20" s="29">
        <v>1.43441364962103</v>
      </c>
    </row>
    <row r="21" spans="1:9" x14ac:dyDescent="0.2">
      <c r="A21" s="26" t="s">
        <v>335</v>
      </c>
      <c r="B21" s="26" t="s">
        <v>334</v>
      </c>
      <c r="C21" s="26" t="s">
        <v>336</v>
      </c>
      <c r="D21" s="30">
        <v>2</v>
      </c>
      <c r="E21" s="28">
        <v>24.58474</v>
      </c>
      <c r="F21" s="29">
        <v>0.201764897140949</v>
      </c>
    </row>
    <row r="22" spans="1:9" x14ac:dyDescent="0.2">
      <c r="A22" s="26" t="s">
        <v>845</v>
      </c>
      <c r="B22" s="26" t="s">
        <v>844</v>
      </c>
      <c r="C22" s="26" t="s">
        <v>539</v>
      </c>
      <c r="D22" s="30">
        <v>4</v>
      </c>
      <c r="E22" s="28">
        <v>20.5275</v>
      </c>
      <c r="F22" s="29">
        <v>0.168467469091023</v>
      </c>
    </row>
    <row r="23" spans="1:9" x14ac:dyDescent="0.2">
      <c r="A23" s="26" t="s">
        <v>847</v>
      </c>
      <c r="B23" s="26" t="s">
        <v>846</v>
      </c>
      <c r="C23" s="26" t="s">
        <v>166</v>
      </c>
      <c r="D23" s="30">
        <v>1</v>
      </c>
      <c r="E23" s="28">
        <v>12.39415</v>
      </c>
      <c r="F23" s="29">
        <v>0.101717748485422</v>
      </c>
    </row>
    <row r="24" spans="1:9" ht="10.5" x14ac:dyDescent="0.25">
      <c r="A24" s="25" t="s">
        <v>167</v>
      </c>
      <c r="B24" s="25"/>
      <c r="C24" s="25"/>
      <c r="D24" s="31"/>
      <c r="E24" s="32">
        <f>SUM(E6:E23)</f>
        <v>10987.15244</v>
      </c>
      <c r="F24" s="33">
        <f>SUM(F6:F23)</f>
        <v>90.170637636539269</v>
      </c>
      <c r="G24" s="17"/>
      <c r="H24" s="17"/>
      <c r="I24" s="17"/>
    </row>
    <row r="25" spans="1:9" x14ac:dyDescent="0.2">
      <c r="A25" s="26"/>
      <c r="B25" s="26"/>
      <c r="C25" s="26"/>
      <c r="D25" s="27"/>
      <c r="E25" s="28"/>
      <c r="F25" s="29"/>
    </row>
    <row r="26" spans="1:9" ht="10.5" x14ac:dyDescent="0.25">
      <c r="A26" s="25" t="s">
        <v>168</v>
      </c>
      <c r="B26" s="26"/>
      <c r="C26" s="26"/>
      <c r="D26" s="27"/>
      <c r="E26" s="28"/>
      <c r="F26" s="29"/>
    </row>
    <row r="27" spans="1:9" x14ac:dyDescent="0.2">
      <c r="A27" s="26" t="s">
        <v>677</v>
      </c>
      <c r="B27" s="26" t="s">
        <v>676</v>
      </c>
      <c r="C27" s="26" t="s">
        <v>166</v>
      </c>
      <c r="D27" s="30">
        <v>37</v>
      </c>
      <c r="E27" s="28">
        <v>376.80318999999997</v>
      </c>
      <c r="F27" s="29">
        <v>3.09239214540123</v>
      </c>
    </row>
    <row r="28" spans="1:9" ht="10.5" x14ac:dyDescent="0.25">
      <c r="A28" s="25" t="s">
        <v>167</v>
      </c>
      <c r="B28" s="25"/>
      <c r="C28" s="25"/>
      <c r="D28" s="31"/>
      <c r="E28" s="32">
        <f>SUM(E26:E27)</f>
        <v>376.80318999999997</v>
      </c>
      <c r="F28" s="33">
        <f>SUM(F26:F27)</f>
        <v>3.09239214540123</v>
      </c>
      <c r="G28" s="17"/>
      <c r="H28" s="17"/>
      <c r="I28" s="17"/>
    </row>
    <row r="29" spans="1:9" x14ac:dyDescent="0.2">
      <c r="A29" s="26"/>
      <c r="B29" s="26"/>
      <c r="C29" s="26"/>
      <c r="D29" s="27"/>
      <c r="E29" s="28"/>
      <c r="F29" s="29"/>
    </row>
    <row r="30" spans="1:9" ht="10.5" x14ac:dyDescent="0.25">
      <c r="A30" s="25" t="s">
        <v>413</v>
      </c>
      <c r="B30" s="26"/>
      <c r="C30" s="26"/>
      <c r="D30" s="27"/>
      <c r="E30" s="28"/>
      <c r="F30" s="29"/>
    </row>
    <row r="31" spans="1:9" ht="10.5" x14ac:dyDescent="0.25">
      <c r="A31" s="25" t="s">
        <v>414</v>
      </c>
      <c r="B31" s="26"/>
      <c r="C31" s="26"/>
      <c r="D31" s="27"/>
      <c r="E31" s="28"/>
      <c r="F31" s="29"/>
    </row>
    <row r="32" spans="1:9" x14ac:dyDescent="0.2">
      <c r="A32" s="26" t="s">
        <v>431</v>
      </c>
      <c r="B32" s="26" t="s">
        <v>430</v>
      </c>
      <c r="C32" s="26" t="s">
        <v>420</v>
      </c>
      <c r="D32" s="30">
        <v>112</v>
      </c>
      <c r="E32" s="28">
        <v>109.70500800000001</v>
      </c>
      <c r="F32" s="29">
        <v>0.90033979025066002</v>
      </c>
    </row>
    <row r="33" spans="1:9" ht="10.5" x14ac:dyDescent="0.25">
      <c r="A33" s="25" t="s">
        <v>167</v>
      </c>
      <c r="B33" s="25"/>
      <c r="C33" s="25"/>
      <c r="D33" s="31"/>
      <c r="E33" s="32">
        <f>SUM(E31:E32)</f>
        <v>109.70500800000001</v>
      </c>
      <c r="F33" s="33">
        <f>SUM(F31:F32)</f>
        <v>0.90033979025066002</v>
      </c>
      <c r="G33" s="17"/>
      <c r="H33" s="17"/>
      <c r="I33" s="17"/>
    </row>
    <row r="34" spans="1:9" x14ac:dyDescent="0.2">
      <c r="A34" s="26"/>
      <c r="B34" s="26"/>
      <c r="C34" s="26"/>
      <c r="D34" s="27"/>
      <c r="E34" s="28"/>
      <c r="F34" s="29"/>
    </row>
    <row r="35" spans="1:9" ht="10.5" x14ac:dyDescent="0.25">
      <c r="A35" s="25" t="s">
        <v>205</v>
      </c>
      <c r="B35" s="25"/>
      <c r="C35" s="25"/>
      <c r="D35" s="31"/>
      <c r="E35" s="32">
        <f>E24+E28+E33</f>
        <v>11473.660638000001</v>
      </c>
      <c r="F35" s="33">
        <f>F24+F28+F33</f>
        <v>94.163369572191158</v>
      </c>
      <c r="G35" s="17"/>
      <c r="H35" s="17"/>
      <c r="I35" s="17"/>
    </row>
    <row r="36" spans="1:9" ht="10.5" x14ac:dyDescent="0.25">
      <c r="A36" s="25"/>
      <c r="B36" s="25"/>
      <c r="C36" s="25"/>
      <c r="D36" s="31"/>
      <c r="E36" s="32"/>
      <c r="F36" s="33"/>
      <c r="G36" s="17"/>
      <c r="H36" s="17"/>
      <c r="I36" s="17"/>
    </row>
    <row r="37" spans="1:9" ht="10.5" x14ac:dyDescent="0.25">
      <c r="A37" s="25" t="s">
        <v>207</v>
      </c>
      <c r="B37" s="25"/>
      <c r="C37" s="25"/>
      <c r="D37" s="31"/>
      <c r="E37" s="32">
        <f>E39-(E24+E28+E33)</f>
        <v>711.18437139999878</v>
      </c>
      <c r="F37" s="33">
        <f>F39-(F24+F28+F33)</f>
        <v>5.8366304278088421</v>
      </c>
      <c r="G37" s="17"/>
      <c r="H37" s="17"/>
      <c r="I37" s="17"/>
    </row>
    <row r="38" spans="1:9" ht="10.5" x14ac:dyDescent="0.25">
      <c r="A38" s="25"/>
      <c r="B38" s="25"/>
      <c r="C38" s="25"/>
      <c r="D38" s="31"/>
      <c r="E38" s="32"/>
      <c r="F38" s="33"/>
      <c r="G38" s="17"/>
      <c r="H38" s="17"/>
      <c r="I38" s="17"/>
    </row>
    <row r="39" spans="1:9" ht="10.5" x14ac:dyDescent="0.25">
      <c r="A39" s="34" t="s">
        <v>206</v>
      </c>
      <c r="B39" s="34"/>
      <c r="C39" s="34"/>
      <c r="D39" s="35"/>
      <c r="E39" s="36">
        <v>12184.8450094</v>
      </c>
      <c r="F39" s="37">
        <v>100</v>
      </c>
      <c r="G39" s="17"/>
      <c r="H39" s="17"/>
      <c r="I39" s="17"/>
    </row>
    <row r="41" spans="1:9" ht="10.5" x14ac:dyDescent="0.25">
      <c r="A41" s="17" t="s">
        <v>209</v>
      </c>
    </row>
    <row r="43" spans="1:9" ht="10.5" x14ac:dyDescent="0.25">
      <c r="A43" s="17" t="s">
        <v>210</v>
      </c>
    </row>
    <row r="44" spans="1:9" ht="10.5" x14ac:dyDescent="0.25">
      <c r="A44" s="17" t="s">
        <v>211</v>
      </c>
    </row>
    <row r="45" spans="1:9" ht="10.5" x14ac:dyDescent="0.25">
      <c r="A45" s="17" t="s">
        <v>212</v>
      </c>
      <c r="B45" s="17"/>
      <c r="C45" s="38" t="s">
        <v>214</v>
      </c>
      <c r="D45" s="18" t="s">
        <v>213</v>
      </c>
    </row>
    <row r="46" spans="1:9" x14ac:dyDescent="0.2">
      <c r="A46" s="10" t="s">
        <v>486</v>
      </c>
      <c r="C46" s="39">
        <v>11.481199999999999</v>
      </c>
      <c r="D46" s="39">
        <v>12.0844</v>
      </c>
    </row>
    <row r="47" spans="1:9" x14ac:dyDescent="0.2">
      <c r="A47" s="10" t="s">
        <v>783</v>
      </c>
      <c r="C47" s="39">
        <v>10.7974</v>
      </c>
      <c r="D47" s="39">
        <v>10.473000000000001</v>
      </c>
    </row>
    <row r="48" spans="1:9" x14ac:dyDescent="0.2">
      <c r="A48" s="10" t="s">
        <v>488</v>
      </c>
      <c r="C48" s="39">
        <v>10.332599999999999</v>
      </c>
      <c r="D48" s="39">
        <v>10.4499</v>
      </c>
    </row>
    <row r="49" spans="1:6" x14ac:dyDescent="0.2">
      <c r="A49" s="10" t="s">
        <v>489</v>
      </c>
      <c r="C49" s="39">
        <v>11.596299999999999</v>
      </c>
      <c r="D49" s="39">
        <v>12.2056</v>
      </c>
    </row>
    <row r="50" spans="1:6" x14ac:dyDescent="0.2">
      <c r="A50" s="10" t="s">
        <v>521</v>
      </c>
      <c r="C50" s="39">
        <v>10.9125</v>
      </c>
      <c r="D50" s="39">
        <v>10.5946</v>
      </c>
    </row>
    <row r="51" spans="1:6" x14ac:dyDescent="0.2">
      <c r="A51" s="10" t="s">
        <v>491</v>
      </c>
      <c r="C51" s="39">
        <v>10.400399999999999</v>
      </c>
      <c r="D51" s="39">
        <v>10.5206</v>
      </c>
    </row>
    <row r="53" spans="1:6" ht="10.5" x14ac:dyDescent="0.25">
      <c r="A53" s="17" t="s">
        <v>226</v>
      </c>
    </row>
    <row r="54" spans="1:6" ht="10.5" x14ac:dyDescent="0.25">
      <c r="A54" s="147" t="s">
        <v>401</v>
      </c>
      <c r="B54" s="148"/>
      <c r="C54" s="145" t="s">
        <v>402</v>
      </c>
      <c r="D54" s="146"/>
    </row>
    <row r="55" spans="1:6" ht="10.5" x14ac:dyDescent="0.25">
      <c r="A55" s="147"/>
      <c r="B55" s="148"/>
      <c r="C55" s="43" t="s">
        <v>403</v>
      </c>
      <c r="D55" s="44" t="s">
        <v>404</v>
      </c>
    </row>
    <row r="56" spans="1:6" x14ac:dyDescent="0.2">
      <c r="A56" s="141" t="s">
        <v>783</v>
      </c>
      <c r="B56" s="142"/>
      <c r="C56" s="45">
        <v>0.81862500000000005</v>
      </c>
      <c r="D56" s="45">
        <v>0.81862500000000005</v>
      </c>
    </row>
    <row r="57" spans="1:6" x14ac:dyDescent="0.2">
      <c r="A57" s="141" t="s">
        <v>488</v>
      </c>
      <c r="B57" s="142"/>
      <c r="C57" s="45">
        <v>0.33986938049999998</v>
      </c>
      <c r="D57" s="45">
        <v>0.32840981819999998</v>
      </c>
    </row>
    <row r="58" spans="1:6" x14ac:dyDescent="0.2">
      <c r="A58" s="141" t="s">
        <v>521</v>
      </c>
      <c r="B58" s="142"/>
      <c r="C58" s="45">
        <v>0.81862500000000005</v>
      </c>
      <c r="D58" s="45">
        <v>0.81862500000000005</v>
      </c>
    </row>
    <row r="59" spans="1:6" x14ac:dyDescent="0.2">
      <c r="A59" s="141" t="s">
        <v>491</v>
      </c>
      <c r="B59" s="142"/>
      <c r="C59" s="45">
        <v>0.33986938049999998</v>
      </c>
      <c r="D59" s="45">
        <v>0.32840981819999998</v>
      </c>
    </row>
    <row r="61" spans="1:6" ht="10.5" x14ac:dyDescent="0.25">
      <c r="A61" s="17" t="s">
        <v>228</v>
      </c>
      <c r="D61" s="41">
        <v>0.78245358950684951</v>
      </c>
      <c r="E61" s="15" t="s">
        <v>229</v>
      </c>
    </row>
    <row r="62" spans="1:6" ht="47" customHeight="1" x14ac:dyDescent="0.2">
      <c r="A62" s="139" t="s">
        <v>1596</v>
      </c>
      <c r="B62" s="140"/>
      <c r="C62" s="140"/>
      <c r="D62" s="140"/>
      <c r="E62" s="140"/>
    </row>
    <row r="63" spans="1:6" s="78" customFormat="1" ht="14.5" x14ac:dyDescent="0.2">
      <c r="A63" s="137"/>
      <c r="B63" s="138"/>
      <c r="C63" s="138"/>
      <c r="D63" s="138"/>
      <c r="E63" s="138"/>
      <c r="F63" s="83"/>
    </row>
    <row r="64" spans="1:6" ht="10.5" x14ac:dyDescent="0.25">
      <c r="A64" s="17" t="s">
        <v>230</v>
      </c>
      <c r="D64" s="40" t="s">
        <v>227</v>
      </c>
    </row>
  </sheetData>
  <mergeCells count="9">
    <mergeCell ref="A62:E62"/>
    <mergeCell ref="A58:B58"/>
    <mergeCell ref="A59:B59"/>
    <mergeCell ref="A1:F1"/>
    <mergeCell ref="C54:D54"/>
    <mergeCell ref="A54:B54"/>
    <mergeCell ref="A55:B55"/>
    <mergeCell ref="A56:B56"/>
    <mergeCell ref="A57:B57"/>
  </mergeCells>
  <conditionalFormatting sqref="F2:F3 F5:F65537">
    <cfRule type="cellIs" dxfId="4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1"/>
  <sheetViews>
    <sheetView workbookViewId="0">
      <selection sqref="A1:F1"/>
    </sheetView>
  </sheetViews>
  <sheetFormatPr defaultColWidth="9.1796875" defaultRowHeight="10" x14ac:dyDescent="0.2"/>
  <cols>
    <col min="1" max="1" width="38.7265625" style="10" bestFit="1" customWidth="1"/>
    <col min="2" max="2" width="51.179687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33</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819</v>
      </c>
      <c r="B7" s="26" t="s">
        <v>818</v>
      </c>
      <c r="C7" s="26" t="s">
        <v>166</v>
      </c>
      <c r="D7" s="30">
        <v>105</v>
      </c>
      <c r="E7" s="28">
        <v>1075.0834500000001</v>
      </c>
      <c r="F7" s="29">
        <v>10.3192712704996</v>
      </c>
    </row>
    <row r="8" spans="1:6" x14ac:dyDescent="0.2">
      <c r="A8" s="26" t="s">
        <v>861</v>
      </c>
      <c r="B8" s="26" t="s">
        <v>860</v>
      </c>
      <c r="C8" s="26" t="s">
        <v>589</v>
      </c>
      <c r="D8" s="30">
        <v>100</v>
      </c>
      <c r="E8" s="28">
        <v>1029.694</v>
      </c>
      <c r="F8" s="29">
        <v>9.8835971399297993</v>
      </c>
    </row>
    <row r="9" spans="1:6" x14ac:dyDescent="0.2">
      <c r="A9" s="26" t="s">
        <v>845</v>
      </c>
      <c r="B9" s="26" t="s">
        <v>844</v>
      </c>
      <c r="C9" s="26" t="s">
        <v>539</v>
      </c>
      <c r="D9" s="30">
        <v>170</v>
      </c>
      <c r="E9" s="28">
        <v>872.41875000000005</v>
      </c>
      <c r="F9" s="29">
        <v>8.3739785434518694</v>
      </c>
    </row>
    <row r="10" spans="1:6" x14ac:dyDescent="0.2">
      <c r="A10" s="26" t="s">
        <v>863</v>
      </c>
      <c r="B10" s="26" t="s">
        <v>862</v>
      </c>
      <c r="C10" s="26" t="s">
        <v>539</v>
      </c>
      <c r="D10" s="30">
        <v>78</v>
      </c>
      <c r="E10" s="28">
        <v>797.31053999999995</v>
      </c>
      <c r="F10" s="29">
        <v>7.6530466068364804</v>
      </c>
    </row>
    <row r="11" spans="1:6" x14ac:dyDescent="0.2">
      <c r="A11" s="26" t="s">
        <v>645</v>
      </c>
      <c r="B11" s="26" t="s">
        <v>644</v>
      </c>
      <c r="C11" s="26" t="s">
        <v>589</v>
      </c>
      <c r="D11" s="30">
        <v>63</v>
      </c>
      <c r="E11" s="28">
        <v>777.55481999999995</v>
      </c>
      <c r="F11" s="29">
        <v>7.4634198073317197</v>
      </c>
    </row>
    <row r="12" spans="1:6" x14ac:dyDescent="0.2">
      <c r="A12" s="26" t="s">
        <v>853</v>
      </c>
      <c r="B12" s="26" t="s">
        <v>852</v>
      </c>
      <c r="C12" s="26" t="s">
        <v>166</v>
      </c>
      <c r="D12" s="30">
        <v>50</v>
      </c>
      <c r="E12" s="28">
        <v>617.22400000000005</v>
      </c>
      <c r="F12" s="29">
        <v>5.9244720869462499</v>
      </c>
    </row>
    <row r="13" spans="1:6" x14ac:dyDescent="0.2">
      <c r="A13" s="26" t="s">
        <v>865</v>
      </c>
      <c r="B13" s="26" t="s">
        <v>864</v>
      </c>
      <c r="C13" s="26" t="s">
        <v>589</v>
      </c>
      <c r="D13" s="30">
        <v>52</v>
      </c>
      <c r="E13" s="28">
        <v>533.31356000000005</v>
      </c>
      <c r="F13" s="29">
        <v>5.1190512679512299</v>
      </c>
    </row>
    <row r="14" spans="1:6" x14ac:dyDescent="0.2">
      <c r="A14" s="26" t="s">
        <v>867</v>
      </c>
      <c r="B14" s="26" t="s">
        <v>866</v>
      </c>
      <c r="C14" s="26" t="s">
        <v>589</v>
      </c>
      <c r="D14" s="30">
        <v>50</v>
      </c>
      <c r="E14" s="28">
        <v>522.38049999999998</v>
      </c>
      <c r="F14" s="29">
        <v>5.0141094497541001</v>
      </c>
    </row>
    <row r="15" spans="1:6" x14ac:dyDescent="0.2">
      <c r="A15" s="26" t="s">
        <v>839</v>
      </c>
      <c r="B15" s="26" t="s">
        <v>838</v>
      </c>
      <c r="C15" s="26" t="s">
        <v>166</v>
      </c>
      <c r="D15" s="30">
        <v>50</v>
      </c>
      <c r="E15" s="28">
        <v>514.06200000000001</v>
      </c>
      <c r="F15" s="29">
        <v>4.9342636870241003</v>
      </c>
    </row>
    <row r="16" spans="1:6" x14ac:dyDescent="0.2">
      <c r="A16" s="26" t="s">
        <v>847</v>
      </c>
      <c r="B16" s="26" t="s">
        <v>846</v>
      </c>
      <c r="C16" s="26" t="s">
        <v>166</v>
      </c>
      <c r="D16" s="30">
        <v>39</v>
      </c>
      <c r="E16" s="28">
        <v>483.37184999999999</v>
      </c>
      <c r="F16" s="29">
        <v>4.6396819192717196</v>
      </c>
    </row>
    <row r="17" spans="1:9" x14ac:dyDescent="0.2">
      <c r="A17" s="26" t="s">
        <v>851</v>
      </c>
      <c r="B17" s="26" t="s">
        <v>850</v>
      </c>
      <c r="C17" s="26" t="s">
        <v>166</v>
      </c>
      <c r="D17" s="30">
        <v>31</v>
      </c>
      <c r="E17" s="28">
        <v>321.80727999999999</v>
      </c>
      <c r="F17" s="29">
        <v>3.0888919545191</v>
      </c>
    </row>
    <row r="18" spans="1:9" x14ac:dyDescent="0.2">
      <c r="A18" s="26" t="s">
        <v>671</v>
      </c>
      <c r="B18" s="26" t="s">
        <v>670</v>
      </c>
      <c r="C18" s="26" t="s">
        <v>166</v>
      </c>
      <c r="D18" s="30">
        <v>28</v>
      </c>
      <c r="E18" s="28">
        <v>286.62900000000002</v>
      </c>
      <c r="F18" s="29">
        <v>2.7512305253997198</v>
      </c>
    </row>
    <row r="19" spans="1:9" x14ac:dyDescent="0.2">
      <c r="A19" s="26" t="s">
        <v>869</v>
      </c>
      <c r="B19" s="26" t="s">
        <v>868</v>
      </c>
      <c r="C19" s="26" t="s">
        <v>166</v>
      </c>
      <c r="D19" s="30">
        <v>26</v>
      </c>
      <c r="E19" s="28">
        <v>268.96375999999998</v>
      </c>
      <c r="F19" s="29">
        <v>2.58166935913074</v>
      </c>
    </row>
    <row r="20" spans="1:9" x14ac:dyDescent="0.2">
      <c r="A20" s="26" t="s">
        <v>871</v>
      </c>
      <c r="B20" s="26" t="s">
        <v>870</v>
      </c>
      <c r="C20" s="26" t="s">
        <v>166</v>
      </c>
      <c r="D20" s="30">
        <v>21</v>
      </c>
      <c r="E20" s="28">
        <v>259.40375999999998</v>
      </c>
      <c r="F20" s="29">
        <v>2.48990696306188</v>
      </c>
    </row>
    <row r="21" spans="1:9" x14ac:dyDescent="0.2">
      <c r="A21" s="26" t="s">
        <v>591</v>
      </c>
      <c r="B21" s="26" t="s">
        <v>590</v>
      </c>
      <c r="C21" s="26" t="s">
        <v>166</v>
      </c>
      <c r="D21" s="30">
        <v>1</v>
      </c>
      <c r="E21" s="28">
        <v>102.6814</v>
      </c>
      <c r="F21" s="29">
        <v>0.98559532381852</v>
      </c>
    </row>
    <row r="22" spans="1:9" x14ac:dyDescent="0.2">
      <c r="A22" s="26" t="s">
        <v>335</v>
      </c>
      <c r="B22" s="26" t="s">
        <v>334</v>
      </c>
      <c r="C22" s="26" t="s">
        <v>336</v>
      </c>
      <c r="D22" s="30">
        <v>6</v>
      </c>
      <c r="E22" s="28">
        <v>73.754220000000004</v>
      </c>
      <c r="F22" s="29">
        <v>0.70793555935040198</v>
      </c>
    </row>
    <row r="23" spans="1:9" x14ac:dyDescent="0.2">
      <c r="A23" s="26" t="s">
        <v>673</v>
      </c>
      <c r="B23" s="26" t="s">
        <v>672</v>
      </c>
      <c r="C23" s="26" t="s">
        <v>166</v>
      </c>
      <c r="D23" s="30">
        <v>2</v>
      </c>
      <c r="E23" s="28">
        <v>20.935099999999998</v>
      </c>
      <c r="F23" s="29">
        <v>0.20094716924071099</v>
      </c>
    </row>
    <row r="24" spans="1:9" x14ac:dyDescent="0.2">
      <c r="A24" s="26" t="s">
        <v>333</v>
      </c>
      <c r="B24" s="26" t="s">
        <v>332</v>
      </c>
      <c r="C24" s="26" t="s">
        <v>166</v>
      </c>
      <c r="D24" s="30">
        <v>1</v>
      </c>
      <c r="E24" s="28">
        <v>10.243069999999999</v>
      </c>
      <c r="F24" s="29">
        <v>9.8318896056596106E-2</v>
      </c>
    </row>
    <row r="25" spans="1:9" x14ac:dyDescent="0.2">
      <c r="A25" s="26" t="s">
        <v>873</v>
      </c>
      <c r="B25" s="26" t="s">
        <v>872</v>
      </c>
      <c r="C25" s="26" t="s">
        <v>166</v>
      </c>
      <c r="D25" s="30">
        <v>1</v>
      </c>
      <c r="E25" s="28">
        <v>10.17916</v>
      </c>
      <c r="F25" s="29">
        <v>9.7705451000867999E-2</v>
      </c>
    </row>
    <row r="26" spans="1:9" ht="10.5" x14ac:dyDescent="0.25">
      <c r="A26" s="25" t="s">
        <v>167</v>
      </c>
      <c r="B26" s="25"/>
      <c r="C26" s="25"/>
      <c r="D26" s="31"/>
      <c r="E26" s="32">
        <f>SUM(E6:E25)</f>
        <v>8577.0102200000019</v>
      </c>
      <c r="F26" s="33">
        <f>SUM(F6:F25)</f>
        <v>82.327092980575401</v>
      </c>
      <c r="G26" s="17"/>
      <c r="H26" s="17"/>
      <c r="I26" s="17"/>
    </row>
    <row r="27" spans="1:9" x14ac:dyDescent="0.2">
      <c r="A27" s="26"/>
      <c r="B27" s="26"/>
      <c r="C27" s="26"/>
      <c r="D27" s="27"/>
      <c r="E27" s="28"/>
      <c r="F27" s="29"/>
    </row>
    <row r="28" spans="1:9" ht="10.5" x14ac:dyDescent="0.25">
      <c r="A28" s="25" t="s">
        <v>168</v>
      </c>
      <c r="B28" s="26"/>
      <c r="C28" s="26"/>
      <c r="D28" s="27"/>
      <c r="E28" s="28"/>
      <c r="F28" s="29"/>
    </row>
    <row r="29" spans="1:9" x14ac:dyDescent="0.2">
      <c r="A29" s="26" t="s">
        <v>875</v>
      </c>
      <c r="B29" s="26" t="s">
        <v>874</v>
      </c>
      <c r="C29" s="26" t="s">
        <v>539</v>
      </c>
      <c r="D29" s="30">
        <v>95</v>
      </c>
      <c r="E29" s="28">
        <v>967.72130000000004</v>
      </c>
      <c r="F29" s="29">
        <v>9.2887474074134104</v>
      </c>
    </row>
    <row r="30" spans="1:9" x14ac:dyDescent="0.2">
      <c r="A30" s="26" t="s">
        <v>677</v>
      </c>
      <c r="B30" s="26" t="s">
        <v>676</v>
      </c>
      <c r="C30" s="26" t="s">
        <v>166</v>
      </c>
      <c r="D30" s="30">
        <v>3</v>
      </c>
      <c r="E30" s="28">
        <v>30.55161</v>
      </c>
      <c r="F30" s="29">
        <v>0.293251980895538</v>
      </c>
    </row>
    <row r="31" spans="1:9" ht="10.5" x14ac:dyDescent="0.25">
      <c r="A31" s="25" t="s">
        <v>167</v>
      </c>
      <c r="B31" s="25"/>
      <c r="C31" s="25"/>
      <c r="D31" s="31"/>
      <c r="E31" s="32">
        <f>SUM(E28:E30)</f>
        <v>998.27291000000002</v>
      </c>
      <c r="F31" s="33">
        <f>SUM(F28:F30)</f>
        <v>9.5819993883089492</v>
      </c>
      <c r="G31" s="17"/>
      <c r="H31" s="17"/>
      <c r="I31" s="17"/>
    </row>
    <row r="32" spans="1:9" x14ac:dyDescent="0.2">
      <c r="A32" s="26"/>
      <c r="B32" s="26"/>
      <c r="C32" s="26"/>
      <c r="D32" s="27"/>
      <c r="E32" s="28"/>
      <c r="F32" s="29"/>
    </row>
    <row r="33" spans="1:9" ht="10.5" x14ac:dyDescent="0.25">
      <c r="A33" s="25" t="s">
        <v>413</v>
      </c>
      <c r="B33" s="26"/>
      <c r="C33" s="26"/>
      <c r="D33" s="27"/>
      <c r="E33" s="28"/>
      <c r="F33" s="29"/>
    </row>
    <row r="34" spans="1:9" ht="10.5" x14ac:dyDescent="0.25">
      <c r="A34" s="25" t="s">
        <v>414</v>
      </c>
      <c r="B34" s="26"/>
      <c r="C34" s="26"/>
      <c r="D34" s="27"/>
      <c r="E34" s="28"/>
      <c r="F34" s="29"/>
    </row>
    <row r="35" spans="1:9" x14ac:dyDescent="0.2">
      <c r="A35" s="26" t="s">
        <v>431</v>
      </c>
      <c r="B35" s="26" t="s">
        <v>430</v>
      </c>
      <c r="C35" s="26" t="s">
        <v>420</v>
      </c>
      <c r="D35" s="30">
        <v>91</v>
      </c>
      <c r="E35" s="28">
        <v>89.135318999999996</v>
      </c>
      <c r="F35" s="29">
        <v>0.85557222236424602</v>
      </c>
    </row>
    <row r="36" spans="1:9" ht="10.5" x14ac:dyDescent="0.25">
      <c r="A36" s="25" t="s">
        <v>167</v>
      </c>
      <c r="B36" s="25"/>
      <c r="C36" s="25"/>
      <c r="D36" s="31"/>
      <c r="E36" s="32">
        <f>SUM(E34:E35)</f>
        <v>89.135318999999996</v>
      </c>
      <c r="F36" s="33">
        <f>SUM(F34:F35)</f>
        <v>0.85557222236424602</v>
      </c>
      <c r="G36" s="17"/>
      <c r="H36" s="17"/>
      <c r="I36" s="17"/>
    </row>
    <row r="37" spans="1:9" x14ac:dyDescent="0.2">
      <c r="A37" s="26"/>
      <c r="B37" s="26"/>
      <c r="C37" s="26"/>
      <c r="D37" s="27"/>
      <c r="E37" s="28"/>
      <c r="F37" s="29"/>
    </row>
    <row r="38" spans="1:9" ht="10.5" x14ac:dyDescent="0.25">
      <c r="A38" s="25" t="s">
        <v>205</v>
      </c>
      <c r="B38" s="25"/>
      <c r="C38" s="25"/>
      <c r="D38" s="31"/>
      <c r="E38" s="32">
        <f>E26+E31+E36</f>
        <v>9664.4184490000025</v>
      </c>
      <c r="F38" s="33">
        <f>F26+F31+F36</f>
        <v>92.764664591248589</v>
      </c>
      <c r="G38" s="17"/>
      <c r="H38" s="17"/>
      <c r="I38" s="17"/>
    </row>
    <row r="39" spans="1:9" ht="10.5" x14ac:dyDescent="0.25">
      <c r="A39" s="25"/>
      <c r="B39" s="25"/>
      <c r="C39" s="25"/>
      <c r="D39" s="31"/>
      <c r="E39" s="32"/>
      <c r="F39" s="33"/>
      <c r="G39" s="17"/>
      <c r="H39" s="17"/>
      <c r="I39" s="17"/>
    </row>
    <row r="40" spans="1:9" ht="10.5" x14ac:dyDescent="0.25">
      <c r="A40" s="25" t="s">
        <v>207</v>
      </c>
      <c r="B40" s="25"/>
      <c r="C40" s="25"/>
      <c r="D40" s="31"/>
      <c r="E40" s="32">
        <f>E42-(E26+E31+E36)</f>
        <v>753.79250619999766</v>
      </c>
      <c r="F40" s="33">
        <f>F42-(F26+F31+F36)</f>
        <v>7.2353354087514106</v>
      </c>
      <c r="G40" s="17"/>
      <c r="H40" s="17"/>
      <c r="I40" s="17"/>
    </row>
    <row r="41" spans="1:9" ht="10.5" x14ac:dyDescent="0.25">
      <c r="A41" s="25"/>
      <c r="B41" s="25"/>
      <c r="C41" s="25"/>
      <c r="D41" s="31"/>
      <c r="E41" s="32"/>
      <c r="F41" s="33"/>
      <c r="G41" s="17"/>
      <c r="H41" s="17"/>
      <c r="I41" s="17"/>
    </row>
    <row r="42" spans="1:9" ht="10.5" x14ac:dyDescent="0.25">
      <c r="A42" s="34" t="s">
        <v>206</v>
      </c>
      <c r="B42" s="34"/>
      <c r="C42" s="34"/>
      <c r="D42" s="35"/>
      <c r="E42" s="36">
        <v>10418.2109552</v>
      </c>
      <c r="F42" s="37">
        <v>100</v>
      </c>
      <c r="G42" s="17"/>
      <c r="H42" s="17"/>
      <c r="I42" s="17"/>
    </row>
    <row r="44" spans="1:9" ht="10.5" x14ac:dyDescent="0.25">
      <c r="A44" s="17" t="s">
        <v>209</v>
      </c>
    </row>
    <row r="46" spans="1:9" ht="10.5" x14ac:dyDescent="0.25">
      <c r="A46" s="17" t="s">
        <v>210</v>
      </c>
    </row>
    <row r="47" spans="1:9" ht="10.5" x14ac:dyDescent="0.25">
      <c r="A47" s="17" t="s">
        <v>211</v>
      </c>
    </row>
    <row r="48" spans="1:9" ht="10.5" x14ac:dyDescent="0.25">
      <c r="A48" s="17" t="s">
        <v>212</v>
      </c>
      <c r="B48" s="17"/>
      <c r="C48" s="38" t="s">
        <v>214</v>
      </c>
      <c r="D48" s="18" t="s">
        <v>213</v>
      </c>
    </row>
    <row r="49" spans="1:6" x14ac:dyDescent="0.2">
      <c r="A49" s="10" t="s">
        <v>486</v>
      </c>
      <c r="C49" s="39">
        <v>11.5686</v>
      </c>
      <c r="D49" s="39">
        <v>12.162800000000001</v>
      </c>
    </row>
    <row r="50" spans="1:6" x14ac:dyDescent="0.2">
      <c r="A50" s="10" t="s">
        <v>783</v>
      </c>
      <c r="C50" s="39">
        <v>10.879300000000001</v>
      </c>
      <c r="D50" s="39">
        <v>10.4499</v>
      </c>
    </row>
    <row r="51" spans="1:6" x14ac:dyDescent="0.2">
      <c r="A51" s="10" t="s">
        <v>489</v>
      </c>
      <c r="C51" s="39">
        <v>11.6557</v>
      </c>
      <c r="D51" s="39">
        <v>12.254300000000001</v>
      </c>
    </row>
    <row r="53" spans="1:6" ht="10.5" x14ac:dyDescent="0.25">
      <c r="A53" s="17" t="s">
        <v>226</v>
      </c>
    </row>
    <row r="54" spans="1:6" ht="10.5" x14ac:dyDescent="0.25">
      <c r="A54" s="147" t="s">
        <v>401</v>
      </c>
      <c r="B54" s="148"/>
      <c r="C54" s="145" t="s">
        <v>402</v>
      </c>
      <c r="D54" s="146"/>
    </row>
    <row r="55" spans="1:6" ht="10.5" x14ac:dyDescent="0.25">
      <c r="A55" s="147"/>
      <c r="B55" s="148"/>
      <c r="C55" s="43" t="s">
        <v>403</v>
      </c>
      <c r="D55" s="44" t="s">
        <v>404</v>
      </c>
    </row>
    <row r="56" spans="1:6" x14ac:dyDescent="0.2">
      <c r="A56" s="141" t="s">
        <v>783</v>
      </c>
      <c r="B56" s="142"/>
      <c r="C56" s="45">
        <v>0.90649999999999997</v>
      </c>
      <c r="D56" s="45">
        <v>0.90649999999999997</v>
      </c>
    </row>
    <row r="58" spans="1:6" ht="10.5" x14ac:dyDescent="0.25">
      <c r="A58" s="17" t="s">
        <v>228</v>
      </c>
      <c r="D58" s="41">
        <v>0.67788713336986306</v>
      </c>
      <c r="E58" s="15" t="s">
        <v>229</v>
      </c>
    </row>
    <row r="59" spans="1:6" ht="44" customHeight="1" x14ac:dyDescent="0.2">
      <c r="A59" s="139" t="s">
        <v>1596</v>
      </c>
      <c r="B59" s="140"/>
      <c r="C59" s="140"/>
      <c r="D59" s="140"/>
      <c r="E59" s="140"/>
    </row>
    <row r="60" spans="1:6" s="78" customFormat="1" ht="14.5" x14ac:dyDescent="0.2">
      <c r="A60" s="137"/>
      <c r="B60" s="138"/>
      <c r="C60" s="138"/>
      <c r="D60" s="138"/>
      <c r="E60" s="138"/>
      <c r="F60" s="83"/>
    </row>
    <row r="61" spans="1:6" ht="10.5" x14ac:dyDescent="0.25">
      <c r="A61" s="17" t="s">
        <v>230</v>
      </c>
      <c r="D61" s="40" t="s">
        <v>227</v>
      </c>
    </row>
  </sheetData>
  <mergeCells count="6">
    <mergeCell ref="A59:E59"/>
    <mergeCell ref="A1:F1"/>
    <mergeCell ref="C54:D54"/>
    <mergeCell ref="A54:B54"/>
    <mergeCell ref="A55:B55"/>
    <mergeCell ref="A56:B56"/>
  </mergeCells>
  <conditionalFormatting sqref="F2:F3 F5:F65537">
    <cfRule type="cellIs" dxfId="4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9"/>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34</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877</v>
      </c>
      <c r="B7" s="26" t="s">
        <v>876</v>
      </c>
      <c r="C7" s="26" t="s">
        <v>166</v>
      </c>
      <c r="D7" s="30">
        <v>173</v>
      </c>
      <c r="E7" s="28">
        <v>1773.3278499999999</v>
      </c>
      <c r="F7" s="29">
        <v>9.5798540077784899</v>
      </c>
    </row>
    <row r="8" spans="1:6" x14ac:dyDescent="0.2">
      <c r="A8" s="26" t="s">
        <v>879</v>
      </c>
      <c r="B8" s="26" t="s">
        <v>878</v>
      </c>
      <c r="C8" s="26" t="s">
        <v>166</v>
      </c>
      <c r="D8" s="30">
        <v>161</v>
      </c>
      <c r="E8" s="28">
        <v>1645.6196399999999</v>
      </c>
      <c r="F8" s="29">
        <v>8.8899499906534505</v>
      </c>
    </row>
    <row r="9" spans="1:6" x14ac:dyDescent="0.2">
      <c r="A9" s="26" t="s">
        <v>845</v>
      </c>
      <c r="B9" s="26" t="s">
        <v>844</v>
      </c>
      <c r="C9" s="26" t="s">
        <v>539</v>
      </c>
      <c r="D9" s="30">
        <v>300</v>
      </c>
      <c r="E9" s="28">
        <v>1539.5625</v>
      </c>
      <c r="F9" s="29">
        <v>8.3170091677353799</v>
      </c>
    </row>
    <row r="10" spans="1:6" x14ac:dyDescent="0.2">
      <c r="A10" s="26" t="s">
        <v>865</v>
      </c>
      <c r="B10" s="26" t="s">
        <v>864</v>
      </c>
      <c r="C10" s="26" t="s">
        <v>589</v>
      </c>
      <c r="D10" s="30">
        <v>150</v>
      </c>
      <c r="E10" s="28">
        <v>1538.4045000000001</v>
      </c>
      <c r="F10" s="29">
        <v>8.3107534316959306</v>
      </c>
    </row>
    <row r="11" spans="1:6" x14ac:dyDescent="0.2">
      <c r="A11" s="26" t="s">
        <v>881</v>
      </c>
      <c r="B11" s="26" t="s">
        <v>880</v>
      </c>
      <c r="C11" s="26" t="s">
        <v>539</v>
      </c>
      <c r="D11" s="30">
        <v>149</v>
      </c>
      <c r="E11" s="28">
        <v>1525.75404</v>
      </c>
      <c r="F11" s="29">
        <v>8.2424132429760402</v>
      </c>
    </row>
    <row r="12" spans="1:6" x14ac:dyDescent="0.2">
      <c r="A12" s="26" t="s">
        <v>883</v>
      </c>
      <c r="B12" s="26" t="s">
        <v>882</v>
      </c>
      <c r="C12" s="26" t="s">
        <v>166</v>
      </c>
      <c r="D12" s="30">
        <v>128</v>
      </c>
      <c r="E12" s="28">
        <v>1235.2256</v>
      </c>
      <c r="F12" s="29">
        <v>6.6729234048123702</v>
      </c>
    </row>
    <row r="13" spans="1:6" x14ac:dyDescent="0.2">
      <c r="A13" s="26" t="s">
        <v>871</v>
      </c>
      <c r="B13" s="26" t="s">
        <v>870</v>
      </c>
      <c r="C13" s="26" t="s">
        <v>166</v>
      </c>
      <c r="D13" s="30">
        <v>89</v>
      </c>
      <c r="E13" s="28">
        <v>1099.3778400000001</v>
      </c>
      <c r="F13" s="29">
        <v>5.9390479919360999</v>
      </c>
    </row>
    <row r="14" spans="1:6" x14ac:dyDescent="0.2">
      <c r="A14" s="26" t="s">
        <v>841</v>
      </c>
      <c r="B14" s="26" t="s">
        <v>840</v>
      </c>
      <c r="C14" s="26" t="s">
        <v>166</v>
      </c>
      <c r="D14" s="30">
        <v>101</v>
      </c>
      <c r="E14" s="28">
        <v>1046.44686</v>
      </c>
      <c r="F14" s="29">
        <v>5.6531047802008096</v>
      </c>
    </row>
    <row r="15" spans="1:6" x14ac:dyDescent="0.2">
      <c r="A15" s="26" t="s">
        <v>847</v>
      </c>
      <c r="B15" s="26" t="s">
        <v>846</v>
      </c>
      <c r="C15" s="26" t="s">
        <v>166</v>
      </c>
      <c r="D15" s="30">
        <v>84</v>
      </c>
      <c r="E15" s="28">
        <v>1041.1086</v>
      </c>
      <c r="F15" s="29">
        <v>5.6242664853217397</v>
      </c>
    </row>
    <row r="16" spans="1:6" x14ac:dyDescent="0.2">
      <c r="A16" s="26" t="s">
        <v>885</v>
      </c>
      <c r="B16" s="26" t="s">
        <v>884</v>
      </c>
      <c r="C16" s="26" t="s">
        <v>166</v>
      </c>
      <c r="D16" s="30">
        <v>50</v>
      </c>
      <c r="E16" s="28">
        <v>509.10250000000002</v>
      </c>
      <c r="F16" s="29">
        <v>2.7502684430265099</v>
      </c>
    </row>
    <row r="17" spans="1:9" x14ac:dyDescent="0.2">
      <c r="A17" s="26" t="s">
        <v>671</v>
      </c>
      <c r="B17" s="26" t="s">
        <v>670</v>
      </c>
      <c r="C17" s="26" t="s">
        <v>166</v>
      </c>
      <c r="D17" s="30">
        <v>29</v>
      </c>
      <c r="E17" s="28">
        <v>296.86574999999999</v>
      </c>
      <c r="F17" s="29">
        <v>1.60372519097902</v>
      </c>
    </row>
    <row r="18" spans="1:9" x14ac:dyDescent="0.2">
      <c r="A18" s="26" t="s">
        <v>333</v>
      </c>
      <c r="B18" s="26" t="s">
        <v>332</v>
      </c>
      <c r="C18" s="26" t="s">
        <v>166</v>
      </c>
      <c r="D18" s="30">
        <v>24</v>
      </c>
      <c r="E18" s="28">
        <v>245.83367999999999</v>
      </c>
      <c r="F18" s="29">
        <v>1.3280402518885199</v>
      </c>
    </row>
    <row r="19" spans="1:9" x14ac:dyDescent="0.2">
      <c r="A19" s="26" t="s">
        <v>863</v>
      </c>
      <c r="B19" s="26" t="s">
        <v>862</v>
      </c>
      <c r="C19" s="26" t="s">
        <v>539</v>
      </c>
      <c r="D19" s="30">
        <v>22</v>
      </c>
      <c r="E19" s="28">
        <v>224.88246000000001</v>
      </c>
      <c r="F19" s="29">
        <v>1.2148577803648</v>
      </c>
    </row>
    <row r="20" spans="1:9" x14ac:dyDescent="0.2">
      <c r="A20" s="26" t="s">
        <v>825</v>
      </c>
      <c r="B20" s="26" t="s">
        <v>824</v>
      </c>
      <c r="C20" s="26" t="s">
        <v>166</v>
      </c>
      <c r="D20" s="30">
        <v>15</v>
      </c>
      <c r="E20" s="28">
        <v>185.66220000000001</v>
      </c>
      <c r="F20" s="29">
        <v>1.0029824833366101</v>
      </c>
    </row>
    <row r="21" spans="1:9" x14ac:dyDescent="0.2">
      <c r="A21" s="26" t="s">
        <v>819</v>
      </c>
      <c r="B21" s="26" t="s">
        <v>818</v>
      </c>
      <c r="C21" s="26" t="s">
        <v>166</v>
      </c>
      <c r="D21" s="30">
        <v>9</v>
      </c>
      <c r="E21" s="28">
        <v>92.150009999999995</v>
      </c>
      <c r="F21" s="29">
        <v>0.49781186406976502</v>
      </c>
    </row>
    <row r="22" spans="1:9" ht="10.5" x14ac:dyDescent="0.25">
      <c r="A22" s="25" t="s">
        <v>167</v>
      </c>
      <c r="B22" s="25"/>
      <c r="C22" s="25"/>
      <c r="D22" s="31"/>
      <c r="E22" s="32">
        <f>SUM(E6:E21)</f>
        <v>13999.32403</v>
      </c>
      <c r="F22" s="33">
        <f>SUM(F6:F21)</f>
        <v>75.627008516775533</v>
      </c>
      <c r="G22" s="17"/>
      <c r="H22" s="17"/>
      <c r="I22" s="17"/>
    </row>
    <row r="23" spans="1:9" x14ac:dyDescent="0.2">
      <c r="A23" s="26"/>
      <c r="B23" s="26"/>
      <c r="C23" s="26"/>
      <c r="D23" s="27"/>
      <c r="E23" s="28"/>
      <c r="F23" s="29"/>
    </row>
    <row r="24" spans="1:9" ht="10.5" x14ac:dyDescent="0.25">
      <c r="A24" s="25" t="s">
        <v>168</v>
      </c>
      <c r="B24" s="26"/>
      <c r="C24" s="26"/>
      <c r="D24" s="27"/>
      <c r="E24" s="28"/>
      <c r="F24" s="29"/>
    </row>
    <row r="25" spans="1:9" x14ac:dyDescent="0.2">
      <c r="A25" s="26" t="s">
        <v>887</v>
      </c>
      <c r="B25" s="26" t="s">
        <v>886</v>
      </c>
      <c r="C25" s="26" t="s">
        <v>166</v>
      </c>
      <c r="D25" s="30">
        <v>150</v>
      </c>
      <c r="E25" s="28">
        <v>1531.3440000000001</v>
      </c>
      <c r="F25" s="29">
        <v>8.2726112690823292</v>
      </c>
    </row>
    <row r="26" spans="1:9" x14ac:dyDescent="0.2">
      <c r="A26" s="26" t="s">
        <v>875</v>
      </c>
      <c r="B26" s="26" t="s">
        <v>874</v>
      </c>
      <c r="C26" s="26" t="s">
        <v>539</v>
      </c>
      <c r="D26" s="30">
        <v>150</v>
      </c>
      <c r="E26" s="28">
        <v>1527.981</v>
      </c>
      <c r="F26" s="29">
        <v>8.2544437040558396</v>
      </c>
    </row>
    <row r="27" spans="1:9" x14ac:dyDescent="0.2">
      <c r="A27" s="26" t="s">
        <v>677</v>
      </c>
      <c r="B27" s="26" t="s">
        <v>676</v>
      </c>
      <c r="C27" s="26" t="s">
        <v>166</v>
      </c>
      <c r="D27" s="30">
        <v>2</v>
      </c>
      <c r="E27" s="28">
        <v>20.367740000000001</v>
      </c>
      <c r="F27" s="29">
        <v>0.110030401692722</v>
      </c>
    </row>
    <row r="28" spans="1:9" ht="10.5" x14ac:dyDescent="0.25">
      <c r="A28" s="25" t="s">
        <v>167</v>
      </c>
      <c r="B28" s="25"/>
      <c r="C28" s="25"/>
      <c r="D28" s="31"/>
      <c r="E28" s="32">
        <f>SUM(E24:E27)</f>
        <v>3079.69274</v>
      </c>
      <c r="F28" s="33">
        <f>SUM(F24:F27)</f>
        <v>16.637085374830892</v>
      </c>
      <c r="G28" s="17"/>
      <c r="H28" s="17"/>
      <c r="I28" s="17"/>
    </row>
    <row r="29" spans="1:9" x14ac:dyDescent="0.2">
      <c r="A29" s="26"/>
      <c r="B29" s="26"/>
      <c r="C29" s="26"/>
      <c r="D29" s="27"/>
      <c r="E29" s="28"/>
      <c r="F29" s="29"/>
    </row>
    <row r="30" spans="1:9" ht="10.5" x14ac:dyDescent="0.25">
      <c r="A30" s="25" t="s">
        <v>413</v>
      </c>
      <c r="B30" s="26"/>
      <c r="C30" s="26"/>
      <c r="D30" s="27"/>
      <c r="E30" s="28"/>
      <c r="F30" s="29"/>
    </row>
    <row r="31" spans="1:9" ht="10.5" x14ac:dyDescent="0.25">
      <c r="A31" s="25" t="s">
        <v>414</v>
      </c>
      <c r="B31" s="26"/>
      <c r="C31" s="26"/>
      <c r="D31" s="27"/>
      <c r="E31" s="28"/>
      <c r="F31" s="29"/>
    </row>
    <row r="32" spans="1:9" x14ac:dyDescent="0.2">
      <c r="A32" s="26" t="s">
        <v>431</v>
      </c>
      <c r="B32" s="26" t="s">
        <v>430</v>
      </c>
      <c r="C32" s="26" t="s">
        <v>420</v>
      </c>
      <c r="D32" s="30">
        <v>292</v>
      </c>
      <c r="E32" s="28">
        <v>286.01662800000003</v>
      </c>
      <c r="F32" s="29">
        <v>1.5451161724196101</v>
      </c>
    </row>
    <row r="33" spans="1:9" ht="10.5" x14ac:dyDescent="0.25">
      <c r="A33" s="25" t="s">
        <v>167</v>
      </c>
      <c r="B33" s="25"/>
      <c r="C33" s="25"/>
      <c r="D33" s="31"/>
      <c r="E33" s="32">
        <f>SUM(E31:E32)</f>
        <v>286.01662800000003</v>
      </c>
      <c r="F33" s="33">
        <f>SUM(F31:F32)</f>
        <v>1.5451161724196101</v>
      </c>
      <c r="G33" s="17"/>
      <c r="H33" s="17"/>
      <c r="I33" s="17"/>
    </row>
    <row r="34" spans="1:9" x14ac:dyDescent="0.2">
      <c r="A34" s="26"/>
      <c r="B34" s="26"/>
      <c r="C34" s="26"/>
      <c r="D34" s="27"/>
      <c r="E34" s="28"/>
      <c r="F34" s="29"/>
    </row>
    <row r="35" spans="1:9" ht="10.5" x14ac:dyDescent="0.25">
      <c r="A35" s="25" t="s">
        <v>434</v>
      </c>
      <c r="B35" s="26"/>
      <c r="C35" s="26"/>
      <c r="D35" s="27"/>
      <c r="E35" s="28"/>
      <c r="F35" s="29"/>
    </row>
    <row r="36" spans="1:9" x14ac:dyDescent="0.2">
      <c r="A36" s="26" t="s">
        <v>889</v>
      </c>
      <c r="B36" s="26" t="s">
        <v>888</v>
      </c>
      <c r="C36" s="26" t="s">
        <v>443</v>
      </c>
      <c r="D36" s="30">
        <v>33</v>
      </c>
      <c r="E36" s="28">
        <v>161.51272499999999</v>
      </c>
      <c r="F36" s="29">
        <v>0.87252243058071599</v>
      </c>
    </row>
    <row r="37" spans="1:9" ht="10.5" x14ac:dyDescent="0.25">
      <c r="A37" s="25" t="s">
        <v>167</v>
      </c>
      <c r="B37" s="25"/>
      <c r="C37" s="25"/>
      <c r="D37" s="31"/>
      <c r="E37" s="32">
        <f>SUM(E35:E36)</f>
        <v>161.51272499999999</v>
      </c>
      <c r="F37" s="33">
        <f>SUM(F35:F36)</f>
        <v>0.87252243058071599</v>
      </c>
      <c r="G37" s="17"/>
      <c r="H37" s="17"/>
      <c r="I37" s="17"/>
    </row>
    <row r="38" spans="1:9" x14ac:dyDescent="0.2">
      <c r="A38" s="26"/>
      <c r="B38" s="26"/>
      <c r="C38" s="26"/>
      <c r="D38" s="27"/>
      <c r="E38" s="28"/>
      <c r="F38" s="29"/>
    </row>
    <row r="39" spans="1:9" ht="10.5" x14ac:dyDescent="0.25">
      <c r="A39" s="25" t="s">
        <v>205</v>
      </c>
      <c r="B39" s="25"/>
      <c r="C39" s="25"/>
      <c r="D39" s="31"/>
      <c r="E39" s="32">
        <f>E22+E28+E33+E37</f>
        <v>17526.546123</v>
      </c>
      <c r="F39" s="33">
        <f>F22+F28+F33+F37</f>
        <v>94.681732494606749</v>
      </c>
      <c r="G39" s="17"/>
      <c r="H39" s="17"/>
      <c r="I39" s="17"/>
    </row>
    <row r="40" spans="1:9" ht="10.5" x14ac:dyDescent="0.25">
      <c r="A40" s="25"/>
      <c r="B40" s="25"/>
      <c r="C40" s="25"/>
      <c r="D40" s="31"/>
      <c r="E40" s="32"/>
      <c r="F40" s="33"/>
      <c r="G40" s="17"/>
      <c r="H40" s="17"/>
      <c r="I40" s="17"/>
    </row>
    <row r="41" spans="1:9" ht="10.5" x14ac:dyDescent="0.25">
      <c r="A41" s="25" t="s">
        <v>207</v>
      </c>
      <c r="B41" s="25"/>
      <c r="C41" s="25"/>
      <c r="D41" s="31"/>
      <c r="E41" s="32">
        <f>E43-(E22+E28+E33+E37)</f>
        <v>984.4650944999994</v>
      </c>
      <c r="F41" s="33">
        <f>F43-(F22+F28+F33+F37)</f>
        <v>5.3182675053932513</v>
      </c>
      <c r="G41" s="17"/>
      <c r="H41" s="17"/>
      <c r="I41" s="17"/>
    </row>
    <row r="42" spans="1:9" ht="10.5" x14ac:dyDescent="0.25">
      <c r="A42" s="25"/>
      <c r="B42" s="25"/>
      <c r="C42" s="25"/>
      <c r="D42" s="31"/>
      <c r="E42" s="32"/>
      <c r="F42" s="33"/>
      <c r="G42" s="17"/>
      <c r="H42" s="17"/>
      <c r="I42" s="17"/>
    </row>
    <row r="43" spans="1:9" ht="10.5" x14ac:dyDescent="0.25">
      <c r="A43" s="34" t="s">
        <v>206</v>
      </c>
      <c r="B43" s="34"/>
      <c r="C43" s="34"/>
      <c r="D43" s="35"/>
      <c r="E43" s="36">
        <v>18511.011217499999</v>
      </c>
      <c r="F43" s="37">
        <v>100</v>
      </c>
      <c r="G43" s="17"/>
      <c r="H43" s="17"/>
      <c r="I43" s="17"/>
    </row>
    <row r="45" spans="1:9" ht="10.5" x14ac:dyDescent="0.25">
      <c r="A45" s="17" t="s">
        <v>468</v>
      </c>
    </row>
    <row r="46" spans="1:9" ht="10.5" x14ac:dyDescent="0.25">
      <c r="A46" s="17" t="s">
        <v>209</v>
      </c>
    </row>
    <row r="48" spans="1:9" ht="10.5" x14ac:dyDescent="0.25">
      <c r="A48" s="17" t="s">
        <v>210</v>
      </c>
    </row>
    <row r="49" spans="1:4" ht="10.5" x14ac:dyDescent="0.25">
      <c r="A49" s="17" t="s">
        <v>211</v>
      </c>
    </row>
    <row r="50" spans="1:4" ht="10.5" x14ac:dyDescent="0.25">
      <c r="A50" s="17" t="s">
        <v>212</v>
      </c>
      <c r="B50" s="17"/>
      <c r="C50" s="38" t="s">
        <v>214</v>
      </c>
      <c r="D50" s="18" t="s">
        <v>213</v>
      </c>
    </row>
    <row r="51" spans="1:4" x14ac:dyDescent="0.2">
      <c r="A51" s="10" t="s">
        <v>486</v>
      </c>
      <c r="C51" s="39">
        <v>11.6203</v>
      </c>
      <c r="D51" s="39">
        <v>12.197100000000001</v>
      </c>
    </row>
    <row r="52" spans="1:4" x14ac:dyDescent="0.2">
      <c r="A52" s="10" t="s">
        <v>783</v>
      </c>
      <c r="C52" s="39">
        <v>10.8786</v>
      </c>
      <c r="D52" s="39">
        <v>10.4415</v>
      </c>
    </row>
    <row r="53" spans="1:4" x14ac:dyDescent="0.2">
      <c r="A53" s="10" t="s">
        <v>488</v>
      </c>
      <c r="C53" s="39">
        <v>10.331200000000001</v>
      </c>
      <c r="D53" s="39">
        <v>10.419499999999999</v>
      </c>
    </row>
    <row r="54" spans="1:4" x14ac:dyDescent="0.2">
      <c r="A54" s="10" t="s">
        <v>489</v>
      </c>
      <c r="C54" s="39">
        <v>11.690200000000001</v>
      </c>
      <c r="D54" s="39">
        <v>12.2705</v>
      </c>
    </row>
    <row r="55" spans="1:4" x14ac:dyDescent="0.2">
      <c r="A55" s="10" t="s">
        <v>521</v>
      </c>
      <c r="C55" s="39">
        <v>10.949199999999999</v>
      </c>
      <c r="D55" s="39">
        <v>10.5166</v>
      </c>
    </row>
    <row r="56" spans="1:4" x14ac:dyDescent="0.2">
      <c r="A56" s="10" t="s">
        <v>491</v>
      </c>
      <c r="C56" s="39">
        <v>10.3895</v>
      </c>
      <c r="D56" s="39">
        <v>10.4819</v>
      </c>
    </row>
    <row r="58" spans="1:4" ht="10.5" x14ac:dyDescent="0.25">
      <c r="A58" s="17" t="s">
        <v>226</v>
      </c>
    </row>
    <row r="59" spans="1:4" ht="10.5" x14ac:dyDescent="0.25">
      <c r="A59" s="147" t="s">
        <v>401</v>
      </c>
      <c r="B59" s="148"/>
      <c r="C59" s="145" t="s">
        <v>402</v>
      </c>
      <c r="D59" s="146"/>
    </row>
    <row r="60" spans="1:4" ht="10.5" x14ac:dyDescent="0.25">
      <c r="A60" s="147"/>
      <c r="B60" s="148"/>
      <c r="C60" s="43" t="s">
        <v>403</v>
      </c>
      <c r="D60" s="44" t="s">
        <v>404</v>
      </c>
    </row>
    <row r="61" spans="1:4" x14ac:dyDescent="0.2">
      <c r="A61" s="141" t="s">
        <v>783</v>
      </c>
      <c r="B61" s="142"/>
      <c r="C61" s="45">
        <v>0.89724999999999999</v>
      </c>
      <c r="D61" s="45">
        <v>0.89724999999999999</v>
      </c>
    </row>
    <row r="62" spans="1:4" x14ac:dyDescent="0.2">
      <c r="A62" s="141" t="s">
        <v>488</v>
      </c>
      <c r="B62" s="142"/>
      <c r="C62" s="45">
        <v>0.34089276699999999</v>
      </c>
      <c r="D62" s="45">
        <v>0.32969970609999999</v>
      </c>
    </row>
    <row r="63" spans="1:4" x14ac:dyDescent="0.2">
      <c r="A63" s="141" t="s">
        <v>521</v>
      </c>
      <c r="B63" s="142"/>
      <c r="C63" s="45">
        <v>0.89724999999999999</v>
      </c>
      <c r="D63" s="45">
        <v>0.89724999999999999</v>
      </c>
    </row>
    <row r="64" spans="1:4" x14ac:dyDescent="0.2">
      <c r="A64" s="141" t="s">
        <v>491</v>
      </c>
      <c r="B64" s="142"/>
      <c r="C64" s="45">
        <v>0.34089276699999999</v>
      </c>
      <c r="D64" s="45">
        <v>0.32969970609999999</v>
      </c>
    </row>
    <row r="66" spans="1:6" ht="10.5" x14ac:dyDescent="0.25">
      <c r="A66" s="17" t="s">
        <v>228</v>
      </c>
      <c r="D66" s="41">
        <v>0.65313343871232865</v>
      </c>
      <c r="E66" s="15" t="s">
        <v>229</v>
      </c>
    </row>
    <row r="67" spans="1:6" ht="47" customHeight="1" x14ac:dyDescent="0.2">
      <c r="A67" s="139" t="s">
        <v>1596</v>
      </c>
      <c r="B67" s="140"/>
      <c r="C67" s="140"/>
      <c r="D67" s="140"/>
      <c r="E67" s="140"/>
    </row>
    <row r="68" spans="1:6" s="78" customFormat="1" ht="12.5" customHeight="1" x14ac:dyDescent="0.2">
      <c r="A68" s="137"/>
      <c r="B68" s="138"/>
      <c r="C68" s="138"/>
      <c r="D68" s="138"/>
      <c r="E68" s="138"/>
      <c r="F68" s="83"/>
    </row>
    <row r="69" spans="1:6" ht="10.5" x14ac:dyDescent="0.25">
      <c r="A69" s="17" t="s">
        <v>230</v>
      </c>
      <c r="D69" s="40" t="s">
        <v>227</v>
      </c>
    </row>
  </sheetData>
  <mergeCells count="9">
    <mergeCell ref="A67:E67"/>
    <mergeCell ref="A63:B63"/>
    <mergeCell ref="A64:B64"/>
    <mergeCell ref="A1:F1"/>
    <mergeCell ref="C59:D59"/>
    <mergeCell ref="A59:B59"/>
    <mergeCell ref="A60:B60"/>
    <mergeCell ref="A61:B61"/>
    <mergeCell ref="A62:B62"/>
  </mergeCells>
  <conditionalFormatting sqref="F2:F3 F5:F65537">
    <cfRule type="cellIs" dxfId="4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9"/>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35</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879</v>
      </c>
      <c r="B7" s="26" t="s">
        <v>878</v>
      </c>
      <c r="C7" s="26" t="s">
        <v>166</v>
      </c>
      <c r="D7" s="30">
        <v>61</v>
      </c>
      <c r="E7" s="28">
        <v>623.49563999999998</v>
      </c>
      <c r="F7" s="29">
        <v>10.913649950559201</v>
      </c>
    </row>
    <row r="8" spans="1:6" x14ac:dyDescent="0.2">
      <c r="A8" s="26" t="s">
        <v>847</v>
      </c>
      <c r="B8" s="26" t="s">
        <v>846</v>
      </c>
      <c r="C8" s="26" t="s">
        <v>166</v>
      </c>
      <c r="D8" s="30">
        <v>45</v>
      </c>
      <c r="E8" s="28">
        <v>557.73675000000003</v>
      </c>
      <c r="F8" s="29">
        <v>9.7626082101593497</v>
      </c>
    </row>
    <row r="9" spans="1:6" x14ac:dyDescent="0.2">
      <c r="A9" s="26" t="s">
        <v>871</v>
      </c>
      <c r="B9" s="26" t="s">
        <v>870</v>
      </c>
      <c r="C9" s="26" t="s">
        <v>166</v>
      </c>
      <c r="D9" s="30">
        <v>45</v>
      </c>
      <c r="E9" s="28">
        <v>555.86519999999996</v>
      </c>
      <c r="F9" s="29">
        <v>9.7298486521855896</v>
      </c>
    </row>
    <row r="10" spans="1:6" x14ac:dyDescent="0.2">
      <c r="A10" s="26" t="s">
        <v>865</v>
      </c>
      <c r="B10" s="26" t="s">
        <v>864</v>
      </c>
      <c r="C10" s="26" t="s">
        <v>589</v>
      </c>
      <c r="D10" s="30">
        <v>46</v>
      </c>
      <c r="E10" s="28">
        <v>471.77737999999999</v>
      </c>
      <c r="F10" s="29">
        <v>8.2579778423341601</v>
      </c>
    </row>
    <row r="11" spans="1:6" x14ac:dyDescent="0.2">
      <c r="A11" s="26" t="s">
        <v>885</v>
      </c>
      <c r="B11" s="26" t="s">
        <v>884</v>
      </c>
      <c r="C11" s="26" t="s">
        <v>166</v>
      </c>
      <c r="D11" s="30">
        <v>46</v>
      </c>
      <c r="E11" s="28">
        <v>468.37430000000001</v>
      </c>
      <c r="F11" s="29">
        <v>8.1984104267965794</v>
      </c>
    </row>
    <row r="12" spans="1:6" x14ac:dyDescent="0.2">
      <c r="A12" s="26" t="s">
        <v>877</v>
      </c>
      <c r="B12" s="26" t="s">
        <v>876</v>
      </c>
      <c r="C12" s="26" t="s">
        <v>166</v>
      </c>
      <c r="D12" s="30">
        <v>45</v>
      </c>
      <c r="E12" s="28">
        <v>461.27024999999998</v>
      </c>
      <c r="F12" s="29">
        <v>8.0740613376333208</v>
      </c>
    </row>
    <row r="13" spans="1:6" x14ac:dyDescent="0.2">
      <c r="A13" s="26" t="s">
        <v>645</v>
      </c>
      <c r="B13" s="26" t="s">
        <v>644</v>
      </c>
      <c r="C13" s="26" t="s">
        <v>589</v>
      </c>
      <c r="D13" s="30">
        <v>34</v>
      </c>
      <c r="E13" s="28">
        <v>419.63276000000002</v>
      </c>
      <c r="F13" s="29">
        <v>7.3452398968291597</v>
      </c>
    </row>
    <row r="14" spans="1:6" x14ac:dyDescent="0.2">
      <c r="A14" s="26" t="s">
        <v>671</v>
      </c>
      <c r="B14" s="26" t="s">
        <v>670</v>
      </c>
      <c r="C14" s="26" t="s">
        <v>166</v>
      </c>
      <c r="D14" s="30">
        <v>38</v>
      </c>
      <c r="E14" s="28">
        <v>388.99650000000003</v>
      </c>
      <c r="F14" s="29">
        <v>6.8089836730738202</v>
      </c>
    </row>
    <row r="15" spans="1:6" x14ac:dyDescent="0.2">
      <c r="A15" s="26" t="s">
        <v>825</v>
      </c>
      <c r="B15" s="26" t="s">
        <v>824</v>
      </c>
      <c r="C15" s="26" t="s">
        <v>166</v>
      </c>
      <c r="D15" s="30">
        <v>28</v>
      </c>
      <c r="E15" s="28">
        <v>346.56943999999999</v>
      </c>
      <c r="F15" s="29">
        <v>6.0663416214447601</v>
      </c>
    </row>
    <row r="16" spans="1:6" x14ac:dyDescent="0.2">
      <c r="A16" s="26" t="s">
        <v>335</v>
      </c>
      <c r="B16" s="26" t="s">
        <v>334</v>
      </c>
      <c r="C16" s="26" t="s">
        <v>336</v>
      </c>
      <c r="D16" s="30">
        <v>20</v>
      </c>
      <c r="E16" s="28">
        <v>245.84739999999999</v>
      </c>
      <c r="F16" s="29">
        <v>4.30330589778481</v>
      </c>
    </row>
    <row r="17" spans="1:9" x14ac:dyDescent="0.2">
      <c r="A17" s="26" t="s">
        <v>861</v>
      </c>
      <c r="B17" s="26" t="s">
        <v>860</v>
      </c>
      <c r="C17" s="26" t="s">
        <v>589</v>
      </c>
      <c r="D17" s="30">
        <v>20</v>
      </c>
      <c r="E17" s="28">
        <v>205.93879999999999</v>
      </c>
      <c r="F17" s="29">
        <v>3.60474689837161</v>
      </c>
    </row>
    <row r="18" spans="1:9" x14ac:dyDescent="0.2">
      <c r="A18" s="26" t="s">
        <v>891</v>
      </c>
      <c r="B18" s="26" t="s">
        <v>890</v>
      </c>
      <c r="C18" s="26" t="s">
        <v>166</v>
      </c>
      <c r="D18" s="30">
        <v>17</v>
      </c>
      <c r="E18" s="28">
        <v>164.65061</v>
      </c>
      <c r="F18" s="29">
        <v>2.8820395948334898</v>
      </c>
    </row>
    <row r="19" spans="1:9" x14ac:dyDescent="0.2">
      <c r="A19" s="26" t="s">
        <v>333</v>
      </c>
      <c r="B19" s="26" t="s">
        <v>332</v>
      </c>
      <c r="C19" s="26" t="s">
        <v>166</v>
      </c>
      <c r="D19" s="30">
        <v>1</v>
      </c>
      <c r="E19" s="28">
        <v>10.243069999999999</v>
      </c>
      <c r="F19" s="29">
        <v>0.17929440597062499</v>
      </c>
    </row>
    <row r="20" spans="1:9" ht="10.5" x14ac:dyDescent="0.25">
      <c r="A20" s="25" t="s">
        <v>167</v>
      </c>
      <c r="B20" s="25"/>
      <c r="C20" s="25"/>
      <c r="D20" s="31"/>
      <c r="E20" s="32">
        <f>SUM(E6:E19)</f>
        <v>4920.3980999999994</v>
      </c>
      <c r="F20" s="33">
        <f>SUM(F6:F19)</f>
        <v>86.126508407976473</v>
      </c>
      <c r="G20" s="17"/>
      <c r="H20" s="17"/>
      <c r="I20" s="17"/>
    </row>
    <row r="21" spans="1:9" x14ac:dyDescent="0.2">
      <c r="A21" s="26"/>
      <c r="B21" s="26"/>
      <c r="C21" s="26"/>
      <c r="D21" s="27"/>
      <c r="E21" s="28"/>
      <c r="F21" s="29"/>
    </row>
    <row r="22" spans="1:9" ht="10.5" x14ac:dyDescent="0.25">
      <c r="A22" s="25" t="s">
        <v>168</v>
      </c>
      <c r="B22" s="26"/>
      <c r="C22" s="26"/>
      <c r="D22" s="27"/>
      <c r="E22" s="28"/>
      <c r="F22" s="29"/>
    </row>
    <row r="23" spans="1:9" x14ac:dyDescent="0.2">
      <c r="A23" s="26" t="s">
        <v>875</v>
      </c>
      <c r="B23" s="26" t="s">
        <v>874</v>
      </c>
      <c r="C23" s="26" t="s">
        <v>539</v>
      </c>
      <c r="D23" s="30">
        <v>45</v>
      </c>
      <c r="E23" s="28">
        <v>458.39429999999999</v>
      </c>
      <c r="F23" s="29">
        <v>8.0237207906243402</v>
      </c>
    </row>
    <row r="24" spans="1:9" x14ac:dyDescent="0.2">
      <c r="A24" s="26" t="s">
        <v>677</v>
      </c>
      <c r="B24" s="26" t="s">
        <v>676</v>
      </c>
      <c r="C24" s="26" t="s">
        <v>166</v>
      </c>
      <c r="D24" s="30">
        <v>6</v>
      </c>
      <c r="E24" s="28">
        <v>61.10322</v>
      </c>
      <c r="F24" s="29">
        <v>1.06954902512552</v>
      </c>
    </row>
    <row r="25" spans="1:9" ht="10.5" x14ac:dyDescent="0.25">
      <c r="A25" s="25" t="s">
        <v>167</v>
      </c>
      <c r="B25" s="25"/>
      <c r="C25" s="25"/>
      <c r="D25" s="31"/>
      <c r="E25" s="32">
        <f>SUM(E22:E24)</f>
        <v>519.49752000000001</v>
      </c>
      <c r="F25" s="33">
        <f>SUM(F22:F24)</f>
        <v>9.0932698157498599</v>
      </c>
      <c r="G25" s="17"/>
      <c r="H25" s="17"/>
      <c r="I25" s="17"/>
    </row>
    <row r="26" spans="1:9" x14ac:dyDescent="0.2">
      <c r="A26" s="26"/>
      <c r="B26" s="26"/>
      <c r="C26" s="26"/>
      <c r="D26" s="27"/>
      <c r="E26" s="28"/>
      <c r="F26" s="29"/>
    </row>
    <row r="27" spans="1:9" ht="10.5" x14ac:dyDescent="0.25">
      <c r="A27" s="25" t="s">
        <v>413</v>
      </c>
      <c r="B27" s="26"/>
      <c r="C27" s="26"/>
      <c r="D27" s="27"/>
      <c r="E27" s="28"/>
      <c r="F27" s="29"/>
    </row>
    <row r="28" spans="1:9" ht="10.5" x14ac:dyDescent="0.25">
      <c r="A28" s="25" t="s">
        <v>414</v>
      </c>
      <c r="B28" s="26"/>
      <c r="C28" s="26"/>
      <c r="D28" s="27"/>
      <c r="E28" s="28"/>
      <c r="F28" s="29"/>
    </row>
    <row r="29" spans="1:9" x14ac:dyDescent="0.2">
      <c r="A29" s="26" t="s">
        <v>431</v>
      </c>
      <c r="B29" s="26" t="s">
        <v>430</v>
      </c>
      <c r="C29" s="26" t="s">
        <v>420</v>
      </c>
      <c r="D29" s="30">
        <v>87</v>
      </c>
      <c r="E29" s="28">
        <v>85.217282999999995</v>
      </c>
      <c r="F29" s="29">
        <v>1.49164089808189</v>
      </c>
    </row>
    <row r="30" spans="1:9" ht="10.5" x14ac:dyDescent="0.25">
      <c r="A30" s="25" t="s">
        <v>167</v>
      </c>
      <c r="B30" s="25"/>
      <c r="C30" s="25"/>
      <c r="D30" s="31"/>
      <c r="E30" s="32">
        <f>SUM(E28:E29)</f>
        <v>85.217282999999995</v>
      </c>
      <c r="F30" s="33">
        <f>SUM(F28:F29)</f>
        <v>1.49164089808189</v>
      </c>
      <c r="G30" s="17"/>
      <c r="H30" s="17"/>
      <c r="I30" s="17"/>
    </row>
    <row r="31" spans="1:9" x14ac:dyDescent="0.2">
      <c r="A31" s="26"/>
      <c r="B31" s="26"/>
      <c r="C31" s="26"/>
      <c r="D31" s="27"/>
      <c r="E31" s="28"/>
      <c r="F31" s="29"/>
    </row>
    <row r="32" spans="1:9" ht="10.5" x14ac:dyDescent="0.25">
      <c r="A32" s="25" t="s">
        <v>205</v>
      </c>
      <c r="B32" s="25"/>
      <c r="C32" s="25"/>
      <c r="D32" s="31"/>
      <c r="E32" s="32">
        <f>E20+E25+E30</f>
        <v>5525.1129029999993</v>
      </c>
      <c r="F32" s="33">
        <f>F20+F25+F30</f>
        <v>96.711419121808234</v>
      </c>
      <c r="G32" s="17"/>
      <c r="H32" s="17"/>
      <c r="I32" s="17"/>
    </row>
    <row r="33" spans="1:9" ht="10.5" x14ac:dyDescent="0.25">
      <c r="A33" s="25"/>
      <c r="B33" s="25"/>
      <c r="C33" s="25"/>
      <c r="D33" s="31"/>
      <c r="E33" s="32"/>
      <c r="F33" s="33"/>
      <c r="G33" s="17"/>
      <c r="H33" s="17"/>
      <c r="I33" s="17"/>
    </row>
    <row r="34" spans="1:9" ht="10.5" x14ac:dyDescent="0.25">
      <c r="A34" s="25" t="s">
        <v>207</v>
      </c>
      <c r="B34" s="25"/>
      <c r="C34" s="25"/>
      <c r="D34" s="31"/>
      <c r="E34" s="32">
        <f>E36-(E20+E25+E30)</f>
        <v>187.87626950000049</v>
      </c>
      <c r="F34" s="33">
        <f>F36-(F20+F25+F30)</f>
        <v>3.288580878191766</v>
      </c>
      <c r="G34" s="17"/>
      <c r="H34" s="17"/>
      <c r="I34" s="17"/>
    </row>
    <row r="35" spans="1:9" ht="10.5" x14ac:dyDescent="0.25">
      <c r="A35" s="25"/>
      <c r="B35" s="25"/>
      <c r="C35" s="25"/>
      <c r="D35" s="31"/>
      <c r="E35" s="32"/>
      <c r="F35" s="33"/>
      <c r="G35" s="17"/>
      <c r="H35" s="17"/>
      <c r="I35" s="17"/>
    </row>
    <row r="36" spans="1:9" ht="10.5" x14ac:dyDescent="0.25">
      <c r="A36" s="34" t="s">
        <v>206</v>
      </c>
      <c r="B36" s="34"/>
      <c r="C36" s="34"/>
      <c r="D36" s="35"/>
      <c r="E36" s="36">
        <v>5712.9891724999998</v>
      </c>
      <c r="F36" s="37">
        <v>100</v>
      </c>
      <c r="G36" s="17"/>
      <c r="H36" s="17"/>
      <c r="I36" s="17"/>
    </row>
    <row r="38" spans="1:9" ht="10.5" x14ac:dyDescent="0.25">
      <c r="A38" s="17" t="s">
        <v>209</v>
      </c>
    </row>
    <row r="40" spans="1:9" ht="10.5" x14ac:dyDescent="0.25">
      <c r="A40" s="17" t="s">
        <v>210</v>
      </c>
    </row>
    <row r="41" spans="1:9" ht="10.5" x14ac:dyDescent="0.25">
      <c r="A41" s="17" t="s">
        <v>211</v>
      </c>
    </row>
    <row r="42" spans="1:9" ht="10.5" x14ac:dyDescent="0.25">
      <c r="A42" s="17" t="s">
        <v>212</v>
      </c>
      <c r="B42" s="17"/>
      <c r="C42" s="38" t="s">
        <v>214</v>
      </c>
      <c r="D42" s="18" t="s">
        <v>213</v>
      </c>
    </row>
    <row r="43" spans="1:9" x14ac:dyDescent="0.2">
      <c r="A43" s="10" t="s">
        <v>486</v>
      </c>
      <c r="C43" s="39">
        <v>11.5542</v>
      </c>
      <c r="D43" s="39">
        <v>12.125500000000001</v>
      </c>
    </row>
    <row r="44" spans="1:9" x14ac:dyDescent="0.2">
      <c r="A44" s="10" t="s">
        <v>783</v>
      </c>
      <c r="C44" s="39">
        <v>10.936500000000001</v>
      </c>
      <c r="D44" s="39">
        <v>10.5427</v>
      </c>
    </row>
    <row r="45" spans="1:9" x14ac:dyDescent="0.2">
      <c r="A45" s="10" t="s">
        <v>488</v>
      </c>
      <c r="C45" s="39">
        <v>10.2264</v>
      </c>
      <c r="D45" s="39">
        <v>10.338100000000001</v>
      </c>
    </row>
    <row r="46" spans="1:9" x14ac:dyDescent="0.2">
      <c r="A46" s="10" t="s">
        <v>489</v>
      </c>
      <c r="C46" s="39">
        <v>11.623799999999999</v>
      </c>
      <c r="D46" s="39">
        <v>12.198399999999999</v>
      </c>
    </row>
    <row r="47" spans="1:9" x14ac:dyDescent="0.2">
      <c r="A47" s="10" t="s">
        <v>491</v>
      </c>
      <c r="C47" s="39">
        <v>10.2842</v>
      </c>
      <c r="D47" s="39">
        <v>10.398899999999999</v>
      </c>
    </row>
    <row r="49" spans="1:6" ht="10.5" x14ac:dyDescent="0.25">
      <c r="A49" s="17" t="s">
        <v>226</v>
      </c>
    </row>
    <row r="50" spans="1:6" ht="10.5" x14ac:dyDescent="0.25">
      <c r="A50" s="147" t="s">
        <v>401</v>
      </c>
      <c r="B50" s="148"/>
      <c r="C50" s="145" t="s">
        <v>402</v>
      </c>
      <c r="D50" s="146"/>
    </row>
    <row r="51" spans="1:6" ht="10.5" x14ac:dyDescent="0.25">
      <c r="A51" s="147"/>
      <c r="B51" s="148"/>
      <c r="C51" s="43" t="s">
        <v>403</v>
      </c>
      <c r="D51" s="44" t="s">
        <v>404</v>
      </c>
    </row>
    <row r="52" spans="1:6" x14ac:dyDescent="0.2">
      <c r="A52" s="141" t="s">
        <v>783</v>
      </c>
      <c r="B52" s="142"/>
      <c r="C52" s="45">
        <v>0.64829042999999997</v>
      </c>
      <c r="D52" s="45">
        <v>0.60032016899999996</v>
      </c>
    </row>
    <row r="53" spans="1:6" x14ac:dyDescent="0.2">
      <c r="A53" s="141" t="s">
        <v>488</v>
      </c>
      <c r="B53" s="142"/>
      <c r="C53" s="45">
        <v>0.31621292649999999</v>
      </c>
      <c r="D53" s="45">
        <v>0.30581936999999998</v>
      </c>
    </row>
    <row r="54" spans="1:6" x14ac:dyDescent="0.2">
      <c r="A54" s="141" t="s">
        <v>491</v>
      </c>
      <c r="B54" s="142"/>
      <c r="C54" s="45">
        <v>0.31621292649999999</v>
      </c>
      <c r="D54" s="45">
        <v>0.30581936999999998</v>
      </c>
    </row>
    <row r="56" spans="1:6" ht="10.5" x14ac:dyDescent="0.25">
      <c r="A56" s="17" t="s">
        <v>228</v>
      </c>
      <c r="D56" s="41">
        <v>0.62965848400000002</v>
      </c>
      <c r="E56" s="15" t="s">
        <v>229</v>
      </c>
    </row>
    <row r="57" spans="1:6" ht="45.5" customHeight="1" x14ac:dyDescent="0.2">
      <c r="A57" s="139" t="s">
        <v>1596</v>
      </c>
      <c r="B57" s="140"/>
      <c r="C57" s="140"/>
      <c r="D57" s="140"/>
      <c r="E57" s="140"/>
    </row>
    <row r="58" spans="1:6" s="78" customFormat="1" ht="14.5" x14ac:dyDescent="0.2">
      <c r="A58" s="137"/>
      <c r="B58" s="138"/>
      <c r="C58" s="138"/>
      <c r="D58" s="138"/>
      <c r="E58" s="138"/>
      <c r="F58" s="83"/>
    </row>
    <row r="59" spans="1:6" ht="10.5" x14ac:dyDescent="0.25">
      <c r="A59" s="17" t="s">
        <v>230</v>
      </c>
      <c r="D59" s="40" t="s">
        <v>227</v>
      </c>
    </row>
  </sheetData>
  <mergeCells count="8">
    <mergeCell ref="A57:E57"/>
    <mergeCell ref="A54:B54"/>
    <mergeCell ref="A1:F1"/>
    <mergeCell ref="C50:D50"/>
    <mergeCell ref="A50:B50"/>
    <mergeCell ref="A51:B51"/>
    <mergeCell ref="A52:B52"/>
    <mergeCell ref="A53:B53"/>
  </mergeCells>
  <conditionalFormatting sqref="F2:F3 F5:F65537">
    <cfRule type="cellIs" dxfId="3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6"/>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36</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879</v>
      </c>
      <c r="B7" s="26" t="s">
        <v>878</v>
      </c>
      <c r="C7" s="26" t="s">
        <v>166</v>
      </c>
      <c r="D7" s="30">
        <v>132</v>
      </c>
      <c r="E7" s="28">
        <v>1349.2036800000001</v>
      </c>
      <c r="F7" s="29">
        <v>10.8035100223232</v>
      </c>
    </row>
    <row r="8" spans="1:6" x14ac:dyDescent="0.2">
      <c r="A8" s="26" t="s">
        <v>847</v>
      </c>
      <c r="B8" s="26" t="s">
        <v>846</v>
      </c>
      <c r="C8" s="26" t="s">
        <v>166</v>
      </c>
      <c r="D8" s="30">
        <v>100</v>
      </c>
      <c r="E8" s="28">
        <v>1239.415</v>
      </c>
      <c r="F8" s="29">
        <v>9.9243965702181196</v>
      </c>
    </row>
    <row r="9" spans="1:6" x14ac:dyDescent="0.2">
      <c r="A9" s="26" t="s">
        <v>671</v>
      </c>
      <c r="B9" s="26" t="s">
        <v>670</v>
      </c>
      <c r="C9" s="26" t="s">
        <v>166</v>
      </c>
      <c r="D9" s="30">
        <v>110</v>
      </c>
      <c r="E9" s="28">
        <v>1126.0425</v>
      </c>
      <c r="F9" s="29">
        <v>9.0165863128329402</v>
      </c>
    </row>
    <row r="10" spans="1:6" x14ac:dyDescent="0.2">
      <c r="A10" s="26" t="s">
        <v>861</v>
      </c>
      <c r="B10" s="26" t="s">
        <v>860</v>
      </c>
      <c r="C10" s="26" t="s">
        <v>589</v>
      </c>
      <c r="D10" s="30">
        <v>101</v>
      </c>
      <c r="E10" s="28">
        <v>1039.9909399999999</v>
      </c>
      <c r="F10" s="29">
        <v>8.3275436540577008</v>
      </c>
    </row>
    <row r="11" spans="1:6" x14ac:dyDescent="0.2">
      <c r="A11" s="26" t="s">
        <v>871</v>
      </c>
      <c r="B11" s="26" t="s">
        <v>870</v>
      </c>
      <c r="C11" s="26" t="s">
        <v>166</v>
      </c>
      <c r="D11" s="30">
        <v>84</v>
      </c>
      <c r="E11" s="28">
        <v>1037.6150399999999</v>
      </c>
      <c r="F11" s="29">
        <v>8.3085190547013994</v>
      </c>
    </row>
    <row r="12" spans="1:6" x14ac:dyDescent="0.2">
      <c r="A12" s="26" t="s">
        <v>825</v>
      </c>
      <c r="B12" s="26" t="s">
        <v>824</v>
      </c>
      <c r="C12" s="26" t="s">
        <v>166</v>
      </c>
      <c r="D12" s="30">
        <v>77</v>
      </c>
      <c r="E12" s="28">
        <v>953.06596000000002</v>
      </c>
      <c r="F12" s="29">
        <v>7.6315072389922998</v>
      </c>
    </row>
    <row r="13" spans="1:6" x14ac:dyDescent="0.2">
      <c r="A13" s="26" t="s">
        <v>645</v>
      </c>
      <c r="B13" s="26" t="s">
        <v>644</v>
      </c>
      <c r="C13" s="26" t="s">
        <v>589</v>
      </c>
      <c r="D13" s="30">
        <v>70</v>
      </c>
      <c r="E13" s="28">
        <v>863.94979999999998</v>
      </c>
      <c r="F13" s="29">
        <v>6.9179253373249701</v>
      </c>
    </row>
    <row r="14" spans="1:6" x14ac:dyDescent="0.2">
      <c r="A14" s="26" t="s">
        <v>893</v>
      </c>
      <c r="B14" s="26" t="s">
        <v>892</v>
      </c>
      <c r="C14" s="26" t="s">
        <v>166</v>
      </c>
      <c r="D14" s="30">
        <v>75</v>
      </c>
      <c r="E14" s="28">
        <v>767.95275000000004</v>
      </c>
      <c r="F14" s="29">
        <v>6.1492459250449398</v>
      </c>
    </row>
    <row r="15" spans="1:6" x14ac:dyDescent="0.2">
      <c r="A15" s="26" t="s">
        <v>895</v>
      </c>
      <c r="B15" s="26" t="s">
        <v>894</v>
      </c>
      <c r="C15" s="26" t="s">
        <v>589</v>
      </c>
      <c r="D15" s="30">
        <v>56</v>
      </c>
      <c r="E15" s="28">
        <v>571.09975999999995</v>
      </c>
      <c r="F15" s="29">
        <v>4.5729803975233398</v>
      </c>
    </row>
    <row r="16" spans="1:6" x14ac:dyDescent="0.2">
      <c r="A16" s="26" t="s">
        <v>657</v>
      </c>
      <c r="B16" s="26" t="s">
        <v>656</v>
      </c>
      <c r="C16" s="26" t="s">
        <v>166</v>
      </c>
      <c r="D16" s="30">
        <v>45</v>
      </c>
      <c r="E16" s="28">
        <v>455.64389999999997</v>
      </c>
      <c r="F16" s="29">
        <v>3.6484880031311602</v>
      </c>
    </row>
    <row r="17" spans="1:9" x14ac:dyDescent="0.2">
      <c r="A17" s="26" t="s">
        <v>877</v>
      </c>
      <c r="B17" s="26" t="s">
        <v>876</v>
      </c>
      <c r="C17" s="26" t="s">
        <v>166</v>
      </c>
      <c r="D17" s="30">
        <v>27</v>
      </c>
      <c r="E17" s="28">
        <v>276.76215000000002</v>
      </c>
      <c r="F17" s="29">
        <v>2.2161240038455201</v>
      </c>
    </row>
    <row r="18" spans="1:9" x14ac:dyDescent="0.2">
      <c r="A18" s="26" t="s">
        <v>869</v>
      </c>
      <c r="B18" s="26" t="s">
        <v>868</v>
      </c>
      <c r="C18" s="26" t="s">
        <v>166</v>
      </c>
      <c r="D18" s="30">
        <v>11</v>
      </c>
      <c r="E18" s="28">
        <v>113.79236</v>
      </c>
      <c r="F18" s="29">
        <v>0.91117221213316402</v>
      </c>
    </row>
    <row r="19" spans="1:9" x14ac:dyDescent="0.2">
      <c r="A19" s="26" t="s">
        <v>335</v>
      </c>
      <c r="B19" s="26" t="s">
        <v>334</v>
      </c>
      <c r="C19" s="26" t="s">
        <v>336</v>
      </c>
      <c r="D19" s="30">
        <v>9</v>
      </c>
      <c r="E19" s="28">
        <v>110.63133000000001</v>
      </c>
      <c r="F19" s="29">
        <v>0.88586082305819203</v>
      </c>
    </row>
    <row r="20" spans="1:9" x14ac:dyDescent="0.2">
      <c r="A20" s="26" t="s">
        <v>897</v>
      </c>
      <c r="B20" s="26" t="s">
        <v>896</v>
      </c>
      <c r="C20" s="26" t="s">
        <v>166</v>
      </c>
      <c r="D20" s="30">
        <v>8</v>
      </c>
      <c r="E20" s="28">
        <v>81.918319999999994</v>
      </c>
      <c r="F20" s="29">
        <v>0.65594646994431305</v>
      </c>
    </row>
    <row r="21" spans="1:9" x14ac:dyDescent="0.2">
      <c r="A21" s="26" t="s">
        <v>885</v>
      </c>
      <c r="B21" s="26" t="s">
        <v>884</v>
      </c>
      <c r="C21" s="26" t="s">
        <v>166</v>
      </c>
      <c r="D21" s="30">
        <v>4</v>
      </c>
      <c r="E21" s="28">
        <v>40.728200000000001</v>
      </c>
      <c r="F21" s="29">
        <v>0.326123863589805</v>
      </c>
    </row>
    <row r="22" spans="1:9" x14ac:dyDescent="0.2">
      <c r="A22" s="26" t="s">
        <v>899</v>
      </c>
      <c r="B22" s="26" t="s">
        <v>898</v>
      </c>
      <c r="C22" s="26" t="s">
        <v>166</v>
      </c>
      <c r="D22" s="30">
        <v>3</v>
      </c>
      <c r="E22" s="28">
        <v>38.735962499999999</v>
      </c>
      <c r="F22" s="29">
        <v>0.31017137389744198</v>
      </c>
    </row>
    <row r="23" spans="1:9" x14ac:dyDescent="0.2">
      <c r="A23" s="26" t="s">
        <v>865</v>
      </c>
      <c r="B23" s="26" t="s">
        <v>864</v>
      </c>
      <c r="C23" s="26" t="s">
        <v>589</v>
      </c>
      <c r="D23" s="30">
        <v>1</v>
      </c>
      <c r="E23" s="28">
        <v>10.256030000000001</v>
      </c>
      <c r="F23" s="29">
        <v>8.2123347672937802E-2</v>
      </c>
    </row>
    <row r="24" spans="1:9" x14ac:dyDescent="0.2">
      <c r="A24" s="26" t="s">
        <v>333</v>
      </c>
      <c r="B24" s="26" t="s">
        <v>332</v>
      </c>
      <c r="C24" s="26" t="s">
        <v>166</v>
      </c>
      <c r="D24" s="30">
        <v>1</v>
      </c>
      <c r="E24" s="28">
        <v>10.243069999999999</v>
      </c>
      <c r="F24" s="29">
        <v>8.2019572763363496E-2</v>
      </c>
    </row>
    <row r="25" spans="1:9" ht="10.5" x14ac:dyDescent="0.25">
      <c r="A25" s="25" t="s">
        <v>167</v>
      </c>
      <c r="B25" s="25"/>
      <c r="C25" s="25"/>
      <c r="D25" s="31"/>
      <c r="E25" s="32">
        <f>SUM(E6:E24)</f>
        <v>10087.0467525</v>
      </c>
      <c r="F25" s="33">
        <f>SUM(F6:F24)</f>
        <v>80.7702441830548</v>
      </c>
      <c r="G25" s="17"/>
      <c r="H25" s="17"/>
      <c r="I25" s="17"/>
    </row>
    <row r="26" spans="1:9" x14ac:dyDescent="0.2">
      <c r="A26" s="26"/>
      <c r="B26" s="26"/>
      <c r="C26" s="26"/>
      <c r="D26" s="27"/>
      <c r="E26" s="28"/>
      <c r="F26" s="29"/>
    </row>
    <row r="27" spans="1:9" ht="10.5" x14ac:dyDescent="0.25">
      <c r="A27" s="25" t="s">
        <v>168</v>
      </c>
      <c r="B27" s="26"/>
      <c r="C27" s="26"/>
      <c r="D27" s="27"/>
      <c r="E27" s="28"/>
      <c r="F27" s="29"/>
    </row>
    <row r="28" spans="1:9" x14ac:dyDescent="0.2">
      <c r="A28" s="26" t="s">
        <v>875</v>
      </c>
      <c r="B28" s="26" t="s">
        <v>874</v>
      </c>
      <c r="C28" s="26" t="s">
        <v>539</v>
      </c>
      <c r="D28" s="30">
        <v>100</v>
      </c>
      <c r="E28" s="28">
        <v>1018.654</v>
      </c>
      <c r="F28" s="29">
        <v>8.1566918778931807</v>
      </c>
    </row>
    <row r="29" spans="1:9" x14ac:dyDescent="0.2">
      <c r="A29" s="26" t="s">
        <v>901</v>
      </c>
      <c r="B29" s="26" t="s">
        <v>900</v>
      </c>
      <c r="C29" s="26" t="s">
        <v>166</v>
      </c>
      <c r="D29" s="30">
        <v>72</v>
      </c>
      <c r="E29" s="28">
        <v>734.97816</v>
      </c>
      <c r="F29" s="29">
        <v>5.8852077232317104</v>
      </c>
    </row>
    <row r="30" spans="1:9" ht="10.5" x14ac:dyDescent="0.25">
      <c r="A30" s="25" t="s">
        <v>167</v>
      </c>
      <c r="B30" s="25"/>
      <c r="C30" s="25"/>
      <c r="D30" s="31"/>
      <c r="E30" s="32">
        <f>SUM(E27:E29)</f>
        <v>1753.6321600000001</v>
      </c>
      <c r="F30" s="33">
        <f>SUM(F27:F29)</f>
        <v>14.041899601124891</v>
      </c>
      <c r="G30" s="17"/>
      <c r="H30" s="17"/>
      <c r="I30" s="17"/>
    </row>
    <row r="31" spans="1:9" x14ac:dyDescent="0.2">
      <c r="A31" s="26"/>
      <c r="B31" s="26"/>
      <c r="C31" s="26"/>
      <c r="D31" s="27"/>
      <c r="E31" s="28"/>
      <c r="F31" s="29"/>
    </row>
    <row r="32" spans="1:9" ht="10.5" x14ac:dyDescent="0.25">
      <c r="A32" s="25" t="s">
        <v>413</v>
      </c>
      <c r="B32" s="26"/>
      <c r="C32" s="26"/>
      <c r="D32" s="27"/>
      <c r="E32" s="28"/>
      <c r="F32" s="29"/>
    </row>
    <row r="33" spans="1:9" ht="10.5" x14ac:dyDescent="0.25">
      <c r="A33" s="25" t="s">
        <v>414</v>
      </c>
      <c r="B33" s="26"/>
      <c r="C33" s="26"/>
      <c r="D33" s="27"/>
      <c r="E33" s="28"/>
      <c r="F33" s="29"/>
    </row>
    <row r="34" spans="1:9" x14ac:dyDescent="0.2">
      <c r="A34" s="26" t="s">
        <v>431</v>
      </c>
      <c r="B34" s="26" t="s">
        <v>430</v>
      </c>
      <c r="C34" s="26" t="s">
        <v>420</v>
      </c>
      <c r="D34" s="30">
        <v>117</v>
      </c>
      <c r="E34" s="28">
        <v>114.602553</v>
      </c>
      <c r="F34" s="29">
        <v>0.91765968939494902</v>
      </c>
    </row>
    <row r="35" spans="1:9" ht="10.5" x14ac:dyDescent="0.25">
      <c r="A35" s="25" t="s">
        <v>167</v>
      </c>
      <c r="B35" s="25"/>
      <c r="C35" s="25"/>
      <c r="D35" s="31"/>
      <c r="E35" s="32">
        <f>SUM(E33:E34)</f>
        <v>114.602553</v>
      </c>
      <c r="F35" s="33">
        <f>SUM(F33:F34)</f>
        <v>0.91765968939494902</v>
      </c>
      <c r="G35" s="17"/>
      <c r="H35" s="17"/>
      <c r="I35" s="17"/>
    </row>
    <row r="36" spans="1:9" x14ac:dyDescent="0.2">
      <c r="A36" s="26"/>
      <c r="B36" s="26"/>
      <c r="C36" s="26"/>
      <c r="D36" s="27"/>
      <c r="E36" s="28"/>
      <c r="F36" s="29"/>
    </row>
    <row r="37" spans="1:9" ht="10.5" x14ac:dyDescent="0.25">
      <c r="A37" s="25" t="s">
        <v>205</v>
      </c>
      <c r="B37" s="25"/>
      <c r="C37" s="25"/>
      <c r="D37" s="31"/>
      <c r="E37" s="32">
        <f>E25+E30+E35</f>
        <v>11955.2814655</v>
      </c>
      <c r="F37" s="33">
        <f>F25+F30+F35</f>
        <v>95.729803473574648</v>
      </c>
      <c r="G37" s="17"/>
      <c r="H37" s="17"/>
      <c r="I37" s="17"/>
    </row>
    <row r="38" spans="1:9" ht="10.5" x14ac:dyDescent="0.25">
      <c r="A38" s="25"/>
      <c r="B38" s="25"/>
      <c r="C38" s="25"/>
      <c r="D38" s="31"/>
      <c r="E38" s="32"/>
      <c r="F38" s="33"/>
      <c r="G38" s="17"/>
      <c r="H38" s="17"/>
      <c r="I38" s="17"/>
    </row>
    <row r="39" spans="1:9" ht="10.5" x14ac:dyDescent="0.25">
      <c r="A39" s="25" t="s">
        <v>207</v>
      </c>
      <c r="B39" s="25"/>
      <c r="C39" s="25"/>
      <c r="D39" s="31"/>
      <c r="E39" s="32">
        <f>E41-(E25+E30+E35)</f>
        <v>533.28639079999994</v>
      </c>
      <c r="F39" s="33">
        <f>F41-(F25+F30+F35)</f>
        <v>4.2701965264253516</v>
      </c>
      <c r="G39" s="17"/>
      <c r="H39" s="17"/>
      <c r="I39" s="17"/>
    </row>
    <row r="40" spans="1:9" ht="10.5" x14ac:dyDescent="0.25">
      <c r="A40" s="25"/>
      <c r="B40" s="25"/>
      <c r="C40" s="25"/>
      <c r="D40" s="31"/>
      <c r="E40" s="32"/>
      <c r="F40" s="33"/>
      <c r="G40" s="17"/>
      <c r="H40" s="17"/>
      <c r="I40" s="17"/>
    </row>
    <row r="41" spans="1:9" ht="10.5" x14ac:dyDescent="0.25">
      <c r="A41" s="34" t="s">
        <v>206</v>
      </c>
      <c r="B41" s="34"/>
      <c r="C41" s="34"/>
      <c r="D41" s="35"/>
      <c r="E41" s="36">
        <v>12488.5678563</v>
      </c>
      <c r="F41" s="37">
        <v>100</v>
      </c>
      <c r="G41" s="17"/>
      <c r="H41" s="17"/>
      <c r="I41" s="17"/>
    </row>
    <row r="43" spans="1:9" ht="10.5" x14ac:dyDescent="0.25">
      <c r="A43" s="17" t="s">
        <v>209</v>
      </c>
    </row>
    <row r="45" spans="1:9" ht="10.5" x14ac:dyDescent="0.25">
      <c r="A45" s="17" t="s">
        <v>210</v>
      </c>
    </row>
    <row r="46" spans="1:9" ht="10.5" x14ac:dyDescent="0.25">
      <c r="A46" s="17" t="s">
        <v>211</v>
      </c>
    </row>
    <row r="47" spans="1:9" ht="10.5" x14ac:dyDescent="0.25">
      <c r="A47" s="17" t="s">
        <v>212</v>
      </c>
      <c r="B47" s="17"/>
      <c r="C47" s="38" t="s">
        <v>214</v>
      </c>
      <c r="D47" s="18" t="s">
        <v>213</v>
      </c>
    </row>
    <row r="48" spans="1:9" x14ac:dyDescent="0.2">
      <c r="A48" s="10" t="s">
        <v>486</v>
      </c>
      <c r="C48" s="39">
        <v>11.576700000000001</v>
      </c>
      <c r="D48" s="39">
        <v>12.1462</v>
      </c>
    </row>
    <row r="49" spans="1:5" x14ac:dyDescent="0.2">
      <c r="A49" s="10" t="s">
        <v>783</v>
      </c>
      <c r="C49" s="39">
        <v>10.9536</v>
      </c>
      <c r="D49" s="39">
        <v>10.5375</v>
      </c>
    </row>
    <row r="50" spans="1:5" x14ac:dyDescent="0.2">
      <c r="A50" s="10" t="s">
        <v>488</v>
      </c>
      <c r="C50" s="39">
        <v>10.2264</v>
      </c>
      <c r="D50" s="39">
        <v>10.335699999999999</v>
      </c>
    </row>
    <row r="51" spans="1:5" x14ac:dyDescent="0.2">
      <c r="A51" s="10" t="s">
        <v>489</v>
      </c>
      <c r="C51" s="39">
        <v>11.6464</v>
      </c>
      <c r="D51" s="39">
        <v>12.2193</v>
      </c>
    </row>
    <row r="52" spans="1:5" x14ac:dyDescent="0.2">
      <c r="A52" s="10" t="s">
        <v>521</v>
      </c>
      <c r="C52" s="39">
        <v>11.023300000000001</v>
      </c>
      <c r="D52" s="39">
        <v>10.611000000000001</v>
      </c>
    </row>
    <row r="53" spans="1:5" x14ac:dyDescent="0.2">
      <c r="A53" s="10" t="s">
        <v>491</v>
      </c>
      <c r="C53" s="39">
        <v>10.2614</v>
      </c>
      <c r="D53" s="39">
        <v>10.372400000000001</v>
      </c>
    </row>
    <row r="55" spans="1:5" ht="10.5" x14ac:dyDescent="0.25">
      <c r="A55" s="17" t="s">
        <v>226</v>
      </c>
    </row>
    <row r="56" spans="1:5" ht="10.5" x14ac:dyDescent="0.25">
      <c r="A56" s="147" t="s">
        <v>401</v>
      </c>
      <c r="B56" s="148"/>
      <c r="C56" s="145" t="s">
        <v>402</v>
      </c>
      <c r="D56" s="146"/>
    </row>
    <row r="57" spans="1:5" ht="10.5" x14ac:dyDescent="0.25">
      <c r="A57" s="147"/>
      <c r="B57" s="148"/>
      <c r="C57" s="43" t="s">
        <v>403</v>
      </c>
      <c r="D57" s="44" t="s">
        <v>404</v>
      </c>
    </row>
    <row r="58" spans="1:5" x14ac:dyDescent="0.2">
      <c r="A58" s="141" t="s">
        <v>783</v>
      </c>
      <c r="B58" s="142"/>
      <c r="C58" s="45">
        <v>0.66269688400000004</v>
      </c>
      <c r="D58" s="45">
        <v>0.61366061719999998</v>
      </c>
    </row>
    <row r="59" spans="1:5" x14ac:dyDescent="0.2">
      <c r="A59" s="141" t="s">
        <v>488</v>
      </c>
      <c r="B59" s="142"/>
      <c r="C59" s="45">
        <v>0.31621292649999999</v>
      </c>
      <c r="D59" s="45">
        <v>0.30581936999999998</v>
      </c>
    </row>
    <row r="60" spans="1:5" x14ac:dyDescent="0.2">
      <c r="A60" s="141" t="s">
        <v>521</v>
      </c>
      <c r="B60" s="142"/>
      <c r="C60" s="45">
        <v>0.66269688400000004</v>
      </c>
      <c r="D60" s="45">
        <v>0.61366061719999998</v>
      </c>
    </row>
    <row r="61" spans="1:5" x14ac:dyDescent="0.2">
      <c r="A61" s="141" t="s">
        <v>491</v>
      </c>
      <c r="B61" s="142"/>
      <c r="C61" s="45">
        <v>0.31621292649999999</v>
      </c>
      <c r="D61" s="45">
        <v>0.30581936999999998</v>
      </c>
    </row>
    <row r="63" spans="1:5" ht="10.5" x14ac:dyDescent="0.25">
      <c r="A63" s="17" t="s">
        <v>228</v>
      </c>
      <c r="D63" s="41">
        <v>0.61155935027397257</v>
      </c>
      <c r="E63" s="15" t="s">
        <v>229</v>
      </c>
    </row>
    <row r="64" spans="1:5" ht="45" customHeight="1" x14ac:dyDescent="0.2">
      <c r="A64" s="139" t="s">
        <v>1596</v>
      </c>
      <c r="B64" s="140"/>
      <c r="C64" s="140"/>
      <c r="D64" s="140"/>
      <c r="E64" s="140"/>
    </row>
    <row r="65" spans="1:6" s="78" customFormat="1" ht="14.5" x14ac:dyDescent="0.2">
      <c r="A65" s="137"/>
      <c r="B65" s="138"/>
      <c r="C65" s="138"/>
      <c r="D65" s="138"/>
      <c r="E65" s="138"/>
      <c r="F65" s="83"/>
    </row>
    <row r="66" spans="1:6" ht="10.5" x14ac:dyDescent="0.25">
      <c r="A66" s="17" t="s">
        <v>230</v>
      </c>
      <c r="D66" s="40" t="s">
        <v>227</v>
      </c>
    </row>
  </sheetData>
  <mergeCells count="9">
    <mergeCell ref="A64:E64"/>
    <mergeCell ref="A60:B60"/>
    <mergeCell ref="A61:B61"/>
    <mergeCell ref="A1:F1"/>
    <mergeCell ref="C56:D56"/>
    <mergeCell ref="A56:B56"/>
    <mergeCell ref="A57:B57"/>
    <mergeCell ref="A58:B58"/>
    <mergeCell ref="A59:B59"/>
  </mergeCells>
  <conditionalFormatting sqref="F2:F3 F5:F65537">
    <cfRule type="cellIs" dxfId="3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1"/>
  <sheetViews>
    <sheetView workbookViewId="0">
      <selection sqref="A1:F1"/>
    </sheetView>
  </sheetViews>
  <sheetFormatPr defaultColWidth="9.1796875" defaultRowHeight="10" x14ac:dyDescent="0.2"/>
  <cols>
    <col min="1" max="1" width="38.7265625" style="10" bestFit="1" customWidth="1"/>
    <col min="2" max="2" width="51.179687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37</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847</v>
      </c>
      <c r="B7" s="26" t="s">
        <v>846</v>
      </c>
      <c r="C7" s="26" t="s">
        <v>166</v>
      </c>
      <c r="D7" s="30">
        <v>61</v>
      </c>
      <c r="E7" s="28">
        <v>756.04314999999997</v>
      </c>
      <c r="F7" s="29">
        <v>9.97001391131408</v>
      </c>
    </row>
    <row r="8" spans="1:6" x14ac:dyDescent="0.2">
      <c r="A8" s="26" t="s">
        <v>861</v>
      </c>
      <c r="B8" s="26" t="s">
        <v>860</v>
      </c>
      <c r="C8" s="26" t="s">
        <v>589</v>
      </c>
      <c r="D8" s="30">
        <v>61</v>
      </c>
      <c r="E8" s="28">
        <v>628.11333999999999</v>
      </c>
      <c r="F8" s="29">
        <v>8.2829911727683108</v>
      </c>
    </row>
    <row r="9" spans="1:6" x14ac:dyDescent="0.2">
      <c r="A9" s="26" t="s">
        <v>897</v>
      </c>
      <c r="B9" s="26" t="s">
        <v>896</v>
      </c>
      <c r="C9" s="26" t="s">
        <v>166</v>
      </c>
      <c r="D9" s="30">
        <v>61</v>
      </c>
      <c r="E9" s="28">
        <v>624.62719000000004</v>
      </c>
      <c r="F9" s="29">
        <v>8.2370189766087005</v>
      </c>
    </row>
    <row r="10" spans="1:6" x14ac:dyDescent="0.2">
      <c r="A10" s="26" t="s">
        <v>893</v>
      </c>
      <c r="B10" s="26" t="s">
        <v>892</v>
      </c>
      <c r="C10" s="26" t="s">
        <v>166</v>
      </c>
      <c r="D10" s="30">
        <v>61</v>
      </c>
      <c r="E10" s="28">
        <v>624.60157000000004</v>
      </c>
      <c r="F10" s="29">
        <v>8.2366811231986095</v>
      </c>
    </row>
    <row r="11" spans="1:6" x14ac:dyDescent="0.2">
      <c r="A11" s="26" t="s">
        <v>895</v>
      </c>
      <c r="B11" s="26" t="s">
        <v>894</v>
      </c>
      <c r="C11" s="26" t="s">
        <v>589</v>
      </c>
      <c r="D11" s="30">
        <v>61</v>
      </c>
      <c r="E11" s="28">
        <v>622.09081000000003</v>
      </c>
      <c r="F11" s="29">
        <v>8.2035714890091196</v>
      </c>
    </row>
    <row r="12" spans="1:6" x14ac:dyDescent="0.2">
      <c r="A12" s="26" t="s">
        <v>591</v>
      </c>
      <c r="B12" s="26" t="s">
        <v>590</v>
      </c>
      <c r="C12" s="26" t="s">
        <v>166</v>
      </c>
      <c r="D12" s="30">
        <v>5</v>
      </c>
      <c r="E12" s="28">
        <v>513.40700000000004</v>
      </c>
      <c r="F12" s="29">
        <v>6.7703476080247897</v>
      </c>
    </row>
    <row r="13" spans="1:6" x14ac:dyDescent="0.2">
      <c r="A13" s="26" t="s">
        <v>645</v>
      </c>
      <c r="B13" s="26" t="s">
        <v>644</v>
      </c>
      <c r="C13" s="26" t="s">
        <v>589</v>
      </c>
      <c r="D13" s="30">
        <v>40</v>
      </c>
      <c r="E13" s="28">
        <v>493.68560000000002</v>
      </c>
      <c r="F13" s="29">
        <v>6.5102796048286899</v>
      </c>
    </row>
    <row r="14" spans="1:6" x14ac:dyDescent="0.2">
      <c r="A14" s="26" t="s">
        <v>671</v>
      </c>
      <c r="B14" s="26" t="s">
        <v>670</v>
      </c>
      <c r="C14" s="26" t="s">
        <v>166</v>
      </c>
      <c r="D14" s="30">
        <v>38</v>
      </c>
      <c r="E14" s="28">
        <v>388.99650000000003</v>
      </c>
      <c r="F14" s="29">
        <v>5.1297343497556804</v>
      </c>
    </row>
    <row r="15" spans="1:6" x14ac:dyDescent="0.2">
      <c r="A15" s="26" t="s">
        <v>825</v>
      </c>
      <c r="B15" s="26" t="s">
        <v>824</v>
      </c>
      <c r="C15" s="26" t="s">
        <v>166</v>
      </c>
      <c r="D15" s="30">
        <v>30</v>
      </c>
      <c r="E15" s="28">
        <v>371.32440000000003</v>
      </c>
      <c r="F15" s="29">
        <v>4.8966906632383997</v>
      </c>
    </row>
    <row r="16" spans="1:6" x14ac:dyDescent="0.2">
      <c r="A16" s="26" t="s">
        <v>657</v>
      </c>
      <c r="B16" s="26" t="s">
        <v>656</v>
      </c>
      <c r="C16" s="26" t="s">
        <v>166</v>
      </c>
      <c r="D16" s="30">
        <v>36</v>
      </c>
      <c r="E16" s="28">
        <v>364.51512000000002</v>
      </c>
      <c r="F16" s="29">
        <v>4.80689603137641</v>
      </c>
    </row>
    <row r="17" spans="1:9" x14ac:dyDescent="0.2">
      <c r="A17" s="26" t="s">
        <v>879</v>
      </c>
      <c r="B17" s="26" t="s">
        <v>878</v>
      </c>
      <c r="C17" s="26" t="s">
        <v>166</v>
      </c>
      <c r="D17" s="30">
        <v>21</v>
      </c>
      <c r="E17" s="28">
        <v>214.64604</v>
      </c>
      <c r="F17" s="29">
        <v>2.8305580241134098</v>
      </c>
    </row>
    <row r="18" spans="1:9" x14ac:dyDescent="0.2">
      <c r="A18" s="26" t="s">
        <v>335</v>
      </c>
      <c r="B18" s="26" t="s">
        <v>334</v>
      </c>
      <c r="C18" s="26" t="s">
        <v>336</v>
      </c>
      <c r="D18" s="30">
        <v>10</v>
      </c>
      <c r="E18" s="28">
        <v>122.9237</v>
      </c>
      <c r="F18" s="29">
        <v>1.6210066833225001</v>
      </c>
    </row>
    <row r="19" spans="1:9" x14ac:dyDescent="0.2">
      <c r="A19" s="26" t="s">
        <v>869</v>
      </c>
      <c r="B19" s="26" t="s">
        <v>868</v>
      </c>
      <c r="C19" s="26" t="s">
        <v>166</v>
      </c>
      <c r="D19" s="30">
        <v>10</v>
      </c>
      <c r="E19" s="28">
        <v>103.44759999999999</v>
      </c>
      <c r="F19" s="29">
        <v>1.36417347487647</v>
      </c>
    </row>
    <row r="20" spans="1:9" x14ac:dyDescent="0.2">
      <c r="A20" s="26" t="s">
        <v>333</v>
      </c>
      <c r="B20" s="26" t="s">
        <v>332</v>
      </c>
      <c r="C20" s="26" t="s">
        <v>166</v>
      </c>
      <c r="D20" s="30">
        <v>2</v>
      </c>
      <c r="E20" s="28">
        <v>20.486139999999999</v>
      </c>
      <c r="F20" s="29">
        <v>0.27015270330685198</v>
      </c>
    </row>
    <row r="21" spans="1:9" x14ac:dyDescent="0.2">
      <c r="A21" s="26" t="s">
        <v>871</v>
      </c>
      <c r="B21" s="26" t="s">
        <v>870</v>
      </c>
      <c r="C21" s="26" t="s">
        <v>166</v>
      </c>
      <c r="D21" s="30">
        <v>1</v>
      </c>
      <c r="E21" s="28">
        <v>12.35256</v>
      </c>
      <c r="F21" s="29">
        <v>0.162894399665339</v>
      </c>
    </row>
    <row r="22" spans="1:9" x14ac:dyDescent="0.2">
      <c r="A22" s="26" t="s">
        <v>865</v>
      </c>
      <c r="B22" s="26" t="s">
        <v>864</v>
      </c>
      <c r="C22" s="26" t="s">
        <v>589</v>
      </c>
      <c r="D22" s="30">
        <v>1</v>
      </c>
      <c r="E22" s="28">
        <v>10.256030000000001</v>
      </c>
      <c r="F22" s="29">
        <v>0.135247256422936</v>
      </c>
    </row>
    <row r="23" spans="1:9" x14ac:dyDescent="0.2">
      <c r="A23" s="26" t="s">
        <v>903</v>
      </c>
      <c r="B23" s="26" t="s">
        <v>902</v>
      </c>
      <c r="C23" s="26" t="s">
        <v>166</v>
      </c>
      <c r="D23" s="30">
        <v>1</v>
      </c>
      <c r="E23" s="28">
        <v>10.00971</v>
      </c>
      <c r="F23" s="29">
        <v>0.131999010834527</v>
      </c>
    </row>
    <row r="24" spans="1:9" ht="10.5" x14ac:dyDescent="0.25">
      <c r="A24" s="25" t="s">
        <v>167</v>
      </c>
      <c r="B24" s="25"/>
      <c r="C24" s="25"/>
      <c r="D24" s="31"/>
      <c r="E24" s="32">
        <f>SUM(E6:E23)</f>
        <v>5881.5264600000019</v>
      </c>
      <c r="F24" s="33">
        <f>SUM(F6:F23)</f>
        <v>77.56025648266484</v>
      </c>
      <c r="G24" s="17"/>
      <c r="H24" s="17"/>
      <c r="I24" s="17"/>
    </row>
    <row r="25" spans="1:9" x14ac:dyDescent="0.2">
      <c r="A25" s="26"/>
      <c r="B25" s="26"/>
      <c r="C25" s="26"/>
      <c r="D25" s="27"/>
      <c r="E25" s="28"/>
      <c r="F25" s="29"/>
    </row>
    <row r="26" spans="1:9" ht="10.5" x14ac:dyDescent="0.25">
      <c r="A26" s="25" t="s">
        <v>168</v>
      </c>
      <c r="B26" s="26"/>
      <c r="C26" s="26"/>
      <c r="D26" s="27"/>
      <c r="E26" s="28"/>
      <c r="F26" s="29"/>
    </row>
    <row r="27" spans="1:9" x14ac:dyDescent="0.2">
      <c r="A27" s="26" t="s">
        <v>901</v>
      </c>
      <c r="B27" s="26" t="s">
        <v>900</v>
      </c>
      <c r="C27" s="26" t="s">
        <v>166</v>
      </c>
      <c r="D27" s="30">
        <v>61</v>
      </c>
      <c r="E27" s="28">
        <v>622.68983000000003</v>
      </c>
      <c r="F27" s="29">
        <v>8.2114708235023297</v>
      </c>
    </row>
    <row r="28" spans="1:9" x14ac:dyDescent="0.2">
      <c r="A28" s="26" t="s">
        <v>875</v>
      </c>
      <c r="B28" s="26" t="s">
        <v>874</v>
      </c>
      <c r="C28" s="26" t="s">
        <v>539</v>
      </c>
      <c r="D28" s="30">
        <v>61</v>
      </c>
      <c r="E28" s="28">
        <v>621.37893999999994</v>
      </c>
      <c r="F28" s="29">
        <v>8.1941839906857101</v>
      </c>
    </row>
    <row r="29" spans="1:9" ht="10.5" x14ac:dyDescent="0.25">
      <c r="A29" s="25" t="s">
        <v>167</v>
      </c>
      <c r="B29" s="25"/>
      <c r="C29" s="25"/>
      <c r="D29" s="31"/>
      <c r="E29" s="32">
        <f>SUM(E26:E28)</f>
        <v>1244.0687699999999</v>
      </c>
      <c r="F29" s="33">
        <f>SUM(F26:F28)</f>
        <v>16.40565481418804</v>
      </c>
      <c r="G29" s="17"/>
      <c r="H29" s="17"/>
      <c r="I29" s="17"/>
    </row>
    <row r="30" spans="1:9" x14ac:dyDescent="0.2">
      <c r="A30" s="26"/>
      <c r="B30" s="26"/>
      <c r="C30" s="26"/>
      <c r="D30" s="27"/>
      <c r="E30" s="28"/>
      <c r="F30" s="29"/>
    </row>
    <row r="31" spans="1:9" ht="10.5" x14ac:dyDescent="0.25">
      <c r="A31" s="25" t="s">
        <v>413</v>
      </c>
      <c r="B31" s="26"/>
      <c r="C31" s="26"/>
      <c r="D31" s="27"/>
      <c r="E31" s="28"/>
      <c r="F31" s="29"/>
    </row>
    <row r="32" spans="1:9" ht="10.5" x14ac:dyDescent="0.25">
      <c r="A32" s="25" t="s">
        <v>414</v>
      </c>
      <c r="B32" s="26"/>
      <c r="C32" s="26"/>
      <c r="D32" s="27"/>
      <c r="E32" s="28"/>
      <c r="F32" s="29"/>
    </row>
    <row r="33" spans="1:9" x14ac:dyDescent="0.2">
      <c r="A33" s="26" t="s">
        <v>431</v>
      </c>
      <c r="B33" s="26" t="s">
        <v>430</v>
      </c>
      <c r="C33" s="26" t="s">
        <v>420</v>
      </c>
      <c r="D33" s="30">
        <v>56</v>
      </c>
      <c r="E33" s="28">
        <v>54.852504000000003</v>
      </c>
      <c r="F33" s="29">
        <v>0.72334525873346101</v>
      </c>
    </row>
    <row r="34" spans="1:9" ht="10.5" x14ac:dyDescent="0.25">
      <c r="A34" s="25" t="s">
        <v>167</v>
      </c>
      <c r="B34" s="25"/>
      <c r="C34" s="25"/>
      <c r="D34" s="31"/>
      <c r="E34" s="32">
        <f>SUM(E32:E33)</f>
        <v>54.852504000000003</v>
      </c>
      <c r="F34" s="33">
        <f>SUM(F32:F33)</f>
        <v>0.72334525873346101</v>
      </c>
      <c r="G34" s="17"/>
      <c r="H34" s="17"/>
      <c r="I34" s="17"/>
    </row>
    <row r="35" spans="1:9" x14ac:dyDescent="0.2">
      <c r="A35" s="26"/>
      <c r="B35" s="26"/>
      <c r="C35" s="26"/>
      <c r="D35" s="27"/>
      <c r="E35" s="28"/>
      <c r="F35" s="29"/>
    </row>
    <row r="36" spans="1:9" ht="10.5" x14ac:dyDescent="0.25">
      <c r="A36" s="25" t="s">
        <v>205</v>
      </c>
      <c r="B36" s="25"/>
      <c r="C36" s="25"/>
      <c r="D36" s="31"/>
      <c r="E36" s="32">
        <f>E24+E29+E34</f>
        <v>7180.4477340000021</v>
      </c>
      <c r="F36" s="33">
        <f>F24+F29+F34</f>
        <v>94.68925655558634</v>
      </c>
      <c r="G36" s="17"/>
      <c r="H36" s="17"/>
      <c r="I36" s="17"/>
    </row>
    <row r="37" spans="1:9" ht="10.5" x14ac:dyDescent="0.25">
      <c r="A37" s="25"/>
      <c r="B37" s="25"/>
      <c r="C37" s="25"/>
      <c r="D37" s="31"/>
      <c r="E37" s="32"/>
      <c r="F37" s="33"/>
      <c r="G37" s="17"/>
      <c r="H37" s="17"/>
      <c r="I37" s="17"/>
    </row>
    <row r="38" spans="1:9" ht="10.5" x14ac:dyDescent="0.25">
      <c r="A38" s="25" t="s">
        <v>207</v>
      </c>
      <c r="B38" s="25"/>
      <c r="C38" s="25"/>
      <c r="D38" s="31"/>
      <c r="E38" s="32">
        <f>E40-(E24+E29+E34)</f>
        <v>402.72272819999762</v>
      </c>
      <c r="F38" s="33">
        <f>F40-(F24+F29+F34)</f>
        <v>5.3107434444136601</v>
      </c>
      <c r="G38" s="17"/>
      <c r="H38" s="17"/>
      <c r="I38" s="17"/>
    </row>
    <row r="39" spans="1:9" ht="10.5" x14ac:dyDescent="0.25">
      <c r="A39" s="25"/>
      <c r="B39" s="25"/>
      <c r="C39" s="25"/>
      <c r="D39" s="31"/>
      <c r="E39" s="32"/>
      <c r="F39" s="33"/>
      <c r="G39" s="17"/>
      <c r="H39" s="17"/>
      <c r="I39" s="17"/>
    </row>
    <row r="40" spans="1:9" ht="10.5" x14ac:dyDescent="0.25">
      <c r="A40" s="34" t="s">
        <v>206</v>
      </c>
      <c r="B40" s="34"/>
      <c r="C40" s="34"/>
      <c r="D40" s="35"/>
      <c r="E40" s="36">
        <v>7583.1704621999997</v>
      </c>
      <c r="F40" s="37">
        <v>100</v>
      </c>
      <c r="G40" s="17"/>
      <c r="H40" s="17"/>
      <c r="I40" s="17"/>
    </row>
    <row r="42" spans="1:9" ht="10.5" x14ac:dyDescent="0.25">
      <c r="A42" s="17" t="s">
        <v>209</v>
      </c>
    </row>
    <row r="44" spans="1:9" ht="10.5" x14ac:dyDescent="0.25">
      <c r="A44" s="17" t="s">
        <v>210</v>
      </c>
    </row>
    <row r="45" spans="1:9" ht="10.5" x14ac:dyDescent="0.25">
      <c r="A45" s="17" t="s">
        <v>211</v>
      </c>
    </row>
    <row r="46" spans="1:9" ht="10.5" x14ac:dyDescent="0.25">
      <c r="A46" s="17" t="s">
        <v>212</v>
      </c>
      <c r="B46" s="17"/>
      <c r="C46" s="38" t="s">
        <v>214</v>
      </c>
      <c r="D46" s="18" t="s">
        <v>213</v>
      </c>
    </row>
    <row r="47" spans="1:9" x14ac:dyDescent="0.2">
      <c r="A47" s="10" t="s">
        <v>486</v>
      </c>
      <c r="C47" s="39">
        <v>11.6477</v>
      </c>
      <c r="D47" s="39">
        <v>12.2193</v>
      </c>
    </row>
    <row r="48" spans="1:9" x14ac:dyDescent="0.2">
      <c r="A48" s="10" t="s">
        <v>783</v>
      </c>
      <c r="C48" s="39">
        <v>10.944000000000001</v>
      </c>
      <c r="D48" s="39">
        <v>10.547700000000001</v>
      </c>
    </row>
    <row r="49" spans="1:6" x14ac:dyDescent="0.2">
      <c r="A49" s="10" t="s">
        <v>488</v>
      </c>
      <c r="C49" s="39">
        <v>10.239599999999999</v>
      </c>
      <c r="D49" s="39">
        <v>10.3438</v>
      </c>
    </row>
    <row r="50" spans="1:6" x14ac:dyDescent="0.2">
      <c r="A50" s="10" t="s">
        <v>489</v>
      </c>
      <c r="C50" s="39">
        <v>11.706099999999999</v>
      </c>
      <c r="D50" s="39">
        <v>12.2805</v>
      </c>
    </row>
    <row r="52" spans="1:6" ht="10.5" x14ac:dyDescent="0.25">
      <c r="A52" s="17" t="s">
        <v>226</v>
      </c>
    </row>
    <row r="53" spans="1:6" ht="10.5" x14ac:dyDescent="0.25">
      <c r="A53" s="147" t="s">
        <v>401</v>
      </c>
      <c r="B53" s="148"/>
      <c r="C53" s="145" t="s">
        <v>402</v>
      </c>
      <c r="D53" s="146"/>
    </row>
    <row r="54" spans="1:6" ht="10.5" x14ac:dyDescent="0.25">
      <c r="A54" s="147"/>
      <c r="B54" s="148"/>
      <c r="C54" s="43" t="s">
        <v>403</v>
      </c>
      <c r="D54" s="44" t="s">
        <v>404</v>
      </c>
    </row>
    <row r="55" spans="1:6" x14ac:dyDescent="0.2">
      <c r="A55" s="141" t="s">
        <v>783</v>
      </c>
      <c r="B55" s="142"/>
      <c r="C55" s="45">
        <v>0.64829042999999997</v>
      </c>
      <c r="D55" s="45">
        <v>0.60032016899999996</v>
      </c>
    </row>
    <row r="56" spans="1:6" x14ac:dyDescent="0.2">
      <c r="A56" s="141" t="s">
        <v>488</v>
      </c>
      <c r="B56" s="142"/>
      <c r="C56" s="45">
        <v>0.31981453999999998</v>
      </c>
      <c r="D56" s="45">
        <v>0.30915448200000001</v>
      </c>
    </row>
    <row r="58" spans="1:6" ht="10.5" x14ac:dyDescent="0.25">
      <c r="A58" s="17" t="s">
        <v>228</v>
      </c>
      <c r="D58" s="41">
        <v>0.59833723715068499</v>
      </c>
      <c r="E58" s="15" t="s">
        <v>229</v>
      </c>
    </row>
    <row r="59" spans="1:6" ht="45.5" customHeight="1" x14ac:dyDescent="0.2">
      <c r="A59" s="139" t="s">
        <v>1596</v>
      </c>
      <c r="B59" s="140"/>
      <c r="C59" s="140"/>
      <c r="D59" s="140"/>
      <c r="E59" s="140"/>
    </row>
    <row r="60" spans="1:6" s="78" customFormat="1" ht="14.5" x14ac:dyDescent="0.2">
      <c r="A60" s="137"/>
      <c r="B60" s="138"/>
      <c r="C60" s="138"/>
      <c r="D60" s="138"/>
      <c r="E60" s="138"/>
      <c r="F60" s="83"/>
    </row>
    <row r="61" spans="1:6" ht="10.5" x14ac:dyDescent="0.25">
      <c r="A61" s="17" t="s">
        <v>230</v>
      </c>
      <c r="D61" s="40" t="s">
        <v>227</v>
      </c>
    </row>
  </sheetData>
  <mergeCells count="7">
    <mergeCell ref="A59:E59"/>
    <mergeCell ref="A56:B56"/>
    <mergeCell ref="A1:F1"/>
    <mergeCell ref="C53:D53"/>
    <mergeCell ref="A53:B53"/>
    <mergeCell ref="A54:B54"/>
    <mergeCell ref="A55:B55"/>
  </mergeCells>
  <conditionalFormatting sqref="F2:F3 F5:F65537">
    <cfRule type="cellIs" dxfId="3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3"/>
  <sheetViews>
    <sheetView workbookViewId="0">
      <selection sqref="A1:F1"/>
    </sheetView>
  </sheetViews>
  <sheetFormatPr defaultColWidth="9.1796875" defaultRowHeight="10" x14ac:dyDescent="0.2"/>
  <cols>
    <col min="1" max="1" width="38.7265625" style="10" bestFit="1" customWidth="1"/>
    <col min="2" max="2" width="51.26953125"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38</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891</v>
      </c>
      <c r="B7" s="26" t="s">
        <v>890</v>
      </c>
      <c r="C7" s="26" t="s">
        <v>166</v>
      </c>
      <c r="D7" s="30">
        <v>86</v>
      </c>
      <c r="E7" s="28">
        <v>832.93838000000005</v>
      </c>
      <c r="F7" s="29">
        <v>9.9535391985923098</v>
      </c>
    </row>
    <row r="8" spans="1:6" x14ac:dyDescent="0.2">
      <c r="A8" s="26" t="s">
        <v>847</v>
      </c>
      <c r="B8" s="26" t="s">
        <v>846</v>
      </c>
      <c r="C8" s="26" t="s">
        <v>166</v>
      </c>
      <c r="D8" s="30">
        <v>67</v>
      </c>
      <c r="E8" s="28">
        <v>830.40805</v>
      </c>
      <c r="F8" s="29">
        <v>9.9233019812361203</v>
      </c>
    </row>
    <row r="9" spans="1:6" x14ac:dyDescent="0.2">
      <c r="A9" s="26" t="s">
        <v>671</v>
      </c>
      <c r="B9" s="26" t="s">
        <v>670</v>
      </c>
      <c r="C9" s="26" t="s">
        <v>166</v>
      </c>
      <c r="D9" s="30">
        <v>72</v>
      </c>
      <c r="E9" s="28">
        <v>737.04600000000005</v>
      </c>
      <c r="F9" s="29">
        <v>8.8076338278056898</v>
      </c>
    </row>
    <row r="10" spans="1:6" x14ac:dyDescent="0.2">
      <c r="A10" s="26" t="s">
        <v>861</v>
      </c>
      <c r="B10" s="26" t="s">
        <v>860</v>
      </c>
      <c r="C10" s="26" t="s">
        <v>589</v>
      </c>
      <c r="D10" s="30">
        <v>68</v>
      </c>
      <c r="E10" s="28">
        <v>700.19191999999998</v>
      </c>
      <c r="F10" s="29">
        <v>8.3672308655744896</v>
      </c>
    </row>
    <row r="11" spans="1:6" x14ac:dyDescent="0.2">
      <c r="A11" s="26" t="s">
        <v>897</v>
      </c>
      <c r="B11" s="26" t="s">
        <v>896</v>
      </c>
      <c r="C11" s="26" t="s">
        <v>166</v>
      </c>
      <c r="D11" s="30">
        <v>68</v>
      </c>
      <c r="E11" s="28">
        <v>696.30571999999995</v>
      </c>
      <c r="F11" s="29">
        <v>8.3207911228968001</v>
      </c>
    </row>
    <row r="12" spans="1:6" x14ac:dyDescent="0.2">
      <c r="A12" s="26" t="s">
        <v>893</v>
      </c>
      <c r="B12" s="26" t="s">
        <v>892</v>
      </c>
      <c r="C12" s="26" t="s">
        <v>166</v>
      </c>
      <c r="D12" s="30">
        <v>68</v>
      </c>
      <c r="E12" s="28">
        <v>696.27715999999998</v>
      </c>
      <c r="F12" s="29">
        <v>8.3204498334493007</v>
      </c>
    </row>
    <row r="13" spans="1:6" x14ac:dyDescent="0.2">
      <c r="A13" s="26" t="s">
        <v>895</v>
      </c>
      <c r="B13" s="26" t="s">
        <v>894</v>
      </c>
      <c r="C13" s="26" t="s">
        <v>589</v>
      </c>
      <c r="D13" s="30">
        <v>68</v>
      </c>
      <c r="E13" s="28">
        <v>693.47828000000004</v>
      </c>
      <c r="F13" s="29">
        <v>8.2870034675942907</v>
      </c>
    </row>
    <row r="14" spans="1:6" x14ac:dyDescent="0.2">
      <c r="A14" s="26" t="s">
        <v>905</v>
      </c>
      <c r="B14" s="26" t="s">
        <v>904</v>
      </c>
      <c r="C14" s="26" t="s">
        <v>166</v>
      </c>
      <c r="D14" s="30">
        <v>50</v>
      </c>
      <c r="E14" s="28">
        <v>515.71050000000002</v>
      </c>
      <c r="F14" s="29">
        <v>6.16269438427803</v>
      </c>
    </row>
    <row r="15" spans="1:6" x14ac:dyDescent="0.2">
      <c r="A15" s="26" t="s">
        <v>849</v>
      </c>
      <c r="B15" s="26" t="s">
        <v>848</v>
      </c>
      <c r="C15" s="26" t="s">
        <v>166</v>
      </c>
      <c r="D15" s="30">
        <v>16</v>
      </c>
      <c r="E15" s="28">
        <v>162.87072000000001</v>
      </c>
      <c r="F15" s="29">
        <v>1.94629054771489</v>
      </c>
    </row>
    <row r="16" spans="1:6" x14ac:dyDescent="0.2">
      <c r="A16" s="26" t="s">
        <v>333</v>
      </c>
      <c r="B16" s="26" t="s">
        <v>332</v>
      </c>
      <c r="C16" s="26" t="s">
        <v>166</v>
      </c>
      <c r="D16" s="30">
        <v>7</v>
      </c>
      <c r="E16" s="28">
        <v>71.701490000000007</v>
      </c>
      <c r="F16" s="29">
        <v>0.85682639730501398</v>
      </c>
    </row>
    <row r="17" spans="1:9" x14ac:dyDescent="0.2">
      <c r="A17" s="26" t="s">
        <v>879</v>
      </c>
      <c r="B17" s="26" t="s">
        <v>878</v>
      </c>
      <c r="C17" s="26" t="s">
        <v>166</v>
      </c>
      <c r="D17" s="30">
        <v>6</v>
      </c>
      <c r="E17" s="28">
        <v>61.327440000000003</v>
      </c>
      <c r="F17" s="29">
        <v>0.73285742696754796</v>
      </c>
    </row>
    <row r="18" spans="1:9" x14ac:dyDescent="0.2">
      <c r="A18" s="26" t="s">
        <v>871</v>
      </c>
      <c r="B18" s="26" t="s">
        <v>870</v>
      </c>
      <c r="C18" s="26" t="s">
        <v>166</v>
      </c>
      <c r="D18" s="30">
        <v>4</v>
      </c>
      <c r="E18" s="28">
        <v>49.410240000000002</v>
      </c>
      <c r="F18" s="29">
        <v>0.59044795204640899</v>
      </c>
    </row>
    <row r="19" spans="1:9" x14ac:dyDescent="0.2">
      <c r="A19" s="26" t="s">
        <v>335</v>
      </c>
      <c r="B19" s="26" t="s">
        <v>334</v>
      </c>
      <c r="C19" s="26" t="s">
        <v>336</v>
      </c>
      <c r="D19" s="30">
        <v>3</v>
      </c>
      <c r="E19" s="28">
        <v>36.877110000000002</v>
      </c>
      <c r="F19" s="29">
        <v>0.44067816867293402</v>
      </c>
    </row>
    <row r="20" spans="1:9" x14ac:dyDescent="0.2">
      <c r="A20" s="26" t="s">
        <v>869</v>
      </c>
      <c r="B20" s="26" t="s">
        <v>868</v>
      </c>
      <c r="C20" s="26" t="s">
        <v>166</v>
      </c>
      <c r="D20" s="30">
        <v>3</v>
      </c>
      <c r="E20" s="28">
        <v>31.034279999999999</v>
      </c>
      <c r="F20" s="29">
        <v>0.37085687236562398</v>
      </c>
    </row>
    <row r="21" spans="1:9" x14ac:dyDescent="0.2">
      <c r="A21" s="26" t="s">
        <v>907</v>
      </c>
      <c r="B21" s="26" t="s">
        <v>906</v>
      </c>
      <c r="C21" s="26" t="s">
        <v>589</v>
      </c>
      <c r="D21" s="30">
        <v>1</v>
      </c>
      <c r="E21" s="28">
        <v>10.13306</v>
      </c>
      <c r="F21" s="29">
        <v>0.121089161375524</v>
      </c>
    </row>
    <row r="22" spans="1:9" ht="10.5" x14ac:dyDescent="0.25">
      <c r="A22" s="25" t="s">
        <v>167</v>
      </c>
      <c r="B22" s="25"/>
      <c r="C22" s="25"/>
      <c r="D22" s="31"/>
      <c r="E22" s="32">
        <f>SUM(E6:E21)</f>
        <v>6125.7103500000012</v>
      </c>
      <c r="F22" s="33">
        <f>SUM(F6:F21)</f>
        <v>73.201691207874958</v>
      </c>
      <c r="G22" s="17"/>
      <c r="H22" s="17"/>
      <c r="I22" s="17"/>
    </row>
    <row r="23" spans="1:9" x14ac:dyDescent="0.2">
      <c r="A23" s="26"/>
      <c r="B23" s="26"/>
      <c r="C23" s="26"/>
      <c r="D23" s="27"/>
      <c r="E23" s="28"/>
      <c r="F23" s="29"/>
    </row>
    <row r="24" spans="1:9" ht="10.5" x14ac:dyDescent="0.25">
      <c r="A24" s="25" t="s">
        <v>168</v>
      </c>
      <c r="B24" s="26"/>
      <c r="C24" s="26"/>
      <c r="D24" s="27"/>
      <c r="E24" s="28"/>
      <c r="F24" s="29"/>
    </row>
    <row r="25" spans="1:9" x14ac:dyDescent="0.2">
      <c r="A25" s="26" t="s">
        <v>901</v>
      </c>
      <c r="B25" s="26" t="s">
        <v>900</v>
      </c>
      <c r="C25" s="26" t="s">
        <v>166</v>
      </c>
      <c r="D25" s="30">
        <v>68</v>
      </c>
      <c r="E25" s="28">
        <v>694.14603999999997</v>
      </c>
      <c r="F25" s="29">
        <v>8.2949831399144092</v>
      </c>
    </row>
    <row r="26" spans="1:9" x14ac:dyDescent="0.2">
      <c r="A26" s="26" t="s">
        <v>875</v>
      </c>
      <c r="B26" s="26" t="s">
        <v>874</v>
      </c>
      <c r="C26" s="26" t="s">
        <v>539</v>
      </c>
      <c r="D26" s="30">
        <v>67</v>
      </c>
      <c r="E26" s="28">
        <v>682.49818000000005</v>
      </c>
      <c r="F26" s="29">
        <v>8.15579225392149</v>
      </c>
    </row>
    <row r="27" spans="1:9" x14ac:dyDescent="0.2">
      <c r="A27" s="26" t="s">
        <v>677</v>
      </c>
      <c r="B27" s="26" t="s">
        <v>676</v>
      </c>
      <c r="C27" s="26" t="s">
        <v>166</v>
      </c>
      <c r="D27" s="30">
        <v>12</v>
      </c>
      <c r="E27" s="28">
        <v>122.20644</v>
      </c>
      <c r="F27" s="29">
        <v>1.4603560360136401</v>
      </c>
    </row>
    <row r="28" spans="1:9" ht="10.5" x14ac:dyDescent="0.25">
      <c r="A28" s="25" t="s">
        <v>167</v>
      </c>
      <c r="B28" s="25"/>
      <c r="C28" s="25"/>
      <c r="D28" s="31"/>
      <c r="E28" s="32">
        <f>SUM(E24:E27)</f>
        <v>1498.8506600000001</v>
      </c>
      <c r="F28" s="33">
        <f>SUM(F24:F27)</f>
        <v>17.911131429849537</v>
      </c>
      <c r="G28" s="17"/>
      <c r="H28" s="17"/>
      <c r="I28" s="17"/>
    </row>
    <row r="29" spans="1:9" x14ac:dyDescent="0.2">
      <c r="A29" s="26"/>
      <c r="B29" s="26"/>
      <c r="C29" s="26"/>
      <c r="D29" s="27"/>
      <c r="E29" s="28"/>
      <c r="F29" s="29"/>
    </row>
    <row r="30" spans="1:9" ht="10.5" x14ac:dyDescent="0.25">
      <c r="A30" s="25" t="s">
        <v>413</v>
      </c>
      <c r="B30" s="26"/>
      <c r="C30" s="26"/>
      <c r="D30" s="27"/>
      <c r="E30" s="28"/>
      <c r="F30" s="29"/>
    </row>
    <row r="31" spans="1:9" ht="10.5" x14ac:dyDescent="0.25">
      <c r="A31" s="25" t="s">
        <v>414</v>
      </c>
      <c r="B31" s="26"/>
      <c r="C31" s="26"/>
      <c r="D31" s="27"/>
      <c r="E31" s="28"/>
      <c r="F31" s="29"/>
    </row>
    <row r="32" spans="1:9" x14ac:dyDescent="0.2">
      <c r="A32" s="26" t="s">
        <v>431</v>
      </c>
      <c r="B32" s="26" t="s">
        <v>430</v>
      </c>
      <c r="C32" s="26" t="s">
        <v>420</v>
      </c>
      <c r="D32" s="30">
        <v>36</v>
      </c>
      <c r="E32" s="28">
        <v>35.262324</v>
      </c>
      <c r="F32" s="29">
        <v>0.42138162029160198</v>
      </c>
    </row>
    <row r="33" spans="1:9" ht="10.5" x14ac:dyDescent="0.25">
      <c r="A33" s="25" t="s">
        <v>167</v>
      </c>
      <c r="B33" s="25"/>
      <c r="C33" s="25"/>
      <c r="D33" s="31"/>
      <c r="E33" s="32">
        <f>SUM(E31:E32)</f>
        <v>35.262324</v>
      </c>
      <c r="F33" s="33">
        <f>SUM(F31:F32)</f>
        <v>0.42138162029160198</v>
      </c>
      <c r="G33" s="17"/>
      <c r="H33" s="17"/>
      <c r="I33" s="17"/>
    </row>
    <row r="34" spans="1:9" x14ac:dyDescent="0.2">
      <c r="A34" s="26"/>
      <c r="B34" s="26"/>
      <c r="C34" s="26"/>
      <c r="D34" s="27"/>
      <c r="E34" s="28"/>
      <c r="F34" s="29"/>
    </row>
    <row r="35" spans="1:9" ht="10.5" x14ac:dyDescent="0.25">
      <c r="A35" s="25" t="s">
        <v>434</v>
      </c>
      <c r="B35" s="26"/>
      <c r="C35" s="26"/>
      <c r="D35" s="27"/>
      <c r="E35" s="28"/>
      <c r="F35" s="29"/>
    </row>
    <row r="36" spans="1:9" x14ac:dyDescent="0.2">
      <c r="A36" s="26" t="s">
        <v>889</v>
      </c>
      <c r="B36" s="26" t="s">
        <v>888</v>
      </c>
      <c r="C36" s="26" t="s">
        <v>443</v>
      </c>
      <c r="D36" s="30">
        <v>53</v>
      </c>
      <c r="E36" s="28">
        <v>259.399225</v>
      </c>
      <c r="F36" s="29">
        <v>3.0997975553989598</v>
      </c>
    </row>
    <row r="37" spans="1:9" ht="10.5" x14ac:dyDescent="0.25">
      <c r="A37" s="25" t="s">
        <v>167</v>
      </c>
      <c r="B37" s="25"/>
      <c r="C37" s="25"/>
      <c r="D37" s="31"/>
      <c r="E37" s="32">
        <f>SUM(E35:E36)</f>
        <v>259.399225</v>
      </c>
      <c r="F37" s="33">
        <f>SUM(F35:F36)</f>
        <v>3.0997975553989598</v>
      </c>
      <c r="G37" s="17"/>
      <c r="H37" s="17"/>
      <c r="I37" s="17"/>
    </row>
    <row r="38" spans="1:9" x14ac:dyDescent="0.2">
      <c r="A38" s="26"/>
      <c r="B38" s="26"/>
      <c r="C38" s="26"/>
      <c r="D38" s="27"/>
      <c r="E38" s="28"/>
      <c r="F38" s="29"/>
    </row>
    <row r="39" spans="1:9" ht="10.5" x14ac:dyDescent="0.25">
      <c r="A39" s="25" t="s">
        <v>205</v>
      </c>
      <c r="B39" s="25"/>
      <c r="C39" s="25"/>
      <c r="D39" s="31"/>
      <c r="E39" s="32">
        <f>E22+E28+E33+E37</f>
        <v>7919.2225590000016</v>
      </c>
      <c r="F39" s="33">
        <f>F22+F28+F33+F37</f>
        <v>94.634001813415054</v>
      </c>
      <c r="G39" s="17"/>
      <c r="H39" s="17"/>
      <c r="I39" s="17"/>
    </row>
    <row r="40" spans="1:9" ht="10.5" x14ac:dyDescent="0.25">
      <c r="A40" s="25"/>
      <c r="B40" s="25"/>
      <c r="C40" s="25"/>
      <c r="D40" s="31"/>
      <c r="E40" s="32"/>
      <c r="F40" s="33"/>
      <c r="G40" s="17"/>
      <c r="H40" s="17"/>
      <c r="I40" s="17"/>
    </row>
    <row r="41" spans="1:9" ht="10.5" x14ac:dyDescent="0.25">
      <c r="A41" s="25" t="s">
        <v>207</v>
      </c>
      <c r="B41" s="25"/>
      <c r="C41" s="25"/>
      <c r="D41" s="31"/>
      <c r="E41" s="32">
        <f>E43-(E22+E28+E33+E37)</f>
        <v>449.04086349999852</v>
      </c>
      <c r="F41" s="33">
        <f>F43-(F22+F28+F33+F37)</f>
        <v>5.365998186584946</v>
      </c>
      <c r="G41" s="17"/>
      <c r="H41" s="17"/>
      <c r="I41" s="17"/>
    </row>
    <row r="42" spans="1:9" ht="10.5" x14ac:dyDescent="0.25">
      <c r="A42" s="25"/>
      <c r="B42" s="25"/>
      <c r="C42" s="25"/>
      <c r="D42" s="31"/>
      <c r="E42" s="32"/>
      <c r="F42" s="33"/>
      <c r="G42" s="17"/>
      <c r="H42" s="17"/>
      <c r="I42" s="17"/>
    </row>
    <row r="43" spans="1:9" ht="10.5" x14ac:dyDescent="0.25">
      <c r="A43" s="34" t="s">
        <v>206</v>
      </c>
      <c r="B43" s="34"/>
      <c r="C43" s="34"/>
      <c r="D43" s="35"/>
      <c r="E43" s="36">
        <v>8368.2634225000002</v>
      </c>
      <c r="F43" s="37">
        <v>100</v>
      </c>
      <c r="G43" s="17"/>
      <c r="H43" s="17"/>
      <c r="I43" s="17"/>
    </row>
    <row r="45" spans="1:9" ht="10.5" x14ac:dyDescent="0.25">
      <c r="A45" s="17" t="s">
        <v>468</v>
      </c>
    </row>
    <row r="46" spans="1:9" ht="10.5" x14ac:dyDescent="0.25">
      <c r="A46" s="17" t="s">
        <v>209</v>
      </c>
    </row>
    <row r="48" spans="1:9" ht="10.5" x14ac:dyDescent="0.25">
      <c r="A48" s="17" t="s">
        <v>210</v>
      </c>
    </row>
    <row r="49" spans="1:6" ht="10.5" x14ac:dyDescent="0.25">
      <c r="A49" s="17" t="s">
        <v>211</v>
      </c>
    </row>
    <row r="50" spans="1:6" ht="10.5" x14ac:dyDescent="0.25">
      <c r="A50" s="17" t="s">
        <v>212</v>
      </c>
      <c r="B50" s="17"/>
      <c r="C50" s="38" t="s">
        <v>214</v>
      </c>
      <c r="D50" s="18" t="s">
        <v>213</v>
      </c>
    </row>
    <row r="51" spans="1:6" x14ac:dyDescent="0.2">
      <c r="A51" s="10" t="s">
        <v>486</v>
      </c>
      <c r="C51" s="39">
        <v>11.6698</v>
      </c>
      <c r="D51" s="39">
        <v>12.2342</v>
      </c>
    </row>
    <row r="52" spans="1:6" x14ac:dyDescent="0.2">
      <c r="A52" s="10" t="s">
        <v>783</v>
      </c>
      <c r="C52" s="39">
        <v>11.1051</v>
      </c>
      <c r="D52" s="39">
        <v>10.6326</v>
      </c>
    </row>
    <row r="53" spans="1:6" x14ac:dyDescent="0.2">
      <c r="A53" s="10" t="s">
        <v>489</v>
      </c>
      <c r="C53" s="39">
        <v>11.7319</v>
      </c>
      <c r="D53" s="39">
        <v>12.299200000000001</v>
      </c>
    </row>
    <row r="55" spans="1:6" ht="10.5" x14ac:dyDescent="0.25">
      <c r="A55" s="17" t="s">
        <v>226</v>
      </c>
    </row>
    <row r="56" spans="1:6" ht="10.5" x14ac:dyDescent="0.25">
      <c r="A56" s="147" t="s">
        <v>401</v>
      </c>
      <c r="B56" s="148"/>
      <c r="C56" s="145" t="s">
        <v>402</v>
      </c>
      <c r="D56" s="146"/>
    </row>
    <row r="57" spans="1:6" ht="10.5" x14ac:dyDescent="0.25">
      <c r="A57" s="147"/>
      <c r="B57" s="148"/>
      <c r="C57" s="43" t="s">
        <v>403</v>
      </c>
      <c r="D57" s="44" t="s">
        <v>404</v>
      </c>
    </row>
    <row r="58" spans="1:6" x14ac:dyDescent="0.2">
      <c r="A58" s="141" t="s">
        <v>783</v>
      </c>
      <c r="B58" s="142"/>
      <c r="C58" s="45">
        <v>0.69871301900000005</v>
      </c>
      <c r="D58" s="45">
        <v>0.64701173769999998</v>
      </c>
    </row>
    <row r="60" spans="1:6" ht="10.5" x14ac:dyDescent="0.25">
      <c r="A60" s="17" t="s">
        <v>228</v>
      </c>
      <c r="D60" s="41">
        <v>0.61258401638356164</v>
      </c>
      <c r="E60" s="15" t="s">
        <v>229</v>
      </c>
    </row>
    <row r="61" spans="1:6" ht="46" customHeight="1" x14ac:dyDescent="0.2">
      <c r="A61" s="139" t="s">
        <v>1596</v>
      </c>
      <c r="B61" s="140"/>
      <c r="C61" s="140"/>
      <c r="D61" s="140"/>
      <c r="E61" s="140"/>
    </row>
    <row r="62" spans="1:6" s="78" customFormat="1" ht="14.5" x14ac:dyDescent="0.2">
      <c r="A62" s="137"/>
      <c r="B62" s="138"/>
      <c r="C62" s="138"/>
      <c r="D62" s="138"/>
      <c r="E62" s="138"/>
      <c r="F62" s="83"/>
    </row>
    <row r="63" spans="1:6" ht="10.5" x14ac:dyDescent="0.25">
      <c r="A63" s="17" t="s">
        <v>230</v>
      </c>
      <c r="D63" s="40" t="s">
        <v>227</v>
      </c>
    </row>
  </sheetData>
  <mergeCells count="6">
    <mergeCell ref="A61:E61"/>
    <mergeCell ref="A1:F1"/>
    <mergeCell ref="C56:D56"/>
    <mergeCell ref="A56:B56"/>
    <mergeCell ref="A57:B57"/>
    <mergeCell ref="A58:B58"/>
  </mergeCells>
  <conditionalFormatting sqref="F2:F3 F5:F65537">
    <cfRule type="cellIs" dxfId="3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9"/>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81640625" style="10" bestFit="1" customWidth="1"/>
    <col min="8" max="16384" width="9.1796875" style="10"/>
  </cols>
  <sheetData>
    <row r="1" spans="1:6" s="1" customFormat="1" ht="14" x14ac:dyDescent="0.25">
      <c r="A1" s="143" t="s">
        <v>39</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891</v>
      </c>
      <c r="B7" s="26" t="s">
        <v>890</v>
      </c>
      <c r="C7" s="26" t="s">
        <v>166</v>
      </c>
      <c r="D7" s="30">
        <v>107</v>
      </c>
      <c r="E7" s="28">
        <v>1036.3303100000001</v>
      </c>
      <c r="F7" s="29">
        <v>9.9539127606072899</v>
      </c>
    </row>
    <row r="8" spans="1:6" x14ac:dyDescent="0.2">
      <c r="A8" s="26" t="s">
        <v>907</v>
      </c>
      <c r="B8" s="26" t="s">
        <v>906</v>
      </c>
      <c r="C8" s="26" t="s">
        <v>589</v>
      </c>
      <c r="D8" s="30">
        <v>87</v>
      </c>
      <c r="E8" s="28">
        <v>881.57622000000003</v>
      </c>
      <c r="F8" s="29">
        <v>8.4675056794449493</v>
      </c>
    </row>
    <row r="9" spans="1:6" x14ac:dyDescent="0.2">
      <c r="A9" s="26" t="s">
        <v>657</v>
      </c>
      <c r="B9" s="26" t="s">
        <v>656</v>
      </c>
      <c r="C9" s="26" t="s">
        <v>166</v>
      </c>
      <c r="D9" s="30">
        <v>84</v>
      </c>
      <c r="E9" s="28">
        <v>850.53527999999994</v>
      </c>
      <c r="F9" s="29">
        <v>8.1693586448694102</v>
      </c>
    </row>
    <row r="10" spans="1:6" x14ac:dyDescent="0.2">
      <c r="A10" s="26" t="s">
        <v>885</v>
      </c>
      <c r="B10" s="26" t="s">
        <v>884</v>
      </c>
      <c r="C10" s="26" t="s">
        <v>166</v>
      </c>
      <c r="D10" s="30">
        <v>83</v>
      </c>
      <c r="E10" s="28">
        <v>845.11014999999998</v>
      </c>
      <c r="F10" s="29">
        <v>8.11725047992058</v>
      </c>
    </row>
    <row r="11" spans="1:6" x14ac:dyDescent="0.2">
      <c r="A11" s="26" t="s">
        <v>849</v>
      </c>
      <c r="B11" s="26" t="s">
        <v>848</v>
      </c>
      <c r="C11" s="26" t="s">
        <v>166</v>
      </c>
      <c r="D11" s="30">
        <v>83</v>
      </c>
      <c r="E11" s="28">
        <v>844.89185999999995</v>
      </c>
      <c r="F11" s="29">
        <v>8.1151538128680496</v>
      </c>
    </row>
    <row r="12" spans="1:6" x14ac:dyDescent="0.2">
      <c r="A12" s="26" t="s">
        <v>909</v>
      </c>
      <c r="B12" s="26" t="s">
        <v>908</v>
      </c>
      <c r="C12" s="26" t="s">
        <v>166</v>
      </c>
      <c r="D12" s="30">
        <v>80</v>
      </c>
      <c r="E12" s="28">
        <v>818.95839999999998</v>
      </c>
      <c r="F12" s="29">
        <v>7.8660639272111297</v>
      </c>
    </row>
    <row r="13" spans="1:6" x14ac:dyDescent="0.2">
      <c r="A13" s="26" t="s">
        <v>899</v>
      </c>
      <c r="B13" s="26" t="s">
        <v>898</v>
      </c>
      <c r="C13" s="26" t="s">
        <v>166</v>
      </c>
      <c r="D13" s="30">
        <v>62</v>
      </c>
      <c r="E13" s="28">
        <v>800.54322500000001</v>
      </c>
      <c r="F13" s="29">
        <v>7.6891868797557503</v>
      </c>
    </row>
    <row r="14" spans="1:6" x14ac:dyDescent="0.2">
      <c r="A14" s="26" t="s">
        <v>895</v>
      </c>
      <c r="B14" s="26" t="s">
        <v>894</v>
      </c>
      <c r="C14" s="26" t="s">
        <v>589</v>
      </c>
      <c r="D14" s="30">
        <v>65</v>
      </c>
      <c r="E14" s="28">
        <v>662.88364999999999</v>
      </c>
      <c r="F14" s="29">
        <v>6.3669719575537096</v>
      </c>
    </row>
    <row r="15" spans="1:6" x14ac:dyDescent="0.2">
      <c r="A15" s="26" t="s">
        <v>591</v>
      </c>
      <c r="B15" s="26" t="s">
        <v>590</v>
      </c>
      <c r="C15" s="26" t="s">
        <v>166</v>
      </c>
      <c r="D15" s="30">
        <v>5</v>
      </c>
      <c r="E15" s="28">
        <v>513.40700000000004</v>
      </c>
      <c r="F15" s="29">
        <v>4.9312544845717303</v>
      </c>
    </row>
    <row r="16" spans="1:6" x14ac:dyDescent="0.2">
      <c r="A16" s="26" t="s">
        <v>879</v>
      </c>
      <c r="B16" s="26" t="s">
        <v>878</v>
      </c>
      <c r="C16" s="26" t="s">
        <v>166</v>
      </c>
      <c r="D16" s="30">
        <v>40</v>
      </c>
      <c r="E16" s="28">
        <v>408.84960000000001</v>
      </c>
      <c r="F16" s="29">
        <v>3.9269846798258601</v>
      </c>
    </row>
    <row r="17" spans="1:9" x14ac:dyDescent="0.2">
      <c r="A17" s="26" t="s">
        <v>897</v>
      </c>
      <c r="B17" s="26" t="s">
        <v>896</v>
      </c>
      <c r="C17" s="26" t="s">
        <v>166</v>
      </c>
      <c r="D17" s="30">
        <v>13</v>
      </c>
      <c r="E17" s="28">
        <v>133.11726999999999</v>
      </c>
      <c r="F17" s="29">
        <v>1.2785862574165201</v>
      </c>
    </row>
    <row r="18" spans="1:9" x14ac:dyDescent="0.2">
      <c r="A18" s="26" t="s">
        <v>893</v>
      </c>
      <c r="B18" s="26" t="s">
        <v>892</v>
      </c>
      <c r="C18" s="26" t="s">
        <v>166</v>
      </c>
      <c r="D18" s="30">
        <v>8</v>
      </c>
      <c r="E18" s="28">
        <v>81.914959999999994</v>
      </c>
      <c r="F18" s="29">
        <v>0.78679003958557903</v>
      </c>
    </row>
    <row r="19" spans="1:9" x14ac:dyDescent="0.2">
      <c r="A19" s="26" t="s">
        <v>335</v>
      </c>
      <c r="B19" s="26" t="s">
        <v>334</v>
      </c>
      <c r="C19" s="26" t="s">
        <v>336</v>
      </c>
      <c r="D19" s="30">
        <v>6</v>
      </c>
      <c r="E19" s="28">
        <v>73.754220000000004</v>
      </c>
      <c r="F19" s="29">
        <v>0.70840644582385803</v>
      </c>
    </row>
    <row r="20" spans="1:9" x14ac:dyDescent="0.2">
      <c r="A20" s="26" t="s">
        <v>877</v>
      </c>
      <c r="B20" s="26" t="s">
        <v>876</v>
      </c>
      <c r="C20" s="26" t="s">
        <v>166</v>
      </c>
      <c r="D20" s="30">
        <v>5</v>
      </c>
      <c r="E20" s="28">
        <v>51.252249999999997</v>
      </c>
      <c r="F20" s="29">
        <v>0.49227588960978602</v>
      </c>
    </row>
    <row r="21" spans="1:9" x14ac:dyDescent="0.2">
      <c r="A21" s="26" t="s">
        <v>869</v>
      </c>
      <c r="B21" s="26" t="s">
        <v>868</v>
      </c>
      <c r="C21" s="26" t="s">
        <v>166</v>
      </c>
      <c r="D21" s="30">
        <v>3</v>
      </c>
      <c r="E21" s="28">
        <v>31.034279999999999</v>
      </c>
      <c r="F21" s="29">
        <v>0.29808306553174102</v>
      </c>
    </row>
    <row r="22" spans="1:9" x14ac:dyDescent="0.2">
      <c r="A22" s="26" t="s">
        <v>333</v>
      </c>
      <c r="B22" s="26" t="s">
        <v>332</v>
      </c>
      <c r="C22" s="26" t="s">
        <v>166</v>
      </c>
      <c r="D22" s="30">
        <v>3</v>
      </c>
      <c r="E22" s="28">
        <v>30.729209999999998</v>
      </c>
      <c r="F22" s="29">
        <v>0.29515287991758299</v>
      </c>
    </row>
    <row r="23" spans="1:9" x14ac:dyDescent="0.2">
      <c r="A23" s="26" t="s">
        <v>903</v>
      </c>
      <c r="B23" s="26" t="s">
        <v>902</v>
      </c>
      <c r="C23" s="26" t="s">
        <v>166</v>
      </c>
      <c r="D23" s="30">
        <v>3</v>
      </c>
      <c r="E23" s="28">
        <v>30.029129999999999</v>
      </c>
      <c r="F23" s="29">
        <v>0.28842863844919803</v>
      </c>
    </row>
    <row r="24" spans="1:9" x14ac:dyDescent="0.2">
      <c r="A24" s="26" t="s">
        <v>847</v>
      </c>
      <c r="B24" s="26" t="s">
        <v>846</v>
      </c>
      <c r="C24" s="26" t="s">
        <v>166</v>
      </c>
      <c r="D24" s="30">
        <v>1</v>
      </c>
      <c r="E24" s="28">
        <v>12.39415</v>
      </c>
      <c r="F24" s="29">
        <v>0.11904533395523401</v>
      </c>
    </row>
    <row r="25" spans="1:9" x14ac:dyDescent="0.2">
      <c r="A25" s="26" t="s">
        <v>671</v>
      </c>
      <c r="B25" s="26" t="s">
        <v>670</v>
      </c>
      <c r="C25" s="26" t="s">
        <v>166</v>
      </c>
      <c r="D25" s="30">
        <v>1</v>
      </c>
      <c r="E25" s="28">
        <v>10.236750000000001</v>
      </c>
      <c r="F25" s="29">
        <v>9.83235899489871E-2</v>
      </c>
    </row>
    <row r="26" spans="1:9" ht="10.5" x14ac:dyDescent="0.25">
      <c r="A26" s="25" t="s">
        <v>167</v>
      </c>
      <c r="B26" s="25"/>
      <c r="C26" s="25"/>
      <c r="D26" s="31"/>
      <c r="E26" s="32">
        <f>SUM(E6:E25)</f>
        <v>8117.5479149999992</v>
      </c>
      <c r="F26" s="33">
        <f>SUM(F6:F25)</f>
        <v>77.968735446866944</v>
      </c>
      <c r="G26" s="17"/>
      <c r="H26" s="17"/>
      <c r="I26" s="17"/>
    </row>
    <row r="27" spans="1:9" x14ac:dyDescent="0.2">
      <c r="A27" s="26"/>
      <c r="B27" s="26"/>
      <c r="C27" s="26"/>
      <c r="D27" s="27"/>
      <c r="E27" s="28"/>
      <c r="F27" s="29"/>
    </row>
    <row r="28" spans="1:9" ht="10.5" x14ac:dyDescent="0.25">
      <c r="A28" s="25" t="s">
        <v>168</v>
      </c>
      <c r="B28" s="26"/>
      <c r="C28" s="26"/>
      <c r="D28" s="27"/>
      <c r="E28" s="28"/>
      <c r="F28" s="29"/>
    </row>
    <row r="29" spans="1:9" x14ac:dyDescent="0.2">
      <c r="A29" s="26" t="s">
        <v>875</v>
      </c>
      <c r="B29" s="26" t="s">
        <v>874</v>
      </c>
      <c r="C29" s="26" t="s">
        <v>539</v>
      </c>
      <c r="D29" s="30">
        <v>82</v>
      </c>
      <c r="E29" s="28">
        <v>835.29628000000002</v>
      </c>
      <c r="F29" s="29">
        <v>8.0229886361036797</v>
      </c>
    </row>
    <row r="30" spans="1:9" x14ac:dyDescent="0.2">
      <c r="A30" s="26" t="s">
        <v>901</v>
      </c>
      <c r="B30" s="26" t="s">
        <v>900</v>
      </c>
      <c r="C30" s="26" t="s">
        <v>166</v>
      </c>
      <c r="D30" s="30">
        <v>49</v>
      </c>
      <c r="E30" s="28">
        <v>500.19346999999999</v>
      </c>
      <c r="F30" s="29">
        <v>4.8043390372374999</v>
      </c>
    </row>
    <row r="31" spans="1:9" x14ac:dyDescent="0.2">
      <c r="A31" s="26" t="s">
        <v>677</v>
      </c>
      <c r="B31" s="26" t="s">
        <v>676</v>
      </c>
      <c r="C31" s="26" t="s">
        <v>166</v>
      </c>
      <c r="D31" s="30">
        <v>27</v>
      </c>
      <c r="E31" s="28">
        <v>274.96449000000001</v>
      </c>
      <c r="F31" s="29">
        <v>2.6410233487476402</v>
      </c>
    </row>
    <row r="32" spans="1:9" ht="10.5" x14ac:dyDescent="0.25">
      <c r="A32" s="25" t="s">
        <v>167</v>
      </c>
      <c r="B32" s="25"/>
      <c r="C32" s="25"/>
      <c r="D32" s="31"/>
      <c r="E32" s="32">
        <f>SUM(E28:E31)</f>
        <v>1610.45424</v>
      </c>
      <c r="F32" s="33">
        <f>SUM(F28:F31)</f>
        <v>15.468351022088822</v>
      </c>
      <c r="G32" s="17"/>
      <c r="H32" s="17"/>
      <c r="I32" s="17"/>
    </row>
    <row r="33" spans="1:9" x14ac:dyDescent="0.2">
      <c r="A33" s="26"/>
      <c r="B33" s="26"/>
      <c r="C33" s="26"/>
      <c r="D33" s="27"/>
      <c r="E33" s="28"/>
      <c r="F33" s="29"/>
    </row>
    <row r="34" spans="1:9" ht="10.5" x14ac:dyDescent="0.25">
      <c r="A34" s="25" t="s">
        <v>413</v>
      </c>
      <c r="B34" s="26"/>
      <c r="C34" s="26"/>
      <c r="D34" s="27"/>
      <c r="E34" s="28"/>
      <c r="F34" s="29"/>
    </row>
    <row r="35" spans="1:9" ht="10.5" x14ac:dyDescent="0.25">
      <c r="A35" s="25" t="s">
        <v>414</v>
      </c>
      <c r="B35" s="26"/>
      <c r="C35" s="26"/>
      <c r="D35" s="27"/>
      <c r="E35" s="28"/>
      <c r="F35" s="29"/>
    </row>
    <row r="36" spans="1:9" x14ac:dyDescent="0.2">
      <c r="A36" s="26" t="s">
        <v>431</v>
      </c>
      <c r="B36" s="26" t="s">
        <v>430</v>
      </c>
      <c r="C36" s="26" t="s">
        <v>420</v>
      </c>
      <c r="D36" s="30">
        <v>30</v>
      </c>
      <c r="E36" s="28">
        <v>29.385269999999998</v>
      </c>
      <c r="F36" s="29">
        <v>0.282244387918067</v>
      </c>
    </row>
    <row r="37" spans="1:9" ht="10.5" x14ac:dyDescent="0.25">
      <c r="A37" s="25" t="s">
        <v>167</v>
      </c>
      <c r="B37" s="25"/>
      <c r="C37" s="25"/>
      <c r="D37" s="31"/>
      <c r="E37" s="32">
        <f>SUM(E35:E36)</f>
        <v>29.385269999999998</v>
      </c>
      <c r="F37" s="33">
        <f>SUM(F35:F36)</f>
        <v>0.282244387918067</v>
      </c>
      <c r="G37" s="17"/>
      <c r="H37" s="17"/>
      <c r="I37" s="17"/>
    </row>
    <row r="38" spans="1:9" x14ac:dyDescent="0.2">
      <c r="A38" s="26"/>
      <c r="B38" s="26"/>
      <c r="C38" s="26"/>
      <c r="D38" s="27"/>
      <c r="E38" s="28"/>
      <c r="F38" s="29"/>
    </row>
    <row r="39" spans="1:9" ht="10.5" x14ac:dyDescent="0.25">
      <c r="A39" s="25" t="s">
        <v>434</v>
      </c>
      <c r="B39" s="26"/>
      <c r="C39" s="26"/>
      <c r="D39" s="27"/>
      <c r="E39" s="28"/>
      <c r="F39" s="29"/>
    </row>
    <row r="40" spans="1:9" x14ac:dyDescent="0.2">
      <c r="A40" s="26" t="s">
        <v>889</v>
      </c>
      <c r="B40" s="26" t="s">
        <v>888</v>
      </c>
      <c r="C40" s="26" t="s">
        <v>443</v>
      </c>
      <c r="D40" s="30">
        <v>37</v>
      </c>
      <c r="E40" s="28">
        <v>181.090025</v>
      </c>
      <c r="F40" s="29">
        <v>1.7393627237113201</v>
      </c>
    </row>
    <row r="41" spans="1:9" ht="10.5" x14ac:dyDescent="0.25">
      <c r="A41" s="25" t="s">
        <v>167</v>
      </c>
      <c r="B41" s="25"/>
      <c r="C41" s="25"/>
      <c r="D41" s="31"/>
      <c r="E41" s="32">
        <f>SUM(E39:E40)</f>
        <v>181.090025</v>
      </c>
      <c r="F41" s="33">
        <f>SUM(F39:F40)</f>
        <v>1.7393627237113201</v>
      </c>
      <c r="G41" s="17"/>
      <c r="H41" s="17"/>
      <c r="I41" s="17"/>
    </row>
    <row r="42" spans="1:9" x14ac:dyDescent="0.2">
      <c r="A42" s="26"/>
      <c r="B42" s="26"/>
      <c r="C42" s="26"/>
      <c r="D42" s="27"/>
      <c r="E42" s="28"/>
      <c r="F42" s="29"/>
    </row>
    <row r="43" spans="1:9" ht="10.5" x14ac:dyDescent="0.25">
      <c r="A43" s="25" t="s">
        <v>205</v>
      </c>
      <c r="B43" s="25"/>
      <c r="C43" s="25"/>
      <c r="D43" s="31"/>
      <c r="E43" s="32">
        <f>E26+E32+E37+E41</f>
        <v>9938.4774499999985</v>
      </c>
      <c r="F43" s="33">
        <f>F26+F32+F37+F41</f>
        <v>95.458693580585162</v>
      </c>
      <c r="G43" s="17"/>
      <c r="H43" s="17"/>
      <c r="I43" s="17"/>
    </row>
    <row r="44" spans="1:9" ht="10.5" x14ac:dyDescent="0.25">
      <c r="A44" s="25"/>
      <c r="B44" s="25"/>
      <c r="C44" s="25"/>
      <c r="D44" s="31"/>
      <c r="E44" s="32"/>
      <c r="F44" s="33"/>
      <c r="G44" s="17"/>
      <c r="H44" s="17"/>
      <c r="I44" s="17"/>
    </row>
    <row r="45" spans="1:9" ht="10.5" x14ac:dyDescent="0.25">
      <c r="A45" s="25" t="s">
        <v>207</v>
      </c>
      <c r="B45" s="25"/>
      <c r="C45" s="25"/>
      <c r="D45" s="31"/>
      <c r="E45" s="32">
        <f>E47-(E26+E32+E37+E41)</f>
        <v>472.80839230000129</v>
      </c>
      <c r="F45" s="33">
        <f>F47-(F26+F32+F37+F41)</f>
        <v>4.5413064194148376</v>
      </c>
      <c r="G45" s="17"/>
      <c r="H45" s="17"/>
      <c r="I45" s="17"/>
    </row>
    <row r="46" spans="1:9" ht="10.5" x14ac:dyDescent="0.25">
      <c r="A46" s="25"/>
      <c r="B46" s="25"/>
      <c r="C46" s="25"/>
      <c r="D46" s="31"/>
      <c r="E46" s="32"/>
      <c r="F46" s="33"/>
      <c r="G46" s="17"/>
      <c r="H46" s="17"/>
      <c r="I46" s="17"/>
    </row>
    <row r="47" spans="1:9" ht="10.5" x14ac:dyDescent="0.25">
      <c r="A47" s="34" t="s">
        <v>206</v>
      </c>
      <c r="B47" s="34"/>
      <c r="C47" s="34"/>
      <c r="D47" s="35"/>
      <c r="E47" s="36">
        <v>10411.2858423</v>
      </c>
      <c r="F47" s="37">
        <v>100</v>
      </c>
      <c r="G47" s="17"/>
      <c r="H47" s="17"/>
      <c r="I47" s="17"/>
    </row>
    <row r="49" spans="1:4" ht="10.5" x14ac:dyDescent="0.25">
      <c r="A49" s="17" t="s">
        <v>468</v>
      </c>
    </row>
    <row r="50" spans="1:4" ht="10.5" x14ac:dyDescent="0.25">
      <c r="A50" s="17" t="s">
        <v>209</v>
      </c>
    </row>
    <row r="52" spans="1:4" ht="10.5" x14ac:dyDescent="0.25">
      <c r="A52" s="17" t="s">
        <v>210</v>
      </c>
    </row>
    <row r="53" spans="1:4" ht="10.5" x14ac:dyDescent="0.25">
      <c r="A53" s="17" t="s">
        <v>211</v>
      </c>
    </row>
    <row r="54" spans="1:4" ht="10.5" x14ac:dyDescent="0.25">
      <c r="A54" s="17" t="s">
        <v>212</v>
      </c>
      <c r="B54" s="17"/>
      <c r="C54" s="38" t="s">
        <v>214</v>
      </c>
      <c r="D54" s="18" t="s">
        <v>213</v>
      </c>
    </row>
    <row r="55" spans="1:4" x14ac:dyDescent="0.2">
      <c r="A55" s="10" t="s">
        <v>486</v>
      </c>
      <c r="C55" s="39">
        <v>11.710800000000001</v>
      </c>
      <c r="D55" s="39">
        <v>12.2559</v>
      </c>
    </row>
    <row r="56" spans="1:4" x14ac:dyDescent="0.2">
      <c r="A56" s="10" t="s">
        <v>783</v>
      </c>
      <c r="C56" s="39">
        <v>10.2012</v>
      </c>
      <c r="D56" s="39">
        <v>10.6761</v>
      </c>
    </row>
    <row r="57" spans="1:4" x14ac:dyDescent="0.2">
      <c r="A57" s="10" t="s">
        <v>488</v>
      </c>
      <c r="C57" s="39">
        <v>10.193199999999999</v>
      </c>
      <c r="D57" s="39">
        <v>10.2567</v>
      </c>
    </row>
    <row r="58" spans="1:4" x14ac:dyDescent="0.2">
      <c r="A58" s="10" t="s">
        <v>489</v>
      </c>
      <c r="C58" s="39">
        <v>11.769500000000001</v>
      </c>
      <c r="D58" s="39">
        <v>12.317399999999999</v>
      </c>
    </row>
    <row r="59" spans="1:4" x14ac:dyDescent="0.2">
      <c r="A59" s="10" t="s">
        <v>521</v>
      </c>
      <c r="C59" s="39">
        <v>10.26</v>
      </c>
      <c r="D59" s="39">
        <v>10.7378</v>
      </c>
    </row>
    <row r="61" spans="1:4" ht="10.5" x14ac:dyDescent="0.25">
      <c r="A61" s="17" t="s">
        <v>226</v>
      </c>
    </row>
    <row r="62" spans="1:4" ht="10.5" x14ac:dyDescent="0.25">
      <c r="A62" s="147" t="s">
        <v>401</v>
      </c>
      <c r="B62" s="148"/>
      <c r="C62" s="145" t="s">
        <v>402</v>
      </c>
      <c r="D62" s="146"/>
    </row>
    <row r="63" spans="1:4" ht="10.5" x14ac:dyDescent="0.25">
      <c r="A63" s="147"/>
      <c r="B63" s="148"/>
      <c r="C63" s="43" t="s">
        <v>403</v>
      </c>
      <c r="D63" s="44" t="s">
        <v>404</v>
      </c>
    </row>
    <row r="64" spans="1:4" x14ac:dyDescent="0.2">
      <c r="A64" s="141" t="s">
        <v>488</v>
      </c>
      <c r="B64" s="142"/>
      <c r="C64" s="45">
        <v>0.3695</v>
      </c>
      <c r="D64" s="45">
        <v>0.3695</v>
      </c>
    </row>
    <row r="66" spans="1:6" ht="10.5" x14ac:dyDescent="0.25">
      <c r="A66" s="17" t="s">
        <v>228</v>
      </c>
      <c r="D66" s="41">
        <v>0.55064635578082211</v>
      </c>
      <c r="E66" s="15" t="s">
        <v>229</v>
      </c>
    </row>
    <row r="67" spans="1:6" ht="50" customHeight="1" x14ac:dyDescent="0.2">
      <c r="A67" s="139" t="s">
        <v>1596</v>
      </c>
      <c r="B67" s="140"/>
      <c r="C67" s="140"/>
      <c r="D67" s="140"/>
      <c r="E67" s="140"/>
    </row>
    <row r="68" spans="1:6" s="78" customFormat="1" ht="14.5" x14ac:dyDescent="0.2">
      <c r="A68" s="137"/>
      <c r="B68" s="138"/>
      <c r="C68" s="138"/>
      <c r="D68" s="138"/>
      <c r="E68" s="138"/>
      <c r="F68" s="83"/>
    </row>
    <row r="69" spans="1:6" ht="10.5" x14ac:dyDescent="0.25">
      <c r="A69" s="17" t="s">
        <v>230</v>
      </c>
      <c r="D69" s="40" t="s">
        <v>227</v>
      </c>
    </row>
  </sheetData>
  <mergeCells count="6">
    <mergeCell ref="A67:E67"/>
    <mergeCell ref="A1:F1"/>
    <mergeCell ref="C62:D62"/>
    <mergeCell ref="A62:B62"/>
    <mergeCell ref="A63:B63"/>
    <mergeCell ref="A64:B64"/>
  </mergeCells>
  <conditionalFormatting sqref="F2:F3 F5:F65537">
    <cfRule type="cellIs" dxfId="3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5"/>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7265625" style="10" bestFit="1" customWidth="1"/>
    <col min="8" max="16384" width="9.1796875" style="10"/>
  </cols>
  <sheetData>
    <row r="1" spans="1:6" s="1" customFormat="1" ht="14" x14ac:dyDescent="0.25">
      <c r="A1" s="143" t="s">
        <v>40</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11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879</v>
      </c>
      <c r="B7" s="26" t="s">
        <v>878</v>
      </c>
      <c r="C7" s="26" t="s">
        <v>166</v>
      </c>
      <c r="D7" s="30">
        <v>113</v>
      </c>
      <c r="E7" s="28">
        <v>1155.0001199999999</v>
      </c>
      <c r="F7" s="29">
        <v>9.2214329977412106</v>
      </c>
    </row>
    <row r="8" spans="1:6" x14ac:dyDescent="0.2">
      <c r="A8" s="26" t="s">
        <v>907</v>
      </c>
      <c r="B8" s="26" t="s">
        <v>906</v>
      </c>
      <c r="C8" s="26" t="s">
        <v>589</v>
      </c>
      <c r="D8" s="30">
        <v>106</v>
      </c>
      <c r="E8" s="28">
        <v>1074.10436</v>
      </c>
      <c r="F8" s="29">
        <v>8.5755674106091906</v>
      </c>
    </row>
    <row r="9" spans="1:6" x14ac:dyDescent="0.2">
      <c r="A9" s="26" t="s">
        <v>726</v>
      </c>
      <c r="B9" s="26" t="s">
        <v>725</v>
      </c>
      <c r="C9" s="26" t="s">
        <v>166</v>
      </c>
      <c r="D9" s="30">
        <v>99</v>
      </c>
      <c r="E9" s="28">
        <v>1019.82969</v>
      </c>
      <c r="F9" s="29">
        <v>8.1422425786779904</v>
      </c>
    </row>
    <row r="10" spans="1:6" x14ac:dyDescent="0.2">
      <c r="A10" s="26" t="s">
        <v>911</v>
      </c>
      <c r="B10" s="26" t="s">
        <v>910</v>
      </c>
      <c r="C10" s="26" t="s">
        <v>589</v>
      </c>
      <c r="D10" s="30">
        <v>100</v>
      </c>
      <c r="E10" s="28">
        <v>1018.73</v>
      </c>
      <c r="F10" s="29">
        <v>8.1334627374661306</v>
      </c>
    </row>
    <row r="11" spans="1:6" x14ac:dyDescent="0.2">
      <c r="A11" s="26" t="s">
        <v>657</v>
      </c>
      <c r="B11" s="26" t="s">
        <v>656</v>
      </c>
      <c r="C11" s="26" t="s">
        <v>166</v>
      </c>
      <c r="D11" s="30">
        <v>100</v>
      </c>
      <c r="E11" s="28">
        <v>1012.542</v>
      </c>
      <c r="F11" s="29">
        <v>8.0840582167202601</v>
      </c>
    </row>
    <row r="12" spans="1:6" x14ac:dyDescent="0.2">
      <c r="A12" s="26" t="s">
        <v>869</v>
      </c>
      <c r="B12" s="26" t="s">
        <v>868</v>
      </c>
      <c r="C12" s="26" t="s">
        <v>166</v>
      </c>
      <c r="D12" s="30">
        <v>97</v>
      </c>
      <c r="E12" s="28">
        <v>1003.44172</v>
      </c>
      <c r="F12" s="29">
        <v>8.0114022742423607</v>
      </c>
    </row>
    <row r="13" spans="1:6" x14ac:dyDescent="0.2">
      <c r="A13" s="26" t="s">
        <v>885</v>
      </c>
      <c r="B13" s="26" t="s">
        <v>884</v>
      </c>
      <c r="C13" s="26" t="s">
        <v>166</v>
      </c>
      <c r="D13" s="30">
        <v>73</v>
      </c>
      <c r="E13" s="28">
        <v>743.28965000000005</v>
      </c>
      <c r="F13" s="29">
        <v>5.9343679595371102</v>
      </c>
    </row>
    <row r="14" spans="1:6" x14ac:dyDescent="0.2">
      <c r="A14" s="26" t="s">
        <v>591</v>
      </c>
      <c r="B14" s="26" t="s">
        <v>590</v>
      </c>
      <c r="C14" s="26" t="s">
        <v>166</v>
      </c>
      <c r="D14" s="30">
        <v>5</v>
      </c>
      <c r="E14" s="28">
        <v>513.40700000000004</v>
      </c>
      <c r="F14" s="29">
        <v>4.09900238890999</v>
      </c>
    </row>
    <row r="15" spans="1:6" x14ac:dyDescent="0.2">
      <c r="A15" s="26" t="s">
        <v>913</v>
      </c>
      <c r="B15" s="26" t="s">
        <v>912</v>
      </c>
      <c r="C15" s="26" t="s">
        <v>589</v>
      </c>
      <c r="D15" s="30">
        <v>50</v>
      </c>
      <c r="E15" s="28">
        <v>511.92500000000001</v>
      </c>
      <c r="F15" s="29">
        <v>4.0871702137733701</v>
      </c>
    </row>
    <row r="16" spans="1:6" x14ac:dyDescent="0.2">
      <c r="A16" s="26" t="s">
        <v>873</v>
      </c>
      <c r="B16" s="26" t="s">
        <v>872</v>
      </c>
      <c r="C16" s="26" t="s">
        <v>166</v>
      </c>
      <c r="D16" s="30">
        <v>49</v>
      </c>
      <c r="E16" s="28">
        <v>498.77884</v>
      </c>
      <c r="F16" s="29">
        <v>3.9822122734940399</v>
      </c>
    </row>
    <row r="17" spans="1:9" x14ac:dyDescent="0.2">
      <c r="A17" s="26" t="s">
        <v>903</v>
      </c>
      <c r="B17" s="26" t="s">
        <v>902</v>
      </c>
      <c r="C17" s="26" t="s">
        <v>166</v>
      </c>
      <c r="D17" s="30">
        <v>46</v>
      </c>
      <c r="E17" s="28">
        <v>460.44666000000001</v>
      </c>
      <c r="F17" s="29">
        <v>3.6761710676044999</v>
      </c>
    </row>
    <row r="18" spans="1:9" x14ac:dyDescent="0.2">
      <c r="A18" s="26" t="s">
        <v>335</v>
      </c>
      <c r="B18" s="26" t="s">
        <v>334</v>
      </c>
      <c r="C18" s="26" t="s">
        <v>336</v>
      </c>
      <c r="D18" s="30">
        <v>24</v>
      </c>
      <c r="E18" s="28">
        <v>295.01688000000001</v>
      </c>
      <c r="F18" s="29">
        <v>2.3553923025762602</v>
      </c>
    </row>
    <row r="19" spans="1:9" x14ac:dyDescent="0.2">
      <c r="A19" s="26" t="s">
        <v>891</v>
      </c>
      <c r="B19" s="26" t="s">
        <v>890</v>
      </c>
      <c r="C19" s="26" t="s">
        <v>166</v>
      </c>
      <c r="D19" s="30">
        <v>18</v>
      </c>
      <c r="E19" s="28">
        <v>174.33593999999999</v>
      </c>
      <c r="F19" s="29">
        <v>1.3918848682095699</v>
      </c>
    </row>
    <row r="20" spans="1:9" x14ac:dyDescent="0.2">
      <c r="A20" s="26" t="s">
        <v>671</v>
      </c>
      <c r="B20" s="26" t="s">
        <v>670</v>
      </c>
      <c r="C20" s="26" t="s">
        <v>166</v>
      </c>
      <c r="D20" s="30">
        <v>9</v>
      </c>
      <c r="E20" s="28">
        <v>92.130750000000006</v>
      </c>
      <c r="F20" s="29">
        <v>0.73556489167866601</v>
      </c>
    </row>
    <row r="21" spans="1:9" x14ac:dyDescent="0.2">
      <c r="A21" s="26" t="s">
        <v>871</v>
      </c>
      <c r="B21" s="26" t="s">
        <v>870</v>
      </c>
      <c r="C21" s="26" t="s">
        <v>166</v>
      </c>
      <c r="D21" s="30">
        <v>6</v>
      </c>
      <c r="E21" s="28">
        <v>74.115359999999995</v>
      </c>
      <c r="F21" s="29">
        <v>0.59173138990104102</v>
      </c>
    </row>
    <row r="22" spans="1:9" x14ac:dyDescent="0.2">
      <c r="A22" s="26" t="s">
        <v>645</v>
      </c>
      <c r="B22" s="26" t="s">
        <v>644</v>
      </c>
      <c r="C22" s="26" t="s">
        <v>589</v>
      </c>
      <c r="D22" s="30">
        <v>3</v>
      </c>
      <c r="E22" s="28">
        <v>37.026420000000002</v>
      </c>
      <c r="F22" s="29">
        <v>0.29561611749116101</v>
      </c>
    </row>
    <row r="23" spans="1:9" x14ac:dyDescent="0.2">
      <c r="A23" s="26" t="s">
        <v>333</v>
      </c>
      <c r="B23" s="26" t="s">
        <v>332</v>
      </c>
      <c r="C23" s="26" t="s">
        <v>166</v>
      </c>
      <c r="D23" s="30">
        <v>3</v>
      </c>
      <c r="E23" s="28">
        <v>30.729209999999998</v>
      </c>
      <c r="F23" s="29">
        <v>0.24533967242230201</v>
      </c>
    </row>
    <row r="24" spans="1:9" ht="10.5" x14ac:dyDescent="0.25">
      <c r="A24" s="25" t="s">
        <v>167</v>
      </c>
      <c r="B24" s="25"/>
      <c r="C24" s="25"/>
      <c r="D24" s="31"/>
      <c r="E24" s="32">
        <f>SUM(E6:E23)</f>
        <v>9714.8495999999996</v>
      </c>
      <c r="F24" s="33">
        <f>SUM(F6:F23)</f>
        <v>77.562619361055155</v>
      </c>
      <c r="G24" s="17"/>
      <c r="H24" s="17"/>
      <c r="I24" s="17"/>
    </row>
    <row r="25" spans="1:9" x14ac:dyDescent="0.2">
      <c r="A25" s="26"/>
      <c r="B25" s="26"/>
      <c r="C25" s="26"/>
      <c r="D25" s="27"/>
      <c r="E25" s="28"/>
      <c r="F25" s="29"/>
    </row>
    <row r="26" spans="1:9" ht="10.5" x14ac:dyDescent="0.25">
      <c r="A26" s="25" t="s">
        <v>168</v>
      </c>
      <c r="B26" s="26"/>
      <c r="C26" s="26"/>
      <c r="D26" s="27"/>
      <c r="E26" s="28"/>
      <c r="F26" s="29"/>
    </row>
    <row r="27" spans="1:9" x14ac:dyDescent="0.2">
      <c r="A27" s="26" t="s">
        <v>915</v>
      </c>
      <c r="B27" s="26" t="s">
        <v>914</v>
      </c>
      <c r="C27" s="26" t="s">
        <v>166</v>
      </c>
      <c r="D27" s="30">
        <v>100</v>
      </c>
      <c r="E27" s="28">
        <v>1014.515</v>
      </c>
      <c r="F27" s="29">
        <v>8.0998104984642207</v>
      </c>
    </row>
    <row r="28" spans="1:9" x14ac:dyDescent="0.2">
      <c r="A28" s="26" t="s">
        <v>677</v>
      </c>
      <c r="B28" s="26" t="s">
        <v>676</v>
      </c>
      <c r="C28" s="26" t="s">
        <v>166</v>
      </c>
      <c r="D28" s="30">
        <v>56</v>
      </c>
      <c r="E28" s="28">
        <v>570.29672000000005</v>
      </c>
      <c r="F28" s="29">
        <v>4.5532055808890997</v>
      </c>
    </row>
    <row r="29" spans="1:9" ht="10.5" x14ac:dyDescent="0.25">
      <c r="A29" s="25" t="s">
        <v>167</v>
      </c>
      <c r="B29" s="25"/>
      <c r="C29" s="25"/>
      <c r="D29" s="31"/>
      <c r="E29" s="32">
        <f>SUM(E26:E28)</f>
        <v>1584.8117200000002</v>
      </c>
      <c r="F29" s="33">
        <f>SUM(F26:F28)</f>
        <v>12.653016079353321</v>
      </c>
      <c r="G29" s="17"/>
      <c r="H29" s="17"/>
      <c r="I29" s="17"/>
    </row>
    <row r="30" spans="1:9" x14ac:dyDescent="0.2">
      <c r="A30" s="26"/>
      <c r="B30" s="26"/>
      <c r="C30" s="26"/>
      <c r="D30" s="27"/>
      <c r="E30" s="28"/>
      <c r="F30" s="29"/>
    </row>
    <row r="31" spans="1:9" ht="10.5" x14ac:dyDescent="0.25">
      <c r="A31" s="25" t="s">
        <v>413</v>
      </c>
      <c r="B31" s="26"/>
      <c r="C31" s="26"/>
      <c r="D31" s="27"/>
      <c r="E31" s="28"/>
      <c r="F31" s="29"/>
    </row>
    <row r="32" spans="1:9" ht="10.5" x14ac:dyDescent="0.25">
      <c r="A32" s="25" t="s">
        <v>414</v>
      </c>
      <c r="B32" s="26"/>
      <c r="C32" s="26"/>
      <c r="D32" s="27"/>
      <c r="E32" s="28"/>
      <c r="F32" s="29"/>
    </row>
    <row r="33" spans="1:9" x14ac:dyDescent="0.2">
      <c r="A33" s="26" t="s">
        <v>431</v>
      </c>
      <c r="B33" s="26" t="s">
        <v>430</v>
      </c>
      <c r="C33" s="26" t="s">
        <v>420</v>
      </c>
      <c r="D33" s="30">
        <v>222</v>
      </c>
      <c r="E33" s="28">
        <v>217.450998</v>
      </c>
      <c r="F33" s="29">
        <v>1.7361122078056199</v>
      </c>
    </row>
    <row r="34" spans="1:9" ht="10.5" x14ac:dyDescent="0.25">
      <c r="A34" s="25" t="s">
        <v>167</v>
      </c>
      <c r="B34" s="25"/>
      <c r="C34" s="25"/>
      <c r="D34" s="31"/>
      <c r="E34" s="32">
        <f>SUM(E32:E33)</f>
        <v>217.450998</v>
      </c>
      <c r="F34" s="33">
        <f>SUM(F32:F33)</f>
        <v>1.7361122078056199</v>
      </c>
      <c r="G34" s="17"/>
      <c r="H34" s="17"/>
      <c r="I34" s="17"/>
    </row>
    <row r="35" spans="1:9" x14ac:dyDescent="0.2">
      <c r="A35" s="26"/>
      <c r="B35" s="26"/>
      <c r="C35" s="26"/>
      <c r="D35" s="27"/>
      <c r="E35" s="28"/>
      <c r="F35" s="29"/>
    </row>
    <row r="36" spans="1:9" ht="10.5" x14ac:dyDescent="0.25">
      <c r="A36" s="25" t="s">
        <v>434</v>
      </c>
      <c r="B36" s="26"/>
      <c r="C36" s="26"/>
      <c r="D36" s="27"/>
      <c r="E36" s="28"/>
      <c r="F36" s="29"/>
    </row>
    <row r="37" spans="1:9" x14ac:dyDescent="0.2">
      <c r="A37" s="26" t="s">
        <v>889</v>
      </c>
      <c r="B37" s="26" t="s">
        <v>888</v>
      </c>
      <c r="C37" s="26" t="s">
        <v>443</v>
      </c>
      <c r="D37" s="30">
        <v>77</v>
      </c>
      <c r="E37" s="28">
        <v>376.86302499999999</v>
      </c>
      <c r="F37" s="29">
        <v>3.0088456911706398</v>
      </c>
    </row>
    <row r="38" spans="1:9" ht="10.5" x14ac:dyDescent="0.25">
      <c r="A38" s="25" t="s">
        <v>167</v>
      </c>
      <c r="B38" s="25"/>
      <c r="C38" s="25"/>
      <c r="D38" s="31"/>
      <c r="E38" s="32">
        <f>SUM(E36:E37)</f>
        <v>376.86302499999999</v>
      </c>
      <c r="F38" s="33">
        <f>SUM(F36:F37)</f>
        <v>3.0088456911706398</v>
      </c>
      <c r="G38" s="17"/>
      <c r="H38" s="17"/>
      <c r="I38" s="17"/>
    </row>
    <row r="39" spans="1:9" x14ac:dyDescent="0.2">
      <c r="A39" s="26"/>
      <c r="B39" s="26"/>
      <c r="C39" s="26"/>
      <c r="D39" s="27"/>
      <c r="E39" s="28"/>
      <c r="F39" s="29"/>
    </row>
    <row r="40" spans="1:9" ht="10.5" x14ac:dyDescent="0.25">
      <c r="A40" s="25" t="s">
        <v>205</v>
      </c>
      <c r="B40" s="25"/>
      <c r="C40" s="25"/>
      <c r="D40" s="31"/>
      <c r="E40" s="32">
        <f>E24+E29+E34+E38</f>
        <v>11893.975343</v>
      </c>
      <c r="F40" s="33">
        <f>F24+F29+F34+F38</f>
        <v>94.960593339384729</v>
      </c>
      <c r="G40" s="17"/>
      <c r="H40" s="17"/>
      <c r="I40" s="17"/>
    </row>
    <row r="41" spans="1:9" ht="10.5" x14ac:dyDescent="0.25">
      <c r="A41" s="25"/>
      <c r="B41" s="25"/>
      <c r="C41" s="25"/>
      <c r="D41" s="31"/>
      <c r="E41" s="32"/>
      <c r="F41" s="33"/>
      <c r="G41" s="17"/>
      <c r="H41" s="17"/>
      <c r="I41" s="17"/>
    </row>
    <row r="42" spans="1:9" ht="10.5" x14ac:dyDescent="0.25">
      <c r="A42" s="25" t="s">
        <v>207</v>
      </c>
      <c r="B42" s="25"/>
      <c r="C42" s="25"/>
      <c r="D42" s="31"/>
      <c r="E42" s="32">
        <f>E44-(E24+E29+E34+E38)</f>
        <v>631.19422970000051</v>
      </c>
      <c r="F42" s="33">
        <f>F44-(F24+F29+F34+F38)</f>
        <v>5.0394066606152705</v>
      </c>
      <c r="G42" s="17"/>
      <c r="H42" s="17"/>
      <c r="I42" s="17"/>
    </row>
    <row r="43" spans="1:9" ht="10.5" x14ac:dyDescent="0.25">
      <c r="A43" s="25"/>
      <c r="B43" s="25"/>
      <c r="C43" s="25"/>
      <c r="D43" s="31"/>
      <c r="E43" s="32"/>
      <c r="F43" s="33"/>
      <c r="G43" s="17"/>
      <c r="H43" s="17"/>
      <c r="I43" s="17"/>
    </row>
    <row r="44" spans="1:9" ht="10.5" x14ac:dyDescent="0.25">
      <c r="A44" s="34" t="s">
        <v>206</v>
      </c>
      <c r="B44" s="34"/>
      <c r="C44" s="34"/>
      <c r="D44" s="35"/>
      <c r="E44" s="36">
        <v>12525.169572700001</v>
      </c>
      <c r="F44" s="37">
        <v>100</v>
      </c>
      <c r="G44" s="17"/>
      <c r="H44" s="17"/>
      <c r="I44" s="17"/>
    </row>
    <row r="46" spans="1:9" ht="10.5" x14ac:dyDescent="0.25">
      <c r="A46" s="17" t="s">
        <v>468</v>
      </c>
    </row>
    <row r="47" spans="1:9" ht="10.5" x14ac:dyDescent="0.25">
      <c r="A47" s="17" t="s">
        <v>209</v>
      </c>
    </row>
    <row r="49" spans="1:6" ht="10.5" x14ac:dyDescent="0.25">
      <c r="A49" s="17" t="s">
        <v>210</v>
      </c>
    </row>
    <row r="50" spans="1:6" ht="10.5" x14ac:dyDescent="0.25">
      <c r="A50" s="17" t="s">
        <v>211</v>
      </c>
    </row>
    <row r="51" spans="1:6" ht="10.5" x14ac:dyDescent="0.25">
      <c r="A51" s="17" t="s">
        <v>212</v>
      </c>
      <c r="B51" s="17"/>
      <c r="C51" s="38" t="s">
        <v>214</v>
      </c>
      <c r="D51" s="18" t="s">
        <v>213</v>
      </c>
    </row>
    <row r="52" spans="1:6" x14ac:dyDescent="0.2">
      <c r="A52" s="10" t="s">
        <v>486</v>
      </c>
      <c r="C52" s="39">
        <v>11.712400000000001</v>
      </c>
      <c r="D52" s="39">
        <v>12.261900000000001</v>
      </c>
    </row>
    <row r="53" spans="1:6" x14ac:dyDescent="0.2">
      <c r="A53" s="10" t="s">
        <v>783</v>
      </c>
      <c r="C53" s="39">
        <v>10.224</v>
      </c>
      <c r="D53" s="39">
        <v>10.7041</v>
      </c>
    </row>
    <row r="54" spans="1:6" x14ac:dyDescent="0.2">
      <c r="A54" s="10" t="s">
        <v>488</v>
      </c>
      <c r="C54" s="39">
        <v>10.2104</v>
      </c>
      <c r="D54" s="39">
        <v>10.301399999999999</v>
      </c>
    </row>
    <row r="55" spans="1:6" x14ac:dyDescent="0.2">
      <c r="A55" s="10" t="s">
        <v>489</v>
      </c>
      <c r="C55" s="39">
        <v>11.771100000000001</v>
      </c>
      <c r="D55" s="39">
        <v>12.323399999999999</v>
      </c>
    </row>
    <row r="57" spans="1:6" ht="10.5" x14ac:dyDescent="0.25">
      <c r="A57" s="17" t="s">
        <v>226</v>
      </c>
    </row>
    <row r="58" spans="1:6" ht="10.5" x14ac:dyDescent="0.25">
      <c r="A58" s="147" t="s">
        <v>401</v>
      </c>
      <c r="B58" s="148"/>
      <c r="C58" s="145" t="s">
        <v>402</v>
      </c>
      <c r="D58" s="146"/>
    </row>
    <row r="59" spans="1:6" ht="10.5" x14ac:dyDescent="0.25">
      <c r="A59" s="147"/>
      <c r="B59" s="148"/>
      <c r="C59" s="43" t="s">
        <v>403</v>
      </c>
      <c r="D59" s="44" t="s">
        <v>404</v>
      </c>
    </row>
    <row r="60" spans="1:6" x14ac:dyDescent="0.2">
      <c r="A60" s="141" t="s">
        <v>488</v>
      </c>
      <c r="B60" s="142"/>
      <c r="C60" s="45">
        <v>0.312611313</v>
      </c>
      <c r="D60" s="45">
        <v>0.3024842579</v>
      </c>
    </row>
    <row r="62" spans="1:6" ht="10.5" x14ac:dyDescent="0.25">
      <c r="A62" s="17" t="s">
        <v>228</v>
      </c>
      <c r="D62" s="41">
        <v>0.52216572306849307</v>
      </c>
      <c r="E62" s="15" t="s">
        <v>229</v>
      </c>
    </row>
    <row r="63" spans="1:6" ht="47" customHeight="1" x14ac:dyDescent="0.2">
      <c r="A63" s="139" t="s">
        <v>1596</v>
      </c>
      <c r="B63" s="140"/>
      <c r="C63" s="140"/>
      <c r="D63" s="140"/>
      <c r="E63" s="140"/>
    </row>
    <row r="64" spans="1:6" s="78" customFormat="1" ht="14.5" x14ac:dyDescent="0.2">
      <c r="A64" s="137"/>
      <c r="B64" s="138"/>
      <c r="C64" s="138"/>
      <c r="D64" s="138"/>
      <c r="E64" s="138"/>
      <c r="F64" s="83"/>
    </row>
    <row r="65" spans="1:4" ht="10.5" x14ac:dyDescent="0.25">
      <c r="A65" s="17" t="s">
        <v>230</v>
      </c>
      <c r="D65" s="40" t="s">
        <v>227</v>
      </c>
    </row>
  </sheetData>
  <mergeCells count="6">
    <mergeCell ref="A63:E63"/>
    <mergeCell ref="A1:F1"/>
    <mergeCell ref="C58:D58"/>
    <mergeCell ref="A58:B58"/>
    <mergeCell ref="A59:B59"/>
    <mergeCell ref="A60:B60"/>
  </mergeCells>
  <conditionalFormatting sqref="F2:F3 F5:F65537">
    <cfRule type="cellIs" dxfId="3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6"/>
  <sheetViews>
    <sheetView workbookViewId="0">
      <selection sqref="A1:F1"/>
    </sheetView>
  </sheetViews>
  <sheetFormatPr defaultColWidth="9.1796875" defaultRowHeight="10" x14ac:dyDescent="0.2"/>
  <cols>
    <col min="1" max="1" width="38.7265625" style="10" bestFit="1" customWidth="1"/>
    <col min="2" max="2" width="54" style="10" bestFit="1" customWidth="1"/>
    <col min="3" max="3" width="15.1796875" style="10" bestFit="1" customWidth="1"/>
    <col min="4" max="4" width="14.7265625" style="11" bestFit="1" customWidth="1"/>
    <col min="5" max="5" width="23" style="15" bestFit="1" customWidth="1"/>
    <col min="6" max="6" width="13.54296875" style="16" bestFit="1" customWidth="1"/>
    <col min="7" max="7" width="7.54296875" style="10" bestFit="1" customWidth="1"/>
    <col min="8" max="16384" width="9.1796875" style="10"/>
  </cols>
  <sheetData>
    <row r="1" spans="1:6" s="1" customFormat="1" ht="14" x14ac:dyDescent="0.25">
      <c r="A1" s="143" t="s">
        <v>41</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208</v>
      </c>
      <c r="D4" s="106" t="s">
        <v>1</v>
      </c>
      <c r="E4" s="9" t="s">
        <v>3</v>
      </c>
      <c r="F4" s="9" t="s">
        <v>4</v>
      </c>
    </row>
    <row r="5" spans="1:6" ht="10.5" x14ac:dyDescent="0.25">
      <c r="A5" s="20" t="s">
        <v>69</v>
      </c>
      <c r="B5" s="21"/>
      <c r="C5" s="21"/>
      <c r="D5" s="22"/>
      <c r="E5" s="23"/>
      <c r="F5" s="24"/>
    </row>
    <row r="6" spans="1:6" ht="10.5" x14ac:dyDescent="0.25">
      <c r="A6" s="25" t="s">
        <v>70</v>
      </c>
      <c r="B6" s="26"/>
      <c r="C6" s="26"/>
      <c r="D6" s="27"/>
      <c r="E6" s="28"/>
      <c r="F6" s="29"/>
    </row>
    <row r="7" spans="1:6" x14ac:dyDescent="0.2">
      <c r="A7" s="26" t="s">
        <v>907</v>
      </c>
      <c r="B7" s="26" t="s">
        <v>906</v>
      </c>
      <c r="C7" s="26" t="s">
        <v>589</v>
      </c>
      <c r="D7" s="30">
        <v>156</v>
      </c>
      <c r="E7" s="28">
        <v>1580.7573600000001</v>
      </c>
      <c r="F7" s="29">
        <v>8.2762125506017608</v>
      </c>
    </row>
    <row r="8" spans="1:6" x14ac:dyDescent="0.2">
      <c r="A8" s="26" t="s">
        <v>917</v>
      </c>
      <c r="B8" s="26" t="s">
        <v>916</v>
      </c>
      <c r="C8" s="26" t="s">
        <v>166</v>
      </c>
      <c r="D8" s="30">
        <v>150</v>
      </c>
      <c r="E8" s="28">
        <v>1538.289</v>
      </c>
      <c r="F8" s="29">
        <v>8.05386522334625</v>
      </c>
    </row>
    <row r="9" spans="1:6" x14ac:dyDescent="0.2">
      <c r="A9" s="26" t="s">
        <v>911</v>
      </c>
      <c r="B9" s="26" t="s">
        <v>910</v>
      </c>
      <c r="C9" s="26" t="s">
        <v>589</v>
      </c>
      <c r="D9" s="30">
        <v>150</v>
      </c>
      <c r="E9" s="28">
        <v>1528.095</v>
      </c>
      <c r="F9" s="29">
        <v>8.0004935213534605</v>
      </c>
    </row>
    <row r="10" spans="1:6" x14ac:dyDescent="0.2">
      <c r="A10" s="26" t="s">
        <v>591</v>
      </c>
      <c r="B10" s="26" t="s">
        <v>590</v>
      </c>
      <c r="C10" s="26" t="s">
        <v>166</v>
      </c>
      <c r="D10" s="30">
        <v>14</v>
      </c>
      <c r="E10" s="28">
        <v>1437.5396000000001</v>
      </c>
      <c r="F10" s="29">
        <v>7.5263817082635898</v>
      </c>
    </row>
    <row r="11" spans="1:6" x14ac:dyDescent="0.2">
      <c r="A11" s="26" t="s">
        <v>879</v>
      </c>
      <c r="B11" s="26" t="s">
        <v>878</v>
      </c>
      <c r="C11" s="26" t="s">
        <v>166</v>
      </c>
      <c r="D11" s="30">
        <v>116</v>
      </c>
      <c r="E11" s="28">
        <v>1185.6638399999999</v>
      </c>
      <c r="F11" s="29">
        <v>6.2076610881018999</v>
      </c>
    </row>
    <row r="12" spans="1:6" x14ac:dyDescent="0.2">
      <c r="A12" s="26" t="s">
        <v>919</v>
      </c>
      <c r="B12" s="26" t="s">
        <v>918</v>
      </c>
      <c r="C12" s="26" t="s">
        <v>166</v>
      </c>
      <c r="D12" s="30">
        <v>100</v>
      </c>
      <c r="E12" s="28">
        <v>1027.2919999999999</v>
      </c>
      <c r="F12" s="29">
        <v>5.3784895510673403</v>
      </c>
    </row>
    <row r="13" spans="1:6" x14ac:dyDescent="0.2">
      <c r="A13" s="26" t="s">
        <v>921</v>
      </c>
      <c r="B13" s="26" t="s">
        <v>920</v>
      </c>
      <c r="C13" s="26" t="s">
        <v>166</v>
      </c>
      <c r="D13" s="30">
        <v>100</v>
      </c>
      <c r="E13" s="28">
        <v>1021.288</v>
      </c>
      <c r="F13" s="29">
        <v>5.3470550112630599</v>
      </c>
    </row>
    <row r="14" spans="1:6" x14ac:dyDescent="0.2">
      <c r="A14" s="26" t="s">
        <v>923</v>
      </c>
      <c r="B14" s="26" t="s">
        <v>922</v>
      </c>
      <c r="C14" s="26" t="s">
        <v>166</v>
      </c>
      <c r="D14" s="30">
        <v>40</v>
      </c>
      <c r="E14" s="28">
        <v>1017.774</v>
      </c>
      <c r="F14" s="29">
        <v>5.3286571143822803</v>
      </c>
    </row>
    <row r="15" spans="1:6" x14ac:dyDescent="0.2">
      <c r="A15" s="26" t="s">
        <v>925</v>
      </c>
      <c r="B15" s="26" t="s">
        <v>924</v>
      </c>
      <c r="C15" s="26" t="s">
        <v>539</v>
      </c>
      <c r="D15" s="30">
        <v>800</v>
      </c>
      <c r="E15" s="28">
        <v>820.38160000000005</v>
      </c>
      <c r="F15" s="29">
        <v>4.29518955028162</v>
      </c>
    </row>
    <row r="16" spans="1:6" x14ac:dyDescent="0.2">
      <c r="A16" s="26" t="s">
        <v>657</v>
      </c>
      <c r="B16" s="26" t="s">
        <v>656</v>
      </c>
      <c r="C16" s="26" t="s">
        <v>166</v>
      </c>
      <c r="D16" s="30">
        <v>62</v>
      </c>
      <c r="E16" s="28">
        <v>627.77603999999997</v>
      </c>
      <c r="F16" s="29">
        <v>3.2867839636154401</v>
      </c>
    </row>
    <row r="17" spans="1:9" x14ac:dyDescent="0.2">
      <c r="A17" s="26" t="s">
        <v>927</v>
      </c>
      <c r="B17" s="26" t="s">
        <v>926</v>
      </c>
      <c r="C17" s="26" t="s">
        <v>166</v>
      </c>
      <c r="D17" s="30">
        <v>40</v>
      </c>
      <c r="E17" s="28">
        <v>518.63400000000001</v>
      </c>
      <c r="F17" s="29">
        <v>2.7153599461771898</v>
      </c>
    </row>
    <row r="18" spans="1:9" x14ac:dyDescent="0.2">
      <c r="A18" s="26" t="s">
        <v>929</v>
      </c>
      <c r="B18" s="26" t="s">
        <v>928</v>
      </c>
      <c r="C18" s="26" t="s">
        <v>166</v>
      </c>
      <c r="D18" s="30">
        <v>50</v>
      </c>
      <c r="E18" s="28">
        <v>516.68200000000002</v>
      </c>
      <c r="F18" s="29">
        <v>2.7051400558210998</v>
      </c>
    </row>
    <row r="19" spans="1:9" x14ac:dyDescent="0.2">
      <c r="A19" s="26" t="s">
        <v>931</v>
      </c>
      <c r="B19" s="26" t="s">
        <v>930</v>
      </c>
      <c r="C19" s="26" t="s">
        <v>166</v>
      </c>
      <c r="D19" s="30">
        <v>50</v>
      </c>
      <c r="E19" s="28">
        <v>515.08849999999995</v>
      </c>
      <c r="F19" s="29">
        <v>2.6967971279100298</v>
      </c>
    </row>
    <row r="20" spans="1:9" x14ac:dyDescent="0.2">
      <c r="A20" s="26" t="s">
        <v>885</v>
      </c>
      <c r="B20" s="26" t="s">
        <v>884</v>
      </c>
      <c r="C20" s="26" t="s">
        <v>166</v>
      </c>
      <c r="D20" s="30">
        <v>44</v>
      </c>
      <c r="E20" s="28">
        <v>448.0102</v>
      </c>
      <c r="F20" s="29">
        <v>2.3456020094302201</v>
      </c>
    </row>
    <row r="21" spans="1:9" x14ac:dyDescent="0.2">
      <c r="A21" s="26" t="s">
        <v>893</v>
      </c>
      <c r="B21" s="26" t="s">
        <v>892</v>
      </c>
      <c r="C21" s="26" t="s">
        <v>166</v>
      </c>
      <c r="D21" s="30">
        <v>38</v>
      </c>
      <c r="E21" s="28">
        <v>389.09606000000002</v>
      </c>
      <c r="F21" s="29">
        <v>2.0371511635167701</v>
      </c>
    </row>
    <row r="22" spans="1:9" x14ac:dyDescent="0.2">
      <c r="A22" s="26" t="s">
        <v>333</v>
      </c>
      <c r="B22" s="26" t="s">
        <v>332</v>
      </c>
      <c r="C22" s="26" t="s">
        <v>166</v>
      </c>
      <c r="D22" s="30">
        <v>25</v>
      </c>
      <c r="E22" s="28">
        <v>256.07675</v>
      </c>
      <c r="F22" s="29">
        <v>1.3407153215894601</v>
      </c>
    </row>
    <row r="23" spans="1:9" x14ac:dyDescent="0.2">
      <c r="A23" s="26" t="s">
        <v>671</v>
      </c>
      <c r="B23" s="26" t="s">
        <v>670</v>
      </c>
      <c r="C23" s="26" t="s">
        <v>166</v>
      </c>
      <c r="D23" s="30">
        <v>20</v>
      </c>
      <c r="E23" s="28">
        <v>204.73500000000001</v>
      </c>
      <c r="F23" s="29">
        <v>1.07191047748622</v>
      </c>
    </row>
    <row r="24" spans="1:9" x14ac:dyDescent="0.2">
      <c r="A24" s="26" t="s">
        <v>899</v>
      </c>
      <c r="B24" s="26" t="s">
        <v>898</v>
      </c>
      <c r="C24" s="26" t="s">
        <v>166</v>
      </c>
      <c r="D24" s="30">
        <v>15</v>
      </c>
      <c r="E24" s="28">
        <v>193.6798125</v>
      </c>
      <c r="F24" s="29">
        <v>1.01402994259074</v>
      </c>
    </row>
    <row r="25" spans="1:9" x14ac:dyDescent="0.2">
      <c r="A25" s="26" t="s">
        <v>825</v>
      </c>
      <c r="B25" s="26" t="s">
        <v>824</v>
      </c>
      <c r="C25" s="26" t="s">
        <v>166</v>
      </c>
      <c r="D25" s="30">
        <v>10</v>
      </c>
      <c r="E25" s="28">
        <v>123.7748</v>
      </c>
      <c r="F25" s="29">
        <v>0.64803528936801702</v>
      </c>
    </row>
    <row r="26" spans="1:9" x14ac:dyDescent="0.2">
      <c r="A26" s="26" t="s">
        <v>881</v>
      </c>
      <c r="B26" s="26" t="s">
        <v>880</v>
      </c>
      <c r="C26" s="26" t="s">
        <v>539</v>
      </c>
      <c r="D26" s="30">
        <v>1</v>
      </c>
      <c r="E26" s="28">
        <v>10.23996</v>
      </c>
      <c r="F26" s="29">
        <v>5.3612330148923103E-2</v>
      </c>
    </row>
    <row r="27" spans="1:9" ht="10.5" x14ac:dyDescent="0.25">
      <c r="A27" s="25" t="s">
        <v>167</v>
      </c>
      <c r="B27" s="25"/>
      <c r="C27" s="25"/>
      <c r="D27" s="31"/>
      <c r="E27" s="32">
        <f>SUM(E6:E26)</f>
        <v>14960.873522500004</v>
      </c>
      <c r="F27" s="33">
        <f>SUM(F6:F26)</f>
        <v>78.329142946315358</v>
      </c>
      <c r="G27" s="17"/>
      <c r="H27" s="17"/>
      <c r="I27" s="17"/>
    </row>
    <row r="28" spans="1:9" x14ac:dyDescent="0.2">
      <c r="A28" s="26"/>
      <c r="B28" s="26"/>
      <c r="C28" s="26"/>
      <c r="D28" s="27"/>
      <c r="E28" s="28"/>
      <c r="F28" s="29"/>
    </row>
    <row r="29" spans="1:9" ht="10.5" x14ac:dyDescent="0.25">
      <c r="A29" s="25" t="s">
        <v>168</v>
      </c>
      <c r="B29" s="26"/>
      <c r="C29" s="26"/>
      <c r="D29" s="27"/>
      <c r="E29" s="28"/>
      <c r="F29" s="29"/>
    </row>
    <row r="30" spans="1:9" x14ac:dyDescent="0.2">
      <c r="A30" s="26" t="s">
        <v>875</v>
      </c>
      <c r="B30" s="26" t="s">
        <v>874</v>
      </c>
      <c r="C30" s="26" t="s">
        <v>539</v>
      </c>
      <c r="D30" s="30">
        <v>150</v>
      </c>
      <c r="E30" s="28">
        <v>1527.981</v>
      </c>
      <c r="F30" s="29">
        <v>7.9998966630027502</v>
      </c>
    </row>
    <row r="31" spans="1:9" x14ac:dyDescent="0.2">
      <c r="A31" s="26" t="s">
        <v>915</v>
      </c>
      <c r="B31" s="26" t="s">
        <v>914</v>
      </c>
      <c r="C31" s="26" t="s">
        <v>166</v>
      </c>
      <c r="D31" s="30">
        <v>150</v>
      </c>
      <c r="E31" s="28">
        <v>1521.7725</v>
      </c>
      <c r="F31" s="29">
        <v>7.96739144308689</v>
      </c>
    </row>
    <row r="32" spans="1:9" ht="10.5" x14ac:dyDescent="0.25">
      <c r="A32" s="25" t="s">
        <v>167</v>
      </c>
      <c r="B32" s="25"/>
      <c r="C32" s="25"/>
      <c r="D32" s="31"/>
      <c r="E32" s="32">
        <f>SUM(E29:E31)</f>
        <v>3049.7534999999998</v>
      </c>
      <c r="F32" s="33">
        <f>SUM(F29:F31)</f>
        <v>15.96728810608964</v>
      </c>
      <c r="G32" s="17"/>
      <c r="H32" s="17"/>
      <c r="I32" s="17"/>
    </row>
    <row r="33" spans="1:9" x14ac:dyDescent="0.2">
      <c r="A33" s="26"/>
      <c r="B33" s="26"/>
      <c r="C33" s="26"/>
      <c r="D33" s="27"/>
      <c r="E33" s="28"/>
      <c r="F33" s="29"/>
    </row>
    <row r="34" spans="1:9" ht="10.5" x14ac:dyDescent="0.25">
      <c r="A34" s="25" t="s">
        <v>413</v>
      </c>
      <c r="B34" s="26"/>
      <c r="C34" s="26"/>
      <c r="D34" s="27"/>
      <c r="E34" s="28"/>
      <c r="F34" s="29"/>
    </row>
    <row r="35" spans="1:9" ht="10.5" x14ac:dyDescent="0.25">
      <c r="A35" s="25" t="s">
        <v>414</v>
      </c>
      <c r="B35" s="26"/>
      <c r="C35" s="26"/>
      <c r="D35" s="27"/>
      <c r="E35" s="28"/>
      <c r="F35" s="29"/>
    </row>
    <row r="36" spans="1:9" x14ac:dyDescent="0.2">
      <c r="A36" s="26" t="s">
        <v>431</v>
      </c>
      <c r="B36" s="26" t="s">
        <v>430</v>
      </c>
      <c r="C36" s="26" t="s">
        <v>420</v>
      </c>
      <c r="D36" s="30">
        <v>322</v>
      </c>
      <c r="E36" s="28">
        <v>315.40189800000002</v>
      </c>
      <c r="F36" s="29">
        <v>1.6513180408100201</v>
      </c>
    </row>
    <row r="37" spans="1:9" ht="10.5" x14ac:dyDescent="0.25">
      <c r="A37" s="25" t="s">
        <v>167</v>
      </c>
      <c r="B37" s="25"/>
      <c r="C37" s="25"/>
      <c r="D37" s="31"/>
      <c r="E37" s="32">
        <f>SUM(E35:E36)</f>
        <v>315.40189800000002</v>
      </c>
      <c r="F37" s="33">
        <f>SUM(F35:F36)</f>
        <v>1.6513180408100201</v>
      </c>
      <c r="G37" s="17"/>
      <c r="H37" s="17"/>
      <c r="I37" s="17"/>
    </row>
    <row r="38" spans="1:9" x14ac:dyDescent="0.2">
      <c r="A38" s="26"/>
      <c r="B38" s="26"/>
      <c r="C38" s="26"/>
      <c r="D38" s="27"/>
      <c r="E38" s="28"/>
      <c r="F38" s="29"/>
    </row>
    <row r="39" spans="1:9" ht="10.5" x14ac:dyDescent="0.25">
      <c r="A39" s="25" t="s">
        <v>205</v>
      </c>
      <c r="B39" s="25"/>
      <c r="C39" s="25"/>
      <c r="D39" s="31"/>
      <c r="E39" s="32">
        <f>E27+E32+E37</f>
        <v>18326.028920500004</v>
      </c>
      <c r="F39" s="33">
        <f>F27+F32+F37</f>
        <v>95.947749093215023</v>
      </c>
      <c r="G39" s="17"/>
      <c r="H39" s="17"/>
      <c r="I39" s="17"/>
    </row>
    <row r="40" spans="1:9" ht="10.5" x14ac:dyDescent="0.25">
      <c r="A40" s="25"/>
      <c r="B40" s="25"/>
      <c r="C40" s="25"/>
      <c r="D40" s="31"/>
      <c r="E40" s="32"/>
      <c r="F40" s="33"/>
      <c r="G40" s="17"/>
      <c r="H40" s="17"/>
      <c r="I40" s="17"/>
    </row>
    <row r="41" spans="1:9" ht="10.5" x14ac:dyDescent="0.25">
      <c r="A41" s="25" t="s">
        <v>207</v>
      </c>
      <c r="B41" s="25"/>
      <c r="C41" s="25"/>
      <c r="D41" s="31"/>
      <c r="E41" s="32">
        <f>E43-(E27+E32+E37)</f>
        <v>773.98029669999596</v>
      </c>
      <c r="F41" s="33">
        <f>F43-(F27+F32+F37)</f>
        <v>4.0522509067849768</v>
      </c>
      <c r="G41" s="17"/>
      <c r="H41" s="17"/>
      <c r="I41" s="17"/>
    </row>
    <row r="42" spans="1:9" ht="10.5" x14ac:dyDescent="0.25">
      <c r="A42" s="25"/>
      <c r="B42" s="25"/>
      <c r="C42" s="25"/>
      <c r="D42" s="31"/>
      <c r="E42" s="32"/>
      <c r="F42" s="33"/>
      <c r="G42" s="17"/>
      <c r="H42" s="17"/>
      <c r="I42" s="17"/>
    </row>
    <row r="43" spans="1:9" ht="10.5" x14ac:dyDescent="0.25">
      <c r="A43" s="34" t="s">
        <v>206</v>
      </c>
      <c r="B43" s="34"/>
      <c r="C43" s="34"/>
      <c r="D43" s="35"/>
      <c r="E43" s="36">
        <v>19100.0092172</v>
      </c>
      <c r="F43" s="37">
        <v>100</v>
      </c>
      <c r="G43" s="17"/>
      <c r="H43" s="17"/>
      <c r="I43" s="17"/>
    </row>
    <row r="45" spans="1:9" ht="10.5" x14ac:dyDescent="0.25">
      <c r="A45" s="17" t="s">
        <v>209</v>
      </c>
    </row>
    <row r="47" spans="1:9" ht="10.5" x14ac:dyDescent="0.25">
      <c r="A47" s="17" t="s">
        <v>210</v>
      </c>
    </row>
    <row r="48" spans="1:9" ht="10.5" x14ac:dyDescent="0.25">
      <c r="A48" s="17" t="s">
        <v>211</v>
      </c>
    </row>
    <row r="49" spans="1:5" ht="10.5" x14ac:dyDescent="0.25">
      <c r="A49" s="17" t="s">
        <v>212</v>
      </c>
      <c r="B49" s="17"/>
      <c r="C49" s="38" t="s">
        <v>214</v>
      </c>
      <c r="D49" s="18" t="s">
        <v>213</v>
      </c>
    </row>
    <row r="50" spans="1:5" x14ac:dyDescent="0.2">
      <c r="A50" s="10" t="s">
        <v>486</v>
      </c>
      <c r="C50" s="39">
        <v>11.6706</v>
      </c>
      <c r="D50" s="39">
        <v>12.240399999999999</v>
      </c>
    </row>
    <row r="51" spans="1:5" x14ac:dyDescent="0.2">
      <c r="A51" s="10" t="s">
        <v>783</v>
      </c>
      <c r="C51" s="39">
        <v>10.2415</v>
      </c>
      <c r="D51" s="39">
        <v>10.7415</v>
      </c>
    </row>
    <row r="52" spans="1:5" x14ac:dyDescent="0.2">
      <c r="A52" s="10" t="s">
        <v>488</v>
      </c>
      <c r="C52" s="39">
        <v>10.229900000000001</v>
      </c>
      <c r="D52" s="39">
        <v>10.3736</v>
      </c>
    </row>
    <row r="53" spans="1:5" x14ac:dyDescent="0.2">
      <c r="A53" s="10" t="s">
        <v>489</v>
      </c>
      <c r="C53" s="39">
        <v>11.729100000000001</v>
      </c>
      <c r="D53" s="39">
        <v>12.3018</v>
      </c>
    </row>
    <row r="54" spans="1:5" x14ac:dyDescent="0.2">
      <c r="A54" s="10" t="s">
        <v>521</v>
      </c>
      <c r="C54" s="39">
        <v>10.266400000000001</v>
      </c>
      <c r="D54" s="39">
        <v>10.7677</v>
      </c>
    </row>
    <row r="55" spans="1:5" x14ac:dyDescent="0.2">
      <c r="A55" s="10" t="s">
        <v>491</v>
      </c>
      <c r="C55" s="39">
        <v>10.2532</v>
      </c>
      <c r="D55" s="39">
        <v>10.398</v>
      </c>
    </row>
    <row r="57" spans="1:5" ht="10.5" x14ac:dyDescent="0.25">
      <c r="A57" s="17" t="s">
        <v>226</v>
      </c>
    </row>
    <row r="58" spans="1:5" ht="10.5" x14ac:dyDescent="0.25">
      <c r="A58" s="147" t="s">
        <v>401</v>
      </c>
      <c r="B58" s="148"/>
      <c r="C58" s="145" t="s">
        <v>402</v>
      </c>
      <c r="D58" s="146"/>
    </row>
    <row r="59" spans="1:5" ht="10.5" x14ac:dyDescent="0.25">
      <c r="A59" s="147"/>
      <c r="B59" s="148"/>
      <c r="C59" s="43" t="s">
        <v>403</v>
      </c>
      <c r="D59" s="44" t="s">
        <v>404</v>
      </c>
    </row>
    <row r="60" spans="1:5" x14ac:dyDescent="0.2">
      <c r="A60" s="141" t="s">
        <v>488</v>
      </c>
      <c r="B60" s="142"/>
      <c r="C60" s="45">
        <v>0.28023631300000001</v>
      </c>
      <c r="D60" s="45">
        <v>0.27010925790000001</v>
      </c>
    </row>
    <row r="61" spans="1:5" x14ac:dyDescent="0.2">
      <c r="A61" s="141" t="s">
        <v>491</v>
      </c>
      <c r="B61" s="142"/>
      <c r="C61" s="45">
        <v>0.28023631300000001</v>
      </c>
      <c r="D61" s="45">
        <v>0.27010925790000001</v>
      </c>
    </row>
    <row r="63" spans="1:5" ht="10.5" x14ac:dyDescent="0.25">
      <c r="A63" s="17" t="s">
        <v>228</v>
      </c>
      <c r="D63" s="41">
        <v>0.53173607383561639</v>
      </c>
      <c r="E63" s="15" t="s">
        <v>229</v>
      </c>
    </row>
    <row r="64" spans="1:5" ht="48" customHeight="1" x14ac:dyDescent="0.2">
      <c r="A64" s="139" t="s">
        <v>1596</v>
      </c>
      <c r="B64" s="140"/>
      <c r="C64" s="140"/>
      <c r="D64" s="140"/>
      <c r="E64" s="140"/>
    </row>
    <row r="65" spans="1:6" s="78" customFormat="1" ht="14.5" x14ac:dyDescent="0.2">
      <c r="A65" s="137"/>
      <c r="B65" s="138"/>
      <c r="C65" s="138"/>
      <c r="D65" s="138"/>
      <c r="E65" s="138"/>
      <c r="F65" s="83"/>
    </row>
    <row r="66" spans="1:6" ht="10.5" x14ac:dyDescent="0.25">
      <c r="A66" s="17" t="s">
        <v>230</v>
      </c>
      <c r="D66" s="40" t="s">
        <v>227</v>
      </c>
    </row>
  </sheetData>
  <mergeCells count="7">
    <mergeCell ref="A64:E64"/>
    <mergeCell ref="A61:B61"/>
    <mergeCell ref="A1:F1"/>
    <mergeCell ref="C58:D58"/>
    <mergeCell ref="A58:B58"/>
    <mergeCell ref="A59:B59"/>
    <mergeCell ref="A60:B60"/>
  </mergeCells>
  <conditionalFormatting sqref="F2:F3 F5:F65537">
    <cfRule type="cellIs" dxfId="3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3"/>
  <sheetViews>
    <sheetView workbookViewId="0">
      <selection sqref="A1:F1"/>
    </sheetView>
  </sheetViews>
  <sheetFormatPr defaultColWidth="9.1796875" defaultRowHeight="10" x14ac:dyDescent="0.2"/>
  <cols>
    <col min="1" max="1" width="38.7265625" style="10" bestFit="1" customWidth="1"/>
    <col min="2" max="2" width="51.81640625" style="10" bestFit="1" customWidth="1"/>
    <col min="3" max="3" width="25.1796875" style="10" bestFit="1" customWidth="1"/>
    <col min="4" max="4" width="14.7265625" style="11" bestFit="1" customWidth="1"/>
    <col min="5" max="5" width="23" style="15" bestFit="1" customWidth="1"/>
    <col min="6" max="6" width="14.7265625" style="16" bestFit="1" customWidth="1"/>
    <col min="7" max="7" width="4.7265625" style="10" bestFit="1" customWidth="1"/>
    <col min="8" max="16384" width="9.1796875" style="10"/>
  </cols>
  <sheetData>
    <row r="1" spans="1:6" s="1" customFormat="1" ht="14" x14ac:dyDescent="0.25">
      <c r="A1" s="143" t="s">
        <v>42</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5</v>
      </c>
      <c r="D4" s="106"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934</v>
      </c>
      <c r="B7" s="26" t="s">
        <v>933</v>
      </c>
      <c r="C7" s="26" t="s">
        <v>935</v>
      </c>
      <c r="D7" s="30">
        <v>158000</v>
      </c>
      <c r="E7" s="28">
        <v>1631.8240000000001</v>
      </c>
      <c r="F7" s="29">
        <v>3.8648330113967799</v>
      </c>
    </row>
    <row r="8" spans="1:6" x14ac:dyDescent="0.2">
      <c r="A8" s="26" t="s">
        <v>937</v>
      </c>
      <c r="B8" s="26" t="s">
        <v>936</v>
      </c>
      <c r="C8" s="26" t="s">
        <v>938</v>
      </c>
      <c r="D8" s="30">
        <v>205373</v>
      </c>
      <c r="E8" s="28">
        <v>1139.5120910000001</v>
      </c>
      <c r="F8" s="29">
        <v>2.6988351355186402</v>
      </c>
    </row>
    <row r="9" spans="1:6" x14ac:dyDescent="0.2">
      <c r="A9" s="26" t="s">
        <v>940</v>
      </c>
      <c r="B9" s="26" t="s">
        <v>939</v>
      </c>
      <c r="C9" s="26" t="s">
        <v>941</v>
      </c>
      <c r="D9" s="30">
        <v>109904</v>
      </c>
      <c r="E9" s="28">
        <v>1061.67264</v>
      </c>
      <c r="F9" s="29">
        <v>2.5144791756762799</v>
      </c>
    </row>
    <row r="10" spans="1:6" x14ac:dyDescent="0.2">
      <c r="A10" s="26" t="s">
        <v>943</v>
      </c>
      <c r="B10" s="26" t="s">
        <v>942</v>
      </c>
      <c r="C10" s="26" t="s">
        <v>935</v>
      </c>
      <c r="D10" s="30">
        <v>206475</v>
      </c>
      <c r="E10" s="28">
        <v>891.24933750000002</v>
      </c>
      <c r="F10" s="29">
        <v>2.11084642765121</v>
      </c>
    </row>
    <row r="11" spans="1:6" x14ac:dyDescent="0.2">
      <c r="A11" s="26" t="s">
        <v>945</v>
      </c>
      <c r="B11" s="26" t="s">
        <v>944</v>
      </c>
      <c r="C11" s="26" t="s">
        <v>935</v>
      </c>
      <c r="D11" s="30">
        <v>53853</v>
      </c>
      <c r="E11" s="28">
        <v>735.49734750000005</v>
      </c>
      <c r="F11" s="29">
        <v>1.7419614054044901</v>
      </c>
    </row>
    <row r="12" spans="1:6" x14ac:dyDescent="0.2">
      <c r="A12" s="26" t="s">
        <v>947</v>
      </c>
      <c r="B12" s="26" t="s">
        <v>946</v>
      </c>
      <c r="C12" s="26" t="s">
        <v>935</v>
      </c>
      <c r="D12" s="30">
        <v>206474</v>
      </c>
      <c r="E12" s="28">
        <v>716.05183199999999</v>
      </c>
      <c r="F12" s="29">
        <v>1.69590639565587</v>
      </c>
    </row>
    <row r="13" spans="1:6" x14ac:dyDescent="0.2">
      <c r="A13" s="26" t="s">
        <v>949</v>
      </c>
      <c r="B13" s="26" t="s">
        <v>948</v>
      </c>
      <c r="C13" s="26" t="s">
        <v>950</v>
      </c>
      <c r="D13" s="30">
        <v>40000</v>
      </c>
      <c r="E13" s="28">
        <v>528.82000000000005</v>
      </c>
      <c r="F13" s="29">
        <v>1.25246410954052</v>
      </c>
    </row>
    <row r="14" spans="1:6" x14ac:dyDescent="0.2">
      <c r="A14" s="26" t="s">
        <v>952</v>
      </c>
      <c r="B14" s="26" t="s">
        <v>951</v>
      </c>
      <c r="C14" s="26" t="s">
        <v>953</v>
      </c>
      <c r="D14" s="30">
        <v>79950</v>
      </c>
      <c r="E14" s="28">
        <v>506.12347499999998</v>
      </c>
      <c r="F14" s="29">
        <v>1.19870936695554</v>
      </c>
    </row>
    <row r="15" spans="1:6" x14ac:dyDescent="0.2">
      <c r="A15" s="26" t="s">
        <v>955</v>
      </c>
      <c r="B15" s="26" t="s">
        <v>954</v>
      </c>
      <c r="C15" s="26" t="s">
        <v>956</v>
      </c>
      <c r="D15" s="30">
        <v>190244</v>
      </c>
      <c r="E15" s="28">
        <v>471.51975399999998</v>
      </c>
      <c r="F15" s="29">
        <v>1.1167534677666799</v>
      </c>
    </row>
    <row r="16" spans="1:6" x14ac:dyDescent="0.2">
      <c r="A16" s="26" t="s">
        <v>958</v>
      </c>
      <c r="B16" s="26" t="s">
        <v>957</v>
      </c>
      <c r="C16" s="26" t="s">
        <v>959</v>
      </c>
      <c r="D16" s="30">
        <v>254936</v>
      </c>
      <c r="E16" s="28">
        <v>415.80061599999999</v>
      </c>
      <c r="F16" s="29">
        <v>0.98478754257561796</v>
      </c>
    </row>
    <row r="17" spans="1:6" x14ac:dyDescent="0.2">
      <c r="A17" s="26" t="s">
        <v>961</v>
      </c>
      <c r="B17" s="26" t="s">
        <v>960</v>
      </c>
      <c r="C17" s="26" t="s">
        <v>962</v>
      </c>
      <c r="D17" s="30">
        <v>66526</v>
      </c>
      <c r="E17" s="28">
        <v>403.44692700000002</v>
      </c>
      <c r="F17" s="29">
        <v>0.95552890619097797</v>
      </c>
    </row>
    <row r="18" spans="1:6" x14ac:dyDescent="0.2">
      <c r="A18" s="26" t="s">
        <v>964</v>
      </c>
      <c r="B18" s="26" t="s">
        <v>963</v>
      </c>
      <c r="C18" s="26" t="s">
        <v>965</v>
      </c>
      <c r="D18" s="30">
        <v>26468</v>
      </c>
      <c r="E18" s="28">
        <v>376.719044</v>
      </c>
      <c r="F18" s="29">
        <v>0.89222624331609002</v>
      </c>
    </row>
    <row r="19" spans="1:6" x14ac:dyDescent="0.2">
      <c r="A19" s="26" t="s">
        <v>967</v>
      </c>
      <c r="B19" s="26" t="s">
        <v>966</v>
      </c>
      <c r="C19" s="26" t="s">
        <v>968</v>
      </c>
      <c r="D19" s="30">
        <v>60000</v>
      </c>
      <c r="E19" s="28">
        <v>359.04</v>
      </c>
      <c r="F19" s="29">
        <v>0.85035496745476202</v>
      </c>
    </row>
    <row r="20" spans="1:6" x14ac:dyDescent="0.2">
      <c r="A20" s="26" t="s">
        <v>970</v>
      </c>
      <c r="B20" s="26" t="s">
        <v>969</v>
      </c>
      <c r="C20" s="26" t="s">
        <v>956</v>
      </c>
      <c r="D20" s="30">
        <v>168573</v>
      </c>
      <c r="E20" s="28">
        <v>345.15321749999998</v>
      </c>
      <c r="F20" s="29">
        <v>0.81746533264850396</v>
      </c>
    </row>
    <row r="21" spans="1:6" x14ac:dyDescent="0.2">
      <c r="A21" s="26" t="s">
        <v>972</v>
      </c>
      <c r="B21" s="26" t="s">
        <v>971</v>
      </c>
      <c r="C21" s="26" t="s">
        <v>973</v>
      </c>
      <c r="D21" s="30">
        <v>156244</v>
      </c>
      <c r="E21" s="28">
        <v>335.9246</v>
      </c>
      <c r="F21" s="29">
        <v>0.79560815591648304</v>
      </c>
    </row>
    <row r="22" spans="1:6" x14ac:dyDescent="0.2">
      <c r="A22" s="26" t="s">
        <v>975</v>
      </c>
      <c r="B22" s="26" t="s">
        <v>974</v>
      </c>
      <c r="C22" s="26" t="s">
        <v>976</v>
      </c>
      <c r="D22" s="30">
        <v>72000</v>
      </c>
      <c r="E22" s="28">
        <v>279.64800000000002</v>
      </c>
      <c r="F22" s="29">
        <v>0.66232193053361599</v>
      </c>
    </row>
    <row r="23" spans="1:6" x14ac:dyDescent="0.2">
      <c r="A23" s="26" t="s">
        <v>978</v>
      </c>
      <c r="B23" s="26" t="s">
        <v>977</v>
      </c>
      <c r="C23" s="26" t="s">
        <v>979</v>
      </c>
      <c r="D23" s="30">
        <v>74355</v>
      </c>
      <c r="E23" s="28">
        <v>272.36236500000001</v>
      </c>
      <c r="F23" s="29">
        <v>0.64506653861819596</v>
      </c>
    </row>
    <row r="24" spans="1:6" x14ac:dyDescent="0.2">
      <c r="A24" s="26" t="s">
        <v>981</v>
      </c>
      <c r="B24" s="26" t="s">
        <v>980</v>
      </c>
      <c r="C24" s="26" t="s">
        <v>982</v>
      </c>
      <c r="D24" s="30">
        <v>130625</v>
      </c>
      <c r="E24" s="28">
        <v>232.90437499999999</v>
      </c>
      <c r="F24" s="29">
        <v>0.551613726111845</v>
      </c>
    </row>
    <row r="25" spans="1:6" x14ac:dyDescent="0.2">
      <c r="A25" s="26" t="s">
        <v>984</v>
      </c>
      <c r="B25" s="26" t="s">
        <v>983</v>
      </c>
      <c r="C25" s="26" t="s">
        <v>982</v>
      </c>
      <c r="D25" s="30">
        <v>221251</v>
      </c>
      <c r="E25" s="28">
        <v>192.48837</v>
      </c>
      <c r="F25" s="29">
        <v>0.45589193852152998</v>
      </c>
    </row>
    <row r="26" spans="1:6" x14ac:dyDescent="0.2">
      <c r="A26" s="26" t="s">
        <v>986</v>
      </c>
      <c r="B26" s="26" t="s">
        <v>985</v>
      </c>
      <c r="C26" s="26" t="s">
        <v>976</v>
      </c>
      <c r="D26" s="30">
        <v>7072</v>
      </c>
      <c r="E26" s="28">
        <v>188.36979199999999</v>
      </c>
      <c r="F26" s="29">
        <v>0.446137445258524</v>
      </c>
    </row>
    <row r="27" spans="1:6" x14ac:dyDescent="0.2">
      <c r="A27" s="26" t="s">
        <v>988</v>
      </c>
      <c r="B27" s="26" t="s">
        <v>987</v>
      </c>
      <c r="C27" s="26" t="s">
        <v>973</v>
      </c>
      <c r="D27" s="30">
        <v>43000</v>
      </c>
      <c r="E27" s="28">
        <v>177.934</v>
      </c>
      <c r="F27" s="29">
        <v>0.42142118086869301</v>
      </c>
    </row>
    <row r="28" spans="1:6" x14ac:dyDescent="0.2">
      <c r="A28" s="26" t="s">
        <v>990</v>
      </c>
      <c r="B28" s="26" t="s">
        <v>989</v>
      </c>
      <c r="C28" s="26" t="s">
        <v>935</v>
      </c>
      <c r="D28" s="30">
        <v>88509</v>
      </c>
      <c r="E28" s="28">
        <v>169.4504805</v>
      </c>
      <c r="F28" s="29">
        <v>0.40132870385130198</v>
      </c>
    </row>
    <row r="29" spans="1:6" x14ac:dyDescent="0.2">
      <c r="A29" s="26" t="s">
        <v>992</v>
      </c>
      <c r="B29" s="26" t="s">
        <v>991</v>
      </c>
      <c r="C29" s="26" t="s">
        <v>962</v>
      </c>
      <c r="D29" s="30">
        <v>4923</v>
      </c>
      <c r="E29" s="28">
        <v>147.93368849999999</v>
      </c>
      <c r="F29" s="29">
        <v>0.35036805612154698</v>
      </c>
    </row>
    <row r="30" spans="1:6" x14ac:dyDescent="0.2">
      <c r="A30" s="26" t="s">
        <v>994</v>
      </c>
      <c r="B30" s="26" t="s">
        <v>993</v>
      </c>
      <c r="C30" s="26" t="s">
        <v>965</v>
      </c>
      <c r="D30" s="30">
        <v>15000</v>
      </c>
      <c r="E30" s="28">
        <v>142.7475</v>
      </c>
      <c r="F30" s="29">
        <v>0.33808502037864502</v>
      </c>
    </row>
    <row r="31" spans="1:6" x14ac:dyDescent="0.2">
      <c r="A31" s="26" t="s">
        <v>996</v>
      </c>
      <c r="B31" s="26" t="s">
        <v>995</v>
      </c>
      <c r="C31" s="26" t="s">
        <v>997</v>
      </c>
      <c r="D31" s="30">
        <v>32100</v>
      </c>
      <c r="E31" s="28">
        <v>128.92965000000001</v>
      </c>
      <c r="F31" s="29">
        <v>0.30535864619458503</v>
      </c>
    </row>
    <row r="32" spans="1:6" x14ac:dyDescent="0.2">
      <c r="A32" s="26" t="s">
        <v>999</v>
      </c>
      <c r="B32" s="26" t="s">
        <v>998</v>
      </c>
      <c r="C32" s="26" t="s">
        <v>965</v>
      </c>
      <c r="D32" s="30">
        <v>27182</v>
      </c>
      <c r="E32" s="28">
        <v>117.847561</v>
      </c>
      <c r="F32" s="29">
        <v>0.27911168365301398</v>
      </c>
    </row>
    <row r="33" spans="1:9" x14ac:dyDescent="0.2">
      <c r="A33" s="26" t="s">
        <v>1001</v>
      </c>
      <c r="B33" s="26" t="s">
        <v>1000</v>
      </c>
      <c r="C33" s="26" t="s">
        <v>935</v>
      </c>
      <c r="D33" s="30">
        <v>301582</v>
      </c>
      <c r="E33" s="28">
        <v>104.19658099999999</v>
      </c>
      <c r="F33" s="29">
        <v>0.246780526529502</v>
      </c>
    </row>
    <row r="34" spans="1:9" x14ac:dyDescent="0.2">
      <c r="A34" s="26" t="s">
        <v>1003</v>
      </c>
      <c r="B34" s="26" t="s">
        <v>1002</v>
      </c>
      <c r="C34" s="26" t="s">
        <v>962</v>
      </c>
      <c r="D34" s="30">
        <v>23121</v>
      </c>
      <c r="E34" s="28">
        <v>89.593874999999997</v>
      </c>
      <c r="F34" s="29">
        <v>0.21219528927075301</v>
      </c>
    </row>
    <row r="35" spans="1:9" x14ac:dyDescent="0.2">
      <c r="A35" s="26" t="s">
        <v>1005</v>
      </c>
      <c r="B35" s="26" t="s">
        <v>1004</v>
      </c>
      <c r="C35" s="26" t="s">
        <v>1006</v>
      </c>
      <c r="D35" s="30">
        <v>65910</v>
      </c>
      <c r="E35" s="28">
        <v>82.189769999999996</v>
      </c>
      <c r="F35" s="29">
        <v>0.19465931147912299</v>
      </c>
    </row>
    <row r="36" spans="1:9" x14ac:dyDescent="0.2">
      <c r="A36" s="26" t="s">
        <v>1008</v>
      </c>
      <c r="B36" s="26" t="s">
        <v>1007</v>
      </c>
      <c r="C36" s="26" t="s">
        <v>962</v>
      </c>
      <c r="D36" s="30">
        <v>74940</v>
      </c>
      <c r="E36" s="28">
        <v>78.424710000000005</v>
      </c>
      <c r="F36" s="29">
        <v>0.18574209480754</v>
      </c>
    </row>
    <row r="37" spans="1:9" x14ac:dyDescent="0.2">
      <c r="A37" s="26" t="s">
        <v>1010</v>
      </c>
      <c r="B37" s="26" t="s">
        <v>1009</v>
      </c>
      <c r="C37" s="26" t="s">
        <v>1011</v>
      </c>
      <c r="D37" s="30">
        <v>153047</v>
      </c>
      <c r="E37" s="28">
        <v>58.693524500000002</v>
      </c>
      <c r="F37" s="29">
        <v>0.13901050054590799</v>
      </c>
    </row>
    <row r="38" spans="1:9" x14ac:dyDescent="0.2">
      <c r="A38" s="26" t="s">
        <v>1012</v>
      </c>
      <c r="B38" s="26" t="s">
        <v>1570</v>
      </c>
      <c r="C38" s="26" t="s">
        <v>1006</v>
      </c>
      <c r="D38" s="30">
        <v>7703</v>
      </c>
      <c r="E38" s="28">
        <v>5.3689910000000003</v>
      </c>
      <c r="F38" s="29">
        <v>1.27159875419728E-2</v>
      </c>
    </row>
    <row r="39" spans="1:9" x14ac:dyDescent="0.2">
      <c r="A39" s="26" t="s">
        <v>1014</v>
      </c>
      <c r="B39" s="26" t="s">
        <v>1013</v>
      </c>
      <c r="C39" s="26" t="s">
        <v>1015</v>
      </c>
      <c r="D39" s="30">
        <v>984</v>
      </c>
      <c r="E39" s="28">
        <v>1.27182</v>
      </c>
      <c r="F39" s="29">
        <v>3.0121948939068502E-3</v>
      </c>
    </row>
    <row r="40" spans="1:9" ht="10.5" x14ac:dyDescent="0.25">
      <c r="A40" s="25" t="s">
        <v>167</v>
      </c>
      <c r="B40" s="25"/>
      <c r="C40" s="25"/>
      <c r="D40" s="31"/>
      <c r="E40" s="32">
        <f>SUM(E7:E39)</f>
        <v>12388.709934999999</v>
      </c>
      <c r="F40" s="33">
        <f>SUM(F7:F39)</f>
        <v>29.341580418848647</v>
      </c>
      <c r="G40" s="17"/>
      <c r="H40" s="17"/>
      <c r="I40" s="17"/>
    </row>
    <row r="41" spans="1:9" x14ac:dyDescent="0.2">
      <c r="A41" s="26"/>
      <c r="B41" s="26"/>
      <c r="C41" s="26"/>
      <c r="D41" s="27"/>
      <c r="E41" s="28"/>
      <c r="F41" s="29"/>
    </row>
    <row r="42" spans="1:9" ht="10.5" x14ac:dyDescent="0.25">
      <c r="A42" s="25" t="s">
        <v>69</v>
      </c>
      <c r="B42" s="26"/>
      <c r="C42" s="26"/>
      <c r="D42" s="27"/>
      <c r="E42" s="28"/>
      <c r="F42" s="29"/>
    </row>
    <row r="43" spans="1:9" ht="10.5" x14ac:dyDescent="0.25">
      <c r="A43" s="25" t="s">
        <v>70</v>
      </c>
      <c r="B43" s="26"/>
      <c r="C43" s="26"/>
      <c r="D43" s="27"/>
      <c r="E43" s="28"/>
      <c r="F43" s="29"/>
    </row>
    <row r="44" spans="1:9" x14ac:dyDescent="0.2">
      <c r="A44" s="26" t="s">
        <v>1017</v>
      </c>
      <c r="B44" s="26" t="s">
        <v>1016</v>
      </c>
      <c r="C44" s="26" t="s">
        <v>139</v>
      </c>
      <c r="D44" s="30">
        <v>250</v>
      </c>
      <c r="E44" s="28">
        <v>2559.0100000000002</v>
      </c>
      <c r="F44" s="29">
        <v>6.0607922940797998</v>
      </c>
    </row>
    <row r="45" spans="1:9" x14ac:dyDescent="0.2">
      <c r="A45" s="26" t="s">
        <v>1019</v>
      </c>
      <c r="B45" s="26" t="s">
        <v>1018</v>
      </c>
      <c r="C45" s="26" t="s">
        <v>166</v>
      </c>
      <c r="D45" s="30">
        <v>200</v>
      </c>
      <c r="E45" s="28">
        <v>2079.328</v>
      </c>
      <c r="F45" s="29">
        <v>4.9247072575974098</v>
      </c>
    </row>
    <row r="46" spans="1:9" x14ac:dyDescent="0.2">
      <c r="A46" s="26" t="s">
        <v>1021</v>
      </c>
      <c r="B46" s="26" t="s">
        <v>1020</v>
      </c>
      <c r="C46" s="26" t="s">
        <v>166</v>
      </c>
      <c r="D46" s="30">
        <v>150</v>
      </c>
      <c r="E46" s="28">
        <v>1688.2335</v>
      </c>
      <c r="F46" s="29">
        <v>3.9984339988539999</v>
      </c>
    </row>
    <row r="47" spans="1:9" x14ac:dyDescent="0.2">
      <c r="A47" s="26" t="s">
        <v>713</v>
      </c>
      <c r="B47" s="26" t="s">
        <v>712</v>
      </c>
      <c r="C47" s="26" t="s">
        <v>166</v>
      </c>
      <c r="D47" s="30">
        <v>105</v>
      </c>
      <c r="E47" s="28">
        <v>1175.2502999999999</v>
      </c>
      <c r="F47" s="29">
        <v>2.7834779707210902</v>
      </c>
    </row>
    <row r="48" spans="1:9" x14ac:dyDescent="0.2">
      <c r="A48" s="26" t="s">
        <v>565</v>
      </c>
      <c r="B48" s="26" t="s">
        <v>564</v>
      </c>
      <c r="C48" s="26" t="s">
        <v>166</v>
      </c>
      <c r="D48" s="30">
        <v>60</v>
      </c>
      <c r="E48" s="28">
        <v>672.95399999999995</v>
      </c>
      <c r="F48" s="29">
        <v>1.59383293440439</v>
      </c>
    </row>
    <row r="49" spans="1:9" x14ac:dyDescent="0.2">
      <c r="A49" s="26" t="s">
        <v>320</v>
      </c>
      <c r="B49" s="26" t="s">
        <v>319</v>
      </c>
      <c r="C49" s="26" t="s">
        <v>73</v>
      </c>
      <c r="D49" s="30">
        <v>60</v>
      </c>
      <c r="E49" s="28">
        <v>564.96839999999997</v>
      </c>
      <c r="F49" s="29">
        <v>1.3380784463986399</v>
      </c>
    </row>
    <row r="50" spans="1:9" x14ac:dyDescent="0.2">
      <c r="A50" s="26" t="s">
        <v>649</v>
      </c>
      <c r="B50" s="26" t="s">
        <v>648</v>
      </c>
      <c r="C50" s="26" t="s">
        <v>166</v>
      </c>
      <c r="D50" s="30">
        <v>45</v>
      </c>
      <c r="E50" s="28">
        <v>499.31324999999998</v>
      </c>
      <c r="F50" s="29">
        <v>1.18257994221669</v>
      </c>
    </row>
    <row r="51" spans="1:9" x14ac:dyDescent="0.2">
      <c r="A51" s="26" t="s">
        <v>78</v>
      </c>
      <c r="B51" s="26" t="s">
        <v>77</v>
      </c>
      <c r="C51" s="26" t="s">
        <v>79</v>
      </c>
      <c r="D51" s="30">
        <v>50</v>
      </c>
      <c r="E51" s="28">
        <v>493.71100000000001</v>
      </c>
      <c r="F51" s="29">
        <v>1.16931150105018</v>
      </c>
    </row>
    <row r="52" spans="1:9" x14ac:dyDescent="0.2">
      <c r="A52" s="26" t="s">
        <v>659</v>
      </c>
      <c r="B52" s="26" t="s">
        <v>658</v>
      </c>
      <c r="C52" s="26" t="s">
        <v>166</v>
      </c>
      <c r="D52" s="30">
        <v>5</v>
      </c>
      <c r="E52" s="28">
        <v>56.13935</v>
      </c>
      <c r="F52" s="29">
        <v>0.13296116071240399</v>
      </c>
    </row>
    <row r="53" spans="1:9" ht="10.5" x14ac:dyDescent="0.25">
      <c r="A53" s="25" t="s">
        <v>167</v>
      </c>
      <c r="B53" s="25"/>
      <c r="C53" s="25"/>
      <c r="D53" s="31"/>
      <c r="E53" s="32">
        <f>SUM(E43:E52)</f>
        <v>9788.9077999999972</v>
      </c>
      <c r="F53" s="33">
        <f>SUM(F43:F52)</f>
        <v>23.184175506034606</v>
      </c>
      <c r="G53" s="17"/>
      <c r="H53" s="17"/>
      <c r="I53" s="17"/>
    </row>
    <row r="54" spans="1:9" x14ac:dyDescent="0.2">
      <c r="A54" s="26"/>
      <c r="B54" s="26"/>
      <c r="C54" s="26"/>
      <c r="D54" s="27"/>
      <c r="E54" s="28"/>
      <c r="F54" s="29"/>
    </row>
    <row r="55" spans="1:9" ht="10.5" x14ac:dyDescent="0.25">
      <c r="A55" s="25" t="s">
        <v>168</v>
      </c>
      <c r="B55" s="26"/>
      <c r="C55" s="26"/>
      <c r="D55" s="27"/>
      <c r="E55" s="28"/>
      <c r="F55" s="29"/>
    </row>
    <row r="56" spans="1:9" x14ac:dyDescent="0.2">
      <c r="A56" s="26" t="s">
        <v>204</v>
      </c>
      <c r="B56" s="26" t="s">
        <v>203</v>
      </c>
      <c r="C56" s="26" t="s">
        <v>73</v>
      </c>
      <c r="D56" s="30">
        <v>14</v>
      </c>
      <c r="E56" s="28">
        <v>1880.2098000000001</v>
      </c>
      <c r="F56" s="29">
        <v>4.4531131441820504</v>
      </c>
    </row>
    <row r="57" spans="1:9" ht="10.5" x14ac:dyDescent="0.25">
      <c r="A57" s="25" t="s">
        <v>167</v>
      </c>
      <c r="B57" s="25"/>
      <c r="C57" s="25"/>
      <c r="D57" s="31"/>
      <c r="E57" s="32">
        <f>SUM(E55:E56)</f>
        <v>1880.2098000000001</v>
      </c>
      <c r="F57" s="33">
        <f>SUM(F55:F56)</f>
        <v>4.4531131441820504</v>
      </c>
      <c r="G57" s="17"/>
      <c r="H57" s="17"/>
      <c r="I57" s="17"/>
    </row>
    <row r="58" spans="1:9" x14ac:dyDescent="0.2">
      <c r="A58" s="26"/>
      <c r="B58" s="26"/>
      <c r="C58" s="26"/>
      <c r="D58" s="27"/>
      <c r="E58" s="28"/>
      <c r="F58" s="29"/>
    </row>
    <row r="59" spans="1:9" ht="10.5" x14ac:dyDescent="0.25">
      <c r="A59" s="25" t="s">
        <v>413</v>
      </c>
      <c r="B59" s="26"/>
      <c r="C59" s="26"/>
      <c r="D59" s="27"/>
      <c r="E59" s="28"/>
      <c r="F59" s="29"/>
    </row>
    <row r="60" spans="1:9" ht="10.5" x14ac:dyDescent="0.25">
      <c r="A60" s="25" t="s">
        <v>414</v>
      </c>
      <c r="B60" s="26"/>
      <c r="C60" s="26"/>
      <c r="D60" s="27"/>
      <c r="E60" s="28"/>
      <c r="F60" s="29"/>
    </row>
    <row r="61" spans="1:9" x14ac:dyDescent="0.2">
      <c r="A61" s="26" t="s">
        <v>416</v>
      </c>
      <c r="B61" s="26" t="s">
        <v>415</v>
      </c>
      <c r="C61" s="26" t="s">
        <v>417</v>
      </c>
      <c r="D61" s="30">
        <v>2000</v>
      </c>
      <c r="E61" s="28">
        <v>1963.4739999999999</v>
      </c>
      <c r="F61" s="29">
        <v>4.6503171495328397</v>
      </c>
    </row>
    <row r="62" spans="1:9" x14ac:dyDescent="0.2">
      <c r="A62" s="26" t="s">
        <v>419</v>
      </c>
      <c r="B62" s="26" t="s">
        <v>418</v>
      </c>
      <c r="C62" s="26" t="s">
        <v>420</v>
      </c>
      <c r="D62" s="30">
        <v>500</v>
      </c>
      <c r="E62" s="28">
        <v>489.67</v>
      </c>
      <c r="F62" s="29">
        <v>1.1597407445231001</v>
      </c>
    </row>
    <row r="63" spans="1:9" ht="10.5" x14ac:dyDescent="0.25">
      <c r="A63" s="25" t="s">
        <v>167</v>
      </c>
      <c r="B63" s="25"/>
      <c r="C63" s="25"/>
      <c r="D63" s="31"/>
      <c r="E63" s="32">
        <f>SUM(E60:E62)</f>
        <v>2453.1439999999998</v>
      </c>
      <c r="F63" s="33">
        <f>SUM(F60:F62)</f>
        <v>5.81005789405594</v>
      </c>
      <c r="G63" s="17"/>
      <c r="H63" s="17"/>
      <c r="I63" s="17"/>
    </row>
    <row r="64" spans="1:9" x14ac:dyDescent="0.2">
      <c r="A64" s="26"/>
      <c r="B64" s="26"/>
      <c r="C64" s="26"/>
      <c r="D64" s="27"/>
      <c r="E64" s="28"/>
      <c r="F64" s="29"/>
    </row>
    <row r="65" spans="1:9" ht="10.5" x14ac:dyDescent="0.25">
      <c r="A65" s="25" t="s">
        <v>523</v>
      </c>
      <c r="B65" s="26"/>
      <c r="C65" s="26"/>
      <c r="D65" s="27"/>
      <c r="E65" s="28"/>
      <c r="F65" s="29"/>
    </row>
    <row r="66" spans="1:9" x14ac:dyDescent="0.2">
      <c r="A66" s="26" t="s">
        <v>525</v>
      </c>
      <c r="B66" s="26" t="s">
        <v>524</v>
      </c>
      <c r="C66" s="26" t="s">
        <v>526</v>
      </c>
      <c r="D66" s="30">
        <v>8400000</v>
      </c>
      <c r="E66" s="28">
        <v>8369.5920000000006</v>
      </c>
      <c r="F66" s="29">
        <v>19.8226496567782</v>
      </c>
    </row>
    <row r="67" spans="1:9" x14ac:dyDescent="0.2">
      <c r="A67" s="26" t="s">
        <v>530</v>
      </c>
      <c r="B67" s="26" t="s">
        <v>529</v>
      </c>
      <c r="C67" s="26" t="s">
        <v>526</v>
      </c>
      <c r="D67" s="30">
        <v>2600000</v>
      </c>
      <c r="E67" s="28">
        <v>2832.8456000000001</v>
      </c>
      <c r="F67" s="29">
        <v>6.7093480614760601</v>
      </c>
    </row>
    <row r="68" spans="1:9" x14ac:dyDescent="0.2">
      <c r="A68" s="26" t="s">
        <v>681</v>
      </c>
      <c r="B68" s="26" t="s">
        <v>680</v>
      </c>
      <c r="C68" s="26" t="s">
        <v>526</v>
      </c>
      <c r="D68" s="30">
        <v>900000</v>
      </c>
      <c r="E68" s="28">
        <v>943.98209999999995</v>
      </c>
      <c r="F68" s="29">
        <v>2.2357393825851699</v>
      </c>
    </row>
    <row r="69" spans="1:9" x14ac:dyDescent="0.2">
      <c r="A69" s="26" t="s">
        <v>532</v>
      </c>
      <c r="B69" s="26" t="s">
        <v>531</v>
      </c>
      <c r="C69" s="26" t="s">
        <v>526</v>
      </c>
      <c r="D69" s="30">
        <v>400000</v>
      </c>
      <c r="E69" s="28">
        <v>432.9588</v>
      </c>
      <c r="F69" s="29">
        <v>1.0254252068940899</v>
      </c>
    </row>
    <row r="70" spans="1:9" ht="10.5" x14ac:dyDescent="0.25">
      <c r="A70" s="25" t="s">
        <v>167</v>
      </c>
      <c r="B70" s="25"/>
      <c r="C70" s="25"/>
      <c r="D70" s="31"/>
      <c r="E70" s="32">
        <f>SUM(E66:E69)</f>
        <v>12579.378500000001</v>
      </c>
      <c r="F70" s="33">
        <f>SUM(F66:F69)</f>
        <v>29.793162307733521</v>
      </c>
      <c r="G70" s="17"/>
      <c r="H70" s="17"/>
      <c r="I70" s="17"/>
    </row>
    <row r="71" spans="1:9" x14ac:dyDescent="0.2">
      <c r="A71" s="26"/>
      <c r="B71" s="26"/>
      <c r="C71" s="26"/>
      <c r="D71" s="27"/>
      <c r="E71" s="28"/>
      <c r="F71" s="29"/>
    </row>
    <row r="72" spans="1:9" ht="10.5" x14ac:dyDescent="0.25">
      <c r="A72" s="25" t="s">
        <v>205</v>
      </c>
      <c r="B72" s="25"/>
      <c r="C72" s="25"/>
      <c r="D72" s="31"/>
      <c r="E72" s="32">
        <f>E40+E53+E57+E63+E70</f>
        <v>39090.350034999996</v>
      </c>
      <c r="F72" s="33">
        <f>F40+F53+F57+F63+F70</f>
        <v>92.582089270854766</v>
      </c>
      <c r="G72" s="17"/>
      <c r="H72" s="17"/>
      <c r="I72" s="17"/>
    </row>
    <row r="73" spans="1:9" ht="10.5" x14ac:dyDescent="0.25">
      <c r="A73" s="25"/>
      <c r="B73" s="25"/>
      <c r="C73" s="25"/>
      <c r="D73" s="31"/>
      <c r="E73" s="32"/>
      <c r="F73" s="33"/>
      <c r="G73" s="17"/>
      <c r="H73" s="17"/>
      <c r="I73" s="17"/>
    </row>
    <row r="74" spans="1:9" ht="10.5" x14ac:dyDescent="0.25">
      <c r="A74" s="25" t="s">
        <v>207</v>
      </c>
      <c r="B74" s="25"/>
      <c r="C74" s="25"/>
      <c r="D74" s="31"/>
      <c r="E74" s="32">
        <f>E76-(E40+E53+E57+E63+E70)</f>
        <v>3132.017534000006</v>
      </c>
      <c r="F74" s="33">
        <f>F76-(F40+F53+F57+F63+F70)</f>
        <v>7.417910729145234</v>
      </c>
      <c r="G74" s="17"/>
      <c r="H74" s="17"/>
      <c r="I74" s="17"/>
    </row>
    <row r="75" spans="1:9" ht="10.5" x14ac:dyDescent="0.25">
      <c r="A75" s="25"/>
      <c r="B75" s="25"/>
      <c r="C75" s="25"/>
      <c r="D75" s="31"/>
      <c r="E75" s="32"/>
      <c r="F75" s="33"/>
      <c r="G75" s="17"/>
      <c r="H75" s="17"/>
      <c r="I75" s="17"/>
    </row>
    <row r="76" spans="1:9" ht="10.5" x14ac:dyDescent="0.25">
      <c r="A76" s="34" t="s">
        <v>206</v>
      </c>
      <c r="B76" s="34"/>
      <c r="C76" s="34"/>
      <c r="D76" s="35"/>
      <c r="E76" s="36">
        <v>42222.367569000002</v>
      </c>
      <c r="F76" s="37">
        <v>100</v>
      </c>
      <c r="G76" s="17"/>
      <c r="H76" s="17"/>
      <c r="I76" s="17"/>
    </row>
    <row r="77" spans="1:9" ht="10.5" x14ac:dyDescent="0.25">
      <c r="A77" s="84" t="s">
        <v>1551</v>
      </c>
      <c r="F77" s="104" t="s">
        <v>394</v>
      </c>
    </row>
    <row r="78" spans="1:9" ht="10.5" x14ac:dyDescent="0.25">
      <c r="A78" s="17" t="s">
        <v>209</v>
      </c>
    </row>
    <row r="80" spans="1:9" ht="10.5" x14ac:dyDescent="0.25">
      <c r="A80" s="17" t="s">
        <v>210</v>
      </c>
    </row>
    <row r="81" spans="1:6" ht="10.5" x14ac:dyDescent="0.25">
      <c r="A81" s="17" t="s">
        <v>211</v>
      </c>
    </row>
    <row r="82" spans="1:6" ht="10.5" x14ac:dyDescent="0.25">
      <c r="A82" s="17" t="s">
        <v>212</v>
      </c>
      <c r="B82" s="17"/>
      <c r="C82" s="38" t="s">
        <v>214</v>
      </c>
      <c r="D82" s="18" t="s">
        <v>213</v>
      </c>
    </row>
    <row r="83" spans="1:6" x14ac:dyDescent="0.2">
      <c r="A83" s="10" t="s">
        <v>486</v>
      </c>
      <c r="C83" s="39">
        <v>134.70580000000001</v>
      </c>
      <c r="D83" s="39">
        <v>133.3032</v>
      </c>
    </row>
    <row r="84" spans="1:6" x14ac:dyDescent="0.2">
      <c r="A84" s="10" t="s">
        <v>520</v>
      </c>
      <c r="C84" s="39">
        <v>16.617000000000001</v>
      </c>
      <c r="D84" s="39">
        <v>16.443999999999999</v>
      </c>
    </row>
    <row r="85" spans="1:6" x14ac:dyDescent="0.2">
      <c r="A85" s="10" t="s">
        <v>489</v>
      </c>
      <c r="C85" s="39">
        <v>141.57859999999999</v>
      </c>
      <c r="D85" s="39">
        <v>140.62039999999999</v>
      </c>
    </row>
    <row r="86" spans="1:6" x14ac:dyDescent="0.2">
      <c r="A86" s="10" t="s">
        <v>521</v>
      </c>
      <c r="C86" s="39">
        <v>17.700800000000001</v>
      </c>
      <c r="D86" s="39">
        <v>17.5778</v>
      </c>
    </row>
    <row r="88" spans="1:6" ht="10.5" x14ac:dyDescent="0.25">
      <c r="A88" s="17" t="s">
        <v>226</v>
      </c>
      <c r="D88" s="40" t="s">
        <v>227</v>
      </c>
    </row>
    <row r="90" spans="1:6" ht="10.5" x14ac:dyDescent="0.25">
      <c r="A90" s="17" t="s">
        <v>228</v>
      </c>
      <c r="D90" s="41">
        <v>4.8073480576996408</v>
      </c>
      <c r="E90" s="15" t="s">
        <v>229</v>
      </c>
    </row>
    <row r="91" spans="1:6" ht="44.5" customHeight="1" x14ac:dyDescent="0.2">
      <c r="A91" s="139" t="s">
        <v>1596</v>
      </c>
      <c r="B91" s="140"/>
      <c r="C91" s="140"/>
      <c r="D91" s="140"/>
      <c r="E91" s="140"/>
    </row>
    <row r="92" spans="1:6" s="78" customFormat="1" ht="14.5" x14ac:dyDescent="0.2">
      <c r="A92" s="137"/>
      <c r="B92" s="138"/>
      <c r="C92" s="138"/>
      <c r="D92" s="138"/>
      <c r="E92" s="138"/>
      <c r="F92" s="83"/>
    </row>
    <row r="93" spans="1:6" ht="10.5" x14ac:dyDescent="0.25">
      <c r="A93" s="17" t="s">
        <v>230</v>
      </c>
      <c r="D93" s="103" t="s">
        <v>227</v>
      </c>
    </row>
  </sheetData>
  <mergeCells count="2">
    <mergeCell ref="A1:F1"/>
    <mergeCell ref="A91:E91"/>
  </mergeCells>
  <conditionalFormatting sqref="F2:F3 F5:F76 F78:F65537">
    <cfRule type="cellIs" dxfId="32" priority="2" stopIfTrue="1" operator="between">
      <formula>0.009</formula>
      <formula>-0.009</formula>
    </cfRule>
  </conditionalFormatting>
  <conditionalFormatting sqref="F77">
    <cfRule type="cellIs" dxfId="3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19"/>
  <sheetViews>
    <sheetView workbookViewId="0">
      <selection sqref="A1:F1"/>
    </sheetView>
  </sheetViews>
  <sheetFormatPr defaultColWidth="9.1796875" defaultRowHeight="10" x14ac:dyDescent="0.2"/>
  <cols>
    <col min="1" max="1" width="38.7265625" style="10" bestFit="1" customWidth="1"/>
    <col min="2" max="2" width="51" style="10" bestFit="1" customWidth="1"/>
    <col min="3" max="3" width="25.1796875" style="10" bestFit="1" customWidth="1"/>
    <col min="4" max="4" width="14.7265625" style="11" bestFit="1" customWidth="1"/>
    <col min="5" max="5" width="23" style="15" bestFit="1" customWidth="1"/>
    <col min="6" max="6" width="14.7265625" style="16" bestFit="1" customWidth="1"/>
    <col min="7" max="7" width="6" style="10" bestFit="1" customWidth="1"/>
    <col min="8" max="16384" width="9.1796875" style="10"/>
  </cols>
  <sheetData>
    <row r="1" spans="1:6" s="1" customFormat="1" ht="14" x14ac:dyDescent="0.25">
      <c r="A1" s="143" t="s">
        <v>43</v>
      </c>
      <c r="B1" s="144"/>
      <c r="C1" s="144"/>
      <c r="D1" s="144"/>
      <c r="E1" s="144"/>
      <c r="F1" s="144"/>
    </row>
    <row r="2" spans="1:6" s="1" customFormat="1" ht="11.5" x14ac:dyDescent="0.25">
      <c r="A2" s="42" t="s">
        <v>232</v>
      </c>
      <c r="D2" s="6"/>
      <c r="E2" s="7"/>
      <c r="F2" s="14"/>
    </row>
    <row r="3" spans="1:6" s="1" customFormat="1" ht="11.5" x14ac:dyDescent="0.25">
      <c r="A3" s="12" t="s">
        <v>6</v>
      </c>
      <c r="B3" s="2"/>
      <c r="C3" s="3"/>
      <c r="D3" s="4"/>
      <c r="E3" s="5"/>
      <c r="F3" s="14"/>
    </row>
    <row r="4" spans="1:6" s="1" customFormat="1" ht="17.5" customHeight="1" x14ac:dyDescent="0.25">
      <c r="A4" s="8" t="s">
        <v>2</v>
      </c>
      <c r="B4" s="8" t="s">
        <v>0</v>
      </c>
      <c r="C4" s="76" t="s">
        <v>5</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63338</v>
      </c>
      <c r="E7" s="28">
        <v>611.84508000000005</v>
      </c>
      <c r="F7" s="29">
        <v>2.7955091588385801</v>
      </c>
    </row>
    <row r="8" spans="1:6" x14ac:dyDescent="0.2">
      <c r="A8" s="26" t="s">
        <v>943</v>
      </c>
      <c r="B8" s="26" t="s">
        <v>942</v>
      </c>
      <c r="C8" s="26" t="s">
        <v>935</v>
      </c>
      <c r="D8" s="30">
        <v>95488</v>
      </c>
      <c r="E8" s="28">
        <v>412.17395199999999</v>
      </c>
      <c r="F8" s="29">
        <v>1.8832153685875701</v>
      </c>
    </row>
    <row r="9" spans="1:6" x14ac:dyDescent="0.2">
      <c r="A9" s="26" t="s">
        <v>937</v>
      </c>
      <c r="B9" s="26" t="s">
        <v>936</v>
      </c>
      <c r="C9" s="26" t="s">
        <v>938</v>
      </c>
      <c r="D9" s="30">
        <v>61153</v>
      </c>
      <c r="E9" s="28">
        <v>339.30742049999998</v>
      </c>
      <c r="F9" s="29">
        <v>1.5502894975794199</v>
      </c>
    </row>
    <row r="10" spans="1:6" x14ac:dyDescent="0.2">
      <c r="A10" s="26" t="s">
        <v>934</v>
      </c>
      <c r="B10" s="26" t="s">
        <v>933</v>
      </c>
      <c r="C10" s="26" t="s">
        <v>935</v>
      </c>
      <c r="D10" s="30">
        <v>27986</v>
      </c>
      <c r="E10" s="28">
        <v>289.03940799999998</v>
      </c>
      <c r="F10" s="29">
        <v>1.3206158531654499</v>
      </c>
    </row>
    <row r="11" spans="1:6" x14ac:dyDescent="0.2">
      <c r="A11" s="26" t="s">
        <v>961</v>
      </c>
      <c r="B11" s="26" t="s">
        <v>960</v>
      </c>
      <c r="C11" s="26" t="s">
        <v>962</v>
      </c>
      <c r="D11" s="30">
        <v>47341</v>
      </c>
      <c r="E11" s="28">
        <v>287.09949449999999</v>
      </c>
      <c r="F11" s="29">
        <v>1.3117524232975399</v>
      </c>
    </row>
    <row r="12" spans="1:6" x14ac:dyDescent="0.2">
      <c r="A12" s="26" t="s">
        <v>970</v>
      </c>
      <c r="B12" s="26" t="s">
        <v>969</v>
      </c>
      <c r="C12" s="26" t="s">
        <v>956</v>
      </c>
      <c r="D12" s="30">
        <v>130586</v>
      </c>
      <c r="E12" s="28">
        <v>267.37483500000002</v>
      </c>
      <c r="F12" s="29">
        <v>1.2216308090365799</v>
      </c>
    </row>
    <row r="13" spans="1:6" x14ac:dyDescent="0.2">
      <c r="A13" s="26" t="s">
        <v>949</v>
      </c>
      <c r="B13" s="26" t="s">
        <v>948</v>
      </c>
      <c r="C13" s="26" t="s">
        <v>950</v>
      </c>
      <c r="D13" s="30">
        <v>20000</v>
      </c>
      <c r="E13" s="28">
        <v>264.41000000000003</v>
      </c>
      <c r="F13" s="29">
        <v>1.2080845312812001</v>
      </c>
    </row>
    <row r="14" spans="1:6" x14ac:dyDescent="0.2">
      <c r="A14" s="26" t="s">
        <v>981</v>
      </c>
      <c r="B14" s="26" t="s">
        <v>980</v>
      </c>
      <c r="C14" s="26" t="s">
        <v>982</v>
      </c>
      <c r="D14" s="30">
        <v>138926</v>
      </c>
      <c r="E14" s="28">
        <v>247.70505800000001</v>
      </c>
      <c r="F14" s="29">
        <v>1.13175995193038</v>
      </c>
    </row>
    <row r="15" spans="1:6" x14ac:dyDescent="0.2">
      <c r="A15" s="26" t="s">
        <v>1023</v>
      </c>
      <c r="B15" s="26" t="s">
        <v>1022</v>
      </c>
      <c r="C15" s="26" t="s">
        <v>976</v>
      </c>
      <c r="D15" s="30">
        <v>5300</v>
      </c>
      <c r="E15" s="28">
        <v>239.61564999999999</v>
      </c>
      <c r="F15" s="29">
        <v>1.0947995923675</v>
      </c>
    </row>
    <row r="16" spans="1:6" x14ac:dyDescent="0.2">
      <c r="A16" s="26" t="s">
        <v>967</v>
      </c>
      <c r="B16" s="26" t="s">
        <v>966</v>
      </c>
      <c r="C16" s="26" t="s">
        <v>968</v>
      </c>
      <c r="D16" s="30">
        <v>40000</v>
      </c>
      <c r="E16" s="28">
        <v>239.36</v>
      </c>
      <c r="F16" s="29">
        <v>1.0936315321185599</v>
      </c>
    </row>
    <row r="17" spans="1:6" x14ac:dyDescent="0.2">
      <c r="A17" s="26" t="s">
        <v>952</v>
      </c>
      <c r="B17" s="26" t="s">
        <v>951</v>
      </c>
      <c r="C17" s="26" t="s">
        <v>953</v>
      </c>
      <c r="D17" s="30">
        <v>34754</v>
      </c>
      <c r="E17" s="28">
        <v>220.01019700000001</v>
      </c>
      <c r="F17" s="29">
        <v>1.0052226304596199</v>
      </c>
    </row>
    <row r="18" spans="1:6" x14ac:dyDescent="0.2">
      <c r="A18" s="26" t="s">
        <v>945</v>
      </c>
      <c r="B18" s="26" t="s">
        <v>944</v>
      </c>
      <c r="C18" s="26" t="s">
        <v>935</v>
      </c>
      <c r="D18" s="30">
        <v>15909</v>
      </c>
      <c r="E18" s="28">
        <v>217.27716749999999</v>
      </c>
      <c r="F18" s="29">
        <v>0.99273546786182099</v>
      </c>
    </row>
    <row r="19" spans="1:6" x14ac:dyDescent="0.2">
      <c r="A19" s="26" t="s">
        <v>947</v>
      </c>
      <c r="B19" s="26" t="s">
        <v>946</v>
      </c>
      <c r="C19" s="26" t="s">
        <v>935</v>
      </c>
      <c r="D19" s="30">
        <v>60374</v>
      </c>
      <c r="E19" s="28">
        <v>209.37703200000001</v>
      </c>
      <c r="F19" s="29">
        <v>0.95663989094500401</v>
      </c>
    </row>
    <row r="20" spans="1:6" x14ac:dyDescent="0.2">
      <c r="A20" s="26" t="s">
        <v>975</v>
      </c>
      <c r="B20" s="26" t="s">
        <v>974</v>
      </c>
      <c r="C20" s="26" t="s">
        <v>976</v>
      </c>
      <c r="D20" s="30">
        <v>45000</v>
      </c>
      <c r="E20" s="28">
        <v>174.78</v>
      </c>
      <c r="F20" s="29">
        <v>0.79856667439706497</v>
      </c>
    </row>
    <row r="21" spans="1:6" x14ac:dyDescent="0.2">
      <c r="A21" s="26" t="s">
        <v>999</v>
      </c>
      <c r="B21" s="26" t="s">
        <v>998</v>
      </c>
      <c r="C21" s="26" t="s">
        <v>965</v>
      </c>
      <c r="D21" s="30">
        <v>37697</v>
      </c>
      <c r="E21" s="28">
        <v>163.43534349999999</v>
      </c>
      <c r="F21" s="29">
        <v>0.74673314302401295</v>
      </c>
    </row>
    <row r="22" spans="1:6" x14ac:dyDescent="0.2">
      <c r="A22" s="26" t="s">
        <v>958</v>
      </c>
      <c r="B22" s="26" t="s">
        <v>957</v>
      </c>
      <c r="C22" s="26" t="s">
        <v>959</v>
      </c>
      <c r="D22" s="30">
        <v>96457</v>
      </c>
      <c r="E22" s="28">
        <v>157.32136700000001</v>
      </c>
      <c r="F22" s="29">
        <v>0.71879849443180099</v>
      </c>
    </row>
    <row r="23" spans="1:6" x14ac:dyDescent="0.2">
      <c r="A23" s="26" t="s">
        <v>964</v>
      </c>
      <c r="B23" s="26" t="s">
        <v>963</v>
      </c>
      <c r="C23" s="26" t="s">
        <v>965</v>
      </c>
      <c r="D23" s="30">
        <v>9526</v>
      </c>
      <c r="E23" s="28">
        <v>135.58355800000001</v>
      </c>
      <c r="F23" s="29">
        <v>0.61947883633700396</v>
      </c>
    </row>
    <row r="24" spans="1:6" x14ac:dyDescent="0.2">
      <c r="A24" s="26" t="s">
        <v>988</v>
      </c>
      <c r="B24" s="26" t="s">
        <v>987</v>
      </c>
      <c r="C24" s="26" t="s">
        <v>973</v>
      </c>
      <c r="D24" s="30">
        <v>30000</v>
      </c>
      <c r="E24" s="28">
        <v>124.14</v>
      </c>
      <c r="F24" s="29">
        <v>0.56719342579043197</v>
      </c>
    </row>
    <row r="25" spans="1:6" x14ac:dyDescent="0.2">
      <c r="A25" s="26" t="s">
        <v>1003</v>
      </c>
      <c r="B25" s="26" t="s">
        <v>1002</v>
      </c>
      <c r="C25" s="26" t="s">
        <v>962</v>
      </c>
      <c r="D25" s="30">
        <v>25761</v>
      </c>
      <c r="E25" s="28">
        <v>99.823875000000001</v>
      </c>
      <c r="F25" s="29">
        <v>0.456093488294876</v>
      </c>
    </row>
    <row r="26" spans="1:6" x14ac:dyDescent="0.2">
      <c r="A26" s="26" t="s">
        <v>994</v>
      </c>
      <c r="B26" s="26" t="s">
        <v>993</v>
      </c>
      <c r="C26" s="26" t="s">
        <v>965</v>
      </c>
      <c r="D26" s="30">
        <v>10000</v>
      </c>
      <c r="E26" s="28">
        <v>95.165000000000006</v>
      </c>
      <c r="F26" s="29">
        <v>0.434807172267975</v>
      </c>
    </row>
    <row r="27" spans="1:6" x14ac:dyDescent="0.2">
      <c r="A27" s="26" t="s">
        <v>996</v>
      </c>
      <c r="B27" s="26" t="s">
        <v>995</v>
      </c>
      <c r="C27" s="26" t="s">
        <v>997</v>
      </c>
      <c r="D27" s="30">
        <v>20015</v>
      </c>
      <c r="E27" s="28">
        <v>80.390247500000001</v>
      </c>
      <c r="F27" s="29">
        <v>0.36730159400407397</v>
      </c>
    </row>
    <row r="28" spans="1:6" x14ac:dyDescent="0.2">
      <c r="A28" s="26" t="s">
        <v>990</v>
      </c>
      <c r="B28" s="26" t="s">
        <v>989</v>
      </c>
      <c r="C28" s="26" t="s">
        <v>935</v>
      </c>
      <c r="D28" s="30">
        <v>29755</v>
      </c>
      <c r="E28" s="28">
        <v>56.965947499999999</v>
      </c>
      <c r="F28" s="29">
        <v>0.260276388882897</v>
      </c>
    </row>
    <row r="29" spans="1:6" x14ac:dyDescent="0.2">
      <c r="A29" s="26" t="s">
        <v>1005</v>
      </c>
      <c r="B29" s="26" t="s">
        <v>1004</v>
      </c>
      <c r="C29" s="26" t="s">
        <v>1006</v>
      </c>
      <c r="D29" s="30">
        <v>35367</v>
      </c>
      <c r="E29" s="28">
        <v>44.102649</v>
      </c>
      <c r="F29" s="29">
        <v>0.20150420954360401</v>
      </c>
    </row>
    <row r="30" spans="1:6" x14ac:dyDescent="0.2">
      <c r="A30" s="26" t="s">
        <v>1008</v>
      </c>
      <c r="B30" s="26" t="s">
        <v>1007</v>
      </c>
      <c r="C30" s="26" t="s">
        <v>962</v>
      </c>
      <c r="D30" s="30">
        <v>40000</v>
      </c>
      <c r="E30" s="28">
        <v>41.86</v>
      </c>
      <c r="F30" s="29">
        <v>0.19125758662467801</v>
      </c>
    </row>
    <row r="31" spans="1:6" x14ac:dyDescent="0.2">
      <c r="A31" s="26" t="s">
        <v>1010</v>
      </c>
      <c r="B31" s="26" t="s">
        <v>1009</v>
      </c>
      <c r="C31" s="26" t="s">
        <v>1011</v>
      </c>
      <c r="D31" s="30">
        <v>97694</v>
      </c>
      <c r="E31" s="28">
        <v>37.465648999999999</v>
      </c>
      <c r="F31" s="29">
        <v>0.17117987599300699</v>
      </c>
    </row>
    <row r="32" spans="1:6" x14ac:dyDescent="0.2">
      <c r="A32" s="26" t="s">
        <v>1001</v>
      </c>
      <c r="B32" s="26" t="s">
        <v>1000</v>
      </c>
      <c r="C32" s="26" t="s">
        <v>935</v>
      </c>
      <c r="D32" s="30">
        <v>77000</v>
      </c>
      <c r="E32" s="28">
        <v>26.6035</v>
      </c>
      <c r="F32" s="29">
        <v>0.121550912703526</v>
      </c>
    </row>
    <row r="33" spans="1:9" x14ac:dyDescent="0.2">
      <c r="A33" s="26" t="s">
        <v>1012</v>
      </c>
      <c r="B33" s="26" t="s">
        <v>1570</v>
      </c>
      <c r="C33" s="26" t="s">
        <v>1006</v>
      </c>
      <c r="D33" s="30">
        <v>4133</v>
      </c>
      <c r="E33" s="28">
        <v>2.8807010000000002</v>
      </c>
      <c r="F33" s="29">
        <v>1.3161871023585601E-2</v>
      </c>
    </row>
    <row r="34" spans="1:9" x14ac:dyDescent="0.2">
      <c r="A34" s="26" t="s">
        <v>1014</v>
      </c>
      <c r="B34" s="26" t="s">
        <v>1013</v>
      </c>
      <c r="C34" s="26" t="s">
        <v>1015</v>
      </c>
      <c r="D34" s="30">
        <v>581</v>
      </c>
      <c r="E34" s="28">
        <v>0.75094249999999996</v>
      </c>
      <c r="F34" s="29">
        <v>3.4310427674128499E-3</v>
      </c>
    </row>
    <row r="35" spans="1:9" ht="10.5" x14ac:dyDescent="0.25">
      <c r="A35" s="25" t="s">
        <v>167</v>
      </c>
      <c r="B35" s="25"/>
      <c r="C35" s="25"/>
      <c r="D35" s="31"/>
      <c r="E35" s="32">
        <f>SUM(E7:E34)</f>
        <v>5085.8640745000002</v>
      </c>
      <c r="F35" s="33">
        <f>SUM(F7:F34)</f>
        <v>23.237221423555177</v>
      </c>
      <c r="G35" s="17"/>
      <c r="H35" s="17"/>
      <c r="I35" s="17"/>
    </row>
    <row r="36" spans="1:9" x14ac:dyDescent="0.2">
      <c r="A36" s="26"/>
      <c r="B36" s="26"/>
      <c r="C36" s="26"/>
      <c r="D36" s="27"/>
      <c r="E36" s="28"/>
      <c r="F36" s="29"/>
    </row>
    <row r="37" spans="1:9" ht="10.5" x14ac:dyDescent="0.25">
      <c r="A37" s="25" t="s">
        <v>69</v>
      </c>
      <c r="B37" s="26"/>
      <c r="C37" s="26"/>
      <c r="D37" s="27"/>
      <c r="E37" s="28"/>
      <c r="F37" s="29"/>
    </row>
    <row r="38" spans="1:9" ht="10.5" x14ac:dyDescent="0.25">
      <c r="A38" s="25" t="s">
        <v>70</v>
      </c>
      <c r="B38" s="26"/>
      <c r="C38" s="26"/>
      <c r="D38" s="27"/>
      <c r="E38" s="28"/>
      <c r="F38" s="29"/>
    </row>
    <row r="39" spans="1:9" x14ac:dyDescent="0.2">
      <c r="A39" s="26" t="s">
        <v>1019</v>
      </c>
      <c r="B39" s="26" t="s">
        <v>1018</v>
      </c>
      <c r="C39" s="26" t="s">
        <v>166</v>
      </c>
      <c r="D39" s="30">
        <v>200</v>
      </c>
      <c r="E39" s="28">
        <v>2079.328</v>
      </c>
      <c r="F39" s="29">
        <v>9.5004122092956909</v>
      </c>
    </row>
    <row r="40" spans="1:9" x14ac:dyDescent="0.2">
      <c r="A40" s="26" t="s">
        <v>659</v>
      </c>
      <c r="B40" s="26" t="s">
        <v>658</v>
      </c>
      <c r="C40" s="26" t="s">
        <v>166</v>
      </c>
      <c r="D40" s="30">
        <v>65</v>
      </c>
      <c r="E40" s="28">
        <v>729.81155000000001</v>
      </c>
      <c r="F40" s="29">
        <v>3.3344958371671098</v>
      </c>
    </row>
    <row r="41" spans="1:9" x14ac:dyDescent="0.2">
      <c r="A41" s="26" t="s">
        <v>713</v>
      </c>
      <c r="B41" s="26" t="s">
        <v>712</v>
      </c>
      <c r="C41" s="26" t="s">
        <v>166</v>
      </c>
      <c r="D41" s="30">
        <v>65</v>
      </c>
      <c r="E41" s="28">
        <v>727.53589999999997</v>
      </c>
      <c r="F41" s="29">
        <v>3.3240984332731198</v>
      </c>
    </row>
    <row r="42" spans="1:9" x14ac:dyDescent="0.2">
      <c r="A42" s="26" t="s">
        <v>565</v>
      </c>
      <c r="B42" s="26" t="s">
        <v>564</v>
      </c>
      <c r="C42" s="26" t="s">
        <v>166</v>
      </c>
      <c r="D42" s="30">
        <v>60</v>
      </c>
      <c r="E42" s="28">
        <v>672.95399999999995</v>
      </c>
      <c r="F42" s="29">
        <v>3.0747147145108298</v>
      </c>
    </row>
    <row r="43" spans="1:9" x14ac:dyDescent="0.2">
      <c r="A43" s="26" t="s">
        <v>320</v>
      </c>
      <c r="B43" s="26" t="s">
        <v>319</v>
      </c>
      <c r="C43" s="26" t="s">
        <v>73</v>
      </c>
      <c r="D43" s="30">
        <v>60</v>
      </c>
      <c r="E43" s="28">
        <v>564.96839999999997</v>
      </c>
      <c r="F43" s="29">
        <v>2.5813304515815898</v>
      </c>
    </row>
    <row r="44" spans="1:9" x14ac:dyDescent="0.2">
      <c r="A44" s="26" t="s">
        <v>649</v>
      </c>
      <c r="B44" s="26" t="s">
        <v>648</v>
      </c>
      <c r="C44" s="26" t="s">
        <v>166</v>
      </c>
      <c r="D44" s="30">
        <v>50</v>
      </c>
      <c r="E44" s="28">
        <v>554.79250000000002</v>
      </c>
      <c r="F44" s="29">
        <v>2.5348369476223498</v>
      </c>
    </row>
    <row r="45" spans="1:9" ht="10.5" x14ac:dyDescent="0.25">
      <c r="A45" s="25" t="s">
        <v>167</v>
      </c>
      <c r="B45" s="25"/>
      <c r="C45" s="25"/>
      <c r="D45" s="31"/>
      <c r="E45" s="32">
        <f>SUM(E38:E44)</f>
        <v>5329.3903499999997</v>
      </c>
      <c r="F45" s="33">
        <f>SUM(F38:F44)</f>
        <v>24.349888593450689</v>
      </c>
      <c r="G45" s="17"/>
      <c r="H45" s="17"/>
      <c r="I45" s="17"/>
    </row>
    <row r="46" spans="1:9" x14ac:dyDescent="0.2">
      <c r="A46" s="26"/>
      <c r="B46" s="26"/>
      <c r="C46" s="26"/>
      <c r="D46" s="27"/>
      <c r="E46" s="28"/>
      <c r="F46" s="29"/>
    </row>
    <row r="47" spans="1:9" ht="10.5" x14ac:dyDescent="0.25">
      <c r="A47" s="25" t="s">
        <v>413</v>
      </c>
      <c r="B47" s="26"/>
      <c r="C47" s="26"/>
      <c r="D47" s="27"/>
      <c r="E47" s="28"/>
      <c r="F47" s="29"/>
    </row>
    <row r="48" spans="1:9" ht="10.5" x14ac:dyDescent="0.25">
      <c r="A48" s="25" t="s">
        <v>414</v>
      </c>
      <c r="B48" s="26"/>
      <c r="C48" s="26"/>
      <c r="D48" s="27"/>
      <c r="E48" s="28"/>
      <c r="F48" s="29"/>
    </row>
    <row r="49" spans="1:9" x14ac:dyDescent="0.2">
      <c r="A49" s="26" t="s">
        <v>419</v>
      </c>
      <c r="B49" s="26" t="s">
        <v>418</v>
      </c>
      <c r="C49" s="26" t="s">
        <v>420</v>
      </c>
      <c r="D49" s="30">
        <v>2000</v>
      </c>
      <c r="E49" s="28">
        <v>1958.68</v>
      </c>
      <c r="F49" s="29">
        <v>8.9491736686579895</v>
      </c>
    </row>
    <row r="50" spans="1:9" ht="10.5" x14ac:dyDescent="0.25">
      <c r="A50" s="25" t="s">
        <v>167</v>
      </c>
      <c r="B50" s="25"/>
      <c r="C50" s="25"/>
      <c r="D50" s="31"/>
      <c r="E50" s="32">
        <f>SUM(E48:E49)</f>
        <v>1958.68</v>
      </c>
      <c r="F50" s="33">
        <f>SUM(F48:F49)</f>
        <v>8.9491736686579895</v>
      </c>
      <c r="G50" s="17"/>
      <c r="H50" s="17"/>
      <c r="I50" s="17"/>
    </row>
    <row r="51" spans="1:9" x14ac:dyDescent="0.2">
      <c r="A51" s="26"/>
      <c r="B51" s="26"/>
      <c r="C51" s="26"/>
      <c r="D51" s="27"/>
      <c r="E51" s="28"/>
      <c r="F51" s="29"/>
    </row>
    <row r="52" spans="1:9" ht="10.5" x14ac:dyDescent="0.25">
      <c r="A52" s="25" t="s">
        <v>523</v>
      </c>
      <c r="B52" s="26"/>
      <c r="C52" s="26"/>
      <c r="D52" s="27"/>
      <c r="E52" s="28"/>
      <c r="F52" s="29"/>
    </row>
    <row r="53" spans="1:9" x14ac:dyDescent="0.2">
      <c r="A53" s="26" t="s">
        <v>525</v>
      </c>
      <c r="B53" s="26" t="s">
        <v>524</v>
      </c>
      <c r="C53" s="26" t="s">
        <v>526</v>
      </c>
      <c r="D53" s="30">
        <v>6000000</v>
      </c>
      <c r="E53" s="28">
        <v>5978.28</v>
      </c>
      <c r="F53" s="29">
        <v>27.314653725909601</v>
      </c>
    </row>
    <row r="54" spans="1:9" x14ac:dyDescent="0.2">
      <c r="A54" s="26" t="s">
        <v>681</v>
      </c>
      <c r="B54" s="26" t="s">
        <v>680</v>
      </c>
      <c r="C54" s="26" t="s">
        <v>526</v>
      </c>
      <c r="D54" s="30">
        <v>800000</v>
      </c>
      <c r="E54" s="28">
        <v>839.09519999999998</v>
      </c>
      <c r="F54" s="29">
        <v>3.83381086718469</v>
      </c>
    </row>
    <row r="55" spans="1:9" x14ac:dyDescent="0.2">
      <c r="A55" s="26" t="s">
        <v>532</v>
      </c>
      <c r="B55" s="26" t="s">
        <v>531</v>
      </c>
      <c r="C55" s="26" t="s">
        <v>526</v>
      </c>
      <c r="D55" s="30">
        <v>200000</v>
      </c>
      <c r="E55" s="28">
        <v>216.4794</v>
      </c>
      <c r="F55" s="29">
        <v>0.98909048251214104</v>
      </c>
    </row>
    <row r="56" spans="1:9" ht="10.5" x14ac:dyDescent="0.25">
      <c r="A56" s="25" t="s">
        <v>167</v>
      </c>
      <c r="B56" s="25"/>
      <c r="C56" s="25"/>
      <c r="D56" s="31"/>
      <c r="E56" s="32">
        <f>SUM(E53:E55)</f>
        <v>7033.8545999999997</v>
      </c>
      <c r="F56" s="33">
        <f>SUM(F53:F55)</f>
        <v>32.137555075606429</v>
      </c>
      <c r="G56" s="17"/>
      <c r="H56" s="17"/>
      <c r="I56" s="17"/>
    </row>
    <row r="57" spans="1:9" x14ac:dyDescent="0.2">
      <c r="A57" s="26"/>
      <c r="B57" s="26"/>
      <c r="C57" s="26"/>
      <c r="D57" s="27"/>
      <c r="E57" s="28"/>
      <c r="F57" s="29"/>
    </row>
    <row r="58" spans="1:9" ht="10.5" x14ac:dyDescent="0.25">
      <c r="A58" s="25" t="s">
        <v>205</v>
      </c>
      <c r="B58" s="25"/>
      <c r="C58" s="25"/>
      <c r="D58" s="31"/>
      <c r="E58" s="32">
        <f>E35+E45+E50+E56</f>
        <v>19407.789024499998</v>
      </c>
      <c r="F58" s="33">
        <f>F35+F45+F50+F56</f>
        <v>88.673838761270289</v>
      </c>
      <c r="G58" s="17"/>
      <c r="H58" s="17"/>
      <c r="I58" s="17"/>
    </row>
    <row r="59" spans="1:9" ht="10.5" x14ac:dyDescent="0.25">
      <c r="A59" s="25"/>
      <c r="B59" s="25"/>
      <c r="C59" s="25"/>
      <c r="D59" s="31"/>
      <c r="E59" s="32"/>
      <c r="F59" s="33"/>
      <c r="G59" s="17"/>
      <c r="H59" s="17"/>
      <c r="I59" s="17"/>
    </row>
    <row r="60" spans="1:9" ht="10.5" x14ac:dyDescent="0.25">
      <c r="A60" s="25" t="s">
        <v>207</v>
      </c>
      <c r="B60" s="25"/>
      <c r="C60" s="25"/>
      <c r="D60" s="31"/>
      <c r="E60" s="32">
        <f>E62-(E35+E45+E50+E56)</f>
        <v>2478.9244590000017</v>
      </c>
      <c r="F60" s="33">
        <f>F62-(F35+F45+F50+F56)</f>
        <v>11.326161238729711</v>
      </c>
      <c r="G60" s="17"/>
      <c r="H60" s="17"/>
      <c r="I60" s="17"/>
    </row>
    <row r="61" spans="1:9" ht="10.5" x14ac:dyDescent="0.25">
      <c r="A61" s="25"/>
      <c r="B61" s="25"/>
      <c r="C61" s="25"/>
      <c r="D61" s="31"/>
      <c r="E61" s="32"/>
      <c r="F61" s="33"/>
      <c r="G61" s="17"/>
      <c r="H61" s="17"/>
      <c r="I61" s="17"/>
    </row>
    <row r="62" spans="1:9" ht="10.5" x14ac:dyDescent="0.25">
      <c r="A62" s="34" t="s">
        <v>206</v>
      </c>
      <c r="B62" s="34"/>
      <c r="C62" s="34"/>
      <c r="D62" s="35"/>
      <c r="E62" s="36">
        <v>21886.7134835</v>
      </c>
      <c r="F62" s="37">
        <v>100</v>
      </c>
      <c r="G62" s="17"/>
      <c r="H62" s="17"/>
      <c r="I62" s="17"/>
    </row>
    <row r="63" spans="1:9" ht="10.5" x14ac:dyDescent="0.25">
      <c r="A63" s="84" t="s">
        <v>1551</v>
      </c>
      <c r="F63" s="104" t="s">
        <v>394</v>
      </c>
    </row>
    <row r="64" spans="1:9" ht="10.5" x14ac:dyDescent="0.25">
      <c r="A64" s="17" t="s">
        <v>209</v>
      </c>
    </row>
    <row r="66" spans="1:4" ht="10.5" x14ac:dyDescent="0.25">
      <c r="A66" s="17" t="s">
        <v>210</v>
      </c>
    </row>
    <row r="67" spans="1:4" ht="10.5" x14ac:dyDescent="0.25">
      <c r="A67" s="17" t="s">
        <v>211</v>
      </c>
    </row>
    <row r="68" spans="1:4" ht="10.5" x14ac:dyDescent="0.25">
      <c r="A68" s="17" t="s">
        <v>212</v>
      </c>
      <c r="B68" s="17"/>
      <c r="C68" s="38" t="s">
        <v>214</v>
      </c>
      <c r="D68" s="18" t="s">
        <v>213</v>
      </c>
    </row>
    <row r="69" spans="1:4" x14ac:dyDescent="0.2">
      <c r="A69" s="10" t="s">
        <v>486</v>
      </c>
      <c r="C69" s="39">
        <v>59.2363</v>
      </c>
      <c r="D69" s="39">
        <v>58.859000000000002</v>
      </c>
    </row>
    <row r="70" spans="1:4" x14ac:dyDescent="0.2">
      <c r="A70" s="10" t="s">
        <v>487</v>
      </c>
      <c r="C70" s="39">
        <v>13.317500000000001</v>
      </c>
      <c r="D70" s="39">
        <v>12.724</v>
      </c>
    </row>
    <row r="71" spans="1:4" x14ac:dyDescent="0.2">
      <c r="A71" s="10" t="s">
        <v>488</v>
      </c>
      <c r="C71" s="39">
        <v>12.810600000000001</v>
      </c>
      <c r="D71" s="39">
        <v>12.174799999999999</v>
      </c>
    </row>
    <row r="72" spans="1:4" x14ac:dyDescent="0.2">
      <c r="A72" s="10" t="s">
        <v>489</v>
      </c>
      <c r="C72" s="39">
        <v>62.428400000000003</v>
      </c>
      <c r="D72" s="39">
        <v>62.302</v>
      </c>
    </row>
    <row r="73" spans="1:4" x14ac:dyDescent="0.2">
      <c r="A73" s="10" t="s">
        <v>490</v>
      </c>
      <c r="C73" s="39">
        <v>14.233700000000001</v>
      </c>
      <c r="D73" s="39">
        <v>13.6907</v>
      </c>
    </row>
    <row r="74" spans="1:4" x14ac:dyDescent="0.2">
      <c r="A74" s="10" t="s">
        <v>491</v>
      </c>
      <c r="C74" s="39">
        <v>13.6943</v>
      </c>
      <c r="D74" s="39">
        <v>13.1073</v>
      </c>
    </row>
    <row r="76" spans="1:4" ht="10.5" x14ac:dyDescent="0.25">
      <c r="A76" s="17" t="s">
        <v>226</v>
      </c>
    </row>
    <row r="77" spans="1:4" ht="10.5" x14ac:dyDescent="0.25">
      <c r="A77" s="147" t="s">
        <v>401</v>
      </c>
      <c r="B77" s="148"/>
      <c r="C77" s="145" t="s">
        <v>402</v>
      </c>
      <c r="D77" s="146"/>
    </row>
    <row r="78" spans="1:4" ht="10.5" x14ac:dyDescent="0.25">
      <c r="A78" s="147"/>
      <c r="B78" s="148"/>
      <c r="C78" s="43" t="s">
        <v>403</v>
      </c>
      <c r="D78" s="44" t="s">
        <v>404</v>
      </c>
    </row>
    <row r="79" spans="1:4" x14ac:dyDescent="0.2">
      <c r="A79" s="141" t="s">
        <v>487</v>
      </c>
      <c r="B79" s="142"/>
      <c r="C79" s="45">
        <v>0.41645485900000001</v>
      </c>
      <c r="D79" s="45">
        <v>0.40739380980000001</v>
      </c>
    </row>
    <row r="80" spans="1:4" x14ac:dyDescent="0.2">
      <c r="A80" s="141" t="s">
        <v>488</v>
      </c>
      <c r="B80" s="142"/>
      <c r="C80" s="45">
        <v>0.42778390199999999</v>
      </c>
      <c r="D80" s="45">
        <v>0.41392582659999999</v>
      </c>
    </row>
    <row r="81" spans="1:6" x14ac:dyDescent="0.2">
      <c r="A81" s="141" t="s">
        <v>490</v>
      </c>
      <c r="B81" s="142"/>
      <c r="C81" s="45">
        <v>0.41645485900000001</v>
      </c>
      <c r="D81" s="45">
        <v>0.40739380980000001</v>
      </c>
    </row>
    <row r="82" spans="1:6" x14ac:dyDescent="0.2">
      <c r="A82" s="141" t="s">
        <v>491</v>
      </c>
      <c r="B82" s="142"/>
      <c r="C82" s="45">
        <v>0.42778390199999999</v>
      </c>
      <c r="D82" s="45">
        <v>0.41392582659999999</v>
      </c>
    </row>
    <row r="84" spans="1:6" ht="10.5" x14ac:dyDescent="0.25">
      <c r="A84" s="17" t="s">
        <v>228</v>
      </c>
      <c r="D84" s="41">
        <v>5.5061332700426728</v>
      </c>
      <c r="E84" s="15" t="s">
        <v>229</v>
      </c>
    </row>
    <row r="85" spans="1:6" ht="46" customHeight="1" x14ac:dyDescent="0.2">
      <c r="A85" s="139" t="s">
        <v>1596</v>
      </c>
      <c r="B85" s="140"/>
      <c r="C85" s="140"/>
      <c r="D85" s="140"/>
      <c r="E85" s="140"/>
    </row>
    <row r="86" spans="1:6" s="78" customFormat="1" ht="14.5" x14ac:dyDescent="0.2">
      <c r="A86" s="137"/>
      <c r="B86" s="138"/>
      <c r="C86" s="138"/>
      <c r="D86" s="138"/>
      <c r="E86" s="138"/>
      <c r="F86" s="83"/>
    </row>
    <row r="87" spans="1:6" ht="10.5" x14ac:dyDescent="0.25">
      <c r="A87" s="17" t="s">
        <v>230</v>
      </c>
      <c r="D87" s="103" t="s">
        <v>227</v>
      </c>
    </row>
    <row r="91" spans="1:6" s="1" customFormat="1" ht="14" x14ac:dyDescent="0.25">
      <c r="A91" s="143" t="s">
        <v>1024</v>
      </c>
      <c r="B91" s="144"/>
      <c r="C91" s="144"/>
      <c r="D91" s="144"/>
      <c r="E91" s="144"/>
      <c r="F91" s="144"/>
    </row>
    <row r="92" spans="1:6" ht="10.5" x14ac:dyDescent="0.25">
      <c r="A92" s="17" t="s">
        <v>6</v>
      </c>
    </row>
    <row r="93" spans="1:6" s="1" customFormat="1" ht="17.5" customHeight="1" x14ac:dyDescent="0.25">
      <c r="A93" s="8" t="s">
        <v>2</v>
      </c>
      <c r="B93" s="8" t="s">
        <v>0</v>
      </c>
      <c r="C93" s="8" t="s">
        <v>5</v>
      </c>
      <c r="D93" s="106" t="s">
        <v>1</v>
      </c>
      <c r="E93" s="77" t="s">
        <v>3</v>
      </c>
      <c r="F93" s="77" t="s">
        <v>4</v>
      </c>
    </row>
    <row r="94" spans="1:6" ht="10.5" x14ac:dyDescent="0.25">
      <c r="A94" s="20" t="s">
        <v>69</v>
      </c>
      <c r="B94" s="21"/>
      <c r="C94" s="21"/>
      <c r="D94" s="86"/>
      <c r="E94" s="87"/>
      <c r="F94" s="88"/>
    </row>
    <row r="95" spans="1:6" ht="10.5" x14ac:dyDescent="0.25">
      <c r="A95" s="25" t="s">
        <v>70</v>
      </c>
      <c r="B95" s="26"/>
      <c r="C95" s="26"/>
      <c r="D95" s="90"/>
      <c r="E95" s="91"/>
      <c r="F95" s="92"/>
    </row>
    <row r="96" spans="1:6" x14ac:dyDescent="0.2">
      <c r="A96" s="26" t="s">
        <v>1026</v>
      </c>
      <c r="B96" s="26" t="s">
        <v>1025</v>
      </c>
      <c r="C96" s="26" t="s">
        <v>412</v>
      </c>
      <c r="D96" s="93">
        <v>50</v>
      </c>
      <c r="E96" s="107">
        <v>0</v>
      </c>
      <c r="F96" s="107">
        <v>100</v>
      </c>
    </row>
    <row r="97" spans="1:9" ht="10.5" x14ac:dyDescent="0.25">
      <c r="A97" s="25" t="s">
        <v>167</v>
      </c>
      <c r="B97" s="25"/>
      <c r="C97" s="25"/>
      <c r="D97" s="94"/>
      <c r="E97" s="109">
        <f>SUM(E95:E96)</f>
        <v>0</v>
      </c>
      <c r="F97" s="110">
        <f>SUM(F95:F96)</f>
        <v>100</v>
      </c>
      <c r="G97" s="17"/>
      <c r="H97" s="17"/>
      <c r="I97" s="17"/>
    </row>
    <row r="98" spans="1:9" x14ac:dyDescent="0.2">
      <c r="A98" s="26"/>
      <c r="B98" s="26"/>
      <c r="C98" s="26"/>
      <c r="D98" s="90"/>
      <c r="E98" s="111"/>
      <c r="F98" s="107"/>
    </row>
    <row r="99" spans="1:9" ht="10.5" x14ac:dyDescent="0.25">
      <c r="A99" s="25" t="s">
        <v>205</v>
      </c>
      <c r="B99" s="25"/>
      <c r="C99" s="25"/>
      <c r="D99" s="94"/>
      <c r="E99" s="109">
        <f>E97</f>
        <v>0</v>
      </c>
      <c r="F99" s="110">
        <f>F97</f>
        <v>100</v>
      </c>
      <c r="G99" s="17"/>
      <c r="H99" s="17"/>
      <c r="I99" s="17"/>
    </row>
    <row r="100" spans="1:9" ht="10.5" x14ac:dyDescent="0.25">
      <c r="A100" s="25"/>
      <c r="B100" s="25"/>
      <c r="C100" s="25"/>
      <c r="D100" s="94"/>
      <c r="E100" s="109"/>
      <c r="F100" s="110"/>
      <c r="G100" s="17"/>
      <c r="H100" s="17"/>
      <c r="I100" s="17"/>
    </row>
    <row r="101" spans="1:9" ht="10.5" x14ac:dyDescent="0.25">
      <c r="A101" s="25" t="s">
        <v>207</v>
      </c>
      <c r="B101" s="25"/>
      <c r="C101" s="25"/>
      <c r="D101" s="94"/>
      <c r="E101" s="109">
        <v>0</v>
      </c>
      <c r="F101" s="96">
        <v>0</v>
      </c>
      <c r="G101" s="17"/>
      <c r="H101" s="17"/>
      <c r="I101" s="17"/>
    </row>
    <row r="102" spans="1:9" ht="10.5" x14ac:dyDescent="0.25">
      <c r="A102" s="25"/>
      <c r="B102" s="25"/>
      <c r="C102" s="25"/>
      <c r="D102" s="94"/>
      <c r="E102" s="109"/>
      <c r="F102" s="110"/>
      <c r="G102" s="17"/>
      <c r="H102" s="17"/>
      <c r="I102" s="17"/>
    </row>
    <row r="103" spans="1:9" ht="10.5" x14ac:dyDescent="0.25">
      <c r="A103" s="34" t="s">
        <v>206</v>
      </c>
      <c r="B103" s="34"/>
      <c r="C103" s="34"/>
      <c r="D103" s="97"/>
      <c r="E103" s="112">
        <v>0</v>
      </c>
      <c r="F103" s="113">
        <v>100</v>
      </c>
      <c r="G103" s="17"/>
      <c r="H103" s="17"/>
      <c r="I103" s="17"/>
    </row>
    <row r="104" spans="1:9" ht="10.5" x14ac:dyDescent="0.25">
      <c r="A104" s="84" t="s">
        <v>209</v>
      </c>
      <c r="D104" s="79"/>
      <c r="E104" s="82"/>
      <c r="F104" s="85"/>
    </row>
    <row r="105" spans="1:9" ht="10.5" x14ac:dyDescent="0.25">
      <c r="A105" s="84" t="s">
        <v>1557</v>
      </c>
    </row>
    <row r="107" spans="1:9" ht="10.5" x14ac:dyDescent="0.25">
      <c r="A107" s="17" t="s">
        <v>210</v>
      </c>
    </row>
    <row r="108" spans="1:9" ht="10.5" x14ac:dyDescent="0.25">
      <c r="A108" s="17" t="s">
        <v>211</v>
      </c>
    </row>
    <row r="109" spans="1:9" ht="10.5" x14ac:dyDescent="0.25">
      <c r="A109" s="17" t="s">
        <v>212</v>
      </c>
      <c r="B109" s="17"/>
      <c r="C109" s="38" t="s">
        <v>214</v>
      </c>
      <c r="D109" s="18" t="s">
        <v>213</v>
      </c>
    </row>
    <row r="110" spans="1:9" x14ac:dyDescent="0.2">
      <c r="A110" s="10" t="s">
        <v>486</v>
      </c>
      <c r="C110" s="114" t="s">
        <v>1563</v>
      </c>
      <c r="D110" s="39">
        <v>0</v>
      </c>
    </row>
    <row r="111" spans="1:9" x14ac:dyDescent="0.2">
      <c r="A111" s="10" t="s">
        <v>487</v>
      </c>
      <c r="C111" s="114" t="s">
        <v>1563</v>
      </c>
      <c r="D111" s="39">
        <v>0</v>
      </c>
    </row>
    <row r="112" spans="1:9" x14ac:dyDescent="0.2">
      <c r="A112" s="10" t="s">
        <v>488</v>
      </c>
      <c r="C112" s="114" t="s">
        <v>1563</v>
      </c>
      <c r="D112" s="39">
        <v>0</v>
      </c>
    </row>
    <row r="113" spans="1:6" x14ac:dyDescent="0.2">
      <c r="A113" s="10" t="s">
        <v>489</v>
      </c>
      <c r="C113" s="114" t="s">
        <v>1563</v>
      </c>
      <c r="D113" s="39">
        <v>0</v>
      </c>
    </row>
    <row r="114" spans="1:6" x14ac:dyDescent="0.2">
      <c r="A114" s="10" t="s">
        <v>490</v>
      </c>
      <c r="C114" s="114" t="s">
        <v>1563</v>
      </c>
      <c r="D114" s="39">
        <v>0</v>
      </c>
    </row>
    <row r="115" spans="1:6" x14ac:dyDescent="0.2">
      <c r="A115" s="10" t="s">
        <v>491</v>
      </c>
      <c r="C115" s="114" t="s">
        <v>1563</v>
      </c>
      <c r="D115" s="39">
        <v>0</v>
      </c>
    </row>
    <row r="117" spans="1:6" s="78" customFormat="1" x14ac:dyDescent="0.2">
      <c r="A117" s="78" t="s">
        <v>1562</v>
      </c>
      <c r="D117" s="79"/>
      <c r="E117" s="82"/>
      <c r="F117" s="83"/>
    </row>
    <row r="118" spans="1:6" s="78" customFormat="1" x14ac:dyDescent="0.2">
      <c r="D118" s="79"/>
      <c r="E118" s="82"/>
      <c r="F118" s="83"/>
    </row>
    <row r="119" spans="1:6" ht="10.5" x14ac:dyDescent="0.25">
      <c r="A119" s="17" t="s">
        <v>226</v>
      </c>
      <c r="D119" s="40" t="s">
        <v>227</v>
      </c>
    </row>
  </sheetData>
  <mergeCells count="10">
    <mergeCell ref="A81:B81"/>
    <mergeCell ref="A82:B82"/>
    <mergeCell ref="A91:F91"/>
    <mergeCell ref="A1:F1"/>
    <mergeCell ref="C77:D77"/>
    <mergeCell ref="A77:B77"/>
    <mergeCell ref="A78:B78"/>
    <mergeCell ref="A79:B79"/>
    <mergeCell ref="A80:B80"/>
    <mergeCell ref="A85:E85"/>
  </mergeCells>
  <conditionalFormatting sqref="F2:F3 F105:F65538 F5:F90 F92">
    <cfRule type="cellIs" dxfId="30" priority="3" stopIfTrue="1" operator="between">
      <formula>0.009</formula>
      <formula>-0.009</formula>
    </cfRule>
  </conditionalFormatting>
  <conditionalFormatting sqref="F94:F95 F104">
    <cfRule type="cellIs" dxfId="29" priority="2" stopIfTrue="1" operator="between">
      <formula>0.009</formula>
      <formula>-0.009</formula>
    </cfRule>
  </conditionalFormatting>
  <conditionalFormatting sqref="F96:F100 F102:F103">
    <cfRule type="cellIs" dxfId="2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88"/>
  <sheetViews>
    <sheetView workbookViewId="0">
      <selection sqref="A1:G1"/>
    </sheetView>
  </sheetViews>
  <sheetFormatPr defaultColWidth="9.1796875" defaultRowHeight="10" x14ac:dyDescent="0.2"/>
  <cols>
    <col min="1" max="1" width="38.7265625" style="10" bestFit="1" customWidth="1"/>
    <col min="2" max="2" width="51" style="10" bestFit="1" customWidth="1"/>
    <col min="3" max="3" width="35.7265625" style="10" bestFit="1" customWidth="1"/>
    <col min="4" max="4" width="14.7265625" style="11" bestFit="1" customWidth="1"/>
    <col min="5" max="5" width="23" style="15" bestFit="1" customWidth="1"/>
    <col min="6" max="6" width="13.54296875" style="16" bestFit="1" customWidth="1"/>
    <col min="7" max="7" width="15.7265625" style="108" customWidth="1"/>
    <col min="8" max="16384" width="9.1796875" style="10"/>
  </cols>
  <sheetData>
    <row r="1" spans="1:7" s="1" customFormat="1" ht="14" x14ac:dyDescent="0.25">
      <c r="A1" s="143" t="s">
        <v>44</v>
      </c>
      <c r="B1" s="144"/>
      <c r="C1" s="144"/>
      <c r="D1" s="144"/>
      <c r="E1" s="144"/>
      <c r="F1" s="144"/>
      <c r="G1" s="144"/>
    </row>
    <row r="2" spans="1:7" s="1" customFormat="1" ht="11.5" x14ac:dyDescent="0.25">
      <c r="D2" s="6"/>
      <c r="E2" s="7"/>
      <c r="F2" s="14"/>
      <c r="G2" s="124"/>
    </row>
    <row r="3" spans="1:7" s="1" customFormat="1" ht="11.5" x14ac:dyDescent="0.25">
      <c r="A3" s="12" t="s">
        <v>6</v>
      </c>
      <c r="B3" s="2"/>
      <c r="C3" s="3"/>
      <c r="D3" s="4"/>
      <c r="E3" s="5"/>
      <c r="F3" s="14"/>
      <c r="G3" s="124"/>
    </row>
    <row r="4" spans="1:7" s="1" customFormat="1" ht="24" customHeight="1" x14ac:dyDescent="0.25">
      <c r="A4" s="73" t="s">
        <v>2</v>
      </c>
      <c r="B4" s="73" t="s">
        <v>0</v>
      </c>
      <c r="C4" s="73" t="s">
        <v>5</v>
      </c>
      <c r="D4" s="75" t="s">
        <v>1</v>
      </c>
      <c r="E4" s="74" t="s">
        <v>3</v>
      </c>
      <c r="F4" s="74" t="s">
        <v>4</v>
      </c>
      <c r="G4" s="125" t="s">
        <v>1552</v>
      </c>
    </row>
    <row r="5" spans="1:7" ht="10.5" x14ac:dyDescent="0.25">
      <c r="A5" s="20" t="s">
        <v>932</v>
      </c>
      <c r="B5" s="21"/>
      <c r="C5" s="21"/>
      <c r="D5" s="22"/>
      <c r="E5" s="23"/>
      <c r="F5" s="24"/>
      <c r="G5" s="126"/>
    </row>
    <row r="6" spans="1:7" ht="10.5" x14ac:dyDescent="0.25">
      <c r="A6" s="25" t="s">
        <v>70</v>
      </c>
      <c r="B6" s="26"/>
      <c r="C6" s="26"/>
      <c r="D6" s="27"/>
      <c r="E6" s="28"/>
      <c r="F6" s="29"/>
      <c r="G6" s="126"/>
    </row>
    <row r="7" spans="1:7" x14ac:dyDescent="0.2">
      <c r="A7" s="26" t="s">
        <v>1028</v>
      </c>
      <c r="B7" s="26" t="s">
        <v>1027</v>
      </c>
      <c r="C7" s="26" t="s">
        <v>1029</v>
      </c>
      <c r="D7" s="30">
        <v>64500</v>
      </c>
      <c r="E7" s="28">
        <v>1149.3577499999999</v>
      </c>
      <c r="F7" s="29">
        <v>7.8294966703100402</v>
      </c>
      <c r="G7" s="127">
        <v>-7.8708</v>
      </c>
    </row>
    <row r="8" spans="1:7" x14ac:dyDescent="0.2">
      <c r="A8" s="26" t="s">
        <v>972</v>
      </c>
      <c r="B8" s="26" t="s">
        <v>971</v>
      </c>
      <c r="C8" s="26" t="s">
        <v>973</v>
      </c>
      <c r="D8" s="30">
        <v>439400</v>
      </c>
      <c r="E8" s="28">
        <v>944.71</v>
      </c>
      <c r="F8" s="29">
        <v>6.4354234348779498</v>
      </c>
      <c r="G8" s="127">
        <v>-4.8524000000000003</v>
      </c>
    </row>
    <row r="9" spans="1:7" x14ac:dyDescent="0.2">
      <c r="A9" s="26" t="s">
        <v>943</v>
      </c>
      <c r="B9" s="26" t="s">
        <v>942</v>
      </c>
      <c r="C9" s="26" t="s">
        <v>935</v>
      </c>
      <c r="D9" s="30">
        <v>177000</v>
      </c>
      <c r="E9" s="28">
        <v>764.02049999999997</v>
      </c>
      <c r="F9" s="29">
        <v>5.2045552925523904</v>
      </c>
      <c r="G9" s="127">
        <v>-2.4820000000000002</v>
      </c>
    </row>
    <row r="10" spans="1:7" x14ac:dyDescent="0.2">
      <c r="A10" s="26" t="s">
        <v>940</v>
      </c>
      <c r="B10" s="26" t="s">
        <v>939</v>
      </c>
      <c r="C10" s="26" t="s">
        <v>941</v>
      </c>
      <c r="D10" s="30">
        <v>77195</v>
      </c>
      <c r="E10" s="28">
        <v>745.70370000000003</v>
      </c>
      <c r="F10" s="29">
        <v>5.07978010866319</v>
      </c>
      <c r="G10" s="127"/>
    </row>
    <row r="11" spans="1:7" x14ac:dyDescent="0.2">
      <c r="A11" s="26" t="s">
        <v>947</v>
      </c>
      <c r="B11" s="26" t="s">
        <v>946</v>
      </c>
      <c r="C11" s="26" t="s">
        <v>935</v>
      </c>
      <c r="D11" s="30">
        <v>155061</v>
      </c>
      <c r="E11" s="28">
        <v>537.75154799999996</v>
      </c>
      <c r="F11" s="29">
        <v>3.6631970807349301</v>
      </c>
      <c r="G11" s="127">
        <v>-1.3066</v>
      </c>
    </row>
    <row r="12" spans="1:7" x14ac:dyDescent="0.2">
      <c r="A12" s="26" t="s">
        <v>937</v>
      </c>
      <c r="B12" s="26" t="s">
        <v>936</v>
      </c>
      <c r="C12" s="26" t="s">
        <v>938</v>
      </c>
      <c r="D12" s="30">
        <v>89951</v>
      </c>
      <c r="E12" s="28">
        <v>499.09312349999999</v>
      </c>
      <c r="F12" s="29">
        <v>3.39985348218854</v>
      </c>
      <c r="G12" s="127"/>
    </row>
    <row r="13" spans="1:7" x14ac:dyDescent="0.2">
      <c r="A13" s="26" t="s">
        <v>1031</v>
      </c>
      <c r="B13" s="26" t="s">
        <v>1030</v>
      </c>
      <c r="C13" s="26" t="s">
        <v>1011</v>
      </c>
      <c r="D13" s="30">
        <v>123000</v>
      </c>
      <c r="E13" s="28">
        <v>475.887</v>
      </c>
      <c r="F13" s="29">
        <v>3.24177192170482</v>
      </c>
      <c r="G13" s="127">
        <v>-3.2534999999999998</v>
      </c>
    </row>
    <row r="14" spans="1:7" x14ac:dyDescent="0.2">
      <c r="A14" s="26" t="s">
        <v>934</v>
      </c>
      <c r="B14" s="26" t="s">
        <v>933</v>
      </c>
      <c r="C14" s="26" t="s">
        <v>935</v>
      </c>
      <c r="D14" s="30">
        <v>29878</v>
      </c>
      <c r="E14" s="28">
        <v>308.57998400000002</v>
      </c>
      <c r="F14" s="29">
        <v>2.1020660949580998</v>
      </c>
      <c r="G14" s="127"/>
    </row>
    <row r="15" spans="1:7" x14ac:dyDescent="0.2">
      <c r="A15" s="26" t="s">
        <v>961</v>
      </c>
      <c r="B15" s="26" t="s">
        <v>960</v>
      </c>
      <c r="C15" s="26" t="s">
        <v>962</v>
      </c>
      <c r="D15" s="30">
        <v>50438</v>
      </c>
      <c r="E15" s="28">
        <v>305.88125100000002</v>
      </c>
      <c r="F15" s="29">
        <v>2.0836821574612201</v>
      </c>
      <c r="G15" s="127"/>
    </row>
    <row r="16" spans="1:7" x14ac:dyDescent="0.2">
      <c r="A16" s="26" t="s">
        <v>1033</v>
      </c>
      <c r="B16" s="26" t="s">
        <v>1032</v>
      </c>
      <c r="C16" s="26" t="s">
        <v>962</v>
      </c>
      <c r="D16" s="30">
        <v>4600</v>
      </c>
      <c r="E16" s="28">
        <v>288.0865</v>
      </c>
      <c r="F16" s="29">
        <v>1.96246320391651</v>
      </c>
      <c r="G16" s="127">
        <v>-1.9457</v>
      </c>
    </row>
    <row r="17" spans="1:7" x14ac:dyDescent="0.2">
      <c r="A17" s="26" t="s">
        <v>1035</v>
      </c>
      <c r="B17" s="26" t="s">
        <v>1034</v>
      </c>
      <c r="C17" s="26" t="s">
        <v>1029</v>
      </c>
      <c r="D17" s="30">
        <v>86040</v>
      </c>
      <c r="E17" s="28">
        <v>285.30864000000003</v>
      </c>
      <c r="F17" s="29">
        <v>1.94354024836104</v>
      </c>
      <c r="G17" s="127"/>
    </row>
    <row r="18" spans="1:7" x14ac:dyDescent="0.2">
      <c r="A18" s="26" t="s">
        <v>952</v>
      </c>
      <c r="B18" s="26" t="s">
        <v>951</v>
      </c>
      <c r="C18" s="26" t="s">
        <v>953</v>
      </c>
      <c r="D18" s="30">
        <v>43712</v>
      </c>
      <c r="E18" s="28">
        <v>276.718816</v>
      </c>
      <c r="F18" s="29">
        <v>1.8850258315865001</v>
      </c>
      <c r="G18" s="127"/>
    </row>
    <row r="19" spans="1:7" x14ac:dyDescent="0.2">
      <c r="A19" s="26" t="s">
        <v>1037</v>
      </c>
      <c r="B19" s="26" t="s">
        <v>1036</v>
      </c>
      <c r="C19" s="26" t="s">
        <v>982</v>
      </c>
      <c r="D19" s="30">
        <v>567938</v>
      </c>
      <c r="E19" s="28">
        <v>276.58580599999999</v>
      </c>
      <c r="F19" s="29">
        <v>1.8841197591716099</v>
      </c>
      <c r="G19" s="127"/>
    </row>
    <row r="20" spans="1:7" x14ac:dyDescent="0.2">
      <c r="A20" s="26" t="s">
        <v>1023</v>
      </c>
      <c r="B20" s="26" t="s">
        <v>1022</v>
      </c>
      <c r="C20" s="26" t="s">
        <v>976</v>
      </c>
      <c r="D20" s="30">
        <v>5942</v>
      </c>
      <c r="E20" s="28">
        <v>268.64079099999998</v>
      </c>
      <c r="F20" s="29">
        <v>1.8299978215172401</v>
      </c>
      <c r="G20" s="127"/>
    </row>
    <row r="21" spans="1:7" x14ac:dyDescent="0.2">
      <c r="A21" s="26" t="s">
        <v>1039</v>
      </c>
      <c r="B21" s="26" t="s">
        <v>1038</v>
      </c>
      <c r="C21" s="26" t="s">
        <v>982</v>
      </c>
      <c r="D21" s="30">
        <v>1300000</v>
      </c>
      <c r="E21" s="28">
        <v>263.89999999999998</v>
      </c>
      <c r="F21" s="29">
        <v>1.79770325757565</v>
      </c>
      <c r="G21" s="127"/>
    </row>
    <row r="22" spans="1:7" x14ac:dyDescent="0.2">
      <c r="A22" s="26" t="s">
        <v>981</v>
      </c>
      <c r="B22" s="26" t="s">
        <v>980</v>
      </c>
      <c r="C22" s="26" t="s">
        <v>982</v>
      </c>
      <c r="D22" s="30">
        <v>145523</v>
      </c>
      <c r="E22" s="28">
        <v>259.46750900000001</v>
      </c>
      <c r="F22" s="29">
        <v>1.76750885246055</v>
      </c>
      <c r="G22" s="127"/>
    </row>
    <row r="23" spans="1:7" x14ac:dyDescent="0.2">
      <c r="A23" s="26" t="s">
        <v>984</v>
      </c>
      <c r="B23" s="26" t="s">
        <v>983</v>
      </c>
      <c r="C23" s="26" t="s">
        <v>982</v>
      </c>
      <c r="D23" s="30">
        <v>283537</v>
      </c>
      <c r="E23" s="28">
        <v>246.67719</v>
      </c>
      <c r="F23" s="29">
        <v>1.6803804017908599</v>
      </c>
      <c r="G23" s="127"/>
    </row>
    <row r="24" spans="1:7" x14ac:dyDescent="0.2">
      <c r="A24" s="26" t="s">
        <v>970</v>
      </c>
      <c r="B24" s="26" t="s">
        <v>969</v>
      </c>
      <c r="C24" s="26" t="s">
        <v>956</v>
      </c>
      <c r="D24" s="30">
        <v>107933</v>
      </c>
      <c r="E24" s="28">
        <v>220.9928175</v>
      </c>
      <c r="F24" s="29">
        <v>1.50541685456829</v>
      </c>
      <c r="G24" s="127"/>
    </row>
    <row r="25" spans="1:7" x14ac:dyDescent="0.2">
      <c r="A25" s="26" t="s">
        <v>1041</v>
      </c>
      <c r="B25" s="26" t="s">
        <v>1040</v>
      </c>
      <c r="C25" s="26" t="s">
        <v>965</v>
      </c>
      <c r="D25" s="30">
        <v>41250</v>
      </c>
      <c r="E25" s="28">
        <v>211.83937499999999</v>
      </c>
      <c r="F25" s="29">
        <v>1.44306303342285</v>
      </c>
      <c r="G25" s="127">
        <v>-1.4417</v>
      </c>
    </row>
    <row r="26" spans="1:7" x14ac:dyDescent="0.2">
      <c r="A26" s="26" t="s">
        <v>1043</v>
      </c>
      <c r="B26" s="26" t="s">
        <v>1042</v>
      </c>
      <c r="C26" s="26" t="s">
        <v>941</v>
      </c>
      <c r="D26" s="30">
        <v>29733</v>
      </c>
      <c r="E26" s="28">
        <v>202.6749945</v>
      </c>
      <c r="F26" s="29">
        <v>1.38063470193928</v>
      </c>
      <c r="G26" s="127"/>
    </row>
    <row r="27" spans="1:7" x14ac:dyDescent="0.2">
      <c r="A27" s="26" t="s">
        <v>945</v>
      </c>
      <c r="B27" s="26" t="s">
        <v>944</v>
      </c>
      <c r="C27" s="26" t="s">
        <v>935</v>
      </c>
      <c r="D27" s="30">
        <v>14128</v>
      </c>
      <c r="E27" s="28">
        <v>192.95316</v>
      </c>
      <c r="F27" s="29">
        <v>1.3144089590432599</v>
      </c>
      <c r="G27" s="127"/>
    </row>
    <row r="28" spans="1:7" x14ac:dyDescent="0.2">
      <c r="A28" s="26" t="s">
        <v>990</v>
      </c>
      <c r="B28" s="26" t="s">
        <v>989</v>
      </c>
      <c r="C28" s="26" t="s">
        <v>935</v>
      </c>
      <c r="D28" s="30">
        <v>97218</v>
      </c>
      <c r="E28" s="28">
        <v>186.12386100000001</v>
      </c>
      <c r="F28" s="29">
        <v>1.2678873483602</v>
      </c>
      <c r="G28" s="127"/>
    </row>
    <row r="29" spans="1:7" x14ac:dyDescent="0.2">
      <c r="A29" s="26" t="s">
        <v>955</v>
      </c>
      <c r="B29" s="26" t="s">
        <v>954</v>
      </c>
      <c r="C29" s="26" t="s">
        <v>956</v>
      </c>
      <c r="D29" s="30">
        <v>73156</v>
      </c>
      <c r="E29" s="28">
        <v>181.31714600000001</v>
      </c>
      <c r="F29" s="29">
        <v>1.2351437060193999</v>
      </c>
      <c r="G29" s="127"/>
    </row>
    <row r="30" spans="1:7" x14ac:dyDescent="0.2">
      <c r="A30" s="26" t="s">
        <v>994</v>
      </c>
      <c r="B30" s="26" t="s">
        <v>993</v>
      </c>
      <c r="C30" s="26" t="s">
        <v>965</v>
      </c>
      <c r="D30" s="30">
        <v>18456</v>
      </c>
      <c r="E30" s="28">
        <v>175.63652400000001</v>
      </c>
      <c r="F30" s="29">
        <v>1.1964469546951999</v>
      </c>
      <c r="G30" s="127"/>
    </row>
    <row r="31" spans="1:7" x14ac:dyDescent="0.2">
      <c r="A31" s="26" t="s">
        <v>1045</v>
      </c>
      <c r="B31" s="26" t="s">
        <v>1044</v>
      </c>
      <c r="C31" s="26" t="s">
        <v>1046</v>
      </c>
      <c r="D31" s="30">
        <v>16500</v>
      </c>
      <c r="E31" s="28">
        <v>150.71924999999999</v>
      </c>
      <c r="F31" s="29">
        <v>1.02670893029314</v>
      </c>
      <c r="G31" s="127">
        <v>-1.0230999999999999</v>
      </c>
    </row>
    <row r="32" spans="1:7" x14ac:dyDescent="0.2">
      <c r="A32" s="26" t="s">
        <v>1048</v>
      </c>
      <c r="B32" s="26" t="s">
        <v>1047</v>
      </c>
      <c r="C32" s="26" t="s">
        <v>965</v>
      </c>
      <c r="D32" s="30">
        <v>902</v>
      </c>
      <c r="E32" s="28">
        <v>149.03024400000001</v>
      </c>
      <c r="F32" s="29">
        <v>1.01520331608978</v>
      </c>
      <c r="G32" s="127"/>
    </row>
    <row r="33" spans="1:8" x14ac:dyDescent="0.2">
      <c r="A33" s="26" t="s">
        <v>964</v>
      </c>
      <c r="B33" s="26" t="s">
        <v>963</v>
      </c>
      <c r="C33" s="26" t="s">
        <v>965</v>
      </c>
      <c r="D33" s="30">
        <v>10287</v>
      </c>
      <c r="E33" s="28">
        <v>146.41487100000001</v>
      </c>
      <c r="F33" s="29">
        <v>0.99738723211147595</v>
      </c>
      <c r="G33" s="127"/>
    </row>
    <row r="34" spans="1:8" x14ac:dyDescent="0.2">
      <c r="A34" s="26" t="s">
        <v>978</v>
      </c>
      <c r="B34" s="26" t="s">
        <v>977</v>
      </c>
      <c r="C34" s="26" t="s">
        <v>979</v>
      </c>
      <c r="D34" s="30">
        <v>38144</v>
      </c>
      <c r="E34" s="28">
        <v>139.72147200000001</v>
      </c>
      <c r="F34" s="29">
        <v>0.95179138070354197</v>
      </c>
      <c r="G34" s="127"/>
    </row>
    <row r="35" spans="1:8" x14ac:dyDescent="0.2">
      <c r="A35" s="26" t="s">
        <v>958</v>
      </c>
      <c r="B35" s="26" t="s">
        <v>957</v>
      </c>
      <c r="C35" s="26" t="s">
        <v>959</v>
      </c>
      <c r="D35" s="30">
        <v>75335</v>
      </c>
      <c r="E35" s="28">
        <v>122.871385</v>
      </c>
      <c r="F35" s="29">
        <v>0.83700753723884702</v>
      </c>
      <c r="G35" s="127"/>
    </row>
    <row r="36" spans="1:8" x14ac:dyDescent="0.2">
      <c r="A36" s="26" t="s">
        <v>1050</v>
      </c>
      <c r="B36" s="26" t="s">
        <v>1049</v>
      </c>
      <c r="C36" s="26" t="s">
        <v>973</v>
      </c>
      <c r="D36" s="30">
        <v>121901</v>
      </c>
      <c r="E36" s="28">
        <v>107.8214345</v>
      </c>
      <c r="F36" s="29">
        <v>0.73448633587392798</v>
      </c>
      <c r="G36" s="127"/>
    </row>
    <row r="37" spans="1:8" x14ac:dyDescent="0.2">
      <c r="A37" s="26" t="s">
        <v>1052</v>
      </c>
      <c r="B37" s="26" t="s">
        <v>1051</v>
      </c>
      <c r="C37" s="26" t="s">
        <v>1053</v>
      </c>
      <c r="D37" s="30">
        <v>122059</v>
      </c>
      <c r="E37" s="28">
        <v>93.192046500000004</v>
      </c>
      <c r="F37" s="29">
        <v>0.63483003248651504</v>
      </c>
      <c r="G37" s="127"/>
    </row>
    <row r="38" spans="1:8" x14ac:dyDescent="0.2">
      <c r="A38" s="26" t="s">
        <v>1055</v>
      </c>
      <c r="B38" s="26" t="s">
        <v>1054</v>
      </c>
      <c r="C38" s="26" t="s">
        <v>997</v>
      </c>
      <c r="D38" s="30">
        <v>64953</v>
      </c>
      <c r="E38" s="28">
        <v>70.474005000000005</v>
      </c>
      <c r="F38" s="29">
        <v>0.48007331702501899</v>
      </c>
      <c r="G38" s="127"/>
    </row>
    <row r="39" spans="1:8" x14ac:dyDescent="0.2">
      <c r="A39" s="26" t="s">
        <v>1057</v>
      </c>
      <c r="B39" s="26" t="s">
        <v>1056</v>
      </c>
      <c r="C39" s="26" t="s">
        <v>1058</v>
      </c>
      <c r="D39" s="30">
        <v>76471</v>
      </c>
      <c r="E39" s="28">
        <v>47.029665000000001</v>
      </c>
      <c r="F39" s="29">
        <v>0.32036901088742498</v>
      </c>
      <c r="G39" s="127"/>
    </row>
    <row r="40" spans="1:8" x14ac:dyDescent="0.2">
      <c r="A40" s="26" t="s">
        <v>1060</v>
      </c>
      <c r="B40" s="26" t="s">
        <v>1059</v>
      </c>
      <c r="C40" s="26" t="s">
        <v>1029</v>
      </c>
      <c r="D40" s="30">
        <v>21957</v>
      </c>
      <c r="E40" s="28">
        <v>45.934044</v>
      </c>
      <c r="F40" s="29">
        <v>0.312905572309296</v>
      </c>
      <c r="G40" s="127"/>
    </row>
    <row r="41" spans="1:8" x14ac:dyDescent="0.2">
      <c r="A41" s="26" t="s">
        <v>1062</v>
      </c>
      <c r="B41" s="26" t="s">
        <v>1061</v>
      </c>
      <c r="C41" s="26" t="s">
        <v>956</v>
      </c>
      <c r="D41" s="30">
        <v>47372</v>
      </c>
      <c r="E41" s="28">
        <v>45.785038</v>
      </c>
      <c r="F41" s="29">
        <v>0.31189053414484602</v>
      </c>
      <c r="G41" s="127"/>
    </row>
    <row r="42" spans="1:8" x14ac:dyDescent="0.2">
      <c r="A42" s="26" t="s">
        <v>1064</v>
      </c>
      <c r="B42" s="26" t="s">
        <v>1063</v>
      </c>
      <c r="C42" s="26" t="s">
        <v>935</v>
      </c>
      <c r="D42" s="30">
        <v>8500</v>
      </c>
      <c r="E42" s="28">
        <v>4.5815000000000001</v>
      </c>
      <c r="F42" s="29">
        <v>3.12094637157364E-2</v>
      </c>
      <c r="G42" s="127">
        <v>-3.1399999999999997E-2</v>
      </c>
    </row>
    <row r="43" spans="1:8" ht="10.5" x14ac:dyDescent="0.25">
      <c r="A43" s="25" t="s">
        <v>167</v>
      </c>
      <c r="B43" s="25"/>
      <c r="C43" s="25"/>
      <c r="D43" s="31"/>
      <c r="E43" s="32">
        <f>SUM(E7:E42)</f>
        <v>10391.482941499997</v>
      </c>
      <c r="F43" s="33">
        <f>SUM(F7:F42)</f>
        <v>70.787429840759174</v>
      </c>
      <c r="G43" s="96">
        <f>SUM(G7:G42)</f>
        <v>-24.2072</v>
      </c>
      <c r="H43" s="17"/>
    </row>
    <row r="44" spans="1:8" x14ac:dyDescent="0.2">
      <c r="A44" s="26"/>
      <c r="B44" s="26"/>
      <c r="C44" s="26"/>
      <c r="D44" s="27"/>
      <c r="E44" s="28"/>
      <c r="F44" s="29"/>
      <c r="G44" s="126"/>
    </row>
    <row r="45" spans="1:8" ht="10.5" x14ac:dyDescent="0.25">
      <c r="A45" s="25" t="s">
        <v>69</v>
      </c>
      <c r="B45" s="26"/>
      <c r="C45" s="26"/>
      <c r="D45" s="27"/>
      <c r="E45" s="28"/>
      <c r="F45" s="29"/>
      <c r="G45" s="126"/>
    </row>
    <row r="46" spans="1:8" ht="10.5" x14ac:dyDescent="0.25">
      <c r="A46" s="25" t="s">
        <v>70</v>
      </c>
      <c r="B46" s="26"/>
      <c r="C46" s="26"/>
      <c r="D46" s="27"/>
      <c r="E46" s="28"/>
      <c r="F46" s="29"/>
      <c r="G46" s="126"/>
    </row>
    <row r="47" spans="1:8" x14ac:dyDescent="0.2">
      <c r="A47" s="26" t="s">
        <v>565</v>
      </c>
      <c r="B47" s="26" t="s">
        <v>564</v>
      </c>
      <c r="C47" s="26" t="s">
        <v>166</v>
      </c>
      <c r="D47" s="30">
        <v>50</v>
      </c>
      <c r="E47" s="28">
        <v>560.79499999999996</v>
      </c>
      <c r="F47" s="29">
        <v>3.82017051281598</v>
      </c>
      <c r="G47" s="126"/>
    </row>
    <row r="48" spans="1:8" x14ac:dyDescent="0.2">
      <c r="A48" s="26" t="s">
        <v>1019</v>
      </c>
      <c r="B48" s="26" t="s">
        <v>1018</v>
      </c>
      <c r="C48" s="26" t="s">
        <v>166</v>
      </c>
      <c r="D48" s="30">
        <v>50</v>
      </c>
      <c r="E48" s="28">
        <v>519.83199999999999</v>
      </c>
      <c r="F48" s="29">
        <v>3.5411280022435201</v>
      </c>
      <c r="G48" s="126"/>
    </row>
    <row r="49" spans="1:8" ht="10.5" x14ac:dyDescent="0.25">
      <c r="A49" s="25" t="s">
        <v>167</v>
      </c>
      <c r="B49" s="25"/>
      <c r="C49" s="25"/>
      <c r="D49" s="31"/>
      <c r="E49" s="32">
        <f>SUM(E46:E48)</f>
        <v>1080.627</v>
      </c>
      <c r="F49" s="33">
        <f>SUM(F46:F48)</f>
        <v>7.3612985150595005</v>
      </c>
      <c r="G49" s="128"/>
      <c r="H49" s="17"/>
    </row>
    <row r="50" spans="1:8" x14ac:dyDescent="0.2">
      <c r="A50" s="26"/>
      <c r="B50" s="26"/>
      <c r="C50" s="26"/>
      <c r="D50" s="27"/>
      <c r="E50" s="28"/>
      <c r="F50" s="29"/>
      <c r="G50" s="126"/>
    </row>
    <row r="51" spans="1:8" ht="10.5" x14ac:dyDescent="0.25">
      <c r="A51" s="25" t="s">
        <v>413</v>
      </c>
      <c r="B51" s="26"/>
      <c r="C51" s="26"/>
      <c r="D51" s="27"/>
      <c r="E51" s="28"/>
      <c r="F51" s="29"/>
      <c r="G51" s="126"/>
    </row>
    <row r="52" spans="1:8" ht="10.5" x14ac:dyDescent="0.25">
      <c r="A52" s="25" t="s">
        <v>414</v>
      </c>
      <c r="B52" s="26"/>
      <c r="C52" s="26"/>
      <c r="D52" s="27"/>
      <c r="E52" s="28"/>
      <c r="F52" s="29"/>
      <c r="G52" s="126"/>
    </row>
    <row r="53" spans="1:8" x14ac:dyDescent="0.2">
      <c r="A53" s="26" t="s">
        <v>416</v>
      </c>
      <c r="B53" s="26" t="s">
        <v>415</v>
      </c>
      <c r="C53" s="26" t="s">
        <v>417</v>
      </c>
      <c r="D53" s="30">
        <v>500</v>
      </c>
      <c r="E53" s="28">
        <v>490.86849999999998</v>
      </c>
      <c r="F53" s="29">
        <v>3.3438268339949699</v>
      </c>
      <c r="G53" s="126"/>
    </row>
    <row r="54" spans="1:8" ht="10.5" x14ac:dyDescent="0.25">
      <c r="A54" s="25" t="s">
        <v>167</v>
      </c>
      <c r="B54" s="25"/>
      <c r="C54" s="25"/>
      <c r="D54" s="31"/>
      <c r="E54" s="32">
        <f>SUM(E52:E53)</f>
        <v>490.86849999999998</v>
      </c>
      <c r="F54" s="33">
        <f>SUM(F52:F53)</f>
        <v>3.3438268339949699</v>
      </c>
      <c r="G54" s="128"/>
      <c r="H54" s="17"/>
    </row>
    <row r="55" spans="1:8" x14ac:dyDescent="0.2">
      <c r="A55" s="26"/>
      <c r="B55" s="26"/>
      <c r="C55" s="26"/>
      <c r="D55" s="27"/>
      <c r="E55" s="28"/>
      <c r="F55" s="29"/>
      <c r="G55" s="126"/>
    </row>
    <row r="56" spans="1:8" ht="10.5" x14ac:dyDescent="0.25">
      <c r="A56" s="25" t="s">
        <v>523</v>
      </c>
      <c r="B56" s="26"/>
      <c r="C56" s="26"/>
      <c r="D56" s="27"/>
      <c r="E56" s="28"/>
      <c r="F56" s="29"/>
      <c r="G56" s="126"/>
    </row>
    <row r="57" spans="1:8" x14ac:dyDescent="0.2">
      <c r="A57" s="26" t="s">
        <v>528</v>
      </c>
      <c r="B57" s="26" t="s">
        <v>527</v>
      </c>
      <c r="C57" s="26" t="s">
        <v>526</v>
      </c>
      <c r="D57" s="30">
        <v>200000</v>
      </c>
      <c r="E57" s="28">
        <v>200.47579999999999</v>
      </c>
      <c r="F57" s="29">
        <v>1.3656536518570801</v>
      </c>
      <c r="G57" s="126"/>
    </row>
    <row r="58" spans="1:8" x14ac:dyDescent="0.2">
      <c r="A58" s="26" t="s">
        <v>525</v>
      </c>
      <c r="B58" s="26" t="s">
        <v>524</v>
      </c>
      <c r="C58" s="26" t="s">
        <v>526</v>
      </c>
      <c r="D58" s="30">
        <v>200000</v>
      </c>
      <c r="E58" s="28">
        <v>199.27600000000001</v>
      </c>
      <c r="F58" s="29">
        <v>1.3574805394340499</v>
      </c>
      <c r="G58" s="126"/>
    </row>
    <row r="59" spans="1:8" ht="10.5" x14ac:dyDescent="0.25">
      <c r="A59" s="25" t="s">
        <v>167</v>
      </c>
      <c r="B59" s="25"/>
      <c r="C59" s="25"/>
      <c r="D59" s="31"/>
      <c r="E59" s="32">
        <f>SUM(E57:E58)</f>
        <v>399.7518</v>
      </c>
      <c r="F59" s="33">
        <f>SUM(F57:F58)</f>
        <v>2.72313419129113</v>
      </c>
      <c r="G59" s="128"/>
      <c r="H59" s="17"/>
    </row>
    <row r="60" spans="1:8" x14ac:dyDescent="0.2">
      <c r="A60" s="26"/>
      <c r="B60" s="26"/>
      <c r="C60" s="26"/>
      <c r="D60" s="27"/>
      <c r="E60" s="28"/>
      <c r="F60" s="29"/>
      <c r="G60" s="126"/>
    </row>
    <row r="61" spans="1:8" ht="10.5" x14ac:dyDescent="0.25">
      <c r="A61" s="25" t="s">
        <v>205</v>
      </c>
      <c r="B61" s="25"/>
      <c r="C61" s="25"/>
      <c r="D61" s="31"/>
      <c r="E61" s="32">
        <f>E43+E49+E54+E59</f>
        <v>12362.730241499998</v>
      </c>
      <c r="F61" s="33">
        <f>F43+F49+F54+F59</f>
        <v>84.215689381104767</v>
      </c>
      <c r="G61" s="128"/>
      <c r="H61" s="17"/>
    </row>
    <row r="62" spans="1:8" ht="10.5" x14ac:dyDescent="0.25">
      <c r="A62" s="25"/>
      <c r="B62" s="25"/>
      <c r="C62" s="25"/>
      <c r="D62" s="31"/>
      <c r="E62" s="32"/>
      <c r="F62" s="33"/>
      <c r="G62" s="128"/>
      <c r="H62" s="17"/>
    </row>
    <row r="63" spans="1:8" s="108" customFormat="1" ht="10.5" x14ac:dyDescent="0.25">
      <c r="A63" s="128" t="s">
        <v>1553</v>
      </c>
      <c r="B63" s="128"/>
      <c r="C63" s="128"/>
      <c r="D63" s="130"/>
      <c r="E63" s="96">
        <v>1641.1479999999999</v>
      </c>
      <c r="F63" s="96">
        <v>11.179602522788</v>
      </c>
      <c r="G63" s="128"/>
      <c r="H63" s="116"/>
    </row>
    <row r="64" spans="1:8" ht="10.5" x14ac:dyDescent="0.25">
      <c r="A64" s="25" t="s">
        <v>207</v>
      </c>
      <c r="B64" s="25"/>
      <c r="C64" s="25"/>
      <c r="D64" s="31"/>
      <c r="E64" s="32">
        <f>E66-(E43+E49+E54+E59+E63)</f>
        <v>675.96387860000323</v>
      </c>
      <c r="F64" s="33">
        <f>F66-(F43+F49+F54+F59+F63)</f>
        <v>4.6047080961072311</v>
      </c>
      <c r="G64" s="128"/>
      <c r="H64" s="17"/>
    </row>
    <row r="65" spans="1:8" ht="10.5" x14ac:dyDescent="0.25">
      <c r="A65" s="25"/>
      <c r="B65" s="25"/>
      <c r="C65" s="25"/>
      <c r="D65" s="31"/>
      <c r="E65" s="32"/>
      <c r="F65" s="33"/>
      <c r="G65" s="128"/>
      <c r="H65" s="17"/>
    </row>
    <row r="66" spans="1:8" ht="10.5" x14ac:dyDescent="0.25">
      <c r="A66" s="34" t="s">
        <v>206</v>
      </c>
      <c r="B66" s="34"/>
      <c r="C66" s="34"/>
      <c r="D66" s="35"/>
      <c r="E66" s="36">
        <v>14679.8421201</v>
      </c>
      <c r="F66" s="37">
        <v>100</v>
      </c>
      <c r="G66" s="129"/>
      <c r="H66" s="17"/>
    </row>
    <row r="67" spans="1:8" ht="10.5" x14ac:dyDescent="0.25">
      <c r="A67" s="72" t="s">
        <v>209</v>
      </c>
    </row>
    <row r="69" spans="1:8" ht="10.5" x14ac:dyDescent="0.25">
      <c r="A69" s="17" t="s">
        <v>210</v>
      </c>
    </row>
    <row r="70" spans="1:8" ht="10.5" x14ac:dyDescent="0.25">
      <c r="A70" s="17" t="s">
        <v>211</v>
      </c>
    </row>
    <row r="71" spans="1:8" ht="10.5" x14ac:dyDescent="0.25">
      <c r="A71" s="17" t="s">
        <v>212</v>
      </c>
      <c r="B71" s="17"/>
      <c r="C71" s="38" t="s">
        <v>214</v>
      </c>
      <c r="D71" s="18" t="s">
        <v>213</v>
      </c>
    </row>
    <row r="72" spans="1:8" x14ac:dyDescent="0.2">
      <c r="A72" s="10" t="s">
        <v>486</v>
      </c>
      <c r="C72" s="39">
        <v>10.4109</v>
      </c>
      <c r="D72" s="39">
        <v>10.0372</v>
      </c>
    </row>
    <row r="73" spans="1:8" x14ac:dyDescent="0.2">
      <c r="A73" s="10" t="s">
        <v>520</v>
      </c>
      <c r="C73" s="39">
        <v>10.4109</v>
      </c>
      <c r="D73" s="39">
        <v>10.0372</v>
      </c>
    </row>
    <row r="74" spans="1:8" x14ac:dyDescent="0.2">
      <c r="A74" s="10" t="s">
        <v>487</v>
      </c>
      <c r="C74" s="39">
        <v>10.347799999999999</v>
      </c>
      <c r="D74" s="39">
        <v>9.9766999999999992</v>
      </c>
    </row>
    <row r="75" spans="1:8" x14ac:dyDescent="0.2">
      <c r="A75" s="10" t="s">
        <v>488</v>
      </c>
      <c r="C75" s="39">
        <v>10.4109</v>
      </c>
      <c r="D75" s="39">
        <v>10.0372</v>
      </c>
    </row>
    <row r="76" spans="1:8" x14ac:dyDescent="0.2">
      <c r="A76" s="10" t="s">
        <v>489</v>
      </c>
      <c r="C76" s="39">
        <v>10.6851</v>
      </c>
      <c r="D76" s="39">
        <v>10.393599999999999</v>
      </c>
    </row>
    <row r="77" spans="1:8" x14ac:dyDescent="0.2">
      <c r="A77" s="10" t="s">
        <v>521</v>
      </c>
      <c r="C77" s="39">
        <v>10.6851</v>
      </c>
      <c r="D77" s="39">
        <v>10.393599999999999</v>
      </c>
    </row>
    <row r="78" spans="1:8" x14ac:dyDescent="0.2">
      <c r="A78" s="10" t="s">
        <v>490</v>
      </c>
      <c r="C78" s="39">
        <v>10.6227</v>
      </c>
      <c r="D78" s="39">
        <v>10.332599999999999</v>
      </c>
    </row>
    <row r="79" spans="1:8" x14ac:dyDescent="0.2">
      <c r="A79" s="10" t="s">
        <v>491</v>
      </c>
      <c r="C79" s="39">
        <v>10.6851</v>
      </c>
      <c r="D79" s="39">
        <v>10.393599999999999</v>
      </c>
    </row>
    <row r="81" spans="1:7" ht="10.5" x14ac:dyDescent="0.25">
      <c r="A81" s="17" t="s">
        <v>226</v>
      </c>
      <c r="D81" s="40" t="s">
        <v>227</v>
      </c>
    </row>
    <row r="83" spans="1:7" ht="10.5" x14ac:dyDescent="0.25">
      <c r="A83" s="17" t="s">
        <v>1065</v>
      </c>
      <c r="D83" s="46">
        <v>2.2913000000000001</v>
      </c>
    </row>
    <row r="85" spans="1:7" ht="10.5" x14ac:dyDescent="0.25">
      <c r="A85" s="17" t="s">
        <v>1066</v>
      </c>
      <c r="D85" s="41">
        <v>4.3873911868011284</v>
      </c>
      <c r="E85" s="15" t="s">
        <v>229</v>
      </c>
    </row>
    <row r="86" spans="1:7" ht="45" customHeight="1" x14ac:dyDescent="0.2">
      <c r="A86" s="139" t="s">
        <v>1596</v>
      </c>
      <c r="B86" s="140"/>
      <c r="C86" s="140"/>
      <c r="D86" s="140"/>
      <c r="E86" s="140"/>
    </row>
    <row r="87" spans="1:7" s="78" customFormat="1" ht="14.5" x14ac:dyDescent="0.2">
      <c r="A87" s="137"/>
      <c r="B87" s="138"/>
      <c r="C87" s="138"/>
      <c r="D87" s="138"/>
      <c r="E87" s="138"/>
      <c r="F87" s="83"/>
      <c r="G87" s="108"/>
    </row>
    <row r="88" spans="1:7" ht="10.5" x14ac:dyDescent="0.25">
      <c r="A88" s="17" t="s">
        <v>1067</v>
      </c>
      <c r="D88" s="103" t="s">
        <v>227</v>
      </c>
    </row>
  </sheetData>
  <mergeCells count="2">
    <mergeCell ref="A1:G1"/>
    <mergeCell ref="A86:E86"/>
  </mergeCells>
  <conditionalFormatting sqref="F2:F3 F5:F65537">
    <cfRule type="cellIs" dxfId="27" priority="2" stopIfTrue="1" operator="between">
      <formula>0.009</formula>
      <formula>-0.009</formula>
    </cfRule>
  </conditionalFormatting>
  <conditionalFormatting sqref="G43">
    <cfRule type="cellIs" dxfId="2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05"/>
  <sheetViews>
    <sheetView workbookViewId="0">
      <selection sqref="A1:F1"/>
    </sheetView>
  </sheetViews>
  <sheetFormatPr defaultColWidth="9.1796875" defaultRowHeight="10" x14ac:dyDescent="0.2"/>
  <cols>
    <col min="1" max="1" width="38.7265625" style="10" bestFit="1" customWidth="1"/>
    <col min="2" max="2" width="51.81640625" style="10" bestFit="1" customWidth="1"/>
    <col min="3" max="3" width="35.7265625" style="10" bestFit="1" customWidth="1"/>
    <col min="4" max="4" width="14.7265625" style="11" bestFit="1" customWidth="1"/>
    <col min="5" max="5" width="23" style="15" bestFit="1" customWidth="1"/>
    <col min="6" max="6" width="14.7265625" style="16" bestFit="1" customWidth="1"/>
    <col min="7" max="7" width="5.81640625" style="10" bestFit="1" customWidth="1"/>
    <col min="8" max="16384" width="9.1796875" style="10"/>
  </cols>
  <sheetData>
    <row r="1" spans="1:6" s="1" customFormat="1" ht="14" x14ac:dyDescent="0.25">
      <c r="A1" s="143" t="s">
        <v>45</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5</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1163784</v>
      </c>
      <c r="E7" s="28">
        <v>11242.15344</v>
      </c>
      <c r="F7" s="29">
        <v>8.3764900937303306</v>
      </c>
    </row>
    <row r="8" spans="1:6" x14ac:dyDescent="0.2">
      <c r="A8" s="26" t="s">
        <v>943</v>
      </c>
      <c r="B8" s="26" t="s">
        <v>942</v>
      </c>
      <c r="C8" s="26" t="s">
        <v>935</v>
      </c>
      <c r="D8" s="30">
        <v>2051935</v>
      </c>
      <c r="E8" s="28">
        <v>8857.1774280000009</v>
      </c>
      <c r="F8" s="29">
        <v>6.5994526208898598</v>
      </c>
    </row>
    <row r="9" spans="1:6" x14ac:dyDescent="0.2">
      <c r="A9" s="26" t="s">
        <v>934</v>
      </c>
      <c r="B9" s="26" t="s">
        <v>933</v>
      </c>
      <c r="C9" s="26" t="s">
        <v>935</v>
      </c>
      <c r="D9" s="30">
        <v>743868</v>
      </c>
      <c r="E9" s="28">
        <v>7682.6687039999997</v>
      </c>
      <c r="F9" s="29">
        <v>5.7243301860206603</v>
      </c>
    </row>
    <row r="10" spans="1:6" x14ac:dyDescent="0.2">
      <c r="A10" s="26" t="s">
        <v>937</v>
      </c>
      <c r="B10" s="26" t="s">
        <v>936</v>
      </c>
      <c r="C10" s="26" t="s">
        <v>938</v>
      </c>
      <c r="D10" s="30">
        <v>1264520</v>
      </c>
      <c r="E10" s="28">
        <v>7016.1892200000002</v>
      </c>
      <c r="F10" s="29">
        <v>5.2277386010368803</v>
      </c>
    </row>
    <row r="11" spans="1:6" x14ac:dyDescent="0.2">
      <c r="A11" s="26" t="s">
        <v>961</v>
      </c>
      <c r="B11" s="26" t="s">
        <v>960</v>
      </c>
      <c r="C11" s="26" t="s">
        <v>962</v>
      </c>
      <c r="D11" s="30">
        <v>1071320</v>
      </c>
      <c r="E11" s="28">
        <v>6497.0201399999996</v>
      </c>
      <c r="F11" s="29">
        <v>4.8409074944521002</v>
      </c>
    </row>
    <row r="12" spans="1:6" x14ac:dyDescent="0.2">
      <c r="A12" s="26" t="s">
        <v>947</v>
      </c>
      <c r="B12" s="26" t="s">
        <v>946</v>
      </c>
      <c r="C12" s="26" t="s">
        <v>935</v>
      </c>
      <c r="D12" s="30">
        <v>1581302</v>
      </c>
      <c r="E12" s="28">
        <v>5483.955336</v>
      </c>
      <c r="F12" s="29">
        <v>4.0860763724341798</v>
      </c>
    </row>
    <row r="13" spans="1:6" x14ac:dyDescent="0.2">
      <c r="A13" s="26" t="s">
        <v>981</v>
      </c>
      <c r="B13" s="26" t="s">
        <v>980</v>
      </c>
      <c r="C13" s="26" t="s">
        <v>982</v>
      </c>
      <c r="D13" s="30">
        <v>2508769</v>
      </c>
      <c r="E13" s="28">
        <v>4473.1351269999996</v>
      </c>
      <c r="F13" s="29">
        <v>3.3329176904769802</v>
      </c>
    </row>
    <row r="14" spans="1:6" x14ac:dyDescent="0.2">
      <c r="A14" s="26" t="s">
        <v>955</v>
      </c>
      <c r="B14" s="26" t="s">
        <v>954</v>
      </c>
      <c r="C14" s="26" t="s">
        <v>956</v>
      </c>
      <c r="D14" s="30">
        <v>1479354</v>
      </c>
      <c r="E14" s="28">
        <v>3666.5788889999999</v>
      </c>
      <c r="F14" s="29">
        <v>2.7319553949789599</v>
      </c>
    </row>
    <row r="15" spans="1:6" x14ac:dyDescent="0.2">
      <c r="A15" s="26" t="s">
        <v>1023</v>
      </c>
      <c r="B15" s="26" t="s">
        <v>1022</v>
      </c>
      <c r="C15" s="26" t="s">
        <v>976</v>
      </c>
      <c r="D15" s="30">
        <v>79688</v>
      </c>
      <c r="E15" s="28">
        <v>3602.734324</v>
      </c>
      <c r="F15" s="29">
        <v>2.6843850278677799</v>
      </c>
    </row>
    <row r="16" spans="1:6" x14ac:dyDescent="0.2">
      <c r="A16" s="26" t="s">
        <v>958</v>
      </c>
      <c r="B16" s="26" t="s">
        <v>957</v>
      </c>
      <c r="C16" s="26" t="s">
        <v>959</v>
      </c>
      <c r="D16" s="30">
        <v>2044188</v>
      </c>
      <c r="E16" s="28">
        <v>3334.0706279999999</v>
      </c>
      <c r="F16" s="29">
        <v>2.4842046264794</v>
      </c>
    </row>
    <row r="17" spans="1:6" x14ac:dyDescent="0.2">
      <c r="A17" s="26" t="s">
        <v>1043</v>
      </c>
      <c r="B17" s="26" t="s">
        <v>1042</v>
      </c>
      <c r="C17" s="26" t="s">
        <v>941</v>
      </c>
      <c r="D17" s="30">
        <v>429717</v>
      </c>
      <c r="E17" s="28">
        <v>2929.165931</v>
      </c>
      <c r="F17" s="29">
        <v>2.18251152102349</v>
      </c>
    </row>
    <row r="18" spans="1:6" x14ac:dyDescent="0.2">
      <c r="A18" s="26" t="s">
        <v>970</v>
      </c>
      <c r="B18" s="26" t="s">
        <v>969</v>
      </c>
      <c r="C18" s="26" t="s">
        <v>956</v>
      </c>
      <c r="D18" s="30">
        <v>1266102</v>
      </c>
      <c r="E18" s="28">
        <v>2592.3438449999999</v>
      </c>
      <c r="F18" s="29">
        <v>1.93154653626443</v>
      </c>
    </row>
    <row r="19" spans="1:6" x14ac:dyDescent="0.2">
      <c r="A19" s="26" t="s">
        <v>1050</v>
      </c>
      <c r="B19" s="26" t="s">
        <v>1049</v>
      </c>
      <c r="C19" s="26" t="s">
        <v>973</v>
      </c>
      <c r="D19" s="30">
        <v>2568360</v>
      </c>
      <c r="E19" s="28">
        <v>2271.7144199999998</v>
      </c>
      <c r="F19" s="29">
        <v>1.6926466478573801</v>
      </c>
    </row>
    <row r="20" spans="1:6" x14ac:dyDescent="0.2">
      <c r="A20" s="26" t="s">
        <v>984</v>
      </c>
      <c r="B20" s="26" t="s">
        <v>983</v>
      </c>
      <c r="C20" s="26" t="s">
        <v>982</v>
      </c>
      <c r="D20" s="30">
        <v>2512015</v>
      </c>
      <c r="E20" s="28">
        <v>2185.4530500000001</v>
      </c>
      <c r="F20" s="29">
        <v>1.62837359597876</v>
      </c>
    </row>
    <row r="21" spans="1:6" x14ac:dyDescent="0.2">
      <c r="A21" s="26" t="s">
        <v>1069</v>
      </c>
      <c r="B21" s="26" t="s">
        <v>1068</v>
      </c>
      <c r="C21" s="26" t="s">
        <v>941</v>
      </c>
      <c r="D21" s="30">
        <v>93552</v>
      </c>
      <c r="E21" s="28">
        <v>2134.2953280000002</v>
      </c>
      <c r="F21" s="29">
        <v>1.59025615221339</v>
      </c>
    </row>
    <row r="22" spans="1:6" x14ac:dyDescent="0.2">
      <c r="A22" s="26" t="s">
        <v>952</v>
      </c>
      <c r="B22" s="26" t="s">
        <v>951</v>
      </c>
      <c r="C22" s="26" t="s">
        <v>953</v>
      </c>
      <c r="D22" s="30">
        <v>300350</v>
      </c>
      <c r="E22" s="28">
        <v>1901.365675</v>
      </c>
      <c r="F22" s="29">
        <v>1.4167010640975899</v>
      </c>
    </row>
    <row r="23" spans="1:6" x14ac:dyDescent="0.2">
      <c r="A23" s="26" t="s">
        <v>1045</v>
      </c>
      <c r="B23" s="26" t="s">
        <v>1044</v>
      </c>
      <c r="C23" s="26" t="s">
        <v>1046</v>
      </c>
      <c r="D23" s="30">
        <v>205227</v>
      </c>
      <c r="E23" s="28">
        <v>1874.6460320000001</v>
      </c>
      <c r="F23" s="29">
        <v>1.39679234944679</v>
      </c>
    </row>
    <row r="24" spans="1:6" x14ac:dyDescent="0.2">
      <c r="A24" s="26" t="s">
        <v>967</v>
      </c>
      <c r="B24" s="26" t="s">
        <v>966</v>
      </c>
      <c r="C24" s="26" t="s">
        <v>968</v>
      </c>
      <c r="D24" s="30">
        <v>274626</v>
      </c>
      <c r="E24" s="28">
        <v>1643.3619839999999</v>
      </c>
      <c r="F24" s="29">
        <v>1.22446339599053</v>
      </c>
    </row>
    <row r="25" spans="1:6" x14ac:dyDescent="0.2">
      <c r="A25" s="26" t="s">
        <v>972</v>
      </c>
      <c r="B25" s="26" t="s">
        <v>971</v>
      </c>
      <c r="C25" s="26" t="s">
        <v>973</v>
      </c>
      <c r="D25" s="30">
        <v>762218</v>
      </c>
      <c r="E25" s="28">
        <v>1638.7687000000001</v>
      </c>
      <c r="F25" s="29">
        <v>1.2210409557855399</v>
      </c>
    </row>
    <row r="26" spans="1:6" x14ac:dyDescent="0.2">
      <c r="A26" s="26" t="s">
        <v>975</v>
      </c>
      <c r="B26" s="26" t="s">
        <v>974</v>
      </c>
      <c r="C26" s="26" t="s">
        <v>976</v>
      </c>
      <c r="D26" s="30">
        <v>374001</v>
      </c>
      <c r="E26" s="28">
        <v>1452.619884</v>
      </c>
      <c r="F26" s="29">
        <v>1.0823421093851999</v>
      </c>
    </row>
    <row r="27" spans="1:6" x14ac:dyDescent="0.2">
      <c r="A27" s="26" t="s">
        <v>978</v>
      </c>
      <c r="B27" s="26" t="s">
        <v>977</v>
      </c>
      <c r="C27" s="26" t="s">
        <v>979</v>
      </c>
      <c r="D27" s="30">
        <v>385077</v>
      </c>
      <c r="E27" s="28">
        <v>1410.537051</v>
      </c>
      <c r="F27" s="29">
        <v>1.05098633438872</v>
      </c>
    </row>
    <row r="28" spans="1:6" x14ac:dyDescent="0.2">
      <c r="A28" s="26" t="s">
        <v>949</v>
      </c>
      <c r="B28" s="26" t="s">
        <v>948</v>
      </c>
      <c r="C28" s="26" t="s">
        <v>950</v>
      </c>
      <c r="D28" s="30">
        <v>105000</v>
      </c>
      <c r="E28" s="28">
        <v>1388.1524999999999</v>
      </c>
      <c r="F28" s="29">
        <v>1.0343076819664001</v>
      </c>
    </row>
    <row r="29" spans="1:6" x14ac:dyDescent="0.2">
      <c r="A29" s="26" t="s">
        <v>1039</v>
      </c>
      <c r="B29" s="26" t="s">
        <v>1038</v>
      </c>
      <c r="C29" s="26" t="s">
        <v>982</v>
      </c>
      <c r="D29" s="30">
        <v>6797235</v>
      </c>
      <c r="E29" s="28">
        <v>1379.8387049999999</v>
      </c>
      <c r="F29" s="29">
        <v>1.0281131017349101</v>
      </c>
    </row>
    <row r="30" spans="1:6" x14ac:dyDescent="0.2">
      <c r="A30" s="26" t="s">
        <v>994</v>
      </c>
      <c r="B30" s="26" t="s">
        <v>993</v>
      </c>
      <c r="C30" s="26" t="s">
        <v>965</v>
      </c>
      <c r="D30" s="30">
        <v>128251</v>
      </c>
      <c r="E30" s="28">
        <v>1220.500642</v>
      </c>
      <c r="F30" s="29">
        <v>0.90939085573488798</v>
      </c>
    </row>
    <row r="31" spans="1:6" x14ac:dyDescent="0.2">
      <c r="A31" s="26" t="s">
        <v>1052</v>
      </c>
      <c r="B31" s="26" t="s">
        <v>1051</v>
      </c>
      <c r="C31" s="26" t="s">
        <v>1053</v>
      </c>
      <c r="D31" s="30">
        <v>1583382</v>
      </c>
      <c r="E31" s="28">
        <v>1208.912157</v>
      </c>
      <c r="F31" s="29">
        <v>0.90075631517983201</v>
      </c>
    </row>
    <row r="32" spans="1:6" x14ac:dyDescent="0.2">
      <c r="A32" s="26" t="s">
        <v>990</v>
      </c>
      <c r="B32" s="26" t="s">
        <v>989</v>
      </c>
      <c r="C32" s="26" t="s">
        <v>935</v>
      </c>
      <c r="D32" s="30">
        <v>615662</v>
      </c>
      <c r="E32" s="28">
        <v>1178.6848990000001</v>
      </c>
      <c r="F32" s="29">
        <v>0.87823408858428098</v>
      </c>
    </row>
    <row r="33" spans="1:9" x14ac:dyDescent="0.2">
      <c r="A33" s="26" t="s">
        <v>1035</v>
      </c>
      <c r="B33" s="26" t="s">
        <v>1034</v>
      </c>
      <c r="C33" s="26" t="s">
        <v>1029</v>
      </c>
      <c r="D33" s="30">
        <v>345421</v>
      </c>
      <c r="E33" s="28">
        <v>1145.4160360000001</v>
      </c>
      <c r="F33" s="29">
        <v>0.85344557250179898</v>
      </c>
    </row>
    <row r="34" spans="1:9" x14ac:dyDescent="0.2">
      <c r="A34" s="26" t="s">
        <v>1008</v>
      </c>
      <c r="B34" s="26" t="s">
        <v>1007</v>
      </c>
      <c r="C34" s="26" t="s">
        <v>962</v>
      </c>
      <c r="D34" s="30">
        <v>1081483</v>
      </c>
      <c r="E34" s="28">
        <v>1131.77196</v>
      </c>
      <c r="F34" s="29">
        <v>0.84327941812024998</v>
      </c>
    </row>
    <row r="35" spans="1:9" x14ac:dyDescent="0.2">
      <c r="A35" s="26" t="s">
        <v>992</v>
      </c>
      <c r="B35" s="26" t="s">
        <v>991</v>
      </c>
      <c r="C35" s="26" t="s">
        <v>962</v>
      </c>
      <c r="D35" s="30">
        <v>36783</v>
      </c>
      <c r="E35" s="28">
        <v>1105.310759</v>
      </c>
      <c r="F35" s="29">
        <v>0.82356326772009003</v>
      </c>
    </row>
    <row r="36" spans="1:9" x14ac:dyDescent="0.2">
      <c r="A36" s="26" t="s">
        <v>1005</v>
      </c>
      <c r="B36" s="26" t="s">
        <v>1004</v>
      </c>
      <c r="C36" s="26" t="s">
        <v>1006</v>
      </c>
      <c r="D36" s="30">
        <v>649104</v>
      </c>
      <c r="E36" s="28">
        <v>809.43268799999998</v>
      </c>
      <c r="F36" s="29">
        <v>0.60310552855908295</v>
      </c>
    </row>
    <row r="37" spans="1:9" x14ac:dyDescent="0.2">
      <c r="A37" s="26" t="s">
        <v>1071</v>
      </c>
      <c r="B37" s="26" t="s">
        <v>1070</v>
      </c>
      <c r="C37" s="26" t="s">
        <v>968</v>
      </c>
      <c r="D37" s="30">
        <v>72561</v>
      </c>
      <c r="E37" s="28">
        <v>756.99263250000001</v>
      </c>
      <c r="F37" s="29">
        <v>0.56403262248688002</v>
      </c>
    </row>
    <row r="38" spans="1:9" x14ac:dyDescent="0.2">
      <c r="A38" s="26" t="s">
        <v>1060</v>
      </c>
      <c r="B38" s="26" t="s">
        <v>1059</v>
      </c>
      <c r="C38" s="26" t="s">
        <v>1029</v>
      </c>
      <c r="D38" s="30">
        <v>336933</v>
      </c>
      <c r="E38" s="28">
        <v>704.86383599999999</v>
      </c>
      <c r="F38" s="29">
        <v>0.525191634431451</v>
      </c>
    </row>
    <row r="39" spans="1:9" x14ac:dyDescent="0.2">
      <c r="A39" s="26" t="s">
        <v>1057</v>
      </c>
      <c r="B39" s="26" t="s">
        <v>1056</v>
      </c>
      <c r="C39" s="26" t="s">
        <v>1058</v>
      </c>
      <c r="D39" s="30">
        <v>921918</v>
      </c>
      <c r="E39" s="28">
        <v>566.97956999999997</v>
      </c>
      <c r="F39" s="29">
        <v>0.42245453923038501</v>
      </c>
    </row>
    <row r="40" spans="1:9" x14ac:dyDescent="0.2">
      <c r="A40" s="26" t="s">
        <v>1010</v>
      </c>
      <c r="B40" s="26" t="s">
        <v>1009</v>
      </c>
      <c r="C40" s="26" t="s">
        <v>1011</v>
      </c>
      <c r="D40" s="30">
        <v>1265151</v>
      </c>
      <c r="E40" s="28">
        <v>485.18540849999999</v>
      </c>
      <c r="F40" s="29">
        <v>0.36150998913271898</v>
      </c>
    </row>
    <row r="41" spans="1:9" x14ac:dyDescent="0.2">
      <c r="A41" s="26" t="s">
        <v>1055</v>
      </c>
      <c r="B41" s="26" t="s">
        <v>1054</v>
      </c>
      <c r="C41" s="26" t="s">
        <v>997</v>
      </c>
      <c r="D41" s="30">
        <v>377910</v>
      </c>
      <c r="E41" s="28">
        <v>410.03235000000001</v>
      </c>
      <c r="F41" s="29">
        <v>0.30551370217590401</v>
      </c>
    </row>
    <row r="42" spans="1:9" x14ac:dyDescent="0.2">
      <c r="A42" s="26" t="s">
        <v>1012</v>
      </c>
      <c r="B42" s="26" t="s">
        <v>1570</v>
      </c>
      <c r="C42" s="26" t="s">
        <v>1006</v>
      </c>
      <c r="D42" s="30">
        <v>75869</v>
      </c>
      <c r="E42" s="28">
        <v>52.880693000000001</v>
      </c>
      <c r="F42" s="29">
        <v>3.94012235670122E-2</v>
      </c>
    </row>
    <row r="43" spans="1:9" ht="10.5" x14ac:dyDescent="0.25">
      <c r="A43" s="25" t="s">
        <v>167</v>
      </c>
      <c r="B43" s="25"/>
      <c r="C43" s="25"/>
      <c r="D43" s="31"/>
      <c r="E43" s="32">
        <f>SUM(E7:E42)</f>
        <v>97434.909971999979</v>
      </c>
      <c r="F43" s="33">
        <f>SUM(F7:F42)</f>
        <v>72.598418311924831</v>
      </c>
      <c r="G43" s="17"/>
      <c r="H43" s="17"/>
      <c r="I43" s="17"/>
    </row>
    <row r="44" spans="1:9" x14ac:dyDescent="0.2">
      <c r="A44" s="26"/>
      <c r="B44" s="26"/>
      <c r="C44" s="26"/>
      <c r="D44" s="27"/>
      <c r="E44" s="28"/>
      <c r="F44" s="29"/>
    </row>
    <row r="45" spans="1:9" ht="10.5" x14ac:dyDescent="0.25">
      <c r="A45" s="25" t="s">
        <v>1072</v>
      </c>
      <c r="B45" s="26"/>
      <c r="C45" s="26"/>
      <c r="D45" s="27"/>
      <c r="E45" s="28"/>
      <c r="F45" s="29"/>
    </row>
    <row r="46" spans="1:9" x14ac:dyDescent="0.2">
      <c r="A46" s="26" t="s">
        <v>1074</v>
      </c>
      <c r="B46" s="26" t="s">
        <v>1073</v>
      </c>
      <c r="C46" s="26" t="s">
        <v>941</v>
      </c>
      <c r="D46" s="30">
        <v>270000</v>
      </c>
      <c r="E46" s="28">
        <v>2.7E-2</v>
      </c>
      <c r="F46" s="29">
        <v>2.0117607693025699E-5</v>
      </c>
    </row>
    <row r="47" spans="1:9" x14ac:dyDescent="0.2">
      <c r="A47" s="26"/>
      <c r="B47" s="26" t="s">
        <v>1075</v>
      </c>
      <c r="C47" s="26" t="s">
        <v>1029</v>
      </c>
      <c r="D47" s="30">
        <v>27500</v>
      </c>
      <c r="E47" s="28">
        <v>2.7499999999999998E-3</v>
      </c>
      <c r="F47" s="29">
        <v>2.0490155983637302E-6</v>
      </c>
    </row>
    <row r="48" spans="1:9" ht="10.5" x14ac:dyDescent="0.25">
      <c r="A48" s="25" t="s">
        <v>167</v>
      </c>
      <c r="B48" s="25"/>
      <c r="C48" s="25"/>
      <c r="D48" s="31"/>
      <c r="E48" s="32">
        <f>SUM(E45:E47)</f>
        <v>2.9749999999999999E-2</v>
      </c>
      <c r="F48" s="33">
        <f>SUM(F45:F47)</f>
        <v>2.2166623291389429E-5</v>
      </c>
      <c r="G48" s="17"/>
      <c r="H48" s="17"/>
      <c r="I48" s="17"/>
    </row>
    <row r="49" spans="1:9" x14ac:dyDescent="0.2">
      <c r="A49" s="26"/>
      <c r="B49" s="26"/>
      <c r="C49" s="26"/>
      <c r="D49" s="27"/>
      <c r="E49" s="28"/>
      <c r="F49" s="29"/>
    </row>
    <row r="50" spans="1:9" ht="10.5" x14ac:dyDescent="0.25">
      <c r="A50" s="25" t="s">
        <v>69</v>
      </c>
      <c r="B50" s="26"/>
      <c r="C50" s="26"/>
      <c r="D50" s="27"/>
      <c r="E50" s="28"/>
      <c r="F50" s="29"/>
    </row>
    <row r="51" spans="1:9" ht="10.5" x14ac:dyDescent="0.25">
      <c r="A51" s="25" t="s">
        <v>70</v>
      </c>
      <c r="B51" s="26"/>
      <c r="C51" s="26"/>
      <c r="D51" s="27"/>
      <c r="E51" s="28"/>
      <c r="F51" s="29"/>
    </row>
    <row r="52" spans="1:9" x14ac:dyDescent="0.2">
      <c r="A52" s="26" t="s">
        <v>78</v>
      </c>
      <c r="B52" s="26" t="s">
        <v>77</v>
      </c>
      <c r="C52" s="26" t="s">
        <v>79</v>
      </c>
      <c r="D52" s="30">
        <v>450</v>
      </c>
      <c r="E52" s="28">
        <v>4443.3990000000003</v>
      </c>
      <c r="F52" s="29">
        <v>3.3107614039104698</v>
      </c>
    </row>
    <row r="53" spans="1:9" x14ac:dyDescent="0.2">
      <c r="A53" s="26" t="s">
        <v>141</v>
      </c>
      <c r="B53" s="26" t="s">
        <v>140</v>
      </c>
      <c r="C53" s="26" t="s">
        <v>85</v>
      </c>
      <c r="D53" s="30">
        <v>350</v>
      </c>
      <c r="E53" s="28">
        <v>3643.3074999999999</v>
      </c>
      <c r="F53" s="29">
        <v>2.7146159625947499</v>
      </c>
    </row>
    <row r="54" spans="1:9" x14ac:dyDescent="0.2">
      <c r="A54" s="26" t="s">
        <v>1077</v>
      </c>
      <c r="B54" s="26" t="s">
        <v>1076</v>
      </c>
      <c r="C54" s="26" t="s">
        <v>150</v>
      </c>
      <c r="D54" s="30">
        <v>250</v>
      </c>
      <c r="E54" s="28">
        <v>2437.7624999999998</v>
      </c>
      <c r="F54" s="29">
        <v>1.8163685045840601</v>
      </c>
    </row>
    <row r="55" spans="1:9" x14ac:dyDescent="0.2">
      <c r="A55" s="26" t="s">
        <v>1017</v>
      </c>
      <c r="B55" s="26" t="s">
        <v>1016</v>
      </c>
      <c r="C55" s="26" t="s">
        <v>139</v>
      </c>
      <c r="D55" s="30">
        <v>200</v>
      </c>
      <c r="E55" s="28">
        <v>2047.2080000000001</v>
      </c>
      <c r="F55" s="29">
        <v>1.52536768185273</v>
      </c>
    </row>
    <row r="56" spans="1:9" x14ac:dyDescent="0.2">
      <c r="A56" s="26" t="s">
        <v>320</v>
      </c>
      <c r="B56" s="26" t="s">
        <v>319</v>
      </c>
      <c r="C56" s="26" t="s">
        <v>73</v>
      </c>
      <c r="D56" s="30">
        <v>80</v>
      </c>
      <c r="E56" s="28">
        <v>753.2912</v>
      </c>
      <c r="F56" s="29">
        <v>0.56127469778550099</v>
      </c>
    </row>
    <row r="57" spans="1:9" x14ac:dyDescent="0.2">
      <c r="A57" s="26" t="s">
        <v>659</v>
      </c>
      <c r="B57" s="26" t="s">
        <v>658</v>
      </c>
      <c r="C57" s="26" t="s">
        <v>166</v>
      </c>
      <c r="D57" s="30">
        <v>60</v>
      </c>
      <c r="E57" s="28">
        <v>673.67219999999998</v>
      </c>
      <c r="F57" s="29">
        <v>0.50195085308509402</v>
      </c>
    </row>
    <row r="58" spans="1:9" x14ac:dyDescent="0.2">
      <c r="A58" s="26" t="s">
        <v>565</v>
      </c>
      <c r="B58" s="26" t="s">
        <v>564</v>
      </c>
      <c r="C58" s="26" t="s">
        <v>166</v>
      </c>
      <c r="D58" s="30">
        <v>60</v>
      </c>
      <c r="E58" s="28">
        <v>672.95399999999995</v>
      </c>
      <c r="F58" s="29">
        <v>0.50141572472045903</v>
      </c>
    </row>
    <row r="59" spans="1:9" x14ac:dyDescent="0.2">
      <c r="A59" s="26" t="s">
        <v>1019</v>
      </c>
      <c r="B59" s="26" t="s">
        <v>1018</v>
      </c>
      <c r="C59" s="26" t="s">
        <v>166</v>
      </c>
      <c r="D59" s="30">
        <v>50</v>
      </c>
      <c r="E59" s="28">
        <v>519.83199999999999</v>
      </c>
      <c r="F59" s="29">
        <v>0.38732504601040402</v>
      </c>
    </row>
    <row r="60" spans="1:9" ht="10.5" x14ac:dyDescent="0.25">
      <c r="A60" s="25" t="s">
        <v>167</v>
      </c>
      <c r="B60" s="25"/>
      <c r="C60" s="25"/>
      <c r="D60" s="31"/>
      <c r="E60" s="32">
        <f>SUM(E51:E59)</f>
        <v>15191.4264</v>
      </c>
      <c r="F60" s="33">
        <f>SUM(F51:F59)</f>
        <v>11.319079874543469</v>
      </c>
      <c r="G60" s="17"/>
      <c r="H60" s="17"/>
      <c r="I60" s="17"/>
    </row>
    <row r="61" spans="1:9" x14ac:dyDescent="0.2">
      <c r="A61" s="26"/>
      <c r="B61" s="26"/>
      <c r="C61" s="26"/>
      <c r="D61" s="27"/>
      <c r="E61" s="28"/>
      <c r="F61" s="29"/>
    </row>
    <row r="62" spans="1:9" ht="10.5" x14ac:dyDescent="0.25">
      <c r="A62" s="25" t="s">
        <v>168</v>
      </c>
      <c r="B62" s="26"/>
      <c r="C62" s="26"/>
      <c r="D62" s="27"/>
      <c r="E62" s="28"/>
      <c r="F62" s="29"/>
    </row>
    <row r="63" spans="1:9" x14ac:dyDescent="0.2">
      <c r="A63" s="26" t="s">
        <v>170</v>
      </c>
      <c r="B63" s="26" t="s">
        <v>169</v>
      </c>
      <c r="C63" s="26" t="s">
        <v>79</v>
      </c>
      <c r="D63" s="30">
        <v>250</v>
      </c>
      <c r="E63" s="28">
        <v>2499.9899999999998</v>
      </c>
      <c r="F63" s="29">
        <v>1.8627340020921199</v>
      </c>
    </row>
    <row r="64" spans="1:9" x14ac:dyDescent="0.2">
      <c r="A64" s="26" t="s">
        <v>204</v>
      </c>
      <c r="B64" s="26" t="s">
        <v>203</v>
      </c>
      <c r="C64" s="26" t="s">
        <v>73</v>
      </c>
      <c r="D64" s="30">
        <v>14</v>
      </c>
      <c r="E64" s="28">
        <v>1880.2098000000001</v>
      </c>
      <c r="F64" s="29">
        <v>1.4009378939623101</v>
      </c>
    </row>
    <row r="65" spans="1:9" ht="10.5" x14ac:dyDescent="0.25">
      <c r="A65" s="25" t="s">
        <v>167</v>
      </c>
      <c r="B65" s="25"/>
      <c r="C65" s="25"/>
      <c r="D65" s="31"/>
      <c r="E65" s="32">
        <f>SUM(E62:E64)</f>
        <v>4380.1998000000003</v>
      </c>
      <c r="F65" s="33">
        <f>SUM(F62:F64)</f>
        <v>3.2636718960544302</v>
      </c>
      <c r="G65" s="17"/>
      <c r="H65" s="17"/>
      <c r="I65" s="17"/>
    </row>
    <row r="66" spans="1:9" x14ac:dyDescent="0.2">
      <c r="A66" s="26"/>
      <c r="B66" s="26"/>
      <c r="C66" s="26"/>
      <c r="D66" s="27"/>
      <c r="E66" s="28"/>
      <c r="F66" s="29"/>
    </row>
    <row r="67" spans="1:9" ht="10.5" x14ac:dyDescent="0.25">
      <c r="A67" s="25" t="s">
        <v>413</v>
      </c>
      <c r="B67" s="26"/>
      <c r="C67" s="26"/>
      <c r="D67" s="27"/>
      <c r="E67" s="28"/>
      <c r="F67" s="29"/>
    </row>
    <row r="68" spans="1:9" ht="10.5" x14ac:dyDescent="0.25">
      <c r="A68" s="25" t="s">
        <v>414</v>
      </c>
      <c r="B68" s="26"/>
      <c r="C68" s="26"/>
      <c r="D68" s="27"/>
      <c r="E68" s="28"/>
      <c r="F68" s="29"/>
    </row>
    <row r="69" spans="1:9" x14ac:dyDescent="0.2">
      <c r="A69" s="26" t="s">
        <v>1079</v>
      </c>
      <c r="B69" s="26" t="s">
        <v>1078</v>
      </c>
      <c r="C69" s="26" t="s">
        <v>420</v>
      </c>
      <c r="D69" s="30">
        <v>2500</v>
      </c>
      <c r="E69" s="28">
        <v>2450.5925000000002</v>
      </c>
      <c r="F69" s="29">
        <v>1.8259280937211499</v>
      </c>
    </row>
    <row r="70" spans="1:9" ht="10.5" x14ac:dyDescent="0.25">
      <c r="A70" s="25" t="s">
        <v>167</v>
      </c>
      <c r="B70" s="25"/>
      <c r="C70" s="25"/>
      <c r="D70" s="31"/>
      <c r="E70" s="32">
        <f>SUM(E68:E69)</f>
        <v>2450.5925000000002</v>
      </c>
      <c r="F70" s="33">
        <f>SUM(F68:F69)</f>
        <v>1.8259280937211499</v>
      </c>
      <c r="G70" s="17"/>
      <c r="H70" s="17"/>
      <c r="I70" s="17"/>
    </row>
    <row r="71" spans="1:9" x14ac:dyDescent="0.2">
      <c r="A71" s="26"/>
      <c r="B71" s="26"/>
      <c r="C71" s="26"/>
      <c r="D71" s="27"/>
      <c r="E71" s="28"/>
      <c r="F71" s="29"/>
    </row>
    <row r="72" spans="1:9" ht="10.5" x14ac:dyDescent="0.25">
      <c r="A72" s="25" t="s">
        <v>523</v>
      </c>
      <c r="B72" s="26"/>
      <c r="C72" s="26"/>
      <c r="D72" s="27"/>
      <c r="E72" s="28"/>
      <c r="F72" s="29"/>
    </row>
    <row r="73" spans="1:9" x14ac:dyDescent="0.2">
      <c r="A73" s="26" t="s">
        <v>525</v>
      </c>
      <c r="B73" s="26" t="s">
        <v>524</v>
      </c>
      <c r="C73" s="26" t="s">
        <v>526</v>
      </c>
      <c r="D73" s="30">
        <v>9000000</v>
      </c>
      <c r="E73" s="28">
        <v>8967.42</v>
      </c>
      <c r="F73" s="29">
        <v>6.6815939843923102</v>
      </c>
    </row>
    <row r="74" spans="1:9" x14ac:dyDescent="0.2">
      <c r="A74" s="26" t="s">
        <v>530</v>
      </c>
      <c r="B74" s="26" t="s">
        <v>529</v>
      </c>
      <c r="C74" s="26" t="s">
        <v>526</v>
      </c>
      <c r="D74" s="30">
        <v>2500000</v>
      </c>
      <c r="E74" s="28">
        <v>2723.89</v>
      </c>
      <c r="F74" s="29">
        <v>2.02956112662799</v>
      </c>
    </row>
    <row r="75" spans="1:9" x14ac:dyDescent="0.2">
      <c r="A75" s="26" t="s">
        <v>681</v>
      </c>
      <c r="B75" s="26" t="s">
        <v>680</v>
      </c>
      <c r="C75" s="26" t="s">
        <v>526</v>
      </c>
      <c r="D75" s="30">
        <v>800000</v>
      </c>
      <c r="E75" s="28">
        <v>839.09519999999998</v>
      </c>
      <c r="F75" s="29">
        <v>0.62520696484077498</v>
      </c>
    </row>
    <row r="76" spans="1:9" x14ac:dyDescent="0.2">
      <c r="A76" s="26" t="s">
        <v>532</v>
      </c>
      <c r="B76" s="26" t="s">
        <v>531</v>
      </c>
      <c r="C76" s="26" t="s">
        <v>526</v>
      </c>
      <c r="D76" s="30">
        <v>100000</v>
      </c>
      <c r="E76" s="28">
        <v>108.2397</v>
      </c>
      <c r="F76" s="29">
        <v>8.0649030422621906E-2</v>
      </c>
    </row>
    <row r="77" spans="1:9" ht="10.5" x14ac:dyDescent="0.25">
      <c r="A77" s="25" t="s">
        <v>167</v>
      </c>
      <c r="B77" s="25"/>
      <c r="C77" s="25"/>
      <c r="D77" s="31"/>
      <c r="E77" s="32">
        <f>SUM(E73:E76)</f>
        <v>12638.644899999999</v>
      </c>
      <c r="F77" s="33">
        <f>SUM(F73:F76)</f>
        <v>9.417011106283697</v>
      </c>
      <c r="G77" s="17"/>
      <c r="H77" s="17"/>
      <c r="I77" s="17"/>
    </row>
    <row r="78" spans="1:9" x14ac:dyDescent="0.2">
      <c r="A78" s="26"/>
      <c r="B78" s="26"/>
      <c r="C78" s="26"/>
      <c r="D78" s="27"/>
      <c r="E78" s="28"/>
      <c r="F78" s="29"/>
    </row>
    <row r="79" spans="1:9" ht="10.5" x14ac:dyDescent="0.25">
      <c r="A79" s="25" t="s">
        <v>205</v>
      </c>
      <c r="B79" s="25"/>
      <c r="C79" s="25"/>
      <c r="D79" s="31"/>
      <c r="E79" s="32">
        <f>E43+E48+E60+E65+E70+E77</f>
        <v>132095.80332199996</v>
      </c>
      <c r="F79" s="33">
        <f>F43+F48+F60+F65+F70+F77</f>
        <v>98.424131449150863</v>
      </c>
      <c r="G79" s="17"/>
      <c r="H79" s="17"/>
      <c r="I79" s="17"/>
    </row>
    <row r="80" spans="1:9" ht="10.5" x14ac:dyDescent="0.25">
      <c r="A80" s="25"/>
      <c r="B80" s="25"/>
      <c r="C80" s="25"/>
      <c r="D80" s="31"/>
      <c r="E80" s="32"/>
      <c r="F80" s="33"/>
      <c r="G80" s="17"/>
      <c r="H80" s="17"/>
      <c r="I80" s="17"/>
    </row>
    <row r="81" spans="1:9" ht="10.5" x14ac:dyDescent="0.25">
      <c r="A81" s="25" t="s">
        <v>207</v>
      </c>
      <c r="B81" s="25"/>
      <c r="C81" s="25"/>
      <c r="D81" s="31"/>
      <c r="E81" s="32">
        <f>E83-(E43+E48+E60+E65+E70+E77)</f>
        <v>2114.9856147000392</v>
      </c>
      <c r="F81" s="33">
        <f>F83-(F43+F48+F60+F65+F70+F77)</f>
        <v>1.5758685508491368</v>
      </c>
      <c r="G81" s="17"/>
      <c r="H81" s="17"/>
      <c r="I81" s="17"/>
    </row>
    <row r="82" spans="1:9" ht="10.5" x14ac:dyDescent="0.25">
      <c r="A82" s="25"/>
      <c r="B82" s="25"/>
      <c r="C82" s="25"/>
      <c r="D82" s="31"/>
      <c r="E82" s="32"/>
      <c r="F82" s="33"/>
      <c r="G82" s="17"/>
      <c r="H82" s="17"/>
      <c r="I82" s="17"/>
    </row>
    <row r="83" spans="1:9" ht="10.5" x14ac:dyDescent="0.25">
      <c r="A83" s="34" t="s">
        <v>206</v>
      </c>
      <c r="B83" s="34"/>
      <c r="C83" s="34"/>
      <c r="D83" s="35"/>
      <c r="E83" s="36">
        <v>134210.7889367</v>
      </c>
      <c r="F83" s="37">
        <v>100</v>
      </c>
      <c r="G83" s="17"/>
      <c r="H83" s="17"/>
      <c r="I83" s="17"/>
    </row>
    <row r="84" spans="1:9" ht="10.5" x14ac:dyDescent="0.25">
      <c r="A84" s="66" t="s">
        <v>1551</v>
      </c>
      <c r="F84" s="67" t="s">
        <v>394</v>
      </c>
    </row>
    <row r="86" spans="1:9" ht="10.5" x14ac:dyDescent="0.25">
      <c r="A86" s="17" t="s">
        <v>210</v>
      </c>
    </row>
    <row r="87" spans="1:9" ht="10.5" x14ac:dyDescent="0.25">
      <c r="A87" s="17" t="s">
        <v>211</v>
      </c>
    </row>
    <row r="88" spans="1:9" ht="10.5" x14ac:dyDescent="0.25">
      <c r="A88" s="17" t="s">
        <v>212</v>
      </c>
      <c r="B88" s="17"/>
      <c r="C88" s="38" t="s">
        <v>214</v>
      </c>
      <c r="D88" s="18" t="s">
        <v>213</v>
      </c>
    </row>
    <row r="89" spans="1:9" x14ac:dyDescent="0.2">
      <c r="A89" s="10" t="s">
        <v>486</v>
      </c>
      <c r="C89" s="39">
        <v>124.5754</v>
      </c>
      <c r="D89" s="39">
        <v>115.6253</v>
      </c>
    </row>
    <row r="90" spans="1:9" x14ac:dyDescent="0.2">
      <c r="A90" s="10" t="s">
        <v>520</v>
      </c>
      <c r="C90" s="39">
        <v>21.291599999999999</v>
      </c>
      <c r="D90" s="39">
        <v>18.4116</v>
      </c>
    </row>
    <row r="91" spans="1:9" x14ac:dyDescent="0.2">
      <c r="A91" s="10" t="s">
        <v>489</v>
      </c>
      <c r="C91" s="39">
        <v>134.56469999999999</v>
      </c>
      <c r="D91" s="39">
        <v>125.51390000000001</v>
      </c>
    </row>
    <row r="92" spans="1:9" x14ac:dyDescent="0.2">
      <c r="A92" s="10" t="s">
        <v>521</v>
      </c>
      <c r="C92" s="39">
        <v>23.500800000000002</v>
      </c>
      <c r="D92" s="39">
        <v>20.566500000000001</v>
      </c>
    </row>
    <row r="94" spans="1:9" ht="10.5" x14ac:dyDescent="0.25">
      <c r="A94" s="17" t="s">
        <v>226</v>
      </c>
    </row>
    <row r="95" spans="1:9" ht="10.5" x14ac:dyDescent="0.25">
      <c r="A95" s="147" t="s">
        <v>401</v>
      </c>
      <c r="B95" s="148"/>
      <c r="C95" s="145" t="s">
        <v>402</v>
      </c>
      <c r="D95" s="146"/>
    </row>
    <row r="96" spans="1:9" ht="10.5" x14ac:dyDescent="0.25">
      <c r="A96" s="147"/>
      <c r="B96" s="148"/>
      <c r="C96" s="43" t="s">
        <v>403</v>
      </c>
      <c r="D96" s="44" t="s">
        <v>404</v>
      </c>
    </row>
    <row r="97" spans="1:6" x14ac:dyDescent="0.2">
      <c r="A97" s="141" t="s">
        <v>520</v>
      </c>
      <c r="B97" s="142"/>
      <c r="C97" s="45">
        <v>1.15625</v>
      </c>
      <c r="D97" s="45">
        <v>1.15625</v>
      </c>
    </row>
    <row r="98" spans="1:6" x14ac:dyDescent="0.2">
      <c r="A98" s="141" t="s">
        <v>521</v>
      </c>
      <c r="B98" s="142"/>
      <c r="C98" s="45">
        <v>1.15625</v>
      </c>
      <c r="D98" s="45">
        <v>1.15625</v>
      </c>
    </row>
    <row r="100" spans="1:6" ht="10.5" x14ac:dyDescent="0.25">
      <c r="A100" s="17" t="s">
        <v>1065</v>
      </c>
      <c r="D100" s="46">
        <v>0.56920000000000004</v>
      </c>
    </row>
    <row r="102" spans="1:6" ht="10.5" x14ac:dyDescent="0.25">
      <c r="A102" s="17" t="s">
        <v>1066</v>
      </c>
      <c r="D102" s="41">
        <v>3.8475570957088041</v>
      </c>
      <c r="E102" s="15" t="s">
        <v>229</v>
      </c>
    </row>
    <row r="103" spans="1:6" ht="44" customHeight="1" x14ac:dyDescent="0.2">
      <c r="A103" s="139" t="s">
        <v>1596</v>
      </c>
      <c r="B103" s="140"/>
      <c r="C103" s="140"/>
      <c r="D103" s="140"/>
      <c r="E103" s="140"/>
    </row>
    <row r="104" spans="1:6" s="78" customFormat="1" ht="14.5" x14ac:dyDescent="0.2">
      <c r="A104" s="137"/>
      <c r="B104" s="138"/>
      <c r="C104" s="138"/>
      <c r="D104" s="138"/>
      <c r="E104" s="138"/>
      <c r="F104" s="83"/>
    </row>
    <row r="105" spans="1:6" s="64" customFormat="1" ht="14.5" x14ac:dyDescent="0.35">
      <c r="A105" s="70" t="s">
        <v>1067</v>
      </c>
      <c r="B105" s="69"/>
      <c r="C105" s="69"/>
      <c r="D105" s="71" t="s">
        <v>227</v>
      </c>
      <c r="E105" s="69"/>
      <c r="F105" s="65"/>
    </row>
  </sheetData>
  <mergeCells count="7">
    <mergeCell ref="A103:E103"/>
    <mergeCell ref="A98:B98"/>
    <mergeCell ref="A1:F1"/>
    <mergeCell ref="C95:D95"/>
    <mergeCell ref="A95:B95"/>
    <mergeCell ref="A96:B96"/>
    <mergeCell ref="A97:B97"/>
  </mergeCells>
  <conditionalFormatting sqref="F2:F3 F5:F83 F85:F65537">
    <cfRule type="cellIs" dxfId="25" priority="2" stopIfTrue="1" operator="between">
      <formula>0.009</formula>
      <formula>-0.009</formula>
    </cfRule>
  </conditionalFormatting>
  <conditionalFormatting sqref="F84">
    <cfRule type="cellIs" dxfId="2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1"/>
  <sheetViews>
    <sheetView workbookViewId="0">
      <selection sqref="A1:F1"/>
    </sheetView>
  </sheetViews>
  <sheetFormatPr defaultColWidth="9.1796875" defaultRowHeight="10" x14ac:dyDescent="0.2"/>
  <cols>
    <col min="1" max="1" width="38.7265625" style="10" bestFit="1" customWidth="1"/>
    <col min="2" max="2" width="25.81640625" style="10" bestFit="1" customWidth="1"/>
    <col min="3" max="3" width="18.81640625" style="10" bestFit="1" customWidth="1"/>
    <col min="4" max="4" width="14.7265625" style="11" bestFit="1" customWidth="1"/>
    <col min="5" max="5" width="23" style="15" bestFit="1" customWidth="1"/>
    <col min="6" max="6" width="13.54296875" style="16" bestFit="1" customWidth="1"/>
    <col min="7" max="7" width="4.453125" style="10" bestFit="1" customWidth="1"/>
    <col min="8" max="16384" width="9.1796875" style="10"/>
  </cols>
  <sheetData>
    <row r="1" spans="1:6" s="1" customFormat="1" ht="14" x14ac:dyDescent="0.25">
      <c r="A1" s="143" t="s">
        <v>46</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947</v>
      </c>
      <c r="B7" s="26" t="s">
        <v>946</v>
      </c>
      <c r="C7" s="26" t="s">
        <v>935</v>
      </c>
      <c r="D7" s="30">
        <v>800000</v>
      </c>
      <c r="E7" s="28">
        <v>2774.4</v>
      </c>
      <c r="F7" s="29">
        <v>7.0346823202688196</v>
      </c>
    </row>
    <row r="8" spans="1:6" x14ac:dyDescent="0.2">
      <c r="A8" s="26" t="s">
        <v>990</v>
      </c>
      <c r="B8" s="26" t="s">
        <v>989</v>
      </c>
      <c r="C8" s="26" t="s">
        <v>935</v>
      </c>
      <c r="D8" s="30">
        <v>1400000</v>
      </c>
      <c r="E8" s="28">
        <v>2680.3</v>
      </c>
      <c r="F8" s="29">
        <v>6.7960852879961502</v>
      </c>
    </row>
    <row r="9" spans="1:6" x14ac:dyDescent="0.2">
      <c r="A9" s="26" t="s">
        <v>934</v>
      </c>
      <c r="B9" s="26" t="s">
        <v>933</v>
      </c>
      <c r="C9" s="26" t="s">
        <v>935</v>
      </c>
      <c r="D9" s="30">
        <v>250000</v>
      </c>
      <c r="E9" s="28">
        <v>2582</v>
      </c>
      <c r="F9" s="29">
        <v>6.5468388663978203</v>
      </c>
    </row>
    <row r="10" spans="1:6" x14ac:dyDescent="0.2">
      <c r="A10" s="26" t="s">
        <v>1081</v>
      </c>
      <c r="B10" s="26" t="s">
        <v>1080</v>
      </c>
      <c r="C10" s="26" t="s">
        <v>941</v>
      </c>
      <c r="D10" s="30">
        <v>360000</v>
      </c>
      <c r="E10" s="28">
        <v>2538.7199999999998</v>
      </c>
      <c r="F10" s="29">
        <v>6.4370994449657104</v>
      </c>
    </row>
    <row r="11" spans="1:6" x14ac:dyDescent="0.2">
      <c r="A11" s="26" t="s">
        <v>940</v>
      </c>
      <c r="B11" s="26" t="s">
        <v>939</v>
      </c>
      <c r="C11" s="26" t="s">
        <v>941</v>
      </c>
      <c r="D11" s="30">
        <v>230000</v>
      </c>
      <c r="E11" s="28">
        <v>2221.8000000000002</v>
      </c>
      <c r="F11" s="29">
        <v>5.6335269532775598</v>
      </c>
    </row>
    <row r="12" spans="1:6" x14ac:dyDescent="0.2">
      <c r="A12" s="26" t="s">
        <v>961</v>
      </c>
      <c r="B12" s="26" t="s">
        <v>960</v>
      </c>
      <c r="C12" s="26" t="s">
        <v>962</v>
      </c>
      <c r="D12" s="30">
        <v>330000</v>
      </c>
      <c r="E12" s="28">
        <v>2001.2850000000001</v>
      </c>
      <c r="F12" s="29">
        <v>5.07439598014677</v>
      </c>
    </row>
    <row r="13" spans="1:6" x14ac:dyDescent="0.2">
      <c r="A13" s="26" t="s">
        <v>1083</v>
      </c>
      <c r="B13" s="26" t="s">
        <v>1082</v>
      </c>
      <c r="C13" s="26" t="s">
        <v>965</v>
      </c>
      <c r="D13" s="30">
        <v>800000</v>
      </c>
      <c r="E13" s="28">
        <v>1553.2</v>
      </c>
      <c r="F13" s="29">
        <v>3.93824559538694</v>
      </c>
    </row>
    <row r="14" spans="1:6" x14ac:dyDescent="0.2">
      <c r="A14" s="26" t="s">
        <v>952</v>
      </c>
      <c r="B14" s="26" t="s">
        <v>951</v>
      </c>
      <c r="C14" s="26" t="s">
        <v>953</v>
      </c>
      <c r="D14" s="30">
        <v>210000</v>
      </c>
      <c r="E14" s="28">
        <v>1329.405</v>
      </c>
      <c r="F14" s="29">
        <v>3.3707979563065802</v>
      </c>
    </row>
    <row r="15" spans="1:6" x14ac:dyDescent="0.2">
      <c r="A15" s="26" t="s">
        <v>981</v>
      </c>
      <c r="B15" s="26" t="s">
        <v>980</v>
      </c>
      <c r="C15" s="26" t="s">
        <v>982</v>
      </c>
      <c r="D15" s="30">
        <v>700000</v>
      </c>
      <c r="E15" s="28">
        <v>1248.0999999999999</v>
      </c>
      <c r="F15" s="29">
        <v>3.1646435279438898</v>
      </c>
    </row>
    <row r="16" spans="1:6" x14ac:dyDescent="0.2">
      <c r="A16" s="26" t="s">
        <v>984</v>
      </c>
      <c r="B16" s="26" t="s">
        <v>983</v>
      </c>
      <c r="C16" s="26" t="s">
        <v>982</v>
      </c>
      <c r="D16" s="30">
        <v>1400000</v>
      </c>
      <c r="E16" s="28">
        <v>1218</v>
      </c>
      <c r="F16" s="29">
        <v>3.0883229044432801</v>
      </c>
    </row>
    <row r="17" spans="1:6" x14ac:dyDescent="0.2">
      <c r="A17" s="26" t="s">
        <v>1085</v>
      </c>
      <c r="B17" s="26" t="s">
        <v>1084</v>
      </c>
      <c r="C17" s="26" t="s">
        <v>962</v>
      </c>
      <c r="D17" s="30">
        <v>3000000</v>
      </c>
      <c r="E17" s="28">
        <v>1125</v>
      </c>
      <c r="F17" s="29">
        <v>2.85251499794638</v>
      </c>
    </row>
    <row r="18" spans="1:6" x14ac:dyDescent="0.2">
      <c r="A18" s="26" t="s">
        <v>1087</v>
      </c>
      <c r="B18" s="26" t="s">
        <v>1086</v>
      </c>
      <c r="C18" s="26" t="s">
        <v>1088</v>
      </c>
      <c r="D18" s="30">
        <v>1100000</v>
      </c>
      <c r="E18" s="28">
        <v>1054.3499999999999</v>
      </c>
      <c r="F18" s="29">
        <v>2.6733770560753398</v>
      </c>
    </row>
    <row r="19" spans="1:6" x14ac:dyDescent="0.2">
      <c r="A19" s="26" t="s">
        <v>1014</v>
      </c>
      <c r="B19" s="26" t="s">
        <v>1013</v>
      </c>
      <c r="C19" s="26" t="s">
        <v>1015</v>
      </c>
      <c r="D19" s="30">
        <v>800000</v>
      </c>
      <c r="E19" s="28">
        <v>1034</v>
      </c>
      <c r="F19" s="29">
        <v>2.6217782292236</v>
      </c>
    </row>
    <row r="20" spans="1:6" x14ac:dyDescent="0.2">
      <c r="A20" s="26" t="s">
        <v>1090</v>
      </c>
      <c r="B20" s="26" t="s">
        <v>1089</v>
      </c>
      <c r="C20" s="26" t="s">
        <v>1091</v>
      </c>
      <c r="D20" s="30">
        <v>1300000</v>
      </c>
      <c r="E20" s="28">
        <v>1017.9</v>
      </c>
      <c r="F20" s="29">
        <v>2.5809555701418798</v>
      </c>
    </row>
    <row r="21" spans="1:6" x14ac:dyDescent="0.2">
      <c r="A21" s="26" t="s">
        <v>1093</v>
      </c>
      <c r="B21" s="26" t="s">
        <v>1092</v>
      </c>
      <c r="C21" s="26" t="s">
        <v>965</v>
      </c>
      <c r="D21" s="30">
        <v>230000</v>
      </c>
      <c r="E21" s="28">
        <v>984.51499999999999</v>
      </c>
      <c r="F21" s="29">
        <v>2.4963056028472699</v>
      </c>
    </row>
    <row r="22" spans="1:6" x14ac:dyDescent="0.2">
      <c r="A22" s="26" t="s">
        <v>1050</v>
      </c>
      <c r="B22" s="26" t="s">
        <v>1049</v>
      </c>
      <c r="C22" s="26" t="s">
        <v>973</v>
      </c>
      <c r="D22" s="30">
        <v>1100000</v>
      </c>
      <c r="E22" s="28">
        <v>972.95</v>
      </c>
      <c r="F22" s="29">
        <v>2.4669817486683798</v>
      </c>
    </row>
    <row r="23" spans="1:6" x14ac:dyDescent="0.2">
      <c r="A23" s="26" t="s">
        <v>943</v>
      </c>
      <c r="B23" s="26" t="s">
        <v>942</v>
      </c>
      <c r="C23" s="26" t="s">
        <v>935</v>
      </c>
      <c r="D23" s="30">
        <v>200000</v>
      </c>
      <c r="E23" s="28">
        <v>863.3</v>
      </c>
      <c r="F23" s="29">
        <v>2.18895662020187</v>
      </c>
    </row>
    <row r="24" spans="1:6" x14ac:dyDescent="0.2">
      <c r="A24" s="26" t="s">
        <v>1064</v>
      </c>
      <c r="B24" s="26" t="s">
        <v>1063</v>
      </c>
      <c r="C24" s="26" t="s">
        <v>935</v>
      </c>
      <c r="D24" s="30">
        <v>1600000</v>
      </c>
      <c r="E24" s="28">
        <v>862.4</v>
      </c>
      <c r="F24" s="29">
        <v>2.18667460820352</v>
      </c>
    </row>
    <row r="25" spans="1:6" x14ac:dyDescent="0.2">
      <c r="A25" s="26" t="s">
        <v>1062</v>
      </c>
      <c r="B25" s="26" t="s">
        <v>1061</v>
      </c>
      <c r="C25" s="26" t="s">
        <v>956</v>
      </c>
      <c r="D25" s="30">
        <v>800000</v>
      </c>
      <c r="E25" s="28">
        <v>773.2</v>
      </c>
      <c r="F25" s="29">
        <v>1.96050186347746</v>
      </c>
    </row>
    <row r="26" spans="1:6" x14ac:dyDescent="0.2">
      <c r="A26" s="26" t="s">
        <v>1095</v>
      </c>
      <c r="B26" s="26" t="s">
        <v>1094</v>
      </c>
      <c r="C26" s="26" t="s">
        <v>1096</v>
      </c>
      <c r="D26" s="30">
        <v>250000</v>
      </c>
      <c r="E26" s="28">
        <v>764.25</v>
      </c>
      <c r="F26" s="29">
        <v>1.9378085219382399</v>
      </c>
    </row>
    <row r="27" spans="1:6" x14ac:dyDescent="0.2">
      <c r="A27" s="26" t="s">
        <v>1043</v>
      </c>
      <c r="B27" s="26" t="s">
        <v>1042</v>
      </c>
      <c r="C27" s="26" t="s">
        <v>941</v>
      </c>
      <c r="D27" s="30">
        <v>110000</v>
      </c>
      <c r="E27" s="28">
        <v>749.81500000000005</v>
      </c>
      <c r="F27" s="29">
        <v>1.90120758505348</v>
      </c>
    </row>
    <row r="28" spans="1:6" x14ac:dyDescent="0.2">
      <c r="A28" s="26" t="s">
        <v>1098</v>
      </c>
      <c r="B28" s="26" t="s">
        <v>1097</v>
      </c>
      <c r="C28" s="26" t="s">
        <v>1099</v>
      </c>
      <c r="D28" s="30">
        <v>160000</v>
      </c>
      <c r="E28" s="28">
        <v>721.76</v>
      </c>
      <c r="F28" s="29">
        <v>1.8300721999269101</v>
      </c>
    </row>
    <row r="29" spans="1:6" x14ac:dyDescent="0.2">
      <c r="A29" s="26" t="s">
        <v>1101</v>
      </c>
      <c r="B29" s="26" t="s">
        <v>1100</v>
      </c>
      <c r="C29" s="26" t="s">
        <v>965</v>
      </c>
      <c r="D29" s="30">
        <v>300000</v>
      </c>
      <c r="E29" s="28">
        <v>719.55</v>
      </c>
      <c r="F29" s="29">
        <v>1.8244685926865001</v>
      </c>
    </row>
    <row r="30" spans="1:6" x14ac:dyDescent="0.2">
      <c r="A30" s="26" t="s">
        <v>988</v>
      </c>
      <c r="B30" s="26" t="s">
        <v>987</v>
      </c>
      <c r="C30" s="26" t="s">
        <v>973</v>
      </c>
      <c r="D30" s="30">
        <v>150000</v>
      </c>
      <c r="E30" s="28">
        <v>620.70000000000005</v>
      </c>
      <c r="F30" s="29">
        <v>1.57382760820028</v>
      </c>
    </row>
    <row r="31" spans="1:6" x14ac:dyDescent="0.2">
      <c r="A31" s="26" t="s">
        <v>1103</v>
      </c>
      <c r="B31" s="26" t="s">
        <v>1102</v>
      </c>
      <c r="C31" s="26" t="s">
        <v>997</v>
      </c>
      <c r="D31" s="30">
        <v>200000</v>
      </c>
      <c r="E31" s="28">
        <v>539.5</v>
      </c>
      <c r="F31" s="29">
        <v>1.36793941457073</v>
      </c>
    </row>
    <row r="32" spans="1:6" x14ac:dyDescent="0.2">
      <c r="A32" s="26" t="s">
        <v>1105</v>
      </c>
      <c r="B32" s="26" t="s">
        <v>1104</v>
      </c>
      <c r="C32" s="26" t="s">
        <v>941</v>
      </c>
      <c r="D32" s="30">
        <v>150000</v>
      </c>
      <c r="E32" s="28">
        <v>495</v>
      </c>
      <c r="F32" s="29">
        <v>1.2551065990964101</v>
      </c>
    </row>
    <row r="33" spans="1:9" x14ac:dyDescent="0.2">
      <c r="A33" s="26" t="s">
        <v>1107</v>
      </c>
      <c r="B33" s="26" t="s">
        <v>1106</v>
      </c>
      <c r="C33" s="26" t="s">
        <v>950</v>
      </c>
      <c r="D33" s="30">
        <v>450000</v>
      </c>
      <c r="E33" s="28">
        <v>487.125</v>
      </c>
      <c r="F33" s="29">
        <v>1.23513899411078</v>
      </c>
    </row>
    <row r="34" spans="1:9" x14ac:dyDescent="0.2">
      <c r="A34" s="26" t="s">
        <v>1060</v>
      </c>
      <c r="B34" s="26" t="s">
        <v>1059</v>
      </c>
      <c r="C34" s="26" t="s">
        <v>1029</v>
      </c>
      <c r="D34" s="30">
        <v>200000</v>
      </c>
      <c r="E34" s="28">
        <v>418.4</v>
      </c>
      <c r="F34" s="29">
        <v>1.0608820223473501</v>
      </c>
    </row>
    <row r="35" spans="1:9" x14ac:dyDescent="0.2">
      <c r="A35" s="26" t="s">
        <v>1109</v>
      </c>
      <c r="B35" s="26" t="s">
        <v>1108</v>
      </c>
      <c r="C35" s="26" t="s">
        <v>973</v>
      </c>
      <c r="D35" s="30">
        <v>70000</v>
      </c>
      <c r="E35" s="28">
        <v>400.64499999999998</v>
      </c>
      <c r="F35" s="29">
        <v>1.0158629967575299</v>
      </c>
    </row>
    <row r="36" spans="1:9" x14ac:dyDescent="0.2">
      <c r="A36" s="26" t="s">
        <v>1111</v>
      </c>
      <c r="B36" s="26" t="s">
        <v>1110</v>
      </c>
      <c r="C36" s="26" t="s">
        <v>1029</v>
      </c>
      <c r="D36" s="30">
        <v>800000</v>
      </c>
      <c r="E36" s="28">
        <v>392.8</v>
      </c>
      <c r="F36" s="29">
        <v>0.99597145883852201</v>
      </c>
    </row>
    <row r="37" spans="1:9" x14ac:dyDescent="0.2">
      <c r="A37" s="26" t="s">
        <v>1113</v>
      </c>
      <c r="B37" s="26" t="s">
        <v>1112</v>
      </c>
      <c r="C37" s="26" t="s">
        <v>1099</v>
      </c>
      <c r="D37" s="30">
        <v>400000</v>
      </c>
      <c r="E37" s="28">
        <v>362</v>
      </c>
      <c r="F37" s="29">
        <v>0.91787593711696702</v>
      </c>
    </row>
    <row r="38" spans="1:9" x14ac:dyDescent="0.2">
      <c r="A38" s="26" t="s">
        <v>1115</v>
      </c>
      <c r="B38" s="26" t="s">
        <v>1114</v>
      </c>
      <c r="C38" s="26" t="s">
        <v>1116</v>
      </c>
      <c r="D38" s="30">
        <v>100000</v>
      </c>
      <c r="E38" s="28">
        <v>307.95</v>
      </c>
      <c r="F38" s="29">
        <v>0.78082843877118802</v>
      </c>
    </row>
    <row r="39" spans="1:9" x14ac:dyDescent="0.2">
      <c r="A39" s="26" t="s">
        <v>1118</v>
      </c>
      <c r="B39" s="26" t="s">
        <v>1117</v>
      </c>
      <c r="C39" s="26" t="s">
        <v>962</v>
      </c>
      <c r="D39" s="30">
        <v>600000</v>
      </c>
      <c r="E39" s="28">
        <v>291.89999999999998</v>
      </c>
      <c r="F39" s="29">
        <v>0.74013255813381995</v>
      </c>
    </row>
    <row r="40" spans="1:9" x14ac:dyDescent="0.2">
      <c r="A40" s="26" t="s">
        <v>1120</v>
      </c>
      <c r="B40" s="26" t="s">
        <v>1119</v>
      </c>
      <c r="C40" s="26" t="s">
        <v>1121</v>
      </c>
      <c r="D40" s="30">
        <v>40000</v>
      </c>
      <c r="E40" s="28">
        <v>266.10000000000002</v>
      </c>
      <c r="F40" s="29">
        <v>0.67471488084758302</v>
      </c>
    </row>
    <row r="41" spans="1:9" x14ac:dyDescent="0.2">
      <c r="A41" s="26" t="s">
        <v>1057</v>
      </c>
      <c r="B41" s="26" t="s">
        <v>1056</v>
      </c>
      <c r="C41" s="26" t="s">
        <v>1058</v>
      </c>
      <c r="D41" s="30">
        <v>153000</v>
      </c>
      <c r="E41" s="28">
        <v>94.094999999999999</v>
      </c>
      <c r="F41" s="29">
        <v>0.238584354428235</v>
      </c>
    </row>
    <row r="42" spans="1:9" ht="10.5" x14ac:dyDescent="0.25">
      <c r="A42" s="25" t="s">
        <v>167</v>
      </c>
      <c r="B42" s="25"/>
      <c r="C42" s="25"/>
      <c r="D42" s="31"/>
      <c r="E42" s="32">
        <f>SUM(E7:E41)</f>
        <v>36466.414999999994</v>
      </c>
      <c r="F42" s="33">
        <f>SUM(F7:F41)</f>
        <v>92.463107296743758</v>
      </c>
      <c r="G42" s="17"/>
      <c r="H42" s="17"/>
      <c r="I42" s="17"/>
    </row>
    <row r="43" spans="1:9" x14ac:dyDescent="0.2">
      <c r="A43" s="26"/>
      <c r="B43" s="26"/>
      <c r="C43" s="26"/>
      <c r="D43" s="27"/>
      <c r="E43" s="28"/>
      <c r="F43" s="29"/>
    </row>
    <row r="44" spans="1:9" ht="10.5" x14ac:dyDescent="0.25">
      <c r="A44" s="25" t="s">
        <v>205</v>
      </c>
      <c r="B44" s="25"/>
      <c r="C44" s="25"/>
      <c r="D44" s="31"/>
      <c r="E44" s="32">
        <f>E42</f>
        <v>36466.414999999994</v>
      </c>
      <c r="F44" s="33">
        <f>F42</f>
        <v>92.463107296743758</v>
      </c>
      <c r="G44" s="17"/>
      <c r="H44" s="17"/>
      <c r="I44" s="17"/>
    </row>
    <row r="45" spans="1:9" ht="10.5" x14ac:dyDescent="0.25">
      <c r="A45" s="25"/>
      <c r="B45" s="25"/>
      <c r="C45" s="25"/>
      <c r="D45" s="31"/>
      <c r="E45" s="32"/>
      <c r="F45" s="33"/>
      <c r="G45" s="17"/>
      <c r="H45" s="17"/>
      <c r="I45" s="17"/>
    </row>
    <row r="46" spans="1:9" ht="10.5" x14ac:dyDescent="0.25">
      <c r="A46" s="25" t="s">
        <v>207</v>
      </c>
      <c r="B46" s="25"/>
      <c r="C46" s="25"/>
      <c r="D46" s="31"/>
      <c r="E46" s="32">
        <f>E48-(E42)</f>
        <v>2972.466156100003</v>
      </c>
      <c r="F46" s="33">
        <f>F48-(F42)</f>
        <v>7.5368927032562425</v>
      </c>
      <c r="G46" s="17"/>
      <c r="H46" s="17"/>
      <c r="I46" s="17"/>
    </row>
    <row r="47" spans="1:9" ht="10.5" x14ac:dyDescent="0.25">
      <c r="A47" s="25"/>
      <c r="B47" s="25"/>
      <c r="C47" s="25"/>
      <c r="D47" s="31"/>
      <c r="E47" s="32"/>
      <c r="F47" s="33"/>
      <c r="G47" s="17"/>
      <c r="H47" s="17"/>
      <c r="I47" s="17"/>
    </row>
    <row r="48" spans="1:9" ht="10.5" x14ac:dyDescent="0.25">
      <c r="A48" s="34" t="s">
        <v>206</v>
      </c>
      <c r="B48" s="34"/>
      <c r="C48" s="34"/>
      <c r="D48" s="35"/>
      <c r="E48" s="36">
        <v>39438.881156099997</v>
      </c>
      <c r="F48" s="37">
        <v>100</v>
      </c>
      <c r="G48" s="17"/>
      <c r="H48" s="17"/>
      <c r="I48" s="17"/>
    </row>
    <row r="51" spans="1:4" ht="10.5" x14ac:dyDescent="0.25">
      <c r="A51" s="17" t="s">
        <v>210</v>
      </c>
    </row>
    <row r="52" spans="1:4" ht="10.5" x14ac:dyDescent="0.25">
      <c r="A52" s="17" t="s">
        <v>211</v>
      </c>
    </row>
    <row r="53" spans="1:4" ht="10.5" x14ac:dyDescent="0.25">
      <c r="A53" s="17" t="s">
        <v>212</v>
      </c>
      <c r="B53" s="17"/>
      <c r="C53" s="38" t="s">
        <v>214</v>
      </c>
      <c r="D53" s="18" t="s">
        <v>213</v>
      </c>
    </row>
    <row r="54" spans="1:4" x14ac:dyDescent="0.2">
      <c r="A54" s="10" t="s">
        <v>486</v>
      </c>
      <c r="C54" s="39">
        <v>242.84649999999999</v>
      </c>
      <c r="D54" s="39">
        <v>204.2602</v>
      </c>
    </row>
    <row r="55" spans="1:4" x14ac:dyDescent="0.2">
      <c r="A55" s="10" t="s">
        <v>520</v>
      </c>
      <c r="C55" s="39">
        <v>53.111499999999999</v>
      </c>
      <c r="D55" s="39">
        <v>44.671900000000001</v>
      </c>
    </row>
    <row r="56" spans="1:4" x14ac:dyDescent="0.2">
      <c r="A56" s="10" t="s">
        <v>489</v>
      </c>
      <c r="C56" s="39">
        <v>255.43129999999999</v>
      </c>
      <c r="D56" s="39">
        <v>215.9468</v>
      </c>
    </row>
    <row r="57" spans="1:4" x14ac:dyDescent="0.2">
      <c r="A57" s="10" t="s">
        <v>521</v>
      </c>
      <c r="C57" s="39">
        <v>56.8992</v>
      </c>
      <c r="D57" s="39">
        <v>48.098399999999998</v>
      </c>
    </row>
    <row r="59" spans="1:4" ht="10.5" x14ac:dyDescent="0.25">
      <c r="A59" s="17" t="s">
        <v>226</v>
      </c>
      <c r="D59" s="40" t="s">
        <v>227</v>
      </c>
    </row>
    <row r="61" spans="1:4" ht="10.5" x14ac:dyDescent="0.25">
      <c r="A61" s="17" t="s">
        <v>1065</v>
      </c>
      <c r="D61" s="46">
        <v>0.25700000000000001</v>
      </c>
    </row>
  </sheetData>
  <mergeCells count="1">
    <mergeCell ref="A1:F1"/>
  </mergeCells>
  <conditionalFormatting sqref="F2:F3 F5:F65536">
    <cfRule type="cellIs" dxfId="2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6"/>
  <sheetViews>
    <sheetView workbookViewId="0">
      <selection sqref="A1:F1"/>
    </sheetView>
  </sheetViews>
  <sheetFormatPr defaultColWidth="9.1796875" defaultRowHeight="10" x14ac:dyDescent="0.2"/>
  <cols>
    <col min="1" max="1" width="40.54296875" style="10" bestFit="1" customWidth="1"/>
    <col min="2" max="2" width="26.54296875" style="10" bestFit="1" customWidth="1"/>
    <col min="3" max="3" width="18.81640625" style="10" bestFit="1" customWidth="1"/>
    <col min="4" max="4" width="14.7265625" style="11" bestFit="1" customWidth="1"/>
    <col min="5" max="5" width="23" style="15" bestFit="1" customWidth="1"/>
    <col min="6" max="6" width="13.54296875" style="16" bestFit="1" customWidth="1"/>
    <col min="7" max="7" width="5" style="10" bestFit="1" customWidth="1"/>
    <col min="8" max="16384" width="9.1796875" style="10"/>
  </cols>
  <sheetData>
    <row r="1" spans="1:6" s="1" customFormat="1" ht="14" x14ac:dyDescent="0.25">
      <c r="A1" s="143" t="s">
        <v>47</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815444</v>
      </c>
      <c r="E7" s="28">
        <v>7877.1890400000002</v>
      </c>
      <c r="F7" s="29">
        <v>10.1959629153994</v>
      </c>
    </row>
    <row r="8" spans="1:6" x14ac:dyDescent="0.2">
      <c r="A8" s="26" t="s">
        <v>981</v>
      </c>
      <c r="B8" s="26" t="s">
        <v>980</v>
      </c>
      <c r="C8" s="26" t="s">
        <v>982</v>
      </c>
      <c r="D8" s="30">
        <v>2509054</v>
      </c>
      <c r="E8" s="28">
        <v>4473.643282</v>
      </c>
      <c r="F8" s="29">
        <v>5.7905301965430303</v>
      </c>
    </row>
    <row r="9" spans="1:6" x14ac:dyDescent="0.2">
      <c r="A9" s="26" t="s">
        <v>1037</v>
      </c>
      <c r="B9" s="26" t="s">
        <v>1036</v>
      </c>
      <c r="C9" s="26" t="s">
        <v>982</v>
      </c>
      <c r="D9" s="30">
        <v>7297866</v>
      </c>
      <c r="E9" s="28">
        <v>3554.0607420000001</v>
      </c>
      <c r="F9" s="29">
        <v>4.6002541440225402</v>
      </c>
    </row>
    <row r="10" spans="1:6" x14ac:dyDescent="0.2">
      <c r="A10" s="26" t="s">
        <v>1039</v>
      </c>
      <c r="B10" s="26" t="s">
        <v>1038</v>
      </c>
      <c r="C10" s="26" t="s">
        <v>982</v>
      </c>
      <c r="D10" s="30">
        <v>14497327</v>
      </c>
      <c r="E10" s="28">
        <v>2942.9573810000002</v>
      </c>
      <c r="F10" s="29">
        <v>3.8092629446756301</v>
      </c>
    </row>
    <row r="11" spans="1:6" x14ac:dyDescent="0.2">
      <c r="A11" s="26" t="s">
        <v>984</v>
      </c>
      <c r="B11" s="26" t="s">
        <v>983</v>
      </c>
      <c r="C11" s="26" t="s">
        <v>982</v>
      </c>
      <c r="D11" s="30">
        <v>3350145</v>
      </c>
      <c r="E11" s="28">
        <v>2914.6261500000001</v>
      </c>
      <c r="F11" s="29">
        <v>3.77259197243455</v>
      </c>
    </row>
    <row r="12" spans="1:6" x14ac:dyDescent="0.2">
      <c r="A12" s="26" t="s">
        <v>1124</v>
      </c>
      <c r="B12" s="26" t="s">
        <v>1123</v>
      </c>
      <c r="C12" s="26" t="s">
        <v>1029</v>
      </c>
      <c r="D12" s="30">
        <v>284585</v>
      </c>
      <c r="E12" s="28">
        <v>2083.8736629999999</v>
      </c>
      <c r="F12" s="29">
        <v>2.6972944892440398</v>
      </c>
    </row>
    <row r="13" spans="1:6" x14ac:dyDescent="0.2">
      <c r="A13" s="26" t="s">
        <v>955</v>
      </c>
      <c r="B13" s="26" t="s">
        <v>954</v>
      </c>
      <c r="C13" s="26" t="s">
        <v>956</v>
      </c>
      <c r="D13" s="30">
        <v>803388</v>
      </c>
      <c r="E13" s="28">
        <v>1991.1971579999999</v>
      </c>
      <c r="F13" s="29">
        <v>2.5773372045691998</v>
      </c>
    </row>
    <row r="14" spans="1:6" x14ac:dyDescent="0.2">
      <c r="A14" s="26" t="s">
        <v>1126</v>
      </c>
      <c r="B14" s="26" t="s">
        <v>1125</v>
      </c>
      <c r="C14" s="26" t="s">
        <v>997</v>
      </c>
      <c r="D14" s="30">
        <v>419757</v>
      </c>
      <c r="E14" s="28">
        <v>1932.771107</v>
      </c>
      <c r="F14" s="29">
        <v>2.5017125310639399</v>
      </c>
    </row>
    <row r="15" spans="1:6" x14ac:dyDescent="0.2">
      <c r="A15" s="26" t="s">
        <v>1128</v>
      </c>
      <c r="B15" s="26" t="s">
        <v>1127</v>
      </c>
      <c r="C15" s="26" t="s">
        <v>953</v>
      </c>
      <c r="D15" s="30">
        <v>126875</v>
      </c>
      <c r="E15" s="28">
        <v>1903.1884379999999</v>
      </c>
      <c r="F15" s="29">
        <v>2.463421740462</v>
      </c>
    </row>
    <row r="16" spans="1:6" x14ac:dyDescent="0.2">
      <c r="A16" s="26" t="s">
        <v>1093</v>
      </c>
      <c r="B16" s="26" t="s">
        <v>1092</v>
      </c>
      <c r="C16" s="26" t="s">
        <v>965</v>
      </c>
      <c r="D16" s="30">
        <v>401912</v>
      </c>
      <c r="E16" s="28">
        <v>1720.3843159999999</v>
      </c>
      <c r="F16" s="29">
        <v>2.2268063641863298</v>
      </c>
    </row>
    <row r="17" spans="1:6" x14ac:dyDescent="0.2">
      <c r="A17" s="26" t="s">
        <v>952</v>
      </c>
      <c r="B17" s="26" t="s">
        <v>951</v>
      </c>
      <c r="C17" s="26" t="s">
        <v>953</v>
      </c>
      <c r="D17" s="30">
        <v>264691</v>
      </c>
      <c r="E17" s="28">
        <v>1675.6263759999999</v>
      </c>
      <c r="F17" s="29">
        <v>2.1688732240658699</v>
      </c>
    </row>
    <row r="18" spans="1:6" x14ac:dyDescent="0.2">
      <c r="A18" s="26" t="s">
        <v>964</v>
      </c>
      <c r="B18" s="26" t="s">
        <v>963</v>
      </c>
      <c r="C18" s="26" t="s">
        <v>965</v>
      </c>
      <c r="D18" s="30">
        <v>114045</v>
      </c>
      <c r="E18" s="28">
        <v>1623.202485</v>
      </c>
      <c r="F18" s="29">
        <v>2.10101754029305</v>
      </c>
    </row>
    <row r="19" spans="1:6" x14ac:dyDescent="0.2">
      <c r="A19" s="26" t="s">
        <v>1014</v>
      </c>
      <c r="B19" s="26" t="s">
        <v>1013</v>
      </c>
      <c r="C19" s="26" t="s">
        <v>1015</v>
      </c>
      <c r="D19" s="30">
        <v>1247000</v>
      </c>
      <c r="E19" s="28">
        <v>1611.7474999999999</v>
      </c>
      <c r="F19" s="29">
        <v>2.08619060118275</v>
      </c>
    </row>
    <row r="20" spans="1:6" x14ac:dyDescent="0.2">
      <c r="A20" s="26" t="s">
        <v>1043</v>
      </c>
      <c r="B20" s="26" t="s">
        <v>1042</v>
      </c>
      <c r="C20" s="26" t="s">
        <v>941</v>
      </c>
      <c r="D20" s="30">
        <v>221952</v>
      </c>
      <c r="E20" s="28">
        <v>1512.935808</v>
      </c>
      <c r="F20" s="29">
        <v>1.9582921411960801</v>
      </c>
    </row>
    <row r="21" spans="1:6" x14ac:dyDescent="0.2">
      <c r="A21" s="26" t="s">
        <v>1095</v>
      </c>
      <c r="B21" s="26" t="s">
        <v>1094</v>
      </c>
      <c r="C21" s="26" t="s">
        <v>1096</v>
      </c>
      <c r="D21" s="30">
        <v>484134</v>
      </c>
      <c r="E21" s="28">
        <v>1479.9976380000001</v>
      </c>
      <c r="F21" s="29">
        <v>1.9156581053597199</v>
      </c>
    </row>
    <row r="22" spans="1:6" x14ac:dyDescent="0.2">
      <c r="A22" s="26" t="s">
        <v>972</v>
      </c>
      <c r="B22" s="26" t="s">
        <v>971</v>
      </c>
      <c r="C22" s="26" t="s">
        <v>973</v>
      </c>
      <c r="D22" s="30">
        <v>639633</v>
      </c>
      <c r="E22" s="28">
        <v>1375.2109499999999</v>
      </c>
      <c r="F22" s="29">
        <v>1.78002581578913</v>
      </c>
    </row>
    <row r="23" spans="1:6" x14ac:dyDescent="0.2">
      <c r="A23" s="26" t="s">
        <v>1113</v>
      </c>
      <c r="B23" s="26" t="s">
        <v>1112</v>
      </c>
      <c r="C23" s="26" t="s">
        <v>1099</v>
      </c>
      <c r="D23" s="30">
        <v>1517846</v>
      </c>
      <c r="E23" s="28">
        <v>1373.6506300000001</v>
      </c>
      <c r="F23" s="29">
        <v>1.7780061911774401</v>
      </c>
    </row>
    <row r="24" spans="1:6" x14ac:dyDescent="0.2">
      <c r="A24" s="26" t="s">
        <v>970</v>
      </c>
      <c r="B24" s="26" t="s">
        <v>969</v>
      </c>
      <c r="C24" s="26" t="s">
        <v>956</v>
      </c>
      <c r="D24" s="30">
        <v>624255</v>
      </c>
      <c r="E24" s="28">
        <v>1278.1621130000001</v>
      </c>
      <c r="F24" s="29">
        <v>1.65440913476117</v>
      </c>
    </row>
    <row r="25" spans="1:6" x14ac:dyDescent="0.2">
      <c r="A25" s="26" t="s">
        <v>1069</v>
      </c>
      <c r="B25" s="26" t="s">
        <v>1068</v>
      </c>
      <c r="C25" s="26" t="s">
        <v>941</v>
      </c>
      <c r="D25" s="30">
        <v>51823</v>
      </c>
      <c r="E25" s="28">
        <v>1182.2899219999999</v>
      </c>
      <c r="F25" s="29">
        <v>1.5303154638983401</v>
      </c>
    </row>
    <row r="26" spans="1:6" x14ac:dyDescent="0.2">
      <c r="A26" s="26" t="s">
        <v>1130</v>
      </c>
      <c r="B26" s="26" t="s">
        <v>1129</v>
      </c>
      <c r="C26" s="26" t="s">
        <v>953</v>
      </c>
      <c r="D26" s="30">
        <v>140800</v>
      </c>
      <c r="E26" s="28">
        <v>1070.9952000000001</v>
      </c>
      <c r="F26" s="29">
        <v>1.3862593986662499</v>
      </c>
    </row>
    <row r="27" spans="1:6" x14ac:dyDescent="0.2">
      <c r="A27" s="26" t="s">
        <v>1132</v>
      </c>
      <c r="B27" s="26" t="s">
        <v>1131</v>
      </c>
      <c r="C27" s="26" t="s">
        <v>959</v>
      </c>
      <c r="D27" s="30">
        <v>3209748</v>
      </c>
      <c r="E27" s="28">
        <v>1051.19247</v>
      </c>
      <c r="F27" s="29">
        <v>1.36062742516931</v>
      </c>
    </row>
    <row r="28" spans="1:6" x14ac:dyDescent="0.2">
      <c r="A28" s="26" t="s">
        <v>992</v>
      </c>
      <c r="B28" s="26" t="s">
        <v>991</v>
      </c>
      <c r="C28" s="26" t="s">
        <v>962</v>
      </c>
      <c r="D28" s="30">
        <v>32930</v>
      </c>
      <c r="E28" s="28">
        <v>989.530035</v>
      </c>
      <c r="F28" s="29">
        <v>1.28081368738282</v>
      </c>
    </row>
    <row r="29" spans="1:6" x14ac:dyDescent="0.2">
      <c r="A29" s="26" t="s">
        <v>961</v>
      </c>
      <c r="B29" s="26" t="s">
        <v>960</v>
      </c>
      <c r="C29" s="26" t="s">
        <v>962</v>
      </c>
      <c r="D29" s="30">
        <v>155566</v>
      </c>
      <c r="E29" s="28">
        <v>943.43000700000005</v>
      </c>
      <c r="F29" s="29">
        <v>1.2211433946552901</v>
      </c>
    </row>
    <row r="30" spans="1:6" x14ac:dyDescent="0.2">
      <c r="A30" s="26" t="s">
        <v>1120</v>
      </c>
      <c r="B30" s="26" t="s">
        <v>1119</v>
      </c>
      <c r="C30" s="26" t="s">
        <v>1121</v>
      </c>
      <c r="D30" s="30">
        <v>136944</v>
      </c>
      <c r="E30" s="28">
        <v>911.01995999999997</v>
      </c>
      <c r="F30" s="29">
        <v>1.17919294308934</v>
      </c>
    </row>
    <row r="31" spans="1:6" x14ac:dyDescent="0.2">
      <c r="A31" s="26" t="s">
        <v>1023</v>
      </c>
      <c r="B31" s="26" t="s">
        <v>1022</v>
      </c>
      <c r="C31" s="26" t="s">
        <v>976</v>
      </c>
      <c r="D31" s="30">
        <v>20000</v>
      </c>
      <c r="E31" s="28">
        <v>904.21</v>
      </c>
      <c r="F31" s="29">
        <v>1.1703783647844701</v>
      </c>
    </row>
    <row r="32" spans="1:6" x14ac:dyDescent="0.2">
      <c r="A32" s="26" t="s">
        <v>1050</v>
      </c>
      <c r="B32" s="26" t="s">
        <v>1049</v>
      </c>
      <c r="C32" s="26" t="s">
        <v>973</v>
      </c>
      <c r="D32" s="30">
        <v>972460</v>
      </c>
      <c r="E32" s="28">
        <v>860.14086999999995</v>
      </c>
      <c r="F32" s="29">
        <v>1.1133367966676899</v>
      </c>
    </row>
    <row r="33" spans="1:9" x14ac:dyDescent="0.2">
      <c r="A33" s="26" t="s">
        <v>1064</v>
      </c>
      <c r="B33" s="26" t="s">
        <v>1063</v>
      </c>
      <c r="C33" s="26" t="s">
        <v>935</v>
      </c>
      <c r="D33" s="30">
        <v>1505600</v>
      </c>
      <c r="E33" s="28">
        <v>811.51840000000004</v>
      </c>
      <c r="F33" s="29">
        <v>1.05040154166013</v>
      </c>
    </row>
    <row r="34" spans="1:9" x14ac:dyDescent="0.2">
      <c r="A34" s="26" t="s">
        <v>1087</v>
      </c>
      <c r="B34" s="26" t="s">
        <v>1086</v>
      </c>
      <c r="C34" s="26" t="s">
        <v>1088</v>
      </c>
      <c r="D34" s="30">
        <v>821499</v>
      </c>
      <c r="E34" s="28">
        <v>787.40679150000005</v>
      </c>
      <c r="F34" s="29">
        <v>1.0191923038408699</v>
      </c>
    </row>
    <row r="35" spans="1:9" x14ac:dyDescent="0.2">
      <c r="A35" s="26" t="s">
        <v>1134</v>
      </c>
      <c r="B35" s="26" t="s">
        <v>1133</v>
      </c>
      <c r="C35" s="26" t="s">
        <v>1058</v>
      </c>
      <c r="D35" s="30">
        <v>178656</v>
      </c>
      <c r="E35" s="28">
        <v>749.10460799999998</v>
      </c>
      <c r="F35" s="29">
        <v>0.969615273181615</v>
      </c>
    </row>
    <row r="36" spans="1:9" x14ac:dyDescent="0.2">
      <c r="A36" s="26" t="s">
        <v>1111</v>
      </c>
      <c r="B36" s="26" t="s">
        <v>1110</v>
      </c>
      <c r="C36" s="26" t="s">
        <v>1029</v>
      </c>
      <c r="D36" s="30">
        <v>1505501</v>
      </c>
      <c r="E36" s="28">
        <v>739.20099100000004</v>
      </c>
      <c r="F36" s="29">
        <v>0.95679637152170005</v>
      </c>
    </row>
    <row r="37" spans="1:9" x14ac:dyDescent="0.2">
      <c r="A37" s="26" t="s">
        <v>1136</v>
      </c>
      <c r="B37" s="26" t="s">
        <v>1135</v>
      </c>
      <c r="C37" s="26" t="s">
        <v>950</v>
      </c>
      <c r="D37" s="30">
        <v>46395</v>
      </c>
      <c r="E37" s="28">
        <v>722.50933499999996</v>
      </c>
      <c r="F37" s="29">
        <v>0.93519126534633701</v>
      </c>
    </row>
    <row r="38" spans="1:9" x14ac:dyDescent="0.2">
      <c r="A38" s="26" t="s">
        <v>1118</v>
      </c>
      <c r="B38" s="26" t="s">
        <v>1117</v>
      </c>
      <c r="C38" s="26" t="s">
        <v>962</v>
      </c>
      <c r="D38" s="30">
        <v>1239545</v>
      </c>
      <c r="E38" s="28">
        <v>603.03864250000004</v>
      </c>
      <c r="F38" s="29">
        <v>0.78055250474004301</v>
      </c>
    </row>
    <row r="39" spans="1:9" x14ac:dyDescent="0.2">
      <c r="A39" s="26" t="s">
        <v>1062</v>
      </c>
      <c r="B39" s="26" t="s">
        <v>1061</v>
      </c>
      <c r="C39" s="26" t="s">
        <v>956</v>
      </c>
      <c r="D39" s="30">
        <v>621258</v>
      </c>
      <c r="E39" s="28">
        <v>600.44585700000005</v>
      </c>
      <c r="F39" s="29">
        <v>0.77719649224988396</v>
      </c>
    </row>
    <row r="40" spans="1:9" x14ac:dyDescent="0.2">
      <c r="A40" s="26" t="s">
        <v>1138</v>
      </c>
      <c r="B40" s="26" t="s">
        <v>1137</v>
      </c>
      <c r="C40" s="26" t="s">
        <v>1015</v>
      </c>
      <c r="D40" s="30">
        <v>709254</v>
      </c>
      <c r="E40" s="28">
        <v>594.35485200000005</v>
      </c>
      <c r="F40" s="29">
        <v>0.76931250460122402</v>
      </c>
    </row>
    <row r="41" spans="1:9" x14ac:dyDescent="0.2">
      <c r="A41" s="26" t="s">
        <v>1090</v>
      </c>
      <c r="B41" s="26" t="s">
        <v>1089</v>
      </c>
      <c r="C41" s="26" t="s">
        <v>1091</v>
      </c>
      <c r="D41" s="30">
        <v>753071</v>
      </c>
      <c r="E41" s="28">
        <v>589.65459299999998</v>
      </c>
      <c r="F41" s="29">
        <v>0.76322865080345204</v>
      </c>
    </row>
    <row r="42" spans="1:9" x14ac:dyDescent="0.2">
      <c r="A42" s="26" t="s">
        <v>1140</v>
      </c>
      <c r="B42" s="26" t="s">
        <v>1139</v>
      </c>
      <c r="C42" s="26" t="s">
        <v>982</v>
      </c>
      <c r="D42" s="30">
        <v>100000</v>
      </c>
      <c r="E42" s="28">
        <v>549.54999999999995</v>
      </c>
      <c r="F42" s="29">
        <v>0.71131864319937099</v>
      </c>
    </row>
    <row r="43" spans="1:9" x14ac:dyDescent="0.2">
      <c r="A43" s="26" t="s">
        <v>1085</v>
      </c>
      <c r="B43" s="26" t="s">
        <v>1084</v>
      </c>
      <c r="C43" s="26" t="s">
        <v>962</v>
      </c>
      <c r="D43" s="30">
        <v>1158906</v>
      </c>
      <c r="E43" s="28">
        <v>434.58974999999998</v>
      </c>
      <c r="F43" s="29">
        <v>0.56251804443336195</v>
      </c>
    </row>
    <row r="44" spans="1:9" x14ac:dyDescent="0.2">
      <c r="A44" s="26" t="s">
        <v>1105</v>
      </c>
      <c r="B44" s="26" t="s">
        <v>1104</v>
      </c>
      <c r="C44" s="26" t="s">
        <v>941</v>
      </c>
      <c r="D44" s="30">
        <v>119545</v>
      </c>
      <c r="E44" s="28">
        <v>394.49849999999998</v>
      </c>
      <c r="F44" s="29">
        <v>0.51062530755015401</v>
      </c>
    </row>
    <row r="45" spans="1:9" x14ac:dyDescent="0.2">
      <c r="A45" s="26" t="s">
        <v>1057</v>
      </c>
      <c r="B45" s="26" t="s">
        <v>1056</v>
      </c>
      <c r="C45" s="26" t="s">
        <v>1058</v>
      </c>
      <c r="D45" s="30">
        <v>439349</v>
      </c>
      <c r="E45" s="28">
        <v>270.199635</v>
      </c>
      <c r="F45" s="29">
        <v>0.349737126305459</v>
      </c>
    </row>
    <row r="46" spans="1:9" ht="10.5" x14ac:dyDescent="0.25">
      <c r="A46" s="25" t="s">
        <v>167</v>
      </c>
      <c r="B46" s="25"/>
      <c r="C46" s="25"/>
      <c r="D46" s="31"/>
      <c r="E46" s="32">
        <f>SUM(E7:E45)</f>
        <v>59083.305195999994</v>
      </c>
      <c r="F46" s="33">
        <f>SUM(F7:F45)</f>
        <v>76.475400760172988</v>
      </c>
      <c r="G46" s="17"/>
      <c r="H46" s="17"/>
      <c r="I46" s="17"/>
    </row>
    <row r="47" spans="1:9" x14ac:dyDescent="0.2">
      <c r="A47" s="26"/>
      <c r="B47" s="26"/>
      <c r="C47" s="26"/>
      <c r="D47" s="27"/>
      <c r="E47" s="28"/>
      <c r="F47" s="29"/>
    </row>
    <row r="48" spans="1:9" ht="10.5" x14ac:dyDescent="0.25">
      <c r="A48" s="25" t="s">
        <v>1141</v>
      </c>
      <c r="B48" s="26"/>
      <c r="C48" s="26"/>
      <c r="D48" s="27"/>
      <c r="E48" s="28"/>
      <c r="F48" s="29"/>
    </row>
    <row r="49" spans="1:9" x14ac:dyDescent="0.2">
      <c r="A49" s="26" t="s">
        <v>1143</v>
      </c>
      <c r="B49" s="26" t="s">
        <v>1142</v>
      </c>
      <c r="C49" s="26"/>
      <c r="D49" s="30">
        <v>289200</v>
      </c>
      <c r="E49" s="28">
        <v>1035.82764</v>
      </c>
      <c r="F49" s="29">
        <v>1.34073971699246</v>
      </c>
    </row>
    <row r="50" spans="1:9" ht="10.5" x14ac:dyDescent="0.25">
      <c r="A50" s="25" t="s">
        <v>167</v>
      </c>
      <c r="B50" s="25"/>
      <c r="C50" s="25"/>
      <c r="D50" s="31"/>
      <c r="E50" s="32">
        <f>SUM(E48:E49)</f>
        <v>1035.82764</v>
      </c>
      <c r="F50" s="33">
        <f>SUM(F48:F49)</f>
        <v>1.34073971699246</v>
      </c>
      <c r="G50" s="17"/>
      <c r="H50" s="17"/>
      <c r="I50" s="17"/>
    </row>
    <row r="51" spans="1:9" x14ac:dyDescent="0.2">
      <c r="A51" s="26"/>
      <c r="B51" s="26"/>
      <c r="C51" s="26"/>
      <c r="D51" s="27"/>
      <c r="E51" s="28"/>
      <c r="F51" s="29"/>
    </row>
    <row r="52" spans="1:9" ht="10.5" x14ac:dyDescent="0.25">
      <c r="A52" s="25" t="s">
        <v>1144</v>
      </c>
      <c r="B52" s="26"/>
      <c r="C52" s="26"/>
      <c r="D52" s="27"/>
      <c r="E52" s="28"/>
      <c r="F52" s="29"/>
    </row>
    <row r="53" spans="1:9" x14ac:dyDescent="0.2">
      <c r="A53" s="26" t="s">
        <v>1146</v>
      </c>
      <c r="B53" s="26" t="s">
        <v>1145</v>
      </c>
      <c r="C53" s="26" t="s">
        <v>1088</v>
      </c>
      <c r="D53" s="30">
        <v>6075983</v>
      </c>
      <c r="E53" s="28">
        <v>4973.8445680000004</v>
      </c>
      <c r="F53" s="29">
        <v>6.4379735594473999</v>
      </c>
    </row>
    <row r="54" spans="1:9" x14ac:dyDescent="0.2">
      <c r="A54" s="26" t="s">
        <v>1148</v>
      </c>
      <c r="B54" s="26" t="s">
        <v>1147</v>
      </c>
      <c r="C54" s="26" t="s">
        <v>965</v>
      </c>
      <c r="D54" s="30">
        <v>86900</v>
      </c>
      <c r="E54" s="28">
        <v>3994.4345549999998</v>
      </c>
      <c r="F54" s="29">
        <v>5.1702588809230896</v>
      </c>
    </row>
    <row r="55" spans="1:9" x14ac:dyDescent="0.2">
      <c r="A55" s="26" t="s">
        <v>1150</v>
      </c>
      <c r="B55" s="26" t="s">
        <v>1149</v>
      </c>
      <c r="C55" s="26" t="s">
        <v>1099</v>
      </c>
      <c r="D55" s="30">
        <v>2562198</v>
      </c>
      <c r="E55" s="28">
        <v>1711.7178859999999</v>
      </c>
      <c r="F55" s="29">
        <v>2.2155888348823898</v>
      </c>
    </row>
    <row r="56" spans="1:9" x14ac:dyDescent="0.2">
      <c r="A56" s="26" t="s">
        <v>1152</v>
      </c>
      <c r="B56" s="26" t="s">
        <v>1151</v>
      </c>
      <c r="C56" s="26" t="s">
        <v>1153</v>
      </c>
      <c r="D56" s="30">
        <v>187038</v>
      </c>
      <c r="E56" s="28">
        <v>1383.944438</v>
      </c>
      <c r="F56" s="29">
        <v>1.79133014266486</v>
      </c>
    </row>
    <row r="57" spans="1:9" x14ac:dyDescent="0.2">
      <c r="A57" s="26" t="s">
        <v>1155</v>
      </c>
      <c r="B57" s="26" t="s">
        <v>1154</v>
      </c>
      <c r="C57" s="26" t="s">
        <v>941</v>
      </c>
      <c r="D57" s="30">
        <v>633055</v>
      </c>
      <c r="E57" s="28">
        <v>910.5577998</v>
      </c>
      <c r="F57" s="29">
        <v>1.1785947388014599</v>
      </c>
    </row>
    <row r="58" spans="1:9" x14ac:dyDescent="0.2">
      <c r="A58" s="26" t="s">
        <v>1157</v>
      </c>
      <c r="B58" s="26" t="s">
        <v>1156</v>
      </c>
      <c r="C58" s="26" t="s">
        <v>968</v>
      </c>
      <c r="D58" s="30">
        <v>3297307</v>
      </c>
      <c r="E58" s="28">
        <v>738.46034129999998</v>
      </c>
      <c r="F58" s="29">
        <v>0.95583769999101098</v>
      </c>
    </row>
    <row r="59" spans="1:9" x14ac:dyDescent="0.2">
      <c r="A59" s="26" t="s">
        <v>1159</v>
      </c>
      <c r="B59" s="26" t="s">
        <v>1158</v>
      </c>
      <c r="C59" s="26" t="s">
        <v>976</v>
      </c>
      <c r="D59" s="30">
        <v>5304</v>
      </c>
      <c r="E59" s="28">
        <v>576.0292584</v>
      </c>
      <c r="F59" s="29">
        <v>0.74559248572145898</v>
      </c>
    </row>
    <row r="60" spans="1:9" x14ac:dyDescent="0.2">
      <c r="A60" s="26" t="s">
        <v>1161</v>
      </c>
      <c r="B60" s="26" t="s">
        <v>1160</v>
      </c>
      <c r="C60" s="26" t="s">
        <v>950</v>
      </c>
      <c r="D60" s="30">
        <v>200000</v>
      </c>
      <c r="E60" s="28">
        <v>535.50184049999996</v>
      </c>
      <c r="F60" s="29">
        <v>0.69313518809066699</v>
      </c>
    </row>
    <row r="61" spans="1:9" x14ac:dyDescent="0.2">
      <c r="A61" s="26" t="s">
        <v>1163</v>
      </c>
      <c r="B61" s="26" t="s">
        <v>1162</v>
      </c>
      <c r="C61" s="26" t="s">
        <v>1164</v>
      </c>
      <c r="D61" s="30">
        <v>500000</v>
      </c>
      <c r="E61" s="28">
        <v>533.89551600000004</v>
      </c>
      <c r="F61" s="29">
        <v>0.69105601683440598</v>
      </c>
    </row>
    <row r="62" spans="1:9" x14ac:dyDescent="0.2">
      <c r="A62" s="26" t="s">
        <v>1166</v>
      </c>
      <c r="B62" s="26" t="s">
        <v>1165</v>
      </c>
      <c r="C62" s="26" t="s">
        <v>1029</v>
      </c>
      <c r="D62" s="30">
        <v>25000</v>
      </c>
      <c r="E62" s="28">
        <v>374.63235689999999</v>
      </c>
      <c r="F62" s="29">
        <v>0.48491125431478599</v>
      </c>
    </row>
    <row r="63" spans="1:9" ht="10.5" x14ac:dyDescent="0.25">
      <c r="A63" s="25" t="s">
        <v>167</v>
      </c>
      <c r="B63" s="25"/>
      <c r="C63" s="25"/>
      <c r="D63" s="31"/>
      <c r="E63" s="32">
        <f>SUM(E52:E62)</f>
        <v>15733.018559900001</v>
      </c>
      <c r="F63" s="33">
        <f>SUM(F52:F62)</f>
        <v>20.364278801671528</v>
      </c>
      <c r="G63" s="17"/>
      <c r="H63" s="17"/>
      <c r="I63" s="17"/>
    </row>
    <row r="64" spans="1:9" x14ac:dyDescent="0.2">
      <c r="A64" s="26"/>
      <c r="B64" s="26"/>
      <c r="C64" s="26"/>
      <c r="D64" s="27"/>
      <c r="E64" s="28"/>
      <c r="F64" s="29"/>
    </row>
    <row r="65" spans="1:9" ht="10.5" x14ac:dyDescent="0.25">
      <c r="A65" s="25" t="s">
        <v>205</v>
      </c>
      <c r="B65" s="25"/>
      <c r="C65" s="25"/>
      <c r="D65" s="31"/>
      <c r="E65" s="32">
        <f>E46+E50+E63</f>
        <v>75852.1513959</v>
      </c>
      <c r="F65" s="33">
        <f>F46+F50+F63</f>
        <v>98.180419278836979</v>
      </c>
      <c r="G65" s="17"/>
      <c r="H65" s="17"/>
      <c r="I65" s="17"/>
    </row>
    <row r="66" spans="1:9" ht="10.5" x14ac:dyDescent="0.25">
      <c r="A66" s="25"/>
      <c r="B66" s="25"/>
      <c r="C66" s="25"/>
      <c r="D66" s="31"/>
      <c r="E66" s="32"/>
      <c r="F66" s="33"/>
      <c r="G66" s="17"/>
      <c r="H66" s="17"/>
      <c r="I66" s="17"/>
    </row>
    <row r="67" spans="1:9" ht="10.5" x14ac:dyDescent="0.25">
      <c r="A67" s="25" t="s">
        <v>207</v>
      </c>
      <c r="B67" s="25"/>
      <c r="C67" s="25"/>
      <c r="D67" s="31"/>
      <c r="E67" s="32">
        <f>E69-(E46+E50+E63)</f>
        <v>1405.7702477999992</v>
      </c>
      <c r="F67" s="33">
        <f>F69-(F46+F50+F63)</f>
        <v>1.8195807211630211</v>
      </c>
      <c r="G67" s="17"/>
      <c r="H67" s="17"/>
      <c r="I67" s="17"/>
    </row>
    <row r="68" spans="1:9" ht="10.5" x14ac:dyDescent="0.25">
      <c r="A68" s="25"/>
      <c r="B68" s="25"/>
      <c r="C68" s="25"/>
      <c r="D68" s="31"/>
      <c r="E68" s="32"/>
      <c r="F68" s="33"/>
      <c r="G68" s="17"/>
      <c r="H68" s="17"/>
      <c r="I68" s="17"/>
    </row>
    <row r="69" spans="1:9" ht="10.5" x14ac:dyDescent="0.25">
      <c r="A69" s="34" t="s">
        <v>206</v>
      </c>
      <c r="B69" s="34"/>
      <c r="C69" s="34"/>
      <c r="D69" s="35"/>
      <c r="E69" s="36">
        <v>77257.9216437</v>
      </c>
      <c r="F69" s="37">
        <v>100</v>
      </c>
      <c r="G69" s="17"/>
      <c r="H69" s="17"/>
      <c r="I69" s="17"/>
    </row>
    <row r="72" spans="1:9" ht="10.5" x14ac:dyDescent="0.25">
      <c r="A72" s="17" t="s">
        <v>210</v>
      </c>
    </row>
    <row r="73" spans="1:9" ht="10.5" x14ac:dyDescent="0.25">
      <c r="A73" s="17" t="s">
        <v>211</v>
      </c>
    </row>
    <row r="74" spans="1:9" ht="10.5" x14ac:dyDescent="0.25">
      <c r="A74" s="17" t="s">
        <v>212</v>
      </c>
      <c r="B74" s="17"/>
      <c r="C74" s="38" t="s">
        <v>214</v>
      </c>
      <c r="D74" s="18" t="s">
        <v>213</v>
      </c>
    </row>
    <row r="75" spans="1:9" x14ac:dyDescent="0.2">
      <c r="A75" s="10" t="s">
        <v>486</v>
      </c>
      <c r="C75" s="39">
        <v>46.470999999999997</v>
      </c>
      <c r="D75" s="39">
        <v>43.165700000000001</v>
      </c>
    </row>
    <row r="76" spans="1:9" x14ac:dyDescent="0.2">
      <c r="A76" s="10" t="s">
        <v>520</v>
      </c>
      <c r="C76" s="39">
        <v>14.2112</v>
      </c>
      <c r="D76" s="39">
        <v>12.5152</v>
      </c>
    </row>
    <row r="77" spans="1:9" x14ac:dyDescent="0.2">
      <c r="A77" s="10" t="s">
        <v>489</v>
      </c>
      <c r="C77" s="39">
        <v>48.576700000000002</v>
      </c>
      <c r="D77" s="39">
        <v>45.398600000000002</v>
      </c>
    </row>
    <row r="78" spans="1:9" x14ac:dyDescent="0.2">
      <c r="A78" s="10" t="s">
        <v>521</v>
      </c>
      <c r="C78" s="39">
        <v>15.056800000000001</v>
      </c>
      <c r="D78" s="39">
        <v>13.384</v>
      </c>
    </row>
    <row r="80" spans="1:9" ht="10.5" x14ac:dyDescent="0.25">
      <c r="A80" s="17" t="s">
        <v>226</v>
      </c>
    </row>
    <row r="81" spans="1:4" ht="10.5" x14ac:dyDescent="0.25">
      <c r="A81" s="147" t="s">
        <v>401</v>
      </c>
      <c r="B81" s="148"/>
      <c r="C81" s="145" t="s">
        <v>402</v>
      </c>
      <c r="D81" s="146"/>
    </row>
    <row r="82" spans="1:4" ht="10.5" x14ac:dyDescent="0.25">
      <c r="A82" s="147"/>
      <c r="B82" s="148"/>
      <c r="C82" s="43" t="s">
        <v>403</v>
      </c>
      <c r="D82" s="44" t="s">
        <v>404</v>
      </c>
    </row>
    <row r="83" spans="1:4" x14ac:dyDescent="0.2">
      <c r="A83" s="141" t="s">
        <v>520</v>
      </c>
      <c r="B83" s="142"/>
      <c r="C83" s="45">
        <v>0.60124999999999995</v>
      </c>
      <c r="D83" s="45">
        <v>0.60124999999999995</v>
      </c>
    </row>
    <row r="84" spans="1:4" x14ac:dyDescent="0.2">
      <c r="A84" s="141" t="s">
        <v>521</v>
      </c>
      <c r="B84" s="142"/>
      <c r="C84" s="45">
        <v>0.60124999999999995</v>
      </c>
      <c r="D84" s="45">
        <v>0.60124999999999995</v>
      </c>
    </row>
    <row r="86" spans="1:4" ht="10.5" x14ac:dyDescent="0.25">
      <c r="A86" s="17" t="s">
        <v>1065</v>
      </c>
      <c r="D86" s="46">
        <v>0.13450000000000001</v>
      </c>
    </row>
  </sheetData>
  <mergeCells count="6">
    <mergeCell ref="A84:B84"/>
    <mergeCell ref="A1:F1"/>
    <mergeCell ref="C81:D81"/>
    <mergeCell ref="A81:B81"/>
    <mergeCell ref="A82:B82"/>
    <mergeCell ref="A83:B83"/>
  </mergeCells>
  <conditionalFormatting sqref="F2:F3 F5:F65536">
    <cfRule type="cellIs" dxfId="2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58"/>
  <sheetViews>
    <sheetView workbookViewId="0">
      <selection sqref="A1:F1"/>
    </sheetView>
  </sheetViews>
  <sheetFormatPr defaultColWidth="9.1796875" defaultRowHeight="10" x14ac:dyDescent="0.2"/>
  <cols>
    <col min="1" max="1" width="38.7265625" style="10" bestFit="1" customWidth="1"/>
    <col min="2" max="2" width="33.1796875" style="10" bestFit="1" customWidth="1"/>
    <col min="3" max="3" width="26.81640625" style="10" bestFit="1" customWidth="1"/>
    <col min="4" max="4" width="14.7265625" style="11" bestFit="1" customWidth="1"/>
    <col min="5" max="5" width="23" style="15" bestFit="1" customWidth="1"/>
    <col min="6" max="6" width="14.7265625" style="16" bestFit="1" customWidth="1"/>
    <col min="7" max="7" width="4.453125" style="10" bestFit="1" customWidth="1"/>
    <col min="8" max="16384" width="9.1796875" style="10"/>
  </cols>
  <sheetData>
    <row r="1" spans="1:6" s="1" customFormat="1" ht="14" x14ac:dyDescent="0.25">
      <c r="A1" s="143" t="s">
        <v>48</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68"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945647</v>
      </c>
      <c r="E7" s="28">
        <v>9134.9500200000002</v>
      </c>
      <c r="F7" s="29">
        <v>29.4211113808935</v>
      </c>
    </row>
    <row r="8" spans="1:6" x14ac:dyDescent="0.2">
      <c r="A8" s="26" t="s">
        <v>1069</v>
      </c>
      <c r="B8" s="26" t="s">
        <v>1068</v>
      </c>
      <c r="C8" s="26" t="s">
        <v>941</v>
      </c>
      <c r="D8" s="30">
        <v>123988</v>
      </c>
      <c r="E8" s="28">
        <v>2828.6622320000001</v>
      </c>
      <c r="F8" s="29">
        <v>9.11032752279894</v>
      </c>
    </row>
    <row r="9" spans="1:6" x14ac:dyDescent="0.2">
      <c r="A9" s="26" t="s">
        <v>1081</v>
      </c>
      <c r="B9" s="26" t="s">
        <v>1080</v>
      </c>
      <c r="C9" s="26" t="s">
        <v>941</v>
      </c>
      <c r="D9" s="30">
        <v>370716</v>
      </c>
      <c r="E9" s="28">
        <v>2614.2892320000001</v>
      </c>
      <c r="F9" s="29">
        <v>8.41989222799738</v>
      </c>
    </row>
    <row r="10" spans="1:6" x14ac:dyDescent="0.2">
      <c r="A10" s="26" t="s">
        <v>937</v>
      </c>
      <c r="B10" s="26" t="s">
        <v>936</v>
      </c>
      <c r="C10" s="26" t="s">
        <v>938</v>
      </c>
      <c r="D10" s="30">
        <v>345319</v>
      </c>
      <c r="E10" s="28">
        <v>1916.0024719999999</v>
      </c>
      <c r="F10" s="29">
        <v>6.17090646488061</v>
      </c>
    </row>
    <row r="11" spans="1:6" x14ac:dyDescent="0.2">
      <c r="A11" s="26" t="s">
        <v>1168</v>
      </c>
      <c r="B11" s="26" t="s">
        <v>1167</v>
      </c>
      <c r="C11" s="26" t="s">
        <v>941</v>
      </c>
      <c r="D11" s="30">
        <v>46300</v>
      </c>
      <c r="E11" s="28">
        <v>1479.03035</v>
      </c>
      <c r="F11" s="29">
        <v>4.7635418439948802</v>
      </c>
    </row>
    <row r="12" spans="1:6" x14ac:dyDescent="0.2">
      <c r="A12" s="26" t="s">
        <v>1043</v>
      </c>
      <c r="B12" s="26" t="s">
        <v>1042</v>
      </c>
      <c r="C12" s="26" t="s">
        <v>941</v>
      </c>
      <c r="D12" s="30">
        <v>193656</v>
      </c>
      <c r="E12" s="28">
        <v>1320.056124</v>
      </c>
      <c r="F12" s="29">
        <v>4.2515304591928702</v>
      </c>
    </row>
    <row r="13" spans="1:6" x14ac:dyDescent="0.2">
      <c r="A13" s="26" t="s">
        <v>1170</v>
      </c>
      <c r="B13" s="26" t="s">
        <v>1169</v>
      </c>
      <c r="C13" s="26" t="s">
        <v>941</v>
      </c>
      <c r="D13" s="30">
        <v>30056</v>
      </c>
      <c r="E13" s="28">
        <v>726.39340800000002</v>
      </c>
      <c r="F13" s="29">
        <v>2.3395093915483498</v>
      </c>
    </row>
    <row r="14" spans="1:6" x14ac:dyDescent="0.2">
      <c r="A14" s="26" t="s">
        <v>1105</v>
      </c>
      <c r="B14" s="26" t="s">
        <v>1104</v>
      </c>
      <c r="C14" s="26" t="s">
        <v>941</v>
      </c>
      <c r="D14" s="30">
        <v>210143</v>
      </c>
      <c r="E14" s="28">
        <v>693.47190000000001</v>
      </c>
      <c r="F14" s="29">
        <v>2.2334784497725999</v>
      </c>
    </row>
    <row r="15" spans="1:6" x14ac:dyDescent="0.2">
      <c r="A15" s="26" t="s">
        <v>1172</v>
      </c>
      <c r="B15" s="26" t="s">
        <v>1171</v>
      </c>
      <c r="C15" s="26" t="s">
        <v>938</v>
      </c>
      <c r="D15" s="30">
        <v>4779197</v>
      </c>
      <c r="E15" s="28">
        <v>401.45254799999998</v>
      </c>
      <c r="F15" s="29">
        <v>1.29296603736114</v>
      </c>
    </row>
    <row r="16" spans="1:6" x14ac:dyDescent="0.2">
      <c r="A16" s="26" t="s">
        <v>1174</v>
      </c>
      <c r="B16" s="26" t="s">
        <v>1173</v>
      </c>
      <c r="C16" s="26" t="s">
        <v>941</v>
      </c>
      <c r="D16" s="30">
        <v>76216</v>
      </c>
      <c r="E16" s="28">
        <v>290.80214799999999</v>
      </c>
      <c r="F16" s="29">
        <v>0.93659213979050004</v>
      </c>
    </row>
    <row r="17" spans="1:9" ht="10.5" x14ac:dyDescent="0.25">
      <c r="A17" s="25" t="s">
        <v>167</v>
      </c>
      <c r="B17" s="25"/>
      <c r="C17" s="25"/>
      <c r="D17" s="31"/>
      <c r="E17" s="32">
        <f>SUM(E7:E16)</f>
        <v>21405.110434000002</v>
      </c>
      <c r="F17" s="33">
        <f>SUM(F7:F16)</f>
        <v>68.939855918230776</v>
      </c>
      <c r="G17" s="17"/>
      <c r="H17" s="17"/>
      <c r="I17" s="17"/>
    </row>
    <row r="18" spans="1:9" x14ac:dyDescent="0.2">
      <c r="A18" s="26"/>
      <c r="B18" s="26"/>
      <c r="C18" s="26"/>
      <c r="D18" s="27"/>
      <c r="E18" s="28"/>
      <c r="F18" s="29"/>
    </row>
    <row r="19" spans="1:9" ht="10.5" x14ac:dyDescent="0.25">
      <c r="A19" s="25" t="s">
        <v>1072</v>
      </c>
      <c r="B19" s="26"/>
      <c r="C19" s="26"/>
      <c r="D19" s="27"/>
      <c r="E19" s="28"/>
      <c r="F19" s="29"/>
    </row>
    <row r="20" spans="1:9" x14ac:dyDescent="0.2">
      <c r="A20" s="26"/>
      <c r="B20" s="26" t="s">
        <v>1175</v>
      </c>
      <c r="C20" s="26" t="s">
        <v>941</v>
      </c>
      <c r="D20" s="30">
        <v>970000</v>
      </c>
      <c r="E20" s="28">
        <v>9.7000000000000003E-2</v>
      </c>
      <c r="F20" s="29">
        <v>3.12409788526316E-4</v>
      </c>
    </row>
    <row r="21" spans="1:9" ht="10.5" x14ac:dyDescent="0.25">
      <c r="A21" s="25" t="s">
        <v>167</v>
      </c>
      <c r="B21" s="25"/>
      <c r="C21" s="25"/>
      <c r="D21" s="31"/>
      <c r="E21" s="32">
        <f>SUM(E19:E20)</f>
        <v>9.7000000000000003E-2</v>
      </c>
      <c r="F21" s="33">
        <f>SUM(F19:F20)</f>
        <v>3.12409788526316E-4</v>
      </c>
      <c r="G21" s="17"/>
      <c r="H21" s="17"/>
      <c r="I21" s="17"/>
    </row>
    <row r="22" spans="1:9" x14ac:dyDescent="0.2">
      <c r="A22" s="26"/>
      <c r="B22" s="26"/>
      <c r="C22" s="26"/>
      <c r="D22" s="27"/>
      <c r="E22" s="28"/>
      <c r="F22" s="29"/>
    </row>
    <row r="23" spans="1:9" ht="10.5" x14ac:dyDescent="0.25">
      <c r="A23" s="25" t="s">
        <v>1144</v>
      </c>
      <c r="B23" s="26"/>
      <c r="C23" s="26"/>
      <c r="D23" s="27"/>
      <c r="E23" s="28"/>
      <c r="F23" s="29"/>
    </row>
    <row r="24" spans="1:9" x14ac:dyDescent="0.2">
      <c r="A24" s="26" t="s">
        <v>1177</v>
      </c>
      <c r="B24" s="26" t="s">
        <v>1176</v>
      </c>
      <c r="C24" s="26" t="s">
        <v>941</v>
      </c>
      <c r="D24" s="30">
        <v>22500</v>
      </c>
      <c r="E24" s="28">
        <v>1150.0446509999999</v>
      </c>
      <c r="F24" s="29">
        <v>3.7039711980900099</v>
      </c>
    </row>
    <row r="25" spans="1:9" x14ac:dyDescent="0.2">
      <c r="A25" s="26" t="s">
        <v>1179</v>
      </c>
      <c r="B25" s="26" t="s">
        <v>1178</v>
      </c>
      <c r="C25" s="26" t="s">
        <v>1164</v>
      </c>
      <c r="D25" s="30">
        <v>88000</v>
      </c>
      <c r="E25" s="28">
        <v>955.37317570000005</v>
      </c>
      <c r="F25" s="29">
        <v>3.0769889874654899</v>
      </c>
    </row>
    <row r="26" spans="1:9" x14ac:dyDescent="0.2">
      <c r="A26" s="26" t="s">
        <v>1181</v>
      </c>
      <c r="B26" s="26" t="s">
        <v>1180</v>
      </c>
      <c r="C26" s="26" t="s">
        <v>1164</v>
      </c>
      <c r="D26" s="30">
        <v>17000</v>
      </c>
      <c r="E26" s="28">
        <v>618.97937100000001</v>
      </c>
      <c r="F26" s="29">
        <v>1.9935589113016701</v>
      </c>
    </row>
    <row r="27" spans="1:9" x14ac:dyDescent="0.2">
      <c r="A27" s="26" t="s">
        <v>1183</v>
      </c>
      <c r="B27" s="26" t="s">
        <v>1182</v>
      </c>
      <c r="C27" s="26" t="s">
        <v>941</v>
      </c>
      <c r="D27" s="30">
        <v>22500</v>
      </c>
      <c r="E27" s="28">
        <v>612.72870750000004</v>
      </c>
      <c r="F27" s="29">
        <v>1.9734272776709101</v>
      </c>
    </row>
    <row r="28" spans="1:9" x14ac:dyDescent="0.2">
      <c r="A28" s="26" t="s">
        <v>1185</v>
      </c>
      <c r="B28" s="26" t="s">
        <v>1184</v>
      </c>
      <c r="C28" s="26" t="s">
        <v>1186</v>
      </c>
      <c r="D28" s="30">
        <v>6000</v>
      </c>
      <c r="E28" s="28">
        <v>474.06797660000001</v>
      </c>
      <c r="F28" s="29">
        <v>1.5268399620278801</v>
      </c>
    </row>
    <row r="29" spans="1:9" x14ac:dyDescent="0.2">
      <c r="A29" s="26" t="s">
        <v>1188</v>
      </c>
      <c r="B29" s="26" t="s">
        <v>1187</v>
      </c>
      <c r="C29" s="26" t="s">
        <v>1164</v>
      </c>
      <c r="D29" s="30">
        <v>23000</v>
      </c>
      <c r="E29" s="28">
        <v>323.93877470000001</v>
      </c>
      <c r="F29" s="29">
        <v>1.0433159185515599</v>
      </c>
    </row>
    <row r="30" spans="1:9" x14ac:dyDescent="0.2">
      <c r="A30" s="26" t="s">
        <v>1190</v>
      </c>
      <c r="B30" s="26" t="s">
        <v>1189</v>
      </c>
      <c r="C30" s="26" t="s">
        <v>1164</v>
      </c>
      <c r="D30" s="30">
        <v>1000</v>
      </c>
      <c r="E30" s="28">
        <v>317.65382410000001</v>
      </c>
      <c r="F30" s="29">
        <v>1.0230738557902701</v>
      </c>
    </row>
    <row r="31" spans="1:9" x14ac:dyDescent="0.2">
      <c r="A31" s="26" t="s">
        <v>1192</v>
      </c>
      <c r="B31" s="26" t="s">
        <v>1191</v>
      </c>
      <c r="C31" s="26" t="s">
        <v>941</v>
      </c>
      <c r="D31" s="30">
        <v>267</v>
      </c>
      <c r="E31" s="28">
        <v>297.22403500000001</v>
      </c>
      <c r="F31" s="29">
        <v>0.95727523628132405</v>
      </c>
    </row>
    <row r="32" spans="1:9" x14ac:dyDescent="0.2">
      <c r="A32" s="26" t="s">
        <v>1194</v>
      </c>
      <c r="B32" s="26" t="s">
        <v>1193</v>
      </c>
      <c r="C32" s="26" t="s">
        <v>1164</v>
      </c>
      <c r="D32" s="30">
        <v>640</v>
      </c>
      <c r="E32" s="28">
        <v>203.51391240000001</v>
      </c>
      <c r="F32" s="29">
        <v>0.65546121994894102</v>
      </c>
    </row>
    <row r="33" spans="1:9" x14ac:dyDescent="0.2">
      <c r="A33" s="26" t="s">
        <v>1196</v>
      </c>
      <c r="B33" s="26" t="s">
        <v>1195</v>
      </c>
      <c r="C33" s="26" t="s">
        <v>941</v>
      </c>
      <c r="D33" s="30">
        <v>1100</v>
      </c>
      <c r="E33" s="28">
        <v>168.7143633</v>
      </c>
      <c r="F33" s="29">
        <v>0.543381634638197</v>
      </c>
    </row>
    <row r="34" spans="1:9" x14ac:dyDescent="0.2">
      <c r="A34" s="26" t="s">
        <v>1198</v>
      </c>
      <c r="B34" s="26" t="s">
        <v>1197</v>
      </c>
      <c r="C34" s="26" t="s">
        <v>941</v>
      </c>
      <c r="D34" s="30">
        <v>7500</v>
      </c>
      <c r="E34" s="28">
        <v>87.364340400000003</v>
      </c>
      <c r="F34" s="29">
        <v>0.28137603205263001</v>
      </c>
    </row>
    <row r="35" spans="1:9" ht="10.5" x14ac:dyDescent="0.25">
      <c r="A35" s="25" t="s">
        <v>167</v>
      </c>
      <c r="B35" s="25"/>
      <c r="C35" s="25"/>
      <c r="D35" s="31"/>
      <c r="E35" s="32">
        <f>SUM(E23:E34)</f>
        <v>5209.6031316999988</v>
      </c>
      <c r="F35" s="33">
        <f>SUM(F23:F34)</f>
        <v>16.778670233818886</v>
      </c>
      <c r="G35" s="17"/>
      <c r="H35" s="17"/>
      <c r="I35" s="17"/>
    </row>
    <row r="36" spans="1:9" x14ac:dyDescent="0.2">
      <c r="A36" s="26"/>
      <c r="B36" s="26"/>
      <c r="C36" s="26"/>
      <c r="D36" s="27"/>
      <c r="E36" s="28"/>
      <c r="F36" s="29"/>
    </row>
    <row r="37" spans="1:9" ht="10.5" x14ac:dyDescent="0.25">
      <c r="A37" s="25" t="s">
        <v>1199</v>
      </c>
      <c r="B37" s="26"/>
      <c r="C37" s="26"/>
      <c r="D37" s="27"/>
      <c r="E37" s="28"/>
      <c r="F37" s="29"/>
    </row>
    <row r="38" spans="1:9" x14ac:dyDescent="0.2">
      <c r="A38" s="26" t="s">
        <v>1200</v>
      </c>
      <c r="B38" s="26" t="s">
        <v>48</v>
      </c>
      <c r="C38" s="26" t="s">
        <v>1201</v>
      </c>
      <c r="D38" s="30">
        <v>91868.481</v>
      </c>
      <c r="E38" s="28">
        <v>3090.8202550000001</v>
      </c>
      <c r="F38" s="29">
        <v>9.9546649715196391</v>
      </c>
    </row>
    <row r="39" spans="1:9" ht="10.5" x14ac:dyDescent="0.25">
      <c r="A39" s="25" t="s">
        <v>167</v>
      </c>
      <c r="B39" s="25"/>
      <c r="C39" s="25"/>
      <c r="D39" s="31"/>
      <c r="E39" s="32">
        <f>SUM(E38:E38)</f>
        <v>3090.8202550000001</v>
      </c>
      <c r="F39" s="33">
        <f>SUM(F38:F38)</f>
        <v>9.9546649715196391</v>
      </c>
      <c r="G39" s="17"/>
      <c r="H39" s="17"/>
      <c r="I39" s="17"/>
    </row>
    <row r="40" spans="1:9" x14ac:dyDescent="0.2">
      <c r="A40" s="26"/>
      <c r="B40" s="26"/>
      <c r="C40" s="26"/>
      <c r="D40" s="27"/>
      <c r="E40" s="28"/>
      <c r="F40" s="29"/>
    </row>
    <row r="41" spans="1:9" ht="10.5" x14ac:dyDescent="0.25">
      <c r="A41" s="25" t="s">
        <v>205</v>
      </c>
      <c r="B41" s="25"/>
      <c r="C41" s="25"/>
      <c r="D41" s="31"/>
      <c r="E41" s="32">
        <f>E17+E21+E35+E39</f>
        <v>29705.6308207</v>
      </c>
      <c r="F41" s="33">
        <f>F17+F21+F35+F39</f>
        <v>95.673503533357817</v>
      </c>
      <c r="G41" s="17"/>
      <c r="H41" s="17"/>
      <c r="I41" s="17"/>
    </row>
    <row r="42" spans="1:9" ht="10.5" x14ac:dyDescent="0.25">
      <c r="A42" s="25"/>
      <c r="B42" s="25"/>
      <c r="C42" s="25"/>
      <c r="D42" s="31"/>
      <c r="E42" s="32"/>
      <c r="F42" s="33"/>
      <c r="G42" s="17"/>
      <c r="H42" s="17"/>
      <c r="I42" s="17"/>
    </row>
    <row r="43" spans="1:9" ht="10.5" x14ac:dyDescent="0.25">
      <c r="A43" s="25" t="s">
        <v>207</v>
      </c>
      <c r="B43" s="25"/>
      <c r="C43" s="25"/>
      <c r="D43" s="31"/>
      <c r="E43" s="32">
        <f>E45-(E17+E21+E35+E39)</f>
        <v>1343.3322919999991</v>
      </c>
      <c r="F43" s="33">
        <f>F45-(F17+F21+F35+F39)</f>
        <v>4.3264964666421832</v>
      </c>
      <c r="G43" s="17"/>
      <c r="H43" s="17"/>
      <c r="I43" s="17"/>
    </row>
    <row r="44" spans="1:9" ht="10.5" x14ac:dyDescent="0.25">
      <c r="A44" s="25"/>
      <c r="B44" s="25"/>
      <c r="C44" s="25"/>
      <c r="D44" s="31"/>
      <c r="E44" s="32"/>
      <c r="F44" s="33"/>
      <c r="G44" s="17"/>
      <c r="H44" s="17"/>
      <c r="I44" s="17"/>
    </row>
    <row r="45" spans="1:9" ht="10.5" x14ac:dyDescent="0.25">
      <c r="A45" s="34" t="s">
        <v>206</v>
      </c>
      <c r="B45" s="34"/>
      <c r="C45" s="34"/>
      <c r="D45" s="35"/>
      <c r="E45" s="36">
        <v>31048.963112699999</v>
      </c>
      <c r="F45" s="37">
        <v>100</v>
      </c>
      <c r="G45" s="17"/>
      <c r="H45" s="17"/>
      <c r="I45" s="17"/>
    </row>
    <row r="46" spans="1:9" ht="10.5" x14ac:dyDescent="0.25">
      <c r="F46" s="67" t="s">
        <v>394</v>
      </c>
    </row>
    <row r="48" spans="1:9" ht="10.5" x14ac:dyDescent="0.25">
      <c r="A48" s="17" t="s">
        <v>210</v>
      </c>
    </row>
    <row r="49" spans="1:4" ht="10.5" x14ac:dyDescent="0.25">
      <c r="A49" s="17" t="s">
        <v>211</v>
      </c>
    </row>
    <row r="50" spans="1:4" ht="10.5" x14ac:dyDescent="0.25">
      <c r="A50" s="17" t="s">
        <v>212</v>
      </c>
      <c r="B50" s="17"/>
      <c r="C50" s="38" t="s">
        <v>214</v>
      </c>
      <c r="D50" s="18" t="s">
        <v>213</v>
      </c>
    </row>
    <row r="51" spans="1:4" x14ac:dyDescent="0.2">
      <c r="A51" s="10" t="s">
        <v>486</v>
      </c>
      <c r="C51" s="39">
        <v>173.43940000000001</v>
      </c>
      <c r="D51" s="39">
        <v>202.3818</v>
      </c>
    </row>
    <row r="52" spans="1:4" x14ac:dyDescent="0.2">
      <c r="A52" s="10" t="s">
        <v>520</v>
      </c>
      <c r="C52" s="39">
        <v>25.299399999999999</v>
      </c>
      <c r="D52" s="39">
        <v>29.5318</v>
      </c>
    </row>
    <row r="53" spans="1:4" x14ac:dyDescent="0.2">
      <c r="A53" s="10" t="s">
        <v>489</v>
      </c>
      <c r="C53" s="39">
        <v>180.81530000000001</v>
      </c>
      <c r="D53" s="39">
        <v>212.05240000000001</v>
      </c>
    </row>
    <row r="54" spans="1:4" x14ac:dyDescent="0.2">
      <c r="A54" s="10" t="s">
        <v>521</v>
      </c>
      <c r="C54" s="39">
        <v>26.596599999999999</v>
      </c>
      <c r="D54" s="39">
        <v>31.1996</v>
      </c>
    </row>
    <row r="56" spans="1:4" ht="10.5" x14ac:dyDescent="0.25">
      <c r="A56" s="17" t="s">
        <v>226</v>
      </c>
      <c r="D56" s="40" t="s">
        <v>227</v>
      </c>
    </row>
    <row r="58" spans="1:4" ht="10.5" x14ac:dyDescent="0.25">
      <c r="A58" s="17" t="s">
        <v>1065</v>
      </c>
      <c r="D58" s="46">
        <v>9.9099999999999994E-2</v>
      </c>
    </row>
  </sheetData>
  <mergeCells count="1">
    <mergeCell ref="A1:F1"/>
  </mergeCells>
  <conditionalFormatting sqref="F2:F3 F5:F45 F47:F65536">
    <cfRule type="cellIs" dxfId="21" priority="2" stopIfTrue="1" operator="between">
      <formula>0.009</formula>
      <formula>-0.009</formula>
    </cfRule>
  </conditionalFormatting>
  <conditionalFormatting sqref="F46">
    <cfRule type="cellIs" dxfId="2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94"/>
  <sheetViews>
    <sheetView workbookViewId="0">
      <selection sqref="A1:F1"/>
    </sheetView>
  </sheetViews>
  <sheetFormatPr defaultColWidth="9.1796875" defaultRowHeight="10" x14ac:dyDescent="0.2"/>
  <cols>
    <col min="1" max="1" width="38.7265625" style="10" bestFit="1" customWidth="1"/>
    <col min="2" max="2" width="34.1796875" style="10" bestFit="1" customWidth="1"/>
    <col min="3" max="3" width="35.7265625" style="10" bestFit="1" customWidth="1"/>
    <col min="4" max="4" width="14.7265625" style="11" bestFit="1" customWidth="1"/>
    <col min="5" max="5" width="23" style="15" bestFit="1" customWidth="1"/>
    <col min="6" max="6" width="13.54296875" style="16" bestFit="1" customWidth="1"/>
    <col min="7" max="7" width="5.81640625" style="10" bestFit="1" customWidth="1"/>
    <col min="8" max="16384" width="9.1796875" style="10"/>
  </cols>
  <sheetData>
    <row r="1" spans="1:6" s="1" customFormat="1" ht="14" x14ac:dyDescent="0.25">
      <c r="A1" s="143" t="s">
        <v>49</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1203</v>
      </c>
      <c r="B7" s="26" t="s">
        <v>1202</v>
      </c>
      <c r="C7" s="26" t="s">
        <v>1096</v>
      </c>
      <c r="D7" s="30">
        <v>5342967</v>
      </c>
      <c r="E7" s="28">
        <v>34363.292260000002</v>
      </c>
      <c r="F7" s="29">
        <v>6.5531336818320796</v>
      </c>
    </row>
    <row r="8" spans="1:6" x14ac:dyDescent="0.2">
      <c r="A8" s="26" t="s">
        <v>940</v>
      </c>
      <c r="B8" s="26" t="s">
        <v>939</v>
      </c>
      <c r="C8" s="26" t="s">
        <v>941</v>
      </c>
      <c r="D8" s="30">
        <v>2703918</v>
      </c>
      <c r="E8" s="28">
        <v>26119.847880000001</v>
      </c>
      <c r="F8" s="29">
        <v>4.9810959209517298</v>
      </c>
    </row>
    <row r="9" spans="1:6" x14ac:dyDescent="0.2">
      <c r="A9" s="26" t="s">
        <v>934</v>
      </c>
      <c r="B9" s="26" t="s">
        <v>933</v>
      </c>
      <c r="C9" s="26" t="s">
        <v>935</v>
      </c>
      <c r="D9" s="30">
        <v>1649964</v>
      </c>
      <c r="E9" s="28">
        <v>17040.82819</v>
      </c>
      <c r="F9" s="29">
        <v>3.2497126390939899</v>
      </c>
    </row>
    <row r="10" spans="1:6" x14ac:dyDescent="0.2">
      <c r="A10" s="26" t="s">
        <v>967</v>
      </c>
      <c r="B10" s="26" t="s">
        <v>966</v>
      </c>
      <c r="C10" s="26" t="s">
        <v>968</v>
      </c>
      <c r="D10" s="30">
        <v>2471942</v>
      </c>
      <c r="E10" s="28">
        <v>14792.100930000001</v>
      </c>
      <c r="F10" s="29">
        <v>2.8208768268190001</v>
      </c>
    </row>
    <row r="11" spans="1:6" x14ac:dyDescent="0.2">
      <c r="A11" s="26" t="s">
        <v>1205</v>
      </c>
      <c r="B11" s="26" t="s">
        <v>1204</v>
      </c>
      <c r="C11" s="26" t="s">
        <v>976</v>
      </c>
      <c r="D11" s="30">
        <v>1887587</v>
      </c>
      <c r="E11" s="28">
        <v>13858.66375</v>
      </c>
      <c r="F11" s="29">
        <v>2.64286889388142</v>
      </c>
    </row>
    <row r="12" spans="1:6" x14ac:dyDescent="0.2">
      <c r="A12" s="26" t="s">
        <v>972</v>
      </c>
      <c r="B12" s="26" t="s">
        <v>971</v>
      </c>
      <c r="C12" s="26" t="s">
        <v>973</v>
      </c>
      <c r="D12" s="30">
        <v>6289744</v>
      </c>
      <c r="E12" s="28">
        <v>13522.9496</v>
      </c>
      <c r="F12" s="29">
        <v>2.5788476794067701</v>
      </c>
    </row>
    <row r="13" spans="1:6" x14ac:dyDescent="0.2">
      <c r="A13" s="26" t="s">
        <v>1207</v>
      </c>
      <c r="B13" s="26" t="s">
        <v>1206</v>
      </c>
      <c r="C13" s="26" t="s">
        <v>1208</v>
      </c>
      <c r="D13" s="30">
        <v>9599486</v>
      </c>
      <c r="E13" s="28">
        <v>13482.478090000001</v>
      </c>
      <c r="F13" s="29">
        <v>2.5711296990302399</v>
      </c>
    </row>
    <row r="14" spans="1:6" x14ac:dyDescent="0.2">
      <c r="A14" s="26" t="s">
        <v>1210</v>
      </c>
      <c r="B14" s="26" t="s">
        <v>1209</v>
      </c>
      <c r="C14" s="26" t="s">
        <v>965</v>
      </c>
      <c r="D14" s="30">
        <v>5467185</v>
      </c>
      <c r="E14" s="28">
        <v>12812.348050000001</v>
      </c>
      <c r="F14" s="29">
        <v>2.44333485029733</v>
      </c>
    </row>
    <row r="15" spans="1:6" x14ac:dyDescent="0.2">
      <c r="A15" s="26" t="s">
        <v>1212</v>
      </c>
      <c r="B15" s="26" t="s">
        <v>1211</v>
      </c>
      <c r="C15" s="26" t="s">
        <v>965</v>
      </c>
      <c r="D15" s="30">
        <v>10263765</v>
      </c>
      <c r="E15" s="28">
        <v>12644.958479999999</v>
      </c>
      <c r="F15" s="29">
        <v>2.4114133969960898</v>
      </c>
    </row>
    <row r="16" spans="1:6" x14ac:dyDescent="0.2">
      <c r="A16" s="26" t="s">
        <v>1214</v>
      </c>
      <c r="B16" s="26" t="s">
        <v>1213</v>
      </c>
      <c r="C16" s="26" t="s">
        <v>1215</v>
      </c>
      <c r="D16" s="30">
        <v>2832329</v>
      </c>
      <c r="E16" s="28">
        <v>12391.43938</v>
      </c>
      <c r="F16" s="29">
        <v>2.36306690735745</v>
      </c>
    </row>
    <row r="17" spans="1:6" x14ac:dyDescent="0.2">
      <c r="A17" s="26" t="s">
        <v>1217</v>
      </c>
      <c r="B17" s="26" t="s">
        <v>1216</v>
      </c>
      <c r="C17" s="26" t="s">
        <v>976</v>
      </c>
      <c r="D17" s="30">
        <v>2462450</v>
      </c>
      <c r="E17" s="28">
        <v>12098.01685</v>
      </c>
      <c r="F17" s="29">
        <v>2.3071107710884702</v>
      </c>
    </row>
    <row r="18" spans="1:6" x14ac:dyDescent="0.2">
      <c r="A18" s="26" t="s">
        <v>1103</v>
      </c>
      <c r="B18" s="26" t="s">
        <v>1102</v>
      </c>
      <c r="C18" s="26" t="s">
        <v>997</v>
      </c>
      <c r="D18" s="30">
        <v>4112021</v>
      </c>
      <c r="E18" s="28">
        <v>11092.176649999999</v>
      </c>
      <c r="F18" s="29">
        <v>2.1152954687801602</v>
      </c>
    </row>
    <row r="19" spans="1:6" x14ac:dyDescent="0.2">
      <c r="A19" s="26" t="s">
        <v>1120</v>
      </c>
      <c r="B19" s="26" t="s">
        <v>1119</v>
      </c>
      <c r="C19" s="26" t="s">
        <v>1121</v>
      </c>
      <c r="D19" s="30">
        <v>1655675</v>
      </c>
      <c r="E19" s="28">
        <v>11014.37794</v>
      </c>
      <c r="F19" s="29">
        <v>2.1004591328712898</v>
      </c>
    </row>
    <row r="20" spans="1:6" x14ac:dyDescent="0.2">
      <c r="A20" s="26" t="s">
        <v>1105</v>
      </c>
      <c r="B20" s="26" t="s">
        <v>1104</v>
      </c>
      <c r="C20" s="26" t="s">
        <v>941</v>
      </c>
      <c r="D20" s="30">
        <v>3303552</v>
      </c>
      <c r="E20" s="28">
        <v>10901.721600000001</v>
      </c>
      <c r="F20" s="29">
        <v>2.07897539229893</v>
      </c>
    </row>
    <row r="21" spans="1:6" x14ac:dyDescent="0.2">
      <c r="A21" s="26" t="s">
        <v>943</v>
      </c>
      <c r="B21" s="26" t="s">
        <v>942</v>
      </c>
      <c r="C21" s="26" t="s">
        <v>935</v>
      </c>
      <c r="D21" s="30">
        <v>2299441</v>
      </c>
      <c r="E21" s="28">
        <v>9925.5370770000009</v>
      </c>
      <c r="F21" s="29">
        <v>1.8928154740654599</v>
      </c>
    </row>
    <row r="22" spans="1:6" x14ac:dyDescent="0.2">
      <c r="A22" s="26" t="s">
        <v>1219</v>
      </c>
      <c r="B22" s="26" t="s">
        <v>1218</v>
      </c>
      <c r="C22" s="26" t="s">
        <v>1096</v>
      </c>
      <c r="D22" s="30">
        <v>195642</v>
      </c>
      <c r="E22" s="28">
        <v>9887.6488590000008</v>
      </c>
      <c r="F22" s="29">
        <v>1.8855901315213901</v>
      </c>
    </row>
    <row r="23" spans="1:6" x14ac:dyDescent="0.2">
      <c r="A23" s="26" t="s">
        <v>1221</v>
      </c>
      <c r="B23" s="26" t="s">
        <v>1220</v>
      </c>
      <c r="C23" s="26" t="s">
        <v>968</v>
      </c>
      <c r="D23" s="30">
        <v>1972960</v>
      </c>
      <c r="E23" s="28">
        <v>9596.4774400000006</v>
      </c>
      <c r="F23" s="29">
        <v>1.83006328564764</v>
      </c>
    </row>
    <row r="24" spans="1:6" x14ac:dyDescent="0.2">
      <c r="A24" s="26" t="s">
        <v>1223</v>
      </c>
      <c r="B24" s="26" t="s">
        <v>1222</v>
      </c>
      <c r="C24" s="26" t="s">
        <v>968</v>
      </c>
      <c r="D24" s="30">
        <v>162407</v>
      </c>
      <c r="E24" s="28">
        <v>9392.565235</v>
      </c>
      <c r="F24" s="29">
        <v>1.79117690862033</v>
      </c>
    </row>
    <row r="25" spans="1:6" x14ac:dyDescent="0.2">
      <c r="A25" s="26" t="s">
        <v>945</v>
      </c>
      <c r="B25" s="26" t="s">
        <v>944</v>
      </c>
      <c r="C25" s="26" t="s">
        <v>935</v>
      </c>
      <c r="D25" s="30">
        <v>673158</v>
      </c>
      <c r="E25" s="28">
        <v>9193.655385</v>
      </c>
      <c r="F25" s="29">
        <v>1.75324448853028</v>
      </c>
    </row>
    <row r="26" spans="1:6" x14ac:dyDescent="0.2">
      <c r="A26" s="26" t="s">
        <v>1225</v>
      </c>
      <c r="B26" s="26" t="s">
        <v>1224</v>
      </c>
      <c r="C26" s="26" t="s">
        <v>1006</v>
      </c>
      <c r="D26" s="30">
        <v>325000</v>
      </c>
      <c r="E26" s="28">
        <v>9191.9750000000004</v>
      </c>
      <c r="F26" s="29">
        <v>1.75292403647759</v>
      </c>
    </row>
    <row r="27" spans="1:6" x14ac:dyDescent="0.2">
      <c r="A27" s="26" t="s">
        <v>1227</v>
      </c>
      <c r="B27" s="26" t="s">
        <v>1226</v>
      </c>
      <c r="C27" s="26" t="s">
        <v>1228</v>
      </c>
      <c r="D27" s="30">
        <v>2460139</v>
      </c>
      <c r="E27" s="28">
        <v>9028.7101299999995</v>
      </c>
      <c r="F27" s="29">
        <v>1.72178916992983</v>
      </c>
    </row>
    <row r="28" spans="1:6" x14ac:dyDescent="0.2">
      <c r="A28" s="26" t="s">
        <v>1109</v>
      </c>
      <c r="B28" s="26" t="s">
        <v>1108</v>
      </c>
      <c r="C28" s="26" t="s">
        <v>973</v>
      </c>
      <c r="D28" s="30">
        <v>1497004</v>
      </c>
      <c r="E28" s="28">
        <v>8568.1023939999995</v>
      </c>
      <c r="F28" s="29">
        <v>1.6339505528946501</v>
      </c>
    </row>
    <row r="29" spans="1:6" x14ac:dyDescent="0.2">
      <c r="A29" s="26" t="s">
        <v>1230</v>
      </c>
      <c r="B29" s="26" t="s">
        <v>1229</v>
      </c>
      <c r="C29" s="26" t="s">
        <v>1011</v>
      </c>
      <c r="D29" s="30">
        <v>11177038</v>
      </c>
      <c r="E29" s="28">
        <v>8231.8884870000002</v>
      </c>
      <c r="F29" s="29">
        <v>1.5698340339769701</v>
      </c>
    </row>
    <row r="30" spans="1:6" x14ac:dyDescent="0.2">
      <c r="A30" s="26" t="s">
        <v>1232</v>
      </c>
      <c r="B30" s="26" t="s">
        <v>1231</v>
      </c>
      <c r="C30" s="26" t="s">
        <v>1208</v>
      </c>
      <c r="D30" s="30">
        <v>1880000</v>
      </c>
      <c r="E30" s="28">
        <v>7621.52</v>
      </c>
      <c r="F30" s="29">
        <v>1.4534358070485101</v>
      </c>
    </row>
    <row r="31" spans="1:6" x14ac:dyDescent="0.2">
      <c r="A31" s="26" t="s">
        <v>1234</v>
      </c>
      <c r="B31" s="26" t="s">
        <v>1233</v>
      </c>
      <c r="C31" s="26" t="s">
        <v>1215</v>
      </c>
      <c r="D31" s="30">
        <v>408284</v>
      </c>
      <c r="E31" s="28">
        <v>7552.4374319999997</v>
      </c>
      <c r="F31" s="29">
        <v>1.44026165307738</v>
      </c>
    </row>
    <row r="32" spans="1:6" x14ac:dyDescent="0.2">
      <c r="A32" s="26" t="s">
        <v>1126</v>
      </c>
      <c r="B32" s="26" t="s">
        <v>1125</v>
      </c>
      <c r="C32" s="26" t="s">
        <v>997</v>
      </c>
      <c r="D32" s="30">
        <v>1616126</v>
      </c>
      <c r="E32" s="28">
        <v>7441.4521670000004</v>
      </c>
      <c r="F32" s="29">
        <v>1.41909658912612</v>
      </c>
    </row>
    <row r="33" spans="1:6" x14ac:dyDescent="0.2">
      <c r="A33" s="26" t="s">
        <v>1236</v>
      </c>
      <c r="B33" s="26" t="s">
        <v>1235</v>
      </c>
      <c r="C33" s="26" t="s">
        <v>935</v>
      </c>
      <c r="D33" s="30">
        <v>9349096</v>
      </c>
      <c r="E33" s="28">
        <v>7236.200304</v>
      </c>
      <c r="F33" s="29">
        <v>1.37995473721894</v>
      </c>
    </row>
    <row r="34" spans="1:6" x14ac:dyDescent="0.2">
      <c r="A34" s="26" t="s">
        <v>1238</v>
      </c>
      <c r="B34" s="26" t="s">
        <v>1237</v>
      </c>
      <c r="C34" s="26" t="s">
        <v>1239</v>
      </c>
      <c r="D34" s="30">
        <v>2480513</v>
      </c>
      <c r="E34" s="28">
        <v>7192.2474439999996</v>
      </c>
      <c r="F34" s="29">
        <v>1.3715728579420801</v>
      </c>
    </row>
    <row r="35" spans="1:6" x14ac:dyDescent="0.2">
      <c r="A35" s="26" t="s">
        <v>1134</v>
      </c>
      <c r="B35" s="26" t="s">
        <v>1133</v>
      </c>
      <c r="C35" s="26" t="s">
        <v>1058</v>
      </c>
      <c r="D35" s="30">
        <v>1694246</v>
      </c>
      <c r="E35" s="28">
        <v>7103.9734779999999</v>
      </c>
      <c r="F35" s="29">
        <v>1.35473887429911</v>
      </c>
    </row>
    <row r="36" spans="1:6" x14ac:dyDescent="0.2">
      <c r="A36" s="26" t="s">
        <v>1241</v>
      </c>
      <c r="B36" s="26" t="s">
        <v>1240</v>
      </c>
      <c r="C36" s="26" t="s">
        <v>1208</v>
      </c>
      <c r="D36" s="30">
        <v>3270913</v>
      </c>
      <c r="E36" s="28">
        <v>7101.1521229999998</v>
      </c>
      <c r="F36" s="29">
        <v>1.3542008374795</v>
      </c>
    </row>
    <row r="37" spans="1:6" x14ac:dyDescent="0.2">
      <c r="A37" s="26" t="s">
        <v>1111</v>
      </c>
      <c r="B37" s="26" t="s">
        <v>1110</v>
      </c>
      <c r="C37" s="26" t="s">
        <v>1029</v>
      </c>
      <c r="D37" s="30">
        <v>14272603</v>
      </c>
      <c r="E37" s="28">
        <v>7007.8480730000001</v>
      </c>
      <c r="F37" s="29">
        <v>1.3364076089354999</v>
      </c>
    </row>
    <row r="38" spans="1:6" x14ac:dyDescent="0.2">
      <c r="A38" s="26" t="s">
        <v>1243</v>
      </c>
      <c r="B38" s="26" t="s">
        <v>1242</v>
      </c>
      <c r="C38" s="26" t="s">
        <v>953</v>
      </c>
      <c r="D38" s="30">
        <v>2345030</v>
      </c>
      <c r="E38" s="28">
        <v>6902.5958049999999</v>
      </c>
      <c r="F38" s="29">
        <v>1.31633583649585</v>
      </c>
    </row>
    <row r="39" spans="1:6" x14ac:dyDescent="0.2">
      <c r="A39" s="26" t="s">
        <v>1245</v>
      </c>
      <c r="B39" s="26" t="s">
        <v>1244</v>
      </c>
      <c r="C39" s="26" t="s">
        <v>997</v>
      </c>
      <c r="D39" s="30">
        <v>2767883</v>
      </c>
      <c r="E39" s="28">
        <v>6867.1177230000003</v>
      </c>
      <c r="F39" s="29">
        <v>1.3095701106637001</v>
      </c>
    </row>
    <row r="40" spans="1:6" x14ac:dyDescent="0.2">
      <c r="A40" s="26" t="s">
        <v>1247</v>
      </c>
      <c r="B40" s="26" t="s">
        <v>1246</v>
      </c>
      <c r="C40" s="26" t="s">
        <v>1248</v>
      </c>
      <c r="D40" s="30">
        <v>2361630</v>
      </c>
      <c r="E40" s="28">
        <v>6865.2584100000004</v>
      </c>
      <c r="F40" s="29">
        <v>1.3092155367610301</v>
      </c>
    </row>
    <row r="41" spans="1:6" x14ac:dyDescent="0.2">
      <c r="A41" s="26" t="s">
        <v>978</v>
      </c>
      <c r="B41" s="26" t="s">
        <v>977</v>
      </c>
      <c r="C41" s="26" t="s">
        <v>979</v>
      </c>
      <c r="D41" s="30">
        <v>1852195</v>
      </c>
      <c r="E41" s="28">
        <v>6784.5902850000002</v>
      </c>
      <c r="F41" s="29">
        <v>1.29383199891523</v>
      </c>
    </row>
    <row r="42" spans="1:6" x14ac:dyDescent="0.2">
      <c r="A42" s="26" t="s">
        <v>1250</v>
      </c>
      <c r="B42" s="26" t="s">
        <v>1249</v>
      </c>
      <c r="C42" s="26" t="s">
        <v>1029</v>
      </c>
      <c r="D42" s="30">
        <v>392574</v>
      </c>
      <c r="E42" s="28">
        <v>6620.3679359999996</v>
      </c>
      <c r="F42" s="29">
        <v>1.2625145396217801</v>
      </c>
    </row>
    <row r="43" spans="1:6" x14ac:dyDescent="0.2">
      <c r="A43" s="26" t="s">
        <v>1252</v>
      </c>
      <c r="B43" s="26" t="s">
        <v>1251</v>
      </c>
      <c r="C43" s="26" t="s">
        <v>1208</v>
      </c>
      <c r="D43" s="30">
        <v>2829248</v>
      </c>
      <c r="E43" s="28">
        <v>6197.4677439999996</v>
      </c>
      <c r="F43" s="29">
        <v>1.1818668103157599</v>
      </c>
    </row>
    <row r="44" spans="1:6" x14ac:dyDescent="0.2">
      <c r="A44" s="26" t="s">
        <v>1254</v>
      </c>
      <c r="B44" s="26" t="s">
        <v>1253</v>
      </c>
      <c r="C44" s="26" t="s">
        <v>1239</v>
      </c>
      <c r="D44" s="30">
        <v>393330</v>
      </c>
      <c r="E44" s="28">
        <v>6191.6041949999999</v>
      </c>
      <c r="F44" s="29">
        <v>1.18074862233318</v>
      </c>
    </row>
    <row r="45" spans="1:6" x14ac:dyDescent="0.2">
      <c r="A45" s="26" t="s">
        <v>1256</v>
      </c>
      <c r="B45" s="26" t="s">
        <v>1255</v>
      </c>
      <c r="C45" s="26" t="s">
        <v>1208</v>
      </c>
      <c r="D45" s="30">
        <v>2805627</v>
      </c>
      <c r="E45" s="28">
        <v>5908.6504619999996</v>
      </c>
      <c r="F45" s="29">
        <v>1.12678890205687</v>
      </c>
    </row>
    <row r="46" spans="1:6" x14ac:dyDescent="0.2">
      <c r="A46" s="26" t="s">
        <v>1258</v>
      </c>
      <c r="B46" s="26" t="s">
        <v>1257</v>
      </c>
      <c r="C46" s="26" t="s">
        <v>968</v>
      </c>
      <c r="D46" s="30">
        <v>2046602</v>
      </c>
      <c r="E46" s="28">
        <v>5538.105012</v>
      </c>
      <c r="F46" s="29">
        <v>1.0561253040909999</v>
      </c>
    </row>
    <row r="47" spans="1:6" x14ac:dyDescent="0.2">
      <c r="A47" s="26" t="s">
        <v>1260</v>
      </c>
      <c r="B47" s="26" t="s">
        <v>1259</v>
      </c>
      <c r="C47" s="26" t="s">
        <v>1011</v>
      </c>
      <c r="D47" s="30">
        <v>2713308</v>
      </c>
      <c r="E47" s="28">
        <v>5514.7985099999996</v>
      </c>
      <c r="F47" s="29">
        <v>1.0516807176379199</v>
      </c>
    </row>
    <row r="48" spans="1:6" x14ac:dyDescent="0.2">
      <c r="A48" s="26" t="s">
        <v>1001</v>
      </c>
      <c r="B48" s="26" t="s">
        <v>1000</v>
      </c>
      <c r="C48" s="26" t="s">
        <v>935</v>
      </c>
      <c r="D48" s="30">
        <v>15898917</v>
      </c>
      <c r="E48" s="28">
        <v>5493.0758239999996</v>
      </c>
      <c r="F48" s="29">
        <v>1.0475381673779101</v>
      </c>
    </row>
    <row r="49" spans="1:6" x14ac:dyDescent="0.2">
      <c r="A49" s="26" t="s">
        <v>1262</v>
      </c>
      <c r="B49" s="26" t="s">
        <v>1261</v>
      </c>
      <c r="C49" s="26" t="s">
        <v>1053</v>
      </c>
      <c r="D49" s="30">
        <v>23086857</v>
      </c>
      <c r="E49" s="28">
        <v>5448.4982520000003</v>
      </c>
      <c r="F49" s="29">
        <v>1.03903715454371</v>
      </c>
    </row>
    <row r="50" spans="1:6" x14ac:dyDescent="0.2">
      <c r="A50" s="26" t="s">
        <v>1264</v>
      </c>
      <c r="B50" s="26" t="s">
        <v>1263</v>
      </c>
      <c r="C50" s="26" t="s">
        <v>1096</v>
      </c>
      <c r="D50" s="30">
        <v>3836227</v>
      </c>
      <c r="E50" s="28">
        <v>5305.5019410000004</v>
      </c>
      <c r="F50" s="29">
        <v>1.01176753395842</v>
      </c>
    </row>
    <row r="51" spans="1:6" x14ac:dyDescent="0.2">
      <c r="A51" s="26" t="s">
        <v>1266</v>
      </c>
      <c r="B51" s="26" t="s">
        <v>1265</v>
      </c>
      <c r="C51" s="26" t="s">
        <v>935</v>
      </c>
      <c r="D51" s="30">
        <v>4308453</v>
      </c>
      <c r="E51" s="28">
        <v>5221.8450359999997</v>
      </c>
      <c r="F51" s="29">
        <v>0.99581403108315703</v>
      </c>
    </row>
    <row r="52" spans="1:6" x14ac:dyDescent="0.2">
      <c r="A52" s="26" t="s">
        <v>1268</v>
      </c>
      <c r="B52" s="26" t="s">
        <v>1267</v>
      </c>
      <c r="C52" s="26" t="s">
        <v>950</v>
      </c>
      <c r="D52" s="30">
        <v>1000416</v>
      </c>
      <c r="E52" s="28">
        <v>5091.1170240000001</v>
      </c>
      <c r="F52" s="29">
        <v>0.97088399434178896</v>
      </c>
    </row>
    <row r="53" spans="1:6" x14ac:dyDescent="0.2">
      <c r="A53" s="26" t="s">
        <v>1270</v>
      </c>
      <c r="B53" s="26" t="s">
        <v>1269</v>
      </c>
      <c r="C53" s="26" t="s">
        <v>997</v>
      </c>
      <c r="D53" s="30">
        <v>135105</v>
      </c>
      <c r="E53" s="28">
        <v>4873.7777699999997</v>
      </c>
      <c r="F53" s="29">
        <v>0.92943705802976595</v>
      </c>
    </row>
    <row r="54" spans="1:6" x14ac:dyDescent="0.2">
      <c r="A54" s="26" t="s">
        <v>1272</v>
      </c>
      <c r="B54" s="26" t="s">
        <v>1271</v>
      </c>
      <c r="C54" s="26" t="s">
        <v>1029</v>
      </c>
      <c r="D54" s="30">
        <v>1054044</v>
      </c>
      <c r="E54" s="28">
        <v>4465.4574060000004</v>
      </c>
      <c r="F54" s="29">
        <v>0.85156972477017001</v>
      </c>
    </row>
    <row r="55" spans="1:6" x14ac:dyDescent="0.2">
      <c r="A55" s="26" t="s">
        <v>1274</v>
      </c>
      <c r="B55" s="26" t="s">
        <v>1273</v>
      </c>
      <c r="C55" s="26" t="s">
        <v>1096</v>
      </c>
      <c r="D55" s="30">
        <v>9156106</v>
      </c>
      <c r="E55" s="28">
        <v>3918.8133680000001</v>
      </c>
      <c r="F55" s="29">
        <v>0.74732385012327696</v>
      </c>
    </row>
    <row r="56" spans="1:6" x14ac:dyDescent="0.2">
      <c r="A56" s="26" t="s">
        <v>1276</v>
      </c>
      <c r="B56" s="26" t="s">
        <v>1275</v>
      </c>
      <c r="C56" s="26" t="s">
        <v>1011</v>
      </c>
      <c r="D56" s="30">
        <v>1660211</v>
      </c>
      <c r="E56" s="28">
        <v>3825.9562500000002</v>
      </c>
      <c r="F56" s="29">
        <v>0.72961585221202996</v>
      </c>
    </row>
    <row r="57" spans="1:6" x14ac:dyDescent="0.2">
      <c r="A57" s="26" t="s">
        <v>1278</v>
      </c>
      <c r="B57" s="26" t="s">
        <v>1277</v>
      </c>
      <c r="C57" s="26" t="s">
        <v>1011</v>
      </c>
      <c r="D57" s="30">
        <v>24421468</v>
      </c>
      <c r="E57" s="28">
        <v>3785.3275400000002</v>
      </c>
      <c r="F57" s="29">
        <v>0.72186789354916603</v>
      </c>
    </row>
    <row r="58" spans="1:6" x14ac:dyDescent="0.2">
      <c r="A58" s="26" t="s">
        <v>1280</v>
      </c>
      <c r="B58" s="26" t="s">
        <v>1279</v>
      </c>
      <c r="C58" s="26" t="s">
        <v>1046</v>
      </c>
      <c r="D58" s="30">
        <v>2017424</v>
      </c>
      <c r="E58" s="28">
        <v>3601.1018399999998</v>
      </c>
      <c r="F58" s="29">
        <v>0.68673576387443303</v>
      </c>
    </row>
    <row r="59" spans="1:6" x14ac:dyDescent="0.2">
      <c r="A59" s="26" t="s">
        <v>1282</v>
      </c>
      <c r="B59" s="26" t="s">
        <v>1281</v>
      </c>
      <c r="C59" s="26" t="s">
        <v>1006</v>
      </c>
      <c r="D59" s="30">
        <v>988899</v>
      </c>
      <c r="E59" s="28">
        <v>3325.1728880000001</v>
      </c>
      <c r="F59" s="29">
        <v>0.63411568034277899</v>
      </c>
    </row>
    <row r="60" spans="1:6" x14ac:dyDescent="0.2">
      <c r="A60" s="26" t="s">
        <v>1284</v>
      </c>
      <c r="B60" s="26" t="s">
        <v>1283</v>
      </c>
      <c r="C60" s="26" t="s">
        <v>1046</v>
      </c>
      <c r="D60" s="30">
        <v>6313159</v>
      </c>
      <c r="E60" s="28">
        <v>3191.3018750000001</v>
      </c>
      <c r="F60" s="29">
        <v>0.60858626838557695</v>
      </c>
    </row>
    <row r="61" spans="1:6" x14ac:dyDescent="0.2">
      <c r="A61" s="26" t="s">
        <v>1057</v>
      </c>
      <c r="B61" s="26" t="s">
        <v>1056</v>
      </c>
      <c r="C61" s="26" t="s">
        <v>1058</v>
      </c>
      <c r="D61" s="30">
        <v>4031266</v>
      </c>
      <c r="E61" s="28">
        <v>2479.2285900000002</v>
      </c>
      <c r="F61" s="29">
        <v>0.47279277710540502</v>
      </c>
    </row>
    <row r="62" spans="1:6" x14ac:dyDescent="0.2">
      <c r="A62" s="26" t="s">
        <v>1286</v>
      </c>
      <c r="B62" s="26" t="s">
        <v>1285</v>
      </c>
      <c r="C62" s="26" t="s">
        <v>997</v>
      </c>
      <c r="D62" s="30">
        <v>1196703</v>
      </c>
      <c r="E62" s="28">
        <v>2215.0972529999999</v>
      </c>
      <c r="F62" s="29">
        <v>0.42242251724131002</v>
      </c>
    </row>
    <row r="63" spans="1:6" x14ac:dyDescent="0.2">
      <c r="A63" s="26" t="s">
        <v>1288</v>
      </c>
      <c r="B63" s="26" t="s">
        <v>1287</v>
      </c>
      <c r="C63" s="26" t="s">
        <v>1029</v>
      </c>
      <c r="D63" s="30">
        <v>1000000</v>
      </c>
      <c r="E63" s="28">
        <v>2025</v>
      </c>
      <c r="F63" s="29">
        <v>0.386170673208655</v>
      </c>
    </row>
    <row r="64" spans="1:6" x14ac:dyDescent="0.2">
      <c r="A64" s="26" t="s">
        <v>1290</v>
      </c>
      <c r="B64" s="26" t="s">
        <v>1289</v>
      </c>
      <c r="C64" s="26" t="s">
        <v>953</v>
      </c>
      <c r="D64" s="30">
        <v>8633308</v>
      </c>
      <c r="E64" s="28">
        <v>2020.194072</v>
      </c>
      <c r="F64" s="29">
        <v>0.38525417520808602</v>
      </c>
    </row>
    <row r="65" spans="1:9" x14ac:dyDescent="0.2">
      <c r="A65" s="26" t="s">
        <v>1292</v>
      </c>
      <c r="B65" s="26" t="s">
        <v>1291</v>
      </c>
      <c r="C65" s="26" t="s">
        <v>997</v>
      </c>
      <c r="D65" s="30">
        <v>1349476</v>
      </c>
      <c r="E65" s="28">
        <v>1956.065462</v>
      </c>
      <c r="F65" s="29">
        <v>0.37302474879048803</v>
      </c>
    </row>
    <row r="66" spans="1:9" x14ac:dyDescent="0.2">
      <c r="A66" s="26" t="s">
        <v>1294</v>
      </c>
      <c r="B66" s="26" t="s">
        <v>1293</v>
      </c>
      <c r="C66" s="26" t="s">
        <v>1011</v>
      </c>
      <c r="D66" s="30">
        <v>11046869</v>
      </c>
      <c r="E66" s="28">
        <v>1375.3351909999999</v>
      </c>
      <c r="F66" s="29">
        <v>0.262278576096802</v>
      </c>
    </row>
    <row r="67" spans="1:9" x14ac:dyDescent="0.2">
      <c r="A67" s="26" t="s">
        <v>1296</v>
      </c>
      <c r="B67" s="26" t="s">
        <v>1295</v>
      </c>
      <c r="C67" s="26" t="s">
        <v>979</v>
      </c>
      <c r="D67" s="30">
        <v>8689354</v>
      </c>
      <c r="E67" s="28">
        <v>1368.573255</v>
      </c>
      <c r="F67" s="29">
        <v>0.26098906430553598</v>
      </c>
    </row>
    <row r="68" spans="1:9" x14ac:dyDescent="0.2">
      <c r="A68" s="26" t="s">
        <v>1298</v>
      </c>
      <c r="B68" s="26" t="s">
        <v>1297</v>
      </c>
      <c r="C68" s="26" t="s">
        <v>941</v>
      </c>
      <c r="D68" s="30">
        <v>210319</v>
      </c>
      <c r="E68" s="28">
        <v>1009.63636</v>
      </c>
      <c r="F68" s="29">
        <v>0.192539235968956</v>
      </c>
    </row>
    <row r="69" spans="1:9" x14ac:dyDescent="0.2">
      <c r="A69" s="26" t="s">
        <v>1085</v>
      </c>
      <c r="B69" s="26" t="s">
        <v>1084</v>
      </c>
      <c r="C69" s="26" t="s">
        <v>962</v>
      </c>
      <c r="D69" s="30">
        <v>645453</v>
      </c>
      <c r="E69" s="28">
        <v>242.04487499999999</v>
      </c>
      <c r="F69" s="29">
        <v>4.6158336950841802E-2</v>
      </c>
    </row>
    <row r="70" spans="1:9" x14ac:dyDescent="0.2">
      <c r="A70" s="26" t="s">
        <v>1300</v>
      </c>
      <c r="B70" s="26" t="s">
        <v>1299</v>
      </c>
      <c r="C70" s="26" t="s">
        <v>968</v>
      </c>
      <c r="D70" s="30">
        <v>1120</v>
      </c>
      <c r="E70" s="28">
        <v>85.497439999999997</v>
      </c>
      <c r="F70" s="29">
        <v>1.6304495783909401E-2</v>
      </c>
    </row>
    <row r="71" spans="1:9" ht="10.5" x14ac:dyDescent="0.25">
      <c r="A71" s="25" t="s">
        <v>167</v>
      </c>
      <c r="B71" s="25"/>
      <c r="C71" s="25"/>
      <c r="D71" s="31"/>
      <c r="E71" s="32">
        <f>SUM(E7:E70)</f>
        <v>493122.76627199998</v>
      </c>
      <c r="F71" s="33">
        <f>SUM(F7:F70)</f>
        <v>94.039284259640709</v>
      </c>
      <c r="G71" s="17"/>
      <c r="H71" s="17"/>
      <c r="I71" s="17"/>
    </row>
    <row r="72" spans="1:9" x14ac:dyDescent="0.2">
      <c r="A72" s="26"/>
      <c r="B72" s="26"/>
      <c r="C72" s="26"/>
      <c r="D72" s="27"/>
      <c r="E72" s="28"/>
      <c r="F72" s="29"/>
    </row>
    <row r="73" spans="1:9" ht="10.5" x14ac:dyDescent="0.25">
      <c r="A73" s="25" t="s">
        <v>205</v>
      </c>
      <c r="B73" s="25"/>
      <c r="C73" s="25"/>
      <c r="D73" s="31"/>
      <c r="E73" s="32">
        <f>E71</f>
        <v>493122.76627199998</v>
      </c>
      <c r="F73" s="33">
        <f>F71</f>
        <v>94.039284259640709</v>
      </c>
      <c r="G73" s="17"/>
      <c r="H73" s="17"/>
      <c r="I73" s="17"/>
    </row>
    <row r="74" spans="1:9" ht="10.5" x14ac:dyDescent="0.25">
      <c r="A74" s="25"/>
      <c r="B74" s="25"/>
      <c r="C74" s="25"/>
      <c r="D74" s="31"/>
      <c r="E74" s="32"/>
      <c r="F74" s="33"/>
      <c r="G74" s="17"/>
      <c r="H74" s="17"/>
      <c r="I74" s="17"/>
    </row>
    <row r="75" spans="1:9" ht="10.5" x14ac:dyDescent="0.25">
      <c r="A75" s="25" t="s">
        <v>207</v>
      </c>
      <c r="B75" s="25"/>
      <c r="C75" s="25"/>
      <c r="D75" s="31"/>
      <c r="E75" s="32">
        <f>E77-(E71)</f>
        <v>31256.773783300014</v>
      </c>
      <c r="F75" s="33">
        <f>F77-(F71)</f>
        <v>5.9607157403592907</v>
      </c>
      <c r="G75" s="17"/>
      <c r="H75" s="17"/>
      <c r="I75" s="17"/>
    </row>
    <row r="76" spans="1:9" ht="10.5" x14ac:dyDescent="0.25">
      <c r="A76" s="25"/>
      <c r="B76" s="25"/>
      <c r="C76" s="25"/>
      <c r="D76" s="31"/>
      <c r="E76" s="32"/>
      <c r="F76" s="33"/>
      <c r="G76" s="17"/>
      <c r="H76" s="17"/>
      <c r="I76" s="17"/>
    </row>
    <row r="77" spans="1:9" ht="10.5" x14ac:dyDescent="0.25">
      <c r="A77" s="34" t="s">
        <v>206</v>
      </c>
      <c r="B77" s="34"/>
      <c r="C77" s="34"/>
      <c r="D77" s="35"/>
      <c r="E77" s="36">
        <v>524379.54005529999</v>
      </c>
      <c r="F77" s="37">
        <v>100</v>
      </c>
      <c r="G77" s="17"/>
      <c r="H77" s="17"/>
      <c r="I77" s="17"/>
    </row>
    <row r="80" spans="1:9" ht="10.5" x14ac:dyDescent="0.25">
      <c r="A80" s="17" t="s">
        <v>210</v>
      </c>
    </row>
    <row r="81" spans="1:4" ht="10.5" x14ac:dyDescent="0.25">
      <c r="A81" s="17" t="s">
        <v>211</v>
      </c>
    </row>
    <row r="82" spans="1:4" ht="10.5" x14ac:dyDescent="0.25">
      <c r="A82" s="17" t="s">
        <v>212</v>
      </c>
      <c r="B82" s="17"/>
      <c r="C82" s="38" t="s">
        <v>214</v>
      </c>
      <c r="D82" s="18" t="s">
        <v>213</v>
      </c>
    </row>
    <row r="83" spans="1:4" x14ac:dyDescent="0.2">
      <c r="A83" s="10" t="s">
        <v>486</v>
      </c>
      <c r="C83" s="39">
        <v>52.113300000000002</v>
      </c>
      <c r="D83" s="39">
        <v>41.599400000000003</v>
      </c>
    </row>
    <row r="84" spans="1:4" x14ac:dyDescent="0.2">
      <c r="A84" s="10" t="s">
        <v>520</v>
      </c>
      <c r="C84" s="39">
        <v>23.584900000000001</v>
      </c>
      <c r="D84" s="39">
        <v>17.528199999999998</v>
      </c>
    </row>
    <row r="85" spans="1:4" x14ac:dyDescent="0.2">
      <c r="A85" s="10" t="s">
        <v>489</v>
      </c>
      <c r="C85" s="39">
        <v>56.331499999999998</v>
      </c>
      <c r="D85" s="39">
        <v>45.163899999999998</v>
      </c>
    </row>
    <row r="86" spans="1:4" x14ac:dyDescent="0.2">
      <c r="A86" s="10" t="s">
        <v>521</v>
      </c>
      <c r="C86" s="39">
        <v>26.0808</v>
      </c>
      <c r="D86" s="39">
        <v>19.6066</v>
      </c>
    </row>
    <row r="88" spans="1:4" ht="10.5" x14ac:dyDescent="0.25">
      <c r="A88" s="17" t="s">
        <v>226</v>
      </c>
    </row>
    <row r="89" spans="1:4" ht="10.5" x14ac:dyDescent="0.25">
      <c r="A89" s="147" t="s">
        <v>401</v>
      </c>
      <c r="B89" s="148"/>
      <c r="C89" s="145" t="s">
        <v>402</v>
      </c>
      <c r="D89" s="146"/>
    </row>
    <row r="90" spans="1:4" ht="10.5" x14ac:dyDescent="0.25">
      <c r="A90" s="147"/>
      <c r="B90" s="148"/>
      <c r="C90" s="43" t="s">
        <v>403</v>
      </c>
      <c r="D90" s="44" t="s">
        <v>404</v>
      </c>
    </row>
    <row r="91" spans="1:4" x14ac:dyDescent="0.2">
      <c r="A91" s="141" t="s">
        <v>520</v>
      </c>
      <c r="B91" s="142"/>
      <c r="C91" s="45">
        <v>1.3281127049999999</v>
      </c>
      <c r="D91" s="45">
        <v>1.3281127049999999</v>
      </c>
    </row>
    <row r="92" spans="1:4" x14ac:dyDescent="0.2">
      <c r="A92" s="141" t="s">
        <v>521</v>
      </c>
      <c r="B92" s="142"/>
      <c r="C92" s="45">
        <v>1.3281127049999999</v>
      </c>
      <c r="D92" s="45">
        <v>1.3281127049999999</v>
      </c>
    </row>
    <row r="94" spans="1:4" ht="10.5" x14ac:dyDescent="0.25">
      <c r="A94" s="17" t="s">
        <v>1065</v>
      </c>
      <c r="D94" s="46">
        <v>0.1234</v>
      </c>
    </row>
  </sheetData>
  <mergeCells count="6">
    <mergeCell ref="A92:B92"/>
    <mergeCell ref="A1:F1"/>
    <mergeCell ref="C89:D89"/>
    <mergeCell ref="A89:B89"/>
    <mergeCell ref="A90:B90"/>
    <mergeCell ref="A91:B91"/>
  </mergeCells>
  <conditionalFormatting sqref="F2:F3 F5:F65536">
    <cfRule type="cellIs" dxfId="1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90"/>
  <sheetViews>
    <sheetView workbookViewId="0">
      <selection sqref="A1:F1"/>
    </sheetView>
  </sheetViews>
  <sheetFormatPr defaultColWidth="9.1796875" defaultRowHeight="10" x14ac:dyDescent="0.2"/>
  <cols>
    <col min="1" max="1" width="38.7265625" style="10" bestFit="1" customWidth="1"/>
    <col min="2" max="2" width="41.453125" style="10" bestFit="1" customWidth="1"/>
    <col min="3" max="3" width="35.7265625" style="10" bestFit="1" customWidth="1"/>
    <col min="4" max="4" width="14.7265625" style="11" bestFit="1" customWidth="1"/>
    <col min="5" max="5" width="23" style="15" bestFit="1" customWidth="1"/>
    <col min="6" max="6" width="14.7265625" style="16" bestFit="1" customWidth="1"/>
    <col min="7" max="7" width="4.54296875" style="10" bestFit="1" customWidth="1"/>
    <col min="8" max="16384" width="9.1796875" style="10"/>
  </cols>
  <sheetData>
    <row r="1" spans="1:6" s="1" customFormat="1" ht="14" x14ac:dyDescent="0.25">
      <c r="A1" s="143" t="s">
        <v>50</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1302</v>
      </c>
      <c r="B7" s="26" t="s">
        <v>1301</v>
      </c>
      <c r="C7" s="26" t="s">
        <v>953</v>
      </c>
      <c r="D7" s="30">
        <v>3169401</v>
      </c>
      <c r="E7" s="28">
        <v>21930.67022</v>
      </c>
      <c r="F7" s="29">
        <v>3.53690090307453</v>
      </c>
    </row>
    <row r="8" spans="1:6" x14ac:dyDescent="0.2">
      <c r="A8" s="26" t="s">
        <v>934</v>
      </c>
      <c r="B8" s="26" t="s">
        <v>933</v>
      </c>
      <c r="C8" s="26" t="s">
        <v>935</v>
      </c>
      <c r="D8" s="30">
        <v>1988423</v>
      </c>
      <c r="E8" s="28">
        <v>20536.43274</v>
      </c>
      <c r="F8" s="29">
        <v>3.31204321506757</v>
      </c>
    </row>
    <row r="9" spans="1:6" x14ac:dyDescent="0.2">
      <c r="A9" s="26" t="s">
        <v>1304</v>
      </c>
      <c r="B9" s="26" t="s">
        <v>1303</v>
      </c>
      <c r="C9" s="26" t="s">
        <v>950</v>
      </c>
      <c r="D9" s="30">
        <v>281404</v>
      </c>
      <c r="E9" s="28">
        <v>19584.733489999999</v>
      </c>
      <c r="F9" s="29">
        <v>3.15855652710896</v>
      </c>
    </row>
    <row r="10" spans="1:6" x14ac:dyDescent="0.2">
      <c r="A10" s="26" t="s">
        <v>1306</v>
      </c>
      <c r="B10" s="26" t="s">
        <v>1305</v>
      </c>
      <c r="C10" s="26" t="s">
        <v>968</v>
      </c>
      <c r="D10" s="30">
        <v>7941052</v>
      </c>
      <c r="E10" s="28">
        <v>19384.107929999998</v>
      </c>
      <c r="F10" s="29">
        <v>3.1262003465989499</v>
      </c>
    </row>
    <row r="11" spans="1:6" x14ac:dyDescent="0.2">
      <c r="A11" s="26" t="s">
        <v>999</v>
      </c>
      <c r="B11" s="26" t="s">
        <v>998</v>
      </c>
      <c r="C11" s="26" t="s">
        <v>965</v>
      </c>
      <c r="D11" s="30">
        <v>4435936</v>
      </c>
      <c r="E11" s="28">
        <v>19232.000530000001</v>
      </c>
      <c r="F11" s="29">
        <v>3.1016690032780501</v>
      </c>
    </row>
    <row r="12" spans="1:6" x14ac:dyDescent="0.2">
      <c r="A12" s="26" t="s">
        <v>967</v>
      </c>
      <c r="B12" s="26" t="s">
        <v>966</v>
      </c>
      <c r="C12" s="26" t="s">
        <v>968</v>
      </c>
      <c r="D12" s="30">
        <v>3121691</v>
      </c>
      <c r="E12" s="28">
        <v>18680.198939999998</v>
      </c>
      <c r="F12" s="29">
        <v>3.0126763950991502</v>
      </c>
    </row>
    <row r="13" spans="1:6" x14ac:dyDescent="0.2">
      <c r="A13" s="26" t="s">
        <v>945</v>
      </c>
      <c r="B13" s="26" t="s">
        <v>944</v>
      </c>
      <c r="C13" s="26" t="s">
        <v>935</v>
      </c>
      <c r="D13" s="30">
        <v>1350892</v>
      </c>
      <c r="E13" s="28">
        <v>18449.807489999999</v>
      </c>
      <c r="F13" s="29">
        <v>2.97551967716071</v>
      </c>
    </row>
    <row r="14" spans="1:6" x14ac:dyDescent="0.2">
      <c r="A14" s="26" t="s">
        <v>947</v>
      </c>
      <c r="B14" s="26" t="s">
        <v>946</v>
      </c>
      <c r="C14" s="26" t="s">
        <v>935</v>
      </c>
      <c r="D14" s="30">
        <v>5159409</v>
      </c>
      <c r="E14" s="28">
        <v>17892.830409999999</v>
      </c>
      <c r="F14" s="29">
        <v>2.8856923842653299</v>
      </c>
    </row>
    <row r="15" spans="1:6" x14ac:dyDescent="0.2">
      <c r="A15" s="26" t="s">
        <v>988</v>
      </c>
      <c r="B15" s="26" t="s">
        <v>987</v>
      </c>
      <c r="C15" s="26" t="s">
        <v>973</v>
      </c>
      <c r="D15" s="30">
        <v>4050170</v>
      </c>
      <c r="E15" s="28">
        <v>16759.603459999998</v>
      </c>
      <c r="F15" s="29">
        <v>2.7029295510898899</v>
      </c>
    </row>
    <row r="16" spans="1:6" x14ac:dyDescent="0.2">
      <c r="A16" s="26" t="s">
        <v>1308</v>
      </c>
      <c r="B16" s="26" t="s">
        <v>1307</v>
      </c>
      <c r="C16" s="26" t="s">
        <v>1006</v>
      </c>
      <c r="D16" s="30">
        <v>2881049</v>
      </c>
      <c r="E16" s="28">
        <v>16079.134470000001</v>
      </c>
      <c r="F16" s="29">
        <v>2.5931859198601299</v>
      </c>
    </row>
    <row r="17" spans="1:6" x14ac:dyDescent="0.2">
      <c r="A17" s="26" t="s">
        <v>1128</v>
      </c>
      <c r="B17" s="26" t="s">
        <v>1127</v>
      </c>
      <c r="C17" s="26" t="s">
        <v>953</v>
      </c>
      <c r="D17" s="30">
        <v>1053268</v>
      </c>
      <c r="E17" s="28">
        <v>15799.546630000001</v>
      </c>
      <c r="F17" s="29">
        <v>2.5480949821977301</v>
      </c>
    </row>
    <row r="18" spans="1:6" x14ac:dyDescent="0.2">
      <c r="A18" s="26" t="s">
        <v>1093</v>
      </c>
      <c r="B18" s="26" t="s">
        <v>1092</v>
      </c>
      <c r="C18" s="26" t="s">
        <v>965</v>
      </c>
      <c r="D18" s="30">
        <v>3596137</v>
      </c>
      <c r="E18" s="28">
        <v>15393.264429999999</v>
      </c>
      <c r="F18" s="29">
        <v>2.4825712263951099</v>
      </c>
    </row>
    <row r="19" spans="1:6" x14ac:dyDescent="0.2">
      <c r="A19" s="26" t="s">
        <v>1168</v>
      </c>
      <c r="B19" s="26" t="s">
        <v>1167</v>
      </c>
      <c r="C19" s="26" t="s">
        <v>941</v>
      </c>
      <c r="D19" s="30">
        <v>478016</v>
      </c>
      <c r="E19" s="28">
        <v>15269.982110000001</v>
      </c>
      <c r="F19" s="29">
        <v>2.4626886899943998</v>
      </c>
    </row>
    <row r="20" spans="1:6" x14ac:dyDescent="0.2">
      <c r="A20" s="26" t="s">
        <v>949</v>
      </c>
      <c r="B20" s="26" t="s">
        <v>948</v>
      </c>
      <c r="C20" s="26" t="s">
        <v>950</v>
      </c>
      <c r="D20" s="30">
        <v>1136879</v>
      </c>
      <c r="E20" s="28">
        <v>15030.108819999999</v>
      </c>
      <c r="F20" s="29">
        <v>2.4240027744471999</v>
      </c>
    </row>
    <row r="21" spans="1:6" x14ac:dyDescent="0.2">
      <c r="A21" s="26" t="s">
        <v>1310</v>
      </c>
      <c r="B21" s="26" t="s">
        <v>1309</v>
      </c>
      <c r="C21" s="26" t="s">
        <v>1096</v>
      </c>
      <c r="D21" s="30">
        <v>1489796</v>
      </c>
      <c r="E21" s="28">
        <v>14754.93958</v>
      </c>
      <c r="F21" s="29">
        <v>2.3796244529599302</v>
      </c>
    </row>
    <row r="22" spans="1:6" x14ac:dyDescent="0.2">
      <c r="A22" s="26" t="s">
        <v>970</v>
      </c>
      <c r="B22" s="26" t="s">
        <v>969</v>
      </c>
      <c r="C22" s="26" t="s">
        <v>956</v>
      </c>
      <c r="D22" s="30">
        <v>7072160</v>
      </c>
      <c r="E22" s="28">
        <v>14480.247600000001</v>
      </c>
      <c r="F22" s="29">
        <v>2.3353231022769401</v>
      </c>
    </row>
    <row r="23" spans="1:6" x14ac:dyDescent="0.2">
      <c r="A23" s="26" t="s">
        <v>1003</v>
      </c>
      <c r="B23" s="26" t="s">
        <v>1002</v>
      </c>
      <c r="C23" s="26" t="s">
        <v>962</v>
      </c>
      <c r="D23" s="30">
        <v>3403816</v>
      </c>
      <c r="E23" s="28">
        <v>13189.787</v>
      </c>
      <c r="F23" s="29">
        <v>2.1272021823171099</v>
      </c>
    </row>
    <row r="24" spans="1:6" x14ac:dyDescent="0.2">
      <c r="A24" s="26" t="s">
        <v>1312</v>
      </c>
      <c r="B24" s="26" t="s">
        <v>1311</v>
      </c>
      <c r="C24" s="26" t="s">
        <v>1313</v>
      </c>
      <c r="D24" s="30">
        <v>1586228</v>
      </c>
      <c r="E24" s="28">
        <v>12374.164629999999</v>
      </c>
      <c r="F24" s="29">
        <v>1.9956614921292599</v>
      </c>
    </row>
    <row r="25" spans="1:6" x14ac:dyDescent="0.2">
      <c r="A25" s="26" t="s">
        <v>1266</v>
      </c>
      <c r="B25" s="26" t="s">
        <v>1265</v>
      </c>
      <c r="C25" s="26" t="s">
        <v>935</v>
      </c>
      <c r="D25" s="30">
        <v>10138196</v>
      </c>
      <c r="E25" s="28">
        <v>12287.493549999999</v>
      </c>
      <c r="F25" s="29">
        <v>1.98168348698636</v>
      </c>
    </row>
    <row r="26" spans="1:6" x14ac:dyDescent="0.2">
      <c r="A26" s="26" t="s">
        <v>1315</v>
      </c>
      <c r="B26" s="26" t="s">
        <v>1314</v>
      </c>
      <c r="C26" s="26" t="s">
        <v>997</v>
      </c>
      <c r="D26" s="30">
        <v>783689</v>
      </c>
      <c r="E26" s="28">
        <v>11520.228300000001</v>
      </c>
      <c r="F26" s="29">
        <v>1.8579416620261799</v>
      </c>
    </row>
    <row r="27" spans="1:6" x14ac:dyDescent="0.2">
      <c r="A27" s="26" t="s">
        <v>1317</v>
      </c>
      <c r="B27" s="26" t="s">
        <v>1316</v>
      </c>
      <c r="C27" s="26" t="s">
        <v>1239</v>
      </c>
      <c r="D27" s="30">
        <v>687865</v>
      </c>
      <c r="E27" s="28">
        <v>11518.987289999999</v>
      </c>
      <c r="F27" s="29">
        <v>1.8577415163240301</v>
      </c>
    </row>
    <row r="28" spans="1:6" x14ac:dyDescent="0.2">
      <c r="A28" s="26" t="s">
        <v>1087</v>
      </c>
      <c r="B28" s="26" t="s">
        <v>1086</v>
      </c>
      <c r="C28" s="26" t="s">
        <v>1088</v>
      </c>
      <c r="D28" s="30">
        <v>11887252</v>
      </c>
      <c r="E28" s="28">
        <v>11393.931039999999</v>
      </c>
      <c r="F28" s="29">
        <v>1.83757288676903</v>
      </c>
    </row>
    <row r="29" spans="1:6" x14ac:dyDescent="0.2">
      <c r="A29" s="26" t="s">
        <v>955</v>
      </c>
      <c r="B29" s="26" t="s">
        <v>954</v>
      </c>
      <c r="C29" s="26" t="s">
        <v>956</v>
      </c>
      <c r="D29" s="30">
        <v>4535064</v>
      </c>
      <c r="E29" s="28">
        <v>11240.15612</v>
      </c>
      <c r="F29" s="29">
        <v>1.8127726117221601</v>
      </c>
    </row>
    <row r="30" spans="1:6" x14ac:dyDescent="0.2">
      <c r="A30" s="26" t="s">
        <v>1103</v>
      </c>
      <c r="B30" s="26" t="s">
        <v>1102</v>
      </c>
      <c r="C30" s="26" t="s">
        <v>997</v>
      </c>
      <c r="D30" s="30">
        <v>4145052</v>
      </c>
      <c r="E30" s="28">
        <v>11181.277770000001</v>
      </c>
      <c r="F30" s="29">
        <v>1.8032769197438701</v>
      </c>
    </row>
    <row r="31" spans="1:6" x14ac:dyDescent="0.2">
      <c r="A31" s="26" t="s">
        <v>1319</v>
      </c>
      <c r="B31" s="26" t="s">
        <v>1318</v>
      </c>
      <c r="C31" s="26" t="s">
        <v>982</v>
      </c>
      <c r="D31" s="30">
        <v>3337473</v>
      </c>
      <c r="E31" s="28">
        <v>10861.80588</v>
      </c>
      <c r="F31" s="29">
        <v>1.7517536236059601</v>
      </c>
    </row>
    <row r="32" spans="1:6" x14ac:dyDescent="0.2">
      <c r="A32" s="26" t="s">
        <v>1321</v>
      </c>
      <c r="B32" s="26" t="s">
        <v>1320</v>
      </c>
      <c r="C32" s="26" t="s">
        <v>1248</v>
      </c>
      <c r="D32" s="30">
        <v>608155</v>
      </c>
      <c r="E32" s="28">
        <v>10706.87285</v>
      </c>
      <c r="F32" s="29">
        <v>1.72676657267564</v>
      </c>
    </row>
    <row r="33" spans="1:6" x14ac:dyDescent="0.2">
      <c r="A33" s="26" t="s">
        <v>1035</v>
      </c>
      <c r="B33" s="26" t="s">
        <v>1034</v>
      </c>
      <c r="C33" s="26" t="s">
        <v>1029</v>
      </c>
      <c r="D33" s="30">
        <v>3121672</v>
      </c>
      <c r="E33" s="28">
        <v>10351.46435</v>
      </c>
      <c r="F33" s="29">
        <v>1.6694475472195101</v>
      </c>
    </row>
    <row r="34" spans="1:6" x14ac:dyDescent="0.2">
      <c r="A34" s="26" t="s">
        <v>1323</v>
      </c>
      <c r="B34" s="26" t="s">
        <v>1322</v>
      </c>
      <c r="C34" s="26" t="s">
        <v>965</v>
      </c>
      <c r="D34" s="30">
        <v>467916</v>
      </c>
      <c r="E34" s="28">
        <v>10340.47568</v>
      </c>
      <c r="F34" s="29">
        <v>1.6676753333994701</v>
      </c>
    </row>
    <row r="35" spans="1:6" x14ac:dyDescent="0.2">
      <c r="A35" s="26" t="s">
        <v>1325</v>
      </c>
      <c r="B35" s="26" t="s">
        <v>1324</v>
      </c>
      <c r="C35" s="26" t="s">
        <v>953</v>
      </c>
      <c r="D35" s="30">
        <v>722877</v>
      </c>
      <c r="E35" s="28">
        <v>10304.2502</v>
      </c>
      <c r="F35" s="29">
        <v>1.66183301614965</v>
      </c>
    </row>
    <row r="36" spans="1:6" x14ac:dyDescent="0.2">
      <c r="A36" s="26" t="s">
        <v>1174</v>
      </c>
      <c r="B36" s="26" t="s">
        <v>1173</v>
      </c>
      <c r="C36" s="26" t="s">
        <v>941</v>
      </c>
      <c r="D36" s="30">
        <v>2654829</v>
      </c>
      <c r="E36" s="28">
        <v>10129.500050000001</v>
      </c>
      <c r="F36" s="29">
        <v>1.63364993021807</v>
      </c>
    </row>
    <row r="37" spans="1:6" x14ac:dyDescent="0.2">
      <c r="A37" s="26" t="s">
        <v>1327</v>
      </c>
      <c r="B37" s="26" t="s">
        <v>1326</v>
      </c>
      <c r="C37" s="26" t="s">
        <v>1029</v>
      </c>
      <c r="D37" s="30">
        <v>784058</v>
      </c>
      <c r="E37" s="28">
        <v>10018.301100000001</v>
      </c>
      <c r="F37" s="29">
        <v>1.61571615698039</v>
      </c>
    </row>
    <row r="38" spans="1:6" x14ac:dyDescent="0.2">
      <c r="A38" s="26" t="s">
        <v>1052</v>
      </c>
      <c r="B38" s="26" t="s">
        <v>1051</v>
      </c>
      <c r="C38" s="26" t="s">
        <v>1053</v>
      </c>
      <c r="D38" s="30">
        <v>12940848</v>
      </c>
      <c r="E38" s="28">
        <v>9880.3374480000002</v>
      </c>
      <c r="F38" s="29">
        <v>1.5934658672968001</v>
      </c>
    </row>
    <row r="39" spans="1:6" x14ac:dyDescent="0.2">
      <c r="A39" s="26" t="s">
        <v>1270</v>
      </c>
      <c r="B39" s="26" t="s">
        <v>1269</v>
      </c>
      <c r="C39" s="26" t="s">
        <v>997</v>
      </c>
      <c r="D39" s="30">
        <v>264692</v>
      </c>
      <c r="E39" s="28">
        <v>9548.4992079999993</v>
      </c>
      <c r="F39" s="29">
        <v>1.5399481699826401</v>
      </c>
    </row>
    <row r="40" spans="1:6" x14ac:dyDescent="0.2">
      <c r="A40" s="26" t="s">
        <v>1101</v>
      </c>
      <c r="B40" s="26" t="s">
        <v>1100</v>
      </c>
      <c r="C40" s="26" t="s">
        <v>965</v>
      </c>
      <c r="D40" s="30">
        <v>3895000</v>
      </c>
      <c r="E40" s="28">
        <v>9342.1574999999993</v>
      </c>
      <c r="F40" s="29">
        <v>1.5066701093467301</v>
      </c>
    </row>
    <row r="41" spans="1:6" x14ac:dyDescent="0.2">
      <c r="A41" s="26" t="s">
        <v>1329</v>
      </c>
      <c r="B41" s="26" t="s">
        <v>1328</v>
      </c>
      <c r="C41" s="26" t="s">
        <v>1208</v>
      </c>
      <c r="D41" s="30">
        <v>2606125</v>
      </c>
      <c r="E41" s="28">
        <v>9118.8313749999998</v>
      </c>
      <c r="F41" s="29">
        <v>1.47065286202739</v>
      </c>
    </row>
    <row r="42" spans="1:6" x14ac:dyDescent="0.2">
      <c r="A42" s="26" t="s">
        <v>1118</v>
      </c>
      <c r="B42" s="26" t="s">
        <v>1117</v>
      </c>
      <c r="C42" s="26" t="s">
        <v>962</v>
      </c>
      <c r="D42" s="30">
        <v>18734302</v>
      </c>
      <c r="E42" s="28">
        <v>9114.2379230000006</v>
      </c>
      <c r="F42" s="29">
        <v>1.4699120463403199</v>
      </c>
    </row>
    <row r="43" spans="1:6" x14ac:dyDescent="0.2">
      <c r="A43" s="26" t="s">
        <v>1331</v>
      </c>
      <c r="B43" s="26" t="s">
        <v>1330</v>
      </c>
      <c r="C43" s="26" t="s">
        <v>997</v>
      </c>
      <c r="D43" s="30">
        <v>2371940</v>
      </c>
      <c r="E43" s="28">
        <v>9059.6248300000007</v>
      </c>
      <c r="F43" s="29">
        <v>1.46110423992065</v>
      </c>
    </row>
    <row r="44" spans="1:6" x14ac:dyDescent="0.2">
      <c r="A44" s="26" t="s">
        <v>1095</v>
      </c>
      <c r="B44" s="26" t="s">
        <v>1094</v>
      </c>
      <c r="C44" s="26" t="s">
        <v>1096</v>
      </c>
      <c r="D44" s="30">
        <v>2956964</v>
      </c>
      <c r="E44" s="28">
        <v>9039.4389480000009</v>
      </c>
      <c r="F44" s="29">
        <v>1.4578487322886899</v>
      </c>
    </row>
    <row r="45" spans="1:6" x14ac:dyDescent="0.2">
      <c r="A45" s="26" t="s">
        <v>1140</v>
      </c>
      <c r="B45" s="26" t="s">
        <v>1139</v>
      </c>
      <c r="C45" s="26" t="s">
        <v>982</v>
      </c>
      <c r="D45" s="30">
        <v>1629004</v>
      </c>
      <c r="E45" s="28">
        <v>8952.1914820000002</v>
      </c>
      <c r="F45" s="29">
        <v>1.44377776965094</v>
      </c>
    </row>
    <row r="46" spans="1:6" x14ac:dyDescent="0.2">
      <c r="A46" s="26" t="s">
        <v>1333</v>
      </c>
      <c r="B46" s="26" t="s">
        <v>1332</v>
      </c>
      <c r="C46" s="26" t="s">
        <v>997</v>
      </c>
      <c r="D46" s="30">
        <v>540261</v>
      </c>
      <c r="E46" s="28">
        <v>8936.7273320000004</v>
      </c>
      <c r="F46" s="29">
        <v>1.4412837662506099</v>
      </c>
    </row>
    <row r="47" spans="1:6" x14ac:dyDescent="0.2">
      <c r="A47" s="26" t="s">
        <v>1335</v>
      </c>
      <c r="B47" s="26" t="s">
        <v>1334</v>
      </c>
      <c r="C47" s="26" t="s">
        <v>950</v>
      </c>
      <c r="D47" s="30">
        <v>1950821</v>
      </c>
      <c r="E47" s="28">
        <v>8114.43995</v>
      </c>
      <c r="F47" s="29">
        <v>1.308668166508</v>
      </c>
    </row>
    <row r="48" spans="1:6" x14ac:dyDescent="0.2">
      <c r="A48" s="26" t="s">
        <v>1337</v>
      </c>
      <c r="B48" s="26" t="s">
        <v>1336</v>
      </c>
      <c r="C48" s="26" t="s">
        <v>935</v>
      </c>
      <c r="D48" s="30">
        <v>4734341</v>
      </c>
      <c r="E48" s="28">
        <v>8027.0751659999996</v>
      </c>
      <c r="F48" s="29">
        <v>1.2945782832382799</v>
      </c>
    </row>
    <row r="49" spans="1:9" x14ac:dyDescent="0.2">
      <c r="A49" s="26" t="s">
        <v>1107</v>
      </c>
      <c r="B49" s="26" t="s">
        <v>1106</v>
      </c>
      <c r="C49" s="26" t="s">
        <v>950</v>
      </c>
      <c r="D49" s="30">
        <v>6794904</v>
      </c>
      <c r="E49" s="28">
        <v>7355.4835800000001</v>
      </c>
      <c r="F49" s="29">
        <v>1.18626636831767</v>
      </c>
    </row>
    <row r="50" spans="1:9" x14ac:dyDescent="0.2">
      <c r="A50" s="26" t="s">
        <v>1232</v>
      </c>
      <c r="B50" s="26" t="s">
        <v>1231</v>
      </c>
      <c r="C50" s="26" t="s">
        <v>1208</v>
      </c>
      <c r="D50" s="30">
        <v>1743720</v>
      </c>
      <c r="E50" s="28">
        <v>7069.0408799999996</v>
      </c>
      <c r="F50" s="29">
        <v>1.14006990308675</v>
      </c>
    </row>
    <row r="51" spans="1:9" x14ac:dyDescent="0.2">
      <c r="A51" s="26" t="s">
        <v>1064</v>
      </c>
      <c r="B51" s="26" t="s">
        <v>1063</v>
      </c>
      <c r="C51" s="26" t="s">
        <v>935</v>
      </c>
      <c r="D51" s="30">
        <v>12961375</v>
      </c>
      <c r="E51" s="28">
        <v>6986.1811250000001</v>
      </c>
      <c r="F51" s="29">
        <v>1.1267065749555001</v>
      </c>
    </row>
    <row r="52" spans="1:9" x14ac:dyDescent="0.2">
      <c r="A52" s="26" t="s">
        <v>1339</v>
      </c>
      <c r="B52" s="26" t="s">
        <v>1338</v>
      </c>
      <c r="C52" s="26" t="s">
        <v>1208</v>
      </c>
      <c r="D52" s="30">
        <v>1021062</v>
      </c>
      <c r="E52" s="28">
        <v>6299.9525400000002</v>
      </c>
      <c r="F52" s="29">
        <v>1.0160340566213999</v>
      </c>
    </row>
    <row r="53" spans="1:9" x14ac:dyDescent="0.2">
      <c r="A53" s="26" t="s">
        <v>1111</v>
      </c>
      <c r="B53" s="26" t="s">
        <v>1110</v>
      </c>
      <c r="C53" s="26" t="s">
        <v>1029</v>
      </c>
      <c r="D53" s="30">
        <v>11253507</v>
      </c>
      <c r="E53" s="28">
        <v>5525.4719370000003</v>
      </c>
      <c r="F53" s="29">
        <v>0.89112856505706495</v>
      </c>
    </row>
    <row r="54" spans="1:9" x14ac:dyDescent="0.2">
      <c r="A54" s="26" t="s">
        <v>1341</v>
      </c>
      <c r="B54" s="26" t="s">
        <v>1340</v>
      </c>
      <c r="C54" s="26" t="s">
        <v>1011</v>
      </c>
      <c r="D54" s="30">
        <v>469150</v>
      </c>
      <c r="E54" s="28">
        <v>5088.1663250000001</v>
      </c>
      <c r="F54" s="29">
        <v>0.82060146312691895</v>
      </c>
    </row>
    <row r="55" spans="1:9" x14ac:dyDescent="0.2">
      <c r="A55" s="26" t="s">
        <v>1001</v>
      </c>
      <c r="B55" s="26" t="s">
        <v>1000</v>
      </c>
      <c r="C55" s="26" t="s">
        <v>935</v>
      </c>
      <c r="D55" s="30">
        <v>12530441</v>
      </c>
      <c r="E55" s="28">
        <v>4329.267366</v>
      </c>
      <c r="F55" s="29">
        <v>0.69820892397954804</v>
      </c>
    </row>
    <row r="56" spans="1:9" x14ac:dyDescent="0.2">
      <c r="A56" s="26" t="s">
        <v>1005</v>
      </c>
      <c r="B56" s="26" t="s">
        <v>1004</v>
      </c>
      <c r="C56" s="26" t="s">
        <v>1006</v>
      </c>
      <c r="D56" s="30">
        <v>3318223</v>
      </c>
      <c r="E56" s="28">
        <v>4137.8240809999998</v>
      </c>
      <c r="F56" s="29">
        <v>0.66733362829494303</v>
      </c>
    </row>
    <row r="57" spans="1:9" x14ac:dyDescent="0.2">
      <c r="A57" s="26" t="s">
        <v>1172</v>
      </c>
      <c r="B57" s="26" t="s">
        <v>1171</v>
      </c>
      <c r="C57" s="26" t="s">
        <v>938</v>
      </c>
      <c r="D57" s="30">
        <v>11078397</v>
      </c>
      <c r="E57" s="28">
        <v>930.58534799999995</v>
      </c>
      <c r="F57" s="29">
        <v>0.150081512544359</v>
      </c>
    </row>
    <row r="58" spans="1:9" x14ac:dyDescent="0.2">
      <c r="A58" s="26" t="s">
        <v>1342</v>
      </c>
      <c r="B58" s="26" t="s">
        <v>1567</v>
      </c>
      <c r="C58" s="26" t="s">
        <v>1011</v>
      </c>
      <c r="D58" s="30">
        <v>34936</v>
      </c>
      <c r="E58" s="28">
        <v>378.89838800000001</v>
      </c>
      <c r="F58" s="29">
        <v>6.1107391486309302E-2</v>
      </c>
    </row>
    <row r="59" spans="1:9" x14ac:dyDescent="0.2">
      <c r="A59" s="26" t="s">
        <v>1085</v>
      </c>
      <c r="B59" s="26" t="s">
        <v>1084</v>
      </c>
      <c r="C59" s="26" t="s">
        <v>962</v>
      </c>
      <c r="D59" s="30">
        <v>907119</v>
      </c>
      <c r="E59" s="28">
        <v>340.169625</v>
      </c>
      <c r="F59" s="29">
        <v>5.4861353610789303E-2</v>
      </c>
    </row>
    <row r="60" spans="1:9" x14ac:dyDescent="0.2">
      <c r="A60" s="26" t="s">
        <v>1012</v>
      </c>
      <c r="B60" s="26" t="s">
        <v>1570</v>
      </c>
      <c r="C60" s="26" t="s">
        <v>1006</v>
      </c>
      <c r="D60" s="30">
        <v>387844</v>
      </c>
      <c r="E60" s="28">
        <v>270.327268</v>
      </c>
      <c r="F60" s="29">
        <v>4.3597425373845797E-2</v>
      </c>
    </row>
    <row r="61" spans="1:9" x14ac:dyDescent="0.2">
      <c r="A61" s="26" t="s">
        <v>1343</v>
      </c>
      <c r="B61" s="26" t="s">
        <v>1566</v>
      </c>
      <c r="C61" s="26" t="s">
        <v>1096</v>
      </c>
      <c r="D61" s="30">
        <v>50107</v>
      </c>
      <c r="E61" s="28">
        <v>100.51464199999999</v>
      </c>
      <c r="F61" s="29">
        <v>1.6210645844184E-2</v>
      </c>
    </row>
    <row r="62" spans="1:9" ht="10.5" x14ac:dyDescent="0.25">
      <c r="A62" s="25" t="s">
        <v>167</v>
      </c>
      <c r="B62" s="25"/>
      <c r="C62" s="25"/>
      <c r="D62" s="31"/>
      <c r="E62" s="32">
        <f>SUM(E7:E61)</f>
        <v>594621.7489270001</v>
      </c>
      <c r="F62" s="33">
        <f>SUM(F7:F61)</f>
        <v>95.898491914291597</v>
      </c>
      <c r="G62" s="17"/>
      <c r="H62" s="17"/>
      <c r="I62" s="17"/>
    </row>
    <row r="63" spans="1:9" x14ac:dyDescent="0.2">
      <c r="A63" s="26"/>
      <c r="B63" s="26"/>
      <c r="C63" s="26"/>
      <c r="D63" s="27"/>
      <c r="E63" s="28"/>
      <c r="F63" s="29"/>
    </row>
    <row r="64" spans="1:9" ht="10.5" x14ac:dyDescent="0.25">
      <c r="A64" s="25" t="s">
        <v>1072</v>
      </c>
      <c r="B64" s="26"/>
      <c r="C64" s="26"/>
      <c r="D64" s="27"/>
      <c r="E64" s="28"/>
      <c r="F64" s="29"/>
    </row>
    <row r="65" spans="1:9" x14ac:dyDescent="0.2">
      <c r="A65" s="26"/>
      <c r="B65" s="26" t="s">
        <v>1075</v>
      </c>
      <c r="C65" s="26" t="s">
        <v>1029</v>
      </c>
      <c r="D65" s="30">
        <v>8100</v>
      </c>
      <c r="E65" s="28">
        <v>8.0999999999999996E-4</v>
      </c>
      <c r="F65" s="29">
        <v>1.3063393424600799E-7</v>
      </c>
    </row>
    <row r="66" spans="1:9" ht="10.5" x14ac:dyDescent="0.25">
      <c r="A66" s="25" t="s">
        <v>167</v>
      </c>
      <c r="B66" s="25"/>
      <c r="C66" s="25"/>
      <c r="D66" s="31"/>
      <c r="E66" s="32">
        <f>SUM(E64:E65)</f>
        <v>8.0999999999999996E-4</v>
      </c>
      <c r="F66" s="33">
        <f>SUM(F64:F65)</f>
        <v>1.3063393424600799E-7</v>
      </c>
      <c r="G66" s="17"/>
      <c r="H66" s="17"/>
      <c r="I66" s="17"/>
    </row>
    <row r="67" spans="1:9" x14ac:dyDescent="0.2">
      <c r="A67" s="26"/>
      <c r="B67" s="26"/>
      <c r="C67" s="26"/>
      <c r="D67" s="27"/>
      <c r="E67" s="28"/>
      <c r="F67" s="29"/>
    </row>
    <row r="68" spans="1:9" ht="10.5" x14ac:dyDescent="0.25">
      <c r="A68" s="25" t="s">
        <v>205</v>
      </c>
      <c r="B68" s="25"/>
      <c r="C68" s="25"/>
      <c r="D68" s="31"/>
      <c r="E68" s="32">
        <f>E62+E66</f>
        <v>594621.74973700009</v>
      </c>
      <c r="F68" s="33">
        <f>F62+F66</f>
        <v>95.898492044925533</v>
      </c>
      <c r="G68" s="17"/>
      <c r="H68" s="17"/>
      <c r="I68" s="17"/>
    </row>
    <row r="69" spans="1:9" ht="10.5" x14ac:dyDescent="0.25">
      <c r="A69" s="25"/>
      <c r="B69" s="25"/>
      <c r="C69" s="25"/>
      <c r="D69" s="31"/>
      <c r="E69" s="32"/>
      <c r="F69" s="33"/>
      <c r="G69" s="17"/>
      <c r="H69" s="17"/>
      <c r="I69" s="17"/>
    </row>
    <row r="70" spans="1:9" ht="10.5" x14ac:dyDescent="0.25">
      <c r="A70" s="25" t="s">
        <v>207</v>
      </c>
      <c r="B70" s="25"/>
      <c r="C70" s="25"/>
      <c r="D70" s="31"/>
      <c r="E70" s="32">
        <f>E72-(E62+E66)</f>
        <v>25431.534790599952</v>
      </c>
      <c r="F70" s="33">
        <f>F72-(F62+F66)</f>
        <v>4.1015079550744673</v>
      </c>
      <c r="G70" s="17"/>
      <c r="H70" s="17"/>
      <c r="I70" s="17"/>
    </row>
    <row r="71" spans="1:9" ht="10.5" x14ac:dyDescent="0.25">
      <c r="A71" s="25"/>
      <c r="B71" s="25"/>
      <c r="C71" s="25"/>
      <c r="D71" s="31"/>
      <c r="E71" s="32"/>
      <c r="F71" s="33"/>
      <c r="G71" s="17"/>
      <c r="H71" s="17"/>
      <c r="I71" s="17"/>
    </row>
    <row r="72" spans="1:9" ht="10.5" x14ac:dyDescent="0.25">
      <c r="A72" s="34" t="s">
        <v>206</v>
      </c>
      <c r="B72" s="34"/>
      <c r="C72" s="34"/>
      <c r="D72" s="35"/>
      <c r="E72" s="36">
        <v>620053.28452760004</v>
      </c>
      <c r="F72" s="37">
        <v>100</v>
      </c>
      <c r="G72" s="17"/>
      <c r="H72" s="17"/>
      <c r="I72" s="17"/>
    </row>
    <row r="73" spans="1:9" ht="10.5" x14ac:dyDescent="0.25">
      <c r="A73" s="84" t="s">
        <v>1551</v>
      </c>
      <c r="F73" s="19" t="s">
        <v>394</v>
      </c>
    </row>
    <row r="74" spans="1:9" ht="10.5" x14ac:dyDescent="0.25">
      <c r="A74" s="84" t="s">
        <v>1548</v>
      </c>
    </row>
    <row r="75" spans="1:9" s="78" customFormat="1" ht="10.5" x14ac:dyDescent="0.25">
      <c r="A75" s="84"/>
      <c r="D75" s="79"/>
      <c r="E75" s="82"/>
      <c r="F75" s="83"/>
    </row>
    <row r="76" spans="1:9" ht="10.5" x14ac:dyDescent="0.25">
      <c r="A76" s="17" t="s">
        <v>210</v>
      </c>
    </row>
    <row r="77" spans="1:9" ht="10.5" x14ac:dyDescent="0.25">
      <c r="A77" s="17" t="s">
        <v>211</v>
      </c>
    </row>
    <row r="78" spans="1:9" ht="10.5" x14ac:dyDescent="0.25">
      <c r="A78" s="17" t="s">
        <v>212</v>
      </c>
      <c r="B78" s="17"/>
      <c r="C78" s="38" t="s">
        <v>214</v>
      </c>
      <c r="D78" s="18" t="s">
        <v>213</v>
      </c>
    </row>
    <row r="79" spans="1:9" x14ac:dyDescent="0.2">
      <c r="A79" s="10" t="s">
        <v>486</v>
      </c>
      <c r="C79" s="39">
        <v>989.78380000000004</v>
      </c>
      <c r="D79" s="39">
        <v>848.79859999999996</v>
      </c>
    </row>
    <row r="80" spans="1:9" x14ac:dyDescent="0.2">
      <c r="A80" s="10" t="s">
        <v>520</v>
      </c>
      <c r="C80" s="39">
        <v>57.032200000000003</v>
      </c>
      <c r="D80" s="39">
        <v>44.556800000000003</v>
      </c>
    </row>
    <row r="81" spans="1:4" x14ac:dyDescent="0.2">
      <c r="A81" s="10" t="s">
        <v>489</v>
      </c>
      <c r="C81" s="39">
        <v>1064.0137999999999</v>
      </c>
      <c r="D81" s="39">
        <v>916.25019999999995</v>
      </c>
    </row>
    <row r="82" spans="1:4" x14ac:dyDescent="0.2">
      <c r="A82" s="10" t="s">
        <v>521</v>
      </c>
      <c r="C82" s="39">
        <v>63.079799999999999</v>
      </c>
      <c r="D82" s="39">
        <v>49.963900000000002</v>
      </c>
    </row>
    <row r="84" spans="1:4" ht="10.5" x14ac:dyDescent="0.25">
      <c r="A84" s="17" t="s">
        <v>226</v>
      </c>
    </row>
    <row r="85" spans="1:4" ht="10.5" x14ac:dyDescent="0.25">
      <c r="A85" s="147" t="s">
        <v>401</v>
      </c>
      <c r="B85" s="148"/>
      <c r="C85" s="145" t="s">
        <v>402</v>
      </c>
      <c r="D85" s="146"/>
    </row>
    <row r="86" spans="1:4" ht="10.5" x14ac:dyDescent="0.25">
      <c r="A86" s="147"/>
      <c r="B86" s="148"/>
      <c r="C86" s="43" t="s">
        <v>403</v>
      </c>
      <c r="D86" s="44" t="s">
        <v>404</v>
      </c>
    </row>
    <row r="87" spans="1:4" x14ac:dyDescent="0.2">
      <c r="A87" s="141" t="s">
        <v>520</v>
      </c>
      <c r="B87" s="142"/>
      <c r="C87" s="45">
        <v>3.9312499999999999</v>
      </c>
      <c r="D87" s="45">
        <v>3.9312499999999999</v>
      </c>
    </row>
    <row r="88" spans="1:4" x14ac:dyDescent="0.2">
      <c r="A88" s="141" t="s">
        <v>521</v>
      </c>
      <c r="B88" s="142"/>
      <c r="C88" s="45">
        <v>3.9312499999999999</v>
      </c>
      <c r="D88" s="45">
        <v>3.9312499999999999</v>
      </c>
    </row>
    <row r="90" spans="1:4" ht="10.5" x14ac:dyDescent="0.25">
      <c r="A90" s="17" t="s">
        <v>1065</v>
      </c>
      <c r="D90" s="46">
        <v>0.1515</v>
      </c>
    </row>
  </sheetData>
  <mergeCells count="6">
    <mergeCell ref="A88:B88"/>
    <mergeCell ref="A1:F1"/>
    <mergeCell ref="C85:D85"/>
    <mergeCell ref="A85:B85"/>
    <mergeCell ref="A86:B86"/>
    <mergeCell ref="A87:B87"/>
  </mergeCells>
  <conditionalFormatting sqref="F2:F3 F5:F65536">
    <cfRule type="cellIs" dxfId="1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67"/>
  <sheetViews>
    <sheetView workbookViewId="0">
      <selection sqref="A1:F1"/>
    </sheetView>
  </sheetViews>
  <sheetFormatPr defaultColWidth="9.1796875" defaultRowHeight="10" x14ac:dyDescent="0.2"/>
  <cols>
    <col min="1" max="1" width="38.7265625" style="10" bestFit="1" customWidth="1"/>
    <col min="2" max="2" width="41.453125" style="10" bestFit="1" customWidth="1"/>
    <col min="3" max="3" width="18.81640625" style="10" bestFit="1" customWidth="1"/>
    <col min="4" max="4" width="14.7265625" style="11" bestFit="1" customWidth="1"/>
    <col min="5" max="5" width="23" style="15" bestFit="1" customWidth="1"/>
    <col min="6" max="6" width="14.7265625" style="16" bestFit="1" customWidth="1"/>
    <col min="7" max="7" width="4.7265625" style="10" bestFit="1" customWidth="1"/>
    <col min="8" max="16384" width="9.1796875" style="10"/>
  </cols>
  <sheetData>
    <row r="1" spans="1:6" s="1" customFormat="1" ht="14" x14ac:dyDescent="0.25">
      <c r="A1" s="143" t="s">
        <v>51</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934</v>
      </c>
      <c r="B7" s="26" t="s">
        <v>933</v>
      </c>
      <c r="C7" s="26" t="s">
        <v>935</v>
      </c>
      <c r="D7" s="30">
        <v>395485</v>
      </c>
      <c r="E7" s="28">
        <v>4084.5690800000002</v>
      </c>
      <c r="F7" s="29">
        <v>8.2889392414897607</v>
      </c>
    </row>
    <row r="8" spans="1:6" x14ac:dyDescent="0.2">
      <c r="A8" s="26" t="s">
        <v>940</v>
      </c>
      <c r="B8" s="26" t="s">
        <v>939</v>
      </c>
      <c r="C8" s="26" t="s">
        <v>941</v>
      </c>
      <c r="D8" s="30">
        <v>405492</v>
      </c>
      <c r="E8" s="28">
        <v>3917.0527200000001</v>
      </c>
      <c r="F8" s="29">
        <v>7.9489932391576099</v>
      </c>
    </row>
    <row r="9" spans="1:6" x14ac:dyDescent="0.2">
      <c r="A9" s="26" t="s">
        <v>1168</v>
      </c>
      <c r="B9" s="26" t="s">
        <v>1167</v>
      </c>
      <c r="C9" s="26" t="s">
        <v>941</v>
      </c>
      <c r="D9" s="30">
        <v>95845</v>
      </c>
      <c r="E9" s="28">
        <v>3061.7206030000002</v>
      </c>
      <c r="F9" s="29">
        <v>6.2132419737859799</v>
      </c>
    </row>
    <row r="10" spans="1:6" x14ac:dyDescent="0.2">
      <c r="A10" s="26" t="s">
        <v>945</v>
      </c>
      <c r="B10" s="26" t="s">
        <v>944</v>
      </c>
      <c r="C10" s="26" t="s">
        <v>935</v>
      </c>
      <c r="D10" s="30">
        <v>197693</v>
      </c>
      <c r="E10" s="28">
        <v>2699.9921479999998</v>
      </c>
      <c r="F10" s="29">
        <v>5.4791755088327303</v>
      </c>
    </row>
    <row r="11" spans="1:6" x14ac:dyDescent="0.2">
      <c r="A11" s="26" t="s">
        <v>952</v>
      </c>
      <c r="B11" s="26" t="s">
        <v>951</v>
      </c>
      <c r="C11" s="26" t="s">
        <v>953</v>
      </c>
      <c r="D11" s="30">
        <v>411721</v>
      </c>
      <c r="E11" s="28">
        <v>2606.3997909999998</v>
      </c>
      <c r="F11" s="29">
        <v>5.2892457156412203</v>
      </c>
    </row>
    <row r="12" spans="1:6" x14ac:dyDescent="0.2">
      <c r="A12" s="26" t="s">
        <v>943</v>
      </c>
      <c r="B12" s="26" t="s">
        <v>942</v>
      </c>
      <c r="C12" s="26" t="s">
        <v>935</v>
      </c>
      <c r="D12" s="30">
        <v>578281</v>
      </c>
      <c r="E12" s="28">
        <v>2496.1499370000001</v>
      </c>
      <c r="F12" s="29">
        <v>5.0655123613288202</v>
      </c>
    </row>
    <row r="13" spans="1:6" x14ac:dyDescent="0.2">
      <c r="A13" s="26" t="s">
        <v>1304</v>
      </c>
      <c r="B13" s="26" t="s">
        <v>1303</v>
      </c>
      <c r="C13" s="26" t="s">
        <v>950</v>
      </c>
      <c r="D13" s="30">
        <v>34090</v>
      </c>
      <c r="E13" s="28">
        <v>2372.5446849999998</v>
      </c>
      <c r="F13" s="29">
        <v>4.8146764950011498</v>
      </c>
    </row>
    <row r="14" spans="1:6" x14ac:dyDescent="0.2">
      <c r="A14" s="26" t="s">
        <v>961</v>
      </c>
      <c r="B14" s="26" t="s">
        <v>960</v>
      </c>
      <c r="C14" s="26" t="s">
        <v>962</v>
      </c>
      <c r="D14" s="30">
        <v>343240</v>
      </c>
      <c r="E14" s="28">
        <v>2081.5789799999998</v>
      </c>
      <c r="F14" s="29">
        <v>4.2242110131192199</v>
      </c>
    </row>
    <row r="15" spans="1:6" x14ac:dyDescent="0.2">
      <c r="A15" s="26" t="s">
        <v>947</v>
      </c>
      <c r="B15" s="26" t="s">
        <v>946</v>
      </c>
      <c r="C15" s="26" t="s">
        <v>935</v>
      </c>
      <c r="D15" s="30">
        <v>583651</v>
      </c>
      <c r="E15" s="28">
        <v>2024.101668</v>
      </c>
      <c r="F15" s="29">
        <v>4.1075705701248904</v>
      </c>
    </row>
    <row r="16" spans="1:6" x14ac:dyDescent="0.2">
      <c r="A16" s="26" t="s">
        <v>1128</v>
      </c>
      <c r="B16" s="26" t="s">
        <v>1127</v>
      </c>
      <c r="C16" s="26" t="s">
        <v>953</v>
      </c>
      <c r="D16" s="30">
        <v>121898</v>
      </c>
      <c r="E16" s="28">
        <v>1828.530949</v>
      </c>
      <c r="F16" s="29">
        <v>3.7106930108388898</v>
      </c>
    </row>
    <row r="17" spans="1:6" x14ac:dyDescent="0.2">
      <c r="A17" s="26" t="s">
        <v>988</v>
      </c>
      <c r="B17" s="26" t="s">
        <v>987</v>
      </c>
      <c r="C17" s="26" t="s">
        <v>973</v>
      </c>
      <c r="D17" s="30">
        <v>397644</v>
      </c>
      <c r="E17" s="28">
        <v>1645.4508719999999</v>
      </c>
      <c r="F17" s="29">
        <v>3.3391630881327501</v>
      </c>
    </row>
    <row r="18" spans="1:6" x14ac:dyDescent="0.2">
      <c r="A18" s="26" t="s">
        <v>1081</v>
      </c>
      <c r="B18" s="26" t="s">
        <v>1080</v>
      </c>
      <c r="C18" s="26" t="s">
        <v>941</v>
      </c>
      <c r="D18" s="30">
        <v>229692</v>
      </c>
      <c r="E18" s="28">
        <v>1619.7879840000001</v>
      </c>
      <c r="F18" s="29">
        <v>3.28708461541583</v>
      </c>
    </row>
    <row r="19" spans="1:6" x14ac:dyDescent="0.2">
      <c r="A19" s="26" t="s">
        <v>1225</v>
      </c>
      <c r="B19" s="26" t="s">
        <v>1224</v>
      </c>
      <c r="C19" s="26" t="s">
        <v>1006</v>
      </c>
      <c r="D19" s="30">
        <v>45384</v>
      </c>
      <c r="E19" s="28">
        <v>1283.5956719999999</v>
      </c>
      <c r="F19" s="29">
        <v>2.60483941572785</v>
      </c>
    </row>
    <row r="20" spans="1:6" x14ac:dyDescent="0.2">
      <c r="A20" s="26" t="s">
        <v>1345</v>
      </c>
      <c r="B20" s="26" t="s">
        <v>1344</v>
      </c>
      <c r="C20" s="26" t="s">
        <v>965</v>
      </c>
      <c r="D20" s="30">
        <v>73037</v>
      </c>
      <c r="E20" s="28">
        <v>1252.9497349999999</v>
      </c>
      <c r="F20" s="29">
        <v>2.5426486913659199</v>
      </c>
    </row>
    <row r="21" spans="1:6" x14ac:dyDescent="0.2">
      <c r="A21" s="26" t="s">
        <v>972</v>
      </c>
      <c r="B21" s="26" t="s">
        <v>971</v>
      </c>
      <c r="C21" s="26" t="s">
        <v>973</v>
      </c>
      <c r="D21" s="30">
        <v>551423</v>
      </c>
      <c r="E21" s="28">
        <v>1185.55945</v>
      </c>
      <c r="F21" s="29">
        <v>2.4058915532465499</v>
      </c>
    </row>
    <row r="22" spans="1:6" x14ac:dyDescent="0.2">
      <c r="A22" s="26" t="s">
        <v>1302</v>
      </c>
      <c r="B22" s="26" t="s">
        <v>1301</v>
      </c>
      <c r="C22" s="26" t="s">
        <v>953</v>
      </c>
      <c r="D22" s="30">
        <v>169316</v>
      </c>
      <c r="E22" s="28">
        <v>1171.582062</v>
      </c>
      <c r="F22" s="29">
        <v>2.3775268181624898</v>
      </c>
    </row>
    <row r="23" spans="1:6" x14ac:dyDescent="0.2">
      <c r="A23" s="26" t="s">
        <v>1250</v>
      </c>
      <c r="B23" s="26" t="s">
        <v>1249</v>
      </c>
      <c r="C23" s="26" t="s">
        <v>1029</v>
      </c>
      <c r="D23" s="30">
        <v>63518</v>
      </c>
      <c r="E23" s="28">
        <v>1071.1675519999999</v>
      </c>
      <c r="F23" s="29">
        <v>2.1737526241038201</v>
      </c>
    </row>
    <row r="24" spans="1:6" x14ac:dyDescent="0.2">
      <c r="A24" s="26" t="s">
        <v>1045</v>
      </c>
      <c r="B24" s="26" t="s">
        <v>1044</v>
      </c>
      <c r="C24" s="26" t="s">
        <v>1046</v>
      </c>
      <c r="D24" s="30">
        <v>116490</v>
      </c>
      <c r="E24" s="28">
        <v>1064.0779050000001</v>
      </c>
      <c r="F24" s="29">
        <v>2.1593653895937299</v>
      </c>
    </row>
    <row r="25" spans="1:6" x14ac:dyDescent="0.2">
      <c r="A25" s="26" t="s">
        <v>975</v>
      </c>
      <c r="B25" s="26" t="s">
        <v>974</v>
      </c>
      <c r="C25" s="26" t="s">
        <v>976</v>
      </c>
      <c r="D25" s="30">
        <v>268813</v>
      </c>
      <c r="E25" s="28">
        <v>1044.069692</v>
      </c>
      <c r="F25" s="29">
        <v>2.1187621194226298</v>
      </c>
    </row>
    <row r="26" spans="1:6" x14ac:dyDescent="0.2">
      <c r="A26" s="26" t="s">
        <v>978</v>
      </c>
      <c r="B26" s="26" t="s">
        <v>977</v>
      </c>
      <c r="C26" s="26" t="s">
        <v>979</v>
      </c>
      <c r="D26" s="30">
        <v>278178</v>
      </c>
      <c r="E26" s="28">
        <v>1018.966014</v>
      </c>
      <c r="F26" s="29">
        <v>2.0678184684267902</v>
      </c>
    </row>
    <row r="27" spans="1:6" x14ac:dyDescent="0.2">
      <c r="A27" s="26" t="s">
        <v>1023</v>
      </c>
      <c r="B27" s="26" t="s">
        <v>1022</v>
      </c>
      <c r="C27" s="26" t="s">
        <v>976</v>
      </c>
      <c r="D27" s="30">
        <v>22418</v>
      </c>
      <c r="E27" s="28">
        <v>1013.528989</v>
      </c>
      <c r="F27" s="29">
        <v>2.0567849495911901</v>
      </c>
    </row>
    <row r="28" spans="1:6" x14ac:dyDescent="0.2">
      <c r="A28" s="26" t="s">
        <v>1140</v>
      </c>
      <c r="B28" s="26" t="s">
        <v>1139</v>
      </c>
      <c r="C28" s="26" t="s">
        <v>982</v>
      </c>
      <c r="D28" s="30">
        <v>183307</v>
      </c>
      <c r="E28" s="28">
        <v>1007.363619</v>
      </c>
      <c r="F28" s="29">
        <v>2.04427337827721</v>
      </c>
    </row>
    <row r="29" spans="1:6" x14ac:dyDescent="0.2">
      <c r="A29" s="26" t="s">
        <v>1319</v>
      </c>
      <c r="B29" s="26" t="s">
        <v>1318</v>
      </c>
      <c r="C29" s="26" t="s">
        <v>982</v>
      </c>
      <c r="D29" s="30">
        <v>278529</v>
      </c>
      <c r="E29" s="28">
        <v>906.47263050000004</v>
      </c>
      <c r="F29" s="29">
        <v>1.8395322520259301</v>
      </c>
    </row>
    <row r="30" spans="1:6" x14ac:dyDescent="0.2">
      <c r="A30" s="26" t="s">
        <v>1172</v>
      </c>
      <c r="B30" s="26" t="s">
        <v>1171</v>
      </c>
      <c r="C30" s="26" t="s">
        <v>938</v>
      </c>
      <c r="D30" s="30">
        <v>9600668</v>
      </c>
      <c r="E30" s="28">
        <v>806.45611199999996</v>
      </c>
      <c r="F30" s="29">
        <v>1.6365657141232799</v>
      </c>
    </row>
    <row r="31" spans="1:6" x14ac:dyDescent="0.2">
      <c r="A31" s="26" t="s">
        <v>1050</v>
      </c>
      <c r="B31" s="26" t="s">
        <v>1049</v>
      </c>
      <c r="C31" s="26" t="s">
        <v>973</v>
      </c>
      <c r="D31" s="30">
        <v>752083</v>
      </c>
      <c r="E31" s="28">
        <v>665.21741350000002</v>
      </c>
      <c r="F31" s="29">
        <v>1.3499457629156999</v>
      </c>
    </row>
    <row r="32" spans="1:6" x14ac:dyDescent="0.2">
      <c r="A32" s="26" t="s">
        <v>1284</v>
      </c>
      <c r="B32" s="26" t="s">
        <v>1283</v>
      </c>
      <c r="C32" s="26" t="s">
        <v>1046</v>
      </c>
      <c r="D32" s="30">
        <v>1262673</v>
      </c>
      <c r="E32" s="28">
        <v>638.28120149999995</v>
      </c>
      <c r="F32" s="29">
        <v>1.29528329539688</v>
      </c>
    </row>
    <row r="33" spans="1:9" x14ac:dyDescent="0.2">
      <c r="A33" s="26" t="s">
        <v>1111</v>
      </c>
      <c r="B33" s="26" t="s">
        <v>1110</v>
      </c>
      <c r="C33" s="26" t="s">
        <v>1029</v>
      </c>
      <c r="D33" s="30">
        <v>1247117</v>
      </c>
      <c r="E33" s="28">
        <v>612.33444699999995</v>
      </c>
      <c r="F33" s="29">
        <v>1.24262876382892</v>
      </c>
    </row>
    <row r="34" spans="1:9" x14ac:dyDescent="0.2">
      <c r="A34" s="26" t="s">
        <v>1069</v>
      </c>
      <c r="B34" s="26" t="s">
        <v>1068</v>
      </c>
      <c r="C34" s="26" t="s">
        <v>941</v>
      </c>
      <c r="D34" s="30">
        <v>25813</v>
      </c>
      <c r="E34" s="28">
        <v>588.89778200000001</v>
      </c>
      <c r="F34" s="29">
        <v>1.1950680325979699</v>
      </c>
    </row>
    <row r="35" spans="1:9" x14ac:dyDescent="0.2">
      <c r="A35" s="26" t="s">
        <v>999</v>
      </c>
      <c r="B35" s="26" t="s">
        <v>998</v>
      </c>
      <c r="C35" s="26" t="s">
        <v>965</v>
      </c>
      <c r="D35" s="30">
        <v>122466</v>
      </c>
      <c r="E35" s="28">
        <v>530.95134299999995</v>
      </c>
      <c r="F35" s="29">
        <v>1.0774755760317301</v>
      </c>
    </row>
    <row r="36" spans="1:9" x14ac:dyDescent="0.2">
      <c r="A36" s="26" t="s">
        <v>1008</v>
      </c>
      <c r="B36" s="26" t="s">
        <v>1007</v>
      </c>
      <c r="C36" s="26" t="s">
        <v>962</v>
      </c>
      <c r="D36" s="30">
        <v>484457</v>
      </c>
      <c r="E36" s="28">
        <v>506.98425049999997</v>
      </c>
      <c r="F36" s="29">
        <v>1.02883843227514</v>
      </c>
    </row>
    <row r="37" spans="1:9" x14ac:dyDescent="0.2">
      <c r="A37" s="26" t="s">
        <v>1005</v>
      </c>
      <c r="B37" s="26" t="s">
        <v>1004</v>
      </c>
      <c r="C37" s="26" t="s">
        <v>1006</v>
      </c>
      <c r="D37" s="30">
        <v>226247</v>
      </c>
      <c r="E37" s="28">
        <v>282.13000899999997</v>
      </c>
      <c r="F37" s="29">
        <v>0.57253493746810602</v>
      </c>
    </row>
    <row r="38" spans="1:9" x14ac:dyDescent="0.2">
      <c r="A38" s="26" t="s">
        <v>1347</v>
      </c>
      <c r="B38" s="26" t="s">
        <v>1346</v>
      </c>
      <c r="C38" s="26" t="s">
        <v>1029</v>
      </c>
      <c r="D38" s="30">
        <v>12795</v>
      </c>
      <c r="E38" s="28">
        <v>162.14463749999999</v>
      </c>
      <c r="F38" s="29">
        <v>0.329045003829604</v>
      </c>
    </row>
    <row r="39" spans="1:9" x14ac:dyDescent="0.2">
      <c r="A39" s="26" t="s">
        <v>1349</v>
      </c>
      <c r="B39" s="26" t="s">
        <v>1348</v>
      </c>
      <c r="C39" s="26" t="s">
        <v>1029</v>
      </c>
      <c r="D39" s="30">
        <v>254656</v>
      </c>
      <c r="E39" s="28">
        <v>119.306336</v>
      </c>
      <c r="F39" s="29">
        <v>0.242111946415841</v>
      </c>
    </row>
    <row r="40" spans="1:9" x14ac:dyDescent="0.2">
      <c r="A40" s="26" t="s">
        <v>1012</v>
      </c>
      <c r="B40" s="26" t="s">
        <v>1570</v>
      </c>
      <c r="C40" s="26" t="s">
        <v>1006</v>
      </c>
      <c r="D40" s="30">
        <v>26444</v>
      </c>
      <c r="E40" s="28">
        <v>18.431467999999999</v>
      </c>
      <c r="F40" s="29">
        <v>3.7403533981475202E-2</v>
      </c>
    </row>
    <row r="41" spans="1:9" ht="10.5" x14ac:dyDescent="0.25">
      <c r="A41" s="25" t="s">
        <v>167</v>
      </c>
      <c r="B41" s="25"/>
      <c r="C41" s="25"/>
      <c r="D41" s="31"/>
      <c r="E41" s="32">
        <f>SUM(E7:E40)</f>
        <v>47388.3477375</v>
      </c>
      <c r="F41" s="33">
        <f>SUM(F7:F40)</f>
        <v>96.166603491677634</v>
      </c>
      <c r="G41" s="17"/>
      <c r="H41" s="17"/>
      <c r="I41" s="17"/>
    </row>
    <row r="42" spans="1:9" x14ac:dyDescent="0.2">
      <c r="A42" s="26"/>
      <c r="B42" s="26"/>
      <c r="C42" s="26"/>
      <c r="D42" s="27"/>
      <c r="E42" s="28"/>
      <c r="F42" s="29"/>
    </row>
    <row r="43" spans="1:9" ht="10.5" x14ac:dyDescent="0.25">
      <c r="A43" s="25" t="s">
        <v>1072</v>
      </c>
      <c r="B43" s="26"/>
      <c r="C43" s="26"/>
      <c r="D43" s="27"/>
      <c r="E43" s="28"/>
      <c r="F43" s="29"/>
    </row>
    <row r="44" spans="1:9" x14ac:dyDescent="0.2">
      <c r="A44" s="26"/>
      <c r="B44" s="26" t="s">
        <v>1175</v>
      </c>
      <c r="C44" s="26" t="s">
        <v>941</v>
      </c>
      <c r="D44" s="30">
        <v>489000</v>
      </c>
      <c r="E44" s="28">
        <v>4.8899999999999999E-2</v>
      </c>
      <c r="F44" s="29">
        <v>9.9234245025634296E-5</v>
      </c>
    </row>
    <row r="45" spans="1:9" x14ac:dyDescent="0.2">
      <c r="A45" s="26"/>
      <c r="B45" s="26" t="s">
        <v>1075</v>
      </c>
      <c r="C45" s="26" t="s">
        <v>1029</v>
      </c>
      <c r="D45" s="30">
        <v>98000</v>
      </c>
      <c r="E45" s="28">
        <v>9.7999999999999997E-3</v>
      </c>
      <c r="F45" s="29">
        <v>1.98874356084093E-5</v>
      </c>
    </row>
    <row r="46" spans="1:9" x14ac:dyDescent="0.2">
      <c r="A46" s="26" t="s">
        <v>1351</v>
      </c>
      <c r="B46" s="26" t="s">
        <v>1350</v>
      </c>
      <c r="C46" s="26" t="s">
        <v>1228</v>
      </c>
      <c r="D46" s="30">
        <v>44170</v>
      </c>
      <c r="E46" s="28">
        <v>4.4169999999999999E-3</v>
      </c>
      <c r="F46" s="29">
        <v>8.9635513349330592E-6</v>
      </c>
    </row>
    <row r="47" spans="1:9" x14ac:dyDescent="0.2">
      <c r="A47" s="26"/>
      <c r="B47" s="26" t="s">
        <v>1352</v>
      </c>
      <c r="C47" s="26" t="s">
        <v>941</v>
      </c>
      <c r="D47" s="30">
        <v>23815</v>
      </c>
      <c r="E47" s="28">
        <v>2.3814999999999999E-3</v>
      </c>
      <c r="F47" s="29">
        <v>4.8328497858598801E-6</v>
      </c>
    </row>
    <row r="48" spans="1:9" ht="10.5" x14ac:dyDescent="0.25">
      <c r="A48" s="25" t="s">
        <v>167</v>
      </c>
      <c r="B48" s="25"/>
      <c r="C48" s="25"/>
      <c r="D48" s="31"/>
      <c r="E48" s="32">
        <f>SUM(E43:E47)</f>
        <v>6.5498500000000001E-2</v>
      </c>
      <c r="F48" s="33">
        <f>SUM(F43:F47)</f>
        <v>1.3291808175483651E-4</v>
      </c>
      <c r="G48" s="17"/>
      <c r="H48" s="17"/>
      <c r="I48" s="17"/>
    </row>
    <row r="49" spans="1:9" x14ac:dyDescent="0.2">
      <c r="A49" s="26"/>
      <c r="B49" s="26"/>
      <c r="C49" s="26"/>
      <c r="D49" s="27"/>
      <c r="E49" s="28"/>
      <c r="F49" s="29"/>
    </row>
    <row r="50" spans="1:9" ht="10.5" x14ac:dyDescent="0.25">
      <c r="A50" s="25" t="s">
        <v>205</v>
      </c>
      <c r="B50" s="25"/>
      <c r="C50" s="25"/>
      <c r="D50" s="31"/>
      <c r="E50" s="32">
        <f>E41+E48</f>
        <v>47388.413236</v>
      </c>
      <c r="F50" s="33">
        <f>F41+F48</f>
        <v>96.166736409759395</v>
      </c>
      <c r="G50" s="17"/>
      <c r="H50" s="17"/>
      <c r="I50" s="17"/>
    </row>
    <row r="51" spans="1:9" ht="10.5" x14ac:dyDescent="0.25">
      <c r="A51" s="25"/>
      <c r="B51" s="25"/>
      <c r="C51" s="25"/>
      <c r="D51" s="31"/>
      <c r="E51" s="32"/>
      <c r="F51" s="33"/>
      <c r="G51" s="17"/>
      <c r="H51" s="17"/>
      <c r="I51" s="17"/>
    </row>
    <row r="52" spans="1:9" ht="10.5" x14ac:dyDescent="0.25">
      <c r="A52" s="25" t="s">
        <v>207</v>
      </c>
      <c r="B52" s="25"/>
      <c r="C52" s="25"/>
      <c r="D52" s="31"/>
      <c r="E52" s="32">
        <f>E54-(E41+E48)</f>
        <v>1888.9304746999987</v>
      </c>
      <c r="F52" s="33">
        <f>F54-(F41+F48)</f>
        <v>3.8332635902406054</v>
      </c>
      <c r="G52" s="17"/>
      <c r="H52" s="17"/>
      <c r="I52" s="17"/>
    </row>
    <row r="53" spans="1:9" ht="10.5" x14ac:dyDescent="0.25">
      <c r="A53" s="25"/>
      <c r="B53" s="25"/>
      <c r="C53" s="25"/>
      <c r="D53" s="31"/>
      <c r="E53" s="32"/>
      <c r="F53" s="33"/>
      <c r="G53" s="17"/>
      <c r="H53" s="17"/>
      <c r="I53" s="17"/>
    </row>
    <row r="54" spans="1:9" ht="10.5" x14ac:dyDescent="0.25">
      <c r="A54" s="34" t="s">
        <v>206</v>
      </c>
      <c r="B54" s="34"/>
      <c r="C54" s="34"/>
      <c r="D54" s="35"/>
      <c r="E54" s="36">
        <v>49277.343710699999</v>
      </c>
      <c r="F54" s="37">
        <v>100</v>
      </c>
      <c r="G54" s="17"/>
      <c r="H54" s="17"/>
      <c r="I54" s="17"/>
    </row>
    <row r="55" spans="1:9" ht="10.5" x14ac:dyDescent="0.25">
      <c r="A55" s="66" t="s">
        <v>1551</v>
      </c>
      <c r="F55" s="19" t="s">
        <v>394</v>
      </c>
    </row>
    <row r="57" spans="1:9" ht="10.5" x14ac:dyDescent="0.25">
      <c r="A57" s="17" t="s">
        <v>210</v>
      </c>
    </row>
    <row r="58" spans="1:9" ht="10.5" x14ac:dyDescent="0.25">
      <c r="A58" s="17" t="s">
        <v>211</v>
      </c>
    </row>
    <row r="59" spans="1:9" ht="10.5" x14ac:dyDescent="0.25">
      <c r="A59" s="17" t="s">
        <v>212</v>
      </c>
      <c r="B59" s="17"/>
      <c r="C59" s="38" t="s">
        <v>214</v>
      </c>
      <c r="D59" s="18" t="s">
        <v>213</v>
      </c>
    </row>
    <row r="60" spans="1:9" x14ac:dyDescent="0.2">
      <c r="A60" s="10" t="s">
        <v>486</v>
      </c>
      <c r="C60" s="39">
        <v>74.183199999999999</v>
      </c>
      <c r="D60" s="39">
        <v>68.275599999999997</v>
      </c>
    </row>
    <row r="61" spans="1:9" x14ac:dyDescent="0.2">
      <c r="A61" s="10" t="s">
        <v>520</v>
      </c>
      <c r="C61" s="39">
        <v>17.327300000000001</v>
      </c>
      <c r="D61" s="39">
        <v>15.9474</v>
      </c>
    </row>
    <row r="62" spans="1:9" x14ac:dyDescent="0.2">
      <c r="A62" s="10" t="s">
        <v>489</v>
      </c>
      <c r="C62" s="39">
        <v>77.692599999999999</v>
      </c>
      <c r="D62" s="39">
        <v>71.907700000000006</v>
      </c>
    </row>
    <row r="63" spans="1:9" x14ac:dyDescent="0.2">
      <c r="A63" s="10" t="s">
        <v>521</v>
      </c>
      <c r="C63" s="39">
        <v>18.418800000000001</v>
      </c>
      <c r="D63" s="39">
        <v>17.045500000000001</v>
      </c>
    </row>
    <row r="65" spans="1:4" ht="10.5" x14ac:dyDescent="0.25">
      <c r="A65" s="17" t="s">
        <v>226</v>
      </c>
      <c r="D65" s="40" t="s">
        <v>227</v>
      </c>
    </row>
    <row r="67" spans="1:4" ht="10.5" x14ac:dyDescent="0.25">
      <c r="A67" s="17" t="s">
        <v>1065</v>
      </c>
      <c r="D67" s="46">
        <v>0.1192</v>
      </c>
    </row>
  </sheetData>
  <mergeCells count="1">
    <mergeCell ref="A1:F1"/>
  </mergeCells>
  <conditionalFormatting sqref="F2:F3 F5:F65536">
    <cfRule type="cellIs" dxfId="1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52"/>
  <sheetViews>
    <sheetView workbookViewId="0">
      <selection sqref="A1:F1"/>
    </sheetView>
  </sheetViews>
  <sheetFormatPr defaultColWidth="9.1796875" defaultRowHeight="10" x14ac:dyDescent="0.2"/>
  <cols>
    <col min="1" max="1" width="38.7265625" style="10" bestFit="1" customWidth="1"/>
    <col min="2" max="2" width="24.1796875" style="10" bestFit="1" customWidth="1"/>
    <col min="3" max="3" width="18.81640625" style="10" bestFit="1" customWidth="1"/>
    <col min="4" max="4" width="14.7265625" style="11" bestFit="1" customWidth="1"/>
    <col min="5" max="5" width="23" style="15" bestFit="1" customWidth="1"/>
    <col min="6" max="6" width="13.54296875" style="16" bestFit="1" customWidth="1"/>
    <col min="7" max="7" width="5.54296875" style="10" bestFit="1" customWidth="1"/>
    <col min="8" max="16384" width="9.1796875" style="10"/>
  </cols>
  <sheetData>
    <row r="1" spans="1:6" s="1" customFormat="1" ht="14" x14ac:dyDescent="0.25">
      <c r="A1" s="143" t="s">
        <v>52</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990</v>
      </c>
      <c r="B7" s="26" t="s">
        <v>989</v>
      </c>
      <c r="C7" s="26" t="s">
        <v>935</v>
      </c>
      <c r="D7" s="30">
        <v>37000000</v>
      </c>
      <c r="E7" s="28">
        <v>70836.5</v>
      </c>
      <c r="F7" s="29">
        <v>10.1208886840451</v>
      </c>
    </row>
    <row r="8" spans="1:6" x14ac:dyDescent="0.2">
      <c r="A8" s="26" t="s">
        <v>947</v>
      </c>
      <c r="B8" s="26" t="s">
        <v>946</v>
      </c>
      <c r="C8" s="26" t="s">
        <v>935</v>
      </c>
      <c r="D8" s="30">
        <v>19500000</v>
      </c>
      <c r="E8" s="28">
        <v>67626</v>
      </c>
      <c r="F8" s="29">
        <v>9.6621828880200997</v>
      </c>
    </row>
    <row r="9" spans="1:6" x14ac:dyDescent="0.2">
      <c r="A9" s="26" t="s">
        <v>943</v>
      </c>
      <c r="B9" s="26" t="s">
        <v>942</v>
      </c>
      <c r="C9" s="26" t="s">
        <v>935</v>
      </c>
      <c r="D9" s="30">
        <v>12000000</v>
      </c>
      <c r="E9" s="28">
        <v>51798</v>
      </c>
      <c r="F9" s="29">
        <v>7.4007297375811802</v>
      </c>
    </row>
    <row r="10" spans="1:6" x14ac:dyDescent="0.2">
      <c r="A10" s="26" t="s">
        <v>937</v>
      </c>
      <c r="B10" s="26" t="s">
        <v>936</v>
      </c>
      <c r="C10" s="26" t="s">
        <v>938</v>
      </c>
      <c r="D10" s="30">
        <v>9200000</v>
      </c>
      <c r="E10" s="28">
        <v>51046.2</v>
      </c>
      <c r="F10" s="29">
        <v>7.2933149992377402</v>
      </c>
    </row>
    <row r="11" spans="1:6" x14ac:dyDescent="0.2">
      <c r="A11" s="26" t="s">
        <v>1325</v>
      </c>
      <c r="B11" s="26" t="s">
        <v>1324</v>
      </c>
      <c r="C11" s="26" t="s">
        <v>953</v>
      </c>
      <c r="D11" s="30">
        <v>3100000</v>
      </c>
      <c r="E11" s="28">
        <v>44188.95</v>
      </c>
      <c r="F11" s="29">
        <v>6.3135734263386203</v>
      </c>
    </row>
    <row r="12" spans="1:6" x14ac:dyDescent="0.2">
      <c r="A12" s="26" t="s">
        <v>934</v>
      </c>
      <c r="B12" s="26" t="s">
        <v>933</v>
      </c>
      <c r="C12" s="26" t="s">
        <v>935</v>
      </c>
      <c r="D12" s="30">
        <v>3800000</v>
      </c>
      <c r="E12" s="28">
        <v>39246.400000000001</v>
      </c>
      <c r="F12" s="29">
        <v>5.6073979607901103</v>
      </c>
    </row>
    <row r="13" spans="1:6" x14ac:dyDescent="0.2">
      <c r="A13" s="26" t="s">
        <v>988</v>
      </c>
      <c r="B13" s="26" t="s">
        <v>987</v>
      </c>
      <c r="C13" s="26" t="s">
        <v>973</v>
      </c>
      <c r="D13" s="30">
        <v>8600000</v>
      </c>
      <c r="E13" s="28">
        <v>35586.800000000003</v>
      </c>
      <c r="F13" s="29">
        <v>5.08452621771794</v>
      </c>
    </row>
    <row r="14" spans="1:6" x14ac:dyDescent="0.2">
      <c r="A14" s="26" t="s">
        <v>1050</v>
      </c>
      <c r="B14" s="26" t="s">
        <v>1049</v>
      </c>
      <c r="C14" s="26" t="s">
        <v>973</v>
      </c>
      <c r="D14" s="30">
        <v>40000000</v>
      </c>
      <c r="E14" s="28">
        <v>35380</v>
      </c>
      <c r="F14" s="29">
        <v>5.0549793064524202</v>
      </c>
    </row>
    <row r="15" spans="1:6" x14ac:dyDescent="0.2">
      <c r="A15" s="26" t="s">
        <v>1354</v>
      </c>
      <c r="B15" s="26" t="s">
        <v>1353</v>
      </c>
      <c r="C15" s="26" t="s">
        <v>953</v>
      </c>
      <c r="D15" s="30">
        <v>825000</v>
      </c>
      <c r="E15" s="28">
        <v>33967.724999999999</v>
      </c>
      <c r="F15" s="29">
        <v>4.8531980486790998</v>
      </c>
    </row>
    <row r="16" spans="1:6" x14ac:dyDescent="0.2">
      <c r="A16" s="26" t="s">
        <v>1356</v>
      </c>
      <c r="B16" s="26" t="s">
        <v>1355</v>
      </c>
      <c r="C16" s="26" t="s">
        <v>1099</v>
      </c>
      <c r="D16" s="30">
        <v>2950000</v>
      </c>
      <c r="E16" s="28">
        <v>28905.575000000001</v>
      </c>
      <c r="F16" s="29">
        <v>4.1299345241975196</v>
      </c>
    </row>
    <row r="17" spans="1:6" x14ac:dyDescent="0.2">
      <c r="A17" s="26" t="s">
        <v>984</v>
      </c>
      <c r="B17" s="26" t="s">
        <v>983</v>
      </c>
      <c r="C17" s="26" t="s">
        <v>982</v>
      </c>
      <c r="D17" s="30">
        <v>29188261</v>
      </c>
      <c r="E17" s="28">
        <v>25393.787069999998</v>
      </c>
      <c r="F17" s="29">
        <v>3.6281816888442302</v>
      </c>
    </row>
    <row r="18" spans="1:6" x14ac:dyDescent="0.2">
      <c r="A18" s="26" t="s">
        <v>1358</v>
      </c>
      <c r="B18" s="26" t="s">
        <v>1357</v>
      </c>
      <c r="C18" s="26" t="s">
        <v>976</v>
      </c>
      <c r="D18" s="30">
        <v>2700000</v>
      </c>
      <c r="E18" s="28">
        <v>25016.85</v>
      </c>
      <c r="F18" s="29">
        <v>3.5743261464845699</v>
      </c>
    </row>
    <row r="19" spans="1:6" x14ac:dyDescent="0.2">
      <c r="A19" s="26" t="s">
        <v>1064</v>
      </c>
      <c r="B19" s="26" t="s">
        <v>1063</v>
      </c>
      <c r="C19" s="26" t="s">
        <v>935</v>
      </c>
      <c r="D19" s="30">
        <v>36000000</v>
      </c>
      <c r="E19" s="28">
        <v>19404</v>
      </c>
      <c r="F19" s="29">
        <v>2.77238039746757</v>
      </c>
    </row>
    <row r="20" spans="1:6" x14ac:dyDescent="0.2">
      <c r="A20" s="26" t="s">
        <v>1062</v>
      </c>
      <c r="B20" s="26" t="s">
        <v>1061</v>
      </c>
      <c r="C20" s="26" t="s">
        <v>956</v>
      </c>
      <c r="D20" s="30">
        <v>17000000</v>
      </c>
      <c r="E20" s="28">
        <v>16430.5</v>
      </c>
      <c r="F20" s="29">
        <v>2.3475363904654198</v>
      </c>
    </row>
    <row r="21" spans="1:6" x14ac:dyDescent="0.2">
      <c r="A21" s="26" t="s">
        <v>1360</v>
      </c>
      <c r="B21" s="26" t="s">
        <v>1359</v>
      </c>
      <c r="C21" s="26" t="s">
        <v>997</v>
      </c>
      <c r="D21" s="30">
        <v>4000000</v>
      </c>
      <c r="E21" s="28">
        <v>13926</v>
      </c>
      <c r="F21" s="29">
        <v>1.9897015777743501</v>
      </c>
    </row>
    <row r="22" spans="1:6" x14ac:dyDescent="0.2">
      <c r="A22" s="26" t="s">
        <v>1243</v>
      </c>
      <c r="B22" s="26" t="s">
        <v>1242</v>
      </c>
      <c r="C22" s="26" t="s">
        <v>953</v>
      </c>
      <c r="D22" s="30">
        <v>4500000</v>
      </c>
      <c r="E22" s="28">
        <v>13245.75</v>
      </c>
      <c r="F22" s="29">
        <v>1.89250967067389</v>
      </c>
    </row>
    <row r="23" spans="1:6" x14ac:dyDescent="0.2">
      <c r="A23" s="26" t="s">
        <v>1362</v>
      </c>
      <c r="B23" s="26" t="s">
        <v>1361</v>
      </c>
      <c r="C23" s="26" t="s">
        <v>953</v>
      </c>
      <c r="D23" s="30">
        <v>17200000</v>
      </c>
      <c r="E23" s="28">
        <v>11068.2</v>
      </c>
      <c r="F23" s="29">
        <v>1.58138841039222</v>
      </c>
    </row>
    <row r="24" spans="1:6" x14ac:dyDescent="0.2">
      <c r="A24" s="26" t="s">
        <v>1252</v>
      </c>
      <c r="B24" s="26" t="s">
        <v>1251</v>
      </c>
      <c r="C24" s="26" t="s">
        <v>1208</v>
      </c>
      <c r="D24" s="30">
        <v>4800000</v>
      </c>
      <c r="E24" s="28">
        <v>10514.4</v>
      </c>
      <c r="F24" s="29">
        <v>1.5022632679412999</v>
      </c>
    </row>
    <row r="25" spans="1:6" x14ac:dyDescent="0.2">
      <c r="A25" s="26" t="s">
        <v>1364</v>
      </c>
      <c r="B25" s="26" t="s">
        <v>1363</v>
      </c>
      <c r="C25" s="26" t="s">
        <v>1099</v>
      </c>
      <c r="D25" s="30">
        <v>21000000</v>
      </c>
      <c r="E25" s="28">
        <v>9838.5</v>
      </c>
      <c r="F25" s="29">
        <v>1.4056928746899999</v>
      </c>
    </row>
    <row r="26" spans="1:6" x14ac:dyDescent="0.2">
      <c r="A26" s="26" t="s">
        <v>1045</v>
      </c>
      <c r="B26" s="26" t="s">
        <v>1044</v>
      </c>
      <c r="C26" s="26" t="s">
        <v>1046</v>
      </c>
      <c r="D26" s="30">
        <v>1000000</v>
      </c>
      <c r="E26" s="28">
        <v>9134.5</v>
      </c>
      <c r="F26" s="29">
        <v>1.3051076448498999</v>
      </c>
    </row>
    <row r="27" spans="1:6" x14ac:dyDescent="0.2">
      <c r="A27" s="26" t="s">
        <v>1366</v>
      </c>
      <c r="B27" s="26" t="s">
        <v>1365</v>
      </c>
      <c r="C27" s="26" t="s">
        <v>1208</v>
      </c>
      <c r="D27" s="30">
        <v>15000000</v>
      </c>
      <c r="E27" s="28">
        <v>6787.5</v>
      </c>
      <c r="F27" s="29">
        <v>0.96977591980061595</v>
      </c>
    </row>
    <row r="28" spans="1:6" x14ac:dyDescent="0.2">
      <c r="A28" s="26" t="s">
        <v>1172</v>
      </c>
      <c r="B28" s="26" t="s">
        <v>1171</v>
      </c>
      <c r="C28" s="26" t="s">
        <v>938</v>
      </c>
      <c r="D28" s="30">
        <v>75000000</v>
      </c>
      <c r="E28" s="28">
        <v>6300</v>
      </c>
      <c r="F28" s="29">
        <v>0.90012350567128996</v>
      </c>
    </row>
    <row r="29" spans="1:6" x14ac:dyDescent="0.2">
      <c r="A29" s="26" t="s">
        <v>1270</v>
      </c>
      <c r="B29" s="26" t="s">
        <v>1269</v>
      </c>
      <c r="C29" s="26" t="s">
        <v>997</v>
      </c>
      <c r="D29" s="30">
        <v>150000</v>
      </c>
      <c r="E29" s="28">
        <v>5411.1</v>
      </c>
      <c r="F29" s="29">
        <v>0.77312036532347905</v>
      </c>
    </row>
    <row r="30" spans="1:6" x14ac:dyDescent="0.2">
      <c r="A30" s="26" t="s">
        <v>1317</v>
      </c>
      <c r="B30" s="26" t="s">
        <v>1316</v>
      </c>
      <c r="C30" s="26" t="s">
        <v>1239</v>
      </c>
      <c r="D30" s="30">
        <v>267701</v>
      </c>
      <c r="E30" s="28">
        <v>4482.9209460000002</v>
      </c>
      <c r="F30" s="29">
        <v>0.64050516151758297</v>
      </c>
    </row>
    <row r="31" spans="1:6" x14ac:dyDescent="0.2">
      <c r="A31" s="26" t="s">
        <v>1368</v>
      </c>
      <c r="B31" s="26" t="s">
        <v>1367</v>
      </c>
      <c r="C31" s="26" t="s">
        <v>1208</v>
      </c>
      <c r="D31" s="30">
        <v>3200000</v>
      </c>
      <c r="E31" s="28">
        <v>4129.6000000000004</v>
      </c>
      <c r="F31" s="29">
        <v>0.59002381413018401</v>
      </c>
    </row>
    <row r="32" spans="1:6" x14ac:dyDescent="0.2">
      <c r="A32" s="26" t="s">
        <v>1085</v>
      </c>
      <c r="B32" s="26" t="s">
        <v>1084</v>
      </c>
      <c r="C32" s="26" t="s">
        <v>962</v>
      </c>
      <c r="D32" s="30">
        <v>10970698</v>
      </c>
      <c r="E32" s="28">
        <v>4114.0117499999997</v>
      </c>
      <c r="F32" s="29">
        <v>0.587796615679822</v>
      </c>
    </row>
    <row r="33" spans="1:9" ht="10.5" x14ac:dyDescent="0.25">
      <c r="A33" s="25" t="s">
        <v>167</v>
      </c>
      <c r="B33" s="25"/>
      <c r="C33" s="25"/>
      <c r="D33" s="31"/>
      <c r="E33" s="32">
        <f>SUM(E7:E32)</f>
        <v>643779.76976599998</v>
      </c>
      <c r="F33" s="33">
        <f>SUM(F7:F32)</f>
        <v>91.981159244766246</v>
      </c>
      <c r="G33" s="17"/>
      <c r="H33" s="17"/>
      <c r="I33" s="17"/>
    </row>
    <row r="34" spans="1:9" x14ac:dyDescent="0.2">
      <c r="A34" s="26"/>
      <c r="B34" s="26"/>
      <c r="C34" s="26"/>
      <c r="D34" s="27"/>
      <c r="E34" s="28"/>
      <c r="F34" s="29"/>
    </row>
    <row r="35" spans="1:9" ht="10.5" x14ac:dyDescent="0.25">
      <c r="A35" s="25" t="s">
        <v>205</v>
      </c>
      <c r="B35" s="25"/>
      <c r="C35" s="25"/>
      <c r="D35" s="31"/>
      <c r="E35" s="32">
        <f>E33</f>
        <v>643779.76976599998</v>
      </c>
      <c r="F35" s="33">
        <f>F33</f>
        <v>91.981159244766246</v>
      </c>
      <c r="G35" s="17"/>
      <c r="H35" s="17"/>
      <c r="I35" s="17"/>
    </row>
    <row r="36" spans="1:9" ht="10.5" x14ac:dyDescent="0.25">
      <c r="A36" s="25"/>
      <c r="B36" s="25"/>
      <c r="C36" s="25"/>
      <c r="D36" s="31"/>
      <c r="E36" s="32"/>
      <c r="F36" s="33"/>
      <c r="G36" s="17"/>
      <c r="H36" s="17"/>
      <c r="I36" s="17"/>
    </row>
    <row r="37" spans="1:9" ht="10.5" x14ac:dyDescent="0.25">
      <c r="A37" s="25" t="s">
        <v>207</v>
      </c>
      <c r="B37" s="25"/>
      <c r="C37" s="25"/>
      <c r="D37" s="31"/>
      <c r="E37" s="32">
        <f>E39-(E33)</f>
        <v>56124.183447799995</v>
      </c>
      <c r="F37" s="33">
        <f>F39-(F33)</f>
        <v>8.0188407552337537</v>
      </c>
      <c r="G37" s="17"/>
      <c r="H37" s="17"/>
      <c r="I37" s="17"/>
    </row>
    <row r="38" spans="1:9" ht="10.5" x14ac:dyDescent="0.25">
      <c r="A38" s="25"/>
      <c r="B38" s="25"/>
      <c r="C38" s="25"/>
      <c r="D38" s="31"/>
      <c r="E38" s="32"/>
      <c r="F38" s="33"/>
      <c r="G38" s="17"/>
      <c r="H38" s="17"/>
      <c r="I38" s="17"/>
    </row>
    <row r="39" spans="1:9" ht="10.5" x14ac:dyDescent="0.25">
      <c r="A39" s="34" t="s">
        <v>206</v>
      </c>
      <c r="B39" s="34"/>
      <c r="C39" s="34"/>
      <c r="D39" s="35"/>
      <c r="E39" s="36">
        <v>699903.95321379998</v>
      </c>
      <c r="F39" s="37">
        <v>100</v>
      </c>
      <c r="G39" s="17"/>
      <c r="H39" s="17"/>
      <c r="I39" s="17"/>
    </row>
    <row r="42" spans="1:9" ht="10.5" x14ac:dyDescent="0.25">
      <c r="A42" s="17" t="s">
        <v>210</v>
      </c>
    </row>
    <row r="43" spans="1:9" ht="10.5" x14ac:dyDescent="0.25">
      <c r="A43" s="17" t="s">
        <v>211</v>
      </c>
    </row>
    <row r="44" spans="1:9" ht="10.5" x14ac:dyDescent="0.25">
      <c r="A44" s="17" t="s">
        <v>212</v>
      </c>
      <c r="B44" s="17"/>
      <c r="C44" s="38" t="s">
        <v>214</v>
      </c>
      <c r="D44" s="18" t="s">
        <v>213</v>
      </c>
    </row>
    <row r="45" spans="1:9" x14ac:dyDescent="0.2">
      <c r="A45" s="10" t="s">
        <v>486</v>
      </c>
      <c r="C45" s="39">
        <v>42.241700000000002</v>
      </c>
      <c r="D45" s="39">
        <v>36.0486</v>
      </c>
    </row>
    <row r="46" spans="1:9" x14ac:dyDescent="0.2">
      <c r="A46" s="10" t="s">
        <v>520</v>
      </c>
      <c r="C46" s="39">
        <v>22.901399999999999</v>
      </c>
      <c r="D46" s="39">
        <v>19.543900000000001</v>
      </c>
    </row>
    <row r="47" spans="1:9" x14ac:dyDescent="0.2">
      <c r="A47" s="10" t="s">
        <v>489</v>
      </c>
      <c r="C47" s="39">
        <v>45.514699999999998</v>
      </c>
      <c r="D47" s="39">
        <v>39.0047</v>
      </c>
    </row>
    <row r="48" spans="1:9" x14ac:dyDescent="0.2">
      <c r="A48" s="10" t="s">
        <v>521</v>
      </c>
      <c r="C48" s="39">
        <v>25.2972</v>
      </c>
      <c r="D48" s="39">
        <v>21.678899999999999</v>
      </c>
    </row>
    <row r="50" spans="1:4" ht="10.5" x14ac:dyDescent="0.25">
      <c r="A50" s="17" t="s">
        <v>226</v>
      </c>
      <c r="D50" s="40" t="s">
        <v>227</v>
      </c>
    </row>
    <row r="52" spans="1:4" ht="10.5" x14ac:dyDescent="0.25">
      <c r="A52" s="17" t="s">
        <v>1065</v>
      </c>
      <c r="D52" s="46">
        <v>0.31209999999999999</v>
      </c>
    </row>
  </sheetData>
  <mergeCells count="1">
    <mergeCell ref="A1:F1"/>
  </mergeCells>
  <conditionalFormatting sqref="F2:F3 F5:F65536">
    <cfRule type="cellIs" dxfId="1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7"/>
  <sheetViews>
    <sheetView workbookViewId="0">
      <selection sqref="A1:F1"/>
    </sheetView>
  </sheetViews>
  <sheetFormatPr defaultColWidth="9.1796875" defaultRowHeight="10" x14ac:dyDescent="0.2"/>
  <cols>
    <col min="1" max="1" width="38.7265625" style="10" bestFit="1" customWidth="1"/>
    <col min="2" max="2" width="41.453125" style="10" bestFit="1" customWidth="1"/>
    <col min="3" max="3" width="35.7265625" style="10" bestFit="1" customWidth="1"/>
    <col min="4" max="4" width="14.7265625" style="11" bestFit="1" customWidth="1"/>
    <col min="5" max="5" width="23" style="15" bestFit="1" customWidth="1"/>
    <col min="6" max="6" width="14.7265625" style="16" bestFit="1" customWidth="1"/>
    <col min="7" max="7" width="4.54296875" style="10" bestFit="1" customWidth="1"/>
    <col min="8" max="16384" width="9.1796875" style="10"/>
  </cols>
  <sheetData>
    <row r="1" spans="1:6" s="1" customFormat="1" ht="14" x14ac:dyDescent="0.25">
      <c r="A1" s="143" t="s">
        <v>53</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7000000</v>
      </c>
      <c r="E7" s="28">
        <v>67620</v>
      </c>
      <c r="F7" s="29">
        <v>8.0318282557863796</v>
      </c>
    </row>
    <row r="8" spans="1:6" x14ac:dyDescent="0.2">
      <c r="A8" s="26" t="s">
        <v>934</v>
      </c>
      <c r="B8" s="26" t="s">
        <v>933</v>
      </c>
      <c r="C8" s="26" t="s">
        <v>935</v>
      </c>
      <c r="D8" s="30">
        <v>6400000</v>
      </c>
      <c r="E8" s="28">
        <v>66099.199999999997</v>
      </c>
      <c r="F8" s="29">
        <v>7.8511893263069403</v>
      </c>
    </row>
    <row r="9" spans="1:6" x14ac:dyDescent="0.2">
      <c r="A9" s="26" t="s">
        <v>937</v>
      </c>
      <c r="B9" s="26" t="s">
        <v>936</v>
      </c>
      <c r="C9" s="26" t="s">
        <v>938</v>
      </c>
      <c r="D9" s="30">
        <v>10400000</v>
      </c>
      <c r="E9" s="28">
        <v>57704.4</v>
      </c>
      <c r="F9" s="29">
        <v>6.8540643360425904</v>
      </c>
    </row>
    <row r="10" spans="1:6" x14ac:dyDescent="0.2">
      <c r="A10" s="26" t="s">
        <v>947</v>
      </c>
      <c r="B10" s="26" t="s">
        <v>946</v>
      </c>
      <c r="C10" s="26" t="s">
        <v>935</v>
      </c>
      <c r="D10" s="30">
        <v>12500000</v>
      </c>
      <c r="E10" s="28">
        <v>43350</v>
      </c>
      <c r="F10" s="29">
        <v>5.1490646981416699</v>
      </c>
    </row>
    <row r="11" spans="1:6" x14ac:dyDescent="0.2">
      <c r="A11" s="26" t="s">
        <v>961</v>
      </c>
      <c r="B11" s="26" t="s">
        <v>960</v>
      </c>
      <c r="C11" s="26" t="s">
        <v>962</v>
      </c>
      <c r="D11" s="30">
        <v>6700000</v>
      </c>
      <c r="E11" s="28">
        <v>40632.15</v>
      </c>
      <c r="F11" s="29">
        <v>4.8262415034509099</v>
      </c>
    </row>
    <row r="12" spans="1:6" x14ac:dyDescent="0.2">
      <c r="A12" s="26" t="s">
        <v>943</v>
      </c>
      <c r="B12" s="26" t="s">
        <v>942</v>
      </c>
      <c r="C12" s="26" t="s">
        <v>935</v>
      </c>
      <c r="D12" s="30">
        <v>8000000</v>
      </c>
      <c r="E12" s="28">
        <v>34532</v>
      </c>
      <c r="F12" s="29">
        <v>4.1016724834193399</v>
      </c>
    </row>
    <row r="13" spans="1:6" x14ac:dyDescent="0.2">
      <c r="A13" s="26" t="s">
        <v>1045</v>
      </c>
      <c r="B13" s="26" t="s">
        <v>1044</v>
      </c>
      <c r="C13" s="26" t="s">
        <v>1046</v>
      </c>
      <c r="D13" s="30">
        <v>3200000</v>
      </c>
      <c r="E13" s="28">
        <v>29230.400000000001</v>
      </c>
      <c r="F13" s="29">
        <v>3.4719543426196098</v>
      </c>
    </row>
    <row r="14" spans="1:6" x14ac:dyDescent="0.2">
      <c r="A14" s="26" t="s">
        <v>990</v>
      </c>
      <c r="B14" s="26" t="s">
        <v>989</v>
      </c>
      <c r="C14" s="26" t="s">
        <v>935</v>
      </c>
      <c r="D14" s="30">
        <v>13000000</v>
      </c>
      <c r="E14" s="28">
        <v>24888.5</v>
      </c>
      <c r="F14" s="29">
        <v>2.9562282984936301</v>
      </c>
    </row>
    <row r="15" spans="1:6" x14ac:dyDescent="0.2">
      <c r="A15" s="26" t="s">
        <v>1081</v>
      </c>
      <c r="B15" s="26" t="s">
        <v>1080</v>
      </c>
      <c r="C15" s="26" t="s">
        <v>941</v>
      </c>
      <c r="D15" s="30">
        <v>3000000</v>
      </c>
      <c r="E15" s="28">
        <v>21156</v>
      </c>
      <c r="F15" s="29">
        <v>2.51288610735606</v>
      </c>
    </row>
    <row r="16" spans="1:6" x14ac:dyDescent="0.2">
      <c r="A16" s="26" t="s">
        <v>945</v>
      </c>
      <c r="B16" s="26" t="s">
        <v>944</v>
      </c>
      <c r="C16" s="26" t="s">
        <v>935</v>
      </c>
      <c r="D16" s="30">
        <v>1500000</v>
      </c>
      <c r="E16" s="28">
        <v>20486.25</v>
      </c>
      <c r="F16" s="29">
        <v>2.4333339486114101</v>
      </c>
    </row>
    <row r="17" spans="1:6" x14ac:dyDescent="0.2">
      <c r="A17" s="26" t="s">
        <v>1325</v>
      </c>
      <c r="B17" s="26" t="s">
        <v>1324</v>
      </c>
      <c r="C17" s="26" t="s">
        <v>953</v>
      </c>
      <c r="D17" s="30">
        <v>1400000</v>
      </c>
      <c r="E17" s="28">
        <v>19956.3</v>
      </c>
      <c r="F17" s="29">
        <v>2.3703870780974499</v>
      </c>
    </row>
    <row r="18" spans="1:6" x14ac:dyDescent="0.2">
      <c r="A18" s="26" t="s">
        <v>952</v>
      </c>
      <c r="B18" s="26" t="s">
        <v>951</v>
      </c>
      <c r="C18" s="26" t="s">
        <v>953</v>
      </c>
      <c r="D18" s="30">
        <v>3100000</v>
      </c>
      <c r="E18" s="28">
        <v>19624.55</v>
      </c>
      <c r="F18" s="29">
        <v>2.3309821827431598</v>
      </c>
    </row>
    <row r="19" spans="1:6" x14ac:dyDescent="0.2">
      <c r="A19" s="26" t="s">
        <v>994</v>
      </c>
      <c r="B19" s="26" t="s">
        <v>993</v>
      </c>
      <c r="C19" s="26" t="s">
        <v>965</v>
      </c>
      <c r="D19" s="30">
        <v>2030000</v>
      </c>
      <c r="E19" s="28">
        <v>19318.494999999999</v>
      </c>
      <c r="F19" s="29">
        <v>2.2946293108587401</v>
      </c>
    </row>
    <row r="20" spans="1:6" x14ac:dyDescent="0.2">
      <c r="A20" s="26" t="s">
        <v>1043</v>
      </c>
      <c r="B20" s="26" t="s">
        <v>1042</v>
      </c>
      <c r="C20" s="26" t="s">
        <v>941</v>
      </c>
      <c r="D20" s="30">
        <v>2800000</v>
      </c>
      <c r="E20" s="28">
        <v>19086.2</v>
      </c>
      <c r="F20" s="29">
        <v>2.2670375695887302</v>
      </c>
    </row>
    <row r="21" spans="1:6" x14ac:dyDescent="0.2">
      <c r="A21" s="26" t="s">
        <v>1354</v>
      </c>
      <c r="B21" s="26" t="s">
        <v>1353</v>
      </c>
      <c r="C21" s="26" t="s">
        <v>953</v>
      </c>
      <c r="D21" s="30">
        <v>460000</v>
      </c>
      <c r="E21" s="28">
        <v>18939.580000000002</v>
      </c>
      <c r="F21" s="29">
        <v>2.2496222093570899</v>
      </c>
    </row>
    <row r="22" spans="1:6" x14ac:dyDescent="0.2">
      <c r="A22" s="26" t="s">
        <v>972</v>
      </c>
      <c r="B22" s="26" t="s">
        <v>971</v>
      </c>
      <c r="C22" s="26" t="s">
        <v>973</v>
      </c>
      <c r="D22" s="30">
        <v>8700000</v>
      </c>
      <c r="E22" s="28">
        <v>18705</v>
      </c>
      <c r="F22" s="29">
        <v>2.2217590583331002</v>
      </c>
    </row>
    <row r="23" spans="1:6" x14ac:dyDescent="0.2">
      <c r="A23" s="26" t="s">
        <v>1370</v>
      </c>
      <c r="B23" s="26" t="s">
        <v>1369</v>
      </c>
      <c r="C23" s="26" t="s">
        <v>965</v>
      </c>
      <c r="D23" s="30">
        <v>3200000</v>
      </c>
      <c r="E23" s="28">
        <v>18598.400000000001</v>
      </c>
      <c r="F23" s="29">
        <v>2.20909722910999</v>
      </c>
    </row>
    <row r="24" spans="1:6" x14ac:dyDescent="0.2">
      <c r="A24" s="26" t="s">
        <v>967</v>
      </c>
      <c r="B24" s="26" t="s">
        <v>966</v>
      </c>
      <c r="C24" s="26" t="s">
        <v>968</v>
      </c>
      <c r="D24" s="30">
        <v>3100000</v>
      </c>
      <c r="E24" s="28">
        <v>18550.400000000001</v>
      </c>
      <c r="F24" s="29">
        <v>2.2033958425930198</v>
      </c>
    </row>
    <row r="25" spans="1:6" x14ac:dyDescent="0.2">
      <c r="A25" s="26" t="s">
        <v>1372</v>
      </c>
      <c r="B25" s="26" t="s">
        <v>1371</v>
      </c>
      <c r="C25" s="26" t="s">
        <v>1029</v>
      </c>
      <c r="D25" s="30">
        <v>3900000</v>
      </c>
      <c r="E25" s="28">
        <v>17637.75</v>
      </c>
      <c r="F25" s="29">
        <v>2.0949922924947701</v>
      </c>
    </row>
    <row r="26" spans="1:6" x14ac:dyDescent="0.2">
      <c r="A26" s="26" t="s">
        <v>984</v>
      </c>
      <c r="B26" s="26" t="s">
        <v>983</v>
      </c>
      <c r="C26" s="26" t="s">
        <v>982</v>
      </c>
      <c r="D26" s="30">
        <v>20200000</v>
      </c>
      <c r="E26" s="28">
        <v>17574</v>
      </c>
      <c r="F26" s="29">
        <v>2.0874201385269102</v>
      </c>
    </row>
    <row r="27" spans="1:6" x14ac:dyDescent="0.2">
      <c r="A27" s="26" t="s">
        <v>1374</v>
      </c>
      <c r="B27" s="26" t="s">
        <v>1373</v>
      </c>
      <c r="C27" s="26" t="s">
        <v>965</v>
      </c>
      <c r="D27" s="30">
        <v>4800000</v>
      </c>
      <c r="E27" s="28">
        <v>17445.599999999999</v>
      </c>
      <c r="F27" s="29">
        <v>2.0721689295940098</v>
      </c>
    </row>
    <row r="28" spans="1:6" x14ac:dyDescent="0.2">
      <c r="A28" s="26" t="s">
        <v>1003</v>
      </c>
      <c r="B28" s="26" t="s">
        <v>1002</v>
      </c>
      <c r="C28" s="26" t="s">
        <v>962</v>
      </c>
      <c r="D28" s="30">
        <v>4500000</v>
      </c>
      <c r="E28" s="28">
        <v>17437.5</v>
      </c>
      <c r="F28" s="29">
        <v>2.07120682061927</v>
      </c>
    </row>
    <row r="29" spans="1:6" x14ac:dyDescent="0.2">
      <c r="A29" s="26" t="s">
        <v>1008</v>
      </c>
      <c r="B29" s="26" t="s">
        <v>1007</v>
      </c>
      <c r="C29" s="26" t="s">
        <v>962</v>
      </c>
      <c r="D29" s="30">
        <v>16500000</v>
      </c>
      <c r="E29" s="28">
        <v>17267.25</v>
      </c>
      <c r="F29" s="29">
        <v>2.0509847153168801</v>
      </c>
    </row>
    <row r="30" spans="1:6" x14ac:dyDescent="0.2">
      <c r="A30" s="26" t="s">
        <v>1005</v>
      </c>
      <c r="B30" s="26" t="s">
        <v>1004</v>
      </c>
      <c r="C30" s="26" t="s">
        <v>1006</v>
      </c>
      <c r="D30" s="30">
        <v>11500000</v>
      </c>
      <c r="E30" s="28">
        <v>14340.5</v>
      </c>
      <c r="F30" s="29">
        <v>1.70334861138871</v>
      </c>
    </row>
    <row r="31" spans="1:6" x14ac:dyDescent="0.2">
      <c r="A31" s="26" t="s">
        <v>1376</v>
      </c>
      <c r="B31" s="26" t="s">
        <v>1375</v>
      </c>
      <c r="C31" s="26" t="s">
        <v>976</v>
      </c>
      <c r="D31" s="30">
        <v>2600000</v>
      </c>
      <c r="E31" s="28">
        <v>13824.2</v>
      </c>
      <c r="F31" s="29">
        <v>1.6420230726655201</v>
      </c>
    </row>
    <row r="32" spans="1:6" x14ac:dyDescent="0.2">
      <c r="A32" s="26" t="s">
        <v>1062</v>
      </c>
      <c r="B32" s="26" t="s">
        <v>1061</v>
      </c>
      <c r="C32" s="26" t="s">
        <v>956</v>
      </c>
      <c r="D32" s="30">
        <v>12000000</v>
      </c>
      <c r="E32" s="28">
        <v>11598</v>
      </c>
      <c r="F32" s="29">
        <v>1.37759751716372</v>
      </c>
    </row>
    <row r="33" spans="1:6" x14ac:dyDescent="0.2">
      <c r="A33" s="26" t="s">
        <v>1212</v>
      </c>
      <c r="B33" s="26" t="s">
        <v>1211</v>
      </c>
      <c r="C33" s="26" t="s">
        <v>965</v>
      </c>
      <c r="D33" s="30">
        <v>8700000</v>
      </c>
      <c r="E33" s="28">
        <v>10718.4</v>
      </c>
      <c r="F33" s="29">
        <v>1.27311960924018</v>
      </c>
    </row>
    <row r="34" spans="1:6" x14ac:dyDescent="0.2">
      <c r="A34" s="26" t="s">
        <v>1041</v>
      </c>
      <c r="B34" s="26" t="s">
        <v>1040</v>
      </c>
      <c r="C34" s="26" t="s">
        <v>965</v>
      </c>
      <c r="D34" s="30">
        <v>2000000</v>
      </c>
      <c r="E34" s="28">
        <v>10271</v>
      </c>
      <c r="F34" s="29">
        <v>1.2199779357465499</v>
      </c>
    </row>
    <row r="35" spans="1:6" x14ac:dyDescent="0.2">
      <c r="A35" s="26" t="s">
        <v>1243</v>
      </c>
      <c r="B35" s="26" t="s">
        <v>1242</v>
      </c>
      <c r="C35" s="26" t="s">
        <v>953</v>
      </c>
      <c r="D35" s="30">
        <v>3200000</v>
      </c>
      <c r="E35" s="28">
        <v>9419.2000000000007</v>
      </c>
      <c r="F35" s="29">
        <v>1.1188020808474299</v>
      </c>
    </row>
    <row r="36" spans="1:6" x14ac:dyDescent="0.2">
      <c r="A36" s="26" t="s">
        <v>1126</v>
      </c>
      <c r="B36" s="26" t="s">
        <v>1125</v>
      </c>
      <c r="C36" s="26" t="s">
        <v>997</v>
      </c>
      <c r="D36" s="30">
        <v>1855722</v>
      </c>
      <c r="E36" s="28">
        <v>8544.6719489999996</v>
      </c>
      <c r="F36" s="29">
        <v>1.0149266133747901</v>
      </c>
    </row>
    <row r="37" spans="1:6" x14ac:dyDescent="0.2">
      <c r="A37" s="26" t="s">
        <v>1172</v>
      </c>
      <c r="B37" s="26" t="s">
        <v>1171</v>
      </c>
      <c r="C37" s="26" t="s">
        <v>938</v>
      </c>
      <c r="D37" s="30">
        <v>100000000</v>
      </c>
      <c r="E37" s="28">
        <v>8400</v>
      </c>
      <c r="F37" s="29">
        <v>0.99774264047035799</v>
      </c>
    </row>
    <row r="38" spans="1:6" x14ac:dyDescent="0.2">
      <c r="A38" s="26" t="s">
        <v>1315</v>
      </c>
      <c r="B38" s="26" t="s">
        <v>1314</v>
      </c>
      <c r="C38" s="26" t="s">
        <v>997</v>
      </c>
      <c r="D38" s="30">
        <v>520000</v>
      </c>
      <c r="E38" s="28">
        <v>7644</v>
      </c>
      <c r="F38" s="29">
        <v>0.90794580282802595</v>
      </c>
    </row>
    <row r="39" spans="1:6" x14ac:dyDescent="0.2">
      <c r="A39" s="26" t="s">
        <v>996</v>
      </c>
      <c r="B39" s="26" t="s">
        <v>995</v>
      </c>
      <c r="C39" s="26" t="s">
        <v>997</v>
      </c>
      <c r="D39" s="30">
        <v>1900000</v>
      </c>
      <c r="E39" s="28">
        <v>7631.35</v>
      </c>
      <c r="F39" s="29">
        <v>0.90644324992303205</v>
      </c>
    </row>
    <row r="40" spans="1:6" x14ac:dyDescent="0.2">
      <c r="A40" s="26" t="s">
        <v>1358</v>
      </c>
      <c r="B40" s="26" t="s">
        <v>1357</v>
      </c>
      <c r="C40" s="26" t="s">
        <v>976</v>
      </c>
      <c r="D40" s="30">
        <v>800000</v>
      </c>
      <c r="E40" s="28">
        <v>7412.4</v>
      </c>
      <c r="F40" s="29">
        <v>0.88043661288362896</v>
      </c>
    </row>
    <row r="41" spans="1:6" x14ac:dyDescent="0.2">
      <c r="A41" s="26" t="s">
        <v>1378</v>
      </c>
      <c r="B41" s="26" t="s">
        <v>1377</v>
      </c>
      <c r="C41" s="26" t="s">
        <v>1029</v>
      </c>
      <c r="D41" s="30">
        <v>12000000</v>
      </c>
      <c r="E41" s="28">
        <v>6492</v>
      </c>
      <c r="F41" s="29">
        <v>0.77111252642066297</v>
      </c>
    </row>
    <row r="42" spans="1:6" x14ac:dyDescent="0.2">
      <c r="A42" s="26" t="s">
        <v>975</v>
      </c>
      <c r="B42" s="26" t="s">
        <v>974</v>
      </c>
      <c r="C42" s="26" t="s">
        <v>976</v>
      </c>
      <c r="D42" s="30">
        <v>1600000</v>
      </c>
      <c r="E42" s="28">
        <v>6214.4</v>
      </c>
      <c r="F42" s="29">
        <v>0.73813950773083303</v>
      </c>
    </row>
    <row r="43" spans="1:6" x14ac:dyDescent="0.2">
      <c r="A43" s="26" t="s">
        <v>1050</v>
      </c>
      <c r="B43" s="26" t="s">
        <v>1049</v>
      </c>
      <c r="C43" s="26" t="s">
        <v>973</v>
      </c>
      <c r="D43" s="30">
        <v>7000000</v>
      </c>
      <c r="E43" s="28">
        <v>6191.5</v>
      </c>
      <c r="F43" s="29">
        <v>0.73541947124669305</v>
      </c>
    </row>
    <row r="44" spans="1:6" x14ac:dyDescent="0.2">
      <c r="A44" s="26" t="s">
        <v>1109</v>
      </c>
      <c r="B44" s="26" t="s">
        <v>1108</v>
      </c>
      <c r="C44" s="26" t="s">
        <v>973</v>
      </c>
      <c r="D44" s="30">
        <v>1000000</v>
      </c>
      <c r="E44" s="28">
        <v>5723.5</v>
      </c>
      <c r="F44" s="29">
        <v>0.67983095270620197</v>
      </c>
    </row>
    <row r="45" spans="1:6" x14ac:dyDescent="0.2">
      <c r="A45" s="26" t="s">
        <v>1380</v>
      </c>
      <c r="B45" s="26" t="s">
        <v>1379</v>
      </c>
      <c r="C45" s="26" t="s">
        <v>1099</v>
      </c>
      <c r="D45" s="30">
        <v>5699998</v>
      </c>
      <c r="E45" s="28">
        <v>4272.1485009999997</v>
      </c>
      <c r="F45" s="29">
        <v>0.50744103879395497</v>
      </c>
    </row>
    <row r="46" spans="1:6" x14ac:dyDescent="0.2">
      <c r="A46" s="26" t="s">
        <v>1331</v>
      </c>
      <c r="B46" s="26" t="s">
        <v>1330</v>
      </c>
      <c r="C46" s="26" t="s">
        <v>997</v>
      </c>
      <c r="D46" s="30">
        <v>1100000</v>
      </c>
      <c r="E46" s="28">
        <v>4201.45</v>
      </c>
      <c r="F46" s="29">
        <v>0.499043549619546</v>
      </c>
    </row>
    <row r="47" spans="1:6" x14ac:dyDescent="0.2">
      <c r="A47" s="26" t="s">
        <v>1115</v>
      </c>
      <c r="B47" s="26" t="s">
        <v>1114</v>
      </c>
      <c r="C47" s="26" t="s">
        <v>1116</v>
      </c>
      <c r="D47" s="30">
        <v>1300000</v>
      </c>
      <c r="E47" s="28">
        <v>4003.35</v>
      </c>
      <c r="F47" s="29">
        <v>0.47551345234845299</v>
      </c>
    </row>
    <row r="48" spans="1:6" x14ac:dyDescent="0.2">
      <c r="A48" s="26" t="s">
        <v>1107</v>
      </c>
      <c r="B48" s="26" t="s">
        <v>1106</v>
      </c>
      <c r="C48" s="26" t="s">
        <v>950</v>
      </c>
      <c r="D48" s="30">
        <v>3000000</v>
      </c>
      <c r="E48" s="28">
        <v>3247.5</v>
      </c>
      <c r="F48" s="29">
        <v>0.38573443153898701</v>
      </c>
    </row>
    <row r="49" spans="1:9" x14ac:dyDescent="0.2">
      <c r="A49" s="26" t="s">
        <v>1382</v>
      </c>
      <c r="B49" s="26" t="s">
        <v>1381</v>
      </c>
      <c r="C49" s="26" t="s">
        <v>1006</v>
      </c>
      <c r="D49" s="30">
        <v>2437912</v>
      </c>
      <c r="E49" s="28">
        <v>2988.8801119999998</v>
      </c>
      <c r="F49" s="29">
        <v>0.35501584940431202</v>
      </c>
    </row>
    <row r="50" spans="1:9" x14ac:dyDescent="0.2">
      <c r="A50" s="26" t="s">
        <v>1010</v>
      </c>
      <c r="B50" s="26" t="s">
        <v>1009</v>
      </c>
      <c r="C50" s="26" t="s">
        <v>1011</v>
      </c>
      <c r="D50" s="30">
        <v>7000000</v>
      </c>
      <c r="E50" s="28">
        <v>2684.5</v>
      </c>
      <c r="F50" s="29">
        <v>0.318861918850319</v>
      </c>
    </row>
    <row r="51" spans="1:9" x14ac:dyDescent="0.2">
      <c r="A51" s="26" t="s">
        <v>958</v>
      </c>
      <c r="B51" s="26" t="s">
        <v>957</v>
      </c>
      <c r="C51" s="26" t="s">
        <v>959</v>
      </c>
      <c r="D51" s="30">
        <v>1500000</v>
      </c>
      <c r="E51" s="28">
        <v>2446.5</v>
      </c>
      <c r="F51" s="29">
        <v>0.29059254403699197</v>
      </c>
    </row>
    <row r="52" spans="1:9" x14ac:dyDescent="0.2">
      <c r="A52" s="26" t="s">
        <v>1001</v>
      </c>
      <c r="B52" s="26" t="s">
        <v>1000</v>
      </c>
      <c r="C52" s="26" t="s">
        <v>935</v>
      </c>
      <c r="D52" s="30">
        <v>7000000</v>
      </c>
      <c r="E52" s="28">
        <v>2418.5</v>
      </c>
      <c r="F52" s="29">
        <v>0.28726673523542401</v>
      </c>
    </row>
    <row r="53" spans="1:9" x14ac:dyDescent="0.2">
      <c r="A53" s="26" t="s">
        <v>1052</v>
      </c>
      <c r="B53" s="26" t="s">
        <v>1051</v>
      </c>
      <c r="C53" s="26" t="s">
        <v>1053</v>
      </c>
      <c r="D53" s="30">
        <v>3097076</v>
      </c>
      <c r="E53" s="28">
        <v>2364.617526</v>
      </c>
      <c r="F53" s="29">
        <v>0.28086663501115799</v>
      </c>
    </row>
    <row r="54" spans="1:9" x14ac:dyDescent="0.2">
      <c r="A54" s="26" t="s">
        <v>1384</v>
      </c>
      <c r="B54" s="26" t="s">
        <v>1383</v>
      </c>
      <c r="C54" s="26" t="s">
        <v>1088</v>
      </c>
      <c r="D54" s="30">
        <v>22000000</v>
      </c>
      <c r="E54" s="28">
        <v>2046</v>
      </c>
      <c r="F54" s="29">
        <v>0.24302160028599401</v>
      </c>
    </row>
    <row r="55" spans="1:9" x14ac:dyDescent="0.2">
      <c r="A55" s="26" t="s">
        <v>1085</v>
      </c>
      <c r="B55" s="26" t="s">
        <v>1084</v>
      </c>
      <c r="C55" s="26" t="s">
        <v>962</v>
      </c>
      <c r="D55" s="30">
        <v>5000000</v>
      </c>
      <c r="E55" s="28">
        <v>1875</v>
      </c>
      <c r="F55" s="29">
        <v>0.22271041081927601</v>
      </c>
    </row>
    <row r="56" spans="1:9" x14ac:dyDescent="0.2">
      <c r="A56" s="26" t="s">
        <v>1386</v>
      </c>
      <c r="B56" s="26" t="s">
        <v>1385</v>
      </c>
      <c r="C56" s="26" t="s">
        <v>1058</v>
      </c>
      <c r="D56" s="30">
        <v>4276538</v>
      </c>
      <c r="E56" s="28">
        <v>1227.3664060000001</v>
      </c>
      <c r="F56" s="29">
        <v>0.14578521413655399</v>
      </c>
    </row>
    <row r="57" spans="1:9" x14ac:dyDescent="0.2">
      <c r="A57" s="26" t="s">
        <v>1012</v>
      </c>
      <c r="B57" s="26" t="s">
        <v>1570</v>
      </c>
      <c r="C57" s="26" t="s">
        <v>1006</v>
      </c>
      <c r="D57" s="30">
        <v>1344155</v>
      </c>
      <c r="E57" s="28">
        <v>936.876035</v>
      </c>
      <c r="F57" s="29">
        <v>0.11128109154217899</v>
      </c>
    </row>
    <row r="58" spans="1:9" ht="10.5" x14ac:dyDescent="0.25">
      <c r="A58" s="25" t="s">
        <v>167</v>
      </c>
      <c r="B58" s="25"/>
      <c r="C58" s="25"/>
      <c r="D58" s="31"/>
      <c r="E58" s="32">
        <f>SUM(E7:E57)</f>
        <v>814977.73552899994</v>
      </c>
      <c r="F58" s="33">
        <f>SUM(F7:F57)</f>
        <v>96.802147353721168</v>
      </c>
      <c r="G58" s="17"/>
      <c r="H58" s="17"/>
      <c r="I58" s="17"/>
    </row>
    <row r="59" spans="1:9" x14ac:dyDescent="0.2">
      <c r="A59" s="26"/>
      <c r="B59" s="26"/>
      <c r="C59" s="26"/>
      <c r="D59" s="27"/>
      <c r="E59" s="28"/>
      <c r="F59" s="29"/>
    </row>
    <row r="60" spans="1:9" ht="10.5" x14ac:dyDescent="0.25">
      <c r="A60" s="25" t="s">
        <v>1072</v>
      </c>
      <c r="B60" s="26"/>
      <c r="C60" s="26"/>
      <c r="D60" s="27"/>
      <c r="E60" s="28"/>
      <c r="F60" s="29"/>
    </row>
    <row r="61" spans="1:9" x14ac:dyDescent="0.2">
      <c r="A61" s="26"/>
      <c r="B61" s="26" t="s">
        <v>1075</v>
      </c>
      <c r="C61" s="26" t="s">
        <v>1029</v>
      </c>
      <c r="D61" s="30">
        <v>73500</v>
      </c>
      <c r="E61" s="28">
        <v>7.3499999999999998E-3</v>
      </c>
      <c r="F61" s="29">
        <v>8.7302481041156404E-7</v>
      </c>
    </row>
    <row r="62" spans="1:9" x14ac:dyDescent="0.2">
      <c r="A62" s="26"/>
      <c r="B62" s="26" t="s">
        <v>1387</v>
      </c>
      <c r="C62" s="26" t="s">
        <v>941</v>
      </c>
      <c r="D62" s="30">
        <v>45000</v>
      </c>
      <c r="E62" s="28">
        <v>4.4999999999999997E-3</v>
      </c>
      <c r="F62" s="29">
        <v>5.34504985966263E-7</v>
      </c>
    </row>
    <row r="63" spans="1:9" x14ac:dyDescent="0.2">
      <c r="A63" s="26" t="s">
        <v>1351</v>
      </c>
      <c r="B63" s="26" t="s">
        <v>1350</v>
      </c>
      <c r="C63" s="26" t="s">
        <v>1228</v>
      </c>
      <c r="D63" s="30">
        <v>38000</v>
      </c>
      <c r="E63" s="28">
        <v>3.8E-3</v>
      </c>
      <c r="F63" s="29">
        <v>4.5135976592706701E-7</v>
      </c>
    </row>
    <row r="64" spans="1:9" ht="10.5" x14ac:dyDescent="0.25">
      <c r="A64" s="25" t="s">
        <v>167</v>
      </c>
      <c r="B64" s="25"/>
      <c r="C64" s="25"/>
      <c r="D64" s="31"/>
      <c r="E64" s="32">
        <f>SUM(E60:E63)</f>
        <v>1.5650000000000001E-2</v>
      </c>
      <c r="F64" s="33">
        <f>SUM(F60:F63)</f>
        <v>1.8588895623048941E-6</v>
      </c>
      <c r="G64" s="17"/>
      <c r="H64" s="17"/>
      <c r="I64" s="17"/>
    </row>
    <row r="65" spans="1:9" x14ac:dyDescent="0.2">
      <c r="A65" s="26"/>
      <c r="B65" s="26"/>
      <c r="C65" s="26"/>
      <c r="D65" s="27"/>
      <c r="E65" s="28"/>
      <c r="F65" s="29"/>
    </row>
    <row r="66" spans="1:9" ht="10.5" x14ac:dyDescent="0.25">
      <c r="A66" s="25" t="s">
        <v>205</v>
      </c>
      <c r="B66" s="25"/>
      <c r="C66" s="25"/>
      <c r="D66" s="31"/>
      <c r="E66" s="32">
        <f>E58+E64</f>
        <v>814977.7511789999</v>
      </c>
      <c r="F66" s="33">
        <f>F58+F64</f>
        <v>96.802149212610729</v>
      </c>
      <c r="G66" s="17"/>
      <c r="H66" s="17"/>
      <c r="I66" s="17"/>
    </row>
    <row r="67" spans="1:9" ht="10.5" x14ac:dyDescent="0.25">
      <c r="A67" s="25"/>
      <c r="B67" s="25"/>
      <c r="C67" s="25"/>
      <c r="D67" s="31"/>
      <c r="E67" s="32"/>
      <c r="F67" s="33"/>
      <c r="G67" s="17"/>
      <c r="H67" s="17"/>
      <c r="I67" s="17"/>
    </row>
    <row r="68" spans="1:9" ht="10.5" x14ac:dyDescent="0.25">
      <c r="A68" s="25" t="s">
        <v>207</v>
      </c>
      <c r="B68" s="25"/>
      <c r="C68" s="25"/>
      <c r="D68" s="31"/>
      <c r="E68" s="32">
        <f>E70-(E58+E64)</f>
        <v>26922.720874600112</v>
      </c>
      <c r="F68" s="33">
        <f>F70-(F58+F64)</f>
        <v>3.197850787389271</v>
      </c>
      <c r="G68" s="17"/>
      <c r="H68" s="17"/>
      <c r="I68" s="17"/>
    </row>
    <row r="69" spans="1:9" ht="10.5" x14ac:dyDescent="0.25">
      <c r="A69" s="25"/>
      <c r="B69" s="25"/>
      <c r="C69" s="25"/>
      <c r="D69" s="31"/>
      <c r="E69" s="32"/>
      <c r="F69" s="33"/>
      <c r="G69" s="17"/>
      <c r="H69" s="17"/>
      <c r="I69" s="17"/>
    </row>
    <row r="70" spans="1:9" ht="10.5" x14ac:dyDescent="0.25">
      <c r="A70" s="34" t="s">
        <v>206</v>
      </c>
      <c r="B70" s="34"/>
      <c r="C70" s="34"/>
      <c r="D70" s="35"/>
      <c r="E70" s="36">
        <v>841900.47205360001</v>
      </c>
      <c r="F70" s="37">
        <v>100</v>
      </c>
      <c r="G70" s="17"/>
      <c r="H70" s="17"/>
      <c r="I70" s="17"/>
    </row>
    <row r="71" spans="1:9" ht="10.5" x14ac:dyDescent="0.25">
      <c r="A71" s="63" t="s">
        <v>1551</v>
      </c>
      <c r="F71" s="19" t="s">
        <v>394</v>
      </c>
    </row>
    <row r="73" spans="1:9" ht="10.5" x14ac:dyDescent="0.25">
      <c r="A73" s="17" t="s">
        <v>210</v>
      </c>
    </row>
    <row r="74" spans="1:9" ht="10.5" x14ac:dyDescent="0.25">
      <c r="A74" s="17" t="s">
        <v>211</v>
      </c>
    </row>
    <row r="75" spans="1:9" ht="10.5" x14ac:dyDescent="0.25">
      <c r="A75" s="17" t="s">
        <v>212</v>
      </c>
      <c r="B75" s="17"/>
      <c r="C75" s="38" t="s">
        <v>214</v>
      </c>
      <c r="D75" s="18" t="s">
        <v>213</v>
      </c>
    </row>
    <row r="76" spans="1:9" x14ac:dyDescent="0.2">
      <c r="A76" s="10" t="s">
        <v>486</v>
      </c>
      <c r="C76" s="39">
        <v>596.94460000000004</v>
      </c>
      <c r="D76" s="39">
        <v>531.88909999999998</v>
      </c>
    </row>
    <row r="77" spans="1:9" x14ac:dyDescent="0.2">
      <c r="A77" s="10" t="s">
        <v>520</v>
      </c>
      <c r="C77" s="39">
        <v>36.452399999999997</v>
      </c>
      <c r="D77" s="39">
        <v>30.015599999999999</v>
      </c>
    </row>
    <row r="78" spans="1:9" x14ac:dyDescent="0.2">
      <c r="A78" s="10" t="s">
        <v>489</v>
      </c>
      <c r="C78" s="39">
        <v>637.69029999999998</v>
      </c>
      <c r="D78" s="39">
        <v>570.35599999999999</v>
      </c>
    </row>
    <row r="79" spans="1:9" x14ac:dyDescent="0.2">
      <c r="A79" s="10" t="s">
        <v>521</v>
      </c>
      <c r="C79" s="39">
        <v>39.611699999999999</v>
      </c>
      <c r="D79" s="39">
        <v>32.955300000000001</v>
      </c>
    </row>
    <row r="81" spans="1:4" ht="10.5" x14ac:dyDescent="0.25">
      <c r="A81" s="17" t="s">
        <v>226</v>
      </c>
    </row>
    <row r="82" spans="1:4" ht="10.5" x14ac:dyDescent="0.25">
      <c r="A82" s="147" t="s">
        <v>401</v>
      </c>
      <c r="B82" s="148"/>
      <c r="C82" s="145" t="s">
        <v>402</v>
      </c>
      <c r="D82" s="146"/>
    </row>
    <row r="83" spans="1:4" ht="10.5" x14ac:dyDescent="0.25">
      <c r="A83" s="147"/>
      <c r="B83" s="148"/>
      <c r="C83" s="43" t="s">
        <v>403</v>
      </c>
      <c r="D83" s="44" t="s">
        <v>404</v>
      </c>
    </row>
    <row r="84" spans="1:4" x14ac:dyDescent="0.2">
      <c r="A84" s="141" t="s">
        <v>520</v>
      </c>
      <c r="B84" s="142"/>
      <c r="C84" s="45">
        <v>2.4348732924999998</v>
      </c>
      <c r="D84" s="45">
        <v>2.4348732924999998</v>
      </c>
    </row>
    <row r="85" spans="1:4" x14ac:dyDescent="0.2">
      <c r="A85" s="141" t="s">
        <v>521</v>
      </c>
      <c r="B85" s="142"/>
      <c r="C85" s="45">
        <v>2.4348732924999998</v>
      </c>
      <c r="D85" s="45">
        <v>2.4348732924999998</v>
      </c>
    </row>
    <row r="87" spans="1:4" ht="10.5" x14ac:dyDescent="0.25">
      <c r="A87" s="17" t="s">
        <v>1065</v>
      </c>
      <c r="D87" s="46">
        <v>0.16089999999999999</v>
      </c>
    </row>
  </sheetData>
  <mergeCells count="6">
    <mergeCell ref="A85:B85"/>
    <mergeCell ref="A1:F1"/>
    <mergeCell ref="C82:D82"/>
    <mergeCell ref="A82:B82"/>
    <mergeCell ref="A83:B83"/>
    <mergeCell ref="A84:B84"/>
  </mergeCells>
  <conditionalFormatting sqref="F2:F3 F5:F65536">
    <cfRule type="cellIs" dxfId="1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89"/>
  <sheetViews>
    <sheetView workbookViewId="0">
      <selection sqref="A1:F1"/>
    </sheetView>
  </sheetViews>
  <sheetFormatPr defaultColWidth="9.1796875" defaultRowHeight="10" x14ac:dyDescent="0.2"/>
  <cols>
    <col min="1" max="1" width="38.7265625" style="10" bestFit="1" customWidth="1"/>
    <col min="2" max="2" width="41.453125" style="10" bestFit="1" customWidth="1"/>
    <col min="3" max="3" width="35.7265625" style="10" bestFit="1" customWidth="1"/>
    <col min="4" max="4" width="14.7265625" style="11" bestFit="1" customWidth="1"/>
    <col min="5" max="5" width="23" style="15" bestFit="1" customWidth="1"/>
    <col min="6" max="6" width="14.7265625" style="16" bestFit="1" customWidth="1"/>
    <col min="7" max="7" width="5.54296875" style="10" bestFit="1" customWidth="1"/>
    <col min="8" max="16384" width="9.1796875" style="10"/>
  </cols>
  <sheetData>
    <row r="1" spans="1:6" s="1" customFormat="1" ht="14" x14ac:dyDescent="0.25">
      <c r="A1" s="143" t="s">
        <v>54</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1829339</v>
      </c>
      <c r="E7" s="28">
        <v>17671.41474</v>
      </c>
      <c r="F7" s="29">
        <v>8.7641981641741502</v>
      </c>
    </row>
    <row r="8" spans="1:6" x14ac:dyDescent="0.2">
      <c r="A8" s="26" t="s">
        <v>943</v>
      </c>
      <c r="B8" s="26" t="s">
        <v>942</v>
      </c>
      <c r="C8" s="26" t="s">
        <v>935</v>
      </c>
      <c r="D8" s="30">
        <v>3161548</v>
      </c>
      <c r="E8" s="28">
        <v>13646.82194</v>
      </c>
      <c r="F8" s="29">
        <v>6.7681876948217399</v>
      </c>
    </row>
    <row r="9" spans="1:6" x14ac:dyDescent="0.2">
      <c r="A9" s="26" t="s">
        <v>934</v>
      </c>
      <c r="B9" s="26" t="s">
        <v>933</v>
      </c>
      <c r="C9" s="26" t="s">
        <v>935</v>
      </c>
      <c r="D9" s="30">
        <v>1238046</v>
      </c>
      <c r="E9" s="28">
        <v>12786.53909</v>
      </c>
      <c r="F9" s="29">
        <v>6.34152749327182</v>
      </c>
    </row>
    <row r="10" spans="1:6" x14ac:dyDescent="0.2">
      <c r="A10" s="26" t="s">
        <v>937</v>
      </c>
      <c r="B10" s="26" t="s">
        <v>936</v>
      </c>
      <c r="C10" s="26" t="s">
        <v>938</v>
      </c>
      <c r="D10" s="30">
        <v>1583873</v>
      </c>
      <c r="E10" s="28">
        <v>8788.1193409999996</v>
      </c>
      <c r="F10" s="29">
        <v>4.3584976374639401</v>
      </c>
    </row>
    <row r="11" spans="1:6" x14ac:dyDescent="0.2">
      <c r="A11" s="26" t="s">
        <v>947</v>
      </c>
      <c r="B11" s="26" t="s">
        <v>946</v>
      </c>
      <c r="C11" s="26" t="s">
        <v>935</v>
      </c>
      <c r="D11" s="30">
        <v>2485871</v>
      </c>
      <c r="E11" s="28">
        <v>8621.0006279999998</v>
      </c>
      <c r="F11" s="29">
        <v>4.2756145441053599</v>
      </c>
    </row>
    <row r="12" spans="1:6" x14ac:dyDescent="0.2">
      <c r="A12" s="26" t="s">
        <v>1037</v>
      </c>
      <c r="B12" s="26" t="s">
        <v>1036</v>
      </c>
      <c r="C12" s="26" t="s">
        <v>982</v>
      </c>
      <c r="D12" s="30">
        <v>16577483</v>
      </c>
      <c r="E12" s="28">
        <v>8073.2342209999997</v>
      </c>
      <c r="F12" s="29">
        <v>4.00394793397487</v>
      </c>
    </row>
    <row r="13" spans="1:6" x14ac:dyDescent="0.2">
      <c r="A13" s="26" t="s">
        <v>1087</v>
      </c>
      <c r="B13" s="26" t="s">
        <v>1086</v>
      </c>
      <c r="C13" s="26" t="s">
        <v>1088</v>
      </c>
      <c r="D13" s="30">
        <v>7544411</v>
      </c>
      <c r="E13" s="28">
        <v>7231.3179440000004</v>
      </c>
      <c r="F13" s="29">
        <v>3.5863966966894001</v>
      </c>
    </row>
    <row r="14" spans="1:6" x14ac:dyDescent="0.2">
      <c r="A14" s="26" t="s">
        <v>961</v>
      </c>
      <c r="B14" s="26" t="s">
        <v>960</v>
      </c>
      <c r="C14" s="26" t="s">
        <v>962</v>
      </c>
      <c r="D14" s="30">
        <v>1146570</v>
      </c>
      <c r="E14" s="28">
        <v>6953.3737650000003</v>
      </c>
      <c r="F14" s="29">
        <v>3.4485493370311602</v>
      </c>
    </row>
    <row r="15" spans="1:6" x14ac:dyDescent="0.2">
      <c r="A15" s="26" t="s">
        <v>1317</v>
      </c>
      <c r="B15" s="26" t="s">
        <v>1316</v>
      </c>
      <c r="C15" s="26" t="s">
        <v>1239</v>
      </c>
      <c r="D15" s="30">
        <v>357232</v>
      </c>
      <c r="E15" s="28">
        <v>5982.2070720000002</v>
      </c>
      <c r="F15" s="29">
        <v>2.9668959169101599</v>
      </c>
    </row>
    <row r="16" spans="1:6" x14ac:dyDescent="0.2">
      <c r="A16" s="26" t="s">
        <v>1035</v>
      </c>
      <c r="B16" s="26" t="s">
        <v>1034</v>
      </c>
      <c r="C16" s="26" t="s">
        <v>1029</v>
      </c>
      <c r="D16" s="30">
        <v>1561999</v>
      </c>
      <c r="E16" s="28">
        <v>5179.5886840000003</v>
      </c>
      <c r="F16" s="29">
        <v>2.5688346011559902</v>
      </c>
    </row>
    <row r="17" spans="1:6" x14ac:dyDescent="0.2">
      <c r="A17" s="26" t="s">
        <v>949</v>
      </c>
      <c r="B17" s="26" t="s">
        <v>948</v>
      </c>
      <c r="C17" s="26" t="s">
        <v>950</v>
      </c>
      <c r="D17" s="30">
        <v>357387</v>
      </c>
      <c r="E17" s="28">
        <v>4724.8348340000002</v>
      </c>
      <c r="F17" s="29">
        <v>2.34329788460213</v>
      </c>
    </row>
    <row r="18" spans="1:6" x14ac:dyDescent="0.2">
      <c r="A18" s="26" t="s">
        <v>970</v>
      </c>
      <c r="B18" s="26" t="s">
        <v>969</v>
      </c>
      <c r="C18" s="26" t="s">
        <v>956</v>
      </c>
      <c r="D18" s="30">
        <v>2265841</v>
      </c>
      <c r="E18" s="28">
        <v>4639.309448</v>
      </c>
      <c r="F18" s="29">
        <v>2.3008812789143702</v>
      </c>
    </row>
    <row r="19" spans="1:6" x14ac:dyDescent="0.2">
      <c r="A19" s="26" t="s">
        <v>1064</v>
      </c>
      <c r="B19" s="26" t="s">
        <v>1063</v>
      </c>
      <c r="C19" s="26" t="s">
        <v>935</v>
      </c>
      <c r="D19" s="30">
        <v>8330054</v>
      </c>
      <c r="E19" s="28">
        <v>4489.8991059999998</v>
      </c>
      <c r="F19" s="29">
        <v>2.22678071230263</v>
      </c>
    </row>
    <row r="20" spans="1:6" x14ac:dyDescent="0.2">
      <c r="A20" s="26" t="s">
        <v>975</v>
      </c>
      <c r="B20" s="26" t="s">
        <v>974</v>
      </c>
      <c r="C20" s="26" t="s">
        <v>976</v>
      </c>
      <c r="D20" s="30">
        <v>1052564</v>
      </c>
      <c r="E20" s="28">
        <v>4088.1585759999998</v>
      </c>
      <c r="F20" s="29">
        <v>2.0275361318712402</v>
      </c>
    </row>
    <row r="21" spans="1:6" x14ac:dyDescent="0.2">
      <c r="A21" s="26" t="s">
        <v>1312</v>
      </c>
      <c r="B21" s="26" t="s">
        <v>1311</v>
      </c>
      <c r="C21" s="26" t="s">
        <v>1313</v>
      </c>
      <c r="D21" s="30">
        <v>511291</v>
      </c>
      <c r="E21" s="28">
        <v>3988.581091</v>
      </c>
      <c r="F21" s="29">
        <v>1.97815033995416</v>
      </c>
    </row>
    <row r="22" spans="1:6" x14ac:dyDescent="0.2">
      <c r="A22" s="26" t="s">
        <v>1140</v>
      </c>
      <c r="B22" s="26" t="s">
        <v>1139</v>
      </c>
      <c r="C22" s="26" t="s">
        <v>982</v>
      </c>
      <c r="D22" s="30">
        <v>710784</v>
      </c>
      <c r="E22" s="28">
        <v>3906.113472</v>
      </c>
      <c r="F22" s="29">
        <v>1.93725024419625</v>
      </c>
    </row>
    <row r="23" spans="1:6" x14ac:dyDescent="0.2">
      <c r="A23" s="26" t="s">
        <v>955</v>
      </c>
      <c r="B23" s="26" t="s">
        <v>954</v>
      </c>
      <c r="C23" s="26" t="s">
        <v>956</v>
      </c>
      <c r="D23" s="30">
        <v>1532307</v>
      </c>
      <c r="E23" s="28">
        <v>3797.8229000000001</v>
      </c>
      <c r="F23" s="29">
        <v>1.8835431671860901</v>
      </c>
    </row>
    <row r="24" spans="1:6" x14ac:dyDescent="0.2">
      <c r="A24" s="26" t="s">
        <v>1039</v>
      </c>
      <c r="B24" s="26" t="s">
        <v>1038</v>
      </c>
      <c r="C24" s="26" t="s">
        <v>982</v>
      </c>
      <c r="D24" s="30">
        <v>18217899</v>
      </c>
      <c r="E24" s="28">
        <v>3698.2334970000002</v>
      </c>
      <c r="F24" s="29">
        <v>1.8341514644964301</v>
      </c>
    </row>
    <row r="25" spans="1:6" x14ac:dyDescent="0.2">
      <c r="A25" s="26" t="s">
        <v>1045</v>
      </c>
      <c r="B25" s="26" t="s">
        <v>1044</v>
      </c>
      <c r="C25" s="26" t="s">
        <v>1046</v>
      </c>
      <c r="D25" s="30">
        <v>399838</v>
      </c>
      <c r="E25" s="28">
        <v>3652.3202110000002</v>
      </c>
      <c r="F25" s="29">
        <v>1.81138061435269</v>
      </c>
    </row>
    <row r="26" spans="1:6" x14ac:dyDescent="0.2">
      <c r="A26" s="26" t="s">
        <v>1050</v>
      </c>
      <c r="B26" s="26" t="s">
        <v>1049</v>
      </c>
      <c r="C26" s="26" t="s">
        <v>973</v>
      </c>
      <c r="D26" s="30">
        <v>3938381</v>
      </c>
      <c r="E26" s="28">
        <v>3483.4979950000002</v>
      </c>
      <c r="F26" s="29">
        <v>1.72765266289502</v>
      </c>
    </row>
    <row r="27" spans="1:6" x14ac:dyDescent="0.2">
      <c r="A27" s="26" t="s">
        <v>1052</v>
      </c>
      <c r="B27" s="26" t="s">
        <v>1051</v>
      </c>
      <c r="C27" s="26" t="s">
        <v>1053</v>
      </c>
      <c r="D27" s="30">
        <v>4517530</v>
      </c>
      <c r="E27" s="28">
        <v>3449.1341550000002</v>
      </c>
      <c r="F27" s="29">
        <v>1.7106097997245799</v>
      </c>
    </row>
    <row r="28" spans="1:6" x14ac:dyDescent="0.2">
      <c r="A28" s="26" t="s">
        <v>1095</v>
      </c>
      <c r="B28" s="26" t="s">
        <v>1094</v>
      </c>
      <c r="C28" s="26" t="s">
        <v>1096</v>
      </c>
      <c r="D28" s="30">
        <v>1001059</v>
      </c>
      <c r="E28" s="28">
        <v>3060.2373630000002</v>
      </c>
      <c r="F28" s="29">
        <v>1.5177351147801601</v>
      </c>
    </row>
    <row r="29" spans="1:6" x14ac:dyDescent="0.2">
      <c r="A29" s="26" t="s">
        <v>1023</v>
      </c>
      <c r="B29" s="26" t="s">
        <v>1022</v>
      </c>
      <c r="C29" s="26" t="s">
        <v>976</v>
      </c>
      <c r="D29" s="30">
        <v>67295</v>
      </c>
      <c r="E29" s="28">
        <v>3042.4405980000001</v>
      </c>
      <c r="F29" s="29">
        <v>1.50890874872877</v>
      </c>
    </row>
    <row r="30" spans="1:6" x14ac:dyDescent="0.2">
      <c r="A30" s="26" t="s">
        <v>958</v>
      </c>
      <c r="B30" s="26" t="s">
        <v>957</v>
      </c>
      <c r="C30" s="26" t="s">
        <v>959</v>
      </c>
      <c r="D30" s="30">
        <v>1724884</v>
      </c>
      <c r="E30" s="28">
        <v>2813.2858040000001</v>
      </c>
      <c r="F30" s="29">
        <v>1.39525865028246</v>
      </c>
    </row>
    <row r="31" spans="1:6" x14ac:dyDescent="0.2">
      <c r="A31" s="26" t="s">
        <v>1093</v>
      </c>
      <c r="B31" s="26" t="s">
        <v>1092</v>
      </c>
      <c r="C31" s="26" t="s">
        <v>965</v>
      </c>
      <c r="D31" s="30">
        <v>641207</v>
      </c>
      <c r="E31" s="28">
        <v>2744.6865640000001</v>
      </c>
      <c r="F31" s="29">
        <v>1.36123662419584</v>
      </c>
    </row>
    <row r="32" spans="1:6" x14ac:dyDescent="0.2">
      <c r="A32" s="26" t="s">
        <v>1055</v>
      </c>
      <c r="B32" s="26" t="s">
        <v>1054</v>
      </c>
      <c r="C32" s="26" t="s">
        <v>997</v>
      </c>
      <c r="D32" s="30">
        <v>2469496</v>
      </c>
      <c r="E32" s="28">
        <v>2679.4031599999998</v>
      </c>
      <c r="F32" s="29">
        <v>1.3288590982362101</v>
      </c>
    </row>
    <row r="33" spans="1:6" x14ac:dyDescent="0.2">
      <c r="A33" s="26" t="s">
        <v>972</v>
      </c>
      <c r="B33" s="26" t="s">
        <v>971</v>
      </c>
      <c r="C33" s="26" t="s">
        <v>973</v>
      </c>
      <c r="D33" s="30">
        <v>1225067</v>
      </c>
      <c r="E33" s="28">
        <v>2633.8940499999999</v>
      </c>
      <c r="F33" s="29">
        <v>1.3062887005525201</v>
      </c>
    </row>
    <row r="34" spans="1:6" x14ac:dyDescent="0.2">
      <c r="A34" s="26" t="s">
        <v>1266</v>
      </c>
      <c r="B34" s="26" t="s">
        <v>1265</v>
      </c>
      <c r="C34" s="26" t="s">
        <v>935</v>
      </c>
      <c r="D34" s="30">
        <v>2118215</v>
      </c>
      <c r="E34" s="28">
        <v>2567.2765800000002</v>
      </c>
      <c r="F34" s="29">
        <v>1.27324954002881</v>
      </c>
    </row>
    <row r="35" spans="1:6" x14ac:dyDescent="0.2">
      <c r="A35" s="26" t="s">
        <v>1302</v>
      </c>
      <c r="B35" s="26" t="s">
        <v>1301</v>
      </c>
      <c r="C35" s="26" t="s">
        <v>953</v>
      </c>
      <c r="D35" s="30">
        <v>364298</v>
      </c>
      <c r="E35" s="28">
        <v>2520.7600109999998</v>
      </c>
      <c r="F35" s="29">
        <v>1.2501794896320699</v>
      </c>
    </row>
    <row r="36" spans="1:6" x14ac:dyDescent="0.2">
      <c r="A36" s="26" t="s">
        <v>1060</v>
      </c>
      <c r="B36" s="26" t="s">
        <v>1059</v>
      </c>
      <c r="C36" s="26" t="s">
        <v>1029</v>
      </c>
      <c r="D36" s="30">
        <v>1174352</v>
      </c>
      <c r="E36" s="28">
        <v>2456.7443840000001</v>
      </c>
      <c r="F36" s="29">
        <v>1.2184307219818</v>
      </c>
    </row>
    <row r="37" spans="1:6" x14ac:dyDescent="0.2">
      <c r="A37" s="26" t="s">
        <v>952</v>
      </c>
      <c r="B37" s="26" t="s">
        <v>951</v>
      </c>
      <c r="C37" s="26" t="s">
        <v>953</v>
      </c>
      <c r="D37" s="30">
        <v>380035</v>
      </c>
      <c r="E37" s="28">
        <v>2405.8115680000001</v>
      </c>
      <c r="F37" s="29">
        <v>1.1931704188848999</v>
      </c>
    </row>
    <row r="38" spans="1:6" x14ac:dyDescent="0.2">
      <c r="A38" s="26" t="s">
        <v>1118</v>
      </c>
      <c r="B38" s="26" t="s">
        <v>1117</v>
      </c>
      <c r="C38" s="26" t="s">
        <v>962</v>
      </c>
      <c r="D38" s="30">
        <v>4919680</v>
      </c>
      <c r="E38" s="28">
        <v>2393.4243200000001</v>
      </c>
      <c r="F38" s="29">
        <v>1.1870269211639699</v>
      </c>
    </row>
    <row r="39" spans="1:6" x14ac:dyDescent="0.2">
      <c r="A39" s="26" t="s">
        <v>994</v>
      </c>
      <c r="B39" s="26" t="s">
        <v>993</v>
      </c>
      <c r="C39" s="26" t="s">
        <v>965</v>
      </c>
      <c r="D39" s="30">
        <v>247050</v>
      </c>
      <c r="E39" s="28">
        <v>2351.0513249999999</v>
      </c>
      <c r="F39" s="29">
        <v>1.1660118903668599</v>
      </c>
    </row>
    <row r="40" spans="1:6" x14ac:dyDescent="0.2">
      <c r="A40" s="26" t="s">
        <v>1358</v>
      </c>
      <c r="B40" s="26" t="s">
        <v>1357</v>
      </c>
      <c r="C40" s="26" t="s">
        <v>976</v>
      </c>
      <c r="D40" s="30">
        <v>211893</v>
      </c>
      <c r="E40" s="28">
        <v>1963.294592</v>
      </c>
      <c r="F40" s="29">
        <v>0.97370262155589205</v>
      </c>
    </row>
    <row r="41" spans="1:6" x14ac:dyDescent="0.2">
      <c r="A41" s="26" t="s">
        <v>967</v>
      </c>
      <c r="B41" s="26" t="s">
        <v>966</v>
      </c>
      <c r="C41" s="26" t="s">
        <v>968</v>
      </c>
      <c r="D41" s="30">
        <v>323797</v>
      </c>
      <c r="E41" s="28">
        <v>1937.6012479999999</v>
      </c>
      <c r="F41" s="29">
        <v>0.96095992032741695</v>
      </c>
    </row>
    <row r="42" spans="1:6" x14ac:dyDescent="0.2">
      <c r="A42" s="26" t="s">
        <v>1043</v>
      </c>
      <c r="B42" s="26" t="s">
        <v>1042</v>
      </c>
      <c r="C42" s="26" t="s">
        <v>941</v>
      </c>
      <c r="D42" s="30">
        <v>283932</v>
      </c>
      <c r="E42" s="28">
        <v>1935.422478</v>
      </c>
      <c r="F42" s="29">
        <v>0.959879351945365</v>
      </c>
    </row>
    <row r="43" spans="1:6" x14ac:dyDescent="0.2">
      <c r="A43" s="26" t="s">
        <v>1134</v>
      </c>
      <c r="B43" s="26" t="s">
        <v>1133</v>
      </c>
      <c r="C43" s="26" t="s">
        <v>1058</v>
      </c>
      <c r="D43" s="30">
        <v>417110</v>
      </c>
      <c r="E43" s="28">
        <v>1748.9422300000001</v>
      </c>
      <c r="F43" s="29">
        <v>0.86739383953888405</v>
      </c>
    </row>
    <row r="44" spans="1:6" x14ac:dyDescent="0.2">
      <c r="A44" s="26" t="s">
        <v>1389</v>
      </c>
      <c r="B44" s="26" t="s">
        <v>1388</v>
      </c>
      <c r="C44" s="26" t="s">
        <v>935</v>
      </c>
      <c r="D44" s="30">
        <v>330528</v>
      </c>
      <c r="E44" s="28">
        <v>1731.1404</v>
      </c>
      <c r="F44" s="29">
        <v>0.858564961483536</v>
      </c>
    </row>
    <row r="45" spans="1:6" x14ac:dyDescent="0.2">
      <c r="A45" s="26" t="s">
        <v>984</v>
      </c>
      <c r="B45" s="26" t="s">
        <v>983</v>
      </c>
      <c r="C45" s="26" t="s">
        <v>982</v>
      </c>
      <c r="D45" s="30">
        <v>1892345</v>
      </c>
      <c r="E45" s="28">
        <v>1646.34015</v>
      </c>
      <c r="F45" s="29">
        <v>0.81650798945801795</v>
      </c>
    </row>
    <row r="46" spans="1:6" x14ac:dyDescent="0.2">
      <c r="A46" s="26" t="s">
        <v>1105</v>
      </c>
      <c r="B46" s="26" t="s">
        <v>1104</v>
      </c>
      <c r="C46" s="26" t="s">
        <v>941</v>
      </c>
      <c r="D46" s="30">
        <v>415509</v>
      </c>
      <c r="E46" s="28">
        <v>1371.1796999999999</v>
      </c>
      <c r="F46" s="29">
        <v>0.68004122965272296</v>
      </c>
    </row>
    <row r="47" spans="1:6" x14ac:dyDescent="0.2">
      <c r="A47" s="26" t="s">
        <v>999</v>
      </c>
      <c r="B47" s="26" t="s">
        <v>998</v>
      </c>
      <c r="C47" s="26" t="s">
        <v>965</v>
      </c>
      <c r="D47" s="30">
        <v>312320</v>
      </c>
      <c r="E47" s="28">
        <v>1354.0633600000001</v>
      </c>
      <c r="F47" s="29">
        <v>0.67155232269125498</v>
      </c>
    </row>
    <row r="48" spans="1:6" x14ac:dyDescent="0.2">
      <c r="A48" s="26" t="s">
        <v>1085</v>
      </c>
      <c r="B48" s="26" t="s">
        <v>1084</v>
      </c>
      <c r="C48" s="26" t="s">
        <v>962</v>
      </c>
      <c r="D48" s="30">
        <v>3415915</v>
      </c>
      <c r="E48" s="28">
        <v>1280.9681250000001</v>
      </c>
      <c r="F48" s="29">
        <v>0.63530049261299804</v>
      </c>
    </row>
    <row r="49" spans="1:6" x14ac:dyDescent="0.2">
      <c r="A49" s="26" t="s">
        <v>1115</v>
      </c>
      <c r="B49" s="26" t="s">
        <v>1114</v>
      </c>
      <c r="C49" s="26" t="s">
        <v>1116</v>
      </c>
      <c r="D49" s="30">
        <v>397199</v>
      </c>
      <c r="E49" s="28">
        <v>1223.174321</v>
      </c>
      <c r="F49" s="29">
        <v>0.60663745921302303</v>
      </c>
    </row>
    <row r="50" spans="1:6" x14ac:dyDescent="0.2">
      <c r="A50" s="26" t="s">
        <v>1262</v>
      </c>
      <c r="B50" s="26" t="s">
        <v>1261</v>
      </c>
      <c r="C50" s="26" t="s">
        <v>1053</v>
      </c>
      <c r="D50" s="30">
        <v>5150797</v>
      </c>
      <c r="E50" s="28">
        <v>1215.588092</v>
      </c>
      <c r="F50" s="29">
        <v>0.60287504317259599</v>
      </c>
    </row>
    <row r="51" spans="1:6" x14ac:dyDescent="0.2">
      <c r="A51" s="26" t="s">
        <v>1005</v>
      </c>
      <c r="B51" s="26" t="s">
        <v>1004</v>
      </c>
      <c r="C51" s="26" t="s">
        <v>1006</v>
      </c>
      <c r="D51" s="30">
        <v>805716</v>
      </c>
      <c r="E51" s="28">
        <v>1004.727852</v>
      </c>
      <c r="F51" s="29">
        <v>0.49829819092305599</v>
      </c>
    </row>
    <row r="52" spans="1:6" x14ac:dyDescent="0.2">
      <c r="A52" s="26" t="s">
        <v>1132</v>
      </c>
      <c r="B52" s="26" t="s">
        <v>1131</v>
      </c>
      <c r="C52" s="26" t="s">
        <v>959</v>
      </c>
      <c r="D52" s="30">
        <v>3050843</v>
      </c>
      <c r="E52" s="28">
        <v>999.15108250000003</v>
      </c>
      <c r="F52" s="29">
        <v>0.49553237314711501</v>
      </c>
    </row>
    <row r="53" spans="1:6" x14ac:dyDescent="0.2">
      <c r="A53" s="26" t="s">
        <v>1103</v>
      </c>
      <c r="B53" s="26" t="s">
        <v>1102</v>
      </c>
      <c r="C53" s="26" t="s">
        <v>997</v>
      </c>
      <c r="D53" s="30">
        <v>360275</v>
      </c>
      <c r="E53" s="28">
        <v>971.84181249999995</v>
      </c>
      <c r="F53" s="29">
        <v>0.48198824793018102</v>
      </c>
    </row>
    <row r="54" spans="1:6" x14ac:dyDescent="0.2">
      <c r="A54" s="26" t="s">
        <v>1315</v>
      </c>
      <c r="B54" s="26" t="s">
        <v>1314</v>
      </c>
      <c r="C54" s="26" t="s">
        <v>997</v>
      </c>
      <c r="D54" s="30">
        <v>65000</v>
      </c>
      <c r="E54" s="28">
        <v>955.5</v>
      </c>
      <c r="F54" s="29">
        <v>0.473883470513148</v>
      </c>
    </row>
    <row r="55" spans="1:6" x14ac:dyDescent="0.2">
      <c r="A55" s="26" t="s">
        <v>1136</v>
      </c>
      <c r="B55" s="26" t="s">
        <v>1135</v>
      </c>
      <c r="C55" s="26" t="s">
        <v>950</v>
      </c>
      <c r="D55" s="30">
        <v>42129</v>
      </c>
      <c r="E55" s="28">
        <v>656.07491700000003</v>
      </c>
      <c r="F55" s="29">
        <v>0.32538258355268002</v>
      </c>
    </row>
    <row r="56" spans="1:6" x14ac:dyDescent="0.2">
      <c r="A56" s="26" t="s">
        <v>1339</v>
      </c>
      <c r="B56" s="26" t="s">
        <v>1338</v>
      </c>
      <c r="C56" s="26" t="s">
        <v>1208</v>
      </c>
      <c r="D56" s="30">
        <v>105014</v>
      </c>
      <c r="E56" s="28">
        <v>647.93637999999999</v>
      </c>
      <c r="F56" s="29">
        <v>0.32134624848364801</v>
      </c>
    </row>
    <row r="57" spans="1:6" x14ac:dyDescent="0.2">
      <c r="A57" s="26" t="s">
        <v>1010</v>
      </c>
      <c r="B57" s="26" t="s">
        <v>1009</v>
      </c>
      <c r="C57" s="26" t="s">
        <v>1011</v>
      </c>
      <c r="D57" s="30">
        <v>1656994</v>
      </c>
      <c r="E57" s="28">
        <v>635.45719899999995</v>
      </c>
      <c r="F57" s="29">
        <v>0.31515715627910401</v>
      </c>
    </row>
    <row r="58" spans="1:6" x14ac:dyDescent="0.2">
      <c r="A58" s="26" t="s">
        <v>1391</v>
      </c>
      <c r="B58" s="26" t="s">
        <v>1390</v>
      </c>
      <c r="C58" s="26" t="s">
        <v>997</v>
      </c>
      <c r="D58" s="30">
        <v>724550</v>
      </c>
      <c r="E58" s="28">
        <v>563.337625</v>
      </c>
      <c r="F58" s="29">
        <v>0.27938920858779098</v>
      </c>
    </row>
    <row r="59" spans="1:6" x14ac:dyDescent="0.2">
      <c r="A59" s="26" t="s">
        <v>1111</v>
      </c>
      <c r="B59" s="26" t="s">
        <v>1110</v>
      </c>
      <c r="C59" s="26" t="s">
        <v>1029</v>
      </c>
      <c r="D59" s="30">
        <v>1113029</v>
      </c>
      <c r="E59" s="28">
        <v>546.49723900000004</v>
      </c>
      <c r="F59" s="29">
        <v>0.27103716194994598</v>
      </c>
    </row>
    <row r="60" spans="1:6" x14ac:dyDescent="0.2">
      <c r="A60" s="26" t="s">
        <v>1393</v>
      </c>
      <c r="B60" s="26" t="s">
        <v>1392</v>
      </c>
      <c r="C60" s="26" t="s">
        <v>953</v>
      </c>
      <c r="D60" s="30">
        <v>188143</v>
      </c>
      <c r="E60" s="28">
        <v>414.10274299999998</v>
      </c>
      <c r="F60" s="29">
        <v>0.20537566195903101</v>
      </c>
    </row>
    <row r="61" spans="1:6" x14ac:dyDescent="0.2">
      <c r="A61" s="26" t="s">
        <v>1057</v>
      </c>
      <c r="B61" s="26" t="s">
        <v>1056</v>
      </c>
      <c r="C61" s="26" t="s">
        <v>1058</v>
      </c>
      <c r="D61" s="30">
        <v>656332</v>
      </c>
      <c r="E61" s="28">
        <v>403.64418000000001</v>
      </c>
      <c r="F61" s="29">
        <v>0.20018870211494899</v>
      </c>
    </row>
    <row r="62" spans="1:6" x14ac:dyDescent="0.2">
      <c r="A62" s="26" t="s">
        <v>1395</v>
      </c>
      <c r="B62" s="26" t="s">
        <v>1394</v>
      </c>
      <c r="C62" s="26" t="s">
        <v>1011</v>
      </c>
      <c r="D62" s="30">
        <v>4997148</v>
      </c>
      <c r="E62" s="28">
        <v>359.79465599999997</v>
      </c>
      <c r="F62" s="29">
        <v>0.178441381745017</v>
      </c>
    </row>
    <row r="63" spans="1:6" x14ac:dyDescent="0.2">
      <c r="A63" s="26" t="s">
        <v>1397</v>
      </c>
      <c r="B63" s="26" t="s">
        <v>1396</v>
      </c>
      <c r="C63" s="26" t="s">
        <v>1006</v>
      </c>
      <c r="D63" s="30">
        <v>269073</v>
      </c>
      <c r="E63" s="28">
        <v>225.75224700000001</v>
      </c>
      <c r="F63" s="29">
        <v>0.111962593704345</v>
      </c>
    </row>
    <row r="64" spans="1:6" x14ac:dyDescent="0.2">
      <c r="A64" s="26" t="s">
        <v>1012</v>
      </c>
      <c r="B64" s="26" t="s">
        <v>1570</v>
      </c>
      <c r="C64" s="26" t="s">
        <v>1006</v>
      </c>
      <c r="D64" s="30">
        <v>94174</v>
      </c>
      <c r="E64" s="28">
        <v>65.639278000000004</v>
      </c>
      <c r="F64" s="29">
        <v>3.2554022878720397E-2</v>
      </c>
    </row>
    <row r="65" spans="1:9" x14ac:dyDescent="0.2">
      <c r="A65" s="26" t="s">
        <v>1399</v>
      </c>
      <c r="B65" s="26" t="s">
        <v>1398</v>
      </c>
      <c r="C65" s="26" t="s">
        <v>1006</v>
      </c>
      <c r="D65" s="30">
        <v>35876</v>
      </c>
      <c r="E65" s="28">
        <v>3.1929639999999999</v>
      </c>
      <c r="F65" s="29">
        <v>1.5835613412282E-3</v>
      </c>
    </row>
    <row r="66" spans="1:9" ht="10.5" x14ac:dyDescent="0.25">
      <c r="A66" s="25" t="s">
        <v>167</v>
      </c>
      <c r="B66" s="25"/>
      <c r="C66" s="25"/>
      <c r="D66" s="31"/>
      <c r="E66" s="32">
        <f>SUM(E7:E65)</f>
        <v>196380.90330799995</v>
      </c>
      <c r="F66" s="33">
        <f>SUM(F7:F65)</f>
        <v>97.39577603569019</v>
      </c>
      <c r="G66" s="17"/>
      <c r="H66" s="17"/>
      <c r="I66" s="17"/>
    </row>
    <row r="67" spans="1:9" x14ac:dyDescent="0.2">
      <c r="A67" s="26"/>
      <c r="B67" s="26"/>
      <c r="C67" s="26"/>
      <c r="D67" s="27"/>
      <c r="E67" s="28"/>
      <c r="F67" s="29"/>
    </row>
    <row r="68" spans="1:9" ht="10.5" x14ac:dyDescent="0.25">
      <c r="A68" s="25" t="s">
        <v>205</v>
      </c>
      <c r="B68" s="25"/>
      <c r="C68" s="25"/>
      <c r="D68" s="31"/>
      <c r="E68" s="32">
        <f>E66</f>
        <v>196380.90330799995</v>
      </c>
      <c r="F68" s="33">
        <f>F66</f>
        <v>97.39577603569019</v>
      </c>
      <c r="G68" s="17"/>
      <c r="H68" s="17"/>
      <c r="I68" s="17"/>
    </row>
    <row r="69" spans="1:9" ht="10.5" x14ac:dyDescent="0.25">
      <c r="A69" s="25"/>
      <c r="B69" s="25"/>
      <c r="C69" s="25"/>
      <c r="D69" s="31"/>
      <c r="E69" s="32"/>
      <c r="F69" s="33"/>
      <c r="G69" s="17"/>
      <c r="H69" s="17"/>
      <c r="I69" s="17"/>
    </row>
    <row r="70" spans="1:9" ht="10.5" x14ac:dyDescent="0.25">
      <c r="A70" s="25" t="s">
        <v>207</v>
      </c>
      <c r="B70" s="25"/>
      <c r="C70" s="25"/>
      <c r="D70" s="31"/>
      <c r="E70" s="32">
        <f>E72-(E66)</f>
        <v>5250.9449110000569</v>
      </c>
      <c r="F70" s="33">
        <f>F72-(F66)</f>
        <v>2.60422396430981</v>
      </c>
      <c r="G70" s="17"/>
      <c r="H70" s="17"/>
      <c r="I70" s="17"/>
    </row>
    <row r="71" spans="1:9" ht="10.5" x14ac:dyDescent="0.25">
      <c r="A71" s="25"/>
      <c r="B71" s="25"/>
      <c r="C71" s="25"/>
      <c r="D71" s="31"/>
      <c r="E71" s="32"/>
      <c r="F71" s="33"/>
      <c r="G71" s="17"/>
      <c r="H71" s="17"/>
      <c r="I71" s="17"/>
    </row>
    <row r="72" spans="1:9" ht="10.5" x14ac:dyDescent="0.25">
      <c r="A72" s="34" t="s">
        <v>206</v>
      </c>
      <c r="B72" s="34"/>
      <c r="C72" s="34"/>
      <c r="D72" s="35"/>
      <c r="E72" s="36">
        <v>201631.84821900001</v>
      </c>
      <c r="F72" s="37">
        <v>100</v>
      </c>
      <c r="G72" s="17"/>
      <c r="H72" s="17"/>
      <c r="I72" s="17"/>
    </row>
    <row r="73" spans="1:9" ht="10.5" x14ac:dyDescent="0.25">
      <c r="A73" s="63" t="s">
        <v>1551</v>
      </c>
      <c r="F73" s="19" t="s">
        <v>394</v>
      </c>
    </row>
    <row r="75" spans="1:9" ht="10.5" x14ac:dyDescent="0.25">
      <c r="A75" s="17" t="s">
        <v>210</v>
      </c>
    </row>
    <row r="76" spans="1:9" ht="10.5" x14ac:dyDescent="0.25">
      <c r="A76" s="17" t="s">
        <v>211</v>
      </c>
    </row>
    <row r="77" spans="1:9" ht="10.5" x14ac:dyDescent="0.25">
      <c r="A77" s="17" t="s">
        <v>212</v>
      </c>
      <c r="B77" s="17"/>
      <c r="C77" s="38" t="s">
        <v>214</v>
      </c>
      <c r="D77" s="18" t="s">
        <v>213</v>
      </c>
    </row>
    <row r="78" spans="1:9" x14ac:dyDescent="0.2">
      <c r="A78" s="10" t="s">
        <v>486</v>
      </c>
      <c r="C78" s="39">
        <v>81.097300000000004</v>
      </c>
      <c r="D78" s="39">
        <v>66.943200000000004</v>
      </c>
    </row>
    <row r="79" spans="1:9" x14ac:dyDescent="0.2">
      <c r="A79" s="10" t="s">
        <v>520</v>
      </c>
      <c r="C79" s="39">
        <v>15.476699999999999</v>
      </c>
      <c r="D79" s="39">
        <v>11.735300000000001</v>
      </c>
    </row>
    <row r="80" spans="1:9" x14ac:dyDescent="0.2">
      <c r="A80" s="10" t="s">
        <v>489</v>
      </c>
      <c r="C80" s="39">
        <v>85.397800000000004</v>
      </c>
      <c r="D80" s="39">
        <v>70.858699999999999</v>
      </c>
    </row>
    <row r="81" spans="1:4" x14ac:dyDescent="0.2">
      <c r="A81" s="10" t="s">
        <v>521</v>
      </c>
      <c r="C81" s="39">
        <v>16.6007</v>
      </c>
      <c r="D81" s="39">
        <v>12.732200000000001</v>
      </c>
    </row>
    <row r="83" spans="1:4" ht="10.5" x14ac:dyDescent="0.25">
      <c r="A83" s="17" t="s">
        <v>226</v>
      </c>
    </row>
    <row r="84" spans="1:4" ht="10.5" x14ac:dyDescent="0.25">
      <c r="A84" s="147" t="s">
        <v>401</v>
      </c>
      <c r="B84" s="148"/>
      <c r="C84" s="145" t="s">
        <v>402</v>
      </c>
      <c r="D84" s="146"/>
    </row>
    <row r="85" spans="1:4" ht="10.5" x14ac:dyDescent="0.25">
      <c r="A85" s="147"/>
      <c r="B85" s="148"/>
      <c r="C85" s="43" t="s">
        <v>403</v>
      </c>
      <c r="D85" s="44" t="s">
        <v>404</v>
      </c>
    </row>
    <row r="86" spans="1:4" x14ac:dyDescent="0.2">
      <c r="A86" s="141" t="s">
        <v>520</v>
      </c>
      <c r="B86" s="142"/>
      <c r="C86" s="45">
        <v>0.92500000000000004</v>
      </c>
      <c r="D86" s="45">
        <v>0.92500000000000004</v>
      </c>
    </row>
    <row r="87" spans="1:4" x14ac:dyDescent="0.2">
      <c r="A87" s="141" t="s">
        <v>521</v>
      </c>
      <c r="B87" s="142"/>
      <c r="C87" s="45">
        <v>0.92500000000000004</v>
      </c>
      <c r="D87" s="45">
        <v>0.92500000000000004</v>
      </c>
    </row>
    <row r="89" spans="1:4" ht="10.5" x14ac:dyDescent="0.25">
      <c r="A89" s="17" t="s">
        <v>1065</v>
      </c>
      <c r="D89" s="46">
        <v>0.2014</v>
      </c>
    </row>
  </sheetData>
  <mergeCells count="6">
    <mergeCell ref="A87:B87"/>
    <mergeCell ref="A1:F1"/>
    <mergeCell ref="C84:D84"/>
    <mergeCell ref="A84:B84"/>
    <mergeCell ref="A85:B85"/>
    <mergeCell ref="A86:B86"/>
  </mergeCells>
  <conditionalFormatting sqref="F2:F3 F5:F65536">
    <cfRule type="cellIs" dxfId="1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1"/>
  <sheetViews>
    <sheetView workbookViewId="0">
      <selection sqref="A1:F1"/>
    </sheetView>
  </sheetViews>
  <sheetFormatPr defaultColWidth="9.1796875" defaultRowHeight="10" x14ac:dyDescent="0.2"/>
  <cols>
    <col min="1" max="1" width="38.7265625" style="10" bestFit="1" customWidth="1"/>
    <col min="2" max="2" width="24.1796875" style="10" bestFit="1" customWidth="1"/>
    <col min="3" max="3" width="18.81640625" style="10" bestFit="1" customWidth="1"/>
    <col min="4" max="4" width="14.7265625" style="11" bestFit="1" customWidth="1"/>
    <col min="5" max="5" width="23" style="15" bestFit="1" customWidth="1"/>
    <col min="6" max="6" width="13.54296875" style="16" bestFit="1" customWidth="1"/>
    <col min="7" max="7" width="4.54296875" style="10" bestFit="1" customWidth="1"/>
    <col min="8" max="16384" width="9.1796875" style="10"/>
  </cols>
  <sheetData>
    <row r="1" spans="1:6" s="1" customFormat="1" ht="14" x14ac:dyDescent="0.25">
      <c r="A1" s="143" t="s">
        <v>55</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947</v>
      </c>
      <c r="B7" s="26" t="s">
        <v>946</v>
      </c>
      <c r="C7" s="26" t="s">
        <v>935</v>
      </c>
      <c r="D7" s="30">
        <v>13800000</v>
      </c>
      <c r="E7" s="28">
        <v>47858.400000000001</v>
      </c>
      <c r="F7" s="29">
        <v>9.3518385757394498</v>
      </c>
    </row>
    <row r="8" spans="1:6" x14ac:dyDescent="0.2">
      <c r="A8" s="26" t="s">
        <v>990</v>
      </c>
      <c r="B8" s="26" t="s">
        <v>989</v>
      </c>
      <c r="C8" s="26" t="s">
        <v>935</v>
      </c>
      <c r="D8" s="30">
        <v>21000000</v>
      </c>
      <c r="E8" s="28">
        <v>40204.5</v>
      </c>
      <c r="F8" s="29">
        <v>7.8562173833290903</v>
      </c>
    </row>
    <row r="9" spans="1:6" x14ac:dyDescent="0.2">
      <c r="A9" s="26" t="s">
        <v>937</v>
      </c>
      <c r="B9" s="26" t="s">
        <v>936</v>
      </c>
      <c r="C9" s="26" t="s">
        <v>938</v>
      </c>
      <c r="D9" s="30">
        <v>7000000</v>
      </c>
      <c r="E9" s="28">
        <v>38839.5</v>
      </c>
      <c r="F9" s="29">
        <v>7.5894876210327196</v>
      </c>
    </row>
    <row r="10" spans="1:6" x14ac:dyDescent="0.2">
      <c r="A10" s="26" t="s">
        <v>943</v>
      </c>
      <c r="B10" s="26" t="s">
        <v>942</v>
      </c>
      <c r="C10" s="26" t="s">
        <v>935</v>
      </c>
      <c r="D10" s="30">
        <v>8300000</v>
      </c>
      <c r="E10" s="28">
        <v>35826.949999999997</v>
      </c>
      <c r="F10" s="29">
        <v>7.00081601267674</v>
      </c>
    </row>
    <row r="11" spans="1:6" x14ac:dyDescent="0.2">
      <c r="A11" s="26" t="s">
        <v>934</v>
      </c>
      <c r="B11" s="26" t="s">
        <v>933</v>
      </c>
      <c r="C11" s="26" t="s">
        <v>935</v>
      </c>
      <c r="D11" s="30">
        <v>3200000</v>
      </c>
      <c r="E11" s="28">
        <v>33049.599999999999</v>
      </c>
      <c r="F11" s="29">
        <v>6.4581039941318297</v>
      </c>
    </row>
    <row r="12" spans="1:6" x14ac:dyDescent="0.2">
      <c r="A12" s="26" t="s">
        <v>1325</v>
      </c>
      <c r="B12" s="26" t="s">
        <v>1324</v>
      </c>
      <c r="C12" s="26" t="s">
        <v>953</v>
      </c>
      <c r="D12" s="30">
        <v>1930000</v>
      </c>
      <c r="E12" s="28">
        <v>27511.185000000001</v>
      </c>
      <c r="F12" s="29">
        <v>5.3758621505797199</v>
      </c>
    </row>
    <row r="13" spans="1:6" x14ac:dyDescent="0.2">
      <c r="A13" s="26" t="s">
        <v>1354</v>
      </c>
      <c r="B13" s="26" t="s">
        <v>1353</v>
      </c>
      <c r="C13" s="26" t="s">
        <v>953</v>
      </c>
      <c r="D13" s="30">
        <v>575000</v>
      </c>
      <c r="E13" s="28">
        <v>23674.474999999999</v>
      </c>
      <c r="F13" s="29">
        <v>4.6261443877225199</v>
      </c>
    </row>
    <row r="14" spans="1:6" x14ac:dyDescent="0.2">
      <c r="A14" s="26" t="s">
        <v>988</v>
      </c>
      <c r="B14" s="26" t="s">
        <v>987</v>
      </c>
      <c r="C14" s="26" t="s">
        <v>973</v>
      </c>
      <c r="D14" s="30">
        <v>5700000</v>
      </c>
      <c r="E14" s="28">
        <v>23586.6</v>
      </c>
      <c r="F14" s="29">
        <v>4.6089730486296299</v>
      </c>
    </row>
    <row r="15" spans="1:6" x14ac:dyDescent="0.2">
      <c r="A15" s="26" t="s">
        <v>1050</v>
      </c>
      <c r="B15" s="26" t="s">
        <v>1049</v>
      </c>
      <c r="C15" s="26" t="s">
        <v>973</v>
      </c>
      <c r="D15" s="30">
        <v>24000000</v>
      </c>
      <c r="E15" s="28">
        <v>21228</v>
      </c>
      <c r="F15" s="29">
        <v>4.1480874681518198</v>
      </c>
    </row>
    <row r="16" spans="1:6" x14ac:dyDescent="0.2">
      <c r="A16" s="26" t="s">
        <v>1358</v>
      </c>
      <c r="B16" s="26" t="s">
        <v>1357</v>
      </c>
      <c r="C16" s="26" t="s">
        <v>976</v>
      </c>
      <c r="D16" s="30">
        <v>2200000</v>
      </c>
      <c r="E16" s="28">
        <v>20384.099999999999</v>
      </c>
      <c r="F16" s="29">
        <v>3.9831839909343101</v>
      </c>
    </row>
    <row r="17" spans="1:9" x14ac:dyDescent="0.2">
      <c r="A17" s="26" t="s">
        <v>1356</v>
      </c>
      <c r="B17" s="26" t="s">
        <v>1355</v>
      </c>
      <c r="C17" s="26" t="s">
        <v>1099</v>
      </c>
      <c r="D17" s="30">
        <v>2000000</v>
      </c>
      <c r="E17" s="28">
        <v>19597</v>
      </c>
      <c r="F17" s="29">
        <v>3.8293795983310401</v>
      </c>
    </row>
    <row r="18" spans="1:9" x14ac:dyDescent="0.2">
      <c r="A18" s="26" t="s">
        <v>984</v>
      </c>
      <c r="B18" s="26" t="s">
        <v>983</v>
      </c>
      <c r="C18" s="26" t="s">
        <v>982</v>
      </c>
      <c r="D18" s="30">
        <v>21400000</v>
      </c>
      <c r="E18" s="28">
        <v>18618</v>
      </c>
      <c r="F18" s="29">
        <v>3.6380767138708601</v>
      </c>
    </row>
    <row r="19" spans="1:9" x14ac:dyDescent="0.2">
      <c r="A19" s="26" t="s">
        <v>940</v>
      </c>
      <c r="B19" s="26" t="s">
        <v>939</v>
      </c>
      <c r="C19" s="26" t="s">
        <v>941</v>
      </c>
      <c r="D19" s="30">
        <v>1540460</v>
      </c>
      <c r="E19" s="28">
        <v>14880.8436</v>
      </c>
      <c r="F19" s="29">
        <v>2.9078123635145698</v>
      </c>
    </row>
    <row r="20" spans="1:9" x14ac:dyDescent="0.2">
      <c r="A20" s="26" t="s">
        <v>1062</v>
      </c>
      <c r="B20" s="26" t="s">
        <v>1061</v>
      </c>
      <c r="C20" s="26" t="s">
        <v>956</v>
      </c>
      <c r="D20" s="30">
        <v>14500000</v>
      </c>
      <c r="E20" s="28">
        <v>14014.25</v>
      </c>
      <c r="F20" s="29">
        <v>2.7384744111808299</v>
      </c>
    </row>
    <row r="21" spans="1:9" x14ac:dyDescent="0.2">
      <c r="A21" s="26" t="s">
        <v>1393</v>
      </c>
      <c r="B21" s="26" t="s">
        <v>1392</v>
      </c>
      <c r="C21" s="26" t="s">
        <v>953</v>
      </c>
      <c r="D21" s="30">
        <v>6000000</v>
      </c>
      <c r="E21" s="28">
        <v>13206</v>
      </c>
      <c r="F21" s="29">
        <v>2.5805371728101099</v>
      </c>
    </row>
    <row r="22" spans="1:9" x14ac:dyDescent="0.2">
      <c r="A22" s="26" t="s">
        <v>952</v>
      </c>
      <c r="B22" s="26" t="s">
        <v>951</v>
      </c>
      <c r="C22" s="26" t="s">
        <v>953</v>
      </c>
      <c r="D22" s="30">
        <v>2000000</v>
      </c>
      <c r="E22" s="28">
        <v>12661</v>
      </c>
      <c r="F22" s="29">
        <v>2.4740406743108299</v>
      </c>
    </row>
    <row r="23" spans="1:9" x14ac:dyDescent="0.2">
      <c r="A23" s="26" t="s">
        <v>1064</v>
      </c>
      <c r="B23" s="26" t="s">
        <v>1063</v>
      </c>
      <c r="C23" s="26" t="s">
        <v>935</v>
      </c>
      <c r="D23" s="30">
        <v>20000000</v>
      </c>
      <c r="E23" s="28">
        <v>10780</v>
      </c>
      <c r="F23" s="29">
        <v>2.1064811996738602</v>
      </c>
    </row>
    <row r="24" spans="1:9" x14ac:dyDescent="0.2">
      <c r="A24" s="26" t="s">
        <v>1045</v>
      </c>
      <c r="B24" s="26" t="s">
        <v>1044</v>
      </c>
      <c r="C24" s="26" t="s">
        <v>1046</v>
      </c>
      <c r="D24" s="30">
        <v>1000000</v>
      </c>
      <c r="E24" s="28">
        <v>9134.5</v>
      </c>
      <c r="F24" s="29">
        <v>1.78493993677373</v>
      </c>
    </row>
    <row r="25" spans="1:9" x14ac:dyDescent="0.2">
      <c r="A25" s="26" t="s">
        <v>1023</v>
      </c>
      <c r="B25" s="26" t="s">
        <v>1022</v>
      </c>
      <c r="C25" s="26" t="s">
        <v>976</v>
      </c>
      <c r="D25" s="30">
        <v>200000</v>
      </c>
      <c r="E25" s="28">
        <v>9042.1</v>
      </c>
      <c r="F25" s="29">
        <v>1.7668843836336701</v>
      </c>
    </row>
    <row r="26" spans="1:9" x14ac:dyDescent="0.2">
      <c r="A26" s="26" t="s">
        <v>958</v>
      </c>
      <c r="B26" s="26" t="s">
        <v>957</v>
      </c>
      <c r="C26" s="26" t="s">
        <v>959</v>
      </c>
      <c r="D26" s="30">
        <v>4500000</v>
      </c>
      <c r="E26" s="28">
        <v>7339.5</v>
      </c>
      <c r="F26" s="29">
        <v>1.43418541419353</v>
      </c>
    </row>
    <row r="27" spans="1:9" x14ac:dyDescent="0.2">
      <c r="A27" s="26" t="s">
        <v>1401</v>
      </c>
      <c r="B27" s="26" t="s">
        <v>1400</v>
      </c>
      <c r="C27" s="26" t="s">
        <v>962</v>
      </c>
      <c r="D27" s="30">
        <v>200000</v>
      </c>
      <c r="E27" s="28">
        <v>5353</v>
      </c>
      <c r="F27" s="29">
        <v>1.04601056232413</v>
      </c>
    </row>
    <row r="28" spans="1:9" x14ac:dyDescent="0.2">
      <c r="A28" s="26" t="s">
        <v>1317</v>
      </c>
      <c r="B28" s="26" t="s">
        <v>1316</v>
      </c>
      <c r="C28" s="26" t="s">
        <v>1239</v>
      </c>
      <c r="D28" s="30">
        <v>300000</v>
      </c>
      <c r="E28" s="28">
        <v>5023.8</v>
      </c>
      <c r="F28" s="29">
        <v>0.981682769102182</v>
      </c>
    </row>
    <row r="29" spans="1:9" x14ac:dyDescent="0.2">
      <c r="A29" s="26" t="s">
        <v>1107</v>
      </c>
      <c r="B29" s="26" t="s">
        <v>1106</v>
      </c>
      <c r="C29" s="26" t="s">
        <v>950</v>
      </c>
      <c r="D29" s="30">
        <v>3300000</v>
      </c>
      <c r="E29" s="28">
        <v>3572.25</v>
      </c>
      <c r="F29" s="29">
        <v>0.69804058121845403</v>
      </c>
    </row>
    <row r="30" spans="1:9" x14ac:dyDescent="0.2">
      <c r="A30" s="26" t="s">
        <v>1085</v>
      </c>
      <c r="B30" s="26" t="s">
        <v>1084</v>
      </c>
      <c r="C30" s="26" t="s">
        <v>962</v>
      </c>
      <c r="D30" s="30">
        <v>8000000</v>
      </c>
      <c r="E30" s="28">
        <v>3000</v>
      </c>
      <c r="F30" s="29">
        <v>0.58621925779420903</v>
      </c>
    </row>
    <row r="31" spans="1:9" x14ac:dyDescent="0.2">
      <c r="A31" s="26" t="s">
        <v>1090</v>
      </c>
      <c r="B31" s="26" t="s">
        <v>1089</v>
      </c>
      <c r="C31" s="26" t="s">
        <v>1091</v>
      </c>
      <c r="D31" s="30">
        <v>3500000</v>
      </c>
      <c r="E31" s="28">
        <v>2740.5</v>
      </c>
      <c r="F31" s="29">
        <v>0.53551129199501002</v>
      </c>
    </row>
    <row r="32" spans="1:9" ht="10.5" x14ac:dyDescent="0.25">
      <c r="A32" s="25" t="s">
        <v>167</v>
      </c>
      <c r="B32" s="25"/>
      <c r="C32" s="25"/>
      <c r="D32" s="31"/>
      <c r="E32" s="32">
        <f>SUM(E7:E31)</f>
        <v>461126.05359999993</v>
      </c>
      <c r="F32" s="33">
        <f>SUM(F7:F31)</f>
        <v>90.106990963654837</v>
      </c>
      <c r="G32" s="17"/>
      <c r="H32" s="17"/>
      <c r="I32" s="17"/>
    </row>
    <row r="33" spans="1:9" x14ac:dyDescent="0.2">
      <c r="A33" s="26"/>
      <c r="B33" s="26"/>
      <c r="C33" s="26"/>
      <c r="D33" s="27"/>
      <c r="E33" s="28"/>
      <c r="F33" s="29"/>
    </row>
    <row r="34" spans="1:9" ht="10.5" x14ac:dyDescent="0.25">
      <c r="A34" s="25" t="s">
        <v>205</v>
      </c>
      <c r="B34" s="25"/>
      <c r="C34" s="25"/>
      <c r="D34" s="31"/>
      <c r="E34" s="32">
        <f>E32</f>
        <v>461126.05359999993</v>
      </c>
      <c r="F34" s="33">
        <f>F32</f>
        <v>90.106990963654837</v>
      </c>
      <c r="G34" s="17"/>
      <c r="H34" s="17"/>
      <c r="I34" s="17"/>
    </row>
    <row r="35" spans="1:9" ht="10.5" x14ac:dyDescent="0.25">
      <c r="A35" s="25"/>
      <c r="B35" s="25"/>
      <c r="C35" s="25"/>
      <c r="D35" s="31"/>
      <c r="E35" s="32"/>
      <c r="F35" s="33"/>
      <c r="G35" s="17"/>
      <c r="H35" s="17"/>
      <c r="I35" s="17"/>
    </row>
    <row r="36" spans="1:9" ht="10.5" x14ac:dyDescent="0.25">
      <c r="A36" s="25" t="s">
        <v>207</v>
      </c>
      <c r="B36" s="25"/>
      <c r="C36" s="25"/>
      <c r="D36" s="31"/>
      <c r="E36" s="32">
        <f>E38-(E32)</f>
        <v>50627.861016900046</v>
      </c>
      <c r="F36" s="33">
        <f>F38-(F32)</f>
        <v>9.8930090363451626</v>
      </c>
      <c r="G36" s="17"/>
      <c r="H36" s="17"/>
      <c r="I36" s="17"/>
    </row>
    <row r="37" spans="1:9" ht="10.5" x14ac:dyDescent="0.25">
      <c r="A37" s="25"/>
      <c r="B37" s="25"/>
      <c r="C37" s="25"/>
      <c r="D37" s="31"/>
      <c r="E37" s="32"/>
      <c r="F37" s="33"/>
      <c r="G37" s="17"/>
      <c r="H37" s="17"/>
      <c r="I37" s="17"/>
    </row>
    <row r="38" spans="1:9" ht="10.5" x14ac:dyDescent="0.25">
      <c r="A38" s="34" t="s">
        <v>206</v>
      </c>
      <c r="B38" s="34"/>
      <c r="C38" s="34"/>
      <c r="D38" s="35"/>
      <c r="E38" s="36">
        <v>511753.91461689997</v>
      </c>
      <c r="F38" s="37">
        <v>100</v>
      </c>
      <c r="G38" s="17"/>
      <c r="H38" s="17"/>
      <c r="I38" s="17"/>
    </row>
    <row r="41" spans="1:9" ht="10.5" x14ac:dyDescent="0.25">
      <c r="A41" s="17" t="s">
        <v>210</v>
      </c>
    </row>
    <row r="42" spans="1:9" ht="10.5" x14ac:dyDescent="0.25">
      <c r="A42" s="17" t="s">
        <v>211</v>
      </c>
    </row>
    <row r="43" spans="1:9" ht="10.5" x14ac:dyDescent="0.25">
      <c r="A43" s="17" t="s">
        <v>212</v>
      </c>
      <c r="B43" s="17"/>
      <c r="C43" s="38" t="s">
        <v>214</v>
      </c>
      <c r="D43" s="18" t="s">
        <v>213</v>
      </c>
    </row>
    <row r="44" spans="1:9" x14ac:dyDescent="0.2">
      <c r="A44" s="10" t="s">
        <v>486</v>
      </c>
      <c r="C44" s="39">
        <v>469.21679999999998</v>
      </c>
      <c r="D44" s="39">
        <v>417.98540000000003</v>
      </c>
    </row>
    <row r="45" spans="1:9" x14ac:dyDescent="0.2">
      <c r="A45" s="10" t="s">
        <v>520</v>
      </c>
      <c r="C45" s="39">
        <v>34.560600000000001</v>
      </c>
      <c r="D45" s="39">
        <v>30.787199999999999</v>
      </c>
    </row>
    <row r="46" spans="1:9" x14ac:dyDescent="0.2">
      <c r="A46" s="10" t="s">
        <v>489</v>
      </c>
      <c r="C46" s="39">
        <v>497.7534</v>
      </c>
      <c r="D46" s="39">
        <v>445.02010000000001</v>
      </c>
    </row>
    <row r="47" spans="1:9" x14ac:dyDescent="0.2">
      <c r="A47" s="10" t="s">
        <v>521</v>
      </c>
      <c r="C47" s="39">
        <v>37.689500000000002</v>
      </c>
      <c r="D47" s="39">
        <v>33.695500000000003</v>
      </c>
    </row>
    <row r="49" spans="1:4" ht="10.5" x14ac:dyDescent="0.25">
      <c r="A49" s="17" t="s">
        <v>226</v>
      </c>
      <c r="D49" s="40" t="s">
        <v>227</v>
      </c>
    </row>
    <row r="51" spans="1:4" ht="10.5" x14ac:dyDescent="0.25">
      <c r="A51" s="17" t="s">
        <v>1065</v>
      </c>
      <c r="D51" s="46">
        <v>0.23760000000000001</v>
      </c>
    </row>
  </sheetData>
  <mergeCells count="1">
    <mergeCell ref="A1:F1"/>
  </mergeCells>
  <conditionalFormatting sqref="F2:F3 F5:F65536">
    <cfRule type="cellIs" dxfId="1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61"/>
  <sheetViews>
    <sheetView workbookViewId="0">
      <selection sqref="A1:F1"/>
    </sheetView>
  </sheetViews>
  <sheetFormatPr defaultColWidth="9.1796875" defaultRowHeight="10" x14ac:dyDescent="0.2"/>
  <cols>
    <col min="1" max="1" width="38.7265625" style="10" bestFit="1" customWidth="1"/>
    <col min="2" max="2" width="32.26953125" style="10" bestFit="1" customWidth="1"/>
    <col min="3" max="3" width="18.81640625" style="10" bestFit="1" customWidth="1"/>
    <col min="4" max="4" width="14.7265625" style="11" bestFit="1" customWidth="1"/>
    <col min="5" max="5" width="23" style="15" bestFit="1" customWidth="1"/>
    <col min="6" max="6" width="13.54296875" style="16" bestFit="1" customWidth="1"/>
    <col min="7" max="7" width="4.54296875" style="10" bestFit="1" customWidth="1"/>
    <col min="8" max="16384" width="9.1796875" style="10"/>
  </cols>
  <sheetData>
    <row r="1" spans="1:6" s="1" customFormat="1" ht="14" x14ac:dyDescent="0.25">
      <c r="A1" s="143" t="s">
        <v>56</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990</v>
      </c>
      <c r="B7" s="26" t="s">
        <v>989</v>
      </c>
      <c r="C7" s="26" t="s">
        <v>935</v>
      </c>
      <c r="D7" s="30">
        <v>4000000</v>
      </c>
      <c r="E7" s="28">
        <v>7658</v>
      </c>
      <c r="F7" s="29">
        <v>8.6175342218376692</v>
      </c>
    </row>
    <row r="8" spans="1:6" x14ac:dyDescent="0.2">
      <c r="A8" s="26" t="s">
        <v>947</v>
      </c>
      <c r="B8" s="26" t="s">
        <v>946</v>
      </c>
      <c r="C8" s="26" t="s">
        <v>935</v>
      </c>
      <c r="D8" s="30">
        <v>2000000</v>
      </c>
      <c r="E8" s="28">
        <v>6936</v>
      </c>
      <c r="F8" s="29">
        <v>7.8050688642812798</v>
      </c>
    </row>
    <row r="9" spans="1:6" x14ac:dyDescent="0.2">
      <c r="A9" s="26" t="s">
        <v>943</v>
      </c>
      <c r="B9" s="26" t="s">
        <v>942</v>
      </c>
      <c r="C9" s="26" t="s">
        <v>935</v>
      </c>
      <c r="D9" s="30">
        <v>1350000</v>
      </c>
      <c r="E9" s="28">
        <v>5827.2749999999996</v>
      </c>
      <c r="F9" s="29">
        <v>6.5574225297152102</v>
      </c>
    </row>
    <row r="10" spans="1:6" x14ac:dyDescent="0.2">
      <c r="A10" s="26" t="s">
        <v>1354</v>
      </c>
      <c r="B10" s="26" t="s">
        <v>1353</v>
      </c>
      <c r="C10" s="26" t="s">
        <v>953</v>
      </c>
      <c r="D10" s="30">
        <v>135000</v>
      </c>
      <c r="E10" s="28">
        <v>5558.3549999999996</v>
      </c>
      <c r="F10" s="29">
        <v>6.2548073164824398</v>
      </c>
    </row>
    <row r="11" spans="1:6" x14ac:dyDescent="0.2">
      <c r="A11" s="26" t="s">
        <v>937</v>
      </c>
      <c r="B11" s="26" t="s">
        <v>936</v>
      </c>
      <c r="C11" s="26" t="s">
        <v>938</v>
      </c>
      <c r="D11" s="30">
        <v>1000000</v>
      </c>
      <c r="E11" s="28">
        <v>5548.5</v>
      </c>
      <c r="F11" s="29">
        <v>6.2437175019412798</v>
      </c>
    </row>
    <row r="12" spans="1:6" x14ac:dyDescent="0.2">
      <c r="A12" s="26" t="s">
        <v>1325</v>
      </c>
      <c r="B12" s="26" t="s">
        <v>1324</v>
      </c>
      <c r="C12" s="26" t="s">
        <v>953</v>
      </c>
      <c r="D12" s="30">
        <v>350000</v>
      </c>
      <c r="E12" s="28">
        <v>4989.0749999999998</v>
      </c>
      <c r="F12" s="29">
        <v>5.6141975121199703</v>
      </c>
    </row>
    <row r="13" spans="1:6" x14ac:dyDescent="0.2">
      <c r="A13" s="26" t="s">
        <v>988</v>
      </c>
      <c r="B13" s="26" t="s">
        <v>987</v>
      </c>
      <c r="C13" s="26" t="s">
        <v>973</v>
      </c>
      <c r="D13" s="30">
        <v>1150000</v>
      </c>
      <c r="E13" s="28">
        <v>4758.7</v>
      </c>
      <c r="F13" s="29">
        <v>5.35495692105758</v>
      </c>
    </row>
    <row r="14" spans="1:6" x14ac:dyDescent="0.2">
      <c r="A14" s="26" t="s">
        <v>1050</v>
      </c>
      <c r="B14" s="26" t="s">
        <v>1049</v>
      </c>
      <c r="C14" s="26" t="s">
        <v>973</v>
      </c>
      <c r="D14" s="30">
        <v>5000000</v>
      </c>
      <c r="E14" s="28">
        <v>4422.5</v>
      </c>
      <c r="F14" s="29">
        <v>4.9766316396026502</v>
      </c>
    </row>
    <row r="15" spans="1:6" x14ac:dyDescent="0.2">
      <c r="A15" s="26" t="s">
        <v>984</v>
      </c>
      <c r="B15" s="26" t="s">
        <v>983</v>
      </c>
      <c r="C15" s="26" t="s">
        <v>982</v>
      </c>
      <c r="D15" s="30">
        <v>5000000</v>
      </c>
      <c r="E15" s="28">
        <v>4350</v>
      </c>
      <c r="F15" s="29">
        <v>4.8950475143632604</v>
      </c>
    </row>
    <row r="16" spans="1:6" x14ac:dyDescent="0.2">
      <c r="A16" s="26" t="s">
        <v>934</v>
      </c>
      <c r="B16" s="26" t="s">
        <v>933</v>
      </c>
      <c r="C16" s="26" t="s">
        <v>935</v>
      </c>
      <c r="D16" s="30">
        <v>401041</v>
      </c>
      <c r="E16" s="28">
        <v>4141.9514479999998</v>
      </c>
      <c r="F16" s="29">
        <v>4.6609308368151101</v>
      </c>
    </row>
    <row r="17" spans="1:6" x14ac:dyDescent="0.2">
      <c r="A17" s="26" t="s">
        <v>1360</v>
      </c>
      <c r="B17" s="26" t="s">
        <v>1359</v>
      </c>
      <c r="C17" s="26" t="s">
        <v>997</v>
      </c>
      <c r="D17" s="30">
        <v>775000</v>
      </c>
      <c r="E17" s="28">
        <v>2698.1624999999999</v>
      </c>
      <c r="F17" s="29">
        <v>3.0362376181547499</v>
      </c>
    </row>
    <row r="18" spans="1:6" x14ac:dyDescent="0.2">
      <c r="A18" s="26" t="s">
        <v>1243</v>
      </c>
      <c r="B18" s="26" t="s">
        <v>1242</v>
      </c>
      <c r="C18" s="26" t="s">
        <v>953</v>
      </c>
      <c r="D18" s="30">
        <v>825000</v>
      </c>
      <c r="E18" s="28">
        <v>2428.3874999999998</v>
      </c>
      <c r="F18" s="29">
        <v>2.73266027489329</v>
      </c>
    </row>
    <row r="19" spans="1:6" x14ac:dyDescent="0.2">
      <c r="A19" s="26" t="s">
        <v>1062</v>
      </c>
      <c r="B19" s="26" t="s">
        <v>1061</v>
      </c>
      <c r="C19" s="26" t="s">
        <v>956</v>
      </c>
      <c r="D19" s="30">
        <v>2500000</v>
      </c>
      <c r="E19" s="28">
        <v>2416.25</v>
      </c>
      <c r="F19" s="29">
        <v>2.7190019670299401</v>
      </c>
    </row>
    <row r="20" spans="1:6" x14ac:dyDescent="0.2">
      <c r="A20" s="26" t="s">
        <v>1090</v>
      </c>
      <c r="B20" s="26" t="s">
        <v>1089</v>
      </c>
      <c r="C20" s="26" t="s">
        <v>1091</v>
      </c>
      <c r="D20" s="30">
        <v>3000000</v>
      </c>
      <c r="E20" s="28">
        <v>2349</v>
      </c>
      <c r="F20" s="29">
        <v>2.6433256577561601</v>
      </c>
    </row>
    <row r="21" spans="1:6" x14ac:dyDescent="0.2">
      <c r="A21" s="26" t="s">
        <v>1356</v>
      </c>
      <c r="B21" s="26" t="s">
        <v>1355</v>
      </c>
      <c r="C21" s="26" t="s">
        <v>1099</v>
      </c>
      <c r="D21" s="30">
        <v>225000</v>
      </c>
      <c r="E21" s="28">
        <v>2204.6624999999999</v>
      </c>
      <c r="F21" s="29">
        <v>2.48090291738733</v>
      </c>
    </row>
    <row r="22" spans="1:6" x14ac:dyDescent="0.2">
      <c r="A22" s="26" t="s">
        <v>1172</v>
      </c>
      <c r="B22" s="26" t="s">
        <v>1171</v>
      </c>
      <c r="C22" s="26" t="s">
        <v>938</v>
      </c>
      <c r="D22" s="30">
        <v>22000000</v>
      </c>
      <c r="E22" s="28">
        <v>1848</v>
      </c>
      <c r="F22" s="29">
        <v>2.0795512198950101</v>
      </c>
    </row>
    <row r="23" spans="1:6" x14ac:dyDescent="0.2">
      <c r="A23" s="26" t="s">
        <v>1380</v>
      </c>
      <c r="B23" s="26" t="s">
        <v>1379</v>
      </c>
      <c r="C23" s="26" t="s">
        <v>1099</v>
      </c>
      <c r="D23" s="30">
        <v>2300000</v>
      </c>
      <c r="E23" s="28">
        <v>1723.85</v>
      </c>
      <c r="F23" s="29">
        <v>1.93984543853681</v>
      </c>
    </row>
    <row r="24" spans="1:6" x14ac:dyDescent="0.2">
      <c r="A24" s="26" t="s">
        <v>1252</v>
      </c>
      <c r="B24" s="26" t="s">
        <v>1251</v>
      </c>
      <c r="C24" s="26" t="s">
        <v>1208</v>
      </c>
      <c r="D24" s="30">
        <v>700000</v>
      </c>
      <c r="E24" s="28">
        <v>1533.35</v>
      </c>
      <c r="F24" s="29">
        <v>1.7254761163560699</v>
      </c>
    </row>
    <row r="25" spans="1:6" x14ac:dyDescent="0.2">
      <c r="A25" s="26" t="s">
        <v>1103</v>
      </c>
      <c r="B25" s="26" t="s">
        <v>1102</v>
      </c>
      <c r="C25" s="26" t="s">
        <v>997</v>
      </c>
      <c r="D25" s="30">
        <v>525000</v>
      </c>
      <c r="E25" s="28">
        <v>1416.1875</v>
      </c>
      <c r="F25" s="29">
        <v>1.5936333567235199</v>
      </c>
    </row>
    <row r="26" spans="1:6" x14ac:dyDescent="0.2">
      <c r="A26" s="26" t="s">
        <v>1364</v>
      </c>
      <c r="B26" s="26" t="s">
        <v>1363</v>
      </c>
      <c r="C26" s="26" t="s">
        <v>1099</v>
      </c>
      <c r="D26" s="30">
        <v>3000000</v>
      </c>
      <c r="E26" s="28">
        <v>1405.5</v>
      </c>
      <c r="F26" s="29">
        <v>1.58160673136496</v>
      </c>
    </row>
    <row r="27" spans="1:6" x14ac:dyDescent="0.2">
      <c r="A27" s="26" t="s">
        <v>1391</v>
      </c>
      <c r="B27" s="26" t="s">
        <v>1390</v>
      </c>
      <c r="C27" s="26" t="s">
        <v>997</v>
      </c>
      <c r="D27" s="30">
        <v>1600000</v>
      </c>
      <c r="E27" s="28">
        <v>1244</v>
      </c>
      <c r="F27" s="29">
        <v>1.3998710592799799</v>
      </c>
    </row>
    <row r="28" spans="1:6" x14ac:dyDescent="0.2">
      <c r="A28" s="26" t="s">
        <v>1132</v>
      </c>
      <c r="B28" s="26" t="s">
        <v>1131</v>
      </c>
      <c r="C28" s="26" t="s">
        <v>959</v>
      </c>
      <c r="D28" s="30">
        <v>3500000</v>
      </c>
      <c r="E28" s="28">
        <v>1146.25</v>
      </c>
      <c r="F28" s="29">
        <v>1.2898731524917</v>
      </c>
    </row>
    <row r="29" spans="1:6" x14ac:dyDescent="0.2">
      <c r="A29" s="26" t="s">
        <v>1403</v>
      </c>
      <c r="B29" s="26" t="s">
        <v>1402</v>
      </c>
      <c r="C29" s="26" t="s">
        <v>1099</v>
      </c>
      <c r="D29" s="30">
        <v>1300000</v>
      </c>
      <c r="E29" s="28">
        <v>1067.95</v>
      </c>
      <c r="F29" s="29">
        <v>1.2017622972331601</v>
      </c>
    </row>
    <row r="30" spans="1:6" x14ac:dyDescent="0.2">
      <c r="A30" s="26" t="s">
        <v>1366</v>
      </c>
      <c r="B30" s="26" t="s">
        <v>1365</v>
      </c>
      <c r="C30" s="26" t="s">
        <v>1208</v>
      </c>
      <c r="D30" s="30">
        <v>2100000</v>
      </c>
      <c r="E30" s="28">
        <v>950.25</v>
      </c>
      <c r="F30" s="29">
        <v>1.0693146897755601</v>
      </c>
    </row>
    <row r="31" spans="1:6" x14ac:dyDescent="0.2">
      <c r="A31" s="26" t="s">
        <v>1045</v>
      </c>
      <c r="B31" s="26" t="s">
        <v>1044</v>
      </c>
      <c r="C31" s="26" t="s">
        <v>1046</v>
      </c>
      <c r="D31" s="30">
        <v>100000</v>
      </c>
      <c r="E31" s="28">
        <v>913.45</v>
      </c>
      <c r="F31" s="29">
        <v>1.0279037131023301</v>
      </c>
    </row>
    <row r="32" spans="1:6" x14ac:dyDescent="0.2">
      <c r="A32" s="26" t="s">
        <v>1405</v>
      </c>
      <c r="B32" s="26" t="s">
        <v>1404</v>
      </c>
      <c r="C32" s="26" t="s">
        <v>1208</v>
      </c>
      <c r="D32" s="30">
        <v>2233265</v>
      </c>
      <c r="E32" s="28">
        <v>911.17211999999995</v>
      </c>
      <c r="F32" s="29">
        <v>1.02534041865818</v>
      </c>
    </row>
    <row r="33" spans="1:9" x14ac:dyDescent="0.2">
      <c r="A33" s="26" t="s">
        <v>1098</v>
      </c>
      <c r="B33" s="26" t="s">
        <v>1097</v>
      </c>
      <c r="C33" s="26" t="s">
        <v>1099</v>
      </c>
      <c r="D33" s="30">
        <v>200000</v>
      </c>
      <c r="E33" s="28">
        <v>902.2</v>
      </c>
      <c r="F33" s="29">
        <v>1.01524410746173</v>
      </c>
    </row>
    <row r="34" spans="1:9" x14ac:dyDescent="0.2">
      <c r="A34" s="26" t="s">
        <v>1085</v>
      </c>
      <c r="B34" s="26" t="s">
        <v>1084</v>
      </c>
      <c r="C34" s="26" t="s">
        <v>962</v>
      </c>
      <c r="D34" s="30">
        <v>2200000</v>
      </c>
      <c r="E34" s="28">
        <v>825</v>
      </c>
      <c r="F34" s="29">
        <v>0.92837108031027404</v>
      </c>
    </row>
    <row r="35" spans="1:9" x14ac:dyDescent="0.2">
      <c r="A35" s="26" t="s">
        <v>958</v>
      </c>
      <c r="B35" s="26" t="s">
        <v>957</v>
      </c>
      <c r="C35" s="26" t="s">
        <v>959</v>
      </c>
      <c r="D35" s="30">
        <v>500000</v>
      </c>
      <c r="E35" s="28">
        <v>815.5</v>
      </c>
      <c r="F35" s="29">
        <v>0.91768074665821597</v>
      </c>
    </row>
    <row r="36" spans="1:9" x14ac:dyDescent="0.2">
      <c r="A36" s="26" t="s">
        <v>1368</v>
      </c>
      <c r="B36" s="26" t="s">
        <v>1367</v>
      </c>
      <c r="C36" s="26" t="s">
        <v>1208</v>
      </c>
      <c r="D36" s="30">
        <v>550000</v>
      </c>
      <c r="E36" s="28">
        <v>709.77499999999998</v>
      </c>
      <c r="F36" s="29">
        <v>0.79870858609360595</v>
      </c>
    </row>
    <row r="37" spans="1:9" x14ac:dyDescent="0.2">
      <c r="A37" s="26" t="s">
        <v>1407</v>
      </c>
      <c r="B37" s="26" t="s">
        <v>1406</v>
      </c>
      <c r="C37" s="26" t="s">
        <v>1029</v>
      </c>
      <c r="D37" s="30">
        <v>600000</v>
      </c>
      <c r="E37" s="28">
        <v>676.2</v>
      </c>
      <c r="F37" s="29">
        <v>0.760926696370675</v>
      </c>
    </row>
    <row r="38" spans="1:9" x14ac:dyDescent="0.2">
      <c r="A38" s="26" t="s">
        <v>1286</v>
      </c>
      <c r="B38" s="26" t="s">
        <v>1285</v>
      </c>
      <c r="C38" s="26" t="s">
        <v>997</v>
      </c>
      <c r="D38" s="30">
        <v>250000</v>
      </c>
      <c r="E38" s="28">
        <v>462.75</v>
      </c>
      <c r="F38" s="29">
        <v>0.52073177868312603</v>
      </c>
    </row>
    <row r="39" spans="1:9" x14ac:dyDescent="0.2">
      <c r="A39" s="26" t="s">
        <v>1409</v>
      </c>
      <c r="B39" s="26" t="s">
        <v>1408</v>
      </c>
      <c r="C39" s="26" t="s">
        <v>935</v>
      </c>
      <c r="D39" s="30">
        <v>1100000</v>
      </c>
      <c r="E39" s="28">
        <v>351.45</v>
      </c>
      <c r="F39" s="29">
        <v>0.39548608021217702</v>
      </c>
    </row>
    <row r="40" spans="1:9" x14ac:dyDescent="0.2">
      <c r="A40" s="26" t="s">
        <v>1411</v>
      </c>
      <c r="B40" s="26" t="s">
        <v>1410</v>
      </c>
      <c r="C40" s="26" t="s">
        <v>1011</v>
      </c>
      <c r="D40" s="30">
        <v>400000</v>
      </c>
      <c r="E40" s="28">
        <v>182.4</v>
      </c>
      <c r="F40" s="29">
        <v>0.20525440611950799</v>
      </c>
    </row>
    <row r="41" spans="1:9" x14ac:dyDescent="0.2">
      <c r="A41" s="26" t="s">
        <v>1413</v>
      </c>
      <c r="B41" s="26" t="s">
        <v>1412</v>
      </c>
      <c r="C41" s="26" t="s">
        <v>1099</v>
      </c>
      <c r="D41" s="30">
        <v>192592</v>
      </c>
      <c r="E41" s="28">
        <v>29.851759999999999</v>
      </c>
      <c r="F41" s="29">
        <v>3.3592134158015798E-2</v>
      </c>
    </row>
    <row r="42" spans="1:9" ht="10.5" x14ac:dyDescent="0.25">
      <c r="A42" s="25" t="s">
        <v>167</v>
      </c>
      <c r="B42" s="25"/>
      <c r="C42" s="25"/>
      <c r="D42" s="31"/>
      <c r="E42" s="32">
        <f>SUM(E7:E41)</f>
        <v>85401.905327999993</v>
      </c>
      <c r="F42" s="33">
        <f>SUM(F7:F41)</f>
        <v>96.102617102922508</v>
      </c>
      <c r="G42" s="17"/>
      <c r="H42" s="17"/>
      <c r="I42" s="17"/>
    </row>
    <row r="43" spans="1:9" x14ac:dyDescent="0.2">
      <c r="A43" s="26"/>
      <c r="B43" s="26"/>
      <c r="C43" s="26"/>
      <c r="D43" s="27"/>
      <c r="E43" s="28"/>
      <c r="F43" s="29"/>
    </row>
    <row r="44" spans="1:9" ht="10.5" x14ac:dyDescent="0.25">
      <c r="A44" s="25" t="s">
        <v>205</v>
      </c>
      <c r="B44" s="25"/>
      <c r="C44" s="25"/>
      <c r="D44" s="31"/>
      <c r="E44" s="32">
        <f>E42</f>
        <v>85401.905327999993</v>
      </c>
      <c r="F44" s="33">
        <f>F42</f>
        <v>96.102617102922508</v>
      </c>
      <c r="G44" s="17"/>
      <c r="H44" s="17"/>
      <c r="I44" s="17"/>
    </row>
    <row r="45" spans="1:9" ht="10.5" x14ac:dyDescent="0.25">
      <c r="A45" s="25"/>
      <c r="B45" s="25"/>
      <c r="C45" s="25"/>
      <c r="D45" s="31"/>
      <c r="E45" s="32"/>
      <c r="F45" s="33"/>
      <c r="G45" s="17"/>
      <c r="H45" s="17"/>
      <c r="I45" s="17"/>
    </row>
    <row r="46" spans="1:9" ht="10.5" x14ac:dyDescent="0.25">
      <c r="A46" s="25" t="s">
        <v>207</v>
      </c>
      <c r="B46" s="25"/>
      <c r="C46" s="25"/>
      <c r="D46" s="31"/>
      <c r="E46" s="32">
        <f>E48-(E42)</f>
        <v>3463.422071500012</v>
      </c>
      <c r="F46" s="33">
        <f>F48-(F42)</f>
        <v>3.8973828970774917</v>
      </c>
      <c r="G46" s="17"/>
      <c r="H46" s="17"/>
      <c r="I46" s="17"/>
    </row>
    <row r="47" spans="1:9" ht="10.5" x14ac:dyDescent="0.25">
      <c r="A47" s="25"/>
      <c r="B47" s="25"/>
      <c r="C47" s="25"/>
      <c r="D47" s="31"/>
      <c r="E47" s="32"/>
      <c r="F47" s="33"/>
      <c r="G47" s="17"/>
      <c r="H47" s="17"/>
      <c r="I47" s="17"/>
    </row>
    <row r="48" spans="1:9" ht="10.5" x14ac:dyDescent="0.25">
      <c r="A48" s="34" t="s">
        <v>206</v>
      </c>
      <c r="B48" s="34"/>
      <c r="C48" s="34"/>
      <c r="D48" s="35"/>
      <c r="E48" s="36">
        <v>88865.327399500005</v>
      </c>
      <c r="F48" s="37">
        <v>100</v>
      </c>
      <c r="G48" s="17"/>
      <c r="H48" s="17"/>
      <c r="I48" s="17"/>
    </row>
    <row r="51" spans="1:4" ht="10.5" x14ac:dyDescent="0.25">
      <c r="A51" s="17" t="s">
        <v>210</v>
      </c>
    </row>
    <row r="52" spans="1:4" ht="10.5" x14ac:dyDescent="0.25">
      <c r="A52" s="17" t="s">
        <v>211</v>
      </c>
    </row>
    <row r="53" spans="1:4" ht="10.5" x14ac:dyDescent="0.25">
      <c r="A53" s="17" t="s">
        <v>212</v>
      </c>
      <c r="B53" s="17"/>
      <c r="C53" s="38" t="s">
        <v>214</v>
      </c>
      <c r="D53" s="18" t="s">
        <v>213</v>
      </c>
    </row>
    <row r="54" spans="1:4" x14ac:dyDescent="0.2">
      <c r="A54" s="10" t="s">
        <v>486</v>
      </c>
      <c r="C54" s="39">
        <v>41.868400000000001</v>
      </c>
      <c r="D54" s="39">
        <v>33.441200000000002</v>
      </c>
    </row>
    <row r="55" spans="1:4" x14ac:dyDescent="0.2">
      <c r="A55" s="10" t="s">
        <v>520</v>
      </c>
      <c r="C55" s="39">
        <v>20.011099999999999</v>
      </c>
      <c r="D55" s="39">
        <v>15.982799999999999</v>
      </c>
    </row>
    <row r="56" spans="1:4" x14ac:dyDescent="0.2">
      <c r="A56" s="10" t="s">
        <v>489</v>
      </c>
      <c r="C56" s="39">
        <v>45.495600000000003</v>
      </c>
      <c r="D56" s="39">
        <v>36.534700000000001</v>
      </c>
    </row>
    <row r="57" spans="1:4" x14ac:dyDescent="0.2">
      <c r="A57" s="10" t="s">
        <v>521</v>
      </c>
      <c r="C57" s="39">
        <v>22.455100000000002</v>
      </c>
      <c r="D57" s="39">
        <v>18.032299999999999</v>
      </c>
    </row>
    <row r="59" spans="1:4" ht="10.5" x14ac:dyDescent="0.25">
      <c r="A59" s="17" t="s">
        <v>226</v>
      </c>
      <c r="D59" s="40" t="s">
        <v>227</v>
      </c>
    </row>
    <row r="61" spans="1:4" ht="10.5" x14ac:dyDescent="0.25">
      <c r="A61" s="17" t="s">
        <v>1065</v>
      </c>
      <c r="D61" s="46">
        <v>0.1014</v>
      </c>
    </row>
  </sheetData>
  <mergeCells count="1">
    <mergeCell ref="A1:F1"/>
  </mergeCells>
  <conditionalFormatting sqref="F2:F3 F5:F65536">
    <cfRule type="cellIs" dxfId="1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79"/>
  <sheetViews>
    <sheetView workbookViewId="0">
      <selection sqref="A1:F1"/>
    </sheetView>
  </sheetViews>
  <sheetFormatPr defaultColWidth="9.1796875" defaultRowHeight="10" x14ac:dyDescent="0.2"/>
  <cols>
    <col min="1" max="1" width="38.7265625" style="10" bestFit="1" customWidth="1"/>
    <col min="2" max="2" width="40.26953125" style="10" bestFit="1" customWidth="1"/>
    <col min="3" max="3" width="35.7265625" style="10" bestFit="1" customWidth="1"/>
    <col min="4" max="4" width="14.7265625" style="11" bestFit="1" customWidth="1"/>
    <col min="5" max="5" width="23" style="15" bestFit="1" customWidth="1"/>
    <col min="6" max="6" width="14.7265625" style="16" bestFit="1" customWidth="1"/>
    <col min="7" max="7" width="5.1796875" style="10" bestFit="1" customWidth="1"/>
    <col min="8" max="16384" width="9.1796875" style="10"/>
  </cols>
  <sheetData>
    <row r="1" spans="1:6" s="1" customFormat="1" ht="14" x14ac:dyDescent="0.25">
      <c r="A1" s="143" t="s">
        <v>57</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934</v>
      </c>
      <c r="B7" s="26" t="s">
        <v>933</v>
      </c>
      <c r="C7" s="26" t="s">
        <v>935</v>
      </c>
      <c r="D7" s="30">
        <v>30714</v>
      </c>
      <c r="E7" s="28">
        <v>317.21419200000003</v>
      </c>
      <c r="F7" s="29">
        <v>1.96243061901036</v>
      </c>
    </row>
    <row r="8" spans="1:6" x14ac:dyDescent="0.2">
      <c r="A8" s="26" t="s">
        <v>945</v>
      </c>
      <c r="B8" s="26" t="s">
        <v>944</v>
      </c>
      <c r="C8" s="26" t="s">
        <v>935</v>
      </c>
      <c r="D8" s="30">
        <v>15534</v>
      </c>
      <c r="E8" s="28">
        <v>212.15560500000001</v>
      </c>
      <c r="F8" s="29">
        <v>1.3124906317138201</v>
      </c>
    </row>
    <row r="9" spans="1:6" x14ac:dyDescent="0.2">
      <c r="A9" s="26" t="s">
        <v>1308</v>
      </c>
      <c r="B9" s="26" t="s">
        <v>1307</v>
      </c>
      <c r="C9" s="26" t="s">
        <v>1006</v>
      </c>
      <c r="D9" s="30">
        <v>31568</v>
      </c>
      <c r="E9" s="28">
        <v>176.18100799999999</v>
      </c>
      <c r="F9" s="29">
        <v>1.0899354862007899</v>
      </c>
    </row>
    <row r="10" spans="1:6" x14ac:dyDescent="0.2">
      <c r="A10" s="26" t="s">
        <v>947</v>
      </c>
      <c r="B10" s="26" t="s">
        <v>946</v>
      </c>
      <c r="C10" s="26" t="s">
        <v>935</v>
      </c>
      <c r="D10" s="30">
        <v>41847</v>
      </c>
      <c r="E10" s="28">
        <v>145.12539599999999</v>
      </c>
      <c r="F10" s="29">
        <v>0.89781140910115498</v>
      </c>
    </row>
    <row r="11" spans="1:6" x14ac:dyDescent="0.2">
      <c r="A11" s="26" t="s">
        <v>1052</v>
      </c>
      <c r="B11" s="26" t="s">
        <v>1051</v>
      </c>
      <c r="C11" s="26" t="s">
        <v>1053</v>
      </c>
      <c r="D11" s="30">
        <v>189501</v>
      </c>
      <c r="E11" s="28">
        <v>144.68401349999999</v>
      </c>
      <c r="F11" s="29">
        <v>0.89508081710829901</v>
      </c>
    </row>
    <row r="12" spans="1:6" x14ac:dyDescent="0.2">
      <c r="A12" s="26" t="s">
        <v>1415</v>
      </c>
      <c r="B12" s="26" t="s">
        <v>1414</v>
      </c>
      <c r="C12" s="26" t="s">
        <v>1208</v>
      </c>
      <c r="D12" s="30">
        <v>14536</v>
      </c>
      <c r="E12" s="28">
        <v>134.69057599999999</v>
      </c>
      <c r="F12" s="29">
        <v>0.83325688793439101</v>
      </c>
    </row>
    <row r="13" spans="1:6" x14ac:dyDescent="0.2">
      <c r="A13" s="26" t="s">
        <v>1093</v>
      </c>
      <c r="B13" s="26" t="s">
        <v>1092</v>
      </c>
      <c r="C13" s="26" t="s">
        <v>965</v>
      </c>
      <c r="D13" s="30">
        <v>30332</v>
      </c>
      <c r="E13" s="28">
        <v>129.83612600000001</v>
      </c>
      <c r="F13" s="29">
        <v>0.80322506225095902</v>
      </c>
    </row>
    <row r="14" spans="1:6" x14ac:dyDescent="0.2">
      <c r="A14" s="26" t="s">
        <v>1238</v>
      </c>
      <c r="B14" s="26" t="s">
        <v>1237</v>
      </c>
      <c r="C14" s="26" t="s">
        <v>1239</v>
      </c>
      <c r="D14" s="30">
        <v>37307</v>
      </c>
      <c r="E14" s="28">
        <v>108.17164649999999</v>
      </c>
      <c r="F14" s="29">
        <v>0.66919878288536805</v>
      </c>
    </row>
    <row r="15" spans="1:6" x14ac:dyDescent="0.2">
      <c r="A15" s="26" t="s">
        <v>1417</v>
      </c>
      <c r="B15" s="26" t="s">
        <v>1416</v>
      </c>
      <c r="C15" s="26" t="s">
        <v>1029</v>
      </c>
      <c r="D15" s="30">
        <v>15620</v>
      </c>
      <c r="E15" s="28">
        <v>106.4503</v>
      </c>
      <c r="F15" s="29">
        <v>0.65854975405021898</v>
      </c>
    </row>
    <row r="16" spans="1:6" x14ac:dyDescent="0.2">
      <c r="A16" s="26" t="s">
        <v>1329</v>
      </c>
      <c r="B16" s="26" t="s">
        <v>1328</v>
      </c>
      <c r="C16" s="26" t="s">
        <v>1208</v>
      </c>
      <c r="D16" s="30">
        <v>27999</v>
      </c>
      <c r="E16" s="28">
        <v>97.968501000000003</v>
      </c>
      <c r="F16" s="29">
        <v>0.60607750507249503</v>
      </c>
    </row>
    <row r="17" spans="1:9" x14ac:dyDescent="0.2">
      <c r="A17" s="26" t="s">
        <v>958</v>
      </c>
      <c r="B17" s="26" t="s">
        <v>957</v>
      </c>
      <c r="C17" s="26" t="s">
        <v>959</v>
      </c>
      <c r="D17" s="30">
        <v>56959</v>
      </c>
      <c r="E17" s="28">
        <v>92.900129000000007</v>
      </c>
      <c r="F17" s="29">
        <v>0.57472226103809598</v>
      </c>
    </row>
    <row r="18" spans="1:9" x14ac:dyDescent="0.2">
      <c r="A18" s="26" t="s">
        <v>1372</v>
      </c>
      <c r="B18" s="26" t="s">
        <v>1371</v>
      </c>
      <c r="C18" s="26" t="s">
        <v>1029</v>
      </c>
      <c r="D18" s="30">
        <v>15523</v>
      </c>
      <c r="E18" s="28">
        <v>70.202767499999993</v>
      </c>
      <c r="F18" s="29">
        <v>0.43430610595526498</v>
      </c>
    </row>
    <row r="19" spans="1:9" ht="10.5" x14ac:dyDescent="0.25">
      <c r="A19" s="25" t="s">
        <v>167</v>
      </c>
      <c r="B19" s="25"/>
      <c r="C19" s="25"/>
      <c r="D19" s="31"/>
      <c r="E19" s="32">
        <f>SUM(E7:E18)</f>
        <v>1735.5802605000001</v>
      </c>
      <c r="F19" s="33">
        <f>SUM(F7:F18)</f>
        <v>10.737085322321217</v>
      </c>
      <c r="G19" s="17"/>
      <c r="H19" s="17"/>
      <c r="I19" s="17"/>
    </row>
    <row r="20" spans="1:9" x14ac:dyDescent="0.2">
      <c r="A20" s="26"/>
      <c r="B20" s="26"/>
      <c r="C20" s="26"/>
      <c r="D20" s="27"/>
      <c r="E20" s="28"/>
      <c r="F20" s="29"/>
    </row>
    <row r="21" spans="1:9" ht="10.5" x14ac:dyDescent="0.25">
      <c r="A21" s="25" t="s">
        <v>1144</v>
      </c>
      <c r="B21" s="26"/>
      <c r="C21" s="26"/>
      <c r="D21" s="27"/>
      <c r="E21" s="28"/>
      <c r="F21" s="29"/>
    </row>
    <row r="22" spans="1:9" x14ac:dyDescent="0.2">
      <c r="A22" s="26" t="s">
        <v>1419</v>
      </c>
      <c r="B22" s="26" t="s">
        <v>1418</v>
      </c>
      <c r="C22" s="26" t="s">
        <v>941</v>
      </c>
      <c r="D22" s="30">
        <v>40000</v>
      </c>
      <c r="E22" s="28">
        <v>2061.96389</v>
      </c>
      <c r="F22" s="29">
        <v>12.756242233417201</v>
      </c>
    </row>
    <row r="23" spans="1:9" x14ac:dyDescent="0.2">
      <c r="A23" s="26" t="s">
        <v>1421</v>
      </c>
      <c r="B23" s="26" t="s">
        <v>1420</v>
      </c>
      <c r="C23" s="26" t="s">
        <v>1006</v>
      </c>
      <c r="D23" s="30">
        <v>9063</v>
      </c>
      <c r="E23" s="28">
        <v>1713.6822079999999</v>
      </c>
      <c r="F23" s="29">
        <v>10.6016140546211</v>
      </c>
    </row>
    <row r="24" spans="1:9" x14ac:dyDescent="0.2">
      <c r="A24" s="26" t="s">
        <v>1179</v>
      </c>
      <c r="B24" s="26" t="s">
        <v>1178</v>
      </c>
      <c r="C24" s="26" t="s">
        <v>1164</v>
      </c>
      <c r="D24" s="30">
        <v>146714</v>
      </c>
      <c r="E24" s="28">
        <v>1592.8025009999999</v>
      </c>
      <c r="F24" s="29">
        <v>9.8537974555649406</v>
      </c>
    </row>
    <row r="25" spans="1:9" x14ac:dyDescent="0.2">
      <c r="A25" s="26" t="s">
        <v>1181</v>
      </c>
      <c r="B25" s="26" t="s">
        <v>1180</v>
      </c>
      <c r="C25" s="26" t="s">
        <v>1164</v>
      </c>
      <c r="D25" s="30">
        <v>40953</v>
      </c>
      <c r="E25" s="28">
        <v>1491.1213049999999</v>
      </c>
      <c r="F25" s="29">
        <v>9.22475153819944</v>
      </c>
    </row>
    <row r="26" spans="1:9" x14ac:dyDescent="0.2">
      <c r="A26" s="26" t="s">
        <v>1423</v>
      </c>
      <c r="B26" s="26" t="s">
        <v>1422</v>
      </c>
      <c r="C26" s="26" t="s">
        <v>1029</v>
      </c>
      <c r="D26" s="30">
        <v>112524</v>
      </c>
      <c r="E26" s="28">
        <v>760.90967969999997</v>
      </c>
      <c r="F26" s="29">
        <v>4.7073318010458003</v>
      </c>
    </row>
    <row r="27" spans="1:9" x14ac:dyDescent="0.2">
      <c r="A27" s="26" t="s">
        <v>1425</v>
      </c>
      <c r="B27" s="26" t="s">
        <v>1424</v>
      </c>
      <c r="C27" s="26" t="s">
        <v>1029</v>
      </c>
      <c r="D27" s="30">
        <v>80310</v>
      </c>
      <c r="E27" s="28">
        <v>636.49147359999995</v>
      </c>
      <c r="F27" s="29">
        <v>3.9376244444059001</v>
      </c>
    </row>
    <row r="28" spans="1:9" x14ac:dyDescent="0.2">
      <c r="A28" s="26" t="s">
        <v>1427</v>
      </c>
      <c r="B28" s="26" t="s">
        <v>1426</v>
      </c>
      <c r="C28" s="26" t="s">
        <v>1428</v>
      </c>
      <c r="D28" s="30">
        <v>3660</v>
      </c>
      <c r="E28" s="28">
        <v>378.39207219999997</v>
      </c>
      <c r="F28" s="29">
        <v>2.3409046858661999</v>
      </c>
    </row>
    <row r="29" spans="1:9" x14ac:dyDescent="0.2">
      <c r="A29" s="26" t="s">
        <v>1430</v>
      </c>
      <c r="B29" s="26" t="s">
        <v>1429</v>
      </c>
      <c r="C29" s="26" t="s">
        <v>965</v>
      </c>
      <c r="D29" s="30">
        <v>101000</v>
      </c>
      <c r="E29" s="28">
        <v>354.40969710000002</v>
      </c>
      <c r="F29" s="29">
        <v>2.19253885482913</v>
      </c>
    </row>
    <row r="30" spans="1:9" x14ac:dyDescent="0.2">
      <c r="A30" s="26" t="s">
        <v>1432</v>
      </c>
      <c r="B30" s="26" t="s">
        <v>1431</v>
      </c>
      <c r="C30" s="26" t="s">
        <v>1011</v>
      </c>
      <c r="D30" s="30">
        <v>1708</v>
      </c>
      <c r="E30" s="28">
        <v>323.29802549999999</v>
      </c>
      <c r="F30" s="29">
        <v>2.0000679676613999</v>
      </c>
    </row>
    <row r="31" spans="1:9" x14ac:dyDescent="0.2">
      <c r="A31" s="26" t="s">
        <v>1434</v>
      </c>
      <c r="B31" s="26" t="s">
        <v>1433</v>
      </c>
      <c r="C31" s="26" t="s">
        <v>1006</v>
      </c>
      <c r="D31" s="30">
        <v>17200</v>
      </c>
      <c r="E31" s="28">
        <v>318.62747999999999</v>
      </c>
      <c r="F31" s="29">
        <v>1.9711738584827001</v>
      </c>
    </row>
    <row r="32" spans="1:9" x14ac:dyDescent="0.2">
      <c r="A32" s="26" t="s">
        <v>1436</v>
      </c>
      <c r="B32" s="26" t="s">
        <v>1435</v>
      </c>
      <c r="C32" s="26" t="s">
        <v>935</v>
      </c>
      <c r="D32" s="30">
        <v>195429</v>
      </c>
      <c r="E32" s="28">
        <v>312.44607589999998</v>
      </c>
      <c r="F32" s="29">
        <v>1.93293289392234</v>
      </c>
    </row>
    <row r="33" spans="1:6" x14ac:dyDescent="0.2">
      <c r="A33" s="26" t="s">
        <v>1438</v>
      </c>
      <c r="B33" s="26" t="s">
        <v>1437</v>
      </c>
      <c r="C33" s="26" t="s">
        <v>1006</v>
      </c>
      <c r="D33" s="30">
        <v>37521</v>
      </c>
      <c r="E33" s="28">
        <v>293.20479260000002</v>
      </c>
      <c r="F33" s="29">
        <v>1.81389760341752</v>
      </c>
    </row>
    <row r="34" spans="1:6" x14ac:dyDescent="0.2">
      <c r="A34" s="26" t="s">
        <v>1440</v>
      </c>
      <c r="B34" s="26" t="s">
        <v>1439</v>
      </c>
      <c r="C34" s="26" t="s">
        <v>965</v>
      </c>
      <c r="D34" s="30">
        <v>1500</v>
      </c>
      <c r="E34" s="28">
        <v>270.10450580000003</v>
      </c>
      <c r="F34" s="29">
        <v>1.6709887699935599</v>
      </c>
    </row>
    <row r="35" spans="1:6" x14ac:dyDescent="0.2">
      <c r="A35" s="26" t="s">
        <v>1442</v>
      </c>
      <c r="B35" s="26" t="s">
        <v>1441</v>
      </c>
      <c r="C35" s="26" t="s">
        <v>1208</v>
      </c>
      <c r="D35" s="30">
        <v>84000</v>
      </c>
      <c r="E35" s="28">
        <v>261.91575030000001</v>
      </c>
      <c r="F35" s="29">
        <v>1.6203294207902099</v>
      </c>
    </row>
    <row r="36" spans="1:6" x14ac:dyDescent="0.2">
      <c r="A36" s="26" t="s">
        <v>1444</v>
      </c>
      <c r="B36" s="26" t="s">
        <v>1443</v>
      </c>
      <c r="C36" s="26" t="s">
        <v>935</v>
      </c>
      <c r="D36" s="30">
        <v>67000</v>
      </c>
      <c r="E36" s="28">
        <v>233.80990829999999</v>
      </c>
      <c r="F36" s="29">
        <v>1.44645395649866</v>
      </c>
    </row>
    <row r="37" spans="1:6" x14ac:dyDescent="0.2">
      <c r="A37" s="26" t="s">
        <v>1446</v>
      </c>
      <c r="B37" s="26" t="s">
        <v>1445</v>
      </c>
      <c r="C37" s="26" t="s">
        <v>965</v>
      </c>
      <c r="D37" s="30">
        <v>79200</v>
      </c>
      <c r="E37" s="28">
        <v>214.8381029</v>
      </c>
      <c r="F37" s="29">
        <v>1.3290857782966401</v>
      </c>
    </row>
    <row r="38" spans="1:6" x14ac:dyDescent="0.2">
      <c r="A38" s="26" t="s">
        <v>1448</v>
      </c>
      <c r="B38" s="26" t="s">
        <v>1447</v>
      </c>
      <c r="C38" s="26" t="s">
        <v>1006</v>
      </c>
      <c r="D38" s="30">
        <v>15720</v>
      </c>
      <c r="E38" s="28">
        <v>213.39677560000001</v>
      </c>
      <c r="F38" s="29">
        <v>1.3201690750189501</v>
      </c>
    </row>
    <row r="39" spans="1:6" x14ac:dyDescent="0.2">
      <c r="A39" s="26" t="s">
        <v>1188</v>
      </c>
      <c r="B39" s="26" t="s">
        <v>1187</v>
      </c>
      <c r="C39" s="26" t="s">
        <v>1164</v>
      </c>
      <c r="D39" s="30">
        <v>14600</v>
      </c>
      <c r="E39" s="28">
        <v>205.63070039999999</v>
      </c>
      <c r="F39" s="29">
        <v>1.2721246175313199</v>
      </c>
    </row>
    <row r="40" spans="1:6" x14ac:dyDescent="0.2">
      <c r="A40" s="26" t="s">
        <v>1450</v>
      </c>
      <c r="B40" s="26" t="s">
        <v>1449</v>
      </c>
      <c r="C40" s="26" t="s">
        <v>1006</v>
      </c>
      <c r="D40" s="30">
        <v>1925400</v>
      </c>
      <c r="E40" s="28">
        <v>172.65950319999999</v>
      </c>
      <c r="F40" s="29">
        <v>1.06814986305152</v>
      </c>
    </row>
    <row r="41" spans="1:6" x14ac:dyDescent="0.2">
      <c r="A41" s="26" t="s">
        <v>1452</v>
      </c>
      <c r="B41" s="26" t="s">
        <v>1451</v>
      </c>
      <c r="C41" s="26" t="s">
        <v>968</v>
      </c>
      <c r="D41" s="30">
        <v>22100</v>
      </c>
      <c r="E41" s="28">
        <v>170.14383129999999</v>
      </c>
      <c r="F41" s="29">
        <v>1.05258677763968</v>
      </c>
    </row>
    <row r="42" spans="1:6" x14ac:dyDescent="0.2">
      <c r="A42" s="26" t="s">
        <v>1454</v>
      </c>
      <c r="B42" s="26" t="s">
        <v>1453</v>
      </c>
      <c r="C42" s="26" t="s">
        <v>953</v>
      </c>
      <c r="D42" s="30">
        <v>17512</v>
      </c>
      <c r="E42" s="28">
        <v>160.4604425</v>
      </c>
      <c r="F42" s="29">
        <v>0.99268095010689805</v>
      </c>
    </row>
    <row r="43" spans="1:6" x14ac:dyDescent="0.2">
      <c r="A43" s="26" t="s">
        <v>1456</v>
      </c>
      <c r="B43" s="26" t="s">
        <v>1455</v>
      </c>
      <c r="C43" s="26" t="s">
        <v>1099</v>
      </c>
      <c r="D43" s="30">
        <v>7538</v>
      </c>
      <c r="E43" s="28">
        <v>154.86061960000001</v>
      </c>
      <c r="F43" s="29">
        <v>0.95803791017634099</v>
      </c>
    </row>
    <row r="44" spans="1:6" x14ac:dyDescent="0.2">
      <c r="A44" s="26" t="s">
        <v>1458</v>
      </c>
      <c r="B44" s="26" t="s">
        <v>1457</v>
      </c>
      <c r="C44" s="26" t="s">
        <v>965</v>
      </c>
      <c r="D44" s="30">
        <v>4000</v>
      </c>
      <c r="E44" s="28">
        <v>151.8729275</v>
      </c>
      <c r="F44" s="29">
        <v>0.939554694087398</v>
      </c>
    </row>
    <row r="45" spans="1:6" x14ac:dyDescent="0.2">
      <c r="A45" s="26" t="s">
        <v>1460</v>
      </c>
      <c r="B45" s="26" t="s">
        <v>1459</v>
      </c>
      <c r="C45" s="26" t="s">
        <v>953</v>
      </c>
      <c r="D45" s="30">
        <v>228700</v>
      </c>
      <c r="E45" s="28">
        <v>145.0249896</v>
      </c>
      <c r="F45" s="29">
        <v>0.89719024964904404</v>
      </c>
    </row>
    <row r="46" spans="1:6" x14ac:dyDescent="0.2">
      <c r="A46" s="26" t="s">
        <v>1462</v>
      </c>
      <c r="B46" s="26" t="s">
        <v>1461</v>
      </c>
      <c r="C46" s="26" t="s">
        <v>1228</v>
      </c>
      <c r="D46" s="30">
        <v>31000</v>
      </c>
      <c r="E46" s="28">
        <v>139.90174010000001</v>
      </c>
      <c r="F46" s="29">
        <v>0.86549550855237301</v>
      </c>
    </row>
    <row r="47" spans="1:6" x14ac:dyDescent="0.2">
      <c r="A47" s="26" t="s">
        <v>1464</v>
      </c>
      <c r="B47" s="26" t="s">
        <v>1463</v>
      </c>
      <c r="C47" s="26" t="s">
        <v>953</v>
      </c>
      <c r="D47" s="30">
        <v>132000</v>
      </c>
      <c r="E47" s="28">
        <v>135.07021889999999</v>
      </c>
      <c r="F47" s="29">
        <v>0.83560553080737499</v>
      </c>
    </row>
    <row r="48" spans="1:6" x14ac:dyDescent="0.2">
      <c r="A48" s="26" t="s">
        <v>1466</v>
      </c>
      <c r="B48" s="26" t="s">
        <v>1465</v>
      </c>
      <c r="C48" s="26" t="s">
        <v>1091</v>
      </c>
      <c r="D48" s="30">
        <v>170000</v>
      </c>
      <c r="E48" s="28">
        <v>134.56824270000001</v>
      </c>
      <c r="F48" s="29">
        <v>0.83250007875088405</v>
      </c>
    </row>
    <row r="49" spans="1:9" x14ac:dyDescent="0.2">
      <c r="A49" s="26" t="s">
        <v>1468</v>
      </c>
      <c r="B49" s="26" t="s">
        <v>1467</v>
      </c>
      <c r="C49" s="26" t="s">
        <v>953</v>
      </c>
      <c r="D49" s="30">
        <v>244200</v>
      </c>
      <c r="E49" s="28">
        <v>115.4365943</v>
      </c>
      <c r="F49" s="29">
        <v>0.71414303937762402</v>
      </c>
    </row>
    <row r="50" spans="1:9" x14ac:dyDescent="0.2">
      <c r="A50" s="26" t="s">
        <v>1470</v>
      </c>
      <c r="B50" s="26" t="s">
        <v>1469</v>
      </c>
      <c r="C50" s="26" t="s">
        <v>935</v>
      </c>
      <c r="D50" s="30">
        <v>5267</v>
      </c>
      <c r="E50" s="28">
        <v>99.696176800000003</v>
      </c>
      <c r="F50" s="29">
        <v>0.61676568982320501</v>
      </c>
    </row>
    <row r="51" spans="1:9" x14ac:dyDescent="0.2">
      <c r="A51" s="26" t="s">
        <v>1472</v>
      </c>
      <c r="B51" s="26" t="s">
        <v>1471</v>
      </c>
      <c r="C51" s="26" t="s">
        <v>968</v>
      </c>
      <c r="D51" s="30">
        <v>1000</v>
      </c>
      <c r="E51" s="28">
        <v>97.593804000000006</v>
      </c>
      <c r="F51" s="29">
        <v>0.60375945977630197</v>
      </c>
    </row>
    <row r="52" spans="1:9" x14ac:dyDescent="0.2">
      <c r="A52" s="26" t="s">
        <v>1474</v>
      </c>
      <c r="B52" s="26" t="s">
        <v>1473</v>
      </c>
      <c r="C52" s="26" t="s">
        <v>1053</v>
      </c>
      <c r="D52" s="30">
        <v>217546</v>
      </c>
      <c r="E52" s="28">
        <v>94.971077300000005</v>
      </c>
      <c r="F52" s="29">
        <v>0.58753408489970804</v>
      </c>
    </row>
    <row r="53" spans="1:9" x14ac:dyDescent="0.2">
      <c r="A53" s="26" t="s">
        <v>1198</v>
      </c>
      <c r="B53" s="26" t="s">
        <v>1197</v>
      </c>
      <c r="C53" s="26" t="s">
        <v>941</v>
      </c>
      <c r="D53" s="30">
        <v>6900</v>
      </c>
      <c r="E53" s="28">
        <v>81.768982699999995</v>
      </c>
      <c r="F53" s="29">
        <v>0.50585995009898199</v>
      </c>
    </row>
    <row r="54" spans="1:9" x14ac:dyDescent="0.2">
      <c r="A54" s="26" t="s">
        <v>1476</v>
      </c>
      <c r="B54" s="26" t="s">
        <v>1475</v>
      </c>
      <c r="C54" s="26" t="s">
        <v>1164</v>
      </c>
      <c r="D54" s="30">
        <v>1367</v>
      </c>
      <c r="E54" s="28">
        <v>71.178288600000002</v>
      </c>
      <c r="F54" s="29">
        <v>0.44034112117340701</v>
      </c>
    </row>
    <row r="55" spans="1:9" x14ac:dyDescent="0.2">
      <c r="A55" s="26" t="s">
        <v>1478</v>
      </c>
      <c r="B55" s="26" t="s">
        <v>1477</v>
      </c>
      <c r="C55" s="26" t="s">
        <v>965</v>
      </c>
      <c r="D55" s="30">
        <v>101700</v>
      </c>
      <c r="E55" s="28">
        <v>71.176850400000006</v>
      </c>
      <c r="F55" s="29">
        <v>0.44033222381702303</v>
      </c>
    </row>
    <row r="56" spans="1:9" x14ac:dyDescent="0.2">
      <c r="A56" s="26" t="s">
        <v>1480</v>
      </c>
      <c r="B56" s="26" t="s">
        <v>1479</v>
      </c>
      <c r="C56" s="26" t="s">
        <v>1239</v>
      </c>
      <c r="D56" s="30">
        <v>34000</v>
      </c>
      <c r="E56" s="28">
        <v>70.2380584</v>
      </c>
      <c r="F56" s="29">
        <v>0.43452443144157299</v>
      </c>
    </row>
    <row r="57" spans="1:9" x14ac:dyDescent="0.2">
      <c r="A57" s="26" t="s">
        <v>1482</v>
      </c>
      <c r="B57" s="26" t="s">
        <v>1481</v>
      </c>
      <c r="C57" s="26" t="s">
        <v>965</v>
      </c>
      <c r="D57" s="30">
        <v>16000</v>
      </c>
      <c r="E57" s="28">
        <v>47.880809399999997</v>
      </c>
      <c r="F57" s="29">
        <v>0.29621236627886799</v>
      </c>
    </row>
    <row r="58" spans="1:9" x14ac:dyDescent="0.2">
      <c r="A58" s="26" t="s">
        <v>1484</v>
      </c>
      <c r="B58" s="26" t="s">
        <v>1483</v>
      </c>
      <c r="C58" s="26" t="s">
        <v>941</v>
      </c>
      <c r="D58" s="30">
        <v>400</v>
      </c>
      <c r="E58" s="28">
        <v>36.596138500000002</v>
      </c>
      <c r="F58" s="29">
        <v>0.226400282651742</v>
      </c>
    </row>
    <row r="59" spans="1:9" x14ac:dyDescent="0.2">
      <c r="A59" s="26" t="s">
        <v>1486</v>
      </c>
      <c r="B59" s="26" t="s">
        <v>1485</v>
      </c>
      <c r="C59" s="26" t="s">
        <v>1053</v>
      </c>
      <c r="D59" s="30">
        <v>9695</v>
      </c>
      <c r="E59" s="28">
        <v>0.2302247</v>
      </c>
      <c r="F59" s="29">
        <v>1.42427423465491E-3</v>
      </c>
    </row>
    <row r="60" spans="1:9" ht="10.5" x14ac:dyDescent="0.25">
      <c r="A60" s="25" t="s">
        <v>167</v>
      </c>
      <c r="B60" s="25"/>
      <c r="C60" s="25"/>
      <c r="D60" s="31"/>
      <c r="E60" s="32">
        <f>SUM(E21:E59)</f>
        <v>13788.374464399996</v>
      </c>
      <c r="F60" s="33">
        <f>SUM(F21:F59)</f>
        <v>85.301127495957573</v>
      </c>
      <c r="G60" s="17"/>
      <c r="H60" s="17"/>
      <c r="I60" s="17"/>
    </row>
    <row r="61" spans="1:9" x14ac:dyDescent="0.2">
      <c r="A61" s="26"/>
      <c r="B61" s="26"/>
      <c r="C61" s="26"/>
      <c r="D61" s="27"/>
      <c r="E61" s="28"/>
      <c r="F61" s="29"/>
    </row>
    <row r="62" spans="1:9" ht="10.5" x14ac:dyDescent="0.25">
      <c r="A62" s="25" t="s">
        <v>205</v>
      </c>
      <c r="B62" s="25"/>
      <c r="C62" s="25"/>
      <c r="D62" s="31"/>
      <c r="E62" s="32">
        <f>E19+E60</f>
        <v>15523.954724899997</v>
      </c>
      <c r="F62" s="33">
        <f>F19+F60</f>
        <v>96.038212818278794</v>
      </c>
      <c r="G62" s="17"/>
      <c r="H62" s="17"/>
      <c r="I62" s="17"/>
    </row>
    <row r="63" spans="1:9" ht="10.5" x14ac:dyDescent="0.25">
      <c r="A63" s="25"/>
      <c r="B63" s="25"/>
      <c r="C63" s="25"/>
      <c r="D63" s="31"/>
      <c r="E63" s="32"/>
      <c r="F63" s="33"/>
      <c r="G63" s="17"/>
      <c r="H63" s="17"/>
      <c r="I63" s="17"/>
    </row>
    <row r="64" spans="1:9" ht="10.5" x14ac:dyDescent="0.25">
      <c r="A64" s="25" t="s">
        <v>207</v>
      </c>
      <c r="B64" s="25"/>
      <c r="C64" s="25"/>
      <c r="D64" s="31"/>
      <c r="E64" s="32">
        <f>E66-(E19+E60)</f>
        <v>640.39722350000375</v>
      </c>
      <c r="F64" s="33">
        <f>F66-(F19+F60)</f>
        <v>3.9617871817212063</v>
      </c>
      <c r="G64" s="17"/>
      <c r="H64" s="17"/>
      <c r="I64" s="17"/>
    </row>
    <row r="65" spans="1:9" ht="10.5" x14ac:dyDescent="0.25">
      <c r="A65" s="25"/>
      <c r="B65" s="25"/>
      <c r="C65" s="25"/>
      <c r="D65" s="31"/>
      <c r="E65" s="32"/>
      <c r="F65" s="33"/>
      <c r="G65" s="17"/>
      <c r="H65" s="17"/>
      <c r="I65" s="17"/>
    </row>
    <row r="66" spans="1:9" ht="10.5" x14ac:dyDescent="0.25">
      <c r="A66" s="34" t="s">
        <v>206</v>
      </c>
      <c r="B66" s="34"/>
      <c r="C66" s="34"/>
      <c r="D66" s="35"/>
      <c r="E66" s="36">
        <v>16164.351948400001</v>
      </c>
      <c r="F66" s="37">
        <v>100</v>
      </c>
      <c r="G66" s="17"/>
      <c r="H66" s="17"/>
      <c r="I66" s="17"/>
    </row>
    <row r="67" spans="1:9" ht="10.5" x14ac:dyDescent="0.25">
      <c r="F67" s="19" t="s">
        <v>394</v>
      </c>
    </row>
    <row r="69" spans="1:9" ht="10.5" x14ac:dyDescent="0.25">
      <c r="A69" s="17" t="s">
        <v>210</v>
      </c>
    </row>
    <row r="70" spans="1:9" ht="10.5" x14ac:dyDescent="0.25">
      <c r="A70" s="17" t="s">
        <v>211</v>
      </c>
    </row>
    <row r="71" spans="1:9" ht="10.5" x14ac:dyDescent="0.25">
      <c r="A71" s="17" t="s">
        <v>212</v>
      </c>
      <c r="B71" s="17"/>
      <c r="C71" s="38" t="s">
        <v>214</v>
      </c>
      <c r="D71" s="18" t="s">
        <v>213</v>
      </c>
    </row>
    <row r="72" spans="1:9" x14ac:dyDescent="0.2">
      <c r="A72" s="10" t="s">
        <v>486</v>
      </c>
      <c r="C72" s="39">
        <v>23.990600000000001</v>
      </c>
      <c r="D72" s="39">
        <v>26.055900000000001</v>
      </c>
    </row>
    <row r="73" spans="1:9" x14ac:dyDescent="0.2">
      <c r="A73" s="10" t="s">
        <v>520</v>
      </c>
      <c r="C73" s="39">
        <v>13.211399999999999</v>
      </c>
      <c r="D73" s="39">
        <v>14.348699999999999</v>
      </c>
    </row>
    <row r="74" spans="1:9" x14ac:dyDescent="0.2">
      <c r="A74" s="10" t="s">
        <v>489</v>
      </c>
      <c r="C74" s="39">
        <v>25.095700000000001</v>
      </c>
      <c r="D74" s="39">
        <v>27.329899999999999</v>
      </c>
    </row>
    <row r="75" spans="1:9" x14ac:dyDescent="0.2">
      <c r="A75" s="10" t="s">
        <v>521</v>
      </c>
      <c r="C75" s="39">
        <v>13.9147</v>
      </c>
      <c r="D75" s="39">
        <v>15.162699999999999</v>
      </c>
    </row>
    <row r="77" spans="1:9" ht="10.5" x14ac:dyDescent="0.25">
      <c r="A77" s="17" t="s">
        <v>226</v>
      </c>
      <c r="D77" s="40" t="s">
        <v>227</v>
      </c>
    </row>
    <row r="79" spans="1:9" ht="10.5" x14ac:dyDescent="0.25">
      <c r="A79" s="17" t="s">
        <v>1065</v>
      </c>
      <c r="D79" s="46">
        <v>0.16310762771904233</v>
      </c>
    </row>
  </sheetData>
  <mergeCells count="1">
    <mergeCell ref="A1:F1"/>
  </mergeCells>
  <conditionalFormatting sqref="F2:F3 F5:F65536">
    <cfRule type="cellIs" dxfId="1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7"/>
  <sheetViews>
    <sheetView workbookViewId="0">
      <selection sqref="A1:F1"/>
    </sheetView>
  </sheetViews>
  <sheetFormatPr defaultColWidth="9.1796875" defaultRowHeight="10" x14ac:dyDescent="0.2"/>
  <cols>
    <col min="1" max="1" width="38.7265625" style="10" bestFit="1" customWidth="1"/>
    <col min="2" max="2" width="33.453125" style="10" bestFit="1" customWidth="1"/>
    <col min="3" max="3" width="26.81640625" style="10" bestFit="1" customWidth="1"/>
    <col min="4" max="4" width="14.7265625" style="11" bestFit="1" customWidth="1"/>
    <col min="5" max="5" width="23" style="15" bestFit="1" customWidth="1"/>
    <col min="6" max="6" width="14.7265625" style="16" bestFit="1" customWidth="1"/>
    <col min="7" max="7" width="8" style="10" bestFit="1" customWidth="1"/>
    <col min="8" max="16384" width="9.1796875" style="10"/>
  </cols>
  <sheetData>
    <row r="1" spans="1:6" s="1" customFormat="1" ht="14" x14ac:dyDescent="0.25">
      <c r="A1" s="143" t="s">
        <v>58</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13" t="s">
        <v>1</v>
      </c>
      <c r="E4" s="9" t="s">
        <v>3</v>
      </c>
      <c r="F4" s="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1488</v>
      </c>
      <c r="B7" s="26" t="s">
        <v>1487</v>
      </c>
      <c r="C7" s="26" t="s">
        <v>973</v>
      </c>
      <c r="D7" s="30">
        <v>220670</v>
      </c>
      <c r="E7" s="28">
        <v>4561.4695700000002</v>
      </c>
      <c r="F7" s="29">
        <v>14.032590343908799</v>
      </c>
    </row>
    <row r="8" spans="1:6" x14ac:dyDescent="0.2">
      <c r="A8" s="26" t="s">
        <v>934</v>
      </c>
      <c r="B8" s="26" t="s">
        <v>933</v>
      </c>
      <c r="C8" s="26" t="s">
        <v>935</v>
      </c>
      <c r="D8" s="30">
        <v>300615</v>
      </c>
      <c r="E8" s="28">
        <v>3104.7517200000002</v>
      </c>
      <c r="F8" s="29">
        <v>9.5512440317137006</v>
      </c>
    </row>
    <row r="9" spans="1:6" x14ac:dyDescent="0.2">
      <c r="A9" s="26" t="s">
        <v>940</v>
      </c>
      <c r="B9" s="26" t="s">
        <v>939</v>
      </c>
      <c r="C9" s="26" t="s">
        <v>941</v>
      </c>
      <c r="D9" s="30">
        <v>252989</v>
      </c>
      <c r="E9" s="28">
        <v>2443.87374</v>
      </c>
      <c r="F9" s="29">
        <v>7.5181646001107101</v>
      </c>
    </row>
    <row r="10" spans="1:6" x14ac:dyDescent="0.2">
      <c r="A10" s="26" t="s">
        <v>1028</v>
      </c>
      <c r="B10" s="26" t="s">
        <v>1027</v>
      </c>
      <c r="C10" s="26" t="s">
        <v>1029</v>
      </c>
      <c r="D10" s="30">
        <v>120000</v>
      </c>
      <c r="E10" s="28">
        <v>2138.34</v>
      </c>
      <c r="F10" s="29">
        <v>6.5782416774938302</v>
      </c>
    </row>
    <row r="11" spans="1:6" x14ac:dyDescent="0.2">
      <c r="A11" s="26" t="s">
        <v>1069</v>
      </c>
      <c r="B11" s="26" t="s">
        <v>1068</v>
      </c>
      <c r="C11" s="26" t="s">
        <v>941</v>
      </c>
      <c r="D11" s="30">
        <v>73177</v>
      </c>
      <c r="E11" s="28">
        <v>1669.4600780000001</v>
      </c>
      <c r="F11" s="29">
        <v>5.13581182787195</v>
      </c>
    </row>
    <row r="12" spans="1:6" x14ac:dyDescent="0.2">
      <c r="A12" s="26" t="s">
        <v>947</v>
      </c>
      <c r="B12" s="26" t="s">
        <v>946</v>
      </c>
      <c r="C12" s="26" t="s">
        <v>935</v>
      </c>
      <c r="D12" s="30">
        <v>450862</v>
      </c>
      <c r="E12" s="28">
        <v>1563.589416</v>
      </c>
      <c r="F12" s="29">
        <v>4.8101186260461102</v>
      </c>
    </row>
    <row r="13" spans="1:6" x14ac:dyDescent="0.2">
      <c r="A13" s="26" t="s">
        <v>945</v>
      </c>
      <c r="B13" s="26" t="s">
        <v>944</v>
      </c>
      <c r="C13" s="26" t="s">
        <v>935</v>
      </c>
      <c r="D13" s="30">
        <v>98176</v>
      </c>
      <c r="E13" s="28">
        <v>1340.83872</v>
      </c>
      <c r="F13" s="29">
        <v>4.1248637497785596</v>
      </c>
    </row>
    <row r="14" spans="1:6" x14ac:dyDescent="0.2">
      <c r="A14" s="26" t="s">
        <v>1323</v>
      </c>
      <c r="B14" s="26" t="s">
        <v>1322</v>
      </c>
      <c r="C14" s="26" t="s">
        <v>965</v>
      </c>
      <c r="D14" s="30">
        <v>60010</v>
      </c>
      <c r="E14" s="28">
        <v>1326.1609900000001</v>
      </c>
      <c r="F14" s="29">
        <v>4.0797101936476396</v>
      </c>
    </row>
    <row r="15" spans="1:6" x14ac:dyDescent="0.2">
      <c r="A15" s="26" t="s">
        <v>1083</v>
      </c>
      <c r="B15" s="26" t="s">
        <v>1082</v>
      </c>
      <c r="C15" s="26" t="s">
        <v>965</v>
      </c>
      <c r="D15" s="30">
        <v>602113</v>
      </c>
      <c r="E15" s="28">
        <v>1169.0023900000001</v>
      </c>
      <c r="F15" s="29">
        <v>3.5962383171001302</v>
      </c>
    </row>
    <row r="16" spans="1:6" x14ac:dyDescent="0.2">
      <c r="A16" s="26" t="s">
        <v>937</v>
      </c>
      <c r="B16" s="26" t="s">
        <v>936</v>
      </c>
      <c r="C16" s="26" t="s">
        <v>938</v>
      </c>
      <c r="D16" s="30">
        <v>164358</v>
      </c>
      <c r="E16" s="28">
        <v>911.94036300000005</v>
      </c>
      <c r="F16" s="29">
        <v>2.8054304288726102</v>
      </c>
    </row>
    <row r="17" spans="1:6" x14ac:dyDescent="0.2">
      <c r="A17" s="26" t="s">
        <v>1045</v>
      </c>
      <c r="B17" s="26" t="s">
        <v>1044</v>
      </c>
      <c r="C17" s="26" t="s">
        <v>1046</v>
      </c>
      <c r="D17" s="30">
        <v>83443</v>
      </c>
      <c r="E17" s="28">
        <v>762.2100835</v>
      </c>
      <c r="F17" s="29">
        <v>2.3448105251203102</v>
      </c>
    </row>
    <row r="18" spans="1:6" x14ac:dyDescent="0.2">
      <c r="A18" s="26" t="s">
        <v>943</v>
      </c>
      <c r="B18" s="26" t="s">
        <v>942</v>
      </c>
      <c r="C18" s="26" t="s">
        <v>935</v>
      </c>
      <c r="D18" s="30">
        <v>154646</v>
      </c>
      <c r="E18" s="28">
        <v>667.52945899999997</v>
      </c>
      <c r="F18" s="29">
        <v>2.0535415827925898</v>
      </c>
    </row>
    <row r="19" spans="1:6" x14ac:dyDescent="0.2">
      <c r="A19" s="26" t="s">
        <v>1490</v>
      </c>
      <c r="B19" s="26" t="s">
        <v>1489</v>
      </c>
      <c r="C19" s="26" t="s">
        <v>1029</v>
      </c>
      <c r="D19" s="30">
        <v>18414</v>
      </c>
      <c r="E19" s="28">
        <v>598.69438200000002</v>
      </c>
      <c r="F19" s="29">
        <v>1.8417821000186201</v>
      </c>
    </row>
    <row r="20" spans="1:6" x14ac:dyDescent="0.2">
      <c r="A20" s="26" t="s">
        <v>1033</v>
      </c>
      <c r="B20" s="26" t="s">
        <v>1032</v>
      </c>
      <c r="C20" s="26" t="s">
        <v>962</v>
      </c>
      <c r="D20" s="30">
        <v>9257</v>
      </c>
      <c r="E20" s="28">
        <v>579.74276750000001</v>
      </c>
      <c r="F20" s="29">
        <v>1.78348066041608</v>
      </c>
    </row>
    <row r="21" spans="1:6" x14ac:dyDescent="0.2">
      <c r="A21" s="26" t="s">
        <v>1345</v>
      </c>
      <c r="B21" s="26" t="s">
        <v>1344</v>
      </c>
      <c r="C21" s="26" t="s">
        <v>965</v>
      </c>
      <c r="D21" s="30">
        <v>31264</v>
      </c>
      <c r="E21" s="28">
        <v>536.33392000000003</v>
      </c>
      <c r="F21" s="29">
        <v>1.64994067622438</v>
      </c>
    </row>
    <row r="22" spans="1:6" x14ac:dyDescent="0.2">
      <c r="A22" s="26" t="s">
        <v>1081</v>
      </c>
      <c r="B22" s="26" t="s">
        <v>1080</v>
      </c>
      <c r="C22" s="26" t="s">
        <v>941</v>
      </c>
      <c r="D22" s="30">
        <v>75359</v>
      </c>
      <c r="E22" s="28">
        <v>531.43166799999995</v>
      </c>
      <c r="F22" s="29">
        <v>1.6348597263193301</v>
      </c>
    </row>
    <row r="23" spans="1:6" x14ac:dyDescent="0.2">
      <c r="A23" s="26" t="s">
        <v>990</v>
      </c>
      <c r="B23" s="26" t="s">
        <v>989</v>
      </c>
      <c r="C23" s="26" t="s">
        <v>935</v>
      </c>
      <c r="D23" s="30">
        <v>265903</v>
      </c>
      <c r="E23" s="28">
        <v>509.07129350000002</v>
      </c>
      <c r="F23" s="29">
        <v>1.56607181258238</v>
      </c>
    </row>
    <row r="24" spans="1:6" x14ac:dyDescent="0.2">
      <c r="A24" s="26" t="s">
        <v>1048</v>
      </c>
      <c r="B24" s="26" t="s">
        <v>1047</v>
      </c>
      <c r="C24" s="26" t="s">
        <v>965</v>
      </c>
      <c r="D24" s="30">
        <v>2462</v>
      </c>
      <c r="E24" s="28">
        <v>406.77656400000001</v>
      </c>
      <c r="F24" s="29">
        <v>1.25137936283872</v>
      </c>
    </row>
    <row r="25" spans="1:6" x14ac:dyDescent="0.2">
      <c r="A25" s="26" t="s">
        <v>961</v>
      </c>
      <c r="B25" s="26" t="s">
        <v>960</v>
      </c>
      <c r="C25" s="26" t="s">
        <v>962</v>
      </c>
      <c r="D25" s="30">
        <v>66726</v>
      </c>
      <c r="E25" s="28">
        <v>404.65982700000001</v>
      </c>
      <c r="F25" s="29">
        <v>1.2448675791402899</v>
      </c>
    </row>
    <row r="26" spans="1:6" x14ac:dyDescent="0.2">
      <c r="A26" s="26" t="s">
        <v>1376</v>
      </c>
      <c r="B26" s="26" t="s">
        <v>1375</v>
      </c>
      <c r="C26" s="26" t="s">
        <v>976</v>
      </c>
      <c r="D26" s="30">
        <v>75197</v>
      </c>
      <c r="E26" s="28">
        <v>399.82244900000001</v>
      </c>
      <c r="F26" s="29">
        <v>1.2299862031339499</v>
      </c>
    </row>
    <row r="27" spans="1:6" x14ac:dyDescent="0.2">
      <c r="A27" s="26" t="s">
        <v>1023</v>
      </c>
      <c r="B27" s="26" t="s">
        <v>1022</v>
      </c>
      <c r="C27" s="26" t="s">
        <v>976</v>
      </c>
      <c r="D27" s="30">
        <v>8425</v>
      </c>
      <c r="E27" s="28">
        <v>380.89846249999999</v>
      </c>
      <c r="F27" s="29">
        <v>1.1717697564048899</v>
      </c>
    </row>
    <row r="28" spans="1:6" x14ac:dyDescent="0.2">
      <c r="A28" s="26" t="s">
        <v>1354</v>
      </c>
      <c r="B28" s="26" t="s">
        <v>1353</v>
      </c>
      <c r="C28" s="26" t="s">
        <v>953</v>
      </c>
      <c r="D28" s="30">
        <v>8012</v>
      </c>
      <c r="E28" s="28">
        <v>329.87807600000002</v>
      </c>
      <c r="F28" s="29">
        <v>1.01481415866264</v>
      </c>
    </row>
    <row r="29" spans="1:6" x14ac:dyDescent="0.2">
      <c r="A29" s="26" t="s">
        <v>1492</v>
      </c>
      <c r="B29" s="26" t="s">
        <v>1491</v>
      </c>
      <c r="C29" s="26" t="s">
        <v>965</v>
      </c>
      <c r="D29" s="30">
        <v>8200</v>
      </c>
      <c r="E29" s="28">
        <v>313.53519999999997</v>
      </c>
      <c r="F29" s="29">
        <v>0.96453806223583005</v>
      </c>
    </row>
    <row r="30" spans="1:6" x14ac:dyDescent="0.2">
      <c r="A30" s="26" t="s">
        <v>981</v>
      </c>
      <c r="B30" s="26" t="s">
        <v>980</v>
      </c>
      <c r="C30" s="26" t="s">
        <v>982</v>
      </c>
      <c r="D30" s="30">
        <v>173609</v>
      </c>
      <c r="E30" s="28">
        <v>309.544847</v>
      </c>
      <c r="F30" s="29">
        <v>0.95226241551336699</v>
      </c>
    </row>
    <row r="31" spans="1:6" x14ac:dyDescent="0.2">
      <c r="A31" s="26" t="s">
        <v>1071</v>
      </c>
      <c r="B31" s="26" t="s">
        <v>1070</v>
      </c>
      <c r="C31" s="26" t="s">
        <v>968</v>
      </c>
      <c r="D31" s="30">
        <v>29089</v>
      </c>
      <c r="E31" s="28">
        <v>303.47099250000002</v>
      </c>
      <c r="F31" s="29">
        <v>0.93357722849215696</v>
      </c>
    </row>
    <row r="32" spans="1:6" x14ac:dyDescent="0.2">
      <c r="A32" s="26" t="s">
        <v>984</v>
      </c>
      <c r="B32" s="26" t="s">
        <v>983</v>
      </c>
      <c r="C32" s="26" t="s">
        <v>982</v>
      </c>
      <c r="D32" s="30">
        <v>335289</v>
      </c>
      <c r="E32" s="28">
        <v>291.70143000000002</v>
      </c>
      <c r="F32" s="29">
        <v>0.89737015825853295</v>
      </c>
    </row>
    <row r="33" spans="1:6" x14ac:dyDescent="0.2">
      <c r="A33" s="26" t="s">
        <v>1043</v>
      </c>
      <c r="B33" s="26" t="s">
        <v>1042</v>
      </c>
      <c r="C33" s="26" t="s">
        <v>941</v>
      </c>
      <c r="D33" s="30">
        <v>42616</v>
      </c>
      <c r="E33" s="28">
        <v>290.491964</v>
      </c>
      <c r="F33" s="29">
        <v>0.89364944048272899</v>
      </c>
    </row>
    <row r="34" spans="1:6" x14ac:dyDescent="0.2">
      <c r="A34" s="26" t="s">
        <v>1494</v>
      </c>
      <c r="B34" s="26" t="s">
        <v>1493</v>
      </c>
      <c r="C34" s="26" t="s">
        <v>941</v>
      </c>
      <c r="D34" s="30">
        <v>102270</v>
      </c>
      <c r="E34" s="28">
        <v>287.32756499999999</v>
      </c>
      <c r="F34" s="29">
        <v>0.88391470167317598</v>
      </c>
    </row>
    <row r="35" spans="1:6" x14ac:dyDescent="0.2">
      <c r="A35" s="26" t="s">
        <v>992</v>
      </c>
      <c r="B35" s="26" t="s">
        <v>991</v>
      </c>
      <c r="C35" s="26" t="s">
        <v>962</v>
      </c>
      <c r="D35" s="30">
        <v>9030</v>
      </c>
      <c r="E35" s="28">
        <v>271.34698500000002</v>
      </c>
      <c r="F35" s="29">
        <v>0.83475314767029296</v>
      </c>
    </row>
    <row r="36" spans="1:6" x14ac:dyDescent="0.2">
      <c r="A36" s="26" t="s">
        <v>1496</v>
      </c>
      <c r="B36" s="26" t="s">
        <v>1495</v>
      </c>
      <c r="C36" s="26" t="s">
        <v>1029</v>
      </c>
      <c r="D36" s="30">
        <v>4194</v>
      </c>
      <c r="E36" s="28">
        <v>260.27544599999999</v>
      </c>
      <c r="F36" s="29">
        <v>0.80069342878377403</v>
      </c>
    </row>
    <row r="37" spans="1:6" x14ac:dyDescent="0.2">
      <c r="A37" s="26" t="s">
        <v>1498</v>
      </c>
      <c r="B37" s="26" t="s">
        <v>1497</v>
      </c>
      <c r="C37" s="26" t="s">
        <v>976</v>
      </c>
      <c r="D37" s="30">
        <v>34519</v>
      </c>
      <c r="E37" s="28">
        <v>248.58857850000001</v>
      </c>
      <c r="F37" s="29">
        <v>0.76474075574401101</v>
      </c>
    </row>
    <row r="38" spans="1:6" x14ac:dyDescent="0.2">
      <c r="A38" s="26" t="s">
        <v>1401</v>
      </c>
      <c r="B38" s="26" t="s">
        <v>1400</v>
      </c>
      <c r="C38" s="26" t="s">
        <v>962</v>
      </c>
      <c r="D38" s="30">
        <v>9004</v>
      </c>
      <c r="E38" s="28">
        <v>240.99206000000001</v>
      </c>
      <c r="F38" s="29">
        <v>0.74137135022358203</v>
      </c>
    </row>
    <row r="39" spans="1:6" x14ac:dyDescent="0.2">
      <c r="A39" s="26" t="s">
        <v>988</v>
      </c>
      <c r="B39" s="26" t="s">
        <v>987</v>
      </c>
      <c r="C39" s="26" t="s">
        <v>973</v>
      </c>
      <c r="D39" s="30">
        <v>55295</v>
      </c>
      <c r="E39" s="28">
        <v>228.81071</v>
      </c>
      <c r="F39" s="29">
        <v>0.703897485329253</v>
      </c>
    </row>
    <row r="40" spans="1:6" x14ac:dyDescent="0.2">
      <c r="A40" s="26" t="s">
        <v>1500</v>
      </c>
      <c r="B40" s="26" t="s">
        <v>1499</v>
      </c>
      <c r="C40" s="26" t="s">
        <v>1029</v>
      </c>
      <c r="D40" s="30">
        <v>35984</v>
      </c>
      <c r="E40" s="28">
        <v>225.655664</v>
      </c>
      <c r="F40" s="29">
        <v>0.69419151944374802</v>
      </c>
    </row>
    <row r="41" spans="1:6" x14ac:dyDescent="0.2">
      <c r="A41" s="26" t="s">
        <v>1389</v>
      </c>
      <c r="B41" s="26" t="s">
        <v>1388</v>
      </c>
      <c r="C41" s="26" t="s">
        <v>935</v>
      </c>
      <c r="D41" s="30">
        <v>40880</v>
      </c>
      <c r="E41" s="28">
        <v>214.10900000000001</v>
      </c>
      <c r="F41" s="29">
        <v>0.65867015878042201</v>
      </c>
    </row>
    <row r="42" spans="1:6" x14ac:dyDescent="0.2">
      <c r="A42" s="26" t="s">
        <v>1502</v>
      </c>
      <c r="B42" s="26" t="s">
        <v>1501</v>
      </c>
      <c r="C42" s="26" t="s">
        <v>953</v>
      </c>
      <c r="D42" s="30">
        <v>930</v>
      </c>
      <c r="E42" s="28">
        <v>201.91369499999999</v>
      </c>
      <c r="F42" s="29">
        <v>0.62115336368668195</v>
      </c>
    </row>
    <row r="43" spans="1:6" x14ac:dyDescent="0.2">
      <c r="A43" s="26" t="s">
        <v>1504</v>
      </c>
      <c r="B43" s="26" t="s">
        <v>1503</v>
      </c>
      <c r="C43" s="26" t="s">
        <v>962</v>
      </c>
      <c r="D43" s="30">
        <v>969</v>
      </c>
      <c r="E43" s="28">
        <v>199.989003</v>
      </c>
      <c r="F43" s="29">
        <v>0.61523237397936703</v>
      </c>
    </row>
    <row r="44" spans="1:6" x14ac:dyDescent="0.2">
      <c r="A44" s="26" t="s">
        <v>1090</v>
      </c>
      <c r="B44" s="26" t="s">
        <v>1089</v>
      </c>
      <c r="C44" s="26" t="s">
        <v>1091</v>
      </c>
      <c r="D44" s="30">
        <v>252569</v>
      </c>
      <c r="E44" s="28">
        <v>197.761527</v>
      </c>
      <c r="F44" s="29">
        <v>0.60837992045989997</v>
      </c>
    </row>
    <row r="45" spans="1:6" x14ac:dyDescent="0.2">
      <c r="A45" s="26" t="s">
        <v>978</v>
      </c>
      <c r="B45" s="26" t="s">
        <v>977</v>
      </c>
      <c r="C45" s="26" t="s">
        <v>979</v>
      </c>
      <c r="D45" s="30">
        <v>51813</v>
      </c>
      <c r="E45" s="28">
        <v>189.79101900000001</v>
      </c>
      <c r="F45" s="29">
        <v>0.58385999943873501</v>
      </c>
    </row>
    <row r="46" spans="1:6" x14ac:dyDescent="0.2">
      <c r="A46" s="26" t="s">
        <v>1014</v>
      </c>
      <c r="B46" s="26" t="s">
        <v>1013</v>
      </c>
      <c r="C46" s="26" t="s">
        <v>1015</v>
      </c>
      <c r="D46" s="30">
        <v>144607</v>
      </c>
      <c r="E46" s="28">
        <v>186.90454750000001</v>
      </c>
      <c r="F46" s="29">
        <v>0.57498025761928695</v>
      </c>
    </row>
    <row r="47" spans="1:6" x14ac:dyDescent="0.2">
      <c r="A47" s="26" t="s">
        <v>1506</v>
      </c>
      <c r="B47" s="26" t="s">
        <v>1505</v>
      </c>
      <c r="C47" s="26" t="s">
        <v>1248</v>
      </c>
      <c r="D47" s="30">
        <v>37119</v>
      </c>
      <c r="E47" s="28">
        <v>177.4844985</v>
      </c>
      <c r="F47" s="29">
        <v>0.54600106865222198</v>
      </c>
    </row>
    <row r="48" spans="1:6" x14ac:dyDescent="0.2">
      <c r="A48" s="26" t="s">
        <v>952</v>
      </c>
      <c r="B48" s="26" t="s">
        <v>951</v>
      </c>
      <c r="C48" s="26" t="s">
        <v>953</v>
      </c>
      <c r="D48" s="30">
        <v>27347</v>
      </c>
      <c r="E48" s="28">
        <v>173.1201835</v>
      </c>
      <c r="F48" s="29">
        <v>0.532574991028125</v>
      </c>
    </row>
    <row r="49" spans="1:9" x14ac:dyDescent="0.2">
      <c r="A49" s="26" t="s">
        <v>1508</v>
      </c>
      <c r="B49" s="26" t="s">
        <v>1507</v>
      </c>
      <c r="C49" s="26" t="s">
        <v>1099</v>
      </c>
      <c r="D49" s="30">
        <v>52387</v>
      </c>
      <c r="E49" s="28">
        <v>165.12382400000001</v>
      </c>
      <c r="F49" s="29">
        <v>0.50797554223554597</v>
      </c>
    </row>
    <row r="50" spans="1:9" x14ac:dyDescent="0.2">
      <c r="A50" s="26" t="s">
        <v>958</v>
      </c>
      <c r="B50" s="26" t="s">
        <v>957</v>
      </c>
      <c r="C50" s="26" t="s">
        <v>959</v>
      </c>
      <c r="D50" s="30">
        <v>99365</v>
      </c>
      <c r="E50" s="28">
        <v>162.06431499999999</v>
      </c>
      <c r="F50" s="29">
        <v>0.49856347978688598</v>
      </c>
    </row>
    <row r="51" spans="1:9" x14ac:dyDescent="0.2">
      <c r="A51" s="26" t="s">
        <v>1510</v>
      </c>
      <c r="B51" s="26" t="s">
        <v>1509</v>
      </c>
      <c r="C51" s="26" t="s">
        <v>979</v>
      </c>
      <c r="D51" s="30">
        <v>70478</v>
      </c>
      <c r="E51" s="28">
        <v>155.22779499999999</v>
      </c>
      <c r="F51" s="29">
        <v>0.47753208122864899</v>
      </c>
    </row>
    <row r="52" spans="1:9" x14ac:dyDescent="0.2">
      <c r="A52" s="26" t="s">
        <v>1050</v>
      </c>
      <c r="B52" s="26" t="s">
        <v>1049</v>
      </c>
      <c r="C52" s="26" t="s">
        <v>973</v>
      </c>
      <c r="D52" s="30">
        <v>173869</v>
      </c>
      <c r="E52" s="28">
        <v>153.78713049999999</v>
      </c>
      <c r="F52" s="29">
        <v>0.47310012033506499</v>
      </c>
    </row>
    <row r="53" spans="1:9" x14ac:dyDescent="0.2">
      <c r="A53" s="26" t="s">
        <v>1008</v>
      </c>
      <c r="B53" s="26" t="s">
        <v>1007</v>
      </c>
      <c r="C53" s="26" t="s">
        <v>962</v>
      </c>
      <c r="D53" s="30">
        <v>124534</v>
      </c>
      <c r="E53" s="28">
        <v>130.32483099999999</v>
      </c>
      <c r="F53" s="29">
        <v>0.40092232053674398</v>
      </c>
    </row>
    <row r="54" spans="1:9" x14ac:dyDescent="0.2">
      <c r="A54" s="26" t="s">
        <v>1062</v>
      </c>
      <c r="B54" s="26" t="s">
        <v>1061</v>
      </c>
      <c r="C54" s="26" t="s">
        <v>956</v>
      </c>
      <c r="D54" s="30">
        <v>124941</v>
      </c>
      <c r="E54" s="28">
        <v>120.7554765</v>
      </c>
      <c r="F54" s="29">
        <v>0.37148381842827999</v>
      </c>
    </row>
    <row r="55" spans="1:9" x14ac:dyDescent="0.2">
      <c r="A55" s="26" t="s">
        <v>1512</v>
      </c>
      <c r="B55" s="26" t="s">
        <v>1511</v>
      </c>
      <c r="C55" s="26" t="s">
        <v>1186</v>
      </c>
      <c r="D55" s="30">
        <v>59150</v>
      </c>
      <c r="E55" s="28">
        <v>113.62715</v>
      </c>
      <c r="F55" s="29">
        <v>0.34955472648168401</v>
      </c>
    </row>
    <row r="56" spans="1:9" x14ac:dyDescent="0.2">
      <c r="A56" s="26" t="s">
        <v>1514</v>
      </c>
      <c r="B56" s="26" t="s">
        <v>1513</v>
      </c>
      <c r="C56" s="26" t="s">
        <v>1011</v>
      </c>
      <c r="D56" s="30">
        <v>63147</v>
      </c>
      <c r="E56" s="28">
        <v>87.616462499999997</v>
      </c>
      <c r="F56" s="29">
        <v>0.26953724162297699</v>
      </c>
    </row>
    <row r="57" spans="1:9" x14ac:dyDescent="0.2">
      <c r="A57" s="26" t="s">
        <v>1516</v>
      </c>
      <c r="B57" s="26" t="s">
        <v>1515</v>
      </c>
      <c r="C57" s="26" t="s">
        <v>935</v>
      </c>
      <c r="D57" s="30">
        <v>92088</v>
      </c>
      <c r="E57" s="28">
        <v>0</v>
      </c>
      <c r="F57" s="29">
        <v>0</v>
      </c>
    </row>
    <row r="58" spans="1:9" ht="10.5" x14ac:dyDescent="0.25">
      <c r="A58" s="25" t="s">
        <v>167</v>
      </c>
      <c r="B58" s="25"/>
      <c r="C58" s="25"/>
      <c r="D58" s="31"/>
      <c r="E58" s="32">
        <f>SUM(E7:E57)</f>
        <v>32237.817839000007</v>
      </c>
      <c r="F58" s="33">
        <f>SUM(F7:F57)</f>
        <v>99.174199098349234</v>
      </c>
      <c r="G58" s="17"/>
      <c r="H58" s="17"/>
      <c r="I58" s="17"/>
    </row>
    <row r="59" spans="1:9" x14ac:dyDescent="0.2">
      <c r="A59" s="26"/>
      <c r="B59" s="26"/>
      <c r="C59" s="26"/>
      <c r="D59" s="27"/>
      <c r="E59" s="28"/>
      <c r="F59" s="29"/>
    </row>
    <row r="60" spans="1:9" ht="10.5" x14ac:dyDescent="0.25">
      <c r="A60" s="25" t="s">
        <v>205</v>
      </c>
      <c r="B60" s="25"/>
      <c r="C60" s="25"/>
      <c r="D60" s="31"/>
      <c r="E60" s="32">
        <f>E58</f>
        <v>32237.817839000007</v>
      </c>
      <c r="F60" s="33">
        <f>F58</f>
        <v>99.174199098349234</v>
      </c>
      <c r="G60" s="17"/>
      <c r="H60" s="17"/>
      <c r="I60" s="17"/>
    </row>
    <row r="61" spans="1:9" ht="10.5" x14ac:dyDescent="0.25">
      <c r="A61" s="25"/>
      <c r="B61" s="25"/>
      <c r="C61" s="25"/>
      <c r="D61" s="31"/>
      <c r="E61" s="32"/>
      <c r="F61" s="33"/>
      <c r="G61" s="17"/>
      <c r="H61" s="17"/>
      <c r="I61" s="17"/>
    </row>
    <row r="62" spans="1:9" ht="10.5" x14ac:dyDescent="0.25">
      <c r="A62" s="25" t="s">
        <v>207</v>
      </c>
      <c r="B62" s="25"/>
      <c r="C62" s="25"/>
      <c r="D62" s="31"/>
      <c r="E62" s="32">
        <f>E64-(E58)</f>
        <v>268.43694509999477</v>
      </c>
      <c r="F62" s="33">
        <f>F64-(F58)</f>
        <v>0.8258009016507657</v>
      </c>
      <c r="G62" s="17"/>
      <c r="H62" s="17"/>
      <c r="I62" s="17"/>
    </row>
    <row r="63" spans="1:9" ht="10.5" x14ac:dyDescent="0.25">
      <c r="A63" s="25"/>
      <c r="B63" s="25"/>
      <c r="C63" s="25"/>
      <c r="D63" s="31"/>
      <c r="E63" s="32"/>
      <c r="F63" s="33"/>
      <c r="G63" s="17"/>
      <c r="H63" s="17"/>
      <c r="I63" s="17"/>
    </row>
    <row r="64" spans="1:9" ht="10.5" x14ac:dyDescent="0.25">
      <c r="A64" s="34" t="s">
        <v>206</v>
      </c>
      <c r="B64" s="34"/>
      <c r="C64" s="34"/>
      <c r="D64" s="35"/>
      <c r="E64" s="36">
        <v>32506.254784100001</v>
      </c>
      <c r="F64" s="37">
        <v>100</v>
      </c>
      <c r="G64" s="17"/>
      <c r="H64" s="17"/>
      <c r="I64" s="17"/>
    </row>
    <row r="65" spans="1:6" ht="10.5" x14ac:dyDescent="0.25">
      <c r="F65" s="19" t="s">
        <v>394</v>
      </c>
    </row>
    <row r="67" spans="1:6" ht="10.5" x14ac:dyDescent="0.25">
      <c r="A67" s="17" t="s">
        <v>210</v>
      </c>
    </row>
    <row r="68" spans="1:6" ht="10.5" x14ac:dyDescent="0.25">
      <c r="A68" s="17" t="s">
        <v>211</v>
      </c>
    </row>
    <row r="69" spans="1:6" ht="10.5" x14ac:dyDescent="0.25">
      <c r="A69" s="17" t="s">
        <v>212</v>
      </c>
      <c r="B69" s="17"/>
      <c r="C69" s="38" t="s">
        <v>214</v>
      </c>
      <c r="D69" s="18" t="s">
        <v>213</v>
      </c>
    </row>
    <row r="70" spans="1:6" x14ac:dyDescent="0.2">
      <c r="A70" s="10" t="s">
        <v>486</v>
      </c>
      <c r="C70" s="39">
        <v>94.544600000000003</v>
      </c>
      <c r="D70" s="39">
        <v>87.479500000000002</v>
      </c>
    </row>
    <row r="71" spans="1:6" x14ac:dyDescent="0.2">
      <c r="A71" s="10" t="s">
        <v>520</v>
      </c>
      <c r="C71" s="39">
        <v>94.544600000000003</v>
      </c>
      <c r="D71" s="39">
        <v>87.479500000000002</v>
      </c>
    </row>
    <row r="72" spans="1:6" x14ac:dyDescent="0.2">
      <c r="A72" s="10" t="s">
        <v>489</v>
      </c>
      <c r="C72" s="39">
        <v>97.161799999999999</v>
      </c>
      <c r="D72" s="39">
        <v>90.143699999999995</v>
      </c>
    </row>
    <row r="73" spans="1:6" x14ac:dyDescent="0.2">
      <c r="A73" s="10" t="s">
        <v>521</v>
      </c>
      <c r="C73" s="39">
        <v>97.161799999999999</v>
      </c>
      <c r="D73" s="39">
        <v>90.143699999999995</v>
      </c>
    </row>
    <row r="75" spans="1:6" ht="10.5" x14ac:dyDescent="0.25">
      <c r="A75" s="17" t="s">
        <v>226</v>
      </c>
      <c r="D75" s="40" t="s">
        <v>227</v>
      </c>
    </row>
    <row r="77" spans="1:6" ht="10.5" x14ac:dyDescent="0.25">
      <c r="A77" s="17" t="s">
        <v>1065</v>
      </c>
      <c r="D77" s="46">
        <v>5.1700000000000003E-2</v>
      </c>
    </row>
  </sheetData>
  <mergeCells count="1">
    <mergeCell ref="A1:F1"/>
  </mergeCells>
  <conditionalFormatting sqref="F2:F3 F5:F65536">
    <cfRule type="cellIs" dxfId="1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82"/>
  <sheetViews>
    <sheetView workbookViewId="0">
      <selection sqref="A1:F1"/>
    </sheetView>
  </sheetViews>
  <sheetFormatPr defaultColWidth="9.1796875" defaultRowHeight="10" x14ac:dyDescent="0.2"/>
  <cols>
    <col min="1" max="1" width="38.7265625" style="10" bestFit="1" customWidth="1"/>
    <col min="2" max="2" width="41.453125" style="10" bestFit="1" customWidth="1"/>
    <col min="3" max="3" width="35.7265625" style="10" bestFit="1" customWidth="1"/>
    <col min="4" max="4" width="14.7265625" style="11" bestFit="1" customWidth="1"/>
    <col min="5" max="5" width="23" style="15" bestFit="1" customWidth="1"/>
    <col min="6" max="6" width="14.7265625" style="16" bestFit="1" customWidth="1"/>
    <col min="7" max="7" width="4.453125" style="10" bestFit="1" customWidth="1"/>
    <col min="8" max="16384" width="9.1796875" style="10"/>
  </cols>
  <sheetData>
    <row r="1" spans="1:6" s="1" customFormat="1" ht="14" x14ac:dyDescent="0.25">
      <c r="A1" s="143" t="s">
        <v>59</v>
      </c>
      <c r="B1" s="144"/>
      <c r="C1" s="144"/>
      <c r="D1" s="144"/>
      <c r="E1" s="144"/>
      <c r="F1" s="144"/>
    </row>
    <row r="2" spans="1:6" s="1" customFormat="1" ht="11.5" x14ac:dyDescent="0.25">
      <c r="D2" s="6"/>
      <c r="E2" s="7"/>
      <c r="F2" s="14"/>
    </row>
    <row r="3" spans="1:6" s="1" customFormat="1" ht="11.5" x14ac:dyDescent="0.25">
      <c r="A3" s="12" t="s">
        <v>6</v>
      </c>
      <c r="B3" s="2"/>
      <c r="C3" s="3"/>
      <c r="D3" s="4"/>
      <c r="E3" s="5"/>
      <c r="F3" s="14"/>
    </row>
    <row r="4" spans="1:6" s="1" customFormat="1" ht="17.5" customHeight="1" x14ac:dyDescent="0.25">
      <c r="A4" s="8" t="s">
        <v>2</v>
      </c>
      <c r="B4" s="8" t="s">
        <v>0</v>
      </c>
      <c r="C4" s="8" t="s">
        <v>1122</v>
      </c>
      <c r="D4" s="47" t="s">
        <v>1</v>
      </c>
      <c r="E4" s="48" t="s">
        <v>3</v>
      </c>
      <c r="F4" s="49" t="s">
        <v>4</v>
      </c>
    </row>
    <row r="5" spans="1:6" ht="10.5" x14ac:dyDescent="0.25">
      <c r="A5" s="20" t="s">
        <v>932</v>
      </c>
      <c r="B5" s="21"/>
      <c r="C5" s="21"/>
      <c r="D5" s="22"/>
      <c r="E5" s="23"/>
      <c r="F5" s="24"/>
    </row>
    <row r="6" spans="1:6" ht="10.5" x14ac:dyDescent="0.25">
      <c r="A6" s="25" t="s">
        <v>70</v>
      </c>
      <c r="B6" s="26"/>
      <c r="C6" s="26"/>
      <c r="D6" s="27"/>
      <c r="E6" s="28"/>
      <c r="F6" s="29"/>
    </row>
    <row r="7" spans="1:6" x14ac:dyDescent="0.2">
      <c r="A7" s="26" t="s">
        <v>940</v>
      </c>
      <c r="B7" s="26" t="s">
        <v>939</v>
      </c>
      <c r="C7" s="26" t="s">
        <v>941</v>
      </c>
      <c r="D7" s="30">
        <v>3970979</v>
      </c>
      <c r="E7" s="28">
        <v>38359.657140000003</v>
      </c>
      <c r="F7" s="29">
        <v>11.11009810096</v>
      </c>
    </row>
    <row r="8" spans="1:6" x14ac:dyDescent="0.2">
      <c r="A8" s="26" t="s">
        <v>934</v>
      </c>
      <c r="B8" s="26" t="s">
        <v>933</v>
      </c>
      <c r="C8" s="26" t="s">
        <v>935</v>
      </c>
      <c r="D8" s="30">
        <v>2630104</v>
      </c>
      <c r="E8" s="28">
        <v>27163.714110000001</v>
      </c>
      <c r="F8" s="29">
        <v>7.8674198637149404</v>
      </c>
    </row>
    <row r="9" spans="1:6" x14ac:dyDescent="0.2">
      <c r="A9" s="26" t="s">
        <v>943</v>
      </c>
      <c r="B9" s="26" t="s">
        <v>942</v>
      </c>
      <c r="C9" s="26" t="s">
        <v>935</v>
      </c>
      <c r="D9" s="30">
        <v>6104842</v>
      </c>
      <c r="E9" s="28">
        <v>26351.550490000001</v>
      </c>
      <c r="F9" s="29">
        <v>7.6321931134001701</v>
      </c>
    </row>
    <row r="10" spans="1:6" x14ac:dyDescent="0.2">
      <c r="A10" s="26" t="s">
        <v>937</v>
      </c>
      <c r="B10" s="26" t="s">
        <v>936</v>
      </c>
      <c r="C10" s="26" t="s">
        <v>938</v>
      </c>
      <c r="D10" s="30">
        <v>3044619</v>
      </c>
      <c r="E10" s="28">
        <v>16893.068520000001</v>
      </c>
      <c r="F10" s="29">
        <v>4.8927352973582598</v>
      </c>
    </row>
    <row r="11" spans="1:6" x14ac:dyDescent="0.2">
      <c r="A11" s="26" t="s">
        <v>947</v>
      </c>
      <c r="B11" s="26" t="s">
        <v>946</v>
      </c>
      <c r="C11" s="26" t="s">
        <v>935</v>
      </c>
      <c r="D11" s="30">
        <v>4383052</v>
      </c>
      <c r="E11" s="28">
        <v>15200.42434</v>
      </c>
      <c r="F11" s="29">
        <v>4.4024951781313</v>
      </c>
    </row>
    <row r="12" spans="1:6" x14ac:dyDescent="0.2">
      <c r="A12" s="26" t="s">
        <v>981</v>
      </c>
      <c r="B12" s="26" t="s">
        <v>980</v>
      </c>
      <c r="C12" s="26" t="s">
        <v>982</v>
      </c>
      <c r="D12" s="30">
        <v>7119223</v>
      </c>
      <c r="E12" s="28">
        <v>12693.57461</v>
      </c>
      <c r="F12" s="29">
        <v>3.6764369049038601</v>
      </c>
    </row>
    <row r="13" spans="1:6" x14ac:dyDescent="0.2">
      <c r="A13" s="26" t="s">
        <v>961</v>
      </c>
      <c r="B13" s="26" t="s">
        <v>960</v>
      </c>
      <c r="C13" s="26" t="s">
        <v>962</v>
      </c>
      <c r="D13" s="30">
        <v>1859699</v>
      </c>
      <c r="E13" s="28">
        <v>11278.14459</v>
      </c>
      <c r="F13" s="29">
        <v>3.26648625493192</v>
      </c>
    </row>
    <row r="14" spans="1:6" x14ac:dyDescent="0.2">
      <c r="A14" s="26" t="s">
        <v>955</v>
      </c>
      <c r="B14" s="26" t="s">
        <v>954</v>
      </c>
      <c r="C14" s="26" t="s">
        <v>956</v>
      </c>
      <c r="D14" s="30">
        <v>4078627</v>
      </c>
      <c r="E14" s="28">
        <v>10108.87702</v>
      </c>
      <c r="F14" s="29">
        <v>2.9278315750540602</v>
      </c>
    </row>
    <row r="15" spans="1:6" x14ac:dyDescent="0.2">
      <c r="A15" s="26" t="s">
        <v>1043</v>
      </c>
      <c r="B15" s="26" t="s">
        <v>1042</v>
      </c>
      <c r="C15" s="26" t="s">
        <v>941</v>
      </c>
      <c r="D15" s="30">
        <v>1405548</v>
      </c>
      <c r="E15" s="28">
        <v>9580.917942</v>
      </c>
      <c r="F15" s="29">
        <v>2.7749189166206301</v>
      </c>
    </row>
    <row r="16" spans="1:6" x14ac:dyDescent="0.2">
      <c r="A16" s="26" t="s">
        <v>984</v>
      </c>
      <c r="B16" s="26" t="s">
        <v>983</v>
      </c>
      <c r="C16" s="26" t="s">
        <v>982</v>
      </c>
      <c r="D16" s="30">
        <v>10065496</v>
      </c>
      <c r="E16" s="28">
        <v>8756.9815199999994</v>
      </c>
      <c r="F16" s="29">
        <v>2.53628241254644</v>
      </c>
    </row>
    <row r="17" spans="1:6" x14ac:dyDescent="0.2">
      <c r="A17" s="26" t="s">
        <v>1037</v>
      </c>
      <c r="B17" s="26" t="s">
        <v>1036</v>
      </c>
      <c r="C17" s="26" t="s">
        <v>982</v>
      </c>
      <c r="D17" s="30">
        <v>17624428</v>
      </c>
      <c r="E17" s="28">
        <v>8583.0964359999998</v>
      </c>
      <c r="F17" s="29">
        <v>2.4859201182620398</v>
      </c>
    </row>
    <row r="18" spans="1:6" x14ac:dyDescent="0.2">
      <c r="A18" s="26" t="s">
        <v>994</v>
      </c>
      <c r="B18" s="26" t="s">
        <v>993</v>
      </c>
      <c r="C18" s="26" t="s">
        <v>965</v>
      </c>
      <c r="D18" s="30">
        <v>871834</v>
      </c>
      <c r="E18" s="28">
        <v>8296.8082610000001</v>
      </c>
      <c r="F18" s="29">
        <v>2.40300254426531</v>
      </c>
    </row>
    <row r="19" spans="1:6" x14ac:dyDescent="0.2">
      <c r="A19" s="26" t="s">
        <v>1023</v>
      </c>
      <c r="B19" s="26" t="s">
        <v>1022</v>
      </c>
      <c r="C19" s="26" t="s">
        <v>976</v>
      </c>
      <c r="D19" s="30">
        <v>177107</v>
      </c>
      <c r="E19" s="28">
        <v>8007.0960240000004</v>
      </c>
      <c r="F19" s="29">
        <v>2.31909326003028</v>
      </c>
    </row>
    <row r="20" spans="1:6" x14ac:dyDescent="0.2">
      <c r="A20" s="26" t="s">
        <v>1045</v>
      </c>
      <c r="B20" s="26" t="s">
        <v>1044</v>
      </c>
      <c r="C20" s="26" t="s">
        <v>1046</v>
      </c>
      <c r="D20" s="30">
        <v>757133</v>
      </c>
      <c r="E20" s="28">
        <v>6916.0313889999998</v>
      </c>
      <c r="F20" s="29">
        <v>2.0030884770600501</v>
      </c>
    </row>
    <row r="21" spans="1:6" x14ac:dyDescent="0.2">
      <c r="A21" s="26" t="s">
        <v>952</v>
      </c>
      <c r="B21" s="26" t="s">
        <v>951</v>
      </c>
      <c r="C21" s="26" t="s">
        <v>953</v>
      </c>
      <c r="D21" s="30">
        <v>1081440</v>
      </c>
      <c r="E21" s="28">
        <v>6846.0559199999998</v>
      </c>
      <c r="F21" s="29">
        <v>1.98282149911462</v>
      </c>
    </row>
    <row r="22" spans="1:6" x14ac:dyDescent="0.2">
      <c r="A22" s="26" t="s">
        <v>958</v>
      </c>
      <c r="B22" s="26" t="s">
        <v>957</v>
      </c>
      <c r="C22" s="26" t="s">
        <v>959</v>
      </c>
      <c r="D22" s="30">
        <v>4049242</v>
      </c>
      <c r="E22" s="28">
        <v>6604.3137020000004</v>
      </c>
      <c r="F22" s="29">
        <v>1.9128057597319299</v>
      </c>
    </row>
    <row r="23" spans="1:6" x14ac:dyDescent="0.2">
      <c r="A23" s="26" t="s">
        <v>945</v>
      </c>
      <c r="B23" s="26" t="s">
        <v>944</v>
      </c>
      <c r="C23" s="26" t="s">
        <v>935</v>
      </c>
      <c r="D23" s="30">
        <v>474652</v>
      </c>
      <c r="E23" s="28">
        <v>6482.55969</v>
      </c>
      <c r="F23" s="29">
        <v>1.87754217506097</v>
      </c>
    </row>
    <row r="24" spans="1:6" x14ac:dyDescent="0.2">
      <c r="A24" s="26" t="s">
        <v>970</v>
      </c>
      <c r="B24" s="26" t="s">
        <v>969</v>
      </c>
      <c r="C24" s="26" t="s">
        <v>956</v>
      </c>
      <c r="D24" s="30">
        <v>2995176</v>
      </c>
      <c r="E24" s="28">
        <v>6132.6228600000004</v>
      </c>
      <c r="F24" s="29">
        <v>1.7761900567078399</v>
      </c>
    </row>
    <row r="25" spans="1:6" x14ac:dyDescent="0.2">
      <c r="A25" s="26" t="s">
        <v>972</v>
      </c>
      <c r="B25" s="26" t="s">
        <v>971</v>
      </c>
      <c r="C25" s="26" t="s">
        <v>973</v>
      </c>
      <c r="D25" s="30">
        <v>2520962</v>
      </c>
      <c r="E25" s="28">
        <v>5420.0682999999999</v>
      </c>
      <c r="F25" s="29">
        <v>1.5698130540408499</v>
      </c>
    </row>
    <row r="26" spans="1:6" x14ac:dyDescent="0.2">
      <c r="A26" s="26" t="s">
        <v>949</v>
      </c>
      <c r="B26" s="26" t="s">
        <v>948</v>
      </c>
      <c r="C26" s="26" t="s">
        <v>950</v>
      </c>
      <c r="D26" s="30">
        <v>402972</v>
      </c>
      <c r="E26" s="28">
        <v>5327.4913260000003</v>
      </c>
      <c r="F26" s="29">
        <v>1.5430000077386901</v>
      </c>
    </row>
    <row r="27" spans="1:6" x14ac:dyDescent="0.2">
      <c r="A27" s="26" t="s">
        <v>1050</v>
      </c>
      <c r="B27" s="26" t="s">
        <v>1049</v>
      </c>
      <c r="C27" s="26" t="s">
        <v>973</v>
      </c>
      <c r="D27" s="30">
        <v>5948967</v>
      </c>
      <c r="E27" s="28">
        <v>5261.861312</v>
      </c>
      <c r="F27" s="29">
        <v>1.5239916028604501</v>
      </c>
    </row>
    <row r="28" spans="1:6" x14ac:dyDescent="0.2">
      <c r="A28" s="26" t="s">
        <v>1370</v>
      </c>
      <c r="B28" s="26" t="s">
        <v>1369</v>
      </c>
      <c r="C28" s="26" t="s">
        <v>965</v>
      </c>
      <c r="D28" s="30">
        <v>896279</v>
      </c>
      <c r="E28" s="28">
        <v>5209.1735479999998</v>
      </c>
      <c r="F28" s="29">
        <v>1.5087316586794099</v>
      </c>
    </row>
    <row r="29" spans="1:6" x14ac:dyDescent="0.2">
      <c r="A29" s="26" t="s">
        <v>1052</v>
      </c>
      <c r="B29" s="26" t="s">
        <v>1051</v>
      </c>
      <c r="C29" s="26" t="s">
        <v>1053</v>
      </c>
      <c r="D29" s="30">
        <v>6223868</v>
      </c>
      <c r="E29" s="28">
        <v>4751.9232179999999</v>
      </c>
      <c r="F29" s="29">
        <v>1.3762983576085599</v>
      </c>
    </row>
    <row r="30" spans="1:6" x14ac:dyDescent="0.2">
      <c r="A30" s="26" t="s">
        <v>1035</v>
      </c>
      <c r="B30" s="26" t="s">
        <v>1034</v>
      </c>
      <c r="C30" s="26" t="s">
        <v>1029</v>
      </c>
      <c r="D30" s="30">
        <v>1338759</v>
      </c>
      <c r="E30" s="28">
        <v>4439.3248439999998</v>
      </c>
      <c r="F30" s="29">
        <v>1.28576056712036</v>
      </c>
    </row>
    <row r="31" spans="1:6" x14ac:dyDescent="0.2">
      <c r="A31" s="26" t="s">
        <v>992</v>
      </c>
      <c r="B31" s="26" t="s">
        <v>991</v>
      </c>
      <c r="C31" s="26" t="s">
        <v>962</v>
      </c>
      <c r="D31" s="30">
        <v>137369</v>
      </c>
      <c r="E31" s="28">
        <v>4127.8697659999998</v>
      </c>
      <c r="F31" s="29">
        <v>1.19555390917258</v>
      </c>
    </row>
    <row r="32" spans="1:6" x14ac:dyDescent="0.2">
      <c r="A32" s="26" t="s">
        <v>1087</v>
      </c>
      <c r="B32" s="26" t="s">
        <v>1086</v>
      </c>
      <c r="C32" s="26" t="s">
        <v>1088</v>
      </c>
      <c r="D32" s="30">
        <v>3970503</v>
      </c>
      <c r="E32" s="28">
        <v>3805.7271260000002</v>
      </c>
      <c r="F32" s="29">
        <v>1.1022518152607399</v>
      </c>
    </row>
    <row r="33" spans="1:6" x14ac:dyDescent="0.2">
      <c r="A33" s="26" t="s">
        <v>990</v>
      </c>
      <c r="B33" s="26" t="s">
        <v>989</v>
      </c>
      <c r="C33" s="26" t="s">
        <v>935</v>
      </c>
      <c r="D33" s="30">
        <v>1935519</v>
      </c>
      <c r="E33" s="28">
        <v>3705.5511259999998</v>
      </c>
      <c r="F33" s="29">
        <v>1.0732378649196299</v>
      </c>
    </row>
    <row r="34" spans="1:6" x14ac:dyDescent="0.2">
      <c r="A34" s="26" t="s">
        <v>975</v>
      </c>
      <c r="B34" s="26" t="s">
        <v>974</v>
      </c>
      <c r="C34" s="26" t="s">
        <v>976</v>
      </c>
      <c r="D34" s="30">
        <v>920735</v>
      </c>
      <c r="E34" s="28">
        <v>3576.13474</v>
      </c>
      <c r="F34" s="29">
        <v>1.03575502874401</v>
      </c>
    </row>
    <row r="35" spans="1:6" x14ac:dyDescent="0.2">
      <c r="A35" s="26" t="s">
        <v>978</v>
      </c>
      <c r="B35" s="26" t="s">
        <v>977</v>
      </c>
      <c r="C35" s="26" t="s">
        <v>979</v>
      </c>
      <c r="D35" s="30">
        <v>960704</v>
      </c>
      <c r="E35" s="28">
        <v>3519.0587519999999</v>
      </c>
      <c r="F35" s="29">
        <v>1.01922412432078</v>
      </c>
    </row>
    <row r="36" spans="1:6" x14ac:dyDescent="0.2">
      <c r="A36" s="26" t="s">
        <v>1358</v>
      </c>
      <c r="B36" s="26" t="s">
        <v>1357</v>
      </c>
      <c r="C36" s="26" t="s">
        <v>976</v>
      </c>
      <c r="D36" s="30">
        <v>353898</v>
      </c>
      <c r="E36" s="28">
        <v>3279.0419189999998</v>
      </c>
      <c r="F36" s="29">
        <v>0.94970810777298897</v>
      </c>
    </row>
    <row r="37" spans="1:6" x14ac:dyDescent="0.2">
      <c r="A37" s="26" t="s">
        <v>1008</v>
      </c>
      <c r="B37" s="26" t="s">
        <v>1007</v>
      </c>
      <c r="C37" s="26" t="s">
        <v>962</v>
      </c>
      <c r="D37" s="30">
        <v>2746634</v>
      </c>
      <c r="E37" s="28">
        <v>2874.3524809999999</v>
      </c>
      <c r="F37" s="29">
        <v>0.83249800497689497</v>
      </c>
    </row>
    <row r="38" spans="1:6" x14ac:dyDescent="0.2">
      <c r="A38" s="26" t="s">
        <v>1055</v>
      </c>
      <c r="B38" s="26" t="s">
        <v>1054</v>
      </c>
      <c r="C38" s="26" t="s">
        <v>997</v>
      </c>
      <c r="D38" s="30">
        <v>2516044</v>
      </c>
      <c r="E38" s="28">
        <v>2729.9077400000001</v>
      </c>
      <c r="F38" s="29">
        <v>0.79066251002393395</v>
      </c>
    </row>
    <row r="39" spans="1:6" x14ac:dyDescent="0.2">
      <c r="A39" s="26" t="s">
        <v>1062</v>
      </c>
      <c r="B39" s="26" t="s">
        <v>1061</v>
      </c>
      <c r="C39" s="26" t="s">
        <v>956</v>
      </c>
      <c r="D39" s="30">
        <v>2792178</v>
      </c>
      <c r="E39" s="28">
        <v>2698.6400370000001</v>
      </c>
      <c r="F39" s="29">
        <v>0.78160645286331298</v>
      </c>
    </row>
    <row r="40" spans="1:6" x14ac:dyDescent="0.2">
      <c r="A40" s="26" t="s">
        <v>1103</v>
      </c>
      <c r="B40" s="26" t="s">
        <v>1102</v>
      </c>
      <c r="C40" s="26" t="s">
        <v>997</v>
      </c>
      <c r="D40" s="30">
        <v>990217</v>
      </c>
      <c r="E40" s="28">
        <v>2671.1103579999999</v>
      </c>
      <c r="F40" s="29">
        <v>0.77363303867815303</v>
      </c>
    </row>
    <row r="41" spans="1:6" x14ac:dyDescent="0.2">
      <c r="A41" s="26" t="s">
        <v>999</v>
      </c>
      <c r="B41" s="26" t="s">
        <v>998</v>
      </c>
      <c r="C41" s="26" t="s">
        <v>965</v>
      </c>
      <c r="D41" s="30">
        <v>607174</v>
      </c>
      <c r="E41" s="28">
        <v>2632.402877</v>
      </c>
      <c r="F41" s="29">
        <v>0.76242220043782305</v>
      </c>
    </row>
    <row r="42" spans="1:6" x14ac:dyDescent="0.2">
      <c r="A42" s="26" t="s">
        <v>1060</v>
      </c>
      <c r="B42" s="26" t="s">
        <v>1059</v>
      </c>
      <c r="C42" s="26" t="s">
        <v>1029</v>
      </c>
      <c r="D42" s="30">
        <v>1158898</v>
      </c>
      <c r="E42" s="28">
        <v>2424.414616</v>
      </c>
      <c r="F42" s="29">
        <v>0.70218261135274596</v>
      </c>
    </row>
    <row r="43" spans="1:6" x14ac:dyDescent="0.2">
      <c r="A43" s="26" t="s">
        <v>1071</v>
      </c>
      <c r="B43" s="26" t="s">
        <v>1070</v>
      </c>
      <c r="C43" s="26" t="s">
        <v>968</v>
      </c>
      <c r="D43" s="30">
        <v>199808</v>
      </c>
      <c r="E43" s="28">
        <v>2084.4969599999999</v>
      </c>
      <c r="F43" s="29">
        <v>0.60373234391095598</v>
      </c>
    </row>
    <row r="44" spans="1:6" x14ac:dyDescent="0.2">
      <c r="A44" s="26" t="s">
        <v>967</v>
      </c>
      <c r="B44" s="26" t="s">
        <v>966</v>
      </c>
      <c r="C44" s="26" t="s">
        <v>968</v>
      </c>
      <c r="D44" s="30">
        <v>300000</v>
      </c>
      <c r="E44" s="28">
        <v>1795.2</v>
      </c>
      <c r="F44" s="29">
        <v>0.51994333625170996</v>
      </c>
    </row>
    <row r="45" spans="1:6" x14ac:dyDescent="0.2">
      <c r="A45" s="26" t="s">
        <v>1105</v>
      </c>
      <c r="B45" s="26" t="s">
        <v>1104</v>
      </c>
      <c r="C45" s="26" t="s">
        <v>941</v>
      </c>
      <c r="D45" s="30">
        <v>481063</v>
      </c>
      <c r="E45" s="28">
        <v>1587.5079000000001</v>
      </c>
      <c r="F45" s="29">
        <v>0.45978952420451602</v>
      </c>
    </row>
    <row r="46" spans="1:6" x14ac:dyDescent="0.2">
      <c r="A46" s="26" t="s">
        <v>1262</v>
      </c>
      <c r="B46" s="26" t="s">
        <v>1261</v>
      </c>
      <c r="C46" s="26" t="s">
        <v>1053</v>
      </c>
      <c r="D46" s="30">
        <v>6320734</v>
      </c>
      <c r="E46" s="28">
        <v>1491.6932240000001</v>
      </c>
      <c r="F46" s="29">
        <v>0.43203874306519102</v>
      </c>
    </row>
    <row r="47" spans="1:6" x14ac:dyDescent="0.2">
      <c r="A47" s="26" t="s">
        <v>1005</v>
      </c>
      <c r="B47" s="26" t="s">
        <v>1004</v>
      </c>
      <c r="C47" s="26" t="s">
        <v>1006</v>
      </c>
      <c r="D47" s="30">
        <v>1075124</v>
      </c>
      <c r="E47" s="28">
        <v>1340.6796280000001</v>
      </c>
      <c r="F47" s="29">
        <v>0.38830071224767299</v>
      </c>
    </row>
    <row r="48" spans="1:6" x14ac:dyDescent="0.2">
      <c r="A48" s="26" t="s">
        <v>1010</v>
      </c>
      <c r="B48" s="26" t="s">
        <v>1009</v>
      </c>
      <c r="C48" s="26" t="s">
        <v>1011</v>
      </c>
      <c r="D48" s="30">
        <v>3057159</v>
      </c>
      <c r="E48" s="28">
        <v>1172.4204769999999</v>
      </c>
      <c r="F48" s="29">
        <v>0.33956785555993901</v>
      </c>
    </row>
    <row r="49" spans="1:9" x14ac:dyDescent="0.2">
      <c r="A49" s="26" t="s">
        <v>1003</v>
      </c>
      <c r="B49" s="26" t="s">
        <v>1002</v>
      </c>
      <c r="C49" s="26" t="s">
        <v>962</v>
      </c>
      <c r="D49" s="30">
        <v>265282</v>
      </c>
      <c r="E49" s="28">
        <v>1027.96775</v>
      </c>
      <c r="F49" s="29">
        <v>0.29773004762375499</v>
      </c>
    </row>
    <row r="50" spans="1:9" x14ac:dyDescent="0.2">
      <c r="A50" s="26" t="s">
        <v>1111</v>
      </c>
      <c r="B50" s="26" t="s">
        <v>1110</v>
      </c>
      <c r="C50" s="26" t="s">
        <v>1029</v>
      </c>
      <c r="D50" s="30">
        <v>1695647</v>
      </c>
      <c r="E50" s="28">
        <v>832.56267700000001</v>
      </c>
      <c r="F50" s="29">
        <v>0.24113492419676599</v>
      </c>
    </row>
    <row r="51" spans="1:9" x14ac:dyDescent="0.2">
      <c r="A51" s="26" t="s">
        <v>1057</v>
      </c>
      <c r="B51" s="26" t="s">
        <v>1056</v>
      </c>
      <c r="C51" s="26" t="s">
        <v>1058</v>
      </c>
      <c r="D51" s="30">
        <v>1278633</v>
      </c>
      <c r="E51" s="28">
        <v>786.35929499999997</v>
      </c>
      <c r="F51" s="29">
        <v>0.227753049985986</v>
      </c>
    </row>
    <row r="52" spans="1:9" x14ac:dyDescent="0.2">
      <c r="A52" s="26" t="s">
        <v>1393</v>
      </c>
      <c r="B52" s="26" t="s">
        <v>1392</v>
      </c>
      <c r="C52" s="26" t="s">
        <v>953</v>
      </c>
      <c r="D52" s="30">
        <v>311857</v>
      </c>
      <c r="E52" s="28">
        <v>686.39725699999997</v>
      </c>
      <c r="F52" s="29">
        <v>0.19880106940653</v>
      </c>
    </row>
    <row r="53" spans="1:9" x14ac:dyDescent="0.2">
      <c r="A53" s="26" t="s">
        <v>1085</v>
      </c>
      <c r="B53" s="26" t="s">
        <v>1084</v>
      </c>
      <c r="C53" s="26" t="s">
        <v>962</v>
      </c>
      <c r="D53" s="30">
        <v>1791828</v>
      </c>
      <c r="E53" s="28">
        <v>671.93550000000005</v>
      </c>
      <c r="F53" s="29">
        <v>0.194612514269141</v>
      </c>
    </row>
    <row r="54" spans="1:9" x14ac:dyDescent="0.2">
      <c r="A54" s="26" t="s">
        <v>1380</v>
      </c>
      <c r="B54" s="26" t="s">
        <v>1379</v>
      </c>
      <c r="C54" s="26" t="s">
        <v>1099</v>
      </c>
      <c r="D54" s="30">
        <v>774842</v>
      </c>
      <c r="E54" s="28">
        <v>580.74407900000006</v>
      </c>
      <c r="F54" s="29">
        <v>0.16820076534296299</v>
      </c>
    </row>
    <row r="55" spans="1:9" x14ac:dyDescent="0.2">
      <c r="A55" s="26" t="s">
        <v>1395</v>
      </c>
      <c r="B55" s="26" t="s">
        <v>1394</v>
      </c>
      <c r="C55" s="26" t="s">
        <v>1011</v>
      </c>
      <c r="D55" s="30">
        <v>2436728</v>
      </c>
      <c r="E55" s="28">
        <v>175.44441599999999</v>
      </c>
      <c r="F55" s="29">
        <v>5.0813923229597199E-2</v>
      </c>
    </row>
    <row r="56" spans="1:9" x14ac:dyDescent="0.2">
      <c r="A56" s="26" t="s">
        <v>1012</v>
      </c>
      <c r="B56" s="26" t="s">
        <v>1570</v>
      </c>
      <c r="C56" s="26" t="s">
        <v>1006</v>
      </c>
      <c r="D56" s="30">
        <v>125663</v>
      </c>
      <c r="E56" s="28">
        <v>87.587110999999993</v>
      </c>
      <c r="F56" s="29">
        <v>2.53678335037817E-2</v>
      </c>
    </row>
    <row r="57" spans="1:9" ht="10.5" x14ac:dyDescent="0.25">
      <c r="A57" s="25" t="s">
        <v>167</v>
      </c>
      <c r="B57" s="25"/>
      <c r="C57" s="25"/>
      <c r="D57" s="31"/>
      <c r="E57" s="32">
        <f>SUM(E7:E56)</f>
        <v>317030.54492400005</v>
      </c>
      <c r="F57" s="33">
        <f>SUM(F7:F56)</f>
        <v>91.821479067225027</v>
      </c>
      <c r="G57" s="17"/>
      <c r="H57" s="17"/>
      <c r="I57" s="17"/>
    </row>
    <row r="58" spans="1:9" x14ac:dyDescent="0.2">
      <c r="A58" s="26"/>
      <c r="B58" s="26"/>
      <c r="C58" s="26"/>
      <c r="D58" s="27"/>
      <c r="E58" s="28"/>
      <c r="F58" s="29"/>
    </row>
    <row r="59" spans="1:9" ht="10.5" x14ac:dyDescent="0.25">
      <c r="A59" s="25" t="s">
        <v>1072</v>
      </c>
      <c r="B59" s="26"/>
      <c r="C59" s="26"/>
      <c r="D59" s="27"/>
      <c r="E59" s="28"/>
      <c r="F59" s="29"/>
    </row>
    <row r="60" spans="1:9" x14ac:dyDescent="0.2">
      <c r="A60" s="26" t="s">
        <v>1074</v>
      </c>
      <c r="B60" s="26" t="s">
        <v>1073</v>
      </c>
      <c r="C60" s="26" t="s">
        <v>941</v>
      </c>
      <c r="D60" s="30">
        <v>30000</v>
      </c>
      <c r="E60" s="28">
        <v>3.0000000000000001E-3</v>
      </c>
      <c r="F60" s="29">
        <v>8.6888926512652097E-7</v>
      </c>
    </row>
    <row r="61" spans="1:9" x14ac:dyDescent="0.2">
      <c r="A61" s="26" t="s">
        <v>1351</v>
      </c>
      <c r="B61" s="26" t="s">
        <v>1350</v>
      </c>
      <c r="C61" s="26" t="s">
        <v>1228</v>
      </c>
      <c r="D61" s="30">
        <v>3500</v>
      </c>
      <c r="E61" s="28">
        <v>3.5E-4</v>
      </c>
      <c r="F61" s="29">
        <v>1.01370414264761E-7</v>
      </c>
    </row>
    <row r="62" spans="1:9" x14ac:dyDescent="0.2">
      <c r="A62" s="26"/>
      <c r="B62" s="26" t="s">
        <v>1075</v>
      </c>
      <c r="C62" s="26" t="s">
        <v>1029</v>
      </c>
      <c r="D62" s="30">
        <v>2900</v>
      </c>
      <c r="E62" s="28">
        <v>2.9E-4</v>
      </c>
      <c r="F62" s="29">
        <v>8.3992628962230398E-8</v>
      </c>
    </row>
    <row r="63" spans="1:9" ht="10.5" x14ac:dyDescent="0.25">
      <c r="A63" s="25" t="s">
        <v>167</v>
      </c>
      <c r="B63" s="25"/>
      <c r="C63" s="25"/>
      <c r="D63" s="31"/>
      <c r="E63" s="32">
        <f>SUM(E59:E62)</f>
        <v>3.64E-3</v>
      </c>
      <c r="F63" s="33">
        <f>SUM(F59:F62)</f>
        <v>1.0542523083535124E-6</v>
      </c>
      <c r="G63" s="17"/>
      <c r="H63" s="17"/>
      <c r="I63" s="17"/>
    </row>
    <row r="64" spans="1:9" x14ac:dyDescent="0.2">
      <c r="A64" s="26"/>
      <c r="B64" s="26"/>
      <c r="C64" s="26"/>
      <c r="D64" s="27"/>
      <c r="E64" s="28"/>
      <c r="F64" s="29"/>
    </row>
    <row r="65" spans="1:9" ht="10.5" x14ac:dyDescent="0.25">
      <c r="A65" s="25" t="s">
        <v>205</v>
      </c>
      <c r="B65" s="25"/>
      <c r="C65" s="25"/>
      <c r="D65" s="31"/>
      <c r="E65" s="32">
        <f>E57+E63</f>
        <v>317030.54856400006</v>
      </c>
      <c r="F65" s="33">
        <f>F57+F63</f>
        <v>91.821480121477336</v>
      </c>
      <c r="G65" s="17"/>
      <c r="H65" s="17"/>
      <c r="I65" s="17"/>
    </row>
    <row r="66" spans="1:9" ht="10.5" x14ac:dyDescent="0.25">
      <c r="A66" s="25"/>
      <c r="B66" s="25"/>
      <c r="C66" s="25"/>
      <c r="D66" s="31"/>
      <c r="E66" s="32"/>
      <c r="F66" s="33"/>
      <c r="G66" s="17"/>
      <c r="H66" s="17"/>
      <c r="I66" s="17"/>
    </row>
    <row r="67" spans="1:9" ht="10.5" x14ac:dyDescent="0.25">
      <c r="A67" s="25" t="s">
        <v>207</v>
      </c>
      <c r="B67" s="25"/>
      <c r="C67" s="25"/>
      <c r="D67" s="31"/>
      <c r="E67" s="32">
        <f>E69-(E57+E63)</f>
        <v>28237.844130799931</v>
      </c>
      <c r="F67" s="33">
        <f>F69-(F57+F63)</f>
        <v>8.178519878522664</v>
      </c>
      <c r="G67" s="17"/>
      <c r="H67" s="17"/>
      <c r="I67" s="17"/>
    </row>
    <row r="68" spans="1:9" ht="10.5" x14ac:dyDescent="0.25">
      <c r="A68" s="25"/>
      <c r="B68" s="25"/>
      <c r="C68" s="25"/>
      <c r="D68" s="31"/>
      <c r="E68" s="32"/>
      <c r="F68" s="33"/>
      <c r="G68" s="17"/>
      <c r="H68" s="17"/>
      <c r="I68" s="17"/>
    </row>
    <row r="69" spans="1:9" ht="10.5" x14ac:dyDescent="0.25">
      <c r="A69" s="34" t="s">
        <v>206</v>
      </c>
      <c r="B69" s="34"/>
      <c r="C69" s="34"/>
      <c r="D69" s="35"/>
      <c r="E69" s="36">
        <v>345268.39269479999</v>
      </c>
      <c r="F69" s="37">
        <v>100</v>
      </c>
      <c r="G69" s="17"/>
      <c r="H69" s="17"/>
      <c r="I69" s="17"/>
    </row>
    <row r="70" spans="1:9" ht="10.5" x14ac:dyDescent="0.25">
      <c r="A70" s="61" t="s">
        <v>1551</v>
      </c>
      <c r="F70" s="19" t="s">
        <v>394</v>
      </c>
    </row>
    <row r="72" spans="1:9" ht="10.5" x14ac:dyDescent="0.25">
      <c r="A72" s="17" t="s">
        <v>210</v>
      </c>
    </row>
    <row r="73" spans="1:9" ht="10.5" x14ac:dyDescent="0.25">
      <c r="A73" s="17" t="s">
        <v>211</v>
      </c>
    </row>
    <row r="74" spans="1:9" ht="10.5" x14ac:dyDescent="0.25">
      <c r="A74" s="17" t="s">
        <v>212</v>
      </c>
      <c r="B74" s="17"/>
      <c r="C74" s="38" t="s">
        <v>214</v>
      </c>
      <c r="D74" s="18" t="s">
        <v>213</v>
      </c>
    </row>
    <row r="75" spans="1:9" x14ac:dyDescent="0.2">
      <c r="A75" s="10" t="s">
        <v>486</v>
      </c>
      <c r="C75" s="39">
        <v>575.77099999999996</v>
      </c>
      <c r="D75" s="39">
        <v>488.20229999999998</v>
      </c>
    </row>
    <row r="76" spans="1:9" x14ac:dyDescent="0.2">
      <c r="A76" s="10" t="s">
        <v>520</v>
      </c>
      <c r="C76" s="39">
        <v>38.290599999999998</v>
      </c>
      <c r="D76" s="39">
        <v>32.466799999999999</v>
      </c>
    </row>
    <row r="77" spans="1:9" x14ac:dyDescent="0.2">
      <c r="A77" s="10" t="s">
        <v>489</v>
      </c>
      <c r="C77" s="39">
        <v>613.15189999999996</v>
      </c>
      <c r="D77" s="39">
        <v>522.3673</v>
      </c>
    </row>
    <row r="78" spans="1:9" x14ac:dyDescent="0.2">
      <c r="A78" s="10" t="s">
        <v>521</v>
      </c>
      <c r="C78" s="39">
        <v>41.789900000000003</v>
      </c>
      <c r="D78" s="39">
        <v>35.601500000000001</v>
      </c>
    </row>
    <row r="80" spans="1:9" ht="10.5" x14ac:dyDescent="0.25">
      <c r="A80" s="17" t="s">
        <v>226</v>
      </c>
      <c r="D80" s="40" t="s">
        <v>227</v>
      </c>
    </row>
    <row r="82" spans="1:4" ht="10.5" x14ac:dyDescent="0.25">
      <c r="A82" s="17" t="s">
        <v>1065</v>
      </c>
      <c r="D82" s="46">
        <v>0.12529999999999999</v>
      </c>
    </row>
  </sheetData>
  <mergeCells count="1">
    <mergeCell ref="A1:F1"/>
  </mergeCells>
  <conditionalFormatting sqref="F2:F3 F5:F65536">
    <cfRule type="cellIs" dxfId="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26"/>
  <sheetViews>
    <sheetView workbookViewId="0">
      <selection sqref="A1:E1"/>
    </sheetView>
  </sheetViews>
  <sheetFormatPr defaultColWidth="9.1796875" defaultRowHeight="10" x14ac:dyDescent="0.2"/>
  <cols>
    <col min="1" max="1" width="31.7265625" style="10" bestFit="1" customWidth="1"/>
    <col min="2" max="2" width="33.54296875" style="10" bestFit="1" customWidth="1"/>
    <col min="3" max="3" width="18.81640625" style="10" bestFit="1" customWidth="1"/>
    <col min="4" max="4" width="14.7265625" style="11" bestFit="1" customWidth="1"/>
    <col min="5" max="5" width="15.7265625" style="15" customWidth="1"/>
    <col min="6" max="6" width="13.54296875" style="16" bestFit="1" customWidth="1"/>
    <col min="7" max="7" width="4.81640625" style="10" bestFit="1" customWidth="1"/>
    <col min="8" max="16384" width="9.1796875" style="10"/>
  </cols>
  <sheetData>
    <row r="1" spans="1:9" s="1" customFormat="1" ht="15" customHeight="1" x14ac:dyDescent="0.25">
      <c r="A1" s="143" t="s">
        <v>60</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1199</v>
      </c>
      <c r="B5" s="21"/>
      <c r="C5" s="22"/>
      <c r="D5" s="23"/>
      <c r="E5" s="24"/>
    </row>
    <row r="6" spans="1:9" x14ac:dyDescent="0.2">
      <c r="A6" s="26" t="s">
        <v>1518</v>
      </c>
      <c r="B6" s="26" t="s">
        <v>1517</v>
      </c>
      <c r="C6" s="30">
        <v>4360562.557</v>
      </c>
      <c r="D6" s="28">
        <v>207353.1973</v>
      </c>
      <c r="E6" s="29">
        <v>99.953247291734897</v>
      </c>
    </row>
    <row r="7" spans="1:9" ht="10.5" x14ac:dyDescent="0.25">
      <c r="A7" s="25" t="s">
        <v>167</v>
      </c>
      <c r="B7" s="25"/>
      <c r="C7" s="31"/>
      <c r="D7" s="32">
        <f>SUM(D6:D6)</f>
        <v>207353.1973</v>
      </c>
      <c r="E7" s="33">
        <f>SUM(E6:E6)</f>
        <v>99.953247291734897</v>
      </c>
      <c r="G7" s="17"/>
      <c r="H7" s="17"/>
      <c r="I7" s="17"/>
    </row>
    <row r="8" spans="1:9" x14ac:dyDescent="0.2">
      <c r="A8" s="26"/>
      <c r="B8" s="26"/>
      <c r="C8" s="27"/>
      <c r="D8" s="28"/>
      <c r="E8" s="29"/>
    </row>
    <row r="9" spans="1:9" ht="10.5" x14ac:dyDescent="0.25">
      <c r="A9" s="25" t="s">
        <v>205</v>
      </c>
      <c r="B9" s="25"/>
      <c r="C9" s="31"/>
      <c r="D9" s="32">
        <f>D7</f>
        <v>207353.1973</v>
      </c>
      <c r="E9" s="33">
        <f>E7</f>
        <v>99.953247291734897</v>
      </c>
      <c r="G9" s="17"/>
      <c r="H9" s="17"/>
      <c r="I9" s="17"/>
    </row>
    <row r="10" spans="1:9" ht="10.5" x14ac:dyDescent="0.25">
      <c r="A10" s="25"/>
      <c r="B10" s="25"/>
      <c r="C10" s="31"/>
      <c r="D10" s="32"/>
      <c r="E10" s="33"/>
      <c r="G10" s="17"/>
      <c r="H10" s="17"/>
      <c r="I10" s="17"/>
    </row>
    <row r="11" spans="1:9" ht="10.5" x14ac:dyDescent="0.25">
      <c r="A11" s="25" t="s">
        <v>207</v>
      </c>
      <c r="B11" s="25"/>
      <c r="C11" s="31"/>
      <c r="D11" s="32">
        <f>D13-(D7)</f>
        <v>96.988580200006254</v>
      </c>
      <c r="E11" s="33">
        <f>E13-(E7)</f>
        <v>4.6752708265103138E-2</v>
      </c>
      <c r="G11" s="17"/>
      <c r="H11" s="17"/>
      <c r="I11" s="17"/>
    </row>
    <row r="12" spans="1:9" ht="10.5" x14ac:dyDescent="0.25">
      <c r="A12" s="25"/>
      <c r="B12" s="25"/>
      <c r="C12" s="31"/>
      <c r="D12" s="32"/>
      <c r="E12" s="33"/>
      <c r="G12" s="17"/>
      <c r="H12" s="17"/>
      <c r="I12" s="17"/>
    </row>
    <row r="13" spans="1:9" ht="10.5" x14ac:dyDescent="0.25">
      <c r="A13" s="34" t="s">
        <v>206</v>
      </c>
      <c r="B13" s="34"/>
      <c r="C13" s="35"/>
      <c r="D13" s="36">
        <v>207450.18588020001</v>
      </c>
      <c r="E13" s="37">
        <v>100</v>
      </c>
      <c r="G13" s="17"/>
      <c r="H13" s="17"/>
      <c r="I13" s="17"/>
    </row>
    <row r="16" spans="1:9" ht="10.5" x14ac:dyDescent="0.25">
      <c r="A16" s="17" t="s">
        <v>210</v>
      </c>
    </row>
    <row r="17" spans="1:4" ht="10.5" x14ac:dyDescent="0.25">
      <c r="A17" s="17" t="s">
        <v>211</v>
      </c>
    </row>
    <row r="18" spans="1:4" ht="10.5" x14ac:dyDescent="0.25">
      <c r="A18" s="17" t="s">
        <v>212</v>
      </c>
      <c r="B18" s="17"/>
      <c r="C18" s="38" t="s">
        <v>214</v>
      </c>
      <c r="D18" s="18" t="s">
        <v>213</v>
      </c>
    </row>
    <row r="19" spans="1:4" x14ac:dyDescent="0.2">
      <c r="A19" s="10" t="s">
        <v>486</v>
      </c>
      <c r="C19" s="39">
        <v>36.052399999999999</v>
      </c>
      <c r="D19" s="39">
        <v>44.866500000000002</v>
      </c>
    </row>
    <row r="20" spans="1:4" x14ac:dyDescent="0.2">
      <c r="A20" s="10" t="s">
        <v>520</v>
      </c>
      <c r="C20" s="39">
        <v>36.052399999999999</v>
      </c>
      <c r="D20" s="39">
        <v>44.866500000000002</v>
      </c>
    </row>
    <row r="21" spans="1:4" x14ac:dyDescent="0.2">
      <c r="A21" s="10" t="s">
        <v>489</v>
      </c>
      <c r="C21" s="39">
        <v>38.6128</v>
      </c>
      <c r="D21" s="39">
        <v>48.277700000000003</v>
      </c>
    </row>
    <row r="22" spans="1:4" x14ac:dyDescent="0.2">
      <c r="A22" s="10" t="s">
        <v>521</v>
      </c>
      <c r="C22" s="39">
        <v>38.6128</v>
      </c>
      <c r="D22" s="39">
        <v>48.277700000000003</v>
      </c>
    </row>
    <row r="24" spans="1:4" ht="10.5" x14ac:dyDescent="0.25">
      <c r="A24" s="17" t="s">
        <v>226</v>
      </c>
      <c r="D24" s="40" t="s">
        <v>227</v>
      </c>
    </row>
    <row r="26" spans="1:4" ht="10.5" x14ac:dyDescent="0.25">
      <c r="A26" s="17" t="s">
        <v>1065</v>
      </c>
      <c r="D26" s="46">
        <v>2.5399999999999999E-2</v>
      </c>
    </row>
  </sheetData>
  <mergeCells count="1">
    <mergeCell ref="A1:E1"/>
  </mergeCells>
  <conditionalFormatting sqref="F2:F3 F14:F65536 E5:E13">
    <cfRule type="cellIs" dxfId="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6"/>
  <sheetViews>
    <sheetView workbookViewId="0">
      <selection sqref="A1:E1"/>
    </sheetView>
  </sheetViews>
  <sheetFormatPr defaultColWidth="9.1796875" defaultRowHeight="10" x14ac:dyDescent="0.2"/>
  <cols>
    <col min="1" max="1" width="31.7265625" style="10" bestFit="1" customWidth="1"/>
    <col min="2" max="2" width="33.453125" style="10" bestFit="1" customWidth="1"/>
    <col min="3" max="3" width="18.81640625" style="10" bestFit="1" customWidth="1"/>
    <col min="4" max="4" width="14.7265625" style="11" bestFit="1" customWidth="1"/>
    <col min="5" max="5" width="15.7265625" style="15" customWidth="1"/>
    <col min="6" max="6" width="13.54296875" style="16" bestFit="1" customWidth="1"/>
    <col min="7" max="7" width="5.453125" style="10" bestFit="1" customWidth="1"/>
    <col min="8" max="16384" width="9.1796875" style="10"/>
  </cols>
  <sheetData>
    <row r="1" spans="1:9" s="1" customFormat="1" ht="15" customHeight="1" x14ac:dyDescent="0.25">
      <c r="A1" s="143" t="s">
        <v>61</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1199</v>
      </c>
      <c r="B5" s="21"/>
      <c r="C5" s="22"/>
      <c r="D5" s="23"/>
      <c r="E5" s="24"/>
    </row>
    <row r="6" spans="1:9" x14ac:dyDescent="0.2">
      <c r="A6" s="26" t="s">
        <v>1520</v>
      </c>
      <c r="B6" s="26" t="s">
        <v>1519</v>
      </c>
      <c r="C6" s="30">
        <v>83342.539000000004</v>
      </c>
      <c r="D6" s="28">
        <v>1729.9825760000001</v>
      </c>
      <c r="E6" s="29">
        <v>98.737832273549699</v>
      </c>
    </row>
    <row r="7" spans="1:9" ht="10.5" x14ac:dyDescent="0.25">
      <c r="A7" s="25" t="s">
        <v>167</v>
      </c>
      <c r="B7" s="25"/>
      <c r="C7" s="31"/>
      <c r="D7" s="32">
        <f>SUM(D6:D6)</f>
        <v>1729.9825760000001</v>
      </c>
      <c r="E7" s="33">
        <f>SUM(E6:E6)</f>
        <v>98.737832273549699</v>
      </c>
      <c r="G7" s="17"/>
      <c r="H7" s="17"/>
      <c r="I7" s="17"/>
    </row>
    <row r="8" spans="1:9" x14ac:dyDescent="0.2">
      <c r="A8" s="26"/>
      <c r="B8" s="26"/>
      <c r="C8" s="27"/>
      <c r="D8" s="28"/>
      <c r="E8" s="29"/>
    </row>
    <row r="9" spans="1:9" ht="10.5" x14ac:dyDescent="0.25">
      <c r="A9" s="25" t="s">
        <v>205</v>
      </c>
      <c r="B9" s="25"/>
      <c r="C9" s="31"/>
      <c r="D9" s="32">
        <f>D7</f>
        <v>1729.9825760000001</v>
      </c>
      <c r="E9" s="33">
        <f>E7</f>
        <v>98.737832273549699</v>
      </c>
      <c r="G9" s="17"/>
      <c r="H9" s="17"/>
      <c r="I9" s="17"/>
    </row>
    <row r="10" spans="1:9" ht="10.5" x14ac:dyDescent="0.25">
      <c r="A10" s="25"/>
      <c r="B10" s="25"/>
      <c r="C10" s="31"/>
      <c r="D10" s="32"/>
      <c r="E10" s="33"/>
      <c r="G10" s="17"/>
      <c r="H10" s="17"/>
      <c r="I10" s="17"/>
    </row>
    <row r="11" spans="1:9" ht="10.5" x14ac:dyDescent="0.25">
      <c r="A11" s="25" t="s">
        <v>207</v>
      </c>
      <c r="B11" s="25"/>
      <c r="C11" s="31"/>
      <c r="D11" s="32">
        <f>D13-(D7)</f>
        <v>22.114402599999949</v>
      </c>
      <c r="E11" s="33">
        <f>E13-(E7)</f>
        <v>1.2621677264503006</v>
      </c>
      <c r="G11" s="17"/>
      <c r="H11" s="17"/>
      <c r="I11" s="17"/>
    </row>
    <row r="12" spans="1:9" ht="10.5" x14ac:dyDescent="0.25">
      <c r="A12" s="25"/>
      <c r="B12" s="25"/>
      <c r="C12" s="31"/>
      <c r="D12" s="32"/>
      <c r="E12" s="33"/>
      <c r="G12" s="17"/>
      <c r="H12" s="17"/>
      <c r="I12" s="17"/>
    </row>
    <row r="13" spans="1:9" ht="10.5" x14ac:dyDescent="0.25">
      <c r="A13" s="34" t="s">
        <v>206</v>
      </c>
      <c r="B13" s="34"/>
      <c r="C13" s="35"/>
      <c r="D13" s="36">
        <v>1752.0969786000001</v>
      </c>
      <c r="E13" s="37">
        <v>100</v>
      </c>
      <c r="G13" s="17"/>
      <c r="H13" s="17"/>
      <c r="I13" s="17"/>
    </row>
    <row r="16" spans="1:9" ht="10.5" x14ac:dyDescent="0.25">
      <c r="A16" s="17" t="s">
        <v>210</v>
      </c>
    </row>
    <row r="17" spans="1:4" ht="10.5" x14ac:dyDescent="0.25">
      <c r="A17" s="17" t="s">
        <v>211</v>
      </c>
    </row>
    <row r="18" spans="1:4" ht="10.5" x14ac:dyDescent="0.25">
      <c r="A18" s="17" t="s">
        <v>212</v>
      </c>
      <c r="B18" s="17"/>
      <c r="C18" s="38" t="s">
        <v>214</v>
      </c>
      <c r="D18" s="18" t="s">
        <v>213</v>
      </c>
    </row>
    <row r="19" spans="1:4" x14ac:dyDescent="0.2">
      <c r="A19" s="10" t="s">
        <v>486</v>
      </c>
      <c r="C19" s="39">
        <v>9.4009</v>
      </c>
      <c r="D19" s="39">
        <v>7.8876999999999997</v>
      </c>
    </row>
    <row r="20" spans="1:4" x14ac:dyDescent="0.2">
      <c r="A20" s="10" t="s">
        <v>520</v>
      </c>
      <c r="C20" s="39">
        <v>9.4009</v>
      </c>
      <c r="D20" s="39">
        <v>7.8876999999999997</v>
      </c>
    </row>
    <row r="21" spans="1:4" x14ac:dyDescent="0.2">
      <c r="A21" s="10" t="s">
        <v>489</v>
      </c>
      <c r="C21" s="39">
        <v>10.097899999999999</v>
      </c>
      <c r="D21" s="39">
        <v>8.5109999999999992</v>
      </c>
    </row>
    <row r="22" spans="1:4" x14ac:dyDescent="0.2">
      <c r="A22" s="10" t="s">
        <v>521</v>
      </c>
      <c r="C22" s="39">
        <v>10.097899999999999</v>
      </c>
      <c r="D22" s="39">
        <v>8.5109999999999992</v>
      </c>
    </row>
    <row r="24" spans="1:4" ht="10.5" x14ac:dyDescent="0.25">
      <c r="A24" s="17" t="s">
        <v>226</v>
      </c>
      <c r="D24" s="40" t="s">
        <v>227</v>
      </c>
    </row>
    <row r="26" spans="1:4" ht="10.5" x14ac:dyDescent="0.25">
      <c r="A26" s="17" t="s">
        <v>1065</v>
      </c>
      <c r="D26" s="46">
        <v>0.11509999999999999</v>
      </c>
    </row>
  </sheetData>
  <mergeCells count="1">
    <mergeCell ref="A1:E1"/>
  </mergeCells>
  <conditionalFormatting sqref="F2:F3 F14:F65536 E5:E13">
    <cfRule type="cellIs" dxfId="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0"/>
  <sheetViews>
    <sheetView workbookViewId="0">
      <selection sqref="A1:E1"/>
    </sheetView>
  </sheetViews>
  <sheetFormatPr defaultColWidth="9.1796875" defaultRowHeight="10" x14ac:dyDescent="0.2"/>
  <cols>
    <col min="1" max="1" width="31.7265625" style="10" bestFit="1" customWidth="1"/>
    <col min="2" max="2" width="42.7265625" style="10" customWidth="1"/>
    <col min="3" max="3" width="15.1796875" style="10" bestFit="1" customWidth="1"/>
    <col min="4" max="4" width="14.7265625" style="11" bestFit="1" customWidth="1"/>
    <col min="5" max="5" width="15.7265625" style="15" customWidth="1"/>
    <col min="6" max="6" width="14.7265625" style="16" bestFit="1" customWidth="1"/>
    <col min="7" max="7" width="5.81640625" style="10" bestFit="1" customWidth="1"/>
    <col min="8" max="16384" width="9.1796875" style="10"/>
  </cols>
  <sheetData>
    <row r="1" spans="1:9" s="1" customFormat="1" ht="15" customHeight="1" x14ac:dyDescent="0.25">
      <c r="A1" s="143" t="s">
        <v>62</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1523</v>
      </c>
      <c r="B6" s="50" t="s">
        <v>1522</v>
      </c>
      <c r="C6" s="30">
        <v>127380.026</v>
      </c>
      <c r="D6" s="28">
        <v>566.86671909999995</v>
      </c>
      <c r="E6" s="29">
        <v>28.998281334348601</v>
      </c>
    </row>
    <row r="7" spans="1:9" ht="30" x14ac:dyDescent="0.2">
      <c r="A7" s="26" t="s">
        <v>1524</v>
      </c>
      <c r="B7" s="62" t="s">
        <v>1549</v>
      </c>
      <c r="C7" s="30">
        <v>27213.78</v>
      </c>
      <c r="D7" s="28">
        <v>535.34964339999999</v>
      </c>
      <c r="E7" s="29">
        <v>27.3860134110604</v>
      </c>
    </row>
    <row r="8" spans="1:9" x14ac:dyDescent="0.2">
      <c r="A8" s="26" t="s">
        <v>1526</v>
      </c>
      <c r="B8" s="50" t="s">
        <v>1525</v>
      </c>
      <c r="C8" s="30">
        <v>1002955</v>
      </c>
      <c r="D8" s="28">
        <v>472.79298699999998</v>
      </c>
      <c r="E8" s="29">
        <v>24.1859040017384</v>
      </c>
    </row>
    <row r="9" spans="1:9" ht="20" x14ac:dyDescent="0.2">
      <c r="A9" s="26" t="s">
        <v>1528</v>
      </c>
      <c r="B9" s="50" t="s">
        <v>1527</v>
      </c>
      <c r="C9" s="30">
        <v>23973.544999999998</v>
      </c>
      <c r="D9" s="28">
        <v>0</v>
      </c>
      <c r="E9" s="29">
        <v>0</v>
      </c>
    </row>
    <row r="10" spans="1:9" ht="30" x14ac:dyDescent="0.2">
      <c r="A10" s="26" t="s">
        <v>1530</v>
      </c>
      <c r="B10" s="50" t="s">
        <v>1529</v>
      </c>
      <c r="C10" s="30">
        <v>24846.464</v>
      </c>
      <c r="D10" s="28">
        <v>0</v>
      </c>
      <c r="E10" s="29">
        <v>0</v>
      </c>
    </row>
    <row r="11" spans="1:9" ht="10.5" x14ac:dyDescent="0.25">
      <c r="A11" s="25" t="s">
        <v>167</v>
      </c>
      <c r="B11" s="25"/>
      <c r="C11" s="31"/>
      <c r="D11" s="32">
        <f>SUM(D6:D10)</f>
        <v>1575.0093494999999</v>
      </c>
      <c r="E11" s="33">
        <f>SUM(E6:E10)</f>
        <v>80.570198747147401</v>
      </c>
      <c r="G11" s="17"/>
      <c r="H11" s="17"/>
      <c r="I11" s="17"/>
    </row>
    <row r="12" spans="1:9" x14ac:dyDescent="0.2">
      <c r="A12" s="26"/>
      <c r="B12" s="26"/>
      <c r="C12" s="27"/>
      <c r="D12" s="28"/>
      <c r="E12" s="29"/>
    </row>
    <row r="13" spans="1:9" ht="10.5" x14ac:dyDescent="0.25">
      <c r="A13" s="25" t="s">
        <v>205</v>
      </c>
      <c r="B13" s="25"/>
      <c r="C13" s="31"/>
      <c r="D13" s="32">
        <f>D11</f>
        <v>1575.0093494999999</v>
      </c>
      <c r="E13" s="33">
        <f>E11</f>
        <v>80.570198747147401</v>
      </c>
      <c r="G13" s="17"/>
      <c r="H13" s="17"/>
      <c r="I13" s="17"/>
    </row>
    <row r="14" spans="1:9" ht="10.5" x14ac:dyDescent="0.25">
      <c r="A14" s="25"/>
      <c r="B14" s="25"/>
      <c r="C14" s="31"/>
      <c r="D14" s="32"/>
      <c r="E14" s="33"/>
      <c r="G14" s="17"/>
      <c r="H14" s="17"/>
      <c r="I14" s="17"/>
    </row>
    <row r="15" spans="1:9" ht="10.5" x14ac:dyDescent="0.25">
      <c r="A15" s="25" t="s">
        <v>207</v>
      </c>
      <c r="B15" s="25"/>
      <c r="C15" s="31"/>
      <c r="D15" s="32">
        <f>D17-(D11)</f>
        <v>379.81932660000007</v>
      </c>
      <c r="E15" s="33">
        <f>E17-(E11)</f>
        <v>19.429801252852599</v>
      </c>
      <c r="G15" s="17"/>
      <c r="H15" s="17"/>
      <c r="I15" s="17"/>
    </row>
    <row r="16" spans="1:9" ht="10.5" x14ac:dyDescent="0.25">
      <c r="A16" s="25"/>
      <c r="B16" s="25"/>
      <c r="C16" s="31"/>
      <c r="D16" s="32"/>
      <c r="E16" s="33"/>
      <c r="G16" s="17"/>
      <c r="H16" s="17"/>
      <c r="I16" s="17"/>
    </row>
    <row r="17" spans="1:9" ht="10.5" x14ac:dyDescent="0.25">
      <c r="A17" s="34" t="s">
        <v>206</v>
      </c>
      <c r="B17" s="34"/>
      <c r="C17" s="35"/>
      <c r="D17" s="36">
        <v>1954.8286760999999</v>
      </c>
      <c r="E17" s="37">
        <v>100</v>
      </c>
      <c r="G17" s="17"/>
      <c r="H17" s="17"/>
      <c r="I17" s="17"/>
    </row>
    <row r="18" spans="1:9" ht="10.5" x14ac:dyDescent="0.25">
      <c r="A18" s="60" t="s">
        <v>1548</v>
      </c>
      <c r="C18" s="11"/>
      <c r="D18" s="15"/>
      <c r="E18" s="51" t="s">
        <v>394</v>
      </c>
    </row>
    <row r="20" spans="1:9" ht="10.5" x14ac:dyDescent="0.25">
      <c r="A20" s="17" t="s">
        <v>210</v>
      </c>
    </row>
    <row r="21" spans="1:9" ht="10.5" x14ac:dyDescent="0.25">
      <c r="A21" s="17" t="s">
        <v>211</v>
      </c>
    </row>
    <row r="22" spans="1:9" ht="10.5" x14ac:dyDescent="0.25">
      <c r="A22" s="17" t="s">
        <v>212</v>
      </c>
      <c r="B22" s="17"/>
      <c r="C22" s="38" t="s">
        <v>214</v>
      </c>
      <c r="D22" s="18" t="s">
        <v>213</v>
      </c>
    </row>
    <row r="23" spans="1:9" x14ac:dyDescent="0.2">
      <c r="A23" s="10" t="s">
        <v>486</v>
      </c>
      <c r="C23" s="39">
        <v>13.0708</v>
      </c>
      <c r="D23" s="39">
        <v>10.461600000000001</v>
      </c>
    </row>
    <row r="24" spans="1:9" x14ac:dyDescent="0.2">
      <c r="A24" s="10" t="s">
        <v>520</v>
      </c>
      <c r="C24" s="39">
        <v>13.0708</v>
      </c>
      <c r="D24" s="39">
        <v>10.461600000000001</v>
      </c>
    </row>
    <row r="25" spans="1:9" x14ac:dyDescent="0.2">
      <c r="A25" s="10" t="s">
        <v>489</v>
      </c>
      <c r="C25" s="39">
        <v>14.033099999999999</v>
      </c>
      <c r="D25" s="39">
        <v>11.2669</v>
      </c>
    </row>
    <row r="26" spans="1:9" x14ac:dyDescent="0.2">
      <c r="A26" s="10" t="s">
        <v>521</v>
      </c>
      <c r="C26" s="39">
        <v>14.033099999999999</v>
      </c>
      <c r="D26" s="39">
        <v>11.2669</v>
      </c>
    </row>
    <row r="28" spans="1:9" ht="10.5" x14ac:dyDescent="0.25">
      <c r="A28" s="17" t="s">
        <v>226</v>
      </c>
      <c r="D28" s="40" t="s">
        <v>227</v>
      </c>
    </row>
    <row r="30" spans="1:9" ht="10.5" x14ac:dyDescent="0.25">
      <c r="A30" s="17" t="s">
        <v>1065</v>
      </c>
      <c r="D30" s="46">
        <v>0.44350000000000001</v>
      </c>
    </row>
  </sheetData>
  <mergeCells count="1">
    <mergeCell ref="A1:E1"/>
  </mergeCells>
  <conditionalFormatting sqref="F2:F3 E5:E18 F19:F65536">
    <cfRule type="cellIs" dxfId="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31"/>
  <sheetViews>
    <sheetView workbookViewId="0">
      <selection sqref="A1:E1"/>
    </sheetView>
  </sheetViews>
  <sheetFormatPr defaultColWidth="9.1796875" defaultRowHeight="10" x14ac:dyDescent="0.2"/>
  <cols>
    <col min="1" max="1" width="31.7265625" style="10" bestFit="1" customWidth="1"/>
    <col min="2" max="2" width="34.453125" style="10" bestFit="1" customWidth="1"/>
    <col min="3" max="3" width="15.1796875" style="10" bestFit="1" customWidth="1"/>
    <col min="4" max="4" width="14.7265625" style="11" bestFit="1" customWidth="1"/>
    <col min="5" max="5" width="15.7265625" style="15" customWidth="1"/>
    <col min="6" max="6" width="13.54296875" style="16" bestFit="1" customWidth="1"/>
    <col min="7" max="7" width="10.54296875" style="10" bestFit="1" customWidth="1"/>
    <col min="8" max="16384" width="9.1796875" style="10"/>
  </cols>
  <sheetData>
    <row r="1" spans="1:9" s="1" customFormat="1" ht="15" customHeight="1" x14ac:dyDescent="0.25">
      <c r="A1" s="143" t="s">
        <v>63</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1532</v>
      </c>
      <c r="B6" s="26" t="s">
        <v>1531</v>
      </c>
      <c r="C6" s="30">
        <v>4260014.6459999997</v>
      </c>
      <c r="D6" s="28">
        <v>1660.75819</v>
      </c>
      <c r="E6" s="29">
        <v>79.329341078825706</v>
      </c>
    </row>
    <row r="7" spans="1:9" x14ac:dyDescent="0.2">
      <c r="A7" s="26" t="s">
        <v>1534</v>
      </c>
      <c r="B7" s="26" t="s">
        <v>1533</v>
      </c>
      <c r="C7" s="30">
        <v>91070.078999999998</v>
      </c>
      <c r="D7" s="28">
        <v>196.66292139999999</v>
      </c>
      <c r="E7" s="29">
        <v>9.3939864715036503</v>
      </c>
    </row>
    <row r="8" spans="1:9" x14ac:dyDescent="0.2">
      <c r="A8" s="26" t="s">
        <v>1523</v>
      </c>
      <c r="B8" s="26" t="s">
        <v>1522</v>
      </c>
      <c r="C8" s="30">
        <v>43902.472999999998</v>
      </c>
      <c r="D8" s="28">
        <v>195.37482919999999</v>
      </c>
      <c r="E8" s="29">
        <v>9.3324582453657001</v>
      </c>
    </row>
    <row r="9" spans="1:9" ht="10.5" x14ac:dyDescent="0.25">
      <c r="A9" s="25" t="s">
        <v>167</v>
      </c>
      <c r="B9" s="25"/>
      <c r="C9" s="31"/>
      <c r="D9" s="32">
        <f>SUM(D6:D8)</f>
        <v>2052.7959406</v>
      </c>
      <c r="E9" s="33">
        <f>SUM(E6:E8)</f>
        <v>98.055785795695058</v>
      </c>
      <c r="G9" s="17"/>
      <c r="H9" s="17"/>
      <c r="I9" s="17"/>
    </row>
    <row r="10" spans="1:9" x14ac:dyDescent="0.2">
      <c r="A10" s="26"/>
      <c r="B10" s="26"/>
      <c r="C10" s="27"/>
      <c r="D10" s="28"/>
      <c r="E10" s="29"/>
    </row>
    <row r="11" spans="1:9" ht="10.5" x14ac:dyDescent="0.25">
      <c r="A11" s="25" t="s">
        <v>205</v>
      </c>
      <c r="B11" s="25"/>
      <c r="C11" s="31"/>
      <c r="D11" s="32">
        <f>D9</f>
        <v>2052.7959406</v>
      </c>
      <c r="E11" s="33">
        <f>E9</f>
        <v>98.055785795695058</v>
      </c>
      <c r="G11" s="17"/>
      <c r="H11" s="17"/>
      <c r="I11" s="17"/>
    </row>
    <row r="12" spans="1:9" ht="10.5" x14ac:dyDescent="0.25">
      <c r="A12" s="25"/>
      <c r="B12" s="25"/>
      <c r="C12" s="31"/>
      <c r="D12" s="32"/>
      <c r="E12" s="33"/>
      <c r="G12" s="17"/>
      <c r="H12" s="17"/>
      <c r="I12" s="17"/>
    </row>
    <row r="13" spans="1:9" ht="10.5" x14ac:dyDescent="0.25">
      <c r="A13" s="25" t="s">
        <v>207</v>
      </c>
      <c r="B13" s="25"/>
      <c r="C13" s="31"/>
      <c r="D13" s="32">
        <f>D15-(D9)</f>
        <v>40.702085999999781</v>
      </c>
      <c r="E13" s="33">
        <f>E15-(E9)</f>
        <v>1.9442142043049415</v>
      </c>
      <c r="G13" s="17"/>
      <c r="H13" s="17"/>
      <c r="I13" s="17"/>
    </row>
    <row r="14" spans="1:9" ht="10.5" x14ac:dyDescent="0.25">
      <c r="A14" s="25"/>
      <c r="B14" s="25"/>
      <c r="C14" s="31"/>
      <c r="D14" s="32"/>
      <c r="E14" s="33"/>
      <c r="G14" s="17"/>
      <c r="H14" s="17"/>
      <c r="I14" s="17"/>
    </row>
    <row r="15" spans="1:9" ht="10.5" x14ac:dyDescent="0.25">
      <c r="A15" s="34" t="s">
        <v>206</v>
      </c>
      <c r="B15" s="34"/>
      <c r="C15" s="35"/>
      <c r="D15" s="36">
        <v>2093.4980265999998</v>
      </c>
      <c r="E15" s="37">
        <v>100</v>
      </c>
      <c r="G15" s="17"/>
      <c r="H15" s="17"/>
      <c r="I15" s="17"/>
    </row>
    <row r="17" spans="1:4" ht="10.5" x14ac:dyDescent="0.25">
      <c r="A17" s="17" t="s">
        <v>210</v>
      </c>
    </row>
    <row r="18" spans="1:4" ht="10.5" x14ac:dyDescent="0.25">
      <c r="A18" s="17" t="s">
        <v>211</v>
      </c>
    </row>
    <row r="19" spans="1:4" ht="10.5" x14ac:dyDescent="0.25">
      <c r="A19" s="17" t="s">
        <v>212</v>
      </c>
      <c r="B19" s="17"/>
      <c r="C19" s="38" t="s">
        <v>214</v>
      </c>
      <c r="D19" s="18" t="s">
        <v>213</v>
      </c>
    </row>
    <row r="20" spans="1:4" x14ac:dyDescent="0.2">
      <c r="A20" s="10" t="s">
        <v>533</v>
      </c>
      <c r="C20" s="39">
        <v>39.435699999999997</v>
      </c>
      <c r="D20" s="39">
        <v>39.877099999999999</v>
      </c>
    </row>
    <row r="21" spans="1:4" x14ac:dyDescent="0.2">
      <c r="A21" s="10" t="s">
        <v>1535</v>
      </c>
      <c r="C21" s="39">
        <v>14.059699999999999</v>
      </c>
      <c r="D21" s="39">
        <v>13.658799999999999</v>
      </c>
    </row>
    <row r="22" spans="1:4" x14ac:dyDescent="0.2">
      <c r="A22" s="10" t="s">
        <v>535</v>
      </c>
      <c r="C22" s="39">
        <v>40.592199999999998</v>
      </c>
      <c r="D22" s="39">
        <v>41.177700000000002</v>
      </c>
    </row>
    <row r="23" spans="1:4" x14ac:dyDescent="0.2">
      <c r="A23" s="10" t="s">
        <v>1536</v>
      </c>
      <c r="C23" s="39">
        <v>14.508100000000001</v>
      </c>
      <c r="D23" s="39">
        <v>14.148099999999999</v>
      </c>
    </row>
    <row r="25" spans="1:4" ht="10.5" x14ac:dyDescent="0.25">
      <c r="A25" s="17" t="s">
        <v>226</v>
      </c>
    </row>
    <row r="26" spans="1:4" ht="10.5" x14ac:dyDescent="0.25">
      <c r="A26" s="147" t="s">
        <v>401</v>
      </c>
      <c r="B26" s="148"/>
      <c r="C26" s="145" t="s">
        <v>402</v>
      </c>
      <c r="D26" s="146"/>
    </row>
    <row r="27" spans="1:4" ht="10.5" x14ac:dyDescent="0.25">
      <c r="A27" s="147"/>
      <c r="B27" s="148"/>
      <c r="C27" s="43" t="s">
        <v>403</v>
      </c>
      <c r="D27" s="44" t="s">
        <v>404</v>
      </c>
    </row>
    <row r="28" spans="1:4" x14ac:dyDescent="0.2">
      <c r="A28" s="141" t="s">
        <v>1535</v>
      </c>
      <c r="B28" s="142"/>
      <c r="C28" s="45">
        <v>0.43601051549999997</v>
      </c>
      <c r="D28" s="45">
        <v>0.42188593870000002</v>
      </c>
    </row>
    <row r="29" spans="1:4" x14ac:dyDescent="0.2">
      <c r="A29" s="141" t="s">
        <v>1536</v>
      </c>
      <c r="B29" s="142"/>
      <c r="C29" s="45">
        <v>0.43601051549999997</v>
      </c>
      <c r="D29" s="45">
        <v>0.42188593870000002</v>
      </c>
    </row>
    <row r="31" spans="1:4" ht="10.5" x14ac:dyDescent="0.25">
      <c r="A31" s="17" t="s">
        <v>1065</v>
      </c>
      <c r="D31" s="46">
        <v>0.12479999999999999</v>
      </c>
    </row>
  </sheetData>
  <mergeCells count="6">
    <mergeCell ref="A29:B29"/>
    <mergeCell ref="A1:E1"/>
    <mergeCell ref="C26:D26"/>
    <mergeCell ref="A26:B26"/>
    <mergeCell ref="A27:B27"/>
    <mergeCell ref="A28:B28"/>
  </mergeCells>
  <conditionalFormatting sqref="F2:F3 E5:E15 F16:F65536">
    <cfRule type="cellIs" dxfId="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35"/>
  <sheetViews>
    <sheetView workbookViewId="0">
      <selection sqref="A1:E1"/>
    </sheetView>
  </sheetViews>
  <sheetFormatPr defaultColWidth="9.1796875" defaultRowHeight="10" x14ac:dyDescent="0.2"/>
  <cols>
    <col min="1" max="1" width="31.7265625" style="10" bestFit="1" customWidth="1"/>
    <col min="2" max="2" width="42.7265625" style="10" customWidth="1"/>
    <col min="3" max="3" width="15.1796875" style="10" bestFit="1" customWidth="1"/>
    <col min="4" max="4" width="14.7265625" style="11" bestFit="1" customWidth="1"/>
    <col min="5" max="5" width="15.7265625" style="15" customWidth="1"/>
    <col min="6" max="6" width="14.7265625" style="16" bestFit="1" customWidth="1"/>
    <col min="7" max="7" width="9.54296875" style="10" bestFit="1" customWidth="1"/>
    <col min="8" max="16384" width="9.1796875" style="10"/>
  </cols>
  <sheetData>
    <row r="1" spans="1:9" s="1" customFormat="1" ht="15" customHeight="1" x14ac:dyDescent="0.25">
      <c r="A1" s="143" t="s">
        <v>64</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1538</v>
      </c>
      <c r="B6" s="50" t="s">
        <v>1537</v>
      </c>
      <c r="C6" s="30">
        <v>473746.72100000002</v>
      </c>
      <c r="D6" s="28">
        <v>370.00329529999999</v>
      </c>
      <c r="E6" s="29">
        <v>55.077448751244702</v>
      </c>
    </row>
    <row r="7" spans="1:9" ht="30" x14ac:dyDescent="0.2">
      <c r="A7" s="26" t="s">
        <v>1539</v>
      </c>
      <c r="B7" s="59" t="s">
        <v>1550</v>
      </c>
      <c r="C7" s="30">
        <v>427573.21600000001</v>
      </c>
      <c r="D7" s="28">
        <v>149.41460520000001</v>
      </c>
      <c r="E7" s="29">
        <v>22.241356672021102</v>
      </c>
    </row>
    <row r="8" spans="1:9" x14ac:dyDescent="0.2">
      <c r="A8" s="26" t="s">
        <v>1523</v>
      </c>
      <c r="B8" s="50" t="s">
        <v>1522</v>
      </c>
      <c r="C8" s="30">
        <v>13989.099</v>
      </c>
      <c r="D8" s="28">
        <v>62.2543024</v>
      </c>
      <c r="E8" s="29">
        <v>9.2669665203938205</v>
      </c>
    </row>
    <row r="9" spans="1:9" x14ac:dyDescent="0.2">
      <c r="A9" s="26" t="s">
        <v>1534</v>
      </c>
      <c r="B9" s="50" t="s">
        <v>1533</v>
      </c>
      <c r="C9" s="30">
        <v>28740.072</v>
      </c>
      <c r="D9" s="28">
        <v>62.063265800000003</v>
      </c>
      <c r="E9" s="29">
        <v>9.2385294532655902</v>
      </c>
    </row>
    <row r="10" spans="1:9" ht="30" x14ac:dyDescent="0.2">
      <c r="A10" s="26" t="s">
        <v>1543</v>
      </c>
      <c r="B10" s="50" t="s">
        <v>1542</v>
      </c>
      <c r="C10" s="30">
        <v>403150.37400000001</v>
      </c>
      <c r="D10" s="28">
        <v>0</v>
      </c>
      <c r="E10" s="29">
        <v>0</v>
      </c>
    </row>
    <row r="11" spans="1:9" ht="20" x14ac:dyDescent="0.2">
      <c r="A11" s="26" t="s">
        <v>1541</v>
      </c>
      <c r="B11" s="50" t="s">
        <v>1540</v>
      </c>
      <c r="C11" s="30">
        <v>489502.28</v>
      </c>
      <c r="D11" s="28">
        <v>0</v>
      </c>
      <c r="E11" s="29">
        <v>0</v>
      </c>
    </row>
    <row r="12" spans="1:9" ht="10.5" x14ac:dyDescent="0.25">
      <c r="A12" s="25" t="s">
        <v>167</v>
      </c>
      <c r="B12" s="25"/>
      <c r="C12" s="31"/>
      <c r="D12" s="32">
        <f>SUM(D6:D11)</f>
        <v>643.73546869999996</v>
      </c>
      <c r="E12" s="33">
        <f>SUM(E6:E11)</f>
        <v>95.824301396925208</v>
      </c>
      <c r="G12" s="17"/>
      <c r="H12" s="17"/>
      <c r="I12" s="17"/>
    </row>
    <row r="13" spans="1:9" x14ac:dyDescent="0.2">
      <c r="A13" s="26"/>
      <c r="B13" s="26"/>
      <c r="C13" s="27"/>
      <c r="D13" s="28"/>
      <c r="E13" s="29"/>
    </row>
    <row r="14" spans="1:9" ht="10.5" x14ac:dyDescent="0.25">
      <c r="A14" s="25" t="s">
        <v>205</v>
      </c>
      <c r="B14" s="25"/>
      <c r="C14" s="31"/>
      <c r="D14" s="32">
        <f>D12</f>
        <v>643.73546869999996</v>
      </c>
      <c r="E14" s="33">
        <f>E12</f>
        <v>95.824301396925208</v>
      </c>
      <c r="G14" s="17"/>
      <c r="H14" s="17"/>
      <c r="I14" s="17"/>
    </row>
    <row r="15" spans="1:9" ht="10.5" x14ac:dyDescent="0.25">
      <c r="A15" s="25"/>
      <c r="B15" s="25"/>
      <c r="C15" s="31"/>
      <c r="D15" s="32"/>
      <c r="E15" s="33"/>
      <c r="G15" s="17"/>
      <c r="H15" s="17"/>
      <c r="I15" s="17"/>
    </row>
    <row r="16" spans="1:9" ht="10.5" x14ac:dyDescent="0.25">
      <c r="A16" s="25" t="s">
        <v>207</v>
      </c>
      <c r="B16" s="25"/>
      <c r="C16" s="31"/>
      <c r="D16" s="32">
        <f>D18-(D12)</f>
        <v>28.051812100000006</v>
      </c>
      <c r="E16" s="33">
        <f>E18-(E12)</f>
        <v>4.1756986030747925</v>
      </c>
      <c r="G16" s="17"/>
      <c r="H16" s="17"/>
      <c r="I16" s="17"/>
    </row>
    <row r="17" spans="1:9" ht="10.5" x14ac:dyDescent="0.25">
      <c r="A17" s="25"/>
      <c r="B17" s="25"/>
      <c r="C17" s="31"/>
      <c r="D17" s="32"/>
      <c r="E17" s="33"/>
      <c r="G17" s="17"/>
      <c r="H17" s="17"/>
      <c r="I17" s="17"/>
    </row>
    <row r="18" spans="1:9" ht="10.5" x14ac:dyDescent="0.25">
      <c r="A18" s="34" t="s">
        <v>206</v>
      </c>
      <c r="B18" s="34"/>
      <c r="C18" s="35"/>
      <c r="D18" s="36">
        <v>671.78728079999996</v>
      </c>
      <c r="E18" s="37">
        <v>100</v>
      </c>
      <c r="G18" s="17"/>
      <c r="H18" s="17"/>
      <c r="I18" s="17"/>
    </row>
    <row r="19" spans="1:9" ht="10.5" x14ac:dyDescent="0.25">
      <c r="A19" s="58" t="s">
        <v>1548</v>
      </c>
      <c r="C19" s="11"/>
      <c r="D19" s="15"/>
      <c r="E19" s="51" t="s">
        <v>394</v>
      </c>
    </row>
    <row r="21" spans="1:9" ht="10.5" x14ac:dyDescent="0.25">
      <c r="A21" s="17" t="s">
        <v>210</v>
      </c>
    </row>
    <row r="22" spans="1:9" ht="10.5" x14ac:dyDescent="0.25">
      <c r="A22" s="17" t="s">
        <v>211</v>
      </c>
    </row>
    <row r="23" spans="1:9" ht="10.5" x14ac:dyDescent="0.25">
      <c r="A23" s="17" t="s">
        <v>212</v>
      </c>
      <c r="B23" s="17"/>
      <c r="C23" s="38" t="s">
        <v>214</v>
      </c>
      <c r="D23" s="18" t="s">
        <v>213</v>
      </c>
    </row>
    <row r="24" spans="1:9" x14ac:dyDescent="0.2">
      <c r="A24" s="10" t="s">
        <v>533</v>
      </c>
      <c r="C24" s="39">
        <v>36.580399999999997</v>
      </c>
      <c r="D24" s="39">
        <v>27.602499999999999</v>
      </c>
    </row>
    <row r="25" spans="1:9" x14ac:dyDescent="0.2">
      <c r="A25" s="10" t="s">
        <v>1535</v>
      </c>
      <c r="C25" s="39">
        <v>12.817299999999999</v>
      </c>
      <c r="D25" s="39">
        <v>9.4511000000000003</v>
      </c>
    </row>
    <row r="26" spans="1:9" x14ac:dyDescent="0.2">
      <c r="A26" s="10" t="s">
        <v>535</v>
      </c>
      <c r="C26" s="39">
        <v>38.381799999999998</v>
      </c>
      <c r="D26" s="39">
        <v>29.041799999999999</v>
      </c>
    </row>
    <row r="27" spans="1:9" x14ac:dyDescent="0.2">
      <c r="A27" s="10" t="s">
        <v>1536</v>
      </c>
      <c r="C27" s="39">
        <v>13.462</v>
      </c>
      <c r="D27" s="39">
        <v>9.9611999999999998</v>
      </c>
    </row>
    <row r="29" spans="1:9" ht="10.5" x14ac:dyDescent="0.25">
      <c r="A29" s="17" t="s">
        <v>226</v>
      </c>
    </row>
    <row r="30" spans="1:9" ht="10.5" x14ac:dyDescent="0.25">
      <c r="A30" s="147" t="s">
        <v>401</v>
      </c>
      <c r="B30" s="148"/>
      <c r="C30" s="145" t="s">
        <v>402</v>
      </c>
      <c r="D30" s="146"/>
    </row>
    <row r="31" spans="1:9" ht="10.5" x14ac:dyDescent="0.25">
      <c r="A31" s="147"/>
      <c r="B31" s="148"/>
      <c r="C31" s="43" t="s">
        <v>403</v>
      </c>
      <c r="D31" s="44" t="s">
        <v>404</v>
      </c>
    </row>
    <row r="32" spans="1:9" x14ac:dyDescent="0.2">
      <c r="A32" s="141" t="s">
        <v>1535</v>
      </c>
      <c r="B32" s="142"/>
      <c r="C32" s="45">
        <v>0.19088551549999999</v>
      </c>
      <c r="D32" s="45">
        <v>0.17676093870000001</v>
      </c>
    </row>
    <row r="33" spans="1:4" x14ac:dyDescent="0.2">
      <c r="A33" s="141" t="s">
        <v>1536</v>
      </c>
      <c r="B33" s="142"/>
      <c r="C33" s="45">
        <v>0.19088551549999999</v>
      </c>
      <c r="D33" s="45">
        <v>0.17676093870000001</v>
      </c>
    </row>
    <row r="35" spans="1:4" ht="10.5" x14ac:dyDescent="0.25">
      <c r="A35" s="17" t="s">
        <v>1065</v>
      </c>
      <c r="D35" s="46">
        <v>0.39079999999999998</v>
      </c>
    </row>
  </sheetData>
  <mergeCells count="6">
    <mergeCell ref="A33:B33"/>
    <mergeCell ref="A1:E1"/>
    <mergeCell ref="C30:D30"/>
    <mergeCell ref="A30:B30"/>
    <mergeCell ref="A31:B31"/>
    <mergeCell ref="A32:B32"/>
  </mergeCells>
  <conditionalFormatting sqref="F2:F3 E5:E19 F20:F65536">
    <cfRule type="cellIs" dxfId="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32"/>
  <sheetViews>
    <sheetView workbookViewId="0">
      <selection sqref="A1:E1"/>
    </sheetView>
  </sheetViews>
  <sheetFormatPr defaultColWidth="9.1796875" defaultRowHeight="10" x14ac:dyDescent="0.2"/>
  <cols>
    <col min="1" max="1" width="31.7265625" style="10" bestFit="1" customWidth="1"/>
    <col min="2" max="2" width="42.7265625" style="10" customWidth="1"/>
    <col min="3" max="3" width="15.1796875" style="10" bestFit="1" customWidth="1"/>
    <col min="4" max="4" width="14.7265625" style="11" bestFit="1" customWidth="1"/>
    <col min="5" max="5" width="15.7265625" style="15" customWidth="1"/>
    <col min="6" max="6" width="14.7265625" style="16" bestFit="1" customWidth="1"/>
    <col min="7" max="7" width="9.54296875" style="10" bestFit="1" customWidth="1"/>
    <col min="8" max="16384" width="9.1796875" style="10"/>
  </cols>
  <sheetData>
    <row r="1" spans="1:9" s="1" customFormat="1" ht="15" customHeight="1" x14ac:dyDescent="0.25">
      <c r="A1" s="143" t="s">
        <v>65</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1538</v>
      </c>
      <c r="B6" s="50" t="s">
        <v>1537</v>
      </c>
      <c r="C6" s="30">
        <v>541647.505</v>
      </c>
      <c r="D6" s="28">
        <v>423.03482609999998</v>
      </c>
      <c r="E6" s="29">
        <v>43.388121667217398</v>
      </c>
    </row>
    <row r="7" spans="1:9" ht="30" x14ac:dyDescent="0.2">
      <c r="A7" s="26" t="s">
        <v>1539</v>
      </c>
      <c r="B7" s="57" t="s">
        <v>1550</v>
      </c>
      <c r="C7" s="30">
        <v>556579.69499999995</v>
      </c>
      <c r="D7" s="28">
        <v>194.49566129999999</v>
      </c>
      <c r="E7" s="29">
        <v>19.948242781873201</v>
      </c>
    </row>
    <row r="8" spans="1:9" x14ac:dyDescent="0.2">
      <c r="A8" s="26" t="s">
        <v>1523</v>
      </c>
      <c r="B8" s="50" t="s">
        <v>1522</v>
      </c>
      <c r="C8" s="30">
        <v>32397.722000000002</v>
      </c>
      <c r="D8" s="28">
        <v>144.17637479999999</v>
      </c>
      <c r="E8" s="29">
        <v>14.7872981263297</v>
      </c>
    </row>
    <row r="9" spans="1:9" x14ac:dyDescent="0.2">
      <c r="A9" s="26" t="s">
        <v>1534</v>
      </c>
      <c r="B9" s="50" t="s">
        <v>1533</v>
      </c>
      <c r="C9" s="30">
        <v>45008.252</v>
      </c>
      <c r="D9" s="28">
        <v>97.193879899999999</v>
      </c>
      <c r="E9" s="29">
        <v>9.9685879890495297</v>
      </c>
    </row>
    <row r="10" spans="1:9" x14ac:dyDescent="0.2">
      <c r="A10" s="26" t="s">
        <v>1545</v>
      </c>
      <c r="B10" s="50" t="s">
        <v>1544</v>
      </c>
      <c r="C10" s="30">
        <v>10181.115</v>
      </c>
      <c r="D10" s="28">
        <v>93.2844865</v>
      </c>
      <c r="E10" s="29">
        <v>9.5676251698699097</v>
      </c>
    </row>
    <row r="11" spans="1:9" ht="20" x14ac:dyDescent="0.2">
      <c r="A11" s="26" t="s">
        <v>1541</v>
      </c>
      <c r="B11" s="50" t="s">
        <v>1540</v>
      </c>
      <c r="C11" s="30">
        <v>631308.71</v>
      </c>
      <c r="D11" s="28">
        <v>0</v>
      </c>
      <c r="E11" s="29">
        <v>0</v>
      </c>
    </row>
    <row r="12" spans="1:9" ht="30" x14ac:dyDescent="0.2">
      <c r="A12" s="26" t="s">
        <v>1543</v>
      </c>
      <c r="B12" s="50" t="s">
        <v>1542</v>
      </c>
      <c r="C12" s="30">
        <v>635092.41099999996</v>
      </c>
      <c r="D12" s="28">
        <v>0</v>
      </c>
      <c r="E12" s="29">
        <v>0</v>
      </c>
    </row>
    <row r="13" spans="1:9" ht="10.5" x14ac:dyDescent="0.25">
      <c r="A13" s="25" t="s">
        <v>167</v>
      </c>
      <c r="B13" s="25"/>
      <c r="C13" s="31"/>
      <c r="D13" s="32">
        <f>SUM(D6:D12)</f>
        <v>952.18522859999985</v>
      </c>
      <c r="E13" s="33">
        <f>SUM(E6:E12)</f>
        <v>97.659875734339735</v>
      </c>
      <c r="G13" s="17"/>
      <c r="H13" s="17"/>
      <c r="I13" s="17"/>
    </row>
    <row r="14" spans="1:9" x14ac:dyDescent="0.2">
      <c r="A14" s="26"/>
      <c r="B14" s="26"/>
      <c r="C14" s="27"/>
      <c r="D14" s="28"/>
      <c r="E14" s="29"/>
    </row>
    <row r="15" spans="1:9" ht="10.5" x14ac:dyDescent="0.25">
      <c r="A15" s="25" t="s">
        <v>205</v>
      </c>
      <c r="B15" s="25"/>
      <c r="C15" s="31"/>
      <c r="D15" s="32">
        <f>D13</f>
        <v>952.18522859999985</v>
      </c>
      <c r="E15" s="33">
        <f>E13</f>
        <v>97.659875734339735</v>
      </c>
      <c r="G15" s="17"/>
      <c r="H15" s="17"/>
      <c r="I15" s="17"/>
    </row>
    <row r="16" spans="1:9" ht="10.5" x14ac:dyDescent="0.25">
      <c r="A16" s="25"/>
      <c r="B16" s="25"/>
      <c r="C16" s="31"/>
      <c r="D16" s="32"/>
      <c r="E16" s="33"/>
      <c r="G16" s="17"/>
      <c r="H16" s="17"/>
      <c r="I16" s="17"/>
    </row>
    <row r="17" spans="1:9" ht="10.5" x14ac:dyDescent="0.25">
      <c r="A17" s="25" t="s">
        <v>207</v>
      </c>
      <c r="B17" s="25"/>
      <c r="C17" s="31"/>
      <c r="D17" s="32">
        <f>D19-(D13)</f>
        <v>22.816246100000171</v>
      </c>
      <c r="E17" s="33">
        <f>E19-(E13)</f>
        <v>2.3401242656602648</v>
      </c>
      <c r="G17" s="17"/>
      <c r="H17" s="17"/>
      <c r="I17" s="17"/>
    </row>
    <row r="18" spans="1:9" ht="10.5" x14ac:dyDescent="0.25">
      <c r="A18" s="25"/>
      <c r="B18" s="25"/>
      <c r="C18" s="31"/>
      <c r="D18" s="32"/>
      <c r="E18" s="33"/>
      <c r="G18" s="17"/>
      <c r="H18" s="17"/>
      <c r="I18" s="17"/>
    </row>
    <row r="19" spans="1:9" ht="10.5" x14ac:dyDescent="0.25">
      <c r="A19" s="34" t="s">
        <v>206</v>
      </c>
      <c r="B19" s="34"/>
      <c r="C19" s="35"/>
      <c r="D19" s="36">
        <v>975.00147470000002</v>
      </c>
      <c r="E19" s="37">
        <v>100</v>
      </c>
      <c r="G19" s="17"/>
      <c r="H19" s="17"/>
      <c r="I19" s="17"/>
    </row>
    <row r="20" spans="1:9" ht="10.5" x14ac:dyDescent="0.25">
      <c r="A20" s="56" t="s">
        <v>1548</v>
      </c>
      <c r="C20" s="11"/>
      <c r="D20" s="15"/>
      <c r="E20" s="51" t="s">
        <v>394</v>
      </c>
    </row>
    <row r="22" spans="1:9" ht="10.5" x14ac:dyDescent="0.25">
      <c r="A22" s="17" t="s">
        <v>210</v>
      </c>
    </row>
    <row r="23" spans="1:9" ht="10.5" x14ac:dyDescent="0.25">
      <c r="A23" s="17" t="s">
        <v>211</v>
      </c>
    </row>
    <row r="24" spans="1:9" ht="10.5" x14ac:dyDescent="0.25">
      <c r="A24" s="17" t="s">
        <v>212</v>
      </c>
      <c r="B24" s="17"/>
      <c r="C24" s="38" t="s">
        <v>214</v>
      </c>
      <c r="D24" s="18" t="s">
        <v>213</v>
      </c>
    </row>
    <row r="25" spans="1:9" x14ac:dyDescent="0.2">
      <c r="A25" s="10" t="s">
        <v>533</v>
      </c>
      <c r="C25" s="39">
        <v>49.265000000000001</v>
      </c>
      <c r="D25" s="39">
        <v>40.266199999999998</v>
      </c>
    </row>
    <row r="26" spans="1:9" x14ac:dyDescent="0.2">
      <c r="A26" s="10" t="s">
        <v>1535</v>
      </c>
      <c r="C26" s="39">
        <v>14.0716</v>
      </c>
      <c r="D26" s="39">
        <v>11.501200000000001</v>
      </c>
    </row>
    <row r="27" spans="1:9" x14ac:dyDescent="0.2">
      <c r="A27" s="10" t="s">
        <v>535</v>
      </c>
      <c r="C27" s="39">
        <v>51.6464</v>
      </c>
      <c r="D27" s="39">
        <v>42.339700000000001</v>
      </c>
    </row>
    <row r="28" spans="1:9" x14ac:dyDescent="0.2">
      <c r="A28" s="10" t="s">
        <v>1536</v>
      </c>
      <c r="C28" s="39">
        <v>14.6973</v>
      </c>
      <c r="D28" s="39">
        <v>12.042</v>
      </c>
    </row>
    <row r="30" spans="1:9" ht="10.5" x14ac:dyDescent="0.25">
      <c r="A30" s="17" t="s">
        <v>226</v>
      </c>
      <c r="D30" s="40" t="s">
        <v>227</v>
      </c>
    </row>
    <row r="32" spans="1:9" ht="10.5" x14ac:dyDescent="0.25">
      <c r="A32" s="17" t="s">
        <v>1065</v>
      </c>
      <c r="D32" s="46">
        <v>0.30399999999999999</v>
      </c>
    </row>
  </sheetData>
  <mergeCells count="1">
    <mergeCell ref="A1:E1"/>
  </mergeCells>
  <conditionalFormatting sqref="F2:F3 E5:E20 F21:F65536">
    <cfRule type="cellIs" dxfId="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32"/>
  <sheetViews>
    <sheetView workbookViewId="0">
      <selection sqref="A1:E1"/>
    </sheetView>
  </sheetViews>
  <sheetFormatPr defaultColWidth="9.1796875" defaultRowHeight="10" x14ac:dyDescent="0.2"/>
  <cols>
    <col min="1" max="1" width="31.7265625" style="10" bestFit="1" customWidth="1"/>
    <col min="2" max="2" width="42.7265625" style="10" customWidth="1"/>
    <col min="3" max="3" width="15.1796875" style="10" bestFit="1" customWidth="1"/>
    <col min="4" max="4" width="14.7265625" style="11" bestFit="1" customWidth="1"/>
    <col min="5" max="5" width="15.7265625" style="15" customWidth="1"/>
    <col min="6" max="6" width="14.7265625" style="16" bestFit="1" customWidth="1"/>
    <col min="7" max="7" width="9.54296875" style="10" bestFit="1" customWidth="1"/>
    <col min="8" max="16384" width="9.1796875" style="10"/>
  </cols>
  <sheetData>
    <row r="1" spans="1:9" s="1" customFormat="1" ht="15" customHeight="1" x14ac:dyDescent="0.25">
      <c r="A1" s="143" t="s">
        <v>66</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1523</v>
      </c>
      <c r="B6" s="50" t="s">
        <v>1522</v>
      </c>
      <c r="C6" s="30">
        <v>34753.173000000003</v>
      </c>
      <c r="D6" s="28">
        <v>154.65860520000001</v>
      </c>
      <c r="E6" s="29">
        <v>34.263405741922803</v>
      </c>
    </row>
    <row r="7" spans="1:9" x14ac:dyDescent="0.2">
      <c r="A7" s="26" t="s">
        <v>1538</v>
      </c>
      <c r="B7" s="50" t="s">
        <v>1537</v>
      </c>
      <c r="C7" s="30">
        <v>178987.731</v>
      </c>
      <c r="D7" s="28">
        <v>139.79210269999999</v>
      </c>
      <c r="E7" s="29">
        <v>30.969848254694099</v>
      </c>
    </row>
    <row r="8" spans="1:9" ht="30" x14ac:dyDescent="0.2">
      <c r="A8" s="26" t="s">
        <v>1539</v>
      </c>
      <c r="B8" s="55" t="s">
        <v>1550</v>
      </c>
      <c r="C8" s="30">
        <v>165948.389</v>
      </c>
      <c r="D8" s="28">
        <v>57.990332600000002</v>
      </c>
      <c r="E8" s="29">
        <v>12.8473051493862</v>
      </c>
    </row>
    <row r="9" spans="1:9" x14ac:dyDescent="0.2">
      <c r="A9" s="26" t="s">
        <v>1534</v>
      </c>
      <c r="B9" s="50" t="s">
        <v>1533</v>
      </c>
      <c r="C9" s="30">
        <v>19787.511999999999</v>
      </c>
      <c r="D9" s="28">
        <v>42.730499000000002</v>
      </c>
      <c r="E9" s="29">
        <v>9.4666082297748808</v>
      </c>
    </row>
    <row r="10" spans="1:9" x14ac:dyDescent="0.2">
      <c r="A10" s="26" t="s">
        <v>1545</v>
      </c>
      <c r="B10" s="50" t="s">
        <v>1544</v>
      </c>
      <c r="C10" s="30">
        <v>4613.1970000000001</v>
      </c>
      <c r="D10" s="28">
        <v>42.268426699999999</v>
      </c>
      <c r="E10" s="29">
        <v>9.3642397215594499</v>
      </c>
    </row>
    <row r="11" spans="1:9" ht="30" x14ac:dyDescent="0.2">
      <c r="A11" s="26" t="s">
        <v>1543</v>
      </c>
      <c r="B11" s="50" t="s">
        <v>1542</v>
      </c>
      <c r="C11" s="30">
        <v>192562.454</v>
      </c>
      <c r="D11" s="28">
        <v>0</v>
      </c>
      <c r="E11" s="29">
        <v>0</v>
      </c>
    </row>
    <row r="12" spans="1:9" ht="20" x14ac:dyDescent="0.2">
      <c r="A12" s="26" t="s">
        <v>1541</v>
      </c>
      <c r="B12" s="50" t="s">
        <v>1540</v>
      </c>
      <c r="C12" s="30">
        <v>196087.27</v>
      </c>
      <c r="D12" s="28">
        <v>0</v>
      </c>
      <c r="E12" s="29">
        <v>0</v>
      </c>
    </row>
    <row r="13" spans="1:9" ht="10.5" x14ac:dyDescent="0.25">
      <c r="A13" s="25" t="s">
        <v>167</v>
      </c>
      <c r="B13" s="25"/>
      <c r="C13" s="31"/>
      <c r="D13" s="32">
        <f>SUM(D6:D12)</f>
        <v>437.43996620000001</v>
      </c>
      <c r="E13" s="33">
        <f>SUM(E6:E12)</f>
        <v>96.911407097337417</v>
      </c>
      <c r="G13" s="17"/>
      <c r="H13" s="17"/>
      <c r="I13" s="17"/>
    </row>
    <row r="14" spans="1:9" x14ac:dyDescent="0.2">
      <c r="A14" s="26"/>
      <c r="B14" s="26"/>
      <c r="C14" s="27"/>
      <c r="D14" s="28"/>
      <c r="E14" s="29"/>
    </row>
    <row r="15" spans="1:9" ht="10.5" x14ac:dyDescent="0.25">
      <c r="A15" s="25" t="s">
        <v>205</v>
      </c>
      <c r="B15" s="25"/>
      <c r="C15" s="31"/>
      <c r="D15" s="32">
        <f>D13</f>
        <v>437.43996620000001</v>
      </c>
      <c r="E15" s="33">
        <f>E13</f>
        <v>96.911407097337417</v>
      </c>
      <c r="G15" s="17"/>
      <c r="H15" s="17"/>
      <c r="I15" s="17"/>
    </row>
    <row r="16" spans="1:9" ht="10.5" x14ac:dyDescent="0.25">
      <c r="A16" s="25"/>
      <c r="B16" s="25"/>
      <c r="C16" s="31"/>
      <c r="D16" s="32"/>
      <c r="E16" s="33"/>
      <c r="G16" s="17"/>
      <c r="H16" s="17"/>
      <c r="I16" s="17"/>
    </row>
    <row r="17" spans="1:9" ht="10.5" x14ac:dyDescent="0.25">
      <c r="A17" s="25" t="s">
        <v>207</v>
      </c>
      <c r="B17" s="25"/>
      <c r="C17" s="31"/>
      <c r="D17" s="32">
        <f>D19-(D13)</f>
        <v>13.94133069999998</v>
      </c>
      <c r="E17" s="33">
        <f>E19-(E13)</f>
        <v>3.0885929026625831</v>
      </c>
      <c r="G17" s="17"/>
      <c r="H17" s="17"/>
      <c r="I17" s="17"/>
    </row>
    <row r="18" spans="1:9" ht="10.5" x14ac:dyDescent="0.25">
      <c r="A18" s="25"/>
      <c r="B18" s="25"/>
      <c r="C18" s="31"/>
      <c r="D18" s="32"/>
      <c r="E18" s="33"/>
      <c r="G18" s="17"/>
      <c r="H18" s="17"/>
      <c r="I18" s="17"/>
    </row>
    <row r="19" spans="1:9" ht="10.5" x14ac:dyDescent="0.25">
      <c r="A19" s="34" t="s">
        <v>206</v>
      </c>
      <c r="B19" s="34"/>
      <c r="C19" s="35"/>
      <c r="D19" s="36">
        <v>451.3812969</v>
      </c>
      <c r="E19" s="37">
        <v>100</v>
      </c>
      <c r="G19" s="17"/>
      <c r="H19" s="17"/>
      <c r="I19" s="17"/>
    </row>
    <row r="20" spans="1:9" ht="10.5" x14ac:dyDescent="0.25">
      <c r="A20" s="54" t="s">
        <v>1548</v>
      </c>
      <c r="C20" s="11"/>
      <c r="D20" s="15"/>
      <c r="E20" s="51" t="s">
        <v>394</v>
      </c>
    </row>
    <row r="22" spans="1:9" ht="10.5" x14ac:dyDescent="0.25">
      <c r="A22" s="17" t="s">
        <v>210</v>
      </c>
    </row>
    <row r="23" spans="1:9" ht="10.5" x14ac:dyDescent="0.25">
      <c r="A23" s="17" t="s">
        <v>211</v>
      </c>
    </row>
    <row r="24" spans="1:9" ht="10.5" x14ac:dyDescent="0.25">
      <c r="A24" s="17" t="s">
        <v>212</v>
      </c>
      <c r="B24" s="17"/>
      <c r="C24" s="38" t="s">
        <v>214</v>
      </c>
      <c r="D24" s="18" t="s">
        <v>213</v>
      </c>
    </row>
    <row r="25" spans="1:9" x14ac:dyDescent="0.2">
      <c r="A25" s="10" t="s">
        <v>533</v>
      </c>
      <c r="C25" s="39">
        <v>60.875</v>
      </c>
      <c r="D25" s="39">
        <v>50.793799999999997</v>
      </c>
    </row>
    <row r="26" spans="1:9" x14ac:dyDescent="0.2">
      <c r="A26" s="10" t="s">
        <v>1535</v>
      </c>
      <c r="C26" s="39">
        <v>21.479399999999998</v>
      </c>
      <c r="D26" s="39">
        <v>17.9223</v>
      </c>
    </row>
    <row r="27" spans="1:9" x14ac:dyDescent="0.2">
      <c r="A27" s="10" t="s">
        <v>535</v>
      </c>
      <c r="C27" s="39">
        <v>63.338000000000001</v>
      </c>
      <c r="D27" s="39">
        <v>53.080300000000001</v>
      </c>
    </row>
    <row r="28" spans="1:9" x14ac:dyDescent="0.2">
      <c r="A28" s="10" t="s">
        <v>1536</v>
      </c>
      <c r="C28" s="39">
        <v>22.607800000000001</v>
      </c>
      <c r="D28" s="39">
        <v>18.944700000000001</v>
      </c>
    </row>
    <row r="30" spans="1:9" ht="10.5" x14ac:dyDescent="0.25">
      <c r="A30" s="17" t="s">
        <v>226</v>
      </c>
      <c r="D30" s="40" t="s">
        <v>227</v>
      </c>
    </row>
    <row r="32" spans="1:9" ht="10.5" x14ac:dyDescent="0.25">
      <c r="A32" s="17" t="s">
        <v>1065</v>
      </c>
      <c r="D32" s="46">
        <v>0.26850000000000002</v>
      </c>
    </row>
  </sheetData>
  <mergeCells count="1">
    <mergeCell ref="A1:E1"/>
  </mergeCells>
  <conditionalFormatting sqref="F2:F3 E5:E20 F21:F65536">
    <cfRule type="cellIs" dxfId="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32"/>
  <sheetViews>
    <sheetView workbookViewId="0">
      <selection sqref="A1:E1"/>
    </sheetView>
  </sheetViews>
  <sheetFormatPr defaultColWidth="9.1796875" defaultRowHeight="10" x14ac:dyDescent="0.2"/>
  <cols>
    <col min="1" max="1" width="31.7265625" style="10" bestFit="1" customWidth="1"/>
    <col min="2" max="2" width="42.7265625" style="10" customWidth="1"/>
    <col min="3" max="3" width="15.1796875" style="10" bestFit="1" customWidth="1"/>
    <col min="4" max="4" width="14.7265625" style="11" bestFit="1" customWidth="1"/>
    <col min="5" max="5" width="15.7265625" style="15" customWidth="1"/>
    <col min="6" max="6" width="14.7265625" style="16" bestFit="1" customWidth="1"/>
    <col min="7" max="7" width="9.54296875" style="10" bestFit="1" customWidth="1"/>
    <col min="8" max="16384" width="9.1796875" style="10"/>
  </cols>
  <sheetData>
    <row r="1" spans="1:9" s="1" customFormat="1" ht="15" customHeight="1" x14ac:dyDescent="0.25">
      <c r="A1" s="143" t="s">
        <v>67</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1523</v>
      </c>
      <c r="B6" s="50" t="s">
        <v>1522</v>
      </c>
      <c r="C6" s="30">
        <v>109894.974</v>
      </c>
      <c r="D6" s="28">
        <v>489.05472320000001</v>
      </c>
      <c r="E6" s="29">
        <v>49.424886483600197</v>
      </c>
    </row>
    <row r="7" spans="1:9" x14ac:dyDescent="0.2">
      <c r="A7" s="26" t="s">
        <v>1534</v>
      </c>
      <c r="B7" s="50" t="s">
        <v>1533</v>
      </c>
      <c r="C7" s="30">
        <v>68346.042000000001</v>
      </c>
      <c r="D7" s="28">
        <v>147.5910906</v>
      </c>
      <c r="E7" s="29">
        <v>14.915862280533799</v>
      </c>
    </row>
    <row r="8" spans="1:9" x14ac:dyDescent="0.2">
      <c r="A8" s="26" t="s">
        <v>1545</v>
      </c>
      <c r="B8" s="50" t="s">
        <v>1544</v>
      </c>
      <c r="C8" s="30">
        <v>15897.031999999999</v>
      </c>
      <c r="D8" s="28">
        <v>145.6565875</v>
      </c>
      <c r="E8" s="29">
        <v>14.7203573777408</v>
      </c>
    </row>
    <row r="9" spans="1:9" x14ac:dyDescent="0.2">
      <c r="A9" s="26" t="s">
        <v>1538</v>
      </c>
      <c r="B9" s="50" t="s">
        <v>1537</v>
      </c>
      <c r="C9" s="30">
        <v>179329.24900000001</v>
      </c>
      <c r="D9" s="28">
        <v>140.0588334</v>
      </c>
      <c r="E9" s="29">
        <v>14.154636717391501</v>
      </c>
    </row>
    <row r="10" spans="1:9" ht="30" x14ac:dyDescent="0.2">
      <c r="A10" s="26" t="s">
        <v>1539</v>
      </c>
      <c r="B10" s="53" t="s">
        <v>1550</v>
      </c>
      <c r="C10" s="30">
        <v>127811.15300000001</v>
      </c>
      <c r="D10" s="28">
        <v>44.663351800000001</v>
      </c>
      <c r="E10" s="29">
        <v>4.5137711343385698</v>
      </c>
    </row>
    <row r="11" spans="1:9" ht="30" x14ac:dyDescent="0.2">
      <c r="A11" s="26" t="s">
        <v>1543</v>
      </c>
      <c r="B11" s="50" t="s">
        <v>1542</v>
      </c>
      <c r="C11" s="30">
        <v>160182.31</v>
      </c>
      <c r="D11" s="28">
        <v>0</v>
      </c>
      <c r="E11" s="29">
        <v>0</v>
      </c>
    </row>
    <row r="12" spans="1:9" ht="20" x14ac:dyDescent="0.2">
      <c r="A12" s="26" t="s">
        <v>1541</v>
      </c>
      <c r="B12" s="50" t="s">
        <v>1540</v>
      </c>
      <c r="C12" s="30">
        <v>167004.62</v>
      </c>
      <c r="D12" s="28">
        <v>0</v>
      </c>
      <c r="E12" s="29">
        <v>0</v>
      </c>
    </row>
    <row r="13" spans="1:9" ht="10.5" x14ac:dyDescent="0.25">
      <c r="A13" s="25" t="s">
        <v>167</v>
      </c>
      <c r="B13" s="25"/>
      <c r="C13" s="31"/>
      <c r="D13" s="32">
        <f>SUM(D6:D12)</f>
        <v>967.02458650000005</v>
      </c>
      <c r="E13" s="33">
        <f>SUM(E6:E12)</f>
        <v>97.729513993604854</v>
      </c>
      <c r="G13" s="17"/>
      <c r="H13" s="17"/>
      <c r="I13" s="17"/>
    </row>
    <row r="14" spans="1:9" x14ac:dyDescent="0.2">
      <c r="A14" s="26"/>
      <c r="B14" s="26"/>
      <c r="C14" s="27"/>
      <c r="D14" s="28"/>
      <c r="E14" s="29"/>
    </row>
    <row r="15" spans="1:9" ht="10.5" x14ac:dyDescent="0.25">
      <c r="A15" s="25" t="s">
        <v>205</v>
      </c>
      <c r="B15" s="25"/>
      <c r="C15" s="31"/>
      <c r="D15" s="32">
        <f>D13</f>
        <v>967.02458650000005</v>
      </c>
      <c r="E15" s="33">
        <f>E13</f>
        <v>97.729513993604854</v>
      </c>
      <c r="G15" s="17"/>
      <c r="H15" s="17"/>
      <c r="I15" s="17"/>
    </row>
    <row r="16" spans="1:9" ht="10.5" x14ac:dyDescent="0.25">
      <c r="A16" s="25"/>
      <c r="B16" s="25"/>
      <c r="C16" s="31"/>
      <c r="D16" s="32"/>
      <c r="E16" s="33"/>
      <c r="G16" s="17"/>
      <c r="H16" s="17"/>
      <c r="I16" s="17"/>
    </row>
    <row r="17" spans="1:9" ht="10.5" x14ac:dyDescent="0.25">
      <c r="A17" s="25" t="s">
        <v>207</v>
      </c>
      <c r="B17" s="25"/>
      <c r="C17" s="31"/>
      <c r="D17" s="32">
        <f>D19-(D13)</f>
        <v>22.466250999999943</v>
      </c>
      <c r="E17" s="33">
        <f>E19-(E13)</f>
        <v>2.2704860063951458</v>
      </c>
      <c r="G17" s="17"/>
      <c r="H17" s="17"/>
      <c r="I17" s="17"/>
    </row>
    <row r="18" spans="1:9" ht="10.5" x14ac:dyDescent="0.25">
      <c r="A18" s="25"/>
      <c r="B18" s="25"/>
      <c r="C18" s="31"/>
      <c r="D18" s="32"/>
      <c r="E18" s="33"/>
      <c r="G18" s="17"/>
      <c r="H18" s="17"/>
      <c r="I18" s="17"/>
    </row>
    <row r="19" spans="1:9" ht="10.5" x14ac:dyDescent="0.25">
      <c r="A19" s="34" t="s">
        <v>206</v>
      </c>
      <c r="B19" s="34"/>
      <c r="C19" s="35"/>
      <c r="D19" s="36">
        <v>989.4908375</v>
      </c>
      <c r="E19" s="37">
        <v>100</v>
      </c>
      <c r="G19" s="17"/>
      <c r="H19" s="17"/>
      <c r="I19" s="17"/>
    </row>
    <row r="20" spans="1:9" ht="10.5" x14ac:dyDescent="0.25">
      <c r="A20" s="52" t="s">
        <v>1548</v>
      </c>
      <c r="C20" s="11"/>
      <c r="D20" s="15"/>
      <c r="E20" s="51" t="s">
        <v>394</v>
      </c>
    </row>
    <row r="22" spans="1:9" ht="10.5" x14ac:dyDescent="0.25">
      <c r="A22" s="17" t="s">
        <v>210</v>
      </c>
    </row>
    <row r="23" spans="1:9" ht="10.5" x14ac:dyDescent="0.25">
      <c r="A23" s="17" t="s">
        <v>211</v>
      </c>
    </row>
    <row r="24" spans="1:9" ht="10.5" x14ac:dyDescent="0.25">
      <c r="A24" s="17" t="s">
        <v>212</v>
      </c>
      <c r="B24" s="17"/>
      <c r="C24" s="38" t="s">
        <v>214</v>
      </c>
      <c r="D24" s="18" t="s">
        <v>213</v>
      </c>
    </row>
    <row r="25" spans="1:9" x14ac:dyDescent="0.2">
      <c r="A25" s="10" t="s">
        <v>486</v>
      </c>
      <c r="C25" s="39">
        <v>83.418999999999997</v>
      </c>
      <c r="D25" s="39">
        <v>72.141400000000004</v>
      </c>
    </row>
    <row r="26" spans="1:9" x14ac:dyDescent="0.2">
      <c r="A26" s="10" t="s">
        <v>520</v>
      </c>
      <c r="C26" s="39">
        <v>27.274000000000001</v>
      </c>
      <c r="D26" s="39">
        <v>23.5868</v>
      </c>
    </row>
    <row r="27" spans="1:9" x14ac:dyDescent="0.2">
      <c r="A27" s="10" t="s">
        <v>489</v>
      </c>
      <c r="C27" s="39">
        <v>85.986599999999996</v>
      </c>
      <c r="D27" s="39">
        <v>74.709000000000003</v>
      </c>
    </row>
    <row r="28" spans="1:9" x14ac:dyDescent="0.2">
      <c r="A28" s="10" t="s">
        <v>521</v>
      </c>
      <c r="C28" s="39">
        <v>28.360800000000001</v>
      </c>
      <c r="D28" s="39">
        <v>24.638999999999999</v>
      </c>
    </row>
    <row r="30" spans="1:9" ht="10.5" x14ac:dyDescent="0.25">
      <c r="A30" s="17" t="s">
        <v>226</v>
      </c>
      <c r="D30" s="40" t="s">
        <v>227</v>
      </c>
    </row>
    <row r="32" spans="1:9" ht="10.5" x14ac:dyDescent="0.25">
      <c r="A32" s="17" t="s">
        <v>1065</v>
      </c>
      <c r="D32" s="46">
        <v>0.1656</v>
      </c>
    </row>
  </sheetData>
  <mergeCells count="1">
    <mergeCell ref="A1:E1"/>
  </mergeCells>
  <conditionalFormatting sqref="F2:F3 E5:E20 F21:F65536">
    <cfRule type="cellIs" dxfId="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33"/>
  <sheetViews>
    <sheetView workbookViewId="0">
      <selection sqref="A1:E1"/>
    </sheetView>
  </sheetViews>
  <sheetFormatPr defaultColWidth="9.1796875" defaultRowHeight="10" x14ac:dyDescent="0.2"/>
  <cols>
    <col min="1" max="1" width="31.7265625" style="10" bestFit="1" customWidth="1"/>
    <col min="2" max="2" width="42.7265625" style="10" customWidth="1"/>
    <col min="3" max="3" width="15.1796875" style="10" bestFit="1" customWidth="1"/>
    <col min="4" max="4" width="14.7265625" style="11" bestFit="1" customWidth="1"/>
    <col min="5" max="5" width="15.7265625" style="15" customWidth="1"/>
    <col min="6" max="6" width="14.7265625" style="16" bestFit="1" customWidth="1"/>
    <col min="7" max="7" width="3" style="10" bestFit="1" customWidth="1"/>
    <col min="8" max="16384" width="9.1796875" style="10"/>
  </cols>
  <sheetData>
    <row r="1" spans="1:9" s="1" customFormat="1" ht="15" customHeight="1" x14ac:dyDescent="0.25">
      <c r="A1" s="143" t="s">
        <v>68</v>
      </c>
      <c r="B1" s="144"/>
      <c r="C1" s="144"/>
      <c r="D1" s="144"/>
      <c r="E1" s="144"/>
    </row>
    <row r="2" spans="1:9" s="1" customFormat="1" ht="11.5" x14ac:dyDescent="0.25">
      <c r="D2" s="6"/>
      <c r="E2" s="7"/>
      <c r="F2" s="14"/>
    </row>
    <row r="3" spans="1:9" s="1" customFormat="1" ht="11.5" x14ac:dyDescent="0.25">
      <c r="A3" s="12" t="s">
        <v>6</v>
      </c>
      <c r="B3" s="2"/>
      <c r="C3" s="3"/>
      <c r="D3" s="4"/>
      <c r="E3" s="5"/>
      <c r="F3" s="14"/>
    </row>
    <row r="4" spans="1:9" s="1" customFormat="1" ht="24" customHeight="1" x14ac:dyDescent="0.25">
      <c r="A4" s="8" t="s">
        <v>2</v>
      </c>
      <c r="B4" s="8" t="s">
        <v>0</v>
      </c>
      <c r="C4" s="47" t="s">
        <v>1</v>
      </c>
      <c r="D4" s="48" t="s">
        <v>3</v>
      </c>
      <c r="E4" s="49" t="s">
        <v>4</v>
      </c>
    </row>
    <row r="5" spans="1:9" ht="10.5" x14ac:dyDescent="0.25">
      <c r="A5" s="20" t="s">
        <v>1521</v>
      </c>
      <c r="B5" s="21"/>
      <c r="C5" s="22"/>
      <c r="D5" s="23"/>
      <c r="E5" s="24"/>
    </row>
    <row r="6" spans="1:9" x14ac:dyDescent="0.2">
      <c r="A6" s="26" t="s">
        <v>1547</v>
      </c>
      <c r="B6" s="26" t="s">
        <v>1546</v>
      </c>
      <c r="C6" s="30">
        <v>7103350.7400000002</v>
      </c>
      <c r="D6" s="28">
        <v>40514.387150000002</v>
      </c>
      <c r="E6" s="29">
        <v>55.153693329284501</v>
      </c>
    </row>
    <row r="7" spans="1:9" ht="30" x14ac:dyDescent="0.2">
      <c r="A7" s="26" t="s">
        <v>1524</v>
      </c>
      <c r="B7" s="50" t="s">
        <v>1549</v>
      </c>
      <c r="C7" s="30">
        <v>674821.91899999999</v>
      </c>
      <c r="D7" s="28">
        <v>13275.100839999999</v>
      </c>
      <c r="E7" s="29">
        <v>18.071872540831201</v>
      </c>
    </row>
    <row r="8" spans="1:9" ht="30" x14ac:dyDescent="0.2">
      <c r="A8" s="26" t="s">
        <v>1530</v>
      </c>
      <c r="B8" s="50" t="s">
        <v>1529</v>
      </c>
      <c r="C8" s="30">
        <v>1341516.8259999999</v>
      </c>
      <c r="D8" s="28">
        <v>0</v>
      </c>
      <c r="E8" s="29">
        <v>0</v>
      </c>
    </row>
    <row r="9" spans="1:9" ht="20" x14ac:dyDescent="0.2">
      <c r="A9" s="26" t="s">
        <v>1528</v>
      </c>
      <c r="B9" s="50" t="s">
        <v>1527</v>
      </c>
      <c r="C9" s="30">
        <v>1370528.45</v>
      </c>
      <c r="D9" s="28">
        <v>0</v>
      </c>
      <c r="E9" s="29">
        <v>0</v>
      </c>
    </row>
    <row r="10" spans="1:9" ht="10.5" x14ac:dyDescent="0.25">
      <c r="A10" s="25" t="s">
        <v>167</v>
      </c>
      <c r="B10" s="25"/>
      <c r="C10" s="31"/>
      <c r="D10" s="32">
        <f>SUM(D6:D9)</f>
        <v>53789.487990000001</v>
      </c>
      <c r="E10" s="33">
        <f>SUM(E6:E9)</f>
        <v>73.225565870115702</v>
      </c>
      <c r="G10" s="17"/>
      <c r="H10" s="17"/>
      <c r="I10" s="17"/>
    </row>
    <row r="11" spans="1:9" x14ac:dyDescent="0.2">
      <c r="A11" s="26"/>
      <c r="B11" s="26"/>
      <c r="C11" s="27"/>
      <c r="D11" s="28"/>
      <c r="E11" s="29"/>
    </row>
    <row r="12" spans="1:9" ht="10.5" x14ac:dyDescent="0.25">
      <c r="A12" s="25" t="s">
        <v>205</v>
      </c>
      <c r="B12" s="25"/>
      <c r="C12" s="31"/>
      <c r="D12" s="32">
        <f>D10</f>
        <v>53789.487990000001</v>
      </c>
      <c r="E12" s="33">
        <f>E10</f>
        <v>73.225565870115702</v>
      </c>
      <c r="G12" s="17"/>
      <c r="H12" s="17"/>
      <c r="I12" s="17"/>
    </row>
    <row r="13" spans="1:9" ht="10.5" x14ac:dyDescent="0.25">
      <c r="A13" s="25"/>
      <c r="B13" s="25"/>
      <c r="C13" s="31"/>
      <c r="D13" s="32"/>
      <c r="E13" s="33"/>
      <c r="G13" s="17"/>
      <c r="H13" s="17"/>
      <c r="I13" s="17"/>
    </row>
    <row r="14" spans="1:9" ht="10.5" x14ac:dyDescent="0.25">
      <c r="A14" s="25" t="s">
        <v>207</v>
      </c>
      <c r="B14" s="25"/>
      <c r="C14" s="31"/>
      <c r="D14" s="32">
        <f>D16-(D10)</f>
        <v>19667.7633823</v>
      </c>
      <c r="E14" s="33">
        <f>E16-(E10)</f>
        <v>26.774434129884298</v>
      </c>
      <c r="G14" s="17"/>
      <c r="H14" s="17"/>
      <c r="I14" s="17"/>
    </row>
    <row r="15" spans="1:9" ht="10.5" x14ac:dyDescent="0.25">
      <c r="A15" s="25"/>
      <c r="B15" s="25"/>
      <c r="C15" s="31"/>
      <c r="D15" s="32"/>
      <c r="E15" s="33"/>
      <c r="G15" s="17"/>
      <c r="H15" s="17"/>
      <c r="I15" s="17"/>
    </row>
    <row r="16" spans="1:9" ht="10.5" x14ac:dyDescent="0.25">
      <c r="A16" s="34" t="s">
        <v>206</v>
      </c>
      <c r="B16" s="34"/>
      <c r="C16" s="35"/>
      <c r="D16" s="36">
        <v>73457.251372300001</v>
      </c>
      <c r="E16" s="37">
        <v>100</v>
      </c>
      <c r="G16" s="17"/>
      <c r="H16" s="17"/>
      <c r="I16" s="17"/>
    </row>
    <row r="17" spans="1:5" ht="10.5" x14ac:dyDescent="0.25">
      <c r="A17" s="17" t="s">
        <v>1548</v>
      </c>
      <c r="C17" s="11"/>
      <c r="D17" s="15"/>
      <c r="E17" s="51" t="s">
        <v>394</v>
      </c>
    </row>
    <row r="19" spans="1:5" ht="10.5" x14ac:dyDescent="0.25">
      <c r="A19" s="17" t="s">
        <v>210</v>
      </c>
    </row>
    <row r="20" spans="1:5" ht="10.5" x14ac:dyDescent="0.25">
      <c r="A20" s="17" t="s">
        <v>211</v>
      </c>
    </row>
    <row r="21" spans="1:5" ht="10.5" x14ac:dyDescent="0.25">
      <c r="A21" s="17" t="s">
        <v>212</v>
      </c>
      <c r="B21" s="17"/>
      <c r="C21" s="38" t="s">
        <v>214</v>
      </c>
      <c r="D21" s="18" t="s">
        <v>213</v>
      </c>
    </row>
    <row r="22" spans="1:5" x14ac:dyDescent="0.2">
      <c r="A22" s="10" t="s">
        <v>486</v>
      </c>
      <c r="C22" s="39">
        <v>84.991500000000002</v>
      </c>
      <c r="D22" s="39">
        <v>69.253</v>
      </c>
    </row>
    <row r="23" spans="1:5" x14ac:dyDescent="0.2">
      <c r="A23" s="10" t="s">
        <v>520</v>
      </c>
      <c r="C23" s="39">
        <v>35.065100000000001</v>
      </c>
      <c r="D23" s="39">
        <v>27.129899999999999</v>
      </c>
    </row>
    <row r="24" spans="1:5" x14ac:dyDescent="0.2">
      <c r="A24" s="10" t="s">
        <v>489</v>
      </c>
      <c r="C24" s="39">
        <v>91.189400000000006</v>
      </c>
      <c r="D24" s="39">
        <v>74.648099999999999</v>
      </c>
    </row>
    <row r="25" spans="1:5" x14ac:dyDescent="0.2">
      <c r="A25" s="10" t="s">
        <v>521</v>
      </c>
      <c r="C25" s="39">
        <v>38.5351</v>
      </c>
      <c r="D25" s="39">
        <v>30.098700000000001</v>
      </c>
    </row>
    <row r="27" spans="1:5" ht="10.5" x14ac:dyDescent="0.25">
      <c r="A27" s="17" t="s">
        <v>226</v>
      </c>
    </row>
    <row r="28" spans="1:5" ht="10.5" x14ac:dyDescent="0.25">
      <c r="A28" s="147" t="s">
        <v>401</v>
      </c>
      <c r="B28" s="148"/>
      <c r="C28" s="145" t="s">
        <v>402</v>
      </c>
      <c r="D28" s="146"/>
    </row>
    <row r="29" spans="1:5" ht="10.5" x14ac:dyDescent="0.25">
      <c r="A29" s="147"/>
      <c r="B29" s="148"/>
      <c r="C29" s="43" t="s">
        <v>403</v>
      </c>
      <c r="D29" s="44" t="s">
        <v>404</v>
      </c>
    </row>
    <row r="30" spans="1:5" x14ac:dyDescent="0.2">
      <c r="A30" s="141" t="s">
        <v>520</v>
      </c>
      <c r="B30" s="142"/>
      <c r="C30" s="45">
        <v>1.3687499999999999</v>
      </c>
      <c r="D30" s="45">
        <v>1.3687499999999999</v>
      </c>
    </row>
    <row r="31" spans="1:5" x14ac:dyDescent="0.2">
      <c r="A31" s="141" t="s">
        <v>521</v>
      </c>
      <c r="B31" s="142"/>
      <c r="C31" s="45">
        <v>1.3687499999999999</v>
      </c>
      <c r="D31" s="45">
        <v>1.3687499999999999</v>
      </c>
    </row>
    <row r="33" spans="1:4" ht="10.5" x14ac:dyDescent="0.25">
      <c r="A33" s="17" t="s">
        <v>1065</v>
      </c>
      <c r="D33" s="46">
        <v>0.40820000000000001</v>
      </c>
    </row>
  </sheetData>
  <mergeCells count="6">
    <mergeCell ref="A31:B31"/>
    <mergeCell ref="A1:E1"/>
    <mergeCell ref="C28:D28"/>
    <mergeCell ref="A28:B28"/>
    <mergeCell ref="A29:B29"/>
    <mergeCell ref="A30:B30"/>
  </mergeCells>
  <conditionalFormatting sqref="F2:F3 E5:E17 F18:F65536">
    <cfRule type="cellIs" dxfId="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FILF</vt:lpstr>
      <vt:lpstr>FIONF</vt:lpstr>
      <vt:lpstr>FBPF</vt:lpstr>
      <vt:lpstr>FICDF</vt:lpstr>
      <vt:lpstr>FIGSF</vt:lpstr>
      <vt:lpstr>FISF</vt:lpstr>
      <vt:lpstr>FIFRF</vt:lpstr>
      <vt:lpstr>FIUBF</vt:lpstr>
      <vt:lpstr>FISTIP</vt:lpstr>
      <vt:lpstr>FILDF</vt:lpstr>
      <vt:lpstr>FIIOF</vt:lpstr>
      <vt:lpstr>FIDA</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July 2020</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2020-08-10T04:45:41Z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CLAPUBLIC</vt:lpwstr>
  </property>
</Properties>
</file>