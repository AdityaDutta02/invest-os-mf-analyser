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filterPrivacy="1" defaultThemeVersion="124226"/>
  <xr:revisionPtr revIDLastSave="0" documentId="13_ncr:8001_{6BA87498-CEAE-4792-94FF-4403D11AC748}" xr6:coauthVersionLast="47" xr6:coauthVersionMax="47" xr10:uidLastSave="{00000000-0000-0000-0000-000000000000}"/>
  <bookViews>
    <workbookView xWindow="-108" yWindow="-108" windowWidth="23256" windowHeight="12576" xr2:uid="{00000000-000D-0000-FFFF-FFFF00000000}"/>
  </bookViews>
  <sheets>
    <sheet name="FILF" sheetId="54" r:id="rId1"/>
    <sheet name="FIONF" sheetId="55" r:id="rId2"/>
    <sheet name="FISF" sheetId="56" r:id="rId3"/>
    <sheet name="FIFRF" sheetId="57" r:id="rId4"/>
    <sheet name="FICDF" sheetId="58" r:id="rId5"/>
    <sheet name="FBPF" sheetId="59" r:id="rId6"/>
    <sheet name="FIGSF" sheetId="60" r:id="rId7"/>
    <sheet name="FMPS6C" sheetId="61" r:id="rId8"/>
    <sheet name="FMPS5F" sheetId="62" r:id="rId9"/>
    <sheet name="FMPS5E" sheetId="63" r:id="rId10"/>
    <sheet name="FMPS5D" sheetId="64" r:id="rId11"/>
    <sheet name="FMPS5C" sheetId="65" r:id="rId12"/>
    <sheet name="FMPS5B" sheetId="66" r:id="rId13"/>
    <sheet name="FMPS5A" sheetId="67" r:id="rId14"/>
    <sheet name="FMPS4F" sheetId="68" r:id="rId15"/>
    <sheet name="FMPS4E" sheetId="69" r:id="rId16"/>
    <sheet name="FMPS4D" sheetId="70" r:id="rId17"/>
    <sheet name="FMPS4C" sheetId="71" r:id="rId18"/>
    <sheet name="FMPS4B" sheetId="72" r:id="rId19"/>
    <sheet name="FIPP" sheetId="73" r:id="rId20"/>
    <sheet name="FIDHY" sheetId="74" r:id="rId21"/>
    <sheet name="FIDA" sheetId="75" r:id="rId22"/>
    <sheet name="FILDF" sheetId="76" r:id="rId23"/>
    <sheet name="FISTIP" sheetId="77" r:id="rId24"/>
    <sheet name="FIUBF" sheetId="78" r:id="rId25"/>
    <sheet name="FIIOF" sheetId="79" r:id="rId26"/>
    <sheet name="FICRF" sheetId="80" r:id="rId27"/>
    <sheet name="FIESF" sheetId="29" r:id="rId28"/>
    <sheet name="FIEHF" sheetId="30" r:id="rId29"/>
    <sheet name="TIVF" sheetId="31" r:id="rId30"/>
    <sheet name="TIEIF" sheetId="32" r:id="rId31"/>
    <sheet name="FITF" sheetId="33" r:id="rId32"/>
    <sheet name="FISCF" sheetId="34" r:id="rId33"/>
    <sheet name="FIPF" sheetId="35" r:id="rId34"/>
    <sheet name="FIOF" sheetId="36" r:id="rId35"/>
    <sheet name="FIFEF" sheetId="37" r:id="rId36"/>
    <sheet name="FIEF" sheetId="38" r:id="rId37"/>
    <sheet name="FIEAF" sheetId="39" r:id="rId38"/>
    <sheet name="FIBF" sheetId="40" r:id="rId39"/>
    <sheet name="FBIF" sheetId="41" r:id="rId40"/>
    <sheet name="FAEF" sheetId="42" r:id="rId41"/>
    <sheet name="FIIF-NSE" sheetId="43" r:id="rId42"/>
    <sheet name="FITX" sheetId="44" r:id="rId43"/>
    <sheet name="FIUS" sheetId="45" r:id="rId44"/>
    <sheet name="FEGF" sheetId="46" r:id="rId45"/>
    <sheet name="FIMAS" sheetId="47" r:id="rId46"/>
    <sheet name="FIFOF-50's+" sheetId="48" r:id="rId47"/>
    <sheet name="FIFOF-50's" sheetId="49" r:id="rId48"/>
    <sheet name="FIFOF-40's" sheetId="50" r:id="rId49"/>
    <sheet name="FIFOF-30's" sheetId="51" r:id="rId50"/>
    <sheet name="FIFOF-20's" sheetId="52" r:id="rId51"/>
    <sheet name="FF" sheetId="53" r:id="rId5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1" i="80" l="1"/>
  <c r="F123" i="80" s="1"/>
  <c r="E121" i="80"/>
  <c r="E125" i="80" s="1"/>
  <c r="F86" i="80"/>
  <c r="F88" i="80" s="1"/>
  <c r="E86" i="80"/>
  <c r="E90" i="80" s="1"/>
  <c r="F36" i="80"/>
  <c r="E36" i="80"/>
  <c r="F32" i="80"/>
  <c r="E32" i="80"/>
  <c r="F24" i="80"/>
  <c r="E24" i="80"/>
  <c r="F31" i="79"/>
  <c r="E31" i="79"/>
  <c r="F27" i="79"/>
  <c r="E27" i="79"/>
  <c r="F17" i="79"/>
  <c r="F33" i="79" s="1"/>
  <c r="E17" i="79"/>
  <c r="F28" i="78"/>
  <c r="E28" i="78"/>
  <c r="F24" i="78"/>
  <c r="E24" i="78"/>
  <c r="F20" i="78"/>
  <c r="E20" i="78"/>
  <c r="F146" i="77"/>
  <c r="F148" i="77" s="1"/>
  <c r="E146" i="77"/>
  <c r="E150" i="77" s="1"/>
  <c r="F106" i="77"/>
  <c r="F108" i="77" s="1"/>
  <c r="E106" i="77"/>
  <c r="E108" i="77" s="1"/>
  <c r="F47" i="77"/>
  <c r="E47" i="77"/>
  <c r="F43" i="77"/>
  <c r="E43" i="77"/>
  <c r="F27" i="77"/>
  <c r="E27" i="77"/>
  <c r="E51" i="77" s="1"/>
  <c r="F25" i="76"/>
  <c r="E25" i="76"/>
  <c r="F21" i="76"/>
  <c r="E21" i="76"/>
  <c r="F15" i="76"/>
  <c r="E15" i="76"/>
  <c r="F118" i="75"/>
  <c r="F120" i="75" s="1"/>
  <c r="E118" i="75"/>
  <c r="E120" i="75" s="1"/>
  <c r="F83" i="75"/>
  <c r="F85" i="75" s="1"/>
  <c r="E83" i="75"/>
  <c r="E87" i="75" s="1"/>
  <c r="F33" i="75"/>
  <c r="E33" i="75"/>
  <c r="F29" i="75"/>
  <c r="E29" i="75"/>
  <c r="F19" i="75"/>
  <c r="E19" i="75"/>
  <c r="F68" i="74"/>
  <c r="E68" i="74"/>
  <c r="F59" i="74"/>
  <c r="E59" i="74"/>
  <c r="F54" i="74"/>
  <c r="E54" i="74"/>
  <c r="F50" i="74"/>
  <c r="E50" i="74"/>
  <c r="F45" i="74"/>
  <c r="E45" i="74"/>
  <c r="F39" i="74"/>
  <c r="E39" i="74"/>
  <c r="F35" i="74"/>
  <c r="E35" i="74"/>
  <c r="F31" i="74"/>
  <c r="E31" i="74"/>
  <c r="F64" i="73"/>
  <c r="E64" i="73"/>
  <c r="F54" i="73"/>
  <c r="E54" i="73"/>
  <c r="F49" i="73"/>
  <c r="E49" i="73"/>
  <c r="F44" i="73"/>
  <c r="E44" i="73"/>
  <c r="F36" i="73"/>
  <c r="E36" i="73"/>
  <c r="F20" i="72"/>
  <c r="F22" i="72" s="1"/>
  <c r="E20" i="72"/>
  <c r="F15" i="72"/>
  <c r="E15" i="72"/>
  <c r="F23" i="71"/>
  <c r="F25" i="71" s="1"/>
  <c r="E23" i="71"/>
  <c r="F18" i="71"/>
  <c r="E18" i="71"/>
  <c r="F24" i="70"/>
  <c r="E24" i="70"/>
  <c r="F19" i="70"/>
  <c r="E19" i="70"/>
  <c r="F15" i="70"/>
  <c r="F28" i="70" s="1"/>
  <c r="E15" i="70"/>
  <c r="F25" i="69"/>
  <c r="E25" i="69"/>
  <c r="F20" i="69"/>
  <c r="E20" i="69"/>
  <c r="F16" i="69"/>
  <c r="E16" i="69"/>
  <c r="F28" i="68"/>
  <c r="E28" i="68"/>
  <c r="F24" i="68"/>
  <c r="E24" i="68"/>
  <c r="F20" i="67"/>
  <c r="F24" i="67" s="1"/>
  <c r="E20" i="67"/>
  <c r="E24" i="67" s="1"/>
  <c r="F28" i="66"/>
  <c r="F24" i="66"/>
  <c r="F26" i="66" s="1"/>
  <c r="E24" i="66"/>
  <c r="E26" i="66" s="1"/>
  <c r="F28" i="65"/>
  <c r="F24" i="65"/>
  <c r="F26" i="65" s="1"/>
  <c r="E24" i="65"/>
  <c r="E26" i="65" s="1"/>
  <c r="F22" i="64"/>
  <c r="F24" i="64" s="1"/>
  <c r="E22" i="64"/>
  <c r="E26" i="64" s="1"/>
  <c r="F21" i="63"/>
  <c r="F23" i="63" s="1"/>
  <c r="E21" i="63"/>
  <c r="E25" i="63" s="1"/>
  <c r="F26" i="62"/>
  <c r="F22" i="62"/>
  <c r="F24" i="62" s="1"/>
  <c r="E22" i="62"/>
  <c r="E24" i="62" s="1"/>
  <c r="F23" i="61"/>
  <c r="F27" i="61" s="1"/>
  <c r="E23" i="61"/>
  <c r="E25" i="61" s="1"/>
  <c r="F18" i="60"/>
  <c r="E18" i="60"/>
  <c r="F9" i="60"/>
  <c r="E9" i="60"/>
  <c r="F53" i="59"/>
  <c r="E53" i="59"/>
  <c r="F46" i="59"/>
  <c r="E46" i="59"/>
  <c r="F42" i="59"/>
  <c r="E42" i="59"/>
  <c r="F36" i="59"/>
  <c r="E36" i="59"/>
  <c r="F58" i="58"/>
  <c r="E58" i="58"/>
  <c r="F51" i="58"/>
  <c r="E51" i="58"/>
  <c r="F46" i="58"/>
  <c r="E46" i="58"/>
  <c r="F34" i="57"/>
  <c r="E34" i="57"/>
  <c r="F25" i="57"/>
  <c r="E25" i="57"/>
  <c r="F21" i="57"/>
  <c r="E21" i="57"/>
  <c r="F17" i="57"/>
  <c r="E17" i="57"/>
  <c r="F12" i="57"/>
  <c r="E12" i="57"/>
  <c r="E38" i="57" s="1"/>
  <c r="F38" i="56"/>
  <c r="E38" i="56"/>
  <c r="F33" i="56"/>
  <c r="E33" i="56"/>
  <c r="F25" i="56"/>
  <c r="E25" i="56"/>
  <c r="F13" i="56"/>
  <c r="F40" i="56" s="1"/>
  <c r="E13" i="56"/>
  <c r="E42" i="56" s="1"/>
  <c r="F42" i="54"/>
  <c r="E42" i="54"/>
  <c r="F38" i="54"/>
  <c r="E38" i="54"/>
  <c r="F29" i="54"/>
  <c r="E29" i="54"/>
  <c r="F8" i="54"/>
  <c r="F44" i="54" s="1"/>
  <c r="E8" i="54"/>
  <c r="E46" i="54" s="1"/>
  <c r="F25" i="61" l="1"/>
  <c r="E24" i="64"/>
  <c r="E30" i="68"/>
  <c r="E29" i="69"/>
  <c r="E27" i="71"/>
  <c r="E24" i="72"/>
  <c r="E66" i="73"/>
  <c r="E72" i="74"/>
  <c r="E29" i="76"/>
  <c r="E32" i="78"/>
  <c r="E40" i="80"/>
  <c r="E60" i="58"/>
  <c r="E22" i="60"/>
  <c r="E23" i="63"/>
  <c r="E28" i="65"/>
  <c r="F30" i="68"/>
  <c r="F68" i="73"/>
  <c r="F72" i="74"/>
  <c r="F29" i="76"/>
  <c r="F32" i="78"/>
  <c r="F40" i="80"/>
  <c r="E35" i="79"/>
  <c r="F35" i="79"/>
  <c r="E30" i="78"/>
  <c r="E148" i="77"/>
  <c r="F51" i="77"/>
  <c r="E110" i="77"/>
  <c r="F27" i="76"/>
  <c r="E37" i="75"/>
  <c r="F37" i="75"/>
  <c r="E85" i="75"/>
  <c r="F35" i="75"/>
  <c r="E122" i="75"/>
  <c r="E35" i="75"/>
  <c r="F70" i="74"/>
  <c r="E70" i="74"/>
  <c r="F24" i="72"/>
  <c r="F27" i="71"/>
  <c r="F26" i="70"/>
  <c r="E28" i="70"/>
  <c r="F29" i="69"/>
  <c r="E27" i="69"/>
  <c r="E32" i="68"/>
  <c r="E22" i="67"/>
  <c r="E27" i="61"/>
  <c r="E20" i="60"/>
  <c r="F20" i="60"/>
  <c r="E55" i="59"/>
  <c r="E57" i="59"/>
  <c r="F57" i="59"/>
  <c r="E62" i="58"/>
  <c r="F62" i="58"/>
  <c r="F36" i="57"/>
  <c r="F42" i="56"/>
  <c r="F46" i="54"/>
  <c r="F22" i="60"/>
  <c r="F26" i="64"/>
  <c r="F22" i="67"/>
  <c r="E40" i="56"/>
  <c r="F38" i="57"/>
  <c r="F60" i="58"/>
  <c r="F25" i="63"/>
  <c r="F32" i="68"/>
  <c r="F27" i="69"/>
  <c r="F66" i="73"/>
  <c r="F30" i="78"/>
  <c r="E26" i="62"/>
  <c r="E28" i="66"/>
  <c r="E26" i="70"/>
  <c r="E25" i="71"/>
  <c r="E22" i="72"/>
  <c r="E68" i="73"/>
  <c r="E27" i="76"/>
  <c r="E33" i="79"/>
  <c r="E88" i="80"/>
  <c r="E44" i="54"/>
  <c r="E49" i="77"/>
  <c r="E38" i="80"/>
  <c r="F55" i="59"/>
  <c r="F49" i="77"/>
  <c r="F38" i="80"/>
  <c r="E36" i="57"/>
  <c r="E123" i="80"/>
  <c r="E10" i="53" l="1"/>
  <c r="E12" i="53" s="1"/>
  <c r="D10" i="53"/>
  <c r="D14" i="53" s="1"/>
  <c r="E13" i="52"/>
  <c r="E17" i="52" s="1"/>
  <c r="D13" i="52"/>
  <c r="D17" i="52" s="1"/>
  <c r="E13" i="51"/>
  <c r="E15" i="51" s="1"/>
  <c r="D13" i="51"/>
  <c r="D17" i="51" s="1"/>
  <c r="D15" i="50"/>
  <c r="E13" i="50"/>
  <c r="E17" i="50" s="1"/>
  <c r="D13" i="50"/>
  <c r="D17" i="50" s="1"/>
  <c r="E12" i="49"/>
  <c r="E14" i="49" s="1"/>
  <c r="D12" i="49"/>
  <c r="D16" i="49" s="1"/>
  <c r="E9" i="48"/>
  <c r="E13" i="48" s="1"/>
  <c r="D9" i="48"/>
  <c r="D13" i="48" s="1"/>
  <c r="E12" i="47"/>
  <c r="E16" i="47" s="1"/>
  <c r="D12" i="47"/>
  <c r="D16" i="47" s="1"/>
  <c r="E7" i="46"/>
  <c r="E9" i="46" s="1"/>
  <c r="D7" i="46"/>
  <c r="D11" i="46" s="1"/>
  <c r="E7" i="45"/>
  <c r="E11" i="45" s="1"/>
  <c r="D7" i="45"/>
  <c r="D11" i="45" s="1"/>
  <c r="E14" i="53" l="1"/>
  <c r="D12" i="53"/>
  <c r="D15" i="52"/>
  <c r="E15" i="52"/>
  <c r="E17" i="51"/>
  <c r="D15" i="51"/>
  <c r="E15" i="50"/>
  <c r="E16" i="49"/>
  <c r="D14" i="49"/>
  <c r="D11" i="48"/>
  <c r="E11" i="48"/>
  <c r="D14" i="47"/>
  <c r="E14" i="47"/>
  <c r="E11" i="46"/>
  <c r="D9" i="46"/>
  <c r="D9" i="45"/>
  <c r="E9" i="45"/>
  <c r="G37" i="29"/>
  <c r="D86" i="29" s="1"/>
  <c r="F65" i="44" l="1"/>
  <c r="E65" i="44"/>
  <c r="F59" i="44"/>
  <c r="F67" i="44" s="1"/>
  <c r="E59" i="44"/>
  <c r="E69" i="44" s="1"/>
  <c r="F63" i="43"/>
  <c r="E63" i="43"/>
  <c r="F58" i="43"/>
  <c r="F67" i="43" s="1"/>
  <c r="F65" i="43"/>
  <c r="E58" i="43"/>
  <c r="E67" i="43" s="1"/>
  <c r="F72" i="42"/>
  <c r="E72" i="42"/>
  <c r="F21" i="42"/>
  <c r="F76" i="42" s="1"/>
  <c r="E21" i="42"/>
  <c r="F33" i="41"/>
  <c r="F37" i="41" s="1"/>
  <c r="E33" i="41"/>
  <c r="E37" i="41" s="1"/>
  <c r="E35" i="40"/>
  <c r="F33" i="40"/>
  <c r="F37" i="40" s="1"/>
  <c r="E33" i="40"/>
  <c r="E37" i="40"/>
  <c r="F56" i="39"/>
  <c r="F58" i="39" s="1"/>
  <c r="E56" i="39"/>
  <c r="E60" i="39" s="1"/>
  <c r="F55" i="38"/>
  <c r="E55" i="38"/>
  <c r="E57" i="38" s="1"/>
  <c r="F49" i="38"/>
  <c r="F59" i="38" s="1"/>
  <c r="E49" i="38"/>
  <c r="E59" i="38"/>
  <c r="F32" i="37"/>
  <c r="F36" i="37" s="1"/>
  <c r="E32" i="37"/>
  <c r="E34" i="37" s="1"/>
  <c r="E36" i="37"/>
  <c r="F44" i="36"/>
  <c r="F48" i="36" s="1"/>
  <c r="E44" i="36"/>
  <c r="F37" i="36"/>
  <c r="E37" i="36"/>
  <c r="E48" i="36" s="1"/>
  <c r="F61" i="35"/>
  <c r="E61" i="35"/>
  <c r="E63" i="35" s="1"/>
  <c r="F57" i="35"/>
  <c r="F65" i="35" s="1"/>
  <c r="E57" i="35"/>
  <c r="E65" i="35"/>
  <c r="F67" i="34"/>
  <c r="F71" i="34" s="1"/>
  <c r="E67" i="34"/>
  <c r="E69" i="34" s="1"/>
  <c r="E71" i="34"/>
  <c r="F48" i="33"/>
  <c r="F44" i="33"/>
  <c r="E44" i="33"/>
  <c r="F40" i="33"/>
  <c r="E40" i="33"/>
  <c r="E48" i="33" s="1"/>
  <c r="F22" i="33"/>
  <c r="E22" i="33"/>
  <c r="F18" i="33"/>
  <c r="F46" i="33"/>
  <c r="E18" i="33"/>
  <c r="F58" i="32"/>
  <c r="E58" i="32"/>
  <c r="F48" i="32"/>
  <c r="E48" i="32"/>
  <c r="F43" i="32"/>
  <c r="F62" i="32" s="1"/>
  <c r="E43" i="32"/>
  <c r="E62" i="32" s="1"/>
  <c r="F42" i="31"/>
  <c r="E42" i="31"/>
  <c r="E46" i="31" s="1"/>
  <c r="F38" i="31"/>
  <c r="E38" i="31"/>
  <c r="F83" i="30"/>
  <c r="E83" i="30"/>
  <c r="F72" i="30"/>
  <c r="E72" i="30"/>
  <c r="F67" i="30"/>
  <c r="E67" i="30"/>
  <c r="F62" i="30"/>
  <c r="E62" i="30"/>
  <c r="F55" i="30"/>
  <c r="E55" i="30"/>
  <c r="F51" i="30"/>
  <c r="E51" i="30"/>
  <c r="F46" i="30"/>
  <c r="E46" i="30"/>
  <c r="F41" i="30"/>
  <c r="F85" i="30" s="1"/>
  <c r="E41" i="30"/>
  <c r="E85" i="30" s="1"/>
  <c r="E87" i="30"/>
  <c r="F54" i="29"/>
  <c r="E54" i="29"/>
  <c r="F50" i="29"/>
  <c r="E50" i="29"/>
  <c r="F45" i="29"/>
  <c r="E45" i="29"/>
  <c r="F41" i="29"/>
  <c r="E41" i="29"/>
  <c r="F37" i="29"/>
  <c r="E37" i="29"/>
  <c r="E65" i="43"/>
  <c r="E35" i="41"/>
  <c r="E46" i="36"/>
  <c r="F46" i="36"/>
  <c r="E44" i="31"/>
  <c r="F87" i="30"/>
  <c r="E56" i="29" l="1"/>
  <c r="E46" i="33"/>
  <c r="F34" i="37"/>
  <c r="E58" i="29"/>
  <c r="F44" i="31"/>
  <c r="F58" i="29"/>
  <c r="E60" i="32"/>
  <c r="F69" i="34"/>
  <c r="F63" i="35"/>
  <c r="F57" i="38"/>
  <c r="E74" i="42"/>
  <c r="F69" i="44"/>
  <c r="E67" i="44"/>
  <c r="F74" i="42"/>
  <c r="E76" i="42"/>
  <c r="F35" i="41"/>
  <c r="F35" i="40"/>
  <c r="E58" i="39"/>
  <c r="F60" i="39"/>
  <c r="F60" i="32"/>
  <c r="F46" i="31"/>
  <c r="F56" i="29"/>
</calcChain>
</file>

<file path=xl/sharedStrings.xml><?xml version="1.0" encoding="utf-8"?>
<sst xmlns="http://schemas.openxmlformats.org/spreadsheetml/2006/main" count="6127" uniqueCount="1278">
  <si>
    <t>Name of the Instrument</t>
  </si>
  <si>
    <t>Quantity</t>
  </si>
  <si>
    <t>ISIN Number</t>
  </si>
  <si>
    <t xml:space="preserve">Market Value(Rs. in Lakhs) </t>
  </si>
  <si>
    <t>% to Net Assets</t>
  </si>
  <si>
    <t>Industry Classification / Rating</t>
  </si>
  <si>
    <t>YTM</t>
  </si>
  <si>
    <t>Portfolio Statement as on June 30, 2021</t>
  </si>
  <si>
    <t>Franklin India Equity Savings Fund</t>
  </si>
  <si>
    <t>Franklin India Equity Hybrid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</si>
  <si>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</si>
  <si>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</si>
  <si>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</si>
  <si>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</si>
  <si>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</si>
  <si>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</si>
  <si>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</si>
  <si>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Advantage Fund</t>
  </si>
  <si>
    <t>Franklin India Bluechip Fund</t>
  </si>
  <si>
    <t>Franklin Build India Fund</t>
  </si>
  <si>
    <t>Franklin Asian Equity Fund</t>
  </si>
  <si>
    <t>Franklin India Index Fund NSE Nifty Plan</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</si>
  <si>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</si>
  <si>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</si>
  <si>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</si>
  <si>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</si>
  <si>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</si>
  <si>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</si>
  <si>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</si>
  <si>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</si>
  <si>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Franklin India Dynamic Asset Allocation Fund Of Funds</t>
  </si>
  <si>
    <t>Debt Instruments</t>
  </si>
  <si>
    <t>(a) Listed / awaiting listing on Stock Exchanges</t>
  </si>
  <si>
    <t>CARE AA-</t>
  </si>
  <si>
    <t>CRISIL AAA</t>
  </si>
  <si>
    <t>Sub Total</t>
  </si>
  <si>
    <t>Mutual Fund Units</t>
  </si>
  <si>
    <t>Total</t>
  </si>
  <si>
    <t>Net Assets</t>
  </si>
  <si>
    <t>Call, Cash &amp; Other Assets</t>
  </si>
  <si>
    <t>** Non- Traded Scrips</t>
  </si>
  <si>
    <t>Notes</t>
  </si>
  <si>
    <t>a) NAV at the beginning and at the end of the Half-year ended 30-Jun-2021</t>
  </si>
  <si>
    <t xml:space="preserve">      Plan/Option</t>
  </si>
  <si>
    <t>As on 30-Jun-2021</t>
  </si>
  <si>
    <t>As on 31-Dec-2020</t>
  </si>
  <si>
    <t>IDCW - Income Distribution cum capital withdrawal</t>
  </si>
  <si>
    <t>b) Aggregate Distributions declared during the Half - year ended 30-Jun-2021</t>
  </si>
  <si>
    <t>Nil</t>
  </si>
  <si>
    <t>(In Years)</t>
  </si>
  <si>
    <t>https://www.franklintempletonindia.com/downloadsServlet/pdf/product-labels-jg9o5k7l</t>
  </si>
  <si>
    <t>Money Market Instruments</t>
  </si>
  <si>
    <t>Certificate of Deposit</t>
  </si>
  <si>
    <t>CRISIL A1+</t>
  </si>
  <si>
    <t>IND A1+</t>
  </si>
  <si>
    <t>Commercial Paper</t>
  </si>
  <si>
    <t>Housing Development Finance Corporation Ltd (28-Feb-2022) **@</t>
  </si>
  <si>
    <t>INE001A14XM0</t>
  </si>
  <si>
    <t>ICRA A1+</t>
  </si>
  <si>
    <t>SBI Cards and Payment Services Ltd (08-Oct-2021) **@</t>
  </si>
  <si>
    <t>INE018E14OX2</t>
  </si>
  <si>
    <t>Treasury Bill</t>
  </si>
  <si>
    <t>Government Securities</t>
  </si>
  <si>
    <t>8.20% GOI 2022 (15-Feb-2022)</t>
  </si>
  <si>
    <t>IN0020060037</t>
  </si>
  <si>
    <t>SOVEREIGN</t>
  </si>
  <si>
    <t>@ Listed</t>
  </si>
  <si>
    <t>Plan Name</t>
  </si>
  <si>
    <t>Distributions per unit (Rs.)+++</t>
  </si>
  <si>
    <t>+++ Distribution payouts/ re-investments are subject to deduction of TDS at the applicable rates.</t>
  </si>
  <si>
    <t xml:space="preserve">      Growth Plan</t>
  </si>
  <si>
    <t xml:space="preserve">      Monthly IDCW Plan</t>
  </si>
  <si>
    <t xml:space="preserve">      Quarterly IDCW Plan</t>
  </si>
  <si>
    <t xml:space="preserve">      Direct Growth Plan</t>
  </si>
  <si>
    <t xml:space="preserve">      Direct Monthly IDCW Plan</t>
  </si>
  <si>
    <t xml:space="preserve">      Direct Quarterly IDCW Plan</t>
  </si>
  <si>
    <t xml:space="preserve">      IDCW Plan</t>
  </si>
  <si>
    <t xml:space="preserve">      Direct IDCW Plan</t>
  </si>
  <si>
    <t>5.15% GOI 2025 (09-Nov-2025)</t>
  </si>
  <si>
    <t>IN0020200278</t>
  </si>
  <si>
    <t>6.79% GOI 2027 (15-May-2027)</t>
  </si>
  <si>
    <t>IN0020170026</t>
  </si>
  <si>
    <t>7.17% GOI 2028 (08-Jan-2028)</t>
  </si>
  <si>
    <t>IN0020170174</t>
  </si>
  <si>
    <t>7.27% GOI 2026 (08-Apr-2026)</t>
  </si>
  <si>
    <t>IN0020190016</t>
  </si>
  <si>
    <t>7.32% GOI 2024 (28-Jan-2024)</t>
  </si>
  <si>
    <t>IN0020180488</t>
  </si>
  <si>
    <t>5.22% GOI 2025 (15-Jun-2025)</t>
  </si>
  <si>
    <t>IN0020200112</t>
  </si>
  <si>
    <t xml:space="preserve">      Growth Option</t>
  </si>
  <si>
    <t xml:space="preserve">      Direct Growth Option</t>
  </si>
  <si>
    <t>Indostar Capital Finance Ltd (1Y SBI MCLR + 200 Bps) (02-May-2023) **</t>
  </si>
  <si>
    <t>INE896L07561</t>
  </si>
  <si>
    <t xml:space="preserve">d) For product labeling and risk-o-meter refer the link below </t>
  </si>
  <si>
    <t>Equity &amp; Equity related</t>
  </si>
  <si>
    <t>Infosys Ltd</t>
  </si>
  <si>
    <t>INE009A01021</t>
  </si>
  <si>
    <t>Software</t>
  </si>
  <si>
    <t>HDFC Bank Ltd</t>
  </si>
  <si>
    <t>INE040A01034</t>
  </si>
  <si>
    <t>Banks</t>
  </si>
  <si>
    <t>Axis Bank Ltd</t>
  </si>
  <si>
    <t>INE238A01034</t>
  </si>
  <si>
    <t>ICICI Bank Ltd</t>
  </si>
  <si>
    <t>INE090A01021</t>
  </si>
  <si>
    <t>Balkrishna Industries Ltd</t>
  </si>
  <si>
    <t>INE787D01026</t>
  </si>
  <si>
    <t>Auto Ancillaries</t>
  </si>
  <si>
    <t>Bharti Airtel Ltd</t>
  </si>
  <si>
    <t>INE397D01024</t>
  </si>
  <si>
    <t>Telecom - Services</t>
  </si>
  <si>
    <t>Voltas Ltd</t>
  </si>
  <si>
    <t>INE226A01021</t>
  </si>
  <si>
    <t>Consumer Durables</t>
  </si>
  <si>
    <t>Kotak Mahindra Bank Ltd</t>
  </si>
  <si>
    <t>INE237A01028</t>
  </si>
  <si>
    <t>Hindalco Industries Ltd</t>
  </si>
  <si>
    <t>INE038A01020</t>
  </si>
  <si>
    <t>Non - Ferrous Metals</t>
  </si>
  <si>
    <t>Hindustan Petroleum Corporation Ltd</t>
  </si>
  <si>
    <t>INE094A01015</t>
  </si>
  <si>
    <t>Petroleum Products</t>
  </si>
  <si>
    <t>Dr. Reddy's Laboratories Ltd</t>
  </si>
  <si>
    <t>INE089A01023</t>
  </si>
  <si>
    <t>Pharmaceuticals</t>
  </si>
  <si>
    <t>Colgate Palmolive (India) Ltd</t>
  </si>
  <si>
    <t>INE259A01022</t>
  </si>
  <si>
    <t>Consumer Non Durables</t>
  </si>
  <si>
    <t>Petronet LNG Ltd</t>
  </si>
  <si>
    <t>INE347G01014</t>
  </si>
  <si>
    <t>Gas</t>
  </si>
  <si>
    <t>Gujarat State Petronet Ltd</t>
  </si>
  <si>
    <t>INE246F01010</t>
  </si>
  <si>
    <t>State Bank of India</t>
  </si>
  <si>
    <t>INE062A01020</t>
  </si>
  <si>
    <t>Tata Consultancy Services Ltd</t>
  </si>
  <si>
    <t>INE467B01029</t>
  </si>
  <si>
    <t>Hindustan Unilever Ltd</t>
  </si>
  <si>
    <t>INE030A01027</t>
  </si>
  <si>
    <t>Power Grid Corporation of India Ltd</t>
  </si>
  <si>
    <t>INE752E01010</t>
  </si>
  <si>
    <t>Power</t>
  </si>
  <si>
    <t>NTPC Ltd</t>
  </si>
  <si>
    <t>INE733E01010</t>
  </si>
  <si>
    <t>United Breweries Ltd</t>
  </si>
  <si>
    <t>INE686F01025</t>
  </si>
  <si>
    <t>Mahindra &amp; Mahindra Ltd</t>
  </si>
  <si>
    <t>INE101A01026</t>
  </si>
  <si>
    <t>Auto</t>
  </si>
  <si>
    <t>Bajaj Auto Ltd</t>
  </si>
  <si>
    <t>INE917I01010</t>
  </si>
  <si>
    <t>Bharat Petroleum Corporation Ltd</t>
  </si>
  <si>
    <t>INE029A01011</t>
  </si>
  <si>
    <t>Cadila Healthcare Ltd</t>
  </si>
  <si>
    <t>INE010B01027</t>
  </si>
  <si>
    <t>City Union Bank Ltd</t>
  </si>
  <si>
    <t>INE491A01021</t>
  </si>
  <si>
    <t>Aditya Birla Fashion and Retail Ltd</t>
  </si>
  <si>
    <t>INE647O01011</t>
  </si>
  <si>
    <t>Retailing</t>
  </si>
  <si>
    <t>Tata Motors Ltd</t>
  </si>
  <si>
    <t>INE155A01022</t>
  </si>
  <si>
    <t>IN9647O01027</t>
  </si>
  <si>
    <t>6.95% Housing Development Finance Corporation Ltd (27-Apr-2023) **</t>
  </si>
  <si>
    <t>INE001A07SK8</t>
  </si>
  <si>
    <t>6.18% GOI 2024 (04-Nov-2024)</t>
  </si>
  <si>
    <t>IN0020190396</t>
  </si>
  <si>
    <t>Kansai Nerolac Paints Ltd</t>
  </si>
  <si>
    <t>INE531A01024</t>
  </si>
  <si>
    <t>Grasim Industries Ltd</t>
  </si>
  <si>
    <t>INE047A01021</t>
  </si>
  <si>
    <t>Cement &amp; Cement Products</t>
  </si>
  <si>
    <t>Coal India Ltd</t>
  </si>
  <si>
    <t>INE522F01014</t>
  </si>
  <si>
    <t>Minerals/Mining</t>
  </si>
  <si>
    <t>(b) Units of Real Estate Investment Trusts (REITs)</t>
  </si>
  <si>
    <t>Embassy Office Parks REIT</t>
  </si>
  <si>
    <t>INE041025011</t>
  </si>
  <si>
    <t>PowerGrid Infrastructure Investment Trust</t>
  </si>
  <si>
    <t>INE0GGX23010</t>
  </si>
  <si>
    <t>National Bank For Agriculture &amp; Rural Development (18-Feb-2022) **</t>
  </si>
  <si>
    <t>INE261F16595</t>
  </si>
  <si>
    <t>Housing Development Finance Corporation Ltd</t>
  </si>
  <si>
    <t>INE001A01036</t>
  </si>
  <si>
    <t>Finance</t>
  </si>
  <si>
    <t>Maruti Suzuki India Ltd</t>
  </si>
  <si>
    <t>INE585B01010</t>
  </si>
  <si>
    <t>Tata Power Co Ltd</t>
  </si>
  <si>
    <t>INE245A01021</t>
  </si>
  <si>
    <t>Larsen &amp; Toubro Ltd</t>
  </si>
  <si>
    <t>INE018A01030</t>
  </si>
  <si>
    <t>Construction Project</t>
  </si>
  <si>
    <t>Dabur India Ltd</t>
  </si>
  <si>
    <t>INE016A01026</t>
  </si>
  <si>
    <t>Tech Mahindra Ltd</t>
  </si>
  <si>
    <t>INE669C01036</t>
  </si>
  <si>
    <t>Indian Hotels Co Ltd</t>
  </si>
  <si>
    <t>INE053A01029</t>
  </si>
  <si>
    <t>Leisure Services</t>
  </si>
  <si>
    <t>Cholamandalam Financial Holdings Ltd</t>
  </si>
  <si>
    <t>INE149A01033</t>
  </si>
  <si>
    <t>Mahindra CIE Automotive Ltd</t>
  </si>
  <si>
    <t>INE536H01010</t>
  </si>
  <si>
    <t>Industrial Products</t>
  </si>
  <si>
    <t>PNB Housing Finance Ltd</t>
  </si>
  <si>
    <t>INE572E01012</t>
  </si>
  <si>
    <t>Himatsingka Seide Ltd</t>
  </si>
  <si>
    <t>INE049A01027</t>
  </si>
  <si>
    <t>Textile Products</t>
  </si>
  <si>
    <t>Indian Oil Corporation Ltd</t>
  </si>
  <si>
    <t>INE242A01010</t>
  </si>
  <si>
    <t>GAIL (India) Ltd</t>
  </si>
  <si>
    <t>INE129A01019</t>
  </si>
  <si>
    <t>Nestle India Ltd</t>
  </si>
  <si>
    <t>INE239A01016</t>
  </si>
  <si>
    <t>Federal Bank Ltd</t>
  </si>
  <si>
    <t>INE171A01029</t>
  </si>
  <si>
    <t>364 DTB (15-Jul-2021)</t>
  </si>
  <si>
    <t>IN002020Z154</t>
  </si>
  <si>
    <t>c) Portfolio Turnover Ratio during the Half - year 30-Jun-2021</t>
  </si>
  <si>
    <t>d) Average Maturity as on 30-Jun-2021</t>
  </si>
  <si>
    <t xml:space="preserve">e) During the month additional instances of fair valuation/deviation from valuation price provided by the valuation agencies </t>
  </si>
  <si>
    <t>NHPC Ltd</t>
  </si>
  <si>
    <t>INE848E01016</t>
  </si>
  <si>
    <t>Titan Co Ltd</t>
  </si>
  <si>
    <t>INE280A01028</t>
  </si>
  <si>
    <t xml:space="preserve">(b) Unlisted </t>
  </si>
  <si>
    <t>INE671B01018</t>
  </si>
  <si>
    <t>Commercial Services</t>
  </si>
  <si>
    <t>(c) Units of Real Estate Investment Trusts (REITs)</t>
  </si>
  <si>
    <t>Brookfield India Real Estate Trust</t>
  </si>
  <si>
    <t>INE0FDU25010</t>
  </si>
  <si>
    <t>Indostar Capital Finance Ltd (1Y SBI MCLR + 225 Bps) (02-Nov-2021) **</t>
  </si>
  <si>
    <t>INE896L07660</t>
  </si>
  <si>
    <t>Tata Motors Ltd DVR</t>
  </si>
  <si>
    <t>IN9155A01020</t>
  </si>
  <si>
    <t>HCL Technologies Ltd</t>
  </si>
  <si>
    <t>INE860A01027</t>
  </si>
  <si>
    <t>Bharat Electronics Ltd</t>
  </si>
  <si>
    <t>INE263A01024</t>
  </si>
  <si>
    <t>Aerospace &amp; Defense</t>
  </si>
  <si>
    <t>Finolex Cables Ltd</t>
  </si>
  <si>
    <t>INE235A01022</t>
  </si>
  <si>
    <t>ITC Ltd</t>
  </si>
  <si>
    <t>INE154A01025</t>
  </si>
  <si>
    <t>Bosch Ltd</t>
  </si>
  <si>
    <t>INE323A01026</t>
  </si>
  <si>
    <t>Century Textile &amp; Industries Ltd</t>
  </si>
  <si>
    <t>INE055A01016</t>
  </si>
  <si>
    <t>Paper</t>
  </si>
  <si>
    <t>United Spirits Ltd</t>
  </si>
  <si>
    <t>INE854D01024</t>
  </si>
  <si>
    <t>ACC Ltd</t>
  </si>
  <si>
    <t>INE012A01025</t>
  </si>
  <si>
    <t>Sundaram Clayton Ltd</t>
  </si>
  <si>
    <t>INE105A01035</t>
  </si>
  <si>
    <t>Equitas Holdings Ltd</t>
  </si>
  <si>
    <t>INE988K01017</t>
  </si>
  <si>
    <t>Gulf Oil Lubricants India Ltd</t>
  </si>
  <si>
    <t>INE635Q01029</t>
  </si>
  <si>
    <t>Industry Classification</t>
  </si>
  <si>
    <t>Finolex Industries Ltd</t>
  </si>
  <si>
    <t>INE183A01024</t>
  </si>
  <si>
    <t>Redington (India) Ltd</t>
  </si>
  <si>
    <t>INE891D01026</t>
  </si>
  <si>
    <t>Trading</t>
  </si>
  <si>
    <t>National Aluminium Co Ltd</t>
  </si>
  <si>
    <t>INE139A01034</t>
  </si>
  <si>
    <t>Vardhman Textiles Ltd</t>
  </si>
  <si>
    <t>INE825A01012</t>
  </si>
  <si>
    <t>Textiles - Cotton</t>
  </si>
  <si>
    <t>Tata Consumer Products Ltd</t>
  </si>
  <si>
    <t>INE192A01025</t>
  </si>
  <si>
    <t>NMDC Ltd</t>
  </si>
  <si>
    <t>INE584A01023</t>
  </si>
  <si>
    <t>Tata Chemicals Ltd</t>
  </si>
  <si>
    <t>INE092A01019</t>
  </si>
  <si>
    <t>Chemicals</t>
  </si>
  <si>
    <t>Cyient Ltd</t>
  </si>
  <si>
    <t>INE136B01020</t>
  </si>
  <si>
    <t>K.P.R. Mill Ltd</t>
  </si>
  <si>
    <t>INE930H01023</t>
  </si>
  <si>
    <t>Ashok Leyland Ltd</t>
  </si>
  <si>
    <t>INE208A01029</t>
  </si>
  <si>
    <t>Oil &amp; Natural Gas Corporation Ltd</t>
  </si>
  <si>
    <t>INE213A01029</t>
  </si>
  <si>
    <t>Oil</t>
  </si>
  <si>
    <t>CESC Ltd</t>
  </si>
  <si>
    <t>INE486A01013</t>
  </si>
  <si>
    <t>Foreign Equity Securities</t>
  </si>
  <si>
    <t>Unilever PLC, (ADR)</t>
  </si>
  <si>
    <t>US9047677045</t>
  </si>
  <si>
    <t>Xtep International Holdings Ltd</t>
  </si>
  <si>
    <t>KYG982771092</t>
  </si>
  <si>
    <t>Xinyi Solar Holdings Ltd</t>
  </si>
  <si>
    <t>KYG9829N1025</t>
  </si>
  <si>
    <t>Industrial Capital Goods</t>
  </si>
  <si>
    <t>Novatek Microelectronics Corp. Ltd</t>
  </si>
  <si>
    <t>TW0003034005</t>
  </si>
  <si>
    <t>Aramex PJSC</t>
  </si>
  <si>
    <t>AEA002301017</t>
  </si>
  <si>
    <t>Transportation</t>
  </si>
  <si>
    <t>Travelsky Technology Ltd, H</t>
  </si>
  <si>
    <t>CNE1000004J3</t>
  </si>
  <si>
    <t>Primax Electronics Ltd</t>
  </si>
  <si>
    <t>TW0004915004</t>
  </si>
  <si>
    <t>Hardware</t>
  </si>
  <si>
    <t>Info Edge (India) Ltd</t>
  </si>
  <si>
    <t>INE663F01024</t>
  </si>
  <si>
    <t>Larsen &amp; Toubro Infotech Ltd</t>
  </si>
  <si>
    <t>INE214T01019</t>
  </si>
  <si>
    <t>JustDial Ltd</t>
  </si>
  <si>
    <t>INE599M01018</t>
  </si>
  <si>
    <t>Indiamart Intermesh Ltd</t>
  </si>
  <si>
    <t>INE933S01016</t>
  </si>
  <si>
    <t>Xelpmoc Design and Tech Ltd</t>
  </si>
  <si>
    <t>INE01P501012</t>
  </si>
  <si>
    <t>Nvidia Corp</t>
  </si>
  <si>
    <t>US67066G1040</t>
  </si>
  <si>
    <t>Makemytrip Ltd</t>
  </si>
  <si>
    <t>MU0295S00016</t>
  </si>
  <si>
    <t>Taiwan Semiconductor Manufacturing Co. Ltd</t>
  </si>
  <si>
    <t>TW0002330008</t>
  </si>
  <si>
    <t>Mediatek Inc</t>
  </si>
  <si>
    <t>TW0002454006</t>
  </si>
  <si>
    <t>Salesforce.Com Inc</t>
  </si>
  <si>
    <t>US79466L3024</t>
  </si>
  <si>
    <t xml:space="preserve">Software                                </t>
  </si>
  <si>
    <t>Sunny Optical Technology Group Co. Ltd</t>
  </si>
  <si>
    <t>KYG8586D1097</t>
  </si>
  <si>
    <t>Samsung Electronics Co. Ltd</t>
  </si>
  <si>
    <t>KR7005930003</t>
  </si>
  <si>
    <t>Qualcomm Inc.</t>
  </si>
  <si>
    <t>US7475251036</t>
  </si>
  <si>
    <t>Telecom -  Equipment &amp; Accessories</t>
  </si>
  <si>
    <t>Intel Corp</t>
  </si>
  <si>
    <t>US4581401001</t>
  </si>
  <si>
    <t>Uber Technologies Inc</t>
  </si>
  <si>
    <t>US90353T1007</t>
  </si>
  <si>
    <t>Alibaba Group Holding Ltd</t>
  </si>
  <si>
    <t>KYG017191142</t>
  </si>
  <si>
    <t>Alphabet Inc</t>
  </si>
  <si>
    <t>US02079K3059</t>
  </si>
  <si>
    <t>Wix.Com Ltd</t>
  </si>
  <si>
    <t>IL0011301780</t>
  </si>
  <si>
    <t>Amazon.com INC</t>
  </si>
  <si>
    <t>US0231351067</t>
  </si>
  <si>
    <t>Microsoft Corp</t>
  </si>
  <si>
    <t>US5949181045</t>
  </si>
  <si>
    <t>Foreign Mutual Fund Units</t>
  </si>
  <si>
    <t>Franklin Technology Fund, Class I (Acc)</t>
  </si>
  <si>
    <t>LU0626261944</t>
  </si>
  <si>
    <t>Foreign Mutual Fund</t>
  </si>
  <si>
    <t>Deepak Nitrite Ltd</t>
  </si>
  <si>
    <t>INE288B01029</t>
  </si>
  <si>
    <t>Brigade Enterprises Ltd</t>
  </si>
  <si>
    <t>INE791I01019</t>
  </si>
  <si>
    <t>Construction</t>
  </si>
  <si>
    <t>J.B. Chemicals &amp; Pharmaceuticals Ltd</t>
  </si>
  <si>
    <t>INE572A01028</t>
  </si>
  <si>
    <t>CCL Products (India) Ltd</t>
  </si>
  <si>
    <t>INE421D01022</t>
  </si>
  <si>
    <t>Quess Corp Ltd</t>
  </si>
  <si>
    <t>INE615P01015</t>
  </si>
  <si>
    <t>Other Services</t>
  </si>
  <si>
    <t>Jyothy Labs Ltd</t>
  </si>
  <si>
    <t>INE668F01031</t>
  </si>
  <si>
    <t>Nesco Ltd</t>
  </si>
  <si>
    <t>INE317F01035</t>
  </si>
  <si>
    <t>KPIT Technologies Ltd</t>
  </si>
  <si>
    <t>INE04I401011</t>
  </si>
  <si>
    <t>Teamlease Services Ltd</t>
  </si>
  <si>
    <t>INE985S01024</t>
  </si>
  <si>
    <t>Blue Star Ltd</t>
  </si>
  <si>
    <t>INE472A01039</t>
  </si>
  <si>
    <t>Eris Lifesciences Ltd</t>
  </si>
  <si>
    <t>INE406M01024</t>
  </si>
  <si>
    <t>Sobha Ltd</t>
  </si>
  <si>
    <t>INE671H01015</t>
  </si>
  <si>
    <t>Ahluwalia Contracts (India) Ltd</t>
  </si>
  <si>
    <t>INE758C01029</t>
  </si>
  <si>
    <t>KNR Constructions Ltd</t>
  </si>
  <si>
    <t>INE634I01029</t>
  </si>
  <si>
    <t>Carborundum Universal Ltd</t>
  </si>
  <si>
    <t>INE120A01034</t>
  </si>
  <si>
    <t>Tube Investments of India Ltd</t>
  </si>
  <si>
    <t>INE974X01010</t>
  </si>
  <si>
    <t>Metropolis Healthcare Ltd</t>
  </si>
  <si>
    <t>INE112L01020</t>
  </si>
  <si>
    <t>Healthcare Services</t>
  </si>
  <si>
    <t>GHCL Ltd</t>
  </si>
  <si>
    <t>INE539A01019</t>
  </si>
  <si>
    <t>DCB Bank Ltd</t>
  </si>
  <si>
    <t>INE503A01015</t>
  </si>
  <si>
    <t>Karur Vysya Bank Ltd</t>
  </si>
  <si>
    <t>INE036D01028</t>
  </si>
  <si>
    <t>Lemon Tree Hotels Ltd</t>
  </si>
  <si>
    <t>INE970X01018</t>
  </si>
  <si>
    <t>TTK Prestige Ltd</t>
  </si>
  <si>
    <t>INE690A01010</t>
  </si>
  <si>
    <t>Multi Commodity Exchange Of India Ltd</t>
  </si>
  <si>
    <t>INE745G01035</t>
  </si>
  <si>
    <t>Capital Markets</t>
  </si>
  <si>
    <t>JK Lakshmi Cement Ltd</t>
  </si>
  <si>
    <t>INE786A01032</t>
  </si>
  <si>
    <t>Equitas Small Finance Bank Ltd</t>
  </si>
  <si>
    <t>INE063P01018</t>
  </si>
  <si>
    <t>Westlife Development Ltd</t>
  </si>
  <si>
    <t>INE274F01020</t>
  </si>
  <si>
    <t>M M Forgings Ltd</t>
  </si>
  <si>
    <t>INE227C01017</t>
  </si>
  <si>
    <t>Cholamandalam Investment and Finance Co Ltd</t>
  </si>
  <si>
    <t>INE121A01024</t>
  </si>
  <si>
    <t>CARE Ratings Ltd</t>
  </si>
  <si>
    <t>INE752H01013</t>
  </si>
  <si>
    <t>Atul Ltd</t>
  </si>
  <si>
    <t>INE100A01010</t>
  </si>
  <si>
    <t>V.I.P. Industries Ltd</t>
  </si>
  <si>
    <t>INE054A01027</t>
  </si>
  <si>
    <t>TV Today Network Ltd</t>
  </si>
  <si>
    <t>INE038F01029</t>
  </si>
  <si>
    <t>Entertainment</t>
  </si>
  <si>
    <t>Ashoka Buildcon Ltd</t>
  </si>
  <si>
    <t>INE442H01029</t>
  </si>
  <si>
    <t>Mrs Bectors Food Specialities Ltd</t>
  </si>
  <si>
    <t>INE495P01012</t>
  </si>
  <si>
    <t>Techno Electric &amp; Engineering Co Ltd</t>
  </si>
  <si>
    <t>INE285K01026</t>
  </si>
  <si>
    <t>Navneet Education Ltd</t>
  </si>
  <si>
    <t>INE060A01024</t>
  </si>
  <si>
    <t>Printing &amp; Publication</t>
  </si>
  <si>
    <t>Music Broadcast Ltd</t>
  </si>
  <si>
    <t>INE919I01024</t>
  </si>
  <si>
    <t>Shankara Building Products Ltd</t>
  </si>
  <si>
    <t>INE274V01019</t>
  </si>
  <si>
    <t>Ion Exchange (India) Ltd</t>
  </si>
  <si>
    <t>INE570A01014</t>
  </si>
  <si>
    <t>HeidelbergCement India Ltd</t>
  </si>
  <si>
    <t>INE578A01017</t>
  </si>
  <si>
    <t>Indoco Remedies Ltd</t>
  </si>
  <si>
    <t>INE873D01024</t>
  </si>
  <si>
    <t>Ramkrishna Forgings Ltd</t>
  </si>
  <si>
    <t>INE399G01015</t>
  </si>
  <si>
    <t>HT Media Ltd</t>
  </si>
  <si>
    <t>INE501G01024</t>
  </si>
  <si>
    <t>Media</t>
  </si>
  <si>
    <t>Ramco Systems Ltd</t>
  </si>
  <si>
    <t>INE246B01019</t>
  </si>
  <si>
    <t>ABB Power Products &amp; Systems India Ltd</t>
  </si>
  <si>
    <t>INE07Y701011</t>
  </si>
  <si>
    <t>Crompton Greaves Consumer Electricals Ltd</t>
  </si>
  <si>
    <t>INE299U01018</t>
  </si>
  <si>
    <t>The Ramco Cements Ltd</t>
  </si>
  <si>
    <t>INE331A01037</t>
  </si>
  <si>
    <t>Mphasis Ltd</t>
  </si>
  <si>
    <t>INE356A01018</t>
  </si>
  <si>
    <t>Apollo Hospitals Enterprise Ltd</t>
  </si>
  <si>
    <t>INE437A01024</t>
  </si>
  <si>
    <t>Emami Ltd</t>
  </si>
  <si>
    <t>INE548C01032</t>
  </si>
  <si>
    <t>Sundaram Finance Ltd</t>
  </si>
  <si>
    <t>INE660A01013</t>
  </si>
  <si>
    <t>Oberoi Realty Ltd</t>
  </si>
  <si>
    <t>INE093I01010</t>
  </si>
  <si>
    <t>J.K. Cement Ltd</t>
  </si>
  <si>
    <t>INE823G01014</t>
  </si>
  <si>
    <t>Trent Ltd</t>
  </si>
  <si>
    <t>INE849A01020</t>
  </si>
  <si>
    <t>Coromandel International Ltd</t>
  </si>
  <si>
    <t>INE169A01031</t>
  </si>
  <si>
    <t>Fertilisers</t>
  </si>
  <si>
    <t>Sundram Fasteners Ltd</t>
  </si>
  <si>
    <t>INE387A01021</t>
  </si>
  <si>
    <t>Container Corporation Of India Ltd</t>
  </si>
  <si>
    <t>INE111A01025</t>
  </si>
  <si>
    <t>IPCA Laboratories Ltd</t>
  </si>
  <si>
    <t>INE571A01020</t>
  </si>
  <si>
    <t>PI Industries Ltd</t>
  </si>
  <si>
    <t>INE603J01030</t>
  </si>
  <si>
    <t>Pesticides</t>
  </si>
  <si>
    <t>Apollo Tyres Ltd</t>
  </si>
  <si>
    <t>INE438A01022</t>
  </si>
  <si>
    <t>RBL Bank Ltd</t>
  </si>
  <si>
    <t>INE976G01028</t>
  </si>
  <si>
    <t>Escorts Ltd</t>
  </si>
  <si>
    <t>INE042A01014</t>
  </si>
  <si>
    <t>Kajaria Ceramics Ltd</t>
  </si>
  <si>
    <t>INE217B01036</t>
  </si>
  <si>
    <t>Aarti Industries Ltd</t>
  </si>
  <si>
    <t>INE769A01020</t>
  </si>
  <si>
    <t>Persistent Systems Ltd</t>
  </si>
  <si>
    <t>INE262H01013</t>
  </si>
  <si>
    <t>Phoenix Mills Ltd</t>
  </si>
  <si>
    <t>INE211B01039</t>
  </si>
  <si>
    <t>Bata India Ltd</t>
  </si>
  <si>
    <t>INE176A01028</t>
  </si>
  <si>
    <t>AIA Engineering Ltd</t>
  </si>
  <si>
    <t>INE212H01026</t>
  </si>
  <si>
    <t>EPL Ltd</t>
  </si>
  <si>
    <t>INE255A01020</t>
  </si>
  <si>
    <t>Schaeffler India Ltd</t>
  </si>
  <si>
    <t>INE513A01014</t>
  </si>
  <si>
    <t>* Less than 0.01%</t>
  </si>
  <si>
    <t>Asian Paints Ltd</t>
  </si>
  <si>
    <t>INE021A01026</t>
  </si>
  <si>
    <t>Caplin Point Laboratories Ltd</t>
  </si>
  <si>
    <t>INE475E01026</t>
  </si>
  <si>
    <t>GTPL Hathway Ltd</t>
  </si>
  <si>
    <t>INE869I01013</t>
  </si>
  <si>
    <t>Kalyani Invest Co Ltd</t>
  </si>
  <si>
    <t>INE029L01018</t>
  </si>
  <si>
    <t>INE696201123</t>
  </si>
  <si>
    <t>Cipla Ltd</t>
  </si>
  <si>
    <t>INE059A01026</t>
  </si>
  <si>
    <t>KEI Industries Ltd</t>
  </si>
  <si>
    <t>INE878B01027</t>
  </si>
  <si>
    <t>Lupin Ltd</t>
  </si>
  <si>
    <t>INE326A01037</t>
  </si>
  <si>
    <t>Interglobe Aviation Ltd</t>
  </si>
  <si>
    <t>INE646L01027</t>
  </si>
  <si>
    <t>Orient Cement Ltd</t>
  </si>
  <si>
    <t>INE876N01018</t>
  </si>
  <si>
    <t>ITD Cementation India Ltd</t>
  </si>
  <si>
    <t>INE686A01026</t>
  </si>
  <si>
    <t>Somany Ceramics Ltd</t>
  </si>
  <si>
    <t>INE355A01028</t>
  </si>
  <si>
    <t>Hindustan Aeronautics Ltd</t>
  </si>
  <si>
    <t>INE066F01012</t>
  </si>
  <si>
    <t>Marico Ltd</t>
  </si>
  <si>
    <t>INE196A01026</t>
  </si>
  <si>
    <t>Sun Pharmaceutical Industries Ltd</t>
  </si>
  <si>
    <t>INE044A01036</t>
  </si>
  <si>
    <t>Aditya Birla Capital Ltd</t>
  </si>
  <si>
    <t>INE674K01013</t>
  </si>
  <si>
    <t>SKF India Ltd</t>
  </si>
  <si>
    <t>INE640A01023</t>
  </si>
  <si>
    <t>SBI Cards and Payment Services Ltd</t>
  </si>
  <si>
    <t>INE018E01016</t>
  </si>
  <si>
    <t>Arvind Fashions Ltd</t>
  </si>
  <si>
    <t>INE955V01021</t>
  </si>
  <si>
    <t>IndusInd Bank Ltd</t>
  </si>
  <si>
    <t>INE095A01012</t>
  </si>
  <si>
    <t>Ultratech Cement Ltd</t>
  </si>
  <si>
    <t>INE481G01011</t>
  </si>
  <si>
    <t>SBI Life Insurance Co Ltd</t>
  </si>
  <si>
    <t>INE123W01016</t>
  </si>
  <si>
    <t>Insurance</t>
  </si>
  <si>
    <t>Ambuja Cements Ltd</t>
  </si>
  <si>
    <t>INE079A01024</t>
  </si>
  <si>
    <t>Puravankara Ltd</t>
  </si>
  <si>
    <t>INE323I01011</t>
  </si>
  <si>
    <t>Gujarat Pipavav Port Ltd</t>
  </si>
  <si>
    <t>INE517F01014</t>
  </si>
  <si>
    <t>NRB Bearings Ltd</t>
  </si>
  <si>
    <t>INE349A01021</t>
  </si>
  <si>
    <t>Gateway Distriparks Ltd</t>
  </si>
  <si>
    <t>INE852F01015</t>
  </si>
  <si>
    <t>The New India Assurance Co Ltd</t>
  </si>
  <si>
    <t>INE470Y01017</t>
  </si>
  <si>
    <t>Godrej Properties Ltd</t>
  </si>
  <si>
    <t>INE484J01027</t>
  </si>
  <si>
    <t>Motilal Oswal Financial Services Ltd</t>
  </si>
  <si>
    <t>INE338I01027</t>
  </si>
  <si>
    <t>Tencent Holdings Ltd</t>
  </si>
  <si>
    <t>KYG875721634</t>
  </si>
  <si>
    <t>AIA Group Ltd</t>
  </si>
  <si>
    <t>HK0000069689</t>
  </si>
  <si>
    <t>Naver Corp</t>
  </si>
  <si>
    <t>KR7035420009</t>
  </si>
  <si>
    <t>Ping An Insurance (Group) Co. Of China Ltd, H</t>
  </si>
  <si>
    <t>CNE1000003X6</t>
  </si>
  <si>
    <t>China Merchants Bank Co Ltd</t>
  </si>
  <si>
    <t>CNE1000002M1</t>
  </si>
  <si>
    <t>Meituan Dianping</t>
  </si>
  <si>
    <t>KYG596691041</t>
  </si>
  <si>
    <t>JD.Com Inc</t>
  </si>
  <si>
    <t>KYG8208B1014</t>
  </si>
  <si>
    <t>LG Chem Ltd</t>
  </si>
  <si>
    <t>KR7051910008</t>
  </si>
  <si>
    <t>China Mengniu Dairy Co. Ltd</t>
  </si>
  <si>
    <t>KYG210961051</t>
  </si>
  <si>
    <t>Kweichow Moutai Co. Ltd, A</t>
  </si>
  <si>
    <t>CNE0000018R8</t>
  </si>
  <si>
    <t>Country Garden Services Holdings Co Ltd</t>
  </si>
  <si>
    <t>KYG2453A1085</t>
  </si>
  <si>
    <t>Longi Green Energy Technology Co Ltd</t>
  </si>
  <si>
    <t>CNE100001FR6</t>
  </si>
  <si>
    <t>SK Hynix Inc</t>
  </si>
  <si>
    <t>KR7000660001</t>
  </si>
  <si>
    <t>Midea Group Co Ltd</t>
  </si>
  <si>
    <t>CNE100001QQ5</t>
  </si>
  <si>
    <t>Sea Ltd (ADR)</t>
  </si>
  <si>
    <t>US81141R1005</t>
  </si>
  <si>
    <t>Bank Central Asia Tbk Pt</t>
  </si>
  <si>
    <t>ID1000109507</t>
  </si>
  <si>
    <t>Techtronic Industries Co. Ltd</t>
  </si>
  <si>
    <t>HK0669013440</t>
  </si>
  <si>
    <t>Budweiser Brewing Co APAC Ltd</t>
  </si>
  <si>
    <t>KYG1674K1013</t>
  </si>
  <si>
    <t>Yum China Holdings INC</t>
  </si>
  <si>
    <t>US98850P1093</t>
  </si>
  <si>
    <t>Semen Indonesia (Persero) Tbk PT</t>
  </si>
  <si>
    <t>ID1000106800</t>
  </si>
  <si>
    <t>China Resources Land Ltd</t>
  </si>
  <si>
    <t>KYG2108Y1052</t>
  </si>
  <si>
    <t>SM Investments Corp</t>
  </si>
  <si>
    <t>PHY806761029</t>
  </si>
  <si>
    <t>DBS Group Holdings Ltd</t>
  </si>
  <si>
    <t>SG1L01001701</t>
  </si>
  <si>
    <t>The Siam Cement PCL, Fgn.</t>
  </si>
  <si>
    <t>TH0003010Z12</t>
  </si>
  <si>
    <t>Indocement Tunggal Prakarsa Tbk Pt</t>
  </si>
  <si>
    <t>ID1000061302</t>
  </si>
  <si>
    <t>Trip.Com Group Ltd, (ADR)</t>
  </si>
  <si>
    <t>US89677Q1076</t>
  </si>
  <si>
    <t>New Oriental Education &amp; Technology Group Inc</t>
  </si>
  <si>
    <t>KYG6470A1168</t>
  </si>
  <si>
    <t>China Resources Cement Holdings Ltd</t>
  </si>
  <si>
    <t>KYG2113L1068</t>
  </si>
  <si>
    <t>Minor International Pcl, Fgn.</t>
  </si>
  <si>
    <t>TH0128B10Z17</t>
  </si>
  <si>
    <t>Hotels/ Resorts And Other Recreational Activities</t>
  </si>
  <si>
    <t>Guangzhou Tinci Materials Technology Co Ltd</t>
  </si>
  <si>
    <t>CNE100001RG4</t>
  </si>
  <si>
    <t>ACE Hardware Indonesia Tbk Pt</t>
  </si>
  <si>
    <t>ID1000125503</t>
  </si>
  <si>
    <t>Alibaba Health Information Technology Ltd</t>
  </si>
  <si>
    <t>BMG0171K1018</t>
  </si>
  <si>
    <t>Beijing Oriental Yuhong Waterproof Technology Co Ltd</t>
  </si>
  <si>
    <t>CNE100000CS3</t>
  </si>
  <si>
    <t>Engineering Services</t>
  </si>
  <si>
    <t>Bangkok Dusit Medical Services Pcl</t>
  </si>
  <si>
    <t>TH0264A10Z12</t>
  </si>
  <si>
    <t>Weichai Power Co Ltd</t>
  </si>
  <si>
    <t>CNE1000004L9</t>
  </si>
  <si>
    <t>Laobaixing Pharmacy Chain Jsc</t>
  </si>
  <si>
    <t>CNE1000023Q8</t>
  </si>
  <si>
    <t>Tal Education Group, (ADR)</t>
  </si>
  <si>
    <t>US8740801043</t>
  </si>
  <si>
    <t>China Resources Mixc Lifestyle Services Ltd</t>
  </si>
  <si>
    <t>KYG2122G1064</t>
  </si>
  <si>
    <t>Minor International PCL- Warrants (31-July-2023)</t>
  </si>
  <si>
    <t>TH0128053707</t>
  </si>
  <si>
    <t>TH0128053509</t>
  </si>
  <si>
    <t>TH0128054200</t>
  </si>
  <si>
    <t>Minor International PCL- Warrants (30-Sep-2021)</t>
  </si>
  <si>
    <t>TH0128051909</t>
  </si>
  <si>
    <t>Reliance Industries Ltd</t>
  </si>
  <si>
    <t>INE002A01018</t>
  </si>
  <si>
    <t>Bajaj Finance Ltd</t>
  </si>
  <si>
    <t>INE296A01024</t>
  </si>
  <si>
    <t>Tata Steel Ltd</t>
  </si>
  <si>
    <t>INE081A01012</t>
  </si>
  <si>
    <t>Ferrous Metals</t>
  </si>
  <si>
    <t>Wipro Ltd</t>
  </si>
  <si>
    <t>INE075A01022</t>
  </si>
  <si>
    <t>Bajaj Finserv Ltd</t>
  </si>
  <si>
    <t>INE918I01018</t>
  </si>
  <si>
    <t>JSW Steel Ltd</t>
  </si>
  <si>
    <t>INE019A01038</t>
  </si>
  <si>
    <t>Divi's Laboratories Ltd</t>
  </si>
  <si>
    <t>INE361B01024</t>
  </si>
  <si>
    <t>HDFC Life Insurance Co Ltd</t>
  </si>
  <si>
    <t>INE795G01014</t>
  </si>
  <si>
    <t>Adani Ports and Special Economic Zone Ltd</t>
  </si>
  <si>
    <t>INE742F01042</t>
  </si>
  <si>
    <t>Britannia Industries Ltd</t>
  </si>
  <si>
    <t>INE216A01030</t>
  </si>
  <si>
    <t>UPL Ltd</t>
  </si>
  <si>
    <t>INE628A01036</t>
  </si>
  <si>
    <t>Hero MotoCorp Ltd</t>
  </si>
  <si>
    <t>INE158A01026</t>
  </si>
  <si>
    <t>Eicher Motors Ltd</t>
  </si>
  <si>
    <t>INE066A01021</t>
  </si>
  <si>
    <t>Shree Cement Ltd</t>
  </si>
  <si>
    <t>INE070A01015</t>
  </si>
  <si>
    <t>Yes Bank Ltd</t>
  </si>
  <si>
    <t>INE528G01035</t>
  </si>
  <si>
    <t>5.50% Britannia Industries Ltd (03-Jun-2024) **</t>
  </si>
  <si>
    <t>INE216A08027</t>
  </si>
  <si>
    <t>Prestige Estates Projects Ltd</t>
  </si>
  <si>
    <t>INE811K01011</t>
  </si>
  <si>
    <t>Franklin U.S. Opportunities Fund, Class I (Acc)</t>
  </si>
  <si>
    <t>LU0195948665</t>
  </si>
  <si>
    <t>Templeton European Opportunities Fund, Class I (Acc)</t>
  </si>
  <si>
    <t>LU0195949390</t>
  </si>
  <si>
    <t>Franklin India Bluechip Fund Direct-Growth Plan</t>
  </si>
  <si>
    <t>INF090I01FN7</t>
  </si>
  <si>
    <t>Nippon India ETF Gold Bees</t>
  </si>
  <si>
    <t>INF204KB17I5</t>
  </si>
  <si>
    <t>Franklin India Liquid Fund Direct-Growth Plan</t>
  </si>
  <si>
    <t>INF090I01JV2</t>
  </si>
  <si>
    <t>INF090I01GK1</t>
  </si>
  <si>
    <t>Franklin India Short Term Income Plan-Segregated Portfolio 3- 9.50% Yes Bank Ltd CO 23Dec21-Direct-Growth Plan</t>
  </si>
  <si>
    <t>INF090I01VS3</t>
  </si>
  <si>
    <t>Franklin India Short Term Income Plan- Segregated Portfolio 2- 10.90% Vodafone Idea Ltd 02Sep2023 (P/C 03Sep2021)-Direct-Growth Plan</t>
  </si>
  <si>
    <t>INF090I01UY3</t>
  </si>
  <si>
    <t>Franklin India Savings Fund Direct-Growth Plan</t>
  </si>
  <si>
    <t>INF090I01GV8</t>
  </si>
  <si>
    <t>Templeton India Value Fund Direct-Growth Plan</t>
  </si>
  <si>
    <t>INF090I01GY2</t>
  </si>
  <si>
    <t xml:space="preserve">      IDCW Option</t>
  </si>
  <si>
    <t xml:space="preserve">      Direct IDCW Option</t>
  </si>
  <si>
    <t>Franklin India Corporate Debt Fund Direct-Growth Plan</t>
  </si>
  <si>
    <t>INF090I01FW8</t>
  </si>
  <si>
    <t>INF090I01HB8</t>
  </si>
  <si>
    <t>Franklin India Dynamic Accrual Fund- Segregated Portfolio 3- 9.50% Yes Bank Ltd CO 23Dec21-Direct-Growth Plan</t>
  </si>
  <si>
    <t>INF090I01WD3</t>
  </si>
  <si>
    <t>Franklin India Dynamic Accrual Fund- Segregated Portfolio 2- 10.90% Vodafone Idea Ltd 02Sep2023 (P/C 03Sep2021)-Direct-Growth Plan</t>
  </si>
  <si>
    <t>INF090I01TX7</t>
  </si>
  <si>
    <t>Franklin India Prima Fund Direct-Growth Plan</t>
  </si>
  <si>
    <t>INF090I01FH9</t>
  </si>
  <si>
    <t>Franklin India Flexi Cap Fund-Direct Growth Plan (Formerly known as Franklin India Equity Fund)</t>
  </si>
  <si>
    <t>INF090I01FK3</t>
  </si>
  <si>
    <t>% to Net Assets(Hedged &amp; Unhedged)</t>
  </si>
  <si>
    <t>% to Net Assets Derivative</t>
  </si>
  <si>
    <t>(b) Units of Infrastructure Investment Trust</t>
  </si>
  <si>
    <t>d) Outstanding derivative exposure as % to net assets</t>
  </si>
  <si>
    <t>e) Portfolio Turnover Ratio during the Half - year 30-Jun-2021</t>
  </si>
  <si>
    <t>f) Average Maturity as on 30-Jun-2021</t>
  </si>
  <si>
    <t xml:space="preserve">g) During the month additional instances of fair valuation/deviation from valuation price provided by the valuation agencies </t>
  </si>
  <si>
    <t xml:space="preserve">h) For product labeling and risk-o-meter refer the link below </t>
  </si>
  <si>
    <t xml:space="preserve">c) Total outstanding position (as at June 30, 2021) in Derivative Instruments (Gross Notional) </t>
  </si>
  <si>
    <t>Rs. 3,856.20 Lacs</t>
  </si>
  <si>
    <t>Aditya Birla Fashion and Retail Ltd – Partly Paid ##</t>
  </si>
  <si>
    <t>## suspended security</t>
  </si>
  <si>
    <t>Globsyn Technologies Ltd ** ^^</t>
  </si>
  <si>
    <t>Numero Uno International Ltd ** ^^</t>
  </si>
  <si>
    <t>Refer below link for rationale of devation under Valuation policy</t>
  </si>
  <si>
    <t>https://www.franklintempletonindia.com/investor/reports?firstFilter-4</t>
  </si>
  <si>
    <t>f) For product labeling and risk-o-meter refer the link below</t>
  </si>
  <si>
    <t>Brillio Technologies Pvt Ltd ** ^^</t>
  </si>
  <si>
    <t>^^ Securities are fair valued</t>
  </si>
  <si>
    <t xml:space="preserve">d) During the month additional instances of fair valuation/deviation from valuation price provided by the valuation agencies </t>
  </si>
  <si>
    <t>e) For product labeling and risk-o-meter refer the link below</t>
  </si>
  <si>
    <t>Quantum Information Services ** ^^</t>
  </si>
  <si>
    <t>Chennai Interactive Business Services Pvt Ltd **  ^^</t>
  </si>
  <si>
    <t>Franklin India Flexi Cap Fund ^</t>
  </si>
  <si>
    <t>Quantum Information Systems ** ^^</t>
  </si>
  <si>
    <t>^ Franklin India Equity Fund is renamed as Franklin India Flexi Cap Fund effective Jan 29, 2021.</t>
  </si>
  <si>
    <t>Minor International Pcl - Warrants (05-May-2023)</t>
  </si>
  <si>
    <t>Minor International Pcl - Warrants (05-Feb-2024)</t>
  </si>
  <si>
    <t>Franklin India Feeder - Templeton European Opportunities Fund</t>
  </si>
  <si>
    <t>Franklin India Short-Term Income Plan (No. of Segregated Portfolios in the Scheme- 3) - (under winding up) Direct-Growth Plan ^^ $$$</t>
  </si>
  <si>
    <t>^^ Securities are fair Valued</t>
  </si>
  <si>
    <t>$$$ This scheme is under winding-up and SBI Funds Management Private Limited has been appointed as the liquidator as per the order of Hon'ble Supreme Court dated February 12, 2021.</t>
  </si>
  <si>
    <t>Franklin India Dynamic Accrual Fund (No. of Segregated Portfolios in the Scheme- 3) - (under winding up) Direct-Growth Plan ^^ $$$</t>
  </si>
  <si>
    <t>Franklin India Liquid Fund</t>
  </si>
  <si>
    <t>Rating</t>
  </si>
  <si>
    <t>INE001A07PJ6</t>
  </si>
  <si>
    <t>8.20% Housing Development Finance Corporation Ltd (29-Jul-2021) **</t>
  </si>
  <si>
    <t>INE110L14PE9</t>
  </si>
  <si>
    <t>Reliance Jio Infocomm Ltd (15-Jul-2021)@</t>
  </si>
  <si>
    <t>INE261F14HZ4</t>
  </si>
  <si>
    <t>National Bank For Agriculture &amp; Rural Development (23-Aug-2021) **@</t>
  </si>
  <si>
    <t>INE115A14CY7</t>
  </si>
  <si>
    <t>LIC Housing Finance Ltd (20-Jul-2021) **@</t>
  </si>
  <si>
    <t>INE700G14603</t>
  </si>
  <si>
    <t>HDFC Securities Ltd (30-Aug-2021) **@</t>
  </si>
  <si>
    <t>INE589A14330</t>
  </si>
  <si>
    <t>NLC India Ltd (23-Sep-2021)@</t>
  </si>
  <si>
    <t>CARE A1+</t>
  </si>
  <si>
    <t>INE094A14GZ2</t>
  </si>
  <si>
    <t>Hindustan Petroleum Corporation Ltd (12-Jul-2021) **@</t>
  </si>
  <si>
    <t>INE860H14S98</t>
  </si>
  <si>
    <t>Aditya Birla Finance Ltd (22-Jul-2021) **@</t>
  </si>
  <si>
    <t>INE178A14GQ2</t>
  </si>
  <si>
    <t>Chennai Petroleum Corporation Ltd (03-Aug-2021) **@</t>
  </si>
  <si>
    <t>INE763G14JW0</t>
  </si>
  <si>
    <t>ICICI Securities Ltd (06-Aug-2021) **@</t>
  </si>
  <si>
    <t>INE929O14271</t>
  </si>
  <si>
    <t>Reliance Retail Ventures Ltd (01-Sep-2021) **@</t>
  </si>
  <si>
    <t>INE763G14KF3</t>
  </si>
  <si>
    <t>ICICI Securities Ltd (01-Sep-2021) **@</t>
  </si>
  <si>
    <t>INE094A14HA3</t>
  </si>
  <si>
    <t>Hindustan Petroleum Corporation Ltd (29-Jul-2021)@</t>
  </si>
  <si>
    <t>INE891K14KP3</t>
  </si>
  <si>
    <t>Axis Finance Ltd (20-Aug-2021) **@</t>
  </si>
  <si>
    <t>INE929O14263</t>
  </si>
  <si>
    <t>Reliance Retail Ventures Ltd (17-Aug-2021) **@</t>
  </si>
  <si>
    <t>INE028E14II4</t>
  </si>
  <si>
    <t>Kotak Securities Ltd (30-Aug-2021) **@</t>
  </si>
  <si>
    <t>INE975F14VA3</t>
  </si>
  <si>
    <t>Kotak Mahindra Investments Ltd (20-Jul-2021) **@</t>
  </si>
  <si>
    <t>INE178A14GT6</t>
  </si>
  <si>
    <t>Chennai Petroleum Corporation Ltd (17-Sep-2021)@</t>
  </si>
  <si>
    <t>IN002021X090</t>
  </si>
  <si>
    <t>91 DTB (02-Sep-2021)</t>
  </si>
  <si>
    <t>IN002021X082</t>
  </si>
  <si>
    <t>91 DTB (26-Aug-2021)</t>
  </si>
  <si>
    <t>IN002021X058</t>
  </si>
  <si>
    <t>91 DTB (05-Aug-2021)</t>
  </si>
  <si>
    <t>IN002020Z196</t>
  </si>
  <si>
    <t>364 DTB (12-Aug-2021)</t>
  </si>
  <si>
    <t>IN002021X116</t>
  </si>
  <si>
    <t>91 DTB (16-Sep-2021)</t>
  </si>
  <si>
    <t>IN002021X033</t>
  </si>
  <si>
    <t>91 DTB (22-Jul-2021)</t>
  </si>
  <si>
    <t>IN0020190099</t>
  </si>
  <si>
    <t>6.17% GOI 2021 (15-Jul-2021)</t>
  </si>
  <si>
    <t xml:space="preserve">      Regular Plan Growth Option</t>
  </si>
  <si>
    <t xml:space="preserve">      Regular Plan Daily IDCW Reinvestment Option</t>
  </si>
  <si>
    <t xml:space="preserve">      Regular Plan Weekly IDCW Option</t>
  </si>
  <si>
    <t xml:space="preserve">      Institutional Plan Daily IDCW Reinvestment Option</t>
  </si>
  <si>
    <t xml:space="preserve">      Institutional Plan Weekly IDCW Option</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</si>
  <si>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</si>
  <si>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</si>
  <si>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</si>
  <si>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</si>
  <si>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</si>
  <si>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</si>
  <si>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</si>
  <si>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Dividend Plan - Growth</t>
  </si>
  <si>
    <t xml:space="preserve">      Unclaimed Redemption Investor Education Plan - Growth</t>
  </si>
  <si>
    <t xml:space="preserve">      Unclaimed Dividend Investor Education Plan - Growth</t>
  </si>
  <si>
    <t>c) Average Maturity as on 30-Jun-2021</t>
  </si>
  <si>
    <t xml:space="preserve">e) For product labeling and risk-o-meter refer the link below </t>
  </si>
  <si>
    <t>Franklin India Overnight Fund</t>
  </si>
  <si>
    <t xml:space="preserve">      Daily IDCW Plan</t>
  </si>
  <si>
    <t xml:space="preserve">      Weekly IDCW Plan</t>
  </si>
  <si>
    <t xml:space="preserve">      Direct Daily IDCW Plan</t>
  </si>
  <si>
    <t xml:space="preserve">      Direct Weekly IDCW Plan</t>
  </si>
  <si>
    <t>Franklin India Savings Fund</t>
  </si>
  <si>
    <t>INE238A164V6</t>
  </si>
  <si>
    <t>Axis Bank Ltd (MIBOR+30 Bps ) (23-Dec-2021) **</t>
  </si>
  <si>
    <t>INE514E16BV6</t>
  </si>
  <si>
    <t>Export-Import Bank Of India (14-Dec-2021) **</t>
  </si>
  <si>
    <t>INE237A164M6</t>
  </si>
  <si>
    <t>Kotak Mahindra Bank Ltd (25-Feb-2022) **</t>
  </si>
  <si>
    <t>INE556F16853</t>
  </si>
  <si>
    <t>Small Industries Development Bank of India (18-Mar-2022) **</t>
  </si>
  <si>
    <t>INE261F16587</t>
  </si>
  <si>
    <t>National Bank For Agriculture &amp; Rural Development (08-Feb-2022) **</t>
  </si>
  <si>
    <t>INE261F16603</t>
  </si>
  <si>
    <t>National Bank For Agriculture &amp; Rural Development (24-Feb-2022) **</t>
  </si>
  <si>
    <t>INE027E14KT9</t>
  </si>
  <si>
    <t>L&amp;T Finance Ltd (28-Jan-2022) **@</t>
  </si>
  <si>
    <t>INE377Y14801</t>
  </si>
  <si>
    <t>Bajaj Housing Finance Ltd (24-Feb-2022) **@</t>
  </si>
  <si>
    <t>INE916D14Y56</t>
  </si>
  <si>
    <t>Kotak Mahindra Prime Ltd (15-Apr-2022) **@</t>
  </si>
  <si>
    <t>INE763G14KK3</t>
  </si>
  <si>
    <t>ICICI Securities Ltd (25-Mar-2022) **@</t>
  </si>
  <si>
    <t>INE296A14RI6</t>
  </si>
  <si>
    <t>Bajaj Finance Ltd (16-Feb-2022) **@</t>
  </si>
  <si>
    <t>INE121A14TH4</t>
  </si>
  <si>
    <t>Cholamandalam Investment and Finance Co Ltd (14-Mar-2022) **@</t>
  </si>
  <si>
    <t>IN002020Z527</t>
  </si>
  <si>
    <t>364 DTB (30-Mar-2022)</t>
  </si>
  <si>
    <t>IN002021X017</t>
  </si>
  <si>
    <t>91 DTB (08-Jul-2021)</t>
  </si>
  <si>
    <t>IN002021Y122</t>
  </si>
  <si>
    <t>182 DTB (23-Dec-2021)</t>
  </si>
  <si>
    <t>IN002021Y130</t>
  </si>
  <si>
    <t>182 DTB (30-Dec-2021)</t>
  </si>
  <si>
    <t>IN002020Z519</t>
  </si>
  <si>
    <t>364 DTB (24-Mar-2022)</t>
  </si>
  <si>
    <t>IN0020110030</t>
  </si>
  <si>
    <t>8.79% GOI 2021 (08-Nov-2021)</t>
  </si>
  <si>
    <t xml:space="preserve">      Retail Plan Growth Option</t>
  </si>
  <si>
    <t xml:space="preserve">      Retail Plan Daily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</si>
  <si>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</si>
  <si>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</si>
  <si>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</si>
  <si>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</si>
  <si>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Monthly IDCW Option</t>
  </si>
  <si>
    <t xml:space="preserve">      Direct Retail Plan Quarterly IDCW Option</t>
  </si>
  <si>
    <t>Franklin India Floating Rate Fund</t>
  </si>
  <si>
    <t>INE261F08BQ8</t>
  </si>
  <si>
    <t>6.70% National Bank For Agriculture &amp; Rural Development (11-Nov-2022) **</t>
  </si>
  <si>
    <t>INE831R07268</t>
  </si>
  <si>
    <t>Aditya Birla Housing Finance Ltd (364DTB +250 Bps) (17-Feb-2023) **</t>
  </si>
  <si>
    <t>ICRA AAA</t>
  </si>
  <si>
    <t>INE756I07CA5</t>
  </si>
  <si>
    <t>HDB Financial Services Ltd (91DTB + 205 Bps) (12-Jul-2021) **</t>
  </si>
  <si>
    <t>INE651J07739</t>
  </si>
  <si>
    <t>JM Financial Credit Solutions Ltd (1Y SBI MCLR + 460 Bps) (23-Jul-2024) **</t>
  </si>
  <si>
    <t>ICRA AA</t>
  </si>
  <si>
    <t>INE514E14PS7</t>
  </si>
  <si>
    <t>Export-Import Bank Of India (30-Dec-2021) **@</t>
  </si>
  <si>
    <t>IN002020Z493</t>
  </si>
  <si>
    <t>364 DTB (11-Mar-2022)</t>
  </si>
  <si>
    <t>IN0020160084</t>
  </si>
  <si>
    <t>GOI FRB 2024 (07-Nov-2024)</t>
  </si>
  <si>
    <t>IN0020180041</t>
  </si>
  <si>
    <t>GOI FRB 2031 (07-Dec-2031)</t>
  </si>
  <si>
    <t>IN0020020072</t>
  </si>
  <si>
    <t>8.35% GOI 2022 (14-May-2022)</t>
  </si>
  <si>
    <t>IN0020200211</t>
  </si>
  <si>
    <t>4.48% GOI 2023 (02-Nov-2023)</t>
  </si>
  <si>
    <t>IN0020200120</t>
  </si>
  <si>
    <t>GOI FRB 2033 (22-Sep-2033)</t>
  </si>
  <si>
    <t>IN0020160050</t>
  </si>
  <si>
    <t>6.84% GOI 2022 (19-Dec-2022)</t>
  </si>
  <si>
    <t>Franklin India Corporate Debt Fund</t>
  </si>
  <si>
    <t>INE861G08019</t>
  </si>
  <si>
    <t>8.62% Food Corporation Of India (22-Mar-2023) **</t>
  </si>
  <si>
    <t>ICRA AAA(CE)</t>
  </si>
  <si>
    <t>INE941D07133</t>
  </si>
  <si>
    <t>8.45% Sikka Ports &amp; Terminals Ltd (12-Jun-2023) **</t>
  </si>
  <si>
    <t>INE001A07SL6</t>
  </si>
  <si>
    <t>7.06% Housing Development Finance Corporation Ltd (13-Dec-2021) **</t>
  </si>
  <si>
    <t>INE163N08065</t>
  </si>
  <si>
    <t>8.60% ONGC Petro Additions Ltd (11-Mar-2022) **</t>
  </si>
  <si>
    <t>CARE AAA(CE)</t>
  </si>
  <si>
    <t>INE163N08073</t>
  </si>
  <si>
    <t>8.85% ONGC Petro Additions Ltd (19-Apr-2022) **</t>
  </si>
  <si>
    <t>INE134E08JC3</t>
  </si>
  <si>
    <t>7.44% Power Finance Corporation Ltd (11-Jun-2027) **</t>
  </si>
  <si>
    <t>INE020B08CM4</t>
  </si>
  <si>
    <t>6.99% REC Ltd (30-Sep-2024) **</t>
  </si>
  <si>
    <t>INE020B08AM8</t>
  </si>
  <si>
    <t>7.09% REC Ltd (17-Oct-2022) **</t>
  </si>
  <si>
    <t>INE261F08BI5</t>
  </si>
  <si>
    <t>7.90% National Bank For Agriculture &amp; Rural Development (18-Apr-2022) **</t>
  </si>
  <si>
    <t>INE053F07CC9</t>
  </si>
  <si>
    <t>6.19% Indian Railway Finance Corporation Ltd (28-Apr-2023) **</t>
  </si>
  <si>
    <t>INE906B07FG1</t>
  </si>
  <si>
    <t>7.60% National Highways Authority Of India (18-Mar-2022) **</t>
  </si>
  <si>
    <t>INE557F08FJ5</t>
  </si>
  <si>
    <t>5.80% National Housing Bank (15-May-2023) **</t>
  </si>
  <si>
    <t>INE242A08460</t>
  </si>
  <si>
    <t>5.05% Indian Oil Corporation Ltd (25-Nov-2022) **</t>
  </si>
  <si>
    <t>INE115A07NM3</t>
  </si>
  <si>
    <t>0.00% LIC Housing Finance Ltd (25-Feb-2022) **</t>
  </si>
  <si>
    <t>INE848E07989</t>
  </si>
  <si>
    <t>7.52% NHPC Ltd (06-Jun-2023) **</t>
  </si>
  <si>
    <t>CARE AAA</t>
  </si>
  <si>
    <t>INE094A08036</t>
  </si>
  <si>
    <t>7.00% Hindustan Petroleum Corporation Ltd (14-Aug-2024)</t>
  </si>
  <si>
    <t>INE941D08065</t>
  </si>
  <si>
    <t>10.25% Sikka Ports &amp; Terminals Ltd (22-Aug-2021) **</t>
  </si>
  <si>
    <t>INE906B07FE6</t>
  </si>
  <si>
    <t>7.17% National Highways Authority Of India (23-Dec-2021) **</t>
  </si>
  <si>
    <t>INE295J08022</t>
  </si>
  <si>
    <t>9.90% Coastal Gujarat Power Ltd (25-Aug-2028) **</t>
  </si>
  <si>
    <t>CARE AA(CE)</t>
  </si>
  <si>
    <t>INE053F07BB3</t>
  </si>
  <si>
    <t>8.25% Indian Railway Finance Corporation Ltd (28-Feb-2024) **</t>
  </si>
  <si>
    <t>INE115A07PA3</t>
  </si>
  <si>
    <t>5.23% LIC Housing Finance Ltd (26-Jul-2023) **</t>
  </si>
  <si>
    <t>INE261F08AL1</t>
  </si>
  <si>
    <t>8.39% National Bank For Agriculture &amp; Rural Development (19-Jul-2021)</t>
  </si>
  <si>
    <t>INE020B08930</t>
  </si>
  <si>
    <t>8.30% REC Ltd (10-Apr-2025) **</t>
  </si>
  <si>
    <t>INE134E08KH0</t>
  </si>
  <si>
    <t>7.42% Power Finance Corporation Ltd (19-Nov-2024) **</t>
  </si>
  <si>
    <t>INE134E08KN8</t>
  </si>
  <si>
    <t>6.98% Power Finance Corporation Ltd (20-Apr-2023) **</t>
  </si>
  <si>
    <t>INE721A08DC8</t>
  </si>
  <si>
    <t>10.25% Shriram Transport Finance Co Ltd (26-Apr-2024) ** ^^</t>
  </si>
  <si>
    <t>CRISIL AA+</t>
  </si>
  <si>
    <t>INE261F08AI7</t>
  </si>
  <si>
    <t>8.60% National Bank For Agriculture &amp; Rural Development (31-Jan-2022) **</t>
  </si>
  <si>
    <t>INE134E08JW1</t>
  </si>
  <si>
    <t>8.18% Power Finance Corporation Ltd (19-Mar-2022) **</t>
  </si>
  <si>
    <t>INE941D07125</t>
  </si>
  <si>
    <t>10.40% Sikka Ports &amp; Terminals Ltd (19-Jul-2021) **</t>
  </si>
  <si>
    <t>INE134E08JY7</t>
  </si>
  <si>
    <t>9.25% Power Finance Corporation Ltd (25-Sep-2024) **</t>
  </si>
  <si>
    <t>INE115A07NW2</t>
  </si>
  <si>
    <t>0.00% LIC Housing Finance Ltd (04-May-2022) **</t>
  </si>
  <si>
    <t>INE556F08JI1</t>
  </si>
  <si>
    <t>8.81% Small Industries Development Bank Of India (25-Jan-2022) **</t>
  </si>
  <si>
    <t>INE134E08IH4</t>
  </si>
  <si>
    <t>7.50% Power Finance Corporation Ltd (16-Aug-2021) **</t>
  </si>
  <si>
    <t>INE756I07CD9</t>
  </si>
  <si>
    <t>0.00% HDB Financial Services Ltd (29-Oct-2021) **</t>
  </si>
  <si>
    <t>INE752E07MZ9</t>
  </si>
  <si>
    <t>8.40% Power Grid Corporation of India Ltd (14-Sep-2021) **</t>
  </si>
  <si>
    <t>INE848E07815</t>
  </si>
  <si>
    <t>8.50% NHPC Ltd (14-Jul-2021) **</t>
  </si>
  <si>
    <t>INE860H07GE0</t>
  </si>
  <si>
    <t>0.00% Aditya Birla Finance Ltd (08-Apr-2022) **</t>
  </si>
  <si>
    <t>INE029A07075</t>
  </si>
  <si>
    <t>7.35% Bharat Petroleum Corporation Ltd (10-Mar-2022) **</t>
  </si>
  <si>
    <t>INE053F07942</t>
  </si>
  <si>
    <t>6.70% Indian Railway Finance Corporation Ltd (24-Nov-2021) **</t>
  </si>
  <si>
    <t>IN0020180025</t>
  </si>
  <si>
    <t>7.37% GOI 2023 (16-Apr-2023)</t>
  </si>
  <si>
    <t xml:space="preserve">      Half Yearly IDCW Plan</t>
  </si>
  <si>
    <t xml:space="preserve">      Annual IDCW Plan</t>
  </si>
  <si>
    <t xml:space="preserve">      Direct Half Yearly IDCW Plan</t>
  </si>
  <si>
    <t xml:space="preserve">      Direct Annual IDCW Plan</t>
  </si>
  <si>
    <t>https://www.franklintempletonindia.com/investor/reports</t>
  </si>
  <si>
    <t>e) For ISIN INE445K07106 - 9.50% Reliance Broadcast Network Ltd (20-Jul-2020), the amount due at maturity was not received. For further details refer below link</t>
  </si>
  <si>
    <t>https://www.franklintempletonindia.com/downloadsServlet/pdf/franklin-templeton-update-on-reliance-broadcast-july-23-2020-kcg9m1gq</t>
  </si>
  <si>
    <t xml:space="preserve">f) For product labeling and risk-o-meter refer the link below </t>
  </si>
  <si>
    <t>Franklin India Banking &amp; PSU Debt Fund</t>
  </si>
  <si>
    <t>INE031A08756</t>
  </si>
  <si>
    <t>6.99% Housing &amp; Urban Development Corporation Ltd (11-Nov-2022) **</t>
  </si>
  <si>
    <t>IND AAA</t>
  </si>
  <si>
    <t>INE020B08997</t>
  </si>
  <si>
    <t>7.24% REC Ltd (21-Oct-2021) **</t>
  </si>
  <si>
    <t>INE556F08JM3</t>
  </si>
  <si>
    <t>7.29% Small Industries Development Bank Of India (01-Aug-2022) **</t>
  </si>
  <si>
    <t>INE733E07JO9</t>
  </si>
  <si>
    <t>9.17% NTPC Ltd (21-Sep-2024) **</t>
  </si>
  <si>
    <t>INE906B07FT4</t>
  </si>
  <si>
    <t>7.27% National Highways Authority Of India (06-Jun-2022) **</t>
  </si>
  <si>
    <t>INE094A08077</t>
  </si>
  <si>
    <t>5.36% Hindustan Petroleum Corporation Ltd (11-Apr-2025) **</t>
  </si>
  <si>
    <t>INE206D08261</t>
  </si>
  <si>
    <t>8.14% Nuclear Power Corporation of India Ltd (25-Mar-2026) **</t>
  </si>
  <si>
    <t>INE020B08906</t>
  </si>
  <si>
    <t>8.27% REC Ltd (06-Feb-2025) **</t>
  </si>
  <si>
    <t>INE976G08064</t>
  </si>
  <si>
    <t>10.20% RBL Bank Ltd (15-Apr-2023) **</t>
  </si>
  <si>
    <t>ICRA AA-</t>
  </si>
  <si>
    <t>INE733E07JX0</t>
  </si>
  <si>
    <t>8.19% NTPC Ltd (15-Dec-2025) **</t>
  </si>
  <si>
    <t>INE514E08EP9</t>
  </si>
  <si>
    <t>8.25% Export-Import Bank of India (28-Sep-2025) **</t>
  </si>
  <si>
    <t>INE752E07MQ8</t>
  </si>
  <si>
    <t>8.40% Power Grid Corporation of India Ltd (27-May-2024) **</t>
  </si>
  <si>
    <t>INE861G08076</t>
  </si>
  <si>
    <t>6.65% Food Corporation Of India (23-Oct-2030)</t>
  </si>
  <si>
    <t>INE861G08035</t>
  </si>
  <si>
    <t>9.95% Food Corporation Of India (07-Mar-2022) **</t>
  </si>
  <si>
    <t>CRISIL AAA(CE)</t>
  </si>
  <si>
    <t>INE020B08BM6</t>
  </si>
  <si>
    <t>8.35% REC Ltd (11-Mar-2022) **</t>
  </si>
  <si>
    <t>INE238A161W0</t>
  </si>
  <si>
    <t>Axis Bank Ltd (13-May-2022) **</t>
  </si>
  <si>
    <t>INE556F16861</t>
  </si>
  <si>
    <t>Small Industries Development Bank of India (25-Mar-2022)</t>
  </si>
  <si>
    <t>Franklin India Government Securities Fund</t>
  </si>
  <si>
    <t xml:space="preserve">      Quarterly IDCW Option</t>
  </si>
  <si>
    <t xml:space="preserve">      Direct Quarterly IDCW Option</t>
  </si>
  <si>
    <t>Franklin India Fixed Maturity Plans-Series 6 – Plan C  (1169 days)</t>
  </si>
  <si>
    <t>INE891K07416</t>
  </si>
  <si>
    <t>0.00% Axis Finance Ltd (19-Apr-2022) **</t>
  </si>
  <si>
    <t>INE377Y07052</t>
  </si>
  <si>
    <t>0.00% Bajaj Housing Finance Ltd (05-Apr-2022) **</t>
  </si>
  <si>
    <t>INE774D07SQ1</t>
  </si>
  <si>
    <t>0.00% Mahindra &amp; Mahindra Financial Services Ltd (29-Mar-2022) **</t>
  </si>
  <si>
    <t>INE296A07QQ5</t>
  </si>
  <si>
    <t>0.00% Bajaj Finance Ltd (05-Apr-2022) **</t>
  </si>
  <si>
    <t>INE031A08657</t>
  </si>
  <si>
    <t>8.23% Housing &amp; Urban Development Corporation Ltd (15-Apr-2022) **</t>
  </si>
  <si>
    <t>INE535H07AT9</t>
  </si>
  <si>
    <t>0.00% Fullerton India Credit Co Ltd (13-Apr-2022) **</t>
  </si>
  <si>
    <t xml:space="preserve">      IDCW Plan </t>
  </si>
  <si>
    <t>Franklin India Fixed Maturity Plans-Series 5 – Plan F (1203 days)</t>
  </si>
  <si>
    <t>INE020B08BF0</t>
  </si>
  <si>
    <t>8.45% REC Ltd (22-Mar-2022) **</t>
  </si>
  <si>
    <t>INE134E08GT3</t>
  </si>
  <si>
    <t>8.55% Power Finance Corporation Ltd (09-Dec-2021) **</t>
  </si>
  <si>
    <t>INE831R07235</t>
  </si>
  <si>
    <t>0.00% Aditya Birla Housing Finance Ltd (13-Apr-2022) **</t>
  </si>
  <si>
    <t>Franklin India Fixed Maturity Plans-Series 5 – Plan E (1224 days)</t>
  </si>
  <si>
    <t>INE377Y07086</t>
  </si>
  <si>
    <t>0.00% Bajaj Housing Finance Ltd (05-May-2022) **</t>
  </si>
  <si>
    <t>INE756I07CI8</t>
  </si>
  <si>
    <t>0.00% HDB Financial Services Ltd (05-Apr-2022) **</t>
  </si>
  <si>
    <t>INE306N07KG9</t>
  </si>
  <si>
    <t>9.4756% Tata Capital Financial Services Ltd (08-Apr-2022) **</t>
  </si>
  <si>
    <t>Franklin India Fixed Maturity Plans – Series 5 – Plan D (1238 days)</t>
  </si>
  <si>
    <t>INE774D07SS7</t>
  </si>
  <si>
    <t>9.05% Mahindra &amp; Mahindra Financial Services Ltd (18-Apr-2022) **</t>
  </si>
  <si>
    <t>Franklin India Fixed Maturity Plans - Series 5 -Plan C (1259 Days)</t>
  </si>
  <si>
    <t>INE535H07AQ5</t>
  </si>
  <si>
    <t>0.00% Fullerton India Credit Co Ltd (19-Apr-2022) **</t>
  </si>
  <si>
    <t>INE476M07BR8</t>
  </si>
  <si>
    <t>9.3772% L&amp;T Finance Ltd (11-Mar-2022) **</t>
  </si>
  <si>
    <t>Franklin India Fixed Maturity Plans – Series 5 - Plan B (1244 days)</t>
  </si>
  <si>
    <t>INE033L07GA4</t>
  </si>
  <si>
    <t>9.1791% Tata Capital Housing Finance Ltd (13-Apr-2022) **</t>
  </si>
  <si>
    <t>Franklin India Fixed Maturity Plans - Series 5 - Plan A (1273 days)</t>
  </si>
  <si>
    <t>Franklin India Fixed Maturity Plans - Series 4 - Plan F (1286 Days)</t>
  </si>
  <si>
    <t>INE115A07LM7</t>
  </si>
  <si>
    <t>7.95% LIC Housing Finance Ltd (24-Mar-2022) **</t>
  </si>
  <si>
    <t>INE134E08IN2</t>
  </si>
  <si>
    <t>7.27% Power Finance Corporation Ltd (22-Dec-2021) **</t>
  </si>
  <si>
    <t>(b) Privately Placed / Unlisted</t>
  </si>
  <si>
    <t>INE895D08790</t>
  </si>
  <si>
    <t>8.25% Tata Sons Pvt Ltd (23-Mar-2022) **</t>
  </si>
  <si>
    <t>Franklin India Fixed Maturity Plans - Series 4 - Plan E (1098 days)</t>
  </si>
  <si>
    <t>INE027E07709</t>
  </si>
  <si>
    <t>8.9492% L&amp;T Finance Ltd (16-Aug-2021) **</t>
  </si>
  <si>
    <t>INE110L07070</t>
  </si>
  <si>
    <t>8.32% Reliance Industries Ltd (08-Jul-2021) **</t>
  </si>
  <si>
    <t>INE660A07PT8</t>
  </si>
  <si>
    <t>0.00% Sundaram Finance Ltd (31-Aug-2021) **</t>
  </si>
  <si>
    <t>INE556F08JH3</t>
  </si>
  <si>
    <t>8.40% Small Industries Development Bank Of India (10-Aug-2021) **</t>
  </si>
  <si>
    <t>INE261F08AM9</t>
  </si>
  <si>
    <t>8.37% National Bank For Agriculture &amp; Rural Development (03-Aug-2021) **</t>
  </si>
  <si>
    <t>INE860H07FW4</t>
  </si>
  <si>
    <t>0.00% Aditya Birla Finance Ltd (26-Jul-2021) **</t>
  </si>
  <si>
    <t>INE895D08634</t>
  </si>
  <si>
    <t>8.01% Tata Sons Pvt Ltd (02-Sep-2021) **</t>
  </si>
  <si>
    <t>Franklin India Fixed Maturity Plans - Series 4 - Plan D (1098 Days)</t>
  </si>
  <si>
    <t>INE721A07NV9</t>
  </si>
  <si>
    <t>9.10% Shriram Transport Finance Co Ltd (12-Jul-2021) **</t>
  </si>
  <si>
    <t>Franklin India Fixed Maturity Plans - Series 4 - Plan C (1098 Days)</t>
  </si>
  <si>
    <t>INE891K07440</t>
  </si>
  <si>
    <t>0.00% Axis Finance Ltd (31-Aug-2021) **</t>
  </si>
  <si>
    <t>INE831R07201</t>
  </si>
  <si>
    <t>0.00% Aditya Birla Housing Finance Ltd (26-Jul-2021) **</t>
  </si>
  <si>
    <t>Franklin India Fixed Maturity Plans - Series 4 - Plan B (1098 days)</t>
  </si>
  <si>
    <t>INE020B07IW2</t>
  </si>
  <si>
    <t>9.40% REC Ltd (17-Jul-2021) **</t>
  </si>
  <si>
    <t>INE535H07AK8</t>
  </si>
  <si>
    <t>0.00% Fullerton India Credit Co Ltd (15-Jul-2021) **</t>
  </si>
  <si>
    <t>Franklin India Pension Plan</t>
  </si>
  <si>
    <t>INE685A01028</t>
  </si>
  <si>
    <t>Torrent Pharmaceuticals Ltd</t>
  </si>
  <si>
    <t>INE110L08037</t>
  </si>
  <si>
    <t>9.25% Reliance Industries Ltd (17-Jun-2024)</t>
  </si>
  <si>
    <t>INE115A14CU5</t>
  </si>
  <si>
    <t>LIC Housing Finance Ltd (14-Dec-2021) **@</t>
  </si>
  <si>
    <t>Franklin India Debt Hybrid Fund (No. of segregated Portfolio in the scheme - 1)</t>
  </si>
  <si>
    <t>Main Portfolio</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</si>
  <si>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</si>
  <si>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Franklin India Dynamic Accrual Fund (No. of segregated Portfolios in the scheme - 3) - (under winding up) $$$</t>
  </si>
  <si>
    <t>INE540P07301</t>
  </si>
  <si>
    <t>10.15% Uttar Pradesh Power Corporation Ltd (20-Jan-2023) **</t>
  </si>
  <si>
    <t>CRISIL A+(CE)</t>
  </si>
  <si>
    <t>INE657N07605</t>
  </si>
  <si>
    <t>Edelweiss Rural &amp; Corporate Services Ltd (1Y SBI MCLR + 250 Bps) (29-Nov-2021) - Series II **</t>
  </si>
  <si>
    <t>CRISIL AA-</t>
  </si>
  <si>
    <t>INE641O08035</t>
  </si>
  <si>
    <t xml:space="preserve">9.55% Piramal Capital &amp; Housing Finance Ltd (08-Mar-2027) ** </t>
  </si>
  <si>
    <t>CARE AA</t>
  </si>
  <si>
    <t>INE01E708040</t>
  </si>
  <si>
    <t>10.32% Andhra Pradesh Capital Region Development Authority (16-Aug-2027) **</t>
  </si>
  <si>
    <t>INE146O08100</t>
  </si>
  <si>
    <t>9.40% Hinduja Leyland Finance Ltd (28-Aug-2024) **</t>
  </si>
  <si>
    <t>INE657N07381</t>
  </si>
  <si>
    <t>8.70% Edelweiss Rural &amp; Corporate Services Ltd (30-Jun-2027) **</t>
  </si>
  <si>
    <t>ICRA A+</t>
  </si>
  <si>
    <t>INE540P07210</t>
  </si>
  <si>
    <t>9.75% Uttar Pradesh Power Corporation Ltd (20-Oct-2022) **</t>
  </si>
  <si>
    <t>INE540P07228</t>
  </si>
  <si>
    <t>9.75% Uttar Pradesh Power Corporation Ltd (20-Oct-2023) **</t>
  </si>
  <si>
    <t>INE616U07036</t>
  </si>
  <si>
    <t>INE146O08159</t>
  </si>
  <si>
    <t>11.60% Hinduja Leyland Finance Ltd (29-Sep-2024) **</t>
  </si>
  <si>
    <t>INE540P07293</t>
  </si>
  <si>
    <t>10.15% Uttar Pradesh Power Corporation Ltd (20-Jan-2022) **</t>
  </si>
  <si>
    <t>INE003S07189</t>
  </si>
  <si>
    <t xml:space="preserve">9.45% Renew Power Pvt Ltd (31-Jul-2025) ** </t>
  </si>
  <si>
    <t>CARE A+</t>
  </si>
  <si>
    <t>INE659X07014</t>
  </si>
  <si>
    <t>9.95% Molagavalli Renewable Pvt Ltd (31-Mar-2023) **</t>
  </si>
  <si>
    <t>CARE A+(CE)</t>
  </si>
  <si>
    <t>INE964Q07012</t>
  </si>
  <si>
    <t>9.60% Renew Wind Energy (Rajasthan One) Pvt Ltd (31-Mar-2023) **</t>
  </si>
  <si>
    <t>INE209W07028</t>
  </si>
  <si>
    <t>9.95% Narmada Wind Energy Pvt Ltd (31-Mar-2023) **</t>
  </si>
  <si>
    <t>INE971Z07133</t>
  </si>
  <si>
    <t>12.25% Rivaaz Trade Ventures Pvt Ltd (30-Jun-2023) $$ @@@ **</t>
  </si>
  <si>
    <t>BWR D(CE)</t>
  </si>
  <si>
    <t>INE971Z07190</t>
  </si>
  <si>
    <t>13.00% Rivaaz Trade Ventures Pvt Ltd (31-Dec-2023) $$ @@@ **</t>
  </si>
  <si>
    <t>INE946S07189</t>
  </si>
  <si>
    <t>13.55% Nufuture Digital (India) Ltd (31-Dec-2023) $$ @@@ **</t>
  </si>
  <si>
    <t>INF200K01TK5</t>
  </si>
  <si>
    <t>SBI Overnight Fund - Direct Plan - Growth</t>
  </si>
  <si>
    <t>Mutual Fund</t>
  </si>
  <si>
    <t xml:space="preserve"> $$ Indicates securties below investment grade or default</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</si>
  <si>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Dynamic Accrual Fund is 639.58 Lakhs.</t>
  </si>
  <si>
    <t>f) @@@ Coupons/ part payments/ maturity payments were due to be paid by Nufuture Digital (India) Ltd. &amp; Future Ideas Co Ltd. on July 31, 2020, by Rivaaz Trade Ventures Pvt. Ltd on August 31, 2020 , by Nufuture Digital (India) Ltd on September 02, 2020, by Future Ideas Co Ltd &amp; Rivaaz Trade Ventures Pvt. Ltd on September 30, 2020 , by Rivaaz Trade Ventures Pvt. Ltd on October 31, 2020 and by Rivaaz Trade Ventures Pvt. Ltd on November 7, 2020. However, these issuers were unable to meet their payment obligations. Due to default in payment, the securities of these issuers were valued at zero basis the AMFI standard haircut matrix.This amount only reflects the realizable value as on the date of disclosure and does not indicate any reduction or write-off of the amount repayable by the issuers.</t>
  </si>
  <si>
    <t>g)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</si>
  <si>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https://www.franklintempletonindia.com/downloadsServlet/pdf/fair-valuation-reliance-big-reliance-infra-november-4-2020-kgox4tfq</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</si>
  <si>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</si>
  <si>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i) For product labeling and risk-o-meter refer the link below </t>
  </si>
  <si>
    <t>Franklin India Dynamic Accrual Fund - Segregated Portfolio 2 - 10.90% Vodafone Idea Ltd (02-Sep-2023) P/C 03 Sep 2021</t>
  </si>
  <si>
    <t>INE669E08318</t>
  </si>
  <si>
    <t>10.90% Vodafone Idea Ltd (02-Sep-2023) $$ ^^ **</t>
  </si>
  <si>
    <t>CARE B+</t>
  </si>
  <si>
    <t>^^ Securities are fair valued. This amount only reflects the realizable value as on the date of disclosure and does not indicate any reduction or write-off of the amount repayable by the issuers.</t>
  </si>
  <si>
    <t xml:space="preserve">c) For product labeling and risk-o-meter refer the link below </t>
  </si>
  <si>
    <t>Franklin India Dynamic Accrual Fund - Segregated Portfolio 3 - 9.50% Yes Bank Ltd CO 23 Dec 2021</t>
  </si>
  <si>
    <t>INE528G08352</t>
  </si>
  <si>
    <t>9.50% Yes Bank Ltd (23-Dec-2021)  $$ **</t>
  </si>
  <si>
    <t>CARE (withdrawn)/ ICRA D (hyb)</t>
  </si>
  <si>
    <t>Franklin India Low Duration Fund (No. of segregated Portfolio in the scheme -2) - (under winding up) $$$</t>
  </si>
  <si>
    <t>INE265J07316</t>
  </si>
  <si>
    <t>11.50% JM Financial Asset Reconstruction Co Ltd (29-May-2022) **</t>
  </si>
  <si>
    <t>INE157D08027</t>
  </si>
  <si>
    <t>11.25% Clix Capital Services Pvt Ltd (27-Jun-2023) **</t>
  </si>
  <si>
    <t>INE146O08084</t>
  </si>
  <si>
    <t>11.30% Hinduja Leyland Finance Ltd (21-Jul-2021) **</t>
  </si>
  <si>
    <t>INE540P07202</t>
  </si>
  <si>
    <t>9.75% Uttar Pradesh Power Corporation Ltd (20-Oct-2021) **</t>
  </si>
  <si>
    <t>INE209W07010</t>
  </si>
  <si>
    <t>9.60% Narmada Wind Energy Pvt Ltd (31-Mar-2023)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</si>
  <si>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Low Duration Fund is 7,643.55 Lakhs.</t>
  </si>
  <si>
    <t>f)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 This fair valued price only reflects the realizable value as on the date of disclosure and does not indicate any reduction or write-off of the amount repayable by the issuers. We continue efforts to recover the maximum value for the benefit of the unitholders.</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</si>
  <si>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</si>
  <si>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Franklin India Low Duration Fund-Segregated Portfolio 2 - 10.90% Vodafone Idea Ltd (02-Sep-2023) P/C 03 Sep 2021</t>
  </si>
  <si>
    <t>Franklin India Short-Term Income Plan (No. of segregated Portfolios in the scheme - 3) - (under winding up) $$$</t>
  </si>
  <si>
    <t>YTC</t>
  </si>
  <si>
    <t>INE01E708024</t>
  </si>
  <si>
    <t>10.32% Andhra Pradesh Capital Region Development Authority (16-Aug-2025) **</t>
  </si>
  <si>
    <t>INE01E708016</t>
  </si>
  <si>
    <t>10.32% Andhra Pradesh Capital Region Development Authority (16-Aug-2024) **</t>
  </si>
  <si>
    <t>INE016P07146</t>
  </si>
  <si>
    <t>10.50% Vistaar Financial Services Pvt Ltd (24-Aug-2025) **</t>
  </si>
  <si>
    <t>ICRA A-</t>
  </si>
  <si>
    <t>INE01E708032</t>
  </si>
  <si>
    <t>10.32% Andhra Pradesh Capital Region Development Authority (16-Aug-2026) **</t>
  </si>
  <si>
    <t>INE572E09361</t>
  </si>
  <si>
    <t>8.47% PNB Housing Finance Ltd (01-Jul-2021) **</t>
  </si>
  <si>
    <t>INE503A08028</t>
  </si>
  <si>
    <t>9.85% DCB Bank Ltd (18-Nov-2026) **</t>
  </si>
  <si>
    <t>INE157D08043</t>
  </si>
  <si>
    <t>13.65% Clix Capital Services Pvt Ltd (12-Nov-2021) **</t>
  </si>
  <si>
    <t>INE608A08025</t>
  </si>
  <si>
    <t>10.90% Punjab &amp; Sind Bank (08-May-2117) ** ~~~</t>
  </si>
  <si>
    <t>CARE A</t>
  </si>
  <si>
    <t>INE971Z07125</t>
  </si>
  <si>
    <t>12.25% Rivaaz Trade Ventures Pvt Ltd (30-Jun-2022) $$ @@@ **</t>
  </si>
  <si>
    <t>INE946S07163</t>
  </si>
  <si>
    <t>13.55% Nufuture Digital (India) Ltd (31-Dec-2021) $$ @@@ **</t>
  </si>
  <si>
    <t>INE971Z07174</t>
  </si>
  <si>
    <t>13.00% Rivaaz Trade Ventures Pvt Ltd (30-Dec-2021) $$ @@@ **</t>
  </si>
  <si>
    <t>INE971Z07182</t>
  </si>
  <si>
    <t>13.00% Rivaaz Trade Ventures Pvt Ltd (30-Dec-2022) $$ @@@ **</t>
  </si>
  <si>
    <t>INE080T07110</t>
  </si>
  <si>
    <t>14.15% Future Ideas Co Ltd (31-Jan-2023) $$ @@@ **</t>
  </si>
  <si>
    <t>INE080T07102</t>
  </si>
  <si>
    <t>14.15% Future Ideas Co Ltd (31-Jan-2022) $$ @@@ **</t>
  </si>
  <si>
    <t>~~~ Perpetual bond.</t>
  </si>
  <si>
    <t xml:space="preserve">      Retail Plan Weekly IDCW Option</t>
  </si>
  <si>
    <t xml:space="preserve">      Institutional Plan Growth Option</t>
  </si>
  <si>
    <t xml:space="preserve">      Direct Retail Plan Weekly IDCW Option</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</si>
  <si>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</si>
  <si>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f) For ISIN INE445K07106 - 9.50% Reliance Broadcast Network Ltd (20-Jul-2020), the amount due at maturity was not received. For further details refer below link</t>
  </si>
  <si>
    <t>g) @@@ Coupons/ part payments/ maturity payments were due to be paid by Nufuture Digital (India) Ltd. &amp; Future Ideas Co Ltd. on July 31, 2020, by Rivaaz Trade Ventures Pvt. Ltd &amp; Nufuture Digital (India) Ltd on August 31, 2020, by Nufuture Digital (India) Ltd on September 02, 2020, by Rivaaz Trade Ventures Pvt. Ltd &amp; Nufuture Digital (India) Ltd on September 30, 2020, by Nufuture Digital (India) Ltd., Future Ideas Co Ltd. &amp; Rivaaz Trade Ventures Pvt. Ltd on October 31, 2020, by Rivaaz Trade Ventures Pvt. Ltd on November 7, 2020, by Nufuture Digital (India) Ltd. on November 30, 2020 , by Rivaaz Trade Ventures Pvt. Ltd. on December 30, 2020, by Nufuture Digital (India) Ltd. on December 31, 2020 , by Nufuture Digital (India) Ltd. on January 31, 2021 , by Future Ideas Co Ltd. on January 31, 2021 , by Nufuture Digital (India) Ltd. on March 31, 2021 , by Future Ideas Co Ltd. &amp; Nufuture Digital (India) Ltd. on April 30, 2021, by Nufuture Digital (India) Ltd. on May 31, 2021 and by Rivaaz Trade Ventures Pvt. Ltd &amp; Nufuture Digital (India) Ltd. on June 30, 2021.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</si>
  <si>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</si>
  <si>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</si>
  <si>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j) For product labeling and risk-o-meter refer the link below </t>
  </si>
  <si>
    <t>Franklin India Short Term Income Plan - Segregated Portfolio 2 - 10.90% Vodafone Idea Ltd (02-Sep-2023) P/C 03 Sep 2021</t>
  </si>
  <si>
    <t>Franklin India Short Term Income Plan - Segregated Portfolio 3 - 9.50% Yes Bank Ltd CO 23 Dec 2021</t>
  </si>
  <si>
    <t>Franklin India Ultra Short Bond Fund - (No. of segregated Portfolio in the scheme -1) - (under winding up) $$$</t>
  </si>
  <si>
    <t>INE157D08019</t>
  </si>
  <si>
    <t>11.25% Clix Capital Services Pvt Ltd (25-May-2023) **</t>
  </si>
  <si>
    <t>INE157D08035</t>
  </si>
  <si>
    <t>13.65% Clix Capital Services Pvt Ltd (06-Sep-2021) **</t>
  </si>
  <si>
    <t>INE155A08316</t>
  </si>
  <si>
    <t>7.50% Tata Motors Ltd (20-Oct-2021) **</t>
  </si>
  <si>
    <t>INE587B08037</t>
  </si>
  <si>
    <t>13.65% Clix Finance India Pvt Ltd (06-Jan-2022) **</t>
  </si>
  <si>
    <t xml:space="preserve">      Institutional Plan Daily IDCW Option</t>
  </si>
  <si>
    <t xml:space="preserve">      Super Institutional Plan Daily IDCW Option</t>
  </si>
  <si>
    <t xml:space="preserve">      Direct Super Institutional Plan Growth Option</t>
  </si>
  <si>
    <t xml:space="preserve">      Direct Super Institutional Plan Daily IDCW Option</t>
  </si>
  <si>
    <t xml:space="preserve">      Direct Super Institutional Plan Weekly IDCW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</si>
  <si>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</si>
  <si>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Franklin India Income Opportunities Fund (No. of segregated Portfolio in the scheme - 2) - (under winding up) $$$</t>
  </si>
  <si>
    <t>INE503A08044</t>
  </si>
  <si>
    <t>9.85% DCB Bank Ltd (12-Jan-2028) **</t>
  </si>
  <si>
    <t>INE146O08134</t>
  </si>
  <si>
    <t>10.15% Hinduja Leyland Finance Ltd (27-Mar-2025)</t>
  </si>
  <si>
    <t>INE01E708057</t>
  </si>
  <si>
    <t>10.32% Andhra Pradesh Capital Region Development Authority (16-Aug-2028) **</t>
  </si>
  <si>
    <t>INE146O08118</t>
  </si>
  <si>
    <t>9.20% Hinduja Leyland Finance Ltd (13-Sep-2024) **</t>
  </si>
  <si>
    <t>INE080T07128</t>
  </si>
  <si>
    <t>14.15% Future Ideas Co Ltd (31-Dec-2023) $$ @@@ **</t>
  </si>
  <si>
    <t>e) @@@ On July 31, 2020, coupons/ part payments were due to be paid by Nufuture Digital (India) Ltd. and Future Ideas Co Ltd. and on August 31, 2020 by Rivaaz Trade Ventures Pvt. Ltd. However, these issuers were unable to meet their payment obligations. Due to default in payment, the securities of these issuers are valued at zero basis the AMFI standard haircut matrix. This amount only reflects the realizable value as on the date of disclosure and does not indicate any reduction or write-off of the amount repayable by the issuers.</t>
  </si>
  <si>
    <t>f)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</si>
  <si>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Franklin India Income Opportunities Fund-Segregated Portfolio 2 - 10.90% Vodafone Idea Ltd (02-Sep-2023) P/C 03 Sep 2021</t>
  </si>
  <si>
    <t>Franklin India Credit Risk Fund (No. of segregated Portfolios in the scheme -3) - (under winding up) $$$</t>
  </si>
  <si>
    <t>9.55% Piramal Capital &amp; Housing Finance Ltd (08-Mar-2027) **</t>
  </si>
  <si>
    <t>9.45% Renew Power Pvt Ltd (31-Jul-2025) **</t>
  </si>
  <si>
    <t>INE946S07171</t>
  </si>
  <si>
    <t>13.55% Nufuture Digital (India) Ltd (31-Dec-2022) $$ @@@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</si>
  <si>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Credit Risk Fund is 2,703.12 Lakhs.</t>
  </si>
  <si>
    <t>f) @@@ Coupons/ part payments/ maturity payments were due to be paid by Nufuture Digital (India) Ltd. &amp; Future Ideas Co Ltd. on July 31, 2020, by Nufuture Digital (India) Ltd on September 02, 2020 and by Future Ideas Co Ltd on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</si>
  <si>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</si>
  <si>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Franklin India Credit Risk Fund-Segregated Portfolio 2 - 10.90% Vodafone Idea Ltd (02-Sep-2023) P/C 03 Sep 2021</t>
  </si>
  <si>
    <t>Franklin India Credit Risk Fund - Segregated Portfolio 3 - 9.50% Yes Bank Ltd CO 23 Dec 2021</t>
  </si>
  <si>
    <t xml:space="preserve">b) During the month additional instances of fair valuation/deviation from valuation price provided by the valuation agencies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</si>
</sst>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
    <numFmt numFmtId="166" formatCode="#,##0.000"/>
  </numFmts>
  <fonts count="13"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u/>
      <sz val="11"/>
      <color theme="10"/>
      <name val="Calibri"/>
      <family val="2"/>
      <scheme val="minor"/>
    </font>
    <font>
      <sz val="11"/>
      <color theme="1"/>
      <name val="Calibri"/>
      <family val="2"/>
      <scheme val="minor"/>
    </font>
    <font>
      <sz val="8"/>
      <name val="Arial"/>
      <family val="2"/>
    </font>
    <font>
      <u/>
      <sz val="8"/>
      <color theme="10"/>
      <name val="Arial"/>
      <family val="2"/>
    </font>
    <font>
      <b/>
      <sz val="9"/>
      <color theme="1"/>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8" fillId="0" borderId="0" applyNumberFormat="0" applyFill="0" applyBorder="0" applyAlignment="0" applyProtection="0"/>
    <xf numFmtId="9" fontId="9" fillId="0" borderId="0" applyFont="0" applyFill="0" applyBorder="0" applyAlignment="0" applyProtection="0"/>
  </cellStyleXfs>
  <cellXfs count="90">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0" xfId="0" applyNumberFormat="1" applyFont="1" applyFill="1" applyAlignment="1">
      <alignment horizontal="left" vertical="top" wrapText="1"/>
    </xf>
    <xf numFmtId="4" fontId="2" fillId="2" borderId="0" xfId="0" applyNumberFormat="1" applyFont="1" applyFill="1" applyAlignment="1">
      <alignment horizontal="left" vertical="top" wrapText="1"/>
    </xf>
    <xf numFmtId="0" fontId="5" fillId="2" borderId="0" xfId="0" applyNumberFormat="1" applyFont="1" applyFill="1"/>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7" fillId="2" borderId="0" xfId="0" applyNumberFormat="1" applyFont="1" applyFill="1"/>
    <xf numFmtId="0" fontId="3" fillId="2" borderId="0" xfId="0" applyFont="1" applyFill="1" applyAlignment="1">
      <alignment horizontal="left" vertical="top"/>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2"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0" fontId="6" fillId="2" borderId="0" xfId="0" applyNumberFormat="1" applyFont="1" applyFill="1"/>
    <xf numFmtId="39" fontId="6" fillId="3" borderId="0" xfId="0" applyNumberFormat="1" applyFont="1" applyFill="1" applyBorder="1"/>
    <xf numFmtId="0" fontId="6" fillId="2" borderId="3" xfId="0" applyFont="1" applyFill="1" applyBorder="1"/>
    <xf numFmtId="0" fontId="7" fillId="2" borderId="3" xfId="0"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0"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0" fontId="6" fillId="2" borderId="0" xfId="0" applyNumberFormat="1" applyFont="1" applyFill="1" applyAlignment="1">
      <alignment horizontal="right"/>
    </xf>
    <xf numFmtId="4" fontId="7" fillId="2" borderId="0" xfId="0" applyNumberFormat="1" applyFont="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2" fontId="6" fillId="0" borderId="1" xfId="0" applyNumberFormat="1" applyFont="1" applyBorder="1" applyAlignment="1">
      <alignment horizontal="center" vertical="center" wrapText="1"/>
    </xf>
    <xf numFmtId="0" fontId="6" fillId="3" borderId="0" xfId="0" applyFont="1" applyFill="1"/>
    <xf numFmtId="0" fontId="7" fillId="3" borderId="0" xfId="0" applyFont="1" applyFill="1"/>
    <xf numFmtId="0" fontId="10" fillId="3" borderId="0" xfId="0" applyFont="1" applyFill="1" applyAlignment="1">
      <alignment horizontal="right"/>
    </xf>
    <xf numFmtId="0" fontId="11" fillId="2" borderId="0" xfId="1" applyFont="1" applyFill="1"/>
    <xf numFmtId="4" fontId="7" fillId="2" borderId="4" xfId="2" applyNumberFormat="1" applyFont="1" applyFill="1" applyBorder="1"/>
    <xf numFmtId="0" fontId="7" fillId="2" borderId="4" xfId="0" applyFont="1" applyFill="1" applyBorder="1" applyAlignment="1">
      <alignment wrapText="1"/>
    </xf>
    <xf numFmtId="0" fontId="7" fillId="2" borderId="0" xfId="0" applyFont="1" applyFill="1" applyBorder="1"/>
    <xf numFmtId="0" fontId="7" fillId="2" borderId="0" xfId="0" applyNumberFormat="1" applyFont="1" applyFill="1" applyBorder="1"/>
    <xf numFmtId="39" fontId="7" fillId="2" borderId="0" xfId="0" applyNumberFormat="1" applyFont="1" applyFill="1" applyBorder="1"/>
    <xf numFmtId="166" fontId="7" fillId="2" borderId="0" xfId="0" applyNumberFormat="1" applyFont="1" applyFill="1"/>
    <xf numFmtId="0" fontId="6" fillId="0" borderId="0" xfId="0" applyFont="1" applyFill="1"/>
    <xf numFmtId="0" fontId="7" fillId="3" borderId="0" xfId="0" applyNumberFormat="1" applyFont="1" applyFill="1"/>
    <xf numFmtId="39" fontId="7" fillId="3" borderId="0" xfId="0" applyNumberFormat="1" applyFont="1" applyFill="1"/>
    <xf numFmtId="39" fontId="7" fillId="0" borderId="0" xfId="0" applyNumberFormat="1" applyFont="1" applyFill="1" applyBorder="1"/>
    <xf numFmtId="39" fontId="7" fillId="0" borderId="0" xfId="0" applyNumberFormat="1" applyFont="1" applyFill="1"/>
    <xf numFmtId="0" fontId="7" fillId="0" borderId="0" xfId="0" applyFont="1" applyFill="1"/>
    <xf numFmtId="0" fontId="7" fillId="3" borderId="0" xfId="0" applyFont="1" applyFill="1" applyBorder="1"/>
    <xf numFmtId="0" fontId="7" fillId="3" borderId="0" xfId="0" applyNumberFormat="1" applyFont="1" applyFill="1" applyBorder="1"/>
    <xf numFmtId="0" fontId="11" fillId="3" borderId="0" xfId="1" applyFont="1" applyFill="1" applyBorder="1"/>
    <xf numFmtId="0" fontId="12" fillId="2" borderId="0" xfId="0" applyFont="1" applyFill="1"/>
    <xf numFmtId="0" fontId="7" fillId="0" borderId="4" xfId="0" applyFont="1" applyFill="1" applyBorder="1"/>
    <xf numFmtId="3" fontId="7" fillId="0" borderId="4" xfId="0" applyNumberFormat="1" applyFont="1" applyFill="1" applyBorder="1"/>
    <xf numFmtId="39" fontId="7" fillId="0" borderId="4" xfId="0" applyNumberFormat="1" applyFont="1" applyFill="1" applyBorder="1"/>
    <xf numFmtId="0" fontId="11" fillId="3" borderId="0" xfId="1" applyFont="1" applyFill="1"/>
    <xf numFmtId="0" fontId="11" fillId="0" borderId="0" xfId="1" applyFont="1" applyAlignment="1">
      <alignment vertical="center"/>
    </xf>
    <xf numFmtId="0" fontId="7" fillId="0" borderId="0" xfId="0" applyNumberFormat="1" applyFont="1" applyFill="1"/>
    <xf numFmtId="4" fontId="7" fillId="2" borderId="4" xfId="0" applyNumberFormat="1" applyFont="1" applyFill="1" applyBorder="1"/>
    <xf numFmtId="4" fontId="6" fillId="3" borderId="4" xfId="0" applyNumberFormat="1" applyFont="1" applyFill="1" applyBorder="1"/>
    <xf numFmtId="4" fontId="7" fillId="3" borderId="4" xfId="0" applyNumberFormat="1" applyFont="1" applyFill="1" applyBorder="1"/>
    <xf numFmtId="4" fontId="6" fillId="3" borderId="5" xfId="0" applyNumberFormat="1" applyFont="1" applyFill="1" applyBorder="1"/>
    <xf numFmtId="0" fontId="7" fillId="2" borderId="6" xfId="0" applyFont="1" applyFill="1" applyBorder="1"/>
    <xf numFmtId="0" fontId="7" fillId="2" borderId="7" xfId="0" applyFont="1" applyFill="1" applyBorder="1"/>
    <xf numFmtId="0" fontId="4" fillId="4" borderId="2"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2" borderId="6" xfId="0" applyFont="1" applyFill="1" applyBorder="1"/>
    <xf numFmtId="0" fontId="6" fillId="2" borderId="7" xfId="0" applyFont="1" applyFill="1" applyBorder="1"/>
    <xf numFmtId="0" fontId="6" fillId="2" borderId="0" xfId="0" applyFont="1" applyFill="1" applyAlignment="1">
      <alignment horizontal="left" vertical="top" wrapText="1"/>
    </xf>
    <xf numFmtId="0" fontId="6" fillId="2" borderId="0" xfId="0" applyFont="1" applyFill="1" applyAlignment="1">
      <alignment horizontal="justify" wrapText="1"/>
    </xf>
    <xf numFmtId="0" fontId="0" fillId="0" borderId="0" xfId="0" applyAlignment="1">
      <alignment horizontal="justify" wrapText="1"/>
    </xf>
    <xf numFmtId="0" fontId="6" fillId="2" borderId="0" xfId="0" applyFont="1" applyFill="1" applyAlignment="1">
      <alignment horizontal="justify" vertical="top" wrapText="1"/>
    </xf>
    <xf numFmtId="0" fontId="0" fillId="0" borderId="0" xfId="0" applyAlignment="1">
      <alignment horizontal="justify" vertical="top" wrapText="1"/>
    </xf>
    <xf numFmtId="0" fontId="6" fillId="2" borderId="0" xfId="0" applyFont="1" applyFill="1" applyAlignment="1">
      <alignment wrapText="1"/>
    </xf>
    <xf numFmtId="0" fontId="0" fillId="0" borderId="0" xfId="0" applyAlignment="1">
      <alignment wrapText="1"/>
    </xf>
  </cellXfs>
  <cellStyles count="3">
    <cellStyle name="Hyperlink" xfId="1" builtinId="8"/>
    <cellStyle name="Normal" xfId="0" builtinId="0"/>
    <cellStyle name="Percent" xfId="2" builtinId="5"/>
  </cellStyles>
  <dxfs count="73">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franklintempletonindia.com/downloadsServlet/pdf/product-labels-jg9o5k7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franklintempletonindia.com/downloadsServlet/pdf/product-labels-jg9o5k7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franklintempletonindia.com/downloadsServlet/pdf/product-labels-jg9o5k7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franklintempletonindia.com/downloadsServlet/pdf/product-labels-jg9o5k7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franklin-templeton-update-on-reliance-broadcast-july-23-2020-kcg9m1gq" TargetMode="External"/><Relationship Id="rId1" Type="http://schemas.openxmlformats.org/officeDocument/2006/relationships/hyperlink" Target="https://www.franklintempletonindia.com/investor/reports" TargetMode="Externa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franklintempletonindia.com/downloadsServlet/pdf/product-labels-jg9o5k7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franklintempletonindia.com/downloadsServlet/pdf/product-labels-jg9o5k7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franklintempletonindia.com/downloadsServlet/pdf/product-labels-jg9o5k7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franklintempletonindia.com/downloadsServlet/pdf/product-labels-jg9o5k7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franklintempletonindia.com/downloadsServlet/pdf/product-labels-jg9o5k7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franklintempletonindia.com/downloadsServlet/pdf/product-labels-jg9o5k7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franklintempletonindia.com/downloadsServlet/pdf/product-labels-jg9o5k7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franklintempletonindia.com/downloadsServlet/pdf/product-labels-jg9o5k7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franklintempletonindia.com/downloadsServlet/pdf/product-labels-jg9o5k7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franklintempletonindia.com/downloadsServlet/pdf/product-labels-jg9o5k7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franklintempletonindia.com/downloadsServlet/pdf/product-labels-jg9o5k7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franklintempletonindia.com/downloadsServlet/pdf/product-labels-jg9o5k7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franklintempletonindia.com/downloadsServlet/pdf/product-labels-jg9o5k7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franklintempletonindia.com/downloadsServlet/pdf/product-labels-jg9o5k7l"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franklintempletonindia.com/downloadsServlet/pdf/product-labels-jg9o5k7l" TargetMode="External"/></Relationships>
</file>

<file path=xl/worksheets/_rels/sheet22.xml.rels><?xml version="1.0" encoding="UTF-8" standalone="yes"?>
<Relationships xmlns="http://schemas.openxmlformats.org/package/2006/relationships"><Relationship Id="rId8" Type="http://schemas.openxmlformats.org/officeDocument/2006/relationships/printerSettings" Target="../printerSettings/printerSettings22.bin"/><Relationship Id="rId3" Type="http://schemas.openxmlformats.org/officeDocument/2006/relationships/hyperlink" Target="https://www.franklintempletonindia.com/investor/reports?firstFilter-4" TargetMode="External"/><Relationship Id="rId7"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downloadsServlet/pdf/fair-valuation-reliance-big-reliance-infra-november-4-2020-kgox4tfq" TargetMode="External"/><Relationship Id="rId6" Type="http://schemas.openxmlformats.org/officeDocument/2006/relationships/hyperlink" Target="https://www.franklintempletonindia.com/investor/reports?firstFilter-4" TargetMode="External"/><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investor/reports?firstFilter-4"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downloadsServlet/pdf/fair-valuation-reliance-big-reliance-infra-november-4-2020-kgox4tfq" TargetMode="External"/><Relationship Id="rId6" Type="http://schemas.openxmlformats.org/officeDocument/2006/relationships/printerSettings" Target="../printerSettings/printerSettings23.bin"/><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investor/reports?firstFilter-4"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www.franklintempletonindia.com/downloadsServlet/pdf/product-labels-jg9o5k7l" TargetMode="External"/><Relationship Id="rId3" Type="http://schemas.openxmlformats.org/officeDocument/2006/relationships/hyperlink" Target="https://www.franklintempletonindia.com/downloadsServlet/pdf/fair-valuation-reliance-big-reliance-infra-november-4-2020-kgox4tfq" TargetMode="External"/><Relationship Id="rId7"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ranklin-templeton-update-on-reliance-broadcast-july-23-2020-kcg9m1g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downloadsServlet/pdf/product-labels-jg9o5k7l" TargetMode="External"/><Relationship Id="rId5" Type="http://schemas.openxmlformats.org/officeDocument/2006/relationships/hyperlink" Target="https://www.franklintempletonindia.com/investor/reports?firstFilter-4" TargetMode="External"/><Relationship Id="rId4" Type="http://schemas.openxmlformats.org/officeDocument/2006/relationships/hyperlink" Target="https://www.franklintempletonindia.com/downloadsServlet/pdf/product-labels-jg9o5k7l" TargetMode="External"/><Relationship Id="rId9"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downloadsServlet/pdf/fair-valuation-reliance-big-reliance-infra-november-4-2020-kgox4tfq" TargetMode="External"/><Relationship Id="rId6" Type="http://schemas.openxmlformats.org/officeDocument/2006/relationships/printerSettings" Target="../printerSettings/printerSettings26.bin"/><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investor/reports?firstFilter-4" TargetMode="External"/></Relationships>
</file>

<file path=xl/worksheets/_rels/sheet27.xml.rels><?xml version="1.0" encoding="UTF-8" standalone="yes"?>
<Relationships xmlns="http://schemas.openxmlformats.org/package/2006/relationships"><Relationship Id="rId8" Type="http://schemas.openxmlformats.org/officeDocument/2006/relationships/printerSettings" Target="../printerSettings/printerSettings27.bin"/><Relationship Id="rId3" Type="http://schemas.openxmlformats.org/officeDocument/2006/relationships/hyperlink" Target="https://www.franklintempletonindia.com/investor/reports?firstFilter-4" TargetMode="External"/><Relationship Id="rId7"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downloadsServlet/pdf/fair-valuation-reliance-big-reliance-infra-november-4-2020-kgox4tfq" TargetMode="External"/><Relationship Id="rId6" Type="http://schemas.openxmlformats.org/officeDocument/2006/relationships/hyperlink" Target="https://www.franklintempletonindia.com/investor/reports?firstFilter-4" TargetMode="External"/><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investor/reports?firstFilter-4"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s://www.franklintempletonindia.com/downloadsServlet/pdf/product-labels-jg9o5k7l"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www.franklintempletonindia.com/downloadsServlet/pdf/product-labels-jg9o5k7l"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www.franklintempletonindia.com/downloadsServlet/pdf/product-labels-jg9o5k7l" TargetMode="Externa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s://www.franklintempletonindia.com/downloadsServlet/pdf/product-labels-jg9o5k7l"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s://www.franklintempletonindia.com/downloadsServlet/pdf/product-labels-jg9o5k7l" TargetMode="External"/></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37.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www.franklintempletonindia.com/downloadsServlet/pdf/product-labels-jg9o5k7l" TargetMode="External"/></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hyperlink" Target="https://www.franklintempletonindia.com/downloadsServlet/pdf/product-labels-jg9o5k7l"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https://www.franklintempletonindia.com/downloadsServlet/pdf/product-labels-jg9o5k7l" TargetMode="External"/></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hyperlink" Target="https://www.franklintempletonindia.com/downloadsServlet/pdf/product-labels-jg9o5k7l" TargetMode="External"/></Relationships>
</file>

<file path=xl/worksheets/_rels/sheet42.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hyperlink" Target="https://www.franklintempletonindia.com/downloadsServlet/pdf/product-labels-jg9o5k7l" TargetMode="Externa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3.bin"/><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investor/reports?firstFilter-4" TargetMode="External"/></Relationships>
</file>

<file path=xl/worksheets/_rels/sheet44.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hyperlink" Target="https://www.franklintempletonindia.com/downloadsServlet/pdf/product-labels-jg9o5k7l" TargetMode="External"/></Relationships>
</file>

<file path=xl/worksheets/_rels/sheet45.xml.rels><?xml version="1.0" encoding="UTF-8" standalone="yes"?>
<Relationships xmlns="http://schemas.openxmlformats.org/package/2006/relationships"><Relationship Id="rId2" Type="http://schemas.openxmlformats.org/officeDocument/2006/relationships/printerSettings" Target="../printerSettings/printerSettings45.bin"/><Relationship Id="rId1" Type="http://schemas.openxmlformats.org/officeDocument/2006/relationships/hyperlink" Target="https://www.franklintempletonindia.com/downloadsServlet/pdf/product-labels-jg9o5k7l" TargetMode="External"/></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6.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47.bin"/><Relationship Id="rId1" Type="http://schemas.openxmlformats.org/officeDocument/2006/relationships/hyperlink" Target="https://www.franklintempletonindia.com/downloadsServlet/pdf/product-labels-jg9o5k7l" TargetMode="External"/></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9.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50.xml.rels><?xml version="1.0" encoding="UTF-8" standalone="yes"?>
<Relationships xmlns="http://schemas.openxmlformats.org/package/2006/relationships"><Relationship Id="rId3" Type="http://schemas.openxmlformats.org/officeDocument/2006/relationships/printerSettings" Target="../printerSettings/printerSettings50.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51.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52.xml.rels><?xml version="1.0" encoding="UTF-8" standalone="yes"?>
<Relationships xmlns="http://schemas.openxmlformats.org/package/2006/relationships"><Relationship Id="rId3" Type="http://schemas.openxmlformats.org/officeDocument/2006/relationships/printerSettings" Target="../printerSettings/printerSettings52.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0"/>
  <sheetViews>
    <sheetView tabSelected="1" workbookViewId="0">
      <selection sqref="A1:G1"/>
    </sheetView>
  </sheetViews>
  <sheetFormatPr defaultColWidth="9.109375" defaultRowHeight="10.199999999999999" x14ac:dyDescent="0.2"/>
  <cols>
    <col min="1" max="1" width="38.6640625" style="9" bestFit="1" customWidth="1"/>
    <col min="2" max="2" width="51"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9" t="s">
        <v>748</v>
      </c>
      <c r="B1" s="80"/>
      <c r="C1" s="80"/>
      <c r="D1" s="80"/>
      <c r="E1" s="80"/>
      <c r="F1" s="80"/>
      <c r="G1" s="80"/>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749</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750</v>
      </c>
      <c r="B7" s="27" t="s">
        <v>751</v>
      </c>
      <c r="C7" s="27" t="s">
        <v>34</v>
      </c>
      <c r="D7" s="31">
        <v>5</v>
      </c>
      <c r="E7" s="29">
        <v>501.71350000000001</v>
      </c>
      <c r="F7" s="30">
        <v>0.28184617160785502</v>
      </c>
      <c r="G7" s="29">
        <v>3.4594999999999998</v>
      </c>
    </row>
    <row r="8" spans="1:9" x14ac:dyDescent="0.2">
      <c r="A8" s="26" t="s">
        <v>35</v>
      </c>
      <c r="B8" s="26"/>
      <c r="C8" s="26"/>
      <c r="D8" s="32"/>
      <c r="E8" s="33">
        <f>SUM(E6:E7)</f>
        <v>501.71350000000001</v>
      </c>
      <c r="F8" s="34">
        <f>SUM(F6:F7)</f>
        <v>0.28184617160785502</v>
      </c>
      <c r="G8" s="33"/>
      <c r="H8" s="18"/>
      <c r="I8" s="18"/>
    </row>
    <row r="9" spans="1:9" x14ac:dyDescent="0.2">
      <c r="A9" s="27"/>
      <c r="B9" s="27"/>
      <c r="C9" s="27"/>
      <c r="D9" s="28"/>
      <c r="E9" s="29"/>
      <c r="F9" s="30"/>
      <c r="G9" s="29"/>
    </row>
    <row r="10" spans="1:9" x14ac:dyDescent="0.2">
      <c r="A10" s="26" t="s">
        <v>51</v>
      </c>
      <c r="B10" s="27"/>
      <c r="C10" s="27"/>
      <c r="D10" s="28"/>
      <c r="E10" s="29"/>
      <c r="F10" s="30"/>
      <c r="G10" s="29"/>
    </row>
    <row r="11" spans="1:9" x14ac:dyDescent="0.2">
      <c r="A11" s="26" t="s">
        <v>55</v>
      </c>
      <c r="B11" s="27"/>
      <c r="C11" s="27"/>
      <c r="D11" s="28"/>
      <c r="E11" s="29"/>
      <c r="F11" s="30"/>
      <c r="G11" s="29"/>
    </row>
    <row r="12" spans="1:9" x14ac:dyDescent="0.2">
      <c r="A12" s="27" t="s">
        <v>752</v>
      </c>
      <c r="B12" s="27" t="s">
        <v>753</v>
      </c>
      <c r="C12" s="27" t="s">
        <v>53</v>
      </c>
      <c r="D12" s="31">
        <v>1800</v>
      </c>
      <c r="E12" s="29">
        <v>8988.1020000000008</v>
      </c>
      <c r="F12" s="30">
        <v>5.04922059845092</v>
      </c>
      <c r="G12" s="29">
        <v>3.4512</v>
      </c>
    </row>
    <row r="13" spans="1:9" x14ac:dyDescent="0.2">
      <c r="A13" s="27" t="s">
        <v>754</v>
      </c>
      <c r="B13" s="27" t="s">
        <v>755</v>
      </c>
      <c r="C13" s="27" t="s">
        <v>58</v>
      </c>
      <c r="D13" s="31">
        <v>1800</v>
      </c>
      <c r="E13" s="29">
        <v>8955.5939999999991</v>
      </c>
      <c r="F13" s="30">
        <v>5.0309586713817298</v>
      </c>
      <c r="G13" s="29">
        <v>3.4148000000000001</v>
      </c>
    </row>
    <row r="14" spans="1:9" x14ac:dyDescent="0.2">
      <c r="A14" s="27" t="s">
        <v>756</v>
      </c>
      <c r="B14" s="27" t="s">
        <v>757</v>
      </c>
      <c r="C14" s="27" t="s">
        <v>53</v>
      </c>
      <c r="D14" s="31">
        <v>1500</v>
      </c>
      <c r="E14" s="29">
        <v>7486.44</v>
      </c>
      <c r="F14" s="30">
        <v>4.2056361907182298</v>
      </c>
      <c r="G14" s="29">
        <v>3.4796</v>
      </c>
    </row>
    <row r="15" spans="1:9" x14ac:dyDescent="0.2">
      <c r="A15" s="27" t="s">
        <v>758</v>
      </c>
      <c r="B15" s="27" t="s">
        <v>759</v>
      </c>
      <c r="C15" s="27" t="s">
        <v>53</v>
      </c>
      <c r="D15" s="31">
        <v>1500</v>
      </c>
      <c r="E15" s="29">
        <v>7455.21</v>
      </c>
      <c r="F15" s="30">
        <v>4.1880922020886402</v>
      </c>
      <c r="G15" s="29">
        <v>3.6551</v>
      </c>
    </row>
    <row r="16" spans="1:9" x14ac:dyDescent="0.2">
      <c r="A16" s="27" t="s">
        <v>760</v>
      </c>
      <c r="B16" s="27" t="s">
        <v>761</v>
      </c>
      <c r="C16" s="27" t="s">
        <v>762</v>
      </c>
      <c r="D16" s="31">
        <v>1100</v>
      </c>
      <c r="E16" s="29">
        <v>5456.6764999999996</v>
      </c>
      <c r="F16" s="30">
        <v>3.0653816993713598</v>
      </c>
      <c r="G16" s="29">
        <v>3.4499</v>
      </c>
    </row>
    <row r="17" spans="1:9" x14ac:dyDescent="0.2">
      <c r="A17" s="27" t="s">
        <v>763</v>
      </c>
      <c r="B17" s="27" t="s">
        <v>764</v>
      </c>
      <c r="C17" s="27" t="s">
        <v>53</v>
      </c>
      <c r="D17" s="31">
        <v>1000</v>
      </c>
      <c r="E17" s="29">
        <v>4994.95</v>
      </c>
      <c r="F17" s="30">
        <v>2.80599891147568</v>
      </c>
      <c r="G17" s="29">
        <v>3.3563999999999998</v>
      </c>
    </row>
    <row r="18" spans="1:9" x14ac:dyDescent="0.2">
      <c r="A18" s="27" t="s">
        <v>765</v>
      </c>
      <c r="B18" s="27" t="s">
        <v>766</v>
      </c>
      <c r="C18" s="27" t="s">
        <v>53</v>
      </c>
      <c r="D18" s="31">
        <v>1000</v>
      </c>
      <c r="E18" s="29">
        <v>4989.71</v>
      </c>
      <c r="F18" s="30">
        <v>2.8030552515199001</v>
      </c>
      <c r="G18" s="29">
        <v>3.5851999999999999</v>
      </c>
    </row>
    <row r="19" spans="1:9" x14ac:dyDescent="0.2">
      <c r="A19" s="27" t="s">
        <v>767</v>
      </c>
      <c r="B19" s="27" t="s">
        <v>768</v>
      </c>
      <c r="C19" s="27" t="s">
        <v>53</v>
      </c>
      <c r="D19" s="31">
        <v>1000</v>
      </c>
      <c r="E19" s="29">
        <v>4984.4549999999999</v>
      </c>
      <c r="F19" s="30">
        <v>2.8001031650566102</v>
      </c>
      <c r="G19" s="29">
        <v>3.4495</v>
      </c>
    </row>
    <row r="20" spans="1:9" x14ac:dyDescent="0.2">
      <c r="A20" s="27" t="s">
        <v>769</v>
      </c>
      <c r="B20" s="27" t="s">
        <v>770</v>
      </c>
      <c r="C20" s="27" t="s">
        <v>53</v>
      </c>
      <c r="D20" s="31">
        <v>1000</v>
      </c>
      <c r="E20" s="29">
        <v>4982.3100000000004</v>
      </c>
      <c r="F20" s="30">
        <v>2.7988981744831101</v>
      </c>
      <c r="G20" s="29">
        <v>3.5998999999999999</v>
      </c>
    </row>
    <row r="21" spans="1:9" x14ac:dyDescent="0.2">
      <c r="A21" s="27" t="s">
        <v>771</v>
      </c>
      <c r="B21" s="27" t="s">
        <v>772</v>
      </c>
      <c r="C21" s="27" t="s">
        <v>53</v>
      </c>
      <c r="D21" s="31">
        <v>1000</v>
      </c>
      <c r="E21" s="29">
        <v>4970.32</v>
      </c>
      <c r="F21" s="30">
        <v>2.7921625861491801</v>
      </c>
      <c r="G21" s="29">
        <v>3.5154000000000001</v>
      </c>
    </row>
    <row r="22" spans="1:9" x14ac:dyDescent="0.2">
      <c r="A22" s="27" t="s">
        <v>773</v>
      </c>
      <c r="B22" s="27" t="s">
        <v>774</v>
      </c>
      <c r="C22" s="27" t="s">
        <v>53</v>
      </c>
      <c r="D22" s="31">
        <v>1000</v>
      </c>
      <c r="E22" s="29">
        <v>4969.0649999999996</v>
      </c>
      <c r="F22" s="30">
        <v>2.7914575683544198</v>
      </c>
      <c r="G22" s="29">
        <v>3.665</v>
      </c>
    </row>
    <row r="23" spans="1:9" x14ac:dyDescent="0.2">
      <c r="A23" s="27" t="s">
        <v>775</v>
      </c>
      <c r="B23" s="27" t="s">
        <v>776</v>
      </c>
      <c r="C23" s="27" t="s">
        <v>53</v>
      </c>
      <c r="D23" s="31">
        <v>900</v>
      </c>
      <c r="E23" s="29">
        <v>4488.12</v>
      </c>
      <c r="F23" s="30">
        <v>2.5212784581571901</v>
      </c>
      <c r="G23" s="29">
        <v>3.4504999999999999</v>
      </c>
    </row>
    <row r="24" spans="1:9" x14ac:dyDescent="0.2">
      <c r="A24" s="27" t="s">
        <v>777</v>
      </c>
      <c r="B24" s="27" t="s">
        <v>778</v>
      </c>
      <c r="C24" s="27" t="s">
        <v>54</v>
      </c>
      <c r="D24" s="31">
        <v>900</v>
      </c>
      <c r="E24" s="29">
        <v>4477.9184999999998</v>
      </c>
      <c r="F24" s="30">
        <v>2.51554759040167</v>
      </c>
      <c r="G24" s="29">
        <v>3.6000999999999999</v>
      </c>
    </row>
    <row r="25" spans="1:9" x14ac:dyDescent="0.2">
      <c r="A25" s="27" t="s">
        <v>779</v>
      </c>
      <c r="B25" s="27" t="s">
        <v>780</v>
      </c>
      <c r="C25" s="27" t="s">
        <v>53</v>
      </c>
      <c r="D25" s="31">
        <v>800</v>
      </c>
      <c r="E25" s="29">
        <v>3982.2440000000001</v>
      </c>
      <c r="F25" s="30">
        <v>2.2370939307161399</v>
      </c>
      <c r="G25" s="29">
        <v>3.4630999999999998</v>
      </c>
    </row>
    <row r="26" spans="1:9" x14ac:dyDescent="0.2">
      <c r="A26" s="27" t="s">
        <v>781</v>
      </c>
      <c r="B26" s="27" t="s">
        <v>782</v>
      </c>
      <c r="C26" s="27" t="s">
        <v>53</v>
      </c>
      <c r="D26" s="31">
        <v>800</v>
      </c>
      <c r="E26" s="29">
        <v>3976.308</v>
      </c>
      <c r="F26" s="30">
        <v>2.2337592808120301</v>
      </c>
      <c r="G26" s="29">
        <v>3.6248999999999998</v>
      </c>
    </row>
    <row r="27" spans="1:9" x14ac:dyDescent="0.2">
      <c r="A27" s="27" t="s">
        <v>783</v>
      </c>
      <c r="B27" s="27" t="s">
        <v>784</v>
      </c>
      <c r="C27" s="27" t="s">
        <v>53</v>
      </c>
      <c r="D27" s="31">
        <v>500</v>
      </c>
      <c r="E27" s="29">
        <v>2495.2725</v>
      </c>
      <c r="F27" s="30">
        <v>1.4017621635522299</v>
      </c>
      <c r="G27" s="29">
        <v>3.6396000000000002</v>
      </c>
    </row>
    <row r="28" spans="1:9" x14ac:dyDescent="0.2">
      <c r="A28" s="27" t="s">
        <v>785</v>
      </c>
      <c r="B28" s="27" t="s">
        <v>786</v>
      </c>
      <c r="C28" s="27" t="s">
        <v>53</v>
      </c>
      <c r="D28" s="31">
        <v>500</v>
      </c>
      <c r="E28" s="29">
        <v>2481.5450000000001</v>
      </c>
      <c r="F28" s="30">
        <v>1.3940505047653999</v>
      </c>
      <c r="G28" s="29">
        <v>3.4801000000000002</v>
      </c>
    </row>
    <row r="29" spans="1:9" x14ac:dyDescent="0.2">
      <c r="A29" s="26" t="s">
        <v>35</v>
      </c>
      <c r="B29" s="26"/>
      <c r="C29" s="26"/>
      <c r="D29" s="32"/>
      <c r="E29" s="33">
        <f>SUM(E11:E28)</f>
        <v>90134.2405</v>
      </c>
      <c r="F29" s="34">
        <f>SUM(F11:F28)</f>
        <v>50.634456947454439</v>
      </c>
      <c r="G29" s="33"/>
      <c r="H29" s="18"/>
      <c r="I29" s="18"/>
    </row>
    <row r="30" spans="1:9" x14ac:dyDescent="0.2">
      <c r="A30" s="27"/>
      <c r="B30" s="27"/>
      <c r="C30" s="27"/>
      <c r="D30" s="28"/>
      <c r="E30" s="29"/>
      <c r="F30" s="30"/>
      <c r="G30" s="29"/>
    </row>
    <row r="31" spans="1:9" x14ac:dyDescent="0.2">
      <c r="A31" s="26" t="s">
        <v>61</v>
      </c>
      <c r="B31" s="27"/>
      <c r="C31" s="27"/>
      <c r="D31" s="28"/>
      <c r="E31" s="29"/>
      <c r="F31" s="30"/>
      <c r="G31" s="29"/>
    </row>
    <row r="32" spans="1:9" x14ac:dyDescent="0.2">
      <c r="A32" s="27" t="s">
        <v>787</v>
      </c>
      <c r="B32" s="27" t="s">
        <v>788</v>
      </c>
      <c r="C32" s="27" t="s">
        <v>65</v>
      </c>
      <c r="D32" s="31">
        <v>15300000</v>
      </c>
      <c r="E32" s="29">
        <v>15211.26</v>
      </c>
      <c r="F32" s="30">
        <v>8.5451864387378507</v>
      </c>
      <c r="G32" s="29">
        <v>3.3799000000000001</v>
      </c>
    </row>
    <row r="33" spans="1:9" x14ac:dyDescent="0.2">
      <c r="A33" s="27" t="s">
        <v>789</v>
      </c>
      <c r="B33" s="27" t="s">
        <v>790</v>
      </c>
      <c r="C33" s="27" t="s">
        <v>65</v>
      </c>
      <c r="D33" s="31">
        <v>13777000</v>
      </c>
      <c r="E33" s="29">
        <v>13706.558199999999</v>
      </c>
      <c r="F33" s="30">
        <v>7.6998943711705099</v>
      </c>
      <c r="G33" s="29">
        <v>3.3496999999999999</v>
      </c>
    </row>
    <row r="34" spans="1:9" x14ac:dyDescent="0.2">
      <c r="A34" s="27" t="s">
        <v>791</v>
      </c>
      <c r="B34" s="27" t="s">
        <v>792</v>
      </c>
      <c r="C34" s="27" t="s">
        <v>65</v>
      </c>
      <c r="D34" s="31">
        <v>10000000</v>
      </c>
      <c r="E34" s="29">
        <v>9967.98</v>
      </c>
      <c r="F34" s="30">
        <v>5.5996838866477896</v>
      </c>
      <c r="G34" s="29">
        <v>3.35</v>
      </c>
    </row>
    <row r="35" spans="1:9" x14ac:dyDescent="0.2">
      <c r="A35" s="27" t="s">
        <v>793</v>
      </c>
      <c r="B35" s="27" t="s">
        <v>794</v>
      </c>
      <c r="C35" s="27" t="s">
        <v>65</v>
      </c>
      <c r="D35" s="31">
        <v>5000000</v>
      </c>
      <c r="E35" s="29">
        <v>4980.8</v>
      </c>
      <c r="F35" s="30">
        <v>2.79804990606074</v>
      </c>
      <c r="G35" s="29">
        <v>3.35</v>
      </c>
    </row>
    <row r="36" spans="1:9" x14ac:dyDescent="0.2">
      <c r="A36" s="27" t="s">
        <v>795</v>
      </c>
      <c r="B36" s="27" t="s">
        <v>796</v>
      </c>
      <c r="C36" s="27" t="s">
        <v>65</v>
      </c>
      <c r="D36" s="31">
        <v>2500000</v>
      </c>
      <c r="E36" s="29">
        <v>2482.3000000000002</v>
      </c>
      <c r="F36" s="30">
        <v>1.3944746389765801</v>
      </c>
      <c r="G36" s="29">
        <v>3.38</v>
      </c>
    </row>
    <row r="37" spans="1:9" x14ac:dyDescent="0.2">
      <c r="A37" s="27" t="s">
        <v>797</v>
      </c>
      <c r="B37" s="27" t="s">
        <v>798</v>
      </c>
      <c r="C37" s="27" t="s">
        <v>65</v>
      </c>
      <c r="D37" s="31">
        <v>400000</v>
      </c>
      <c r="E37" s="29">
        <v>399.2396</v>
      </c>
      <c r="F37" s="30">
        <v>0.22427969909968801</v>
      </c>
      <c r="G37" s="29">
        <v>3.3104</v>
      </c>
    </row>
    <row r="38" spans="1:9" x14ac:dyDescent="0.2">
      <c r="A38" s="26" t="s">
        <v>35</v>
      </c>
      <c r="B38" s="26"/>
      <c r="C38" s="26"/>
      <c r="D38" s="32"/>
      <c r="E38" s="33">
        <f>SUM(E31:E37)</f>
        <v>46748.137800000011</v>
      </c>
      <c r="F38" s="34">
        <f>SUM(F31:F37)</f>
        <v>26.261568940693156</v>
      </c>
      <c r="G38" s="33"/>
      <c r="H38" s="18"/>
      <c r="I38" s="18"/>
    </row>
    <row r="39" spans="1:9" x14ac:dyDescent="0.2">
      <c r="A39" s="27"/>
      <c r="B39" s="27"/>
      <c r="C39" s="27"/>
      <c r="D39" s="28"/>
      <c r="E39" s="29"/>
      <c r="F39" s="30"/>
      <c r="G39" s="29"/>
    </row>
    <row r="40" spans="1:9" x14ac:dyDescent="0.2">
      <c r="A40" s="26" t="s">
        <v>62</v>
      </c>
      <c r="B40" s="27"/>
      <c r="C40" s="27"/>
      <c r="D40" s="28"/>
      <c r="E40" s="29"/>
      <c r="F40" s="30"/>
      <c r="G40" s="29"/>
    </row>
    <row r="41" spans="1:9" x14ac:dyDescent="0.2">
      <c r="A41" s="27" t="s">
        <v>799</v>
      </c>
      <c r="B41" s="27" t="s">
        <v>800</v>
      </c>
      <c r="C41" s="27" t="s">
        <v>65</v>
      </c>
      <c r="D41" s="31">
        <v>10000000</v>
      </c>
      <c r="E41" s="29">
        <v>10010.58</v>
      </c>
      <c r="F41" s="30">
        <v>5.6236151679677002</v>
      </c>
      <c r="G41" s="29">
        <v>3.3984000000000001</v>
      </c>
    </row>
    <row r="42" spans="1:9" x14ac:dyDescent="0.2">
      <c r="A42" s="26" t="s">
        <v>35</v>
      </c>
      <c r="B42" s="26"/>
      <c r="C42" s="26"/>
      <c r="D42" s="32"/>
      <c r="E42" s="33">
        <f>SUM(E41:E41)</f>
        <v>10010.58</v>
      </c>
      <c r="F42" s="34">
        <f>SUM(F41:F41)</f>
        <v>5.6236151679677002</v>
      </c>
      <c r="G42" s="33"/>
      <c r="H42" s="18"/>
      <c r="I42" s="18"/>
    </row>
    <row r="43" spans="1:9" x14ac:dyDescent="0.2">
      <c r="A43" s="27"/>
      <c r="B43" s="27"/>
      <c r="C43" s="27"/>
      <c r="D43" s="28"/>
      <c r="E43" s="29"/>
      <c r="F43" s="30"/>
      <c r="G43" s="29"/>
    </row>
    <row r="44" spans="1:9" x14ac:dyDescent="0.2">
      <c r="A44" s="26" t="s">
        <v>37</v>
      </c>
      <c r="B44" s="26"/>
      <c r="C44" s="26"/>
      <c r="D44" s="32"/>
      <c r="E44" s="33">
        <f>E8+E29+E38+E42</f>
        <v>147394.67179999998</v>
      </c>
      <c r="F44" s="34">
        <f>F8+F29+F38+F42</f>
        <v>82.801487227723143</v>
      </c>
      <c r="G44" s="33"/>
      <c r="H44" s="18"/>
      <c r="I44" s="18"/>
    </row>
    <row r="45" spans="1:9" x14ac:dyDescent="0.2">
      <c r="A45" s="26"/>
      <c r="B45" s="26"/>
      <c r="C45" s="26"/>
      <c r="D45" s="32"/>
      <c r="E45" s="33"/>
      <c r="F45" s="34"/>
      <c r="G45" s="33"/>
      <c r="H45" s="18"/>
      <c r="I45" s="18"/>
    </row>
    <row r="46" spans="1:9" x14ac:dyDescent="0.2">
      <c r="A46" s="26" t="s">
        <v>39</v>
      </c>
      <c r="B46" s="26"/>
      <c r="C46" s="26"/>
      <c r="D46" s="32"/>
      <c r="E46" s="33">
        <f>E48-(E8+E29+E38+E42)</f>
        <v>30615.019492900028</v>
      </c>
      <c r="F46" s="34">
        <f>F48-(F8+F29+F38+F42)</f>
        <v>17.198512772276857</v>
      </c>
      <c r="G46" s="33"/>
      <c r="H46" s="18"/>
      <c r="I46" s="18"/>
    </row>
    <row r="47" spans="1:9" x14ac:dyDescent="0.2">
      <c r="A47" s="26"/>
      <c r="B47" s="26"/>
      <c r="C47" s="26"/>
      <c r="D47" s="32"/>
      <c r="E47" s="33"/>
      <c r="F47" s="34"/>
      <c r="G47" s="33"/>
      <c r="H47" s="18"/>
      <c r="I47" s="18"/>
    </row>
    <row r="48" spans="1:9" x14ac:dyDescent="0.2">
      <c r="A48" s="35" t="s">
        <v>38</v>
      </c>
      <c r="B48" s="35"/>
      <c r="C48" s="35"/>
      <c r="D48" s="36"/>
      <c r="E48" s="37">
        <v>178009.69129290001</v>
      </c>
      <c r="F48" s="38">
        <v>100</v>
      </c>
      <c r="G48" s="37"/>
      <c r="H48" s="18"/>
      <c r="I48" s="18"/>
    </row>
    <row r="50" spans="1:4" x14ac:dyDescent="0.2">
      <c r="A50" s="18" t="s">
        <v>66</v>
      </c>
    </row>
    <row r="51" spans="1:4" x14ac:dyDescent="0.2">
      <c r="A51" s="18" t="s">
        <v>40</v>
      </c>
    </row>
    <row r="53" spans="1:4" x14ac:dyDescent="0.2">
      <c r="A53" s="18" t="s">
        <v>41</v>
      </c>
    </row>
    <row r="54" spans="1:4" x14ac:dyDescent="0.2">
      <c r="A54" s="18" t="s">
        <v>42</v>
      </c>
    </row>
    <row r="55" spans="1:4" x14ac:dyDescent="0.2">
      <c r="A55" s="18" t="s">
        <v>43</v>
      </c>
      <c r="B55" s="18"/>
      <c r="C55" s="39" t="s">
        <v>45</v>
      </c>
      <c r="D55" s="19" t="s">
        <v>44</v>
      </c>
    </row>
    <row r="56" spans="1:4" x14ac:dyDescent="0.2">
      <c r="A56" s="9" t="s">
        <v>801</v>
      </c>
      <c r="C56" s="40">
        <v>4730.2748000000001</v>
      </c>
      <c r="D56" s="40">
        <v>4788.1911</v>
      </c>
    </row>
    <row r="57" spans="1:4" x14ac:dyDescent="0.2">
      <c r="A57" s="9" t="s">
        <v>802</v>
      </c>
      <c r="C57" s="40">
        <v>1510.5263</v>
      </c>
      <c r="D57" s="40">
        <v>1510.4899</v>
      </c>
    </row>
    <row r="58" spans="1:4" x14ac:dyDescent="0.2">
      <c r="A58" s="9" t="s">
        <v>803</v>
      </c>
      <c r="C58" s="40">
        <v>1244.6821</v>
      </c>
      <c r="D58" s="40">
        <v>1244.5925999999999</v>
      </c>
    </row>
    <row r="59" spans="1:4" x14ac:dyDescent="0.2">
      <c r="A59" s="9" t="s">
        <v>804</v>
      </c>
      <c r="C59" s="40">
        <v>1000</v>
      </c>
      <c r="D59" s="40">
        <v>1000</v>
      </c>
    </row>
    <row r="60" spans="1:4" x14ac:dyDescent="0.2">
      <c r="A60" s="9" t="s">
        <v>805</v>
      </c>
      <c r="C60" s="40">
        <v>1055.0764999999999</v>
      </c>
      <c r="D60" s="40">
        <v>1054.9919</v>
      </c>
    </row>
    <row r="61" spans="1:4" x14ac:dyDescent="0.2">
      <c r="A61" s="9" t="s">
        <v>806</v>
      </c>
      <c r="C61" s="40">
        <v>3052.6019000000001</v>
      </c>
      <c r="D61" s="40">
        <v>3100.2532999999999</v>
      </c>
    </row>
    <row r="62" spans="1:4" x14ac:dyDescent="0.2">
      <c r="A62" s="9" t="s">
        <v>807</v>
      </c>
      <c r="C62" s="40">
        <v>1000</v>
      </c>
      <c r="D62" s="40">
        <v>1000</v>
      </c>
    </row>
    <row r="63" spans="1:4" x14ac:dyDescent="0.2">
      <c r="A63" s="9" t="s">
        <v>808</v>
      </c>
      <c r="C63" s="40">
        <v>1022.3161</v>
      </c>
      <c r="D63" s="40">
        <v>1022.2228</v>
      </c>
    </row>
    <row r="64" spans="1:4" x14ac:dyDescent="0.2">
      <c r="A64" s="9" t="s">
        <v>809</v>
      </c>
      <c r="C64" s="40">
        <v>3067.7937999999999</v>
      </c>
      <c r="D64" s="40">
        <v>3116.8692000000001</v>
      </c>
    </row>
    <row r="65" spans="1:4" x14ac:dyDescent="0.2">
      <c r="A65" s="9" t="s">
        <v>810</v>
      </c>
      <c r="C65" s="40">
        <v>1002.2243</v>
      </c>
      <c r="D65" s="40">
        <v>1002.2204</v>
      </c>
    </row>
    <row r="66" spans="1:4" x14ac:dyDescent="0.2">
      <c r="A66" s="9" t="s">
        <v>811</v>
      </c>
      <c r="C66" s="40">
        <v>1021.7886</v>
      </c>
      <c r="D66" s="40">
        <v>1021.6935</v>
      </c>
    </row>
    <row r="67" spans="1:4" x14ac:dyDescent="0.2">
      <c r="A67" s="9" t="s">
        <v>812</v>
      </c>
      <c r="C67" s="40">
        <v>12.950200000000001</v>
      </c>
      <c r="D67" s="40">
        <v>13.1571</v>
      </c>
    </row>
    <row r="68" spans="1:4" x14ac:dyDescent="0.2">
      <c r="A68" s="9" t="s">
        <v>813</v>
      </c>
      <c r="C68" s="40">
        <v>12.950200000000001</v>
      </c>
      <c r="D68" s="40">
        <v>13.1571</v>
      </c>
    </row>
    <row r="69" spans="1:4" x14ac:dyDescent="0.2">
      <c r="A69" s="9" t="s">
        <v>814</v>
      </c>
      <c r="C69" s="40">
        <v>10</v>
      </c>
      <c r="D69" s="40">
        <v>10</v>
      </c>
    </row>
    <row r="70" spans="1:4" x14ac:dyDescent="0.2">
      <c r="A70" s="9" t="s">
        <v>815</v>
      </c>
      <c r="C70" s="40">
        <v>10</v>
      </c>
      <c r="D70" s="40">
        <v>10</v>
      </c>
    </row>
    <row r="72" spans="1:4" x14ac:dyDescent="0.2">
      <c r="A72" s="18" t="s">
        <v>47</v>
      </c>
    </row>
    <row r="73" spans="1:4" x14ac:dyDescent="0.2">
      <c r="A73" s="81" t="s">
        <v>67</v>
      </c>
      <c r="B73" s="82"/>
      <c r="C73" s="43" t="s">
        <v>68</v>
      </c>
    </row>
    <row r="74" spans="1:4" x14ac:dyDescent="0.2">
      <c r="A74" s="77" t="s">
        <v>802</v>
      </c>
      <c r="B74" s="78"/>
      <c r="C74" s="44">
        <v>18.419072254</v>
      </c>
    </row>
    <row r="75" spans="1:4" x14ac:dyDescent="0.2">
      <c r="A75" s="77" t="s">
        <v>803</v>
      </c>
      <c r="B75" s="78"/>
      <c r="C75" s="44">
        <v>15.235440319</v>
      </c>
    </row>
    <row r="76" spans="1:4" x14ac:dyDescent="0.2">
      <c r="A76" s="77" t="s">
        <v>804</v>
      </c>
      <c r="B76" s="78"/>
      <c r="C76" s="44">
        <v>13.408742273</v>
      </c>
    </row>
    <row r="77" spans="1:4" x14ac:dyDescent="0.2">
      <c r="A77" s="77" t="s">
        <v>805</v>
      </c>
      <c r="B77" s="78"/>
      <c r="C77" s="44">
        <v>14.281072302</v>
      </c>
    </row>
    <row r="78" spans="1:4" x14ac:dyDescent="0.2">
      <c r="A78" s="77" t="s">
        <v>807</v>
      </c>
      <c r="B78" s="78"/>
      <c r="C78" s="44">
        <v>15.483748881</v>
      </c>
    </row>
    <row r="79" spans="1:4" x14ac:dyDescent="0.2">
      <c r="A79" s="77" t="s">
        <v>808</v>
      </c>
      <c r="B79" s="78"/>
      <c r="C79" s="44">
        <v>15.926589870999999</v>
      </c>
    </row>
    <row r="80" spans="1:4" x14ac:dyDescent="0.2">
      <c r="A80" s="77" t="s">
        <v>810</v>
      </c>
      <c r="B80" s="78"/>
      <c r="C80" s="44">
        <v>15.869329866999999</v>
      </c>
    </row>
    <row r="81" spans="1:5" x14ac:dyDescent="0.2">
      <c r="A81" s="77" t="s">
        <v>811</v>
      </c>
      <c r="B81" s="78"/>
      <c r="C81" s="44">
        <v>16.279268071000001</v>
      </c>
    </row>
    <row r="82" spans="1:5" x14ac:dyDescent="0.2">
      <c r="A82" s="9" t="s">
        <v>69</v>
      </c>
    </row>
    <row r="83" spans="1:5" x14ac:dyDescent="0.2">
      <c r="A83" s="9" t="s">
        <v>46</v>
      </c>
    </row>
    <row r="85" spans="1:5" x14ac:dyDescent="0.2">
      <c r="A85" s="18" t="s">
        <v>816</v>
      </c>
      <c r="D85" s="42">
        <v>0.10111125060274</v>
      </c>
      <c r="E85" s="13" t="s">
        <v>49</v>
      </c>
    </row>
    <row r="87" spans="1:5" x14ac:dyDescent="0.2">
      <c r="A87" s="18" t="s">
        <v>734</v>
      </c>
      <c r="D87" s="41" t="s">
        <v>48</v>
      </c>
    </row>
    <row r="89" spans="1:5" x14ac:dyDescent="0.2">
      <c r="A89" s="18" t="s">
        <v>817</v>
      </c>
    </row>
    <row r="90" spans="1:5" x14ac:dyDescent="0.2">
      <c r="A90" s="50" t="s">
        <v>50</v>
      </c>
    </row>
  </sheetData>
  <mergeCells count="10">
    <mergeCell ref="A78:B78"/>
    <mergeCell ref="A79:B79"/>
    <mergeCell ref="A80:B80"/>
    <mergeCell ref="A81:B81"/>
    <mergeCell ref="A1:G1"/>
    <mergeCell ref="A73:B73"/>
    <mergeCell ref="A74:B74"/>
    <mergeCell ref="A75:B75"/>
    <mergeCell ref="A76:B76"/>
    <mergeCell ref="A77:B77"/>
  </mergeCells>
  <conditionalFormatting sqref="F2:F3 F5:F65534">
    <cfRule type="cellIs" dxfId="72" priority="1" stopIfTrue="1" operator="between">
      <formula>0.009</formula>
      <formula>-0.009</formula>
    </cfRule>
  </conditionalFormatting>
  <hyperlinks>
    <hyperlink ref="A90" r:id="rId1" tooltip="https://www.franklintempletonindia.com/downloadsServlet/pdf/product-labels-jg9o5k7l" xr:uid="{00000000-0004-0000-0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3"/>
  <sheetViews>
    <sheetView workbookViewId="0">
      <selection sqref="A1:G1"/>
    </sheetView>
  </sheetViews>
  <sheetFormatPr defaultColWidth="9.109375" defaultRowHeight="10.199999999999999" x14ac:dyDescent="0.2"/>
  <cols>
    <col min="1" max="1" width="32.44140625" style="9" bestFit="1" customWidth="1"/>
    <col min="2" max="2" width="20"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9" t="s">
        <v>818</v>
      </c>
      <c r="B1" s="80"/>
      <c r="C1" s="80"/>
      <c r="D1" s="80"/>
      <c r="E1" s="80"/>
      <c r="F1" s="80"/>
      <c r="G1" s="80"/>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749</v>
      </c>
      <c r="D4" s="16" t="s">
        <v>1</v>
      </c>
      <c r="E4" s="15" t="s">
        <v>3</v>
      </c>
      <c r="F4" s="15" t="s">
        <v>4</v>
      </c>
      <c r="G4" s="15" t="s">
        <v>6</v>
      </c>
    </row>
    <row r="5" spans="1:9" x14ac:dyDescent="0.2">
      <c r="A5" s="26" t="s">
        <v>39</v>
      </c>
      <c r="B5" s="26"/>
      <c r="C5" s="26"/>
      <c r="D5" s="32"/>
      <c r="E5" s="33">
        <v>16537.610703099999</v>
      </c>
      <c r="F5" s="34">
        <v>100</v>
      </c>
      <c r="G5" s="33"/>
      <c r="H5" s="18"/>
      <c r="I5" s="18"/>
    </row>
    <row r="6" spans="1:9" x14ac:dyDescent="0.2">
      <c r="A6" s="26"/>
      <c r="B6" s="26"/>
      <c r="C6" s="26"/>
      <c r="D6" s="32"/>
      <c r="E6" s="33"/>
      <c r="F6" s="34"/>
      <c r="G6" s="33"/>
      <c r="H6" s="18"/>
      <c r="I6" s="18"/>
    </row>
    <row r="7" spans="1:9" x14ac:dyDescent="0.2">
      <c r="A7" s="35" t="s">
        <v>38</v>
      </c>
      <c r="B7" s="35"/>
      <c r="C7" s="35"/>
      <c r="D7" s="36"/>
      <c r="E7" s="37">
        <v>16537.610703099999</v>
      </c>
      <c r="F7" s="38">
        <v>100</v>
      </c>
      <c r="G7" s="37"/>
      <c r="H7" s="18"/>
      <c r="I7" s="18"/>
    </row>
    <row r="9" spans="1:9" x14ac:dyDescent="0.2">
      <c r="A9" s="18" t="s">
        <v>41</v>
      </c>
    </row>
    <row r="10" spans="1:9" x14ac:dyDescent="0.2">
      <c r="A10" s="18" t="s">
        <v>42</v>
      </c>
    </row>
    <row r="11" spans="1:9" x14ac:dyDescent="0.2">
      <c r="A11" s="18" t="s">
        <v>43</v>
      </c>
      <c r="B11" s="18"/>
      <c r="C11" s="39" t="s">
        <v>45</v>
      </c>
      <c r="D11" s="19" t="s">
        <v>44</v>
      </c>
    </row>
    <row r="12" spans="1:9" x14ac:dyDescent="0.2">
      <c r="A12" s="9" t="s">
        <v>70</v>
      </c>
      <c r="C12" s="40">
        <v>1066.6025999999999</v>
      </c>
      <c r="D12" s="40">
        <v>1082.5425</v>
      </c>
    </row>
    <row r="13" spans="1:9" x14ac:dyDescent="0.2">
      <c r="A13" s="9" t="s">
        <v>819</v>
      </c>
      <c r="C13" s="40">
        <v>1000</v>
      </c>
      <c r="D13" s="40">
        <v>1000</v>
      </c>
    </row>
    <row r="14" spans="1:9" x14ac:dyDescent="0.2">
      <c r="A14" s="9" t="s">
        <v>820</v>
      </c>
      <c r="C14" s="40">
        <v>1000.3111</v>
      </c>
      <c r="D14" s="40">
        <v>1000.2514</v>
      </c>
    </row>
    <row r="15" spans="1:9" x14ac:dyDescent="0.2">
      <c r="A15" s="9" t="s">
        <v>73</v>
      </c>
      <c r="C15" s="40">
        <v>1067.6436000000001</v>
      </c>
      <c r="D15" s="40">
        <v>1083.8729000000001</v>
      </c>
    </row>
    <row r="16" spans="1:9" x14ac:dyDescent="0.2">
      <c r="A16" s="9" t="s">
        <v>821</v>
      </c>
      <c r="C16" s="40">
        <v>1000</v>
      </c>
      <c r="D16" s="40">
        <v>1000</v>
      </c>
    </row>
    <row r="17" spans="1:5" x14ac:dyDescent="0.2">
      <c r="A17" s="9" t="s">
        <v>822</v>
      </c>
      <c r="C17" s="40">
        <v>1000.3171</v>
      </c>
      <c r="D17" s="40">
        <v>1000.2546</v>
      </c>
    </row>
    <row r="19" spans="1:5" x14ac:dyDescent="0.2">
      <c r="A19" s="18" t="s">
        <v>47</v>
      </c>
    </row>
    <row r="20" spans="1:5" x14ac:dyDescent="0.2">
      <c r="A20" s="81" t="s">
        <v>67</v>
      </c>
      <c r="B20" s="82"/>
      <c r="C20" s="43" t="s">
        <v>68</v>
      </c>
    </row>
    <row r="21" spans="1:5" x14ac:dyDescent="0.2">
      <c r="A21" s="77" t="s">
        <v>819</v>
      </c>
      <c r="B21" s="78"/>
      <c r="C21" s="44">
        <v>14.833533900999999</v>
      </c>
    </row>
    <row r="22" spans="1:5" x14ac:dyDescent="0.2">
      <c r="A22" s="77" t="s">
        <v>820</v>
      </c>
      <c r="B22" s="78"/>
      <c r="C22" s="44">
        <v>14.951270363000001</v>
      </c>
    </row>
    <row r="23" spans="1:5" x14ac:dyDescent="0.2">
      <c r="A23" s="77" t="s">
        <v>821</v>
      </c>
      <c r="B23" s="78"/>
      <c r="C23" s="44">
        <v>15.096543085</v>
      </c>
    </row>
    <row r="24" spans="1:5" x14ac:dyDescent="0.2">
      <c r="A24" s="77" t="s">
        <v>822</v>
      </c>
      <c r="B24" s="78"/>
      <c r="C24" s="44">
        <v>15.186699667999999</v>
      </c>
    </row>
    <row r="25" spans="1:5" x14ac:dyDescent="0.2">
      <c r="A25" s="9" t="s">
        <v>69</v>
      </c>
    </row>
    <row r="26" spans="1:5" x14ac:dyDescent="0.2">
      <c r="A26" s="9" t="s">
        <v>46</v>
      </c>
    </row>
    <row r="28" spans="1:5" x14ac:dyDescent="0.2">
      <c r="A28" s="18" t="s">
        <v>816</v>
      </c>
      <c r="D28" s="56">
        <v>2.7397260273972599E-3</v>
      </c>
      <c r="E28" s="13" t="s">
        <v>49</v>
      </c>
    </row>
    <row r="30" spans="1:5" ht="24.75" customHeight="1" x14ac:dyDescent="0.2">
      <c r="A30" s="83" t="s">
        <v>734</v>
      </c>
      <c r="B30" s="83"/>
      <c r="C30" s="83"/>
      <c r="D30" s="41" t="s">
        <v>48</v>
      </c>
    </row>
    <row r="32" spans="1:5" x14ac:dyDescent="0.2">
      <c r="A32" s="18" t="s">
        <v>94</v>
      </c>
    </row>
    <row r="33" spans="1:1" x14ac:dyDescent="0.2">
      <c r="A33" s="50" t="s">
        <v>50</v>
      </c>
    </row>
  </sheetData>
  <mergeCells count="7">
    <mergeCell ref="A30:C30"/>
    <mergeCell ref="A1:G1"/>
    <mergeCell ref="A20:B20"/>
    <mergeCell ref="A21:B21"/>
    <mergeCell ref="A22:B22"/>
    <mergeCell ref="A23:B23"/>
    <mergeCell ref="A24:B24"/>
  </mergeCells>
  <conditionalFormatting sqref="F2:F3 F5:F65530">
    <cfRule type="cellIs" dxfId="71" priority="1" stopIfTrue="1" operator="between">
      <formula>0.009</formula>
      <formula>-0.009</formula>
    </cfRule>
  </conditionalFormatting>
  <hyperlinks>
    <hyperlink ref="A33" r:id="rId1" tooltip="https://www.franklintempletonindia.com/downloadsServlet/pdf/product-labels-jg9o5k7l" xr:uid="{00000000-0004-0000-0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selection sqref="A1:G1"/>
    </sheetView>
  </sheetViews>
  <sheetFormatPr defaultColWidth="9.109375" defaultRowHeight="10.199999999999999" x14ac:dyDescent="0.2"/>
  <cols>
    <col min="1" max="1" width="32.44140625" style="9" bestFit="1" customWidth="1"/>
    <col min="2" max="2" width="49"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9" t="s">
        <v>823</v>
      </c>
      <c r="B1" s="80"/>
      <c r="C1" s="80"/>
      <c r="D1" s="80"/>
      <c r="E1" s="80"/>
      <c r="F1" s="80"/>
      <c r="G1" s="80"/>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749</v>
      </c>
      <c r="D4" s="16" t="s">
        <v>1</v>
      </c>
      <c r="E4" s="15" t="s">
        <v>3</v>
      </c>
      <c r="F4" s="15" t="s">
        <v>4</v>
      </c>
      <c r="G4" s="15" t="s">
        <v>6</v>
      </c>
    </row>
    <row r="5" spans="1:9" x14ac:dyDescent="0.2">
      <c r="A5" s="21" t="s">
        <v>51</v>
      </c>
      <c r="B5" s="22"/>
      <c r="C5" s="22"/>
      <c r="D5" s="23"/>
      <c r="E5" s="24"/>
      <c r="F5" s="25"/>
      <c r="G5" s="24"/>
    </row>
    <row r="6" spans="1:9" x14ac:dyDescent="0.2">
      <c r="A6" s="26" t="s">
        <v>52</v>
      </c>
      <c r="B6" s="27"/>
      <c r="C6" s="27"/>
      <c r="D6" s="28"/>
      <c r="E6" s="29"/>
      <c r="F6" s="30"/>
      <c r="G6" s="29"/>
    </row>
    <row r="7" spans="1:9" x14ac:dyDescent="0.2">
      <c r="A7" s="27" t="s">
        <v>824</v>
      </c>
      <c r="B7" s="27" t="s">
        <v>825</v>
      </c>
      <c r="C7" s="27" t="s">
        <v>53</v>
      </c>
      <c r="D7" s="31">
        <v>5000</v>
      </c>
      <c r="E7" s="29">
        <v>4999.68</v>
      </c>
      <c r="F7" s="30">
        <v>4.7429271909909403</v>
      </c>
      <c r="G7" s="29">
        <v>3.875</v>
      </c>
    </row>
    <row r="8" spans="1:9" x14ac:dyDescent="0.2">
      <c r="A8" s="27" t="s">
        <v>826</v>
      </c>
      <c r="B8" s="27" t="s">
        <v>827</v>
      </c>
      <c r="C8" s="27" t="s">
        <v>53</v>
      </c>
      <c r="D8" s="31">
        <v>5000</v>
      </c>
      <c r="E8" s="29">
        <v>4917.0349999999999</v>
      </c>
      <c r="F8" s="30">
        <v>4.6645263297959296</v>
      </c>
      <c r="G8" s="29">
        <v>3.71</v>
      </c>
    </row>
    <row r="9" spans="1:9" x14ac:dyDescent="0.2">
      <c r="A9" s="27" t="s">
        <v>828</v>
      </c>
      <c r="B9" s="27" t="s">
        <v>829</v>
      </c>
      <c r="C9" s="27" t="s">
        <v>53</v>
      </c>
      <c r="D9" s="31">
        <v>5000</v>
      </c>
      <c r="E9" s="29">
        <v>4877.5200000000004</v>
      </c>
      <c r="F9" s="30">
        <v>4.6270405771173602</v>
      </c>
      <c r="G9" s="29">
        <v>3.835</v>
      </c>
    </row>
    <row r="10" spans="1:9" x14ac:dyDescent="0.2">
      <c r="A10" s="27" t="s">
        <v>830</v>
      </c>
      <c r="B10" s="27" t="s">
        <v>831</v>
      </c>
      <c r="C10" s="27" t="s">
        <v>762</v>
      </c>
      <c r="D10" s="31">
        <v>5000</v>
      </c>
      <c r="E10" s="29">
        <v>4865.8599999999997</v>
      </c>
      <c r="F10" s="30">
        <v>4.6159793629902701</v>
      </c>
      <c r="G10" s="29">
        <v>3.8700999999999999</v>
      </c>
    </row>
    <row r="11" spans="1:9" x14ac:dyDescent="0.2">
      <c r="A11" s="27" t="s">
        <v>832</v>
      </c>
      <c r="B11" s="27" t="s">
        <v>833</v>
      </c>
      <c r="C11" s="27" t="s">
        <v>53</v>
      </c>
      <c r="D11" s="31">
        <v>2500</v>
      </c>
      <c r="E11" s="29">
        <v>2443.0149999999999</v>
      </c>
      <c r="F11" s="30">
        <v>2.3175567779335302</v>
      </c>
      <c r="G11" s="29">
        <v>3.8351000000000002</v>
      </c>
    </row>
    <row r="12" spans="1:9" x14ac:dyDescent="0.2">
      <c r="A12" s="27" t="s">
        <v>834</v>
      </c>
      <c r="B12" s="27" t="s">
        <v>835</v>
      </c>
      <c r="C12" s="27" t="s">
        <v>54</v>
      </c>
      <c r="D12" s="31">
        <v>2500</v>
      </c>
      <c r="E12" s="29">
        <v>2439.0100000000002</v>
      </c>
      <c r="F12" s="30">
        <v>2.3137574500965701</v>
      </c>
      <c r="G12" s="29">
        <v>3.835</v>
      </c>
    </row>
    <row r="13" spans="1:9" x14ac:dyDescent="0.2">
      <c r="A13" s="26" t="s">
        <v>35</v>
      </c>
      <c r="B13" s="26"/>
      <c r="C13" s="26"/>
      <c r="D13" s="32"/>
      <c r="E13" s="33">
        <f>SUM(E6:E12)</f>
        <v>24542.120000000003</v>
      </c>
      <c r="F13" s="34">
        <f>SUM(F6:F12)</f>
        <v>23.281787688924599</v>
      </c>
      <c r="G13" s="33"/>
      <c r="H13" s="18"/>
      <c r="I13" s="18"/>
    </row>
    <row r="14" spans="1:9" x14ac:dyDescent="0.2">
      <c r="A14" s="27"/>
      <c r="B14" s="27"/>
      <c r="C14" s="27"/>
      <c r="D14" s="28"/>
      <c r="E14" s="29"/>
      <c r="F14" s="30"/>
      <c r="G14" s="29"/>
    </row>
    <row r="15" spans="1:9" x14ac:dyDescent="0.2">
      <c r="A15" s="26" t="s">
        <v>55</v>
      </c>
      <c r="B15" s="27"/>
      <c r="C15" s="27"/>
      <c r="D15" s="28"/>
      <c r="E15" s="29"/>
      <c r="F15" s="30"/>
      <c r="G15" s="29"/>
    </row>
    <row r="16" spans="1:9" x14ac:dyDescent="0.2">
      <c r="A16" s="27" t="s">
        <v>836</v>
      </c>
      <c r="B16" s="27" t="s">
        <v>837</v>
      </c>
      <c r="C16" s="27" t="s">
        <v>53</v>
      </c>
      <c r="D16" s="31">
        <v>1000</v>
      </c>
      <c r="E16" s="29">
        <v>4879.83</v>
      </c>
      <c r="F16" s="30">
        <v>4.6292319497274503</v>
      </c>
      <c r="G16" s="29">
        <v>4.26</v>
      </c>
    </row>
    <row r="17" spans="1:9" x14ac:dyDescent="0.2">
      <c r="A17" s="27" t="s">
        <v>57</v>
      </c>
      <c r="B17" s="27" t="s">
        <v>56</v>
      </c>
      <c r="C17" s="27" t="s">
        <v>58</v>
      </c>
      <c r="D17" s="31">
        <v>1000</v>
      </c>
      <c r="E17" s="29">
        <v>4868.585</v>
      </c>
      <c r="F17" s="30">
        <v>4.6185644237532397</v>
      </c>
      <c r="G17" s="29">
        <v>4.0712000000000002</v>
      </c>
    </row>
    <row r="18" spans="1:9" x14ac:dyDescent="0.2">
      <c r="A18" s="27" t="s">
        <v>838</v>
      </c>
      <c r="B18" s="27" t="s">
        <v>839</v>
      </c>
      <c r="C18" s="27" t="s">
        <v>54</v>
      </c>
      <c r="D18" s="31">
        <v>1000</v>
      </c>
      <c r="E18" s="29">
        <v>4868.38</v>
      </c>
      <c r="F18" s="30">
        <v>4.6183699512921796</v>
      </c>
      <c r="G18" s="29">
        <v>4.1462000000000003</v>
      </c>
    </row>
    <row r="19" spans="1:9" x14ac:dyDescent="0.2">
      <c r="A19" s="27" t="s">
        <v>840</v>
      </c>
      <c r="B19" s="27" t="s">
        <v>841</v>
      </c>
      <c r="C19" s="27" t="s">
        <v>53</v>
      </c>
      <c r="D19" s="31">
        <v>1000</v>
      </c>
      <c r="E19" s="29">
        <v>4835.5550000000003</v>
      </c>
      <c r="F19" s="30">
        <v>4.5872306413674897</v>
      </c>
      <c r="G19" s="29">
        <v>4.3099999999999996</v>
      </c>
    </row>
    <row r="20" spans="1:9" x14ac:dyDescent="0.2">
      <c r="A20" s="27" t="s">
        <v>842</v>
      </c>
      <c r="B20" s="27" t="s">
        <v>843</v>
      </c>
      <c r="C20" s="27" t="s">
        <v>53</v>
      </c>
      <c r="D20" s="31">
        <v>900</v>
      </c>
      <c r="E20" s="29">
        <v>4363.3890000000001</v>
      </c>
      <c r="F20" s="30">
        <v>4.1393121825738399</v>
      </c>
      <c r="G20" s="29">
        <v>4.28</v>
      </c>
    </row>
    <row r="21" spans="1:9" x14ac:dyDescent="0.2">
      <c r="A21" s="27" t="s">
        <v>767</v>
      </c>
      <c r="B21" s="27" t="s">
        <v>768</v>
      </c>
      <c r="C21" s="27" t="s">
        <v>53</v>
      </c>
      <c r="D21" s="31">
        <v>800</v>
      </c>
      <c r="E21" s="29">
        <v>3987.5639999999999</v>
      </c>
      <c r="F21" s="30">
        <v>3.7827872426668501</v>
      </c>
      <c r="G21" s="29">
        <v>3.4495</v>
      </c>
    </row>
    <row r="22" spans="1:9" x14ac:dyDescent="0.2">
      <c r="A22" s="27" t="s">
        <v>60</v>
      </c>
      <c r="B22" s="27" t="s">
        <v>59</v>
      </c>
      <c r="C22" s="27" t="s">
        <v>53</v>
      </c>
      <c r="D22" s="31">
        <v>500</v>
      </c>
      <c r="E22" s="29">
        <v>2473.2674999999999</v>
      </c>
      <c r="F22" s="30">
        <v>2.34625569563336</v>
      </c>
      <c r="G22" s="29">
        <v>3.9849999999999999</v>
      </c>
    </row>
    <row r="23" spans="1:9" x14ac:dyDescent="0.2">
      <c r="A23" s="27" t="s">
        <v>844</v>
      </c>
      <c r="B23" s="27" t="s">
        <v>845</v>
      </c>
      <c r="C23" s="27" t="s">
        <v>53</v>
      </c>
      <c r="D23" s="31">
        <v>500</v>
      </c>
      <c r="E23" s="29">
        <v>2436.29</v>
      </c>
      <c r="F23" s="30">
        <v>2.31117713256435</v>
      </c>
      <c r="G23" s="29">
        <v>4.1500000000000004</v>
      </c>
    </row>
    <row r="24" spans="1:9" x14ac:dyDescent="0.2">
      <c r="A24" s="27" t="s">
        <v>846</v>
      </c>
      <c r="B24" s="27" t="s">
        <v>847</v>
      </c>
      <c r="C24" s="27" t="s">
        <v>53</v>
      </c>
      <c r="D24" s="31">
        <v>500</v>
      </c>
      <c r="E24" s="29">
        <v>2425.16</v>
      </c>
      <c r="F24" s="30">
        <v>2.3006187008975698</v>
      </c>
      <c r="G24" s="29">
        <v>4.3998999999999997</v>
      </c>
    </row>
    <row r="25" spans="1:9" x14ac:dyDescent="0.2">
      <c r="A25" s="26" t="s">
        <v>35</v>
      </c>
      <c r="B25" s="26"/>
      <c r="C25" s="26"/>
      <c r="D25" s="32"/>
      <c r="E25" s="33">
        <f>SUM(E15:E24)</f>
        <v>35138.020499999999</v>
      </c>
      <c r="F25" s="34">
        <f>SUM(F15:F24)</f>
        <v>33.333547920476327</v>
      </c>
      <c r="G25" s="33"/>
      <c r="H25" s="18"/>
      <c r="I25" s="18"/>
    </row>
    <row r="26" spans="1:9" x14ac:dyDescent="0.2">
      <c r="A26" s="27"/>
      <c r="B26" s="27"/>
      <c r="C26" s="27"/>
      <c r="D26" s="28"/>
      <c r="E26" s="29"/>
      <c r="F26" s="30"/>
      <c r="G26" s="29"/>
    </row>
    <row r="27" spans="1:9" x14ac:dyDescent="0.2">
      <c r="A27" s="26" t="s">
        <v>61</v>
      </c>
      <c r="B27" s="27"/>
      <c r="C27" s="27"/>
      <c r="D27" s="28"/>
      <c r="E27" s="29"/>
      <c r="F27" s="30"/>
      <c r="G27" s="29"/>
    </row>
    <row r="28" spans="1:9" x14ac:dyDescent="0.2">
      <c r="A28" s="27" t="s">
        <v>848</v>
      </c>
      <c r="B28" s="27" t="s">
        <v>849</v>
      </c>
      <c r="C28" s="27" t="s">
        <v>65</v>
      </c>
      <c r="D28" s="31">
        <v>10000000</v>
      </c>
      <c r="E28" s="29">
        <v>9726.56</v>
      </c>
      <c r="F28" s="30">
        <v>9.2270637118385199</v>
      </c>
      <c r="G28" s="29">
        <v>3.7725</v>
      </c>
    </row>
    <row r="29" spans="1:9" x14ac:dyDescent="0.2">
      <c r="A29" s="27" t="s">
        <v>850</v>
      </c>
      <c r="B29" s="27" t="s">
        <v>851</v>
      </c>
      <c r="C29" s="27" t="s">
        <v>65</v>
      </c>
      <c r="D29" s="31">
        <v>5000000</v>
      </c>
      <c r="E29" s="29">
        <v>4996.84</v>
      </c>
      <c r="F29" s="30">
        <v>4.7402330359205296</v>
      </c>
      <c r="G29" s="29">
        <v>3.2974999999999999</v>
      </c>
    </row>
    <row r="30" spans="1:9" x14ac:dyDescent="0.2">
      <c r="A30" s="27" t="s">
        <v>852</v>
      </c>
      <c r="B30" s="27" t="s">
        <v>853</v>
      </c>
      <c r="C30" s="27" t="s">
        <v>65</v>
      </c>
      <c r="D30" s="31">
        <v>5000000</v>
      </c>
      <c r="E30" s="29">
        <v>4913.25</v>
      </c>
      <c r="F30" s="30">
        <v>4.6609357041123101</v>
      </c>
      <c r="G30" s="29">
        <v>3.6825999999999999</v>
      </c>
    </row>
    <row r="31" spans="1:9" x14ac:dyDescent="0.2">
      <c r="A31" s="27" t="s">
        <v>854</v>
      </c>
      <c r="B31" s="27" t="s">
        <v>855</v>
      </c>
      <c r="C31" s="27" t="s">
        <v>65</v>
      </c>
      <c r="D31" s="31">
        <v>5000000</v>
      </c>
      <c r="E31" s="29">
        <v>4909.2</v>
      </c>
      <c r="F31" s="30">
        <v>4.65709368719852</v>
      </c>
      <c r="G31" s="29">
        <v>3.7092999999999998</v>
      </c>
    </row>
    <row r="32" spans="1:9" x14ac:dyDescent="0.2">
      <c r="A32" s="27" t="s">
        <v>856</v>
      </c>
      <c r="B32" s="27" t="s">
        <v>857</v>
      </c>
      <c r="C32" s="27" t="s">
        <v>65</v>
      </c>
      <c r="D32" s="31">
        <v>5000000</v>
      </c>
      <c r="E32" s="29">
        <v>4866.13</v>
      </c>
      <c r="F32" s="30">
        <v>4.6162354974511803</v>
      </c>
      <c r="G32" s="29">
        <v>3.7749000000000001</v>
      </c>
    </row>
    <row r="33" spans="1:9" x14ac:dyDescent="0.2">
      <c r="A33" s="26" t="s">
        <v>35</v>
      </c>
      <c r="B33" s="26"/>
      <c r="C33" s="26"/>
      <c r="D33" s="32"/>
      <c r="E33" s="33">
        <f>SUM(E27:E32)</f>
        <v>29411.980000000003</v>
      </c>
      <c r="F33" s="34">
        <f>SUM(F27:F32)</f>
        <v>27.901561636521059</v>
      </c>
      <c r="G33" s="33"/>
      <c r="H33" s="18"/>
      <c r="I33" s="18"/>
    </row>
    <row r="34" spans="1:9" x14ac:dyDescent="0.2">
      <c r="A34" s="27"/>
      <c r="B34" s="27"/>
      <c r="C34" s="27"/>
      <c r="D34" s="28"/>
      <c r="E34" s="29"/>
      <c r="F34" s="30"/>
      <c r="G34" s="29"/>
    </row>
    <row r="35" spans="1:9" x14ac:dyDescent="0.2">
      <c r="A35" s="26" t="s">
        <v>62</v>
      </c>
      <c r="B35" s="27"/>
      <c r="C35" s="27"/>
      <c r="D35" s="28"/>
      <c r="E35" s="29"/>
      <c r="F35" s="30"/>
      <c r="G35" s="29"/>
    </row>
    <row r="36" spans="1:9" x14ac:dyDescent="0.2">
      <c r="A36" s="27" t="s">
        <v>64</v>
      </c>
      <c r="B36" s="27" t="s">
        <v>63</v>
      </c>
      <c r="C36" s="27" t="s">
        <v>65</v>
      </c>
      <c r="D36" s="31">
        <v>10000000</v>
      </c>
      <c r="E36" s="29">
        <v>10268</v>
      </c>
      <c r="F36" s="30">
        <v>9.7406986841347791</v>
      </c>
      <c r="G36" s="29">
        <v>3.7894999999999999</v>
      </c>
    </row>
    <row r="37" spans="1:9" x14ac:dyDescent="0.2">
      <c r="A37" s="27" t="s">
        <v>858</v>
      </c>
      <c r="B37" s="27" t="s">
        <v>859</v>
      </c>
      <c r="C37" s="27" t="s">
        <v>65</v>
      </c>
      <c r="D37" s="31">
        <v>5000000</v>
      </c>
      <c r="E37" s="29">
        <v>5088.5</v>
      </c>
      <c r="F37" s="30">
        <v>4.8271859421717798</v>
      </c>
      <c r="G37" s="29">
        <v>3.6257000000000001</v>
      </c>
    </row>
    <row r="38" spans="1:9" x14ac:dyDescent="0.2">
      <c r="A38" s="26" t="s">
        <v>35</v>
      </c>
      <c r="B38" s="26"/>
      <c r="C38" s="26"/>
      <c r="D38" s="32"/>
      <c r="E38" s="33">
        <f>SUM(E36:E37)</f>
        <v>15356.5</v>
      </c>
      <c r="F38" s="34">
        <f>SUM(F36:F37)</f>
        <v>14.567884626306558</v>
      </c>
      <c r="G38" s="33"/>
      <c r="H38" s="18"/>
      <c r="I38" s="18"/>
    </row>
    <row r="39" spans="1:9" x14ac:dyDescent="0.2">
      <c r="A39" s="27"/>
      <c r="B39" s="27"/>
      <c r="C39" s="27"/>
      <c r="D39" s="28"/>
      <c r="E39" s="29"/>
      <c r="F39" s="30"/>
      <c r="G39" s="29"/>
    </row>
    <row r="40" spans="1:9" x14ac:dyDescent="0.2">
      <c r="A40" s="26" t="s">
        <v>37</v>
      </c>
      <c r="B40" s="26"/>
      <c r="C40" s="26"/>
      <c r="D40" s="32"/>
      <c r="E40" s="33">
        <f>E13+E25+E33+E38</f>
        <v>104448.6205</v>
      </c>
      <c r="F40" s="34">
        <f>F13+F25+F33+F38</f>
        <v>99.084781872228547</v>
      </c>
      <c r="G40" s="33"/>
      <c r="H40" s="18"/>
      <c r="I40" s="18"/>
    </row>
    <row r="41" spans="1:9" x14ac:dyDescent="0.2">
      <c r="A41" s="26"/>
      <c r="B41" s="26"/>
      <c r="C41" s="26"/>
      <c r="D41" s="32"/>
      <c r="E41" s="33"/>
      <c r="F41" s="34"/>
      <c r="G41" s="33"/>
      <c r="H41" s="18"/>
      <c r="I41" s="18"/>
    </row>
    <row r="42" spans="1:9" x14ac:dyDescent="0.2">
      <c r="A42" s="26" t="s">
        <v>39</v>
      </c>
      <c r="B42" s="26"/>
      <c r="C42" s="26"/>
      <c r="D42" s="32"/>
      <c r="E42" s="33">
        <f>E44-(E13+E25+E33+E38)</f>
        <v>964.76238929999818</v>
      </c>
      <c r="F42" s="34">
        <f>F44-(F13+F25+F33+F38)</f>
        <v>0.91521812777145328</v>
      </c>
      <c r="G42" s="33"/>
      <c r="H42" s="18"/>
      <c r="I42" s="18"/>
    </row>
    <row r="43" spans="1:9" x14ac:dyDescent="0.2">
      <c r="A43" s="26"/>
      <c r="B43" s="26"/>
      <c r="C43" s="26"/>
      <c r="D43" s="32"/>
      <c r="E43" s="33"/>
      <c r="F43" s="34"/>
      <c r="G43" s="33"/>
      <c r="H43" s="18"/>
      <c r="I43" s="18"/>
    </row>
    <row r="44" spans="1:9" x14ac:dyDescent="0.2">
      <c r="A44" s="35" t="s">
        <v>38</v>
      </c>
      <c r="B44" s="35"/>
      <c r="C44" s="35"/>
      <c r="D44" s="36"/>
      <c r="E44" s="37">
        <v>105413.3828893</v>
      </c>
      <c r="F44" s="38">
        <v>100</v>
      </c>
      <c r="G44" s="37"/>
      <c r="H44" s="18"/>
      <c r="I44" s="18"/>
    </row>
    <row r="46" spans="1:9" x14ac:dyDescent="0.2">
      <c r="A46" s="18" t="s">
        <v>66</v>
      </c>
    </row>
    <row r="47" spans="1:9" x14ac:dyDescent="0.2">
      <c r="A47" s="18" t="s">
        <v>40</v>
      </c>
    </row>
    <row r="49" spans="1:4" x14ac:dyDescent="0.2">
      <c r="A49" s="18" t="s">
        <v>41</v>
      </c>
    </row>
    <row r="50" spans="1:4" x14ac:dyDescent="0.2">
      <c r="A50" s="18" t="s">
        <v>42</v>
      </c>
    </row>
    <row r="51" spans="1:4" x14ac:dyDescent="0.2">
      <c r="A51" s="18" t="s">
        <v>43</v>
      </c>
      <c r="B51" s="18"/>
      <c r="C51" s="39" t="s">
        <v>45</v>
      </c>
      <c r="D51" s="19" t="s">
        <v>44</v>
      </c>
    </row>
    <row r="52" spans="1:4" x14ac:dyDescent="0.2">
      <c r="A52" s="9" t="s">
        <v>860</v>
      </c>
      <c r="C52" s="40">
        <v>38.607199999999999</v>
      </c>
      <c r="D52" s="40">
        <v>39.273699999999998</v>
      </c>
    </row>
    <row r="53" spans="1:4" x14ac:dyDescent="0.2">
      <c r="A53" s="9" t="s">
        <v>861</v>
      </c>
      <c r="C53" s="40">
        <v>10.11</v>
      </c>
      <c r="D53" s="40">
        <v>10.1076</v>
      </c>
    </row>
    <row r="54" spans="1:4" x14ac:dyDescent="0.2">
      <c r="A54" s="9" t="s">
        <v>862</v>
      </c>
      <c r="C54" s="40">
        <v>10.1541</v>
      </c>
      <c r="D54" s="40">
        <v>10.127700000000001</v>
      </c>
    </row>
    <row r="55" spans="1:4" x14ac:dyDescent="0.2">
      <c r="A55" s="9" t="s">
        <v>863</v>
      </c>
      <c r="C55" s="40">
        <v>10.607900000000001</v>
      </c>
      <c r="D55" s="40">
        <v>10.3636</v>
      </c>
    </row>
    <row r="56" spans="1:4" x14ac:dyDescent="0.2">
      <c r="A56" s="9" t="s">
        <v>864</v>
      </c>
      <c r="C56" s="40">
        <v>39.604399999999998</v>
      </c>
      <c r="D56" s="40">
        <v>40.319499999999998</v>
      </c>
    </row>
    <row r="57" spans="1:4" x14ac:dyDescent="0.2">
      <c r="A57" s="9" t="s">
        <v>865</v>
      </c>
      <c r="C57" s="40">
        <v>10.1198</v>
      </c>
      <c r="D57" s="40">
        <v>10.117599999999999</v>
      </c>
    </row>
    <row r="58" spans="1:4" x14ac:dyDescent="0.2">
      <c r="A58" s="9" t="s">
        <v>866</v>
      </c>
      <c r="C58" s="40">
        <v>10.4937</v>
      </c>
      <c r="D58" s="40">
        <v>10.481</v>
      </c>
    </row>
    <row r="59" spans="1:4" x14ac:dyDescent="0.2">
      <c r="A59" s="9" t="s">
        <v>867</v>
      </c>
      <c r="C59" s="40">
        <v>10.996600000000001</v>
      </c>
      <c r="D59" s="40">
        <v>10.767300000000001</v>
      </c>
    </row>
    <row r="61" spans="1:4" x14ac:dyDescent="0.2">
      <c r="A61" s="18" t="s">
        <v>47</v>
      </c>
    </row>
    <row r="62" spans="1:4" x14ac:dyDescent="0.2">
      <c r="A62" s="81" t="s">
        <v>67</v>
      </c>
      <c r="B62" s="82"/>
      <c r="C62" s="43" t="s">
        <v>68</v>
      </c>
    </row>
    <row r="63" spans="1:4" x14ac:dyDescent="0.2">
      <c r="A63" s="77" t="s">
        <v>861</v>
      </c>
      <c r="B63" s="78"/>
      <c r="C63" s="44">
        <v>0.1754952944</v>
      </c>
    </row>
    <row r="64" spans="1:4" x14ac:dyDescent="0.2">
      <c r="A64" s="77" t="s">
        <v>862</v>
      </c>
      <c r="B64" s="78"/>
      <c r="C64" s="44">
        <v>0.2</v>
      </c>
    </row>
    <row r="65" spans="1:5" x14ac:dyDescent="0.2">
      <c r="A65" s="77" t="s">
        <v>863</v>
      </c>
      <c r="B65" s="78"/>
      <c r="C65" s="44">
        <v>0.42499999999999999</v>
      </c>
    </row>
    <row r="66" spans="1:5" x14ac:dyDescent="0.2">
      <c r="A66" s="77" t="s">
        <v>865</v>
      </c>
      <c r="B66" s="78"/>
      <c r="C66" s="44">
        <v>0.183085887</v>
      </c>
    </row>
    <row r="67" spans="1:5" x14ac:dyDescent="0.2">
      <c r="A67" s="77" t="s">
        <v>866</v>
      </c>
      <c r="B67" s="78"/>
      <c r="C67" s="44">
        <v>0.2</v>
      </c>
    </row>
    <row r="68" spans="1:5" x14ac:dyDescent="0.2">
      <c r="A68" s="77" t="s">
        <v>867</v>
      </c>
      <c r="B68" s="78"/>
      <c r="C68" s="44">
        <v>0.42499999999999999</v>
      </c>
    </row>
    <row r="69" spans="1:5" x14ac:dyDescent="0.2">
      <c r="A69" s="9" t="s">
        <v>69</v>
      </c>
    </row>
    <row r="70" spans="1:5" x14ac:dyDescent="0.2">
      <c r="A70" s="9" t="s">
        <v>46</v>
      </c>
    </row>
    <row r="72" spans="1:5" x14ac:dyDescent="0.2">
      <c r="A72" s="18" t="s">
        <v>816</v>
      </c>
      <c r="D72" s="42">
        <v>0.56067013728767101</v>
      </c>
      <c r="E72" s="13" t="s">
        <v>49</v>
      </c>
    </row>
    <row r="74" spans="1:5" x14ac:dyDescent="0.2">
      <c r="A74" s="18" t="s">
        <v>734</v>
      </c>
      <c r="D74" s="41" t="s">
        <v>48</v>
      </c>
    </row>
    <row r="76" spans="1:5" x14ac:dyDescent="0.2">
      <c r="A76" s="18" t="s">
        <v>817</v>
      </c>
    </row>
    <row r="77" spans="1:5" x14ac:dyDescent="0.2">
      <c r="A77" s="50" t="s">
        <v>50</v>
      </c>
    </row>
  </sheetData>
  <mergeCells count="8">
    <mergeCell ref="A67:B67"/>
    <mergeCell ref="A68:B68"/>
    <mergeCell ref="A1:G1"/>
    <mergeCell ref="A62:B62"/>
    <mergeCell ref="A63:B63"/>
    <mergeCell ref="A64:B64"/>
    <mergeCell ref="A65:B65"/>
    <mergeCell ref="A66:B66"/>
  </mergeCells>
  <conditionalFormatting sqref="F2:F3 F5:F65534">
    <cfRule type="cellIs" dxfId="70" priority="1" stopIfTrue="1" operator="between">
      <formula>0.009</formula>
      <formula>-0.009</formula>
    </cfRule>
  </conditionalFormatting>
  <hyperlinks>
    <hyperlink ref="A77" r:id="rId1" tooltip="https://www.franklintempletonindia.com/downloadsServlet/pdf/product-labels-jg9o5k7l" xr:uid="{00000000-0004-0000-0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5"/>
  <sheetViews>
    <sheetView workbookViewId="0">
      <selection sqref="A1:G1"/>
    </sheetView>
  </sheetViews>
  <sheetFormatPr defaultColWidth="9.109375" defaultRowHeight="10.199999999999999" x14ac:dyDescent="0.2"/>
  <cols>
    <col min="1" max="1" width="38.6640625" style="9" bestFit="1" customWidth="1"/>
    <col min="2" max="2" width="54.10937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9" t="s">
        <v>868</v>
      </c>
      <c r="B1" s="80"/>
      <c r="C1" s="80"/>
      <c r="D1" s="80"/>
      <c r="E1" s="80"/>
      <c r="F1" s="80"/>
      <c r="G1" s="80"/>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749</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869</v>
      </c>
      <c r="B7" s="27" t="s">
        <v>870</v>
      </c>
      <c r="C7" s="27" t="s">
        <v>34</v>
      </c>
      <c r="D7" s="31">
        <v>250</v>
      </c>
      <c r="E7" s="29">
        <v>2570.0524999999998</v>
      </c>
      <c r="F7" s="30">
        <v>8.1664198667072796</v>
      </c>
      <c r="G7" s="29">
        <v>4.51</v>
      </c>
    </row>
    <row r="8" spans="1:9" x14ac:dyDescent="0.2">
      <c r="A8" s="27" t="s">
        <v>871</v>
      </c>
      <c r="B8" s="27" t="s">
        <v>872</v>
      </c>
      <c r="C8" s="27" t="s">
        <v>873</v>
      </c>
      <c r="D8" s="31">
        <v>250</v>
      </c>
      <c r="E8" s="29">
        <v>2527.34</v>
      </c>
      <c r="F8" s="30">
        <v>8.0306996008540601</v>
      </c>
      <c r="G8" s="29">
        <v>6.02</v>
      </c>
    </row>
    <row r="9" spans="1:9" x14ac:dyDescent="0.2">
      <c r="A9" s="27" t="s">
        <v>874</v>
      </c>
      <c r="B9" s="27" t="s">
        <v>875</v>
      </c>
      <c r="C9" s="27" t="s">
        <v>34</v>
      </c>
      <c r="D9" s="31">
        <v>250</v>
      </c>
      <c r="E9" s="29">
        <v>2501.23</v>
      </c>
      <c r="F9" s="30">
        <v>7.9477342829394502</v>
      </c>
      <c r="G9" s="29">
        <v>3.56</v>
      </c>
    </row>
    <row r="10" spans="1:9" x14ac:dyDescent="0.2">
      <c r="A10" s="27" t="s">
        <v>93</v>
      </c>
      <c r="B10" s="27" t="s">
        <v>92</v>
      </c>
      <c r="C10" s="27" t="s">
        <v>33</v>
      </c>
      <c r="D10" s="31">
        <v>100</v>
      </c>
      <c r="E10" s="29">
        <v>1010.897</v>
      </c>
      <c r="F10" s="30">
        <v>3.21215591665726</v>
      </c>
      <c r="G10" s="29">
        <v>8.6390999999999991</v>
      </c>
    </row>
    <row r="11" spans="1:9" x14ac:dyDescent="0.2">
      <c r="A11" s="27" t="s">
        <v>876</v>
      </c>
      <c r="B11" s="27" t="s">
        <v>877</v>
      </c>
      <c r="C11" s="27" t="s">
        <v>878</v>
      </c>
      <c r="D11" s="31">
        <v>100</v>
      </c>
      <c r="E11" s="29">
        <v>995.19299999999998</v>
      </c>
      <c r="F11" s="30">
        <v>3.16225597975451</v>
      </c>
      <c r="G11" s="29">
        <v>12.440300000000001</v>
      </c>
    </row>
    <row r="12" spans="1:9" x14ac:dyDescent="0.2">
      <c r="A12" s="26" t="s">
        <v>35</v>
      </c>
      <c r="B12" s="26"/>
      <c r="C12" s="26"/>
      <c r="D12" s="32"/>
      <c r="E12" s="33">
        <f>SUM(E6:E11)</f>
        <v>9604.7124999999996</v>
      </c>
      <c r="F12" s="34">
        <f>SUM(F6:F11)</f>
        <v>30.519265646912558</v>
      </c>
      <c r="G12" s="33"/>
      <c r="H12" s="18"/>
      <c r="I12" s="18"/>
    </row>
    <row r="13" spans="1:9" x14ac:dyDescent="0.2">
      <c r="A13" s="27"/>
      <c r="B13" s="27"/>
      <c r="C13" s="27"/>
      <c r="D13" s="28"/>
      <c r="E13" s="29"/>
      <c r="F13" s="30"/>
      <c r="G13" s="29"/>
    </row>
    <row r="14" spans="1:9" x14ac:dyDescent="0.2">
      <c r="A14" s="26" t="s">
        <v>51</v>
      </c>
      <c r="B14" s="27"/>
      <c r="C14" s="27"/>
      <c r="D14" s="28"/>
      <c r="E14" s="29"/>
      <c r="F14" s="30"/>
      <c r="G14" s="29"/>
    </row>
    <row r="15" spans="1:9" x14ac:dyDescent="0.2">
      <c r="A15" s="26" t="s">
        <v>52</v>
      </c>
      <c r="B15" s="27"/>
      <c r="C15" s="27"/>
      <c r="D15" s="28"/>
      <c r="E15" s="29"/>
      <c r="F15" s="30"/>
      <c r="G15" s="29"/>
    </row>
    <row r="16" spans="1:9" x14ac:dyDescent="0.2">
      <c r="A16" s="27" t="s">
        <v>824</v>
      </c>
      <c r="B16" s="27" t="s">
        <v>825</v>
      </c>
      <c r="C16" s="27" t="s">
        <v>53</v>
      </c>
      <c r="D16" s="31">
        <v>1000</v>
      </c>
      <c r="E16" s="29">
        <v>999.93600000000004</v>
      </c>
      <c r="F16" s="30">
        <v>3.1773270062910401</v>
      </c>
      <c r="G16" s="29">
        <v>3.875</v>
      </c>
    </row>
    <row r="17" spans="1:9" x14ac:dyDescent="0.2">
      <c r="A17" s="26" t="s">
        <v>35</v>
      </c>
      <c r="B17" s="26"/>
      <c r="C17" s="26"/>
      <c r="D17" s="32"/>
      <c r="E17" s="33">
        <f>SUM(E15:E16)</f>
        <v>999.93600000000004</v>
      </c>
      <c r="F17" s="34">
        <f>SUM(F15:F16)</f>
        <v>3.1773270062910401</v>
      </c>
      <c r="G17" s="33"/>
      <c r="H17" s="18"/>
      <c r="I17" s="18"/>
    </row>
    <row r="18" spans="1:9" x14ac:dyDescent="0.2">
      <c r="A18" s="27"/>
      <c r="B18" s="27"/>
      <c r="C18" s="27"/>
      <c r="D18" s="28"/>
      <c r="E18" s="29"/>
      <c r="F18" s="30"/>
      <c r="G18" s="29"/>
    </row>
    <row r="19" spans="1:9" x14ac:dyDescent="0.2">
      <c r="A19" s="26" t="s">
        <v>55</v>
      </c>
      <c r="B19" s="27"/>
      <c r="C19" s="27"/>
      <c r="D19" s="28"/>
      <c r="E19" s="29"/>
      <c r="F19" s="30"/>
      <c r="G19" s="29"/>
    </row>
    <row r="20" spans="1:9" x14ac:dyDescent="0.2">
      <c r="A20" s="27" t="s">
        <v>879</v>
      </c>
      <c r="B20" s="27" t="s">
        <v>880</v>
      </c>
      <c r="C20" s="27" t="s">
        <v>53</v>
      </c>
      <c r="D20" s="31">
        <v>500</v>
      </c>
      <c r="E20" s="29">
        <v>2454.0524999999998</v>
      </c>
      <c r="F20" s="30">
        <v>7.7978263439920603</v>
      </c>
      <c r="G20" s="29">
        <v>3.7549999999999999</v>
      </c>
    </row>
    <row r="21" spans="1:9" x14ac:dyDescent="0.2">
      <c r="A21" s="26" t="s">
        <v>35</v>
      </c>
      <c r="B21" s="26"/>
      <c r="C21" s="26"/>
      <c r="D21" s="32"/>
      <c r="E21" s="33">
        <f>SUM(E19:E20)</f>
        <v>2454.0524999999998</v>
      </c>
      <c r="F21" s="34">
        <f>SUM(F19:F20)</f>
        <v>7.7978263439920603</v>
      </c>
      <c r="G21" s="33"/>
      <c r="H21" s="18"/>
      <c r="I21" s="18"/>
    </row>
    <row r="22" spans="1:9" x14ac:dyDescent="0.2">
      <c r="A22" s="27"/>
      <c r="B22" s="27"/>
      <c r="C22" s="27"/>
      <c r="D22" s="28"/>
      <c r="E22" s="29"/>
      <c r="F22" s="30"/>
      <c r="G22" s="29"/>
    </row>
    <row r="23" spans="1:9" x14ac:dyDescent="0.2">
      <c r="A23" s="26" t="s">
        <v>61</v>
      </c>
      <c r="B23" s="27"/>
      <c r="C23" s="27"/>
      <c r="D23" s="28"/>
      <c r="E23" s="29"/>
      <c r="F23" s="30"/>
      <c r="G23" s="29"/>
    </row>
    <row r="24" spans="1:9" x14ac:dyDescent="0.2">
      <c r="A24" s="27" t="s">
        <v>881</v>
      </c>
      <c r="B24" s="27" t="s">
        <v>882</v>
      </c>
      <c r="C24" s="27" t="s">
        <v>65</v>
      </c>
      <c r="D24" s="31">
        <v>2500000</v>
      </c>
      <c r="E24" s="29">
        <v>2436.2950000000001</v>
      </c>
      <c r="F24" s="30">
        <v>7.7414013484781403</v>
      </c>
      <c r="G24" s="29">
        <v>3.7725</v>
      </c>
    </row>
    <row r="25" spans="1:9" x14ac:dyDescent="0.2">
      <c r="A25" s="26" t="s">
        <v>35</v>
      </c>
      <c r="B25" s="26"/>
      <c r="C25" s="26"/>
      <c r="D25" s="32"/>
      <c r="E25" s="33">
        <f>SUM(E23:E24)</f>
        <v>2436.2950000000001</v>
      </c>
      <c r="F25" s="34">
        <f>SUM(F23:F24)</f>
        <v>7.7414013484781403</v>
      </c>
      <c r="G25" s="33"/>
      <c r="H25" s="18"/>
      <c r="I25" s="18"/>
    </row>
    <row r="26" spans="1:9" x14ac:dyDescent="0.2">
      <c r="A26" s="27"/>
      <c r="B26" s="27"/>
      <c r="C26" s="27"/>
      <c r="D26" s="28"/>
      <c r="E26" s="29"/>
      <c r="F26" s="30"/>
      <c r="G26" s="29"/>
    </row>
    <row r="27" spans="1:9" x14ac:dyDescent="0.2">
      <c r="A27" s="26" t="s">
        <v>62</v>
      </c>
      <c r="B27" s="27"/>
      <c r="C27" s="27"/>
      <c r="D27" s="28"/>
      <c r="E27" s="29"/>
      <c r="F27" s="30"/>
      <c r="G27" s="29"/>
    </row>
    <row r="28" spans="1:9" x14ac:dyDescent="0.2">
      <c r="A28" s="27" t="s">
        <v>883</v>
      </c>
      <c r="B28" s="27" t="s">
        <v>884</v>
      </c>
      <c r="C28" s="27" t="s">
        <v>65</v>
      </c>
      <c r="D28" s="31">
        <v>6500000</v>
      </c>
      <c r="E28" s="29">
        <v>6415.643</v>
      </c>
      <c r="F28" s="30">
        <v>20.385900464251801</v>
      </c>
      <c r="G28" s="29">
        <v>3.9260720929388899</v>
      </c>
    </row>
    <row r="29" spans="1:9" x14ac:dyDescent="0.2">
      <c r="A29" s="27" t="s">
        <v>885</v>
      </c>
      <c r="B29" s="27" t="s">
        <v>886</v>
      </c>
      <c r="C29" s="27" t="s">
        <v>65</v>
      </c>
      <c r="D29" s="31">
        <v>3000000</v>
      </c>
      <c r="E29" s="29">
        <v>3012</v>
      </c>
      <c r="F29" s="30">
        <v>9.5707214691226401</v>
      </c>
      <c r="G29" s="29">
        <v>4.5410785716179198</v>
      </c>
    </row>
    <row r="30" spans="1:9" x14ac:dyDescent="0.2">
      <c r="A30" s="27" t="s">
        <v>887</v>
      </c>
      <c r="B30" s="27" t="s">
        <v>888</v>
      </c>
      <c r="C30" s="27" t="s">
        <v>65</v>
      </c>
      <c r="D30" s="31">
        <v>2000000</v>
      </c>
      <c r="E30" s="29">
        <v>2073.1179999999999</v>
      </c>
      <c r="F30" s="30">
        <v>6.5873954019337999</v>
      </c>
      <c r="G30" s="29">
        <v>4.0197000000000003</v>
      </c>
    </row>
    <row r="31" spans="1:9" x14ac:dyDescent="0.2">
      <c r="A31" s="27" t="s">
        <v>889</v>
      </c>
      <c r="B31" s="27" t="s">
        <v>890</v>
      </c>
      <c r="C31" s="27" t="s">
        <v>65</v>
      </c>
      <c r="D31" s="31">
        <v>1000000</v>
      </c>
      <c r="E31" s="29">
        <v>1000</v>
      </c>
      <c r="F31" s="30">
        <v>3.1775303682346099</v>
      </c>
      <c r="G31" s="29">
        <v>4.4775</v>
      </c>
    </row>
    <row r="32" spans="1:9" x14ac:dyDescent="0.2">
      <c r="A32" s="27" t="s">
        <v>891</v>
      </c>
      <c r="B32" s="27" t="s">
        <v>892</v>
      </c>
      <c r="C32" s="27" t="s">
        <v>65</v>
      </c>
      <c r="D32" s="31">
        <v>1000000</v>
      </c>
      <c r="E32" s="29">
        <v>999.80899999999997</v>
      </c>
      <c r="F32" s="30">
        <v>3.1769234599342799</v>
      </c>
      <c r="G32" s="29">
        <v>4.7013386725755897</v>
      </c>
    </row>
    <row r="33" spans="1:9" x14ac:dyDescent="0.2">
      <c r="A33" s="27" t="s">
        <v>893</v>
      </c>
      <c r="B33" s="27" t="s">
        <v>894</v>
      </c>
      <c r="C33" s="27" t="s">
        <v>65</v>
      </c>
      <c r="D33" s="31">
        <v>500000</v>
      </c>
      <c r="E33" s="29">
        <v>518.6875</v>
      </c>
      <c r="F33" s="30">
        <v>1.64814528287369</v>
      </c>
      <c r="G33" s="29">
        <v>4.1845999999999997</v>
      </c>
    </row>
    <row r="34" spans="1:9" x14ac:dyDescent="0.2">
      <c r="A34" s="26" t="s">
        <v>35</v>
      </c>
      <c r="B34" s="26"/>
      <c r="C34" s="26"/>
      <c r="D34" s="32"/>
      <c r="E34" s="33">
        <f>SUM(E28:E33)</f>
        <v>14019.2575</v>
      </c>
      <c r="F34" s="34">
        <f>SUM(F28:F33)</f>
        <v>44.546616446350825</v>
      </c>
      <c r="G34" s="33"/>
      <c r="H34" s="18"/>
      <c r="I34" s="18"/>
    </row>
    <row r="35" spans="1:9" x14ac:dyDescent="0.2">
      <c r="A35" s="27"/>
      <c r="B35" s="27"/>
      <c r="C35" s="27"/>
      <c r="D35" s="28"/>
      <c r="E35" s="29"/>
      <c r="F35" s="30"/>
      <c r="G35" s="29"/>
    </row>
    <row r="36" spans="1:9" x14ac:dyDescent="0.2">
      <c r="A36" s="26" t="s">
        <v>37</v>
      </c>
      <c r="B36" s="26"/>
      <c r="C36" s="26"/>
      <c r="D36" s="32"/>
      <c r="E36" s="33">
        <f>E12+E17+E21+E25+E34</f>
        <v>29514.253499999999</v>
      </c>
      <c r="F36" s="34">
        <f>F12+F17+F21+F25+F34</f>
        <v>93.782436792024612</v>
      </c>
      <c r="G36" s="33"/>
      <c r="H36" s="18"/>
      <c r="I36" s="18"/>
    </row>
    <row r="37" spans="1:9" x14ac:dyDescent="0.2">
      <c r="A37" s="26"/>
      <c r="B37" s="26"/>
      <c r="C37" s="26"/>
      <c r="D37" s="32"/>
      <c r="E37" s="33"/>
      <c r="F37" s="34"/>
      <c r="G37" s="33"/>
      <c r="H37" s="18"/>
      <c r="I37" s="18"/>
    </row>
    <row r="38" spans="1:9" x14ac:dyDescent="0.2">
      <c r="A38" s="26" t="s">
        <v>39</v>
      </c>
      <c r="B38" s="26"/>
      <c r="C38" s="26"/>
      <c r="D38" s="32"/>
      <c r="E38" s="33">
        <f>E40-(E12+E17+E21+E25+E34)</f>
        <v>1956.7281780000012</v>
      </c>
      <c r="F38" s="34">
        <f>F40-(F12+F17+F21+F25+F34)</f>
        <v>6.2175632079753882</v>
      </c>
      <c r="G38" s="33"/>
      <c r="H38" s="18"/>
      <c r="I38" s="18"/>
    </row>
    <row r="39" spans="1:9" x14ac:dyDescent="0.2">
      <c r="A39" s="26"/>
      <c r="B39" s="26"/>
      <c r="C39" s="26"/>
      <c r="D39" s="32"/>
      <c r="E39" s="33"/>
      <c r="F39" s="34"/>
      <c r="G39" s="33"/>
      <c r="H39" s="18"/>
      <c r="I39" s="18"/>
    </row>
    <row r="40" spans="1:9" x14ac:dyDescent="0.2">
      <c r="A40" s="35" t="s">
        <v>38</v>
      </c>
      <c r="B40" s="35"/>
      <c r="C40" s="35"/>
      <c r="D40" s="36"/>
      <c r="E40" s="37">
        <v>31470.981678</v>
      </c>
      <c r="F40" s="38">
        <v>100</v>
      </c>
      <c r="G40" s="37"/>
      <c r="H40" s="18"/>
      <c r="I40" s="18"/>
    </row>
    <row r="42" spans="1:9" x14ac:dyDescent="0.2">
      <c r="A42" s="18" t="s">
        <v>66</v>
      </c>
    </row>
    <row r="43" spans="1:9" x14ac:dyDescent="0.2">
      <c r="A43" s="18" t="s">
        <v>40</v>
      </c>
    </row>
    <row r="45" spans="1:9" x14ac:dyDescent="0.2">
      <c r="A45" s="18" t="s">
        <v>41</v>
      </c>
    </row>
    <row r="46" spans="1:9" x14ac:dyDescent="0.2">
      <c r="A46" s="18" t="s">
        <v>42</v>
      </c>
    </row>
    <row r="47" spans="1:9" x14ac:dyDescent="0.2">
      <c r="A47" s="18" t="s">
        <v>43</v>
      </c>
      <c r="B47" s="18"/>
      <c r="C47" s="39" t="s">
        <v>45</v>
      </c>
      <c r="D47" s="19" t="s">
        <v>44</v>
      </c>
    </row>
    <row r="48" spans="1:9" x14ac:dyDescent="0.2">
      <c r="A48" s="9" t="s">
        <v>70</v>
      </c>
      <c r="C48" s="40">
        <v>31.171299999999999</v>
      </c>
      <c r="D48" s="40">
        <v>31.674499999999998</v>
      </c>
    </row>
    <row r="49" spans="1:5" x14ac:dyDescent="0.2">
      <c r="A49" s="9" t="s">
        <v>819</v>
      </c>
      <c r="C49" s="40">
        <v>10.1708</v>
      </c>
      <c r="D49" s="40">
        <v>10.1479</v>
      </c>
    </row>
    <row r="50" spans="1:5" x14ac:dyDescent="0.2">
      <c r="A50" s="9" t="s">
        <v>73</v>
      </c>
      <c r="C50" s="40">
        <v>32.971499999999999</v>
      </c>
      <c r="D50" s="40">
        <v>33.607599999999998</v>
      </c>
    </row>
    <row r="51" spans="1:5" x14ac:dyDescent="0.2">
      <c r="A51" s="9" t="s">
        <v>821</v>
      </c>
      <c r="C51" s="40">
        <v>10.071300000000001</v>
      </c>
      <c r="D51" s="40">
        <v>10.0489</v>
      </c>
    </row>
    <row r="53" spans="1:5" x14ac:dyDescent="0.2">
      <c r="A53" s="18" t="s">
        <v>47</v>
      </c>
    </row>
    <row r="54" spans="1:5" x14ac:dyDescent="0.2">
      <c r="A54" s="81" t="s">
        <v>67</v>
      </c>
      <c r="B54" s="82"/>
      <c r="C54" s="43" t="s">
        <v>68</v>
      </c>
    </row>
    <row r="55" spans="1:5" x14ac:dyDescent="0.2">
      <c r="A55" s="77" t="s">
        <v>819</v>
      </c>
      <c r="B55" s="78"/>
      <c r="C55" s="44">
        <v>0.1855043915</v>
      </c>
    </row>
    <row r="56" spans="1:5" x14ac:dyDescent="0.2">
      <c r="A56" s="77" t="s">
        <v>821</v>
      </c>
      <c r="B56" s="78"/>
      <c r="C56" s="44">
        <v>0.2110071121</v>
      </c>
    </row>
    <row r="57" spans="1:5" x14ac:dyDescent="0.2">
      <c r="A57" s="9" t="s">
        <v>69</v>
      </c>
    </row>
    <row r="58" spans="1:5" x14ac:dyDescent="0.2">
      <c r="A58" s="9" t="s">
        <v>46</v>
      </c>
    </row>
    <row r="60" spans="1:5" x14ac:dyDescent="0.2">
      <c r="A60" s="18" t="s">
        <v>816</v>
      </c>
      <c r="D60" s="42">
        <v>2.7351040134246598</v>
      </c>
      <c r="E60" s="13" t="s">
        <v>49</v>
      </c>
    </row>
    <row r="62" spans="1:5" x14ac:dyDescent="0.2">
      <c r="A62" s="18" t="s">
        <v>734</v>
      </c>
      <c r="D62" s="41" t="s">
        <v>48</v>
      </c>
    </row>
    <row r="64" spans="1:5" x14ac:dyDescent="0.2">
      <c r="A64" s="18" t="s">
        <v>817</v>
      </c>
    </row>
    <row r="65" spans="1:1" x14ac:dyDescent="0.2">
      <c r="A65" s="50" t="s">
        <v>50</v>
      </c>
    </row>
  </sheetData>
  <mergeCells count="4">
    <mergeCell ref="A1:G1"/>
    <mergeCell ref="A54:B54"/>
    <mergeCell ref="A55:B55"/>
    <mergeCell ref="A56:B56"/>
  </mergeCells>
  <conditionalFormatting sqref="F2:F3 F5:F65534">
    <cfRule type="cellIs" dxfId="69" priority="1" stopIfTrue="1" operator="between">
      <formula>0.009</formula>
      <formula>-0.009</formula>
    </cfRule>
  </conditionalFormatting>
  <hyperlinks>
    <hyperlink ref="A65" r:id="rId1" tooltip="https://www.franklintempletonindia.com/downloadsServlet/pdf/product-labels-jg9o5k7l" xr:uid="{00000000-0004-0000-0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7"/>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9" t="s">
        <v>895</v>
      </c>
      <c r="B1" s="80"/>
      <c r="C1" s="80"/>
      <c r="D1" s="80"/>
      <c r="E1" s="80"/>
      <c r="F1" s="80"/>
      <c r="G1" s="8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749</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896</v>
      </c>
      <c r="B7" s="27" t="s">
        <v>897</v>
      </c>
      <c r="C7" s="27" t="s">
        <v>898</v>
      </c>
      <c r="D7" s="31">
        <v>550</v>
      </c>
      <c r="E7" s="29">
        <v>5839.4049999999997</v>
      </c>
      <c r="F7" s="30">
        <v>6.8114434998767504</v>
      </c>
      <c r="G7" s="29">
        <v>4.7798999999999996</v>
      </c>
    </row>
    <row r="8" spans="1:7" x14ac:dyDescent="0.2">
      <c r="A8" s="27" t="s">
        <v>899</v>
      </c>
      <c r="B8" s="27" t="s">
        <v>900</v>
      </c>
      <c r="C8" s="27" t="s">
        <v>34</v>
      </c>
      <c r="D8" s="31">
        <v>500</v>
      </c>
      <c r="E8" s="29">
        <v>5302.32</v>
      </c>
      <c r="F8" s="30">
        <v>6.18495430583536</v>
      </c>
      <c r="G8" s="29">
        <v>5.1050000000000004</v>
      </c>
    </row>
    <row r="9" spans="1:7" x14ac:dyDescent="0.2">
      <c r="A9" s="27" t="s">
        <v>901</v>
      </c>
      <c r="B9" s="27" t="s">
        <v>902</v>
      </c>
      <c r="C9" s="27" t="s">
        <v>34</v>
      </c>
      <c r="D9" s="31">
        <v>500</v>
      </c>
      <c r="E9" s="29">
        <v>5067.7749999999996</v>
      </c>
      <c r="F9" s="30">
        <v>5.9113664975434901</v>
      </c>
      <c r="G9" s="29">
        <v>3.8599000000000001</v>
      </c>
    </row>
    <row r="10" spans="1:7" x14ac:dyDescent="0.2">
      <c r="A10" s="27" t="s">
        <v>903</v>
      </c>
      <c r="B10" s="27" t="s">
        <v>904</v>
      </c>
      <c r="C10" s="27" t="s">
        <v>905</v>
      </c>
      <c r="D10" s="31">
        <v>430</v>
      </c>
      <c r="E10" s="29">
        <v>4398.0572000000002</v>
      </c>
      <c r="F10" s="30">
        <v>5.1301661945054597</v>
      </c>
      <c r="G10" s="29">
        <v>5.1448999999999998</v>
      </c>
    </row>
    <row r="11" spans="1:7" x14ac:dyDescent="0.2">
      <c r="A11" s="27" t="s">
        <v>906</v>
      </c>
      <c r="B11" s="27" t="s">
        <v>907</v>
      </c>
      <c r="C11" s="27" t="s">
        <v>898</v>
      </c>
      <c r="D11" s="31">
        <v>264</v>
      </c>
      <c r="E11" s="29">
        <v>2709.7461600000001</v>
      </c>
      <c r="F11" s="30">
        <v>3.1608156769136602</v>
      </c>
      <c r="G11" s="29">
        <v>5.35</v>
      </c>
    </row>
    <row r="12" spans="1:7" x14ac:dyDescent="0.2">
      <c r="A12" s="27" t="s">
        <v>908</v>
      </c>
      <c r="B12" s="27" t="s">
        <v>909</v>
      </c>
      <c r="C12" s="27" t="s">
        <v>34</v>
      </c>
      <c r="D12" s="31">
        <v>250</v>
      </c>
      <c r="E12" s="29">
        <v>2594.17</v>
      </c>
      <c r="F12" s="30">
        <v>3.0260004887613201</v>
      </c>
      <c r="G12" s="29">
        <v>6.65</v>
      </c>
    </row>
    <row r="13" spans="1:7" x14ac:dyDescent="0.2">
      <c r="A13" s="27" t="s">
        <v>910</v>
      </c>
      <c r="B13" s="27" t="s">
        <v>911</v>
      </c>
      <c r="C13" s="27" t="s">
        <v>34</v>
      </c>
      <c r="D13" s="31">
        <v>250</v>
      </c>
      <c r="E13" s="29">
        <v>2591.6824999999999</v>
      </c>
      <c r="F13" s="30">
        <v>3.0230989147643199</v>
      </c>
      <c r="G13" s="29">
        <v>5.72</v>
      </c>
    </row>
    <row r="14" spans="1:7" x14ac:dyDescent="0.2">
      <c r="A14" s="27" t="s">
        <v>912</v>
      </c>
      <c r="B14" s="27" t="s">
        <v>913</v>
      </c>
      <c r="C14" s="27" t="s">
        <v>34</v>
      </c>
      <c r="D14" s="31">
        <v>250</v>
      </c>
      <c r="E14" s="29">
        <v>2573.5275000000001</v>
      </c>
      <c r="F14" s="30">
        <v>3.0019217988183899</v>
      </c>
      <c r="G14" s="29">
        <v>4.6710000000000003</v>
      </c>
    </row>
    <row r="15" spans="1:7" x14ac:dyDescent="0.2">
      <c r="A15" s="27" t="s">
        <v>914</v>
      </c>
      <c r="B15" s="27" t="s">
        <v>915</v>
      </c>
      <c r="C15" s="27" t="s">
        <v>34</v>
      </c>
      <c r="D15" s="31">
        <v>250</v>
      </c>
      <c r="E15" s="29">
        <v>2570.06</v>
      </c>
      <c r="F15" s="30">
        <v>2.9978770921512101</v>
      </c>
      <c r="G15" s="29">
        <v>4.2</v>
      </c>
    </row>
    <row r="16" spans="1:7" x14ac:dyDescent="0.2">
      <c r="A16" s="27" t="s">
        <v>916</v>
      </c>
      <c r="B16" s="27" t="s">
        <v>917</v>
      </c>
      <c r="C16" s="27" t="s">
        <v>34</v>
      </c>
      <c r="D16" s="31">
        <v>250</v>
      </c>
      <c r="E16" s="29">
        <v>2562.36</v>
      </c>
      <c r="F16" s="30">
        <v>2.98889533545699</v>
      </c>
      <c r="G16" s="29">
        <v>4.72</v>
      </c>
    </row>
    <row r="17" spans="1:7" x14ac:dyDescent="0.2">
      <c r="A17" s="27" t="s">
        <v>918</v>
      </c>
      <c r="B17" s="27" t="s">
        <v>919</v>
      </c>
      <c r="C17" s="27" t="s">
        <v>34</v>
      </c>
      <c r="D17" s="31">
        <v>250</v>
      </c>
      <c r="E17" s="29">
        <v>2561.4825000000001</v>
      </c>
      <c r="F17" s="30">
        <v>2.9878717651324198</v>
      </c>
      <c r="G17" s="29">
        <v>3.9649999999999999</v>
      </c>
    </row>
    <row r="18" spans="1:7" x14ac:dyDescent="0.2">
      <c r="A18" s="27" t="s">
        <v>920</v>
      </c>
      <c r="B18" s="27" t="s">
        <v>921</v>
      </c>
      <c r="C18" s="27" t="s">
        <v>34</v>
      </c>
      <c r="D18" s="31">
        <v>250</v>
      </c>
      <c r="E18" s="29">
        <v>2543.335</v>
      </c>
      <c r="F18" s="30">
        <v>2.9667033976508002</v>
      </c>
      <c r="G18" s="29">
        <v>4.8</v>
      </c>
    </row>
    <row r="19" spans="1:7" x14ac:dyDescent="0.2">
      <c r="A19" s="27" t="s">
        <v>922</v>
      </c>
      <c r="B19" s="27" t="s">
        <v>923</v>
      </c>
      <c r="C19" s="27" t="s">
        <v>34</v>
      </c>
      <c r="D19" s="31">
        <v>250</v>
      </c>
      <c r="E19" s="29">
        <v>2519.0425</v>
      </c>
      <c r="F19" s="30">
        <v>2.9383671217424201</v>
      </c>
      <c r="G19" s="29">
        <v>4.49</v>
      </c>
    </row>
    <row r="20" spans="1:7" x14ac:dyDescent="0.2">
      <c r="A20" s="27" t="s">
        <v>924</v>
      </c>
      <c r="B20" s="27" t="s">
        <v>925</v>
      </c>
      <c r="C20" s="27" t="s">
        <v>34</v>
      </c>
      <c r="D20" s="31">
        <v>166</v>
      </c>
      <c r="E20" s="29">
        <v>2144.3514799999998</v>
      </c>
      <c r="F20" s="30">
        <v>2.5013043195149298</v>
      </c>
      <c r="G20" s="29">
        <v>4.1763000000000003</v>
      </c>
    </row>
    <row r="21" spans="1:7" x14ac:dyDescent="0.2">
      <c r="A21" s="27" t="s">
        <v>926</v>
      </c>
      <c r="B21" s="27" t="s">
        <v>927</v>
      </c>
      <c r="C21" s="27" t="s">
        <v>928</v>
      </c>
      <c r="D21" s="31">
        <v>200</v>
      </c>
      <c r="E21" s="29">
        <v>2098.09</v>
      </c>
      <c r="F21" s="30">
        <v>2.4473420652714499</v>
      </c>
      <c r="G21" s="29">
        <v>4.7948000000000004</v>
      </c>
    </row>
    <row r="22" spans="1:7" x14ac:dyDescent="0.2">
      <c r="A22" s="27" t="s">
        <v>929</v>
      </c>
      <c r="B22" s="27" t="s">
        <v>930</v>
      </c>
      <c r="C22" s="27" t="s">
        <v>34</v>
      </c>
      <c r="D22" s="31">
        <v>200</v>
      </c>
      <c r="E22" s="29">
        <v>2083.5259999999998</v>
      </c>
      <c r="F22" s="30">
        <v>2.43035371403837</v>
      </c>
      <c r="G22" s="29">
        <v>5.5</v>
      </c>
    </row>
    <row r="23" spans="1:7" x14ac:dyDescent="0.2">
      <c r="A23" s="27" t="s">
        <v>931</v>
      </c>
      <c r="B23" s="27" t="s">
        <v>932</v>
      </c>
      <c r="C23" s="27" t="s">
        <v>34</v>
      </c>
      <c r="D23" s="31">
        <v>187</v>
      </c>
      <c r="E23" s="29">
        <v>1886.6560899999999</v>
      </c>
      <c r="F23" s="30">
        <v>2.2007124631248201</v>
      </c>
      <c r="G23" s="29">
        <v>3.6450999999999998</v>
      </c>
    </row>
    <row r="24" spans="1:7" x14ac:dyDescent="0.2">
      <c r="A24" s="27" t="s">
        <v>933</v>
      </c>
      <c r="B24" s="27" t="s">
        <v>934</v>
      </c>
      <c r="C24" s="27" t="s">
        <v>34</v>
      </c>
      <c r="D24" s="31">
        <v>180</v>
      </c>
      <c r="E24" s="29">
        <v>1827.675</v>
      </c>
      <c r="F24" s="30">
        <v>2.1319132683273798</v>
      </c>
      <c r="G24" s="29">
        <v>3.7648999999999999</v>
      </c>
    </row>
    <row r="25" spans="1:7" x14ac:dyDescent="0.2">
      <c r="A25" s="27" t="s">
        <v>935</v>
      </c>
      <c r="B25" s="27" t="s">
        <v>936</v>
      </c>
      <c r="C25" s="27" t="s">
        <v>937</v>
      </c>
      <c r="D25" s="31">
        <v>160</v>
      </c>
      <c r="E25" s="29">
        <v>1792.5039999999999</v>
      </c>
      <c r="F25" s="30">
        <v>2.0908876365491098</v>
      </c>
      <c r="G25" s="29">
        <v>7.6449999999999996</v>
      </c>
    </row>
    <row r="26" spans="1:7" x14ac:dyDescent="0.2">
      <c r="A26" s="27" t="s">
        <v>938</v>
      </c>
      <c r="B26" s="27" t="s">
        <v>939</v>
      </c>
      <c r="C26" s="27" t="s">
        <v>928</v>
      </c>
      <c r="D26" s="31">
        <v>140</v>
      </c>
      <c r="E26" s="29">
        <v>1504.9412</v>
      </c>
      <c r="F26" s="30">
        <v>1.7554565840931999</v>
      </c>
      <c r="G26" s="29">
        <v>5.165</v>
      </c>
    </row>
    <row r="27" spans="1:7" x14ac:dyDescent="0.2">
      <c r="A27" s="27" t="s">
        <v>940</v>
      </c>
      <c r="B27" s="27" t="s">
        <v>941</v>
      </c>
      <c r="C27" s="27" t="s">
        <v>928</v>
      </c>
      <c r="D27" s="31">
        <v>150</v>
      </c>
      <c r="E27" s="29">
        <v>1502.7375</v>
      </c>
      <c r="F27" s="30">
        <v>1.7528860519857801</v>
      </c>
      <c r="G27" s="29">
        <v>5.1349999999999998</v>
      </c>
    </row>
    <row r="28" spans="1:7" x14ac:dyDescent="0.2">
      <c r="A28" s="27" t="s">
        <v>942</v>
      </c>
      <c r="B28" s="27" t="s">
        <v>943</v>
      </c>
      <c r="C28" s="27" t="s">
        <v>34</v>
      </c>
      <c r="D28" s="31">
        <v>118</v>
      </c>
      <c r="E28" s="29">
        <v>1182.7435</v>
      </c>
      <c r="F28" s="30">
        <v>1.37962524008807</v>
      </c>
      <c r="G28" s="29">
        <v>3.3965999999999998</v>
      </c>
    </row>
    <row r="29" spans="1:7" x14ac:dyDescent="0.2">
      <c r="A29" s="27" t="s">
        <v>944</v>
      </c>
      <c r="B29" s="27" t="s">
        <v>945</v>
      </c>
      <c r="C29" s="27" t="s">
        <v>34</v>
      </c>
      <c r="D29" s="31">
        <v>100</v>
      </c>
      <c r="E29" s="29">
        <v>1074.126</v>
      </c>
      <c r="F29" s="30">
        <v>1.2529270637588299</v>
      </c>
      <c r="G29" s="29">
        <v>6.04</v>
      </c>
    </row>
    <row r="30" spans="1:7" x14ac:dyDescent="0.2">
      <c r="A30" s="27" t="s">
        <v>946</v>
      </c>
      <c r="B30" s="27" t="s">
        <v>947</v>
      </c>
      <c r="C30" s="27" t="s">
        <v>34</v>
      </c>
      <c r="D30" s="31">
        <v>100</v>
      </c>
      <c r="E30" s="29">
        <v>1050.3789999999999</v>
      </c>
      <c r="F30" s="30">
        <v>1.2252270928214499</v>
      </c>
      <c r="G30" s="29">
        <v>5.7249999999999996</v>
      </c>
    </row>
    <row r="31" spans="1:7" x14ac:dyDescent="0.2">
      <c r="A31" s="27" t="s">
        <v>948</v>
      </c>
      <c r="B31" s="27" t="s">
        <v>949</v>
      </c>
      <c r="C31" s="27" t="s">
        <v>34</v>
      </c>
      <c r="D31" s="31">
        <v>100</v>
      </c>
      <c r="E31" s="29">
        <v>1034.123</v>
      </c>
      <c r="F31" s="30">
        <v>1.2062650880394601</v>
      </c>
      <c r="G31" s="29">
        <v>4.9396000000000004</v>
      </c>
    </row>
    <row r="32" spans="1:7" x14ac:dyDescent="0.2">
      <c r="A32" s="27" t="s">
        <v>950</v>
      </c>
      <c r="B32" s="27" t="s">
        <v>951</v>
      </c>
      <c r="C32" s="27" t="s">
        <v>952</v>
      </c>
      <c r="D32" s="31">
        <v>100</v>
      </c>
      <c r="E32" s="29">
        <v>1016.75908</v>
      </c>
      <c r="F32" s="30">
        <v>1.1860107367799699</v>
      </c>
      <c r="G32" s="29">
        <v>10</v>
      </c>
    </row>
    <row r="33" spans="1:9" x14ac:dyDescent="0.2">
      <c r="A33" s="27" t="s">
        <v>953</v>
      </c>
      <c r="B33" s="27" t="s">
        <v>954</v>
      </c>
      <c r="C33" s="27" t="s">
        <v>34</v>
      </c>
      <c r="D33" s="31">
        <v>76</v>
      </c>
      <c r="E33" s="29">
        <v>779.59280000000001</v>
      </c>
      <c r="F33" s="30">
        <v>0.90936530521700698</v>
      </c>
      <c r="G33" s="29">
        <v>3.9601000000000002</v>
      </c>
    </row>
    <row r="34" spans="1:9" x14ac:dyDescent="0.2">
      <c r="A34" s="27" t="s">
        <v>955</v>
      </c>
      <c r="B34" s="27" t="s">
        <v>956</v>
      </c>
      <c r="C34" s="27" t="s">
        <v>873</v>
      </c>
      <c r="D34" s="31">
        <v>59</v>
      </c>
      <c r="E34" s="29">
        <v>606.46041000000002</v>
      </c>
      <c r="F34" s="30">
        <v>0.70741296718194602</v>
      </c>
      <c r="G34" s="29">
        <v>4.07</v>
      </c>
    </row>
    <row r="35" spans="1:9" x14ac:dyDescent="0.2">
      <c r="A35" s="27" t="s">
        <v>957</v>
      </c>
      <c r="B35" s="27" t="s">
        <v>958</v>
      </c>
      <c r="C35" s="27" t="s">
        <v>928</v>
      </c>
      <c r="D35" s="31">
        <v>53</v>
      </c>
      <c r="E35" s="29">
        <v>531.68539999999996</v>
      </c>
      <c r="F35" s="30">
        <v>0.62019076632111902</v>
      </c>
      <c r="G35" s="29">
        <v>3.585</v>
      </c>
    </row>
    <row r="36" spans="1:9" x14ac:dyDescent="0.2">
      <c r="A36" s="27" t="s">
        <v>959</v>
      </c>
      <c r="B36" s="27" t="s">
        <v>960</v>
      </c>
      <c r="C36" s="27" t="s">
        <v>34</v>
      </c>
      <c r="D36" s="31">
        <v>45</v>
      </c>
      <c r="E36" s="29">
        <v>491.08499999999998</v>
      </c>
      <c r="F36" s="30">
        <v>0.57283194625770495</v>
      </c>
      <c r="G36" s="29">
        <v>6.0593000000000004</v>
      </c>
    </row>
    <row r="37" spans="1:9" x14ac:dyDescent="0.2">
      <c r="A37" s="27" t="s">
        <v>961</v>
      </c>
      <c r="B37" s="27" t="s">
        <v>962</v>
      </c>
      <c r="C37" s="27" t="s">
        <v>34</v>
      </c>
      <c r="D37" s="31">
        <v>31</v>
      </c>
      <c r="E37" s="29">
        <v>390.40996999999999</v>
      </c>
      <c r="F37" s="30">
        <v>0.455398358641604</v>
      </c>
      <c r="G37" s="29">
        <v>4.3699000000000003</v>
      </c>
    </row>
    <row r="38" spans="1:9" x14ac:dyDescent="0.2">
      <c r="A38" s="27" t="s">
        <v>963</v>
      </c>
      <c r="B38" s="27" t="s">
        <v>964</v>
      </c>
      <c r="C38" s="27" t="s">
        <v>928</v>
      </c>
      <c r="D38" s="31">
        <v>34</v>
      </c>
      <c r="E38" s="29">
        <v>349.02632</v>
      </c>
      <c r="F38" s="30">
        <v>0.40712590728848302</v>
      </c>
      <c r="G38" s="29">
        <v>3.9</v>
      </c>
    </row>
    <row r="39" spans="1:9" x14ac:dyDescent="0.2">
      <c r="A39" s="27" t="s">
        <v>965</v>
      </c>
      <c r="B39" s="27" t="s">
        <v>966</v>
      </c>
      <c r="C39" s="27" t="s">
        <v>34</v>
      </c>
      <c r="D39" s="31">
        <v>33</v>
      </c>
      <c r="E39" s="29">
        <v>331.57938000000001</v>
      </c>
      <c r="F39" s="30">
        <v>0.38677471636137001</v>
      </c>
      <c r="G39" s="29">
        <v>3.4601999999999999</v>
      </c>
    </row>
    <row r="40" spans="1:9" x14ac:dyDescent="0.2">
      <c r="A40" s="27" t="s">
        <v>967</v>
      </c>
      <c r="B40" s="27" t="s">
        <v>968</v>
      </c>
      <c r="C40" s="27" t="s">
        <v>34</v>
      </c>
      <c r="D40" s="31">
        <v>15</v>
      </c>
      <c r="E40" s="29">
        <v>194.45384999999999</v>
      </c>
      <c r="F40" s="30">
        <v>0.22682300895527999</v>
      </c>
      <c r="G40" s="29">
        <v>4.03</v>
      </c>
    </row>
    <row r="41" spans="1:9" x14ac:dyDescent="0.2">
      <c r="A41" s="27" t="s">
        <v>969</v>
      </c>
      <c r="B41" s="27" t="s">
        <v>970</v>
      </c>
      <c r="C41" s="27" t="s">
        <v>928</v>
      </c>
      <c r="D41" s="31">
        <v>19</v>
      </c>
      <c r="E41" s="29">
        <v>191.85269</v>
      </c>
      <c r="F41" s="30">
        <v>0.22378885489778</v>
      </c>
      <c r="G41" s="29">
        <v>3.3948</v>
      </c>
    </row>
    <row r="42" spans="1:9" x14ac:dyDescent="0.2">
      <c r="A42" s="27" t="s">
        <v>971</v>
      </c>
      <c r="B42" s="27" t="s">
        <v>972</v>
      </c>
      <c r="C42" s="27" t="s">
        <v>928</v>
      </c>
      <c r="D42" s="31">
        <v>70</v>
      </c>
      <c r="E42" s="29">
        <v>70.120750000000001</v>
      </c>
      <c r="F42" s="30">
        <v>8.1793183859311502E-2</v>
      </c>
      <c r="G42" s="29">
        <v>3.3742999999999999</v>
      </c>
    </row>
    <row r="43" spans="1:9" x14ac:dyDescent="0.2">
      <c r="A43" s="27" t="s">
        <v>973</v>
      </c>
      <c r="B43" s="27" t="s">
        <v>974</v>
      </c>
      <c r="C43" s="27" t="s">
        <v>873</v>
      </c>
      <c r="D43" s="31">
        <v>3</v>
      </c>
      <c r="E43" s="29">
        <v>39.563339999999997</v>
      </c>
      <c r="F43" s="30">
        <v>4.6149129076749097E-2</v>
      </c>
      <c r="G43" s="29">
        <v>4.84</v>
      </c>
    </row>
    <row r="44" spans="1:9" x14ac:dyDescent="0.2">
      <c r="A44" s="27" t="s">
        <v>975</v>
      </c>
      <c r="B44" s="27" t="s">
        <v>976</v>
      </c>
      <c r="C44" s="27" t="s">
        <v>34</v>
      </c>
      <c r="D44" s="31">
        <v>3</v>
      </c>
      <c r="E44" s="29">
        <v>30.655889999999999</v>
      </c>
      <c r="F44" s="30">
        <v>3.5758927951295899E-2</v>
      </c>
      <c r="G44" s="29">
        <v>4.1349999999999998</v>
      </c>
    </row>
    <row r="45" spans="1:9" x14ac:dyDescent="0.2">
      <c r="A45" s="27" t="s">
        <v>977</v>
      </c>
      <c r="B45" s="27" t="s">
        <v>978</v>
      </c>
      <c r="C45" s="27" t="s">
        <v>34</v>
      </c>
      <c r="D45" s="31">
        <v>2</v>
      </c>
      <c r="E45" s="29">
        <v>20.234480000000001</v>
      </c>
      <c r="F45" s="30">
        <v>2.3602750155090502E-2</v>
      </c>
      <c r="G45" s="29">
        <v>3.66</v>
      </c>
    </row>
    <row r="46" spans="1:9" x14ac:dyDescent="0.2">
      <c r="A46" s="26" t="s">
        <v>35</v>
      </c>
      <c r="B46" s="26"/>
      <c r="C46" s="26"/>
      <c r="D46" s="32"/>
      <c r="E46" s="33">
        <f>SUM(E6:E45)</f>
        <v>68058.295489999975</v>
      </c>
      <c r="F46" s="34">
        <f>SUM(F6:F45)</f>
        <v>79.387409235710152</v>
      </c>
      <c r="G46" s="33"/>
      <c r="H46" s="18"/>
      <c r="I46" s="18"/>
    </row>
    <row r="47" spans="1:9" x14ac:dyDescent="0.2">
      <c r="A47" s="27"/>
      <c r="B47" s="27"/>
      <c r="C47" s="27"/>
      <c r="D47" s="28"/>
      <c r="E47" s="29"/>
      <c r="F47" s="30"/>
      <c r="G47" s="29"/>
    </row>
    <row r="48" spans="1:9" x14ac:dyDescent="0.2">
      <c r="A48" s="26" t="s">
        <v>51</v>
      </c>
      <c r="B48" s="27"/>
      <c r="C48" s="27"/>
      <c r="D48" s="28"/>
      <c r="E48" s="29"/>
      <c r="F48" s="30"/>
      <c r="G48" s="29"/>
    </row>
    <row r="49" spans="1:9" x14ac:dyDescent="0.2">
      <c r="A49" s="26" t="s">
        <v>55</v>
      </c>
      <c r="B49" s="27"/>
      <c r="C49" s="27"/>
      <c r="D49" s="28"/>
      <c r="E49" s="29"/>
      <c r="F49" s="30"/>
      <c r="G49" s="29"/>
    </row>
    <row r="50" spans="1:9" x14ac:dyDescent="0.2">
      <c r="A50" s="27" t="s">
        <v>752</v>
      </c>
      <c r="B50" s="27" t="s">
        <v>753</v>
      </c>
      <c r="C50" s="27" t="s">
        <v>53</v>
      </c>
      <c r="D50" s="31">
        <v>700</v>
      </c>
      <c r="E50" s="29">
        <v>3495.373</v>
      </c>
      <c r="F50" s="30">
        <v>4.0772194599440699</v>
      </c>
      <c r="G50" s="29">
        <v>3.4512</v>
      </c>
    </row>
    <row r="51" spans="1:9" x14ac:dyDescent="0.2">
      <c r="A51" s="26" t="s">
        <v>35</v>
      </c>
      <c r="B51" s="26"/>
      <c r="C51" s="26"/>
      <c r="D51" s="32"/>
      <c r="E51" s="33">
        <f>SUM(E49:E50)</f>
        <v>3495.373</v>
      </c>
      <c r="F51" s="34">
        <f>SUM(F49:F50)</f>
        <v>4.0772194599440699</v>
      </c>
      <c r="G51" s="33"/>
      <c r="H51" s="18"/>
      <c r="I51" s="18"/>
    </row>
    <row r="52" spans="1:9" x14ac:dyDescent="0.2">
      <c r="A52" s="27"/>
      <c r="B52" s="27"/>
      <c r="C52" s="27"/>
      <c r="D52" s="28"/>
      <c r="E52" s="29"/>
      <c r="F52" s="30"/>
      <c r="G52" s="29"/>
    </row>
    <row r="53" spans="1:9" x14ac:dyDescent="0.2">
      <c r="A53" s="26" t="s">
        <v>62</v>
      </c>
      <c r="B53" s="27"/>
      <c r="C53" s="27"/>
      <c r="D53" s="28"/>
      <c r="E53" s="29"/>
      <c r="F53" s="30"/>
      <c r="G53" s="29"/>
    </row>
    <row r="54" spans="1:9" x14ac:dyDescent="0.2">
      <c r="A54" s="27" t="s">
        <v>83</v>
      </c>
      <c r="B54" s="27" t="s">
        <v>82</v>
      </c>
      <c r="C54" s="27" t="s">
        <v>65</v>
      </c>
      <c r="D54" s="31">
        <v>3000000</v>
      </c>
      <c r="E54" s="29">
        <v>3143.0340000000001</v>
      </c>
      <c r="F54" s="30">
        <v>3.66622943762107</v>
      </c>
      <c r="G54" s="29">
        <v>6.2675000000000001</v>
      </c>
    </row>
    <row r="55" spans="1:9" x14ac:dyDescent="0.2">
      <c r="A55" s="27" t="s">
        <v>87</v>
      </c>
      <c r="B55" s="27" t="s">
        <v>86</v>
      </c>
      <c r="C55" s="27" t="s">
        <v>65</v>
      </c>
      <c r="D55" s="31">
        <v>2000000</v>
      </c>
      <c r="E55" s="29">
        <v>2115.1</v>
      </c>
      <c r="F55" s="30">
        <v>2.4671835823323298</v>
      </c>
      <c r="G55" s="29">
        <v>4.9111000000000002</v>
      </c>
    </row>
    <row r="56" spans="1:9" x14ac:dyDescent="0.2">
      <c r="A56" s="27" t="s">
        <v>979</v>
      </c>
      <c r="B56" s="27" t="s">
        <v>980</v>
      </c>
      <c r="C56" s="27" t="s">
        <v>65</v>
      </c>
      <c r="D56" s="31">
        <v>2000000</v>
      </c>
      <c r="E56" s="29">
        <v>2094.154</v>
      </c>
      <c r="F56" s="30">
        <v>2.4427508712002202</v>
      </c>
      <c r="G56" s="29">
        <v>4.5967000000000002</v>
      </c>
    </row>
    <row r="57" spans="1:9" x14ac:dyDescent="0.2">
      <c r="A57" s="27" t="s">
        <v>81</v>
      </c>
      <c r="B57" s="27" t="s">
        <v>80</v>
      </c>
      <c r="C57" s="27" t="s">
        <v>65</v>
      </c>
      <c r="D57" s="31">
        <v>1500000</v>
      </c>
      <c r="E57" s="29">
        <v>1548.288</v>
      </c>
      <c r="F57" s="30">
        <v>1.80601897514168</v>
      </c>
      <c r="G57" s="29">
        <v>6.1269999999999998</v>
      </c>
    </row>
    <row r="58" spans="1:9" x14ac:dyDescent="0.2">
      <c r="A58" s="26" t="s">
        <v>35</v>
      </c>
      <c r="B58" s="26"/>
      <c r="C58" s="26"/>
      <c r="D58" s="32"/>
      <c r="E58" s="33">
        <f>SUM(E54:E57)</f>
        <v>8900.5760000000009</v>
      </c>
      <c r="F58" s="34">
        <f>SUM(F54:F57)</f>
        <v>10.382182866295299</v>
      </c>
      <c r="G58" s="33"/>
      <c r="H58" s="18"/>
      <c r="I58" s="18"/>
    </row>
    <row r="59" spans="1:9" x14ac:dyDescent="0.2">
      <c r="A59" s="27"/>
      <c r="B59" s="27"/>
      <c r="C59" s="27"/>
      <c r="D59" s="28"/>
      <c r="E59" s="29"/>
      <c r="F59" s="30"/>
      <c r="G59" s="29"/>
    </row>
    <row r="60" spans="1:9" x14ac:dyDescent="0.2">
      <c r="A60" s="26" t="s">
        <v>37</v>
      </c>
      <c r="B60" s="26"/>
      <c r="C60" s="26"/>
      <c r="D60" s="32"/>
      <c r="E60" s="33">
        <f>E46+E51+E58</f>
        <v>80454.244489999983</v>
      </c>
      <c r="F60" s="34">
        <f>F46+F51+F58</f>
        <v>93.846811561949522</v>
      </c>
      <c r="G60" s="33"/>
      <c r="H60" s="18"/>
      <c r="I60" s="18"/>
    </row>
    <row r="61" spans="1:9" x14ac:dyDescent="0.2">
      <c r="A61" s="26"/>
      <c r="B61" s="26"/>
      <c r="C61" s="26"/>
      <c r="D61" s="32"/>
      <c r="E61" s="33"/>
      <c r="F61" s="34"/>
      <c r="G61" s="33"/>
      <c r="H61" s="18"/>
      <c r="I61" s="18"/>
    </row>
    <row r="62" spans="1:9" x14ac:dyDescent="0.2">
      <c r="A62" s="26" t="s">
        <v>39</v>
      </c>
      <c r="B62" s="26"/>
      <c r="C62" s="26"/>
      <c r="D62" s="32"/>
      <c r="E62" s="33">
        <f>E64-(E46+E51+E58)</f>
        <v>5275.0873338000238</v>
      </c>
      <c r="F62" s="34">
        <f>F64-(F46+F51+F58)</f>
        <v>6.1531884380504778</v>
      </c>
      <c r="G62" s="33"/>
      <c r="H62" s="18"/>
      <c r="I62" s="18"/>
    </row>
    <row r="63" spans="1:9" x14ac:dyDescent="0.2">
      <c r="A63" s="26"/>
      <c r="B63" s="26"/>
      <c r="C63" s="26"/>
      <c r="D63" s="32"/>
      <c r="E63" s="33"/>
      <c r="F63" s="34"/>
      <c r="G63" s="33"/>
      <c r="H63" s="18"/>
      <c r="I63" s="18"/>
    </row>
    <row r="64" spans="1:9" x14ac:dyDescent="0.2">
      <c r="A64" s="35" t="s">
        <v>38</v>
      </c>
      <c r="B64" s="35"/>
      <c r="C64" s="35"/>
      <c r="D64" s="36"/>
      <c r="E64" s="37">
        <v>85729.331823800007</v>
      </c>
      <c r="F64" s="38">
        <v>100</v>
      </c>
      <c r="G64" s="37"/>
      <c r="H64" s="18"/>
      <c r="I64" s="18"/>
    </row>
    <row r="66" spans="1:4" x14ac:dyDescent="0.2">
      <c r="A66" s="18" t="s">
        <v>66</v>
      </c>
    </row>
    <row r="67" spans="1:4" x14ac:dyDescent="0.2">
      <c r="A67" s="18" t="s">
        <v>40</v>
      </c>
    </row>
    <row r="68" spans="1:4" x14ac:dyDescent="0.2">
      <c r="A68" s="57" t="s">
        <v>733</v>
      </c>
    </row>
    <row r="69" spans="1:4" x14ac:dyDescent="0.2">
      <c r="A69" s="18"/>
    </row>
    <row r="70" spans="1:4" x14ac:dyDescent="0.2">
      <c r="A70" s="18" t="s">
        <v>41</v>
      </c>
    </row>
    <row r="71" spans="1:4" x14ac:dyDescent="0.2">
      <c r="A71" s="18" t="s">
        <v>42</v>
      </c>
    </row>
    <row r="72" spans="1:4" x14ac:dyDescent="0.2">
      <c r="A72" s="18" t="s">
        <v>43</v>
      </c>
      <c r="B72" s="18"/>
      <c r="C72" s="39" t="s">
        <v>45</v>
      </c>
      <c r="D72" s="19" t="s">
        <v>44</v>
      </c>
    </row>
    <row r="73" spans="1:4" x14ac:dyDescent="0.2">
      <c r="A73" s="9" t="s">
        <v>70</v>
      </c>
      <c r="C73" s="40">
        <v>76.787700000000001</v>
      </c>
      <c r="D73" s="40">
        <v>78.043800000000005</v>
      </c>
    </row>
    <row r="74" spans="1:4" x14ac:dyDescent="0.2">
      <c r="A74" s="9" t="s">
        <v>71</v>
      </c>
      <c r="C74" s="40">
        <v>16.253699999999998</v>
      </c>
      <c r="D74" s="40">
        <v>15.8834</v>
      </c>
    </row>
    <row r="75" spans="1:4" x14ac:dyDescent="0.2">
      <c r="A75" s="9" t="s">
        <v>72</v>
      </c>
      <c r="C75" s="40">
        <v>13.4199</v>
      </c>
      <c r="D75" s="40">
        <v>13.0853</v>
      </c>
    </row>
    <row r="76" spans="1:4" x14ac:dyDescent="0.2">
      <c r="A76" s="9" t="s">
        <v>981</v>
      </c>
      <c r="C76" s="40">
        <v>14.2188</v>
      </c>
      <c r="D76" s="40">
        <v>13.8926</v>
      </c>
    </row>
    <row r="77" spans="1:4" x14ac:dyDescent="0.2">
      <c r="A77" s="9" t="s">
        <v>982</v>
      </c>
      <c r="C77" s="40">
        <v>18.462299999999999</v>
      </c>
      <c r="D77" s="40">
        <v>17.489100000000001</v>
      </c>
    </row>
    <row r="78" spans="1:4" x14ac:dyDescent="0.2">
      <c r="A78" s="9" t="s">
        <v>73</v>
      </c>
      <c r="C78" s="40">
        <v>81.142300000000006</v>
      </c>
      <c r="D78" s="40">
        <v>82.695099999999996</v>
      </c>
    </row>
    <row r="79" spans="1:4" x14ac:dyDescent="0.2">
      <c r="A79" s="9" t="s">
        <v>74</v>
      </c>
      <c r="C79" s="40">
        <v>17.582000000000001</v>
      </c>
      <c r="D79" s="40">
        <v>17.281500000000001</v>
      </c>
    </row>
    <row r="80" spans="1:4" x14ac:dyDescent="0.2">
      <c r="A80" s="9" t="s">
        <v>75</v>
      </c>
      <c r="C80" s="40">
        <v>14.5649</v>
      </c>
      <c r="D80" s="40">
        <v>14.289199999999999</v>
      </c>
    </row>
    <row r="81" spans="1:4" x14ac:dyDescent="0.2">
      <c r="A81" s="9" t="s">
        <v>983</v>
      </c>
      <c r="C81" s="40">
        <v>15.715999999999999</v>
      </c>
      <c r="D81" s="40">
        <v>15.458399999999999</v>
      </c>
    </row>
    <row r="82" spans="1:4" x14ac:dyDescent="0.2">
      <c r="A82" s="9" t="s">
        <v>984</v>
      </c>
      <c r="C82" s="40">
        <v>19.98</v>
      </c>
      <c r="D82" s="40">
        <v>19.0855</v>
      </c>
    </row>
    <row r="84" spans="1:4" x14ac:dyDescent="0.2">
      <c r="A84" s="18" t="s">
        <v>47</v>
      </c>
    </row>
    <row r="85" spans="1:4" x14ac:dyDescent="0.2">
      <c r="A85" s="81" t="s">
        <v>67</v>
      </c>
      <c r="B85" s="82"/>
      <c r="C85" s="43" t="s">
        <v>68</v>
      </c>
    </row>
    <row r="86" spans="1:4" x14ac:dyDescent="0.2">
      <c r="A86" s="77" t="s">
        <v>71</v>
      </c>
      <c r="B86" s="78"/>
      <c r="C86" s="44">
        <v>0.63</v>
      </c>
    </row>
    <row r="87" spans="1:4" x14ac:dyDescent="0.2">
      <c r="A87" s="77" t="s">
        <v>72</v>
      </c>
      <c r="B87" s="78"/>
      <c r="C87" s="44">
        <v>0.55000000000000004</v>
      </c>
    </row>
    <row r="88" spans="1:4" x14ac:dyDescent="0.2">
      <c r="A88" s="77" t="s">
        <v>981</v>
      </c>
      <c r="B88" s="78"/>
      <c r="C88" s="44">
        <v>0.55000000000000004</v>
      </c>
    </row>
    <row r="89" spans="1:4" x14ac:dyDescent="0.2">
      <c r="A89" s="77" t="s">
        <v>982</v>
      </c>
      <c r="B89" s="78"/>
      <c r="C89" s="44">
        <v>1.2549999999999999</v>
      </c>
    </row>
    <row r="90" spans="1:4" x14ac:dyDescent="0.2">
      <c r="A90" s="77" t="s">
        <v>74</v>
      </c>
      <c r="B90" s="78"/>
      <c r="C90" s="44">
        <v>0.63</v>
      </c>
    </row>
    <row r="91" spans="1:4" x14ac:dyDescent="0.2">
      <c r="A91" s="77" t="s">
        <v>75</v>
      </c>
      <c r="B91" s="78"/>
      <c r="C91" s="44">
        <v>0.55000000000000004</v>
      </c>
    </row>
    <row r="92" spans="1:4" x14ac:dyDescent="0.2">
      <c r="A92" s="77" t="s">
        <v>983</v>
      </c>
      <c r="B92" s="78"/>
      <c r="C92" s="44">
        <v>0.55000000000000004</v>
      </c>
    </row>
    <row r="93" spans="1:4" x14ac:dyDescent="0.2">
      <c r="A93" s="77" t="s">
        <v>984</v>
      </c>
      <c r="B93" s="78"/>
      <c r="C93" s="44">
        <v>1.2549999999999999</v>
      </c>
    </row>
    <row r="94" spans="1:4" x14ac:dyDescent="0.2">
      <c r="A94" s="9" t="s">
        <v>69</v>
      </c>
    </row>
    <row r="95" spans="1:4" x14ac:dyDescent="0.2">
      <c r="A95" s="9" t="s">
        <v>46</v>
      </c>
    </row>
    <row r="97" spans="1:7" x14ac:dyDescent="0.2">
      <c r="A97" s="18" t="s">
        <v>816</v>
      </c>
      <c r="D97" s="42">
        <v>1.86405179950685</v>
      </c>
      <c r="E97" s="13" t="s">
        <v>49</v>
      </c>
    </row>
    <row r="99" spans="1:7" s="62" customFormat="1" x14ac:dyDescent="0.2">
      <c r="A99" s="47" t="s">
        <v>734</v>
      </c>
      <c r="B99" s="48"/>
      <c r="C99" s="48"/>
      <c r="D99" s="58">
        <v>2</v>
      </c>
      <c r="E99" s="59"/>
      <c r="F99" s="60"/>
      <c r="G99" s="61"/>
    </row>
    <row r="100" spans="1:7" s="63" customFormat="1" x14ac:dyDescent="0.2">
      <c r="A100" s="63" t="s">
        <v>729</v>
      </c>
      <c r="D100" s="64"/>
      <c r="E100" s="14"/>
      <c r="F100" s="14"/>
      <c r="G100" s="14"/>
    </row>
    <row r="101" spans="1:7" s="63" customFormat="1" x14ac:dyDescent="0.2">
      <c r="A101" s="65" t="s">
        <v>985</v>
      </c>
      <c r="D101" s="64"/>
      <c r="E101" s="14"/>
      <c r="F101" s="14"/>
      <c r="G101" s="14"/>
    </row>
    <row r="103" spans="1:7" x14ac:dyDescent="0.2">
      <c r="A103" s="18" t="s">
        <v>986</v>
      </c>
    </row>
    <row r="104" spans="1:7" x14ac:dyDescent="0.2">
      <c r="A104" s="50" t="s">
        <v>987</v>
      </c>
    </row>
    <row r="106" spans="1:7" x14ac:dyDescent="0.2">
      <c r="A106" s="18" t="s">
        <v>988</v>
      </c>
    </row>
    <row r="107" spans="1:7" x14ac:dyDescent="0.2">
      <c r="A107" s="50" t="s">
        <v>50</v>
      </c>
    </row>
  </sheetData>
  <mergeCells count="10">
    <mergeCell ref="A90:B90"/>
    <mergeCell ref="A91:B91"/>
    <mergeCell ref="A92:B92"/>
    <mergeCell ref="A93:B93"/>
    <mergeCell ref="A1:G1"/>
    <mergeCell ref="A85:B85"/>
    <mergeCell ref="A86:B86"/>
    <mergeCell ref="A87:B87"/>
    <mergeCell ref="A88:B88"/>
    <mergeCell ref="A89:B89"/>
  </mergeCells>
  <conditionalFormatting sqref="F2:F3 F5:F65535">
    <cfRule type="cellIs" dxfId="68" priority="1" stopIfTrue="1" operator="between">
      <formula>0.009</formula>
      <formula>-0.009</formula>
    </cfRule>
  </conditionalFormatting>
  <hyperlinks>
    <hyperlink ref="A101" r:id="rId1" tooltip="https://www.franklintempletonindia.com/investor/reports" xr:uid="{00000000-0004-0000-0400-000000000000}"/>
    <hyperlink ref="A104" r:id="rId2" tooltip="https://www.franklintempletonindia.com/downloadsServlet/pdf/franklin-templeton-update-on-reliance-broadcast-july-23-2020-kcg9m1gq" xr:uid="{00000000-0004-0000-0400-000001000000}"/>
    <hyperlink ref="A107" r:id="rId3" tooltip="https://www.franklintempletonindia.com/downloadsServlet/pdf/product-labels-jg9o5k7l" xr:uid="{00000000-0004-0000-0400-000002000000}"/>
  </hyperlinks>
  <pageMargins left="0.7" right="0.7" top="0.75" bottom="0.75" header="0.3" footer="0.3"/>
  <pageSetup paperSize="9" orientation="portrait" r:id="rId4"/>
  <headerFooter>
    <oddFooter>&amp;C&amp;1#&amp;"Calibri"&amp;10&amp;K000000PUBLIC</oddFooter>
    <evenFooter>&amp;LPUBLIC</evenFooter>
    <firstFooter>&amp;LPUBLIC</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4"/>
  <sheetViews>
    <sheetView workbookViewId="0">
      <selection sqref="A1:G1"/>
    </sheetView>
  </sheetViews>
  <sheetFormatPr defaultColWidth="9.109375" defaultRowHeight="10.199999999999999" x14ac:dyDescent="0.2"/>
  <cols>
    <col min="1" max="1" width="38.6640625" style="9" bestFit="1" customWidth="1"/>
    <col min="2" max="2" width="54.10937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9" t="s">
        <v>989</v>
      </c>
      <c r="B1" s="80"/>
      <c r="C1" s="80"/>
      <c r="D1" s="80"/>
      <c r="E1" s="80"/>
      <c r="F1" s="80"/>
      <c r="G1" s="8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749</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990</v>
      </c>
      <c r="B7" s="27" t="s">
        <v>991</v>
      </c>
      <c r="C7" s="27" t="s">
        <v>992</v>
      </c>
      <c r="D7" s="31">
        <v>500</v>
      </c>
      <c r="E7" s="29">
        <v>5155.47</v>
      </c>
      <c r="F7" s="30">
        <v>5.9051654924590302</v>
      </c>
      <c r="G7" s="29">
        <v>4.5598999999999998</v>
      </c>
    </row>
    <row r="8" spans="1:7" x14ac:dyDescent="0.2">
      <c r="A8" s="27" t="s">
        <v>993</v>
      </c>
      <c r="B8" s="27" t="s">
        <v>994</v>
      </c>
      <c r="C8" s="27" t="s">
        <v>34</v>
      </c>
      <c r="D8" s="31">
        <v>500</v>
      </c>
      <c r="E8" s="29">
        <v>5049.3900000000003</v>
      </c>
      <c r="F8" s="30">
        <v>5.7836596054225398</v>
      </c>
      <c r="G8" s="29">
        <v>3.8001</v>
      </c>
    </row>
    <row r="9" spans="1:7" x14ac:dyDescent="0.2">
      <c r="A9" s="27" t="s">
        <v>922</v>
      </c>
      <c r="B9" s="27" t="s">
        <v>923</v>
      </c>
      <c r="C9" s="27" t="s">
        <v>34</v>
      </c>
      <c r="D9" s="31">
        <v>500</v>
      </c>
      <c r="E9" s="29">
        <v>5038.085</v>
      </c>
      <c r="F9" s="30">
        <v>5.77071066073034</v>
      </c>
      <c r="G9" s="29">
        <v>4.49</v>
      </c>
    </row>
    <row r="10" spans="1:7" x14ac:dyDescent="0.2">
      <c r="A10" s="27" t="s">
        <v>946</v>
      </c>
      <c r="B10" s="27" t="s">
        <v>947</v>
      </c>
      <c r="C10" s="27" t="s">
        <v>34</v>
      </c>
      <c r="D10" s="31">
        <v>400</v>
      </c>
      <c r="E10" s="29">
        <v>4201.5159999999996</v>
      </c>
      <c r="F10" s="30">
        <v>4.8124898989257003</v>
      </c>
      <c r="G10" s="29">
        <v>5.7249999999999996</v>
      </c>
    </row>
    <row r="11" spans="1:7" x14ac:dyDescent="0.2">
      <c r="A11" s="27" t="s">
        <v>938</v>
      </c>
      <c r="B11" s="27" t="s">
        <v>939</v>
      </c>
      <c r="C11" s="27" t="s">
        <v>928</v>
      </c>
      <c r="D11" s="31">
        <v>360</v>
      </c>
      <c r="E11" s="29">
        <v>3869.8488000000002</v>
      </c>
      <c r="F11" s="30">
        <v>4.4325924881327996</v>
      </c>
      <c r="G11" s="29">
        <v>5.165</v>
      </c>
    </row>
    <row r="12" spans="1:7" x14ac:dyDescent="0.2">
      <c r="A12" s="27" t="s">
        <v>926</v>
      </c>
      <c r="B12" s="27" t="s">
        <v>927</v>
      </c>
      <c r="C12" s="27" t="s">
        <v>928</v>
      </c>
      <c r="D12" s="31">
        <v>300</v>
      </c>
      <c r="E12" s="29">
        <v>3147.1350000000002</v>
      </c>
      <c r="F12" s="30">
        <v>3.6047834634107199</v>
      </c>
      <c r="G12" s="29">
        <v>4.7948000000000004</v>
      </c>
    </row>
    <row r="13" spans="1:7" x14ac:dyDescent="0.2">
      <c r="A13" s="27" t="s">
        <v>995</v>
      </c>
      <c r="B13" s="27" t="s">
        <v>996</v>
      </c>
      <c r="C13" s="27" t="s">
        <v>928</v>
      </c>
      <c r="D13" s="31">
        <v>300</v>
      </c>
      <c r="E13" s="29">
        <v>3094.0680000000002</v>
      </c>
      <c r="F13" s="30">
        <v>3.5439995936203199</v>
      </c>
      <c r="G13" s="29">
        <v>4.26</v>
      </c>
    </row>
    <row r="14" spans="1:7" x14ac:dyDescent="0.2">
      <c r="A14" s="27" t="s">
        <v>903</v>
      </c>
      <c r="B14" s="27" t="s">
        <v>904</v>
      </c>
      <c r="C14" s="27" t="s">
        <v>905</v>
      </c>
      <c r="D14" s="31">
        <v>300</v>
      </c>
      <c r="E14" s="29">
        <v>3068.4119999999998</v>
      </c>
      <c r="F14" s="30">
        <v>3.5146127625700898</v>
      </c>
      <c r="G14" s="29">
        <v>5.1448999999999998</v>
      </c>
    </row>
    <row r="15" spans="1:7" x14ac:dyDescent="0.2">
      <c r="A15" s="27" t="s">
        <v>997</v>
      </c>
      <c r="B15" s="27" t="s">
        <v>998</v>
      </c>
      <c r="C15" s="27" t="s">
        <v>34</v>
      </c>
      <c r="D15" s="31">
        <v>250</v>
      </c>
      <c r="E15" s="29">
        <v>2783.6950000000002</v>
      </c>
      <c r="F15" s="30">
        <v>3.1884929318822</v>
      </c>
      <c r="G15" s="29">
        <v>5.24</v>
      </c>
    </row>
    <row r="16" spans="1:7" x14ac:dyDescent="0.2">
      <c r="A16" s="27" t="s">
        <v>869</v>
      </c>
      <c r="B16" s="27" t="s">
        <v>870</v>
      </c>
      <c r="C16" s="27" t="s">
        <v>34</v>
      </c>
      <c r="D16" s="31">
        <v>250</v>
      </c>
      <c r="E16" s="29">
        <v>2570.0524999999998</v>
      </c>
      <c r="F16" s="30">
        <v>2.9437830763845101</v>
      </c>
      <c r="G16" s="29">
        <v>4.51</v>
      </c>
    </row>
    <row r="17" spans="1:7" x14ac:dyDescent="0.2">
      <c r="A17" s="27" t="s">
        <v>999</v>
      </c>
      <c r="B17" s="27" t="s">
        <v>1000</v>
      </c>
      <c r="C17" s="27" t="s">
        <v>928</v>
      </c>
      <c r="D17" s="31">
        <v>250</v>
      </c>
      <c r="E17" s="29">
        <v>2569.8375000000001</v>
      </c>
      <c r="F17" s="30">
        <v>2.9435368116247802</v>
      </c>
      <c r="G17" s="29">
        <v>4.1349999999999998</v>
      </c>
    </row>
    <row r="18" spans="1:7" x14ac:dyDescent="0.2">
      <c r="A18" s="27" t="s">
        <v>1001</v>
      </c>
      <c r="B18" s="27" t="s">
        <v>1002</v>
      </c>
      <c r="C18" s="27" t="s">
        <v>34</v>
      </c>
      <c r="D18" s="31">
        <v>250</v>
      </c>
      <c r="E18" s="29">
        <v>2464.3649999999998</v>
      </c>
      <c r="F18" s="30">
        <v>2.8227267657117201</v>
      </c>
      <c r="G18" s="29">
        <v>5.7949999999999999</v>
      </c>
    </row>
    <row r="19" spans="1:7" x14ac:dyDescent="0.2">
      <c r="A19" s="27" t="s">
        <v>948</v>
      </c>
      <c r="B19" s="27" t="s">
        <v>949</v>
      </c>
      <c r="C19" s="27" t="s">
        <v>34</v>
      </c>
      <c r="D19" s="31">
        <v>150</v>
      </c>
      <c r="E19" s="29">
        <v>1551.1845000000001</v>
      </c>
      <c r="F19" s="30">
        <v>1.7767538520905599</v>
      </c>
      <c r="G19" s="29">
        <v>4.9396000000000004</v>
      </c>
    </row>
    <row r="20" spans="1:7" x14ac:dyDescent="0.2">
      <c r="A20" s="27" t="s">
        <v>933</v>
      </c>
      <c r="B20" s="27" t="s">
        <v>934</v>
      </c>
      <c r="C20" s="27" t="s">
        <v>34</v>
      </c>
      <c r="D20" s="31">
        <v>120</v>
      </c>
      <c r="E20" s="29">
        <v>1218.45</v>
      </c>
      <c r="F20" s="30">
        <v>1.3956339372136199</v>
      </c>
      <c r="G20" s="29">
        <v>3.7648999999999999</v>
      </c>
    </row>
    <row r="21" spans="1:7" x14ac:dyDescent="0.2">
      <c r="A21" s="27" t="s">
        <v>957</v>
      </c>
      <c r="B21" s="27" t="s">
        <v>958</v>
      </c>
      <c r="C21" s="27" t="s">
        <v>928</v>
      </c>
      <c r="D21" s="31">
        <v>120</v>
      </c>
      <c r="E21" s="29">
        <v>1203.816</v>
      </c>
      <c r="F21" s="30">
        <v>1.37887189770672</v>
      </c>
      <c r="G21" s="29">
        <v>3.585</v>
      </c>
    </row>
    <row r="22" spans="1:7" x14ac:dyDescent="0.2">
      <c r="A22" s="27" t="s">
        <v>959</v>
      </c>
      <c r="B22" s="27" t="s">
        <v>960</v>
      </c>
      <c r="C22" s="27" t="s">
        <v>34</v>
      </c>
      <c r="D22" s="31">
        <v>110</v>
      </c>
      <c r="E22" s="29">
        <v>1200.43</v>
      </c>
      <c r="F22" s="30">
        <v>1.3749935140952401</v>
      </c>
      <c r="G22" s="29">
        <v>6.0593000000000004</v>
      </c>
    </row>
    <row r="23" spans="1:7" x14ac:dyDescent="0.2">
      <c r="A23" s="27" t="s">
        <v>1003</v>
      </c>
      <c r="B23" s="27" t="s">
        <v>1004</v>
      </c>
      <c r="C23" s="27" t="s">
        <v>928</v>
      </c>
      <c r="D23" s="31">
        <v>100</v>
      </c>
      <c r="E23" s="29">
        <v>1091.665</v>
      </c>
      <c r="F23" s="30">
        <v>1.25041218110576</v>
      </c>
      <c r="G23" s="29">
        <v>5.9749999999999996</v>
      </c>
    </row>
    <row r="24" spans="1:7" x14ac:dyDescent="0.2">
      <c r="A24" s="27" t="s">
        <v>1005</v>
      </c>
      <c r="B24" s="27" t="s">
        <v>1006</v>
      </c>
      <c r="C24" s="27" t="s">
        <v>34</v>
      </c>
      <c r="D24" s="31">
        <v>100</v>
      </c>
      <c r="E24" s="29">
        <v>1073.414</v>
      </c>
      <c r="F24" s="30">
        <v>1.2295071665478501</v>
      </c>
      <c r="G24" s="29">
        <v>5.9499000000000004</v>
      </c>
    </row>
    <row r="25" spans="1:7" x14ac:dyDescent="0.2">
      <c r="A25" s="27" t="s">
        <v>1007</v>
      </c>
      <c r="B25" s="27" t="s">
        <v>1008</v>
      </c>
      <c r="C25" s="27" t="s">
        <v>1009</v>
      </c>
      <c r="D25" s="31">
        <v>100</v>
      </c>
      <c r="E25" s="29">
        <v>1014.9</v>
      </c>
      <c r="F25" s="30">
        <v>1.16248420770496</v>
      </c>
      <c r="G25" s="29">
        <v>9.6144999999999996</v>
      </c>
    </row>
    <row r="26" spans="1:7" x14ac:dyDescent="0.2">
      <c r="A26" s="27" t="s">
        <v>1010</v>
      </c>
      <c r="B26" s="27" t="s">
        <v>1011</v>
      </c>
      <c r="C26" s="27" t="s">
        <v>34</v>
      </c>
      <c r="D26" s="31">
        <v>50</v>
      </c>
      <c r="E26" s="29">
        <v>546.21950000000004</v>
      </c>
      <c r="F26" s="30">
        <v>0.62564936712040398</v>
      </c>
      <c r="G26" s="29">
        <v>5.7645999999999997</v>
      </c>
    </row>
    <row r="27" spans="1:7" x14ac:dyDescent="0.2">
      <c r="A27" s="27" t="s">
        <v>1012</v>
      </c>
      <c r="B27" s="27" t="s">
        <v>1013</v>
      </c>
      <c r="C27" s="27" t="s">
        <v>34</v>
      </c>
      <c r="D27" s="31">
        <v>50</v>
      </c>
      <c r="E27" s="29">
        <v>544.82600000000002</v>
      </c>
      <c r="F27" s="30">
        <v>0.62405322785206496</v>
      </c>
      <c r="G27" s="29">
        <v>5.7949999999999999</v>
      </c>
    </row>
    <row r="28" spans="1:7" x14ac:dyDescent="0.2">
      <c r="A28" s="27" t="s">
        <v>1014</v>
      </c>
      <c r="B28" s="27" t="s">
        <v>1015</v>
      </c>
      <c r="C28" s="27" t="s">
        <v>34</v>
      </c>
      <c r="D28" s="31">
        <v>50</v>
      </c>
      <c r="E28" s="29">
        <v>540.08299999999997</v>
      </c>
      <c r="F28" s="30">
        <v>0.61862051271052898</v>
      </c>
      <c r="G28" s="29">
        <v>5.3399000000000001</v>
      </c>
    </row>
    <row r="29" spans="1:7" x14ac:dyDescent="0.2">
      <c r="A29" s="27" t="s">
        <v>944</v>
      </c>
      <c r="B29" s="27" t="s">
        <v>945</v>
      </c>
      <c r="C29" s="27" t="s">
        <v>34</v>
      </c>
      <c r="D29" s="31">
        <v>50</v>
      </c>
      <c r="E29" s="29">
        <v>537.06299999999999</v>
      </c>
      <c r="F29" s="30">
        <v>0.61516135189934695</v>
      </c>
      <c r="G29" s="29">
        <v>6.04</v>
      </c>
    </row>
    <row r="30" spans="1:7" x14ac:dyDescent="0.2">
      <c r="A30" s="27" t="s">
        <v>906</v>
      </c>
      <c r="B30" s="27" t="s">
        <v>907</v>
      </c>
      <c r="C30" s="27" t="s">
        <v>898</v>
      </c>
      <c r="D30" s="31">
        <v>50</v>
      </c>
      <c r="E30" s="29">
        <v>513.20950000000005</v>
      </c>
      <c r="F30" s="30">
        <v>0.58783913586969805</v>
      </c>
      <c r="G30" s="29">
        <v>5.35</v>
      </c>
    </row>
    <row r="31" spans="1:7" x14ac:dyDescent="0.2">
      <c r="A31" s="27" t="s">
        <v>1016</v>
      </c>
      <c r="B31" s="27" t="s">
        <v>1017</v>
      </c>
      <c r="C31" s="27" t="s">
        <v>898</v>
      </c>
      <c r="D31" s="31">
        <v>50</v>
      </c>
      <c r="E31" s="29">
        <v>491.04500000000002</v>
      </c>
      <c r="F31" s="30">
        <v>0.56245152997584003</v>
      </c>
      <c r="G31" s="29">
        <v>6.91</v>
      </c>
    </row>
    <row r="32" spans="1:7" x14ac:dyDescent="0.2">
      <c r="A32" s="27" t="s">
        <v>914</v>
      </c>
      <c r="B32" s="27" t="s">
        <v>915</v>
      </c>
      <c r="C32" s="27" t="s">
        <v>34</v>
      </c>
      <c r="D32" s="31">
        <v>32</v>
      </c>
      <c r="E32" s="29">
        <v>328.96767999999997</v>
      </c>
      <c r="F32" s="30">
        <v>0.37680533337800498</v>
      </c>
      <c r="G32" s="29">
        <v>4.2</v>
      </c>
    </row>
    <row r="33" spans="1:9" x14ac:dyDescent="0.2">
      <c r="A33" s="27" t="s">
        <v>1018</v>
      </c>
      <c r="B33" s="27" t="s">
        <v>1019</v>
      </c>
      <c r="C33" s="27" t="s">
        <v>1020</v>
      </c>
      <c r="D33" s="31">
        <v>27</v>
      </c>
      <c r="E33" s="29">
        <v>280.48194000000001</v>
      </c>
      <c r="F33" s="30">
        <v>0.321268918904768</v>
      </c>
      <c r="G33" s="29">
        <v>3.98</v>
      </c>
    </row>
    <row r="34" spans="1:9" x14ac:dyDescent="0.2">
      <c r="A34" s="27" t="s">
        <v>977</v>
      </c>
      <c r="B34" s="27" t="s">
        <v>978</v>
      </c>
      <c r="C34" s="27" t="s">
        <v>34</v>
      </c>
      <c r="D34" s="31">
        <v>23</v>
      </c>
      <c r="E34" s="29">
        <v>232.69651999999999</v>
      </c>
      <c r="F34" s="30">
        <v>0.26653466320612901</v>
      </c>
      <c r="G34" s="29">
        <v>3.66</v>
      </c>
    </row>
    <row r="35" spans="1:9" x14ac:dyDescent="0.2">
      <c r="A35" s="27" t="s">
        <v>1021</v>
      </c>
      <c r="B35" s="27" t="s">
        <v>1022</v>
      </c>
      <c r="C35" s="27" t="s">
        <v>928</v>
      </c>
      <c r="D35" s="31">
        <v>5</v>
      </c>
      <c r="E35" s="29">
        <v>51.408099999999997</v>
      </c>
      <c r="F35" s="30">
        <v>5.8883736720974703E-2</v>
      </c>
      <c r="G35" s="29">
        <v>4.0701000000000001</v>
      </c>
    </row>
    <row r="36" spans="1:9" x14ac:dyDescent="0.2">
      <c r="A36" s="26" t="s">
        <v>35</v>
      </c>
      <c r="B36" s="26"/>
      <c r="C36" s="26"/>
      <c r="D36" s="32"/>
      <c r="E36" s="33">
        <f>SUM(E6:E35)</f>
        <v>55431.73453999999</v>
      </c>
      <c r="F36" s="34">
        <f>SUM(F6:F35)</f>
        <v>63.492478084977208</v>
      </c>
      <c r="G36" s="33"/>
      <c r="H36" s="18"/>
      <c r="I36" s="18"/>
    </row>
    <row r="37" spans="1:9" x14ac:dyDescent="0.2">
      <c r="A37" s="27"/>
      <c r="B37" s="27"/>
      <c r="C37" s="27"/>
      <c r="D37" s="28"/>
      <c r="E37" s="29"/>
      <c r="F37" s="30"/>
      <c r="G37" s="29"/>
    </row>
    <row r="38" spans="1:9" x14ac:dyDescent="0.2">
      <c r="A38" s="26" t="s">
        <v>51</v>
      </c>
      <c r="B38" s="27"/>
      <c r="C38" s="27"/>
      <c r="D38" s="28"/>
      <c r="E38" s="29"/>
      <c r="F38" s="30"/>
      <c r="G38" s="29"/>
    </row>
    <row r="39" spans="1:9" x14ac:dyDescent="0.2">
      <c r="A39" s="26" t="s">
        <v>52</v>
      </c>
      <c r="B39" s="27"/>
      <c r="C39" s="27"/>
      <c r="D39" s="28"/>
      <c r="E39" s="29"/>
      <c r="F39" s="30"/>
      <c r="G39" s="29"/>
    </row>
    <row r="40" spans="1:9" x14ac:dyDescent="0.2">
      <c r="A40" s="27" t="s">
        <v>1023</v>
      </c>
      <c r="B40" s="27" t="s">
        <v>1024</v>
      </c>
      <c r="C40" s="27" t="s">
        <v>53</v>
      </c>
      <c r="D40" s="31">
        <v>5000</v>
      </c>
      <c r="E40" s="29">
        <v>4826.585</v>
      </c>
      <c r="F40" s="30">
        <v>5.5284548621988696</v>
      </c>
      <c r="G40" s="29">
        <v>4.1500000000000004</v>
      </c>
    </row>
    <row r="41" spans="1:9" x14ac:dyDescent="0.2">
      <c r="A41" s="27" t="s">
        <v>1025</v>
      </c>
      <c r="B41" s="27" t="s">
        <v>1026</v>
      </c>
      <c r="C41" s="27" t="s">
        <v>53</v>
      </c>
      <c r="D41" s="31">
        <v>1000</v>
      </c>
      <c r="E41" s="29">
        <v>972.47</v>
      </c>
      <c r="F41" s="30">
        <v>1.11388414372533</v>
      </c>
      <c r="G41" s="29">
        <v>3.87</v>
      </c>
    </row>
    <row r="42" spans="1:9" x14ac:dyDescent="0.2">
      <c r="A42" s="26" t="s">
        <v>35</v>
      </c>
      <c r="B42" s="26"/>
      <c r="C42" s="26"/>
      <c r="D42" s="32"/>
      <c r="E42" s="33">
        <f>SUM(E39:E41)</f>
        <v>5799.0550000000003</v>
      </c>
      <c r="F42" s="34">
        <f>SUM(F39:F41)</f>
        <v>6.6423390059241996</v>
      </c>
      <c r="G42" s="33"/>
      <c r="H42" s="18"/>
      <c r="I42" s="18"/>
    </row>
    <row r="43" spans="1:9" x14ac:dyDescent="0.2">
      <c r="A43" s="27"/>
      <c r="B43" s="27"/>
      <c r="C43" s="27"/>
      <c r="D43" s="28"/>
      <c r="E43" s="29"/>
      <c r="F43" s="30"/>
      <c r="G43" s="29"/>
    </row>
    <row r="44" spans="1:9" x14ac:dyDescent="0.2">
      <c r="A44" s="26" t="s">
        <v>55</v>
      </c>
      <c r="B44" s="27"/>
      <c r="C44" s="27"/>
      <c r="D44" s="28"/>
      <c r="E44" s="29"/>
      <c r="F44" s="30"/>
      <c r="G44" s="29"/>
    </row>
    <row r="45" spans="1:9" x14ac:dyDescent="0.2">
      <c r="A45" s="27" t="s">
        <v>767</v>
      </c>
      <c r="B45" s="27" t="s">
        <v>768</v>
      </c>
      <c r="C45" s="27" t="s">
        <v>53</v>
      </c>
      <c r="D45" s="31">
        <v>1000</v>
      </c>
      <c r="E45" s="29">
        <v>4984.4549999999999</v>
      </c>
      <c r="F45" s="30">
        <v>5.7092819208946803</v>
      </c>
      <c r="G45" s="29">
        <v>3.4495</v>
      </c>
    </row>
    <row r="46" spans="1:9" x14ac:dyDescent="0.2">
      <c r="A46" s="26" t="s">
        <v>35</v>
      </c>
      <c r="B46" s="26"/>
      <c r="C46" s="26"/>
      <c r="D46" s="32"/>
      <c r="E46" s="33">
        <f>SUM(E44:E45)</f>
        <v>4984.4549999999999</v>
      </c>
      <c r="F46" s="34">
        <f>SUM(F44:F45)</f>
        <v>5.7092819208946803</v>
      </c>
      <c r="G46" s="33"/>
      <c r="H46" s="18"/>
      <c r="I46" s="18"/>
    </row>
    <row r="47" spans="1:9" x14ac:dyDescent="0.2">
      <c r="A47" s="27"/>
      <c r="B47" s="27"/>
      <c r="C47" s="27"/>
      <c r="D47" s="28"/>
      <c r="E47" s="29"/>
      <c r="F47" s="30"/>
      <c r="G47" s="29"/>
    </row>
    <row r="48" spans="1:9" x14ac:dyDescent="0.2">
      <c r="A48" s="26" t="s">
        <v>62</v>
      </c>
      <c r="B48" s="27"/>
      <c r="C48" s="27"/>
      <c r="D48" s="28"/>
      <c r="E48" s="29"/>
      <c r="F48" s="30"/>
      <c r="G48" s="29"/>
    </row>
    <row r="49" spans="1:9" x14ac:dyDescent="0.2">
      <c r="A49" s="27" t="s">
        <v>83</v>
      </c>
      <c r="B49" s="27" t="s">
        <v>82</v>
      </c>
      <c r="C49" s="27" t="s">
        <v>65</v>
      </c>
      <c r="D49" s="31">
        <v>3500000</v>
      </c>
      <c r="E49" s="29">
        <v>3666.873</v>
      </c>
      <c r="F49" s="30">
        <v>4.2001004573452496</v>
      </c>
      <c r="G49" s="29">
        <v>6.2675000000000001</v>
      </c>
    </row>
    <row r="50" spans="1:9" x14ac:dyDescent="0.2">
      <c r="A50" s="27" t="s">
        <v>87</v>
      </c>
      <c r="B50" s="27" t="s">
        <v>86</v>
      </c>
      <c r="C50" s="27" t="s">
        <v>65</v>
      </c>
      <c r="D50" s="31">
        <v>3000000</v>
      </c>
      <c r="E50" s="29">
        <v>3172.65</v>
      </c>
      <c r="F50" s="30">
        <v>3.6340087905952601</v>
      </c>
      <c r="G50" s="29">
        <v>4.9111000000000002</v>
      </c>
    </row>
    <row r="51" spans="1:9" x14ac:dyDescent="0.2">
      <c r="A51" s="27" t="s">
        <v>979</v>
      </c>
      <c r="B51" s="27" t="s">
        <v>980</v>
      </c>
      <c r="C51" s="27" t="s">
        <v>65</v>
      </c>
      <c r="D51" s="31">
        <v>3000000</v>
      </c>
      <c r="E51" s="29">
        <v>3141.2310000000002</v>
      </c>
      <c r="F51" s="30">
        <v>3.5980209185666099</v>
      </c>
      <c r="G51" s="29">
        <v>4.5967000000000002</v>
      </c>
    </row>
    <row r="52" spans="1:9" x14ac:dyDescent="0.2">
      <c r="A52" s="27" t="s">
        <v>81</v>
      </c>
      <c r="B52" s="27" t="s">
        <v>80</v>
      </c>
      <c r="C52" s="27" t="s">
        <v>65</v>
      </c>
      <c r="D52" s="31">
        <v>2000000</v>
      </c>
      <c r="E52" s="29">
        <v>2064.384</v>
      </c>
      <c r="F52" s="30">
        <v>2.3645815337853899</v>
      </c>
      <c r="G52" s="29">
        <v>6.1269999999999998</v>
      </c>
    </row>
    <row r="53" spans="1:9" x14ac:dyDescent="0.2">
      <c r="A53" s="26" t="s">
        <v>35</v>
      </c>
      <c r="B53" s="26"/>
      <c r="C53" s="26"/>
      <c r="D53" s="32"/>
      <c r="E53" s="33">
        <f>SUM(E49:E52)</f>
        <v>12045.138000000001</v>
      </c>
      <c r="F53" s="34">
        <f>SUM(F49:F52)</f>
        <v>13.79671170029251</v>
      </c>
      <c r="G53" s="33"/>
      <c r="H53" s="18"/>
      <c r="I53" s="18"/>
    </row>
    <row r="54" spans="1:9" x14ac:dyDescent="0.2">
      <c r="A54" s="27"/>
      <c r="B54" s="27"/>
      <c r="C54" s="27"/>
      <c r="D54" s="28"/>
      <c r="E54" s="29"/>
      <c r="F54" s="30"/>
      <c r="G54" s="29"/>
    </row>
    <row r="55" spans="1:9" x14ac:dyDescent="0.2">
      <c r="A55" s="26" t="s">
        <v>37</v>
      </c>
      <c r="B55" s="26"/>
      <c r="C55" s="26"/>
      <c r="D55" s="32"/>
      <c r="E55" s="33">
        <f>E36+E42+E46+E53</f>
        <v>78260.382539999991</v>
      </c>
      <c r="F55" s="34">
        <f>F36+F42+F46+F53</f>
        <v>89.640810712088594</v>
      </c>
      <c r="G55" s="33"/>
      <c r="H55" s="18"/>
      <c r="I55" s="18"/>
    </row>
    <row r="56" spans="1:9" x14ac:dyDescent="0.2">
      <c r="A56" s="26"/>
      <c r="B56" s="26"/>
      <c r="C56" s="26"/>
      <c r="D56" s="32"/>
      <c r="E56" s="33"/>
      <c r="F56" s="34"/>
      <c r="G56" s="33"/>
      <c r="H56" s="18"/>
      <c r="I56" s="18"/>
    </row>
    <row r="57" spans="1:9" x14ac:dyDescent="0.2">
      <c r="A57" s="26" t="s">
        <v>39</v>
      </c>
      <c r="B57" s="26"/>
      <c r="C57" s="26"/>
      <c r="D57" s="32"/>
      <c r="E57" s="33">
        <f>E59-(E36+E42+E46+E53)</f>
        <v>9044.0292768000072</v>
      </c>
      <c r="F57" s="34">
        <f>F59-(F36+F42+F46+F53)</f>
        <v>10.359189287911406</v>
      </c>
      <c r="G57" s="33"/>
      <c r="H57" s="18"/>
      <c r="I57" s="18"/>
    </row>
    <row r="58" spans="1:9" x14ac:dyDescent="0.2">
      <c r="A58" s="26"/>
      <c r="B58" s="26"/>
      <c r="C58" s="26"/>
      <c r="D58" s="32"/>
      <c r="E58" s="33"/>
      <c r="F58" s="34"/>
      <c r="G58" s="33"/>
      <c r="H58" s="18"/>
      <c r="I58" s="18"/>
    </row>
    <row r="59" spans="1:9" x14ac:dyDescent="0.2">
      <c r="A59" s="35" t="s">
        <v>38</v>
      </c>
      <c r="B59" s="35"/>
      <c r="C59" s="35"/>
      <c r="D59" s="36"/>
      <c r="E59" s="37">
        <v>87304.411816799999</v>
      </c>
      <c r="F59" s="38">
        <v>100</v>
      </c>
      <c r="G59" s="37"/>
      <c r="H59" s="18"/>
      <c r="I59" s="18"/>
    </row>
    <row r="61" spans="1:9" x14ac:dyDescent="0.2">
      <c r="A61" s="18" t="s">
        <v>66</v>
      </c>
    </row>
    <row r="62" spans="1:9" x14ac:dyDescent="0.2">
      <c r="A62" s="18" t="s">
        <v>40</v>
      </c>
    </row>
    <row r="64" spans="1:9" x14ac:dyDescent="0.2">
      <c r="A64" s="18" t="s">
        <v>41</v>
      </c>
    </row>
    <row r="65" spans="1:5" x14ac:dyDescent="0.2">
      <c r="A65" s="18" t="s">
        <v>42</v>
      </c>
    </row>
    <row r="66" spans="1:5" x14ac:dyDescent="0.2">
      <c r="A66" s="18" t="s">
        <v>43</v>
      </c>
      <c r="B66" s="18"/>
      <c r="C66" s="39" t="s">
        <v>45</v>
      </c>
      <c r="D66" s="19" t="s">
        <v>44</v>
      </c>
    </row>
    <row r="67" spans="1:5" x14ac:dyDescent="0.2">
      <c r="A67" s="9" t="s">
        <v>70</v>
      </c>
      <c r="C67" s="40">
        <v>17.444299999999998</v>
      </c>
      <c r="D67" s="40">
        <v>17.714600000000001</v>
      </c>
    </row>
    <row r="68" spans="1:5" x14ac:dyDescent="0.2">
      <c r="A68" s="9" t="s">
        <v>76</v>
      </c>
      <c r="C68" s="40">
        <v>10.7742</v>
      </c>
      <c r="D68" s="40">
        <v>10.5379</v>
      </c>
    </row>
    <row r="69" spans="1:5" x14ac:dyDescent="0.2">
      <c r="A69" s="9" t="s">
        <v>73</v>
      </c>
      <c r="C69" s="40">
        <v>17.952300000000001</v>
      </c>
      <c r="D69" s="40">
        <v>18.2593</v>
      </c>
    </row>
    <row r="70" spans="1:5" x14ac:dyDescent="0.2">
      <c r="A70" s="9" t="s">
        <v>77</v>
      </c>
      <c r="C70" s="40">
        <v>11.1721</v>
      </c>
      <c r="D70" s="40">
        <v>10.959199999999999</v>
      </c>
    </row>
    <row r="72" spans="1:5" x14ac:dyDescent="0.2">
      <c r="A72" s="18" t="s">
        <v>47</v>
      </c>
    </row>
    <row r="73" spans="1:5" x14ac:dyDescent="0.2">
      <c r="A73" s="81" t="s">
        <v>67</v>
      </c>
      <c r="B73" s="82"/>
      <c r="C73" s="43" t="s">
        <v>68</v>
      </c>
    </row>
    <row r="74" spans="1:5" x14ac:dyDescent="0.2">
      <c r="A74" s="77" t="s">
        <v>76</v>
      </c>
      <c r="B74" s="78"/>
      <c r="C74" s="44">
        <v>0.4</v>
      </c>
    </row>
    <row r="75" spans="1:5" x14ac:dyDescent="0.2">
      <c r="A75" s="77" t="s">
        <v>77</v>
      </c>
      <c r="B75" s="78"/>
      <c r="C75" s="44">
        <v>0.4</v>
      </c>
    </row>
    <row r="76" spans="1:5" x14ac:dyDescent="0.2">
      <c r="A76" s="9" t="s">
        <v>69</v>
      </c>
    </row>
    <row r="77" spans="1:5" x14ac:dyDescent="0.2">
      <c r="A77" s="9" t="s">
        <v>46</v>
      </c>
    </row>
    <row r="79" spans="1:5" x14ac:dyDescent="0.2">
      <c r="A79" s="18" t="s">
        <v>816</v>
      </c>
      <c r="D79" s="42">
        <v>1.87246393717808</v>
      </c>
      <c r="E79" s="13" t="s">
        <v>49</v>
      </c>
    </row>
    <row r="81" spans="1:4" x14ac:dyDescent="0.2">
      <c r="A81" s="18" t="s">
        <v>734</v>
      </c>
      <c r="D81" s="41" t="s">
        <v>48</v>
      </c>
    </row>
    <row r="83" spans="1:4" x14ac:dyDescent="0.2">
      <c r="A83" s="18" t="s">
        <v>817</v>
      </c>
    </row>
    <row r="84" spans="1:4" x14ac:dyDescent="0.2">
      <c r="A84" s="50" t="s">
        <v>50</v>
      </c>
    </row>
  </sheetData>
  <mergeCells count="4">
    <mergeCell ref="A1:G1"/>
    <mergeCell ref="A73:B73"/>
    <mergeCell ref="A74:B74"/>
    <mergeCell ref="A75:B75"/>
  </mergeCells>
  <conditionalFormatting sqref="F2:F3 F5:F65535">
    <cfRule type="cellIs" dxfId="67" priority="1" stopIfTrue="1" operator="between">
      <formula>0.009</formula>
      <formula>-0.009</formula>
    </cfRule>
  </conditionalFormatting>
  <hyperlinks>
    <hyperlink ref="A84" r:id="rId1" tooltip="https://www.franklintempletonindia.com/downloadsServlet/pdf/product-labels-jg9o5k7l" xr:uid="{00000000-0004-0000-0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6"/>
  <sheetViews>
    <sheetView workbookViewId="0">
      <selection sqref="A1:G1"/>
    </sheetView>
  </sheetViews>
  <sheetFormatPr defaultColWidth="9.109375" defaultRowHeight="10.199999999999999" x14ac:dyDescent="0.2"/>
  <cols>
    <col min="1" max="1" width="32.44140625" style="9" bestFit="1" customWidth="1"/>
    <col min="2" max="2" width="23.4414062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9" t="s">
        <v>1027</v>
      </c>
      <c r="B1" s="80"/>
      <c r="C1" s="80"/>
      <c r="D1" s="80"/>
      <c r="E1" s="80"/>
      <c r="F1" s="80"/>
      <c r="G1" s="80"/>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749</v>
      </c>
      <c r="D4" s="16" t="s">
        <v>1</v>
      </c>
      <c r="E4" s="15" t="s">
        <v>3</v>
      </c>
      <c r="F4" s="15" t="s">
        <v>4</v>
      </c>
      <c r="G4" s="15" t="s">
        <v>6</v>
      </c>
    </row>
    <row r="5" spans="1:9" x14ac:dyDescent="0.2">
      <c r="A5" s="21" t="s">
        <v>51</v>
      </c>
      <c r="B5" s="22"/>
      <c r="C5" s="22"/>
      <c r="D5" s="23"/>
      <c r="E5" s="24"/>
      <c r="F5" s="25"/>
      <c r="G5" s="24"/>
    </row>
    <row r="6" spans="1:9" x14ac:dyDescent="0.2">
      <c r="A6" s="26" t="s">
        <v>61</v>
      </c>
      <c r="B6" s="27"/>
      <c r="C6" s="27"/>
      <c r="D6" s="28"/>
      <c r="E6" s="29"/>
      <c r="F6" s="30"/>
      <c r="G6" s="29"/>
    </row>
    <row r="7" spans="1:9" x14ac:dyDescent="0.2">
      <c r="A7" s="27" t="s">
        <v>787</v>
      </c>
      <c r="B7" s="27" t="s">
        <v>788</v>
      </c>
      <c r="C7" s="27" t="s">
        <v>65</v>
      </c>
      <c r="D7" s="31">
        <v>3500000</v>
      </c>
      <c r="E7" s="29">
        <v>3479.7</v>
      </c>
      <c r="F7" s="30">
        <v>16.483218201105199</v>
      </c>
      <c r="G7" s="29">
        <v>3.3799000000000001</v>
      </c>
    </row>
    <row r="8" spans="1:9" x14ac:dyDescent="0.2">
      <c r="A8" s="27" t="s">
        <v>852</v>
      </c>
      <c r="B8" s="27" t="s">
        <v>853</v>
      </c>
      <c r="C8" s="27" t="s">
        <v>65</v>
      </c>
      <c r="D8" s="31">
        <v>2000000</v>
      </c>
      <c r="E8" s="29">
        <v>1965.3</v>
      </c>
      <c r="F8" s="30">
        <v>9.3095579304629794</v>
      </c>
      <c r="G8" s="29">
        <v>3.6825999999999999</v>
      </c>
    </row>
    <row r="9" spans="1:9" x14ac:dyDescent="0.2">
      <c r="A9" s="26" t="s">
        <v>35</v>
      </c>
      <c r="B9" s="26"/>
      <c r="C9" s="26"/>
      <c r="D9" s="32"/>
      <c r="E9" s="33">
        <f>SUM(E6:E8)</f>
        <v>5445</v>
      </c>
      <c r="F9" s="34">
        <f>SUM(F6:F8)</f>
        <v>25.792776131568178</v>
      </c>
      <c r="G9" s="33"/>
      <c r="H9" s="18"/>
      <c r="I9" s="18"/>
    </row>
    <row r="10" spans="1:9" x14ac:dyDescent="0.2">
      <c r="A10" s="27"/>
      <c r="B10" s="27"/>
      <c r="C10" s="27"/>
      <c r="D10" s="28"/>
      <c r="E10" s="29"/>
      <c r="F10" s="30"/>
      <c r="G10" s="29"/>
    </row>
    <row r="11" spans="1:9" x14ac:dyDescent="0.2">
      <c r="A11" s="26" t="s">
        <v>62</v>
      </c>
      <c r="B11" s="27"/>
      <c r="C11" s="27"/>
      <c r="D11" s="28"/>
      <c r="E11" s="29"/>
      <c r="F11" s="30"/>
      <c r="G11" s="29"/>
    </row>
    <row r="12" spans="1:9" x14ac:dyDescent="0.2">
      <c r="A12" s="27" t="s">
        <v>79</v>
      </c>
      <c r="B12" s="27" t="s">
        <v>78</v>
      </c>
      <c r="C12" s="27" t="s">
        <v>65</v>
      </c>
      <c r="D12" s="31">
        <v>5000000</v>
      </c>
      <c r="E12" s="29">
        <v>4905.915</v>
      </c>
      <c r="F12" s="30">
        <v>23.2391491855835</v>
      </c>
      <c r="G12" s="29">
        <v>5.6414</v>
      </c>
    </row>
    <row r="13" spans="1:9" x14ac:dyDescent="0.2">
      <c r="A13" s="27" t="s">
        <v>81</v>
      </c>
      <c r="B13" s="27" t="s">
        <v>80</v>
      </c>
      <c r="C13" s="27" t="s">
        <v>65</v>
      </c>
      <c r="D13" s="31">
        <v>4590000</v>
      </c>
      <c r="E13" s="29">
        <v>4737.7612799999997</v>
      </c>
      <c r="F13" s="30">
        <v>22.442610846621101</v>
      </c>
      <c r="G13" s="29">
        <v>6.1269999999999998</v>
      </c>
    </row>
    <row r="14" spans="1:9" x14ac:dyDescent="0.2">
      <c r="A14" s="27" t="s">
        <v>83</v>
      </c>
      <c r="B14" s="27" t="s">
        <v>82</v>
      </c>
      <c r="C14" s="27" t="s">
        <v>65</v>
      </c>
      <c r="D14" s="31">
        <v>2125000</v>
      </c>
      <c r="E14" s="29">
        <v>2226.3157500000002</v>
      </c>
      <c r="F14" s="30">
        <v>10.5459804844691</v>
      </c>
      <c r="G14" s="29">
        <v>6.2675000000000001</v>
      </c>
    </row>
    <row r="15" spans="1:9" x14ac:dyDescent="0.2">
      <c r="A15" s="27" t="s">
        <v>85</v>
      </c>
      <c r="B15" s="27" t="s">
        <v>84</v>
      </c>
      <c r="C15" s="27" t="s">
        <v>65</v>
      </c>
      <c r="D15" s="31">
        <v>1900000</v>
      </c>
      <c r="E15" s="29">
        <v>2004.4981</v>
      </c>
      <c r="F15" s="30">
        <v>9.4952379705149301</v>
      </c>
      <c r="G15" s="29">
        <v>5.9260999999999999</v>
      </c>
    </row>
    <row r="16" spans="1:9" x14ac:dyDescent="0.2">
      <c r="A16" s="27" t="s">
        <v>87</v>
      </c>
      <c r="B16" s="27" t="s">
        <v>86</v>
      </c>
      <c r="C16" s="27" t="s">
        <v>65</v>
      </c>
      <c r="D16" s="31">
        <v>300000</v>
      </c>
      <c r="E16" s="29">
        <v>317.26499999999999</v>
      </c>
      <c r="F16" s="30">
        <v>1.5028733001619801</v>
      </c>
      <c r="G16" s="29">
        <v>4.9111000000000002</v>
      </c>
    </row>
    <row r="17" spans="1:9" x14ac:dyDescent="0.2">
      <c r="A17" s="27" t="s">
        <v>89</v>
      </c>
      <c r="B17" s="27" t="s">
        <v>88</v>
      </c>
      <c r="C17" s="27" t="s">
        <v>65</v>
      </c>
      <c r="D17" s="31">
        <v>200000</v>
      </c>
      <c r="E17" s="29">
        <v>197.33840000000001</v>
      </c>
      <c r="F17" s="30">
        <v>0.93478515580566701</v>
      </c>
      <c r="G17" s="29">
        <v>5.5989000000000004</v>
      </c>
    </row>
    <row r="18" spans="1:9" x14ac:dyDescent="0.2">
      <c r="A18" s="26" t="s">
        <v>35</v>
      </c>
      <c r="B18" s="26"/>
      <c r="C18" s="26"/>
      <c r="D18" s="32"/>
      <c r="E18" s="33">
        <f>SUM(E12:E17)</f>
        <v>14389.09353</v>
      </c>
      <c r="F18" s="34">
        <f>SUM(F12:F17)</f>
        <v>68.160636943156277</v>
      </c>
      <c r="G18" s="33"/>
      <c r="H18" s="18"/>
      <c r="I18" s="18"/>
    </row>
    <row r="19" spans="1:9" x14ac:dyDescent="0.2">
      <c r="A19" s="27"/>
      <c r="B19" s="27"/>
      <c r="C19" s="27"/>
      <c r="D19" s="28"/>
      <c r="E19" s="29"/>
      <c r="F19" s="30"/>
      <c r="G19" s="29"/>
    </row>
    <row r="20" spans="1:9" x14ac:dyDescent="0.2">
      <c r="A20" s="26" t="s">
        <v>37</v>
      </c>
      <c r="B20" s="26"/>
      <c r="C20" s="26"/>
      <c r="D20" s="32"/>
      <c r="E20" s="33">
        <f>E9+E18</f>
        <v>19834.093529999998</v>
      </c>
      <c r="F20" s="34">
        <f>F9+F18</f>
        <v>93.953413074724452</v>
      </c>
      <c r="G20" s="33"/>
      <c r="H20" s="18"/>
      <c r="I20" s="18"/>
    </row>
    <row r="21" spans="1:9" x14ac:dyDescent="0.2">
      <c r="A21" s="26"/>
      <c r="B21" s="26"/>
      <c r="C21" s="26"/>
      <c r="D21" s="32"/>
      <c r="E21" s="33"/>
      <c r="F21" s="34"/>
      <c r="G21" s="33"/>
      <c r="H21" s="18"/>
      <c r="I21" s="18"/>
    </row>
    <row r="22" spans="1:9" x14ac:dyDescent="0.2">
      <c r="A22" s="26" t="s">
        <v>39</v>
      </c>
      <c r="B22" s="26"/>
      <c r="C22" s="26"/>
      <c r="D22" s="32"/>
      <c r="E22" s="33">
        <f>E24-(E9+E18)</f>
        <v>1276.4684825000004</v>
      </c>
      <c r="F22" s="34">
        <f>F24-(F9+F18)</f>
        <v>6.0465869252755482</v>
      </c>
      <c r="G22" s="33"/>
      <c r="H22" s="18"/>
      <c r="I22" s="18"/>
    </row>
    <row r="23" spans="1:9" x14ac:dyDescent="0.2">
      <c r="A23" s="26"/>
      <c r="B23" s="26"/>
      <c r="C23" s="26"/>
      <c r="D23" s="32"/>
      <c r="E23" s="33"/>
      <c r="F23" s="34"/>
      <c r="G23" s="33"/>
      <c r="H23" s="18"/>
      <c r="I23" s="18"/>
    </row>
    <row r="24" spans="1:9" x14ac:dyDescent="0.2">
      <c r="A24" s="35" t="s">
        <v>38</v>
      </c>
      <c r="B24" s="35"/>
      <c r="C24" s="35"/>
      <c r="D24" s="36"/>
      <c r="E24" s="37">
        <v>21110.562012499999</v>
      </c>
      <c r="F24" s="38">
        <v>100</v>
      </c>
      <c r="G24" s="37"/>
      <c r="H24" s="18"/>
      <c r="I24" s="18"/>
    </row>
    <row r="26" spans="1:9" x14ac:dyDescent="0.2">
      <c r="A26" s="18" t="s">
        <v>41</v>
      </c>
    </row>
    <row r="27" spans="1:9" x14ac:dyDescent="0.2">
      <c r="A27" s="18" t="s">
        <v>42</v>
      </c>
    </row>
    <row r="28" spans="1:9" x14ac:dyDescent="0.2">
      <c r="A28" s="18" t="s">
        <v>43</v>
      </c>
      <c r="B28" s="18"/>
      <c r="C28" s="39" t="s">
        <v>45</v>
      </c>
      <c r="D28" s="19" t="s">
        <v>44</v>
      </c>
    </row>
    <row r="29" spans="1:9" x14ac:dyDescent="0.2">
      <c r="A29" s="9" t="s">
        <v>90</v>
      </c>
      <c r="C29" s="40">
        <v>47.584499999999998</v>
      </c>
      <c r="D29" s="40">
        <v>47.575699999999998</v>
      </c>
    </row>
    <row r="30" spans="1:9" x14ac:dyDescent="0.2">
      <c r="A30" s="9" t="s">
        <v>1028</v>
      </c>
      <c r="C30" s="40">
        <v>10.7212</v>
      </c>
      <c r="D30" s="40">
        <v>10.305999999999999</v>
      </c>
    </row>
    <row r="31" spans="1:9" x14ac:dyDescent="0.2">
      <c r="A31" s="9" t="s">
        <v>91</v>
      </c>
      <c r="C31" s="40">
        <v>51.026899999999998</v>
      </c>
      <c r="D31" s="40">
        <v>51.124699999999997</v>
      </c>
    </row>
    <row r="32" spans="1:9" x14ac:dyDescent="0.2">
      <c r="A32" s="9" t="s">
        <v>1029</v>
      </c>
      <c r="C32" s="40">
        <v>11.822900000000001</v>
      </c>
      <c r="D32" s="40">
        <v>11.432</v>
      </c>
    </row>
    <row r="34" spans="1:5" x14ac:dyDescent="0.2">
      <c r="A34" s="18" t="s">
        <v>47</v>
      </c>
    </row>
    <row r="35" spans="1:5" x14ac:dyDescent="0.2">
      <c r="A35" s="81" t="s">
        <v>67</v>
      </c>
      <c r="B35" s="82"/>
      <c r="C35" s="43" t="s">
        <v>68</v>
      </c>
    </row>
    <row r="36" spans="1:5" x14ac:dyDescent="0.2">
      <c r="A36" s="77" t="s">
        <v>1028</v>
      </c>
      <c r="B36" s="78"/>
      <c r="C36" s="44">
        <v>0.41</v>
      </c>
    </row>
    <row r="37" spans="1:5" x14ac:dyDescent="0.2">
      <c r="A37" s="77" t="s">
        <v>1029</v>
      </c>
      <c r="B37" s="78"/>
      <c r="C37" s="44">
        <v>0.41</v>
      </c>
    </row>
    <row r="38" spans="1:5" x14ac:dyDescent="0.2">
      <c r="A38" s="9" t="s">
        <v>69</v>
      </c>
    </row>
    <row r="39" spans="1:5" x14ac:dyDescent="0.2">
      <c r="A39" s="9" t="s">
        <v>46</v>
      </c>
    </row>
    <row r="41" spans="1:5" x14ac:dyDescent="0.2">
      <c r="A41" s="18" t="s">
        <v>816</v>
      </c>
      <c r="D41" s="42">
        <v>3.6246972263561599</v>
      </c>
      <c r="E41" s="13" t="s">
        <v>49</v>
      </c>
    </row>
    <row r="43" spans="1:5" ht="24" customHeight="1" x14ac:dyDescent="0.3">
      <c r="A43" s="84" t="s">
        <v>734</v>
      </c>
      <c r="B43" s="85"/>
      <c r="C43" s="85"/>
      <c r="D43" s="41" t="s">
        <v>48</v>
      </c>
    </row>
    <row r="45" spans="1:5" x14ac:dyDescent="0.2">
      <c r="A45" s="18" t="s">
        <v>817</v>
      </c>
    </row>
    <row r="46" spans="1:5" x14ac:dyDescent="0.2">
      <c r="A46" s="50" t="s">
        <v>50</v>
      </c>
    </row>
  </sheetData>
  <mergeCells count="5">
    <mergeCell ref="A1:G1"/>
    <mergeCell ref="A35:B35"/>
    <mergeCell ref="A36:B36"/>
    <mergeCell ref="A37:B37"/>
    <mergeCell ref="A43:C43"/>
  </mergeCells>
  <conditionalFormatting sqref="F2:F3 F5:F65532">
    <cfRule type="cellIs" dxfId="66" priority="1" stopIfTrue="1" operator="between">
      <formula>0.009</formula>
      <formula>-0.009</formula>
    </cfRule>
  </conditionalFormatting>
  <hyperlinks>
    <hyperlink ref="A46" r:id="rId1" tooltip="https://www.franklintempletonindia.com/downloadsServlet/pdf/product-labels-jg9o5k7l" xr:uid="{00000000-0004-0000-0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53"/>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9" t="s">
        <v>1030</v>
      </c>
      <c r="B1" s="80"/>
      <c r="C1" s="80"/>
      <c r="D1" s="80"/>
      <c r="E1" s="80"/>
      <c r="F1" s="80"/>
      <c r="G1" s="8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749</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1031</v>
      </c>
      <c r="B7" s="27" t="s">
        <v>1032</v>
      </c>
      <c r="C7" s="27" t="s">
        <v>992</v>
      </c>
      <c r="D7" s="31">
        <v>40</v>
      </c>
      <c r="E7" s="29">
        <v>531.14599999999996</v>
      </c>
      <c r="F7" s="30">
        <v>10.1509557938396</v>
      </c>
      <c r="G7" s="29">
        <v>4.7750000000000004</v>
      </c>
    </row>
    <row r="8" spans="1:7" x14ac:dyDescent="0.2">
      <c r="A8" s="27" t="s">
        <v>1033</v>
      </c>
      <c r="B8" s="27" t="s">
        <v>1034</v>
      </c>
      <c r="C8" s="27" t="s">
        <v>34</v>
      </c>
      <c r="D8" s="31">
        <v>40</v>
      </c>
      <c r="E8" s="29">
        <v>527.34040000000005</v>
      </c>
      <c r="F8" s="30">
        <v>10.0782253630935</v>
      </c>
      <c r="G8" s="29">
        <v>4.5349000000000004</v>
      </c>
    </row>
    <row r="9" spans="1:7" x14ac:dyDescent="0.2">
      <c r="A9" s="27" t="s">
        <v>1021</v>
      </c>
      <c r="B9" s="27" t="s">
        <v>1022</v>
      </c>
      <c r="C9" s="27" t="s">
        <v>928</v>
      </c>
      <c r="D9" s="31">
        <v>42</v>
      </c>
      <c r="E9" s="29">
        <v>431.82803999999999</v>
      </c>
      <c r="F9" s="30">
        <v>8.25284826503521</v>
      </c>
      <c r="G9" s="29">
        <v>4.0701000000000001</v>
      </c>
    </row>
    <row r="10" spans="1:7" x14ac:dyDescent="0.2">
      <c r="A10" s="27" t="s">
        <v>955</v>
      </c>
      <c r="B10" s="27" t="s">
        <v>956</v>
      </c>
      <c r="C10" s="27" t="s">
        <v>873</v>
      </c>
      <c r="D10" s="31">
        <v>41</v>
      </c>
      <c r="E10" s="29">
        <v>421.43858999999998</v>
      </c>
      <c r="F10" s="30">
        <v>8.05429109304802</v>
      </c>
      <c r="G10" s="29">
        <v>4.07</v>
      </c>
    </row>
    <row r="11" spans="1:7" x14ac:dyDescent="0.2">
      <c r="A11" s="27" t="s">
        <v>931</v>
      </c>
      <c r="B11" s="27" t="s">
        <v>932</v>
      </c>
      <c r="C11" s="27" t="s">
        <v>34</v>
      </c>
      <c r="D11" s="31">
        <v>41</v>
      </c>
      <c r="E11" s="29">
        <v>413.65186999999997</v>
      </c>
      <c r="F11" s="30">
        <v>7.9054757946197096</v>
      </c>
      <c r="G11" s="29">
        <v>3.6450999999999998</v>
      </c>
    </row>
    <row r="12" spans="1:7" x14ac:dyDescent="0.2">
      <c r="A12" s="27" t="s">
        <v>906</v>
      </c>
      <c r="B12" s="27" t="s">
        <v>907</v>
      </c>
      <c r="C12" s="27" t="s">
        <v>898</v>
      </c>
      <c r="D12" s="31">
        <v>40</v>
      </c>
      <c r="E12" s="29">
        <v>410.56760000000003</v>
      </c>
      <c r="F12" s="30">
        <v>7.8465310065082203</v>
      </c>
      <c r="G12" s="29">
        <v>5.35</v>
      </c>
    </row>
    <row r="13" spans="1:7" x14ac:dyDescent="0.2">
      <c r="A13" s="27" t="s">
        <v>1018</v>
      </c>
      <c r="B13" s="27" t="s">
        <v>1019</v>
      </c>
      <c r="C13" s="27" t="s">
        <v>1020</v>
      </c>
      <c r="D13" s="31">
        <v>37</v>
      </c>
      <c r="E13" s="29">
        <v>384.36414000000002</v>
      </c>
      <c r="F13" s="30">
        <v>7.3457456026726504</v>
      </c>
      <c r="G13" s="29">
        <v>3.98</v>
      </c>
    </row>
    <row r="14" spans="1:7" x14ac:dyDescent="0.2">
      <c r="A14" s="27" t="s">
        <v>961</v>
      </c>
      <c r="B14" s="27" t="s">
        <v>962</v>
      </c>
      <c r="C14" s="27" t="s">
        <v>34</v>
      </c>
      <c r="D14" s="31">
        <v>30</v>
      </c>
      <c r="E14" s="29">
        <v>377.81610000000001</v>
      </c>
      <c r="F14" s="30">
        <v>7.2206032414832801</v>
      </c>
      <c r="G14" s="29">
        <v>4.3699000000000003</v>
      </c>
    </row>
    <row r="15" spans="1:7" x14ac:dyDescent="0.2">
      <c r="A15" s="27" t="s">
        <v>953</v>
      </c>
      <c r="B15" s="27" t="s">
        <v>954</v>
      </c>
      <c r="C15" s="27" t="s">
        <v>34</v>
      </c>
      <c r="D15" s="31">
        <v>30</v>
      </c>
      <c r="E15" s="29">
        <v>307.73399999999998</v>
      </c>
      <c r="F15" s="30">
        <v>5.8812345951234297</v>
      </c>
      <c r="G15" s="29">
        <v>3.9601000000000002</v>
      </c>
    </row>
    <row r="16" spans="1:7" x14ac:dyDescent="0.2">
      <c r="A16" s="27" t="s">
        <v>1035</v>
      </c>
      <c r="B16" s="27" t="s">
        <v>1036</v>
      </c>
      <c r="C16" s="27" t="s">
        <v>992</v>
      </c>
      <c r="D16" s="31">
        <v>21</v>
      </c>
      <c r="E16" s="29">
        <v>272.94560999999999</v>
      </c>
      <c r="F16" s="30">
        <v>5.2163789640373404</v>
      </c>
      <c r="G16" s="29">
        <v>4.4400000000000004</v>
      </c>
    </row>
    <row r="17" spans="1:9" x14ac:dyDescent="0.2">
      <c r="A17" s="27" t="s">
        <v>975</v>
      </c>
      <c r="B17" s="27" t="s">
        <v>976</v>
      </c>
      <c r="C17" s="27" t="s">
        <v>34</v>
      </c>
      <c r="D17" s="31">
        <v>25</v>
      </c>
      <c r="E17" s="29">
        <v>255.46575000000001</v>
      </c>
      <c r="F17" s="30">
        <v>4.8823139684570203</v>
      </c>
      <c r="G17" s="29">
        <v>4.1349999999999998</v>
      </c>
    </row>
    <row r="18" spans="1:9" x14ac:dyDescent="0.2">
      <c r="A18" s="27" t="s">
        <v>1037</v>
      </c>
      <c r="B18" s="27" t="s">
        <v>1038</v>
      </c>
      <c r="C18" s="27" t="s">
        <v>34</v>
      </c>
      <c r="D18" s="31">
        <v>19</v>
      </c>
      <c r="E18" s="29">
        <v>246.47047000000001</v>
      </c>
      <c r="F18" s="30">
        <v>4.7104013688456003</v>
      </c>
      <c r="G18" s="29">
        <v>4.5999999999999996</v>
      </c>
    </row>
    <row r="19" spans="1:9" x14ac:dyDescent="0.2">
      <c r="A19" s="27" t="s">
        <v>1039</v>
      </c>
      <c r="B19" s="27" t="s">
        <v>1040</v>
      </c>
      <c r="C19" s="27" t="s">
        <v>873</v>
      </c>
      <c r="D19" s="31">
        <v>18</v>
      </c>
      <c r="E19" s="29">
        <v>185.38829999999999</v>
      </c>
      <c r="F19" s="30">
        <v>3.54303419021337</v>
      </c>
      <c r="G19" s="29">
        <v>4.28</v>
      </c>
    </row>
    <row r="20" spans="1:9" x14ac:dyDescent="0.2">
      <c r="A20" s="27" t="s">
        <v>1041</v>
      </c>
      <c r="B20" s="27" t="s">
        <v>1042</v>
      </c>
      <c r="C20" s="27" t="s">
        <v>34</v>
      </c>
      <c r="D20" s="31">
        <v>12</v>
      </c>
      <c r="E20" s="29">
        <v>155.40047999999999</v>
      </c>
      <c r="F20" s="30">
        <v>2.9699242822528098</v>
      </c>
      <c r="G20" s="29">
        <v>5.1497999999999999</v>
      </c>
    </row>
    <row r="21" spans="1:9" x14ac:dyDescent="0.2">
      <c r="A21" s="27" t="s">
        <v>914</v>
      </c>
      <c r="B21" s="27" t="s">
        <v>915</v>
      </c>
      <c r="C21" s="27" t="s">
        <v>34</v>
      </c>
      <c r="D21" s="31">
        <v>10</v>
      </c>
      <c r="E21" s="29">
        <v>102.80240000000001</v>
      </c>
      <c r="F21" s="30">
        <v>1.9647001349922899</v>
      </c>
      <c r="G21" s="29">
        <v>4.2</v>
      </c>
    </row>
    <row r="22" spans="1:9" x14ac:dyDescent="0.2">
      <c r="A22" s="27" t="s">
        <v>903</v>
      </c>
      <c r="B22" s="27" t="s">
        <v>904</v>
      </c>
      <c r="C22" s="27" t="s">
        <v>905</v>
      </c>
      <c r="D22" s="31">
        <v>5</v>
      </c>
      <c r="E22" s="29">
        <v>51.1402</v>
      </c>
      <c r="F22" s="30">
        <v>0.97736198613585501</v>
      </c>
      <c r="G22" s="29">
        <v>5.1448999999999998</v>
      </c>
    </row>
    <row r="23" spans="1:9" x14ac:dyDescent="0.2">
      <c r="A23" s="26" t="s">
        <v>35</v>
      </c>
      <c r="B23" s="26"/>
      <c r="C23" s="26"/>
      <c r="D23" s="32"/>
      <c r="E23" s="33">
        <f>SUM(E6:E22)</f>
        <v>5075.4999499999994</v>
      </c>
      <c r="F23" s="34">
        <f>SUM(F6:F22)</f>
        <v>97.000025650357927</v>
      </c>
      <c r="G23" s="33"/>
      <c r="H23" s="18"/>
      <c r="I23" s="18"/>
    </row>
    <row r="24" spans="1:9" x14ac:dyDescent="0.2">
      <c r="A24" s="27"/>
      <c r="B24" s="27"/>
      <c r="C24" s="27"/>
      <c r="D24" s="28"/>
      <c r="E24" s="29"/>
      <c r="F24" s="30"/>
      <c r="G24" s="29"/>
    </row>
    <row r="25" spans="1:9" x14ac:dyDescent="0.2">
      <c r="A25" s="26" t="s">
        <v>37</v>
      </c>
      <c r="B25" s="26"/>
      <c r="C25" s="26"/>
      <c r="D25" s="32"/>
      <c r="E25" s="33">
        <f>E23</f>
        <v>5075.4999499999994</v>
      </c>
      <c r="F25" s="34">
        <f>F23</f>
        <v>97.000025650357927</v>
      </c>
      <c r="G25" s="33"/>
      <c r="H25" s="18"/>
      <c r="I25" s="18"/>
    </row>
    <row r="26" spans="1:9" x14ac:dyDescent="0.2">
      <c r="A26" s="26"/>
      <c r="B26" s="26"/>
      <c r="C26" s="26"/>
      <c r="D26" s="32"/>
      <c r="E26" s="33"/>
      <c r="F26" s="34"/>
      <c r="G26" s="33"/>
      <c r="H26" s="18"/>
      <c r="I26" s="18"/>
    </row>
    <row r="27" spans="1:9" x14ac:dyDescent="0.2">
      <c r="A27" s="26" t="s">
        <v>39</v>
      </c>
      <c r="B27" s="26"/>
      <c r="C27" s="26"/>
      <c r="D27" s="32"/>
      <c r="E27" s="33">
        <f>E29-(E23)</f>
        <v>156.97284160000072</v>
      </c>
      <c r="F27" s="34">
        <f>F29-(F23)</f>
        <v>2.9999743496420734</v>
      </c>
      <c r="G27" s="33"/>
      <c r="H27" s="18"/>
      <c r="I27" s="18"/>
    </row>
    <row r="28" spans="1:9" x14ac:dyDescent="0.2">
      <c r="A28" s="26"/>
      <c r="B28" s="26"/>
      <c r="C28" s="26"/>
      <c r="D28" s="32"/>
      <c r="E28" s="33"/>
      <c r="F28" s="34"/>
      <c r="G28" s="33"/>
      <c r="H28" s="18"/>
      <c r="I28" s="18"/>
    </row>
    <row r="29" spans="1:9" x14ac:dyDescent="0.2">
      <c r="A29" s="35" t="s">
        <v>38</v>
      </c>
      <c r="B29" s="35"/>
      <c r="C29" s="35"/>
      <c r="D29" s="36"/>
      <c r="E29" s="37">
        <v>5232.4727916000002</v>
      </c>
      <c r="F29" s="38">
        <v>100</v>
      </c>
      <c r="G29" s="37"/>
      <c r="H29" s="18"/>
      <c r="I29" s="18"/>
    </row>
    <row r="31" spans="1:9" x14ac:dyDescent="0.2">
      <c r="A31" s="18" t="s">
        <v>40</v>
      </c>
    </row>
    <row r="33" spans="1:5" x14ac:dyDescent="0.2">
      <c r="A33" s="18" t="s">
        <v>41</v>
      </c>
    </row>
    <row r="34" spans="1:5" x14ac:dyDescent="0.2">
      <c r="A34" s="18" t="s">
        <v>42</v>
      </c>
    </row>
    <row r="35" spans="1:5" x14ac:dyDescent="0.2">
      <c r="A35" s="18" t="s">
        <v>43</v>
      </c>
      <c r="B35" s="18"/>
      <c r="C35" s="39" t="s">
        <v>45</v>
      </c>
      <c r="D35" s="19" t="s">
        <v>44</v>
      </c>
    </row>
    <row r="36" spans="1:5" x14ac:dyDescent="0.2">
      <c r="A36" s="9" t="s">
        <v>70</v>
      </c>
      <c r="C36" s="40">
        <v>11.9344</v>
      </c>
      <c r="D36" s="40">
        <v>12.1876</v>
      </c>
    </row>
    <row r="37" spans="1:5" x14ac:dyDescent="0.2">
      <c r="A37" s="9" t="s">
        <v>1043</v>
      </c>
      <c r="C37" s="40">
        <v>11.095800000000001</v>
      </c>
      <c r="D37" s="40">
        <v>10.5395</v>
      </c>
    </row>
    <row r="38" spans="1:5" x14ac:dyDescent="0.2">
      <c r="A38" s="9" t="s">
        <v>72</v>
      </c>
      <c r="C38" s="40">
        <v>10.509</v>
      </c>
      <c r="D38" s="40">
        <v>10.368499999999999</v>
      </c>
    </row>
    <row r="39" spans="1:5" x14ac:dyDescent="0.2">
      <c r="A39" s="9" t="s">
        <v>73</v>
      </c>
      <c r="C39" s="40">
        <v>11.9771</v>
      </c>
      <c r="D39" s="40">
        <v>12.2433</v>
      </c>
    </row>
    <row r="41" spans="1:5" x14ac:dyDescent="0.2">
      <c r="A41" s="18" t="s">
        <v>47</v>
      </c>
    </row>
    <row r="42" spans="1:5" x14ac:dyDescent="0.2">
      <c r="A42" s="81" t="s">
        <v>67</v>
      </c>
      <c r="B42" s="82"/>
      <c r="C42" s="43" t="s">
        <v>68</v>
      </c>
    </row>
    <row r="43" spans="1:5" x14ac:dyDescent="0.2">
      <c r="A43" s="77" t="s">
        <v>1043</v>
      </c>
      <c r="B43" s="78"/>
      <c r="C43" s="44">
        <v>0.78</v>
      </c>
    </row>
    <row r="44" spans="1:5" x14ac:dyDescent="0.2">
      <c r="A44" s="77" t="s">
        <v>72</v>
      </c>
      <c r="B44" s="78"/>
      <c r="C44" s="44">
        <v>0.36</v>
      </c>
    </row>
    <row r="45" spans="1:5" x14ac:dyDescent="0.2">
      <c r="A45" s="9" t="s">
        <v>69</v>
      </c>
    </row>
    <row r="46" spans="1:5" x14ac:dyDescent="0.2">
      <c r="A46" s="9" t="s">
        <v>46</v>
      </c>
    </row>
    <row r="48" spans="1:5" x14ac:dyDescent="0.2">
      <c r="A48" s="18" t="s">
        <v>816</v>
      </c>
      <c r="D48" s="42">
        <v>0.67676448898630104</v>
      </c>
      <c r="E48" s="13" t="s">
        <v>49</v>
      </c>
    </row>
    <row r="50" spans="1:4" x14ac:dyDescent="0.2">
      <c r="A50" s="18" t="s">
        <v>734</v>
      </c>
      <c r="D50" s="41" t="s">
        <v>48</v>
      </c>
    </row>
    <row r="52" spans="1:4" x14ac:dyDescent="0.2">
      <c r="A52" s="18" t="s">
        <v>817</v>
      </c>
    </row>
    <row r="53" spans="1:4" x14ac:dyDescent="0.2">
      <c r="A53" s="50" t="s">
        <v>50</v>
      </c>
    </row>
  </sheetData>
  <mergeCells count="4">
    <mergeCell ref="A1:G1"/>
    <mergeCell ref="A42:B42"/>
    <mergeCell ref="A43:B43"/>
    <mergeCell ref="A44:B44"/>
  </mergeCells>
  <conditionalFormatting sqref="F2:F3 F5:F65534">
    <cfRule type="cellIs" dxfId="65" priority="1" stopIfTrue="1" operator="between">
      <formula>0.009</formula>
      <formula>-0.009</formula>
    </cfRule>
  </conditionalFormatting>
  <hyperlinks>
    <hyperlink ref="A53" r:id="rId1" tooltip="https://www.franklintempletonindia.com/downloadsServlet/pdf/product-labels-jg9o5k7l" xr:uid="{00000000-0004-0000-0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8"/>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9" t="s">
        <v>1044</v>
      </c>
      <c r="B1" s="80"/>
      <c r="C1" s="80"/>
      <c r="D1" s="80"/>
      <c r="E1" s="80"/>
      <c r="F1" s="80"/>
      <c r="G1" s="8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749</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961</v>
      </c>
      <c r="B7" s="27" t="s">
        <v>962</v>
      </c>
      <c r="C7" s="27" t="s">
        <v>34</v>
      </c>
      <c r="D7" s="31">
        <v>39</v>
      </c>
      <c r="E7" s="29">
        <v>491.16093000000001</v>
      </c>
      <c r="F7" s="30">
        <v>12.009781218540301</v>
      </c>
      <c r="G7" s="29">
        <v>4.3699000000000003</v>
      </c>
    </row>
    <row r="8" spans="1:7" x14ac:dyDescent="0.2">
      <c r="A8" s="27" t="s">
        <v>1045</v>
      </c>
      <c r="B8" s="27" t="s">
        <v>1046</v>
      </c>
      <c r="C8" s="27" t="s">
        <v>34</v>
      </c>
      <c r="D8" s="31">
        <v>39</v>
      </c>
      <c r="E8" s="29">
        <v>402.12860999999998</v>
      </c>
      <c r="F8" s="30">
        <v>9.8327784903732702</v>
      </c>
      <c r="G8" s="29">
        <v>4.07</v>
      </c>
    </row>
    <row r="9" spans="1:7" x14ac:dyDescent="0.2">
      <c r="A9" s="27" t="s">
        <v>1047</v>
      </c>
      <c r="B9" s="27" t="s">
        <v>1048</v>
      </c>
      <c r="C9" s="27" t="s">
        <v>34</v>
      </c>
      <c r="D9" s="31">
        <v>39</v>
      </c>
      <c r="E9" s="29">
        <v>397.64828999999997</v>
      </c>
      <c r="F9" s="30">
        <v>9.7232264887736104</v>
      </c>
      <c r="G9" s="29">
        <v>3.8450000000000002</v>
      </c>
    </row>
    <row r="10" spans="1:7" x14ac:dyDescent="0.2">
      <c r="A10" s="27" t="s">
        <v>931</v>
      </c>
      <c r="B10" s="27" t="s">
        <v>932</v>
      </c>
      <c r="C10" s="27" t="s">
        <v>34</v>
      </c>
      <c r="D10" s="31">
        <v>38</v>
      </c>
      <c r="E10" s="29">
        <v>383.38466</v>
      </c>
      <c r="F10" s="30">
        <v>9.3744547009153898</v>
      </c>
      <c r="G10" s="29">
        <v>3.6450999999999998</v>
      </c>
    </row>
    <row r="11" spans="1:7" x14ac:dyDescent="0.2">
      <c r="A11" s="27" t="s">
        <v>1039</v>
      </c>
      <c r="B11" s="27" t="s">
        <v>1040</v>
      </c>
      <c r="C11" s="27" t="s">
        <v>873</v>
      </c>
      <c r="D11" s="31">
        <v>37</v>
      </c>
      <c r="E11" s="29">
        <v>381.07594999999998</v>
      </c>
      <c r="F11" s="30">
        <v>9.3180025274962706</v>
      </c>
      <c r="G11" s="29">
        <v>4.28</v>
      </c>
    </row>
    <row r="12" spans="1:7" x14ac:dyDescent="0.2">
      <c r="A12" s="27" t="s">
        <v>1035</v>
      </c>
      <c r="B12" s="27" t="s">
        <v>1036</v>
      </c>
      <c r="C12" s="27" t="s">
        <v>992</v>
      </c>
      <c r="D12" s="31">
        <v>29</v>
      </c>
      <c r="E12" s="29">
        <v>376.92489</v>
      </c>
      <c r="F12" s="30">
        <v>9.2165015338707494</v>
      </c>
      <c r="G12" s="29">
        <v>4.4400000000000004</v>
      </c>
    </row>
    <row r="13" spans="1:7" x14ac:dyDescent="0.2">
      <c r="A13" s="27" t="s">
        <v>967</v>
      </c>
      <c r="B13" s="27" t="s">
        <v>968</v>
      </c>
      <c r="C13" s="27" t="s">
        <v>34</v>
      </c>
      <c r="D13" s="31">
        <v>27</v>
      </c>
      <c r="E13" s="29">
        <v>350.01693</v>
      </c>
      <c r="F13" s="30">
        <v>8.5585527987438805</v>
      </c>
      <c r="G13" s="29">
        <v>4.03</v>
      </c>
    </row>
    <row r="14" spans="1:7" x14ac:dyDescent="0.2">
      <c r="A14" s="27" t="s">
        <v>903</v>
      </c>
      <c r="B14" s="27" t="s">
        <v>904</v>
      </c>
      <c r="C14" s="27" t="s">
        <v>905</v>
      </c>
      <c r="D14" s="31">
        <v>34</v>
      </c>
      <c r="E14" s="29">
        <v>347.75335999999999</v>
      </c>
      <c r="F14" s="30">
        <v>8.5032043807154896</v>
      </c>
      <c r="G14" s="29">
        <v>5.1448999999999998</v>
      </c>
    </row>
    <row r="15" spans="1:7" x14ac:dyDescent="0.2">
      <c r="A15" s="27" t="s">
        <v>1041</v>
      </c>
      <c r="B15" s="27" t="s">
        <v>1042</v>
      </c>
      <c r="C15" s="27" t="s">
        <v>34</v>
      </c>
      <c r="D15" s="31">
        <v>24</v>
      </c>
      <c r="E15" s="29">
        <v>310.80095999999998</v>
      </c>
      <c r="F15" s="30">
        <v>7.5996507542086196</v>
      </c>
      <c r="G15" s="29">
        <v>5.1497999999999999</v>
      </c>
    </row>
    <row r="16" spans="1:7" x14ac:dyDescent="0.2">
      <c r="A16" s="27" t="s">
        <v>975</v>
      </c>
      <c r="B16" s="27" t="s">
        <v>976</v>
      </c>
      <c r="C16" s="27" t="s">
        <v>34</v>
      </c>
      <c r="D16" s="31">
        <v>19</v>
      </c>
      <c r="E16" s="29">
        <v>194.15396999999999</v>
      </c>
      <c r="F16" s="30">
        <v>4.7474189415087302</v>
      </c>
      <c r="G16" s="29">
        <v>4.1349999999999998</v>
      </c>
    </row>
    <row r="17" spans="1:9" x14ac:dyDescent="0.2">
      <c r="A17" s="27" t="s">
        <v>953</v>
      </c>
      <c r="B17" s="27" t="s">
        <v>954</v>
      </c>
      <c r="C17" s="27" t="s">
        <v>34</v>
      </c>
      <c r="D17" s="31">
        <v>13</v>
      </c>
      <c r="E17" s="29">
        <v>133.35140000000001</v>
      </c>
      <c r="F17" s="30">
        <v>3.2606851265349199</v>
      </c>
      <c r="G17" s="29">
        <v>3.9601000000000002</v>
      </c>
    </row>
    <row r="18" spans="1:9" x14ac:dyDescent="0.2">
      <c r="A18" s="27" t="s">
        <v>914</v>
      </c>
      <c r="B18" s="27" t="s">
        <v>915</v>
      </c>
      <c r="C18" s="27" t="s">
        <v>34</v>
      </c>
      <c r="D18" s="31">
        <v>12</v>
      </c>
      <c r="E18" s="29">
        <v>123.36288</v>
      </c>
      <c r="F18" s="30">
        <v>3.0164475812215898</v>
      </c>
      <c r="G18" s="29">
        <v>4.2</v>
      </c>
    </row>
    <row r="19" spans="1:9" x14ac:dyDescent="0.2">
      <c r="A19" s="27" t="s">
        <v>1033</v>
      </c>
      <c r="B19" s="27" t="s">
        <v>1034</v>
      </c>
      <c r="C19" s="27" t="s">
        <v>34</v>
      </c>
      <c r="D19" s="31">
        <v>4</v>
      </c>
      <c r="E19" s="29">
        <v>52.73404</v>
      </c>
      <c r="F19" s="30">
        <v>1.28944352957747</v>
      </c>
      <c r="G19" s="29">
        <v>4.5349000000000004</v>
      </c>
    </row>
    <row r="20" spans="1:9" x14ac:dyDescent="0.2">
      <c r="A20" s="27" t="s">
        <v>1049</v>
      </c>
      <c r="B20" s="27" t="s">
        <v>1050</v>
      </c>
      <c r="C20" s="27" t="s">
        <v>992</v>
      </c>
      <c r="D20" s="31">
        <v>1</v>
      </c>
      <c r="E20" s="29">
        <v>12.940899999999999</v>
      </c>
      <c r="F20" s="30">
        <v>0.31642862507612102</v>
      </c>
      <c r="G20" s="29">
        <v>5.0997000000000003</v>
      </c>
    </row>
    <row r="21" spans="1:9" x14ac:dyDescent="0.2">
      <c r="A21" s="27" t="s">
        <v>906</v>
      </c>
      <c r="B21" s="27" t="s">
        <v>907</v>
      </c>
      <c r="C21" s="27" t="s">
        <v>898</v>
      </c>
      <c r="D21" s="31">
        <v>1</v>
      </c>
      <c r="E21" s="29">
        <v>10.264189999999999</v>
      </c>
      <c r="F21" s="30">
        <v>0.25097817997357702</v>
      </c>
      <c r="G21" s="29">
        <v>5.35</v>
      </c>
    </row>
    <row r="22" spans="1:9" x14ac:dyDescent="0.2">
      <c r="A22" s="26" t="s">
        <v>35</v>
      </c>
      <c r="B22" s="26"/>
      <c r="C22" s="26"/>
      <c r="D22" s="32"/>
      <c r="E22" s="33">
        <f>SUM(E6:E21)</f>
        <v>3967.7019599999999</v>
      </c>
      <c r="F22" s="34">
        <f>SUM(F6:F21)</f>
        <v>97.017554877529975</v>
      </c>
      <c r="G22" s="33"/>
      <c r="H22" s="18"/>
      <c r="I22" s="18"/>
    </row>
    <row r="23" spans="1:9" x14ac:dyDescent="0.2">
      <c r="A23" s="27"/>
      <c r="B23" s="27"/>
      <c r="C23" s="27"/>
      <c r="D23" s="28"/>
      <c r="E23" s="29"/>
      <c r="F23" s="30"/>
      <c r="G23" s="29"/>
    </row>
    <row r="24" spans="1:9" x14ac:dyDescent="0.2">
      <c r="A24" s="26" t="s">
        <v>37</v>
      </c>
      <c r="B24" s="26"/>
      <c r="C24" s="26"/>
      <c r="D24" s="32"/>
      <c r="E24" s="33">
        <f>E22</f>
        <v>3967.7019599999999</v>
      </c>
      <c r="F24" s="34">
        <f>F22</f>
        <v>97.017554877529975</v>
      </c>
      <c r="G24" s="33"/>
      <c r="H24" s="18"/>
      <c r="I24" s="18"/>
    </row>
    <row r="25" spans="1:9" x14ac:dyDescent="0.2">
      <c r="A25" s="26"/>
      <c r="B25" s="26"/>
      <c r="C25" s="26"/>
      <c r="D25" s="32"/>
      <c r="E25" s="33"/>
      <c r="F25" s="34"/>
      <c r="G25" s="33"/>
      <c r="H25" s="18"/>
      <c r="I25" s="18"/>
    </row>
    <row r="26" spans="1:9" x14ac:dyDescent="0.2">
      <c r="A26" s="26" t="s">
        <v>39</v>
      </c>
      <c r="B26" s="26"/>
      <c r="C26" s="26"/>
      <c r="D26" s="32"/>
      <c r="E26" s="33">
        <f>E28-(E22)</f>
        <v>121.97229020000032</v>
      </c>
      <c r="F26" s="34">
        <f>F28-(F22)</f>
        <v>2.9824451224700255</v>
      </c>
      <c r="G26" s="33"/>
      <c r="H26" s="18"/>
      <c r="I26" s="18"/>
    </row>
    <row r="27" spans="1:9" x14ac:dyDescent="0.2">
      <c r="A27" s="26"/>
      <c r="B27" s="26"/>
      <c r="C27" s="26"/>
      <c r="D27" s="32"/>
      <c r="E27" s="33"/>
      <c r="F27" s="34"/>
      <c r="G27" s="33"/>
      <c r="H27" s="18"/>
      <c r="I27" s="18"/>
    </row>
    <row r="28" spans="1:9" x14ac:dyDescent="0.2">
      <c r="A28" s="35" t="s">
        <v>38</v>
      </c>
      <c r="B28" s="35"/>
      <c r="C28" s="35"/>
      <c r="D28" s="36"/>
      <c r="E28" s="37">
        <v>4089.6742502000002</v>
      </c>
      <c r="F28" s="38">
        <v>100</v>
      </c>
      <c r="G28" s="37"/>
      <c r="H28" s="18"/>
      <c r="I28" s="18"/>
    </row>
    <row r="30" spans="1:9" x14ac:dyDescent="0.2">
      <c r="A30" s="18" t="s">
        <v>40</v>
      </c>
    </row>
    <row r="32" spans="1:9" x14ac:dyDescent="0.2">
      <c r="A32" s="18" t="s">
        <v>41</v>
      </c>
    </row>
    <row r="33" spans="1:4" x14ac:dyDescent="0.2">
      <c r="A33" s="18" t="s">
        <v>42</v>
      </c>
    </row>
    <row r="34" spans="1:4" x14ac:dyDescent="0.2">
      <c r="A34" s="18" t="s">
        <v>43</v>
      </c>
      <c r="B34" s="18"/>
      <c r="C34" s="39" t="s">
        <v>45</v>
      </c>
      <c r="D34" s="19" t="s">
        <v>44</v>
      </c>
    </row>
    <row r="35" spans="1:4" x14ac:dyDescent="0.2">
      <c r="A35" s="9" t="s">
        <v>70</v>
      </c>
      <c r="C35" s="40">
        <v>12.067399999999999</v>
      </c>
      <c r="D35" s="40">
        <v>12.323600000000001</v>
      </c>
    </row>
    <row r="36" spans="1:4" x14ac:dyDescent="0.2">
      <c r="A36" s="9" t="s">
        <v>1043</v>
      </c>
      <c r="C36" s="40">
        <v>11.2029</v>
      </c>
      <c r="D36" s="40">
        <v>10.5913</v>
      </c>
    </row>
    <row r="37" spans="1:4" x14ac:dyDescent="0.2">
      <c r="A37" s="9" t="s">
        <v>72</v>
      </c>
      <c r="C37" s="40">
        <v>10.5753</v>
      </c>
      <c r="D37" s="40">
        <v>10.4049</v>
      </c>
    </row>
    <row r="38" spans="1:4" x14ac:dyDescent="0.2">
      <c r="A38" s="9" t="s">
        <v>73</v>
      </c>
      <c r="C38" s="40">
        <v>12.1128</v>
      </c>
      <c r="D38" s="40">
        <v>12.382300000000001</v>
      </c>
    </row>
    <row r="39" spans="1:4" x14ac:dyDescent="0.2">
      <c r="A39" s="9" t="s">
        <v>77</v>
      </c>
      <c r="C39" s="40">
        <v>11.2456</v>
      </c>
      <c r="D39" s="40">
        <v>10.6447</v>
      </c>
    </row>
    <row r="40" spans="1:4" x14ac:dyDescent="0.2">
      <c r="A40" s="9" t="s">
        <v>75</v>
      </c>
      <c r="C40" s="40">
        <v>10.618499999999999</v>
      </c>
      <c r="D40" s="40">
        <v>10.46</v>
      </c>
    </row>
    <row r="42" spans="1:4" x14ac:dyDescent="0.2">
      <c r="A42" s="18" t="s">
        <v>47</v>
      </c>
    </row>
    <row r="43" spans="1:4" x14ac:dyDescent="0.2">
      <c r="A43" s="81" t="s">
        <v>67</v>
      </c>
      <c r="B43" s="82"/>
      <c r="C43" s="43" t="s">
        <v>68</v>
      </c>
    </row>
    <row r="44" spans="1:4" x14ac:dyDescent="0.2">
      <c r="A44" s="77" t="s">
        <v>1043</v>
      </c>
      <c r="B44" s="78"/>
      <c r="C44" s="44">
        <v>0.83499999999999996</v>
      </c>
    </row>
    <row r="45" spans="1:4" x14ac:dyDescent="0.2">
      <c r="A45" s="77" t="s">
        <v>72</v>
      </c>
      <c r="B45" s="78"/>
      <c r="C45" s="44">
        <v>0.39</v>
      </c>
    </row>
    <row r="46" spans="1:4" x14ac:dyDescent="0.2">
      <c r="A46" s="77" t="s">
        <v>77</v>
      </c>
      <c r="B46" s="78"/>
      <c r="C46" s="44">
        <v>0.83499999999999996</v>
      </c>
    </row>
    <row r="47" spans="1:4" x14ac:dyDescent="0.2">
      <c r="A47" s="77" t="s">
        <v>75</v>
      </c>
      <c r="B47" s="78"/>
      <c r="C47" s="44">
        <v>0.39</v>
      </c>
    </row>
    <row r="48" spans="1:4" x14ac:dyDescent="0.2">
      <c r="A48" s="9" t="s">
        <v>69</v>
      </c>
    </row>
    <row r="49" spans="1:5" x14ac:dyDescent="0.2">
      <c r="A49" s="9" t="s">
        <v>46</v>
      </c>
    </row>
    <row r="51" spans="1:5" x14ac:dyDescent="0.2">
      <c r="A51" s="18" t="s">
        <v>816</v>
      </c>
      <c r="D51" s="42">
        <v>0.60986441295890403</v>
      </c>
      <c r="E51" s="13" t="s">
        <v>49</v>
      </c>
    </row>
    <row r="53" spans="1:5" x14ac:dyDescent="0.2">
      <c r="A53" s="18" t="s">
        <v>734</v>
      </c>
      <c r="D53" s="41" t="s">
        <v>48</v>
      </c>
    </row>
    <row r="55" spans="1:5" x14ac:dyDescent="0.2">
      <c r="A55" s="18" t="s">
        <v>817</v>
      </c>
    </row>
    <row r="56" spans="1:5" x14ac:dyDescent="0.2">
      <c r="A56" s="50" t="s">
        <v>50</v>
      </c>
    </row>
    <row r="58" spans="1:5" x14ac:dyDescent="0.2">
      <c r="A58" s="50"/>
    </row>
  </sheetData>
  <mergeCells count="6">
    <mergeCell ref="A47:B47"/>
    <mergeCell ref="A1:G1"/>
    <mergeCell ref="A43:B43"/>
    <mergeCell ref="A44:B44"/>
    <mergeCell ref="A45:B45"/>
    <mergeCell ref="A46:B46"/>
  </mergeCells>
  <conditionalFormatting sqref="F2:F3 F5:F65536">
    <cfRule type="cellIs" dxfId="64" priority="1" stopIfTrue="1" operator="between">
      <formula>0.009</formula>
      <formula>-0.009</formula>
    </cfRule>
  </conditionalFormatting>
  <hyperlinks>
    <hyperlink ref="A56" r:id="rId1" tooltip="https://www.franklintempletonindia.com/downloadsServlet/pdf/product-labels-jg9o5k7l" xr:uid="{00000000-0004-0000-0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7"/>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9" t="s">
        <v>1051</v>
      </c>
      <c r="B1" s="80"/>
      <c r="C1" s="80"/>
      <c r="D1" s="80"/>
      <c r="E1" s="80"/>
      <c r="F1" s="80"/>
      <c r="G1" s="8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749</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1052</v>
      </c>
      <c r="B7" s="27" t="s">
        <v>1053</v>
      </c>
      <c r="C7" s="27" t="s">
        <v>34</v>
      </c>
      <c r="D7" s="31">
        <v>23</v>
      </c>
      <c r="E7" s="29">
        <v>300.69832000000002</v>
      </c>
      <c r="F7" s="30">
        <v>12.0316428542898</v>
      </c>
      <c r="G7" s="29">
        <v>4.5349000000000004</v>
      </c>
    </row>
    <row r="8" spans="1:7" x14ac:dyDescent="0.2">
      <c r="A8" s="27" t="s">
        <v>1054</v>
      </c>
      <c r="B8" s="27" t="s">
        <v>1055</v>
      </c>
      <c r="C8" s="27" t="s">
        <v>34</v>
      </c>
      <c r="D8" s="31">
        <v>23</v>
      </c>
      <c r="E8" s="29">
        <v>298.15751</v>
      </c>
      <c r="F8" s="30">
        <v>11.9299791054514</v>
      </c>
      <c r="G8" s="29">
        <v>4.6349999999999998</v>
      </c>
    </row>
    <row r="9" spans="1:7" x14ac:dyDescent="0.2">
      <c r="A9" s="27" t="s">
        <v>1039</v>
      </c>
      <c r="B9" s="27" t="s">
        <v>1040</v>
      </c>
      <c r="C9" s="27" t="s">
        <v>873</v>
      </c>
      <c r="D9" s="31">
        <v>24</v>
      </c>
      <c r="E9" s="29">
        <v>247.18440000000001</v>
      </c>
      <c r="F9" s="30">
        <v>9.8904257927078199</v>
      </c>
      <c r="G9" s="29">
        <v>4.28</v>
      </c>
    </row>
    <row r="10" spans="1:7" x14ac:dyDescent="0.2">
      <c r="A10" s="27" t="s">
        <v>1047</v>
      </c>
      <c r="B10" s="27" t="s">
        <v>1048</v>
      </c>
      <c r="C10" s="27" t="s">
        <v>34</v>
      </c>
      <c r="D10" s="31">
        <v>24</v>
      </c>
      <c r="E10" s="29">
        <v>244.70663999999999</v>
      </c>
      <c r="F10" s="30">
        <v>9.7912848217883806</v>
      </c>
      <c r="G10" s="29">
        <v>3.8450000000000002</v>
      </c>
    </row>
    <row r="11" spans="1:7" x14ac:dyDescent="0.2">
      <c r="A11" s="27" t="s">
        <v>1045</v>
      </c>
      <c r="B11" s="27" t="s">
        <v>1046</v>
      </c>
      <c r="C11" s="27" t="s">
        <v>34</v>
      </c>
      <c r="D11" s="31">
        <v>23</v>
      </c>
      <c r="E11" s="29">
        <v>237.15277</v>
      </c>
      <c r="F11" s="30">
        <v>9.4890368211752296</v>
      </c>
      <c r="G11" s="29">
        <v>4.07</v>
      </c>
    </row>
    <row r="12" spans="1:7" x14ac:dyDescent="0.2">
      <c r="A12" s="27" t="s">
        <v>1049</v>
      </c>
      <c r="B12" s="27" t="s">
        <v>1050</v>
      </c>
      <c r="C12" s="27" t="s">
        <v>992</v>
      </c>
      <c r="D12" s="31">
        <v>18</v>
      </c>
      <c r="E12" s="29">
        <v>232.93620000000001</v>
      </c>
      <c r="F12" s="30">
        <v>9.3203219965958493</v>
      </c>
      <c r="G12" s="29">
        <v>5.0997000000000003</v>
      </c>
    </row>
    <row r="13" spans="1:7" x14ac:dyDescent="0.2">
      <c r="A13" s="27" t="s">
        <v>931</v>
      </c>
      <c r="B13" s="27" t="s">
        <v>932</v>
      </c>
      <c r="C13" s="27" t="s">
        <v>34</v>
      </c>
      <c r="D13" s="31">
        <v>23</v>
      </c>
      <c r="E13" s="29">
        <v>232.04861</v>
      </c>
      <c r="F13" s="30">
        <v>9.2848074453970302</v>
      </c>
      <c r="G13" s="29">
        <v>3.6450999999999998</v>
      </c>
    </row>
    <row r="14" spans="1:7" x14ac:dyDescent="0.2">
      <c r="A14" s="27" t="s">
        <v>903</v>
      </c>
      <c r="B14" s="27" t="s">
        <v>904</v>
      </c>
      <c r="C14" s="27" t="s">
        <v>905</v>
      </c>
      <c r="D14" s="31">
        <v>21</v>
      </c>
      <c r="E14" s="29">
        <v>214.78883999999999</v>
      </c>
      <c r="F14" s="30">
        <v>8.5942036921496392</v>
      </c>
      <c r="G14" s="29">
        <v>5.1448999999999998</v>
      </c>
    </row>
    <row r="15" spans="1:7" x14ac:dyDescent="0.2">
      <c r="A15" s="27" t="s">
        <v>1041</v>
      </c>
      <c r="B15" s="27" t="s">
        <v>1042</v>
      </c>
      <c r="C15" s="27" t="s">
        <v>34</v>
      </c>
      <c r="D15" s="31">
        <v>14</v>
      </c>
      <c r="E15" s="29">
        <v>181.30055999999999</v>
      </c>
      <c r="F15" s="30">
        <v>7.2542593094724896</v>
      </c>
      <c r="G15" s="29">
        <v>5.1497999999999999</v>
      </c>
    </row>
    <row r="16" spans="1:7" x14ac:dyDescent="0.2">
      <c r="A16" s="27" t="s">
        <v>975</v>
      </c>
      <c r="B16" s="27" t="s">
        <v>976</v>
      </c>
      <c r="C16" s="27" t="s">
        <v>34</v>
      </c>
      <c r="D16" s="31">
        <v>11</v>
      </c>
      <c r="E16" s="29">
        <v>112.40492999999999</v>
      </c>
      <c r="F16" s="30">
        <v>4.4975840663873496</v>
      </c>
      <c r="G16" s="29">
        <v>4.1349999999999998</v>
      </c>
    </row>
    <row r="17" spans="1:9" x14ac:dyDescent="0.2">
      <c r="A17" s="27" t="s">
        <v>914</v>
      </c>
      <c r="B17" s="27" t="s">
        <v>915</v>
      </c>
      <c r="C17" s="27" t="s">
        <v>34</v>
      </c>
      <c r="D17" s="31">
        <v>6</v>
      </c>
      <c r="E17" s="29">
        <v>61.681440000000002</v>
      </c>
      <c r="F17" s="30">
        <v>2.4680186334872301</v>
      </c>
      <c r="G17" s="29">
        <v>4.2</v>
      </c>
    </row>
    <row r="18" spans="1:9" x14ac:dyDescent="0.2">
      <c r="A18" s="27" t="s">
        <v>953</v>
      </c>
      <c r="B18" s="27" t="s">
        <v>954</v>
      </c>
      <c r="C18" s="27" t="s">
        <v>34</v>
      </c>
      <c r="D18" s="31">
        <v>3</v>
      </c>
      <c r="E18" s="29">
        <v>30.773399999999999</v>
      </c>
      <c r="F18" s="30">
        <v>1.2313156861408501</v>
      </c>
      <c r="G18" s="29">
        <v>3.9601000000000002</v>
      </c>
    </row>
    <row r="19" spans="1:9" x14ac:dyDescent="0.2">
      <c r="A19" s="27" t="s">
        <v>918</v>
      </c>
      <c r="B19" s="27" t="s">
        <v>919</v>
      </c>
      <c r="C19" s="27" t="s">
        <v>34</v>
      </c>
      <c r="D19" s="31">
        <v>2</v>
      </c>
      <c r="E19" s="29">
        <v>20.491859999999999</v>
      </c>
      <c r="F19" s="30">
        <v>0.81992723118674904</v>
      </c>
      <c r="G19" s="29">
        <v>3.9649999999999999</v>
      </c>
    </row>
    <row r="20" spans="1:9" x14ac:dyDescent="0.2">
      <c r="A20" s="27" t="s">
        <v>1056</v>
      </c>
      <c r="B20" s="27" t="s">
        <v>1057</v>
      </c>
      <c r="C20" s="27" t="s">
        <v>873</v>
      </c>
      <c r="D20" s="31">
        <v>1</v>
      </c>
      <c r="E20" s="29">
        <v>10.440770000000001</v>
      </c>
      <c r="F20" s="30">
        <v>0.417759619554187</v>
      </c>
      <c r="G20" s="29">
        <v>4.7499000000000002</v>
      </c>
    </row>
    <row r="21" spans="1:9" x14ac:dyDescent="0.2">
      <c r="A21" s="26" t="s">
        <v>35</v>
      </c>
      <c r="B21" s="26"/>
      <c r="C21" s="26"/>
      <c r="D21" s="32"/>
      <c r="E21" s="33">
        <f>SUM(E6:E20)</f>
        <v>2424.7662500000001</v>
      </c>
      <c r="F21" s="34">
        <f>SUM(F6:F20)</f>
        <v>97.020567075784015</v>
      </c>
      <c r="G21" s="33"/>
      <c r="H21" s="18"/>
      <c r="I21" s="18"/>
    </row>
    <row r="22" spans="1:9" x14ac:dyDescent="0.2">
      <c r="A22" s="27"/>
      <c r="B22" s="27"/>
      <c r="C22" s="27"/>
      <c r="D22" s="28"/>
      <c r="E22" s="29"/>
      <c r="F22" s="30"/>
      <c r="G22" s="29"/>
    </row>
    <row r="23" spans="1:9" x14ac:dyDescent="0.2">
      <c r="A23" s="26" t="s">
        <v>37</v>
      </c>
      <c r="B23" s="26"/>
      <c r="C23" s="26"/>
      <c r="D23" s="32"/>
      <c r="E23" s="33">
        <f>E21</f>
        <v>2424.7662500000001</v>
      </c>
      <c r="F23" s="34">
        <f>F21</f>
        <v>97.020567075784015</v>
      </c>
      <c r="G23" s="33"/>
      <c r="H23" s="18"/>
      <c r="I23" s="18"/>
    </row>
    <row r="24" spans="1:9" x14ac:dyDescent="0.2">
      <c r="A24" s="26"/>
      <c r="B24" s="26"/>
      <c r="C24" s="26"/>
      <c r="D24" s="32"/>
      <c r="E24" s="33"/>
      <c r="F24" s="34"/>
      <c r="G24" s="33"/>
      <c r="H24" s="18"/>
      <c r="I24" s="18"/>
    </row>
    <row r="25" spans="1:9" x14ac:dyDescent="0.2">
      <c r="A25" s="26" t="s">
        <v>39</v>
      </c>
      <c r="B25" s="26"/>
      <c r="C25" s="26"/>
      <c r="D25" s="32"/>
      <c r="E25" s="33">
        <f>E27-(E21)</f>
        <v>74.462854800000059</v>
      </c>
      <c r="F25" s="34">
        <f>F27-(F21)</f>
        <v>2.9794329242159847</v>
      </c>
      <c r="G25" s="33"/>
      <c r="H25" s="18"/>
      <c r="I25" s="18"/>
    </row>
    <row r="26" spans="1:9" x14ac:dyDescent="0.2">
      <c r="A26" s="26"/>
      <c r="B26" s="26"/>
      <c r="C26" s="26"/>
      <c r="D26" s="32"/>
      <c r="E26" s="33"/>
      <c r="F26" s="34"/>
      <c r="G26" s="33"/>
      <c r="H26" s="18"/>
      <c r="I26" s="18"/>
    </row>
    <row r="27" spans="1:9" x14ac:dyDescent="0.2">
      <c r="A27" s="35" t="s">
        <v>38</v>
      </c>
      <c r="B27" s="35"/>
      <c r="C27" s="35"/>
      <c r="D27" s="36"/>
      <c r="E27" s="37">
        <v>2499.2291048000002</v>
      </c>
      <c r="F27" s="38">
        <v>100</v>
      </c>
      <c r="G27" s="37"/>
      <c r="H27" s="18"/>
      <c r="I27" s="18"/>
    </row>
    <row r="29" spans="1:9" x14ac:dyDescent="0.2">
      <c r="A29" s="18" t="s">
        <v>40</v>
      </c>
    </row>
    <row r="31" spans="1:9" x14ac:dyDescent="0.2">
      <c r="A31" s="18" t="s">
        <v>41</v>
      </c>
    </row>
    <row r="32" spans="1:9" x14ac:dyDescent="0.2">
      <c r="A32" s="18" t="s">
        <v>42</v>
      </c>
    </row>
    <row r="33" spans="1:4" x14ac:dyDescent="0.2">
      <c r="A33" s="18" t="s">
        <v>43</v>
      </c>
      <c r="B33" s="18"/>
      <c r="C33" s="39" t="s">
        <v>45</v>
      </c>
      <c r="D33" s="19" t="s">
        <v>44</v>
      </c>
    </row>
    <row r="34" spans="1:4" x14ac:dyDescent="0.2">
      <c r="A34" s="9" t="s">
        <v>70</v>
      </c>
      <c r="C34" s="40">
        <v>12.137499999999999</v>
      </c>
      <c r="D34" s="40">
        <v>12.400600000000001</v>
      </c>
    </row>
    <row r="35" spans="1:4" x14ac:dyDescent="0.2">
      <c r="A35" s="9" t="s">
        <v>1043</v>
      </c>
      <c r="C35" s="40">
        <v>11.3226</v>
      </c>
      <c r="D35" s="40">
        <v>10.669</v>
      </c>
    </row>
    <row r="36" spans="1:4" x14ac:dyDescent="0.2">
      <c r="A36" s="9" t="s">
        <v>72</v>
      </c>
      <c r="C36" s="40">
        <v>10.646699999999999</v>
      </c>
      <c r="D36" s="40">
        <v>10.491300000000001</v>
      </c>
    </row>
    <row r="37" spans="1:4" x14ac:dyDescent="0.2">
      <c r="A37" s="9" t="s">
        <v>73</v>
      </c>
      <c r="C37" s="40">
        <v>12.1965</v>
      </c>
      <c r="D37" s="40">
        <v>12.4762</v>
      </c>
    </row>
    <row r="38" spans="1:4" x14ac:dyDescent="0.2">
      <c r="A38" s="9" t="s">
        <v>77</v>
      </c>
      <c r="C38" s="40">
        <v>11.379799999999999</v>
      </c>
      <c r="D38" s="40">
        <v>10.7409</v>
      </c>
    </row>
    <row r="39" spans="1:4" x14ac:dyDescent="0.2">
      <c r="A39" s="9" t="s">
        <v>75</v>
      </c>
      <c r="C39" s="40">
        <v>10.7021</v>
      </c>
      <c r="D39" s="40">
        <v>10.561199999999999</v>
      </c>
    </row>
    <row r="41" spans="1:4" x14ac:dyDescent="0.2">
      <c r="A41" s="18" t="s">
        <v>47</v>
      </c>
    </row>
    <row r="42" spans="1:4" x14ac:dyDescent="0.2">
      <c r="A42" s="81" t="s">
        <v>67</v>
      </c>
      <c r="B42" s="82"/>
      <c r="C42" s="43" t="s">
        <v>68</v>
      </c>
    </row>
    <row r="43" spans="1:4" x14ac:dyDescent="0.2">
      <c r="A43" s="77" t="s">
        <v>1043</v>
      </c>
      <c r="B43" s="78"/>
      <c r="C43" s="44">
        <v>0.88</v>
      </c>
    </row>
    <row r="44" spans="1:4" x14ac:dyDescent="0.2">
      <c r="A44" s="77" t="s">
        <v>72</v>
      </c>
      <c r="B44" s="78"/>
      <c r="C44" s="44">
        <v>0.38</v>
      </c>
    </row>
    <row r="45" spans="1:4" x14ac:dyDescent="0.2">
      <c r="A45" s="77" t="s">
        <v>77</v>
      </c>
      <c r="B45" s="78"/>
      <c r="C45" s="44">
        <v>0.88</v>
      </c>
    </row>
    <row r="46" spans="1:4" x14ac:dyDescent="0.2">
      <c r="A46" s="77" t="s">
        <v>75</v>
      </c>
      <c r="B46" s="78"/>
      <c r="C46" s="44">
        <v>0.38</v>
      </c>
    </row>
    <row r="47" spans="1:4" x14ac:dyDescent="0.2">
      <c r="A47" s="9" t="s">
        <v>69</v>
      </c>
    </row>
    <row r="48" spans="1:4" x14ac:dyDescent="0.2">
      <c r="A48" s="9" t="s">
        <v>46</v>
      </c>
    </row>
    <row r="50" spans="1:5" x14ac:dyDescent="0.2">
      <c r="A50" s="18" t="s">
        <v>816</v>
      </c>
      <c r="D50" s="42">
        <v>0.65458569200000005</v>
      </c>
      <c r="E50" s="13" t="s">
        <v>49</v>
      </c>
    </row>
    <row r="52" spans="1:5" x14ac:dyDescent="0.2">
      <c r="A52" s="18" t="s">
        <v>734</v>
      </c>
      <c r="D52" s="41" t="s">
        <v>48</v>
      </c>
    </row>
    <row r="54" spans="1:5" x14ac:dyDescent="0.2">
      <c r="A54" s="18" t="s">
        <v>817</v>
      </c>
    </row>
    <row r="55" spans="1:5" x14ac:dyDescent="0.2">
      <c r="A55" s="50" t="s">
        <v>50</v>
      </c>
    </row>
    <row r="57" spans="1:5" x14ac:dyDescent="0.2">
      <c r="A57" s="50"/>
    </row>
  </sheetData>
  <mergeCells count="6">
    <mergeCell ref="A46:B46"/>
    <mergeCell ref="A1:G1"/>
    <mergeCell ref="A42:B42"/>
    <mergeCell ref="A43:B43"/>
    <mergeCell ref="A44:B44"/>
    <mergeCell ref="A45:B45"/>
  </mergeCells>
  <conditionalFormatting sqref="F2:F3 F5:F65536">
    <cfRule type="cellIs" dxfId="63" priority="1" stopIfTrue="1" operator="between">
      <formula>0.009</formula>
      <formula>-0.009</formula>
    </cfRule>
  </conditionalFormatting>
  <hyperlinks>
    <hyperlink ref="A55" r:id="rId1" tooltip="https://www.franklintempletonindia.com/downloadsServlet/pdf/product-labels-jg9o5k7l" xr:uid="{00000000-0004-0000-0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9" t="s">
        <v>1058</v>
      </c>
      <c r="B1" s="80"/>
      <c r="C1" s="80"/>
      <c r="D1" s="80"/>
      <c r="E1" s="80"/>
      <c r="F1" s="80"/>
      <c r="G1" s="8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749</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1052</v>
      </c>
      <c r="B7" s="27" t="s">
        <v>1053</v>
      </c>
      <c r="C7" s="27" t="s">
        <v>34</v>
      </c>
      <c r="D7" s="31">
        <v>68</v>
      </c>
      <c r="E7" s="29">
        <v>889.02112</v>
      </c>
      <c r="F7" s="30">
        <v>11.9027774454139</v>
      </c>
      <c r="G7" s="29">
        <v>4.5349000000000004</v>
      </c>
    </row>
    <row r="8" spans="1:7" x14ac:dyDescent="0.2">
      <c r="A8" s="27" t="s">
        <v>1039</v>
      </c>
      <c r="B8" s="27" t="s">
        <v>1040</v>
      </c>
      <c r="C8" s="27" t="s">
        <v>873</v>
      </c>
      <c r="D8" s="31">
        <v>71</v>
      </c>
      <c r="E8" s="29">
        <v>731.25385000000006</v>
      </c>
      <c r="F8" s="30">
        <v>9.7904893785336302</v>
      </c>
      <c r="G8" s="29">
        <v>4.28</v>
      </c>
    </row>
    <row r="9" spans="1:7" x14ac:dyDescent="0.2">
      <c r="A9" s="27" t="s">
        <v>1047</v>
      </c>
      <c r="B9" s="27" t="s">
        <v>1048</v>
      </c>
      <c r="C9" s="27" t="s">
        <v>34</v>
      </c>
      <c r="D9" s="31">
        <v>71</v>
      </c>
      <c r="E9" s="29">
        <v>723.92381</v>
      </c>
      <c r="F9" s="30">
        <v>9.6923501635890208</v>
      </c>
      <c r="G9" s="29">
        <v>3.8450000000000002</v>
      </c>
    </row>
    <row r="10" spans="1:7" x14ac:dyDescent="0.2">
      <c r="A10" s="27" t="s">
        <v>1059</v>
      </c>
      <c r="B10" s="27" t="s">
        <v>1060</v>
      </c>
      <c r="C10" s="27" t="s">
        <v>928</v>
      </c>
      <c r="D10" s="31">
        <v>70000</v>
      </c>
      <c r="E10" s="29">
        <v>722.72130000000004</v>
      </c>
      <c r="F10" s="30">
        <v>9.6762501986006892</v>
      </c>
      <c r="G10" s="29">
        <v>4.7649999999999997</v>
      </c>
    </row>
    <row r="11" spans="1:7" x14ac:dyDescent="0.2">
      <c r="A11" s="27" t="s">
        <v>1045</v>
      </c>
      <c r="B11" s="27" t="s">
        <v>1046</v>
      </c>
      <c r="C11" s="27" t="s">
        <v>34</v>
      </c>
      <c r="D11" s="31">
        <v>70</v>
      </c>
      <c r="E11" s="29">
        <v>721.76930000000004</v>
      </c>
      <c r="F11" s="30">
        <v>9.66350422004842</v>
      </c>
      <c r="G11" s="29">
        <v>4.07</v>
      </c>
    </row>
    <row r="12" spans="1:7" x14ac:dyDescent="0.2">
      <c r="A12" s="27" t="s">
        <v>903</v>
      </c>
      <c r="B12" s="27" t="s">
        <v>904</v>
      </c>
      <c r="C12" s="27" t="s">
        <v>905</v>
      </c>
      <c r="D12" s="31">
        <v>70</v>
      </c>
      <c r="E12" s="29">
        <v>715.96280000000002</v>
      </c>
      <c r="F12" s="30">
        <v>9.5857631229226303</v>
      </c>
      <c r="G12" s="29">
        <v>5.1448999999999998</v>
      </c>
    </row>
    <row r="13" spans="1:7" x14ac:dyDescent="0.2">
      <c r="A13" s="27" t="s">
        <v>931</v>
      </c>
      <c r="B13" s="27" t="s">
        <v>932</v>
      </c>
      <c r="C13" s="27" t="s">
        <v>34</v>
      </c>
      <c r="D13" s="31">
        <v>69</v>
      </c>
      <c r="E13" s="29">
        <v>696.14583000000005</v>
      </c>
      <c r="F13" s="30">
        <v>9.3204409857472594</v>
      </c>
      <c r="G13" s="29">
        <v>3.6450999999999998</v>
      </c>
    </row>
    <row r="14" spans="1:7" x14ac:dyDescent="0.2">
      <c r="A14" s="27" t="s">
        <v>973</v>
      </c>
      <c r="B14" s="27" t="s">
        <v>974</v>
      </c>
      <c r="C14" s="27" t="s">
        <v>873</v>
      </c>
      <c r="D14" s="31">
        <v>47</v>
      </c>
      <c r="E14" s="29">
        <v>619.82565999999997</v>
      </c>
      <c r="F14" s="30">
        <v>8.2986182442288605</v>
      </c>
      <c r="G14" s="29">
        <v>4.84</v>
      </c>
    </row>
    <row r="15" spans="1:7" x14ac:dyDescent="0.2">
      <c r="A15" s="27" t="s">
        <v>975</v>
      </c>
      <c r="B15" s="27" t="s">
        <v>976</v>
      </c>
      <c r="C15" s="27" t="s">
        <v>34</v>
      </c>
      <c r="D15" s="31">
        <v>37</v>
      </c>
      <c r="E15" s="29">
        <v>378.08931000000001</v>
      </c>
      <c r="F15" s="30">
        <v>5.06209898750223</v>
      </c>
      <c r="G15" s="29">
        <v>4.1349999999999998</v>
      </c>
    </row>
    <row r="16" spans="1:7" x14ac:dyDescent="0.2">
      <c r="A16" s="27" t="s">
        <v>1056</v>
      </c>
      <c r="B16" s="27" t="s">
        <v>1057</v>
      </c>
      <c r="C16" s="27" t="s">
        <v>873</v>
      </c>
      <c r="D16" s="31">
        <v>31</v>
      </c>
      <c r="E16" s="29">
        <v>323.66386999999997</v>
      </c>
      <c r="F16" s="30">
        <v>4.3334167491222004</v>
      </c>
      <c r="G16" s="29">
        <v>4.7499000000000002</v>
      </c>
    </row>
    <row r="17" spans="1:9" x14ac:dyDescent="0.2">
      <c r="A17" s="27" t="s">
        <v>1049</v>
      </c>
      <c r="B17" s="27" t="s">
        <v>1050</v>
      </c>
      <c r="C17" s="27" t="s">
        <v>992</v>
      </c>
      <c r="D17" s="31">
        <v>20</v>
      </c>
      <c r="E17" s="29">
        <v>258.81799999999998</v>
      </c>
      <c r="F17" s="30">
        <v>3.46521919846756</v>
      </c>
      <c r="G17" s="29">
        <v>5.0997000000000003</v>
      </c>
    </row>
    <row r="18" spans="1:9" x14ac:dyDescent="0.2">
      <c r="A18" s="27" t="s">
        <v>914</v>
      </c>
      <c r="B18" s="27" t="s">
        <v>915</v>
      </c>
      <c r="C18" s="27" t="s">
        <v>34</v>
      </c>
      <c r="D18" s="31">
        <v>22</v>
      </c>
      <c r="E18" s="29">
        <v>226.16528</v>
      </c>
      <c r="F18" s="30">
        <v>3.0280439161217201</v>
      </c>
      <c r="G18" s="29">
        <v>4.2</v>
      </c>
    </row>
    <row r="19" spans="1:9" x14ac:dyDescent="0.2">
      <c r="A19" s="27" t="s">
        <v>1018</v>
      </c>
      <c r="B19" s="27" t="s">
        <v>1019</v>
      </c>
      <c r="C19" s="27" t="s">
        <v>1020</v>
      </c>
      <c r="D19" s="31">
        <v>11</v>
      </c>
      <c r="E19" s="29">
        <v>114.27042</v>
      </c>
      <c r="F19" s="30">
        <v>1.5299247084860801</v>
      </c>
      <c r="G19" s="29">
        <v>3.98</v>
      </c>
    </row>
    <row r="20" spans="1:9" x14ac:dyDescent="0.2">
      <c r="A20" s="27" t="s">
        <v>1037</v>
      </c>
      <c r="B20" s="27" t="s">
        <v>1038</v>
      </c>
      <c r="C20" s="27" t="s">
        <v>34</v>
      </c>
      <c r="D20" s="31">
        <v>2</v>
      </c>
      <c r="E20" s="29">
        <v>25.94426</v>
      </c>
      <c r="F20" s="30">
        <v>0.34735817385975498</v>
      </c>
      <c r="G20" s="29">
        <v>4.5999999999999996</v>
      </c>
    </row>
    <row r="21" spans="1:9" x14ac:dyDescent="0.2">
      <c r="A21" s="27" t="s">
        <v>953</v>
      </c>
      <c r="B21" s="27" t="s">
        <v>954</v>
      </c>
      <c r="C21" s="27" t="s">
        <v>34</v>
      </c>
      <c r="D21" s="31">
        <v>1</v>
      </c>
      <c r="E21" s="29">
        <v>10.2578</v>
      </c>
      <c r="F21" s="30">
        <v>0.13733791890069699</v>
      </c>
      <c r="G21" s="29">
        <v>3.9601000000000002</v>
      </c>
    </row>
    <row r="22" spans="1:9" x14ac:dyDescent="0.2">
      <c r="A22" s="26" t="s">
        <v>35</v>
      </c>
      <c r="B22" s="26"/>
      <c r="C22" s="26"/>
      <c r="D22" s="32"/>
      <c r="E22" s="33">
        <f>SUM(E6:E21)</f>
        <v>7157.8326100000022</v>
      </c>
      <c r="F22" s="34">
        <f>SUM(F6:F21)</f>
        <v>95.833593411544641</v>
      </c>
      <c r="G22" s="33"/>
      <c r="H22" s="18"/>
      <c r="I22" s="18"/>
    </row>
    <row r="23" spans="1:9" x14ac:dyDescent="0.2">
      <c r="A23" s="27"/>
      <c r="B23" s="27"/>
      <c r="C23" s="27"/>
      <c r="D23" s="28"/>
      <c r="E23" s="29"/>
      <c r="F23" s="30"/>
      <c r="G23" s="29"/>
    </row>
    <row r="24" spans="1:9" x14ac:dyDescent="0.2">
      <c r="A24" s="26" t="s">
        <v>37</v>
      </c>
      <c r="B24" s="26"/>
      <c r="C24" s="26"/>
      <c r="D24" s="32"/>
      <c r="E24" s="33">
        <f>E22</f>
        <v>7157.8326100000022</v>
      </c>
      <c r="F24" s="34">
        <f>F22</f>
        <v>95.833593411544641</v>
      </c>
      <c r="G24" s="33"/>
      <c r="H24" s="18"/>
      <c r="I24" s="18"/>
    </row>
    <row r="25" spans="1:9" x14ac:dyDescent="0.2">
      <c r="A25" s="26"/>
      <c r="B25" s="26"/>
      <c r="C25" s="26"/>
      <c r="D25" s="32"/>
      <c r="E25" s="33"/>
      <c r="F25" s="34"/>
      <c r="G25" s="33"/>
      <c r="H25" s="18"/>
      <c r="I25" s="18"/>
    </row>
    <row r="26" spans="1:9" x14ac:dyDescent="0.2">
      <c r="A26" s="26" t="s">
        <v>39</v>
      </c>
      <c r="B26" s="26"/>
      <c r="C26" s="26"/>
      <c r="D26" s="32"/>
      <c r="E26" s="33">
        <f>E28-(E22)</f>
        <v>311.1898435999974</v>
      </c>
      <c r="F26" s="34">
        <f>F28-(F22)</f>
        <v>4.1664065884553594</v>
      </c>
      <c r="G26" s="33"/>
      <c r="H26" s="18"/>
      <c r="I26" s="18"/>
    </row>
    <row r="27" spans="1:9" x14ac:dyDescent="0.2">
      <c r="A27" s="26"/>
      <c r="B27" s="26"/>
      <c r="C27" s="26"/>
      <c r="D27" s="32"/>
      <c r="E27" s="33"/>
      <c r="F27" s="34"/>
      <c r="G27" s="33"/>
      <c r="H27" s="18"/>
      <c r="I27" s="18"/>
    </row>
    <row r="28" spans="1:9" x14ac:dyDescent="0.2">
      <c r="A28" s="35" t="s">
        <v>38</v>
      </c>
      <c r="B28" s="35"/>
      <c r="C28" s="35"/>
      <c r="D28" s="36"/>
      <c r="E28" s="37">
        <v>7469.0224535999996</v>
      </c>
      <c r="F28" s="38">
        <v>100</v>
      </c>
      <c r="G28" s="37"/>
      <c r="H28" s="18"/>
      <c r="I28" s="18"/>
    </row>
    <row r="30" spans="1:9" x14ac:dyDescent="0.2">
      <c r="A30" s="18" t="s">
        <v>40</v>
      </c>
    </row>
    <row r="32" spans="1:9" x14ac:dyDescent="0.2">
      <c r="A32" s="18" t="s">
        <v>41</v>
      </c>
    </row>
    <row r="33" spans="1:4" x14ac:dyDescent="0.2">
      <c r="A33" s="18" t="s">
        <v>42</v>
      </c>
    </row>
    <row r="34" spans="1:4" x14ac:dyDescent="0.2">
      <c r="A34" s="18" t="s">
        <v>43</v>
      </c>
      <c r="B34" s="18"/>
      <c r="C34" s="39" t="s">
        <v>45</v>
      </c>
      <c r="D34" s="19" t="s">
        <v>44</v>
      </c>
    </row>
    <row r="35" spans="1:4" x14ac:dyDescent="0.2">
      <c r="A35" s="9" t="s">
        <v>70</v>
      </c>
      <c r="C35" s="40">
        <v>12.162100000000001</v>
      </c>
      <c r="D35" s="40">
        <v>12.4268</v>
      </c>
    </row>
    <row r="36" spans="1:4" x14ac:dyDescent="0.2">
      <c r="A36" s="9" t="s">
        <v>1043</v>
      </c>
      <c r="C36" s="40">
        <v>11.3156</v>
      </c>
      <c r="D36" s="40">
        <v>10.6729</v>
      </c>
    </row>
    <row r="37" spans="1:4" x14ac:dyDescent="0.2">
      <c r="A37" s="9" t="s">
        <v>72</v>
      </c>
      <c r="C37" s="40">
        <v>10.648400000000001</v>
      </c>
      <c r="D37" s="40">
        <v>10.4991</v>
      </c>
    </row>
    <row r="38" spans="1:4" x14ac:dyDescent="0.2">
      <c r="A38" s="9" t="s">
        <v>73</v>
      </c>
      <c r="C38" s="40">
        <v>12.222300000000001</v>
      </c>
      <c r="D38" s="40">
        <v>12.5038</v>
      </c>
    </row>
    <row r="39" spans="1:4" x14ac:dyDescent="0.2">
      <c r="A39" s="9" t="s">
        <v>77</v>
      </c>
      <c r="C39" s="40">
        <v>11.373799999999999</v>
      </c>
      <c r="D39" s="40">
        <v>10.745900000000001</v>
      </c>
    </row>
    <row r="41" spans="1:4" x14ac:dyDescent="0.2">
      <c r="A41" s="18" t="s">
        <v>47</v>
      </c>
    </row>
    <row r="42" spans="1:4" x14ac:dyDescent="0.2">
      <c r="A42" s="81" t="s">
        <v>67</v>
      </c>
      <c r="B42" s="82"/>
      <c r="C42" s="43" t="s">
        <v>68</v>
      </c>
    </row>
    <row r="43" spans="1:4" x14ac:dyDescent="0.2">
      <c r="A43" s="77" t="s">
        <v>1043</v>
      </c>
      <c r="B43" s="78"/>
      <c r="C43" s="44">
        <v>0.87</v>
      </c>
    </row>
    <row r="44" spans="1:4" x14ac:dyDescent="0.2">
      <c r="A44" s="77" t="s">
        <v>72</v>
      </c>
      <c r="B44" s="78"/>
      <c r="C44" s="44">
        <v>0.375</v>
      </c>
    </row>
    <row r="45" spans="1:4" x14ac:dyDescent="0.2">
      <c r="A45" s="77" t="s">
        <v>77</v>
      </c>
      <c r="B45" s="78"/>
      <c r="C45" s="44">
        <v>0.87</v>
      </c>
    </row>
    <row r="46" spans="1:4" x14ac:dyDescent="0.2">
      <c r="A46" s="9" t="s">
        <v>69</v>
      </c>
    </row>
    <row r="47" spans="1:4" x14ac:dyDescent="0.2">
      <c r="A47" s="9" t="s">
        <v>46</v>
      </c>
    </row>
    <row r="49" spans="1:5" x14ac:dyDescent="0.2">
      <c r="A49" s="18" t="s">
        <v>816</v>
      </c>
      <c r="D49" s="42">
        <v>0.64721107586301396</v>
      </c>
      <c r="E49" s="13" t="s">
        <v>49</v>
      </c>
    </row>
    <row r="51" spans="1:5" x14ac:dyDescent="0.2">
      <c r="A51" s="18" t="s">
        <v>734</v>
      </c>
      <c r="D51" s="41" t="s">
        <v>48</v>
      </c>
    </row>
    <row r="53" spans="1:5" x14ac:dyDescent="0.2">
      <c r="A53" s="18" t="s">
        <v>817</v>
      </c>
    </row>
    <row r="54" spans="1:5" x14ac:dyDescent="0.2">
      <c r="A54" s="50" t="s">
        <v>50</v>
      </c>
    </row>
    <row r="56" spans="1:5" x14ac:dyDescent="0.2">
      <c r="A56" s="50"/>
    </row>
  </sheetData>
  <mergeCells count="5">
    <mergeCell ref="A1:G1"/>
    <mergeCell ref="A42:B42"/>
    <mergeCell ref="A43:B43"/>
    <mergeCell ref="A44:B44"/>
    <mergeCell ref="A45:B45"/>
  </mergeCells>
  <conditionalFormatting sqref="F2:F3 F5:F65536">
    <cfRule type="cellIs" dxfId="62" priority="1" stopIfTrue="1" operator="between">
      <formula>0.009</formula>
      <formula>-0.009</formula>
    </cfRule>
  </conditionalFormatting>
  <hyperlinks>
    <hyperlink ref="A54" r:id="rId1" tooltip="https://www.franklintempletonindia.com/downloadsServlet/pdf/product-labels-jg9o5k7l" xr:uid="{00000000-0004-0000-0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8"/>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9" t="s">
        <v>1061</v>
      </c>
      <c r="B1" s="80"/>
      <c r="C1" s="80"/>
      <c r="D1" s="80"/>
      <c r="E1" s="80"/>
      <c r="F1" s="80"/>
      <c r="G1" s="8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749</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924</v>
      </c>
      <c r="B7" s="27" t="s">
        <v>925</v>
      </c>
      <c r="C7" s="27" t="s">
        <v>34</v>
      </c>
      <c r="D7" s="31">
        <v>37</v>
      </c>
      <c r="E7" s="29">
        <v>477.95785999999998</v>
      </c>
      <c r="F7" s="30">
        <v>12.0095749690401</v>
      </c>
      <c r="G7" s="29">
        <v>4.1763000000000003</v>
      </c>
    </row>
    <row r="8" spans="1:7" x14ac:dyDescent="0.2">
      <c r="A8" s="27" t="s">
        <v>1021</v>
      </c>
      <c r="B8" s="27" t="s">
        <v>1022</v>
      </c>
      <c r="C8" s="27" t="s">
        <v>928</v>
      </c>
      <c r="D8" s="31">
        <v>37</v>
      </c>
      <c r="E8" s="29">
        <v>380.41994</v>
      </c>
      <c r="F8" s="30">
        <v>9.5587543829653701</v>
      </c>
      <c r="G8" s="29">
        <v>4.0701000000000001</v>
      </c>
    </row>
    <row r="9" spans="1:7" x14ac:dyDescent="0.2">
      <c r="A9" s="27" t="s">
        <v>975</v>
      </c>
      <c r="B9" s="27" t="s">
        <v>976</v>
      </c>
      <c r="C9" s="27" t="s">
        <v>34</v>
      </c>
      <c r="D9" s="31">
        <v>37</v>
      </c>
      <c r="E9" s="29">
        <v>378.08931000000001</v>
      </c>
      <c r="F9" s="30">
        <v>9.5001929949172794</v>
      </c>
      <c r="G9" s="29">
        <v>4.1349999999999998</v>
      </c>
    </row>
    <row r="10" spans="1:7" x14ac:dyDescent="0.2">
      <c r="A10" s="27" t="s">
        <v>1056</v>
      </c>
      <c r="B10" s="27" t="s">
        <v>1057</v>
      </c>
      <c r="C10" s="27" t="s">
        <v>873</v>
      </c>
      <c r="D10" s="31">
        <v>36</v>
      </c>
      <c r="E10" s="29">
        <v>375.86772000000002</v>
      </c>
      <c r="F10" s="30">
        <v>9.4443714384824293</v>
      </c>
      <c r="G10" s="29">
        <v>4.7499000000000002</v>
      </c>
    </row>
    <row r="11" spans="1:7" x14ac:dyDescent="0.2">
      <c r="A11" s="27" t="s">
        <v>931</v>
      </c>
      <c r="B11" s="27" t="s">
        <v>932</v>
      </c>
      <c r="C11" s="27" t="s">
        <v>34</v>
      </c>
      <c r="D11" s="31">
        <v>36</v>
      </c>
      <c r="E11" s="29">
        <v>363.20652000000001</v>
      </c>
      <c r="F11" s="30">
        <v>9.1262353781234502</v>
      </c>
      <c r="G11" s="29">
        <v>3.6450999999999998</v>
      </c>
    </row>
    <row r="12" spans="1:7" x14ac:dyDescent="0.2">
      <c r="A12" s="27" t="s">
        <v>903</v>
      </c>
      <c r="B12" s="27" t="s">
        <v>904</v>
      </c>
      <c r="C12" s="27" t="s">
        <v>905</v>
      </c>
      <c r="D12" s="31">
        <v>33</v>
      </c>
      <c r="E12" s="29">
        <v>337.52532000000002</v>
      </c>
      <c r="F12" s="30">
        <v>8.4809477439899403</v>
      </c>
      <c r="G12" s="29">
        <v>5.1448999999999998</v>
      </c>
    </row>
    <row r="13" spans="1:7" x14ac:dyDescent="0.2">
      <c r="A13" s="27" t="s">
        <v>953</v>
      </c>
      <c r="B13" s="27" t="s">
        <v>954</v>
      </c>
      <c r="C13" s="27" t="s">
        <v>34</v>
      </c>
      <c r="D13" s="31">
        <v>27</v>
      </c>
      <c r="E13" s="29">
        <v>276.9606</v>
      </c>
      <c r="F13" s="30">
        <v>6.95914717077848</v>
      </c>
      <c r="G13" s="29">
        <v>3.9601000000000002</v>
      </c>
    </row>
    <row r="14" spans="1:7" x14ac:dyDescent="0.2">
      <c r="A14" s="27" t="s">
        <v>1062</v>
      </c>
      <c r="B14" s="27" t="s">
        <v>1063</v>
      </c>
      <c r="C14" s="27" t="s">
        <v>34</v>
      </c>
      <c r="D14" s="31">
        <v>21</v>
      </c>
      <c r="E14" s="29">
        <v>275.84823</v>
      </c>
      <c r="F14" s="30">
        <v>6.9311968177739098</v>
      </c>
      <c r="G14" s="29">
        <v>5.1497999999999999</v>
      </c>
    </row>
    <row r="15" spans="1:7" x14ac:dyDescent="0.2">
      <c r="A15" s="27" t="s">
        <v>963</v>
      </c>
      <c r="B15" s="27" t="s">
        <v>964</v>
      </c>
      <c r="C15" s="27" t="s">
        <v>928</v>
      </c>
      <c r="D15" s="31">
        <v>20</v>
      </c>
      <c r="E15" s="29">
        <v>205.30959999999999</v>
      </c>
      <c r="F15" s="30">
        <v>5.1587833142102602</v>
      </c>
      <c r="G15" s="29">
        <v>3.9</v>
      </c>
    </row>
    <row r="16" spans="1:7" x14ac:dyDescent="0.2">
      <c r="A16" s="27" t="s">
        <v>973</v>
      </c>
      <c r="B16" s="27" t="s">
        <v>974</v>
      </c>
      <c r="C16" s="27" t="s">
        <v>873</v>
      </c>
      <c r="D16" s="31">
        <v>12</v>
      </c>
      <c r="E16" s="29">
        <v>158.25335999999999</v>
      </c>
      <c r="F16" s="30">
        <v>3.9764082779651302</v>
      </c>
      <c r="G16" s="29">
        <v>4.84</v>
      </c>
    </row>
    <row r="17" spans="1:9" x14ac:dyDescent="0.2">
      <c r="A17" s="27" t="s">
        <v>967</v>
      </c>
      <c r="B17" s="27" t="s">
        <v>968</v>
      </c>
      <c r="C17" s="27" t="s">
        <v>34</v>
      </c>
      <c r="D17" s="31">
        <v>8</v>
      </c>
      <c r="E17" s="29">
        <v>103.70872</v>
      </c>
      <c r="F17" s="30">
        <v>2.6058733457865801</v>
      </c>
      <c r="G17" s="29">
        <v>4.03</v>
      </c>
    </row>
    <row r="18" spans="1:9" x14ac:dyDescent="0.2">
      <c r="A18" s="27" t="s">
        <v>914</v>
      </c>
      <c r="B18" s="27" t="s">
        <v>915</v>
      </c>
      <c r="C18" s="27" t="s">
        <v>34</v>
      </c>
      <c r="D18" s="31">
        <v>10</v>
      </c>
      <c r="E18" s="29">
        <v>102.80240000000001</v>
      </c>
      <c r="F18" s="30">
        <v>2.5831003800152001</v>
      </c>
      <c r="G18" s="29">
        <v>4.2</v>
      </c>
    </row>
    <row r="19" spans="1:9" x14ac:dyDescent="0.2">
      <c r="A19" s="27" t="s">
        <v>1033</v>
      </c>
      <c r="B19" s="27" t="s">
        <v>1034</v>
      </c>
      <c r="C19" s="27" t="s">
        <v>34</v>
      </c>
      <c r="D19" s="31">
        <v>3</v>
      </c>
      <c r="E19" s="29">
        <v>39.550530000000002</v>
      </c>
      <c r="F19" s="30">
        <v>0.99378019455579403</v>
      </c>
      <c r="G19" s="29">
        <v>4.5349000000000004</v>
      </c>
    </row>
    <row r="20" spans="1:9" x14ac:dyDescent="0.2">
      <c r="A20" s="27" t="s">
        <v>1049</v>
      </c>
      <c r="B20" s="27" t="s">
        <v>1050</v>
      </c>
      <c r="C20" s="27" t="s">
        <v>992</v>
      </c>
      <c r="D20" s="31">
        <v>3</v>
      </c>
      <c r="E20" s="29">
        <v>38.822699999999998</v>
      </c>
      <c r="F20" s="30">
        <v>0.97549212005960995</v>
      </c>
      <c r="G20" s="29">
        <v>5.0997000000000003</v>
      </c>
    </row>
    <row r="21" spans="1:9" x14ac:dyDescent="0.2">
      <c r="A21" s="27" t="s">
        <v>1064</v>
      </c>
      <c r="B21" s="27" t="s">
        <v>1065</v>
      </c>
      <c r="C21" s="27" t="s">
        <v>873</v>
      </c>
      <c r="D21" s="31">
        <v>3</v>
      </c>
      <c r="E21" s="29">
        <v>31.192170000000001</v>
      </c>
      <c r="F21" s="30">
        <v>0.783760945080063</v>
      </c>
      <c r="G21" s="29">
        <v>4.6148999999999996</v>
      </c>
    </row>
    <row r="22" spans="1:9" x14ac:dyDescent="0.2">
      <c r="A22" s="27" t="s">
        <v>918</v>
      </c>
      <c r="B22" s="27" t="s">
        <v>919</v>
      </c>
      <c r="C22" s="27" t="s">
        <v>34</v>
      </c>
      <c r="D22" s="31">
        <v>3</v>
      </c>
      <c r="E22" s="29">
        <v>30.73779</v>
      </c>
      <c r="F22" s="30">
        <v>0.77234380743861397</v>
      </c>
      <c r="G22" s="29">
        <v>3.9649999999999999</v>
      </c>
    </row>
    <row r="23" spans="1:9" x14ac:dyDescent="0.2">
      <c r="A23" s="27" t="s">
        <v>1037</v>
      </c>
      <c r="B23" s="27" t="s">
        <v>1038</v>
      </c>
      <c r="C23" s="27" t="s">
        <v>34</v>
      </c>
      <c r="D23" s="31">
        <v>2</v>
      </c>
      <c r="E23" s="29">
        <v>25.94426</v>
      </c>
      <c r="F23" s="30">
        <v>0.65189750302729499</v>
      </c>
      <c r="G23" s="29">
        <v>4.5999999999999996</v>
      </c>
    </row>
    <row r="24" spans="1:9" x14ac:dyDescent="0.2">
      <c r="A24" s="26" t="s">
        <v>35</v>
      </c>
      <c r="B24" s="26"/>
      <c r="C24" s="26"/>
      <c r="D24" s="32"/>
      <c r="E24" s="33">
        <f>SUM(E6:E23)</f>
        <v>3602.1970300000007</v>
      </c>
      <c r="F24" s="34">
        <f>SUM(F6:F23)</f>
        <v>90.511860784209503</v>
      </c>
      <c r="G24" s="33"/>
      <c r="H24" s="18"/>
      <c r="I24" s="18"/>
    </row>
    <row r="25" spans="1:9" x14ac:dyDescent="0.2">
      <c r="A25" s="27"/>
      <c r="B25" s="27"/>
      <c r="C25" s="27"/>
      <c r="D25" s="28"/>
      <c r="E25" s="29"/>
      <c r="F25" s="30"/>
      <c r="G25" s="29"/>
    </row>
    <row r="26" spans="1:9" x14ac:dyDescent="0.2">
      <c r="A26" s="26" t="s">
        <v>37</v>
      </c>
      <c r="B26" s="26"/>
      <c r="C26" s="26"/>
      <c r="D26" s="32"/>
      <c r="E26" s="33">
        <f>E24</f>
        <v>3602.1970300000007</v>
      </c>
      <c r="F26" s="34">
        <f>F24</f>
        <v>90.511860784209503</v>
      </c>
      <c r="G26" s="33"/>
      <c r="H26" s="18"/>
      <c r="I26" s="18"/>
    </row>
    <row r="27" spans="1:9" x14ac:dyDescent="0.2">
      <c r="A27" s="26"/>
      <c r="B27" s="26"/>
      <c r="C27" s="26"/>
      <c r="D27" s="32"/>
      <c r="E27" s="33"/>
      <c r="F27" s="34"/>
      <c r="G27" s="33"/>
      <c r="H27" s="18"/>
      <c r="I27" s="18"/>
    </row>
    <row r="28" spans="1:9" x14ac:dyDescent="0.2">
      <c r="A28" s="26" t="s">
        <v>39</v>
      </c>
      <c r="B28" s="26"/>
      <c r="C28" s="26"/>
      <c r="D28" s="32"/>
      <c r="E28" s="33">
        <f>E30-(E24)</f>
        <v>377.60959289999937</v>
      </c>
      <c r="F28" s="34">
        <f>F30-(F24)</f>
        <v>9.4881392157904969</v>
      </c>
      <c r="G28" s="33"/>
      <c r="H28" s="18"/>
      <c r="I28" s="18"/>
    </row>
    <row r="29" spans="1:9" x14ac:dyDescent="0.2">
      <c r="A29" s="26"/>
      <c r="B29" s="26"/>
      <c r="C29" s="26"/>
      <c r="D29" s="32"/>
      <c r="E29" s="33"/>
      <c r="F29" s="34"/>
      <c r="G29" s="33"/>
      <c r="H29" s="18"/>
      <c r="I29" s="18"/>
    </row>
    <row r="30" spans="1:9" x14ac:dyDescent="0.2">
      <c r="A30" s="35" t="s">
        <v>38</v>
      </c>
      <c r="B30" s="35"/>
      <c r="C30" s="35"/>
      <c r="D30" s="36"/>
      <c r="E30" s="37">
        <v>3979.8066229000001</v>
      </c>
      <c r="F30" s="38">
        <v>100</v>
      </c>
      <c r="G30" s="37"/>
      <c r="H30" s="18"/>
      <c r="I30" s="18"/>
    </row>
    <row r="32" spans="1:9" x14ac:dyDescent="0.2">
      <c r="A32" s="18" t="s">
        <v>40</v>
      </c>
    </row>
    <row r="34" spans="1:4" x14ac:dyDescent="0.2">
      <c r="A34" s="18" t="s">
        <v>41</v>
      </c>
    </row>
    <row r="35" spans="1:4" x14ac:dyDescent="0.2">
      <c r="A35" s="18" t="s">
        <v>42</v>
      </c>
    </row>
    <row r="36" spans="1:4" x14ac:dyDescent="0.2">
      <c r="A36" s="18" t="s">
        <v>43</v>
      </c>
      <c r="B36" s="18"/>
      <c r="C36" s="39" t="s">
        <v>45</v>
      </c>
      <c r="D36" s="19" t="s">
        <v>44</v>
      </c>
    </row>
    <row r="37" spans="1:4" x14ac:dyDescent="0.2">
      <c r="A37" s="9" t="s">
        <v>70</v>
      </c>
      <c r="C37" s="40">
        <v>12.2437</v>
      </c>
      <c r="D37" s="40">
        <v>12.5137</v>
      </c>
    </row>
    <row r="38" spans="1:4" x14ac:dyDescent="0.2">
      <c r="A38" s="9" t="s">
        <v>1043</v>
      </c>
      <c r="C38" s="40">
        <v>10.539199999999999</v>
      </c>
      <c r="D38" s="40">
        <v>10.771699999999999</v>
      </c>
    </row>
    <row r="39" spans="1:4" x14ac:dyDescent="0.2">
      <c r="A39" s="9" t="s">
        <v>72</v>
      </c>
      <c r="C39" s="40">
        <v>10.5238</v>
      </c>
      <c r="D39" s="40">
        <v>10.3825</v>
      </c>
    </row>
    <row r="40" spans="1:4" x14ac:dyDescent="0.2">
      <c r="A40" s="9" t="s">
        <v>73</v>
      </c>
      <c r="C40" s="40">
        <v>12.305999999999999</v>
      </c>
      <c r="D40" s="40">
        <v>12.5931</v>
      </c>
    </row>
    <row r="41" spans="1:4" x14ac:dyDescent="0.2">
      <c r="A41" s="9" t="s">
        <v>77</v>
      </c>
      <c r="C41" s="40">
        <v>10.5997</v>
      </c>
      <c r="D41" s="40">
        <v>10.8469</v>
      </c>
    </row>
    <row r="42" spans="1:4" x14ac:dyDescent="0.2">
      <c r="A42" s="9" t="s">
        <v>75</v>
      </c>
      <c r="C42" s="40">
        <v>10.585800000000001</v>
      </c>
      <c r="D42" s="40">
        <v>10.4604</v>
      </c>
    </row>
    <row r="44" spans="1:4" x14ac:dyDescent="0.2">
      <c r="A44" s="18" t="s">
        <v>47</v>
      </c>
    </row>
    <row r="45" spans="1:4" x14ac:dyDescent="0.2">
      <c r="A45" s="81" t="s">
        <v>67</v>
      </c>
      <c r="B45" s="82"/>
      <c r="C45" s="43" t="s">
        <v>68</v>
      </c>
    </row>
    <row r="46" spans="1:4" x14ac:dyDescent="0.2">
      <c r="A46" s="77" t="s">
        <v>72</v>
      </c>
      <c r="B46" s="78"/>
      <c r="C46" s="44">
        <v>0.37</v>
      </c>
    </row>
    <row r="47" spans="1:4" x14ac:dyDescent="0.2">
      <c r="A47" s="77" t="s">
        <v>75</v>
      </c>
      <c r="B47" s="78"/>
      <c r="C47" s="44">
        <v>0.37</v>
      </c>
    </row>
    <row r="48" spans="1:4" x14ac:dyDescent="0.2">
      <c r="A48" s="9" t="s">
        <v>69</v>
      </c>
    </row>
    <row r="49" spans="1:5" x14ac:dyDescent="0.2">
      <c r="A49" s="9" t="s">
        <v>46</v>
      </c>
    </row>
    <row r="51" spans="1:5" x14ac:dyDescent="0.2">
      <c r="A51" s="18" t="s">
        <v>816</v>
      </c>
      <c r="D51" s="42">
        <v>0.57399637041095897</v>
      </c>
      <c r="E51" s="13" t="s">
        <v>49</v>
      </c>
    </row>
    <row r="53" spans="1:5" x14ac:dyDescent="0.2">
      <c r="A53" s="18" t="s">
        <v>734</v>
      </c>
      <c r="D53" s="41" t="s">
        <v>48</v>
      </c>
    </row>
    <row r="55" spans="1:5" x14ac:dyDescent="0.2">
      <c r="A55" s="18" t="s">
        <v>817</v>
      </c>
    </row>
    <row r="56" spans="1:5" x14ac:dyDescent="0.2">
      <c r="A56" s="50" t="s">
        <v>50</v>
      </c>
    </row>
    <row r="58" spans="1:5" x14ac:dyDescent="0.2">
      <c r="A58" s="50"/>
    </row>
  </sheetData>
  <mergeCells count="4">
    <mergeCell ref="A1:G1"/>
    <mergeCell ref="A45:B45"/>
    <mergeCell ref="A46:B46"/>
    <mergeCell ref="A47:B47"/>
  </mergeCells>
  <conditionalFormatting sqref="F2:F3 F5:F65536">
    <cfRule type="cellIs" dxfId="61" priority="1" stopIfTrue="1" operator="between">
      <formula>0.009</formula>
      <formula>-0.009</formula>
    </cfRule>
  </conditionalFormatting>
  <hyperlinks>
    <hyperlink ref="A56" r:id="rId1" tooltip="https://www.franklintempletonindia.com/downloadsServlet/pdf/product-labels-jg9o5k7l" xr:uid="{00000000-0004-0000-0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55"/>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9" t="s">
        <v>1066</v>
      </c>
      <c r="B1" s="80"/>
      <c r="C1" s="80"/>
      <c r="D1" s="80"/>
      <c r="E1" s="80"/>
      <c r="F1" s="80"/>
      <c r="G1" s="8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749</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924</v>
      </c>
      <c r="B7" s="27" t="s">
        <v>925</v>
      </c>
      <c r="C7" s="27" t="s">
        <v>34</v>
      </c>
      <c r="D7" s="31">
        <v>47</v>
      </c>
      <c r="E7" s="29">
        <v>607.13566000000003</v>
      </c>
      <c r="F7" s="30">
        <v>12.043536345024201</v>
      </c>
      <c r="G7" s="29">
        <v>4.1763000000000003</v>
      </c>
    </row>
    <row r="8" spans="1:7" x14ac:dyDescent="0.2">
      <c r="A8" s="27" t="s">
        <v>973</v>
      </c>
      <c r="B8" s="27" t="s">
        <v>974</v>
      </c>
      <c r="C8" s="27" t="s">
        <v>873</v>
      </c>
      <c r="D8" s="31">
        <v>38</v>
      </c>
      <c r="E8" s="29">
        <v>501.13564000000002</v>
      </c>
      <c r="F8" s="30">
        <v>9.9408512656412604</v>
      </c>
      <c r="G8" s="29">
        <v>4.84</v>
      </c>
    </row>
    <row r="9" spans="1:7" x14ac:dyDescent="0.2">
      <c r="A9" s="27" t="s">
        <v>1021</v>
      </c>
      <c r="B9" s="27" t="s">
        <v>1022</v>
      </c>
      <c r="C9" s="27" t="s">
        <v>928</v>
      </c>
      <c r="D9" s="31">
        <v>47</v>
      </c>
      <c r="E9" s="29">
        <v>483.23613999999998</v>
      </c>
      <c r="F9" s="30">
        <v>9.5857851856686906</v>
      </c>
      <c r="G9" s="29">
        <v>4.0701000000000001</v>
      </c>
    </row>
    <row r="10" spans="1:7" x14ac:dyDescent="0.2">
      <c r="A10" s="27" t="s">
        <v>977</v>
      </c>
      <c r="B10" s="27" t="s">
        <v>978</v>
      </c>
      <c r="C10" s="27" t="s">
        <v>34</v>
      </c>
      <c r="D10" s="31">
        <v>47</v>
      </c>
      <c r="E10" s="29">
        <v>475.51028000000002</v>
      </c>
      <c r="F10" s="30">
        <v>9.4325300207413498</v>
      </c>
      <c r="G10" s="29">
        <v>3.66</v>
      </c>
    </row>
    <row r="11" spans="1:7" x14ac:dyDescent="0.2">
      <c r="A11" s="27" t="s">
        <v>931</v>
      </c>
      <c r="B11" s="27" t="s">
        <v>932</v>
      </c>
      <c r="C11" s="27" t="s">
        <v>34</v>
      </c>
      <c r="D11" s="31">
        <v>46</v>
      </c>
      <c r="E11" s="29">
        <v>464.09721999999999</v>
      </c>
      <c r="F11" s="30">
        <v>9.2061331674945102</v>
      </c>
      <c r="G11" s="29">
        <v>3.6450999999999998</v>
      </c>
    </row>
    <row r="12" spans="1:7" x14ac:dyDescent="0.2">
      <c r="A12" s="27" t="s">
        <v>918</v>
      </c>
      <c r="B12" s="27" t="s">
        <v>919</v>
      </c>
      <c r="C12" s="27" t="s">
        <v>34</v>
      </c>
      <c r="D12" s="31">
        <v>45</v>
      </c>
      <c r="E12" s="29">
        <v>461.06684999999999</v>
      </c>
      <c r="F12" s="30">
        <v>9.1460207846476997</v>
      </c>
      <c r="G12" s="29">
        <v>3.9649999999999999</v>
      </c>
    </row>
    <row r="13" spans="1:7" x14ac:dyDescent="0.2">
      <c r="A13" s="27" t="s">
        <v>1062</v>
      </c>
      <c r="B13" s="27" t="s">
        <v>1063</v>
      </c>
      <c r="C13" s="27" t="s">
        <v>34</v>
      </c>
      <c r="D13" s="31">
        <v>29</v>
      </c>
      <c r="E13" s="29">
        <v>380.93326999999999</v>
      </c>
      <c r="F13" s="30">
        <v>7.55643916925239</v>
      </c>
      <c r="G13" s="29">
        <v>5.1497999999999999</v>
      </c>
    </row>
    <row r="14" spans="1:7" x14ac:dyDescent="0.2">
      <c r="A14" s="27" t="s">
        <v>1067</v>
      </c>
      <c r="B14" s="27" t="s">
        <v>1068</v>
      </c>
      <c r="C14" s="27" t="s">
        <v>34</v>
      </c>
      <c r="D14" s="31">
        <v>35</v>
      </c>
      <c r="E14" s="29">
        <v>364.23099999999999</v>
      </c>
      <c r="F14" s="30">
        <v>7.2251221193044302</v>
      </c>
      <c r="G14" s="29">
        <v>4.7111999999999998</v>
      </c>
    </row>
    <row r="15" spans="1:7" x14ac:dyDescent="0.2">
      <c r="A15" s="27" t="s">
        <v>975</v>
      </c>
      <c r="B15" s="27" t="s">
        <v>976</v>
      </c>
      <c r="C15" s="27" t="s">
        <v>34</v>
      </c>
      <c r="D15" s="31">
        <v>32</v>
      </c>
      <c r="E15" s="29">
        <v>326.99615999999997</v>
      </c>
      <c r="F15" s="30">
        <v>6.4865077067674397</v>
      </c>
      <c r="G15" s="29">
        <v>4.1349999999999998</v>
      </c>
    </row>
    <row r="16" spans="1:7" x14ac:dyDescent="0.2">
      <c r="A16" s="27" t="s">
        <v>953</v>
      </c>
      <c r="B16" s="27" t="s">
        <v>954</v>
      </c>
      <c r="C16" s="27" t="s">
        <v>34</v>
      </c>
      <c r="D16" s="31">
        <v>24</v>
      </c>
      <c r="E16" s="29">
        <v>246.18719999999999</v>
      </c>
      <c r="F16" s="30">
        <v>4.8835288160799699</v>
      </c>
      <c r="G16" s="29">
        <v>3.9601000000000002</v>
      </c>
    </row>
    <row r="17" spans="1:9" x14ac:dyDescent="0.2">
      <c r="A17" s="27" t="s">
        <v>1018</v>
      </c>
      <c r="B17" s="27" t="s">
        <v>1019</v>
      </c>
      <c r="C17" s="27" t="s">
        <v>1020</v>
      </c>
      <c r="D17" s="31">
        <v>22</v>
      </c>
      <c r="E17" s="29">
        <v>228.54084</v>
      </c>
      <c r="F17" s="30">
        <v>4.5334841851693399</v>
      </c>
      <c r="G17" s="29">
        <v>3.98</v>
      </c>
    </row>
    <row r="18" spans="1:9" x14ac:dyDescent="0.2">
      <c r="A18" s="27" t="s">
        <v>914</v>
      </c>
      <c r="B18" s="27" t="s">
        <v>915</v>
      </c>
      <c r="C18" s="27" t="s">
        <v>34</v>
      </c>
      <c r="D18" s="31">
        <v>8</v>
      </c>
      <c r="E18" s="29">
        <v>82.241919999999993</v>
      </c>
      <c r="F18" s="30">
        <v>1.63140401373322</v>
      </c>
      <c r="G18" s="29">
        <v>4.2</v>
      </c>
    </row>
    <row r="19" spans="1:9" x14ac:dyDescent="0.2">
      <c r="A19" s="27" t="s">
        <v>1049</v>
      </c>
      <c r="B19" s="27" t="s">
        <v>1050</v>
      </c>
      <c r="C19" s="27" t="s">
        <v>992</v>
      </c>
      <c r="D19" s="31">
        <v>5</v>
      </c>
      <c r="E19" s="29">
        <v>64.704499999999996</v>
      </c>
      <c r="F19" s="30">
        <v>1.2835203872502201</v>
      </c>
      <c r="G19" s="29">
        <v>5.0997000000000003</v>
      </c>
    </row>
    <row r="20" spans="1:9" x14ac:dyDescent="0.2">
      <c r="A20" s="27" t="s">
        <v>903</v>
      </c>
      <c r="B20" s="27" t="s">
        <v>904</v>
      </c>
      <c r="C20" s="27" t="s">
        <v>905</v>
      </c>
      <c r="D20" s="31">
        <v>6</v>
      </c>
      <c r="E20" s="29">
        <v>61.36824</v>
      </c>
      <c r="F20" s="30">
        <v>1.21734017216212</v>
      </c>
      <c r="G20" s="29">
        <v>5.1448999999999998</v>
      </c>
    </row>
    <row r="21" spans="1:9" x14ac:dyDescent="0.2">
      <c r="A21" s="27" t="s">
        <v>1056</v>
      </c>
      <c r="B21" s="27" t="s">
        <v>1057</v>
      </c>
      <c r="C21" s="27" t="s">
        <v>873</v>
      </c>
      <c r="D21" s="31">
        <v>4</v>
      </c>
      <c r="E21" s="29">
        <v>41.763080000000002</v>
      </c>
      <c r="F21" s="30">
        <v>0.828439515247962</v>
      </c>
      <c r="G21" s="29">
        <v>4.7499000000000002</v>
      </c>
    </row>
    <row r="22" spans="1:9" x14ac:dyDescent="0.2">
      <c r="A22" s="27" t="s">
        <v>1037</v>
      </c>
      <c r="B22" s="27" t="s">
        <v>1038</v>
      </c>
      <c r="C22" s="27" t="s">
        <v>34</v>
      </c>
      <c r="D22" s="31">
        <v>1</v>
      </c>
      <c r="E22" s="29">
        <v>12.97213</v>
      </c>
      <c r="F22" s="30">
        <v>0.25732357596550698</v>
      </c>
      <c r="G22" s="29">
        <v>4.5999999999999996</v>
      </c>
    </row>
    <row r="23" spans="1:9" x14ac:dyDescent="0.2">
      <c r="A23" s="27" t="s">
        <v>906</v>
      </c>
      <c r="B23" s="27" t="s">
        <v>907</v>
      </c>
      <c r="C23" s="27" t="s">
        <v>898</v>
      </c>
      <c r="D23" s="31">
        <v>1</v>
      </c>
      <c r="E23" s="29">
        <v>10.264189999999999</v>
      </c>
      <c r="F23" s="30">
        <v>0.203607123517063</v>
      </c>
      <c r="G23" s="29">
        <v>5.35</v>
      </c>
    </row>
    <row r="24" spans="1:9" x14ac:dyDescent="0.2">
      <c r="A24" s="26" t="s">
        <v>35</v>
      </c>
      <c r="B24" s="26"/>
      <c r="C24" s="26"/>
      <c r="D24" s="32"/>
      <c r="E24" s="33">
        <f>SUM(E6:E23)</f>
        <v>4812.3843200000001</v>
      </c>
      <c r="F24" s="34">
        <f>SUM(F6:F23)</f>
        <v>95.461573553667378</v>
      </c>
      <c r="G24" s="33"/>
      <c r="H24" s="18"/>
      <c r="I24" s="18"/>
    </row>
    <row r="25" spans="1:9" x14ac:dyDescent="0.2">
      <c r="A25" s="27"/>
      <c r="B25" s="27"/>
      <c r="C25" s="27"/>
      <c r="D25" s="28"/>
      <c r="E25" s="29"/>
      <c r="F25" s="30"/>
      <c r="G25" s="29"/>
    </row>
    <row r="26" spans="1:9" x14ac:dyDescent="0.2">
      <c r="A26" s="26" t="s">
        <v>37</v>
      </c>
      <c r="B26" s="26"/>
      <c r="C26" s="26"/>
      <c r="D26" s="32"/>
      <c r="E26" s="33">
        <f>E24</f>
        <v>4812.3843200000001</v>
      </c>
      <c r="F26" s="34">
        <f>F24</f>
        <v>95.461573553667378</v>
      </c>
      <c r="G26" s="33"/>
      <c r="H26" s="18"/>
      <c r="I26" s="18"/>
    </row>
    <row r="27" spans="1:9" x14ac:dyDescent="0.2">
      <c r="A27" s="26"/>
      <c r="B27" s="26"/>
      <c r="C27" s="26"/>
      <c r="D27" s="32"/>
      <c r="E27" s="33"/>
      <c r="F27" s="34"/>
      <c r="G27" s="33"/>
      <c r="H27" s="18"/>
      <c r="I27" s="18"/>
    </row>
    <row r="28" spans="1:9" x14ac:dyDescent="0.2">
      <c r="A28" s="26" t="s">
        <v>39</v>
      </c>
      <c r="B28" s="26"/>
      <c r="C28" s="26"/>
      <c r="D28" s="32"/>
      <c r="E28" s="33">
        <f>E30-(E24)</f>
        <v>228.78998799999954</v>
      </c>
      <c r="F28" s="34">
        <f>F30-(F24)</f>
        <v>4.5384264463326218</v>
      </c>
      <c r="G28" s="33"/>
      <c r="H28" s="18"/>
      <c r="I28" s="18"/>
    </row>
    <row r="29" spans="1:9" x14ac:dyDescent="0.2">
      <c r="A29" s="26"/>
      <c r="B29" s="26"/>
      <c r="C29" s="26"/>
      <c r="D29" s="32"/>
      <c r="E29" s="33"/>
      <c r="F29" s="34"/>
      <c r="G29" s="33"/>
      <c r="H29" s="18"/>
      <c r="I29" s="18"/>
    </row>
    <row r="30" spans="1:9" x14ac:dyDescent="0.2">
      <c r="A30" s="35" t="s">
        <v>38</v>
      </c>
      <c r="B30" s="35"/>
      <c r="C30" s="35"/>
      <c r="D30" s="36"/>
      <c r="E30" s="37">
        <v>5041.1743079999997</v>
      </c>
      <c r="F30" s="38">
        <v>100</v>
      </c>
      <c r="G30" s="37"/>
      <c r="H30" s="18"/>
      <c r="I30" s="18"/>
    </row>
    <row r="32" spans="1:9" x14ac:dyDescent="0.2">
      <c r="A32" s="18" t="s">
        <v>40</v>
      </c>
    </row>
    <row r="34" spans="1:5" x14ac:dyDescent="0.2">
      <c r="A34" s="18" t="s">
        <v>41</v>
      </c>
    </row>
    <row r="35" spans="1:5" x14ac:dyDescent="0.2">
      <c r="A35" s="18" t="s">
        <v>42</v>
      </c>
    </row>
    <row r="36" spans="1:5" x14ac:dyDescent="0.2">
      <c r="A36" s="18" t="s">
        <v>43</v>
      </c>
      <c r="B36" s="18"/>
      <c r="C36" s="39" t="s">
        <v>45</v>
      </c>
      <c r="D36" s="19" t="s">
        <v>44</v>
      </c>
    </row>
    <row r="37" spans="1:5" x14ac:dyDescent="0.2">
      <c r="A37" s="9" t="s">
        <v>70</v>
      </c>
      <c r="C37" s="40">
        <v>12.333</v>
      </c>
      <c r="D37" s="40">
        <v>12.5907</v>
      </c>
    </row>
    <row r="38" spans="1:5" x14ac:dyDescent="0.2">
      <c r="A38" s="9" t="s">
        <v>1043</v>
      </c>
      <c r="C38" s="40">
        <v>10.631600000000001</v>
      </c>
      <c r="D38" s="40">
        <v>10.853300000000001</v>
      </c>
    </row>
    <row r="39" spans="1:5" x14ac:dyDescent="0.2">
      <c r="A39" s="9" t="s">
        <v>72</v>
      </c>
      <c r="C39" s="40">
        <v>10.6187</v>
      </c>
      <c r="D39" s="40">
        <v>10.436400000000001</v>
      </c>
    </row>
    <row r="40" spans="1:5" x14ac:dyDescent="0.2">
      <c r="A40" s="9" t="s">
        <v>73</v>
      </c>
      <c r="C40" s="40">
        <v>12.4101</v>
      </c>
      <c r="D40" s="40">
        <v>12.6884</v>
      </c>
    </row>
    <row r="42" spans="1:5" x14ac:dyDescent="0.2">
      <c r="A42" s="18" t="s">
        <v>47</v>
      </c>
    </row>
    <row r="43" spans="1:5" x14ac:dyDescent="0.2">
      <c r="A43" s="81" t="s">
        <v>67</v>
      </c>
      <c r="B43" s="82"/>
      <c r="C43" s="43" t="s">
        <v>68</v>
      </c>
    </row>
    <row r="44" spans="1:5" x14ac:dyDescent="0.2">
      <c r="A44" s="77" t="s">
        <v>72</v>
      </c>
      <c r="B44" s="78"/>
      <c r="C44" s="44">
        <v>0.4</v>
      </c>
    </row>
    <row r="45" spans="1:5" x14ac:dyDescent="0.2">
      <c r="A45" s="9" t="s">
        <v>69</v>
      </c>
    </row>
    <row r="46" spans="1:5" x14ac:dyDescent="0.2">
      <c r="A46" s="9" t="s">
        <v>46</v>
      </c>
    </row>
    <row r="48" spans="1:5" x14ac:dyDescent="0.2">
      <c r="A48" s="18" t="s">
        <v>816</v>
      </c>
      <c r="D48" s="42">
        <v>0.60332203416438301</v>
      </c>
      <c r="E48" s="13" t="s">
        <v>49</v>
      </c>
    </row>
    <row r="50" spans="1:4" x14ac:dyDescent="0.2">
      <c r="A50" s="18" t="s">
        <v>734</v>
      </c>
      <c r="D50" s="41" t="s">
        <v>48</v>
      </c>
    </row>
    <row r="52" spans="1:4" x14ac:dyDescent="0.2">
      <c r="A52" s="18" t="s">
        <v>817</v>
      </c>
    </row>
    <row r="53" spans="1:4" x14ac:dyDescent="0.2">
      <c r="A53" s="50" t="s">
        <v>50</v>
      </c>
    </row>
    <row r="55" spans="1:4" x14ac:dyDescent="0.2">
      <c r="A55" s="50"/>
    </row>
  </sheetData>
  <mergeCells count="3">
    <mergeCell ref="A1:G1"/>
    <mergeCell ref="A43:B43"/>
    <mergeCell ref="A44:B44"/>
  </mergeCells>
  <conditionalFormatting sqref="F2:F3 F5:F65536">
    <cfRule type="cellIs" dxfId="60" priority="1" stopIfTrue="1" operator="between">
      <formula>0.009</formula>
      <formula>-0.009</formula>
    </cfRule>
  </conditionalFormatting>
  <hyperlinks>
    <hyperlink ref="A53" r:id="rId1" tooltip="https://www.franklintempletonindia.com/downloadsServlet/pdf/product-labels-jg9o5k7l" xr:uid="{00000000-0004-0000-0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52"/>
  <sheetViews>
    <sheetView workbookViewId="0">
      <selection sqref="A1:G1"/>
    </sheetView>
  </sheetViews>
  <sheetFormatPr defaultColWidth="9.109375" defaultRowHeight="10.199999999999999" x14ac:dyDescent="0.2"/>
  <cols>
    <col min="1" max="1" width="38.6640625" style="9" bestFit="1" customWidth="1"/>
    <col min="2" max="2" width="53.8867187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9" t="s">
        <v>1069</v>
      </c>
      <c r="B1" s="80"/>
      <c r="C1" s="80"/>
      <c r="D1" s="80"/>
      <c r="E1" s="80"/>
      <c r="F1" s="80"/>
      <c r="G1" s="8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749</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973</v>
      </c>
      <c r="B7" s="27" t="s">
        <v>974</v>
      </c>
      <c r="C7" s="27" t="s">
        <v>873</v>
      </c>
      <c r="D7" s="31">
        <v>26</v>
      </c>
      <c r="E7" s="29">
        <v>342.88227999999998</v>
      </c>
      <c r="F7" s="30">
        <v>12.0349523440553</v>
      </c>
      <c r="G7" s="29">
        <v>4.84</v>
      </c>
    </row>
    <row r="8" spans="1:7" x14ac:dyDescent="0.2">
      <c r="A8" s="27" t="s">
        <v>977</v>
      </c>
      <c r="B8" s="27" t="s">
        <v>978</v>
      </c>
      <c r="C8" s="27" t="s">
        <v>34</v>
      </c>
      <c r="D8" s="31">
        <v>28</v>
      </c>
      <c r="E8" s="29">
        <v>283.28271999999998</v>
      </c>
      <c r="F8" s="30">
        <v>9.9430452780888992</v>
      </c>
      <c r="G8" s="29">
        <v>3.66</v>
      </c>
    </row>
    <row r="9" spans="1:7" x14ac:dyDescent="0.2">
      <c r="A9" s="27" t="s">
        <v>1021</v>
      </c>
      <c r="B9" s="27" t="s">
        <v>1022</v>
      </c>
      <c r="C9" s="27" t="s">
        <v>928</v>
      </c>
      <c r="D9" s="31">
        <v>27</v>
      </c>
      <c r="E9" s="29">
        <v>277.60374000000002</v>
      </c>
      <c r="F9" s="30">
        <v>9.7437166523493506</v>
      </c>
      <c r="G9" s="29">
        <v>4.0701000000000001</v>
      </c>
    </row>
    <row r="10" spans="1:7" x14ac:dyDescent="0.2">
      <c r="A10" s="27" t="s">
        <v>1064</v>
      </c>
      <c r="B10" s="27" t="s">
        <v>1065</v>
      </c>
      <c r="C10" s="27" t="s">
        <v>873</v>
      </c>
      <c r="D10" s="31">
        <v>26</v>
      </c>
      <c r="E10" s="29">
        <v>270.33213999999998</v>
      </c>
      <c r="F10" s="30">
        <v>9.4884880664188298</v>
      </c>
      <c r="G10" s="29">
        <v>4.6148999999999996</v>
      </c>
    </row>
    <row r="11" spans="1:7" x14ac:dyDescent="0.2">
      <c r="A11" s="27" t="s">
        <v>963</v>
      </c>
      <c r="B11" s="27" t="s">
        <v>964</v>
      </c>
      <c r="C11" s="27" t="s">
        <v>928</v>
      </c>
      <c r="D11" s="31">
        <v>26</v>
      </c>
      <c r="E11" s="29">
        <v>266.90248000000003</v>
      </c>
      <c r="F11" s="30">
        <v>9.3681091577849092</v>
      </c>
      <c r="G11" s="29">
        <v>3.9</v>
      </c>
    </row>
    <row r="12" spans="1:7" x14ac:dyDescent="0.2">
      <c r="A12" s="27" t="s">
        <v>953</v>
      </c>
      <c r="B12" s="27" t="s">
        <v>954</v>
      </c>
      <c r="C12" s="27" t="s">
        <v>34</v>
      </c>
      <c r="D12" s="31">
        <v>26</v>
      </c>
      <c r="E12" s="29">
        <v>266.70280000000002</v>
      </c>
      <c r="F12" s="30">
        <v>9.3611005153900297</v>
      </c>
      <c r="G12" s="29">
        <v>3.9601000000000002</v>
      </c>
    </row>
    <row r="13" spans="1:7" x14ac:dyDescent="0.2">
      <c r="A13" s="27" t="s">
        <v>931</v>
      </c>
      <c r="B13" s="27" t="s">
        <v>932</v>
      </c>
      <c r="C13" s="27" t="s">
        <v>34</v>
      </c>
      <c r="D13" s="31">
        <v>26</v>
      </c>
      <c r="E13" s="29">
        <v>262.31581999999997</v>
      </c>
      <c r="F13" s="30">
        <v>9.2071202769410707</v>
      </c>
      <c r="G13" s="29">
        <v>3.6450999999999998</v>
      </c>
    </row>
    <row r="14" spans="1:7" x14ac:dyDescent="0.2">
      <c r="A14" s="27" t="s">
        <v>906</v>
      </c>
      <c r="B14" s="27" t="s">
        <v>907</v>
      </c>
      <c r="C14" s="27" t="s">
        <v>898</v>
      </c>
      <c r="D14" s="31">
        <v>24</v>
      </c>
      <c r="E14" s="29">
        <v>246.34056000000001</v>
      </c>
      <c r="F14" s="30">
        <v>8.6463986998916695</v>
      </c>
      <c r="G14" s="29">
        <v>5.35</v>
      </c>
    </row>
    <row r="15" spans="1:7" x14ac:dyDescent="0.2">
      <c r="A15" s="27" t="s">
        <v>975</v>
      </c>
      <c r="B15" s="27" t="s">
        <v>976</v>
      </c>
      <c r="C15" s="27" t="s">
        <v>34</v>
      </c>
      <c r="D15" s="31">
        <v>16</v>
      </c>
      <c r="E15" s="29">
        <v>163.49807999999999</v>
      </c>
      <c r="F15" s="30">
        <v>5.7386797624669903</v>
      </c>
      <c r="G15" s="29">
        <v>4.1349999999999998</v>
      </c>
    </row>
    <row r="16" spans="1:7" x14ac:dyDescent="0.2">
      <c r="A16" s="27" t="s">
        <v>1062</v>
      </c>
      <c r="B16" s="27" t="s">
        <v>1063</v>
      </c>
      <c r="C16" s="27" t="s">
        <v>34</v>
      </c>
      <c r="D16" s="31">
        <v>10</v>
      </c>
      <c r="E16" s="29">
        <v>131.3563</v>
      </c>
      <c r="F16" s="30">
        <v>4.6105235026768598</v>
      </c>
      <c r="G16" s="29">
        <v>5.1497999999999999</v>
      </c>
    </row>
    <row r="17" spans="1:9" x14ac:dyDescent="0.2">
      <c r="A17" s="27" t="s">
        <v>1047</v>
      </c>
      <c r="B17" s="27" t="s">
        <v>1048</v>
      </c>
      <c r="C17" s="27" t="s">
        <v>34</v>
      </c>
      <c r="D17" s="31">
        <v>12</v>
      </c>
      <c r="E17" s="29">
        <v>122.35332</v>
      </c>
      <c r="F17" s="30">
        <v>4.2945245678398596</v>
      </c>
      <c r="G17" s="29">
        <v>3.8450000000000002</v>
      </c>
    </row>
    <row r="18" spans="1:9" x14ac:dyDescent="0.2">
      <c r="A18" s="27" t="s">
        <v>1037</v>
      </c>
      <c r="B18" s="27" t="s">
        <v>1038</v>
      </c>
      <c r="C18" s="27" t="s">
        <v>34</v>
      </c>
      <c r="D18" s="31">
        <v>2</v>
      </c>
      <c r="E18" s="29">
        <v>25.94426</v>
      </c>
      <c r="F18" s="30">
        <v>0.91062720622885396</v>
      </c>
      <c r="G18" s="29">
        <v>4.5999999999999996</v>
      </c>
    </row>
    <row r="19" spans="1:9" x14ac:dyDescent="0.2">
      <c r="A19" s="27" t="s">
        <v>1056</v>
      </c>
      <c r="B19" s="27" t="s">
        <v>1057</v>
      </c>
      <c r="C19" s="27" t="s">
        <v>873</v>
      </c>
      <c r="D19" s="31">
        <v>2</v>
      </c>
      <c r="E19" s="29">
        <v>20.881540000000001</v>
      </c>
      <c r="F19" s="30">
        <v>0.73292891884201194</v>
      </c>
      <c r="G19" s="29">
        <v>4.7499000000000002</v>
      </c>
    </row>
    <row r="20" spans="1:9" x14ac:dyDescent="0.2">
      <c r="A20" s="26" t="s">
        <v>35</v>
      </c>
      <c r="B20" s="26"/>
      <c r="C20" s="26"/>
      <c r="D20" s="32"/>
      <c r="E20" s="33">
        <f>SUM(E6:E19)</f>
        <v>2680.3960400000001</v>
      </c>
      <c r="F20" s="34">
        <f>SUM(F6:F19)</f>
        <v>94.080214948974628</v>
      </c>
      <c r="G20" s="33"/>
      <c r="H20" s="18"/>
      <c r="I20" s="18"/>
    </row>
    <row r="21" spans="1:9" x14ac:dyDescent="0.2">
      <c r="A21" s="27"/>
      <c r="B21" s="27"/>
      <c r="C21" s="27"/>
      <c r="D21" s="28"/>
      <c r="E21" s="29"/>
      <c r="F21" s="30"/>
      <c r="G21" s="29"/>
    </row>
    <row r="22" spans="1:9" x14ac:dyDescent="0.2">
      <c r="A22" s="26" t="s">
        <v>37</v>
      </c>
      <c r="B22" s="26"/>
      <c r="C22" s="26"/>
      <c r="D22" s="32"/>
      <c r="E22" s="33">
        <f>E20</f>
        <v>2680.3960400000001</v>
      </c>
      <c r="F22" s="34">
        <f>F20</f>
        <v>94.080214948974628</v>
      </c>
      <c r="G22" s="33"/>
      <c r="H22" s="18"/>
      <c r="I22" s="18"/>
    </row>
    <row r="23" spans="1:9" x14ac:dyDescent="0.2">
      <c r="A23" s="26"/>
      <c r="B23" s="26"/>
      <c r="C23" s="26"/>
      <c r="D23" s="32"/>
      <c r="E23" s="33"/>
      <c r="F23" s="34"/>
      <c r="G23" s="33"/>
      <c r="H23" s="18"/>
      <c r="I23" s="18"/>
    </row>
    <row r="24" spans="1:9" x14ac:dyDescent="0.2">
      <c r="A24" s="26" t="s">
        <v>39</v>
      </c>
      <c r="B24" s="26"/>
      <c r="C24" s="26"/>
      <c r="D24" s="32"/>
      <c r="E24" s="33">
        <f>E26-(E20)</f>
        <v>168.65786729999991</v>
      </c>
      <c r="F24" s="34">
        <f>F26-(F20)</f>
        <v>5.9197850510253716</v>
      </c>
      <c r="G24" s="33"/>
      <c r="H24" s="18"/>
      <c r="I24" s="18"/>
    </row>
    <row r="25" spans="1:9" x14ac:dyDescent="0.2">
      <c r="A25" s="26"/>
      <c r="B25" s="26"/>
      <c r="C25" s="26"/>
      <c r="D25" s="32"/>
      <c r="E25" s="33"/>
      <c r="F25" s="34"/>
      <c r="G25" s="33"/>
      <c r="H25" s="18"/>
      <c r="I25" s="18"/>
    </row>
    <row r="26" spans="1:9" x14ac:dyDescent="0.2">
      <c r="A26" s="35" t="s">
        <v>38</v>
      </c>
      <c r="B26" s="35"/>
      <c r="C26" s="35"/>
      <c r="D26" s="36"/>
      <c r="E26" s="37">
        <v>2849.0539073</v>
      </c>
      <c r="F26" s="38">
        <v>100</v>
      </c>
      <c r="G26" s="37"/>
      <c r="H26" s="18"/>
      <c r="I26" s="18"/>
    </row>
    <row r="28" spans="1:9" x14ac:dyDescent="0.2">
      <c r="A28" s="18" t="s">
        <v>40</v>
      </c>
    </row>
    <row r="30" spans="1:9" x14ac:dyDescent="0.2">
      <c r="A30" s="18" t="s">
        <v>41</v>
      </c>
    </row>
    <row r="31" spans="1:9" x14ac:dyDescent="0.2">
      <c r="A31" s="18" t="s">
        <v>42</v>
      </c>
    </row>
    <row r="32" spans="1:9" x14ac:dyDescent="0.2">
      <c r="A32" s="18" t="s">
        <v>43</v>
      </c>
      <c r="B32" s="18"/>
      <c r="C32" s="39" t="s">
        <v>45</v>
      </c>
      <c r="D32" s="19" t="s">
        <v>44</v>
      </c>
    </row>
    <row r="33" spans="1:5" x14ac:dyDescent="0.2">
      <c r="A33" s="9" t="s">
        <v>70</v>
      </c>
      <c r="C33" s="40">
        <v>12.476699999999999</v>
      </c>
      <c r="D33" s="40">
        <v>12.756500000000001</v>
      </c>
    </row>
    <row r="34" spans="1:5" x14ac:dyDescent="0.2">
      <c r="A34" s="9" t="s">
        <v>1043</v>
      </c>
      <c r="C34" s="40">
        <v>10.667199999999999</v>
      </c>
      <c r="D34" s="40">
        <v>10.908200000000001</v>
      </c>
    </row>
    <row r="35" spans="1:5" x14ac:dyDescent="0.2">
      <c r="A35" s="9" t="s">
        <v>72</v>
      </c>
      <c r="C35" s="40">
        <v>10.6495</v>
      </c>
      <c r="D35" s="40">
        <v>10.5023</v>
      </c>
    </row>
    <row r="36" spans="1:5" x14ac:dyDescent="0.2">
      <c r="A36" s="9" t="s">
        <v>73</v>
      </c>
      <c r="C36" s="40">
        <v>12.558199999999999</v>
      </c>
      <c r="D36" s="40">
        <v>12.8589</v>
      </c>
    </row>
    <row r="37" spans="1:5" x14ac:dyDescent="0.2">
      <c r="A37" s="9" t="s">
        <v>77</v>
      </c>
      <c r="C37" s="40">
        <v>10.7403</v>
      </c>
      <c r="D37" s="40">
        <v>10.997199999999999</v>
      </c>
    </row>
    <row r="38" spans="1:5" x14ac:dyDescent="0.2">
      <c r="A38" s="9" t="s">
        <v>75</v>
      </c>
      <c r="C38" s="40">
        <v>10.725300000000001</v>
      </c>
      <c r="D38" s="40">
        <v>10.595700000000001</v>
      </c>
    </row>
    <row r="40" spans="1:5" x14ac:dyDescent="0.2">
      <c r="A40" s="18" t="s">
        <v>47</v>
      </c>
    </row>
    <row r="41" spans="1:5" x14ac:dyDescent="0.2">
      <c r="A41" s="81" t="s">
        <v>67</v>
      </c>
      <c r="B41" s="82"/>
      <c r="C41" s="43" t="s">
        <v>68</v>
      </c>
    </row>
    <row r="42" spans="1:5" x14ac:dyDescent="0.2">
      <c r="A42" s="77" t="s">
        <v>72</v>
      </c>
      <c r="B42" s="78"/>
      <c r="C42" s="44">
        <v>0.38</v>
      </c>
    </row>
    <row r="43" spans="1:5" x14ac:dyDescent="0.2">
      <c r="A43" s="77" t="s">
        <v>75</v>
      </c>
      <c r="B43" s="78"/>
      <c r="C43" s="44">
        <v>0.38</v>
      </c>
    </row>
    <row r="44" spans="1:5" x14ac:dyDescent="0.2">
      <c r="A44" s="9" t="s">
        <v>69</v>
      </c>
    </row>
    <row r="45" spans="1:5" x14ac:dyDescent="0.2">
      <c r="A45" s="9" t="s">
        <v>46</v>
      </c>
    </row>
    <row r="47" spans="1:5" x14ac:dyDescent="0.2">
      <c r="A47" s="18" t="s">
        <v>816</v>
      </c>
      <c r="D47" s="42">
        <v>0.56689428616438398</v>
      </c>
      <c r="E47" s="13" t="s">
        <v>49</v>
      </c>
    </row>
    <row r="49" spans="1:4" x14ac:dyDescent="0.2">
      <c r="A49" s="18" t="s">
        <v>734</v>
      </c>
      <c r="D49" s="41" t="s">
        <v>48</v>
      </c>
    </row>
    <row r="51" spans="1:4" x14ac:dyDescent="0.2">
      <c r="A51" s="18" t="s">
        <v>817</v>
      </c>
    </row>
    <row r="52" spans="1:4" x14ac:dyDescent="0.2">
      <c r="A52" s="50" t="s">
        <v>50</v>
      </c>
    </row>
  </sheetData>
  <mergeCells count="4">
    <mergeCell ref="A1:G1"/>
    <mergeCell ref="A41:B41"/>
    <mergeCell ref="A42:B42"/>
    <mergeCell ref="A43:B43"/>
  </mergeCells>
  <conditionalFormatting sqref="F2:F3 F5:F65535">
    <cfRule type="cellIs" dxfId="59" priority="1" stopIfTrue="1" operator="between">
      <formula>0.009</formula>
      <formula>-0.009</formula>
    </cfRule>
  </conditionalFormatting>
  <hyperlinks>
    <hyperlink ref="A52" r:id="rId1" tooltip="https://www.franklintempletonindia.com/downloadsServlet/pdf/product-labels-jg9o5k7l" xr:uid="{00000000-0004-0000-0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60"/>
  <sheetViews>
    <sheetView workbookViewId="0">
      <selection sqref="A1:G1"/>
    </sheetView>
  </sheetViews>
  <sheetFormatPr defaultColWidth="9.109375" defaultRowHeight="10.199999999999999" x14ac:dyDescent="0.2"/>
  <cols>
    <col min="1" max="1" width="38.6640625" style="9" bestFit="1" customWidth="1"/>
    <col min="2" max="2" width="53.8867187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9" t="s">
        <v>1070</v>
      </c>
      <c r="B1" s="80"/>
      <c r="C1" s="80"/>
      <c r="D1" s="80"/>
      <c r="E1" s="80"/>
      <c r="F1" s="80"/>
      <c r="G1" s="8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749</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973</v>
      </c>
      <c r="B7" s="27" t="s">
        <v>974</v>
      </c>
      <c r="C7" s="27" t="s">
        <v>873</v>
      </c>
      <c r="D7" s="31">
        <v>50</v>
      </c>
      <c r="E7" s="29">
        <v>659.38900000000001</v>
      </c>
      <c r="F7" s="30">
        <v>12.1120878091631</v>
      </c>
      <c r="G7" s="29">
        <v>4.84</v>
      </c>
    </row>
    <row r="8" spans="1:7" x14ac:dyDescent="0.2">
      <c r="A8" s="27" t="s">
        <v>1021</v>
      </c>
      <c r="B8" s="27" t="s">
        <v>1022</v>
      </c>
      <c r="C8" s="27" t="s">
        <v>928</v>
      </c>
      <c r="D8" s="31">
        <v>50</v>
      </c>
      <c r="E8" s="29">
        <v>514.08100000000002</v>
      </c>
      <c r="F8" s="30">
        <v>9.4429755622590008</v>
      </c>
      <c r="G8" s="29">
        <v>4.0701000000000001</v>
      </c>
    </row>
    <row r="9" spans="1:7" x14ac:dyDescent="0.2">
      <c r="A9" s="27" t="s">
        <v>1071</v>
      </c>
      <c r="B9" s="27" t="s">
        <v>1072</v>
      </c>
      <c r="C9" s="27" t="s">
        <v>34</v>
      </c>
      <c r="D9" s="31">
        <v>50</v>
      </c>
      <c r="E9" s="29">
        <v>513.02650000000006</v>
      </c>
      <c r="F9" s="30">
        <v>9.4236058175487205</v>
      </c>
      <c r="G9" s="29">
        <v>4.1761999999999997</v>
      </c>
    </row>
    <row r="10" spans="1:7" x14ac:dyDescent="0.2">
      <c r="A10" s="27" t="s">
        <v>953</v>
      </c>
      <c r="B10" s="27" t="s">
        <v>954</v>
      </c>
      <c r="C10" s="27" t="s">
        <v>34</v>
      </c>
      <c r="D10" s="31">
        <v>50</v>
      </c>
      <c r="E10" s="29">
        <v>512.89</v>
      </c>
      <c r="F10" s="30">
        <v>9.4210984963984608</v>
      </c>
      <c r="G10" s="29">
        <v>3.9601000000000002</v>
      </c>
    </row>
    <row r="11" spans="1:7" x14ac:dyDescent="0.2">
      <c r="A11" s="27" t="s">
        <v>1073</v>
      </c>
      <c r="B11" s="27" t="s">
        <v>1074</v>
      </c>
      <c r="C11" s="27" t="s">
        <v>34</v>
      </c>
      <c r="D11" s="31">
        <v>50</v>
      </c>
      <c r="E11" s="29">
        <v>507.67450000000002</v>
      </c>
      <c r="F11" s="30">
        <v>9.3252967860746701</v>
      </c>
      <c r="G11" s="29">
        <v>3.8449</v>
      </c>
    </row>
    <row r="12" spans="1:7" x14ac:dyDescent="0.2">
      <c r="A12" s="27" t="s">
        <v>1018</v>
      </c>
      <c r="B12" s="27" t="s">
        <v>1019</v>
      </c>
      <c r="C12" s="27" t="s">
        <v>1020</v>
      </c>
      <c r="D12" s="31">
        <v>48</v>
      </c>
      <c r="E12" s="29">
        <v>498.63456000000002</v>
      </c>
      <c r="F12" s="30">
        <v>9.15924526402992</v>
      </c>
      <c r="G12" s="29">
        <v>3.98</v>
      </c>
    </row>
    <row r="13" spans="1:7" x14ac:dyDescent="0.2">
      <c r="A13" s="27" t="s">
        <v>931</v>
      </c>
      <c r="B13" s="27" t="s">
        <v>932</v>
      </c>
      <c r="C13" s="27" t="s">
        <v>34</v>
      </c>
      <c r="D13" s="31">
        <v>49</v>
      </c>
      <c r="E13" s="29">
        <v>494.36443000000003</v>
      </c>
      <c r="F13" s="30">
        <v>9.0808087273019193</v>
      </c>
      <c r="G13" s="29">
        <v>3.6450999999999998</v>
      </c>
    </row>
    <row r="14" spans="1:7" x14ac:dyDescent="0.2">
      <c r="A14" s="27" t="s">
        <v>975</v>
      </c>
      <c r="B14" s="27" t="s">
        <v>976</v>
      </c>
      <c r="C14" s="27" t="s">
        <v>34</v>
      </c>
      <c r="D14" s="31">
        <v>37</v>
      </c>
      <c r="E14" s="29">
        <v>378.08931000000001</v>
      </c>
      <c r="F14" s="30">
        <v>6.9449913820611302</v>
      </c>
      <c r="G14" s="29">
        <v>4.1349999999999998</v>
      </c>
    </row>
    <row r="15" spans="1:7" x14ac:dyDescent="0.2">
      <c r="A15" s="27" t="s">
        <v>963</v>
      </c>
      <c r="B15" s="27" t="s">
        <v>964</v>
      </c>
      <c r="C15" s="27" t="s">
        <v>928</v>
      </c>
      <c r="D15" s="31">
        <v>20</v>
      </c>
      <c r="E15" s="29">
        <v>205.30959999999999</v>
      </c>
      <c r="F15" s="30">
        <v>3.7712608236779199</v>
      </c>
      <c r="G15" s="29">
        <v>3.9</v>
      </c>
    </row>
    <row r="16" spans="1:7" x14ac:dyDescent="0.2">
      <c r="A16" s="27" t="s">
        <v>1064</v>
      </c>
      <c r="B16" s="27" t="s">
        <v>1065</v>
      </c>
      <c r="C16" s="27" t="s">
        <v>873</v>
      </c>
      <c r="D16" s="31">
        <v>15</v>
      </c>
      <c r="E16" s="29">
        <v>155.96084999999999</v>
      </c>
      <c r="F16" s="30">
        <v>2.8647907532453898</v>
      </c>
      <c r="G16" s="29">
        <v>4.6148999999999996</v>
      </c>
    </row>
    <row r="17" spans="1:9" x14ac:dyDescent="0.2">
      <c r="A17" s="27" t="s">
        <v>1056</v>
      </c>
      <c r="B17" s="27" t="s">
        <v>1057</v>
      </c>
      <c r="C17" s="27" t="s">
        <v>873</v>
      </c>
      <c r="D17" s="31">
        <v>6</v>
      </c>
      <c r="E17" s="29">
        <v>62.644620000000003</v>
      </c>
      <c r="F17" s="30">
        <v>1.1506972943310501</v>
      </c>
      <c r="G17" s="29">
        <v>4.7499000000000002</v>
      </c>
    </row>
    <row r="18" spans="1:9" x14ac:dyDescent="0.2">
      <c r="A18" s="27" t="s">
        <v>1047</v>
      </c>
      <c r="B18" s="27" t="s">
        <v>1048</v>
      </c>
      <c r="C18" s="27" t="s">
        <v>34</v>
      </c>
      <c r="D18" s="31">
        <v>4</v>
      </c>
      <c r="E18" s="29">
        <v>40.784439999999996</v>
      </c>
      <c r="F18" s="30">
        <v>0.74915523086910096</v>
      </c>
      <c r="G18" s="29">
        <v>3.8450000000000002</v>
      </c>
    </row>
    <row r="19" spans="1:9" x14ac:dyDescent="0.2">
      <c r="A19" s="27" t="s">
        <v>1033</v>
      </c>
      <c r="B19" s="27" t="s">
        <v>1034</v>
      </c>
      <c r="C19" s="27" t="s">
        <v>34</v>
      </c>
      <c r="D19" s="31">
        <v>3</v>
      </c>
      <c r="E19" s="29">
        <v>39.550530000000002</v>
      </c>
      <c r="F19" s="30">
        <v>0.72648996610337901</v>
      </c>
      <c r="G19" s="29">
        <v>4.5349000000000004</v>
      </c>
    </row>
    <row r="20" spans="1:9" x14ac:dyDescent="0.2">
      <c r="A20" s="27" t="s">
        <v>1037</v>
      </c>
      <c r="B20" s="27" t="s">
        <v>1038</v>
      </c>
      <c r="C20" s="27" t="s">
        <v>34</v>
      </c>
      <c r="D20" s="31">
        <v>3</v>
      </c>
      <c r="E20" s="29">
        <v>38.91639</v>
      </c>
      <c r="F20" s="30">
        <v>0.71484166841672903</v>
      </c>
      <c r="G20" s="29">
        <v>4.5999999999999996</v>
      </c>
    </row>
    <row r="21" spans="1:9" x14ac:dyDescent="0.2">
      <c r="A21" s="27" t="s">
        <v>1049</v>
      </c>
      <c r="B21" s="27" t="s">
        <v>1050</v>
      </c>
      <c r="C21" s="27" t="s">
        <v>992</v>
      </c>
      <c r="D21" s="31">
        <v>3</v>
      </c>
      <c r="E21" s="29">
        <v>38.822699999999998</v>
      </c>
      <c r="F21" s="30">
        <v>0.71312070930633997</v>
      </c>
      <c r="G21" s="29">
        <v>5.0997000000000003</v>
      </c>
    </row>
    <row r="22" spans="1:9" x14ac:dyDescent="0.2">
      <c r="A22" s="27" t="s">
        <v>957</v>
      </c>
      <c r="B22" s="27" t="s">
        <v>958</v>
      </c>
      <c r="C22" s="27" t="s">
        <v>928</v>
      </c>
      <c r="D22" s="31">
        <v>2</v>
      </c>
      <c r="E22" s="29">
        <v>20.063600000000001</v>
      </c>
      <c r="F22" s="30">
        <v>0.36854130864774098</v>
      </c>
      <c r="G22" s="29">
        <v>3.585</v>
      </c>
    </row>
    <row r="23" spans="1:9" x14ac:dyDescent="0.2">
      <c r="A23" s="27" t="s">
        <v>903</v>
      </c>
      <c r="B23" s="27" t="s">
        <v>904</v>
      </c>
      <c r="C23" s="27" t="s">
        <v>905</v>
      </c>
      <c r="D23" s="31">
        <v>1</v>
      </c>
      <c r="E23" s="29">
        <v>10.22804</v>
      </c>
      <c r="F23" s="30">
        <v>0.187875318811252</v>
      </c>
      <c r="G23" s="29">
        <v>5.1448999999999998</v>
      </c>
    </row>
    <row r="24" spans="1:9" x14ac:dyDescent="0.2">
      <c r="A24" s="26" t="s">
        <v>35</v>
      </c>
      <c r="B24" s="26"/>
      <c r="C24" s="26"/>
      <c r="D24" s="32"/>
      <c r="E24" s="33">
        <f>SUM(E6:E23)</f>
        <v>4690.4300700000013</v>
      </c>
      <c r="F24" s="34">
        <f>SUM(F6:F23)</f>
        <v>86.156882918245813</v>
      </c>
      <c r="G24" s="33"/>
      <c r="H24" s="18"/>
      <c r="I24" s="18"/>
    </row>
    <row r="25" spans="1:9" x14ac:dyDescent="0.2">
      <c r="A25" s="27"/>
      <c r="B25" s="27"/>
      <c r="C25" s="27"/>
      <c r="D25" s="28"/>
      <c r="E25" s="29"/>
      <c r="F25" s="30"/>
      <c r="G25" s="29"/>
    </row>
    <row r="26" spans="1:9" x14ac:dyDescent="0.2">
      <c r="A26" s="26" t="s">
        <v>1075</v>
      </c>
      <c r="B26" s="27"/>
      <c r="C26" s="27"/>
      <c r="D26" s="28"/>
      <c r="E26" s="29"/>
      <c r="F26" s="30"/>
      <c r="G26" s="29"/>
    </row>
    <row r="27" spans="1:9" x14ac:dyDescent="0.2">
      <c r="A27" s="27" t="s">
        <v>1076</v>
      </c>
      <c r="B27" s="27" t="s">
        <v>1077</v>
      </c>
      <c r="C27" s="27" t="s">
        <v>34</v>
      </c>
      <c r="D27" s="31">
        <v>50</v>
      </c>
      <c r="E27" s="29">
        <v>512.35400000000004</v>
      </c>
      <c r="F27" s="30">
        <v>9.4112528983285593</v>
      </c>
      <c r="G27" s="29">
        <v>4.66</v>
      </c>
    </row>
    <row r="28" spans="1:9" x14ac:dyDescent="0.2">
      <c r="A28" s="26" t="s">
        <v>35</v>
      </c>
      <c r="B28" s="26"/>
      <c r="C28" s="26"/>
      <c r="D28" s="32"/>
      <c r="E28" s="33">
        <f>SUM(E26:E27)</f>
        <v>512.35400000000004</v>
      </c>
      <c r="F28" s="34">
        <f>SUM(F26:F27)</f>
        <v>9.4112528983285593</v>
      </c>
      <c r="G28" s="33"/>
      <c r="H28" s="18"/>
      <c r="I28" s="18"/>
    </row>
    <row r="29" spans="1:9" x14ac:dyDescent="0.2">
      <c r="A29" s="27"/>
      <c r="B29" s="27"/>
      <c r="C29" s="27"/>
      <c r="D29" s="28"/>
      <c r="E29" s="29"/>
      <c r="F29" s="30"/>
      <c r="G29" s="29"/>
    </row>
    <row r="30" spans="1:9" x14ac:dyDescent="0.2">
      <c r="A30" s="26" t="s">
        <v>37</v>
      </c>
      <c r="B30" s="26"/>
      <c r="C30" s="26"/>
      <c r="D30" s="32"/>
      <c r="E30" s="33">
        <f>E24+E28</f>
        <v>5202.7840700000015</v>
      </c>
      <c r="F30" s="34">
        <f>F24+F28</f>
        <v>95.568135816574369</v>
      </c>
      <c r="G30" s="33"/>
      <c r="H30" s="18"/>
      <c r="I30" s="18"/>
    </row>
    <row r="31" spans="1:9" x14ac:dyDescent="0.2">
      <c r="A31" s="26"/>
      <c r="B31" s="26"/>
      <c r="C31" s="26"/>
      <c r="D31" s="32"/>
      <c r="E31" s="33"/>
      <c r="F31" s="34"/>
      <c r="G31" s="33"/>
      <c r="H31" s="18"/>
      <c r="I31" s="18"/>
    </row>
    <row r="32" spans="1:9" x14ac:dyDescent="0.2">
      <c r="A32" s="26" t="s">
        <v>39</v>
      </c>
      <c r="B32" s="26"/>
      <c r="C32" s="26"/>
      <c r="D32" s="32"/>
      <c r="E32" s="33">
        <f>E34-(E24+E28)</f>
        <v>241.27322539999841</v>
      </c>
      <c r="F32" s="34">
        <f>F34-(F24+F28)</f>
        <v>4.4318641834256312</v>
      </c>
      <c r="G32" s="33"/>
      <c r="H32" s="18"/>
      <c r="I32" s="18"/>
    </row>
    <row r="33" spans="1:9" x14ac:dyDescent="0.2">
      <c r="A33" s="26"/>
      <c r="B33" s="26"/>
      <c r="C33" s="26"/>
      <c r="D33" s="32"/>
      <c r="E33" s="33"/>
      <c r="F33" s="34"/>
      <c r="G33" s="33"/>
      <c r="H33" s="18"/>
      <c r="I33" s="18"/>
    </row>
    <row r="34" spans="1:9" x14ac:dyDescent="0.2">
      <c r="A34" s="35" t="s">
        <v>38</v>
      </c>
      <c r="B34" s="35"/>
      <c r="C34" s="35"/>
      <c r="D34" s="36"/>
      <c r="E34" s="37">
        <v>5444.0572953999999</v>
      </c>
      <c r="F34" s="38">
        <v>100</v>
      </c>
      <c r="G34" s="37"/>
      <c r="H34" s="18"/>
      <c r="I34" s="18"/>
    </row>
    <row r="36" spans="1:9" x14ac:dyDescent="0.2">
      <c r="A36" s="18" t="s">
        <v>40</v>
      </c>
    </row>
    <row r="38" spans="1:9" x14ac:dyDescent="0.2">
      <c r="A38" s="18" t="s">
        <v>41</v>
      </c>
    </row>
    <row r="39" spans="1:9" x14ac:dyDescent="0.2">
      <c r="A39" s="18" t="s">
        <v>42</v>
      </c>
    </row>
    <row r="40" spans="1:9" x14ac:dyDescent="0.2">
      <c r="A40" s="18" t="s">
        <v>43</v>
      </c>
      <c r="B40" s="18"/>
      <c r="C40" s="39" t="s">
        <v>45</v>
      </c>
      <c r="D40" s="19" t="s">
        <v>44</v>
      </c>
    </row>
    <row r="41" spans="1:9" x14ac:dyDescent="0.2">
      <c r="A41" s="9" t="s">
        <v>70</v>
      </c>
      <c r="C41" s="40">
        <v>12.4687</v>
      </c>
      <c r="D41" s="40">
        <v>12.740600000000001</v>
      </c>
    </row>
    <row r="42" spans="1:9" x14ac:dyDescent="0.2">
      <c r="A42" s="9" t="s">
        <v>1043</v>
      </c>
      <c r="C42" s="40">
        <v>10.7225</v>
      </c>
      <c r="D42" s="40">
        <v>10.958500000000001</v>
      </c>
    </row>
    <row r="43" spans="1:9" x14ac:dyDescent="0.2">
      <c r="A43" s="9" t="s">
        <v>72</v>
      </c>
      <c r="C43" s="40">
        <v>10.700799999999999</v>
      </c>
      <c r="D43" s="40">
        <v>10.5297</v>
      </c>
    </row>
    <row r="44" spans="1:9" x14ac:dyDescent="0.2">
      <c r="A44" s="9" t="s">
        <v>73</v>
      </c>
      <c r="C44" s="40">
        <v>12.6005</v>
      </c>
      <c r="D44" s="40">
        <v>12.875299999999999</v>
      </c>
    </row>
    <row r="45" spans="1:9" x14ac:dyDescent="0.2">
      <c r="A45" s="9" t="s">
        <v>77</v>
      </c>
      <c r="C45" s="40">
        <v>10.737299999999999</v>
      </c>
      <c r="D45" s="40">
        <v>10.971399999999999</v>
      </c>
    </row>
    <row r="46" spans="1:9" x14ac:dyDescent="0.2">
      <c r="A46" s="9" t="s">
        <v>75</v>
      </c>
      <c r="C46" s="40">
        <v>10.7277</v>
      </c>
      <c r="D46" s="40">
        <v>10.5563</v>
      </c>
    </row>
    <row r="48" spans="1:9" x14ac:dyDescent="0.2">
      <c r="A48" s="18" t="s">
        <v>47</v>
      </c>
    </row>
    <row r="49" spans="1:5" x14ac:dyDescent="0.2">
      <c r="A49" s="81" t="s">
        <v>67</v>
      </c>
      <c r="B49" s="82"/>
      <c r="C49" s="43" t="s">
        <v>68</v>
      </c>
    </row>
    <row r="50" spans="1:5" x14ac:dyDescent="0.2">
      <c r="A50" s="77" t="s">
        <v>72</v>
      </c>
      <c r="B50" s="78"/>
      <c r="C50" s="44">
        <v>0.4</v>
      </c>
    </row>
    <row r="51" spans="1:5" x14ac:dyDescent="0.2">
      <c r="A51" s="77" t="s">
        <v>75</v>
      </c>
      <c r="B51" s="78"/>
      <c r="C51" s="44">
        <v>0.4</v>
      </c>
    </row>
    <row r="52" spans="1:5" x14ac:dyDescent="0.2">
      <c r="A52" s="9" t="s">
        <v>69</v>
      </c>
    </row>
    <row r="53" spans="1:5" x14ac:dyDescent="0.2">
      <c r="A53" s="9" t="s">
        <v>46</v>
      </c>
    </row>
    <row r="55" spans="1:5" x14ac:dyDescent="0.2">
      <c r="A55" s="18" t="s">
        <v>816</v>
      </c>
      <c r="D55" s="42">
        <v>0.59294495139726</v>
      </c>
      <c r="E55" s="13" t="s">
        <v>49</v>
      </c>
    </row>
    <row r="57" spans="1:5" x14ac:dyDescent="0.2">
      <c r="A57" s="18" t="s">
        <v>734</v>
      </c>
      <c r="D57" s="41" t="s">
        <v>48</v>
      </c>
    </row>
    <row r="59" spans="1:5" x14ac:dyDescent="0.2">
      <c r="A59" s="18" t="s">
        <v>817</v>
      </c>
    </row>
    <row r="60" spans="1:5" x14ac:dyDescent="0.2">
      <c r="A60" s="50" t="s">
        <v>50</v>
      </c>
    </row>
  </sheetData>
  <mergeCells count="4">
    <mergeCell ref="A1:G1"/>
    <mergeCell ref="A49:B49"/>
    <mergeCell ref="A50:B50"/>
    <mergeCell ref="A51:B51"/>
  </mergeCells>
  <conditionalFormatting sqref="F2:F3 F5:F65535">
    <cfRule type="cellIs" dxfId="58" priority="1" stopIfTrue="1" operator="between">
      <formula>0.009</formula>
      <formula>-0.009</formula>
    </cfRule>
  </conditionalFormatting>
  <hyperlinks>
    <hyperlink ref="A60" r:id="rId1" tooltip="https://www.franklintempletonindia.com/downloadsServlet/pdf/product-labels-jg9o5k7l" xr:uid="{00000000-0004-0000-0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56"/>
  <sheetViews>
    <sheetView workbookViewId="0">
      <selection sqref="A1:G1"/>
    </sheetView>
  </sheetViews>
  <sheetFormatPr defaultColWidth="9.109375" defaultRowHeight="10.199999999999999" x14ac:dyDescent="0.2"/>
  <cols>
    <col min="1" max="1" width="38.6640625" style="9" bestFit="1" customWidth="1"/>
    <col min="2" max="2" width="54.3320312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9" t="s">
        <v>1078</v>
      </c>
      <c r="B1" s="80"/>
      <c r="C1" s="80"/>
      <c r="D1" s="80"/>
      <c r="E1" s="80"/>
      <c r="F1" s="80"/>
      <c r="G1" s="80"/>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749</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969</v>
      </c>
      <c r="B7" s="27" t="s">
        <v>970</v>
      </c>
      <c r="C7" s="27" t="s">
        <v>928</v>
      </c>
      <c r="D7" s="31">
        <v>31</v>
      </c>
      <c r="E7" s="29">
        <v>313.02280999999999</v>
      </c>
      <c r="F7" s="30">
        <v>9.4535069076321907</v>
      </c>
      <c r="G7" s="29">
        <v>3.3948</v>
      </c>
    </row>
    <row r="8" spans="1:9" x14ac:dyDescent="0.2">
      <c r="A8" s="27" t="s">
        <v>965</v>
      </c>
      <c r="B8" s="27" t="s">
        <v>966</v>
      </c>
      <c r="C8" s="27" t="s">
        <v>34</v>
      </c>
      <c r="D8" s="31">
        <v>31</v>
      </c>
      <c r="E8" s="29">
        <v>311.48365999999999</v>
      </c>
      <c r="F8" s="30">
        <v>9.4070235054900806</v>
      </c>
      <c r="G8" s="29">
        <v>3.4601999999999999</v>
      </c>
    </row>
    <row r="9" spans="1:9" x14ac:dyDescent="0.2">
      <c r="A9" s="27" t="s">
        <v>931</v>
      </c>
      <c r="B9" s="27" t="s">
        <v>932</v>
      </c>
      <c r="C9" s="27" t="s">
        <v>34</v>
      </c>
      <c r="D9" s="31">
        <v>30</v>
      </c>
      <c r="E9" s="29">
        <v>302.6721</v>
      </c>
      <c r="F9" s="30">
        <v>9.1409082555279006</v>
      </c>
      <c r="G9" s="29">
        <v>3.6450999999999998</v>
      </c>
    </row>
    <row r="10" spans="1:9" x14ac:dyDescent="0.2">
      <c r="A10" s="27" t="s">
        <v>1079</v>
      </c>
      <c r="B10" s="27" t="s">
        <v>1080</v>
      </c>
      <c r="C10" s="27" t="s">
        <v>928</v>
      </c>
      <c r="D10" s="31">
        <v>26</v>
      </c>
      <c r="E10" s="29">
        <v>262.00616000000002</v>
      </c>
      <c r="F10" s="30">
        <v>7.91276854042101</v>
      </c>
      <c r="G10" s="29">
        <v>3.9049999999999998</v>
      </c>
    </row>
    <row r="11" spans="1:9" x14ac:dyDescent="0.2">
      <c r="A11" s="27" t="s">
        <v>1081</v>
      </c>
      <c r="B11" s="27" t="s">
        <v>1082</v>
      </c>
      <c r="C11" s="27" t="s">
        <v>34</v>
      </c>
      <c r="D11" s="31">
        <v>22</v>
      </c>
      <c r="E11" s="29">
        <v>220.19206</v>
      </c>
      <c r="F11" s="30">
        <v>6.6499535935280898</v>
      </c>
      <c r="G11" s="29">
        <v>3.4807999999999999</v>
      </c>
    </row>
    <row r="12" spans="1:9" x14ac:dyDescent="0.2">
      <c r="A12" s="27" t="s">
        <v>1083</v>
      </c>
      <c r="B12" s="27" t="s">
        <v>1084</v>
      </c>
      <c r="C12" s="27" t="s">
        <v>34</v>
      </c>
      <c r="D12" s="31">
        <v>20</v>
      </c>
      <c r="E12" s="29">
        <v>198.804</v>
      </c>
      <c r="F12" s="30">
        <v>6.0040192830193702</v>
      </c>
      <c r="G12" s="29">
        <v>3.6</v>
      </c>
    </row>
    <row r="13" spans="1:9" x14ac:dyDescent="0.2">
      <c r="A13" s="27" t="s">
        <v>1085</v>
      </c>
      <c r="B13" s="27" t="s">
        <v>1086</v>
      </c>
      <c r="C13" s="27" t="s">
        <v>928</v>
      </c>
      <c r="D13" s="31">
        <v>19</v>
      </c>
      <c r="E13" s="29">
        <v>190.98002</v>
      </c>
      <c r="F13" s="30">
        <v>5.76772963698631</v>
      </c>
      <c r="G13" s="29">
        <v>3.4199000000000002</v>
      </c>
    </row>
    <row r="14" spans="1:9" x14ac:dyDescent="0.2">
      <c r="A14" s="27" t="s">
        <v>1087</v>
      </c>
      <c r="B14" s="27" t="s">
        <v>1088</v>
      </c>
      <c r="C14" s="27" t="s">
        <v>34</v>
      </c>
      <c r="D14" s="31">
        <v>19</v>
      </c>
      <c r="E14" s="29">
        <v>190.79761999999999</v>
      </c>
      <c r="F14" s="30">
        <v>5.7622210299300001</v>
      </c>
      <c r="G14" s="29">
        <v>3.4496000000000002</v>
      </c>
    </row>
    <row r="15" spans="1:9" x14ac:dyDescent="0.2">
      <c r="A15" s="27" t="s">
        <v>1089</v>
      </c>
      <c r="B15" s="27" t="s">
        <v>1090</v>
      </c>
      <c r="C15" s="27" t="s">
        <v>992</v>
      </c>
      <c r="D15" s="31">
        <v>7</v>
      </c>
      <c r="E15" s="29">
        <v>89.800129999999996</v>
      </c>
      <c r="F15" s="30">
        <v>2.7120264790328501</v>
      </c>
      <c r="G15" s="29">
        <v>3.7847</v>
      </c>
    </row>
    <row r="16" spans="1:9" x14ac:dyDescent="0.2">
      <c r="A16" s="26" t="s">
        <v>35</v>
      </c>
      <c r="B16" s="26"/>
      <c r="C16" s="26"/>
      <c r="D16" s="32"/>
      <c r="E16" s="33">
        <f>SUM(E6:E15)</f>
        <v>2079.7585600000002</v>
      </c>
      <c r="F16" s="34">
        <f>SUM(F6:F15)</f>
        <v>62.810157231567793</v>
      </c>
      <c r="G16" s="33"/>
      <c r="H16" s="18"/>
      <c r="I16" s="18"/>
    </row>
    <row r="17" spans="1:9" x14ac:dyDescent="0.2">
      <c r="A17" s="27"/>
      <c r="B17" s="27"/>
      <c r="C17" s="27"/>
      <c r="D17" s="28"/>
      <c r="E17" s="29"/>
      <c r="F17" s="30"/>
      <c r="G17" s="29"/>
    </row>
    <row r="18" spans="1:9" x14ac:dyDescent="0.2">
      <c r="A18" s="26" t="s">
        <v>1075</v>
      </c>
      <c r="B18" s="27"/>
      <c r="C18" s="27"/>
      <c r="D18" s="28"/>
      <c r="E18" s="29"/>
      <c r="F18" s="30"/>
      <c r="G18" s="29"/>
    </row>
    <row r="19" spans="1:9" x14ac:dyDescent="0.2">
      <c r="A19" s="27" t="s">
        <v>1091</v>
      </c>
      <c r="B19" s="27" t="s">
        <v>1092</v>
      </c>
      <c r="C19" s="27" t="s">
        <v>34</v>
      </c>
      <c r="D19" s="31">
        <v>3</v>
      </c>
      <c r="E19" s="29">
        <v>30.197369999999999</v>
      </c>
      <c r="F19" s="30">
        <v>0.91198160890359703</v>
      </c>
      <c r="G19" s="29">
        <v>4.0750000000000002</v>
      </c>
    </row>
    <row r="20" spans="1:9" x14ac:dyDescent="0.2">
      <c r="A20" s="26" t="s">
        <v>35</v>
      </c>
      <c r="B20" s="26"/>
      <c r="C20" s="26"/>
      <c r="D20" s="32"/>
      <c r="E20" s="33">
        <f>SUM(E18:E19)</f>
        <v>30.197369999999999</v>
      </c>
      <c r="F20" s="34">
        <f>SUM(F18:F19)</f>
        <v>0.91198160890359703</v>
      </c>
      <c r="G20" s="33"/>
      <c r="H20" s="18"/>
      <c r="I20" s="18"/>
    </row>
    <row r="21" spans="1:9" x14ac:dyDescent="0.2">
      <c r="A21" s="27"/>
      <c r="B21" s="27"/>
      <c r="C21" s="27"/>
      <c r="D21" s="28"/>
      <c r="E21" s="29"/>
      <c r="F21" s="30"/>
      <c r="G21" s="29"/>
    </row>
    <row r="22" spans="1:9" x14ac:dyDescent="0.2">
      <c r="A22" s="26" t="s">
        <v>51</v>
      </c>
      <c r="B22" s="27"/>
      <c r="C22" s="27"/>
      <c r="D22" s="28"/>
      <c r="E22" s="29"/>
      <c r="F22" s="30"/>
      <c r="G22" s="29"/>
    </row>
    <row r="23" spans="1:9" x14ac:dyDescent="0.2">
      <c r="A23" s="26" t="s">
        <v>61</v>
      </c>
      <c r="B23" s="27"/>
      <c r="C23" s="27"/>
      <c r="D23" s="28"/>
      <c r="E23" s="29"/>
      <c r="F23" s="30"/>
      <c r="G23" s="29"/>
    </row>
    <row r="24" spans="1:9" x14ac:dyDescent="0.2">
      <c r="A24" s="27" t="s">
        <v>787</v>
      </c>
      <c r="B24" s="27" t="s">
        <v>788</v>
      </c>
      <c r="C24" s="27" t="s">
        <v>65</v>
      </c>
      <c r="D24" s="31">
        <v>650000</v>
      </c>
      <c r="E24" s="29">
        <v>646.23</v>
      </c>
      <c r="F24" s="30">
        <v>19.5165961513129</v>
      </c>
      <c r="G24" s="29">
        <v>3.3799000000000001</v>
      </c>
    </row>
    <row r="25" spans="1:9" x14ac:dyDescent="0.2">
      <c r="A25" s="26" t="s">
        <v>35</v>
      </c>
      <c r="B25" s="26"/>
      <c r="C25" s="26"/>
      <c r="D25" s="32"/>
      <c r="E25" s="33">
        <f>SUM(E23:E24)</f>
        <v>646.23</v>
      </c>
      <c r="F25" s="34">
        <f>SUM(F23:F24)</f>
        <v>19.5165961513129</v>
      </c>
      <c r="G25" s="33"/>
      <c r="H25" s="18"/>
      <c r="I25" s="18"/>
    </row>
    <row r="26" spans="1:9" x14ac:dyDescent="0.2">
      <c r="A26" s="27"/>
      <c r="B26" s="27"/>
      <c r="C26" s="27"/>
      <c r="D26" s="28"/>
      <c r="E26" s="29"/>
      <c r="F26" s="30"/>
      <c r="G26" s="29"/>
    </row>
    <row r="27" spans="1:9" x14ac:dyDescent="0.2">
      <c r="A27" s="26" t="s">
        <v>37</v>
      </c>
      <c r="B27" s="26"/>
      <c r="C27" s="26"/>
      <c r="D27" s="32"/>
      <c r="E27" s="33">
        <f>E16+E20+E25</f>
        <v>2756.1859300000001</v>
      </c>
      <c r="F27" s="34">
        <f>F16+F20+F25</f>
        <v>83.238734991784284</v>
      </c>
      <c r="G27" s="33"/>
      <c r="H27" s="18"/>
      <c r="I27" s="18"/>
    </row>
    <row r="28" spans="1:9" x14ac:dyDescent="0.2">
      <c r="A28" s="26"/>
      <c r="B28" s="26"/>
      <c r="C28" s="26"/>
      <c r="D28" s="32"/>
      <c r="E28" s="33"/>
      <c r="F28" s="34"/>
      <c r="G28" s="33"/>
      <c r="H28" s="18"/>
      <c r="I28" s="18"/>
    </row>
    <row r="29" spans="1:9" x14ac:dyDescent="0.2">
      <c r="A29" s="26" t="s">
        <v>39</v>
      </c>
      <c r="B29" s="26"/>
      <c r="C29" s="26"/>
      <c r="D29" s="32"/>
      <c r="E29" s="33">
        <f>E31-(E16+E20+E25)</f>
        <v>554.99597379999977</v>
      </c>
      <c r="F29" s="34">
        <f>F31-(F16+F20+F25)</f>
        <v>16.761265008215716</v>
      </c>
      <c r="G29" s="33"/>
      <c r="H29" s="18"/>
      <c r="I29" s="18"/>
    </row>
    <row r="30" spans="1:9" x14ac:dyDescent="0.2">
      <c r="A30" s="26"/>
      <c r="B30" s="26"/>
      <c r="C30" s="26"/>
      <c r="D30" s="32"/>
      <c r="E30" s="33"/>
      <c r="F30" s="34"/>
      <c r="G30" s="33"/>
      <c r="H30" s="18"/>
      <c r="I30" s="18"/>
    </row>
    <row r="31" spans="1:9" x14ac:dyDescent="0.2">
      <c r="A31" s="35" t="s">
        <v>38</v>
      </c>
      <c r="B31" s="35"/>
      <c r="C31" s="35"/>
      <c r="D31" s="36"/>
      <c r="E31" s="37">
        <v>3311.1819037999999</v>
      </c>
      <c r="F31" s="38">
        <v>100</v>
      </c>
      <c r="G31" s="37"/>
      <c r="H31" s="18"/>
      <c r="I31" s="18"/>
    </row>
    <row r="33" spans="1:4" x14ac:dyDescent="0.2">
      <c r="A33" s="18" t="s">
        <v>40</v>
      </c>
    </row>
    <row r="35" spans="1:4" x14ac:dyDescent="0.2">
      <c r="A35" s="18" t="s">
        <v>41</v>
      </c>
    </row>
    <row r="36" spans="1:4" x14ac:dyDescent="0.2">
      <c r="A36" s="18" t="s">
        <v>42</v>
      </c>
    </row>
    <row r="37" spans="1:4" x14ac:dyDescent="0.2">
      <c r="A37" s="18" t="s">
        <v>43</v>
      </c>
      <c r="B37" s="18"/>
      <c r="C37" s="39" t="s">
        <v>45</v>
      </c>
      <c r="D37" s="19" t="s">
        <v>44</v>
      </c>
    </row>
    <row r="38" spans="1:4" x14ac:dyDescent="0.2">
      <c r="A38" s="9" t="s">
        <v>70</v>
      </c>
      <c r="C38" s="40">
        <v>12.3284</v>
      </c>
      <c r="D38" s="40">
        <v>12.556800000000001</v>
      </c>
    </row>
    <row r="39" spans="1:4" x14ac:dyDescent="0.2">
      <c r="A39" s="9" t="s">
        <v>1043</v>
      </c>
      <c r="C39" s="40">
        <v>10.6098</v>
      </c>
      <c r="D39" s="40">
        <v>10.8064</v>
      </c>
    </row>
    <row r="40" spans="1:4" x14ac:dyDescent="0.2">
      <c r="A40" s="9" t="s">
        <v>72</v>
      </c>
      <c r="C40" s="40">
        <v>10.3855</v>
      </c>
      <c r="D40" s="40">
        <v>10.190300000000001</v>
      </c>
    </row>
    <row r="41" spans="1:4" x14ac:dyDescent="0.2">
      <c r="A41" s="9" t="s">
        <v>73</v>
      </c>
      <c r="C41" s="40">
        <v>12.452</v>
      </c>
      <c r="D41" s="40">
        <v>12.682700000000001</v>
      </c>
    </row>
    <row r="42" spans="1:4" x14ac:dyDescent="0.2">
      <c r="A42" s="9" t="s">
        <v>75</v>
      </c>
      <c r="C42" s="40">
        <v>10.506</v>
      </c>
      <c r="D42" s="40">
        <v>10.312900000000001</v>
      </c>
    </row>
    <row r="44" spans="1:4" x14ac:dyDescent="0.2">
      <c r="A44" s="18" t="s">
        <v>47</v>
      </c>
    </row>
    <row r="45" spans="1:4" x14ac:dyDescent="0.2">
      <c r="A45" s="81" t="s">
        <v>67</v>
      </c>
      <c r="B45" s="82"/>
      <c r="C45" s="43" t="s">
        <v>68</v>
      </c>
    </row>
    <row r="46" spans="1:4" x14ac:dyDescent="0.2">
      <c r="A46" s="77" t="s">
        <v>72</v>
      </c>
      <c r="B46" s="78"/>
      <c r="C46" s="44">
        <v>0.38500000000000001</v>
      </c>
    </row>
    <row r="47" spans="1:4" x14ac:dyDescent="0.2">
      <c r="A47" s="77" t="s">
        <v>75</v>
      </c>
      <c r="B47" s="78"/>
      <c r="C47" s="44">
        <v>0.38500000000000001</v>
      </c>
    </row>
    <row r="48" spans="1:4" x14ac:dyDescent="0.2">
      <c r="A48" s="9" t="s">
        <v>69</v>
      </c>
    </row>
    <row r="49" spans="1:5" x14ac:dyDescent="0.2">
      <c r="A49" s="9" t="s">
        <v>46</v>
      </c>
    </row>
    <row r="51" spans="1:5" x14ac:dyDescent="0.2">
      <c r="A51" s="18" t="s">
        <v>816</v>
      </c>
      <c r="D51" s="42">
        <v>0.11651363969863</v>
      </c>
      <c r="E51" s="13" t="s">
        <v>49</v>
      </c>
    </row>
    <row r="53" spans="1:5" x14ac:dyDescent="0.2">
      <c r="A53" s="18" t="s">
        <v>734</v>
      </c>
      <c r="D53" s="41" t="s">
        <v>48</v>
      </c>
    </row>
    <row r="55" spans="1:5" x14ac:dyDescent="0.2">
      <c r="A55" s="18" t="s">
        <v>817</v>
      </c>
    </row>
    <row r="56" spans="1:5" x14ac:dyDescent="0.2">
      <c r="A56" s="50" t="s">
        <v>50</v>
      </c>
    </row>
  </sheetData>
  <mergeCells count="4">
    <mergeCell ref="A1:G1"/>
    <mergeCell ref="A45:B45"/>
    <mergeCell ref="A46:B46"/>
    <mergeCell ref="A47:B47"/>
  </mergeCells>
  <conditionalFormatting sqref="F2:F3 F5:F65535">
    <cfRule type="cellIs" dxfId="57" priority="1" stopIfTrue="1" operator="between">
      <formula>0.009</formula>
      <formula>-0.009</formula>
    </cfRule>
  </conditionalFormatting>
  <hyperlinks>
    <hyperlink ref="A56" r:id="rId1" tooltip="https://www.franklintempletonindia.com/downloadsServlet/pdf/product-labels-jg9o5k7l" xr:uid="{00000000-0004-0000-0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3"/>
  <sheetViews>
    <sheetView workbookViewId="0">
      <selection sqref="A1:G1"/>
    </sheetView>
  </sheetViews>
  <sheetFormatPr defaultColWidth="9.109375" defaultRowHeight="10.199999999999999" x14ac:dyDescent="0.2"/>
  <cols>
    <col min="1" max="1" width="38.6640625" style="9" bestFit="1" customWidth="1"/>
    <col min="2" max="2" width="54.3320312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9" t="s">
        <v>1093</v>
      </c>
      <c r="B1" s="80"/>
      <c r="C1" s="80"/>
      <c r="D1" s="80"/>
      <c r="E1" s="80"/>
      <c r="F1" s="80"/>
      <c r="G1" s="80"/>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749</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965</v>
      </c>
      <c r="B7" s="27" t="s">
        <v>966</v>
      </c>
      <c r="C7" s="27" t="s">
        <v>34</v>
      </c>
      <c r="D7" s="31">
        <v>44</v>
      </c>
      <c r="E7" s="29">
        <v>442.10584</v>
      </c>
      <c r="F7" s="30">
        <v>10.7001192689509</v>
      </c>
      <c r="G7" s="29">
        <v>3.4601999999999999</v>
      </c>
    </row>
    <row r="8" spans="1:9" x14ac:dyDescent="0.2">
      <c r="A8" s="27" t="s">
        <v>1085</v>
      </c>
      <c r="B8" s="27" t="s">
        <v>1086</v>
      </c>
      <c r="C8" s="27" t="s">
        <v>928</v>
      </c>
      <c r="D8" s="31">
        <v>41</v>
      </c>
      <c r="E8" s="29">
        <v>412.11478</v>
      </c>
      <c r="F8" s="30">
        <v>9.9742570659041192</v>
      </c>
      <c r="G8" s="29">
        <v>3.4199000000000002</v>
      </c>
    </row>
    <row r="9" spans="1:9" x14ac:dyDescent="0.2">
      <c r="A9" s="27" t="s">
        <v>1087</v>
      </c>
      <c r="B9" s="27" t="s">
        <v>1088</v>
      </c>
      <c r="C9" s="27" t="s">
        <v>34</v>
      </c>
      <c r="D9" s="31">
        <v>41</v>
      </c>
      <c r="E9" s="29">
        <v>411.72118</v>
      </c>
      <c r="F9" s="30">
        <v>9.9647309150071806</v>
      </c>
      <c r="G9" s="29">
        <v>3.4496000000000002</v>
      </c>
    </row>
    <row r="10" spans="1:9" x14ac:dyDescent="0.2">
      <c r="A10" s="27" t="s">
        <v>931</v>
      </c>
      <c r="B10" s="27" t="s">
        <v>932</v>
      </c>
      <c r="C10" s="27" t="s">
        <v>34</v>
      </c>
      <c r="D10" s="31">
        <v>40</v>
      </c>
      <c r="E10" s="29">
        <v>403.56279999999998</v>
      </c>
      <c r="F10" s="30">
        <v>9.7672767509965297</v>
      </c>
      <c r="G10" s="29">
        <v>3.6450999999999998</v>
      </c>
    </row>
    <row r="11" spans="1:9" x14ac:dyDescent="0.2">
      <c r="A11" s="27" t="s">
        <v>1083</v>
      </c>
      <c r="B11" s="27" t="s">
        <v>1084</v>
      </c>
      <c r="C11" s="27" t="s">
        <v>34</v>
      </c>
      <c r="D11" s="31">
        <v>33</v>
      </c>
      <c r="E11" s="29">
        <v>328.02659999999997</v>
      </c>
      <c r="F11" s="30">
        <v>7.9391028704539703</v>
      </c>
      <c r="G11" s="29">
        <v>3.6</v>
      </c>
    </row>
    <row r="12" spans="1:9" x14ac:dyDescent="0.2">
      <c r="A12" s="27" t="s">
        <v>1081</v>
      </c>
      <c r="B12" s="27" t="s">
        <v>1082</v>
      </c>
      <c r="C12" s="27" t="s">
        <v>34</v>
      </c>
      <c r="D12" s="31">
        <v>30</v>
      </c>
      <c r="E12" s="29">
        <v>300.26190000000003</v>
      </c>
      <c r="F12" s="30">
        <v>7.2671244105751196</v>
      </c>
      <c r="G12" s="29">
        <v>3.4807999999999999</v>
      </c>
    </row>
    <row r="13" spans="1:9" x14ac:dyDescent="0.2">
      <c r="A13" s="27" t="s">
        <v>1094</v>
      </c>
      <c r="B13" s="27" t="s">
        <v>1095</v>
      </c>
      <c r="C13" s="27" t="s">
        <v>952</v>
      </c>
      <c r="D13" s="31">
        <v>26000</v>
      </c>
      <c r="E13" s="29">
        <v>260.22750000000002</v>
      </c>
      <c r="F13" s="30">
        <v>6.2981870745270596</v>
      </c>
      <c r="G13" s="29">
        <v>5.6894999999999998</v>
      </c>
    </row>
    <row r="14" spans="1:9" x14ac:dyDescent="0.2">
      <c r="A14" s="27" t="s">
        <v>971</v>
      </c>
      <c r="B14" s="27" t="s">
        <v>972</v>
      </c>
      <c r="C14" s="27" t="s">
        <v>928</v>
      </c>
      <c r="D14" s="31">
        <v>150</v>
      </c>
      <c r="E14" s="29">
        <v>150.25874999999999</v>
      </c>
      <c r="F14" s="30">
        <v>3.6366553000147701</v>
      </c>
      <c r="G14" s="29">
        <v>3.3742999999999999</v>
      </c>
    </row>
    <row r="15" spans="1:9" x14ac:dyDescent="0.2">
      <c r="A15" s="26" t="s">
        <v>35</v>
      </c>
      <c r="B15" s="26"/>
      <c r="C15" s="26"/>
      <c r="D15" s="32"/>
      <c r="E15" s="33">
        <f>SUM(E6:E14)</f>
        <v>2708.2793499999998</v>
      </c>
      <c r="F15" s="34">
        <f>SUM(F6:F14)</f>
        <v>65.547453656429653</v>
      </c>
      <c r="G15" s="33"/>
      <c r="H15" s="18"/>
      <c r="I15" s="18"/>
    </row>
    <row r="16" spans="1:9" x14ac:dyDescent="0.2">
      <c r="A16" s="27"/>
      <c r="B16" s="27"/>
      <c r="C16" s="27"/>
      <c r="D16" s="28"/>
      <c r="E16" s="29"/>
      <c r="F16" s="30"/>
      <c r="G16" s="29"/>
    </row>
    <row r="17" spans="1:9" x14ac:dyDescent="0.2">
      <c r="A17" s="26" t="s">
        <v>1075</v>
      </c>
      <c r="B17" s="27"/>
      <c r="C17" s="27"/>
      <c r="D17" s="28"/>
      <c r="E17" s="29"/>
      <c r="F17" s="30"/>
      <c r="G17" s="29"/>
    </row>
    <row r="18" spans="1:9" x14ac:dyDescent="0.2">
      <c r="A18" s="27" t="s">
        <v>1091</v>
      </c>
      <c r="B18" s="27" t="s">
        <v>1092</v>
      </c>
      <c r="C18" s="27" t="s">
        <v>34</v>
      </c>
      <c r="D18" s="31">
        <v>34</v>
      </c>
      <c r="E18" s="29">
        <v>342.23685999999998</v>
      </c>
      <c r="F18" s="30">
        <v>8.2830283812384504</v>
      </c>
      <c r="G18" s="29">
        <v>4.0750000000000002</v>
      </c>
    </row>
    <row r="19" spans="1:9" x14ac:dyDescent="0.2">
      <c r="A19" s="26" t="s">
        <v>35</v>
      </c>
      <c r="B19" s="26"/>
      <c r="C19" s="26"/>
      <c r="D19" s="32"/>
      <c r="E19" s="33">
        <f>SUM(E17:E18)</f>
        <v>342.23685999999998</v>
      </c>
      <c r="F19" s="34">
        <f>SUM(F17:F18)</f>
        <v>8.2830283812384504</v>
      </c>
      <c r="G19" s="33"/>
      <c r="H19" s="18"/>
      <c r="I19" s="18"/>
    </row>
    <row r="20" spans="1:9" x14ac:dyDescent="0.2">
      <c r="A20" s="27"/>
      <c r="B20" s="27"/>
      <c r="C20" s="27"/>
      <c r="D20" s="28"/>
      <c r="E20" s="29"/>
      <c r="F20" s="30"/>
      <c r="G20" s="29"/>
    </row>
    <row r="21" spans="1:9" x14ac:dyDescent="0.2">
      <c r="A21" s="26" t="s">
        <v>51</v>
      </c>
      <c r="B21" s="27"/>
      <c r="C21" s="27"/>
      <c r="D21" s="28"/>
      <c r="E21" s="29"/>
      <c r="F21" s="30"/>
      <c r="G21" s="29"/>
    </row>
    <row r="22" spans="1:9" x14ac:dyDescent="0.2">
      <c r="A22" s="26" t="s">
        <v>61</v>
      </c>
      <c r="B22" s="27"/>
      <c r="C22" s="27"/>
      <c r="D22" s="28"/>
      <c r="E22" s="29"/>
      <c r="F22" s="30"/>
      <c r="G22" s="29"/>
    </row>
    <row r="23" spans="1:9" x14ac:dyDescent="0.2">
      <c r="A23" s="27" t="s">
        <v>787</v>
      </c>
      <c r="B23" s="27" t="s">
        <v>788</v>
      </c>
      <c r="C23" s="27" t="s">
        <v>65</v>
      </c>
      <c r="D23" s="31">
        <v>550000</v>
      </c>
      <c r="E23" s="29">
        <v>546.80999999999995</v>
      </c>
      <c r="F23" s="30">
        <v>13.234234176718999</v>
      </c>
      <c r="G23" s="29">
        <v>3.3799000000000001</v>
      </c>
    </row>
    <row r="24" spans="1:9" x14ac:dyDescent="0.2">
      <c r="A24" s="26" t="s">
        <v>35</v>
      </c>
      <c r="B24" s="26"/>
      <c r="C24" s="26"/>
      <c r="D24" s="32"/>
      <c r="E24" s="33">
        <f>SUM(E22:E23)</f>
        <v>546.80999999999995</v>
      </c>
      <c r="F24" s="34">
        <f>SUM(F22:F23)</f>
        <v>13.234234176718999</v>
      </c>
      <c r="G24" s="33"/>
      <c r="H24" s="18"/>
      <c r="I24" s="18"/>
    </row>
    <row r="25" spans="1:9" x14ac:dyDescent="0.2">
      <c r="A25" s="27"/>
      <c r="B25" s="27"/>
      <c r="C25" s="27"/>
      <c r="D25" s="28"/>
      <c r="E25" s="29"/>
      <c r="F25" s="30"/>
      <c r="G25" s="29"/>
    </row>
    <row r="26" spans="1:9" x14ac:dyDescent="0.2">
      <c r="A26" s="26" t="s">
        <v>37</v>
      </c>
      <c r="B26" s="26"/>
      <c r="C26" s="26"/>
      <c r="D26" s="32"/>
      <c r="E26" s="33">
        <f>E15+E19+E24</f>
        <v>3597.3262099999997</v>
      </c>
      <c r="F26" s="34">
        <f>F15+F19+F24</f>
        <v>87.064716214387104</v>
      </c>
      <c r="G26" s="33"/>
      <c r="H26" s="18"/>
      <c r="I26" s="18"/>
    </row>
    <row r="27" spans="1:9" x14ac:dyDescent="0.2">
      <c r="A27" s="26"/>
      <c r="B27" s="26"/>
      <c r="C27" s="26"/>
      <c r="D27" s="32"/>
      <c r="E27" s="33"/>
      <c r="F27" s="34"/>
      <c r="G27" s="33"/>
      <c r="H27" s="18"/>
      <c r="I27" s="18"/>
    </row>
    <row r="28" spans="1:9" x14ac:dyDescent="0.2">
      <c r="A28" s="26" t="s">
        <v>39</v>
      </c>
      <c r="B28" s="26"/>
      <c r="C28" s="26"/>
      <c r="D28" s="32"/>
      <c r="E28" s="33">
        <f>E30-(E15+E19+E24)</f>
        <v>534.45801489999985</v>
      </c>
      <c r="F28" s="34">
        <f>F30-(F15+F19+F24)</f>
        <v>12.935283785612896</v>
      </c>
      <c r="G28" s="33"/>
      <c r="H28" s="18"/>
      <c r="I28" s="18"/>
    </row>
    <row r="29" spans="1:9" x14ac:dyDescent="0.2">
      <c r="A29" s="26"/>
      <c r="B29" s="26"/>
      <c r="C29" s="26"/>
      <c r="D29" s="32"/>
      <c r="E29" s="33"/>
      <c r="F29" s="34"/>
      <c r="G29" s="33"/>
      <c r="H29" s="18"/>
      <c r="I29" s="18"/>
    </row>
    <row r="30" spans="1:9" x14ac:dyDescent="0.2">
      <c r="A30" s="35" t="s">
        <v>38</v>
      </c>
      <c r="B30" s="35"/>
      <c r="C30" s="35"/>
      <c r="D30" s="36"/>
      <c r="E30" s="37">
        <v>4131.7842248999996</v>
      </c>
      <c r="F30" s="38">
        <v>100</v>
      </c>
      <c r="G30" s="37"/>
      <c r="H30" s="18"/>
      <c r="I30" s="18"/>
    </row>
    <row r="32" spans="1:9" x14ac:dyDescent="0.2">
      <c r="A32" s="18" t="s">
        <v>40</v>
      </c>
    </row>
    <row r="34" spans="1:5" x14ac:dyDescent="0.2">
      <c r="A34" s="18" t="s">
        <v>41</v>
      </c>
    </row>
    <row r="35" spans="1:5" x14ac:dyDescent="0.2">
      <c r="A35" s="18" t="s">
        <v>42</v>
      </c>
    </row>
    <row r="36" spans="1:5" x14ac:dyDescent="0.2">
      <c r="A36" s="18" t="s">
        <v>43</v>
      </c>
      <c r="B36" s="18"/>
      <c r="C36" s="39" t="s">
        <v>45</v>
      </c>
      <c r="D36" s="19" t="s">
        <v>44</v>
      </c>
    </row>
    <row r="37" spans="1:5" x14ac:dyDescent="0.2">
      <c r="A37" s="9" t="s">
        <v>70</v>
      </c>
      <c r="C37" s="40">
        <v>11.712400000000001</v>
      </c>
      <c r="D37" s="40">
        <v>11.943199999999999</v>
      </c>
    </row>
    <row r="38" spans="1:5" x14ac:dyDescent="0.2">
      <c r="A38" s="9" t="s">
        <v>1043</v>
      </c>
      <c r="C38" s="40">
        <v>10.5707</v>
      </c>
      <c r="D38" s="40">
        <v>10.779</v>
      </c>
    </row>
    <row r="39" spans="1:5" x14ac:dyDescent="0.2">
      <c r="A39" s="9" t="s">
        <v>72</v>
      </c>
      <c r="C39" s="40">
        <v>10.345599999999999</v>
      </c>
      <c r="D39" s="40">
        <v>10.166700000000001</v>
      </c>
    </row>
    <row r="40" spans="1:5" x14ac:dyDescent="0.2">
      <c r="A40" s="9" t="s">
        <v>73</v>
      </c>
      <c r="C40" s="40">
        <v>11.8293</v>
      </c>
      <c r="D40" s="40">
        <v>12.0624</v>
      </c>
    </row>
    <row r="42" spans="1:5" x14ac:dyDescent="0.2">
      <c r="A42" s="18" t="s">
        <v>47</v>
      </c>
    </row>
    <row r="43" spans="1:5" x14ac:dyDescent="0.2">
      <c r="A43" s="81" t="s">
        <v>67</v>
      </c>
      <c r="B43" s="82"/>
      <c r="C43" s="43" t="s">
        <v>68</v>
      </c>
    </row>
    <row r="44" spans="1:5" x14ac:dyDescent="0.2">
      <c r="A44" s="77" t="s">
        <v>72</v>
      </c>
      <c r="B44" s="78"/>
      <c r="C44" s="44">
        <v>0.38</v>
      </c>
    </row>
    <row r="45" spans="1:5" x14ac:dyDescent="0.2">
      <c r="A45" s="9" t="s">
        <v>69</v>
      </c>
    </row>
    <row r="46" spans="1:5" x14ac:dyDescent="0.2">
      <c r="A46" s="9" t="s">
        <v>46</v>
      </c>
    </row>
    <row r="48" spans="1:5" x14ac:dyDescent="0.2">
      <c r="A48" s="18" t="s">
        <v>816</v>
      </c>
      <c r="D48" s="42">
        <v>0.104719841780822</v>
      </c>
      <c r="E48" s="13" t="s">
        <v>49</v>
      </c>
    </row>
    <row r="50" spans="1:4" x14ac:dyDescent="0.2">
      <c r="A50" s="18" t="s">
        <v>734</v>
      </c>
      <c r="D50" s="41" t="s">
        <v>48</v>
      </c>
    </row>
    <row r="52" spans="1:4" x14ac:dyDescent="0.2">
      <c r="A52" s="18" t="s">
        <v>817</v>
      </c>
    </row>
    <row r="53" spans="1:4" x14ac:dyDescent="0.2">
      <c r="A53" s="50" t="s">
        <v>50</v>
      </c>
    </row>
  </sheetData>
  <mergeCells count="3">
    <mergeCell ref="A1:G1"/>
    <mergeCell ref="A43:B43"/>
    <mergeCell ref="A44:B44"/>
  </mergeCells>
  <conditionalFormatting sqref="F2:F3 F5:F65535">
    <cfRule type="cellIs" dxfId="56" priority="1" stopIfTrue="1" operator="between">
      <formula>0.009</formula>
      <formula>-0.009</formula>
    </cfRule>
  </conditionalFormatting>
  <hyperlinks>
    <hyperlink ref="A53" r:id="rId1" tooltip="https://www.franklintempletonindia.com/downloadsServlet/pdf/product-labels-jg9o5k7l" xr:uid="{00000000-0004-0000-1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4"/>
  <sheetViews>
    <sheetView workbookViewId="0">
      <selection sqref="A1:G1"/>
    </sheetView>
  </sheetViews>
  <sheetFormatPr defaultColWidth="9.109375" defaultRowHeight="10.199999999999999" x14ac:dyDescent="0.2"/>
  <cols>
    <col min="1" max="1" width="38.6640625" style="9" bestFit="1" customWidth="1"/>
    <col min="2" max="2" width="54.3320312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9" t="s">
        <v>1096</v>
      </c>
      <c r="B1" s="80"/>
      <c r="C1" s="80"/>
      <c r="D1" s="80"/>
      <c r="E1" s="80"/>
      <c r="F1" s="80"/>
      <c r="G1" s="8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749</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931</v>
      </c>
      <c r="B7" s="27" t="s">
        <v>932</v>
      </c>
      <c r="C7" s="27" t="s">
        <v>34</v>
      </c>
      <c r="D7" s="31">
        <v>98</v>
      </c>
      <c r="E7" s="29">
        <v>988.72886000000005</v>
      </c>
      <c r="F7" s="30">
        <v>10.1526347196033</v>
      </c>
      <c r="G7" s="29">
        <v>3.6450999999999998</v>
      </c>
    </row>
    <row r="8" spans="1:7" x14ac:dyDescent="0.2">
      <c r="A8" s="27" t="s">
        <v>965</v>
      </c>
      <c r="B8" s="27" t="s">
        <v>966</v>
      </c>
      <c r="C8" s="27" t="s">
        <v>34</v>
      </c>
      <c r="D8" s="31">
        <v>92</v>
      </c>
      <c r="E8" s="29">
        <v>924.40311999999994</v>
      </c>
      <c r="F8" s="30">
        <v>9.4921141585991897</v>
      </c>
      <c r="G8" s="29">
        <v>3.4601999999999999</v>
      </c>
    </row>
    <row r="9" spans="1:7" x14ac:dyDescent="0.2">
      <c r="A9" s="27" t="s">
        <v>1085</v>
      </c>
      <c r="B9" s="27" t="s">
        <v>1086</v>
      </c>
      <c r="C9" s="27" t="s">
        <v>928</v>
      </c>
      <c r="D9" s="31">
        <v>90</v>
      </c>
      <c r="E9" s="29">
        <v>904.6422</v>
      </c>
      <c r="F9" s="30">
        <v>9.2892017014030799</v>
      </c>
      <c r="G9" s="29">
        <v>3.4199000000000002</v>
      </c>
    </row>
    <row r="10" spans="1:7" x14ac:dyDescent="0.2">
      <c r="A10" s="27" t="s">
        <v>1087</v>
      </c>
      <c r="B10" s="27" t="s">
        <v>1088</v>
      </c>
      <c r="C10" s="27" t="s">
        <v>34</v>
      </c>
      <c r="D10" s="31">
        <v>90</v>
      </c>
      <c r="E10" s="29">
        <v>903.77819999999997</v>
      </c>
      <c r="F10" s="30">
        <v>9.2803298288881706</v>
      </c>
      <c r="G10" s="29">
        <v>3.4496000000000002</v>
      </c>
    </row>
    <row r="11" spans="1:7" x14ac:dyDescent="0.2">
      <c r="A11" s="27" t="s">
        <v>1097</v>
      </c>
      <c r="B11" s="27" t="s">
        <v>1098</v>
      </c>
      <c r="C11" s="27" t="s">
        <v>34</v>
      </c>
      <c r="D11" s="31">
        <v>60</v>
      </c>
      <c r="E11" s="29">
        <v>766.01760000000002</v>
      </c>
      <c r="F11" s="30">
        <v>7.8657528835430197</v>
      </c>
      <c r="G11" s="29">
        <v>4.01</v>
      </c>
    </row>
    <row r="12" spans="1:7" x14ac:dyDescent="0.2">
      <c r="A12" s="27" t="s">
        <v>1083</v>
      </c>
      <c r="B12" s="27" t="s">
        <v>1084</v>
      </c>
      <c r="C12" s="27" t="s">
        <v>34</v>
      </c>
      <c r="D12" s="31">
        <v>75</v>
      </c>
      <c r="E12" s="29">
        <v>745.51499999999999</v>
      </c>
      <c r="F12" s="30">
        <v>7.6552245809685999</v>
      </c>
      <c r="G12" s="29">
        <v>3.6</v>
      </c>
    </row>
    <row r="13" spans="1:7" x14ac:dyDescent="0.2">
      <c r="A13" s="27" t="s">
        <v>1089</v>
      </c>
      <c r="B13" s="27" t="s">
        <v>1090</v>
      </c>
      <c r="C13" s="27" t="s">
        <v>992</v>
      </c>
      <c r="D13" s="31">
        <v>58</v>
      </c>
      <c r="E13" s="29">
        <v>744.05822000000001</v>
      </c>
      <c r="F13" s="30">
        <v>7.6402658235122596</v>
      </c>
      <c r="G13" s="29">
        <v>3.7847</v>
      </c>
    </row>
    <row r="14" spans="1:7" x14ac:dyDescent="0.2">
      <c r="A14" s="27" t="s">
        <v>1081</v>
      </c>
      <c r="B14" s="27" t="s">
        <v>1082</v>
      </c>
      <c r="C14" s="27" t="s">
        <v>34</v>
      </c>
      <c r="D14" s="31">
        <v>71</v>
      </c>
      <c r="E14" s="29">
        <v>710.61982999999998</v>
      </c>
      <c r="F14" s="30">
        <v>7.2969080304752199</v>
      </c>
      <c r="G14" s="29">
        <v>3.4807999999999999</v>
      </c>
    </row>
    <row r="15" spans="1:7" x14ac:dyDescent="0.2">
      <c r="A15" s="27" t="s">
        <v>971</v>
      </c>
      <c r="B15" s="27" t="s">
        <v>972</v>
      </c>
      <c r="C15" s="27" t="s">
        <v>928</v>
      </c>
      <c r="D15" s="31">
        <v>470</v>
      </c>
      <c r="E15" s="29">
        <v>470.81074999999998</v>
      </c>
      <c r="F15" s="30">
        <v>4.8344594359392703</v>
      </c>
      <c r="G15" s="29">
        <v>3.3742999999999999</v>
      </c>
    </row>
    <row r="16" spans="1:7" x14ac:dyDescent="0.2">
      <c r="A16" s="27" t="s">
        <v>1099</v>
      </c>
      <c r="B16" s="27" t="s">
        <v>1100</v>
      </c>
      <c r="C16" s="27" t="s">
        <v>992</v>
      </c>
      <c r="D16" s="31">
        <v>10</v>
      </c>
      <c r="E16" s="29">
        <v>128.5411</v>
      </c>
      <c r="F16" s="30">
        <v>1.3199076992209999</v>
      </c>
      <c r="G16" s="29">
        <v>3.65</v>
      </c>
    </row>
    <row r="17" spans="1:9" x14ac:dyDescent="0.2">
      <c r="A17" s="27" t="s">
        <v>942</v>
      </c>
      <c r="B17" s="27" t="s">
        <v>943</v>
      </c>
      <c r="C17" s="27" t="s">
        <v>34</v>
      </c>
      <c r="D17" s="31">
        <v>8</v>
      </c>
      <c r="E17" s="29">
        <v>80.186000000000007</v>
      </c>
      <c r="F17" s="30">
        <v>0.82337959430668495</v>
      </c>
      <c r="G17" s="29">
        <v>3.3965999999999998</v>
      </c>
    </row>
    <row r="18" spans="1:9" x14ac:dyDescent="0.2">
      <c r="A18" s="26" t="s">
        <v>35</v>
      </c>
      <c r="B18" s="26"/>
      <c r="C18" s="26"/>
      <c r="D18" s="32"/>
      <c r="E18" s="33">
        <f>SUM(E6:E17)</f>
        <v>7367.3008799999998</v>
      </c>
      <c r="F18" s="34">
        <f>SUM(F6:F17)</f>
        <v>75.650178456459798</v>
      </c>
      <c r="G18" s="33"/>
      <c r="H18" s="18"/>
      <c r="I18" s="18"/>
    </row>
    <row r="19" spans="1:9" x14ac:dyDescent="0.2">
      <c r="A19" s="27"/>
      <c r="B19" s="27"/>
      <c r="C19" s="27"/>
      <c r="D19" s="28"/>
      <c r="E19" s="29"/>
      <c r="F19" s="30"/>
      <c r="G19" s="29"/>
    </row>
    <row r="20" spans="1:9" x14ac:dyDescent="0.2">
      <c r="A20" s="26" t="s">
        <v>51</v>
      </c>
      <c r="B20" s="27"/>
      <c r="C20" s="27"/>
      <c r="D20" s="28"/>
      <c r="E20" s="29"/>
      <c r="F20" s="30"/>
      <c r="G20" s="29"/>
    </row>
    <row r="21" spans="1:9" x14ac:dyDescent="0.2">
      <c r="A21" s="26" t="s">
        <v>61</v>
      </c>
      <c r="B21" s="27"/>
      <c r="C21" s="27"/>
      <c r="D21" s="28"/>
      <c r="E21" s="29"/>
      <c r="F21" s="30"/>
      <c r="G21" s="29"/>
    </row>
    <row r="22" spans="1:9" x14ac:dyDescent="0.2">
      <c r="A22" s="27" t="s">
        <v>789</v>
      </c>
      <c r="B22" s="27" t="s">
        <v>790</v>
      </c>
      <c r="C22" s="27" t="s">
        <v>65</v>
      </c>
      <c r="D22" s="31">
        <v>1900000</v>
      </c>
      <c r="E22" s="29">
        <v>1890.2853</v>
      </c>
      <c r="F22" s="30">
        <v>19.4101506926133</v>
      </c>
      <c r="G22" s="29">
        <v>3.3496999999999999</v>
      </c>
    </row>
    <row r="23" spans="1:9" x14ac:dyDescent="0.2">
      <c r="A23" s="26" t="s">
        <v>35</v>
      </c>
      <c r="B23" s="26"/>
      <c r="C23" s="26"/>
      <c r="D23" s="32"/>
      <c r="E23" s="33">
        <f>SUM(E21:E22)</f>
        <v>1890.2853</v>
      </c>
      <c r="F23" s="34">
        <f>SUM(F21:F22)</f>
        <v>19.4101506926133</v>
      </c>
      <c r="G23" s="33"/>
      <c r="H23" s="18"/>
      <c r="I23" s="18"/>
    </row>
    <row r="24" spans="1:9" x14ac:dyDescent="0.2">
      <c r="A24" s="27"/>
      <c r="B24" s="27"/>
      <c r="C24" s="27"/>
      <c r="D24" s="28"/>
      <c r="E24" s="29"/>
      <c r="F24" s="30"/>
      <c r="G24" s="29"/>
    </row>
    <row r="25" spans="1:9" x14ac:dyDescent="0.2">
      <c r="A25" s="26" t="s">
        <v>37</v>
      </c>
      <c r="B25" s="26"/>
      <c r="C25" s="26"/>
      <c r="D25" s="32"/>
      <c r="E25" s="33">
        <f>E18+E23</f>
        <v>9257.5861800000002</v>
      </c>
      <c r="F25" s="34">
        <f>F18+F23</f>
        <v>95.060329149073098</v>
      </c>
      <c r="G25" s="33"/>
      <c r="H25" s="18"/>
      <c r="I25" s="18"/>
    </row>
    <row r="26" spans="1:9" x14ac:dyDescent="0.2">
      <c r="A26" s="26"/>
      <c r="B26" s="26"/>
      <c r="C26" s="26"/>
      <c r="D26" s="32"/>
      <c r="E26" s="33"/>
      <c r="F26" s="34"/>
      <c r="G26" s="33"/>
      <c r="H26" s="18"/>
      <c r="I26" s="18"/>
    </row>
    <row r="27" spans="1:9" x14ac:dyDescent="0.2">
      <c r="A27" s="26" t="s">
        <v>39</v>
      </c>
      <c r="B27" s="26"/>
      <c r="C27" s="26"/>
      <c r="D27" s="32"/>
      <c r="E27" s="33">
        <f>E29-(E18+E23)</f>
        <v>481.05691420000039</v>
      </c>
      <c r="F27" s="34">
        <f>F29-(F18+F23)</f>
        <v>4.9396708509269018</v>
      </c>
      <c r="G27" s="33"/>
      <c r="H27" s="18"/>
      <c r="I27" s="18"/>
    </row>
    <row r="28" spans="1:9" x14ac:dyDescent="0.2">
      <c r="A28" s="26"/>
      <c r="B28" s="26"/>
      <c r="C28" s="26"/>
      <c r="D28" s="32"/>
      <c r="E28" s="33"/>
      <c r="F28" s="34"/>
      <c r="G28" s="33"/>
      <c r="H28" s="18"/>
      <c r="I28" s="18"/>
    </row>
    <row r="29" spans="1:9" x14ac:dyDescent="0.2">
      <c r="A29" s="35" t="s">
        <v>38</v>
      </c>
      <c r="B29" s="35"/>
      <c r="C29" s="35"/>
      <c r="D29" s="36"/>
      <c r="E29" s="37">
        <v>9738.6430942000006</v>
      </c>
      <c r="F29" s="38">
        <v>100</v>
      </c>
      <c r="G29" s="37"/>
      <c r="H29" s="18"/>
      <c r="I29" s="18"/>
    </row>
    <row r="31" spans="1:9" x14ac:dyDescent="0.2">
      <c r="A31" s="18" t="s">
        <v>40</v>
      </c>
    </row>
    <row r="33" spans="1:4" x14ac:dyDescent="0.2">
      <c r="A33" s="18" t="s">
        <v>41</v>
      </c>
    </row>
    <row r="34" spans="1:4" x14ac:dyDescent="0.2">
      <c r="A34" s="18" t="s">
        <v>42</v>
      </c>
    </row>
    <row r="35" spans="1:4" x14ac:dyDescent="0.2">
      <c r="A35" s="18" t="s">
        <v>43</v>
      </c>
      <c r="B35" s="18"/>
      <c r="C35" s="39" t="s">
        <v>45</v>
      </c>
      <c r="D35" s="19" t="s">
        <v>44</v>
      </c>
    </row>
    <row r="36" spans="1:4" x14ac:dyDescent="0.2">
      <c r="A36" s="9" t="s">
        <v>70</v>
      </c>
      <c r="C36" s="40">
        <v>12.284800000000001</v>
      </c>
      <c r="D36" s="40">
        <v>12.5107</v>
      </c>
    </row>
    <row r="37" spans="1:4" x14ac:dyDescent="0.2">
      <c r="A37" s="9" t="s">
        <v>1043</v>
      </c>
      <c r="C37" s="40">
        <v>10.621600000000001</v>
      </c>
      <c r="D37" s="40">
        <v>10.8169</v>
      </c>
    </row>
    <row r="38" spans="1:4" x14ac:dyDescent="0.2">
      <c r="A38" s="9" t="s">
        <v>72</v>
      </c>
      <c r="C38" s="40">
        <v>10.414199999999999</v>
      </c>
      <c r="D38" s="40">
        <v>10.2072</v>
      </c>
    </row>
    <row r="39" spans="1:4" x14ac:dyDescent="0.2">
      <c r="A39" s="9" t="s">
        <v>73</v>
      </c>
      <c r="C39" s="40">
        <v>12.3957</v>
      </c>
      <c r="D39" s="40">
        <v>12.623699999999999</v>
      </c>
    </row>
    <row r="40" spans="1:4" x14ac:dyDescent="0.2">
      <c r="A40" s="9" t="s">
        <v>75</v>
      </c>
      <c r="C40" s="40">
        <v>10.4222</v>
      </c>
      <c r="D40" s="40">
        <v>10.216200000000001</v>
      </c>
    </row>
    <row r="42" spans="1:4" x14ac:dyDescent="0.2">
      <c r="A42" s="18" t="s">
        <v>47</v>
      </c>
    </row>
    <row r="43" spans="1:4" x14ac:dyDescent="0.2">
      <c r="A43" s="81" t="s">
        <v>67</v>
      </c>
      <c r="B43" s="82"/>
      <c r="C43" s="43" t="s">
        <v>68</v>
      </c>
    </row>
    <row r="44" spans="1:4" x14ac:dyDescent="0.2">
      <c r="A44" s="77" t="s">
        <v>72</v>
      </c>
      <c r="B44" s="78"/>
      <c r="C44" s="44">
        <v>0.39500000000000002</v>
      </c>
    </row>
    <row r="45" spans="1:4" x14ac:dyDescent="0.2">
      <c r="A45" s="77" t="s">
        <v>75</v>
      </c>
      <c r="B45" s="78"/>
      <c r="C45" s="44">
        <v>0.39500000000000002</v>
      </c>
    </row>
    <row r="46" spans="1:4" x14ac:dyDescent="0.2">
      <c r="A46" s="9" t="s">
        <v>69</v>
      </c>
    </row>
    <row r="47" spans="1:4" x14ac:dyDescent="0.2">
      <c r="A47" s="9" t="s">
        <v>46</v>
      </c>
    </row>
    <row r="49" spans="1:5" x14ac:dyDescent="0.2">
      <c r="A49" s="18" t="s">
        <v>816</v>
      </c>
      <c r="D49" s="42">
        <v>0.112985018958904</v>
      </c>
      <c r="E49" s="13" t="s">
        <v>49</v>
      </c>
    </row>
    <row r="51" spans="1:5" x14ac:dyDescent="0.2">
      <c r="A51" s="18" t="s">
        <v>734</v>
      </c>
      <c r="D51" s="41" t="s">
        <v>48</v>
      </c>
    </row>
    <row r="53" spans="1:5" x14ac:dyDescent="0.2">
      <c r="A53" s="18" t="s">
        <v>817</v>
      </c>
    </row>
    <row r="54" spans="1:5" x14ac:dyDescent="0.2">
      <c r="A54" s="50" t="s">
        <v>50</v>
      </c>
    </row>
  </sheetData>
  <mergeCells count="4">
    <mergeCell ref="A1:G1"/>
    <mergeCell ref="A43:B43"/>
    <mergeCell ref="A44:B44"/>
    <mergeCell ref="A45:B45"/>
  </mergeCells>
  <conditionalFormatting sqref="F2:F3 F5:F65535">
    <cfRule type="cellIs" dxfId="55" priority="1" stopIfTrue="1" operator="between">
      <formula>0.009</formula>
      <formula>-0.009</formula>
    </cfRule>
  </conditionalFormatting>
  <hyperlinks>
    <hyperlink ref="A54" r:id="rId1" tooltip="https://www.franklintempletonindia.com/downloadsServlet/pdf/product-labels-jg9o5k7l" xr:uid="{00000000-0004-0000-1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50"/>
  <sheetViews>
    <sheetView workbookViewId="0">
      <selection sqref="A1:G1"/>
    </sheetView>
  </sheetViews>
  <sheetFormatPr defaultColWidth="9.109375" defaultRowHeight="10.199999999999999" x14ac:dyDescent="0.2"/>
  <cols>
    <col min="1" max="1" width="38.6640625" style="9" bestFit="1" customWidth="1"/>
    <col min="2" max="2" width="51.664062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9" t="s">
        <v>1101</v>
      </c>
      <c r="B1" s="80"/>
      <c r="C1" s="80"/>
      <c r="D1" s="80"/>
      <c r="E1" s="80"/>
      <c r="F1" s="80"/>
      <c r="G1" s="80"/>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749</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1099</v>
      </c>
      <c r="B7" s="27" t="s">
        <v>1100</v>
      </c>
      <c r="C7" s="27" t="s">
        <v>992</v>
      </c>
      <c r="D7" s="31">
        <v>103</v>
      </c>
      <c r="E7" s="29">
        <v>1323.97333</v>
      </c>
      <c r="F7" s="30">
        <v>11.136703262394301</v>
      </c>
      <c r="G7" s="29">
        <v>3.65</v>
      </c>
    </row>
    <row r="8" spans="1:9" x14ac:dyDescent="0.2">
      <c r="A8" s="27" t="s">
        <v>1081</v>
      </c>
      <c r="B8" s="27" t="s">
        <v>1082</v>
      </c>
      <c r="C8" s="27" t="s">
        <v>34</v>
      </c>
      <c r="D8" s="31">
        <v>115</v>
      </c>
      <c r="E8" s="29">
        <v>1151.00395</v>
      </c>
      <c r="F8" s="30">
        <v>9.6817580494568993</v>
      </c>
      <c r="G8" s="29">
        <v>3.4807999999999999</v>
      </c>
    </row>
    <row r="9" spans="1:9" x14ac:dyDescent="0.2">
      <c r="A9" s="27" t="s">
        <v>942</v>
      </c>
      <c r="B9" s="27" t="s">
        <v>943</v>
      </c>
      <c r="C9" s="27" t="s">
        <v>34</v>
      </c>
      <c r="D9" s="31">
        <v>112</v>
      </c>
      <c r="E9" s="29">
        <v>1122.604</v>
      </c>
      <c r="F9" s="30">
        <v>9.4428696907187106</v>
      </c>
      <c r="G9" s="29">
        <v>3.3965999999999998</v>
      </c>
    </row>
    <row r="10" spans="1:9" x14ac:dyDescent="0.2">
      <c r="A10" s="27" t="s">
        <v>1089</v>
      </c>
      <c r="B10" s="27" t="s">
        <v>1090</v>
      </c>
      <c r="C10" s="27" t="s">
        <v>992</v>
      </c>
      <c r="D10" s="31">
        <v>85</v>
      </c>
      <c r="E10" s="29">
        <v>1090.4301499999999</v>
      </c>
      <c r="F10" s="30">
        <v>9.1722368825345892</v>
      </c>
      <c r="G10" s="29">
        <v>3.7847</v>
      </c>
    </row>
    <row r="11" spans="1:9" x14ac:dyDescent="0.2">
      <c r="A11" s="27" t="s">
        <v>1102</v>
      </c>
      <c r="B11" s="27" t="s">
        <v>1103</v>
      </c>
      <c r="C11" s="27" t="s">
        <v>34</v>
      </c>
      <c r="D11" s="31">
        <v>100</v>
      </c>
      <c r="E11" s="29">
        <v>1002.481</v>
      </c>
      <c r="F11" s="30">
        <v>8.4324458583983208</v>
      </c>
      <c r="G11" s="29">
        <v>3.4249999999999998</v>
      </c>
    </row>
    <row r="12" spans="1:9" x14ac:dyDescent="0.2">
      <c r="A12" s="27" t="s">
        <v>1104</v>
      </c>
      <c r="B12" s="27" t="s">
        <v>1105</v>
      </c>
      <c r="C12" s="27" t="s">
        <v>34</v>
      </c>
      <c r="D12" s="31">
        <v>70</v>
      </c>
      <c r="E12" s="29">
        <v>907.94619999999998</v>
      </c>
      <c r="F12" s="30">
        <v>7.6372591339272198</v>
      </c>
      <c r="G12" s="29">
        <v>3.9144999999999999</v>
      </c>
    </row>
    <row r="13" spans="1:9" x14ac:dyDescent="0.2">
      <c r="A13" s="27" t="s">
        <v>957</v>
      </c>
      <c r="B13" s="27" t="s">
        <v>958</v>
      </c>
      <c r="C13" s="27" t="s">
        <v>928</v>
      </c>
      <c r="D13" s="31">
        <v>75</v>
      </c>
      <c r="E13" s="29">
        <v>752.38499999999999</v>
      </c>
      <c r="F13" s="30">
        <v>6.3287441629028596</v>
      </c>
      <c r="G13" s="29">
        <v>3.585</v>
      </c>
    </row>
    <row r="14" spans="1:9" x14ac:dyDescent="0.2">
      <c r="A14" s="27" t="s">
        <v>971</v>
      </c>
      <c r="B14" s="27" t="s">
        <v>972</v>
      </c>
      <c r="C14" s="27" t="s">
        <v>928</v>
      </c>
      <c r="D14" s="31">
        <v>310</v>
      </c>
      <c r="E14" s="29">
        <v>310.53474999999997</v>
      </c>
      <c r="F14" s="30">
        <v>2.6120868789795102</v>
      </c>
      <c r="G14" s="29">
        <v>3.3742999999999999</v>
      </c>
    </row>
    <row r="15" spans="1:9" x14ac:dyDescent="0.2">
      <c r="A15" s="26" t="s">
        <v>35</v>
      </c>
      <c r="B15" s="26"/>
      <c r="C15" s="26"/>
      <c r="D15" s="32"/>
      <c r="E15" s="33">
        <f>SUM(E6:E14)</f>
        <v>7661.3583800000006</v>
      </c>
      <c r="F15" s="34">
        <f>SUM(F6:F14)</f>
        <v>64.444103919312397</v>
      </c>
      <c r="G15" s="33"/>
      <c r="H15" s="18"/>
      <c r="I15" s="18"/>
    </row>
    <row r="16" spans="1:9" x14ac:dyDescent="0.2">
      <c r="A16" s="27"/>
      <c r="B16" s="27"/>
      <c r="C16" s="27"/>
      <c r="D16" s="28"/>
      <c r="E16" s="29"/>
      <c r="F16" s="30"/>
      <c r="G16" s="29"/>
    </row>
    <row r="17" spans="1:9" x14ac:dyDescent="0.2">
      <c r="A17" s="26" t="s">
        <v>51</v>
      </c>
      <c r="B17" s="27"/>
      <c r="C17" s="27"/>
      <c r="D17" s="28"/>
      <c r="E17" s="29"/>
      <c r="F17" s="30"/>
      <c r="G17" s="29"/>
    </row>
    <row r="18" spans="1:9" x14ac:dyDescent="0.2">
      <c r="A18" s="26" t="s">
        <v>61</v>
      </c>
      <c r="B18" s="27"/>
      <c r="C18" s="27"/>
      <c r="D18" s="28"/>
      <c r="E18" s="29"/>
      <c r="F18" s="30"/>
      <c r="G18" s="29"/>
    </row>
    <row r="19" spans="1:9" x14ac:dyDescent="0.2">
      <c r="A19" s="27" t="s">
        <v>797</v>
      </c>
      <c r="B19" s="27" t="s">
        <v>798</v>
      </c>
      <c r="C19" s="27" t="s">
        <v>65</v>
      </c>
      <c r="D19" s="31">
        <v>2100000</v>
      </c>
      <c r="E19" s="29">
        <v>2096.0079000000001</v>
      </c>
      <c r="F19" s="30">
        <v>17.630731291191701</v>
      </c>
      <c r="G19" s="29">
        <v>3.3104</v>
      </c>
    </row>
    <row r="20" spans="1:9" x14ac:dyDescent="0.2">
      <c r="A20" s="26" t="s">
        <v>35</v>
      </c>
      <c r="B20" s="26"/>
      <c r="C20" s="26"/>
      <c r="D20" s="32"/>
      <c r="E20" s="33">
        <f>SUM(E18:E19)</f>
        <v>2096.0079000000001</v>
      </c>
      <c r="F20" s="34">
        <f>SUM(F18:F19)</f>
        <v>17.630731291191701</v>
      </c>
      <c r="G20" s="33"/>
      <c r="H20" s="18"/>
      <c r="I20" s="18"/>
    </row>
    <row r="21" spans="1:9" x14ac:dyDescent="0.2">
      <c r="A21" s="27"/>
      <c r="B21" s="27"/>
      <c r="C21" s="27"/>
      <c r="D21" s="28"/>
      <c r="E21" s="29"/>
      <c r="F21" s="30"/>
      <c r="G21" s="29"/>
    </row>
    <row r="22" spans="1:9" x14ac:dyDescent="0.2">
      <c r="A22" s="26" t="s">
        <v>37</v>
      </c>
      <c r="B22" s="26"/>
      <c r="C22" s="26"/>
      <c r="D22" s="32"/>
      <c r="E22" s="33">
        <f>E15+E20</f>
        <v>9757.3662800000002</v>
      </c>
      <c r="F22" s="34">
        <f>F15+F20</f>
        <v>82.074835210504091</v>
      </c>
      <c r="G22" s="33"/>
      <c r="H22" s="18"/>
      <c r="I22" s="18"/>
    </row>
    <row r="23" spans="1:9" x14ac:dyDescent="0.2">
      <c r="A23" s="26"/>
      <c r="B23" s="26"/>
      <c r="C23" s="26"/>
      <c r="D23" s="32"/>
      <c r="E23" s="33"/>
      <c r="F23" s="34"/>
      <c r="G23" s="33"/>
      <c r="H23" s="18"/>
      <c r="I23" s="18"/>
    </row>
    <row r="24" spans="1:9" x14ac:dyDescent="0.2">
      <c r="A24" s="26" t="s">
        <v>39</v>
      </c>
      <c r="B24" s="26"/>
      <c r="C24" s="26"/>
      <c r="D24" s="32"/>
      <c r="E24" s="33">
        <f>E26-(E15+E20)</f>
        <v>2131.0112659000006</v>
      </c>
      <c r="F24" s="34">
        <f>F26-(F15+F20)</f>
        <v>17.925164789495909</v>
      </c>
      <c r="G24" s="33"/>
      <c r="H24" s="18"/>
      <c r="I24" s="18"/>
    </row>
    <row r="25" spans="1:9" x14ac:dyDescent="0.2">
      <c r="A25" s="26"/>
      <c r="B25" s="26"/>
      <c r="C25" s="26"/>
      <c r="D25" s="32"/>
      <c r="E25" s="33"/>
      <c r="F25" s="34"/>
      <c r="G25" s="33"/>
      <c r="H25" s="18"/>
      <c r="I25" s="18"/>
    </row>
    <row r="26" spans="1:9" x14ac:dyDescent="0.2">
      <c r="A26" s="35" t="s">
        <v>38</v>
      </c>
      <c r="B26" s="35"/>
      <c r="C26" s="35"/>
      <c r="D26" s="36"/>
      <c r="E26" s="37">
        <v>11888.377545900001</v>
      </c>
      <c r="F26" s="38">
        <v>100</v>
      </c>
      <c r="G26" s="37"/>
      <c r="H26" s="18"/>
      <c r="I26" s="18"/>
    </row>
    <row r="28" spans="1:9" x14ac:dyDescent="0.2">
      <c r="A28" s="18" t="s">
        <v>40</v>
      </c>
    </row>
    <row r="30" spans="1:9" x14ac:dyDescent="0.2">
      <c r="A30" s="18" t="s">
        <v>41</v>
      </c>
    </row>
    <row r="31" spans="1:9" x14ac:dyDescent="0.2">
      <c r="A31" s="18" t="s">
        <v>42</v>
      </c>
    </row>
    <row r="32" spans="1:9" x14ac:dyDescent="0.2">
      <c r="A32" s="18" t="s">
        <v>43</v>
      </c>
      <c r="B32" s="18"/>
      <c r="C32" s="39" t="s">
        <v>45</v>
      </c>
      <c r="D32" s="19" t="s">
        <v>44</v>
      </c>
    </row>
    <row r="33" spans="1:5" x14ac:dyDescent="0.2">
      <c r="A33" s="9" t="s">
        <v>70</v>
      </c>
      <c r="C33" s="40">
        <v>12.302300000000001</v>
      </c>
      <c r="D33" s="40">
        <v>12.5426</v>
      </c>
    </row>
    <row r="34" spans="1:5" x14ac:dyDescent="0.2">
      <c r="A34" s="9" t="s">
        <v>1043</v>
      </c>
      <c r="C34" s="40">
        <v>10.6279</v>
      </c>
      <c r="D34" s="40">
        <v>10.8354</v>
      </c>
    </row>
    <row r="35" spans="1:5" x14ac:dyDescent="0.2">
      <c r="A35" s="9" t="s">
        <v>72</v>
      </c>
      <c r="C35" s="40">
        <v>10.4139</v>
      </c>
      <c r="D35" s="40">
        <v>10.242000000000001</v>
      </c>
    </row>
    <row r="36" spans="1:5" x14ac:dyDescent="0.2">
      <c r="A36" s="9" t="s">
        <v>73</v>
      </c>
      <c r="C36" s="40">
        <v>12.426</v>
      </c>
      <c r="D36" s="40">
        <v>12.668699999999999</v>
      </c>
    </row>
    <row r="37" spans="1:5" x14ac:dyDescent="0.2">
      <c r="A37" s="9" t="s">
        <v>77</v>
      </c>
      <c r="C37" s="40">
        <v>10.7544</v>
      </c>
      <c r="D37" s="40">
        <v>10.9659</v>
      </c>
    </row>
    <row r="39" spans="1:5" x14ac:dyDescent="0.2">
      <c r="A39" s="18" t="s">
        <v>47</v>
      </c>
    </row>
    <row r="40" spans="1:5" x14ac:dyDescent="0.2">
      <c r="A40" s="81" t="s">
        <v>67</v>
      </c>
      <c r="B40" s="82"/>
      <c r="C40" s="43" t="s">
        <v>68</v>
      </c>
    </row>
    <row r="41" spans="1:5" x14ac:dyDescent="0.2">
      <c r="A41" s="77" t="s">
        <v>72</v>
      </c>
      <c r="B41" s="78"/>
      <c r="C41" s="44">
        <v>0.37</v>
      </c>
    </row>
    <row r="42" spans="1:5" x14ac:dyDescent="0.2">
      <c r="A42" s="9" t="s">
        <v>69</v>
      </c>
    </row>
    <row r="43" spans="1:5" x14ac:dyDescent="0.2">
      <c r="A43" s="9" t="s">
        <v>46</v>
      </c>
    </row>
    <row r="45" spans="1:5" x14ac:dyDescent="0.2">
      <c r="A45" s="18" t="s">
        <v>816</v>
      </c>
      <c r="D45" s="42">
        <v>4.3493231150684902E-2</v>
      </c>
      <c r="E45" s="13" t="s">
        <v>49</v>
      </c>
    </row>
    <row r="47" spans="1:5" x14ac:dyDescent="0.2">
      <c r="A47" s="18" t="s">
        <v>734</v>
      </c>
      <c r="D47" s="41" t="s">
        <v>48</v>
      </c>
    </row>
    <row r="49" spans="1:1" x14ac:dyDescent="0.2">
      <c r="A49" s="18" t="s">
        <v>817</v>
      </c>
    </row>
    <row r="50" spans="1:1" x14ac:dyDescent="0.2">
      <c r="A50" s="50" t="s">
        <v>50</v>
      </c>
    </row>
  </sheetData>
  <mergeCells count="3">
    <mergeCell ref="A1:G1"/>
    <mergeCell ref="A40:B40"/>
    <mergeCell ref="A41:B41"/>
  </mergeCells>
  <conditionalFormatting sqref="F2:F3 F5:F65535">
    <cfRule type="cellIs" dxfId="54" priority="1" stopIfTrue="1" operator="between">
      <formula>0.009</formula>
      <formula>-0.009</formula>
    </cfRule>
  </conditionalFormatting>
  <hyperlinks>
    <hyperlink ref="A50" r:id="rId1" tooltip="https://www.franklintempletonindia.com/downloadsServlet/pdf/product-labels-jg9o5k7l" xr:uid="{00000000-0004-0000-1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93"/>
  <sheetViews>
    <sheetView workbookViewId="0">
      <selection sqref="A1:G1"/>
    </sheetView>
  </sheetViews>
  <sheetFormatPr defaultColWidth="9.109375" defaultRowHeight="10.199999999999999" x14ac:dyDescent="0.2"/>
  <cols>
    <col min="1" max="1" width="38.6640625" style="9" bestFit="1" customWidth="1"/>
    <col min="2" max="2" width="51.88671875" style="9" bestFit="1" customWidth="1"/>
    <col min="3" max="3" width="25.10937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9" t="s">
        <v>1106</v>
      </c>
      <c r="B1" s="80"/>
      <c r="C1" s="80"/>
      <c r="D1" s="80"/>
      <c r="E1" s="80"/>
      <c r="F1" s="80"/>
      <c r="G1" s="8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5</v>
      </c>
      <c r="D4" s="16" t="s">
        <v>1</v>
      </c>
      <c r="E4" s="15" t="s">
        <v>3</v>
      </c>
      <c r="F4" s="15" t="s">
        <v>4</v>
      </c>
      <c r="G4" s="15" t="s">
        <v>6</v>
      </c>
    </row>
    <row r="5" spans="1:7" x14ac:dyDescent="0.2">
      <c r="A5" s="21" t="s">
        <v>95</v>
      </c>
      <c r="B5" s="22"/>
      <c r="C5" s="22"/>
      <c r="D5" s="23"/>
      <c r="E5" s="24"/>
      <c r="F5" s="25"/>
      <c r="G5" s="24"/>
    </row>
    <row r="6" spans="1:7" x14ac:dyDescent="0.2">
      <c r="A6" s="26" t="s">
        <v>32</v>
      </c>
      <c r="B6" s="27"/>
      <c r="C6" s="27"/>
      <c r="D6" s="28"/>
      <c r="E6" s="29"/>
      <c r="F6" s="30"/>
      <c r="G6" s="29"/>
    </row>
    <row r="7" spans="1:7" x14ac:dyDescent="0.2">
      <c r="A7" s="27" t="s">
        <v>97</v>
      </c>
      <c r="B7" s="27" t="s">
        <v>96</v>
      </c>
      <c r="C7" s="27" t="s">
        <v>98</v>
      </c>
      <c r="D7" s="31">
        <v>109904</v>
      </c>
      <c r="E7" s="29">
        <v>1737.3624319999999</v>
      </c>
      <c r="F7" s="30">
        <v>3.8057599661859598</v>
      </c>
      <c r="G7" s="29"/>
    </row>
    <row r="8" spans="1:7" x14ac:dyDescent="0.2">
      <c r="A8" s="27" t="s">
        <v>100</v>
      </c>
      <c r="B8" s="27" t="s">
        <v>99</v>
      </c>
      <c r="C8" s="27" t="s">
        <v>101</v>
      </c>
      <c r="D8" s="31">
        <v>108000</v>
      </c>
      <c r="E8" s="29">
        <v>1617.732</v>
      </c>
      <c r="F8" s="30">
        <v>3.54370485295376</v>
      </c>
      <c r="G8" s="29"/>
    </row>
    <row r="9" spans="1:7" x14ac:dyDescent="0.2">
      <c r="A9" s="27" t="s">
        <v>103</v>
      </c>
      <c r="B9" s="27" t="s">
        <v>102</v>
      </c>
      <c r="C9" s="27" t="s">
        <v>101</v>
      </c>
      <c r="D9" s="31">
        <v>206475</v>
      </c>
      <c r="E9" s="29">
        <v>1545.0524250000001</v>
      </c>
      <c r="F9" s="30">
        <v>3.3844974177060698</v>
      </c>
      <c r="G9" s="29"/>
    </row>
    <row r="10" spans="1:7" x14ac:dyDescent="0.2">
      <c r="A10" s="27" t="s">
        <v>105</v>
      </c>
      <c r="B10" s="27" t="s">
        <v>104</v>
      </c>
      <c r="C10" s="27" t="s">
        <v>101</v>
      </c>
      <c r="D10" s="31">
        <v>146474</v>
      </c>
      <c r="E10" s="29">
        <v>924.104466</v>
      </c>
      <c r="F10" s="30">
        <v>2.02428676740056</v>
      </c>
      <c r="G10" s="29"/>
    </row>
    <row r="11" spans="1:7" x14ac:dyDescent="0.2">
      <c r="A11" s="27" t="s">
        <v>107</v>
      </c>
      <c r="B11" s="27" t="s">
        <v>106</v>
      </c>
      <c r="C11" s="27" t="s">
        <v>108</v>
      </c>
      <c r="D11" s="31">
        <v>40000</v>
      </c>
      <c r="E11" s="29">
        <v>895.68</v>
      </c>
      <c r="F11" s="30">
        <v>1.9620218693168101</v>
      </c>
      <c r="G11" s="29"/>
    </row>
    <row r="12" spans="1:7" x14ac:dyDescent="0.2">
      <c r="A12" s="27" t="s">
        <v>110</v>
      </c>
      <c r="B12" s="27" t="s">
        <v>109</v>
      </c>
      <c r="C12" s="27" t="s">
        <v>111</v>
      </c>
      <c r="D12" s="31">
        <v>145373</v>
      </c>
      <c r="E12" s="29">
        <v>764.15317449999998</v>
      </c>
      <c r="F12" s="30">
        <v>1.6739072435209701</v>
      </c>
      <c r="G12" s="29"/>
    </row>
    <row r="13" spans="1:7" x14ac:dyDescent="0.2">
      <c r="A13" s="27" t="s">
        <v>113</v>
      </c>
      <c r="B13" s="27" t="s">
        <v>112</v>
      </c>
      <c r="C13" s="27" t="s">
        <v>114</v>
      </c>
      <c r="D13" s="31">
        <v>60000</v>
      </c>
      <c r="E13" s="29">
        <v>613.47</v>
      </c>
      <c r="F13" s="30">
        <v>1.3438298903289001</v>
      </c>
      <c r="G13" s="29"/>
    </row>
    <row r="14" spans="1:7" x14ac:dyDescent="0.2">
      <c r="A14" s="27" t="s">
        <v>116</v>
      </c>
      <c r="B14" s="27" t="s">
        <v>115</v>
      </c>
      <c r="C14" s="27" t="s">
        <v>101</v>
      </c>
      <c r="D14" s="31">
        <v>33853</v>
      </c>
      <c r="E14" s="29">
        <v>577.48140049999995</v>
      </c>
      <c r="F14" s="30">
        <v>1.26499546367531</v>
      </c>
      <c r="G14" s="29"/>
    </row>
    <row r="15" spans="1:7" x14ac:dyDescent="0.2">
      <c r="A15" s="27" t="s">
        <v>118</v>
      </c>
      <c r="B15" s="27" t="s">
        <v>117</v>
      </c>
      <c r="C15" s="27" t="s">
        <v>119</v>
      </c>
      <c r="D15" s="31">
        <v>129936</v>
      </c>
      <c r="E15" s="29">
        <v>483.42688800000002</v>
      </c>
      <c r="F15" s="30">
        <v>1.0589653966503301</v>
      </c>
      <c r="G15" s="29"/>
    </row>
    <row r="16" spans="1:7" x14ac:dyDescent="0.2">
      <c r="A16" s="27" t="s">
        <v>121</v>
      </c>
      <c r="B16" s="27" t="s">
        <v>120</v>
      </c>
      <c r="C16" s="27" t="s">
        <v>122</v>
      </c>
      <c r="D16" s="31">
        <v>156244</v>
      </c>
      <c r="E16" s="29">
        <v>458.10740800000002</v>
      </c>
      <c r="F16" s="30">
        <v>1.0035020911397401</v>
      </c>
      <c r="G16" s="29"/>
    </row>
    <row r="17" spans="1:7" x14ac:dyDescent="0.2">
      <c r="A17" s="27" t="s">
        <v>124</v>
      </c>
      <c r="B17" s="27" t="s">
        <v>123</v>
      </c>
      <c r="C17" s="27" t="s">
        <v>125</v>
      </c>
      <c r="D17" s="31">
        <v>8293</v>
      </c>
      <c r="E17" s="29">
        <v>449.73353650000001</v>
      </c>
      <c r="F17" s="30">
        <v>0.98515879999351397</v>
      </c>
      <c r="G17" s="29"/>
    </row>
    <row r="18" spans="1:7" x14ac:dyDescent="0.2">
      <c r="A18" s="27" t="s">
        <v>127</v>
      </c>
      <c r="B18" s="27" t="s">
        <v>126</v>
      </c>
      <c r="C18" s="27" t="s">
        <v>128</v>
      </c>
      <c r="D18" s="31">
        <v>26468</v>
      </c>
      <c r="E18" s="29">
        <v>446.19754399999999</v>
      </c>
      <c r="F18" s="30">
        <v>0.977413070922038</v>
      </c>
      <c r="G18" s="29"/>
    </row>
    <row r="19" spans="1:7" x14ac:dyDescent="0.2">
      <c r="A19" s="27" t="s">
        <v>130</v>
      </c>
      <c r="B19" s="27" t="s">
        <v>129</v>
      </c>
      <c r="C19" s="27" t="s">
        <v>131</v>
      </c>
      <c r="D19" s="31">
        <v>190244</v>
      </c>
      <c r="E19" s="29">
        <v>429.57095199999998</v>
      </c>
      <c r="F19" s="30">
        <v>0.94099187460615696</v>
      </c>
      <c r="G19" s="29"/>
    </row>
    <row r="20" spans="1:7" x14ac:dyDescent="0.2">
      <c r="A20" s="27" t="s">
        <v>133</v>
      </c>
      <c r="B20" s="27" t="s">
        <v>132</v>
      </c>
      <c r="C20" s="27" t="s">
        <v>131</v>
      </c>
      <c r="D20" s="31">
        <v>118573</v>
      </c>
      <c r="E20" s="29">
        <v>395.322382</v>
      </c>
      <c r="F20" s="30">
        <v>0.86596905023492199</v>
      </c>
      <c r="G20" s="29"/>
    </row>
    <row r="21" spans="1:7" x14ac:dyDescent="0.2">
      <c r="A21" s="27" t="s">
        <v>135</v>
      </c>
      <c r="B21" s="27" t="s">
        <v>134</v>
      </c>
      <c r="C21" s="27" t="s">
        <v>101</v>
      </c>
      <c r="D21" s="31">
        <v>88509</v>
      </c>
      <c r="E21" s="29">
        <v>371.02972799999998</v>
      </c>
      <c r="F21" s="30">
        <v>0.81275504700637302</v>
      </c>
      <c r="G21" s="29"/>
    </row>
    <row r="22" spans="1:7" x14ac:dyDescent="0.2">
      <c r="A22" s="27" t="s">
        <v>137</v>
      </c>
      <c r="B22" s="27" t="s">
        <v>136</v>
      </c>
      <c r="C22" s="27" t="s">
        <v>98</v>
      </c>
      <c r="D22" s="31">
        <v>11019</v>
      </c>
      <c r="E22" s="29">
        <v>368.66819249999998</v>
      </c>
      <c r="F22" s="30">
        <v>0.80758201166320598</v>
      </c>
      <c r="G22" s="29"/>
    </row>
    <row r="23" spans="1:7" x14ac:dyDescent="0.2">
      <c r="A23" s="27" t="s">
        <v>139</v>
      </c>
      <c r="B23" s="27" t="s">
        <v>138</v>
      </c>
      <c r="C23" s="27" t="s">
        <v>128</v>
      </c>
      <c r="D23" s="31">
        <v>12800</v>
      </c>
      <c r="E23" s="29">
        <v>316.32639999999998</v>
      </c>
      <c r="F23" s="30">
        <v>0.69292527983460395</v>
      </c>
      <c r="G23" s="29"/>
    </row>
    <row r="24" spans="1:7" x14ac:dyDescent="0.2">
      <c r="A24" s="27" t="s">
        <v>141</v>
      </c>
      <c r="B24" s="27" t="s">
        <v>140</v>
      </c>
      <c r="C24" s="27" t="s">
        <v>142</v>
      </c>
      <c r="D24" s="31">
        <v>130625</v>
      </c>
      <c r="E24" s="29">
        <v>303.57249999999999</v>
      </c>
      <c r="F24" s="30">
        <v>0.66498736593781005</v>
      </c>
      <c r="G24" s="29"/>
    </row>
    <row r="25" spans="1:7" x14ac:dyDescent="0.2">
      <c r="A25" s="27" t="s">
        <v>144</v>
      </c>
      <c r="B25" s="27" t="s">
        <v>143</v>
      </c>
      <c r="C25" s="27" t="s">
        <v>142</v>
      </c>
      <c r="D25" s="31">
        <v>217407</v>
      </c>
      <c r="E25" s="29">
        <v>253.06174799999999</v>
      </c>
      <c r="F25" s="30">
        <v>0.55434159952610296</v>
      </c>
      <c r="G25" s="29"/>
    </row>
    <row r="26" spans="1:7" x14ac:dyDescent="0.2">
      <c r="A26" s="27" t="s">
        <v>146</v>
      </c>
      <c r="B26" s="27" t="s">
        <v>145</v>
      </c>
      <c r="C26" s="27" t="s">
        <v>128</v>
      </c>
      <c r="D26" s="31">
        <v>15000</v>
      </c>
      <c r="E26" s="29">
        <v>216.94499999999999</v>
      </c>
      <c r="F26" s="30">
        <v>0.47522645860009799</v>
      </c>
      <c r="G26" s="29"/>
    </row>
    <row r="27" spans="1:7" x14ac:dyDescent="0.2">
      <c r="A27" s="27" t="s">
        <v>148</v>
      </c>
      <c r="B27" s="27" t="s">
        <v>147</v>
      </c>
      <c r="C27" s="27" t="s">
        <v>149</v>
      </c>
      <c r="D27" s="31">
        <v>26526</v>
      </c>
      <c r="E27" s="29">
        <v>206.29270199999999</v>
      </c>
      <c r="F27" s="30">
        <v>0.45189218560697603</v>
      </c>
      <c r="G27" s="29"/>
    </row>
    <row r="28" spans="1:7" x14ac:dyDescent="0.2">
      <c r="A28" s="27" t="s">
        <v>1107</v>
      </c>
      <c r="B28" s="27" t="s">
        <v>1108</v>
      </c>
      <c r="C28" s="27" t="s">
        <v>125</v>
      </c>
      <c r="D28" s="31">
        <v>7072</v>
      </c>
      <c r="E28" s="29">
        <v>205.20115200000001</v>
      </c>
      <c r="F28" s="30">
        <v>0.44950110288607897</v>
      </c>
      <c r="G28" s="29"/>
    </row>
    <row r="29" spans="1:7" x14ac:dyDescent="0.2">
      <c r="A29" s="27" t="s">
        <v>151</v>
      </c>
      <c r="B29" s="27" t="s">
        <v>150</v>
      </c>
      <c r="C29" s="27" t="s">
        <v>149</v>
      </c>
      <c r="D29" s="31">
        <v>4923</v>
      </c>
      <c r="E29" s="29">
        <v>203.5094355</v>
      </c>
      <c r="F29" s="30">
        <v>0.44579533210892203</v>
      </c>
      <c r="G29" s="29"/>
    </row>
    <row r="30" spans="1:7" x14ac:dyDescent="0.2">
      <c r="A30" s="27" t="s">
        <v>153</v>
      </c>
      <c r="B30" s="27" t="s">
        <v>152</v>
      </c>
      <c r="C30" s="27" t="s">
        <v>122</v>
      </c>
      <c r="D30" s="31">
        <v>43000</v>
      </c>
      <c r="E30" s="29">
        <v>201.28299999999999</v>
      </c>
      <c r="F30" s="30">
        <v>0.44091823856923901</v>
      </c>
      <c r="G30" s="29"/>
    </row>
    <row r="31" spans="1:7" x14ac:dyDescent="0.2">
      <c r="A31" s="27" t="s">
        <v>155</v>
      </c>
      <c r="B31" s="27" t="s">
        <v>154</v>
      </c>
      <c r="C31" s="27" t="s">
        <v>125</v>
      </c>
      <c r="D31" s="31">
        <v>23760</v>
      </c>
      <c r="E31" s="29">
        <v>153.29952</v>
      </c>
      <c r="F31" s="30">
        <v>0.335808559748761</v>
      </c>
      <c r="G31" s="29"/>
    </row>
    <row r="32" spans="1:7" x14ac:dyDescent="0.2">
      <c r="A32" s="27" t="s">
        <v>157</v>
      </c>
      <c r="B32" s="27" t="s">
        <v>156</v>
      </c>
      <c r="C32" s="27" t="s">
        <v>101</v>
      </c>
      <c r="D32" s="31">
        <v>87200</v>
      </c>
      <c r="E32" s="29">
        <v>145.27520000000001</v>
      </c>
      <c r="F32" s="30">
        <v>0.31823097475591</v>
      </c>
      <c r="G32" s="29"/>
    </row>
    <row r="33" spans="1:9" x14ac:dyDescent="0.2">
      <c r="A33" s="27" t="s">
        <v>159</v>
      </c>
      <c r="B33" s="27" t="s">
        <v>158</v>
      </c>
      <c r="C33" s="27" t="s">
        <v>160</v>
      </c>
      <c r="D33" s="31">
        <v>65910</v>
      </c>
      <c r="E33" s="29">
        <v>142.20082500000001</v>
      </c>
      <c r="F33" s="30">
        <v>0.31149643676859301</v>
      </c>
      <c r="G33" s="29"/>
    </row>
    <row r="34" spans="1:9" x14ac:dyDescent="0.2">
      <c r="A34" s="27" t="s">
        <v>162</v>
      </c>
      <c r="B34" s="27" t="s">
        <v>161</v>
      </c>
      <c r="C34" s="27" t="s">
        <v>149</v>
      </c>
      <c r="D34" s="31">
        <v>39940</v>
      </c>
      <c r="E34" s="29">
        <v>135.63623999999999</v>
      </c>
      <c r="F34" s="30">
        <v>0.29711645805634102</v>
      </c>
      <c r="G34" s="29"/>
    </row>
    <row r="35" spans="1:9" x14ac:dyDescent="0.2">
      <c r="A35" s="27" t="s">
        <v>163</v>
      </c>
      <c r="B35" s="27" t="s">
        <v>725</v>
      </c>
      <c r="C35" s="27" t="s">
        <v>160</v>
      </c>
      <c r="D35" s="31">
        <v>7703</v>
      </c>
      <c r="E35" s="29">
        <v>14.273659</v>
      </c>
      <c r="F35" s="30">
        <v>3.12670050834793E-2</v>
      </c>
      <c r="G35" s="29"/>
    </row>
    <row r="36" spans="1:9" x14ac:dyDescent="0.2">
      <c r="A36" s="26" t="s">
        <v>35</v>
      </c>
      <c r="B36" s="26"/>
      <c r="C36" s="26"/>
      <c r="D36" s="32"/>
      <c r="E36" s="33">
        <f>SUM(E7:E35)</f>
        <v>14573.9699105</v>
      </c>
      <c r="F36" s="34">
        <f>SUM(F7:F35)</f>
        <v>31.924847810787533</v>
      </c>
      <c r="G36" s="33"/>
      <c r="H36" s="18"/>
      <c r="I36" s="18"/>
    </row>
    <row r="37" spans="1:9" x14ac:dyDescent="0.2">
      <c r="A37" s="27"/>
      <c r="B37" s="27"/>
      <c r="C37" s="27"/>
      <c r="D37" s="28"/>
      <c r="E37" s="29"/>
      <c r="F37" s="30"/>
      <c r="G37" s="29"/>
    </row>
    <row r="38" spans="1:9" x14ac:dyDescent="0.2">
      <c r="A38" s="26" t="s">
        <v>31</v>
      </c>
      <c r="B38" s="27"/>
      <c r="C38" s="27"/>
      <c r="D38" s="28"/>
      <c r="E38" s="29"/>
      <c r="F38" s="30"/>
      <c r="G38" s="29"/>
    </row>
    <row r="39" spans="1:9" x14ac:dyDescent="0.2">
      <c r="A39" s="26" t="s">
        <v>32</v>
      </c>
      <c r="B39" s="27"/>
      <c r="C39" s="27"/>
      <c r="D39" s="28"/>
      <c r="E39" s="29"/>
      <c r="F39" s="30"/>
      <c r="G39" s="29"/>
    </row>
    <row r="40" spans="1:9" x14ac:dyDescent="0.2">
      <c r="A40" s="27" t="s">
        <v>165</v>
      </c>
      <c r="B40" s="27" t="s">
        <v>164</v>
      </c>
      <c r="C40" s="27" t="s">
        <v>34</v>
      </c>
      <c r="D40" s="31">
        <v>200</v>
      </c>
      <c r="E40" s="29">
        <v>2066.1999999999998</v>
      </c>
      <c r="F40" s="30">
        <v>4.5260914460325097</v>
      </c>
      <c r="G40" s="29">
        <v>4.99</v>
      </c>
    </row>
    <row r="41" spans="1:9" x14ac:dyDescent="0.2">
      <c r="A41" s="27" t="s">
        <v>1109</v>
      </c>
      <c r="B41" s="27" t="s">
        <v>1110</v>
      </c>
      <c r="C41" s="27" t="s">
        <v>34</v>
      </c>
      <c r="D41" s="31">
        <v>150</v>
      </c>
      <c r="E41" s="29">
        <v>1651.9545000000001</v>
      </c>
      <c r="F41" s="30">
        <v>3.6186705699762398</v>
      </c>
      <c r="G41" s="29">
        <v>5.45</v>
      </c>
    </row>
    <row r="42" spans="1:9" x14ac:dyDescent="0.2">
      <c r="A42" s="27" t="s">
        <v>93</v>
      </c>
      <c r="B42" s="27" t="s">
        <v>92</v>
      </c>
      <c r="C42" s="27" t="s">
        <v>33</v>
      </c>
      <c r="D42" s="31">
        <v>50</v>
      </c>
      <c r="E42" s="29">
        <v>505.44850000000002</v>
      </c>
      <c r="F42" s="30">
        <v>1.1072045940663799</v>
      </c>
      <c r="G42" s="29">
        <v>8.6390999999999991</v>
      </c>
    </row>
    <row r="43" spans="1:9" x14ac:dyDescent="0.2">
      <c r="A43" s="27" t="s">
        <v>959</v>
      </c>
      <c r="B43" s="27" t="s">
        <v>960</v>
      </c>
      <c r="C43" s="27" t="s">
        <v>34</v>
      </c>
      <c r="D43" s="31">
        <v>45</v>
      </c>
      <c r="E43" s="29">
        <v>491.08499999999998</v>
      </c>
      <c r="F43" s="30">
        <v>1.0757407887788599</v>
      </c>
      <c r="G43" s="29">
        <v>6.0593000000000004</v>
      </c>
    </row>
    <row r="44" spans="1:9" x14ac:dyDescent="0.2">
      <c r="A44" s="26" t="s">
        <v>35</v>
      </c>
      <c r="B44" s="26"/>
      <c r="C44" s="26"/>
      <c r="D44" s="32"/>
      <c r="E44" s="33">
        <f>SUM(E39:E43)</f>
        <v>4714.6880000000001</v>
      </c>
      <c r="F44" s="34">
        <f>SUM(F39:F43)</f>
        <v>10.32770739885399</v>
      </c>
      <c r="G44" s="33"/>
      <c r="H44" s="18"/>
      <c r="I44" s="18"/>
    </row>
    <row r="45" spans="1:9" x14ac:dyDescent="0.2">
      <c r="A45" s="27"/>
      <c r="B45" s="27"/>
      <c r="C45" s="27"/>
      <c r="D45" s="28"/>
      <c r="E45" s="29"/>
      <c r="F45" s="30"/>
      <c r="G45" s="29"/>
    </row>
    <row r="46" spans="1:9" x14ac:dyDescent="0.2">
      <c r="A46" s="26" t="s">
        <v>51</v>
      </c>
      <c r="B46" s="27"/>
      <c r="C46" s="27"/>
      <c r="D46" s="28"/>
      <c r="E46" s="29"/>
      <c r="F46" s="30"/>
      <c r="G46" s="29"/>
    </row>
    <row r="47" spans="1:9" x14ac:dyDescent="0.2">
      <c r="A47" s="26" t="s">
        <v>55</v>
      </c>
      <c r="B47" s="27"/>
      <c r="C47" s="27"/>
      <c r="D47" s="28"/>
      <c r="E47" s="29"/>
      <c r="F47" s="30"/>
      <c r="G47" s="29"/>
    </row>
    <row r="48" spans="1:9" x14ac:dyDescent="0.2">
      <c r="A48" s="27" t="s">
        <v>1111</v>
      </c>
      <c r="B48" s="27" t="s">
        <v>1112</v>
      </c>
      <c r="C48" s="27" t="s">
        <v>53</v>
      </c>
      <c r="D48" s="31">
        <v>400</v>
      </c>
      <c r="E48" s="29">
        <v>1965.6279999999999</v>
      </c>
      <c r="F48" s="30">
        <v>4.3057845692004602</v>
      </c>
      <c r="G48" s="29">
        <v>3.8450000000000002</v>
      </c>
    </row>
    <row r="49" spans="1:9" x14ac:dyDescent="0.2">
      <c r="A49" s="26" t="s">
        <v>35</v>
      </c>
      <c r="B49" s="26"/>
      <c r="C49" s="26"/>
      <c r="D49" s="32"/>
      <c r="E49" s="33">
        <f>SUM(E47:E48)</f>
        <v>1965.6279999999999</v>
      </c>
      <c r="F49" s="34">
        <f>SUM(F47:F48)</f>
        <v>4.3057845692004602</v>
      </c>
      <c r="G49" s="33"/>
      <c r="H49" s="18"/>
      <c r="I49" s="18"/>
    </row>
    <row r="50" spans="1:9" x14ac:dyDescent="0.2">
      <c r="A50" s="27"/>
      <c r="B50" s="27"/>
      <c r="C50" s="27"/>
      <c r="D50" s="28"/>
      <c r="E50" s="29"/>
      <c r="F50" s="30"/>
      <c r="G50" s="29"/>
    </row>
    <row r="51" spans="1:9" x14ac:dyDescent="0.2">
      <c r="A51" s="26" t="s">
        <v>61</v>
      </c>
      <c r="B51" s="27"/>
      <c r="C51" s="27"/>
      <c r="D51" s="28"/>
      <c r="E51" s="29"/>
      <c r="F51" s="30"/>
      <c r="G51" s="29"/>
    </row>
    <row r="52" spans="1:9" x14ac:dyDescent="0.2">
      <c r="A52" s="27" t="s">
        <v>787</v>
      </c>
      <c r="B52" s="27" t="s">
        <v>788</v>
      </c>
      <c r="C52" s="27" t="s">
        <v>65</v>
      </c>
      <c r="D52" s="31">
        <v>4000000</v>
      </c>
      <c r="E52" s="29">
        <v>3976.8</v>
      </c>
      <c r="F52" s="30">
        <v>8.7113350414200408</v>
      </c>
      <c r="G52" s="29">
        <v>3.3799000000000001</v>
      </c>
    </row>
    <row r="53" spans="1:9" x14ac:dyDescent="0.2">
      <c r="A53" s="27" t="s">
        <v>852</v>
      </c>
      <c r="B53" s="27" t="s">
        <v>853</v>
      </c>
      <c r="C53" s="27" t="s">
        <v>65</v>
      </c>
      <c r="D53" s="31">
        <v>3000000</v>
      </c>
      <c r="E53" s="29">
        <v>2947.95</v>
      </c>
      <c r="F53" s="30">
        <v>6.4575991086688296</v>
      </c>
      <c r="G53" s="29">
        <v>3.6825999999999999</v>
      </c>
    </row>
    <row r="54" spans="1:9" x14ac:dyDescent="0.2">
      <c r="A54" s="26" t="s">
        <v>35</v>
      </c>
      <c r="B54" s="26"/>
      <c r="C54" s="26"/>
      <c r="D54" s="32"/>
      <c r="E54" s="33">
        <f>SUM(E51:E53)</f>
        <v>6924.75</v>
      </c>
      <c r="F54" s="34">
        <f>SUM(F51:F53)</f>
        <v>15.168934150088869</v>
      </c>
      <c r="G54" s="33"/>
      <c r="H54" s="18"/>
      <c r="I54" s="18"/>
    </row>
    <row r="55" spans="1:9" x14ac:dyDescent="0.2">
      <c r="A55" s="27"/>
      <c r="B55" s="27"/>
      <c r="C55" s="27"/>
      <c r="D55" s="28"/>
      <c r="E55" s="29"/>
      <c r="F55" s="30"/>
      <c r="G55" s="29"/>
    </row>
    <row r="56" spans="1:9" x14ac:dyDescent="0.2">
      <c r="A56" s="26" t="s">
        <v>62</v>
      </c>
      <c r="B56" s="27"/>
      <c r="C56" s="27"/>
      <c r="D56" s="28"/>
      <c r="E56" s="29"/>
      <c r="F56" s="30"/>
      <c r="G56" s="29"/>
    </row>
    <row r="57" spans="1:9" x14ac:dyDescent="0.2">
      <c r="A57" s="27" t="s">
        <v>79</v>
      </c>
      <c r="B57" s="27" t="s">
        <v>78</v>
      </c>
      <c r="C57" s="27" t="s">
        <v>65</v>
      </c>
      <c r="D57" s="31">
        <v>5500000</v>
      </c>
      <c r="E57" s="29">
        <v>5396.5065000000004</v>
      </c>
      <c r="F57" s="30">
        <v>11.821257336225401</v>
      </c>
      <c r="G57" s="29">
        <v>5.6414</v>
      </c>
    </row>
    <row r="58" spans="1:9" x14ac:dyDescent="0.2">
      <c r="A58" s="27" t="s">
        <v>81</v>
      </c>
      <c r="B58" s="27" t="s">
        <v>80</v>
      </c>
      <c r="C58" s="27" t="s">
        <v>65</v>
      </c>
      <c r="D58" s="31">
        <v>4815000</v>
      </c>
      <c r="E58" s="29">
        <v>4970.0044799999996</v>
      </c>
      <c r="F58" s="30">
        <v>10.8869880765034</v>
      </c>
      <c r="G58" s="29">
        <v>6.1269999999999998</v>
      </c>
    </row>
    <row r="59" spans="1:9" x14ac:dyDescent="0.2">
      <c r="A59" s="27" t="s">
        <v>85</v>
      </c>
      <c r="B59" s="27" t="s">
        <v>84</v>
      </c>
      <c r="C59" s="27" t="s">
        <v>65</v>
      </c>
      <c r="D59" s="31">
        <v>2600000</v>
      </c>
      <c r="E59" s="29">
        <v>2742.9974000000002</v>
      </c>
      <c r="F59" s="30">
        <v>6.0086424686039202</v>
      </c>
      <c r="G59" s="29">
        <v>5.9260999999999999</v>
      </c>
    </row>
    <row r="60" spans="1:9" x14ac:dyDescent="0.2">
      <c r="A60" s="27" t="s">
        <v>83</v>
      </c>
      <c r="B60" s="27" t="s">
        <v>82</v>
      </c>
      <c r="C60" s="27" t="s">
        <v>65</v>
      </c>
      <c r="D60" s="31">
        <v>1305000</v>
      </c>
      <c r="E60" s="29">
        <v>1367.2197900000001</v>
      </c>
      <c r="F60" s="30">
        <v>2.9949481155577198</v>
      </c>
      <c r="G60" s="29">
        <v>6.2675000000000001</v>
      </c>
    </row>
    <row r="61" spans="1:9" x14ac:dyDescent="0.2">
      <c r="A61" s="27" t="s">
        <v>167</v>
      </c>
      <c r="B61" s="27" t="s">
        <v>166</v>
      </c>
      <c r="C61" s="27" t="s">
        <v>65</v>
      </c>
      <c r="D61" s="31">
        <v>900000</v>
      </c>
      <c r="E61" s="29">
        <v>925.58339999999998</v>
      </c>
      <c r="F61" s="30">
        <v>2.0275264298372302</v>
      </c>
      <c r="G61" s="29">
        <v>5.2388000000000003</v>
      </c>
    </row>
    <row r="62" spans="1:9" x14ac:dyDescent="0.2">
      <c r="A62" s="27" t="s">
        <v>87</v>
      </c>
      <c r="B62" s="27" t="s">
        <v>86</v>
      </c>
      <c r="C62" s="27" t="s">
        <v>65</v>
      </c>
      <c r="D62" s="31">
        <v>400000</v>
      </c>
      <c r="E62" s="29">
        <v>423.02</v>
      </c>
      <c r="F62" s="30">
        <v>0.92664175951053696</v>
      </c>
      <c r="G62" s="29">
        <v>4.9111000000000002</v>
      </c>
    </row>
    <row r="63" spans="1:9" x14ac:dyDescent="0.2">
      <c r="A63" s="27" t="s">
        <v>89</v>
      </c>
      <c r="B63" s="27" t="s">
        <v>88</v>
      </c>
      <c r="C63" s="27" t="s">
        <v>65</v>
      </c>
      <c r="D63" s="31">
        <v>100000</v>
      </c>
      <c r="E63" s="29">
        <v>98.669200000000004</v>
      </c>
      <c r="F63" s="30">
        <v>0.21613871943997201</v>
      </c>
      <c r="G63" s="29">
        <v>5.5989000000000004</v>
      </c>
    </row>
    <row r="64" spans="1:9" x14ac:dyDescent="0.2">
      <c r="A64" s="26" t="s">
        <v>35</v>
      </c>
      <c r="B64" s="26"/>
      <c r="C64" s="26"/>
      <c r="D64" s="32"/>
      <c r="E64" s="33">
        <f>SUM(E57:E63)</f>
        <v>15924.000769999999</v>
      </c>
      <c r="F64" s="34">
        <f>SUM(F57:F63)</f>
        <v>34.88214290567818</v>
      </c>
      <c r="G64" s="33"/>
      <c r="H64" s="18"/>
      <c r="I64" s="18"/>
    </row>
    <row r="65" spans="1:9" x14ac:dyDescent="0.2">
      <c r="A65" s="27"/>
      <c r="B65" s="27"/>
      <c r="C65" s="27"/>
      <c r="D65" s="28"/>
      <c r="E65" s="29"/>
      <c r="F65" s="30"/>
      <c r="G65" s="29"/>
    </row>
    <row r="66" spans="1:9" x14ac:dyDescent="0.2">
      <c r="A66" s="26" t="s">
        <v>37</v>
      </c>
      <c r="B66" s="26"/>
      <c r="C66" s="26"/>
      <c r="D66" s="32"/>
      <c r="E66" s="33">
        <f>E36+E44+E49+E54+E64</f>
        <v>44103.036680499994</v>
      </c>
      <c r="F66" s="34">
        <f>F36+F44+F49+F54+F64</f>
        <v>96.609416834609036</v>
      </c>
      <c r="G66" s="33"/>
      <c r="H66" s="18"/>
      <c r="I66" s="18"/>
    </row>
    <row r="67" spans="1:9" x14ac:dyDescent="0.2">
      <c r="A67" s="26"/>
      <c r="B67" s="26"/>
      <c r="C67" s="26"/>
      <c r="D67" s="32"/>
      <c r="E67" s="33"/>
      <c r="F67" s="34"/>
      <c r="G67" s="33"/>
      <c r="H67" s="18"/>
      <c r="I67" s="18"/>
    </row>
    <row r="68" spans="1:9" x14ac:dyDescent="0.2">
      <c r="A68" s="26" t="s">
        <v>39</v>
      </c>
      <c r="B68" s="26"/>
      <c r="C68" s="26"/>
      <c r="D68" s="32"/>
      <c r="E68" s="33">
        <f>E70-(E36+E44+E49+E54+E64)</f>
        <v>1547.8306216000055</v>
      </c>
      <c r="F68" s="34">
        <f>F70-(F36+F44+F49+F54+F64)</f>
        <v>3.3905831653909644</v>
      </c>
      <c r="G68" s="33"/>
      <c r="H68" s="18"/>
      <c r="I68" s="18"/>
    </row>
    <row r="69" spans="1:9" x14ac:dyDescent="0.2">
      <c r="A69" s="26"/>
      <c r="B69" s="26"/>
      <c r="C69" s="26"/>
      <c r="D69" s="32"/>
      <c r="E69" s="33"/>
      <c r="F69" s="34"/>
      <c r="G69" s="33"/>
      <c r="H69" s="18"/>
      <c r="I69" s="18"/>
    </row>
    <row r="70" spans="1:9" x14ac:dyDescent="0.2">
      <c r="A70" s="35" t="s">
        <v>38</v>
      </c>
      <c r="B70" s="35"/>
      <c r="C70" s="35"/>
      <c r="D70" s="36"/>
      <c r="E70" s="37">
        <v>45650.8673021</v>
      </c>
      <c r="F70" s="38">
        <v>100</v>
      </c>
      <c r="G70" s="37"/>
      <c r="H70" s="18"/>
      <c r="I70" s="18"/>
    </row>
    <row r="72" spans="1:9" x14ac:dyDescent="0.2">
      <c r="A72" s="18" t="s">
        <v>66</v>
      </c>
    </row>
    <row r="73" spans="1:9" x14ac:dyDescent="0.2">
      <c r="A73" s="18" t="s">
        <v>40</v>
      </c>
    </row>
    <row r="74" spans="1:9" x14ac:dyDescent="0.2">
      <c r="A74" s="18" t="s">
        <v>726</v>
      </c>
    </row>
    <row r="75" spans="1:9" x14ac:dyDescent="0.2">
      <c r="A75" s="18"/>
    </row>
    <row r="76" spans="1:9" x14ac:dyDescent="0.2">
      <c r="A76" s="18" t="s">
        <v>41</v>
      </c>
    </row>
    <row r="77" spans="1:9" x14ac:dyDescent="0.2">
      <c r="A77" s="18" t="s">
        <v>42</v>
      </c>
    </row>
    <row r="78" spans="1:9" x14ac:dyDescent="0.2">
      <c r="A78" s="18" t="s">
        <v>43</v>
      </c>
      <c r="B78" s="18"/>
      <c r="C78" s="39" t="s">
        <v>45</v>
      </c>
      <c r="D78" s="19" t="s">
        <v>44</v>
      </c>
    </row>
    <row r="79" spans="1:9" x14ac:dyDescent="0.2">
      <c r="A79" s="9" t="s">
        <v>70</v>
      </c>
      <c r="C79" s="40">
        <v>145.5668</v>
      </c>
      <c r="D79" s="40">
        <v>154.50890000000001</v>
      </c>
    </row>
    <row r="80" spans="1:9" x14ac:dyDescent="0.2">
      <c r="A80" s="9" t="s">
        <v>76</v>
      </c>
      <c r="C80" s="40">
        <v>16.703299999999999</v>
      </c>
      <c r="D80" s="40">
        <v>17.729399999999998</v>
      </c>
    </row>
    <row r="81" spans="1:5" x14ac:dyDescent="0.2">
      <c r="A81" s="9" t="s">
        <v>73</v>
      </c>
      <c r="C81" s="40">
        <v>154.0438</v>
      </c>
      <c r="D81" s="40">
        <v>164.11519999999999</v>
      </c>
    </row>
    <row r="82" spans="1:5" x14ac:dyDescent="0.2">
      <c r="A82" s="9" t="s">
        <v>77</v>
      </c>
      <c r="C82" s="40">
        <v>17.999199999999998</v>
      </c>
      <c r="D82" s="40">
        <v>19.172499999999999</v>
      </c>
    </row>
    <row r="84" spans="1:5" x14ac:dyDescent="0.2">
      <c r="A84" s="9" t="s">
        <v>46</v>
      </c>
    </row>
    <row r="86" spans="1:5" x14ac:dyDescent="0.2">
      <c r="A86" s="18" t="s">
        <v>47</v>
      </c>
      <c r="D86" s="41" t="s">
        <v>48</v>
      </c>
    </row>
    <row r="88" spans="1:5" x14ac:dyDescent="0.2">
      <c r="A88" s="18" t="s">
        <v>816</v>
      </c>
      <c r="D88" s="42">
        <v>3.0286492117235801</v>
      </c>
      <c r="E88" s="13" t="s">
        <v>49</v>
      </c>
    </row>
    <row r="90" spans="1:5" x14ac:dyDescent="0.2">
      <c r="A90" s="18" t="s">
        <v>734</v>
      </c>
      <c r="D90" s="41" t="s">
        <v>48</v>
      </c>
    </row>
    <row r="92" spans="1:5" x14ac:dyDescent="0.2">
      <c r="A92" s="18" t="s">
        <v>817</v>
      </c>
    </row>
    <row r="93" spans="1:5" x14ac:dyDescent="0.2">
      <c r="A93" s="50" t="s">
        <v>50</v>
      </c>
    </row>
  </sheetData>
  <mergeCells count="1">
    <mergeCell ref="A1:G1"/>
  </mergeCells>
  <conditionalFormatting sqref="F2:F3 F5:F65536">
    <cfRule type="cellIs" dxfId="53" priority="1" stopIfTrue="1" operator="between">
      <formula>0.009</formula>
      <formula>-0.009</formula>
    </cfRule>
  </conditionalFormatting>
  <hyperlinks>
    <hyperlink ref="A93" r:id="rId1" tooltip="https://www.franklintempletonindia.com/downloadsServlet/pdf/product-labels-jg9o5k7l" xr:uid="{00000000-0004-0000-1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06"/>
  <sheetViews>
    <sheetView workbookViewId="0">
      <selection sqref="A1:G1"/>
    </sheetView>
  </sheetViews>
  <sheetFormatPr defaultColWidth="9.109375" defaultRowHeight="10.199999999999999" x14ac:dyDescent="0.2"/>
  <cols>
    <col min="1" max="1" width="40.5546875" style="9" bestFit="1" customWidth="1"/>
    <col min="2" max="2" width="51" style="9" bestFit="1" customWidth="1"/>
    <col min="3" max="3" width="25.10937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9" t="s">
        <v>1113</v>
      </c>
      <c r="B1" s="80"/>
      <c r="C1" s="80"/>
      <c r="D1" s="80"/>
      <c r="E1" s="80"/>
      <c r="F1" s="80"/>
      <c r="G1" s="80"/>
    </row>
    <row r="2" spans="1:7" s="1" customFormat="1" ht="12" x14ac:dyDescent="0.25">
      <c r="A2" s="66" t="s">
        <v>1114</v>
      </c>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5</v>
      </c>
      <c r="D4" s="16" t="s">
        <v>1</v>
      </c>
      <c r="E4" s="15" t="s">
        <v>3</v>
      </c>
      <c r="F4" s="15" t="s">
        <v>4</v>
      </c>
      <c r="G4" s="15" t="s">
        <v>6</v>
      </c>
    </row>
    <row r="5" spans="1:7" x14ac:dyDescent="0.2">
      <c r="A5" s="21" t="s">
        <v>95</v>
      </c>
      <c r="B5" s="22"/>
      <c r="C5" s="22"/>
      <c r="D5" s="23"/>
      <c r="E5" s="24"/>
      <c r="F5" s="25"/>
      <c r="G5" s="24"/>
    </row>
    <row r="6" spans="1:7" x14ac:dyDescent="0.2">
      <c r="A6" s="26" t="s">
        <v>32</v>
      </c>
      <c r="B6" s="27"/>
      <c r="C6" s="27"/>
      <c r="D6" s="28"/>
      <c r="E6" s="29"/>
      <c r="F6" s="30"/>
      <c r="G6" s="29"/>
    </row>
    <row r="7" spans="1:7" x14ac:dyDescent="0.2">
      <c r="A7" s="27" t="s">
        <v>97</v>
      </c>
      <c r="B7" s="27" t="s">
        <v>96</v>
      </c>
      <c r="C7" s="27" t="s">
        <v>98</v>
      </c>
      <c r="D7" s="31">
        <v>34838</v>
      </c>
      <c r="E7" s="29">
        <v>550.71910400000002</v>
      </c>
      <c r="F7" s="30">
        <v>2.7136431940616301</v>
      </c>
      <c r="G7" s="29"/>
    </row>
    <row r="8" spans="1:7" x14ac:dyDescent="0.2">
      <c r="A8" s="27" t="s">
        <v>103</v>
      </c>
      <c r="B8" s="27" t="s">
        <v>102</v>
      </c>
      <c r="C8" s="27" t="s">
        <v>101</v>
      </c>
      <c r="D8" s="31">
        <v>70488</v>
      </c>
      <c r="E8" s="29">
        <v>527.46170400000005</v>
      </c>
      <c r="F8" s="30">
        <v>2.59904341939761</v>
      </c>
      <c r="G8" s="29"/>
    </row>
    <row r="9" spans="1:7" x14ac:dyDescent="0.2">
      <c r="A9" s="27" t="s">
        <v>105</v>
      </c>
      <c r="B9" s="27" t="s">
        <v>104</v>
      </c>
      <c r="C9" s="27" t="s">
        <v>101</v>
      </c>
      <c r="D9" s="31">
        <v>45874</v>
      </c>
      <c r="E9" s="29">
        <v>289.41906599999999</v>
      </c>
      <c r="F9" s="30">
        <v>1.4260992091579501</v>
      </c>
      <c r="G9" s="29"/>
    </row>
    <row r="10" spans="1:7" x14ac:dyDescent="0.2">
      <c r="A10" s="27" t="s">
        <v>100</v>
      </c>
      <c r="B10" s="27" t="s">
        <v>99</v>
      </c>
      <c r="C10" s="27" t="s">
        <v>101</v>
      </c>
      <c r="D10" s="31">
        <v>18986</v>
      </c>
      <c r="E10" s="29">
        <v>284.39129400000002</v>
      </c>
      <c r="F10" s="30">
        <v>1.4013250926074301</v>
      </c>
      <c r="G10" s="29"/>
    </row>
    <row r="11" spans="1:7" x14ac:dyDescent="0.2">
      <c r="A11" s="27" t="s">
        <v>113</v>
      </c>
      <c r="B11" s="27" t="s">
        <v>112</v>
      </c>
      <c r="C11" s="27" t="s">
        <v>114</v>
      </c>
      <c r="D11" s="31">
        <v>24500</v>
      </c>
      <c r="E11" s="29">
        <v>250.50024999999999</v>
      </c>
      <c r="F11" s="30">
        <v>1.23432852353572</v>
      </c>
      <c r="G11" s="29"/>
    </row>
    <row r="12" spans="1:7" x14ac:dyDescent="0.2">
      <c r="A12" s="27" t="s">
        <v>141</v>
      </c>
      <c r="B12" s="27" t="s">
        <v>140</v>
      </c>
      <c r="C12" s="27" t="s">
        <v>142</v>
      </c>
      <c r="D12" s="31">
        <v>103926</v>
      </c>
      <c r="E12" s="29">
        <v>241.524024</v>
      </c>
      <c r="F12" s="30">
        <v>1.19009858050971</v>
      </c>
      <c r="G12" s="29"/>
    </row>
    <row r="13" spans="1:7" x14ac:dyDescent="0.2">
      <c r="A13" s="27" t="s">
        <v>124</v>
      </c>
      <c r="B13" s="27" t="s">
        <v>123</v>
      </c>
      <c r="C13" s="27" t="s">
        <v>125</v>
      </c>
      <c r="D13" s="31">
        <v>4300</v>
      </c>
      <c r="E13" s="29">
        <v>233.19114999999999</v>
      </c>
      <c r="F13" s="30">
        <v>1.14903872503559</v>
      </c>
      <c r="G13" s="29"/>
    </row>
    <row r="14" spans="1:7" x14ac:dyDescent="0.2">
      <c r="A14" s="27" t="s">
        <v>110</v>
      </c>
      <c r="B14" s="27" t="s">
        <v>109</v>
      </c>
      <c r="C14" s="27" t="s">
        <v>111</v>
      </c>
      <c r="D14" s="31">
        <v>36903</v>
      </c>
      <c r="E14" s="29">
        <v>193.98061949999999</v>
      </c>
      <c r="F14" s="30">
        <v>0.95583062955817499</v>
      </c>
      <c r="G14" s="29"/>
    </row>
    <row r="15" spans="1:7" x14ac:dyDescent="0.2">
      <c r="A15" s="27" t="s">
        <v>169</v>
      </c>
      <c r="B15" s="27" t="s">
        <v>168</v>
      </c>
      <c r="C15" s="27" t="s">
        <v>128</v>
      </c>
      <c r="D15" s="31">
        <v>33697</v>
      </c>
      <c r="E15" s="29">
        <v>193.82514399999999</v>
      </c>
      <c r="F15" s="30">
        <v>0.95506453114365797</v>
      </c>
      <c r="G15" s="29"/>
    </row>
    <row r="16" spans="1:7" x14ac:dyDescent="0.2">
      <c r="A16" s="27" t="s">
        <v>133</v>
      </c>
      <c r="B16" s="27" t="s">
        <v>132</v>
      </c>
      <c r="C16" s="27" t="s">
        <v>131</v>
      </c>
      <c r="D16" s="31">
        <v>55586</v>
      </c>
      <c r="E16" s="29">
        <v>185.323724</v>
      </c>
      <c r="F16" s="30">
        <v>0.91317417296414705</v>
      </c>
      <c r="G16" s="29"/>
    </row>
    <row r="17" spans="1:9" x14ac:dyDescent="0.2">
      <c r="A17" s="27" t="s">
        <v>107</v>
      </c>
      <c r="B17" s="27" t="s">
        <v>106</v>
      </c>
      <c r="C17" s="27" t="s">
        <v>108</v>
      </c>
      <c r="D17" s="31">
        <v>7500</v>
      </c>
      <c r="E17" s="29">
        <v>167.94</v>
      </c>
      <c r="F17" s="30">
        <v>0.82751666811745495</v>
      </c>
      <c r="G17" s="29"/>
    </row>
    <row r="18" spans="1:9" x14ac:dyDescent="0.2">
      <c r="A18" s="27" t="s">
        <v>127</v>
      </c>
      <c r="B18" s="27" t="s">
        <v>126</v>
      </c>
      <c r="C18" s="27" t="s">
        <v>128</v>
      </c>
      <c r="D18" s="31">
        <v>9526</v>
      </c>
      <c r="E18" s="29">
        <v>160.58930799999999</v>
      </c>
      <c r="F18" s="30">
        <v>0.79129646952154198</v>
      </c>
      <c r="G18" s="29"/>
    </row>
    <row r="19" spans="1:9" x14ac:dyDescent="0.2">
      <c r="A19" s="27" t="s">
        <v>118</v>
      </c>
      <c r="B19" s="27" t="s">
        <v>117</v>
      </c>
      <c r="C19" s="27" t="s">
        <v>119</v>
      </c>
      <c r="D19" s="31">
        <v>41457</v>
      </c>
      <c r="E19" s="29">
        <v>154.2407685</v>
      </c>
      <c r="F19" s="30">
        <v>0.76001433152909204</v>
      </c>
      <c r="G19" s="29"/>
    </row>
    <row r="20" spans="1:9" x14ac:dyDescent="0.2">
      <c r="A20" s="27" t="s">
        <v>146</v>
      </c>
      <c r="B20" s="27" t="s">
        <v>145</v>
      </c>
      <c r="C20" s="27" t="s">
        <v>128</v>
      </c>
      <c r="D20" s="31">
        <v>10000</v>
      </c>
      <c r="E20" s="29">
        <v>144.63</v>
      </c>
      <c r="F20" s="30">
        <v>0.71265770935945905</v>
      </c>
      <c r="G20" s="29"/>
    </row>
    <row r="21" spans="1:9" x14ac:dyDescent="0.2">
      <c r="A21" s="27" t="s">
        <v>153</v>
      </c>
      <c r="B21" s="27" t="s">
        <v>152</v>
      </c>
      <c r="C21" s="27" t="s">
        <v>122</v>
      </c>
      <c r="D21" s="31">
        <v>30000</v>
      </c>
      <c r="E21" s="29">
        <v>140.43</v>
      </c>
      <c r="F21" s="30">
        <v>0.69196240147513499</v>
      </c>
      <c r="G21" s="29"/>
    </row>
    <row r="22" spans="1:9" x14ac:dyDescent="0.2">
      <c r="A22" s="27" t="s">
        <v>135</v>
      </c>
      <c r="B22" s="27" t="s">
        <v>134</v>
      </c>
      <c r="C22" s="27" t="s">
        <v>101</v>
      </c>
      <c r="D22" s="31">
        <v>29755</v>
      </c>
      <c r="E22" s="29">
        <v>124.73296000000001</v>
      </c>
      <c r="F22" s="30">
        <v>0.61461595488643495</v>
      </c>
      <c r="G22" s="29"/>
    </row>
    <row r="23" spans="1:9" x14ac:dyDescent="0.2">
      <c r="A23" s="27" t="s">
        <v>116</v>
      </c>
      <c r="B23" s="27" t="s">
        <v>115</v>
      </c>
      <c r="C23" s="27" t="s">
        <v>101</v>
      </c>
      <c r="D23" s="31">
        <v>5409</v>
      </c>
      <c r="E23" s="29">
        <v>92.269426499999994</v>
      </c>
      <c r="F23" s="30">
        <v>0.45465337850654097</v>
      </c>
      <c r="G23" s="29"/>
    </row>
    <row r="24" spans="1:9" x14ac:dyDescent="0.2">
      <c r="A24" s="27" t="s">
        <v>159</v>
      </c>
      <c r="B24" s="27" t="s">
        <v>158</v>
      </c>
      <c r="C24" s="27" t="s">
        <v>160</v>
      </c>
      <c r="D24" s="31">
        <v>35367</v>
      </c>
      <c r="E24" s="29">
        <v>76.304302500000006</v>
      </c>
      <c r="F24" s="30">
        <v>0.37598596027049203</v>
      </c>
      <c r="G24" s="29"/>
    </row>
    <row r="25" spans="1:9" x14ac:dyDescent="0.2">
      <c r="A25" s="27" t="s">
        <v>162</v>
      </c>
      <c r="B25" s="27" t="s">
        <v>161</v>
      </c>
      <c r="C25" s="27" t="s">
        <v>149</v>
      </c>
      <c r="D25" s="31">
        <v>20000</v>
      </c>
      <c r="E25" s="29">
        <v>67.92</v>
      </c>
      <c r="F25" s="30">
        <v>0.33467269321506199</v>
      </c>
      <c r="G25" s="29"/>
    </row>
    <row r="26" spans="1:9" x14ac:dyDescent="0.2">
      <c r="A26" s="27" t="s">
        <v>148</v>
      </c>
      <c r="B26" s="27" t="s">
        <v>147</v>
      </c>
      <c r="C26" s="27" t="s">
        <v>149</v>
      </c>
      <c r="D26" s="31">
        <v>8641</v>
      </c>
      <c r="E26" s="29">
        <v>67.201057000000006</v>
      </c>
      <c r="F26" s="30">
        <v>0.33113013446832901</v>
      </c>
      <c r="G26" s="29"/>
    </row>
    <row r="27" spans="1:9" x14ac:dyDescent="0.2">
      <c r="A27" s="27" t="s">
        <v>155</v>
      </c>
      <c r="B27" s="27" t="s">
        <v>154</v>
      </c>
      <c r="C27" s="27" t="s">
        <v>125</v>
      </c>
      <c r="D27" s="31">
        <v>7700</v>
      </c>
      <c r="E27" s="29">
        <v>49.680399999999999</v>
      </c>
      <c r="F27" s="30">
        <v>0.24479789852770301</v>
      </c>
      <c r="G27" s="29"/>
    </row>
    <row r="28" spans="1:9" x14ac:dyDescent="0.2">
      <c r="A28" s="27" t="s">
        <v>171</v>
      </c>
      <c r="B28" s="27" t="s">
        <v>170</v>
      </c>
      <c r="C28" s="27" t="s">
        <v>172</v>
      </c>
      <c r="D28" s="31">
        <v>3254</v>
      </c>
      <c r="E28" s="29">
        <v>48.769325000000002</v>
      </c>
      <c r="F28" s="30">
        <v>0.24030861813943899</v>
      </c>
      <c r="G28" s="29"/>
    </row>
    <row r="29" spans="1:9" x14ac:dyDescent="0.2">
      <c r="A29" s="27" t="s">
        <v>163</v>
      </c>
      <c r="B29" s="27" t="s">
        <v>725</v>
      </c>
      <c r="C29" s="27" t="s">
        <v>160</v>
      </c>
      <c r="D29" s="31">
        <v>4133</v>
      </c>
      <c r="E29" s="29">
        <v>7.6584490000000001</v>
      </c>
      <c r="F29" s="30">
        <v>3.77366571360453E-2</v>
      </c>
      <c r="G29" s="29"/>
    </row>
    <row r="30" spans="1:9" x14ac:dyDescent="0.2">
      <c r="A30" s="27" t="s">
        <v>174</v>
      </c>
      <c r="B30" s="27" t="s">
        <v>173</v>
      </c>
      <c r="C30" s="27" t="s">
        <v>175</v>
      </c>
      <c r="D30" s="31">
        <v>581</v>
      </c>
      <c r="E30" s="29">
        <v>0.85203649999999997</v>
      </c>
      <c r="F30" s="30">
        <v>4.1983708800432196E-3</v>
      </c>
      <c r="G30" s="29"/>
    </row>
    <row r="31" spans="1:9" x14ac:dyDescent="0.2">
      <c r="A31" s="26" t="s">
        <v>35</v>
      </c>
      <c r="B31" s="26"/>
      <c r="C31" s="26"/>
      <c r="D31" s="32"/>
      <c r="E31" s="33">
        <f>SUM(E7:E30)</f>
        <v>4253.5541125</v>
      </c>
      <c r="F31" s="34">
        <f>SUM(F7:F30)</f>
        <v>20.959193324004392</v>
      </c>
      <c r="G31" s="33"/>
      <c r="H31" s="18"/>
      <c r="I31" s="18"/>
    </row>
    <row r="32" spans="1:9" x14ac:dyDescent="0.2">
      <c r="A32" s="27"/>
      <c r="B32" s="27"/>
      <c r="C32" s="27"/>
      <c r="D32" s="28"/>
      <c r="E32" s="29"/>
      <c r="F32" s="30"/>
      <c r="G32" s="29"/>
    </row>
    <row r="33" spans="1:9" x14ac:dyDescent="0.2">
      <c r="A33" s="26" t="s">
        <v>176</v>
      </c>
      <c r="B33" s="27"/>
      <c r="C33" s="27"/>
      <c r="D33" s="28"/>
      <c r="E33" s="29"/>
      <c r="F33" s="30"/>
      <c r="G33" s="29"/>
    </row>
    <row r="34" spans="1:9" x14ac:dyDescent="0.2">
      <c r="A34" s="27" t="s">
        <v>178</v>
      </c>
      <c r="B34" s="27" t="s">
        <v>177</v>
      </c>
      <c r="C34" s="27" t="s">
        <v>358</v>
      </c>
      <c r="D34" s="31">
        <v>178600</v>
      </c>
      <c r="E34" s="29">
        <v>625.77868000000001</v>
      </c>
      <c r="F34" s="30">
        <v>3.0834958214394401</v>
      </c>
      <c r="G34" s="29"/>
    </row>
    <row r="35" spans="1:9" x14ac:dyDescent="0.2">
      <c r="A35" s="26" t="s">
        <v>35</v>
      </c>
      <c r="B35" s="26"/>
      <c r="C35" s="26"/>
      <c r="D35" s="32"/>
      <c r="E35" s="33">
        <f>SUM(E33:E34)</f>
        <v>625.77868000000001</v>
      </c>
      <c r="F35" s="34">
        <f>SUM(F33:F34)</f>
        <v>3.0834958214394401</v>
      </c>
      <c r="G35" s="33"/>
      <c r="H35" s="18"/>
      <c r="I35" s="18"/>
    </row>
    <row r="36" spans="1:9" x14ac:dyDescent="0.2">
      <c r="A36" s="27"/>
      <c r="B36" s="27"/>
      <c r="C36" s="27"/>
      <c r="D36" s="28"/>
      <c r="E36" s="29"/>
      <c r="F36" s="30"/>
      <c r="G36" s="29"/>
    </row>
    <row r="37" spans="1:9" x14ac:dyDescent="0.2">
      <c r="A37" s="26" t="s">
        <v>717</v>
      </c>
      <c r="B37" s="27"/>
      <c r="C37" s="27"/>
      <c r="D37" s="28"/>
      <c r="E37" s="29"/>
      <c r="F37" s="30"/>
      <c r="G37" s="29"/>
    </row>
    <row r="38" spans="1:9" x14ac:dyDescent="0.2">
      <c r="A38" s="27" t="s">
        <v>180</v>
      </c>
      <c r="B38" s="27" t="s">
        <v>179</v>
      </c>
      <c r="C38" s="27" t="s">
        <v>142</v>
      </c>
      <c r="D38" s="31">
        <v>80300</v>
      </c>
      <c r="E38" s="29">
        <v>90.971869999999996</v>
      </c>
      <c r="F38" s="30">
        <v>0.448259728205396</v>
      </c>
      <c r="G38" s="29"/>
    </row>
    <row r="39" spans="1:9" x14ac:dyDescent="0.2">
      <c r="A39" s="26" t="s">
        <v>35</v>
      </c>
      <c r="B39" s="26"/>
      <c r="C39" s="26"/>
      <c r="D39" s="32"/>
      <c r="E39" s="33">
        <f>SUM(E37:E38)</f>
        <v>90.971869999999996</v>
      </c>
      <c r="F39" s="34">
        <f>SUM(F37:F38)</f>
        <v>0.448259728205396</v>
      </c>
      <c r="G39" s="33"/>
      <c r="H39" s="18"/>
      <c r="I39" s="18"/>
    </row>
    <row r="40" spans="1:9" x14ac:dyDescent="0.2">
      <c r="A40" s="27"/>
      <c r="B40" s="27"/>
      <c r="C40" s="27"/>
      <c r="D40" s="28"/>
      <c r="E40" s="29"/>
      <c r="F40" s="30"/>
      <c r="G40" s="29"/>
    </row>
    <row r="41" spans="1:9" x14ac:dyDescent="0.2">
      <c r="A41" s="26" t="s">
        <v>31</v>
      </c>
      <c r="B41" s="27"/>
      <c r="C41" s="27"/>
      <c r="D41" s="28"/>
      <c r="E41" s="29"/>
      <c r="F41" s="30"/>
      <c r="G41" s="29"/>
    </row>
    <row r="42" spans="1:9" x14ac:dyDescent="0.2">
      <c r="A42" s="26" t="s">
        <v>32</v>
      </c>
      <c r="B42" s="27"/>
      <c r="C42" s="27"/>
      <c r="D42" s="28"/>
      <c r="E42" s="29"/>
      <c r="F42" s="30"/>
      <c r="G42" s="29"/>
    </row>
    <row r="43" spans="1:9" x14ac:dyDescent="0.2">
      <c r="A43" s="27" t="s">
        <v>165</v>
      </c>
      <c r="B43" s="27" t="s">
        <v>164</v>
      </c>
      <c r="C43" s="27" t="s">
        <v>34</v>
      </c>
      <c r="D43" s="31">
        <v>200</v>
      </c>
      <c r="E43" s="29">
        <v>2066.1999999999998</v>
      </c>
      <c r="F43" s="30">
        <v>10.181105988235601</v>
      </c>
      <c r="G43" s="29">
        <v>4.99</v>
      </c>
    </row>
    <row r="44" spans="1:9" x14ac:dyDescent="0.2">
      <c r="A44" s="27" t="s">
        <v>959</v>
      </c>
      <c r="B44" s="27" t="s">
        <v>960</v>
      </c>
      <c r="C44" s="27" t="s">
        <v>34</v>
      </c>
      <c r="D44" s="31">
        <v>50</v>
      </c>
      <c r="E44" s="29">
        <v>545.65</v>
      </c>
      <c r="F44" s="30">
        <v>2.6886654159717098</v>
      </c>
      <c r="G44" s="29">
        <v>6.0593000000000004</v>
      </c>
    </row>
    <row r="45" spans="1:9" x14ac:dyDescent="0.2">
      <c r="A45" s="26" t="s">
        <v>35</v>
      </c>
      <c r="B45" s="26"/>
      <c r="C45" s="26"/>
      <c r="D45" s="32"/>
      <c r="E45" s="33">
        <f>SUM(E42:E44)</f>
        <v>2611.85</v>
      </c>
      <c r="F45" s="34">
        <f>SUM(F42:F44)</f>
        <v>12.869771404207309</v>
      </c>
      <c r="G45" s="33"/>
      <c r="H45" s="18"/>
      <c r="I45" s="18"/>
    </row>
    <row r="46" spans="1:9" x14ac:dyDescent="0.2">
      <c r="A46" s="27"/>
      <c r="B46" s="27"/>
      <c r="C46" s="27"/>
      <c r="D46" s="28"/>
      <c r="E46" s="29"/>
      <c r="F46" s="30"/>
      <c r="G46" s="29"/>
    </row>
    <row r="47" spans="1:9" x14ac:dyDescent="0.2">
      <c r="A47" s="26" t="s">
        <v>51</v>
      </c>
      <c r="B47" s="27"/>
      <c r="C47" s="27"/>
      <c r="D47" s="28"/>
      <c r="E47" s="29"/>
      <c r="F47" s="30"/>
      <c r="G47" s="29"/>
    </row>
    <row r="48" spans="1:9" x14ac:dyDescent="0.2">
      <c r="A48" s="26" t="s">
        <v>52</v>
      </c>
      <c r="B48" s="27"/>
      <c r="C48" s="27"/>
      <c r="D48" s="28"/>
      <c r="E48" s="29"/>
      <c r="F48" s="30"/>
      <c r="G48" s="29"/>
    </row>
    <row r="49" spans="1:9" x14ac:dyDescent="0.2">
      <c r="A49" s="27" t="s">
        <v>182</v>
      </c>
      <c r="B49" s="27" t="s">
        <v>181</v>
      </c>
      <c r="C49" s="27" t="s">
        <v>54</v>
      </c>
      <c r="D49" s="31">
        <v>500</v>
      </c>
      <c r="E49" s="29">
        <v>488.10199999999998</v>
      </c>
      <c r="F49" s="30">
        <v>2.40510027832241</v>
      </c>
      <c r="G49" s="29">
        <v>3.835</v>
      </c>
    </row>
    <row r="50" spans="1:9" x14ac:dyDescent="0.2">
      <c r="A50" s="26" t="s">
        <v>35</v>
      </c>
      <c r="B50" s="26"/>
      <c r="C50" s="26"/>
      <c r="D50" s="32"/>
      <c r="E50" s="33">
        <f>SUM(E48:E49)</f>
        <v>488.10199999999998</v>
      </c>
      <c r="F50" s="34">
        <f>SUM(F48:F49)</f>
        <v>2.40510027832241</v>
      </c>
      <c r="G50" s="33"/>
      <c r="H50" s="18"/>
      <c r="I50" s="18"/>
    </row>
    <row r="51" spans="1:9" x14ac:dyDescent="0.2">
      <c r="A51" s="27"/>
      <c r="B51" s="27"/>
      <c r="C51" s="27"/>
      <c r="D51" s="28"/>
      <c r="E51" s="29"/>
      <c r="F51" s="30"/>
      <c r="G51" s="29"/>
    </row>
    <row r="52" spans="1:9" x14ac:dyDescent="0.2">
      <c r="A52" s="26" t="s">
        <v>55</v>
      </c>
      <c r="B52" s="27"/>
      <c r="C52" s="27"/>
      <c r="D52" s="28"/>
      <c r="E52" s="29"/>
      <c r="F52" s="30"/>
      <c r="G52" s="29"/>
    </row>
    <row r="53" spans="1:9" x14ac:dyDescent="0.2">
      <c r="A53" s="27" t="s">
        <v>1111</v>
      </c>
      <c r="B53" s="27" t="s">
        <v>1112</v>
      </c>
      <c r="C53" s="27" t="s">
        <v>53</v>
      </c>
      <c r="D53" s="31">
        <v>100</v>
      </c>
      <c r="E53" s="29">
        <v>491.40699999999998</v>
      </c>
      <c r="F53" s="30">
        <v>2.42138551464567</v>
      </c>
      <c r="G53" s="29">
        <v>3.8450000000000002</v>
      </c>
    </row>
    <row r="54" spans="1:9" x14ac:dyDescent="0.2">
      <c r="A54" s="26" t="s">
        <v>35</v>
      </c>
      <c r="B54" s="26"/>
      <c r="C54" s="26"/>
      <c r="D54" s="32"/>
      <c r="E54" s="33">
        <f>SUM(E52:E53)</f>
        <v>491.40699999999998</v>
      </c>
      <c r="F54" s="34">
        <f>SUM(F52:F53)</f>
        <v>2.42138551464567</v>
      </c>
      <c r="G54" s="33"/>
      <c r="H54" s="18"/>
      <c r="I54" s="18"/>
    </row>
    <row r="55" spans="1:9" x14ac:dyDescent="0.2">
      <c r="A55" s="27"/>
      <c r="B55" s="27"/>
      <c r="C55" s="27"/>
      <c r="D55" s="28"/>
      <c r="E55" s="29"/>
      <c r="F55" s="30"/>
      <c r="G55" s="29"/>
    </row>
    <row r="56" spans="1:9" x14ac:dyDescent="0.2">
      <c r="A56" s="26" t="s">
        <v>61</v>
      </c>
      <c r="B56" s="27"/>
      <c r="C56" s="27"/>
      <c r="D56" s="28"/>
      <c r="E56" s="29"/>
      <c r="F56" s="30"/>
      <c r="G56" s="29"/>
    </row>
    <row r="57" spans="1:9" x14ac:dyDescent="0.2">
      <c r="A57" s="27" t="s">
        <v>852</v>
      </c>
      <c r="B57" s="27" t="s">
        <v>853</v>
      </c>
      <c r="C57" s="27" t="s">
        <v>65</v>
      </c>
      <c r="D57" s="31">
        <v>1000000</v>
      </c>
      <c r="E57" s="29">
        <v>982.65</v>
      </c>
      <c r="F57" s="30">
        <v>4.8419629267930002</v>
      </c>
      <c r="G57" s="29">
        <v>3.6825999999999999</v>
      </c>
    </row>
    <row r="58" spans="1:9" x14ac:dyDescent="0.2">
      <c r="A58" s="27" t="s">
        <v>791</v>
      </c>
      <c r="B58" s="27" t="s">
        <v>792</v>
      </c>
      <c r="C58" s="27" t="s">
        <v>65</v>
      </c>
      <c r="D58" s="31">
        <v>500000</v>
      </c>
      <c r="E58" s="29">
        <v>498.399</v>
      </c>
      <c r="F58" s="30">
        <v>2.4558382748188099</v>
      </c>
      <c r="G58" s="29">
        <v>3.35</v>
      </c>
    </row>
    <row r="59" spans="1:9" x14ac:dyDescent="0.2">
      <c r="A59" s="26" t="s">
        <v>35</v>
      </c>
      <c r="B59" s="26"/>
      <c r="C59" s="26"/>
      <c r="D59" s="32"/>
      <c r="E59" s="33">
        <f>SUM(E56:E58)</f>
        <v>1481.049</v>
      </c>
      <c r="F59" s="34">
        <f>SUM(F56:F58)</f>
        <v>7.2978012016118097</v>
      </c>
      <c r="G59" s="33"/>
      <c r="H59" s="18"/>
      <c r="I59" s="18"/>
    </row>
    <row r="60" spans="1:9" x14ac:dyDescent="0.2">
      <c r="A60" s="27"/>
      <c r="B60" s="27"/>
      <c r="C60" s="27"/>
      <c r="D60" s="28"/>
      <c r="E60" s="29"/>
      <c r="F60" s="30"/>
      <c r="G60" s="29"/>
    </row>
    <row r="61" spans="1:9" x14ac:dyDescent="0.2">
      <c r="A61" s="26" t="s">
        <v>62</v>
      </c>
      <c r="B61" s="27"/>
      <c r="C61" s="27"/>
      <c r="D61" s="28"/>
      <c r="E61" s="29"/>
      <c r="F61" s="30"/>
      <c r="G61" s="29"/>
    </row>
    <row r="62" spans="1:9" x14ac:dyDescent="0.2">
      <c r="A62" s="27" t="s">
        <v>79</v>
      </c>
      <c r="B62" s="27" t="s">
        <v>78</v>
      </c>
      <c r="C62" s="27" t="s">
        <v>65</v>
      </c>
      <c r="D62" s="31">
        <v>3500000</v>
      </c>
      <c r="E62" s="29">
        <v>3434.1405</v>
      </c>
      <c r="F62" s="30">
        <v>16.9215702298869</v>
      </c>
      <c r="G62" s="29">
        <v>5.6414</v>
      </c>
    </row>
    <row r="63" spans="1:9" x14ac:dyDescent="0.2">
      <c r="A63" s="27" t="s">
        <v>83</v>
      </c>
      <c r="B63" s="27" t="s">
        <v>82</v>
      </c>
      <c r="C63" s="27" t="s">
        <v>65</v>
      </c>
      <c r="D63" s="31">
        <v>2100000</v>
      </c>
      <c r="E63" s="29">
        <v>2200.1237999999998</v>
      </c>
      <c r="F63" s="30">
        <v>10.8410093868162</v>
      </c>
      <c r="G63" s="29">
        <v>6.2675000000000001</v>
      </c>
    </row>
    <row r="64" spans="1:9" x14ac:dyDescent="0.2">
      <c r="A64" s="27" t="s">
        <v>81</v>
      </c>
      <c r="B64" s="27" t="s">
        <v>80</v>
      </c>
      <c r="C64" s="27" t="s">
        <v>65</v>
      </c>
      <c r="D64" s="31">
        <v>1695000</v>
      </c>
      <c r="E64" s="29">
        <v>1749.5654400000001</v>
      </c>
      <c r="F64" s="30">
        <v>8.6209036772790792</v>
      </c>
      <c r="G64" s="29">
        <v>6.1269999999999998</v>
      </c>
    </row>
    <row r="65" spans="1:9" x14ac:dyDescent="0.2">
      <c r="A65" s="27" t="s">
        <v>167</v>
      </c>
      <c r="B65" s="27" t="s">
        <v>166</v>
      </c>
      <c r="C65" s="27" t="s">
        <v>65</v>
      </c>
      <c r="D65" s="31">
        <v>800000</v>
      </c>
      <c r="E65" s="29">
        <v>822.74080000000004</v>
      </c>
      <c r="F65" s="30">
        <v>4.0540176583320804</v>
      </c>
      <c r="G65" s="29">
        <v>5.2388000000000003</v>
      </c>
    </row>
    <row r="66" spans="1:9" x14ac:dyDescent="0.2">
      <c r="A66" s="27" t="s">
        <v>89</v>
      </c>
      <c r="B66" s="27" t="s">
        <v>88</v>
      </c>
      <c r="C66" s="27" t="s">
        <v>65</v>
      </c>
      <c r="D66" s="31">
        <v>600000</v>
      </c>
      <c r="E66" s="29">
        <v>592.01520000000005</v>
      </c>
      <c r="F66" s="30">
        <v>2.91712781814272</v>
      </c>
      <c r="G66" s="29">
        <v>5.5989000000000004</v>
      </c>
    </row>
    <row r="67" spans="1:9" x14ac:dyDescent="0.2">
      <c r="A67" s="27" t="s">
        <v>87</v>
      </c>
      <c r="B67" s="27" t="s">
        <v>86</v>
      </c>
      <c r="C67" s="27" t="s">
        <v>65</v>
      </c>
      <c r="D67" s="31">
        <v>200000</v>
      </c>
      <c r="E67" s="29">
        <v>211.51</v>
      </c>
      <c r="F67" s="30">
        <v>1.0422058501460201</v>
      </c>
      <c r="G67" s="29">
        <v>4.9111000000000002</v>
      </c>
    </row>
    <row r="68" spans="1:9" x14ac:dyDescent="0.2">
      <c r="A68" s="26" t="s">
        <v>35</v>
      </c>
      <c r="B68" s="26"/>
      <c r="C68" s="26"/>
      <c r="D68" s="32"/>
      <c r="E68" s="33">
        <f>SUM(E62:E67)</f>
        <v>9010.0957400000007</v>
      </c>
      <c r="F68" s="34">
        <f>SUM(F62:F67)</f>
        <v>44.396834620602995</v>
      </c>
      <c r="G68" s="33"/>
      <c r="H68" s="18"/>
      <c r="I68" s="18"/>
    </row>
    <row r="69" spans="1:9" x14ac:dyDescent="0.2">
      <c r="A69" s="27"/>
      <c r="B69" s="27"/>
      <c r="C69" s="27"/>
      <c r="D69" s="28"/>
      <c r="E69" s="29"/>
      <c r="F69" s="30"/>
      <c r="G69" s="29"/>
    </row>
    <row r="70" spans="1:9" x14ac:dyDescent="0.2">
      <c r="A70" s="26" t="s">
        <v>37</v>
      </c>
      <c r="B70" s="26"/>
      <c r="C70" s="26"/>
      <c r="D70" s="32"/>
      <c r="E70" s="33">
        <f>E31+E35+E39+E45+E50+E54+E59+E68</f>
        <v>19052.808402500003</v>
      </c>
      <c r="F70" s="34">
        <f>F31+F35+F39+F45+F50+F54+F59+F68</f>
        <v>93.881841893039422</v>
      </c>
      <c r="G70" s="33"/>
      <c r="H70" s="18"/>
      <c r="I70" s="18"/>
    </row>
    <row r="71" spans="1:9" x14ac:dyDescent="0.2">
      <c r="A71" s="26"/>
      <c r="B71" s="26"/>
      <c r="C71" s="26"/>
      <c r="D71" s="32"/>
      <c r="E71" s="33"/>
      <c r="F71" s="34"/>
      <c r="G71" s="33"/>
      <c r="H71" s="18"/>
      <c r="I71" s="18"/>
    </row>
    <row r="72" spans="1:9" x14ac:dyDescent="0.2">
      <c r="A72" s="26" t="s">
        <v>39</v>
      </c>
      <c r="B72" s="26"/>
      <c r="C72" s="26"/>
      <c r="D72" s="32"/>
      <c r="E72" s="33">
        <f>E74-(E31+E35+E39+E45+E50+E54+E59+E68)</f>
        <v>1241.6468598999963</v>
      </c>
      <c r="F72" s="34">
        <f>F74-(F31+F35+F39+F45+F50+F54+F59+F68)</f>
        <v>6.1181581069605784</v>
      </c>
      <c r="G72" s="33"/>
      <c r="H72" s="18"/>
      <c r="I72" s="18"/>
    </row>
    <row r="73" spans="1:9" x14ac:dyDescent="0.2">
      <c r="A73" s="26"/>
      <c r="B73" s="26"/>
      <c r="C73" s="26"/>
      <c r="D73" s="32"/>
      <c r="E73" s="33"/>
      <c r="F73" s="34"/>
      <c r="G73" s="33"/>
      <c r="H73" s="18"/>
      <c r="I73" s="18"/>
    </row>
    <row r="74" spans="1:9" x14ac:dyDescent="0.2">
      <c r="A74" s="35" t="s">
        <v>38</v>
      </c>
      <c r="B74" s="35"/>
      <c r="C74" s="35"/>
      <c r="D74" s="36"/>
      <c r="E74" s="37">
        <v>20294.455262399999</v>
      </c>
      <c r="F74" s="38">
        <v>100</v>
      </c>
      <c r="G74" s="37"/>
      <c r="H74" s="18"/>
      <c r="I74" s="18"/>
    </row>
    <row r="76" spans="1:9" x14ac:dyDescent="0.2">
      <c r="A76" s="18" t="s">
        <v>66</v>
      </c>
    </row>
    <row r="77" spans="1:9" x14ac:dyDescent="0.2">
      <c r="A77" s="18" t="s">
        <v>40</v>
      </c>
    </row>
    <row r="78" spans="1:9" x14ac:dyDescent="0.2">
      <c r="A78" s="18" t="s">
        <v>726</v>
      </c>
    </row>
    <row r="80" spans="1:9" x14ac:dyDescent="0.2">
      <c r="A80" s="18" t="s">
        <v>41</v>
      </c>
    </row>
    <row r="81" spans="1:4" x14ac:dyDescent="0.2">
      <c r="A81" s="18" t="s">
        <v>42</v>
      </c>
    </row>
    <row r="82" spans="1:4" x14ac:dyDescent="0.2">
      <c r="A82" s="18" t="s">
        <v>43</v>
      </c>
      <c r="B82" s="18"/>
      <c r="C82" s="39" t="s">
        <v>45</v>
      </c>
      <c r="D82" s="19" t="s">
        <v>44</v>
      </c>
    </row>
    <row r="83" spans="1:4" x14ac:dyDescent="0.2">
      <c r="A83" s="9" t="s">
        <v>70</v>
      </c>
      <c r="C83" s="40">
        <v>62.896299999999997</v>
      </c>
      <c r="D83" s="40">
        <v>65.963700000000003</v>
      </c>
    </row>
    <row r="84" spans="1:4" x14ac:dyDescent="0.2">
      <c r="A84" s="9" t="s">
        <v>71</v>
      </c>
      <c r="C84" s="40">
        <v>13.158899999999999</v>
      </c>
      <c r="D84" s="40">
        <v>13.2791</v>
      </c>
    </row>
    <row r="85" spans="1:4" x14ac:dyDescent="0.2">
      <c r="A85" s="9" t="s">
        <v>72</v>
      </c>
      <c r="C85" s="40">
        <v>12.4689</v>
      </c>
      <c r="D85" s="40">
        <v>12.548400000000001</v>
      </c>
    </row>
    <row r="86" spans="1:4" x14ac:dyDescent="0.2">
      <c r="A86" s="9" t="s">
        <v>73</v>
      </c>
      <c r="C86" s="40">
        <v>66.802099999999996</v>
      </c>
      <c r="D86" s="40">
        <v>70.301699999999997</v>
      </c>
    </row>
    <row r="87" spans="1:4" x14ac:dyDescent="0.2">
      <c r="A87" s="9" t="s">
        <v>74</v>
      </c>
      <c r="C87" s="40">
        <v>14.235799999999999</v>
      </c>
      <c r="D87" s="40">
        <v>14.451499999999999</v>
      </c>
    </row>
    <row r="88" spans="1:4" x14ac:dyDescent="0.2">
      <c r="A88" s="9" t="s">
        <v>75</v>
      </c>
      <c r="C88" s="40">
        <v>13.508100000000001</v>
      </c>
      <c r="D88" s="40">
        <v>13.6806</v>
      </c>
    </row>
    <row r="90" spans="1:4" x14ac:dyDescent="0.2">
      <c r="A90" s="18" t="s">
        <v>47</v>
      </c>
    </row>
    <row r="91" spans="1:4" x14ac:dyDescent="0.2">
      <c r="A91" s="81" t="s">
        <v>67</v>
      </c>
      <c r="B91" s="82"/>
      <c r="C91" s="43" t="s">
        <v>68</v>
      </c>
    </row>
    <row r="92" spans="1:4" x14ac:dyDescent="0.2">
      <c r="A92" s="77" t="s">
        <v>71</v>
      </c>
      <c r="B92" s="78"/>
      <c r="C92" s="44">
        <v>0.51</v>
      </c>
    </row>
    <row r="93" spans="1:4" x14ac:dyDescent="0.2">
      <c r="A93" s="77" t="s">
        <v>72</v>
      </c>
      <c r="B93" s="78"/>
      <c r="C93" s="44">
        <v>0.52</v>
      </c>
    </row>
    <row r="94" spans="1:4" x14ac:dyDescent="0.2">
      <c r="A94" s="77" t="s">
        <v>74</v>
      </c>
      <c r="B94" s="78"/>
      <c r="C94" s="44">
        <v>0.51</v>
      </c>
    </row>
    <row r="95" spans="1:4" x14ac:dyDescent="0.2">
      <c r="A95" s="77" t="s">
        <v>75</v>
      </c>
      <c r="B95" s="78"/>
      <c r="C95" s="44">
        <v>0.52</v>
      </c>
    </row>
    <row r="96" spans="1:4" x14ac:dyDescent="0.2">
      <c r="A96" s="9" t="s">
        <v>69</v>
      </c>
    </row>
    <row r="97" spans="1:7" x14ac:dyDescent="0.2">
      <c r="A97" s="9" t="s">
        <v>46</v>
      </c>
    </row>
    <row r="99" spans="1:7" x14ac:dyDescent="0.2">
      <c r="A99" s="18" t="s">
        <v>816</v>
      </c>
      <c r="D99" s="42">
        <v>3.41820567135469</v>
      </c>
      <c r="E99" s="13" t="s">
        <v>49</v>
      </c>
    </row>
    <row r="101" spans="1:7" x14ac:dyDescent="0.2">
      <c r="A101" s="18" t="s">
        <v>734</v>
      </c>
      <c r="D101" s="41" t="s">
        <v>48</v>
      </c>
    </row>
    <row r="103" spans="1:7" ht="26.25" customHeight="1" x14ac:dyDescent="0.3">
      <c r="A103" s="84" t="s">
        <v>1115</v>
      </c>
      <c r="B103" s="85"/>
      <c r="C103" s="85"/>
      <c r="D103" s="85"/>
      <c r="E103" s="85"/>
      <c r="F103" s="85"/>
      <c r="G103" s="85"/>
    </row>
    <row r="105" spans="1:7" x14ac:dyDescent="0.2">
      <c r="A105" s="18" t="s">
        <v>988</v>
      </c>
    </row>
    <row r="106" spans="1:7" x14ac:dyDescent="0.2">
      <c r="A106" s="50" t="s">
        <v>50</v>
      </c>
    </row>
  </sheetData>
  <mergeCells count="7">
    <mergeCell ref="A103:G103"/>
    <mergeCell ref="A1:G1"/>
    <mergeCell ref="A91:B91"/>
    <mergeCell ref="A92:B92"/>
    <mergeCell ref="A93:B93"/>
    <mergeCell ref="A94:B94"/>
    <mergeCell ref="A95:B95"/>
  </mergeCells>
  <conditionalFormatting sqref="F2:F3 F5:F102 F104:F65526">
    <cfRule type="cellIs" dxfId="52" priority="1" stopIfTrue="1" operator="between">
      <formula>0.009</formula>
      <formula>-0.009</formula>
    </cfRule>
  </conditionalFormatting>
  <hyperlinks>
    <hyperlink ref="A106" r:id="rId1" tooltip="https://www.franklintempletonindia.com/downloadsServlet/pdf/product-labels-jg9o5k7l" xr:uid="{00000000-0004-0000-1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44"/>
  <sheetViews>
    <sheetView workbookViewId="0">
      <selection sqref="A1:G1"/>
    </sheetView>
  </sheetViews>
  <sheetFormatPr defaultColWidth="9.109375" defaultRowHeight="10.199999999999999" x14ac:dyDescent="0.2"/>
  <cols>
    <col min="1" max="1" width="38.6640625" style="9" bestFit="1" customWidth="1"/>
    <col min="2" max="2" width="69.109375" style="9" bestFit="1" customWidth="1"/>
    <col min="3" max="3" width="15.332031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5" customHeight="1" x14ac:dyDescent="0.2">
      <c r="A1" s="79" t="s">
        <v>1116</v>
      </c>
      <c r="B1" s="80"/>
      <c r="C1" s="80"/>
      <c r="D1" s="80"/>
      <c r="E1" s="80"/>
      <c r="F1" s="80"/>
      <c r="G1" s="80"/>
    </row>
    <row r="2" spans="1:7" s="1" customFormat="1" ht="12" x14ac:dyDescent="0.25">
      <c r="A2" s="66" t="s">
        <v>1114</v>
      </c>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749</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950</v>
      </c>
      <c r="B7" s="27" t="s">
        <v>951</v>
      </c>
      <c r="C7" s="27" t="s">
        <v>952</v>
      </c>
      <c r="D7" s="31">
        <v>2607</v>
      </c>
      <c r="E7" s="29">
        <v>26506.909220000001</v>
      </c>
      <c r="F7" s="30">
        <v>25.251668699989899</v>
      </c>
      <c r="G7" s="29">
        <v>10</v>
      </c>
    </row>
    <row r="8" spans="1:7" x14ac:dyDescent="0.2">
      <c r="A8" s="27" t="s">
        <v>1117</v>
      </c>
      <c r="B8" s="27" t="s">
        <v>1118</v>
      </c>
      <c r="C8" s="27" t="s">
        <v>1119</v>
      </c>
      <c r="D8" s="31">
        <v>1112</v>
      </c>
      <c r="E8" s="29">
        <v>11318.892320000001</v>
      </c>
      <c r="F8" s="30">
        <v>10.7828836830151</v>
      </c>
      <c r="G8" s="29">
        <v>8.8072999999999997</v>
      </c>
    </row>
    <row r="9" spans="1:7" x14ac:dyDescent="0.2">
      <c r="A9" s="27" t="s">
        <v>1120</v>
      </c>
      <c r="B9" s="27" t="s">
        <v>1121</v>
      </c>
      <c r="C9" s="27" t="s">
        <v>1122</v>
      </c>
      <c r="D9" s="31">
        <v>1000</v>
      </c>
      <c r="E9" s="29">
        <v>9824.11</v>
      </c>
      <c r="F9" s="30">
        <v>9.3588871087648204</v>
      </c>
      <c r="G9" s="29">
        <v>14.819100000000001</v>
      </c>
    </row>
    <row r="10" spans="1:7" s="62" customFormat="1" x14ac:dyDescent="0.2">
      <c r="A10" s="67" t="s">
        <v>1123</v>
      </c>
      <c r="B10" s="67" t="s">
        <v>1124</v>
      </c>
      <c r="C10" s="67" t="s">
        <v>1125</v>
      </c>
      <c r="D10" s="68">
        <v>952</v>
      </c>
      <c r="E10" s="69">
        <v>9520</v>
      </c>
      <c r="F10" s="69">
        <v>9.0691783047462895</v>
      </c>
      <c r="G10" s="69">
        <v>7.76</v>
      </c>
    </row>
    <row r="11" spans="1:7" x14ac:dyDescent="0.2">
      <c r="A11" s="27" t="s">
        <v>1126</v>
      </c>
      <c r="B11" s="27" t="s">
        <v>1127</v>
      </c>
      <c r="C11" s="27" t="s">
        <v>1119</v>
      </c>
      <c r="D11" s="31">
        <v>3884</v>
      </c>
      <c r="E11" s="29">
        <v>8280.2607599999992</v>
      </c>
      <c r="F11" s="30">
        <v>7.8881471893102999</v>
      </c>
      <c r="G11" s="29">
        <v>9.1399000000000008</v>
      </c>
    </row>
    <row r="12" spans="1:7" x14ac:dyDescent="0.2">
      <c r="A12" s="27" t="s">
        <v>1128</v>
      </c>
      <c r="B12" s="27" t="s">
        <v>1129</v>
      </c>
      <c r="C12" s="27" t="s">
        <v>33</v>
      </c>
      <c r="D12" s="31">
        <v>450</v>
      </c>
      <c r="E12" s="29">
        <v>4408.6319999999996</v>
      </c>
      <c r="F12" s="30">
        <v>4.1998602613456102</v>
      </c>
      <c r="G12" s="29">
        <v>10.1595</v>
      </c>
    </row>
    <row r="13" spans="1:7" x14ac:dyDescent="0.2">
      <c r="A13" s="27" t="s">
        <v>1130</v>
      </c>
      <c r="B13" s="27" t="s">
        <v>1131</v>
      </c>
      <c r="C13" s="27" t="s">
        <v>1132</v>
      </c>
      <c r="D13" s="31">
        <v>450</v>
      </c>
      <c r="E13" s="29">
        <v>4051.3004999999998</v>
      </c>
      <c r="F13" s="30">
        <v>3.8594502731730902</v>
      </c>
      <c r="G13" s="29">
        <v>20.763999999999999</v>
      </c>
    </row>
    <row r="14" spans="1:7" x14ac:dyDescent="0.2">
      <c r="A14" s="27" t="s">
        <v>1133</v>
      </c>
      <c r="B14" s="27" t="s">
        <v>1134</v>
      </c>
      <c r="C14" s="27" t="s">
        <v>1119</v>
      </c>
      <c r="D14" s="31">
        <v>300</v>
      </c>
      <c r="E14" s="29">
        <v>3037.3560000000002</v>
      </c>
      <c r="F14" s="30">
        <v>2.8935213381292999</v>
      </c>
      <c r="G14" s="29">
        <v>8.5973000000000006</v>
      </c>
    </row>
    <row r="15" spans="1:7" x14ac:dyDescent="0.2">
      <c r="A15" s="27" t="s">
        <v>1135</v>
      </c>
      <c r="B15" s="27" t="s">
        <v>1136</v>
      </c>
      <c r="C15" s="27" t="s">
        <v>1119</v>
      </c>
      <c r="D15" s="31">
        <v>268</v>
      </c>
      <c r="E15" s="29">
        <v>2724.1824799999999</v>
      </c>
      <c r="F15" s="30">
        <v>2.59517821909516</v>
      </c>
      <c r="G15" s="29">
        <v>9.1022999999999996</v>
      </c>
    </row>
    <row r="16" spans="1:7" x14ac:dyDescent="0.2">
      <c r="A16" s="27" t="s">
        <v>1137</v>
      </c>
      <c r="B16" s="27" t="s">
        <v>1131</v>
      </c>
      <c r="C16" s="27" t="s">
        <v>1132</v>
      </c>
      <c r="D16" s="31">
        <v>250</v>
      </c>
      <c r="E16" s="29">
        <v>2249.3474999999999</v>
      </c>
      <c r="F16" s="30">
        <v>2.1428291540793398</v>
      </c>
      <c r="G16" s="29">
        <v>20.838000000000001</v>
      </c>
    </row>
    <row r="17" spans="1:9" x14ac:dyDescent="0.2">
      <c r="A17" s="27" t="s">
        <v>1138</v>
      </c>
      <c r="B17" s="27" t="s">
        <v>1139</v>
      </c>
      <c r="C17" s="27" t="s">
        <v>33</v>
      </c>
      <c r="D17" s="31">
        <v>199</v>
      </c>
      <c r="E17" s="29">
        <v>2061.9006899999999</v>
      </c>
      <c r="F17" s="30">
        <v>1.9642589290220001</v>
      </c>
      <c r="G17" s="29">
        <v>10.2349</v>
      </c>
    </row>
    <row r="18" spans="1:9" x14ac:dyDescent="0.2">
      <c r="A18" s="27" t="s">
        <v>1140</v>
      </c>
      <c r="B18" s="27" t="s">
        <v>1141</v>
      </c>
      <c r="C18" s="27" t="s">
        <v>1119</v>
      </c>
      <c r="D18" s="31">
        <v>160</v>
      </c>
      <c r="E18" s="29">
        <v>1208.9232</v>
      </c>
      <c r="F18" s="30">
        <v>1.1516743757924901</v>
      </c>
      <c r="G18" s="29">
        <v>7.8470000000000004</v>
      </c>
    </row>
    <row r="19" spans="1:9" x14ac:dyDescent="0.2">
      <c r="A19" s="26" t="s">
        <v>35</v>
      </c>
      <c r="B19" s="26"/>
      <c r="C19" s="26"/>
      <c r="D19" s="32"/>
      <c r="E19" s="33">
        <f>SUM(E6:E18)</f>
        <v>85191.814670000007</v>
      </c>
      <c r="F19" s="34">
        <f>SUM(F6:F18)</f>
        <v>81.157537536463408</v>
      </c>
      <c r="G19" s="33"/>
      <c r="H19" s="18"/>
      <c r="I19" s="18"/>
    </row>
    <row r="20" spans="1:9" x14ac:dyDescent="0.2">
      <c r="A20" s="27"/>
      <c r="B20" s="27"/>
      <c r="C20" s="27"/>
      <c r="D20" s="28"/>
      <c r="E20" s="29"/>
      <c r="F20" s="30"/>
      <c r="G20" s="29"/>
    </row>
    <row r="21" spans="1:9" x14ac:dyDescent="0.2">
      <c r="A21" s="26" t="s">
        <v>1075</v>
      </c>
      <c r="B21" s="27"/>
      <c r="C21" s="27"/>
      <c r="D21" s="28"/>
      <c r="E21" s="29"/>
      <c r="F21" s="30"/>
      <c r="G21" s="29"/>
    </row>
    <row r="22" spans="1:9" s="62" customFormat="1" x14ac:dyDescent="0.2">
      <c r="A22" s="67" t="s">
        <v>1142</v>
      </c>
      <c r="B22" s="67" t="s">
        <v>1143</v>
      </c>
      <c r="C22" s="67" t="s">
        <v>1144</v>
      </c>
      <c r="D22" s="68">
        <v>400</v>
      </c>
      <c r="E22" s="69">
        <v>3998.7759999999998</v>
      </c>
      <c r="F22" s="69">
        <v>3.80941308243069</v>
      </c>
      <c r="G22" s="69">
        <v>9.8352000000000004</v>
      </c>
    </row>
    <row r="23" spans="1:9" x14ac:dyDescent="0.2">
      <c r="A23" s="27" t="s">
        <v>1145</v>
      </c>
      <c r="B23" s="27" t="s">
        <v>1146</v>
      </c>
      <c r="C23" s="27" t="s">
        <v>1147</v>
      </c>
      <c r="D23" s="31">
        <v>440</v>
      </c>
      <c r="E23" s="29">
        <v>3905.7198840000001</v>
      </c>
      <c r="F23" s="30">
        <v>3.7207636592845601</v>
      </c>
      <c r="G23" s="29">
        <v>11.22</v>
      </c>
    </row>
    <row r="24" spans="1:9" x14ac:dyDescent="0.2">
      <c r="A24" s="27" t="s">
        <v>1148</v>
      </c>
      <c r="B24" s="27" t="s">
        <v>1149</v>
      </c>
      <c r="C24" s="27" t="s">
        <v>1147</v>
      </c>
      <c r="D24" s="31">
        <v>450</v>
      </c>
      <c r="E24" s="29">
        <v>3778.6855500000001</v>
      </c>
      <c r="F24" s="30">
        <v>3.5997450641300701</v>
      </c>
      <c r="G24" s="29">
        <v>11.0945</v>
      </c>
    </row>
    <row r="25" spans="1:9" x14ac:dyDescent="0.2">
      <c r="A25" s="27" t="s">
        <v>1150</v>
      </c>
      <c r="B25" s="27" t="s">
        <v>1151</v>
      </c>
      <c r="C25" s="27" t="s">
        <v>1147</v>
      </c>
      <c r="D25" s="31">
        <v>50</v>
      </c>
      <c r="E25" s="29">
        <v>436.9094364</v>
      </c>
      <c r="F25" s="30">
        <v>0.416219493880022</v>
      </c>
      <c r="G25" s="29">
        <v>10.762700000000001</v>
      </c>
    </row>
    <row r="26" spans="1:9" x14ac:dyDescent="0.2">
      <c r="A26" s="27" t="s">
        <v>1152</v>
      </c>
      <c r="B26" s="27" t="s">
        <v>1153</v>
      </c>
      <c r="C26" s="27" t="s">
        <v>1154</v>
      </c>
      <c r="D26" s="31">
        <v>600</v>
      </c>
      <c r="E26" s="29">
        <v>0</v>
      </c>
      <c r="F26" s="29">
        <v>0</v>
      </c>
      <c r="G26" s="29">
        <v>0</v>
      </c>
    </row>
    <row r="27" spans="1:9" x14ac:dyDescent="0.2">
      <c r="A27" s="27" t="s">
        <v>1155</v>
      </c>
      <c r="B27" s="27" t="s">
        <v>1156</v>
      </c>
      <c r="C27" s="27" t="s">
        <v>1154</v>
      </c>
      <c r="D27" s="31">
        <v>250</v>
      </c>
      <c r="E27" s="29">
        <v>0</v>
      </c>
      <c r="F27" s="29">
        <v>0</v>
      </c>
      <c r="G27" s="29">
        <v>0</v>
      </c>
    </row>
    <row r="28" spans="1:9" x14ac:dyDescent="0.2">
      <c r="A28" s="27" t="s">
        <v>1157</v>
      </c>
      <c r="B28" s="27" t="s">
        <v>1158</v>
      </c>
      <c r="C28" s="27" t="s">
        <v>1154</v>
      </c>
      <c r="D28" s="31">
        <v>250</v>
      </c>
      <c r="E28" s="29">
        <v>0</v>
      </c>
      <c r="F28" s="29">
        <v>0</v>
      </c>
      <c r="G28" s="29">
        <v>0</v>
      </c>
    </row>
    <row r="29" spans="1:9" x14ac:dyDescent="0.2">
      <c r="A29" s="26" t="s">
        <v>35</v>
      </c>
      <c r="B29" s="26"/>
      <c r="C29" s="26"/>
      <c r="D29" s="32"/>
      <c r="E29" s="33">
        <f>SUM(E21:E28)</f>
        <v>12120.090870399999</v>
      </c>
      <c r="F29" s="34">
        <f>SUM(F21:F28)</f>
        <v>11.546141299725342</v>
      </c>
      <c r="G29" s="33"/>
      <c r="H29" s="18"/>
      <c r="I29" s="18"/>
    </row>
    <row r="30" spans="1:9" x14ac:dyDescent="0.2">
      <c r="A30" s="27"/>
      <c r="B30" s="27"/>
      <c r="C30" s="27"/>
      <c r="D30" s="28"/>
      <c r="E30" s="29"/>
      <c r="F30" s="30"/>
      <c r="G30" s="29"/>
    </row>
    <row r="31" spans="1:9" x14ac:dyDescent="0.2">
      <c r="A31" s="26" t="s">
        <v>36</v>
      </c>
      <c r="B31" s="27"/>
      <c r="C31" s="27"/>
      <c r="D31" s="28"/>
      <c r="E31" s="29"/>
      <c r="F31" s="30"/>
      <c r="G31" s="29"/>
    </row>
    <row r="32" spans="1:9" x14ac:dyDescent="0.2">
      <c r="A32" s="27" t="s">
        <v>1159</v>
      </c>
      <c r="B32" s="27" t="s">
        <v>1160</v>
      </c>
      <c r="C32" s="27" t="s">
        <v>1161</v>
      </c>
      <c r="D32" s="31">
        <v>191295.315</v>
      </c>
      <c r="E32" s="29">
        <v>6462.553347</v>
      </c>
      <c r="F32" s="30">
        <v>6.1565177109115501</v>
      </c>
      <c r="G32" s="29">
        <v>3.1244999999999998</v>
      </c>
    </row>
    <row r="33" spans="1:9" x14ac:dyDescent="0.2">
      <c r="A33" s="26" t="s">
        <v>35</v>
      </c>
      <c r="B33" s="26"/>
      <c r="C33" s="26"/>
      <c r="D33" s="32"/>
      <c r="E33" s="33">
        <f>SUM(E32:E32)</f>
        <v>6462.553347</v>
      </c>
      <c r="F33" s="34">
        <f>SUM(F32:F32)</f>
        <v>6.1565177109115501</v>
      </c>
      <c r="G33" s="33"/>
      <c r="H33" s="18"/>
      <c r="I33" s="18"/>
    </row>
    <row r="34" spans="1:9" x14ac:dyDescent="0.2">
      <c r="A34" s="27"/>
      <c r="B34" s="27"/>
      <c r="C34" s="27"/>
      <c r="D34" s="28"/>
      <c r="E34" s="29"/>
      <c r="F34" s="30"/>
      <c r="G34" s="29"/>
    </row>
    <row r="35" spans="1:9" x14ac:dyDescent="0.2">
      <c r="A35" s="26" t="s">
        <v>37</v>
      </c>
      <c r="B35" s="26"/>
      <c r="C35" s="26"/>
      <c r="D35" s="32"/>
      <c r="E35" s="33">
        <f>E19+E29+E33</f>
        <v>103774.4588874</v>
      </c>
      <c r="F35" s="34">
        <f>F19+F29+F33</f>
        <v>98.860196547100287</v>
      </c>
      <c r="G35" s="33"/>
      <c r="H35" s="18"/>
      <c r="I35" s="18"/>
    </row>
    <row r="36" spans="1:9" x14ac:dyDescent="0.2">
      <c r="A36" s="26"/>
      <c r="B36" s="26"/>
      <c r="C36" s="26"/>
      <c r="D36" s="32"/>
      <c r="E36" s="33"/>
      <c r="F36" s="34"/>
      <c r="G36" s="33"/>
      <c r="H36" s="18"/>
      <c r="I36" s="18"/>
    </row>
    <row r="37" spans="1:9" x14ac:dyDescent="0.2">
      <c r="A37" s="26" t="s">
        <v>39</v>
      </c>
      <c r="B37" s="26"/>
      <c r="C37" s="26"/>
      <c r="D37" s="32"/>
      <c r="E37" s="33">
        <f>E39-(E19+E29+E33)</f>
        <v>1196.4621828999952</v>
      </c>
      <c r="F37" s="34">
        <f>F39-(F19+F29+F33)</f>
        <v>1.139803452899713</v>
      </c>
      <c r="G37" s="33"/>
      <c r="H37" s="18"/>
      <c r="I37" s="18"/>
    </row>
    <row r="38" spans="1:9" x14ac:dyDescent="0.2">
      <c r="A38" s="26"/>
      <c r="B38" s="26"/>
      <c r="C38" s="26"/>
      <c r="D38" s="32"/>
      <c r="E38" s="33"/>
      <c r="F38" s="34"/>
      <c r="G38" s="33"/>
      <c r="H38" s="18"/>
      <c r="I38" s="18"/>
    </row>
    <row r="39" spans="1:9" x14ac:dyDescent="0.2">
      <c r="A39" s="35" t="s">
        <v>38</v>
      </c>
      <c r="B39" s="35"/>
      <c r="C39" s="35"/>
      <c r="D39" s="36"/>
      <c r="E39" s="37">
        <v>104970.9210703</v>
      </c>
      <c r="F39" s="38">
        <v>100</v>
      </c>
      <c r="G39" s="37"/>
      <c r="H39" s="18"/>
      <c r="I39" s="18"/>
    </row>
    <row r="41" spans="1:9" x14ac:dyDescent="0.2">
      <c r="A41" s="18" t="s">
        <v>40</v>
      </c>
    </row>
    <row r="42" spans="1:9" s="48" customFormat="1" x14ac:dyDescent="0.2">
      <c r="A42" s="47" t="s">
        <v>1162</v>
      </c>
      <c r="D42" s="58"/>
      <c r="E42" s="59"/>
      <c r="F42" s="14"/>
      <c r="G42" s="59"/>
    </row>
    <row r="43" spans="1:9" s="48" customFormat="1" x14ac:dyDescent="0.2">
      <c r="A43" s="47" t="s">
        <v>733</v>
      </c>
      <c r="D43" s="58"/>
      <c r="E43" s="59"/>
      <c r="F43" s="14"/>
      <c r="G43" s="59"/>
    </row>
    <row r="45" spans="1:9" x14ac:dyDescent="0.2">
      <c r="A45" s="18" t="s">
        <v>41</v>
      </c>
    </row>
    <row r="46" spans="1:9" x14ac:dyDescent="0.2">
      <c r="A46" s="18" t="s">
        <v>42</v>
      </c>
    </row>
    <row r="47" spans="1:9" x14ac:dyDescent="0.2">
      <c r="A47" s="18" t="s">
        <v>43</v>
      </c>
      <c r="B47" s="18"/>
      <c r="C47" s="39" t="s">
        <v>45</v>
      </c>
      <c r="D47" s="19" t="s">
        <v>44</v>
      </c>
    </row>
    <row r="48" spans="1:9" x14ac:dyDescent="0.2">
      <c r="A48" s="9" t="s">
        <v>70</v>
      </c>
      <c r="C48" s="40">
        <v>68.113900000000001</v>
      </c>
      <c r="D48" s="40">
        <v>72.655500000000004</v>
      </c>
    </row>
    <row r="49" spans="1:7" x14ac:dyDescent="0.2">
      <c r="A49" s="9" t="s">
        <v>76</v>
      </c>
      <c r="C49" s="40">
        <v>11.2585</v>
      </c>
      <c r="D49" s="40">
        <v>12.0091</v>
      </c>
    </row>
    <row r="50" spans="1:7" x14ac:dyDescent="0.2">
      <c r="A50" s="9" t="s">
        <v>73</v>
      </c>
      <c r="C50" s="40">
        <v>72.699200000000005</v>
      </c>
      <c r="D50" s="40">
        <v>77.667000000000002</v>
      </c>
    </row>
    <row r="51" spans="1:7" x14ac:dyDescent="0.2">
      <c r="A51" s="9" t="s">
        <v>77</v>
      </c>
      <c r="C51" s="40">
        <v>12.2532</v>
      </c>
      <c r="D51" s="40">
        <v>13.0905</v>
      </c>
    </row>
    <row r="53" spans="1:7" x14ac:dyDescent="0.2">
      <c r="A53" s="9" t="s">
        <v>46</v>
      </c>
    </row>
    <row r="55" spans="1:7" x14ac:dyDescent="0.2">
      <c r="A55" s="18" t="s">
        <v>47</v>
      </c>
      <c r="D55" s="41" t="s">
        <v>48</v>
      </c>
    </row>
    <row r="57" spans="1:7" x14ac:dyDescent="0.2">
      <c r="A57" s="18" t="s">
        <v>816</v>
      </c>
      <c r="D57" s="42">
        <v>2.10587270904109</v>
      </c>
      <c r="E57" s="13" t="s">
        <v>49</v>
      </c>
    </row>
    <row r="59" spans="1:7" s="48" customFormat="1" x14ac:dyDescent="0.2">
      <c r="A59" s="47" t="s">
        <v>734</v>
      </c>
      <c r="D59" s="58">
        <v>2</v>
      </c>
      <c r="E59" s="59"/>
      <c r="F59" s="14"/>
      <c r="G59" s="59"/>
    </row>
    <row r="60" spans="1:7" s="48" customFormat="1" x14ac:dyDescent="0.2">
      <c r="A60" s="48" t="s">
        <v>729</v>
      </c>
      <c r="D60" s="58"/>
      <c r="E60" s="59"/>
      <c r="F60" s="14"/>
      <c r="G60" s="59"/>
    </row>
    <row r="61" spans="1:7" s="48" customFormat="1" x14ac:dyDescent="0.2">
      <c r="A61" s="70" t="s">
        <v>730</v>
      </c>
      <c r="D61" s="58"/>
      <c r="E61" s="59"/>
      <c r="F61" s="14"/>
      <c r="G61" s="59"/>
    </row>
    <row r="63" spans="1:7" ht="25.5" customHeight="1" x14ac:dyDescent="0.3">
      <c r="A63" s="84" t="s">
        <v>1163</v>
      </c>
      <c r="B63" s="85"/>
      <c r="C63" s="85"/>
      <c r="D63" s="85"/>
      <c r="E63" s="85"/>
      <c r="F63" s="85"/>
      <c r="G63" s="85"/>
    </row>
    <row r="65" spans="1:7" ht="48.75" customHeight="1" x14ac:dyDescent="0.3">
      <c r="A65" s="84" t="s">
        <v>1164</v>
      </c>
      <c r="B65" s="85"/>
      <c r="C65" s="85"/>
      <c r="D65" s="85"/>
      <c r="E65" s="85"/>
      <c r="F65" s="85"/>
      <c r="G65" s="85"/>
    </row>
    <row r="67" spans="1:7" ht="36" customHeight="1" x14ac:dyDescent="0.3">
      <c r="A67" s="84" t="s">
        <v>1165</v>
      </c>
      <c r="B67" s="85"/>
      <c r="C67" s="85"/>
      <c r="D67" s="85"/>
      <c r="E67" s="85"/>
      <c r="F67" s="85"/>
      <c r="G67" s="85"/>
    </row>
    <row r="68" spans="1:7" x14ac:dyDescent="0.2">
      <c r="A68" s="50" t="s">
        <v>1166</v>
      </c>
    </row>
    <row r="70" spans="1:7" ht="26.25" customHeight="1" x14ac:dyDescent="0.3">
      <c r="A70" s="84" t="s">
        <v>1167</v>
      </c>
      <c r="B70" s="85"/>
      <c r="C70" s="85"/>
      <c r="D70" s="85"/>
      <c r="E70" s="85"/>
      <c r="F70" s="85"/>
      <c r="G70" s="85"/>
    </row>
    <row r="72" spans="1:7" x14ac:dyDescent="0.2">
      <c r="A72" s="18" t="s">
        <v>1168</v>
      </c>
    </row>
    <row r="73" spans="1:7" x14ac:dyDescent="0.2">
      <c r="A73" s="50" t="s">
        <v>50</v>
      </c>
    </row>
    <row r="75" spans="1:7" x14ac:dyDescent="0.2">
      <c r="A75" s="18" t="s">
        <v>746</v>
      </c>
    </row>
    <row r="77" spans="1:7" s="1" customFormat="1" ht="13.8" x14ac:dyDescent="0.2">
      <c r="A77" s="79" t="s">
        <v>1169</v>
      </c>
      <c r="B77" s="80"/>
      <c r="C77" s="80"/>
      <c r="D77" s="80"/>
      <c r="E77" s="80"/>
      <c r="F77" s="80"/>
      <c r="G77" s="80"/>
    </row>
    <row r="78" spans="1:7" x14ac:dyDescent="0.2">
      <c r="A78" s="18" t="s">
        <v>7</v>
      </c>
    </row>
    <row r="79" spans="1:7" s="1" customFormat="1" ht="17.399999999999999" customHeight="1" x14ac:dyDescent="0.2">
      <c r="A79" s="8" t="s">
        <v>2</v>
      </c>
      <c r="B79" s="8" t="s">
        <v>0</v>
      </c>
      <c r="C79" s="17" t="s">
        <v>749</v>
      </c>
      <c r="D79" s="16" t="s">
        <v>1</v>
      </c>
      <c r="E79" s="15" t="s">
        <v>3</v>
      </c>
      <c r="F79" s="15" t="s">
        <v>4</v>
      </c>
      <c r="G79" s="15" t="s">
        <v>6</v>
      </c>
    </row>
    <row r="80" spans="1:7" x14ac:dyDescent="0.2">
      <c r="A80" s="21" t="s">
        <v>31</v>
      </c>
      <c r="B80" s="22"/>
      <c r="C80" s="22"/>
      <c r="D80" s="23"/>
      <c r="E80" s="24"/>
      <c r="F80" s="25"/>
      <c r="G80" s="24"/>
    </row>
    <row r="81" spans="1:9" x14ac:dyDescent="0.2">
      <c r="A81" s="26" t="s">
        <v>32</v>
      </c>
      <c r="B81" s="27"/>
      <c r="C81" s="27"/>
      <c r="D81" s="28"/>
      <c r="E81" s="29"/>
      <c r="F81" s="30"/>
      <c r="G81" s="29"/>
    </row>
    <row r="82" spans="1:9" x14ac:dyDescent="0.2">
      <c r="A82" s="27" t="s">
        <v>1170</v>
      </c>
      <c r="B82" s="27" t="s">
        <v>1171</v>
      </c>
      <c r="C82" s="27" t="s">
        <v>1172</v>
      </c>
      <c r="D82" s="31">
        <v>940</v>
      </c>
      <c r="E82" s="29">
        <v>0</v>
      </c>
      <c r="F82" s="30">
        <v>100</v>
      </c>
      <c r="G82" s="29">
        <v>0</v>
      </c>
    </row>
    <row r="83" spans="1:9" x14ac:dyDescent="0.2">
      <c r="A83" s="26" t="s">
        <v>35</v>
      </c>
      <c r="B83" s="26"/>
      <c r="C83" s="26"/>
      <c r="D83" s="32"/>
      <c r="E83" s="33">
        <f>SUM(E81:E82)</f>
        <v>0</v>
      </c>
      <c r="F83" s="34">
        <f>SUM(F81:F82)</f>
        <v>100</v>
      </c>
      <c r="G83" s="33"/>
      <c r="H83" s="18"/>
      <c r="I83" s="18"/>
    </row>
    <row r="84" spans="1:9" x14ac:dyDescent="0.2">
      <c r="A84" s="27"/>
      <c r="B84" s="27"/>
      <c r="C84" s="27"/>
      <c r="D84" s="28"/>
      <c r="E84" s="29"/>
      <c r="F84" s="30"/>
      <c r="G84" s="29"/>
    </row>
    <row r="85" spans="1:9" x14ac:dyDescent="0.2">
      <c r="A85" s="26" t="s">
        <v>37</v>
      </c>
      <c r="B85" s="26"/>
      <c r="C85" s="26"/>
      <c r="D85" s="32"/>
      <c r="E85" s="33">
        <f>E83</f>
        <v>0</v>
      </c>
      <c r="F85" s="34">
        <f>F83</f>
        <v>100</v>
      </c>
      <c r="G85" s="33"/>
      <c r="H85" s="18"/>
      <c r="I85" s="18"/>
    </row>
    <row r="86" spans="1:9" x14ac:dyDescent="0.2">
      <c r="A86" s="26"/>
      <c r="B86" s="26"/>
      <c r="C86" s="26"/>
      <c r="D86" s="32"/>
      <c r="E86" s="33"/>
      <c r="F86" s="34"/>
      <c r="G86" s="33"/>
      <c r="H86" s="18"/>
      <c r="I86" s="18"/>
    </row>
    <row r="87" spans="1:9" x14ac:dyDescent="0.2">
      <c r="A87" s="26" t="s">
        <v>39</v>
      </c>
      <c r="B87" s="26"/>
      <c r="C87" s="26"/>
      <c r="D87" s="32"/>
      <c r="E87" s="33">
        <f>E89-(E83)</f>
        <v>3.9999999999999998E-7</v>
      </c>
      <c r="F87" s="34">
        <v>0</v>
      </c>
      <c r="G87" s="33"/>
      <c r="H87" s="18"/>
      <c r="I87" s="18"/>
    </row>
    <row r="88" spans="1:9" x14ac:dyDescent="0.2">
      <c r="A88" s="26"/>
      <c r="B88" s="26"/>
      <c r="C88" s="26"/>
      <c r="D88" s="32"/>
      <c r="E88" s="33"/>
      <c r="F88" s="34"/>
      <c r="G88" s="33"/>
      <c r="H88" s="18"/>
      <c r="I88" s="18"/>
    </row>
    <row r="89" spans="1:9" x14ac:dyDescent="0.2">
      <c r="A89" s="35" t="s">
        <v>38</v>
      </c>
      <c r="B89" s="35"/>
      <c r="C89" s="35"/>
      <c r="D89" s="36"/>
      <c r="E89" s="37">
        <v>3.9999999999999998E-7</v>
      </c>
      <c r="F89" s="38">
        <v>100</v>
      </c>
      <c r="G89" s="37"/>
      <c r="H89" s="18"/>
      <c r="I89" s="18"/>
    </row>
    <row r="91" spans="1:9" x14ac:dyDescent="0.2">
      <c r="A91" s="18" t="s">
        <v>40</v>
      </c>
    </row>
    <row r="92" spans="1:9" x14ac:dyDescent="0.2">
      <c r="A92" s="18" t="s">
        <v>1162</v>
      </c>
    </row>
    <row r="93" spans="1:9" x14ac:dyDescent="0.2">
      <c r="A93" s="18" t="s">
        <v>1173</v>
      </c>
    </row>
    <row r="95" spans="1:9" x14ac:dyDescent="0.2">
      <c r="A95" s="18" t="s">
        <v>41</v>
      </c>
    </row>
    <row r="96" spans="1:9" x14ac:dyDescent="0.2">
      <c r="A96" s="18" t="s">
        <v>42</v>
      </c>
    </row>
    <row r="97" spans="1:7" x14ac:dyDescent="0.2">
      <c r="A97" s="18" t="s">
        <v>43</v>
      </c>
      <c r="B97" s="18"/>
      <c r="C97" s="39" t="s">
        <v>45</v>
      </c>
      <c r="D97" s="19" t="s">
        <v>44</v>
      </c>
    </row>
    <row r="98" spans="1:7" x14ac:dyDescent="0.2">
      <c r="A98" s="9" t="s">
        <v>70</v>
      </c>
      <c r="C98" s="40">
        <v>0</v>
      </c>
      <c r="D98" s="40">
        <v>0</v>
      </c>
    </row>
    <row r="99" spans="1:7" x14ac:dyDescent="0.2">
      <c r="A99" s="9" t="s">
        <v>76</v>
      </c>
      <c r="C99" s="40">
        <v>0</v>
      </c>
      <c r="D99" s="40">
        <v>0</v>
      </c>
    </row>
    <row r="100" spans="1:7" x14ac:dyDescent="0.2">
      <c r="A100" s="9" t="s">
        <v>73</v>
      </c>
      <c r="C100" s="40">
        <v>0</v>
      </c>
      <c r="D100" s="40">
        <v>0</v>
      </c>
    </row>
    <row r="101" spans="1:7" x14ac:dyDescent="0.2">
      <c r="A101" s="9" t="s">
        <v>77</v>
      </c>
      <c r="C101" s="40">
        <v>0</v>
      </c>
      <c r="D101" s="40">
        <v>0</v>
      </c>
    </row>
    <row r="103" spans="1:7" x14ac:dyDescent="0.2">
      <c r="A103" s="9" t="s">
        <v>46</v>
      </c>
    </row>
    <row r="105" spans="1:7" x14ac:dyDescent="0.2">
      <c r="A105" s="18" t="s">
        <v>1277</v>
      </c>
      <c r="D105" s="41" t="s">
        <v>48</v>
      </c>
    </row>
    <row r="106" spans="1:7" x14ac:dyDescent="0.2">
      <c r="A106" s="9" t="s">
        <v>729</v>
      </c>
    </row>
    <row r="107" spans="1:7" x14ac:dyDescent="0.2">
      <c r="A107" s="50" t="s">
        <v>730</v>
      </c>
    </row>
    <row r="109" spans="1:7" x14ac:dyDescent="0.2">
      <c r="A109" s="18" t="s">
        <v>1174</v>
      </c>
    </row>
    <row r="110" spans="1:7" x14ac:dyDescent="0.2">
      <c r="A110" s="50" t="s">
        <v>50</v>
      </c>
    </row>
    <row r="112" spans="1:7" s="1" customFormat="1" ht="13.8" x14ac:dyDescent="0.2">
      <c r="A112" s="79" t="s">
        <v>1175</v>
      </c>
      <c r="B112" s="80"/>
      <c r="C112" s="80"/>
      <c r="D112" s="80"/>
      <c r="E112" s="80"/>
      <c r="F112" s="80"/>
      <c r="G112" s="80"/>
    </row>
    <row r="113" spans="1:9" x14ac:dyDescent="0.2">
      <c r="A113" s="18" t="s">
        <v>7</v>
      </c>
    </row>
    <row r="114" spans="1:9" s="1" customFormat="1" ht="17.399999999999999" customHeight="1" x14ac:dyDescent="0.2">
      <c r="A114" s="8" t="s">
        <v>2</v>
      </c>
      <c r="B114" s="8" t="s">
        <v>0</v>
      </c>
      <c r="C114" s="17" t="s">
        <v>749</v>
      </c>
      <c r="D114" s="16" t="s">
        <v>1</v>
      </c>
      <c r="E114" s="15" t="s">
        <v>3</v>
      </c>
      <c r="F114" s="15" t="s">
        <v>4</v>
      </c>
      <c r="G114" s="15" t="s">
        <v>6</v>
      </c>
    </row>
    <row r="115" spans="1:9" x14ac:dyDescent="0.2">
      <c r="A115" s="21" t="s">
        <v>31</v>
      </c>
      <c r="B115" s="22"/>
      <c r="C115" s="22"/>
      <c r="D115" s="23"/>
      <c r="E115" s="24"/>
      <c r="F115" s="25"/>
      <c r="G115" s="24"/>
    </row>
    <row r="116" spans="1:9" x14ac:dyDescent="0.2">
      <c r="A116" s="26" t="s">
        <v>32</v>
      </c>
      <c r="B116" s="27"/>
      <c r="C116" s="27"/>
      <c r="D116" s="28"/>
      <c r="E116" s="29"/>
      <c r="F116" s="30"/>
      <c r="G116" s="29"/>
    </row>
    <row r="117" spans="1:9" ht="20.399999999999999" x14ac:dyDescent="0.2">
      <c r="A117" s="27" t="s">
        <v>1176</v>
      </c>
      <c r="B117" s="27" t="s">
        <v>1177</v>
      </c>
      <c r="C117" s="52" t="s">
        <v>1178</v>
      </c>
      <c r="D117" s="31">
        <v>682</v>
      </c>
      <c r="E117" s="29">
        <v>0</v>
      </c>
      <c r="F117" s="30">
        <v>100</v>
      </c>
      <c r="G117" s="29">
        <v>0</v>
      </c>
    </row>
    <row r="118" spans="1:9" x14ac:dyDescent="0.2">
      <c r="A118" s="26" t="s">
        <v>35</v>
      </c>
      <c r="B118" s="26"/>
      <c r="C118" s="26"/>
      <c r="D118" s="32"/>
      <c r="E118" s="33">
        <f>SUM(E116:E117)</f>
        <v>0</v>
      </c>
      <c r="F118" s="34">
        <f>SUM(F116:F117)</f>
        <v>100</v>
      </c>
      <c r="G118" s="33"/>
      <c r="H118" s="18"/>
      <c r="I118" s="18"/>
    </row>
    <row r="119" spans="1:9" x14ac:dyDescent="0.2">
      <c r="A119" s="27"/>
      <c r="B119" s="27"/>
      <c r="C119" s="27"/>
      <c r="D119" s="28"/>
      <c r="E119" s="29"/>
      <c r="F119" s="30"/>
      <c r="G119" s="29"/>
    </row>
    <row r="120" spans="1:9" x14ac:dyDescent="0.2">
      <c r="A120" s="26" t="s">
        <v>37</v>
      </c>
      <c r="B120" s="26"/>
      <c r="C120" s="26"/>
      <c r="D120" s="32"/>
      <c r="E120" s="33">
        <f>E118</f>
        <v>0</v>
      </c>
      <c r="F120" s="34">
        <f>F118</f>
        <v>100</v>
      </c>
      <c r="G120" s="33"/>
      <c r="H120" s="18"/>
      <c r="I120" s="18"/>
    </row>
    <row r="121" spans="1:9" x14ac:dyDescent="0.2">
      <c r="A121" s="26"/>
      <c r="B121" s="26"/>
      <c r="C121" s="26"/>
      <c r="D121" s="32"/>
      <c r="E121" s="33"/>
      <c r="F121" s="34"/>
      <c r="G121" s="33"/>
      <c r="H121" s="18"/>
      <c r="I121" s="18"/>
    </row>
    <row r="122" spans="1:9" x14ac:dyDescent="0.2">
      <c r="A122" s="26" t="s">
        <v>39</v>
      </c>
      <c r="B122" s="26"/>
      <c r="C122" s="26"/>
      <c r="D122" s="32"/>
      <c r="E122" s="33">
        <f>E124-(E118)</f>
        <v>3.9999999999999998E-7</v>
      </c>
      <c r="F122" s="34">
        <v>0</v>
      </c>
      <c r="G122" s="33"/>
      <c r="H122" s="18"/>
      <c r="I122" s="18"/>
    </row>
    <row r="123" spans="1:9" x14ac:dyDescent="0.2">
      <c r="A123" s="26"/>
      <c r="B123" s="26"/>
      <c r="C123" s="26"/>
      <c r="D123" s="32"/>
      <c r="E123" s="33"/>
      <c r="F123" s="34"/>
      <c r="G123" s="33"/>
      <c r="H123" s="18"/>
      <c r="I123" s="18"/>
    </row>
    <row r="124" spans="1:9" x14ac:dyDescent="0.2">
      <c r="A124" s="35" t="s">
        <v>38</v>
      </c>
      <c r="B124" s="35"/>
      <c r="C124" s="35"/>
      <c r="D124" s="36"/>
      <c r="E124" s="37">
        <v>3.9999999999999998E-7</v>
      </c>
      <c r="F124" s="38">
        <v>100</v>
      </c>
      <c r="G124" s="37"/>
      <c r="H124" s="18"/>
      <c r="I124" s="18"/>
    </row>
    <row r="126" spans="1:9" x14ac:dyDescent="0.2">
      <c r="A126" s="18" t="s">
        <v>40</v>
      </c>
    </row>
    <row r="127" spans="1:9" x14ac:dyDescent="0.2">
      <c r="A127" s="47" t="s">
        <v>1162</v>
      </c>
    </row>
    <row r="129" spans="1:4" x14ac:dyDescent="0.2">
      <c r="A129" s="18" t="s">
        <v>41</v>
      </c>
    </row>
    <row r="130" spans="1:4" x14ac:dyDescent="0.2">
      <c r="A130" s="18" t="s">
        <v>42</v>
      </c>
    </row>
    <row r="131" spans="1:4" x14ac:dyDescent="0.2">
      <c r="A131" s="18" t="s">
        <v>43</v>
      </c>
      <c r="B131" s="18"/>
      <c r="C131" s="39" t="s">
        <v>45</v>
      </c>
      <c r="D131" s="19" t="s">
        <v>44</v>
      </c>
    </row>
    <row r="132" spans="1:4" x14ac:dyDescent="0.2">
      <c r="A132" s="9" t="s">
        <v>70</v>
      </c>
      <c r="C132" s="40">
        <v>0</v>
      </c>
      <c r="D132" s="40">
        <v>0</v>
      </c>
    </row>
    <row r="133" spans="1:4" x14ac:dyDescent="0.2">
      <c r="A133" s="9" t="s">
        <v>76</v>
      </c>
      <c r="C133" s="40">
        <v>0</v>
      </c>
      <c r="D133" s="40">
        <v>0</v>
      </c>
    </row>
    <row r="134" spans="1:4" x14ac:dyDescent="0.2">
      <c r="A134" s="9" t="s">
        <v>73</v>
      </c>
      <c r="C134" s="40">
        <v>0</v>
      </c>
      <c r="D134" s="40">
        <v>0</v>
      </c>
    </row>
    <row r="135" spans="1:4" x14ac:dyDescent="0.2">
      <c r="A135" s="9" t="s">
        <v>77</v>
      </c>
      <c r="C135" s="40">
        <v>0</v>
      </c>
      <c r="D135" s="40">
        <v>0</v>
      </c>
    </row>
    <row r="137" spans="1:4" x14ac:dyDescent="0.2">
      <c r="A137" s="9" t="s">
        <v>46</v>
      </c>
    </row>
    <row r="139" spans="1:4" x14ac:dyDescent="0.2">
      <c r="A139" s="18" t="s">
        <v>1277</v>
      </c>
      <c r="D139" s="41" t="s">
        <v>48</v>
      </c>
    </row>
    <row r="140" spans="1:4" x14ac:dyDescent="0.2">
      <c r="A140" s="9" t="s">
        <v>729</v>
      </c>
    </row>
    <row r="141" spans="1:4" x14ac:dyDescent="0.2">
      <c r="A141" s="50" t="s">
        <v>730</v>
      </c>
    </row>
    <row r="143" spans="1:4" x14ac:dyDescent="0.2">
      <c r="A143" s="18" t="s">
        <v>1174</v>
      </c>
    </row>
    <row r="144" spans="1:4" x14ac:dyDescent="0.2">
      <c r="A144" s="50" t="s">
        <v>50</v>
      </c>
    </row>
  </sheetData>
  <mergeCells count="7">
    <mergeCell ref="A112:G112"/>
    <mergeCell ref="A1:G1"/>
    <mergeCell ref="A63:G63"/>
    <mergeCell ref="A65:G65"/>
    <mergeCell ref="A67:G67"/>
    <mergeCell ref="A70:G70"/>
    <mergeCell ref="A77:G77"/>
  </mergeCells>
  <conditionalFormatting sqref="F2:F3 F5:F25 F80:F81 F115:F116 F64 F66 F68:F69 F78 F113 F29:F62 F71:F76 F90:F111 F125:F65535">
    <cfRule type="cellIs" dxfId="51" priority="7" stopIfTrue="1" operator="between">
      <formula>0.009</formula>
      <formula>-0.009</formula>
    </cfRule>
  </conditionalFormatting>
  <conditionalFormatting sqref="F85:F86 F88:F89">
    <cfRule type="cellIs" dxfId="50" priority="4" stopIfTrue="1" operator="between">
      <formula>0.009</formula>
      <formula>-0.009</formula>
    </cfRule>
  </conditionalFormatting>
  <conditionalFormatting sqref="F83:F84">
    <cfRule type="cellIs" dxfId="49" priority="6" stopIfTrue="1" operator="between">
      <formula>0.009</formula>
      <formula>-0.009</formula>
    </cfRule>
  </conditionalFormatting>
  <conditionalFormatting sqref="F82">
    <cfRule type="cellIs" dxfId="48" priority="5" stopIfTrue="1" operator="between">
      <formula>0.009</formula>
      <formula>-0.009</formula>
    </cfRule>
  </conditionalFormatting>
  <conditionalFormatting sqref="F120:F121 F123:F124">
    <cfRule type="cellIs" dxfId="47" priority="1" stopIfTrue="1" operator="between">
      <formula>0.009</formula>
      <formula>-0.009</formula>
    </cfRule>
  </conditionalFormatting>
  <conditionalFormatting sqref="F118:F119">
    <cfRule type="cellIs" dxfId="46" priority="3" stopIfTrue="1" operator="between">
      <formula>0.009</formula>
      <formula>-0.009</formula>
    </cfRule>
  </conditionalFormatting>
  <conditionalFormatting sqref="F117">
    <cfRule type="cellIs" dxfId="45" priority="2" stopIfTrue="1" operator="between">
      <formula>0.009</formula>
      <formula>-0.009</formula>
    </cfRule>
  </conditionalFormatting>
  <hyperlinks>
    <hyperlink ref="A68" r:id="rId1" tooltip="https://www.franklintempletonindia.com/downloadsServlet/pdf/fair-valuation-reliance-big-reliance-infra-november-4-2020-kgox4tfq" xr:uid="{00000000-0004-0000-1500-000000000000}"/>
    <hyperlink ref="A73" r:id="rId2" tooltip="https://www.franklintempletonindia.com/downloadsServlet/pdf/product-labels-jg9o5k7l" xr:uid="{00000000-0004-0000-1500-000001000000}"/>
    <hyperlink ref="A61" r:id="rId3" xr:uid="{00000000-0004-0000-1500-000002000000}"/>
    <hyperlink ref="A107" r:id="rId4" xr:uid="{00000000-0004-0000-1500-000003000000}"/>
    <hyperlink ref="A110" r:id="rId5" tooltip="https://www.franklintempletonindia.com/downloadsServlet/pdf/product-labels-jg9o5k7l" xr:uid="{00000000-0004-0000-1500-000004000000}"/>
    <hyperlink ref="A141" r:id="rId6" xr:uid="{00000000-0004-0000-1500-000005000000}"/>
    <hyperlink ref="A144" r:id="rId7" tooltip="https://www.franklintempletonindia.com/downloadsServlet/pdf/product-labels-jg9o5k7l" xr:uid="{00000000-0004-0000-1500-000006000000}"/>
  </hyperlinks>
  <pageMargins left="0.7" right="0.7" top="0.75" bottom="0.75" header="0.3" footer="0.3"/>
  <pageSetup paperSize="9" orientation="portrait" r:id="rId8"/>
  <headerFooter>
    <oddFooter>&amp;C&amp;1#&amp;"Calibri"&amp;10&amp;K000000PUBLIC</oddFooter>
    <evenFooter>&amp;LPUBLIC</evenFooter>
    <firstFooter>&amp;LPUBLIC</first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02"/>
  <sheetViews>
    <sheetView workbookViewId="0">
      <selection sqref="A1:G1"/>
    </sheetView>
  </sheetViews>
  <sheetFormatPr defaultColWidth="9.109375" defaultRowHeight="10.199999999999999" x14ac:dyDescent="0.2"/>
  <cols>
    <col min="1" max="1" width="38.6640625" style="9" bestFit="1" customWidth="1"/>
    <col min="2" max="2" width="53.88671875" style="9" bestFit="1" customWidth="1"/>
    <col min="3" max="3" width="15.332031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5" customHeight="1" x14ac:dyDescent="0.2">
      <c r="A1" s="79" t="s">
        <v>1179</v>
      </c>
      <c r="B1" s="80"/>
      <c r="C1" s="80"/>
      <c r="D1" s="80"/>
      <c r="E1" s="80"/>
      <c r="F1" s="80"/>
      <c r="G1" s="80"/>
    </row>
    <row r="2" spans="1:9" s="1" customFormat="1" ht="12" x14ac:dyDescent="0.25">
      <c r="A2" s="66" t="s">
        <v>1114</v>
      </c>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749</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1180</v>
      </c>
      <c r="B7" s="27" t="s">
        <v>1181</v>
      </c>
      <c r="C7" s="27" t="s">
        <v>1009</v>
      </c>
      <c r="D7" s="31">
        <v>1283</v>
      </c>
      <c r="E7" s="29">
        <v>13009.260759999999</v>
      </c>
      <c r="F7" s="30">
        <v>27.597409704069801</v>
      </c>
      <c r="G7" s="29">
        <v>9.7799999999999994</v>
      </c>
    </row>
    <row r="8" spans="1:9" x14ac:dyDescent="0.2">
      <c r="A8" s="27" t="s">
        <v>1182</v>
      </c>
      <c r="B8" s="27" t="s">
        <v>1183</v>
      </c>
      <c r="C8" s="27" t="s">
        <v>1144</v>
      </c>
      <c r="D8" s="31">
        <v>650</v>
      </c>
      <c r="E8" s="29">
        <v>6184.4250000000002</v>
      </c>
      <c r="F8" s="30">
        <v>13.119431892230899</v>
      </c>
      <c r="G8" s="29">
        <v>15.005000000000001</v>
      </c>
    </row>
    <row r="9" spans="1:9" x14ac:dyDescent="0.2">
      <c r="A9" s="27" t="s">
        <v>1184</v>
      </c>
      <c r="B9" s="27" t="s">
        <v>1185</v>
      </c>
      <c r="C9" s="27" t="s">
        <v>1009</v>
      </c>
      <c r="D9" s="31">
        <v>250</v>
      </c>
      <c r="E9" s="29">
        <v>2506.3525</v>
      </c>
      <c r="F9" s="30">
        <v>5.3168921802225197</v>
      </c>
      <c r="G9" s="29">
        <v>6.33</v>
      </c>
    </row>
    <row r="10" spans="1:9" x14ac:dyDescent="0.2">
      <c r="A10" s="27" t="s">
        <v>1137</v>
      </c>
      <c r="B10" s="27" t="s">
        <v>1131</v>
      </c>
      <c r="C10" s="27" t="s">
        <v>1132</v>
      </c>
      <c r="D10" s="31">
        <v>200</v>
      </c>
      <c r="E10" s="29">
        <v>1799.4780000000001</v>
      </c>
      <c r="F10" s="30">
        <v>3.8173523104521299</v>
      </c>
      <c r="G10" s="29">
        <v>20.838000000000001</v>
      </c>
    </row>
    <row r="11" spans="1:9" x14ac:dyDescent="0.2">
      <c r="A11" s="27" t="s">
        <v>1186</v>
      </c>
      <c r="B11" s="27" t="s">
        <v>1187</v>
      </c>
      <c r="C11" s="27" t="s">
        <v>1119</v>
      </c>
      <c r="D11" s="31">
        <v>300</v>
      </c>
      <c r="E11" s="29">
        <v>1506.018</v>
      </c>
      <c r="F11" s="30">
        <v>3.19481610327133</v>
      </c>
      <c r="G11" s="29">
        <v>7.6418999999999997</v>
      </c>
    </row>
    <row r="12" spans="1:9" x14ac:dyDescent="0.2">
      <c r="A12" s="27" t="s">
        <v>1140</v>
      </c>
      <c r="B12" s="27" t="s">
        <v>1141</v>
      </c>
      <c r="C12" s="27" t="s">
        <v>1119</v>
      </c>
      <c r="D12" s="31">
        <v>176</v>
      </c>
      <c r="E12" s="29">
        <v>1329.8155200000001</v>
      </c>
      <c r="F12" s="30">
        <v>2.8210260685304802</v>
      </c>
      <c r="G12" s="29">
        <v>7.8470000000000004</v>
      </c>
    </row>
    <row r="13" spans="1:9" x14ac:dyDescent="0.2">
      <c r="A13" s="27" t="s">
        <v>1117</v>
      </c>
      <c r="B13" s="27" t="s">
        <v>1118</v>
      </c>
      <c r="C13" s="27" t="s">
        <v>1119</v>
      </c>
      <c r="D13" s="31">
        <v>55</v>
      </c>
      <c r="E13" s="29">
        <v>559.83730000000003</v>
      </c>
      <c r="F13" s="30">
        <v>1.1876200823973799</v>
      </c>
      <c r="G13" s="29">
        <v>8.8072999999999997</v>
      </c>
    </row>
    <row r="14" spans="1:9" x14ac:dyDescent="0.2">
      <c r="A14" s="27" t="s">
        <v>876</v>
      </c>
      <c r="B14" s="27" t="s">
        <v>877</v>
      </c>
      <c r="C14" s="27" t="s">
        <v>878</v>
      </c>
      <c r="D14" s="31">
        <v>8</v>
      </c>
      <c r="E14" s="29">
        <v>79.615440000000007</v>
      </c>
      <c r="F14" s="30">
        <v>0.16889352569559801</v>
      </c>
      <c r="G14" s="29">
        <v>12.440300000000001</v>
      </c>
    </row>
    <row r="15" spans="1:9" x14ac:dyDescent="0.2">
      <c r="A15" s="26" t="s">
        <v>35</v>
      </c>
      <c r="B15" s="26"/>
      <c r="C15" s="26"/>
      <c r="D15" s="32"/>
      <c r="E15" s="33">
        <f>SUM(E6:E14)</f>
        <v>26974.802520000001</v>
      </c>
      <c r="F15" s="34">
        <f>SUM(F6:F14)</f>
        <v>57.223441866870132</v>
      </c>
      <c r="G15" s="33"/>
      <c r="H15" s="18"/>
      <c r="I15" s="18"/>
    </row>
    <row r="16" spans="1:9" x14ac:dyDescent="0.2">
      <c r="A16" s="27"/>
      <c r="B16" s="27"/>
      <c r="C16" s="27"/>
      <c r="D16" s="28"/>
      <c r="E16" s="29"/>
      <c r="F16" s="30"/>
      <c r="G16" s="29"/>
    </row>
    <row r="17" spans="1:9" x14ac:dyDescent="0.2">
      <c r="A17" s="26" t="s">
        <v>1075</v>
      </c>
      <c r="B17" s="27"/>
      <c r="C17" s="27"/>
      <c r="D17" s="28"/>
      <c r="E17" s="29"/>
      <c r="F17" s="30"/>
      <c r="G17" s="29"/>
    </row>
    <row r="18" spans="1:9" x14ac:dyDescent="0.2">
      <c r="A18" s="27" t="s">
        <v>1148</v>
      </c>
      <c r="B18" s="27" t="s">
        <v>1149</v>
      </c>
      <c r="C18" s="27" t="s">
        <v>1147</v>
      </c>
      <c r="D18" s="31">
        <v>180</v>
      </c>
      <c r="E18" s="29">
        <v>1511.4742200000001</v>
      </c>
      <c r="F18" s="30">
        <v>3.20639074548609</v>
      </c>
      <c r="G18" s="29">
        <v>11.0945</v>
      </c>
    </row>
    <row r="19" spans="1:9" x14ac:dyDescent="0.2">
      <c r="A19" s="27" t="s">
        <v>1150</v>
      </c>
      <c r="B19" s="27" t="s">
        <v>1151</v>
      </c>
      <c r="C19" s="27" t="s">
        <v>1147</v>
      </c>
      <c r="D19" s="31">
        <v>120</v>
      </c>
      <c r="E19" s="29">
        <v>1048.582647</v>
      </c>
      <c r="F19" s="30">
        <v>2.2244280787125299</v>
      </c>
      <c r="G19" s="29">
        <v>10.762700000000001</v>
      </c>
    </row>
    <row r="20" spans="1:9" x14ac:dyDescent="0.2">
      <c r="A20" s="27" t="s">
        <v>1188</v>
      </c>
      <c r="B20" s="27" t="s">
        <v>1189</v>
      </c>
      <c r="C20" s="27" t="s">
        <v>1147</v>
      </c>
      <c r="D20" s="31">
        <v>40</v>
      </c>
      <c r="E20" s="29">
        <v>327.5344288</v>
      </c>
      <c r="F20" s="30">
        <v>0.69482055825761602</v>
      </c>
      <c r="G20" s="29">
        <v>11.034700000000001</v>
      </c>
    </row>
    <row r="21" spans="1:9" x14ac:dyDescent="0.2">
      <c r="A21" s="26" t="s">
        <v>35</v>
      </c>
      <c r="B21" s="26"/>
      <c r="C21" s="26"/>
      <c r="D21" s="32"/>
      <c r="E21" s="33">
        <f>SUM(E17:E20)</f>
        <v>2887.5912958000004</v>
      </c>
      <c r="F21" s="34">
        <f>SUM(F17:F20)</f>
        <v>6.1256393824562361</v>
      </c>
      <c r="G21" s="33"/>
      <c r="H21" s="18"/>
      <c r="I21" s="18"/>
    </row>
    <row r="22" spans="1:9" x14ac:dyDescent="0.2">
      <c r="A22" s="27"/>
      <c r="B22" s="27"/>
      <c r="C22" s="27"/>
      <c r="D22" s="28"/>
      <c r="E22" s="29"/>
      <c r="F22" s="30"/>
      <c r="G22" s="29"/>
    </row>
    <row r="23" spans="1:9" x14ac:dyDescent="0.2">
      <c r="A23" s="26" t="s">
        <v>36</v>
      </c>
      <c r="B23" s="27"/>
      <c r="C23" s="27"/>
      <c r="D23" s="28"/>
      <c r="E23" s="29"/>
      <c r="F23" s="30"/>
      <c r="G23" s="29"/>
    </row>
    <row r="24" spans="1:9" x14ac:dyDescent="0.2">
      <c r="A24" s="27" t="s">
        <v>1159</v>
      </c>
      <c r="B24" s="27" t="s">
        <v>1160</v>
      </c>
      <c r="C24" s="27" t="s">
        <v>1161</v>
      </c>
      <c r="D24" s="31">
        <v>493474.42300000001</v>
      </c>
      <c r="E24" s="29">
        <v>16671.107619999999</v>
      </c>
      <c r="F24" s="30">
        <v>35.365528887267899</v>
      </c>
      <c r="G24" s="29">
        <v>3.1244999999999998</v>
      </c>
    </row>
    <row r="25" spans="1:9" x14ac:dyDescent="0.2">
      <c r="A25" s="26" t="s">
        <v>35</v>
      </c>
      <c r="B25" s="26"/>
      <c r="C25" s="26"/>
      <c r="D25" s="32"/>
      <c r="E25" s="33">
        <f>SUM(E24:E24)</f>
        <v>16671.107619999999</v>
      </c>
      <c r="F25" s="34">
        <f>SUM(F24:F24)</f>
        <v>35.365528887267899</v>
      </c>
      <c r="G25" s="33"/>
      <c r="H25" s="18"/>
      <c r="I25" s="18"/>
    </row>
    <row r="26" spans="1:9" x14ac:dyDescent="0.2">
      <c r="A26" s="27"/>
      <c r="B26" s="27"/>
      <c r="C26" s="27"/>
      <c r="D26" s="28"/>
      <c r="E26" s="29"/>
      <c r="F26" s="30"/>
      <c r="G26" s="29"/>
    </row>
    <row r="27" spans="1:9" x14ac:dyDescent="0.2">
      <c r="A27" s="26" t="s">
        <v>37</v>
      </c>
      <c r="B27" s="26"/>
      <c r="C27" s="26"/>
      <c r="D27" s="32"/>
      <c r="E27" s="33">
        <f>E15+E21+E25</f>
        <v>46533.501435800004</v>
      </c>
      <c r="F27" s="34">
        <f>F15+F21+F25</f>
        <v>98.714610136594274</v>
      </c>
      <c r="G27" s="33"/>
      <c r="H27" s="18"/>
      <c r="I27" s="18"/>
    </row>
    <row r="28" spans="1:9" x14ac:dyDescent="0.2">
      <c r="A28" s="26"/>
      <c r="B28" s="26"/>
      <c r="C28" s="26"/>
      <c r="D28" s="32"/>
      <c r="E28" s="33"/>
      <c r="F28" s="34"/>
      <c r="G28" s="33"/>
      <c r="H28" s="18"/>
      <c r="I28" s="18"/>
    </row>
    <row r="29" spans="1:9" x14ac:dyDescent="0.2">
      <c r="A29" s="26" t="s">
        <v>39</v>
      </c>
      <c r="B29" s="26"/>
      <c r="C29" s="26"/>
      <c r="D29" s="32"/>
      <c r="E29" s="33">
        <f>E31-(E15+E21+E25)</f>
        <v>605.92541439999331</v>
      </c>
      <c r="F29" s="34">
        <f>F31-(F15+F21+F25)</f>
        <v>1.2853898634057259</v>
      </c>
      <c r="G29" s="33"/>
      <c r="H29" s="18"/>
      <c r="I29" s="18"/>
    </row>
    <row r="30" spans="1:9" x14ac:dyDescent="0.2">
      <c r="A30" s="26"/>
      <c r="B30" s="26"/>
      <c r="C30" s="26"/>
      <c r="D30" s="32"/>
      <c r="E30" s="33"/>
      <c r="F30" s="34"/>
      <c r="G30" s="33"/>
      <c r="H30" s="18"/>
      <c r="I30" s="18"/>
    </row>
    <row r="31" spans="1:9" x14ac:dyDescent="0.2">
      <c r="A31" s="35" t="s">
        <v>38</v>
      </c>
      <c r="B31" s="35"/>
      <c r="C31" s="35"/>
      <c r="D31" s="36"/>
      <c r="E31" s="37">
        <v>47139.426850199998</v>
      </c>
      <c r="F31" s="38">
        <v>100</v>
      </c>
      <c r="G31" s="37"/>
      <c r="H31" s="18"/>
      <c r="I31" s="18"/>
    </row>
    <row r="33" spans="1:4" x14ac:dyDescent="0.2">
      <c r="A33" s="18" t="s">
        <v>40</v>
      </c>
    </row>
    <row r="35" spans="1:4" x14ac:dyDescent="0.2">
      <c r="A35" s="18" t="s">
        <v>41</v>
      </c>
    </row>
    <row r="36" spans="1:4" x14ac:dyDescent="0.2">
      <c r="A36" s="18" t="s">
        <v>42</v>
      </c>
    </row>
    <row r="37" spans="1:4" x14ac:dyDescent="0.2">
      <c r="A37" s="18" t="s">
        <v>43</v>
      </c>
      <c r="B37" s="18"/>
      <c r="C37" s="39" t="s">
        <v>45</v>
      </c>
      <c r="D37" s="19" t="s">
        <v>44</v>
      </c>
    </row>
    <row r="38" spans="1:4" x14ac:dyDescent="0.2">
      <c r="A38" s="9" t="s">
        <v>70</v>
      </c>
      <c r="C38" s="40">
        <v>22.6553</v>
      </c>
      <c r="D38" s="40">
        <v>23.779699999999998</v>
      </c>
    </row>
    <row r="39" spans="1:4" x14ac:dyDescent="0.2">
      <c r="A39" s="9" t="s">
        <v>71</v>
      </c>
      <c r="C39" s="40">
        <v>10.446400000000001</v>
      </c>
      <c r="D39" s="40">
        <v>10.9649</v>
      </c>
    </row>
    <row r="40" spans="1:4" x14ac:dyDescent="0.2">
      <c r="A40" s="9" t="s">
        <v>72</v>
      </c>
      <c r="C40" s="40">
        <v>10.2598</v>
      </c>
      <c r="D40" s="40">
        <v>10.769</v>
      </c>
    </row>
    <row r="41" spans="1:4" x14ac:dyDescent="0.2">
      <c r="A41" s="9" t="s">
        <v>73</v>
      </c>
      <c r="C41" s="40">
        <v>23.2514</v>
      </c>
      <c r="D41" s="40">
        <v>24.422899999999998</v>
      </c>
    </row>
    <row r="42" spans="1:4" x14ac:dyDescent="0.2">
      <c r="A42" s="9" t="s">
        <v>74</v>
      </c>
      <c r="C42" s="40">
        <v>10.805999999999999</v>
      </c>
      <c r="D42" s="40">
        <v>11.3504</v>
      </c>
    </row>
    <row r="43" spans="1:4" x14ac:dyDescent="0.2">
      <c r="A43" s="9" t="s">
        <v>75</v>
      </c>
      <c r="C43" s="40">
        <v>10.619</v>
      </c>
      <c r="D43" s="40">
        <v>11.1539</v>
      </c>
    </row>
    <row r="45" spans="1:4" x14ac:dyDescent="0.2">
      <c r="A45" s="9" t="s">
        <v>46</v>
      </c>
    </row>
    <row r="47" spans="1:4" x14ac:dyDescent="0.2">
      <c r="A47" s="18" t="s">
        <v>47</v>
      </c>
      <c r="D47" s="41" t="s">
        <v>48</v>
      </c>
    </row>
    <row r="49" spans="1:7" x14ac:dyDescent="0.2">
      <c r="A49" s="18" t="s">
        <v>816</v>
      </c>
      <c r="D49" s="42">
        <v>0.88307424380821897</v>
      </c>
      <c r="E49" s="13" t="s">
        <v>49</v>
      </c>
    </row>
    <row r="51" spans="1:7" x14ac:dyDescent="0.2">
      <c r="A51" s="18" t="s">
        <v>734</v>
      </c>
      <c r="D51" s="41" t="s">
        <v>48</v>
      </c>
    </row>
    <row r="52" spans="1:7" x14ac:dyDescent="0.2">
      <c r="A52" s="9" t="s">
        <v>729</v>
      </c>
    </row>
    <row r="53" spans="1:7" x14ac:dyDescent="0.2">
      <c r="A53" s="50" t="s">
        <v>730</v>
      </c>
    </row>
    <row r="55" spans="1:7" ht="25.5" customHeight="1" x14ac:dyDescent="0.3">
      <c r="A55" s="84" t="s">
        <v>1190</v>
      </c>
      <c r="B55" s="85"/>
      <c r="C55" s="85"/>
      <c r="D55" s="85"/>
      <c r="E55" s="85"/>
      <c r="F55" s="85"/>
      <c r="G55" s="85"/>
    </row>
    <row r="57" spans="1:7" ht="46.5" customHeight="1" x14ac:dyDescent="0.3">
      <c r="A57" s="84" t="s">
        <v>1191</v>
      </c>
      <c r="B57" s="85"/>
      <c r="C57" s="85"/>
      <c r="D57" s="85"/>
      <c r="E57" s="85"/>
      <c r="F57" s="85"/>
      <c r="G57" s="85"/>
    </row>
    <row r="58" spans="1:7" x14ac:dyDescent="0.2">
      <c r="A58" s="50" t="s">
        <v>1166</v>
      </c>
    </row>
    <row r="60" spans="1:7" ht="25.5" customHeight="1" x14ac:dyDescent="0.3">
      <c r="A60" s="84" t="s">
        <v>1192</v>
      </c>
      <c r="B60" s="85"/>
      <c r="C60" s="85"/>
      <c r="D60" s="85"/>
      <c r="E60" s="85"/>
      <c r="F60" s="85"/>
      <c r="G60" s="85"/>
    </row>
    <row r="62" spans="1:7" x14ac:dyDescent="0.2">
      <c r="A62" s="18" t="s">
        <v>722</v>
      </c>
    </row>
    <row r="63" spans="1:7" x14ac:dyDescent="0.2">
      <c r="A63" s="50" t="s">
        <v>50</v>
      </c>
    </row>
    <row r="65" spans="1:9" x14ac:dyDescent="0.2">
      <c r="A65" s="18" t="s">
        <v>746</v>
      </c>
    </row>
    <row r="67" spans="1:9" s="1" customFormat="1" ht="13.8" x14ac:dyDescent="0.2">
      <c r="A67" s="79" t="s">
        <v>1193</v>
      </c>
      <c r="B67" s="80"/>
      <c r="C67" s="80"/>
      <c r="D67" s="80"/>
      <c r="E67" s="80"/>
      <c r="F67" s="80"/>
      <c r="G67" s="80"/>
    </row>
    <row r="68" spans="1:9" x14ac:dyDescent="0.2">
      <c r="A68" s="18" t="s">
        <v>7</v>
      </c>
    </row>
    <row r="69" spans="1:9" s="1" customFormat="1" ht="17.399999999999999" customHeight="1" x14ac:dyDescent="0.2">
      <c r="A69" s="8" t="s">
        <v>2</v>
      </c>
      <c r="B69" s="8" t="s">
        <v>0</v>
      </c>
      <c r="C69" s="17" t="s">
        <v>749</v>
      </c>
      <c r="D69" s="16" t="s">
        <v>1</v>
      </c>
      <c r="E69" s="15" t="s">
        <v>3</v>
      </c>
      <c r="F69" s="15" t="s">
        <v>4</v>
      </c>
      <c r="G69" s="15" t="s">
        <v>6</v>
      </c>
    </row>
    <row r="70" spans="1:9" x14ac:dyDescent="0.2">
      <c r="A70" s="21" t="s">
        <v>31</v>
      </c>
      <c r="B70" s="22"/>
      <c r="C70" s="22"/>
      <c r="D70" s="23"/>
      <c r="E70" s="24"/>
      <c r="F70" s="25"/>
      <c r="G70" s="24"/>
    </row>
    <row r="71" spans="1:9" x14ac:dyDescent="0.2">
      <c r="A71" s="26" t="s">
        <v>32</v>
      </c>
      <c r="B71" s="27"/>
      <c r="C71" s="27"/>
      <c r="D71" s="28"/>
      <c r="E71" s="29"/>
      <c r="F71" s="30"/>
      <c r="G71" s="29"/>
    </row>
    <row r="72" spans="1:9" x14ac:dyDescent="0.2">
      <c r="A72" s="27" t="s">
        <v>1170</v>
      </c>
      <c r="B72" s="27" t="s">
        <v>1171</v>
      </c>
      <c r="C72" s="27" t="s">
        <v>1172</v>
      </c>
      <c r="D72" s="31">
        <v>1510</v>
      </c>
      <c r="E72" s="29">
        <v>0</v>
      </c>
      <c r="F72" s="30">
        <v>100</v>
      </c>
      <c r="G72" s="29">
        <v>0</v>
      </c>
    </row>
    <row r="73" spans="1:9" x14ac:dyDescent="0.2">
      <c r="A73" s="26" t="s">
        <v>35</v>
      </c>
      <c r="B73" s="26"/>
      <c r="C73" s="26"/>
      <c r="D73" s="32"/>
      <c r="E73" s="33">
        <v>0</v>
      </c>
      <c r="F73" s="34">
        <v>100</v>
      </c>
      <c r="G73" s="33"/>
      <c r="H73" s="18"/>
      <c r="I73" s="18"/>
    </row>
    <row r="74" spans="1:9" x14ac:dyDescent="0.2">
      <c r="A74" s="27"/>
      <c r="B74" s="27"/>
      <c r="C74" s="27"/>
      <c r="D74" s="28"/>
      <c r="E74" s="29"/>
      <c r="F74" s="30"/>
      <c r="G74" s="29"/>
    </row>
    <row r="75" spans="1:9" x14ac:dyDescent="0.2">
      <c r="A75" s="26" t="s">
        <v>37</v>
      </c>
      <c r="B75" s="26"/>
      <c r="C75" s="26"/>
      <c r="D75" s="32"/>
      <c r="E75" s="33">
        <v>0</v>
      </c>
      <c r="F75" s="34">
        <v>100</v>
      </c>
      <c r="G75" s="33"/>
      <c r="H75" s="18"/>
      <c r="I75" s="18"/>
    </row>
    <row r="76" spans="1:9" x14ac:dyDescent="0.2">
      <c r="A76" s="26"/>
      <c r="B76" s="26"/>
      <c r="C76" s="26"/>
      <c r="D76" s="32"/>
      <c r="E76" s="33"/>
      <c r="F76" s="34"/>
      <c r="G76" s="33"/>
      <c r="H76" s="18"/>
      <c r="I76" s="18"/>
    </row>
    <row r="77" spans="1:9" x14ac:dyDescent="0.2">
      <c r="A77" s="26" t="s">
        <v>39</v>
      </c>
      <c r="B77" s="26"/>
      <c r="C77" s="26"/>
      <c r="D77" s="32"/>
      <c r="E77" s="33">
        <v>5.9999999999999997E-7</v>
      </c>
      <c r="F77" s="34">
        <v>0</v>
      </c>
      <c r="G77" s="33"/>
      <c r="H77" s="18"/>
      <c r="I77" s="18"/>
    </row>
    <row r="78" spans="1:9" x14ac:dyDescent="0.2">
      <c r="A78" s="26"/>
      <c r="B78" s="26"/>
      <c r="C78" s="26"/>
      <c r="D78" s="32"/>
      <c r="E78" s="33"/>
      <c r="F78" s="34"/>
      <c r="G78" s="33"/>
      <c r="H78" s="18"/>
      <c r="I78" s="18"/>
    </row>
    <row r="79" spans="1:9" x14ac:dyDescent="0.2">
      <c r="A79" s="35" t="s">
        <v>38</v>
      </c>
      <c r="B79" s="35"/>
      <c r="C79" s="35"/>
      <c r="D79" s="36"/>
      <c r="E79" s="37">
        <v>5.9999999999999997E-7</v>
      </c>
      <c r="F79" s="38">
        <v>100</v>
      </c>
      <c r="G79" s="37"/>
      <c r="H79" s="18"/>
      <c r="I79" s="18"/>
    </row>
    <row r="81" spans="1:4" x14ac:dyDescent="0.2">
      <c r="A81" s="18" t="s">
        <v>40</v>
      </c>
    </row>
    <row r="82" spans="1:4" x14ac:dyDescent="0.2">
      <c r="A82" s="47" t="s">
        <v>1162</v>
      </c>
    </row>
    <row r="83" spans="1:4" x14ac:dyDescent="0.2">
      <c r="A83" s="18" t="s">
        <v>1173</v>
      </c>
    </row>
    <row r="85" spans="1:4" x14ac:dyDescent="0.2">
      <c r="A85" s="18" t="s">
        <v>41</v>
      </c>
    </row>
    <row r="86" spans="1:4" x14ac:dyDescent="0.2">
      <c r="A86" s="18" t="s">
        <v>42</v>
      </c>
    </row>
    <row r="87" spans="1:4" x14ac:dyDescent="0.2">
      <c r="A87" s="18" t="s">
        <v>43</v>
      </c>
      <c r="B87" s="18"/>
      <c r="C87" s="39" t="s">
        <v>45</v>
      </c>
      <c r="D87" s="19" t="s">
        <v>44</v>
      </c>
    </row>
    <row r="88" spans="1:4" x14ac:dyDescent="0.2">
      <c r="A88" s="9" t="s">
        <v>70</v>
      </c>
      <c r="C88" s="40">
        <v>0</v>
      </c>
      <c r="D88" s="40">
        <v>0</v>
      </c>
    </row>
    <row r="89" spans="1:4" x14ac:dyDescent="0.2">
      <c r="A89" s="9" t="s">
        <v>71</v>
      </c>
      <c r="C89" s="40">
        <v>0</v>
      </c>
      <c r="D89" s="40">
        <v>0</v>
      </c>
    </row>
    <row r="90" spans="1:4" x14ac:dyDescent="0.2">
      <c r="A90" s="9" t="s">
        <v>72</v>
      </c>
      <c r="C90" s="40">
        <v>0</v>
      </c>
      <c r="D90" s="40">
        <v>0</v>
      </c>
    </row>
    <row r="91" spans="1:4" x14ac:dyDescent="0.2">
      <c r="A91" s="9" t="s">
        <v>73</v>
      </c>
      <c r="C91" s="40">
        <v>0</v>
      </c>
      <c r="D91" s="40">
        <v>0</v>
      </c>
    </row>
    <row r="92" spans="1:4" x14ac:dyDescent="0.2">
      <c r="A92" s="9" t="s">
        <v>74</v>
      </c>
      <c r="C92" s="40">
        <v>0</v>
      </c>
      <c r="D92" s="40">
        <v>0</v>
      </c>
    </row>
    <row r="93" spans="1:4" x14ac:dyDescent="0.2">
      <c r="A93" s="9" t="s">
        <v>75</v>
      </c>
      <c r="C93" s="40">
        <v>0</v>
      </c>
      <c r="D93" s="40">
        <v>0</v>
      </c>
    </row>
    <row r="95" spans="1:4" x14ac:dyDescent="0.2">
      <c r="A95" s="9" t="s">
        <v>46</v>
      </c>
    </row>
    <row r="97" spans="1:4" x14ac:dyDescent="0.2">
      <c r="A97" s="18" t="s">
        <v>1277</v>
      </c>
      <c r="D97" s="41" t="s">
        <v>48</v>
      </c>
    </row>
    <row r="98" spans="1:4" x14ac:dyDescent="0.2">
      <c r="A98" s="9" t="s">
        <v>729</v>
      </c>
    </row>
    <row r="99" spans="1:4" x14ac:dyDescent="0.2">
      <c r="A99" s="50" t="s">
        <v>730</v>
      </c>
    </row>
    <row r="101" spans="1:4" x14ac:dyDescent="0.2">
      <c r="A101" s="18" t="s">
        <v>1174</v>
      </c>
    </row>
    <row r="102" spans="1:4" x14ac:dyDescent="0.2">
      <c r="A102" s="50" t="s">
        <v>50</v>
      </c>
    </row>
  </sheetData>
  <mergeCells count="5">
    <mergeCell ref="A1:G1"/>
    <mergeCell ref="A55:G55"/>
    <mergeCell ref="A57:G57"/>
    <mergeCell ref="A60:G60"/>
    <mergeCell ref="A67:G67"/>
  </mergeCells>
  <conditionalFormatting sqref="F2:F3 F5:F54 F56 F58:F59 F68 F61:F66 F70:F65533">
    <cfRule type="cellIs" dxfId="44" priority="1" stopIfTrue="1" operator="between">
      <formula>0.009</formula>
      <formula>-0.009</formula>
    </cfRule>
  </conditionalFormatting>
  <hyperlinks>
    <hyperlink ref="A58" r:id="rId1" tooltip="https://www.franklintempletonindia.com/downloadsServlet/pdf/fair-valuation-reliance-big-reliance-infra-november-4-2020-kgox4tfq" xr:uid="{00000000-0004-0000-1600-000000000000}"/>
    <hyperlink ref="A63" r:id="rId2" tooltip="https://www.franklintempletonindia.com/downloadsServlet/pdf/product-labels-jg9o5k7l" xr:uid="{00000000-0004-0000-1600-000001000000}"/>
    <hyperlink ref="A53" r:id="rId3" xr:uid="{00000000-0004-0000-1600-000002000000}"/>
    <hyperlink ref="A99" r:id="rId4" xr:uid="{00000000-0004-0000-1600-000003000000}"/>
    <hyperlink ref="A102" r:id="rId5" tooltip="https://www.franklintempletonindia.com/downloadsServlet/pdf/product-labels-jg9o5k7l" xr:uid="{00000000-0004-0000-1600-000004000000}"/>
  </hyperlinks>
  <pageMargins left="0.7" right="0.7" top="0.75" bottom="0.75" header="0.3" footer="0.3"/>
  <pageSetup paperSize="9" orientation="portrait" r:id="rId6"/>
  <headerFooter>
    <oddFooter>&amp;C&amp;1#&amp;"Calibri"&amp;10&amp;K000000PUBLIC</oddFooter>
    <evenFooter>&amp;LPUBLIC</evenFooter>
    <firstFooter>&amp;LPUBLIC</first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77"/>
  <sheetViews>
    <sheetView workbookViewId="0">
      <selection sqref="A1:H1"/>
    </sheetView>
  </sheetViews>
  <sheetFormatPr defaultColWidth="9.109375" defaultRowHeight="10.199999999999999" x14ac:dyDescent="0.2"/>
  <cols>
    <col min="1" max="1" width="38.6640625" style="9" bestFit="1" customWidth="1"/>
    <col min="2" max="2" width="69.109375" style="9" bestFit="1" customWidth="1"/>
    <col min="3" max="3" width="15.332031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8" s="1" customFormat="1" ht="15" customHeight="1" x14ac:dyDescent="0.2">
      <c r="A1" s="79" t="s">
        <v>1194</v>
      </c>
      <c r="B1" s="80"/>
      <c r="C1" s="80"/>
      <c r="D1" s="80"/>
      <c r="E1" s="80"/>
      <c r="F1" s="80"/>
      <c r="G1" s="80"/>
      <c r="H1" s="80"/>
    </row>
    <row r="2" spans="1:8" s="1" customFormat="1" ht="12" x14ac:dyDescent="0.25">
      <c r="A2" s="66" t="s">
        <v>1114</v>
      </c>
      <c r="D2" s="6"/>
      <c r="E2" s="7"/>
      <c r="F2" s="12"/>
      <c r="G2" s="13"/>
    </row>
    <row r="3" spans="1:8" s="1" customFormat="1" ht="12" x14ac:dyDescent="0.2">
      <c r="A3" s="11" t="s">
        <v>7</v>
      </c>
      <c r="B3" s="2"/>
      <c r="C3" s="3"/>
      <c r="D3" s="4"/>
      <c r="E3" s="5"/>
      <c r="F3" s="12"/>
      <c r="G3" s="13"/>
    </row>
    <row r="4" spans="1:8" s="1" customFormat="1" ht="17.399999999999999" customHeight="1" x14ac:dyDescent="0.2">
      <c r="A4" s="8" t="s">
        <v>2</v>
      </c>
      <c r="B4" s="8" t="s">
        <v>0</v>
      </c>
      <c r="C4" s="17" t="s">
        <v>749</v>
      </c>
      <c r="D4" s="16" t="s">
        <v>1</v>
      </c>
      <c r="E4" s="15" t="s">
        <v>3</v>
      </c>
      <c r="F4" s="15" t="s">
        <v>4</v>
      </c>
      <c r="G4" s="15" t="s">
        <v>6</v>
      </c>
      <c r="H4" s="15" t="s">
        <v>1195</v>
      </c>
    </row>
    <row r="5" spans="1:8" x14ac:dyDescent="0.2">
      <c r="A5" s="21" t="s">
        <v>31</v>
      </c>
      <c r="B5" s="22"/>
      <c r="C5" s="22"/>
      <c r="D5" s="23"/>
      <c r="E5" s="24"/>
      <c r="F5" s="25"/>
      <c r="G5" s="24"/>
      <c r="H5" s="25"/>
    </row>
    <row r="6" spans="1:8" x14ac:dyDescent="0.2">
      <c r="A6" s="26" t="s">
        <v>32</v>
      </c>
      <c r="B6" s="27"/>
      <c r="C6" s="27"/>
      <c r="D6" s="28"/>
      <c r="E6" s="29"/>
      <c r="F6" s="30"/>
      <c r="G6" s="29"/>
      <c r="H6" s="30"/>
    </row>
    <row r="7" spans="1:8" x14ac:dyDescent="0.2">
      <c r="A7" s="27" t="s">
        <v>950</v>
      </c>
      <c r="B7" s="27" t="s">
        <v>951</v>
      </c>
      <c r="C7" s="27" t="s">
        <v>952</v>
      </c>
      <c r="D7" s="31">
        <v>6814</v>
      </c>
      <c r="E7" s="29">
        <v>69281.963709999996</v>
      </c>
      <c r="F7" s="30">
        <v>21.829847155843499</v>
      </c>
      <c r="G7" s="29">
        <v>10</v>
      </c>
      <c r="H7" s="30"/>
    </row>
    <row r="8" spans="1:8" x14ac:dyDescent="0.2">
      <c r="A8" s="27" t="s">
        <v>1137</v>
      </c>
      <c r="B8" s="27" t="s">
        <v>1131</v>
      </c>
      <c r="C8" s="27" t="s">
        <v>1132</v>
      </c>
      <c r="D8" s="31">
        <v>3100</v>
      </c>
      <c r="E8" s="29">
        <v>27891.909</v>
      </c>
      <c r="F8" s="30">
        <v>8.7883783563544107</v>
      </c>
      <c r="G8" s="29">
        <v>20.838000000000001</v>
      </c>
      <c r="H8" s="30"/>
    </row>
    <row r="9" spans="1:8" x14ac:dyDescent="0.2">
      <c r="A9" s="27" t="s">
        <v>1196</v>
      </c>
      <c r="B9" s="27" t="s">
        <v>1197</v>
      </c>
      <c r="C9" s="27" t="s">
        <v>1119</v>
      </c>
      <c r="D9" s="31">
        <v>11135</v>
      </c>
      <c r="E9" s="29">
        <v>23718.596689999998</v>
      </c>
      <c r="F9" s="30">
        <v>7.4734218369024301</v>
      </c>
      <c r="G9" s="29">
        <v>8.5394000000000005</v>
      </c>
      <c r="H9" s="30"/>
    </row>
    <row r="10" spans="1:8" x14ac:dyDescent="0.2">
      <c r="A10" s="27" t="s">
        <v>1198</v>
      </c>
      <c r="B10" s="27" t="s">
        <v>1199</v>
      </c>
      <c r="C10" s="27" t="s">
        <v>1119</v>
      </c>
      <c r="D10" s="31">
        <v>10675</v>
      </c>
      <c r="E10" s="29">
        <v>22591.673299999999</v>
      </c>
      <c r="F10" s="30">
        <v>7.1183429095351496</v>
      </c>
      <c r="G10" s="29">
        <v>8.18</v>
      </c>
      <c r="H10" s="30"/>
    </row>
    <row r="11" spans="1:8" x14ac:dyDescent="0.2">
      <c r="A11" s="27" t="s">
        <v>1120</v>
      </c>
      <c r="B11" s="27" t="s">
        <v>1121</v>
      </c>
      <c r="C11" s="27" t="s">
        <v>1122</v>
      </c>
      <c r="D11" s="31">
        <v>2020</v>
      </c>
      <c r="E11" s="29">
        <v>19844.7022</v>
      </c>
      <c r="F11" s="30">
        <v>6.2528079846660498</v>
      </c>
      <c r="G11" s="29">
        <v>14.819100000000001</v>
      </c>
      <c r="H11" s="30"/>
    </row>
    <row r="12" spans="1:8" x14ac:dyDescent="0.2">
      <c r="A12" s="27" t="s">
        <v>1140</v>
      </c>
      <c r="B12" s="27" t="s">
        <v>1141</v>
      </c>
      <c r="C12" s="27" t="s">
        <v>1119</v>
      </c>
      <c r="D12" s="31">
        <v>1349</v>
      </c>
      <c r="E12" s="29">
        <v>10192.73373</v>
      </c>
      <c r="F12" s="30">
        <v>3.2115980481943902</v>
      </c>
      <c r="G12" s="29">
        <v>7.8470000000000004</v>
      </c>
      <c r="H12" s="30"/>
    </row>
    <row r="13" spans="1:8" x14ac:dyDescent="0.2">
      <c r="A13" s="27" t="s">
        <v>1130</v>
      </c>
      <c r="B13" s="27" t="s">
        <v>1131</v>
      </c>
      <c r="C13" s="27" t="s">
        <v>1132</v>
      </c>
      <c r="D13" s="31">
        <v>1000</v>
      </c>
      <c r="E13" s="29">
        <v>9002.89</v>
      </c>
      <c r="F13" s="30">
        <v>2.8366937386981799</v>
      </c>
      <c r="G13" s="29">
        <v>20.763999999999999</v>
      </c>
      <c r="H13" s="30"/>
    </row>
    <row r="14" spans="1:8" x14ac:dyDescent="0.2">
      <c r="A14" s="27" t="s">
        <v>1117</v>
      </c>
      <c r="B14" s="27" t="s">
        <v>1118</v>
      </c>
      <c r="C14" s="27" t="s">
        <v>1119</v>
      </c>
      <c r="D14" s="31">
        <v>879</v>
      </c>
      <c r="E14" s="29">
        <v>8947.2179400000005</v>
      </c>
      <c r="F14" s="30">
        <v>2.8191521954801302</v>
      </c>
      <c r="G14" s="29">
        <v>8.8072999999999997</v>
      </c>
      <c r="H14" s="30"/>
    </row>
    <row r="15" spans="1:8" x14ac:dyDescent="0.2">
      <c r="A15" s="27" t="s">
        <v>1200</v>
      </c>
      <c r="B15" s="27" t="s">
        <v>1201</v>
      </c>
      <c r="C15" s="27" t="s">
        <v>1202</v>
      </c>
      <c r="D15" s="31">
        <v>690</v>
      </c>
      <c r="E15" s="29">
        <v>6791.5527000000002</v>
      </c>
      <c r="F15" s="30">
        <v>2.1399300691365499</v>
      </c>
      <c r="G15" s="29">
        <v>11.935</v>
      </c>
      <c r="H15" s="30"/>
    </row>
    <row r="16" spans="1:8" x14ac:dyDescent="0.2">
      <c r="A16" s="27" t="s">
        <v>1138</v>
      </c>
      <c r="B16" s="27" t="s">
        <v>1139</v>
      </c>
      <c r="C16" s="27" t="s">
        <v>33</v>
      </c>
      <c r="D16" s="31">
        <v>544</v>
      </c>
      <c r="E16" s="29">
        <v>5636.5526399999999</v>
      </c>
      <c r="F16" s="30">
        <v>1.7760045476209001</v>
      </c>
      <c r="G16" s="29">
        <v>10.2349</v>
      </c>
      <c r="H16" s="30"/>
    </row>
    <row r="17" spans="1:9" x14ac:dyDescent="0.2">
      <c r="A17" s="27" t="s">
        <v>1203</v>
      </c>
      <c r="B17" s="27" t="s">
        <v>1204</v>
      </c>
      <c r="C17" s="27" t="s">
        <v>1119</v>
      </c>
      <c r="D17" s="31">
        <v>2125</v>
      </c>
      <c r="E17" s="29">
        <v>4523.4790000000003</v>
      </c>
      <c r="F17" s="30">
        <v>1.42528949664305</v>
      </c>
      <c r="G17" s="29">
        <v>8.9350000000000005</v>
      </c>
      <c r="H17" s="30"/>
    </row>
    <row r="18" spans="1:9" x14ac:dyDescent="0.2">
      <c r="A18" s="27" t="s">
        <v>1205</v>
      </c>
      <c r="B18" s="27" t="s">
        <v>1206</v>
      </c>
      <c r="C18" s="27" t="s">
        <v>1125</v>
      </c>
      <c r="D18" s="31">
        <v>250</v>
      </c>
      <c r="E18" s="29">
        <v>2500</v>
      </c>
      <c r="F18" s="30">
        <v>0.78771753811781098</v>
      </c>
      <c r="G18" s="29">
        <v>5.1550000000000002</v>
      </c>
      <c r="H18" s="30"/>
    </row>
    <row r="19" spans="1:9" x14ac:dyDescent="0.2">
      <c r="A19" s="27" t="s">
        <v>1180</v>
      </c>
      <c r="B19" s="27" t="s">
        <v>1181</v>
      </c>
      <c r="C19" s="27" t="s">
        <v>1009</v>
      </c>
      <c r="D19" s="31">
        <v>197</v>
      </c>
      <c r="E19" s="29">
        <v>1997.52484</v>
      </c>
      <c r="F19" s="30">
        <v>0.62939413971758995</v>
      </c>
      <c r="G19" s="29">
        <v>9.7799999999999994</v>
      </c>
      <c r="H19" s="30"/>
    </row>
    <row r="20" spans="1:9" x14ac:dyDescent="0.2">
      <c r="A20" s="27" t="s">
        <v>1186</v>
      </c>
      <c r="B20" s="27" t="s">
        <v>1187</v>
      </c>
      <c r="C20" s="27" t="s">
        <v>1119</v>
      </c>
      <c r="D20" s="31">
        <v>350</v>
      </c>
      <c r="E20" s="29">
        <v>1757.021</v>
      </c>
      <c r="F20" s="30">
        <v>0.55361450261651801</v>
      </c>
      <c r="G20" s="29">
        <v>7.6418999999999997</v>
      </c>
      <c r="H20" s="30"/>
    </row>
    <row r="21" spans="1:9" x14ac:dyDescent="0.2">
      <c r="A21" s="27" t="s">
        <v>1207</v>
      </c>
      <c r="B21" s="27" t="s">
        <v>1208</v>
      </c>
      <c r="C21" s="27" t="s">
        <v>1132</v>
      </c>
      <c r="D21" s="31">
        <v>1400</v>
      </c>
      <c r="E21" s="29">
        <v>1416.5634</v>
      </c>
      <c r="F21" s="30">
        <v>0.44634073361431897</v>
      </c>
      <c r="G21" s="29">
        <v>9.7868999999999993</v>
      </c>
      <c r="H21" s="30">
        <v>6.6110651307000001</v>
      </c>
    </row>
    <row r="22" spans="1:9" x14ac:dyDescent="0.2">
      <c r="A22" s="27" t="s">
        <v>1209</v>
      </c>
      <c r="B22" s="27" t="s">
        <v>1210</v>
      </c>
      <c r="C22" s="27" t="s">
        <v>1144</v>
      </c>
      <c r="D22" s="31">
        <v>100</v>
      </c>
      <c r="E22" s="29">
        <v>1001.117</v>
      </c>
      <c r="F22" s="30">
        <v>0.31543896744315603</v>
      </c>
      <c r="G22" s="29">
        <v>14.184900000000001</v>
      </c>
      <c r="H22" s="30"/>
    </row>
    <row r="23" spans="1:9" x14ac:dyDescent="0.2">
      <c r="A23" s="27" t="s">
        <v>1211</v>
      </c>
      <c r="B23" s="27" t="s">
        <v>1212</v>
      </c>
      <c r="C23" s="27" t="s">
        <v>1213</v>
      </c>
      <c r="D23" s="31">
        <v>99</v>
      </c>
      <c r="E23" s="29">
        <v>984.97970999999995</v>
      </c>
      <c r="F23" s="30">
        <v>0.31035431690287801</v>
      </c>
      <c r="G23" s="29">
        <v>10.978199999999999</v>
      </c>
      <c r="H23" s="30">
        <v>11.371343187399999</v>
      </c>
    </row>
    <row r="24" spans="1:9" x14ac:dyDescent="0.2">
      <c r="A24" s="27" t="s">
        <v>1184</v>
      </c>
      <c r="B24" s="27" t="s">
        <v>1185</v>
      </c>
      <c r="C24" s="27" t="s">
        <v>1009</v>
      </c>
      <c r="D24" s="31">
        <v>50</v>
      </c>
      <c r="E24" s="29">
        <v>501.27050000000003</v>
      </c>
      <c r="F24" s="30">
        <v>0.157943825676434</v>
      </c>
      <c r="G24" s="29">
        <v>6.33</v>
      </c>
      <c r="H24" s="30"/>
    </row>
    <row r="25" spans="1:9" x14ac:dyDescent="0.2">
      <c r="A25" s="27" t="s">
        <v>942</v>
      </c>
      <c r="B25" s="27" t="s">
        <v>943</v>
      </c>
      <c r="C25" s="27" t="s">
        <v>34</v>
      </c>
      <c r="D25" s="31">
        <v>12</v>
      </c>
      <c r="E25" s="29">
        <v>120.279</v>
      </c>
      <c r="F25" s="30">
        <v>3.7898351106908902E-2</v>
      </c>
      <c r="G25" s="29">
        <v>3.3965999999999998</v>
      </c>
      <c r="H25" s="30"/>
    </row>
    <row r="26" spans="1:9" x14ac:dyDescent="0.2">
      <c r="A26" s="27" t="s">
        <v>1081</v>
      </c>
      <c r="B26" s="27" t="s">
        <v>1082</v>
      </c>
      <c r="C26" s="27" t="s">
        <v>34</v>
      </c>
      <c r="D26" s="31">
        <v>12</v>
      </c>
      <c r="E26" s="29">
        <v>120.10476</v>
      </c>
      <c r="F26" s="30">
        <v>3.7843450345372197E-2</v>
      </c>
      <c r="G26" s="29">
        <v>3.4807999999999999</v>
      </c>
      <c r="H26" s="30"/>
    </row>
    <row r="27" spans="1:9" x14ac:dyDescent="0.2">
      <c r="A27" s="26" t="s">
        <v>35</v>
      </c>
      <c r="B27" s="26"/>
      <c r="C27" s="26"/>
      <c r="D27" s="32"/>
      <c r="E27" s="33">
        <f>SUM(E6:E26)</f>
        <v>218822.13112000006</v>
      </c>
      <c r="F27" s="34">
        <f>SUM(F6:F26)</f>
        <v>68.948012164615719</v>
      </c>
      <c r="G27" s="33"/>
      <c r="H27" s="30"/>
      <c r="I27" s="18"/>
    </row>
    <row r="28" spans="1:9" x14ac:dyDescent="0.2">
      <c r="A28" s="27"/>
      <c r="B28" s="27"/>
      <c r="C28" s="27"/>
      <c r="D28" s="28"/>
      <c r="E28" s="29"/>
      <c r="F28" s="30"/>
      <c r="G28" s="29"/>
      <c r="H28" s="30"/>
    </row>
    <row r="29" spans="1:9" x14ac:dyDescent="0.2">
      <c r="A29" s="26" t="s">
        <v>1075</v>
      </c>
      <c r="B29" s="27"/>
      <c r="C29" s="27"/>
      <c r="D29" s="28"/>
      <c r="E29" s="29"/>
      <c r="F29" s="30"/>
      <c r="G29" s="29"/>
      <c r="H29" s="30"/>
    </row>
    <row r="30" spans="1:9" s="62" customFormat="1" x14ac:dyDescent="0.2">
      <c r="A30" s="67" t="s">
        <v>1142</v>
      </c>
      <c r="B30" s="67" t="s">
        <v>1143</v>
      </c>
      <c r="C30" s="67" t="s">
        <v>1144</v>
      </c>
      <c r="D30" s="68">
        <v>2560</v>
      </c>
      <c r="E30" s="69">
        <v>25592.166399999998</v>
      </c>
      <c r="F30" s="69">
        <v>8.0637593246837493</v>
      </c>
      <c r="G30" s="69">
        <v>9.8352000000000004</v>
      </c>
      <c r="H30" s="69"/>
    </row>
    <row r="31" spans="1:9" x14ac:dyDescent="0.2">
      <c r="A31" s="27" t="s">
        <v>1188</v>
      </c>
      <c r="B31" s="27" t="s">
        <v>1189</v>
      </c>
      <c r="C31" s="27" t="s">
        <v>1147</v>
      </c>
      <c r="D31" s="31">
        <v>1660</v>
      </c>
      <c r="E31" s="29">
        <v>13592.6788</v>
      </c>
      <c r="F31" s="30">
        <v>4.2828765923048699</v>
      </c>
      <c r="G31" s="29">
        <v>11.034700000000001</v>
      </c>
      <c r="H31" s="30"/>
    </row>
    <row r="32" spans="1:9" x14ac:dyDescent="0.2">
      <c r="A32" s="27" t="s">
        <v>1148</v>
      </c>
      <c r="B32" s="27" t="s">
        <v>1149</v>
      </c>
      <c r="C32" s="27" t="s">
        <v>1147</v>
      </c>
      <c r="D32" s="31">
        <v>1280</v>
      </c>
      <c r="E32" s="29">
        <v>10748.261119999999</v>
      </c>
      <c r="F32" s="30">
        <v>3.3866375153975201</v>
      </c>
      <c r="G32" s="29">
        <v>11.0945</v>
      </c>
      <c r="H32" s="30"/>
    </row>
    <row r="33" spans="1:9" x14ac:dyDescent="0.2">
      <c r="A33" s="27" t="s">
        <v>1145</v>
      </c>
      <c r="B33" s="27" t="s">
        <v>1146</v>
      </c>
      <c r="C33" s="27" t="s">
        <v>1147</v>
      </c>
      <c r="D33" s="31">
        <v>385</v>
      </c>
      <c r="E33" s="29">
        <v>3417.504899</v>
      </c>
      <c r="F33" s="30">
        <v>1.0768114182183399</v>
      </c>
      <c r="G33" s="29">
        <v>11.22</v>
      </c>
      <c r="H33" s="30"/>
    </row>
    <row r="34" spans="1:9" x14ac:dyDescent="0.2">
      <c r="A34" s="27" t="s">
        <v>1150</v>
      </c>
      <c r="B34" s="27" t="s">
        <v>1151</v>
      </c>
      <c r="C34" s="27" t="s">
        <v>1147</v>
      </c>
      <c r="D34" s="31">
        <v>150</v>
      </c>
      <c r="E34" s="29">
        <v>1310.7283090000001</v>
      </c>
      <c r="F34" s="30">
        <v>0.41299347068272102</v>
      </c>
      <c r="G34" s="29">
        <v>10.762700000000001</v>
      </c>
      <c r="H34" s="30"/>
    </row>
    <row r="35" spans="1:9" x14ac:dyDescent="0.2">
      <c r="A35" s="27" t="s">
        <v>1091</v>
      </c>
      <c r="B35" s="27" t="s">
        <v>1092</v>
      </c>
      <c r="C35" s="27" t="s">
        <v>34</v>
      </c>
      <c r="D35" s="31">
        <v>13</v>
      </c>
      <c r="E35" s="29">
        <v>130.85526999999999</v>
      </c>
      <c r="F35" s="30">
        <v>4.1230796453656599E-2</v>
      </c>
      <c r="G35" s="29">
        <v>4.0750000000000002</v>
      </c>
      <c r="H35" s="30"/>
    </row>
    <row r="36" spans="1:9" x14ac:dyDescent="0.2">
      <c r="A36" s="27" t="s">
        <v>1155</v>
      </c>
      <c r="B36" s="27" t="s">
        <v>1156</v>
      </c>
      <c r="C36" s="27" t="s">
        <v>1154</v>
      </c>
      <c r="D36" s="31">
        <v>1000</v>
      </c>
      <c r="E36" s="29">
        <v>0</v>
      </c>
      <c r="F36" s="29">
        <v>0</v>
      </c>
      <c r="G36" s="29">
        <v>0</v>
      </c>
      <c r="H36" s="30"/>
    </row>
    <row r="37" spans="1:9" x14ac:dyDescent="0.2">
      <c r="A37" s="27" t="s">
        <v>1214</v>
      </c>
      <c r="B37" s="27" t="s">
        <v>1215</v>
      </c>
      <c r="C37" s="27" t="s">
        <v>1154</v>
      </c>
      <c r="D37" s="31">
        <v>800</v>
      </c>
      <c r="E37" s="29">
        <v>0</v>
      </c>
      <c r="F37" s="29">
        <v>0</v>
      </c>
      <c r="G37" s="29">
        <v>0</v>
      </c>
      <c r="H37" s="30"/>
    </row>
    <row r="38" spans="1:9" x14ac:dyDescent="0.2">
      <c r="A38" s="27" t="s">
        <v>1216</v>
      </c>
      <c r="B38" s="27" t="s">
        <v>1217</v>
      </c>
      <c r="C38" s="27" t="s">
        <v>1154</v>
      </c>
      <c r="D38" s="31">
        <v>500</v>
      </c>
      <c r="E38" s="29">
        <v>0</v>
      </c>
      <c r="F38" s="29">
        <v>0</v>
      </c>
      <c r="G38" s="29">
        <v>0</v>
      </c>
      <c r="H38" s="30"/>
    </row>
    <row r="39" spans="1:9" x14ac:dyDescent="0.2">
      <c r="A39" s="27" t="s">
        <v>1218</v>
      </c>
      <c r="B39" s="27" t="s">
        <v>1219</v>
      </c>
      <c r="C39" s="27" t="s">
        <v>1154</v>
      </c>
      <c r="D39" s="31">
        <v>375</v>
      </c>
      <c r="E39" s="29">
        <v>0</v>
      </c>
      <c r="F39" s="29">
        <v>0</v>
      </c>
      <c r="G39" s="29">
        <v>0</v>
      </c>
      <c r="H39" s="34"/>
    </row>
    <row r="40" spans="1:9" x14ac:dyDescent="0.2">
      <c r="A40" s="27" t="s">
        <v>1220</v>
      </c>
      <c r="B40" s="27" t="s">
        <v>1221</v>
      </c>
      <c r="C40" s="27" t="s">
        <v>1154</v>
      </c>
      <c r="D40" s="31">
        <v>350</v>
      </c>
      <c r="E40" s="29">
        <v>0</v>
      </c>
      <c r="F40" s="29">
        <v>0</v>
      </c>
      <c r="G40" s="29">
        <v>0</v>
      </c>
      <c r="H40" s="30"/>
    </row>
    <row r="41" spans="1:9" x14ac:dyDescent="0.2">
      <c r="A41" s="27" t="s">
        <v>1222</v>
      </c>
      <c r="B41" s="27" t="s">
        <v>1223</v>
      </c>
      <c r="C41" s="27" t="s">
        <v>1154</v>
      </c>
      <c r="D41" s="31">
        <v>300</v>
      </c>
      <c r="E41" s="29">
        <v>0</v>
      </c>
      <c r="F41" s="29">
        <v>0</v>
      </c>
      <c r="G41" s="29">
        <v>0</v>
      </c>
      <c r="H41" s="30"/>
    </row>
    <row r="42" spans="1:9" x14ac:dyDescent="0.2">
      <c r="A42" s="27" t="s">
        <v>1224</v>
      </c>
      <c r="B42" s="27" t="s">
        <v>1225</v>
      </c>
      <c r="C42" s="27" t="s">
        <v>1154</v>
      </c>
      <c r="D42" s="31">
        <v>200</v>
      </c>
      <c r="E42" s="29">
        <v>0</v>
      </c>
      <c r="F42" s="29">
        <v>0</v>
      </c>
      <c r="G42" s="29">
        <v>0</v>
      </c>
      <c r="H42" s="30"/>
    </row>
    <row r="43" spans="1:9" x14ac:dyDescent="0.2">
      <c r="A43" s="26" t="s">
        <v>35</v>
      </c>
      <c r="B43" s="26"/>
      <c r="C43" s="26"/>
      <c r="D43" s="32"/>
      <c r="E43" s="33">
        <f>SUM(E29:E42)</f>
        <v>54792.19479799999</v>
      </c>
      <c r="F43" s="34">
        <f>SUM(F29:F42)</f>
        <v>17.264309117740858</v>
      </c>
      <c r="G43" s="33"/>
      <c r="H43" s="30"/>
      <c r="I43" s="18"/>
    </row>
    <row r="44" spans="1:9" x14ac:dyDescent="0.2">
      <c r="A44" s="27"/>
      <c r="B44" s="27"/>
      <c r="C44" s="27"/>
      <c r="D44" s="28"/>
      <c r="E44" s="29"/>
      <c r="F44" s="30"/>
      <c r="G44" s="29"/>
      <c r="H44" s="30"/>
    </row>
    <row r="45" spans="1:9" x14ac:dyDescent="0.2">
      <c r="A45" s="26" t="s">
        <v>36</v>
      </c>
      <c r="B45" s="27"/>
      <c r="C45" s="27"/>
      <c r="D45" s="28"/>
      <c r="E45" s="29"/>
      <c r="F45" s="30"/>
      <c r="G45" s="29"/>
      <c r="H45" s="30"/>
    </row>
    <row r="46" spans="1:9" x14ac:dyDescent="0.2">
      <c r="A46" s="27" t="s">
        <v>1159</v>
      </c>
      <c r="B46" s="27" t="s">
        <v>1160</v>
      </c>
      <c r="C46" s="27" t="s">
        <v>1161</v>
      </c>
      <c r="D46" s="31">
        <v>1214393.6100000001</v>
      </c>
      <c r="E46" s="29">
        <v>41026.009910000001</v>
      </c>
      <c r="F46" s="30">
        <v>12.926763010040901</v>
      </c>
      <c r="G46" s="29">
        <v>3.1244999999999998</v>
      </c>
      <c r="H46" s="30"/>
    </row>
    <row r="47" spans="1:9" x14ac:dyDescent="0.2">
      <c r="A47" s="26" t="s">
        <v>35</v>
      </c>
      <c r="B47" s="26"/>
      <c r="C47" s="26"/>
      <c r="D47" s="32"/>
      <c r="E47" s="33">
        <f>SUM(E46:E46)</f>
        <v>41026.009910000001</v>
      </c>
      <c r="F47" s="34">
        <f>SUM(F46:F46)</f>
        <v>12.926763010040901</v>
      </c>
      <c r="G47" s="33"/>
      <c r="H47" s="30"/>
      <c r="I47" s="18"/>
    </row>
    <row r="48" spans="1:9" x14ac:dyDescent="0.2">
      <c r="A48" s="27"/>
      <c r="B48" s="27"/>
      <c r="C48" s="27"/>
      <c r="D48" s="28"/>
      <c r="E48" s="29"/>
      <c r="F48" s="30"/>
      <c r="G48" s="29"/>
      <c r="H48" s="30"/>
    </row>
    <row r="49" spans="1:9" x14ac:dyDescent="0.2">
      <c r="A49" s="26" t="s">
        <v>37</v>
      </c>
      <c r="B49" s="26"/>
      <c r="C49" s="26"/>
      <c r="D49" s="32"/>
      <c r="E49" s="33">
        <f>E27+E43+E47</f>
        <v>314640.3358280001</v>
      </c>
      <c r="F49" s="34">
        <f>F27+F43+F47</f>
        <v>99.139084292397484</v>
      </c>
      <c r="G49" s="33"/>
      <c r="H49" s="30"/>
      <c r="I49" s="18"/>
    </row>
    <row r="50" spans="1:9" x14ac:dyDescent="0.2">
      <c r="A50" s="26"/>
      <c r="B50" s="26"/>
      <c r="C50" s="26"/>
      <c r="D50" s="32"/>
      <c r="E50" s="33"/>
      <c r="F50" s="34"/>
      <c r="G50" s="33"/>
      <c r="H50" s="30"/>
      <c r="I50" s="18"/>
    </row>
    <row r="51" spans="1:9" x14ac:dyDescent="0.2">
      <c r="A51" s="26" t="s">
        <v>39</v>
      </c>
      <c r="B51" s="26"/>
      <c r="C51" s="26"/>
      <c r="D51" s="32"/>
      <c r="E51" s="33">
        <f>E53-(E27+E43+E47)</f>
        <v>2732.3109678999172</v>
      </c>
      <c r="F51" s="34">
        <f>F53-(F27+F43+F47)</f>
        <v>0.86091570760251557</v>
      </c>
      <c r="G51" s="33"/>
      <c r="H51" s="30"/>
      <c r="I51" s="18"/>
    </row>
    <row r="52" spans="1:9" x14ac:dyDescent="0.2">
      <c r="A52" s="26"/>
      <c r="B52" s="26"/>
      <c r="C52" s="26"/>
      <c r="D52" s="32"/>
      <c r="E52" s="33"/>
      <c r="F52" s="34"/>
      <c r="G52" s="33"/>
      <c r="H52" s="29"/>
      <c r="I52" s="18"/>
    </row>
    <row r="53" spans="1:9" x14ac:dyDescent="0.2">
      <c r="A53" s="35" t="s">
        <v>38</v>
      </c>
      <c r="B53" s="35"/>
      <c r="C53" s="35"/>
      <c r="D53" s="36"/>
      <c r="E53" s="37">
        <v>317372.64679590001</v>
      </c>
      <c r="F53" s="38">
        <v>100</v>
      </c>
      <c r="G53" s="37"/>
      <c r="H53" s="37"/>
      <c r="I53" s="18"/>
    </row>
    <row r="54" spans="1:9" x14ac:dyDescent="0.2">
      <c r="H54" s="13"/>
    </row>
    <row r="55" spans="1:9" x14ac:dyDescent="0.2">
      <c r="A55" s="18" t="s">
        <v>40</v>
      </c>
      <c r="H55" s="13"/>
    </row>
    <row r="56" spans="1:9" x14ac:dyDescent="0.2">
      <c r="A56" s="18" t="s">
        <v>1162</v>
      </c>
      <c r="H56" s="13"/>
    </row>
    <row r="57" spans="1:9" x14ac:dyDescent="0.2">
      <c r="A57" s="18" t="s">
        <v>1226</v>
      </c>
      <c r="H57" s="13"/>
    </row>
    <row r="58" spans="1:9" s="48" customFormat="1" x14ac:dyDescent="0.2">
      <c r="A58" s="47" t="s">
        <v>733</v>
      </c>
      <c r="D58" s="58"/>
      <c r="E58" s="59"/>
      <c r="F58" s="14"/>
      <c r="G58" s="59"/>
      <c r="H58" s="59"/>
    </row>
    <row r="59" spans="1:9" x14ac:dyDescent="0.2">
      <c r="H59" s="13"/>
    </row>
    <row r="60" spans="1:9" x14ac:dyDescent="0.2">
      <c r="A60" s="18" t="s">
        <v>41</v>
      </c>
      <c r="H60" s="13"/>
    </row>
    <row r="61" spans="1:9" x14ac:dyDescent="0.2">
      <c r="A61" s="18" t="s">
        <v>42</v>
      </c>
    </row>
    <row r="62" spans="1:9" x14ac:dyDescent="0.2">
      <c r="A62" s="18" t="s">
        <v>43</v>
      </c>
      <c r="B62" s="18"/>
      <c r="C62" s="39" t="s">
        <v>45</v>
      </c>
      <c r="D62" s="19" t="s">
        <v>44</v>
      </c>
    </row>
    <row r="63" spans="1:9" x14ac:dyDescent="0.2">
      <c r="A63" s="9" t="s">
        <v>860</v>
      </c>
      <c r="C63" s="40">
        <v>3856.1433999999999</v>
      </c>
      <c r="D63" s="40">
        <v>4110.7529000000004</v>
      </c>
    </row>
    <row r="64" spans="1:9" x14ac:dyDescent="0.2">
      <c r="A64" s="9" t="s">
        <v>1227</v>
      </c>
      <c r="C64" s="40">
        <v>974.61929999999995</v>
      </c>
      <c r="D64" s="40">
        <v>1038.9694</v>
      </c>
    </row>
    <row r="65" spans="1:7" x14ac:dyDescent="0.2">
      <c r="A65" s="9" t="s">
        <v>862</v>
      </c>
      <c r="C65" s="40">
        <v>1076.0278000000001</v>
      </c>
      <c r="D65" s="40">
        <v>1147.0735999999999</v>
      </c>
    </row>
    <row r="66" spans="1:7" x14ac:dyDescent="0.2">
      <c r="A66" s="9" t="s">
        <v>863</v>
      </c>
      <c r="C66" s="40">
        <v>1119.4014</v>
      </c>
      <c r="D66" s="40">
        <v>1193.3109999999999</v>
      </c>
    </row>
    <row r="67" spans="1:7" x14ac:dyDescent="0.2">
      <c r="A67" s="9" t="s">
        <v>1228</v>
      </c>
      <c r="C67" s="40">
        <v>3194.5654</v>
      </c>
      <c r="D67" s="40">
        <v>3404.1705999999999</v>
      </c>
    </row>
    <row r="68" spans="1:7" x14ac:dyDescent="0.2">
      <c r="A68" s="9" t="s">
        <v>864</v>
      </c>
      <c r="C68" s="40">
        <v>4101.2924999999996</v>
      </c>
      <c r="D68" s="40">
        <v>4376.5356000000002</v>
      </c>
    </row>
    <row r="69" spans="1:7" x14ac:dyDescent="0.2">
      <c r="A69" s="9" t="s">
        <v>1229</v>
      </c>
      <c r="C69" s="40">
        <v>984.19470000000001</v>
      </c>
      <c r="D69" s="40">
        <v>1050.2445</v>
      </c>
    </row>
    <row r="70" spans="1:7" x14ac:dyDescent="0.2">
      <c r="A70" s="9" t="s">
        <v>866</v>
      </c>
      <c r="C70" s="40">
        <v>1163.0601999999999</v>
      </c>
      <c r="D70" s="40">
        <v>1241.114</v>
      </c>
    </row>
    <row r="71" spans="1:7" x14ac:dyDescent="0.2">
      <c r="A71" s="9" t="s">
        <v>867</v>
      </c>
      <c r="C71" s="40">
        <v>1211.5849000000001</v>
      </c>
      <c r="D71" s="40">
        <v>1292.8955000000001</v>
      </c>
    </row>
    <row r="73" spans="1:7" x14ac:dyDescent="0.2">
      <c r="A73" s="9" t="s">
        <v>46</v>
      </c>
    </row>
    <row r="75" spans="1:7" x14ac:dyDescent="0.2">
      <c r="A75" s="18" t="s">
        <v>47</v>
      </c>
      <c r="D75" s="41" t="s">
        <v>48</v>
      </c>
    </row>
    <row r="77" spans="1:7" x14ac:dyDescent="0.2">
      <c r="A77" s="18" t="s">
        <v>816</v>
      </c>
      <c r="D77" s="42">
        <v>2.52306666208219</v>
      </c>
      <c r="E77" s="13" t="s">
        <v>49</v>
      </c>
    </row>
    <row r="79" spans="1:7" s="48" customFormat="1" x14ac:dyDescent="0.2">
      <c r="A79" s="47" t="s">
        <v>734</v>
      </c>
      <c r="D79" s="58">
        <v>2</v>
      </c>
      <c r="E79" s="59"/>
      <c r="F79" s="14"/>
      <c r="G79" s="59"/>
    </row>
    <row r="80" spans="1:7" s="48" customFormat="1" x14ac:dyDescent="0.2">
      <c r="A80" s="48" t="s">
        <v>729</v>
      </c>
      <c r="D80" s="58"/>
      <c r="E80" s="59"/>
      <c r="F80" s="14"/>
      <c r="G80" s="59"/>
    </row>
    <row r="81" spans="1:7" s="48" customFormat="1" x14ac:dyDescent="0.2">
      <c r="A81" s="70" t="s">
        <v>730</v>
      </c>
      <c r="D81" s="58"/>
      <c r="E81" s="59"/>
      <c r="F81" s="14"/>
      <c r="G81" s="59"/>
    </row>
    <row r="83" spans="1:7" ht="24" customHeight="1" x14ac:dyDescent="0.2">
      <c r="A83" s="86" t="s">
        <v>1230</v>
      </c>
      <c r="B83" s="87"/>
      <c r="C83" s="87"/>
      <c r="D83" s="87"/>
      <c r="E83" s="87"/>
      <c r="F83" s="87"/>
      <c r="G83" s="87"/>
    </row>
    <row r="85" spans="1:7" x14ac:dyDescent="0.2">
      <c r="A85" s="18" t="s">
        <v>1231</v>
      </c>
    </row>
    <row r="86" spans="1:7" x14ac:dyDescent="0.2">
      <c r="A86" s="71" t="s">
        <v>987</v>
      </c>
    </row>
    <row r="88" spans="1:7" ht="69" customHeight="1" x14ac:dyDescent="0.2">
      <c r="A88" s="86" t="s">
        <v>1232</v>
      </c>
      <c r="B88" s="87"/>
      <c r="C88" s="87"/>
      <c r="D88" s="87"/>
      <c r="E88" s="87"/>
      <c r="F88" s="87"/>
      <c r="G88" s="87"/>
    </row>
    <row r="90" spans="1:7" ht="35.25" customHeight="1" x14ac:dyDescent="0.3">
      <c r="A90" s="84" t="s">
        <v>1233</v>
      </c>
      <c r="B90" s="85"/>
      <c r="C90" s="85"/>
      <c r="D90" s="85"/>
      <c r="E90" s="85"/>
      <c r="F90" s="85"/>
      <c r="G90" s="85"/>
    </row>
    <row r="91" spans="1:7" x14ac:dyDescent="0.2">
      <c r="A91" s="71" t="s">
        <v>1166</v>
      </c>
    </row>
    <row r="93" spans="1:7" ht="25.5" customHeight="1" x14ac:dyDescent="0.3">
      <c r="A93" s="84" t="s">
        <v>1234</v>
      </c>
      <c r="B93" s="85"/>
      <c r="C93" s="85"/>
      <c r="D93" s="85"/>
      <c r="E93" s="85"/>
      <c r="F93" s="85"/>
      <c r="G93" s="85"/>
    </row>
    <row r="95" spans="1:7" x14ac:dyDescent="0.2">
      <c r="A95" s="18" t="s">
        <v>1235</v>
      </c>
    </row>
    <row r="96" spans="1:7" x14ac:dyDescent="0.2">
      <c r="A96" s="50" t="s">
        <v>50</v>
      </c>
    </row>
    <row r="98" spans="1:9" x14ac:dyDescent="0.2">
      <c r="A98" s="18" t="s">
        <v>746</v>
      </c>
    </row>
    <row r="100" spans="1:9" s="1" customFormat="1" ht="13.8" x14ac:dyDescent="0.2">
      <c r="A100" s="79" t="s">
        <v>1236</v>
      </c>
      <c r="B100" s="80"/>
      <c r="C100" s="80"/>
      <c r="D100" s="80"/>
      <c r="E100" s="80"/>
      <c r="F100" s="80"/>
      <c r="G100" s="80"/>
    </row>
    <row r="101" spans="1:9" x14ac:dyDescent="0.2">
      <c r="A101" s="18" t="s">
        <v>7</v>
      </c>
    </row>
    <row r="102" spans="1:9" s="1" customFormat="1" ht="17.399999999999999" customHeight="1" x14ac:dyDescent="0.2">
      <c r="A102" s="8" t="s">
        <v>2</v>
      </c>
      <c r="B102" s="8" t="s">
        <v>0</v>
      </c>
      <c r="C102" s="17" t="s">
        <v>749</v>
      </c>
      <c r="D102" s="16" t="s">
        <v>1</v>
      </c>
      <c r="E102" s="15" t="s">
        <v>3</v>
      </c>
      <c r="F102" s="15" t="s">
        <v>4</v>
      </c>
      <c r="G102" s="15" t="s">
        <v>6</v>
      </c>
    </row>
    <row r="103" spans="1:9" x14ac:dyDescent="0.2">
      <c r="A103" s="21" t="s">
        <v>31</v>
      </c>
      <c r="B103" s="22"/>
      <c r="C103" s="22"/>
      <c r="D103" s="23"/>
      <c r="E103" s="24"/>
      <c r="F103" s="25"/>
      <c r="G103" s="24"/>
    </row>
    <row r="104" spans="1:9" x14ac:dyDescent="0.2">
      <c r="A104" s="26" t="s">
        <v>32</v>
      </c>
      <c r="B104" s="27"/>
      <c r="C104" s="27"/>
      <c r="D104" s="28"/>
      <c r="E104" s="29"/>
      <c r="F104" s="30"/>
      <c r="G104" s="29"/>
    </row>
    <row r="105" spans="1:9" x14ac:dyDescent="0.2">
      <c r="A105" s="27" t="s">
        <v>1170</v>
      </c>
      <c r="B105" s="27" t="s">
        <v>1171</v>
      </c>
      <c r="C105" s="27" t="s">
        <v>1172</v>
      </c>
      <c r="D105" s="31">
        <v>5230</v>
      </c>
      <c r="E105" s="29">
        <v>0</v>
      </c>
      <c r="F105" s="30">
        <v>100</v>
      </c>
      <c r="G105" s="29">
        <v>0</v>
      </c>
    </row>
    <row r="106" spans="1:9" x14ac:dyDescent="0.2">
      <c r="A106" s="26" t="s">
        <v>35</v>
      </c>
      <c r="B106" s="26"/>
      <c r="C106" s="26"/>
      <c r="D106" s="32"/>
      <c r="E106" s="33">
        <f>SUM(E104:E105)</f>
        <v>0</v>
      </c>
      <c r="F106" s="34">
        <f>SUM(F104:F105)</f>
        <v>100</v>
      </c>
      <c r="G106" s="33"/>
      <c r="H106" s="18"/>
      <c r="I106" s="18"/>
    </row>
    <row r="107" spans="1:9" x14ac:dyDescent="0.2">
      <c r="A107" s="27"/>
      <c r="B107" s="27"/>
      <c r="C107" s="27"/>
      <c r="D107" s="28"/>
      <c r="E107" s="29"/>
      <c r="F107" s="30"/>
      <c r="G107" s="29"/>
    </row>
    <row r="108" spans="1:9" x14ac:dyDescent="0.2">
      <c r="A108" s="26" t="s">
        <v>37</v>
      </c>
      <c r="B108" s="26"/>
      <c r="C108" s="26"/>
      <c r="D108" s="32"/>
      <c r="E108" s="33">
        <f>E106</f>
        <v>0</v>
      </c>
      <c r="F108" s="34">
        <f>F106</f>
        <v>100</v>
      </c>
      <c r="G108" s="33"/>
      <c r="H108" s="18"/>
      <c r="I108" s="18"/>
    </row>
    <row r="109" spans="1:9" x14ac:dyDescent="0.2">
      <c r="A109" s="26"/>
      <c r="B109" s="26"/>
      <c r="C109" s="26"/>
      <c r="D109" s="32"/>
      <c r="E109" s="33"/>
      <c r="F109" s="34"/>
      <c r="G109" s="33"/>
      <c r="H109" s="18"/>
      <c r="I109" s="18"/>
    </row>
    <row r="110" spans="1:9" x14ac:dyDescent="0.2">
      <c r="A110" s="26" t="s">
        <v>39</v>
      </c>
      <c r="B110" s="26"/>
      <c r="C110" s="26"/>
      <c r="D110" s="32"/>
      <c r="E110" s="33">
        <f>E112-(E106)</f>
        <v>8.9999999999999996E-7</v>
      </c>
      <c r="F110" s="34">
        <v>0</v>
      </c>
      <c r="G110" s="33"/>
      <c r="H110" s="18"/>
      <c r="I110" s="18"/>
    </row>
    <row r="111" spans="1:9" x14ac:dyDescent="0.2">
      <c r="A111" s="26"/>
      <c r="B111" s="26"/>
      <c r="C111" s="26"/>
      <c r="D111" s="32"/>
      <c r="E111" s="33"/>
      <c r="F111" s="34"/>
      <c r="G111" s="33"/>
      <c r="H111" s="18"/>
      <c r="I111" s="18"/>
    </row>
    <row r="112" spans="1:9" x14ac:dyDescent="0.2">
      <c r="A112" s="35" t="s">
        <v>38</v>
      </c>
      <c r="B112" s="35"/>
      <c r="C112" s="35"/>
      <c r="D112" s="36"/>
      <c r="E112" s="37">
        <v>8.9999999999999996E-7</v>
      </c>
      <c r="F112" s="38">
        <v>100</v>
      </c>
      <c r="G112" s="37"/>
      <c r="H112" s="18"/>
      <c r="I112" s="18"/>
    </row>
    <row r="114" spans="1:4" x14ac:dyDescent="0.2">
      <c r="A114" s="18" t="s">
        <v>40</v>
      </c>
    </row>
    <row r="115" spans="1:4" x14ac:dyDescent="0.2">
      <c r="A115" s="47" t="s">
        <v>1162</v>
      </c>
    </row>
    <row r="116" spans="1:4" x14ac:dyDescent="0.2">
      <c r="A116" s="18" t="s">
        <v>1173</v>
      </c>
    </row>
    <row r="118" spans="1:4" x14ac:dyDescent="0.2">
      <c r="A118" s="18" t="s">
        <v>41</v>
      </c>
    </row>
    <row r="119" spans="1:4" x14ac:dyDescent="0.2">
      <c r="A119" s="18" t="s">
        <v>42</v>
      </c>
    </row>
    <row r="120" spans="1:4" x14ac:dyDescent="0.2">
      <c r="A120" s="18" t="s">
        <v>43</v>
      </c>
      <c r="B120" s="18"/>
      <c r="C120" s="39" t="s">
        <v>45</v>
      </c>
      <c r="D120" s="19" t="s">
        <v>44</v>
      </c>
    </row>
    <row r="121" spans="1:4" x14ac:dyDescent="0.2">
      <c r="A121" s="9" t="s">
        <v>860</v>
      </c>
      <c r="C121" s="40">
        <v>0</v>
      </c>
      <c r="D121" s="40">
        <v>0</v>
      </c>
    </row>
    <row r="122" spans="1:4" x14ac:dyDescent="0.2">
      <c r="A122" s="9" t="s">
        <v>1227</v>
      </c>
      <c r="C122" s="40">
        <v>0</v>
      </c>
      <c r="D122" s="40">
        <v>0</v>
      </c>
    </row>
    <row r="123" spans="1:4" x14ac:dyDescent="0.2">
      <c r="A123" s="9" t="s">
        <v>862</v>
      </c>
      <c r="C123" s="40">
        <v>0</v>
      </c>
      <c r="D123" s="40">
        <v>0</v>
      </c>
    </row>
    <row r="124" spans="1:4" x14ac:dyDescent="0.2">
      <c r="A124" s="9" t="s">
        <v>863</v>
      </c>
      <c r="C124" s="40">
        <v>0</v>
      </c>
      <c r="D124" s="40">
        <v>0</v>
      </c>
    </row>
    <row r="125" spans="1:4" x14ac:dyDescent="0.2">
      <c r="A125" s="9" t="s">
        <v>1228</v>
      </c>
      <c r="C125" s="40">
        <v>0</v>
      </c>
      <c r="D125" s="40">
        <v>0</v>
      </c>
    </row>
    <row r="126" spans="1:4" x14ac:dyDescent="0.2">
      <c r="A126" s="9" t="s">
        <v>864</v>
      </c>
      <c r="C126" s="40">
        <v>0</v>
      </c>
      <c r="D126" s="40">
        <v>0</v>
      </c>
    </row>
    <row r="127" spans="1:4" x14ac:dyDescent="0.2">
      <c r="A127" s="9" t="s">
        <v>1229</v>
      </c>
      <c r="C127" s="40">
        <v>0</v>
      </c>
      <c r="D127" s="40">
        <v>0</v>
      </c>
    </row>
    <row r="128" spans="1:4" x14ac:dyDescent="0.2">
      <c r="A128" s="9" t="s">
        <v>866</v>
      </c>
      <c r="C128" s="40">
        <v>0</v>
      </c>
      <c r="D128" s="40">
        <v>0</v>
      </c>
    </row>
    <row r="129" spans="1:7" x14ac:dyDescent="0.2">
      <c r="A129" s="9" t="s">
        <v>867</v>
      </c>
      <c r="C129" s="40">
        <v>0</v>
      </c>
      <c r="D129" s="40">
        <v>0</v>
      </c>
    </row>
    <row r="131" spans="1:7" x14ac:dyDescent="0.2">
      <c r="A131" s="9" t="s">
        <v>46</v>
      </c>
    </row>
    <row r="133" spans="1:7" x14ac:dyDescent="0.2">
      <c r="A133" s="18" t="s">
        <v>1277</v>
      </c>
      <c r="D133" s="41" t="s">
        <v>48</v>
      </c>
    </row>
    <row r="134" spans="1:7" x14ac:dyDescent="0.2">
      <c r="A134" s="9" t="s">
        <v>729</v>
      </c>
    </row>
    <row r="135" spans="1:7" x14ac:dyDescent="0.2">
      <c r="A135" s="50" t="s">
        <v>730</v>
      </c>
    </row>
    <row r="137" spans="1:7" x14ac:dyDescent="0.2">
      <c r="A137" s="18" t="s">
        <v>1174</v>
      </c>
    </row>
    <row r="138" spans="1:7" x14ac:dyDescent="0.2">
      <c r="A138" s="50" t="s">
        <v>50</v>
      </c>
    </row>
    <row r="140" spans="1:7" s="1" customFormat="1" ht="13.8" x14ac:dyDescent="0.2">
      <c r="A140" s="79" t="s">
        <v>1237</v>
      </c>
      <c r="B140" s="80"/>
      <c r="C140" s="80"/>
      <c r="D140" s="80"/>
      <c r="E140" s="80"/>
      <c r="F140" s="80"/>
      <c r="G140" s="80"/>
    </row>
    <row r="141" spans="1:7" x14ac:dyDescent="0.2">
      <c r="A141" s="18" t="s">
        <v>7</v>
      </c>
    </row>
    <row r="142" spans="1:7" s="1" customFormat="1" ht="17.399999999999999" customHeight="1" x14ac:dyDescent="0.2">
      <c r="A142" s="8" t="s">
        <v>2</v>
      </c>
      <c r="B142" s="8" t="s">
        <v>0</v>
      </c>
      <c r="C142" s="17" t="s">
        <v>749</v>
      </c>
      <c r="D142" s="16" t="s">
        <v>1</v>
      </c>
      <c r="E142" s="15" t="s">
        <v>3</v>
      </c>
      <c r="F142" s="15" t="s">
        <v>4</v>
      </c>
      <c r="G142" s="15" t="s">
        <v>6</v>
      </c>
    </row>
    <row r="143" spans="1:7" x14ac:dyDescent="0.2">
      <c r="A143" s="21" t="s">
        <v>31</v>
      </c>
      <c r="B143" s="22"/>
      <c r="C143" s="22"/>
      <c r="D143" s="23"/>
      <c r="E143" s="24"/>
      <c r="F143" s="25"/>
      <c r="G143" s="24"/>
    </row>
    <row r="144" spans="1:7" x14ac:dyDescent="0.2">
      <c r="A144" s="26" t="s">
        <v>32</v>
      </c>
      <c r="B144" s="27"/>
      <c r="C144" s="27"/>
      <c r="D144" s="28"/>
      <c r="E144" s="29"/>
      <c r="F144" s="30"/>
      <c r="G144" s="29"/>
    </row>
    <row r="145" spans="1:9" ht="20.399999999999999" x14ac:dyDescent="0.2">
      <c r="A145" s="27" t="s">
        <v>1176</v>
      </c>
      <c r="B145" s="27" t="s">
        <v>1177</v>
      </c>
      <c r="C145" s="52" t="s">
        <v>1178</v>
      </c>
      <c r="D145" s="31">
        <v>3523</v>
      </c>
      <c r="E145" s="29">
        <v>0</v>
      </c>
      <c r="F145" s="30">
        <v>100</v>
      </c>
      <c r="G145" s="29">
        <v>0</v>
      </c>
    </row>
    <row r="146" spans="1:9" x14ac:dyDescent="0.2">
      <c r="A146" s="26" t="s">
        <v>35</v>
      </c>
      <c r="B146" s="26"/>
      <c r="C146" s="26"/>
      <c r="D146" s="32"/>
      <c r="E146" s="33">
        <f>SUM(E144:E145)</f>
        <v>0</v>
      </c>
      <c r="F146" s="34">
        <f>SUM(F144:F145)</f>
        <v>100</v>
      </c>
      <c r="G146" s="33"/>
      <c r="H146" s="18"/>
      <c r="I146" s="18"/>
    </row>
    <row r="147" spans="1:9" x14ac:dyDescent="0.2">
      <c r="A147" s="27"/>
      <c r="B147" s="27"/>
      <c r="C147" s="27"/>
      <c r="D147" s="28"/>
      <c r="E147" s="29"/>
      <c r="F147" s="30"/>
      <c r="G147" s="29"/>
    </row>
    <row r="148" spans="1:9" x14ac:dyDescent="0.2">
      <c r="A148" s="26" t="s">
        <v>37</v>
      </c>
      <c r="B148" s="26"/>
      <c r="C148" s="26"/>
      <c r="D148" s="32"/>
      <c r="E148" s="33">
        <f>E146</f>
        <v>0</v>
      </c>
      <c r="F148" s="34">
        <f>F146</f>
        <v>100</v>
      </c>
      <c r="G148" s="33"/>
      <c r="H148" s="18"/>
      <c r="I148" s="18"/>
    </row>
    <row r="149" spans="1:9" x14ac:dyDescent="0.2">
      <c r="A149" s="26"/>
      <c r="B149" s="26"/>
      <c r="C149" s="26"/>
      <c r="D149" s="32"/>
      <c r="E149" s="33"/>
      <c r="F149" s="34"/>
      <c r="G149" s="33"/>
      <c r="H149" s="18"/>
      <c r="I149" s="18"/>
    </row>
    <row r="150" spans="1:9" x14ac:dyDescent="0.2">
      <c r="A150" s="26" t="s">
        <v>39</v>
      </c>
      <c r="B150" s="26"/>
      <c r="C150" s="26"/>
      <c r="D150" s="32"/>
      <c r="E150" s="33">
        <f>E152-(E146)</f>
        <v>8.9999999999999996E-7</v>
      </c>
      <c r="F150" s="34">
        <v>0</v>
      </c>
      <c r="G150" s="33"/>
      <c r="H150" s="18"/>
      <c r="I150" s="18"/>
    </row>
    <row r="151" spans="1:9" x14ac:dyDescent="0.2">
      <c r="A151" s="26"/>
      <c r="B151" s="26"/>
      <c r="C151" s="26"/>
      <c r="D151" s="32"/>
      <c r="E151" s="33"/>
      <c r="F151" s="34"/>
      <c r="G151" s="33"/>
      <c r="H151" s="18"/>
      <c r="I151" s="18"/>
    </row>
    <row r="152" spans="1:9" x14ac:dyDescent="0.2">
      <c r="A152" s="35" t="s">
        <v>38</v>
      </c>
      <c r="B152" s="35"/>
      <c r="C152" s="35"/>
      <c r="D152" s="36"/>
      <c r="E152" s="37">
        <v>8.9999999999999996E-7</v>
      </c>
      <c r="F152" s="38">
        <v>100</v>
      </c>
      <c r="G152" s="37"/>
      <c r="H152" s="18"/>
      <c r="I152" s="18"/>
    </row>
    <row r="154" spans="1:9" x14ac:dyDescent="0.2">
      <c r="A154" s="18" t="s">
        <v>40</v>
      </c>
    </row>
    <row r="155" spans="1:9" x14ac:dyDescent="0.2">
      <c r="A155" s="18" t="s">
        <v>1162</v>
      </c>
    </row>
    <row r="157" spans="1:9" x14ac:dyDescent="0.2">
      <c r="A157" s="18" t="s">
        <v>41</v>
      </c>
    </row>
    <row r="158" spans="1:9" x14ac:dyDescent="0.2">
      <c r="A158" s="18" t="s">
        <v>42</v>
      </c>
    </row>
    <row r="159" spans="1:9" x14ac:dyDescent="0.2">
      <c r="A159" s="18" t="s">
        <v>43</v>
      </c>
      <c r="B159" s="18"/>
      <c r="C159" s="39" t="s">
        <v>45</v>
      </c>
      <c r="D159" s="19" t="s">
        <v>44</v>
      </c>
    </row>
    <row r="160" spans="1:9" x14ac:dyDescent="0.2">
      <c r="A160" s="9" t="s">
        <v>860</v>
      </c>
      <c r="C160" s="40">
        <v>0</v>
      </c>
      <c r="D160" s="40">
        <v>0</v>
      </c>
    </row>
    <row r="161" spans="1:4" x14ac:dyDescent="0.2">
      <c r="A161" s="9" t="s">
        <v>1227</v>
      </c>
      <c r="C161" s="40">
        <v>0</v>
      </c>
      <c r="D161" s="40">
        <v>0</v>
      </c>
    </row>
    <row r="162" spans="1:4" x14ac:dyDescent="0.2">
      <c r="A162" s="9" t="s">
        <v>862</v>
      </c>
      <c r="C162" s="40">
        <v>0</v>
      </c>
      <c r="D162" s="40">
        <v>0</v>
      </c>
    </row>
    <row r="163" spans="1:4" x14ac:dyDescent="0.2">
      <c r="A163" s="9" t="s">
        <v>863</v>
      </c>
      <c r="C163" s="40">
        <v>0</v>
      </c>
      <c r="D163" s="40">
        <v>0</v>
      </c>
    </row>
    <row r="164" spans="1:4" x14ac:dyDescent="0.2">
      <c r="A164" s="9" t="s">
        <v>1228</v>
      </c>
      <c r="C164" s="40">
        <v>0</v>
      </c>
      <c r="D164" s="40">
        <v>0</v>
      </c>
    </row>
    <row r="165" spans="1:4" x14ac:dyDescent="0.2">
      <c r="A165" s="9" t="s">
        <v>864</v>
      </c>
      <c r="C165" s="40">
        <v>0</v>
      </c>
      <c r="D165" s="40">
        <v>0</v>
      </c>
    </row>
    <row r="166" spans="1:4" x14ac:dyDescent="0.2">
      <c r="A166" s="9" t="s">
        <v>1229</v>
      </c>
      <c r="C166" s="40">
        <v>0</v>
      </c>
      <c r="D166" s="40">
        <v>0</v>
      </c>
    </row>
    <row r="167" spans="1:4" x14ac:dyDescent="0.2">
      <c r="A167" s="9" t="s">
        <v>866</v>
      </c>
      <c r="C167" s="40">
        <v>0</v>
      </c>
      <c r="D167" s="40">
        <v>0</v>
      </c>
    </row>
    <row r="168" spans="1:4" x14ac:dyDescent="0.2">
      <c r="A168" s="9" t="s">
        <v>867</v>
      </c>
      <c r="C168" s="40">
        <v>0</v>
      </c>
      <c r="D168" s="40">
        <v>0</v>
      </c>
    </row>
    <row r="170" spans="1:4" x14ac:dyDescent="0.2">
      <c r="A170" s="9" t="s">
        <v>46</v>
      </c>
    </row>
    <row r="172" spans="1:4" x14ac:dyDescent="0.2">
      <c r="A172" s="18" t="s">
        <v>1277</v>
      </c>
      <c r="D172" s="41" t="s">
        <v>48</v>
      </c>
    </row>
    <row r="173" spans="1:4" x14ac:dyDescent="0.2">
      <c r="A173" s="9" t="s">
        <v>729</v>
      </c>
    </row>
    <row r="174" spans="1:4" x14ac:dyDescent="0.2">
      <c r="A174" s="50" t="s">
        <v>730</v>
      </c>
    </row>
    <row r="176" spans="1:4" x14ac:dyDescent="0.2">
      <c r="A176" s="18" t="s">
        <v>1174</v>
      </c>
    </row>
    <row r="177" spans="1:1" x14ac:dyDescent="0.2">
      <c r="A177" s="50" t="s">
        <v>50</v>
      </c>
    </row>
  </sheetData>
  <mergeCells count="7">
    <mergeCell ref="A140:G140"/>
    <mergeCell ref="A1:H1"/>
    <mergeCell ref="A83:G83"/>
    <mergeCell ref="A88:G88"/>
    <mergeCell ref="A90:G90"/>
    <mergeCell ref="A93:G93"/>
    <mergeCell ref="A100:G100"/>
  </mergeCells>
  <conditionalFormatting sqref="F2:F3 F5:F35 F103:F104 F143:F144 F89 F84:F87 F91:F92 F141 F101 F43:F82 F94:F99 F113:F139 F153:F65536">
    <cfRule type="cellIs" dxfId="43" priority="6" stopIfTrue="1" operator="between">
      <formula>0.009</formula>
      <formula>-0.009</formula>
    </cfRule>
  </conditionalFormatting>
  <conditionalFormatting sqref="F107:F109 F111:F112">
    <cfRule type="cellIs" dxfId="42" priority="5" stopIfTrue="1" operator="between">
      <formula>0.009</formula>
      <formula>-0.009</formula>
    </cfRule>
  </conditionalFormatting>
  <conditionalFormatting sqref="F105:F106">
    <cfRule type="cellIs" dxfId="41" priority="4" stopIfTrue="1" operator="between">
      <formula>0.009</formula>
      <formula>-0.009</formula>
    </cfRule>
  </conditionalFormatting>
  <conditionalFormatting sqref="F147:F149 F151:F152">
    <cfRule type="cellIs" dxfId="40" priority="3" stopIfTrue="1" operator="between">
      <formula>0.009</formula>
      <formula>-0.009</formula>
    </cfRule>
  </conditionalFormatting>
  <conditionalFormatting sqref="F145:F146">
    <cfRule type="cellIs" dxfId="39" priority="2" stopIfTrue="1" operator="between">
      <formula>0.009</formula>
      <formula>-0.009</formula>
    </cfRule>
  </conditionalFormatting>
  <conditionalFormatting sqref="H5:H51">
    <cfRule type="cellIs" dxfId="38" priority="1" stopIfTrue="1" operator="between">
      <formula>0.009</formula>
      <formula>-0.009</formula>
    </cfRule>
  </conditionalFormatting>
  <hyperlinks>
    <hyperlink ref="A81" r:id="rId1" xr:uid="{00000000-0004-0000-1700-000000000000}"/>
    <hyperlink ref="A86" r:id="rId2" xr:uid="{00000000-0004-0000-1700-000001000000}"/>
    <hyperlink ref="A91" r:id="rId3" xr:uid="{00000000-0004-0000-1700-000002000000}"/>
    <hyperlink ref="A96" r:id="rId4" tooltip="https://www.franklintempletonindia.com/downloadsServlet/pdf/product-labels-jg9o5k7l" xr:uid="{00000000-0004-0000-1700-000003000000}"/>
    <hyperlink ref="A135" r:id="rId5" xr:uid="{00000000-0004-0000-1700-000004000000}"/>
    <hyperlink ref="A138" r:id="rId6" tooltip="https://www.franklintempletonindia.com/downloadsServlet/pdf/product-labels-jg9o5k7l" xr:uid="{00000000-0004-0000-1700-000005000000}"/>
    <hyperlink ref="A174" r:id="rId7" xr:uid="{00000000-0004-0000-1700-000006000000}"/>
    <hyperlink ref="A177" r:id="rId8" tooltip="https://www.franklintempletonindia.com/downloadsServlet/pdf/product-labels-jg9o5k7l" xr:uid="{00000000-0004-0000-1700-000007000000}"/>
  </hyperlinks>
  <pageMargins left="0.7" right="0.7" top="0.75" bottom="0.75" header="0.3" footer="0.3"/>
  <pageSetup paperSize="9" orientation="portrait" r:id="rId9"/>
  <headerFooter>
    <oddFooter>&amp;C&amp;1#&amp;"Calibri"&amp;10&amp;K000000PUBLIC</oddFooter>
    <evenFooter>&amp;LPUBLIC</evenFooter>
    <firstFooter>&amp;LPUBLIC</first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68"/>
  <sheetViews>
    <sheetView workbookViewId="0">
      <selection sqref="A1:G1"/>
    </sheetView>
  </sheetViews>
  <sheetFormatPr defaultColWidth="9.109375" defaultRowHeight="10.199999999999999" x14ac:dyDescent="0.2"/>
  <cols>
    <col min="1" max="1" width="38.6640625" style="9" bestFit="1" customWidth="1"/>
    <col min="2" max="2" width="69.109375" style="9" bestFit="1" customWidth="1"/>
    <col min="3" max="3" width="15.332031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5" customHeight="1" x14ac:dyDescent="0.2">
      <c r="A1" s="79" t="s">
        <v>1238</v>
      </c>
      <c r="B1" s="80"/>
      <c r="C1" s="80"/>
      <c r="D1" s="80"/>
      <c r="E1" s="80"/>
      <c r="F1" s="80"/>
      <c r="G1" s="80"/>
    </row>
    <row r="2" spans="1:7" s="1" customFormat="1" ht="12" x14ac:dyDescent="0.25">
      <c r="A2" s="66" t="s">
        <v>1114</v>
      </c>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749</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1120</v>
      </c>
      <c r="B7" s="27" t="s">
        <v>1121</v>
      </c>
      <c r="C7" s="27" t="s">
        <v>1122</v>
      </c>
      <c r="D7" s="31">
        <v>3650</v>
      </c>
      <c r="E7" s="29">
        <v>35858.001499999998</v>
      </c>
      <c r="F7" s="30">
        <v>17.040900295908099</v>
      </c>
      <c r="G7" s="29">
        <v>14.819100000000001</v>
      </c>
    </row>
    <row r="8" spans="1:7" x14ac:dyDescent="0.2">
      <c r="A8" s="27" t="s">
        <v>1182</v>
      </c>
      <c r="B8" s="27" t="s">
        <v>1183</v>
      </c>
      <c r="C8" s="27" t="s">
        <v>1144</v>
      </c>
      <c r="D8" s="31">
        <v>2350</v>
      </c>
      <c r="E8" s="29">
        <v>22359.075000000001</v>
      </c>
      <c r="F8" s="30">
        <v>10.625766965393501</v>
      </c>
      <c r="G8" s="29">
        <v>15.005000000000001</v>
      </c>
    </row>
    <row r="9" spans="1:7" x14ac:dyDescent="0.2">
      <c r="A9" s="27" t="s">
        <v>1205</v>
      </c>
      <c r="B9" s="27" t="s">
        <v>1206</v>
      </c>
      <c r="C9" s="27" t="s">
        <v>1125</v>
      </c>
      <c r="D9" s="31">
        <v>1910</v>
      </c>
      <c r="E9" s="29">
        <v>19100</v>
      </c>
      <c r="F9" s="30">
        <v>9.0769474604390492</v>
      </c>
      <c r="G9" s="29">
        <v>5.1550000000000002</v>
      </c>
    </row>
    <row r="10" spans="1:7" x14ac:dyDescent="0.2">
      <c r="A10" s="27" t="s">
        <v>1239</v>
      </c>
      <c r="B10" s="27" t="s">
        <v>1240</v>
      </c>
      <c r="C10" s="27" t="s">
        <v>1144</v>
      </c>
      <c r="D10" s="31">
        <v>2000</v>
      </c>
      <c r="E10" s="29">
        <v>19067.560000000001</v>
      </c>
      <c r="F10" s="30">
        <v>9.0615309067418401</v>
      </c>
      <c r="G10" s="29">
        <v>15.005000000000001</v>
      </c>
    </row>
    <row r="11" spans="1:7" x14ac:dyDescent="0.2">
      <c r="A11" s="27" t="s">
        <v>1241</v>
      </c>
      <c r="B11" s="27" t="s">
        <v>1242</v>
      </c>
      <c r="C11" s="27" t="s">
        <v>1144</v>
      </c>
      <c r="D11" s="31">
        <v>1000</v>
      </c>
      <c r="E11" s="29">
        <v>10010.780000000001</v>
      </c>
      <c r="F11" s="30">
        <v>4.75745152345623</v>
      </c>
      <c r="G11" s="29">
        <v>13.8652</v>
      </c>
    </row>
    <row r="12" spans="1:7" x14ac:dyDescent="0.2">
      <c r="A12" s="27" t="s">
        <v>1209</v>
      </c>
      <c r="B12" s="27" t="s">
        <v>1210</v>
      </c>
      <c r="C12" s="27" t="s">
        <v>1144</v>
      </c>
      <c r="D12" s="31">
        <v>900</v>
      </c>
      <c r="E12" s="29">
        <v>9010.0529999999999</v>
      </c>
      <c r="F12" s="30">
        <v>4.2818731778414296</v>
      </c>
      <c r="G12" s="29">
        <v>14.184900000000001</v>
      </c>
    </row>
    <row r="13" spans="1:7" x14ac:dyDescent="0.2">
      <c r="A13" s="27" t="s">
        <v>1140</v>
      </c>
      <c r="B13" s="27" t="s">
        <v>1141</v>
      </c>
      <c r="C13" s="27" t="s">
        <v>1119</v>
      </c>
      <c r="D13" s="31">
        <v>938</v>
      </c>
      <c r="E13" s="29">
        <v>7087.3122599999997</v>
      </c>
      <c r="F13" s="30">
        <v>3.3681236135992401</v>
      </c>
      <c r="G13" s="29">
        <v>7.8470000000000004</v>
      </c>
    </row>
    <row r="14" spans="1:7" x14ac:dyDescent="0.2">
      <c r="A14" s="27" t="s">
        <v>1184</v>
      </c>
      <c r="B14" s="27" t="s">
        <v>1185</v>
      </c>
      <c r="C14" s="27" t="s">
        <v>1009</v>
      </c>
      <c r="D14" s="31">
        <v>280</v>
      </c>
      <c r="E14" s="29">
        <v>2807.1147999999998</v>
      </c>
      <c r="F14" s="30">
        <v>1.33403317041994</v>
      </c>
      <c r="G14" s="29">
        <v>6.33</v>
      </c>
    </row>
    <row r="15" spans="1:7" x14ac:dyDescent="0.2">
      <c r="A15" s="27" t="s">
        <v>876</v>
      </c>
      <c r="B15" s="27" t="s">
        <v>877</v>
      </c>
      <c r="C15" s="27" t="s">
        <v>878</v>
      </c>
      <c r="D15" s="31">
        <v>92</v>
      </c>
      <c r="E15" s="29">
        <v>915.57755999999995</v>
      </c>
      <c r="F15" s="30">
        <v>0.43511253445429199</v>
      </c>
      <c r="G15" s="29">
        <v>12.440300000000001</v>
      </c>
    </row>
    <row r="16" spans="1:7" x14ac:dyDescent="0.2">
      <c r="A16" s="27" t="s">
        <v>1137</v>
      </c>
      <c r="B16" s="27" t="s">
        <v>1131</v>
      </c>
      <c r="C16" s="27" t="s">
        <v>1132</v>
      </c>
      <c r="D16" s="31">
        <v>70</v>
      </c>
      <c r="E16" s="29">
        <v>629.81730000000005</v>
      </c>
      <c r="F16" s="30">
        <v>0.29930987129715098</v>
      </c>
      <c r="G16" s="29">
        <v>20.838000000000001</v>
      </c>
    </row>
    <row r="17" spans="1:9" x14ac:dyDescent="0.2">
      <c r="A17" s="27" t="s">
        <v>1117</v>
      </c>
      <c r="B17" s="27" t="s">
        <v>1118</v>
      </c>
      <c r="C17" s="27" t="s">
        <v>1119</v>
      </c>
      <c r="D17" s="31">
        <v>61</v>
      </c>
      <c r="E17" s="29">
        <v>620.91045999999994</v>
      </c>
      <c r="F17" s="30">
        <v>0.29507704832759402</v>
      </c>
      <c r="G17" s="29">
        <v>8.8072999999999997</v>
      </c>
    </row>
    <row r="18" spans="1:9" x14ac:dyDescent="0.2">
      <c r="A18" s="27" t="s">
        <v>1243</v>
      </c>
      <c r="B18" s="27" t="s">
        <v>1244</v>
      </c>
      <c r="C18" s="27" t="s">
        <v>33</v>
      </c>
      <c r="D18" s="31">
        <v>34</v>
      </c>
      <c r="E18" s="29">
        <v>343.536</v>
      </c>
      <c r="F18" s="30">
        <v>0.16325959281515101</v>
      </c>
      <c r="G18" s="29">
        <v>3.84</v>
      </c>
    </row>
    <row r="19" spans="1:9" x14ac:dyDescent="0.2">
      <c r="A19" s="27" t="s">
        <v>931</v>
      </c>
      <c r="B19" s="27" t="s">
        <v>932</v>
      </c>
      <c r="C19" s="27" t="s">
        <v>34</v>
      </c>
      <c r="D19" s="31">
        <v>22</v>
      </c>
      <c r="E19" s="29">
        <v>221.95954</v>
      </c>
      <c r="F19" s="30">
        <v>0.105482465074514</v>
      </c>
      <c r="G19" s="29">
        <v>3.6450999999999998</v>
      </c>
    </row>
    <row r="20" spans="1:9" x14ac:dyDescent="0.2">
      <c r="A20" s="26" t="s">
        <v>35</v>
      </c>
      <c r="B20" s="26"/>
      <c r="C20" s="26"/>
      <c r="D20" s="32"/>
      <c r="E20" s="33">
        <f>SUM(E6:E19)</f>
        <v>128031.69741999998</v>
      </c>
      <c r="F20" s="34">
        <f>SUM(F6:F19)</f>
        <v>60.844868625768036</v>
      </c>
      <c r="G20" s="33"/>
      <c r="H20" s="18"/>
      <c r="I20" s="18"/>
    </row>
    <row r="21" spans="1:9" x14ac:dyDescent="0.2">
      <c r="A21" s="27"/>
      <c r="B21" s="27"/>
      <c r="C21" s="27"/>
      <c r="D21" s="28"/>
      <c r="E21" s="29"/>
      <c r="F21" s="30"/>
      <c r="G21" s="29"/>
    </row>
    <row r="22" spans="1:9" x14ac:dyDescent="0.2">
      <c r="A22" s="26" t="s">
        <v>1075</v>
      </c>
      <c r="B22" s="27"/>
      <c r="C22" s="27"/>
      <c r="D22" s="28"/>
      <c r="E22" s="29"/>
      <c r="F22" s="30"/>
      <c r="G22" s="29"/>
    </row>
    <row r="23" spans="1:9" x14ac:dyDescent="0.2">
      <c r="A23" s="27" t="s">
        <v>1245</v>
      </c>
      <c r="B23" s="27" t="s">
        <v>1246</v>
      </c>
      <c r="C23" s="27" t="s">
        <v>1144</v>
      </c>
      <c r="D23" s="31">
        <v>1000</v>
      </c>
      <c r="E23" s="29">
        <v>10014.879999999999</v>
      </c>
      <c r="F23" s="30">
        <v>4.75939997814669</v>
      </c>
      <c r="G23" s="29">
        <v>14.1998</v>
      </c>
    </row>
    <row r="24" spans="1:9" x14ac:dyDescent="0.2">
      <c r="A24" s="26" t="s">
        <v>35</v>
      </c>
      <c r="B24" s="26"/>
      <c r="C24" s="26"/>
      <c r="D24" s="32"/>
      <c r="E24" s="33">
        <f>SUM(E22:E23)</f>
        <v>10014.879999999999</v>
      </c>
      <c r="F24" s="34">
        <f>SUM(F22:F23)</f>
        <v>4.75939997814669</v>
      </c>
      <c r="G24" s="33"/>
      <c r="H24" s="18"/>
      <c r="I24" s="18"/>
    </row>
    <row r="25" spans="1:9" x14ac:dyDescent="0.2">
      <c r="A25" s="27"/>
      <c r="B25" s="27"/>
      <c r="C25" s="27"/>
      <c r="D25" s="28"/>
      <c r="E25" s="29"/>
      <c r="F25" s="30"/>
      <c r="G25" s="29"/>
    </row>
    <row r="26" spans="1:9" x14ac:dyDescent="0.2">
      <c r="A26" s="26" t="s">
        <v>36</v>
      </c>
      <c r="B26" s="27"/>
      <c r="C26" s="27"/>
      <c r="D26" s="28"/>
      <c r="E26" s="29"/>
      <c r="F26" s="30"/>
      <c r="G26" s="29"/>
    </row>
    <row r="27" spans="1:9" x14ac:dyDescent="0.2">
      <c r="A27" s="27" t="s">
        <v>1159</v>
      </c>
      <c r="B27" s="27" t="s">
        <v>1160</v>
      </c>
      <c r="C27" s="27" t="s">
        <v>1161</v>
      </c>
      <c r="D27" s="31">
        <v>2120377.5619999999</v>
      </c>
      <c r="E27" s="29">
        <v>71632.978099999993</v>
      </c>
      <c r="F27" s="30">
        <v>34.0423444318576</v>
      </c>
      <c r="G27" s="29">
        <v>3.1244999999999998</v>
      </c>
    </row>
    <row r="28" spans="1:9" x14ac:dyDescent="0.2">
      <c r="A28" s="26" t="s">
        <v>35</v>
      </c>
      <c r="B28" s="26"/>
      <c r="C28" s="26"/>
      <c r="D28" s="32"/>
      <c r="E28" s="33">
        <f>SUM(E27:E27)</f>
        <v>71632.978099999993</v>
      </c>
      <c r="F28" s="34">
        <f>SUM(F27:F27)</f>
        <v>34.0423444318576</v>
      </c>
      <c r="G28" s="33"/>
      <c r="H28" s="18"/>
      <c r="I28" s="18"/>
    </row>
    <row r="29" spans="1:9" x14ac:dyDescent="0.2">
      <c r="A29" s="27"/>
      <c r="B29" s="27"/>
      <c r="C29" s="27"/>
      <c r="D29" s="28"/>
      <c r="E29" s="29"/>
      <c r="F29" s="30"/>
      <c r="G29" s="29"/>
    </row>
    <row r="30" spans="1:9" x14ac:dyDescent="0.2">
      <c r="A30" s="26" t="s">
        <v>37</v>
      </c>
      <c r="B30" s="26"/>
      <c r="C30" s="26"/>
      <c r="D30" s="32"/>
      <c r="E30" s="33">
        <f>E20+E24+E28</f>
        <v>209679.55551999999</v>
      </c>
      <c r="F30" s="34">
        <f>F20+F24+F28</f>
        <v>99.646613035772333</v>
      </c>
      <c r="G30" s="33"/>
      <c r="H30" s="18"/>
      <c r="I30" s="18"/>
    </row>
    <row r="31" spans="1:9" x14ac:dyDescent="0.2">
      <c r="A31" s="26"/>
      <c r="B31" s="26"/>
      <c r="C31" s="26"/>
      <c r="D31" s="32"/>
      <c r="E31" s="33"/>
      <c r="F31" s="34"/>
      <c r="G31" s="33"/>
      <c r="H31" s="18"/>
      <c r="I31" s="18"/>
    </row>
    <row r="32" spans="1:9" x14ac:dyDescent="0.2">
      <c r="A32" s="26" t="s">
        <v>39</v>
      </c>
      <c r="B32" s="26"/>
      <c r="C32" s="26"/>
      <c r="D32" s="32"/>
      <c r="E32" s="33">
        <f>E34-(E20+E24+E28)</f>
        <v>743.60802970000077</v>
      </c>
      <c r="F32" s="34">
        <f>F34-(F20+F24+F28)</f>
        <v>0.35338696422766702</v>
      </c>
      <c r="G32" s="33"/>
      <c r="H32" s="18"/>
      <c r="I32" s="18"/>
    </row>
    <row r="33" spans="1:9" x14ac:dyDescent="0.2">
      <c r="A33" s="26"/>
      <c r="B33" s="26"/>
      <c r="C33" s="26"/>
      <c r="D33" s="32"/>
      <c r="E33" s="33"/>
      <c r="F33" s="34"/>
      <c r="G33" s="33"/>
      <c r="H33" s="18"/>
      <c r="I33" s="18"/>
    </row>
    <row r="34" spans="1:9" x14ac:dyDescent="0.2">
      <c r="A34" s="35" t="s">
        <v>38</v>
      </c>
      <c r="B34" s="35"/>
      <c r="C34" s="35"/>
      <c r="D34" s="36"/>
      <c r="E34" s="37">
        <v>210423.1635497</v>
      </c>
      <c r="F34" s="38">
        <v>100</v>
      </c>
      <c r="G34" s="37"/>
      <c r="H34" s="18"/>
      <c r="I34" s="18"/>
    </row>
    <row r="36" spans="1:9" x14ac:dyDescent="0.2">
      <c r="A36" s="18" t="s">
        <v>40</v>
      </c>
    </row>
    <row r="38" spans="1:9" x14ac:dyDescent="0.2">
      <c r="A38" s="18" t="s">
        <v>41</v>
      </c>
    </row>
    <row r="39" spans="1:9" x14ac:dyDescent="0.2">
      <c r="A39" s="18" t="s">
        <v>42</v>
      </c>
    </row>
    <row r="40" spans="1:9" x14ac:dyDescent="0.2">
      <c r="A40" s="18" t="s">
        <v>43</v>
      </c>
      <c r="B40" s="18"/>
      <c r="C40" s="39" t="s">
        <v>45</v>
      </c>
      <c r="D40" s="19" t="s">
        <v>44</v>
      </c>
    </row>
    <row r="41" spans="1:9" x14ac:dyDescent="0.2">
      <c r="A41" s="9" t="s">
        <v>860</v>
      </c>
      <c r="C41" s="40">
        <v>27.555399999999999</v>
      </c>
      <c r="D41" s="40">
        <v>28.641300000000001</v>
      </c>
    </row>
    <row r="42" spans="1:9" x14ac:dyDescent="0.2">
      <c r="A42" s="9" t="s">
        <v>861</v>
      </c>
      <c r="C42" s="40">
        <v>10.3889</v>
      </c>
      <c r="D42" s="40">
        <v>10.7982</v>
      </c>
    </row>
    <row r="43" spans="1:9" x14ac:dyDescent="0.2">
      <c r="A43" s="9" t="s">
        <v>1227</v>
      </c>
      <c r="C43" s="40">
        <v>10.4748</v>
      </c>
      <c r="D43" s="40">
        <v>10.887499999999999</v>
      </c>
    </row>
    <row r="44" spans="1:9" x14ac:dyDescent="0.2">
      <c r="A44" s="9" t="s">
        <v>1228</v>
      </c>
      <c r="C44" s="40">
        <v>28.261099999999999</v>
      </c>
      <c r="D44" s="40">
        <v>29.380199999999999</v>
      </c>
    </row>
    <row r="45" spans="1:9" x14ac:dyDescent="0.2">
      <c r="A45" s="9" t="s">
        <v>1247</v>
      </c>
      <c r="C45" s="40">
        <v>10.35</v>
      </c>
      <c r="D45" s="40">
        <v>10.760199999999999</v>
      </c>
    </row>
    <row r="46" spans="1:9" x14ac:dyDescent="0.2">
      <c r="A46" s="9" t="s">
        <v>806</v>
      </c>
      <c r="C46" s="40">
        <v>29.209099999999999</v>
      </c>
      <c r="D46" s="40">
        <v>30.369599999999998</v>
      </c>
    </row>
    <row r="47" spans="1:9" x14ac:dyDescent="0.2">
      <c r="A47" s="9" t="s">
        <v>1248</v>
      </c>
      <c r="C47" s="40">
        <v>10.44</v>
      </c>
      <c r="D47" s="40">
        <v>10.854799999999999</v>
      </c>
    </row>
    <row r="48" spans="1:9" x14ac:dyDescent="0.2">
      <c r="A48" s="9" t="s">
        <v>808</v>
      </c>
      <c r="C48" s="40">
        <v>10.4671</v>
      </c>
      <c r="D48" s="40">
        <v>10.882899999999999</v>
      </c>
    </row>
    <row r="49" spans="1:7" x14ac:dyDescent="0.2">
      <c r="A49" s="9" t="s">
        <v>1249</v>
      </c>
      <c r="C49" s="40">
        <v>29.386099999999999</v>
      </c>
      <c r="D49" s="40">
        <v>30.5581</v>
      </c>
    </row>
    <row r="50" spans="1:7" x14ac:dyDescent="0.2">
      <c r="A50" s="9" t="s">
        <v>1250</v>
      </c>
      <c r="C50" s="40">
        <v>10.43</v>
      </c>
      <c r="D50" s="40">
        <v>10.8459</v>
      </c>
    </row>
    <row r="51" spans="1:7" x14ac:dyDescent="0.2">
      <c r="A51" s="9" t="s">
        <v>1251</v>
      </c>
      <c r="C51" s="40">
        <v>10.468500000000001</v>
      </c>
      <c r="D51" s="40">
        <v>10.885999999999999</v>
      </c>
    </row>
    <row r="53" spans="1:7" x14ac:dyDescent="0.2">
      <c r="A53" s="9" t="s">
        <v>46</v>
      </c>
    </row>
    <row r="55" spans="1:7" x14ac:dyDescent="0.2">
      <c r="A55" s="18" t="s">
        <v>47</v>
      </c>
      <c r="D55" s="41" t="s">
        <v>48</v>
      </c>
    </row>
    <row r="57" spans="1:7" x14ac:dyDescent="0.2">
      <c r="A57" s="18" t="s">
        <v>816</v>
      </c>
      <c r="D57" s="42">
        <v>0.55211205405479402</v>
      </c>
      <c r="E57" s="13" t="s">
        <v>49</v>
      </c>
    </row>
    <row r="59" spans="1:7" x14ac:dyDescent="0.2">
      <c r="A59" s="18" t="s">
        <v>734</v>
      </c>
      <c r="D59" s="41" t="s">
        <v>48</v>
      </c>
    </row>
    <row r="60" spans="1:7" x14ac:dyDescent="0.2">
      <c r="A60" s="9" t="s">
        <v>729</v>
      </c>
    </row>
    <row r="61" spans="1:7" x14ac:dyDescent="0.2">
      <c r="A61" s="50" t="s">
        <v>730</v>
      </c>
    </row>
    <row r="62" spans="1:7" x14ac:dyDescent="0.2">
      <c r="A62" s="18"/>
      <c r="D62" s="41"/>
    </row>
    <row r="63" spans="1:7" ht="27" customHeight="1" x14ac:dyDescent="0.3">
      <c r="A63" s="84" t="s">
        <v>1252</v>
      </c>
      <c r="B63" s="85"/>
      <c r="C63" s="85"/>
      <c r="D63" s="85"/>
      <c r="E63" s="85"/>
      <c r="F63" s="85"/>
      <c r="G63" s="85"/>
    </row>
    <row r="65" spans="1:1" x14ac:dyDescent="0.2">
      <c r="A65" s="18" t="s">
        <v>988</v>
      </c>
    </row>
    <row r="66" spans="1:1" x14ac:dyDescent="0.2">
      <c r="A66" s="50" t="s">
        <v>50</v>
      </c>
    </row>
    <row r="68" spans="1:1" x14ac:dyDescent="0.2">
      <c r="A68" s="18" t="s">
        <v>746</v>
      </c>
    </row>
  </sheetData>
  <mergeCells count="2">
    <mergeCell ref="A1:G1"/>
    <mergeCell ref="A63:G63"/>
  </mergeCells>
  <conditionalFormatting sqref="F2:F3 F5:F62 F64:F65530">
    <cfRule type="cellIs" dxfId="37" priority="1" stopIfTrue="1" operator="between">
      <formula>0.009</formula>
      <formula>-0.009</formula>
    </cfRule>
  </conditionalFormatting>
  <hyperlinks>
    <hyperlink ref="A66" r:id="rId1" tooltip="https://www.franklintempletonindia.com/downloadsServlet/pdf/product-labels-jg9o5k7l" xr:uid="{00000000-0004-0000-1800-000000000000}"/>
    <hyperlink ref="A61" r:id="rId2" xr:uid="{00000000-0004-0000-18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06"/>
  <sheetViews>
    <sheetView workbookViewId="0">
      <selection sqref="A1:H1"/>
    </sheetView>
  </sheetViews>
  <sheetFormatPr defaultColWidth="9.109375" defaultRowHeight="10.199999999999999" x14ac:dyDescent="0.2"/>
  <cols>
    <col min="1" max="1" width="38.6640625" style="9" bestFit="1" customWidth="1"/>
    <col min="2" max="2" width="69.109375" style="9" bestFit="1" customWidth="1"/>
    <col min="3" max="3" width="15.332031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8" s="1" customFormat="1" ht="15" customHeight="1" x14ac:dyDescent="0.2">
      <c r="A1" s="79" t="s">
        <v>1253</v>
      </c>
      <c r="B1" s="80"/>
      <c r="C1" s="80"/>
      <c r="D1" s="80"/>
      <c r="E1" s="80"/>
      <c r="F1" s="80"/>
      <c r="G1" s="80"/>
      <c r="H1" s="80"/>
    </row>
    <row r="2" spans="1:8" s="1" customFormat="1" ht="12" x14ac:dyDescent="0.25">
      <c r="A2" s="66" t="s">
        <v>1114</v>
      </c>
      <c r="D2" s="6"/>
      <c r="E2" s="7"/>
      <c r="F2" s="12"/>
      <c r="G2" s="13"/>
    </row>
    <row r="3" spans="1:8" s="1" customFormat="1" ht="12" x14ac:dyDescent="0.2">
      <c r="A3" s="11" t="s">
        <v>7</v>
      </c>
      <c r="B3" s="2"/>
      <c r="C3" s="3"/>
      <c r="D3" s="4"/>
      <c r="E3" s="5"/>
      <c r="F3" s="12"/>
      <c r="G3" s="13"/>
    </row>
    <row r="4" spans="1:8" s="1" customFormat="1" ht="17.399999999999999" customHeight="1" x14ac:dyDescent="0.2">
      <c r="A4" s="8" t="s">
        <v>2</v>
      </c>
      <c r="B4" s="8" t="s">
        <v>0</v>
      </c>
      <c r="C4" s="17" t="s">
        <v>749</v>
      </c>
      <c r="D4" s="16" t="s">
        <v>1</v>
      </c>
      <c r="E4" s="15" t="s">
        <v>3</v>
      </c>
      <c r="F4" s="15" t="s">
        <v>4</v>
      </c>
      <c r="G4" s="15" t="s">
        <v>6</v>
      </c>
      <c r="H4" s="15" t="s">
        <v>1195</v>
      </c>
    </row>
    <row r="5" spans="1:8" x14ac:dyDescent="0.2">
      <c r="A5" s="21" t="s">
        <v>31</v>
      </c>
      <c r="B5" s="22"/>
      <c r="C5" s="22"/>
      <c r="D5" s="23"/>
      <c r="E5" s="24"/>
      <c r="F5" s="25"/>
      <c r="G5" s="24"/>
      <c r="H5" s="25"/>
    </row>
    <row r="6" spans="1:8" x14ac:dyDescent="0.2">
      <c r="A6" s="26" t="s">
        <v>32</v>
      </c>
      <c r="B6" s="27"/>
      <c r="C6" s="27"/>
      <c r="D6" s="28"/>
      <c r="E6" s="29"/>
      <c r="F6" s="30"/>
      <c r="G6" s="29"/>
      <c r="H6" s="30"/>
    </row>
    <row r="7" spans="1:8" s="62" customFormat="1" x14ac:dyDescent="0.2">
      <c r="A7" s="67" t="s">
        <v>1123</v>
      </c>
      <c r="B7" s="67" t="s">
        <v>1124</v>
      </c>
      <c r="C7" s="67" t="s">
        <v>1125</v>
      </c>
      <c r="D7" s="68">
        <v>2687</v>
      </c>
      <c r="E7" s="69">
        <v>26870</v>
      </c>
      <c r="F7" s="69">
        <v>23.860102163253899</v>
      </c>
      <c r="G7" s="69">
        <v>7.76</v>
      </c>
      <c r="H7" s="69"/>
    </row>
    <row r="8" spans="1:8" x14ac:dyDescent="0.2">
      <c r="A8" s="27" t="s">
        <v>1254</v>
      </c>
      <c r="B8" s="27" t="s">
        <v>1255</v>
      </c>
      <c r="C8" s="27" t="s">
        <v>1122</v>
      </c>
      <c r="D8" s="31">
        <v>12100</v>
      </c>
      <c r="E8" s="29">
        <v>12064.4139</v>
      </c>
      <c r="F8" s="30">
        <v>10.7129939781831</v>
      </c>
      <c r="G8" s="29">
        <v>10.1562</v>
      </c>
      <c r="H8" s="30">
        <v>10.309257000900001</v>
      </c>
    </row>
    <row r="9" spans="1:8" x14ac:dyDescent="0.2">
      <c r="A9" s="27" t="s">
        <v>1120</v>
      </c>
      <c r="B9" s="27" t="s">
        <v>1121</v>
      </c>
      <c r="C9" s="27" t="s">
        <v>1122</v>
      </c>
      <c r="D9" s="31">
        <v>780</v>
      </c>
      <c r="E9" s="29">
        <v>7662.8058000000001</v>
      </c>
      <c r="F9" s="30">
        <v>6.8044409841895996</v>
      </c>
      <c r="G9" s="29">
        <v>14.819100000000001</v>
      </c>
      <c r="H9" s="30"/>
    </row>
    <row r="10" spans="1:8" x14ac:dyDescent="0.2">
      <c r="A10" s="27" t="s">
        <v>1256</v>
      </c>
      <c r="B10" s="27" t="s">
        <v>1257</v>
      </c>
      <c r="C10" s="27" t="s">
        <v>33</v>
      </c>
      <c r="D10" s="31">
        <v>753</v>
      </c>
      <c r="E10" s="29">
        <v>7501.9733399999996</v>
      </c>
      <c r="F10" s="30">
        <v>6.6616245001268002</v>
      </c>
      <c r="G10" s="29">
        <v>10.2501</v>
      </c>
      <c r="H10" s="30"/>
    </row>
    <row r="11" spans="1:8" x14ac:dyDescent="0.2">
      <c r="A11" s="27" t="s">
        <v>950</v>
      </c>
      <c r="B11" s="27" t="s">
        <v>951</v>
      </c>
      <c r="C11" s="27" t="s">
        <v>952</v>
      </c>
      <c r="D11" s="31">
        <v>585</v>
      </c>
      <c r="E11" s="29">
        <v>5948.040618</v>
      </c>
      <c r="F11" s="30">
        <v>5.2817587203819798</v>
      </c>
      <c r="G11" s="29">
        <v>10</v>
      </c>
      <c r="H11" s="30"/>
    </row>
    <row r="12" spans="1:8" x14ac:dyDescent="0.2">
      <c r="A12" s="27" t="s">
        <v>1117</v>
      </c>
      <c r="B12" s="27" t="s">
        <v>1118</v>
      </c>
      <c r="C12" s="27" t="s">
        <v>1119</v>
      </c>
      <c r="D12" s="31">
        <v>501</v>
      </c>
      <c r="E12" s="29">
        <v>5099.6088600000003</v>
      </c>
      <c r="F12" s="30">
        <v>4.5283657756693296</v>
      </c>
      <c r="G12" s="29">
        <v>8.8072999999999997</v>
      </c>
      <c r="H12" s="30"/>
    </row>
    <row r="13" spans="1:8" x14ac:dyDescent="0.2">
      <c r="A13" s="27" t="s">
        <v>1140</v>
      </c>
      <c r="B13" s="27" t="s">
        <v>1141</v>
      </c>
      <c r="C13" s="27" t="s">
        <v>1119</v>
      </c>
      <c r="D13" s="31">
        <v>240</v>
      </c>
      <c r="E13" s="29">
        <v>1813.3848</v>
      </c>
      <c r="F13" s="30">
        <v>1.6102548042162901</v>
      </c>
      <c r="G13" s="29">
        <v>7.8470000000000004</v>
      </c>
      <c r="H13" s="30"/>
    </row>
    <row r="14" spans="1:8" x14ac:dyDescent="0.2">
      <c r="A14" s="27" t="s">
        <v>1258</v>
      </c>
      <c r="B14" s="27" t="s">
        <v>1259</v>
      </c>
      <c r="C14" s="27" t="s">
        <v>1119</v>
      </c>
      <c r="D14" s="31">
        <v>718</v>
      </c>
      <c r="E14" s="29">
        <v>1533.293308</v>
      </c>
      <c r="F14" s="30">
        <v>1.3615383317868801</v>
      </c>
      <c r="G14" s="29">
        <v>9.2750000000000004</v>
      </c>
      <c r="H14" s="30"/>
    </row>
    <row r="15" spans="1:8" x14ac:dyDescent="0.2">
      <c r="A15" s="27" t="s">
        <v>1133</v>
      </c>
      <c r="B15" s="27" t="s">
        <v>1134</v>
      </c>
      <c r="C15" s="27" t="s">
        <v>1119</v>
      </c>
      <c r="D15" s="31">
        <v>150</v>
      </c>
      <c r="E15" s="29">
        <v>1518.6780000000001</v>
      </c>
      <c r="F15" s="30">
        <v>1.34856018731247</v>
      </c>
      <c r="G15" s="29">
        <v>8.5973000000000006</v>
      </c>
      <c r="H15" s="30"/>
    </row>
    <row r="16" spans="1:8" x14ac:dyDescent="0.2">
      <c r="A16" s="27" t="s">
        <v>1260</v>
      </c>
      <c r="B16" s="27" t="s">
        <v>1261</v>
      </c>
      <c r="C16" s="27" t="s">
        <v>33</v>
      </c>
      <c r="D16" s="31">
        <v>150</v>
      </c>
      <c r="E16" s="29">
        <v>1458.5205000000001</v>
      </c>
      <c r="F16" s="30">
        <v>1.2951413523334601</v>
      </c>
      <c r="G16" s="29">
        <v>10.2349</v>
      </c>
      <c r="H16" s="30"/>
    </row>
    <row r="17" spans="1:9" x14ac:dyDescent="0.2">
      <c r="A17" s="26" t="s">
        <v>35</v>
      </c>
      <c r="B17" s="26"/>
      <c r="C17" s="26"/>
      <c r="D17" s="32"/>
      <c r="E17" s="33">
        <f>SUM(E6:E16)</f>
        <v>71470.719125999996</v>
      </c>
      <c r="F17" s="34">
        <f>SUM(F6:F16)</f>
        <v>63.464780797453805</v>
      </c>
      <c r="G17" s="33"/>
      <c r="H17" s="30"/>
      <c r="I17" s="18"/>
    </row>
    <row r="18" spans="1:9" x14ac:dyDescent="0.2">
      <c r="A18" s="27"/>
      <c r="B18" s="27"/>
      <c r="C18" s="27"/>
      <c r="D18" s="28"/>
      <c r="E18" s="29"/>
      <c r="F18" s="30"/>
      <c r="G18" s="29"/>
      <c r="H18" s="30"/>
    </row>
    <row r="19" spans="1:9" x14ac:dyDescent="0.2">
      <c r="A19" s="26" t="s">
        <v>1075</v>
      </c>
      <c r="B19" s="27"/>
      <c r="C19" s="27"/>
      <c r="D19" s="28"/>
      <c r="E19" s="29"/>
      <c r="F19" s="30"/>
      <c r="G19" s="29"/>
      <c r="H19" s="30"/>
    </row>
    <row r="20" spans="1:9" x14ac:dyDescent="0.2">
      <c r="A20" s="27" t="s">
        <v>1148</v>
      </c>
      <c r="B20" s="27" t="s">
        <v>1149</v>
      </c>
      <c r="C20" s="27" t="s">
        <v>1147</v>
      </c>
      <c r="D20" s="31">
        <v>770</v>
      </c>
      <c r="E20" s="29">
        <v>6465.75083</v>
      </c>
      <c r="F20" s="30">
        <v>5.7414765673964903</v>
      </c>
      <c r="G20" s="29">
        <v>11.0945</v>
      </c>
      <c r="H20" s="30"/>
    </row>
    <row r="21" spans="1:9" x14ac:dyDescent="0.2">
      <c r="A21" s="27" t="s">
        <v>1150</v>
      </c>
      <c r="B21" s="27" t="s">
        <v>1151</v>
      </c>
      <c r="C21" s="27" t="s">
        <v>1147</v>
      </c>
      <c r="D21" s="31">
        <v>250</v>
      </c>
      <c r="E21" s="29">
        <v>2184.5471819999998</v>
      </c>
      <c r="F21" s="30">
        <v>1.9398406752128201</v>
      </c>
      <c r="G21" s="29">
        <v>10.762700000000001</v>
      </c>
      <c r="H21" s="30"/>
    </row>
    <row r="22" spans="1:9" x14ac:dyDescent="0.2">
      <c r="A22" s="27" t="s">
        <v>1145</v>
      </c>
      <c r="B22" s="27" t="s">
        <v>1146</v>
      </c>
      <c r="C22" s="27" t="s">
        <v>1147</v>
      </c>
      <c r="D22" s="31">
        <v>110</v>
      </c>
      <c r="E22" s="29">
        <v>976.42997100000002</v>
      </c>
      <c r="F22" s="30">
        <v>0.86705317690074601</v>
      </c>
      <c r="G22" s="29">
        <v>11.22</v>
      </c>
      <c r="H22" s="30"/>
    </row>
    <row r="23" spans="1:9" s="62" customFormat="1" x14ac:dyDescent="0.2">
      <c r="A23" s="67" t="s">
        <v>1142</v>
      </c>
      <c r="B23" s="67" t="s">
        <v>1143</v>
      </c>
      <c r="C23" s="67" t="s">
        <v>1144</v>
      </c>
      <c r="D23" s="68">
        <v>50</v>
      </c>
      <c r="E23" s="69">
        <v>499.84699999999998</v>
      </c>
      <c r="F23" s="69">
        <v>0.44385561912899102</v>
      </c>
      <c r="G23" s="69">
        <v>9.8352000000000004</v>
      </c>
      <c r="H23" s="69"/>
    </row>
    <row r="24" spans="1:9" x14ac:dyDescent="0.2">
      <c r="A24" s="27" t="s">
        <v>1152</v>
      </c>
      <c r="B24" s="27" t="s">
        <v>1153</v>
      </c>
      <c r="C24" s="27" t="s">
        <v>1154</v>
      </c>
      <c r="D24" s="31">
        <v>1400</v>
      </c>
      <c r="E24" s="29">
        <v>0</v>
      </c>
      <c r="F24" s="29">
        <v>0</v>
      </c>
      <c r="G24" s="29">
        <v>0</v>
      </c>
      <c r="H24" s="34"/>
    </row>
    <row r="25" spans="1:9" x14ac:dyDescent="0.2">
      <c r="A25" s="27" t="s">
        <v>1157</v>
      </c>
      <c r="B25" s="27" t="s">
        <v>1158</v>
      </c>
      <c r="C25" s="27" t="s">
        <v>1154</v>
      </c>
      <c r="D25" s="31">
        <v>688</v>
      </c>
      <c r="E25" s="29">
        <v>0</v>
      </c>
      <c r="F25" s="29">
        <v>0</v>
      </c>
      <c r="G25" s="29">
        <v>0</v>
      </c>
      <c r="H25" s="30"/>
    </row>
    <row r="26" spans="1:9" x14ac:dyDescent="0.2">
      <c r="A26" s="27" t="s">
        <v>1262</v>
      </c>
      <c r="B26" s="27" t="s">
        <v>1263</v>
      </c>
      <c r="C26" s="27" t="s">
        <v>1154</v>
      </c>
      <c r="D26" s="31">
        <v>400</v>
      </c>
      <c r="E26" s="29">
        <v>0</v>
      </c>
      <c r="F26" s="29">
        <v>0</v>
      </c>
      <c r="G26" s="29">
        <v>0</v>
      </c>
      <c r="H26" s="30"/>
    </row>
    <row r="27" spans="1:9" x14ac:dyDescent="0.2">
      <c r="A27" s="26" t="s">
        <v>35</v>
      </c>
      <c r="B27" s="26"/>
      <c r="C27" s="26"/>
      <c r="D27" s="32"/>
      <c r="E27" s="33">
        <f>SUM(E19:E26)</f>
        <v>10126.574982999999</v>
      </c>
      <c r="F27" s="34">
        <f>SUM(F19:F26)</f>
        <v>8.992226038639048</v>
      </c>
      <c r="G27" s="33"/>
      <c r="H27" s="30"/>
      <c r="I27" s="18"/>
    </row>
    <row r="28" spans="1:9" x14ac:dyDescent="0.2">
      <c r="A28" s="27"/>
      <c r="B28" s="27"/>
      <c r="C28" s="27"/>
      <c r="D28" s="28"/>
      <c r="E28" s="29"/>
      <c r="F28" s="30"/>
      <c r="G28" s="29"/>
      <c r="H28" s="30"/>
    </row>
    <row r="29" spans="1:9" x14ac:dyDescent="0.2">
      <c r="A29" s="26" t="s">
        <v>36</v>
      </c>
      <c r="B29" s="27"/>
      <c r="C29" s="27"/>
      <c r="D29" s="28"/>
      <c r="E29" s="29"/>
      <c r="F29" s="30"/>
      <c r="G29" s="29"/>
      <c r="H29" s="30"/>
    </row>
    <row r="30" spans="1:9" x14ac:dyDescent="0.2">
      <c r="A30" s="27" t="s">
        <v>1159</v>
      </c>
      <c r="B30" s="27" t="s">
        <v>1160</v>
      </c>
      <c r="C30" s="27" t="s">
        <v>1161</v>
      </c>
      <c r="D30" s="31">
        <v>830705.478</v>
      </c>
      <c r="E30" s="29">
        <v>28063.82617</v>
      </c>
      <c r="F30" s="30">
        <v>24.920199460662399</v>
      </c>
      <c r="G30" s="29">
        <v>3.1244999999999998</v>
      </c>
      <c r="H30" s="30"/>
    </row>
    <row r="31" spans="1:9" x14ac:dyDescent="0.2">
      <c r="A31" s="26" t="s">
        <v>35</v>
      </c>
      <c r="B31" s="26"/>
      <c r="C31" s="26"/>
      <c r="D31" s="32"/>
      <c r="E31" s="33">
        <f>SUM(E30:E30)</f>
        <v>28063.82617</v>
      </c>
      <c r="F31" s="34">
        <f>SUM(F30:F30)</f>
        <v>24.920199460662399</v>
      </c>
      <c r="G31" s="33"/>
      <c r="H31" s="30"/>
      <c r="I31" s="18"/>
    </row>
    <row r="32" spans="1:9" x14ac:dyDescent="0.2">
      <c r="A32" s="27"/>
      <c r="B32" s="27"/>
      <c r="C32" s="27"/>
      <c r="D32" s="28"/>
      <c r="E32" s="29"/>
      <c r="F32" s="30"/>
      <c r="G32" s="29"/>
      <c r="H32" s="30"/>
    </row>
    <row r="33" spans="1:9" x14ac:dyDescent="0.2">
      <c r="A33" s="26" t="s">
        <v>37</v>
      </c>
      <c r="B33" s="26"/>
      <c r="C33" s="26"/>
      <c r="D33" s="32"/>
      <c r="E33" s="33">
        <f>E17+E27+E31</f>
        <v>109661.120279</v>
      </c>
      <c r="F33" s="34">
        <f>F17+F27+F31</f>
        <v>97.377206296755261</v>
      </c>
      <c r="G33" s="33"/>
      <c r="H33" s="30"/>
      <c r="I33" s="18"/>
    </row>
    <row r="34" spans="1:9" x14ac:dyDescent="0.2">
      <c r="A34" s="26"/>
      <c r="B34" s="26"/>
      <c r="C34" s="26"/>
      <c r="D34" s="32"/>
      <c r="E34" s="33"/>
      <c r="F34" s="34"/>
      <c r="G34" s="33"/>
      <c r="H34" s="29"/>
      <c r="I34" s="18"/>
    </row>
    <row r="35" spans="1:9" x14ac:dyDescent="0.2">
      <c r="A35" s="26" t="s">
        <v>39</v>
      </c>
      <c r="B35" s="26"/>
      <c r="C35" s="26"/>
      <c r="D35" s="32"/>
      <c r="E35" s="33">
        <f>E37-(E17+E27+E31)</f>
        <v>2953.6531874000066</v>
      </c>
      <c r="F35" s="34">
        <f>F37-(F17+F27+F31)</f>
        <v>2.6227937032447386</v>
      </c>
      <c r="G35" s="33"/>
      <c r="H35" s="29"/>
      <c r="I35" s="18"/>
    </row>
    <row r="36" spans="1:9" x14ac:dyDescent="0.2">
      <c r="A36" s="26"/>
      <c r="B36" s="26"/>
      <c r="C36" s="26"/>
      <c r="D36" s="32"/>
      <c r="E36" s="33"/>
      <c r="F36" s="34"/>
      <c r="G36" s="33"/>
      <c r="H36" s="29"/>
      <c r="I36" s="18"/>
    </row>
    <row r="37" spans="1:9" x14ac:dyDescent="0.2">
      <c r="A37" s="35" t="s">
        <v>38</v>
      </c>
      <c r="B37" s="35"/>
      <c r="C37" s="35"/>
      <c r="D37" s="36"/>
      <c r="E37" s="37">
        <v>112614.7734664</v>
      </c>
      <c r="F37" s="38">
        <v>100</v>
      </c>
      <c r="G37" s="37"/>
      <c r="H37" s="37"/>
      <c r="I37" s="18"/>
    </row>
    <row r="38" spans="1:9" x14ac:dyDescent="0.2">
      <c r="H38" s="13"/>
    </row>
    <row r="39" spans="1:9" x14ac:dyDescent="0.2">
      <c r="A39" s="18" t="s">
        <v>40</v>
      </c>
    </row>
    <row r="40" spans="1:9" s="62" customFormat="1" x14ac:dyDescent="0.2">
      <c r="A40" s="57" t="s">
        <v>1162</v>
      </c>
      <c r="D40" s="72"/>
      <c r="E40" s="61"/>
      <c r="F40" s="60"/>
      <c r="G40" s="61"/>
    </row>
    <row r="41" spans="1:9" s="48" customFormat="1" x14ac:dyDescent="0.2">
      <c r="A41" s="47" t="s">
        <v>733</v>
      </c>
      <c r="D41" s="58"/>
      <c r="E41" s="59"/>
      <c r="F41" s="14"/>
      <c r="G41" s="59"/>
    </row>
    <row r="43" spans="1:9" x14ac:dyDescent="0.2">
      <c r="A43" s="18" t="s">
        <v>41</v>
      </c>
    </row>
    <row r="44" spans="1:9" x14ac:dyDescent="0.2">
      <c r="A44" s="18" t="s">
        <v>42</v>
      </c>
    </row>
    <row r="45" spans="1:9" x14ac:dyDescent="0.2">
      <c r="A45" s="18" t="s">
        <v>43</v>
      </c>
      <c r="B45" s="18"/>
      <c r="C45" s="39" t="s">
        <v>45</v>
      </c>
      <c r="D45" s="19" t="s">
        <v>44</v>
      </c>
    </row>
    <row r="46" spans="1:9" x14ac:dyDescent="0.2">
      <c r="A46" s="9" t="s">
        <v>70</v>
      </c>
      <c r="C46" s="40">
        <v>21.919499999999999</v>
      </c>
      <c r="D46" s="40">
        <v>23.846800000000002</v>
      </c>
    </row>
    <row r="47" spans="1:9" x14ac:dyDescent="0.2">
      <c r="A47" s="9" t="s">
        <v>76</v>
      </c>
      <c r="C47" s="40">
        <v>10.161899999999999</v>
      </c>
      <c r="D47" s="40">
        <v>11.055400000000001</v>
      </c>
    </row>
    <row r="48" spans="1:9" x14ac:dyDescent="0.2">
      <c r="A48" s="9" t="s">
        <v>73</v>
      </c>
      <c r="C48" s="40">
        <v>23.33</v>
      </c>
      <c r="D48" s="40">
        <v>25.417400000000001</v>
      </c>
    </row>
    <row r="49" spans="1:7" x14ac:dyDescent="0.2">
      <c r="A49" s="9" t="s">
        <v>77</v>
      </c>
      <c r="C49" s="40">
        <v>10.956300000000001</v>
      </c>
      <c r="D49" s="40">
        <v>11.9366</v>
      </c>
    </row>
    <row r="51" spans="1:7" x14ac:dyDescent="0.2">
      <c r="A51" s="9" t="s">
        <v>46</v>
      </c>
    </row>
    <row r="53" spans="1:7" x14ac:dyDescent="0.2">
      <c r="A53" s="18" t="s">
        <v>47</v>
      </c>
      <c r="D53" s="41" t="s">
        <v>48</v>
      </c>
    </row>
    <row r="55" spans="1:7" x14ac:dyDescent="0.2">
      <c r="A55" s="18" t="s">
        <v>816</v>
      </c>
      <c r="D55" s="42">
        <v>1.47779986852055</v>
      </c>
      <c r="E55" s="13" t="s">
        <v>49</v>
      </c>
    </row>
    <row r="57" spans="1:7" s="48" customFormat="1" x14ac:dyDescent="0.2">
      <c r="A57" s="47" t="s">
        <v>734</v>
      </c>
      <c r="D57" s="58">
        <v>2</v>
      </c>
      <c r="E57" s="59"/>
      <c r="F57" s="14"/>
      <c r="G57" s="59"/>
    </row>
    <row r="58" spans="1:7" s="48" customFormat="1" x14ac:dyDescent="0.2">
      <c r="A58" s="48" t="s">
        <v>729</v>
      </c>
      <c r="D58" s="58"/>
      <c r="E58" s="59"/>
      <c r="F58" s="14"/>
      <c r="G58" s="59"/>
    </row>
    <row r="59" spans="1:7" s="48" customFormat="1" x14ac:dyDescent="0.2">
      <c r="A59" s="70" t="s">
        <v>730</v>
      </c>
      <c r="D59" s="58"/>
      <c r="E59" s="59"/>
      <c r="F59" s="14"/>
      <c r="G59" s="59"/>
    </row>
    <row r="61" spans="1:7" ht="38.25" customHeight="1" x14ac:dyDescent="0.3">
      <c r="A61" s="84" t="s">
        <v>1264</v>
      </c>
      <c r="B61" s="85"/>
      <c r="C61" s="85"/>
      <c r="D61" s="85"/>
      <c r="E61" s="85"/>
      <c r="F61" s="85"/>
      <c r="G61" s="85"/>
    </row>
    <row r="63" spans="1:7" ht="36" customHeight="1" x14ac:dyDescent="0.3">
      <c r="A63" s="84" t="s">
        <v>1265</v>
      </c>
      <c r="B63" s="85"/>
      <c r="C63" s="85"/>
      <c r="D63" s="85"/>
      <c r="E63" s="85"/>
      <c r="F63" s="85"/>
      <c r="G63" s="85"/>
    </row>
    <row r="64" spans="1:7" x14ac:dyDescent="0.2">
      <c r="A64" s="50" t="s">
        <v>1166</v>
      </c>
    </row>
    <row r="66" spans="1:9" ht="27" customHeight="1" x14ac:dyDescent="0.3">
      <c r="A66" s="84" t="s">
        <v>1192</v>
      </c>
      <c r="B66" s="85"/>
      <c r="C66" s="85"/>
      <c r="D66" s="85"/>
      <c r="E66" s="85"/>
      <c r="F66" s="85"/>
      <c r="G66" s="85"/>
    </row>
    <row r="68" spans="1:9" x14ac:dyDescent="0.2">
      <c r="A68" s="18" t="s">
        <v>722</v>
      </c>
    </row>
    <row r="69" spans="1:9" x14ac:dyDescent="0.2">
      <c r="A69" s="50" t="s">
        <v>50</v>
      </c>
    </row>
    <row r="71" spans="1:9" x14ac:dyDescent="0.2">
      <c r="A71" s="18" t="s">
        <v>746</v>
      </c>
    </row>
    <row r="73" spans="1:9" s="1" customFormat="1" ht="13.8" x14ac:dyDescent="0.2">
      <c r="A73" s="79" t="s">
        <v>1266</v>
      </c>
      <c r="B73" s="80"/>
      <c r="C73" s="80"/>
      <c r="D73" s="80"/>
      <c r="E73" s="80"/>
      <c r="F73" s="80"/>
      <c r="G73" s="80"/>
    </row>
    <row r="74" spans="1:9" x14ac:dyDescent="0.2">
      <c r="A74" s="18" t="s">
        <v>7</v>
      </c>
    </row>
    <row r="75" spans="1:9" s="1" customFormat="1" ht="17.399999999999999" customHeight="1" x14ac:dyDescent="0.2">
      <c r="A75" s="8" t="s">
        <v>2</v>
      </c>
      <c r="B75" s="8" t="s">
        <v>0</v>
      </c>
      <c r="C75" s="17" t="s">
        <v>749</v>
      </c>
      <c r="D75" s="16" t="s">
        <v>1</v>
      </c>
      <c r="E75" s="15" t="s">
        <v>3</v>
      </c>
      <c r="F75" s="15" t="s">
        <v>4</v>
      </c>
      <c r="G75" s="15" t="s">
        <v>6</v>
      </c>
    </row>
    <row r="76" spans="1:9" x14ac:dyDescent="0.2">
      <c r="A76" s="21" t="s">
        <v>31</v>
      </c>
      <c r="B76" s="22"/>
      <c r="C76" s="22"/>
      <c r="D76" s="23"/>
      <c r="E76" s="24"/>
      <c r="F76" s="25"/>
      <c r="G76" s="24"/>
    </row>
    <row r="77" spans="1:9" x14ac:dyDescent="0.2">
      <c r="A77" s="26" t="s">
        <v>32</v>
      </c>
      <c r="B77" s="27"/>
      <c r="C77" s="27"/>
      <c r="D77" s="28"/>
      <c r="E77" s="29"/>
      <c r="F77" s="30"/>
      <c r="G77" s="29"/>
    </row>
    <row r="78" spans="1:9" x14ac:dyDescent="0.2">
      <c r="A78" s="27" t="s">
        <v>1170</v>
      </c>
      <c r="B78" s="27" t="s">
        <v>1171</v>
      </c>
      <c r="C78" s="27" t="s">
        <v>1172</v>
      </c>
      <c r="D78" s="31">
        <v>1450</v>
      </c>
      <c r="E78" s="29">
        <v>0</v>
      </c>
      <c r="F78" s="30">
        <v>100</v>
      </c>
      <c r="G78" s="29">
        <v>0</v>
      </c>
    </row>
    <row r="79" spans="1:9" x14ac:dyDescent="0.2">
      <c r="A79" s="26" t="s">
        <v>35</v>
      </c>
      <c r="B79" s="26"/>
      <c r="C79" s="26"/>
      <c r="D79" s="32"/>
      <c r="E79" s="33">
        <v>0</v>
      </c>
      <c r="F79" s="34">
        <v>100</v>
      </c>
      <c r="G79" s="33"/>
      <c r="H79" s="18"/>
      <c r="I79" s="18"/>
    </row>
    <row r="80" spans="1:9" x14ac:dyDescent="0.2">
      <c r="A80" s="27"/>
      <c r="B80" s="27"/>
      <c r="C80" s="27"/>
      <c r="D80" s="28"/>
      <c r="E80" s="29"/>
      <c r="F80" s="30"/>
      <c r="G80" s="29"/>
    </row>
    <row r="81" spans="1:9" x14ac:dyDescent="0.2">
      <c r="A81" s="26" t="s">
        <v>37</v>
      </c>
      <c r="B81" s="26"/>
      <c r="C81" s="26"/>
      <c r="D81" s="32"/>
      <c r="E81" s="33">
        <v>0</v>
      </c>
      <c r="F81" s="34">
        <v>100</v>
      </c>
      <c r="G81" s="33"/>
      <c r="H81" s="18"/>
      <c r="I81" s="18"/>
    </row>
    <row r="82" spans="1:9" x14ac:dyDescent="0.2">
      <c r="A82" s="26"/>
      <c r="B82" s="26"/>
      <c r="C82" s="26"/>
      <c r="D82" s="32"/>
      <c r="E82" s="33"/>
      <c r="F82" s="34"/>
      <c r="G82" s="33"/>
      <c r="H82" s="18"/>
      <c r="I82" s="18"/>
    </row>
    <row r="83" spans="1:9" x14ac:dyDescent="0.2">
      <c r="A83" s="26" t="s">
        <v>39</v>
      </c>
      <c r="B83" s="26"/>
      <c r="C83" s="26"/>
      <c r="D83" s="32"/>
      <c r="E83" s="33">
        <v>3.9999999999999998E-7</v>
      </c>
      <c r="F83" s="34">
        <v>0</v>
      </c>
      <c r="G83" s="33"/>
      <c r="H83" s="18"/>
      <c r="I83" s="18"/>
    </row>
    <row r="84" spans="1:9" x14ac:dyDescent="0.2">
      <c r="A84" s="26"/>
      <c r="B84" s="26"/>
      <c r="C84" s="26"/>
      <c r="D84" s="32"/>
      <c r="E84" s="33"/>
      <c r="F84" s="34"/>
      <c r="G84" s="33"/>
      <c r="H84" s="18"/>
      <c r="I84" s="18"/>
    </row>
    <row r="85" spans="1:9" x14ac:dyDescent="0.2">
      <c r="A85" s="35" t="s">
        <v>38</v>
      </c>
      <c r="B85" s="35"/>
      <c r="C85" s="35"/>
      <c r="D85" s="36"/>
      <c r="E85" s="37">
        <v>3.9999999999999998E-7</v>
      </c>
      <c r="F85" s="38">
        <v>100</v>
      </c>
      <c r="G85" s="37"/>
      <c r="H85" s="18"/>
      <c r="I85" s="18"/>
    </row>
    <row r="87" spans="1:9" x14ac:dyDescent="0.2">
      <c r="A87" s="18" t="s">
        <v>40</v>
      </c>
    </row>
    <row r="88" spans="1:9" x14ac:dyDescent="0.2">
      <c r="A88" s="47" t="s">
        <v>1162</v>
      </c>
    </row>
    <row r="89" spans="1:9" x14ac:dyDescent="0.2">
      <c r="A89" s="18" t="s">
        <v>1173</v>
      </c>
    </row>
    <row r="91" spans="1:9" x14ac:dyDescent="0.2">
      <c r="A91" s="18" t="s">
        <v>41</v>
      </c>
    </row>
    <row r="92" spans="1:9" x14ac:dyDescent="0.2">
      <c r="A92" s="18" t="s">
        <v>42</v>
      </c>
    </row>
    <row r="93" spans="1:9" x14ac:dyDescent="0.2">
      <c r="A93" s="18" t="s">
        <v>43</v>
      </c>
      <c r="B93" s="18"/>
      <c r="C93" s="39" t="s">
        <v>45</v>
      </c>
      <c r="D93" s="19" t="s">
        <v>44</v>
      </c>
    </row>
    <row r="94" spans="1:9" x14ac:dyDescent="0.2">
      <c r="A94" s="9" t="s">
        <v>70</v>
      </c>
      <c r="C94" s="40">
        <v>0</v>
      </c>
      <c r="D94" s="40">
        <v>0</v>
      </c>
    </row>
    <row r="95" spans="1:9" x14ac:dyDescent="0.2">
      <c r="A95" s="9" t="s">
        <v>76</v>
      </c>
      <c r="C95" s="40">
        <v>0</v>
      </c>
      <c r="D95" s="40">
        <v>0</v>
      </c>
    </row>
    <row r="96" spans="1:9" x14ac:dyDescent="0.2">
      <c r="A96" s="9" t="s">
        <v>73</v>
      </c>
      <c r="C96" s="40">
        <v>0</v>
      </c>
      <c r="D96" s="40">
        <v>0</v>
      </c>
    </row>
    <row r="97" spans="1:4" x14ac:dyDescent="0.2">
      <c r="A97" s="9" t="s">
        <v>77</v>
      </c>
      <c r="C97" s="40">
        <v>0</v>
      </c>
      <c r="D97" s="40">
        <v>0</v>
      </c>
    </row>
    <row r="99" spans="1:4" x14ac:dyDescent="0.2">
      <c r="A99" s="9" t="s">
        <v>46</v>
      </c>
    </row>
    <row r="101" spans="1:4" x14ac:dyDescent="0.2">
      <c r="A101" s="18" t="s">
        <v>1277</v>
      </c>
      <c r="D101" s="41" t="s">
        <v>48</v>
      </c>
    </row>
    <row r="102" spans="1:4" x14ac:dyDescent="0.2">
      <c r="A102" s="9" t="s">
        <v>729</v>
      </c>
    </row>
    <row r="103" spans="1:4" x14ac:dyDescent="0.2">
      <c r="A103" s="50" t="s">
        <v>730</v>
      </c>
    </row>
    <row r="105" spans="1:4" x14ac:dyDescent="0.2">
      <c r="A105" s="18" t="s">
        <v>1174</v>
      </c>
    </row>
    <row r="106" spans="1:4" x14ac:dyDescent="0.2">
      <c r="A106" s="50" t="s">
        <v>50</v>
      </c>
    </row>
  </sheetData>
  <mergeCells count="5">
    <mergeCell ref="A1:H1"/>
    <mergeCell ref="A61:G61"/>
    <mergeCell ref="A63:G63"/>
    <mergeCell ref="A66:G66"/>
    <mergeCell ref="A73:G73"/>
  </mergeCells>
  <conditionalFormatting sqref="F2:F3 F5:F23 F76:F77 F62 F64:F65 F74 F27:F60 F67:F72 F86:F65535">
    <cfRule type="cellIs" dxfId="36" priority="3" stopIfTrue="1" operator="between">
      <formula>0.009</formula>
      <formula>-0.009</formula>
    </cfRule>
  </conditionalFormatting>
  <conditionalFormatting sqref="F78:F85">
    <cfRule type="cellIs" dxfId="35" priority="2" stopIfTrue="1" operator="between">
      <formula>0.009</formula>
      <formula>-0.009</formula>
    </cfRule>
  </conditionalFormatting>
  <conditionalFormatting sqref="H5:H33">
    <cfRule type="cellIs" dxfId="34" priority="1" stopIfTrue="1" operator="between">
      <formula>0.009</formula>
      <formula>-0.009</formula>
    </cfRule>
  </conditionalFormatting>
  <hyperlinks>
    <hyperlink ref="A64" r:id="rId1" tooltip="https://www.franklintempletonindia.com/downloadsServlet/pdf/fair-valuation-reliance-big-reliance-infra-november-4-2020-kgox4tfq" xr:uid="{00000000-0004-0000-1900-000000000000}"/>
    <hyperlink ref="A69" r:id="rId2" tooltip="https://www.franklintempletonindia.com/downloadsServlet/pdf/product-labels-jg9o5k7l" xr:uid="{00000000-0004-0000-1900-000001000000}"/>
    <hyperlink ref="A59" r:id="rId3" xr:uid="{00000000-0004-0000-1900-000002000000}"/>
    <hyperlink ref="A103" r:id="rId4" xr:uid="{00000000-0004-0000-1900-000003000000}"/>
    <hyperlink ref="A106" r:id="rId5" tooltip="https://www.franklintempletonindia.com/downloadsServlet/pdf/product-labels-jg9o5k7l" xr:uid="{00000000-0004-0000-1900-000004000000}"/>
  </hyperlinks>
  <pageMargins left="0.7" right="0.7" top="0.75" bottom="0.75" header="0.3" footer="0.3"/>
  <pageSetup paperSize="9" orientation="portrait" r:id="rId6"/>
  <headerFooter>
    <oddFooter>&amp;C&amp;1#&amp;"Calibri"&amp;10&amp;K000000PUBLIC</oddFooter>
    <evenFooter>&amp;LPUBLIC</evenFooter>
    <firstFooter>&amp;LPUBLIC</first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147"/>
  <sheetViews>
    <sheetView workbookViewId="0">
      <selection activeCell="A29" sqref="A29"/>
    </sheetView>
  </sheetViews>
  <sheetFormatPr defaultColWidth="9.109375" defaultRowHeight="10.199999999999999" x14ac:dyDescent="0.2"/>
  <cols>
    <col min="1" max="1" width="38.6640625" style="9" bestFit="1" customWidth="1"/>
    <col min="2" max="2" width="69.109375" style="9" bestFit="1" customWidth="1"/>
    <col min="3" max="3" width="15.332031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8" s="1" customFormat="1" ht="15" customHeight="1" x14ac:dyDescent="0.2">
      <c r="A1" s="79" t="s">
        <v>1267</v>
      </c>
      <c r="B1" s="80"/>
      <c r="C1" s="80"/>
      <c r="D1" s="80"/>
      <c r="E1" s="80"/>
      <c r="F1" s="80"/>
      <c r="G1" s="80"/>
      <c r="H1" s="80"/>
    </row>
    <row r="2" spans="1:8" s="1" customFormat="1" ht="12" x14ac:dyDescent="0.25">
      <c r="A2" s="66" t="s">
        <v>1114</v>
      </c>
      <c r="D2" s="6"/>
      <c r="E2" s="7"/>
      <c r="F2" s="12"/>
      <c r="G2" s="13"/>
    </row>
    <row r="3" spans="1:8" s="1" customFormat="1" ht="12" x14ac:dyDescent="0.2">
      <c r="A3" s="11" t="s">
        <v>7</v>
      </c>
      <c r="B3" s="2"/>
      <c r="C3" s="3"/>
      <c r="D3" s="4"/>
      <c r="E3" s="5"/>
      <c r="F3" s="12"/>
      <c r="G3" s="13"/>
    </row>
    <row r="4" spans="1:8" s="1" customFormat="1" ht="17.399999999999999" customHeight="1" x14ac:dyDescent="0.2">
      <c r="A4" s="8" t="s">
        <v>2</v>
      </c>
      <c r="B4" s="8" t="s">
        <v>0</v>
      </c>
      <c r="C4" s="17" t="s">
        <v>749</v>
      </c>
      <c r="D4" s="16" t="s">
        <v>1</v>
      </c>
      <c r="E4" s="15" t="s">
        <v>3</v>
      </c>
      <c r="F4" s="15" t="s">
        <v>4</v>
      </c>
      <c r="G4" s="15" t="s">
        <v>6</v>
      </c>
      <c r="H4" s="15" t="s">
        <v>1195</v>
      </c>
    </row>
    <row r="5" spans="1:8" x14ac:dyDescent="0.2">
      <c r="A5" s="21" t="s">
        <v>31</v>
      </c>
      <c r="B5" s="22"/>
      <c r="C5" s="22"/>
      <c r="D5" s="23"/>
      <c r="E5" s="24"/>
      <c r="F5" s="25"/>
      <c r="G5" s="24"/>
      <c r="H5" s="25"/>
    </row>
    <row r="6" spans="1:8" x14ac:dyDescent="0.2">
      <c r="A6" s="26" t="s">
        <v>32</v>
      </c>
      <c r="B6" s="27"/>
      <c r="C6" s="27"/>
      <c r="D6" s="28"/>
      <c r="E6" s="29"/>
      <c r="F6" s="30"/>
      <c r="G6" s="29"/>
      <c r="H6" s="30"/>
    </row>
    <row r="7" spans="1:8" x14ac:dyDescent="0.2">
      <c r="A7" s="27" t="s">
        <v>950</v>
      </c>
      <c r="B7" s="27" t="s">
        <v>951</v>
      </c>
      <c r="C7" s="27" t="s">
        <v>952</v>
      </c>
      <c r="D7" s="31">
        <v>3727</v>
      </c>
      <c r="E7" s="29">
        <v>37894.610910000003</v>
      </c>
      <c r="F7" s="30">
        <v>24.9039523757999</v>
      </c>
      <c r="G7" s="29">
        <v>10</v>
      </c>
      <c r="H7" s="30"/>
    </row>
    <row r="8" spans="1:8" x14ac:dyDescent="0.2">
      <c r="A8" s="27" t="s">
        <v>1203</v>
      </c>
      <c r="B8" s="27" t="s">
        <v>1204</v>
      </c>
      <c r="C8" s="27" t="s">
        <v>1119</v>
      </c>
      <c r="D8" s="31">
        <v>10140</v>
      </c>
      <c r="E8" s="29">
        <v>21584.977439999999</v>
      </c>
      <c r="F8" s="30">
        <v>14.1854273547013</v>
      </c>
      <c r="G8" s="29">
        <v>8.9350000000000005</v>
      </c>
      <c r="H8" s="30"/>
    </row>
    <row r="9" spans="1:8" x14ac:dyDescent="0.2">
      <c r="A9" s="27" t="s">
        <v>1126</v>
      </c>
      <c r="B9" s="27" t="s">
        <v>1127</v>
      </c>
      <c r="C9" s="27" t="s">
        <v>1119</v>
      </c>
      <c r="D9" s="31">
        <v>4506</v>
      </c>
      <c r="E9" s="29">
        <v>9606.2963400000008</v>
      </c>
      <c r="F9" s="30">
        <v>6.3131601252580598</v>
      </c>
      <c r="G9" s="29">
        <v>9.1399000000000008</v>
      </c>
      <c r="H9" s="30"/>
    </row>
    <row r="10" spans="1:8" x14ac:dyDescent="0.2">
      <c r="A10" s="27" t="s">
        <v>1260</v>
      </c>
      <c r="B10" s="27" t="s">
        <v>1261</v>
      </c>
      <c r="C10" s="27" t="s">
        <v>33</v>
      </c>
      <c r="D10" s="31">
        <v>850</v>
      </c>
      <c r="E10" s="29">
        <v>8264.9495000000006</v>
      </c>
      <c r="F10" s="30">
        <v>5.4316406421282197</v>
      </c>
      <c r="G10" s="29">
        <v>10.2349</v>
      </c>
      <c r="H10" s="30"/>
    </row>
    <row r="11" spans="1:8" x14ac:dyDescent="0.2">
      <c r="A11" s="27" t="s">
        <v>1117</v>
      </c>
      <c r="B11" s="27" t="s">
        <v>1118</v>
      </c>
      <c r="C11" s="27" t="s">
        <v>1119</v>
      </c>
      <c r="D11" s="31">
        <v>606</v>
      </c>
      <c r="E11" s="29">
        <v>6168.3891599999997</v>
      </c>
      <c r="F11" s="30">
        <v>4.0538025378036702</v>
      </c>
      <c r="G11" s="29">
        <v>8.8072999999999997</v>
      </c>
      <c r="H11" s="30"/>
    </row>
    <row r="12" spans="1:8" x14ac:dyDescent="0.2">
      <c r="A12" s="27" t="s">
        <v>1133</v>
      </c>
      <c r="B12" s="27" t="s">
        <v>1134</v>
      </c>
      <c r="C12" s="27" t="s">
        <v>1119</v>
      </c>
      <c r="D12" s="31">
        <v>550</v>
      </c>
      <c r="E12" s="29">
        <v>5568.4859999999999</v>
      </c>
      <c r="F12" s="30">
        <v>3.6595522903947599</v>
      </c>
      <c r="G12" s="29">
        <v>8.5973000000000006</v>
      </c>
      <c r="H12" s="30"/>
    </row>
    <row r="13" spans="1:8" x14ac:dyDescent="0.2">
      <c r="A13" s="27" t="s">
        <v>1120</v>
      </c>
      <c r="B13" s="27" t="s">
        <v>1121</v>
      </c>
      <c r="C13" s="27" t="s">
        <v>1122</v>
      </c>
      <c r="D13" s="31">
        <v>550</v>
      </c>
      <c r="E13" s="29">
        <v>5403.2605000000003</v>
      </c>
      <c r="F13" s="30">
        <v>3.55096777443178</v>
      </c>
      <c r="G13" s="29">
        <v>14.819100000000001</v>
      </c>
      <c r="H13" s="30"/>
    </row>
    <row r="14" spans="1:8" x14ac:dyDescent="0.2">
      <c r="A14" s="27" t="s">
        <v>1128</v>
      </c>
      <c r="B14" s="27" t="s">
        <v>1129</v>
      </c>
      <c r="C14" s="27" t="s">
        <v>33</v>
      </c>
      <c r="D14" s="31">
        <v>550</v>
      </c>
      <c r="E14" s="29">
        <v>5388.3280000000004</v>
      </c>
      <c r="F14" s="30">
        <v>3.5411542875026001</v>
      </c>
      <c r="G14" s="29">
        <v>10.1595</v>
      </c>
      <c r="H14" s="30"/>
    </row>
    <row r="15" spans="1:8" x14ac:dyDescent="0.2">
      <c r="A15" s="27" t="s">
        <v>1130</v>
      </c>
      <c r="B15" s="27" t="s">
        <v>1131</v>
      </c>
      <c r="C15" s="27" t="s">
        <v>1132</v>
      </c>
      <c r="D15" s="31">
        <v>550</v>
      </c>
      <c r="E15" s="29">
        <v>4951.5895</v>
      </c>
      <c r="F15" s="30">
        <v>3.2541341929960201</v>
      </c>
      <c r="G15" s="29">
        <v>20.763999999999999</v>
      </c>
      <c r="H15" s="30"/>
    </row>
    <row r="16" spans="1:8" x14ac:dyDescent="0.2">
      <c r="A16" s="27" t="s">
        <v>1137</v>
      </c>
      <c r="B16" s="27" t="s">
        <v>1131</v>
      </c>
      <c r="C16" s="27" t="s">
        <v>1132</v>
      </c>
      <c r="D16" s="31">
        <v>380</v>
      </c>
      <c r="E16" s="29">
        <v>3419.0082000000002</v>
      </c>
      <c r="F16" s="30">
        <v>2.2469373702633799</v>
      </c>
      <c r="G16" s="29">
        <v>20.838000000000001</v>
      </c>
      <c r="H16" s="30"/>
    </row>
    <row r="17" spans="1:9" x14ac:dyDescent="0.2">
      <c r="A17" s="27" t="s">
        <v>1184</v>
      </c>
      <c r="B17" s="27" t="s">
        <v>1185</v>
      </c>
      <c r="C17" s="27" t="s">
        <v>1009</v>
      </c>
      <c r="D17" s="31">
        <v>270</v>
      </c>
      <c r="E17" s="29">
        <v>2706.8607000000002</v>
      </c>
      <c r="F17" s="30">
        <v>1.7789212856896</v>
      </c>
      <c r="G17" s="29">
        <v>6.33</v>
      </c>
      <c r="H17" s="30"/>
    </row>
    <row r="18" spans="1:9" x14ac:dyDescent="0.2">
      <c r="A18" s="27" t="s">
        <v>1140</v>
      </c>
      <c r="B18" s="27" t="s">
        <v>1141</v>
      </c>
      <c r="C18" s="27" t="s">
        <v>1119</v>
      </c>
      <c r="D18" s="31">
        <v>351</v>
      </c>
      <c r="E18" s="29">
        <v>2652.0752699999998</v>
      </c>
      <c r="F18" s="30">
        <v>1.7429168590219699</v>
      </c>
      <c r="G18" s="29">
        <v>7.8470000000000004</v>
      </c>
      <c r="H18" s="30"/>
    </row>
    <row r="19" spans="1:9" x14ac:dyDescent="0.2">
      <c r="A19" s="27" t="s">
        <v>1138</v>
      </c>
      <c r="B19" s="27" t="s">
        <v>1139</v>
      </c>
      <c r="C19" s="27" t="s">
        <v>33</v>
      </c>
      <c r="D19" s="31">
        <v>248</v>
      </c>
      <c r="E19" s="29">
        <v>2569.6048799999999</v>
      </c>
      <c r="F19" s="30">
        <v>1.6887181585827</v>
      </c>
      <c r="G19" s="29">
        <v>10.2349</v>
      </c>
      <c r="H19" s="30"/>
    </row>
    <row r="20" spans="1:9" x14ac:dyDescent="0.2">
      <c r="A20" s="27" t="s">
        <v>1186</v>
      </c>
      <c r="B20" s="27" t="s">
        <v>1187</v>
      </c>
      <c r="C20" s="27" t="s">
        <v>1119</v>
      </c>
      <c r="D20" s="31">
        <v>350</v>
      </c>
      <c r="E20" s="29">
        <v>1757.021</v>
      </c>
      <c r="F20" s="30">
        <v>1.15469630790518</v>
      </c>
      <c r="G20" s="29">
        <v>7.6418999999999997</v>
      </c>
      <c r="H20" s="30"/>
    </row>
    <row r="21" spans="1:9" s="62" customFormat="1" x14ac:dyDescent="0.2">
      <c r="A21" s="67" t="s">
        <v>1123</v>
      </c>
      <c r="B21" s="67" t="s">
        <v>1268</v>
      </c>
      <c r="C21" s="67" t="s">
        <v>1125</v>
      </c>
      <c r="D21" s="68">
        <v>85</v>
      </c>
      <c r="E21" s="69">
        <v>850</v>
      </c>
      <c r="F21" s="69">
        <v>0.55861134370016197</v>
      </c>
      <c r="G21" s="69">
        <v>7.76</v>
      </c>
      <c r="H21" s="69"/>
    </row>
    <row r="22" spans="1:9" x14ac:dyDescent="0.2">
      <c r="A22" s="27" t="s">
        <v>1079</v>
      </c>
      <c r="B22" s="27" t="s">
        <v>1080</v>
      </c>
      <c r="C22" s="27" t="s">
        <v>928</v>
      </c>
      <c r="D22" s="31">
        <v>74</v>
      </c>
      <c r="E22" s="29">
        <v>745.70983999999999</v>
      </c>
      <c r="F22" s="30">
        <v>0.49007291262686298</v>
      </c>
      <c r="G22" s="29">
        <v>3.9049999999999998</v>
      </c>
      <c r="H22" s="30"/>
    </row>
    <row r="23" spans="1:9" x14ac:dyDescent="0.2">
      <c r="A23" s="27" t="s">
        <v>1254</v>
      </c>
      <c r="B23" s="27" t="s">
        <v>1255</v>
      </c>
      <c r="C23" s="27" t="s">
        <v>1122</v>
      </c>
      <c r="D23" s="31">
        <v>400</v>
      </c>
      <c r="E23" s="29">
        <v>398.8236</v>
      </c>
      <c r="F23" s="30">
        <v>0.26210280834745397</v>
      </c>
      <c r="G23" s="29">
        <v>10.1562</v>
      </c>
      <c r="H23" s="30">
        <v>10.309257000900001</v>
      </c>
    </row>
    <row r="24" spans="1:9" x14ac:dyDescent="0.2">
      <c r="A24" s="26" t="s">
        <v>35</v>
      </c>
      <c r="B24" s="26"/>
      <c r="C24" s="26"/>
      <c r="D24" s="32"/>
      <c r="E24" s="33">
        <f>SUM(E6:E23)</f>
        <v>119929.99084000001</v>
      </c>
      <c r="F24" s="34">
        <f>SUM(F6:F23)</f>
        <v>78.816768627153621</v>
      </c>
      <c r="G24" s="33"/>
      <c r="H24" s="34"/>
      <c r="I24" s="18"/>
    </row>
    <row r="25" spans="1:9" x14ac:dyDescent="0.2">
      <c r="A25" s="27"/>
      <c r="B25" s="27"/>
      <c r="C25" s="27"/>
      <c r="D25" s="28"/>
      <c r="E25" s="29"/>
      <c r="F25" s="30"/>
      <c r="G25" s="29"/>
      <c r="H25" s="30"/>
    </row>
    <row r="26" spans="1:9" x14ac:dyDescent="0.2">
      <c r="A26" s="26" t="s">
        <v>1075</v>
      </c>
      <c r="B26" s="27"/>
      <c r="C26" s="27"/>
      <c r="D26" s="28"/>
      <c r="E26" s="29"/>
      <c r="F26" s="30"/>
      <c r="G26" s="29"/>
      <c r="H26" s="30"/>
    </row>
    <row r="27" spans="1:9" x14ac:dyDescent="0.2">
      <c r="A27" s="27" t="s">
        <v>1145</v>
      </c>
      <c r="B27" s="27" t="s">
        <v>1146</v>
      </c>
      <c r="C27" s="27" t="s">
        <v>1147</v>
      </c>
      <c r="D27" s="31">
        <v>580</v>
      </c>
      <c r="E27" s="29">
        <v>5148.4489380000005</v>
      </c>
      <c r="F27" s="30">
        <v>3.3835082108562999</v>
      </c>
      <c r="G27" s="29">
        <v>11.22</v>
      </c>
      <c r="H27" s="30"/>
    </row>
    <row r="28" spans="1:9" s="62" customFormat="1" x14ac:dyDescent="0.2">
      <c r="A28" s="67" t="s">
        <v>1142</v>
      </c>
      <c r="B28" s="67" t="s">
        <v>1269</v>
      </c>
      <c r="C28" s="67" t="s">
        <v>1144</v>
      </c>
      <c r="D28" s="68">
        <v>200</v>
      </c>
      <c r="E28" s="69">
        <v>1999.3879999999999</v>
      </c>
      <c r="F28" s="69">
        <v>1.31397743206821</v>
      </c>
      <c r="G28" s="69">
        <v>9.8352000000000004</v>
      </c>
      <c r="H28" s="69"/>
    </row>
    <row r="29" spans="1:9" x14ac:dyDescent="0.2">
      <c r="A29" s="27" t="s">
        <v>1150</v>
      </c>
      <c r="B29" s="27" t="s">
        <v>1151</v>
      </c>
      <c r="C29" s="27" t="s">
        <v>1147</v>
      </c>
      <c r="D29" s="31">
        <v>130</v>
      </c>
      <c r="E29" s="29">
        <v>1135.9645350000001</v>
      </c>
      <c r="F29" s="30">
        <v>0.74654432387303504</v>
      </c>
      <c r="G29" s="29">
        <v>10.762700000000001</v>
      </c>
      <c r="H29" s="30"/>
    </row>
    <row r="30" spans="1:9" x14ac:dyDescent="0.2">
      <c r="A30" s="27" t="s">
        <v>1270</v>
      </c>
      <c r="B30" s="27" t="s">
        <v>1271</v>
      </c>
      <c r="C30" s="27" t="s">
        <v>1154</v>
      </c>
      <c r="D30" s="31">
        <v>750</v>
      </c>
      <c r="E30" s="29">
        <v>0</v>
      </c>
      <c r="F30" s="29">
        <v>0</v>
      </c>
      <c r="G30" s="29">
        <v>0</v>
      </c>
      <c r="H30" s="30"/>
    </row>
    <row r="31" spans="1:9" x14ac:dyDescent="0.2">
      <c r="A31" s="27" t="s">
        <v>1220</v>
      </c>
      <c r="B31" s="27" t="s">
        <v>1221</v>
      </c>
      <c r="C31" s="27" t="s">
        <v>1154</v>
      </c>
      <c r="D31" s="31">
        <v>150</v>
      </c>
      <c r="E31" s="29">
        <v>0</v>
      </c>
      <c r="F31" s="29">
        <v>0</v>
      </c>
      <c r="G31" s="29">
        <v>0</v>
      </c>
      <c r="H31" s="30"/>
    </row>
    <row r="32" spans="1:9" x14ac:dyDescent="0.2">
      <c r="A32" s="26" t="s">
        <v>35</v>
      </c>
      <c r="B32" s="26"/>
      <c r="C32" s="26"/>
      <c r="D32" s="32"/>
      <c r="E32" s="33">
        <f>SUM(E26:E31)</f>
        <v>8283.8014729999995</v>
      </c>
      <c r="F32" s="34">
        <f>SUM(F26:F31)</f>
        <v>5.4440299667975456</v>
      </c>
      <c r="G32" s="33"/>
      <c r="H32" s="30"/>
      <c r="I32" s="18"/>
    </row>
    <row r="33" spans="1:9" x14ac:dyDescent="0.2">
      <c r="A33" s="27"/>
      <c r="B33" s="27"/>
      <c r="C33" s="27"/>
      <c r="D33" s="28"/>
      <c r="E33" s="29"/>
      <c r="F33" s="30"/>
      <c r="G33" s="29"/>
      <c r="H33" s="30"/>
    </row>
    <row r="34" spans="1:9" x14ac:dyDescent="0.2">
      <c r="A34" s="26" t="s">
        <v>36</v>
      </c>
      <c r="B34" s="27"/>
      <c r="C34" s="27"/>
      <c r="D34" s="28"/>
      <c r="E34" s="29"/>
      <c r="F34" s="30"/>
      <c r="G34" s="29"/>
      <c r="H34" s="29"/>
    </row>
    <row r="35" spans="1:9" x14ac:dyDescent="0.2">
      <c r="A35" s="27" t="s">
        <v>1159</v>
      </c>
      <c r="B35" s="27" t="s">
        <v>1160</v>
      </c>
      <c r="C35" s="27" t="s">
        <v>1161</v>
      </c>
      <c r="D35" s="31">
        <v>641854.94999999995</v>
      </c>
      <c r="E35" s="29">
        <v>21683.86537</v>
      </c>
      <c r="F35" s="30">
        <v>14.2504154952343</v>
      </c>
      <c r="G35" s="29">
        <v>3.1244999999999998</v>
      </c>
      <c r="H35" s="29"/>
    </row>
    <row r="36" spans="1:9" x14ac:dyDescent="0.2">
      <c r="A36" s="26" t="s">
        <v>35</v>
      </c>
      <c r="B36" s="26"/>
      <c r="C36" s="26"/>
      <c r="D36" s="32"/>
      <c r="E36" s="33">
        <f>SUM(E35:E35)</f>
        <v>21683.86537</v>
      </c>
      <c r="F36" s="34">
        <f>SUM(F35:F35)</f>
        <v>14.2504154952343</v>
      </c>
      <c r="G36" s="33"/>
      <c r="H36" s="29"/>
      <c r="I36" s="18"/>
    </row>
    <row r="37" spans="1:9" x14ac:dyDescent="0.2">
      <c r="A37" s="27"/>
      <c r="B37" s="27"/>
      <c r="C37" s="27"/>
      <c r="D37" s="28"/>
      <c r="E37" s="29"/>
      <c r="F37" s="30"/>
      <c r="G37" s="29"/>
      <c r="H37" s="29"/>
    </row>
    <row r="38" spans="1:9" x14ac:dyDescent="0.2">
      <c r="A38" s="26" t="s">
        <v>37</v>
      </c>
      <c r="B38" s="26"/>
      <c r="C38" s="26"/>
      <c r="D38" s="32"/>
      <c r="E38" s="33">
        <f>E24+E32+E36</f>
        <v>149897.65768300003</v>
      </c>
      <c r="F38" s="34">
        <f>F24+F32+F36</f>
        <v>98.511214089185472</v>
      </c>
      <c r="G38" s="33"/>
      <c r="H38" s="29"/>
      <c r="I38" s="18"/>
    </row>
    <row r="39" spans="1:9" x14ac:dyDescent="0.2">
      <c r="A39" s="26"/>
      <c r="B39" s="26"/>
      <c r="C39" s="26"/>
      <c r="D39" s="32"/>
      <c r="E39" s="33"/>
      <c r="F39" s="34"/>
      <c r="G39" s="33"/>
      <c r="H39" s="29"/>
      <c r="I39" s="18"/>
    </row>
    <row r="40" spans="1:9" x14ac:dyDescent="0.2">
      <c r="A40" s="26" t="s">
        <v>39</v>
      </c>
      <c r="B40" s="26"/>
      <c r="C40" s="26"/>
      <c r="D40" s="32"/>
      <c r="E40" s="33">
        <f>E42-(E24+E32+E36)</f>
        <v>2265.3818946999672</v>
      </c>
      <c r="F40" s="34">
        <f>F42-(F24+F32+F36)</f>
        <v>1.4887859108145278</v>
      </c>
      <c r="G40" s="33"/>
      <c r="H40" s="29"/>
      <c r="I40" s="18"/>
    </row>
    <row r="41" spans="1:9" x14ac:dyDescent="0.2">
      <c r="A41" s="26"/>
      <c r="B41" s="26"/>
      <c r="C41" s="26"/>
      <c r="D41" s="32"/>
      <c r="E41" s="33"/>
      <c r="F41" s="34"/>
      <c r="G41" s="33"/>
      <c r="H41" s="29"/>
      <c r="I41" s="18"/>
    </row>
    <row r="42" spans="1:9" x14ac:dyDescent="0.2">
      <c r="A42" s="35" t="s">
        <v>38</v>
      </c>
      <c r="B42" s="35"/>
      <c r="C42" s="35"/>
      <c r="D42" s="36"/>
      <c r="E42" s="37">
        <v>152163.03957769999</v>
      </c>
      <c r="F42" s="38">
        <v>100</v>
      </c>
      <c r="G42" s="37"/>
      <c r="H42" s="29"/>
      <c r="I42" s="18"/>
    </row>
    <row r="43" spans="1:9" x14ac:dyDescent="0.2">
      <c r="H43" s="29"/>
    </row>
    <row r="44" spans="1:9" x14ac:dyDescent="0.2">
      <c r="A44" s="18" t="s">
        <v>40</v>
      </c>
      <c r="H44" s="37"/>
    </row>
    <row r="45" spans="1:9" x14ac:dyDescent="0.2">
      <c r="A45" s="47" t="s">
        <v>1162</v>
      </c>
    </row>
    <row r="46" spans="1:9" s="48" customFormat="1" x14ac:dyDescent="0.2">
      <c r="A46" s="47" t="s">
        <v>733</v>
      </c>
      <c r="D46" s="58"/>
      <c r="E46" s="59"/>
      <c r="F46" s="14"/>
      <c r="G46" s="59"/>
    </row>
    <row r="48" spans="1:9" x14ac:dyDescent="0.2">
      <c r="A48" s="18" t="s">
        <v>41</v>
      </c>
    </row>
    <row r="49" spans="1:7" x14ac:dyDescent="0.2">
      <c r="A49" s="18" t="s">
        <v>42</v>
      </c>
    </row>
    <row r="50" spans="1:7" x14ac:dyDescent="0.2">
      <c r="A50" s="18" t="s">
        <v>43</v>
      </c>
      <c r="B50" s="18"/>
      <c r="C50" s="39" t="s">
        <v>45</v>
      </c>
      <c r="D50" s="19" t="s">
        <v>44</v>
      </c>
    </row>
    <row r="51" spans="1:7" x14ac:dyDescent="0.2">
      <c r="A51" s="9" t="s">
        <v>70</v>
      </c>
      <c r="C51" s="40">
        <v>19.903400000000001</v>
      </c>
      <c r="D51" s="40">
        <v>21.2196</v>
      </c>
    </row>
    <row r="52" spans="1:7" x14ac:dyDescent="0.2">
      <c r="A52" s="9" t="s">
        <v>76</v>
      </c>
      <c r="C52" s="40">
        <v>10.673299999999999</v>
      </c>
      <c r="D52" s="40">
        <v>11.379099999999999</v>
      </c>
    </row>
    <row r="53" spans="1:7" x14ac:dyDescent="0.2">
      <c r="A53" s="9" t="s">
        <v>73</v>
      </c>
      <c r="C53" s="40">
        <v>21.175799999999999</v>
      </c>
      <c r="D53" s="40">
        <v>22.603300000000001</v>
      </c>
    </row>
    <row r="54" spans="1:7" x14ac:dyDescent="0.2">
      <c r="A54" s="9" t="s">
        <v>77</v>
      </c>
      <c r="C54" s="40">
        <v>11.605</v>
      </c>
      <c r="D54" s="40">
        <v>12.3874</v>
      </c>
    </row>
    <row r="56" spans="1:7" x14ac:dyDescent="0.2">
      <c r="A56" s="9" t="s">
        <v>46</v>
      </c>
    </row>
    <row r="58" spans="1:7" x14ac:dyDescent="0.2">
      <c r="A58" s="18" t="s">
        <v>47</v>
      </c>
      <c r="D58" s="41" t="s">
        <v>48</v>
      </c>
    </row>
    <row r="60" spans="1:7" x14ac:dyDescent="0.2">
      <c r="A60" s="18" t="s">
        <v>816</v>
      </c>
      <c r="D60" s="42">
        <v>2.60760677243836</v>
      </c>
      <c r="E60" s="13" t="s">
        <v>49</v>
      </c>
    </row>
    <row r="62" spans="1:7" s="48" customFormat="1" x14ac:dyDescent="0.2">
      <c r="A62" s="47" t="s">
        <v>734</v>
      </c>
      <c r="D62" s="58">
        <v>2</v>
      </c>
      <c r="E62" s="59"/>
      <c r="F62" s="14"/>
      <c r="G62" s="59"/>
    </row>
    <row r="63" spans="1:7" s="48" customFormat="1" x14ac:dyDescent="0.2">
      <c r="A63" s="48" t="s">
        <v>729</v>
      </c>
      <c r="D63" s="58"/>
      <c r="E63" s="59"/>
      <c r="F63" s="14"/>
      <c r="G63" s="59"/>
    </row>
    <row r="64" spans="1:7" s="48" customFormat="1" x14ac:dyDescent="0.2">
      <c r="A64" s="70" t="s">
        <v>730</v>
      </c>
      <c r="D64" s="58"/>
      <c r="E64" s="59"/>
      <c r="F64" s="14"/>
      <c r="G64" s="59"/>
    </row>
    <row r="66" spans="1:7" ht="24.75" customHeight="1" x14ac:dyDescent="0.3">
      <c r="A66" s="84" t="s">
        <v>1272</v>
      </c>
      <c r="B66" s="85"/>
      <c r="C66" s="85"/>
      <c r="D66" s="85"/>
      <c r="E66" s="85"/>
      <c r="F66" s="85"/>
      <c r="G66" s="85"/>
    </row>
    <row r="68" spans="1:7" ht="36.75" customHeight="1" x14ac:dyDescent="0.3">
      <c r="A68" s="84" t="s">
        <v>1273</v>
      </c>
      <c r="B68" s="85"/>
      <c r="C68" s="85"/>
      <c r="D68" s="85"/>
      <c r="E68" s="85"/>
      <c r="F68" s="85"/>
      <c r="G68" s="85"/>
    </row>
    <row r="70" spans="1:7" ht="37.5" customHeight="1" x14ac:dyDescent="0.3">
      <c r="A70" s="84" t="s">
        <v>1274</v>
      </c>
      <c r="B70" s="85"/>
      <c r="C70" s="85"/>
      <c r="D70" s="85"/>
      <c r="E70" s="85"/>
      <c r="F70" s="85"/>
      <c r="G70" s="85"/>
    </row>
    <row r="71" spans="1:7" x14ac:dyDescent="0.2">
      <c r="A71" s="50" t="s">
        <v>1166</v>
      </c>
    </row>
    <row r="73" spans="1:7" ht="25.5" customHeight="1" x14ac:dyDescent="0.3">
      <c r="A73" s="84" t="s">
        <v>1167</v>
      </c>
      <c r="B73" s="85"/>
      <c r="C73" s="85"/>
      <c r="D73" s="85"/>
      <c r="E73" s="85"/>
      <c r="F73" s="85"/>
      <c r="G73" s="85"/>
    </row>
    <row r="75" spans="1:7" x14ac:dyDescent="0.2">
      <c r="A75" s="18" t="s">
        <v>1168</v>
      </c>
    </row>
    <row r="76" spans="1:7" x14ac:dyDescent="0.2">
      <c r="A76" s="50" t="s">
        <v>50</v>
      </c>
    </row>
    <row r="78" spans="1:7" x14ac:dyDescent="0.2">
      <c r="A78" s="18" t="s">
        <v>746</v>
      </c>
    </row>
    <row r="80" spans="1:7" s="1" customFormat="1" ht="13.8" x14ac:dyDescent="0.2">
      <c r="A80" s="79" t="s">
        <v>1275</v>
      </c>
      <c r="B80" s="80"/>
      <c r="C80" s="80"/>
      <c r="D80" s="80"/>
      <c r="E80" s="80"/>
      <c r="F80" s="80"/>
      <c r="G80" s="80"/>
    </row>
    <row r="81" spans="1:9" x14ac:dyDescent="0.2">
      <c r="A81" s="18" t="s">
        <v>7</v>
      </c>
    </row>
    <row r="82" spans="1:9" s="1" customFormat="1" ht="17.399999999999999" customHeight="1" x14ac:dyDescent="0.2">
      <c r="A82" s="8" t="s">
        <v>2</v>
      </c>
      <c r="B82" s="8" t="s">
        <v>0</v>
      </c>
      <c r="C82" s="17" t="s">
        <v>749</v>
      </c>
      <c r="D82" s="16" t="s">
        <v>1</v>
      </c>
      <c r="E82" s="15" t="s">
        <v>3</v>
      </c>
      <c r="F82" s="15" t="s">
        <v>4</v>
      </c>
      <c r="G82" s="15" t="s">
        <v>6</v>
      </c>
    </row>
    <row r="83" spans="1:9" x14ac:dyDescent="0.2">
      <c r="A83" s="21" t="s">
        <v>31</v>
      </c>
      <c r="B83" s="22"/>
      <c r="C83" s="22"/>
      <c r="D83" s="23"/>
      <c r="E83" s="24"/>
      <c r="F83" s="25"/>
      <c r="G83" s="24"/>
    </row>
    <row r="84" spans="1:9" x14ac:dyDescent="0.2">
      <c r="A84" s="26" t="s">
        <v>32</v>
      </c>
      <c r="B84" s="27"/>
      <c r="C84" s="27"/>
      <c r="D84" s="28"/>
      <c r="E84" s="29"/>
      <c r="F84" s="30"/>
      <c r="G84" s="29"/>
    </row>
    <row r="85" spans="1:9" x14ac:dyDescent="0.2">
      <c r="A85" s="27" t="s">
        <v>1170</v>
      </c>
      <c r="B85" s="27" t="s">
        <v>1171</v>
      </c>
      <c r="C85" s="27" t="s">
        <v>1172</v>
      </c>
      <c r="D85" s="31">
        <v>3370</v>
      </c>
      <c r="E85" s="29">
        <v>0</v>
      </c>
      <c r="F85" s="73">
        <v>100</v>
      </c>
      <c r="G85" s="29">
        <v>0</v>
      </c>
    </row>
    <row r="86" spans="1:9" x14ac:dyDescent="0.2">
      <c r="A86" s="26" t="s">
        <v>35</v>
      </c>
      <c r="B86" s="26"/>
      <c r="C86" s="26"/>
      <c r="D86" s="32"/>
      <c r="E86" s="33">
        <f>SUM(E84:E85)</f>
        <v>0</v>
      </c>
      <c r="F86" s="74">
        <f>SUM(F84:F85)</f>
        <v>100</v>
      </c>
      <c r="G86" s="33"/>
      <c r="H86" s="18"/>
      <c r="I86" s="18"/>
    </row>
    <row r="87" spans="1:9" x14ac:dyDescent="0.2">
      <c r="A87" s="27"/>
      <c r="B87" s="27"/>
      <c r="C87" s="27"/>
      <c r="D87" s="28"/>
      <c r="E87" s="29"/>
      <c r="F87" s="75"/>
      <c r="G87" s="29"/>
    </row>
    <row r="88" spans="1:9" x14ac:dyDescent="0.2">
      <c r="A88" s="26" t="s">
        <v>37</v>
      </c>
      <c r="B88" s="26"/>
      <c r="C88" s="26"/>
      <c r="D88" s="32"/>
      <c r="E88" s="33">
        <f>E86</f>
        <v>0</v>
      </c>
      <c r="F88" s="74">
        <f>F86</f>
        <v>100</v>
      </c>
      <c r="G88" s="33"/>
      <c r="H88" s="18"/>
      <c r="I88" s="18"/>
    </row>
    <row r="89" spans="1:9" x14ac:dyDescent="0.2">
      <c r="A89" s="26"/>
      <c r="B89" s="26"/>
      <c r="C89" s="26"/>
      <c r="D89" s="32"/>
      <c r="E89" s="33"/>
      <c r="F89" s="74"/>
      <c r="G89" s="33"/>
      <c r="H89" s="18"/>
      <c r="I89" s="18"/>
    </row>
    <row r="90" spans="1:9" x14ac:dyDescent="0.2">
      <c r="A90" s="26" t="s">
        <v>39</v>
      </c>
      <c r="B90" s="26"/>
      <c r="C90" s="26"/>
      <c r="D90" s="32"/>
      <c r="E90" s="33">
        <f>E92-(E86)</f>
        <v>3.9999999999999998E-7</v>
      </c>
      <c r="F90" s="34">
        <v>0</v>
      </c>
      <c r="G90" s="33"/>
      <c r="H90" s="18"/>
      <c r="I90" s="18"/>
    </row>
    <row r="91" spans="1:9" x14ac:dyDescent="0.2">
      <c r="A91" s="26"/>
      <c r="B91" s="26"/>
      <c r="C91" s="26"/>
      <c r="D91" s="32"/>
      <c r="E91" s="33"/>
      <c r="F91" s="74"/>
      <c r="G91" s="33"/>
      <c r="H91" s="18"/>
      <c r="I91" s="18"/>
    </row>
    <row r="92" spans="1:9" x14ac:dyDescent="0.2">
      <c r="A92" s="35" t="s">
        <v>38</v>
      </c>
      <c r="B92" s="35"/>
      <c r="C92" s="35"/>
      <c r="D92" s="36"/>
      <c r="E92" s="37">
        <v>3.9999999999999998E-7</v>
      </c>
      <c r="F92" s="76">
        <v>100</v>
      </c>
      <c r="G92" s="37"/>
      <c r="H92" s="18"/>
      <c r="I92" s="18"/>
    </row>
    <row r="94" spans="1:9" x14ac:dyDescent="0.2">
      <c r="A94" s="18" t="s">
        <v>40</v>
      </c>
    </row>
    <row r="95" spans="1:9" x14ac:dyDescent="0.2">
      <c r="A95" s="47" t="s">
        <v>1162</v>
      </c>
    </row>
    <row r="96" spans="1:9" x14ac:dyDescent="0.2">
      <c r="A96" s="18" t="s">
        <v>1173</v>
      </c>
    </row>
    <row r="98" spans="1:4" x14ac:dyDescent="0.2">
      <c r="A98" s="18" t="s">
        <v>41</v>
      </c>
    </row>
    <row r="99" spans="1:4" x14ac:dyDescent="0.2">
      <c r="A99" s="18" t="s">
        <v>42</v>
      </c>
    </row>
    <row r="100" spans="1:4" x14ac:dyDescent="0.2">
      <c r="A100" s="18" t="s">
        <v>43</v>
      </c>
      <c r="B100" s="18"/>
      <c r="C100" s="39" t="s">
        <v>45</v>
      </c>
      <c r="D100" s="19" t="s">
        <v>44</v>
      </c>
    </row>
    <row r="101" spans="1:4" x14ac:dyDescent="0.2">
      <c r="A101" s="9" t="s">
        <v>70</v>
      </c>
      <c r="C101" s="40">
        <v>0</v>
      </c>
      <c r="D101" s="40">
        <v>0</v>
      </c>
    </row>
    <row r="102" spans="1:4" x14ac:dyDescent="0.2">
      <c r="A102" s="9" t="s">
        <v>76</v>
      </c>
      <c r="C102" s="40">
        <v>0</v>
      </c>
      <c r="D102" s="40">
        <v>0</v>
      </c>
    </row>
    <row r="103" spans="1:4" x14ac:dyDescent="0.2">
      <c r="A103" s="9" t="s">
        <v>73</v>
      </c>
      <c r="C103" s="40">
        <v>0</v>
      </c>
      <c r="D103" s="40">
        <v>0</v>
      </c>
    </row>
    <row r="104" spans="1:4" x14ac:dyDescent="0.2">
      <c r="A104" s="9" t="s">
        <v>77</v>
      </c>
      <c r="C104" s="40">
        <v>0</v>
      </c>
      <c r="D104" s="40">
        <v>0</v>
      </c>
    </row>
    <row r="106" spans="1:4" x14ac:dyDescent="0.2">
      <c r="A106" s="9" t="s">
        <v>46</v>
      </c>
    </row>
    <row r="108" spans="1:4" x14ac:dyDescent="0.2">
      <c r="A108" s="18" t="s">
        <v>734</v>
      </c>
      <c r="D108" s="41" t="s">
        <v>48</v>
      </c>
    </row>
    <row r="109" spans="1:4" x14ac:dyDescent="0.2">
      <c r="A109" s="9" t="s">
        <v>729</v>
      </c>
    </row>
    <row r="110" spans="1:4" x14ac:dyDescent="0.2">
      <c r="A110" s="50" t="s">
        <v>730</v>
      </c>
    </row>
    <row r="112" spans="1:4" x14ac:dyDescent="0.2">
      <c r="A112" s="18" t="s">
        <v>1174</v>
      </c>
    </row>
    <row r="113" spans="1:9" x14ac:dyDescent="0.2">
      <c r="A113" s="50" t="s">
        <v>50</v>
      </c>
    </row>
    <row r="115" spans="1:9" s="1" customFormat="1" ht="13.8" x14ac:dyDescent="0.2">
      <c r="A115" s="79" t="s">
        <v>1276</v>
      </c>
      <c r="B115" s="80"/>
      <c r="C115" s="80"/>
      <c r="D115" s="80"/>
      <c r="E115" s="80"/>
      <c r="F115" s="80"/>
      <c r="G115" s="80"/>
    </row>
    <row r="116" spans="1:9" x14ac:dyDescent="0.2">
      <c r="A116" s="18" t="s">
        <v>7</v>
      </c>
    </row>
    <row r="117" spans="1:9" s="1" customFormat="1" ht="17.399999999999999" customHeight="1" x14ac:dyDescent="0.2">
      <c r="A117" s="8" t="s">
        <v>2</v>
      </c>
      <c r="B117" s="8" t="s">
        <v>0</v>
      </c>
      <c r="C117" s="17" t="s">
        <v>749</v>
      </c>
      <c r="D117" s="16" t="s">
        <v>1</v>
      </c>
      <c r="E117" s="15" t="s">
        <v>3</v>
      </c>
      <c r="F117" s="15" t="s">
        <v>4</v>
      </c>
      <c r="G117" s="15" t="s">
        <v>6</v>
      </c>
    </row>
    <row r="118" spans="1:9" x14ac:dyDescent="0.2">
      <c r="A118" s="21" t="s">
        <v>31</v>
      </c>
      <c r="B118" s="22"/>
      <c r="C118" s="22"/>
      <c r="D118" s="23"/>
      <c r="E118" s="24"/>
      <c r="F118" s="25"/>
      <c r="G118" s="24"/>
    </row>
    <row r="119" spans="1:9" x14ac:dyDescent="0.2">
      <c r="A119" s="26" t="s">
        <v>32</v>
      </c>
      <c r="B119" s="27"/>
      <c r="C119" s="27"/>
      <c r="D119" s="28"/>
      <c r="E119" s="29"/>
      <c r="F119" s="30"/>
      <c r="G119" s="29"/>
    </row>
    <row r="120" spans="1:9" ht="20.399999999999999" x14ac:dyDescent="0.2">
      <c r="A120" s="27" t="s">
        <v>1176</v>
      </c>
      <c r="B120" s="27" t="s">
        <v>1177</v>
      </c>
      <c r="C120" s="52" t="s">
        <v>1178</v>
      </c>
      <c r="D120" s="31">
        <v>1695</v>
      </c>
      <c r="E120" s="29">
        <v>0</v>
      </c>
      <c r="F120" s="73">
        <v>100</v>
      </c>
      <c r="G120" s="29">
        <v>0</v>
      </c>
    </row>
    <row r="121" spans="1:9" x14ac:dyDescent="0.2">
      <c r="A121" s="26" t="s">
        <v>35</v>
      </c>
      <c r="B121" s="26"/>
      <c r="C121" s="26"/>
      <c r="D121" s="32"/>
      <c r="E121" s="33">
        <f>SUM(E119:E120)</f>
        <v>0</v>
      </c>
      <c r="F121" s="74">
        <f>SUM(F119:F120)</f>
        <v>100</v>
      </c>
      <c r="G121" s="33"/>
      <c r="H121" s="18"/>
      <c r="I121" s="18"/>
    </row>
    <row r="122" spans="1:9" x14ac:dyDescent="0.2">
      <c r="A122" s="27"/>
      <c r="B122" s="27"/>
      <c r="C122" s="27"/>
      <c r="D122" s="28"/>
      <c r="E122" s="29"/>
      <c r="F122" s="75"/>
      <c r="G122" s="29"/>
    </row>
    <row r="123" spans="1:9" x14ac:dyDescent="0.2">
      <c r="A123" s="26" t="s">
        <v>37</v>
      </c>
      <c r="B123" s="26"/>
      <c r="C123" s="26"/>
      <c r="D123" s="32"/>
      <c r="E123" s="33">
        <f>E121</f>
        <v>0</v>
      </c>
      <c r="F123" s="74">
        <f>F121</f>
        <v>100</v>
      </c>
      <c r="G123" s="33"/>
      <c r="H123" s="18"/>
      <c r="I123" s="18"/>
    </row>
    <row r="124" spans="1:9" x14ac:dyDescent="0.2">
      <c r="A124" s="26"/>
      <c r="B124" s="26"/>
      <c r="C124" s="26"/>
      <c r="D124" s="32"/>
      <c r="E124" s="33"/>
      <c r="F124" s="74"/>
      <c r="G124" s="33"/>
      <c r="H124" s="18"/>
      <c r="I124" s="18"/>
    </row>
    <row r="125" spans="1:9" x14ac:dyDescent="0.2">
      <c r="A125" s="26" t="s">
        <v>39</v>
      </c>
      <c r="B125" s="26"/>
      <c r="C125" s="26"/>
      <c r="D125" s="32"/>
      <c r="E125" s="33">
        <f>E127-(E121)</f>
        <v>3.9999999999999998E-7</v>
      </c>
      <c r="F125" s="34">
        <v>0</v>
      </c>
      <c r="G125" s="33"/>
      <c r="H125" s="18"/>
      <c r="I125" s="18"/>
    </row>
    <row r="126" spans="1:9" x14ac:dyDescent="0.2">
      <c r="A126" s="26"/>
      <c r="B126" s="26"/>
      <c r="C126" s="26"/>
      <c r="D126" s="32"/>
      <c r="E126" s="33"/>
      <c r="F126" s="74"/>
      <c r="G126" s="33"/>
      <c r="H126" s="18"/>
      <c r="I126" s="18"/>
    </row>
    <row r="127" spans="1:9" x14ac:dyDescent="0.2">
      <c r="A127" s="35" t="s">
        <v>38</v>
      </c>
      <c r="B127" s="35"/>
      <c r="C127" s="35"/>
      <c r="D127" s="36"/>
      <c r="E127" s="37">
        <v>3.9999999999999998E-7</v>
      </c>
      <c r="F127" s="76">
        <v>100</v>
      </c>
      <c r="G127" s="37"/>
      <c r="H127" s="18"/>
      <c r="I127" s="18"/>
    </row>
    <row r="129" spans="1:4" x14ac:dyDescent="0.2">
      <c r="A129" s="18" t="s">
        <v>40</v>
      </c>
    </row>
    <row r="130" spans="1:4" x14ac:dyDescent="0.2">
      <c r="A130" s="18" t="s">
        <v>1162</v>
      </c>
    </row>
    <row r="132" spans="1:4" x14ac:dyDescent="0.2">
      <c r="A132" s="18" t="s">
        <v>41</v>
      </c>
    </row>
    <row r="133" spans="1:4" x14ac:dyDescent="0.2">
      <c r="A133" s="18" t="s">
        <v>42</v>
      </c>
    </row>
    <row r="134" spans="1:4" x14ac:dyDescent="0.2">
      <c r="A134" s="18" t="s">
        <v>43</v>
      </c>
      <c r="B134" s="18"/>
      <c r="C134" s="39" t="s">
        <v>45</v>
      </c>
      <c r="D134" s="19" t="s">
        <v>44</v>
      </c>
    </row>
    <row r="135" spans="1:4" x14ac:dyDescent="0.2">
      <c r="A135" s="9" t="s">
        <v>70</v>
      </c>
      <c r="C135" s="40">
        <v>0</v>
      </c>
      <c r="D135" s="40">
        <v>0</v>
      </c>
    </row>
    <row r="136" spans="1:4" x14ac:dyDescent="0.2">
      <c r="A136" s="9" t="s">
        <v>76</v>
      </c>
      <c r="C136" s="40">
        <v>0</v>
      </c>
      <c r="D136" s="40">
        <v>0</v>
      </c>
    </row>
    <row r="137" spans="1:4" x14ac:dyDescent="0.2">
      <c r="A137" s="9" t="s">
        <v>73</v>
      </c>
      <c r="C137" s="40">
        <v>0</v>
      </c>
      <c r="D137" s="40">
        <v>0</v>
      </c>
    </row>
    <row r="138" spans="1:4" x14ac:dyDescent="0.2">
      <c r="A138" s="9" t="s">
        <v>77</v>
      </c>
      <c r="C138" s="40">
        <v>0</v>
      </c>
      <c r="D138" s="40">
        <v>0</v>
      </c>
    </row>
    <row r="140" spans="1:4" x14ac:dyDescent="0.2">
      <c r="A140" s="9" t="s">
        <v>46</v>
      </c>
    </row>
    <row r="142" spans="1:4" x14ac:dyDescent="0.2">
      <c r="A142" s="18" t="s">
        <v>734</v>
      </c>
      <c r="D142" s="41" t="s">
        <v>48</v>
      </c>
    </row>
    <row r="143" spans="1:4" x14ac:dyDescent="0.2">
      <c r="A143" s="9" t="s">
        <v>729</v>
      </c>
    </row>
    <row r="144" spans="1:4" x14ac:dyDescent="0.2">
      <c r="A144" s="50" t="s">
        <v>730</v>
      </c>
    </row>
    <row r="146" spans="1:1" x14ac:dyDescent="0.2">
      <c r="A146" s="18" t="s">
        <v>1174</v>
      </c>
    </row>
    <row r="147" spans="1:1" x14ac:dyDescent="0.2">
      <c r="A147" s="50" t="s">
        <v>50</v>
      </c>
    </row>
  </sheetData>
  <mergeCells count="7">
    <mergeCell ref="A115:G115"/>
    <mergeCell ref="A1:H1"/>
    <mergeCell ref="A66:G66"/>
    <mergeCell ref="A68:G68"/>
    <mergeCell ref="A70:G70"/>
    <mergeCell ref="A73:G73"/>
    <mergeCell ref="A80:G80"/>
  </mergeCells>
  <conditionalFormatting sqref="F2:F3 F5:F29 F83:F84 F118:F119 F67 F69 F71:F72 F81 F116 F32:F65 F74:F79 F93:F114 F128:F65535">
    <cfRule type="cellIs" dxfId="33" priority="5" stopIfTrue="1" operator="between">
      <formula>0.009</formula>
      <formula>-0.009</formula>
    </cfRule>
  </conditionalFormatting>
  <conditionalFormatting sqref="H5:H24 H37 H26:H33">
    <cfRule type="cellIs" dxfId="32" priority="4" stopIfTrue="1" operator="between">
      <formula>0.009</formula>
      <formula>-0.009</formula>
    </cfRule>
  </conditionalFormatting>
  <conditionalFormatting sqref="H25">
    <cfRule type="cellIs" dxfId="31" priority="3" stopIfTrue="1" operator="between">
      <formula>0.009</formula>
      <formula>-0.009</formula>
    </cfRule>
  </conditionalFormatting>
  <conditionalFormatting sqref="F86:F89 F91:F92">
    <cfRule type="cellIs" dxfId="30" priority="2" stopIfTrue="1" operator="between">
      <formula>0.009</formula>
      <formula>-0.009</formula>
    </cfRule>
  </conditionalFormatting>
  <conditionalFormatting sqref="F121:F124 F126:F127">
    <cfRule type="cellIs" dxfId="29" priority="1" stopIfTrue="1" operator="between">
      <formula>0.009</formula>
      <formula>-0.009</formula>
    </cfRule>
  </conditionalFormatting>
  <hyperlinks>
    <hyperlink ref="A71" r:id="rId1" tooltip="https://www.franklintempletonindia.com/downloadsServlet/pdf/fair-valuation-reliance-big-reliance-infra-november-4-2020-kgox4tfq" xr:uid="{00000000-0004-0000-1A00-000000000000}"/>
    <hyperlink ref="A76" r:id="rId2" tooltip="https://www.franklintempletonindia.com/downloadsServlet/pdf/product-labels-jg9o5k7l" xr:uid="{00000000-0004-0000-1A00-000001000000}"/>
    <hyperlink ref="A64" r:id="rId3" xr:uid="{00000000-0004-0000-1A00-000002000000}"/>
    <hyperlink ref="A110" r:id="rId4" xr:uid="{00000000-0004-0000-1A00-000003000000}"/>
    <hyperlink ref="A113" r:id="rId5" tooltip="https://www.franklintempletonindia.com/downloadsServlet/pdf/product-labels-jg9o5k7l" xr:uid="{00000000-0004-0000-1A00-000004000000}"/>
    <hyperlink ref="A144" r:id="rId6" xr:uid="{00000000-0004-0000-1A00-000005000000}"/>
    <hyperlink ref="A147" r:id="rId7" tooltip="https://www.franklintempletonindia.com/downloadsServlet/pdf/product-labels-jg9o5k7l" xr:uid="{00000000-0004-0000-1A00-000006000000}"/>
  </hyperlinks>
  <pageMargins left="0.7" right="0.7" top="0.75" bottom="0.75" header="0.3" footer="0.3"/>
  <pageSetup paperSize="9" orientation="portrait" r:id="rId8"/>
  <headerFooter>
    <oddFooter>&amp;C&amp;1#&amp;"Calibri"&amp;10&amp;K000000PUBLIC</oddFooter>
    <evenFooter>&amp;LPUBLIC</evenFooter>
    <firstFooter>&amp;LPUBLIC</first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95"/>
  <sheetViews>
    <sheetView workbookViewId="0">
      <selection sqref="A1:H1"/>
    </sheetView>
  </sheetViews>
  <sheetFormatPr defaultColWidth="9.109375" defaultRowHeight="10.199999999999999" x14ac:dyDescent="0.2"/>
  <cols>
    <col min="1" max="1" width="40.5546875" style="9" bestFit="1" customWidth="1"/>
    <col min="2" max="2" width="33.44140625" style="9" bestFit="1" customWidth="1"/>
    <col min="3" max="3" width="25.109375" style="9" bestFit="1" customWidth="1"/>
    <col min="4" max="4" width="15.33203125" style="10" bestFit="1" customWidth="1"/>
    <col min="5" max="5" width="23" style="13" bestFit="1" customWidth="1"/>
    <col min="6" max="6" width="13.5546875" style="14" bestFit="1" customWidth="1"/>
    <col min="7" max="7" width="13.5546875" style="14" customWidth="1"/>
    <col min="8" max="8" width="14.33203125" style="13" customWidth="1"/>
    <col min="9" max="16384" width="9.109375" style="9"/>
  </cols>
  <sheetData>
    <row r="1" spans="1:8" s="1" customFormat="1" ht="13.8" x14ac:dyDescent="0.2">
      <c r="A1" s="79" t="s">
        <v>8</v>
      </c>
      <c r="B1" s="80"/>
      <c r="C1" s="80"/>
      <c r="D1" s="80"/>
      <c r="E1" s="80"/>
      <c r="F1" s="80"/>
      <c r="G1" s="80"/>
      <c r="H1" s="80"/>
    </row>
    <row r="2" spans="1:8" s="1" customFormat="1" ht="11.4" x14ac:dyDescent="0.2">
      <c r="D2" s="6"/>
      <c r="E2" s="7"/>
      <c r="F2" s="12"/>
      <c r="G2" s="12"/>
      <c r="H2" s="13"/>
    </row>
    <row r="3" spans="1:8" s="1" customFormat="1" ht="12" x14ac:dyDescent="0.2">
      <c r="A3" s="11" t="s">
        <v>7</v>
      </c>
      <c r="B3" s="2"/>
      <c r="C3" s="3"/>
      <c r="D3" s="4"/>
      <c r="E3" s="5"/>
      <c r="F3" s="12"/>
      <c r="G3" s="12"/>
      <c r="H3" s="13"/>
    </row>
    <row r="4" spans="1:8" s="1" customFormat="1" ht="38.25" customHeight="1" x14ac:dyDescent="0.2">
      <c r="A4" s="8" t="s">
        <v>2</v>
      </c>
      <c r="B4" s="8" t="s">
        <v>0</v>
      </c>
      <c r="C4" s="17" t="s">
        <v>5</v>
      </c>
      <c r="D4" s="16" t="s">
        <v>1</v>
      </c>
      <c r="E4" s="15" t="s">
        <v>3</v>
      </c>
      <c r="F4" s="46" t="s">
        <v>715</v>
      </c>
      <c r="G4" s="46" t="s">
        <v>716</v>
      </c>
      <c r="H4" s="15" t="s">
        <v>6</v>
      </c>
    </row>
    <row r="5" spans="1:8" x14ac:dyDescent="0.2">
      <c r="A5" s="21" t="s">
        <v>95</v>
      </c>
      <c r="B5" s="22"/>
      <c r="C5" s="22"/>
      <c r="D5" s="23"/>
      <c r="E5" s="24"/>
      <c r="F5" s="25"/>
      <c r="G5" s="25"/>
      <c r="H5" s="24"/>
    </row>
    <row r="6" spans="1:8" x14ac:dyDescent="0.2">
      <c r="A6" s="26" t="s">
        <v>32</v>
      </c>
      <c r="B6" s="27"/>
      <c r="C6" s="27"/>
      <c r="D6" s="28"/>
      <c r="E6" s="29"/>
      <c r="F6" s="30"/>
      <c r="G6" s="30"/>
      <c r="H6" s="29"/>
    </row>
    <row r="7" spans="1:8" x14ac:dyDescent="0.2">
      <c r="A7" s="27" t="s">
        <v>184</v>
      </c>
      <c r="B7" s="27" t="s">
        <v>183</v>
      </c>
      <c r="C7" s="27" t="s">
        <v>185</v>
      </c>
      <c r="D7" s="31">
        <v>46100</v>
      </c>
      <c r="E7" s="29">
        <v>1141.09025</v>
      </c>
      <c r="F7" s="30">
        <v>9.4456082520910893</v>
      </c>
      <c r="G7" s="30">
        <v>-8.9022000000000006</v>
      </c>
      <c r="H7" s="29"/>
    </row>
    <row r="8" spans="1:8" x14ac:dyDescent="0.2">
      <c r="A8" s="27" t="s">
        <v>103</v>
      </c>
      <c r="B8" s="27" t="s">
        <v>102</v>
      </c>
      <c r="C8" s="27" t="s">
        <v>101</v>
      </c>
      <c r="D8" s="31">
        <v>136500</v>
      </c>
      <c r="E8" s="29">
        <v>1021.4295</v>
      </c>
      <c r="F8" s="30">
        <v>8.4550918861407194</v>
      </c>
      <c r="G8" s="30">
        <v>-5.2275</v>
      </c>
      <c r="H8" s="29"/>
    </row>
    <row r="9" spans="1:8" x14ac:dyDescent="0.2">
      <c r="A9" s="27" t="s">
        <v>121</v>
      </c>
      <c r="B9" s="27" t="s">
        <v>120</v>
      </c>
      <c r="C9" s="27" t="s">
        <v>122</v>
      </c>
      <c r="D9" s="31">
        <v>329400</v>
      </c>
      <c r="E9" s="29">
        <v>965.80079999999998</v>
      </c>
      <c r="F9" s="30">
        <v>7.9946139285268503</v>
      </c>
      <c r="G9" s="30">
        <v>-8.0313999999999997</v>
      </c>
      <c r="H9" s="29"/>
    </row>
    <row r="10" spans="1:8" x14ac:dyDescent="0.2">
      <c r="A10" s="27" t="s">
        <v>105</v>
      </c>
      <c r="B10" s="27" t="s">
        <v>104</v>
      </c>
      <c r="C10" s="27" t="s">
        <v>101</v>
      </c>
      <c r="D10" s="31">
        <v>84061</v>
      </c>
      <c r="E10" s="29">
        <v>530.34084900000005</v>
      </c>
      <c r="F10" s="30">
        <v>4.3900049971817703</v>
      </c>
      <c r="G10" s="30">
        <v>-2.8845999999999998</v>
      </c>
      <c r="H10" s="29"/>
    </row>
    <row r="11" spans="1:8" x14ac:dyDescent="0.2">
      <c r="A11" s="27" t="s">
        <v>97</v>
      </c>
      <c r="B11" s="27" t="s">
        <v>96</v>
      </c>
      <c r="C11" s="27" t="s">
        <v>98</v>
      </c>
      <c r="D11" s="31">
        <v>26745</v>
      </c>
      <c r="E11" s="29">
        <v>422.78496000000001</v>
      </c>
      <c r="F11" s="30">
        <v>3.4996890973663199</v>
      </c>
      <c r="G11" s="30"/>
      <c r="H11" s="29"/>
    </row>
    <row r="12" spans="1:8" x14ac:dyDescent="0.2">
      <c r="A12" s="27" t="s">
        <v>187</v>
      </c>
      <c r="B12" s="27" t="s">
        <v>186</v>
      </c>
      <c r="C12" s="27" t="s">
        <v>149</v>
      </c>
      <c r="D12" s="31">
        <v>4600</v>
      </c>
      <c r="E12" s="29">
        <v>345.73140000000001</v>
      </c>
      <c r="F12" s="30">
        <v>2.86186247305768</v>
      </c>
      <c r="G12" s="30">
        <v>-2.8668999999999998</v>
      </c>
      <c r="H12" s="29"/>
    </row>
    <row r="13" spans="1:8" x14ac:dyDescent="0.2">
      <c r="A13" s="27" t="s">
        <v>146</v>
      </c>
      <c r="B13" s="27" t="s">
        <v>145</v>
      </c>
      <c r="C13" s="27" t="s">
        <v>128</v>
      </c>
      <c r="D13" s="31">
        <v>18456</v>
      </c>
      <c r="E13" s="29">
        <v>266.92912799999999</v>
      </c>
      <c r="F13" s="30">
        <v>2.2095605270137799</v>
      </c>
      <c r="G13" s="30"/>
      <c r="H13" s="29"/>
    </row>
    <row r="14" spans="1:8" x14ac:dyDescent="0.2">
      <c r="A14" s="27" t="s">
        <v>189</v>
      </c>
      <c r="B14" s="27" t="s">
        <v>188</v>
      </c>
      <c r="C14" s="27" t="s">
        <v>142</v>
      </c>
      <c r="D14" s="31">
        <v>207938</v>
      </c>
      <c r="E14" s="29">
        <v>253.89229800000001</v>
      </c>
      <c r="F14" s="30">
        <v>2.1016454966039499</v>
      </c>
      <c r="G14" s="30"/>
      <c r="H14" s="29"/>
    </row>
    <row r="15" spans="1:8" x14ac:dyDescent="0.2">
      <c r="A15" s="27" t="s">
        <v>191</v>
      </c>
      <c r="B15" s="27" t="s">
        <v>190</v>
      </c>
      <c r="C15" s="27" t="s">
        <v>192</v>
      </c>
      <c r="D15" s="31">
        <v>16100</v>
      </c>
      <c r="E15" s="29">
        <v>241.58855</v>
      </c>
      <c r="F15" s="30">
        <v>1.9997987025923001</v>
      </c>
      <c r="G15" s="30">
        <v>-1.9941</v>
      </c>
      <c r="H15" s="29"/>
    </row>
    <row r="16" spans="1:8" x14ac:dyDescent="0.2">
      <c r="A16" s="27" t="s">
        <v>194</v>
      </c>
      <c r="B16" s="27" t="s">
        <v>193</v>
      </c>
      <c r="C16" s="27" t="s">
        <v>128</v>
      </c>
      <c r="D16" s="31">
        <v>41250</v>
      </c>
      <c r="E16" s="29">
        <v>234.609375</v>
      </c>
      <c r="F16" s="30">
        <v>1.94202715211872</v>
      </c>
      <c r="G16" s="30">
        <v>-1.9419999999999999</v>
      </c>
      <c r="H16" s="29"/>
    </row>
    <row r="17" spans="1:8" x14ac:dyDescent="0.2">
      <c r="A17" s="27" t="s">
        <v>135</v>
      </c>
      <c r="B17" s="27" t="s">
        <v>134</v>
      </c>
      <c r="C17" s="27" t="s">
        <v>101</v>
      </c>
      <c r="D17" s="31">
        <v>55462</v>
      </c>
      <c r="E17" s="29">
        <v>232.49670399999999</v>
      </c>
      <c r="F17" s="30">
        <v>1.9245390852181801</v>
      </c>
      <c r="G17" s="30"/>
      <c r="H17" s="29"/>
    </row>
    <row r="18" spans="1:8" x14ac:dyDescent="0.2">
      <c r="A18" s="27" t="s">
        <v>100</v>
      </c>
      <c r="B18" s="27" t="s">
        <v>99</v>
      </c>
      <c r="C18" s="27" t="s">
        <v>101</v>
      </c>
      <c r="D18" s="31">
        <v>13878</v>
      </c>
      <c r="E18" s="29">
        <v>207.87856199999999</v>
      </c>
      <c r="F18" s="30">
        <v>1.7207573727494601</v>
      </c>
      <c r="G18" s="30"/>
      <c r="H18" s="29"/>
    </row>
    <row r="19" spans="1:8" x14ac:dyDescent="0.2">
      <c r="A19" s="27" t="s">
        <v>196</v>
      </c>
      <c r="B19" s="27" t="s">
        <v>195</v>
      </c>
      <c r="C19" s="27" t="s">
        <v>98</v>
      </c>
      <c r="D19" s="31">
        <v>17733</v>
      </c>
      <c r="E19" s="29">
        <v>194.25614849999999</v>
      </c>
      <c r="F19" s="30">
        <v>1.6079950549845099</v>
      </c>
      <c r="G19" s="30"/>
      <c r="H19" s="29"/>
    </row>
    <row r="20" spans="1:8" x14ac:dyDescent="0.2">
      <c r="A20" s="27" t="s">
        <v>144</v>
      </c>
      <c r="B20" s="27" t="s">
        <v>143</v>
      </c>
      <c r="C20" s="27" t="s">
        <v>142</v>
      </c>
      <c r="D20" s="31">
        <v>150349</v>
      </c>
      <c r="E20" s="29">
        <v>175.006236</v>
      </c>
      <c r="F20" s="30">
        <v>1.4486499616739399</v>
      </c>
      <c r="G20" s="30"/>
      <c r="H20" s="29"/>
    </row>
    <row r="21" spans="1:8" x14ac:dyDescent="0.2">
      <c r="A21" s="27" t="s">
        <v>198</v>
      </c>
      <c r="B21" s="27" t="s">
        <v>197</v>
      </c>
      <c r="C21" s="27" t="s">
        <v>199</v>
      </c>
      <c r="D21" s="31">
        <v>122059</v>
      </c>
      <c r="E21" s="29">
        <v>172.6524555</v>
      </c>
      <c r="F21" s="30">
        <v>1.4291660615052899</v>
      </c>
      <c r="G21" s="30"/>
      <c r="H21" s="29"/>
    </row>
    <row r="22" spans="1:8" x14ac:dyDescent="0.2">
      <c r="A22" s="27" t="s">
        <v>141</v>
      </c>
      <c r="B22" s="27" t="s">
        <v>140</v>
      </c>
      <c r="C22" s="27" t="s">
        <v>142</v>
      </c>
      <c r="D22" s="31">
        <v>70523</v>
      </c>
      <c r="E22" s="29">
        <v>163.89545200000001</v>
      </c>
      <c r="F22" s="30">
        <v>1.3566781715043099</v>
      </c>
      <c r="G22" s="30"/>
      <c r="H22" s="29"/>
    </row>
    <row r="23" spans="1:8" x14ac:dyDescent="0.2">
      <c r="A23" s="27" t="s">
        <v>201</v>
      </c>
      <c r="B23" s="27" t="s">
        <v>200</v>
      </c>
      <c r="C23" s="27" t="s">
        <v>185</v>
      </c>
      <c r="D23" s="31">
        <v>23811</v>
      </c>
      <c r="E23" s="29">
        <v>157.67644200000001</v>
      </c>
      <c r="F23" s="30">
        <v>1.30519904250831</v>
      </c>
      <c r="G23" s="30"/>
      <c r="H23" s="29"/>
    </row>
    <row r="24" spans="1:8" x14ac:dyDescent="0.2">
      <c r="A24" s="27" t="s">
        <v>203</v>
      </c>
      <c r="B24" s="27" t="s">
        <v>202</v>
      </c>
      <c r="C24" s="27" t="s">
        <v>204</v>
      </c>
      <c r="D24" s="31">
        <v>64953</v>
      </c>
      <c r="E24" s="29">
        <v>154.328328</v>
      </c>
      <c r="F24" s="30">
        <v>1.27748434314308</v>
      </c>
      <c r="G24" s="30"/>
      <c r="H24" s="29"/>
    </row>
    <row r="25" spans="1:8" x14ac:dyDescent="0.2">
      <c r="A25" s="27" t="s">
        <v>206</v>
      </c>
      <c r="B25" s="27" t="s">
        <v>205</v>
      </c>
      <c r="C25" s="27" t="s">
        <v>185</v>
      </c>
      <c r="D25" s="31">
        <v>21957</v>
      </c>
      <c r="E25" s="29">
        <v>150.05413799999999</v>
      </c>
      <c r="F25" s="30">
        <v>1.2421038600173999</v>
      </c>
      <c r="G25" s="30"/>
      <c r="H25" s="29"/>
    </row>
    <row r="26" spans="1:8" x14ac:dyDescent="0.2">
      <c r="A26" s="27" t="s">
        <v>110</v>
      </c>
      <c r="B26" s="27" t="s">
        <v>109</v>
      </c>
      <c r="C26" s="27" t="s">
        <v>111</v>
      </c>
      <c r="D26" s="31">
        <v>27951</v>
      </c>
      <c r="E26" s="29">
        <v>146.9244315</v>
      </c>
      <c r="F26" s="30">
        <v>1.21619707346566</v>
      </c>
      <c r="G26" s="30"/>
      <c r="H26" s="29"/>
    </row>
    <row r="27" spans="1:8" x14ac:dyDescent="0.2">
      <c r="A27" s="27" t="s">
        <v>133</v>
      </c>
      <c r="B27" s="27" t="s">
        <v>132</v>
      </c>
      <c r="C27" s="27" t="s">
        <v>131</v>
      </c>
      <c r="D27" s="31">
        <v>42933</v>
      </c>
      <c r="E27" s="29">
        <v>143.138622</v>
      </c>
      <c r="F27" s="30">
        <v>1.1848592599543699</v>
      </c>
      <c r="G27" s="30"/>
      <c r="H27" s="29"/>
    </row>
    <row r="28" spans="1:8" x14ac:dyDescent="0.2">
      <c r="A28" s="27" t="s">
        <v>208</v>
      </c>
      <c r="B28" s="27" t="s">
        <v>207</v>
      </c>
      <c r="C28" s="27" t="s">
        <v>209</v>
      </c>
      <c r="D28" s="31">
        <v>76471</v>
      </c>
      <c r="E28" s="29">
        <v>142.31253100000001</v>
      </c>
      <c r="F28" s="30">
        <v>1.1780211225094299</v>
      </c>
      <c r="G28" s="30"/>
      <c r="H28" s="29"/>
    </row>
    <row r="29" spans="1:8" x14ac:dyDescent="0.2">
      <c r="A29" s="27" t="s">
        <v>211</v>
      </c>
      <c r="B29" s="27" t="s">
        <v>210</v>
      </c>
      <c r="C29" s="27" t="s">
        <v>122</v>
      </c>
      <c r="D29" s="31">
        <v>121901</v>
      </c>
      <c r="E29" s="29">
        <v>131.53117900000001</v>
      </c>
      <c r="F29" s="30">
        <v>1.08877627319107</v>
      </c>
      <c r="G29" s="30"/>
      <c r="H29" s="29"/>
    </row>
    <row r="30" spans="1:8" x14ac:dyDescent="0.2">
      <c r="A30" s="27" t="s">
        <v>127</v>
      </c>
      <c r="B30" s="27" t="s">
        <v>126</v>
      </c>
      <c r="C30" s="27" t="s">
        <v>128</v>
      </c>
      <c r="D30" s="31">
        <v>7787</v>
      </c>
      <c r="E30" s="29">
        <v>131.273246</v>
      </c>
      <c r="F30" s="30">
        <v>1.08664117995609</v>
      </c>
      <c r="G30" s="30"/>
      <c r="H30" s="29"/>
    </row>
    <row r="31" spans="1:8" x14ac:dyDescent="0.2">
      <c r="A31" s="27" t="s">
        <v>124</v>
      </c>
      <c r="B31" s="27" t="s">
        <v>123</v>
      </c>
      <c r="C31" s="27" t="s">
        <v>125</v>
      </c>
      <c r="D31" s="31">
        <v>2392</v>
      </c>
      <c r="E31" s="29">
        <v>129.719356</v>
      </c>
      <c r="F31" s="30">
        <v>1.07377853722748</v>
      </c>
      <c r="G31" s="30"/>
      <c r="H31" s="29"/>
    </row>
    <row r="32" spans="1:8" x14ac:dyDescent="0.2">
      <c r="A32" s="27" t="s">
        <v>130</v>
      </c>
      <c r="B32" s="27" t="s">
        <v>129</v>
      </c>
      <c r="C32" s="27" t="s">
        <v>131</v>
      </c>
      <c r="D32" s="31">
        <v>43156</v>
      </c>
      <c r="E32" s="29">
        <v>97.446247999999997</v>
      </c>
      <c r="F32" s="30">
        <v>0.80663127587332895</v>
      </c>
      <c r="G32" s="30"/>
      <c r="H32" s="29"/>
    </row>
    <row r="33" spans="1:10" x14ac:dyDescent="0.2">
      <c r="A33" s="27" t="s">
        <v>116</v>
      </c>
      <c r="B33" s="27" t="s">
        <v>115</v>
      </c>
      <c r="C33" s="27" t="s">
        <v>101</v>
      </c>
      <c r="D33" s="31">
        <v>5528</v>
      </c>
      <c r="E33" s="29">
        <v>94.299387999999993</v>
      </c>
      <c r="F33" s="30">
        <v>0.78058249771211397</v>
      </c>
      <c r="G33" s="30"/>
      <c r="H33" s="29"/>
    </row>
    <row r="34" spans="1:10" x14ac:dyDescent="0.2">
      <c r="A34" s="27" t="s">
        <v>213</v>
      </c>
      <c r="B34" s="27" t="s">
        <v>212</v>
      </c>
      <c r="C34" s="27" t="s">
        <v>131</v>
      </c>
      <c r="D34" s="31">
        <v>47372</v>
      </c>
      <c r="E34" s="29">
        <v>70.892197999999993</v>
      </c>
      <c r="F34" s="30">
        <v>0.58682468843956503</v>
      </c>
      <c r="G34" s="30"/>
      <c r="H34" s="29"/>
    </row>
    <row r="35" spans="1:10" x14ac:dyDescent="0.2">
      <c r="A35" s="27" t="s">
        <v>215</v>
      </c>
      <c r="B35" s="27" t="s">
        <v>214</v>
      </c>
      <c r="C35" s="27" t="s">
        <v>128</v>
      </c>
      <c r="D35" s="31">
        <v>402</v>
      </c>
      <c r="E35" s="29">
        <v>70.884659999999997</v>
      </c>
      <c r="F35" s="30">
        <v>0.58676229110070099</v>
      </c>
      <c r="G35" s="30"/>
      <c r="H35" s="29"/>
    </row>
    <row r="36" spans="1:10" x14ac:dyDescent="0.2">
      <c r="A36" s="27" t="s">
        <v>217</v>
      </c>
      <c r="B36" s="27" t="s">
        <v>216</v>
      </c>
      <c r="C36" s="27" t="s">
        <v>101</v>
      </c>
      <c r="D36" s="31">
        <v>10000</v>
      </c>
      <c r="E36" s="29">
        <v>8.7100000000000009</v>
      </c>
      <c r="F36" s="30">
        <v>7.2098808902900893E-2</v>
      </c>
      <c r="G36" s="30">
        <v>-7.17E-2</v>
      </c>
      <c r="H36" s="29"/>
    </row>
    <row r="37" spans="1:10" x14ac:dyDescent="0.2">
      <c r="A37" s="26" t="s">
        <v>35</v>
      </c>
      <c r="B37" s="26"/>
      <c r="C37" s="26"/>
      <c r="D37" s="32"/>
      <c r="E37" s="33">
        <f>SUM(E7:E36)</f>
        <v>8199.5734354999968</v>
      </c>
      <c r="F37" s="34">
        <f>SUM(F7:F36)</f>
        <v>67.873648474330366</v>
      </c>
      <c r="G37" s="34">
        <f>SUM(G7:G36)</f>
        <v>-31.920399999999997</v>
      </c>
      <c r="H37" s="33"/>
      <c r="I37" s="18"/>
      <c r="J37" s="18"/>
    </row>
    <row r="38" spans="1:10" x14ac:dyDescent="0.2">
      <c r="A38" s="27"/>
      <c r="B38" s="27"/>
      <c r="C38" s="27"/>
      <c r="D38" s="28"/>
      <c r="E38" s="29"/>
      <c r="F38" s="30"/>
      <c r="G38" s="30"/>
      <c r="H38" s="29"/>
    </row>
    <row r="39" spans="1:10" x14ac:dyDescent="0.2">
      <c r="A39" s="26" t="s">
        <v>176</v>
      </c>
      <c r="B39" s="27"/>
      <c r="C39" s="27"/>
      <c r="D39" s="28"/>
      <c r="E39" s="29"/>
      <c r="F39" s="30"/>
      <c r="G39" s="30"/>
      <c r="H39" s="29"/>
    </row>
    <row r="40" spans="1:10" x14ac:dyDescent="0.2">
      <c r="A40" s="27" t="s">
        <v>178</v>
      </c>
      <c r="B40" s="27" t="s">
        <v>177</v>
      </c>
      <c r="C40" s="27" t="s">
        <v>358</v>
      </c>
      <c r="D40" s="31">
        <v>44600</v>
      </c>
      <c r="E40" s="29">
        <v>156.26947999999999</v>
      </c>
      <c r="F40" s="30">
        <v>1.29355262639216</v>
      </c>
      <c r="G40" s="30"/>
      <c r="H40" s="29"/>
    </row>
    <row r="41" spans="1:10" x14ac:dyDescent="0.2">
      <c r="A41" s="26" t="s">
        <v>35</v>
      </c>
      <c r="B41" s="26"/>
      <c r="C41" s="26"/>
      <c r="D41" s="32"/>
      <c r="E41" s="33">
        <f>SUM(E39:E40)</f>
        <v>156.26947999999999</v>
      </c>
      <c r="F41" s="34">
        <f>SUM(F39:F40)</f>
        <v>1.29355262639216</v>
      </c>
      <c r="G41" s="34"/>
      <c r="H41" s="33"/>
      <c r="I41" s="18"/>
      <c r="J41" s="18"/>
    </row>
    <row r="42" spans="1:10" x14ac:dyDescent="0.2">
      <c r="A42" s="27"/>
      <c r="B42" s="27"/>
      <c r="C42" s="27"/>
      <c r="D42" s="28"/>
      <c r="E42" s="29"/>
      <c r="F42" s="30"/>
      <c r="G42" s="30"/>
      <c r="H42" s="29"/>
    </row>
    <row r="43" spans="1:10" x14ac:dyDescent="0.2">
      <c r="A43" s="26" t="s">
        <v>717</v>
      </c>
      <c r="B43" s="27"/>
      <c r="C43" s="27"/>
      <c r="D43" s="28"/>
      <c r="E43" s="29"/>
      <c r="F43" s="30"/>
      <c r="G43" s="30"/>
      <c r="H43" s="29"/>
    </row>
    <row r="44" spans="1:10" x14ac:dyDescent="0.2">
      <c r="A44" s="27" t="s">
        <v>180</v>
      </c>
      <c r="B44" s="27" t="s">
        <v>179</v>
      </c>
      <c r="C44" s="27" t="s">
        <v>142</v>
      </c>
      <c r="D44" s="31">
        <v>49500</v>
      </c>
      <c r="E44" s="29">
        <v>56.07855</v>
      </c>
      <c r="F44" s="30">
        <v>0.46420168312305099</v>
      </c>
      <c r="G44" s="30"/>
      <c r="H44" s="29"/>
    </row>
    <row r="45" spans="1:10" x14ac:dyDescent="0.2">
      <c r="A45" s="26" t="s">
        <v>35</v>
      </c>
      <c r="B45" s="26"/>
      <c r="C45" s="26"/>
      <c r="D45" s="32"/>
      <c r="E45" s="33">
        <f>SUM(E43:E44)</f>
        <v>56.07855</v>
      </c>
      <c r="F45" s="34">
        <f>SUM(F43:F44)</f>
        <v>0.46420168312305099</v>
      </c>
      <c r="G45" s="34"/>
      <c r="H45" s="33"/>
      <c r="I45" s="18"/>
      <c r="J45" s="18"/>
    </row>
    <row r="46" spans="1:10" x14ac:dyDescent="0.2">
      <c r="A46" s="27"/>
      <c r="B46" s="27"/>
      <c r="C46" s="27"/>
      <c r="D46" s="28"/>
      <c r="E46" s="29"/>
      <c r="F46" s="30"/>
      <c r="G46" s="30"/>
      <c r="H46" s="29"/>
    </row>
    <row r="47" spans="1:10" x14ac:dyDescent="0.2">
      <c r="A47" s="26" t="s">
        <v>51</v>
      </c>
      <c r="B47" s="27"/>
      <c r="C47" s="27"/>
      <c r="D47" s="28"/>
      <c r="E47" s="29"/>
      <c r="F47" s="30"/>
      <c r="G47" s="30"/>
      <c r="H47" s="29"/>
    </row>
    <row r="48" spans="1:10" x14ac:dyDescent="0.2">
      <c r="A48" s="26" t="s">
        <v>61</v>
      </c>
      <c r="B48" s="27"/>
      <c r="C48" s="27"/>
      <c r="D48" s="28"/>
      <c r="E48" s="29"/>
      <c r="F48" s="30"/>
      <c r="G48" s="30"/>
      <c r="H48" s="29"/>
    </row>
    <row r="49" spans="1:10" x14ac:dyDescent="0.2">
      <c r="A49" s="27" t="s">
        <v>219</v>
      </c>
      <c r="B49" s="27" t="s">
        <v>218</v>
      </c>
      <c r="C49" s="27" t="s">
        <v>65</v>
      </c>
      <c r="D49" s="31">
        <v>500000</v>
      </c>
      <c r="E49" s="29">
        <v>499.3605</v>
      </c>
      <c r="F49" s="30">
        <v>4.1335588132212502</v>
      </c>
      <c r="G49" s="30"/>
      <c r="H49" s="29">
        <v>3.3388</v>
      </c>
    </row>
    <row r="50" spans="1:10" x14ac:dyDescent="0.2">
      <c r="A50" s="26" t="s">
        <v>35</v>
      </c>
      <c r="B50" s="26"/>
      <c r="C50" s="26"/>
      <c r="D50" s="32"/>
      <c r="E50" s="33">
        <f>SUM(E48:E49)</f>
        <v>499.3605</v>
      </c>
      <c r="F50" s="34">
        <f>SUM(F48:F49)</f>
        <v>4.1335588132212502</v>
      </c>
      <c r="G50" s="34"/>
      <c r="H50" s="33"/>
      <c r="I50" s="18"/>
      <c r="J50" s="18"/>
    </row>
    <row r="51" spans="1:10" x14ac:dyDescent="0.2">
      <c r="A51" s="27"/>
      <c r="B51" s="27"/>
      <c r="C51" s="27"/>
      <c r="D51" s="28"/>
      <c r="E51" s="29"/>
      <c r="F51" s="30"/>
      <c r="G51" s="30"/>
      <c r="H51" s="29"/>
    </row>
    <row r="52" spans="1:10" x14ac:dyDescent="0.2">
      <c r="A52" s="26" t="s">
        <v>62</v>
      </c>
      <c r="B52" s="27"/>
      <c r="C52" s="27"/>
      <c r="D52" s="28"/>
      <c r="E52" s="29"/>
      <c r="F52" s="30"/>
      <c r="G52" s="30"/>
      <c r="H52" s="29"/>
    </row>
    <row r="53" spans="1:10" x14ac:dyDescent="0.2">
      <c r="A53" s="27" t="s">
        <v>79</v>
      </c>
      <c r="B53" s="27" t="s">
        <v>78</v>
      </c>
      <c r="C53" s="27" t="s">
        <v>65</v>
      </c>
      <c r="D53" s="31">
        <v>500000</v>
      </c>
      <c r="E53" s="29">
        <v>490.5915</v>
      </c>
      <c r="F53" s="30">
        <v>4.0609716197344996</v>
      </c>
      <c r="G53" s="30"/>
      <c r="H53" s="29">
        <v>5.6414</v>
      </c>
    </row>
    <row r="54" spans="1:10" x14ac:dyDescent="0.2">
      <c r="A54" s="26" t="s">
        <v>35</v>
      </c>
      <c r="B54" s="26"/>
      <c r="C54" s="26"/>
      <c r="D54" s="32"/>
      <c r="E54" s="33">
        <f>SUM(E53:E53)</f>
        <v>490.5915</v>
      </c>
      <c r="F54" s="34">
        <f>SUM(F53:F53)</f>
        <v>4.0609716197344996</v>
      </c>
      <c r="G54" s="34"/>
      <c r="H54" s="33"/>
      <c r="I54" s="18"/>
      <c r="J54" s="18"/>
    </row>
    <row r="55" spans="1:10" x14ac:dyDescent="0.2">
      <c r="A55" s="27"/>
      <c r="B55" s="27"/>
      <c r="C55" s="27"/>
      <c r="D55" s="28"/>
      <c r="E55" s="29"/>
      <c r="F55" s="30"/>
      <c r="G55" s="30"/>
      <c r="H55" s="29"/>
    </row>
    <row r="56" spans="1:10" x14ac:dyDescent="0.2">
      <c r="A56" s="26" t="s">
        <v>37</v>
      </c>
      <c r="B56" s="26"/>
      <c r="C56" s="26"/>
      <c r="D56" s="32"/>
      <c r="E56" s="33">
        <f>E37+E41+E45+E50+E54</f>
        <v>9401.8734654999989</v>
      </c>
      <c r="F56" s="34">
        <f>F37+F41+F45+F50+F54</f>
        <v>77.825933216801332</v>
      </c>
      <c r="G56" s="34"/>
      <c r="H56" s="33"/>
      <c r="I56" s="18"/>
      <c r="J56" s="18"/>
    </row>
    <row r="57" spans="1:10" x14ac:dyDescent="0.2">
      <c r="A57" s="26"/>
      <c r="B57" s="26"/>
      <c r="C57" s="26"/>
      <c r="D57" s="32"/>
      <c r="E57" s="33"/>
      <c r="F57" s="34"/>
      <c r="G57" s="34"/>
      <c r="H57" s="33"/>
      <c r="I57" s="18"/>
      <c r="J57" s="18"/>
    </row>
    <row r="58" spans="1:10" x14ac:dyDescent="0.2">
      <c r="A58" s="26" t="s">
        <v>39</v>
      </c>
      <c r="B58" s="26"/>
      <c r="C58" s="26"/>
      <c r="D58" s="32"/>
      <c r="E58" s="33">
        <f>E60-(E37+E41+E45+E50+E54)</f>
        <v>2678.7699356000012</v>
      </c>
      <c r="F58" s="34">
        <f>F60-(F37+F41+F45+F50+F54)</f>
        <v>22.174066783198668</v>
      </c>
      <c r="G58" s="34"/>
      <c r="H58" s="33"/>
      <c r="I58" s="18"/>
      <c r="J58" s="18"/>
    </row>
    <row r="59" spans="1:10" x14ac:dyDescent="0.2">
      <c r="A59" s="26"/>
      <c r="B59" s="26"/>
      <c r="C59" s="26"/>
      <c r="D59" s="32"/>
      <c r="E59" s="33"/>
      <c r="F59" s="34"/>
      <c r="G59" s="34"/>
      <c r="H59" s="33"/>
      <c r="I59" s="18"/>
      <c r="J59" s="18"/>
    </row>
    <row r="60" spans="1:10" x14ac:dyDescent="0.2">
      <c r="A60" s="35" t="s">
        <v>38</v>
      </c>
      <c r="B60" s="35"/>
      <c r="C60" s="35"/>
      <c r="D60" s="36"/>
      <c r="E60" s="37">
        <v>12080.6434011</v>
      </c>
      <c r="F60" s="38">
        <v>100</v>
      </c>
      <c r="G60" s="38"/>
      <c r="H60" s="37"/>
      <c r="I60" s="18"/>
      <c r="J60" s="18"/>
    </row>
    <row r="63" spans="1:10" x14ac:dyDescent="0.2">
      <c r="A63" s="18" t="s">
        <v>41</v>
      </c>
    </row>
    <row r="64" spans="1:10" x14ac:dyDescent="0.2">
      <c r="A64" s="18" t="s">
        <v>42</v>
      </c>
    </row>
    <row r="65" spans="1:4" x14ac:dyDescent="0.2">
      <c r="A65" s="18" t="s">
        <v>43</v>
      </c>
      <c r="B65" s="18"/>
      <c r="C65" s="39" t="s">
        <v>45</v>
      </c>
      <c r="D65" s="19" t="s">
        <v>44</v>
      </c>
    </row>
    <row r="66" spans="1:4" x14ac:dyDescent="0.2">
      <c r="A66" s="9" t="s">
        <v>70</v>
      </c>
      <c r="C66" s="40">
        <v>11.276300000000001</v>
      </c>
      <c r="D66" s="40">
        <v>12.172000000000001</v>
      </c>
    </row>
    <row r="67" spans="1:4" x14ac:dyDescent="0.2">
      <c r="A67" s="9" t="s">
        <v>76</v>
      </c>
      <c r="C67" s="40">
        <v>11.276300000000001</v>
      </c>
      <c r="D67" s="40">
        <v>12.172000000000001</v>
      </c>
    </row>
    <row r="68" spans="1:4" x14ac:dyDescent="0.2">
      <c r="A68" s="9" t="s">
        <v>71</v>
      </c>
      <c r="C68" s="40">
        <v>11.208299999999999</v>
      </c>
      <c r="D68" s="40">
        <v>11.735900000000001</v>
      </c>
    </row>
    <row r="69" spans="1:4" x14ac:dyDescent="0.2">
      <c r="A69" s="9" t="s">
        <v>72</v>
      </c>
      <c r="C69" s="40">
        <v>11.276300000000001</v>
      </c>
      <c r="D69" s="40">
        <v>11.7156</v>
      </c>
    </row>
    <row r="70" spans="1:4" x14ac:dyDescent="0.2">
      <c r="A70" s="9" t="s">
        <v>73</v>
      </c>
      <c r="C70" s="40">
        <v>11.7379</v>
      </c>
      <c r="D70" s="40">
        <v>12.7554</v>
      </c>
    </row>
    <row r="71" spans="1:4" x14ac:dyDescent="0.2">
      <c r="A71" s="9" t="s">
        <v>77</v>
      </c>
      <c r="C71" s="40">
        <v>11.7379</v>
      </c>
      <c r="D71" s="40">
        <v>12.7554</v>
      </c>
    </row>
    <row r="72" spans="1:4" x14ac:dyDescent="0.2">
      <c r="A72" s="9" t="s">
        <v>74</v>
      </c>
      <c r="C72" s="40">
        <v>11.6678</v>
      </c>
      <c r="D72" s="40">
        <v>12.313800000000001</v>
      </c>
    </row>
    <row r="73" spans="1:4" x14ac:dyDescent="0.2">
      <c r="A73" s="9" t="s">
        <v>75</v>
      </c>
      <c r="C73" s="40">
        <v>11.7379</v>
      </c>
      <c r="D73" s="40">
        <v>12.296200000000001</v>
      </c>
    </row>
    <row r="75" spans="1:4" x14ac:dyDescent="0.2">
      <c r="A75" s="18" t="s">
        <v>47</v>
      </c>
    </row>
    <row r="76" spans="1:4" x14ac:dyDescent="0.2">
      <c r="A76" s="81" t="s">
        <v>67</v>
      </c>
      <c r="B76" s="82"/>
      <c r="C76" s="43" t="s">
        <v>68</v>
      </c>
    </row>
    <row r="77" spans="1:4" x14ac:dyDescent="0.2">
      <c r="A77" s="77" t="s">
        <v>71</v>
      </c>
      <c r="B77" s="78"/>
      <c r="C77" s="44">
        <v>0.35</v>
      </c>
    </row>
    <row r="78" spans="1:4" x14ac:dyDescent="0.2">
      <c r="A78" s="77" t="s">
        <v>72</v>
      </c>
      <c r="B78" s="78"/>
      <c r="C78" s="44">
        <v>0.44</v>
      </c>
    </row>
    <row r="79" spans="1:4" x14ac:dyDescent="0.2">
      <c r="A79" s="77" t="s">
        <v>74</v>
      </c>
      <c r="B79" s="78"/>
      <c r="C79" s="44">
        <v>0.35</v>
      </c>
    </row>
    <row r="80" spans="1:4" x14ac:dyDescent="0.2">
      <c r="A80" s="77" t="s">
        <v>75</v>
      </c>
      <c r="B80" s="78"/>
      <c r="C80" s="44">
        <v>0.44</v>
      </c>
    </row>
    <row r="81" spans="1:5" x14ac:dyDescent="0.2">
      <c r="A81" s="9" t="s">
        <v>69</v>
      </c>
    </row>
    <row r="82" spans="1:5" x14ac:dyDescent="0.2">
      <c r="A82" s="9" t="s">
        <v>46</v>
      </c>
    </row>
    <row r="84" spans="1:5" x14ac:dyDescent="0.2">
      <c r="A84" s="47" t="s">
        <v>723</v>
      </c>
      <c r="B84" s="48"/>
      <c r="C84" s="48"/>
      <c r="D84" s="49" t="s">
        <v>724</v>
      </c>
    </row>
    <row r="86" spans="1:5" x14ac:dyDescent="0.2">
      <c r="A86" s="18" t="s">
        <v>718</v>
      </c>
      <c r="D86" s="42">
        <f>-G37</f>
        <v>31.920399999999997</v>
      </c>
    </row>
    <row r="88" spans="1:5" x14ac:dyDescent="0.2">
      <c r="A88" s="18" t="s">
        <v>719</v>
      </c>
      <c r="D88" s="45">
        <v>2.3174999999999999</v>
      </c>
    </row>
    <row r="90" spans="1:5" x14ac:dyDescent="0.2">
      <c r="A90" s="18" t="s">
        <v>720</v>
      </c>
      <c r="D90" s="42">
        <v>0.81101574521802799</v>
      </c>
      <c r="E90" s="13" t="s">
        <v>49</v>
      </c>
    </row>
    <row r="92" spans="1:5" x14ac:dyDescent="0.2">
      <c r="A92" s="18" t="s">
        <v>721</v>
      </c>
      <c r="D92" s="41" t="s">
        <v>48</v>
      </c>
    </row>
    <row r="94" spans="1:5" x14ac:dyDescent="0.2">
      <c r="A94" s="18" t="s">
        <v>722</v>
      </c>
    </row>
    <row r="95" spans="1:5" x14ac:dyDescent="0.2">
      <c r="A95" s="50" t="s">
        <v>50</v>
      </c>
    </row>
  </sheetData>
  <mergeCells count="6">
    <mergeCell ref="A80:B80"/>
    <mergeCell ref="A1:H1"/>
    <mergeCell ref="A76:B76"/>
    <mergeCell ref="A77:B77"/>
    <mergeCell ref="A78:B78"/>
    <mergeCell ref="A79:B79"/>
  </mergeCells>
  <conditionalFormatting sqref="F2:G3 F5:G65540">
    <cfRule type="cellIs" dxfId="28" priority="1" stopIfTrue="1" operator="between">
      <formula>0.009</formula>
      <formula>-0.009</formula>
    </cfRule>
  </conditionalFormatting>
  <hyperlinks>
    <hyperlink ref="A95" r:id="rId1" xr:uid="{00000000-0004-0000-1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120"/>
  <sheetViews>
    <sheetView workbookViewId="0">
      <selection sqref="A1:G1"/>
    </sheetView>
  </sheetViews>
  <sheetFormatPr defaultColWidth="9.109375" defaultRowHeight="10.199999999999999" x14ac:dyDescent="0.2"/>
  <cols>
    <col min="1" max="1" width="40.44140625" style="9" bestFit="1" customWidth="1"/>
    <col min="2" max="2" width="51.88671875" style="9" bestFit="1" customWidth="1"/>
    <col min="3" max="3" width="25.10937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9" t="s">
        <v>9</v>
      </c>
      <c r="B1" s="80"/>
      <c r="C1" s="80"/>
      <c r="D1" s="80"/>
      <c r="E1" s="80"/>
      <c r="F1" s="80"/>
      <c r="G1" s="8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5</v>
      </c>
      <c r="D4" s="16" t="s">
        <v>1</v>
      </c>
      <c r="E4" s="15" t="s">
        <v>3</v>
      </c>
      <c r="F4" s="15" t="s">
        <v>4</v>
      </c>
      <c r="G4" s="15" t="s">
        <v>6</v>
      </c>
    </row>
    <row r="5" spans="1:7" x14ac:dyDescent="0.2">
      <c r="A5" s="21" t="s">
        <v>95</v>
      </c>
      <c r="B5" s="22"/>
      <c r="C5" s="22"/>
      <c r="D5" s="23"/>
      <c r="E5" s="24"/>
      <c r="F5" s="25"/>
      <c r="G5" s="24"/>
    </row>
    <row r="6" spans="1:7" x14ac:dyDescent="0.2">
      <c r="A6" s="26" t="s">
        <v>32</v>
      </c>
      <c r="B6" s="27"/>
      <c r="C6" s="27"/>
      <c r="D6" s="28"/>
      <c r="E6" s="29"/>
      <c r="F6" s="30"/>
      <c r="G6" s="29"/>
    </row>
    <row r="7" spans="1:7" x14ac:dyDescent="0.2">
      <c r="A7" s="27" t="s">
        <v>97</v>
      </c>
      <c r="B7" s="27" t="s">
        <v>96</v>
      </c>
      <c r="C7" s="27" t="s">
        <v>98</v>
      </c>
      <c r="D7" s="31">
        <v>697784</v>
      </c>
      <c r="E7" s="29">
        <v>11030.56947</v>
      </c>
      <c r="F7" s="30">
        <v>7.78318593345137</v>
      </c>
      <c r="G7" s="29"/>
    </row>
    <row r="8" spans="1:7" x14ac:dyDescent="0.2">
      <c r="A8" s="27" t="s">
        <v>103</v>
      </c>
      <c r="B8" s="27" t="s">
        <v>102</v>
      </c>
      <c r="C8" s="27" t="s">
        <v>101</v>
      </c>
      <c r="D8" s="31">
        <v>1267935</v>
      </c>
      <c r="E8" s="29">
        <v>9487.9576049999996</v>
      </c>
      <c r="F8" s="30">
        <v>6.6947167477853702</v>
      </c>
      <c r="G8" s="29"/>
    </row>
    <row r="9" spans="1:7" x14ac:dyDescent="0.2">
      <c r="A9" s="27" t="s">
        <v>100</v>
      </c>
      <c r="B9" s="27" t="s">
        <v>99</v>
      </c>
      <c r="C9" s="27" t="s">
        <v>101</v>
      </c>
      <c r="D9" s="31">
        <v>483868</v>
      </c>
      <c r="E9" s="29">
        <v>7247.8587719999996</v>
      </c>
      <c r="F9" s="30">
        <v>5.1140997384854501</v>
      </c>
      <c r="G9" s="29"/>
    </row>
    <row r="10" spans="1:7" x14ac:dyDescent="0.2">
      <c r="A10" s="27" t="s">
        <v>105</v>
      </c>
      <c r="B10" s="27" t="s">
        <v>104</v>
      </c>
      <c r="C10" s="27" t="s">
        <v>101</v>
      </c>
      <c r="D10" s="31">
        <v>1131302</v>
      </c>
      <c r="E10" s="29">
        <v>7137.3843180000003</v>
      </c>
      <c r="F10" s="30">
        <v>5.0361488023423</v>
      </c>
      <c r="G10" s="29"/>
    </row>
    <row r="11" spans="1:7" x14ac:dyDescent="0.2">
      <c r="A11" s="27" t="s">
        <v>110</v>
      </c>
      <c r="B11" s="27" t="s">
        <v>109</v>
      </c>
      <c r="C11" s="27" t="s">
        <v>111</v>
      </c>
      <c r="D11" s="31">
        <v>1046271</v>
      </c>
      <c r="E11" s="29">
        <v>5499.7235119999996</v>
      </c>
      <c r="F11" s="30">
        <v>3.8806129450422802</v>
      </c>
      <c r="G11" s="29"/>
    </row>
    <row r="12" spans="1:7" x14ac:dyDescent="0.2">
      <c r="A12" s="27" t="s">
        <v>141</v>
      </c>
      <c r="B12" s="27" t="s">
        <v>140</v>
      </c>
      <c r="C12" s="27" t="s">
        <v>142</v>
      </c>
      <c r="D12" s="31">
        <v>1808769</v>
      </c>
      <c r="E12" s="29">
        <v>4203.5791559999998</v>
      </c>
      <c r="F12" s="30">
        <v>2.96605159381029</v>
      </c>
      <c r="G12" s="29"/>
    </row>
    <row r="13" spans="1:7" x14ac:dyDescent="0.2">
      <c r="A13" s="27" t="s">
        <v>124</v>
      </c>
      <c r="B13" s="27" t="s">
        <v>123</v>
      </c>
      <c r="C13" s="27" t="s">
        <v>125</v>
      </c>
      <c r="D13" s="31">
        <v>71688</v>
      </c>
      <c r="E13" s="29">
        <v>3887.6760840000002</v>
      </c>
      <c r="F13" s="30">
        <v>2.74314992467965</v>
      </c>
      <c r="G13" s="29"/>
    </row>
    <row r="14" spans="1:7" x14ac:dyDescent="0.2">
      <c r="A14" s="27" t="s">
        <v>133</v>
      </c>
      <c r="B14" s="27" t="s">
        <v>132</v>
      </c>
      <c r="C14" s="27" t="s">
        <v>131</v>
      </c>
      <c r="D14" s="31">
        <v>1016102</v>
      </c>
      <c r="E14" s="29">
        <v>3387.684068</v>
      </c>
      <c r="F14" s="30">
        <v>2.3903548277127098</v>
      </c>
      <c r="G14" s="29"/>
    </row>
    <row r="15" spans="1:7" x14ac:dyDescent="0.2">
      <c r="A15" s="27" t="s">
        <v>137</v>
      </c>
      <c r="B15" s="27" t="s">
        <v>136</v>
      </c>
      <c r="C15" s="27" t="s">
        <v>98</v>
      </c>
      <c r="D15" s="31">
        <v>92416</v>
      </c>
      <c r="E15" s="29">
        <v>3092.0083199999999</v>
      </c>
      <c r="F15" s="30">
        <v>2.1817255879481499</v>
      </c>
      <c r="G15" s="29"/>
    </row>
    <row r="16" spans="1:7" x14ac:dyDescent="0.2">
      <c r="A16" s="27" t="s">
        <v>191</v>
      </c>
      <c r="B16" s="27" t="s">
        <v>190</v>
      </c>
      <c r="C16" s="27" t="s">
        <v>192</v>
      </c>
      <c r="D16" s="31">
        <v>205227</v>
      </c>
      <c r="E16" s="29">
        <v>3079.5337490000002</v>
      </c>
      <c r="F16" s="30">
        <v>2.17292351242547</v>
      </c>
      <c r="G16" s="29"/>
    </row>
    <row r="17" spans="1:7" x14ac:dyDescent="0.2">
      <c r="A17" s="27" t="s">
        <v>118</v>
      </c>
      <c r="B17" s="27" t="s">
        <v>117</v>
      </c>
      <c r="C17" s="27" t="s">
        <v>119</v>
      </c>
      <c r="D17" s="31">
        <v>794188</v>
      </c>
      <c r="E17" s="29">
        <v>2954.7764539999998</v>
      </c>
      <c r="F17" s="30">
        <v>2.0848945828058101</v>
      </c>
      <c r="G17" s="29"/>
    </row>
    <row r="18" spans="1:7" x14ac:dyDescent="0.2">
      <c r="A18" s="27" t="s">
        <v>144</v>
      </c>
      <c r="B18" s="27" t="s">
        <v>143</v>
      </c>
      <c r="C18" s="27" t="s">
        <v>142</v>
      </c>
      <c r="D18" s="31">
        <v>2468370</v>
      </c>
      <c r="E18" s="29">
        <v>2873.1826799999999</v>
      </c>
      <c r="F18" s="30">
        <v>2.0273218966647</v>
      </c>
      <c r="G18" s="29"/>
    </row>
    <row r="19" spans="1:7" x14ac:dyDescent="0.2">
      <c r="A19" s="27" t="s">
        <v>211</v>
      </c>
      <c r="B19" s="27" t="s">
        <v>210</v>
      </c>
      <c r="C19" s="27" t="s">
        <v>122</v>
      </c>
      <c r="D19" s="31">
        <v>2568360</v>
      </c>
      <c r="E19" s="29">
        <v>2771.26044</v>
      </c>
      <c r="F19" s="30">
        <v>1.9554054152145499</v>
      </c>
      <c r="G19" s="29"/>
    </row>
    <row r="20" spans="1:7" x14ac:dyDescent="0.2">
      <c r="A20" s="27" t="s">
        <v>196</v>
      </c>
      <c r="B20" s="27" t="s">
        <v>195</v>
      </c>
      <c r="C20" s="27" t="s">
        <v>98</v>
      </c>
      <c r="D20" s="31">
        <v>243717</v>
      </c>
      <c r="E20" s="29">
        <v>2669.797877</v>
      </c>
      <c r="F20" s="30">
        <v>1.8838132825271701</v>
      </c>
      <c r="G20" s="29"/>
    </row>
    <row r="21" spans="1:7" x14ac:dyDescent="0.2">
      <c r="A21" s="27" t="s">
        <v>135</v>
      </c>
      <c r="B21" s="27" t="s">
        <v>134</v>
      </c>
      <c r="C21" s="27" t="s">
        <v>101</v>
      </c>
      <c r="D21" s="31">
        <v>615662</v>
      </c>
      <c r="E21" s="29">
        <v>2580.8551040000002</v>
      </c>
      <c r="F21" s="30">
        <v>1.82105513195494</v>
      </c>
      <c r="G21" s="29"/>
    </row>
    <row r="22" spans="1:7" x14ac:dyDescent="0.2">
      <c r="A22" s="27" t="s">
        <v>130</v>
      </c>
      <c r="B22" s="27" t="s">
        <v>129</v>
      </c>
      <c r="C22" s="27" t="s">
        <v>131</v>
      </c>
      <c r="D22" s="31">
        <v>1103354</v>
      </c>
      <c r="E22" s="29">
        <v>2491.3733320000001</v>
      </c>
      <c r="F22" s="30">
        <v>1.75791666290084</v>
      </c>
      <c r="G22" s="29"/>
    </row>
    <row r="23" spans="1:7" x14ac:dyDescent="0.2">
      <c r="A23" s="27" t="s">
        <v>139</v>
      </c>
      <c r="B23" s="27" t="s">
        <v>138</v>
      </c>
      <c r="C23" s="27" t="s">
        <v>128</v>
      </c>
      <c r="D23" s="31">
        <v>95579</v>
      </c>
      <c r="E23" s="29">
        <v>2362.043827</v>
      </c>
      <c r="F23" s="30">
        <v>1.66666157522528</v>
      </c>
      <c r="G23" s="29"/>
    </row>
    <row r="24" spans="1:7" x14ac:dyDescent="0.2">
      <c r="A24" s="27" t="s">
        <v>206</v>
      </c>
      <c r="B24" s="27" t="s">
        <v>205</v>
      </c>
      <c r="C24" s="27" t="s">
        <v>185</v>
      </c>
      <c r="D24" s="31">
        <v>336933</v>
      </c>
      <c r="E24" s="29">
        <v>2302.6001219999998</v>
      </c>
      <c r="F24" s="30">
        <v>1.6247180101313301</v>
      </c>
      <c r="G24" s="29"/>
    </row>
    <row r="25" spans="1:7" x14ac:dyDescent="0.2">
      <c r="A25" s="27" t="s">
        <v>201</v>
      </c>
      <c r="B25" s="27" t="s">
        <v>200</v>
      </c>
      <c r="C25" s="27" t="s">
        <v>185</v>
      </c>
      <c r="D25" s="31">
        <v>345421</v>
      </c>
      <c r="E25" s="29">
        <v>2287.3778619999998</v>
      </c>
      <c r="F25" s="30">
        <v>1.6139771612359399</v>
      </c>
      <c r="G25" s="29"/>
    </row>
    <row r="26" spans="1:7" x14ac:dyDescent="0.2">
      <c r="A26" s="27" t="s">
        <v>198</v>
      </c>
      <c r="B26" s="27" t="s">
        <v>197</v>
      </c>
      <c r="C26" s="27" t="s">
        <v>199</v>
      </c>
      <c r="D26" s="31">
        <v>1583382</v>
      </c>
      <c r="E26" s="29">
        <v>2239.693839</v>
      </c>
      <c r="F26" s="30">
        <v>1.5803312449418401</v>
      </c>
      <c r="G26" s="29"/>
    </row>
    <row r="27" spans="1:7" x14ac:dyDescent="0.2">
      <c r="A27" s="27" t="s">
        <v>107</v>
      </c>
      <c r="B27" s="27" t="s">
        <v>106</v>
      </c>
      <c r="C27" s="27" t="s">
        <v>108</v>
      </c>
      <c r="D27" s="31">
        <v>99000</v>
      </c>
      <c r="E27" s="29">
        <v>2216.808</v>
      </c>
      <c r="F27" s="30">
        <v>1.56418296350773</v>
      </c>
      <c r="G27" s="29"/>
    </row>
    <row r="28" spans="1:7" x14ac:dyDescent="0.2">
      <c r="A28" s="27" t="s">
        <v>113</v>
      </c>
      <c r="B28" s="27" t="s">
        <v>112</v>
      </c>
      <c r="C28" s="27" t="s">
        <v>114</v>
      </c>
      <c r="D28" s="31">
        <v>204626</v>
      </c>
      <c r="E28" s="29">
        <v>2092.1985370000002</v>
      </c>
      <c r="F28" s="30">
        <v>1.47625834436324</v>
      </c>
      <c r="G28" s="29"/>
    </row>
    <row r="29" spans="1:7" x14ac:dyDescent="0.2">
      <c r="A29" s="27" t="s">
        <v>146</v>
      </c>
      <c r="B29" s="27" t="s">
        <v>145</v>
      </c>
      <c r="C29" s="27" t="s">
        <v>128</v>
      </c>
      <c r="D29" s="31">
        <v>128251</v>
      </c>
      <c r="E29" s="29">
        <v>1854.894213</v>
      </c>
      <c r="F29" s="30">
        <v>1.30881606665245</v>
      </c>
      <c r="G29" s="29"/>
    </row>
    <row r="30" spans="1:7" x14ac:dyDescent="0.2">
      <c r="A30" s="27" t="s">
        <v>224</v>
      </c>
      <c r="B30" s="27" t="s">
        <v>223</v>
      </c>
      <c r="C30" s="27" t="s">
        <v>142</v>
      </c>
      <c r="D30" s="31">
        <v>6797235</v>
      </c>
      <c r="E30" s="29">
        <v>1780.8755699999999</v>
      </c>
      <c r="F30" s="30">
        <v>1.2565884040120401</v>
      </c>
      <c r="G30" s="29"/>
    </row>
    <row r="31" spans="1:7" x14ac:dyDescent="0.2">
      <c r="A31" s="27" t="s">
        <v>208</v>
      </c>
      <c r="B31" s="27" t="s">
        <v>207</v>
      </c>
      <c r="C31" s="27" t="s">
        <v>209</v>
      </c>
      <c r="D31" s="31">
        <v>921918</v>
      </c>
      <c r="E31" s="29">
        <v>1715.689398</v>
      </c>
      <c r="F31" s="30">
        <v>1.21059294581327</v>
      </c>
      <c r="G31" s="29"/>
    </row>
    <row r="32" spans="1:7" x14ac:dyDescent="0.2">
      <c r="A32" s="27" t="s">
        <v>157</v>
      </c>
      <c r="B32" s="27" t="s">
        <v>156</v>
      </c>
      <c r="C32" s="27" t="s">
        <v>101</v>
      </c>
      <c r="D32" s="31">
        <v>999697</v>
      </c>
      <c r="E32" s="29">
        <v>1665.4952020000001</v>
      </c>
      <c r="F32" s="30">
        <v>1.1751758477830601</v>
      </c>
      <c r="G32" s="29"/>
    </row>
    <row r="33" spans="1:9" x14ac:dyDescent="0.2">
      <c r="A33" s="27" t="s">
        <v>159</v>
      </c>
      <c r="B33" s="27" t="s">
        <v>158</v>
      </c>
      <c r="C33" s="27" t="s">
        <v>160</v>
      </c>
      <c r="D33" s="31">
        <v>649104</v>
      </c>
      <c r="E33" s="29">
        <v>1400.4418800000001</v>
      </c>
      <c r="F33" s="30">
        <v>0.98815383654278299</v>
      </c>
      <c r="G33" s="29"/>
    </row>
    <row r="34" spans="1:9" x14ac:dyDescent="0.2">
      <c r="A34" s="27" t="s">
        <v>162</v>
      </c>
      <c r="B34" s="27" t="s">
        <v>161</v>
      </c>
      <c r="C34" s="27" t="s">
        <v>149</v>
      </c>
      <c r="D34" s="31">
        <v>381483</v>
      </c>
      <c r="E34" s="29">
        <v>1295.5162680000001</v>
      </c>
      <c r="F34" s="30">
        <v>0.91411817142157203</v>
      </c>
      <c r="G34" s="29"/>
    </row>
    <row r="35" spans="1:9" x14ac:dyDescent="0.2">
      <c r="A35" s="27" t="s">
        <v>226</v>
      </c>
      <c r="B35" s="27" t="s">
        <v>225</v>
      </c>
      <c r="C35" s="27" t="s">
        <v>114</v>
      </c>
      <c r="D35" s="31">
        <v>72561</v>
      </c>
      <c r="E35" s="29">
        <v>1257.1193249999999</v>
      </c>
      <c r="F35" s="30">
        <v>0.88702523234368302</v>
      </c>
      <c r="G35" s="29"/>
    </row>
    <row r="36" spans="1:9" x14ac:dyDescent="0.2">
      <c r="A36" s="27" t="s">
        <v>148</v>
      </c>
      <c r="B36" s="27" t="s">
        <v>147</v>
      </c>
      <c r="C36" s="27" t="s">
        <v>149</v>
      </c>
      <c r="D36" s="31">
        <v>146320</v>
      </c>
      <c r="E36" s="29">
        <v>1137.93064</v>
      </c>
      <c r="F36" s="30">
        <v>0.80292552207563594</v>
      </c>
      <c r="G36" s="29"/>
    </row>
    <row r="37" spans="1:9" x14ac:dyDescent="0.2">
      <c r="A37" s="27" t="s">
        <v>121</v>
      </c>
      <c r="B37" s="27" t="s">
        <v>120</v>
      </c>
      <c r="C37" s="27" t="s">
        <v>122</v>
      </c>
      <c r="D37" s="31">
        <v>362218</v>
      </c>
      <c r="E37" s="29">
        <v>1062.0231759999999</v>
      </c>
      <c r="F37" s="30">
        <v>0.74936510457810002</v>
      </c>
      <c r="G37" s="29"/>
    </row>
    <row r="38" spans="1:9" x14ac:dyDescent="0.2">
      <c r="A38" s="27" t="s">
        <v>155</v>
      </c>
      <c r="B38" s="27" t="s">
        <v>154</v>
      </c>
      <c r="C38" s="27" t="s">
        <v>125</v>
      </c>
      <c r="D38" s="31">
        <v>164030</v>
      </c>
      <c r="E38" s="29">
        <v>1058.3215600000001</v>
      </c>
      <c r="F38" s="30">
        <v>0.74675323892052103</v>
      </c>
      <c r="G38" s="29"/>
    </row>
    <row r="39" spans="1:9" x14ac:dyDescent="0.2">
      <c r="A39" s="27" t="s">
        <v>203</v>
      </c>
      <c r="B39" s="27" t="s">
        <v>202</v>
      </c>
      <c r="C39" s="27" t="s">
        <v>204</v>
      </c>
      <c r="D39" s="31">
        <v>377910</v>
      </c>
      <c r="E39" s="29">
        <v>897.91416000000004</v>
      </c>
      <c r="F39" s="30">
        <v>0.63356954312883795</v>
      </c>
      <c r="G39" s="29"/>
    </row>
    <row r="40" spans="1:9" x14ac:dyDescent="0.2">
      <c r="A40" s="27" t="s">
        <v>163</v>
      </c>
      <c r="B40" s="27" t="s">
        <v>725</v>
      </c>
      <c r="C40" s="27" t="s">
        <v>160</v>
      </c>
      <c r="D40" s="31">
        <v>75869</v>
      </c>
      <c r="E40" s="29">
        <v>140.58525700000001</v>
      </c>
      <c r="F40" s="30">
        <v>9.9197162731168201E-2</v>
      </c>
      <c r="G40" s="29"/>
    </row>
    <row r="41" spans="1:9" x14ac:dyDescent="0.2">
      <c r="A41" s="26" t="s">
        <v>35</v>
      </c>
      <c r="B41" s="26"/>
      <c r="C41" s="26"/>
      <c r="D41" s="32"/>
      <c r="E41" s="33">
        <f>SUM(E7:E40)</f>
        <v>103162.74977700005</v>
      </c>
      <c r="F41" s="34">
        <f>SUM(F7:F40)</f>
        <v>72.791786961159559</v>
      </c>
      <c r="G41" s="33"/>
      <c r="H41" s="18"/>
      <c r="I41" s="18"/>
    </row>
    <row r="42" spans="1:9" x14ac:dyDescent="0.2">
      <c r="A42" s="27"/>
      <c r="B42" s="27"/>
      <c r="C42" s="27"/>
      <c r="D42" s="28"/>
      <c r="E42" s="29"/>
      <c r="F42" s="30"/>
      <c r="G42" s="29"/>
    </row>
    <row r="43" spans="1:9" x14ac:dyDescent="0.2">
      <c r="A43" s="26" t="s">
        <v>227</v>
      </c>
      <c r="B43" s="27"/>
      <c r="C43" s="27"/>
      <c r="D43" s="28"/>
      <c r="E43" s="29"/>
      <c r="F43" s="30"/>
      <c r="G43" s="29"/>
    </row>
    <row r="44" spans="1:9" x14ac:dyDescent="0.2">
      <c r="A44" s="27" t="s">
        <v>228</v>
      </c>
      <c r="B44" s="27" t="s">
        <v>727</v>
      </c>
      <c r="C44" s="27" t="s">
        <v>229</v>
      </c>
      <c r="D44" s="31">
        <v>270000</v>
      </c>
      <c r="E44" s="29">
        <v>2.7E-2</v>
      </c>
      <c r="F44" s="30">
        <v>1.9051239446406101E-5</v>
      </c>
      <c r="G44" s="29"/>
    </row>
    <row r="45" spans="1:9" x14ac:dyDescent="0.2">
      <c r="A45" s="27"/>
      <c r="B45" s="27" t="s">
        <v>728</v>
      </c>
      <c r="C45" s="27" t="s">
        <v>185</v>
      </c>
      <c r="D45" s="31">
        <v>27500</v>
      </c>
      <c r="E45" s="29">
        <v>2.7499999999999998E-3</v>
      </c>
      <c r="F45" s="30">
        <v>1.94040401768951E-6</v>
      </c>
      <c r="G45" s="29"/>
    </row>
    <row r="46" spans="1:9" x14ac:dyDescent="0.2">
      <c r="A46" s="26" t="s">
        <v>35</v>
      </c>
      <c r="B46" s="26"/>
      <c r="C46" s="26"/>
      <c r="D46" s="32"/>
      <c r="E46" s="33">
        <f>SUM(E43:E45)</f>
        <v>2.9749999999999999E-2</v>
      </c>
      <c r="F46" s="34">
        <f>SUM(F43:F45)</f>
        <v>2.0991643464095611E-5</v>
      </c>
      <c r="G46" s="33"/>
      <c r="H46" s="18"/>
      <c r="I46" s="18"/>
    </row>
    <row r="47" spans="1:9" x14ac:dyDescent="0.2">
      <c r="A47" s="27"/>
      <c r="B47" s="27"/>
      <c r="C47" s="27"/>
      <c r="D47" s="28"/>
      <c r="E47" s="29"/>
      <c r="F47" s="30"/>
      <c r="G47" s="29"/>
    </row>
    <row r="48" spans="1:9" x14ac:dyDescent="0.2">
      <c r="A48" s="26" t="s">
        <v>230</v>
      </c>
      <c r="B48" s="27"/>
      <c r="C48" s="27"/>
      <c r="D48" s="28"/>
      <c r="E48" s="29"/>
      <c r="F48" s="30"/>
      <c r="G48" s="29"/>
    </row>
    <row r="49" spans="1:9" x14ac:dyDescent="0.2">
      <c r="A49" s="27" t="s">
        <v>178</v>
      </c>
      <c r="B49" s="27" t="s">
        <v>177</v>
      </c>
      <c r="C49" s="27" t="s">
        <v>358</v>
      </c>
      <c r="D49" s="31">
        <v>1053600</v>
      </c>
      <c r="E49" s="29">
        <v>3691.6036800000002</v>
      </c>
      <c r="F49" s="30">
        <v>2.6048009499597802</v>
      </c>
      <c r="G49" s="29"/>
    </row>
    <row r="50" spans="1:9" x14ac:dyDescent="0.2">
      <c r="A50" s="27" t="s">
        <v>232</v>
      </c>
      <c r="B50" s="27" t="s">
        <v>231</v>
      </c>
      <c r="C50" s="27" t="s">
        <v>358</v>
      </c>
      <c r="D50" s="31">
        <v>151400</v>
      </c>
      <c r="E50" s="29">
        <v>406.37274000000002</v>
      </c>
      <c r="F50" s="30">
        <v>0.28673719904563499</v>
      </c>
      <c r="G50" s="29"/>
    </row>
    <row r="51" spans="1:9" x14ac:dyDescent="0.2">
      <c r="A51" s="26" t="s">
        <v>35</v>
      </c>
      <c r="B51" s="26"/>
      <c r="C51" s="26"/>
      <c r="D51" s="32"/>
      <c r="E51" s="33">
        <f>SUM(E48:E50)</f>
        <v>4097.97642</v>
      </c>
      <c r="F51" s="34">
        <f>SUM(F48:F50)</f>
        <v>2.8915381490054153</v>
      </c>
      <c r="G51" s="33"/>
      <c r="H51" s="18"/>
      <c r="I51" s="18"/>
    </row>
    <row r="52" spans="1:9" x14ac:dyDescent="0.2">
      <c r="A52" s="27"/>
      <c r="B52" s="27"/>
      <c r="C52" s="27"/>
      <c r="D52" s="28"/>
      <c r="E52" s="29"/>
      <c r="F52" s="30"/>
      <c r="G52" s="29"/>
    </row>
    <row r="53" spans="1:9" x14ac:dyDescent="0.2">
      <c r="A53" s="26" t="s">
        <v>717</v>
      </c>
      <c r="B53" s="27"/>
      <c r="C53" s="27"/>
      <c r="D53" s="28"/>
      <c r="E53" s="29"/>
      <c r="F53" s="30"/>
      <c r="G53" s="29"/>
    </row>
    <row r="54" spans="1:9" x14ac:dyDescent="0.2">
      <c r="A54" s="27" t="s">
        <v>180</v>
      </c>
      <c r="B54" s="27" t="s">
        <v>179</v>
      </c>
      <c r="C54" s="27" t="s">
        <v>142</v>
      </c>
      <c r="D54" s="31">
        <v>569800</v>
      </c>
      <c r="E54" s="29">
        <v>645.52642000000003</v>
      </c>
      <c r="F54" s="30">
        <v>0.45548438505190098</v>
      </c>
      <c r="G54" s="29"/>
    </row>
    <row r="55" spans="1:9" x14ac:dyDescent="0.2">
      <c r="A55" s="26" t="s">
        <v>35</v>
      </c>
      <c r="B55" s="26"/>
      <c r="C55" s="26"/>
      <c r="D55" s="32"/>
      <c r="E55" s="33">
        <f>SUM(E53:E54)</f>
        <v>645.52642000000003</v>
      </c>
      <c r="F55" s="34">
        <f>SUM(F53:F54)</f>
        <v>0.45548438505190098</v>
      </c>
      <c r="G55" s="33"/>
      <c r="H55" s="18"/>
      <c r="I55" s="18"/>
    </row>
    <row r="56" spans="1:9" x14ac:dyDescent="0.2">
      <c r="A56" s="27"/>
      <c r="B56" s="27"/>
      <c r="C56" s="27"/>
      <c r="D56" s="28"/>
      <c r="E56" s="29"/>
      <c r="F56" s="30"/>
      <c r="G56" s="29"/>
    </row>
    <row r="57" spans="1:9" x14ac:dyDescent="0.2">
      <c r="A57" s="26" t="s">
        <v>31</v>
      </c>
      <c r="B57" s="27"/>
      <c r="C57" s="27"/>
      <c r="D57" s="28"/>
      <c r="E57" s="29"/>
      <c r="F57" s="30"/>
      <c r="G57" s="29"/>
    </row>
    <row r="58" spans="1:9" x14ac:dyDescent="0.2">
      <c r="A58" s="26" t="s">
        <v>32</v>
      </c>
      <c r="B58" s="27"/>
      <c r="C58" s="27"/>
      <c r="D58" s="28"/>
      <c r="E58" s="29"/>
      <c r="F58" s="30"/>
      <c r="G58" s="29"/>
    </row>
    <row r="59" spans="1:9" x14ac:dyDescent="0.2">
      <c r="A59" s="27" t="s">
        <v>93</v>
      </c>
      <c r="B59" s="27" t="s">
        <v>92</v>
      </c>
      <c r="C59" s="27" t="s">
        <v>33</v>
      </c>
      <c r="D59" s="31">
        <v>450</v>
      </c>
      <c r="E59" s="29">
        <v>4549.0365000000002</v>
      </c>
      <c r="F59" s="30">
        <v>3.2098068004422702</v>
      </c>
      <c r="G59" s="29">
        <v>8.6390999999999991</v>
      </c>
    </row>
    <row r="60" spans="1:9" x14ac:dyDescent="0.2">
      <c r="A60" s="27" t="s">
        <v>234</v>
      </c>
      <c r="B60" s="27" t="s">
        <v>233</v>
      </c>
      <c r="C60" s="27" t="s">
        <v>33</v>
      </c>
      <c r="D60" s="31">
        <v>83</v>
      </c>
      <c r="E60" s="29">
        <v>834.88040000000001</v>
      </c>
      <c r="F60" s="30">
        <v>0.58909282998190104</v>
      </c>
      <c r="G60" s="29">
        <v>7.7538</v>
      </c>
    </row>
    <row r="61" spans="1:9" x14ac:dyDescent="0.2">
      <c r="A61" s="27" t="s">
        <v>165</v>
      </c>
      <c r="B61" s="27" t="s">
        <v>164</v>
      </c>
      <c r="C61" s="27" t="s">
        <v>34</v>
      </c>
      <c r="D61" s="31">
        <v>50</v>
      </c>
      <c r="E61" s="29">
        <v>516.54999999999995</v>
      </c>
      <c r="F61" s="30">
        <v>0.36447843466818802</v>
      </c>
      <c r="G61" s="29">
        <v>4.99</v>
      </c>
    </row>
    <row r="62" spans="1:9" x14ac:dyDescent="0.2">
      <c r="A62" s="26" t="s">
        <v>35</v>
      </c>
      <c r="B62" s="26"/>
      <c r="C62" s="26"/>
      <c r="D62" s="32"/>
      <c r="E62" s="33">
        <f>SUM(E58:E61)</f>
        <v>5900.4669000000004</v>
      </c>
      <c r="F62" s="34">
        <f>SUM(F58:F61)</f>
        <v>4.1633780650923589</v>
      </c>
      <c r="G62" s="33"/>
      <c r="H62" s="18"/>
      <c r="I62" s="18"/>
    </row>
    <row r="63" spans="1:9" x14ac:dyDescent="0.2">
      <c r="A63" s="27"/>
      <c r="B63" s="27"/>
      <c r="C63" s="27"/>
      <c r="D63" s="28"/>
      <c r="E63" s="29"/>
      <c r="F63" s="30"/>
      <c r="G63" s="29"/>
    </row>
    <row r="64" spans="1:9" x14ac:dyDescent="0.2">
      <c r="A64" s="26" t="s">
        <v>51</v>
      </c>
      <c r="B64" s="27"/>
      <c r="C64" s="27"/>
      <c r="D64" s="28"/>
      <c r="E64" s="29"/>
      <c r="F64" s="30"/>
      <c r="G64" s="29"/>
    </row>
    <row r="65" spans="1:9" x14ac:dyDescent="0.2">
      <c r="A65" s="26" t="s">
        <v>52</v>
      </c>
      <c r="B65" s="27"/>
      <c r="C65" s="27"/>
      <c r="D65" s="28"/>
      <c r="E65" s="29"/>
      <c r="F65" s="30"/>
      <c r="G65" s="29"/>
    </row>
    <row r="66" spans="1:9" x14ac:dyDescent="0.2">
      <c r="A66" s="27" t="s">
        <v>182</v>
      </c>
      <c r="B66" s="27" t="s">
        <v>181</v>
      </c>
      <c r="C66" s="27" t="s">
        <v>54</v>
      </c>
      <c r="D66" s="31">
        <v>2500</v>
      </c>
      <c r="E66" s="29">
        <v>2440.5100000000002</v>
      </c>
      <c r="F66" s="30">
        <v>1.72202742153143</v>
      </c>
      <c r="G66" s="29">
        <v>3.835</v>
      </c>
    </row>
    <row r="67" spans="1:9" x14ac:dyDescent="0.2">
      <c r="A67" s="26" t="s">
        <v>35</v>
      </c>
      <c r="B67" s="26"/>
      <c r="C67" s="26"/>
      <c r="D67" s="32"/>
      <c r="E67" s="33">
        <f>SUM(E65:E66)</f>
        <v>2440.5100000000002</v>
      </c>
      <c r="F67" s="34">
        <f>SUM(F65:F66)</f>
        <v>1.72202742153143</v>
      </c>
      <c r="G67" s="33"/>
      <c r="H67" s="18"/>
      <c r="I67" s="18"/>
    </row>
    <row r="68" spans="1:9" x14ac:dyDescent="0.2">
      <c r="A68" s="27"/>
      <c r="B68" s="27"/>
      <c r="C68" s="27"/>
      <c r="D68" s="28"/>
      <c r="E68" s="29"/>
      <c r="F68" s="30"/>
      <c r="G68" s="29"/>
    </row>
    <row r="69" spans="1:9" x14ac:dyDescent="0.2">
      <c r="A69" s="26" t="s">
        <v>55</v>
      </c>
      <c r="B69" s="27"/>
      <c r="C69" s="27"/>
      <c r="D69" s="28"/>
      <c r="E69" s="29"/>
      <c r="F69" s="30"/>
      <c r="G69" s="29"/>
    </row>
    <row r="70" spans="1:9" x14ac:dyDescent="0.2">
      <c r="A70" s="27" t="s">
        <v>57</v>
      </c>
      <c r="B70" s="27" t="s">
        <v>56</v>
      </c>
      <c r="C70" s="27" t="s">
        <v>58</v>
      </c>
      <c r="D70" s="31">
        <v>1000</v>
      </c>
      <c r="E70" s="29">
        <v>4868.585</v>
      </c>
      <c r="F70" s="30">
        <v>3.4352806888955998</v>
      </c>
      <c r="G70" s="29">
        <v>4.0712000000000002</v>
      </c>
    </row>
    <row r="71" spans="1:9" x14ac:dyDescent="0.2">
      <c r="A71" s="27" t="s">
        <v>60</v>
      </c>
      <c r="B71" s="27" t="s">
        <v>59</v>
      </c>
      <c r="C71" s="27" t="s">
        <v>53</v>
      </c>
      <c r="D71" s="31">
        <v>500</v>
      </c>
      <c r="E71" s="29">
        <v>2473.2674999999999</v>
      </c>
      <c r="F71" s="30">
        <v>1.7451411613894201</v>
      </c>
      <c r="G71" s="29">
        <v>3.9849999999999999</v>
      </c>
    </row>
    <row r="72" spans="1:9" x14ac:dyDescent="0.2">
      <c r="A72" s="26" t="s">
        <v>35</v>
      </c>
      <c r="B72" s="26"/>
      <c r="C72" s="26"/>
      <c r="D72" s="32"/>
      <c r="E72" s="33">
        <f>SUM(E69:E71)</f>
        <v>7341.8525</v>
      </c>
      <c r="F72" s="34">
        <f>SUM(F69:F71)</f>
        <v>5.1804218502850201</v>
      </c>
      <c r="G72" s="33"/>
      <c r="H72" s="18"/>
      <c r="I72" s="18"/>
    </row>
    <row r="73" spans="1:9" x14ac:dyDescent="0.2">
      <c r="A73" s="27"/>
      <c r="B73" s="27"/>
      <c r="C73" s="27"/>
      <c r="D73" s="28"/>
      <c r="E73" s="29"/>
      <c r="F73" s="30"/>
      <c r="G73" s="29"/>
    </row>
    <row r="74" spans="1:9" x14ac:dyDescent="0.2">
      <c r="A74" s="26" t="s">
        <v>62</v>
      </c>
      <c r="B74" s="27"/>
      <c r="C74" s="27"/>
      <c r="D74" s="28"/>
      <c r="E74" s="29"/>
      <c r="F74" s="30"/>
      <c r="G74" s="29"/>
    </row>
    <row r="75" spans="1:9" x14ac:dyDescent="0.2">
      <c r="A75" s="27" t="s">
        <v>79</v>
      </c>
      <c r="B75" s="27" t="s">
        <v>78</v>
      </c>
      <c r="C75" s="27" t="s">
        <v>65</v>
      </c>
      <c r="D75" s="31">
        <v>10000000</v>
      </c>
      <c r="E75" s="29">
        <v>9811.83</v>
      </c>
      <c r="F75" s="30">
        <v>6.92324158286781</v>
      </c>
      <c r="G75" s="29">
        <v>5.6414</v>
      </c>
    </row>
    <row r="76" spans="1:9" x14ac:dyDescent="0.2">
      <c r="A76" s="27" t="s">
        <v>85</v>
      </c>
      <c r="B76" s="27" t="s">
        <v>84</v>
      </c>
      <c r="C76" s="27" t="s">
        <v>65</v>
      </c>
      <c r="D76" s="31">
        <v>2000000</v>
      </c>
      <c r="E76" s="29">
        <v>2109.998</v>
      </c>
      <c r="F76" s="30">
        <v>1.48881767146067</v>
      </c>
      <c r="G76" s="29">
        <v>5.9260999999999999</v>
      </c>
    </row>
    <row r="77" spans="1:9" x14ac:dyDescent="0.2">
      <c r="A77" s="27" t="s">
        <v>64</v>
      </c>
      <c r="B77" s="27" t="s">
        <v>63</v>
      </c>
      <c r="C77" s="27" t="s">
        <v>65</v>
      </c>
      <c r="D77" s="31">
        <v>2000000</v>
      </c>
      <c r="E77" s="29">
        <v>2053.6</v>
      </c>
      <c r="F77" s="30">
        <v>1.4490231602644299</v>
      </c>
      <c r="G77" s="29">
        <v>3.7894999999999999</v>
      </c>
    </row>
    <row r="78" spans="1:9" x14ac:dyDescent="0.2">
      <c r="A78" s="27" t="s">
        <v>83</v>
      </c>
      <c r="B78" s="27" t="s">
        <v>82</v>
      </c>
      <c r="C78" s="27" t="s">
        <v>65</v>
      </c>
      <c r="D78" s="31">
        <v>970000</v>
      </c>
      <c r="E78" s="29">
        <v>1016.24766</v>
      </c>
      <c r="F78" s="30">
        <v>0.71706583361147802</v>
      </c>
      <c r="G78" s="29">
        <v>6.2675000000000001</v>
      </c>
    </row>
    <row r="79" spans="1:9" x14ac:dyDescent="0.2">
      <c r="A79" s="27" t="s">
        <v>81</v>
      </c>
      <c r="B79" s="27" t="s">
        <v>80</v>
      </c>
      <c r="C79" s="27" t="s">
        <v>65</v>
      </c>
      <c r="D79" s="31">
        <v>900000</v>
      </c>
      <c r="E79" s="29">
        <v>928.97280000000001</v>
      </c>
      <c r="F79" s="30">
        <v>0.655484564888827</v>
      </c>
      <c r="G79" s="29">
        <v>6.1269999999999998</v>
      </c>
    </row>
    <row r="80" spans="1:9" x14ac:dyDescent="0.2">
      <c r="A80" s="27" t="s">
        <v>167</v>
      </c>
      <c r="B80" s="27" t="s">
        <v>166</v>
      </c>
      <c r="C80" s="27" t="s">
        <v>65</v>
      </c>
      <c r="D80" s="31">
        <v>300000</v>
      </c>
      <c r="E80" s="29">
        <v>308.52780000000001</v>
      </c>
      <c r="F80" s="30">
        <v>0.21769766643232999</v>
      </c>
      <c r="G80" s="29">
        <v>5.2388000000000003</v>
      </c>
    </row>
    <row r="81" spans="1:9" x14ac:dyDescent="0.2">
      <c r="A81" s="27" t="s">
        <v>87</v>
      </c>
      <c r="B81" s="27" t="s">
        <v>86</v>
      </c>
      <c r="C81" s="27" t="s">
        <v>65</v>
      </c>
      <c r="D81" s="31">
        <v>100000</v>
      </c>
      <c r="E81" s="29">
        <v>105.755</v>
      </c>
      <c r="F81" s="30">
        <v>7.4620882505728903E-2</v>
      </c>
      <c r="G81" s="29">
        <v>4.9111000000000002</v>
      </c>
    </row>
    <row r="82" spans="1:9" x14ac:dyDescent="0.2">
      <c r="A82" s="27" t="s">
        <v>89</v>
      </c>
      <c r="B82" s="27" t="s">
        <v>88</v>
      </c>
      <c r="C82" s="27" t="s">
        <v>65</v>
      </c>
      <c r="D82" s="31">
        <v>100000</v>
      </c>
      <c r="E82" s="29">
        <v>98.669200000000004</v>
      </c>
      <c r="F82" s="30">
        <v>6.96211316735309E-2</v>
      </c>
      <c r="G82" s="29">
        <v>5.5989000000000004</v>
      </c>
    </row>
    <row r="83" spans="1:9" x14ac:dyDescent="0.2">
      <c r="A83" s="26" t="s">
        <v>35</v>
      </c>
      <c r="B83" s="26"/>
      <c r="C83" s="26"/>
      <c r="D83" s="32"/>
      <c r="E83" s="33">
        <f>SUM(E75:E82)</f>
        <v>16433.600459999998</v>
      </c>
      <c r="F83" s="34">
        <f>SUM(F75:F82)</f>
        <v>11.595572493704802</v>
      </c>
      <c r="G83" s="33"/>
      <c r="H83" s="18"/>
      <c r="I83" s="18"/>
    </row>
    <row r="84" spans="1:9" x14ac:dyDescent="0.2">
      <c r="A84" s="27"/>
      <c r="B84" s="27"/>
      <c r="C84" s="27"/>
      <c r="D84" s="28"/>
      <c r="E84" s="29"/>
      <c r="F84" s="30"/>
      <c r="G84" s="29"/>
    </row>
    <row r="85" spans="1:9" x14ac:dyDescent="0.2">
      <c r="A85" s="26" t="s">
        <v>37</v>
      </c>
      <c r="B85" s="26"/>
      <c r="C85" s="26"/>
      <c r="D85" s="32"/>
      <c r="E85" s="33">
        <f>E41+E46+E51+E55+E62+E67+E72+E83</f>
        <v>140022.71222700004</v>
      </c>
      <c r="F85" s="34">
        <f>F41+F46+F51+F55+F62+F67+F72+F83</f>
        <v>98.800230317473961</v>
      </c>
      <c r="G85" s="33"/>
      <c r="H85" s="18"/>
      <c r="I85" s="18"/>
    </row>
    <row r="86" spans="1:9" x14ac:dyDescent="0.2">
      <c r="A86" s="26"/>
      <c r="B86" s="26"/>
      <c r="C86" s="26"/>
      <c r="D86" s="32"/>
      <c r="E86" s="33"/>
      <c r="F86" s="34"/>
      <c r="G86" s="33"/>
      <c r="H86" s="18"/>
      <c r="I86" s="18"/>
    </row>
    <row r="87" spans="1:9" x14ac:dyDescent="0.2">
      <c r="A87" s="26" t="s">
        <v>39</v>
      </c>
      <c r="B87" s="26"/>
      <c r="C87" s="26"/>
      <c r="D87" s="32"/>
      <c r="E87" s="33">
        <f>E89-(E41+E46+E51+E55+E62+E67+E72+E83)</f>
        <v>1700.3503377999587</v>
      </c>
      <c r="F87" s="34">
        <f>F89-(F41+F46+F51+F55+F62+F67+F72+F83)</f>
        <v>1.1997696825260391</v>
      </c>
      <c r="G87" s="33"/>
      <c r="H87" s="18"/>
      <c r="I87" s="18"/>
    </row>
    <row r="88" spans="1:9" x14ac:dyDescent="0.2">
      <c r="A88" s="26"/>
      <c r="B88" s="26"/>
      <c r="C88" s="26"/>
      <c r="D88" s="32"/>
      <c r="E88" s="33"/>
      <c r="F88" s="34"/>
      <c r="G88" s="33"/>
      <c r="H88" s="18"/>
      <c r="I88" s="18"/>
    </row>
    <row r="89" spans="1:9" x14ac:dyDescent="0.2">
      <c r="A89" s="35" t="s">
        <v>38</v>
      </c>
      <c r="B89" s="35"/>
      <c r="C89" s="35"/>
      <c r="D89" s="36"/>
      <c r="E89" s="37">
        <v>141723.0625648</v>
      </c>
      <c r="F89" s="38">
        <v>100</v>
      </c>
      <c r="G89" s="37"/>
      <c r="H89" s="18"/>
      <c r="I89" s="18"/>
    </row>
    <row r="90" spans="1:9" x14ac:dyDescent="0.2">
      <c r="F90" s="20" t="s">
        <v>503</v>
      </c>
    </row>
    <row r="91" spans="1:9" x14ac:dyDescent="0.2">
      <c r="A91" s="18" t="s">
        <v>66</v>
      </c>
    </row>
    <row r="92" spans="1:9" x14ac:dyDescent="0.2">
      <c r="A92" s="18" t="s">
        <v>40</v>
      </c>
    </row>
    <row r="93" spans="1:9" x14ac:dyDescent="0.2">
      <c r="A93" s="18" t="s">
        <v>733</v>
      </c>
    </row>
    <row r="94" spans="1:9" x14ac:dyDescent="0.2">
      <c r="A94" s="18" t="s">
        <v>726</v>
      </c>
    </row>
    <row r="95" spans="1:9" x14ac:dyDescent="0.2">
      <c r="A95" s="18"/>
    </row>
    <row r="96" spans="1:9" x14ac:dyDescent="0.2">
      <c r="A96" s="18" t="s">
        <v>41</v>
      </c>
    </row>
    <row r="97" spans="1:4" x14ac:dyDescent="0.2">
      <c r="A97" s="18" t="s">
        <v>42</v>
      </c>
    </row>
    <row r="98" spans="1:4" x14ac:dyDescent="0.2">
      <c r="A98" s="18" t="s">
        <v>43</v>
      </c>
      <c r="B98" s="18"/>
      <c r="C98" s="39" t="s">
        <v>45</v>
      </c>
      <c r="D98" s="19" t="s">
        <v>44</v>
      </c>
    </row>
    <row r="99" spans="1:4" x14ac:dyDescent="0.2">
      <c r="A99" s="9" t="s">
        <v>70</v>
      </c>
      <c r="C99" s="40">
        <v>141.55090000000001</v>
      </c>
      <c r="D99" s="40">
        <v>165.33840000000001</v>
      </c>
    </row>
    <row r="100" spans="1:4" x14ac:dyDescent="0.2">
      <c r="A100" s="9" t="s">
        <v>76</v>
      </c>
      <c r="C100" s="40">
        <v>22.5398</v>
      </c>
      <c r="D100" s="40">
        <v>24.531500000000001</v>
      </c>
    </row>
    <row r="101" spans="1:4" x14ac:dyDescent="0.2">
      <c r="A101" s="9" t="s">
        <v>73</v>
      </c>
      <c r="C101" s="40">
        <v>154.30000000000001</v>
      </c>
      <c r="D101" s="40">
        <v>181.12129999999999</v>
      </c>
    </row>
    <row r="102" spans="1:4" x14ac:dyDescent="0.2">
      <c r="A102" s="9" t="s">
        <v>77</v>
      </c>
      <c r="C102" s="40">
        <v>25.282599999999999</v>
      </c>
      <c r="D102" s="40">
        <v>27.878599999999999</v>
      </c>
    </row>
    <row r="104" spans="1:4" x14ac:dyDescent="0.2">
      <c r="A104" s="18" t="s">
        <v>47</v>
      </c>
    </row>
    <row r="105" spans="1:4" x14ac:dyDescent="0.2">
      <c r="A105" s="81" t="s">
        <v>67</v>
      </c>
      <c r="B105" s="82"/>
      <c r="C105" s="43" t="s">
        <v>68</v>
      </c>
    </row>
    <row r="106" spans="1:4" x14ac:dyDescent="0.2">
      <c r="A106" s="77" t="s">
        <v>76</v>
      </c>
      <c r="B106" s="78"/>
      <c r="C106" s="44">
        <v>1.75</v>
      </c>
    </row>
    <row r="107" spans="1:4" x14ac:dyDescent="0.2">
      <c r="A107" s="77" t="s">
        <v>77</v>
      </c>
      <c r="B107" s="78"/>
      <c r="C107" s="44">
        <v>1.75</v>
      </c>
    </row>
    <row r="108" spans="1:4" x14ac:dyDescent="0.2">
      <c r="A108" s="9" t="s">
        <v>69</v>
      </c>
    </row>
    <row r="109" spans="1:4" x14ac:dyDescent="0.2">
      <c r="A109" s="9" t="s">
        <v>46</v>
      </c>
    </row>
    <row r="111" spans="1:4" x14ac:dyDescent="0.2">
      <c r="A111" s="18" t="s">
        <v>220</v>
      </c>
      <c r="D111" s="45">
        <v>0.4103</v>
      </c>
    </row>
    <row r="113" spans="1:5" x14ac:dyDescent="0.2">
      <c r="A113" s="18" t="s">
        <v>221</v>
      </c>
      <c r="D113" s="42">
        <v>2.4331840102514399</v>
      </c>
      <c r="E113" s="13" t="s">
        <v>49</v>
      </c>
    </row>
    <row r="115" spans="1:5" x14ac:dyDescent="0.2">
      <c r="A115" s="18" t="s">
        <v>222</v>
      </c>
      <c r="D115" s="41" t="s">
        <v>48</v>
      </c>
    </row>
    <row r="116" spans="1:5" x14ac:dyDescent="0.2">
      <c r="A116" s="9" t="s">
        <v>729</v>
      </c>
    </row>
    <row r="117" spans="1:5" x14ac:dyDescent="0.2">
      <c r="A117" s="50" t="s">
        <v>730</v>
      </c>
    </row>
    <row r="119" spans="1:5" x14ac:dyDescent="0.2">
      <c r="A119" s="18" t="s">
        <v>731</v>
      </c>
    </row>
    <row r="120" spans="1:5" x14ac:dyDescent="0.2">
      <c r="A120" s="50" t="s">
        <v>50</v>
      </c>
    </row>
  </sheetData>
  <mergeCells count="4">
    <mergeCell ref="A1:G1"/>
    <mergeCell ref="A105:B105"/>
    <mergeCell ref="A106:B106"/>
    <mergeCell ref="A107:B107"/>
  </mergeCells>
  <conditionalFormatting sqref="F2:F3 F5:F89 F91:F65539">
    <cfRule type="cellIs" dxfId="27" priority="2" stopIfTrue="1" operator="between">
      <formula>0.009</formula>
      <formula>-0.009</formula>
    </cfRule>
  </conditionalFormatting>
  <conditionalFormatting sqref="F90">
    <cfRule type="cellIs" dxfId="26" priority="1" stopIfTrue="1" operator="between">
      <formula>0.009</formula>
      <formula>-0.009</formula>
    </cfRule>
  </conditionalFormatting>
  <hyperlinks>
    <hyperlink ref="A120" r:id="rId1" xr:uid="{00000000-0004-0000-1C00-000000000000}"/>
    <hyperlink ref="A117" r:id="rId2" xr:uid="{00000000-0004-0000-1C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69"/>
  <sheetViews>
    <sheetView workbookViewId="0">
      <selection sqref="A1:F1"/>
    </sheetView>
  </sheetViews>
  <sheetFormatPr defaultColWidth="9.109375" defaultRowHeight="10.199999999999999" x14ac:dyDescent="0.2"/>
  <cols>
    <col min="1" max="1" width="40.5546875" style="9" bestFit="1" customWidth="1"/>
    <col min="2" max="2" width="25.88671875" style="9" bestFit="1" customWidth="1"/>
    <col min="3" max="3" width="24.66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79" t="s">
        <v>10</v>
      </c>
      <c r="B1" s="80"/>
      <c r="C1" s="80"/>
      <c r="D1" s="80"/>
      <c r="E1" s="80"/>
      <c r="F1" s="8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261</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105</v>
      </c>
      <c r="B7" s="27" t="s">
        <v>104</v>
      </c>
      <c r="C7" s="27" t="s">
        <v>101</v>
      </c>
      <c r="D7" s="31">
        <v>750000</v>
      </c>
      <c r="E7" s="29">
        <v>4731.75</v>
      </c>
      <c r="F7" s="30">
        <v>8.51474081539242</v>
      </c>
    </row>
    <row r="8" spans="1:6" x14ac:dyDescent="0.2">
      <c r="A8" s="27" t="s">
        <v>135</v>
      </c>
      <c r="B8" s="27" t="s">
        <v>134</v>
      </c>
      <c r="C8" s="27" t="s">
        <v>101</v>
      </c>
      <c r="D8" s="31">
        <v>1000000</v>
      </c>
      <c r="E8" s="29">
        <v>4192</v>
      </c>
      <c r="F8" s="30">
        <v>7.5434656307127401</v>
      </c>
    </row>
    <row r="9" spans="1:6" x14ac:dyDescent="0.2">
      <c r="A9" s="27" t="s">
        <v>236</v>
      </c>
      <c r="B9" s="27" t="s">
        <v>235</v>
      </c>
      <c r="C9" s="27" t="s">
        <v>149</v>
      </c>
      <c r="D9" s="31">
        <v>2300000</v>
      </c>
      <c r="E9" s="29">
        <v>3569.6</v>
      </c>
      <c r="F9" s="30">
        <v>6.4234625275267696</v>
      </c>
    </row>
    <row r="10" spans="1:6" x14ac:dyDescent="0.2">
      <c r="A10" s="27" t="s">
        <v>103</v>
      </c>
      <c r="B10" s="27" t="s">
        <v>102</v>
      </c>
      <c r="C10" s="27" t="s">
        <v>101</v>
      </c>
      <c r="D10" s="31">
        <v>385000</v>
      </c>
      <c r="E10" s="29">
        <v>2880.9549999999999</v>
      </c>
      <c r="F10" s="30">
        <v>5.1842521531798704</v>
      </c>
    </row>
    <row r="11" spans="1:6" x14ac:dyDescent="0.2">
      <c r="A11" s="27" t="s">
        <v>171</v>
      </c>
      <c r="B11" s="27" t="s">
        <v>170</v>
      </c>
      <c r="C11" s="27" t="s">
        <v>172</v>
      </c>
      <c r="D11" s="31">
        <v>190000</v>
      </c>
      <c r="E11" s="29">
        <v>2847.625</v>
      </c>
      <c r="F11" s="30">
        <v>5.1242751232486601</v>
      </c>
    </row>
    <row r="12" spans="1:6" x14ac:dyDescent="0.2">
      <c r="A12" s="27" t="s">
        <v>97</v>
      </c>
      <c r="B12" s="27" t="s">
        <v>96</v>
      </c>
      <c r="C12" s="27" t="s">
        <v>98</v>
      </c>
      <c r="D12" s="31">
        <v>150000</v>
      </c>
      <c r="E12" s="29">
        <v>2371.1999999999998</v>
      </c>
      <c r="F12" s="30">
        <v>4.2669526964565998</v>
      </c>
    </row>
    <row r="13" spans="1:6" x14ac:dyDescent="0.2">
      <c r="A13" s="27" t="s">
        <v>110</v>
      </c>
      <c r="B13" s="27" t="s">
        <v>109</v>
      </c>
      <c r="C13" s="27" t="s">
        <v>111</v>
      </c>
      <c r="D13" s="31">
        <v>450000</v>
      </c>
      <c r="E13" s="29">
        <v>2365.4250000000002</v>
      </c>
      <c r="F13" s="30">
        <v>4.2565606368150499</v>
      </c>
    </row>
    <row r="14" spans="1:6" x14ac:dyDescent="0.2">
      <c r="A14" s="27" t="s">
        <v>144</v>
      </c>
      <c r="B14" s="27" t="s">
        <v>143</v>
      </c>
      <c r="C14" s="27" t="s">
        <v>142</v>
      </c>
      <c r="D14" s="31">
        <v>1900000</v>
      </c>
      <c r="E14" s="29">
        <v>2211.6</v>
      </c>
      <c r="F14" s="30">
        <v>3.97975395727202</v>
      </c>
    </row>
    <row r="15" spans="1:6" x14ac:dyDescent="0.2">
      <c r="A15" s="27" t="s">
        <v>238</v>
      </c>
      <c r="B15" s="27" t="s">
        <v>237</v>
      </c>
      <c r="C15" s="27" t="s">
        <v>98</v>
      </c>
      <c r="D15" s="31">
        <v>200000</v>
      </c>
      <c r="E15" s="29">
        <v>1967</v>
      </c>
      <c r="F15" s="30">
        <v>3.5395984960906399</v>
      </c>
    </row>
    <row r="16" spans="1:6" x14ac:dyDescent="0.2">
      <c r="A16" s="27" t="s">
        <v>240</v>
      </c>
      <c r="B16" s="27" t="s">
        <v>239</v>
      </c>
      <c r="C16" s="27" t="s">
        <v>241</v>
      </c>
      <c r="D16" s="31">
        <v>1100000</v>
      </c>
      <c r="E16" s="29">
        <v>1958</v>
      </c>
      <c r="F16" s="30">
        <v>3.5234030784674499</v>
      </c>
    </row>
    <row r="17" spans="1:6" x14ac:dyDescent="0.2">
      <c r="A17" s="27" t="s">
        <v>133</v>
      </c>
      <c r="B17" s="27" t="s">
        <v>132</v>
      </c>
      <c r="C17" s="27" t="s">
        <v>131</v>
      </c>
      <c r="D17" s="31">
        <v>550000</v>
      </c>
      <c r="E17" s="29">
        <v>1833.7</v>
      </c>
      <c r="F17" s="30">
        <v>3.2997263661827199</v>
      </c>
    </row>
    <row r="18" spans="1:6" x14ac:dyDescent="0.2">
      <c r="A18" s="27" t="s">
        <v>100</v>
      </c>
      <c r="B18" s="27" t="s">
        <v>99</v>
      </c>
      <c r="C18" s="27" t="s">
        <v>101</v>
      </c>
      <c r="D18" s="31">
        <v>110000</v>
      </c>
      <c r="E18" s="29">
        <v>1647.69</v>
      </c>
      <c r="F18" s="30">
        <v>2.96500307372831</v>
      </c>
    </row>
    <row r="19" spans="1:6" x14ac:dyDescent="0.2">
      <c r="A19" s="27" t="s">
        <v>243</v>
      </c>
      <c r="B19" s="27" t="s">
        <v>242</v>
      </c>
      <c r="C19" s="27" t="s">
        <v>204</v>
      </c>
      <c r="D19" s="31">
        <v>300000</v>
      </c>
      <c r="E19" s="29">
        <v>1559.4</v>
      </c>
      <c r="F19" s="30">
        <v>2.8061260268448098</v>
      </c>
    </row>
    <row r="20" spans="1:6" x14ac:dyDescent="0.2">
      <c r="A20" s="27" t="s">
        <v>211</v>
      </c>
      <c r="B20" s="27" t="s">
        <v>210</v>
      </c>
      <c r="C20" s="27" t="s">
        <v>122</v>
      </c>
      <c r="D20" s="31">
        <v>1200000</v>
      </c>
      <c r="E20" s="29">
        <v>1294.8</v>
      </c>
      <c r="F20" s="30">
        <v>2.3299807487230102</v>
      </c>
    </row>
    <row r="21" spans="1:6" x14ac:dyDescent="0.2">
      <c r="A21" s="27" t="s">
        <v>217</v>
      </c>
      <c r="B21" s="27" t="s">
        <v>216</v>
      </c>
      <c r="C21" s="27" t="s">
        <v>101</v>
      </c>
      <c r="D21" s="31">
        <v>1400000</v>
      </c>
      <c r="E21" s="29">
        <v>1219.4000000000001</v>
      </c>
      <c r="F21" s="30">
        <v>2.1942991388576099</v>
      </c>
    </row>
    <row r="22" spans="1:6" x14ac:dyDescent="0.2">
      <c r="A22" s="27" t="s">
        <v>245</v>
      </c>
      <c r="B22" s="27" t="s">
        <v>244</v>
      </c>
      <c r="C22" s="27" t="s">
        <v>128</v>
      </c>
      <c r="D22" s="31">
        <v>600000</v>
      </c>
      <c r="E22" s="29">
        <v>1216.2</v>
      </c>
      <c r="F22" s="30">
        <v>2.18854076814715</v>
      </c>
    </row>
    <row r="23" spans="1:6" x14ac:dyDescent="0.2">
      <c r="A23" s="27" t="s">
        <v>213</v>
      </c>
      <c r="B23" s="27" t="s">
        <v>212</v>
      </c>
      <c r="C23" s="27" t="s">
        <v>131</v>
      </c>
      <c r="D23" s="31">
        <v>800000</v>
      </c>
      <c r="E23" s="29">
        <v>1197.2</v>
      </c>
      <c r="F23" s="30">
        <v>2.1543504420537398</v>
      </c>
    </row>
    <row r="24" spans="1:6" x14ac:dyDescent="0.2">
      <c r="A24" s="27" t="s">
        <v>141</v>
      </c>
      <c r="B24" s="27" t="s">
        <v>140</v>
      </c>
      <c r="C24" s="27" t="s">
        <v>142</v>
      </c>
      <c r="D24" s="31">
        <v>500000</v>
      </c>
      <c r="E24" s="29">
        <v>1162</v>
      </c>
      <c r="F24" s="30">
        <v>2.0910083642386001</v>
      </c>
    </row>
    <row r="25" spans="1:6" x14ac:dyDescent="0.2">
      <c r="A25" s="27" t="s">
        <v>196</v>
      </c>
      <c r="B25" s="27" t="s">
        <v>195</v>
      </c>
      <c r="C25" s="27" t="s">
        <v>98</v>
      </c>
      <c r="D25" s="31">
        <v>100000</v>
      </c>
      <c r="E25" s="29">
        <v>1095.45</v>
      </c>
      <c r="F25" s="30">
        <v>1.97125224836934</v>
      </c>
    </row>
    <row r="26" spans="1:6" x14ac:dyDescent="0.2">
      <c r="A26" s="27" t="s">
        <v>247</v>
      </c>
      <c r="B26" s="27" t="s">
        <v>246</v>
      </c>
      <c r="C26" s="27" t="s">
        <v>108</v>
      </c>
      <c r="D26" s="31">
        <v>7000</v>
      </c>
      <c r="E26" s="29">
        <v>1051.7605000000001</v>
      </c>
      <c r="F26" s="30">
        <v>1.89263339300841</v>
      </c>
    </row>
    <row r="27" spans="1:6" x14ac:dyDescent="0.2">
      <c r="A27" s="27" t="s">
        <v>174</v>
      </c>
      <c r="B27" s="27" t="s">
        <v>173</v>
      </c>
      <c r="C27" s="27" t="s">
        <v>175</v>
      </c>
      <c r="D27" s="31">
        <v>700000</v>
      </c>
      <c r="E27" s="29">
        <v>1026.55</v>
      </c>
      <c r="F27" s="30">
        <v>1.84726732900958</v>
      </c>
    </row>
    <row r="28" spans="1:6" x14ac:dyDescent="0.2">
      <c r="A28" s="27" t="s">
        <v>153</v>
      </c>
      <c r="B28" s="27" t="s">
        <v>152</v>
      </c>
      <c r="C28" s="27" t="s">
        <v>122</v>
      </c>
      <c r="D28" s="31">
        <v>200000</v>
      </c>
      <c r="E28" s="29">
        <v>936.2</v>
      </c>
      <c r="F28" s="30">
        <v>1.6846833309812199</v>
      </c>
    </row>
    <row r="29" spans="1:6" x14ac:dyDescent="0.2">
      <c r="A29" s="27" t="s">
        <v>249</v>
      </c>
      <c r="B29" s="27" t="s">
        <v>248</v>
      </c>
      <c r="C29" s="27" t="s">
        <v>250</v>
      </c>
      <c r="D29" s="31">
        <v>130000</v>
      </c>
      <c r="E29" s="29">
        <v>799.76</v>
      </c>
      <c r="F29" s="30">
        <v>1.43916079981365</v>
      </c>
    </row>
    <row r="30" spans="1:6" x14ac:dyDescent="0.2">
      <c r="A30" s="27" t="s">
        <v>148</v>
      </c>
      <c r="B30" s="27" t="s">
        <v>147</v>
      </c>
      <c r="C30" s="27" t="s">
        <v>149</v>
      </c>
      <c r="D30" s="31">
        <v>100000</v>
      </c>
      <c r="E30" s="29">
        <v>777.7</v>
      </c>
      <c r="F30" s="30">
        <v>1.39946403172836</v>
      </c>
    </row>
    <row r="31" spans="1:6" x14ac:dyDescent="0.2">
      <c r="A31" s="27" t="s">
        <v>252</v>
      </c>
      <c r="B31" s="27" t="s">
        <v>251</v>
      </c>
      <c r="C31" s="27" t="s">
        <v>128</v>
      </c>
      <c r="D31" s="31">
        <v>100000</v>
      </c>
      <c r="E31" s="29">
        <v>661.65</v>
      </c>
      <c r="F31" s="30">
        <v>1.19063311893156</v>
      </c>
    </row>
    <row r="32" spans="1:6" x14ac:dyDescent="0.2">
      <c r="A32" s="27" t="s">
        <v>151</v>
      </c>
      <c r="B32" s="27" t="s">
        <v>150</v>
      </c>
      <c r="C32" s="27" t="s">
        <v>149</v>
      </c>
      <c r="D32" s="31">
        <v>15000</v>
      </c>
      <c r="E32" s="29">
        <v>620.07749999999999</v>
      </c>
      <c r="F32" s="30">
        <v>1.1158237856937701</v>
      </c>
    </row>
    <row r="33" spans="1:9" x14ac:dyDescent="0.2">
      <c r="A33" s="27" t="s">
        <v>254</v>
      </c>
      <c r="B33" s="27" t="s">
        <v>253</v>
      </c>
      <c r="C33" s="27" t="s">
        <v>172</v>
      </c>
      <c r="D33" s="31">
        <v>30000</v>
      </c>
      <c r="E33" s="29">
        <v>604.44000000000005</v>
      </c>
      <c r="F33" s="30">
        <v>1.08768424757348</v>
      </c>
    </row>
    <row r="34" spans="1:9" x14ac:dyDescent="0.2">
      <c r="A34" s="27" t="s">
        <v>208</v>
      </c>
      <c r="B34" s="27" t="s">
        <v>207</v>
      </c>
      <c r="C34" s="27" t="s">
        <v>209</v>
      </c>
      <c r="D34" s="31">
        <v>300000</v>
      </c>
      <c r="E34" s="29">
        <v>558.29999999999995</v>
      </c>
      <c r="F34" s="30">
        <v>1.00465573989192</v>
      </c>
    </row>
    <row r="35" spans="1:9" x14ac:dyDescent="0.2">
      <c r="A35" s="27" t="s">
        <v>256</v>
      </c>
      <c r="B35" s="27" t="s">
        <v>255</v>
      </c>
      <c r="C35" s="27" t="s">
        <v>108</v>
      </c>
      <c r="D35" s="31">
        <v>15000</v>
      </c>
      <c r="E35" s="29">
        <v>516.55499999999995</v>
      </c>
      <c r="F35" s="30">
        <v>0.92953599448302004</v>
      </c>
    </row>
    <row r="36" spans="1:9" x14ac:dyDescent="0.2">
      <c r="A36" s="27" t="s">
        <v>258</v>
      </c>
      <c r="B36" s="27" t="s">
        <v>257</v>
      </c>
      <c r="C36" s="27" t="s">
        <v>185</v>
      </c>
      <c r="D36" s="31">
        <v>500000</v>
      </c>
      <c r="E36" s="29">
        <v>470</v>
      </c>
      <c r="F36" s="30">
        <v>0.84576069809994903</v>
      </c>
    </row>
    <row r="37" spans="1:9" x14ac:dyDescent="0.2">
      <c r="A37" s="27" t="s">
        <v>260</v>
      </c>
      <c r="B37" s="27" t="s">
        <v>259</v>
      </c>
      <c r="C37" s="27" t="s">
        <v>122</v>
      </c>
      <c r="D37" s="31">
        <v>14439</v>
      </c>
      <c r="E37" s="29">
        <v>99.138174000000006</v>
      </c>
      <c r="F37" s="30">
        <v>0.178398236703392</v>
      </c>
    </row>
    <row r="38" spans="1:9" x14ac:dyDescent="0.2">
      <c r="A38" s="26" t="s">
        <v>35</v>
      </c>
      <c r="B38" s="26"/>
      <c r="C38" s="26"/>
      <c r="D38" s="32"/>
      <c r="E38" s="33">
        <f>SUM(E7:E37)</f>
        <v>49443.126173999997</v>
      </c>
      <c r="F38" s="34">
        <f>SUM(F7:F37)</f>
        <v>88.972452998225805</v>
      </c>
      <c r="G38" s="18"/>
      <c r="H38" s="18"/>
      <c r="I38" s="18"/>
    </row>
    <row r="39" spans="1:9" x14ac:dyDescent="0.2">
      <c r="A39" s="27"/>
      <c r="B39" s="27"/>
      <c r="C39" s="27"/>
      <c r="D39" s="28"/>
      <c r="E39" s="29"/>
      <c r="F39" s="30"/>
    </row>
    <row r="40" spans="1:9" x14ac:dyDescent="0.2">
      <c r="A40" s="26" t="s">
        <v>176</v>
      </c>
      <c r="B40" s="27"/>
      <c r="C40" s="27"/>
      <c r="D40" s="28"/>
      <c r="E40" s="29"/>
      <c r="F40" s="30"/>
    </row>
    <row r="41" spans="1:9" x14ac:dyDescent="0.2">
      <c r="A41" s="27" t="s">
        <v>178</v>
      </c>
      <c r="B41" s="27" t="s">
        <v>177</v>
      </c>
      <c r="C41" s="27" t="s">
        <v>358</v>
      </c>
      <c r="D41" s="31">
        <v>600000</v>
      </c>
      <c r="E41" s="29">
        <v>2102.2800000000002</v>
      </c>
      <c r="F41" s="30">
        <v>3.7830336178756601</v>
      </c>
    </row>
    <row r="42" spans="1:9" x14ac:dyDescent="0.2">
      <c r="A42" s="26" t="s">
        <v>35</v>
      </c>
      <c r="B42" s="26"/>
      <c r="C42" s="26"/>
      <c r="D42" s="32"/>
      <c r="E42" s="33">
        <f>SUM(E40:E41)</f>
        <v>2102.2800000000002</v>
      </c>
      <c r="F42" s="34">
        <f>SUM(F40:F41)</f>
        <v>3.7830336178756601</v>
      </c>
      <c r="G42" s="18"/>
      <c r="H42" s="18"/>
      <c r="I42" s="18"/>
    </row>
    <row r="43" spans="1:9" x14ac:dyDescent="0.2">
      <c r="A43" s="27"/>
      <c r="B43" s="27"/>
      <c r="C43" s="27"/>
      <c r="D43" s="28"/>
      <c r="E43" s="29"/>
      <c r="F43" s="30"/>
    </row>
    <row r="44" spans="1:9" x14ac:dyDescent="0.2">
      <c r="A44" s="26" t="s">
        <v>37</v>
      </c>
      <c r="B44" s="26"/>
      <c r="C44" s="26"/>
      <c r="D44" s="32"/>
      <c r="E44" s="33">
        <f>E38+E42</f>
        <v>51545.406173999996</v>
      </c>
      <c r="F44" s="34">
        <f>F38+F42</f>
        <v>92.755486616101464</v>
      </c>
      <c r="G44" s="18"/>
      <c r="H44" s="18"/>
      <c r="I44" s="18"/>
    </row>
    <row r="45" spans="1:9" x14ac:dyDescent="0.2">
      <c r="A45" s="26"/>
      <c r="B45" s="26"/>
      <c r="C45" s="26"/>
      <c r="D45" s="32"/>
      <c r="E45" s="33"/>
      <c r="F45" s="34"/>
      <c r="G45" s="18"/>
      <c r="H45" s="18"/>
      <c r="I45" s="18"/>
    </row>
    <row r="46" spans="1:9" x14ac:dyDescent="0.2">
      <c r="A46" s="26" t="s">
        <v>39</v>
      </c>
      <c r="B46" s="26"/>
      <c r="C46" s="26"/>
      <c r="D46" s="32"/>
      <c r="E46" s="33">
        <f>E48-(E38+E42)</f>
        <v>4025.8684260000009</v>
      </c>
      <c r="F46" s="34">
        <f>F48-(F38+F42)</f>
        <v>7.2445133838985356</v>
      </c>
      <c r="G46" s="18"/>
      <c r="H46" s="18"/>
      <c r="I46" s="18"/>
    </row>
    <row r="47" spans="1:9" x14ac:dyDescent="0.2">
      <c r="A47" s="26"/>
      <c r="B47" s="26"/>
      <c r="C47" s="26"/>
      <c r="D47" s="32"/>
      <c r="E47" s="33"/>
      <c r="F47" s="34"/>
      <c r="G47" s="18"/>
      <c r="H47" s="18"/>
      <c r="I47" s="18"/>
    </row>
    <row r="48" spans="1:9" x14ac:dyDescent="0.2">
      <c r="A48" s="35" t="s">
        <v>38</v>
      </c>
      <c r="B48" s="35"/>
      <c r="C48" s="35"/>
      <c r="D48" s="36"/>
      <c r="E48" s="37">
        <v>55571.274599999997</v>
      </c>
      <c r="F48" s="38">
        <v>100</v>
      </c>
      <c r="G48" s="18"/>
      <c r="H48" s="18"/>
      <c r="I48" s="18"/>
    </row>
    <row r="51" spans="1:4" x14ac:dyDescent="0.2">
      <c r="A51" s="18" t="s">
        <v>41</v>
      </c>
    </row>
    <row r="52" spans="1:4" x14ac:dyDescent="0.2">
      <c r="A52" s="18" t="s">
        <v>42</v>
      </c>
    </row>
    <row r="53" spans="1:4" x14ac:dyDescent="0.2">
      <c r="A53" s="18" t="s">
        <v>43</v>
      </c>
      <c r="B53" s="18"/>
      <c r="C53" s="39" t="s">
        <v>45</v>
      </c>
      <c r="D53" s="19" t="s">
        <v>44</v>
      </c>
    </row>
    <row r="54" spans="1:4" x14ac:dyDescent="0.2">
      <c r="A54" s="9" t="s">
        <v>70</v>
      </c>
      <c r="C54" s="40">
        <v>270.4153</v>
      </c>
      <c r="D54" s="40">
        <v>354.37259999999998</v>
      </c>
    </row>
    <row r="55" spans="1:4" x14ac:dyDescent="0.2">
      <c r="A55" s="9" t="s">
        <v>76</v>
      </c>
      <c r="C55" s="40">
        <v>59.1402</v>
      </c>
      <c r="D55" s="40">
        <v>71.082300000000004</v>
      </c>
    </row>
    <row r="56" spans="1:4" x14ac:dyDescent="0.2">
      <c r="A56" s="9" t="s">
        <v>73</v>
      </c>
      <c r="C56" s="40">
        <v>287.01769999999999</v>
      </c>
      <c r="D56" s="40">
        <v>377.77940000000001</v>
      </c>
    </row>
    <row r="57" spans="1:4" x14ac:dyDescent="0.2">
      <c r="A57" s="9" t="s">
        <v>77</v>
      </c>
      <c r="C57" s="40">
        <v>63.921700000000001</v>
      </c>
      <c r="D57" s="40">
        <v>77.677300000000002</v>
      </c>
    </row>
    <row r="59" spans="1:4" x14ac:dyDescent="0.2">
      <c r="A59" s="18" t="s">
        <v>47</v>
      </c>
    </row>
    <row r="60" spans="1:4" x14ac:dyDescent="0.2">
      <c r="A60" s="81" t="s">
        <v>67</v>
      </c>
      <c r="B60" s="82"/>
      <c r="C60" s="43" t="s">
        <v>68</v>
      </c>
    </row>
    <row r="61" spans="1:4" x14ac:dyDescent="0.2">
      <c r="A61" s="77" t="s">
        <v>76</v>
      </c>
      <c r="B61" s="78"/>
      <c r="C61" s="44">
        <v>5</v>
      </c>
    </row>
    <row r="62" spans="1:4" x14ac:dyDescent="0.2">
      <c r="A62" s="77" t="s">
        <v>77</v>
      </c>
      <c r="B62" s="78"/>
      <c r="C62" s="44">
        <v>5</v>
      </c>
    </row>
    <row r="63" spans="1:4" x14ac:dyDescent="0.2">
      <c r="A63" s="9" t="s">
        <v>69</v>
      </c>
    </row>
    <row r="64" spans="1:4" x14ac:dyDescent="0.2">
      <c r="A64" s="9" t="s">
        <v>46</v>
      </c>
    </row>
    <row r="66" spans="1:4" x14ac:dyDescent="0.2">
      <c r="A66" s="18" t="s">
        <v>220</v>
      </c>
      <c r="D66" s="45">
        <v>0.13919999999999999</v>
      </c>
    </row>
    <row r="68" spans="1:4" x14ac:dyDescent="0.2">
      <c r="A68" s="18" t="s">
        <v>94</v>
      </c>
    </row>
    <row r="69" spans="1:4" x14ac:dyDescent="0.2">
      <c r="A69" s="50" t="s">
        <v>50</v>
      </c>
    </row>
  </sheetData>
  <mergeCells count="4">
    <mergeCell ref="A1:F1"/>
    <mergeCell ref="A60:B60"/>
    <mergeCell ref="A61:B61"/>
    <mergeCell ref="A62:B62"/>
  </mergeCells>
  <conditionalFormatting sqref="F2:F3 F5:F65534">
    <cfRule type="cellIs" dxfId="25" priority="1" stopIfTrue="1" operator="between">
      <formula>0.009</formula>
      <formula>-0.009</formula>
    </cfRule>
  </conditionalFormatting>
  <hyperlinks>
    <hyperlink ref="A69" r:id="rId1" xr:uid="{00000000-0004-0000-1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85"/>
  <sheetViews>
    <sheetView workbookViewId="0">
      <selection sqref="A1:F1"/>
    </sheetView>
  </sheetViews>
  <sheetFormatPr defaultColWidth="9.109375" defaultRowHeight="10.199999999999999" x14ac:dyDescent="0.2"/>
  <cols>
    <col min="1" max="1" width="40.5546875" style="9" bestFit="1" customWidth="1"/>
    <col min="2" max="2" width="26.5546875" style="9" bestFit="1" customWidth="1"/>
    <col min="3" max="3" width="24.66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79" t="s">
        <v>11</v>
      </c>
      <c r="B1" s="80"/>
      <c r="C1" s="80"/>
      <c r="D1" s="80"/>
      <c r="E1" s="80"/>
      <c r="F1" s="8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261</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97</v>
      </c>
      <c r="B7" s="27" t="s">
        <v>96</v>
      </c>
      <c r="C7" s="27" t="s">
        <v>98</v>
      </c>
      <c r="D7" s="31">
        <v>775444</v>
      </c>
      <c r="E7" s="29">
        <v>12258.21875</v>
      </c>
      <c r="F7" s="30">
        <v>10.738233051600799</v>
      </c>
    </row>
    <row r="8" spans="1:6" x14ac:dyDescent="0.2">
      <c r="A8" s="27" t="s">
        <v>141</v>
      </c>
      <c r="B8" s="27" t="s">
        <v>140</v>
      </c>
      <c r="C8" s="27" t="s">
        <v>142</v>
      </c>
      <c r="D8" s="31">
        <v>3009054</v>
      </c>
      <c r="E8" s="29">
        <v>6993.0414959999998</v>
      </c>
      <c r="F8" s="30">
        <v>6.1259234196292498</v>
      </c>
    </row>
    <row r="9" spans="1:6" x14ac:dyDescent="0.2">
      <c r="A9" s="27" t="s">
        <v>189</v>
      </c>
      <c r="B9" s="27" t="s">
        <v>188</v>
      </c>
      <c r="C9" s="27" t="s">
        <v>142</v>
      </c>
      <c r="D9" s="31">
        <v>4085759</v>
      </c>
      <c r="E9" s="29">
        <v>4988.7117390000003</v>
      </c>
      <c r="F9" s="30">
        <v>4.3701250869453601</v>
      </c>
    </row>
    <row r="10" spans="1:6" x14ac:dyDescent="0.2">
      <c r="A10" s="27" t="s">
        <v>263</v>
      </c>
      <c r="B10" s="27" t="s">
        <v>262</v>
      </c>
      <c r="C10" s="27" t="s">
        <v>204</v>
      </c>
      <c r="D10" s="31">
        <v>2098785</v>
      </c>
      <c r="E10" s="29">
        <v>3860.7150080000001</v>
      </c>
      <c r="F10" s="30">
        <v>3.3819968746859801</v>
      </c>
    </row>
    <row r="11" spans="1:6" x14ac:dyDescent="0.2">
      <c r="A11" s="27" t="s">
        <v>144</v>
      </c>
      <c r="B11" s="27" t="s">
        <v>143</v>
      </c>
      <c r="C11" s="27" t="s">
        <v>142</v>
      </c>
      <c r="D11" s="31">
        <v>3291938</v>
      </c>
      <c r="E11" s="29">
        <v>3831.8158319999998</v>
      </c>
      <c r="F11" s="30">
        <v>3.3566811177056</v>
      </c>
    </row>
    <row r="12" spans="1:6" x14ac:dyDescent="0.2">
      <c r="A12" s="27" t="s">
        <v>224</v>
      </c>
      <c r="B12" s="27" t="s">
        <v>223</v>
      </c>
      <c r="C12" s="27" t="s">
        <v>142</v>
      </c>
      <c r="D12" s="31">
        <v>14497327</v>
      </c>
      <c r="E12" s="29">
        <v>3798.2996739999999</v>
      </c>
      <c r="F12" s="30">
        <v>3.3273208719033098</v>
      </c>
    </row>
    <row r="13" spans="1:6" x14ac:dyDescent="0.2">
      <c r="A13" s="27" t="s">
        <v>139</v>
      </c>
      <c r="B13" s="27" t="s">
        <v>138</v>
      </c>
      <c r="C13" s="27" t="s">
        <v>128</v>
      </c>
      <c r="D13" s="31">
        <v>138206</v>
      </c>
      <c r="E13" s="29">
        <v>3415.4848780000002</v>
      </c>
      <c r="F13" s="30">
        <v>2.9919740667201302</v>
      </c>
    </row>
    <row r="14" spans="1:6" x14ac:dyDescent="0.2">
      <c r="A14" s="27" t="s">
        <v>265</v>
      </c>
      <c r="B14" s="27" t="s">
        <v>264</v>
      </c>
      <c r="C14" s="27" t="s">
        <v>266</v>
      </c>
      <c r="D14" s="31">
        <v>1230352</v>
      </c>
      <c r="E14" s="29">
        <v>3289.9612480000001</v>
      </c>
      <c r="F14" s="30">
        <v>2.8820150245531901</v>
      </c>
    </row>
    <row r="15" spans="1:6" x14ac:dyDescent="0.2">
      <c r="A15" s="27" t="s">
        <v>137</v>
      </c>
      <c r="B15" s="27" t="s">
        <v>136</v>
      </c>
      <c r="C15" s="27" t="s">
        <v>98</v>
      </c>
      <c r="D15" s="31">
        <v>81194</v>
      </c>
      <c r="E15" s="29">
        <v>2716.5482550000002</v>
      </c>
      <c r="F15" s="30">
        <v>2.3797036790610102</v>
      </c>
    </row>
    <row r="16" spans="1:6" x14ac:dyDescent="0.2">
      <c r="A16" s="27" t="s">
        <v>268</v>
      </c>
      <c r="B16" s="27" t="s">
        <v>267</v>
      </c>
      <c r="C16" s="27" t="s">
        <v>119</v>
      </c>
      <c r="D16" s="31">
        <v>3209748</v>
      </c>
      <c r="E16" s="29">
        <v>2514.8375580000002</v>
      </c>
      <c r="F16" s="30">
        <v>2.2030045584496301</v>
      </c>
    </row>
    <row r="17" spans="1:6" x14ac:dyDescent="0.2">
      <c r="A17" s="27" t="s">
        <v>133</v>
      </c>
      <c r="B17" s="27" t="s">
        <v>132</v>
      </c>
      <c r="C17" s="27" t="s">
        <v>131</v>
      </c>
      <c r="D17" s="31">
        <v>624255</v>
      </c>
      <c r="E17" s="29">
        <v>2081.2661699999999</v>
      </c>
      <c r="F17" s="30">
        <v>1.8231948402676901</v>
      </c>
    </row>
    <row r="18" spans="1:6" x14ac:dyDescent="0.2">
      <c r="A18" s="27" t="s">
        <v>270</v>
      </c>
      <c r="B18" s="27" t="s">
        <v>269</v>
      </c>
      <c r="C18" s="27" t="s">
        <v>271</v>
      </c>
      <c r="D18" s="31">
        <v>136944</v>
      </c>
      <c r="E18" s="29">
        <v>1872.5722559999999</v>
      </c>
      <c r="F18" s="30">
        <v>1.6403784025219801</v>
      </c>
    </row>
    <row r="19" spans="1:6" x14ac:dyDescent="0.2">
      <c r="A19" s="27" t="s">
        <v>174</v>
      </c>
      <c r="B19" s="27" t="s">
        <v>173</v>
      </c>
      <c r="C19" s="27" t="s">
        <v>175</v>
      </c>
      <c r="D19" s="31">
        <v>1247000</v>
      </c>
      <c r="E19" s="29">
        <v>1828.7255</v>
      </c>
      <c r="F19" s="30">
        <v>1.6019685247014599</v>
      </c>
    </row>
    <row r="20" spans="1:6" x14ac:dyDescent="0.2">
      <c r="A20" s="27" t="s">
        <v>130</v>
      </c>
      <c r="B20" s="27" t="s">
        <v>129</v>
      </c>
      <c r="C20" s="27" t="s">
        <v>131</v>
      </c>
      <c r="D20" s="31">
        <v>803388</v>
      </c>
      <c r="E20" s="29">
        <v>1814.0501039999999</v>
      </c>
      <c r="F20" s="30">
        <v>1.5891128377875301</v>
      </c>
    </row>
    <row r="21" spans="1:6" x14ac:dyDescent="0.2">
      <c r="A21" s="27" t="s">
        <v>256</v>
      </c>
      <c r="B21" s="27" t="s">
        <v>255</v>
      </c>
      <c r="C21" s="27" t="s">
        <v>108</v>
      </c>
      <c r="D21" s="31">
        <v>46395</v>
      </c>
      <c r="E21" s="29">
        <v>1597.7046150000001</v>
      </c>
      <c r="F21" s="30">
        <v>1.39959359947694</v>
      </c>
    </row>
    <row r="22" spans="1:6" x14ac:dyDescent="0.2">
      <c r="A22" s="27" t="s">
        <v>273</v>
      </c>
      <c r="B22" s="27" t="s">
        <v>272</v>
      </c>
      <c r="C22" s="27" t="s">
        <v>128</v>
      </c>
      <c r="D22" s="31">
        <v>201912</v>
      </c>
      <c r="E22" s="29">
        <v>1523.2241280000001</v>
      </c>
      <c r="F22" s="30">
        <v>1.33434848976614</v>
      </c>
    </row>
    <row r="23" spans="1:6" x14ac:dyDescent="0.2">
      <c r="A23" s="27" t="s">
        <v>240</v>
      </c>
      <c r="B23" s="27" t="s">
        <v>239</v>
      </c>
      <c r="C23" s="27" t="s">
        <v>241</v>
      </c>
      <c r="D23" s="31">
        <v>821499</v>
      </c>
      <c r="E23" s="29">
        <v>1462.2682199999999</v>
      </c>
      <c r="F23" s="30">
        <v>1.2809509481391399</v>
      </c>
    </row>
    <row r="24" spans="1:6" x14ac:dyDescent="0.2">
      <c r="A24" s="27" t="s">
        <v>196</v>
      </c>
      <c r="B24" s="27" t="s">
        <v>195</v>
      </c>
      <c r="C24" s="27" t="s">
        <v>98</v>
      </c>
      <c r="D24" s="31">
        <v>121952</v>
      </c>
      <c r="E24" s="29">
        <v>1335.923184</v>
      </c>
      <c r="F24" s="30">
        <v>1.1702723520763301</v>
      </c>
    </row>
    <row r="25" spans="1:6" x14ac:dyDescent="0.2">
      <c r="A25" s="27" t="s">
        <v>217</v>
      </c>
      <c r="B25" s="27" t="s">
        <v>216</v>
      </c>
      <c r="C25" s="27" t="s">
        <v>101</v>
      </c>
      <c r="D25" s="31">
        <v>1505600</v>
      </c>
      <c r="E25" s="29">
        <v>1311.3776</v>
      </c>
      <c r="F25" s="30">
        <v>1.1487703535596501</v>
      </c>
    </row>
    <row r="26" spans="1:6" x14ac:dyDescent="0.2">
      <c r="A26" s="27" t="s">
        <v>275</v>
      </c>
      <c r="B26" s="27" t="s">
        <v>274</v>
      </c>
      <c r="C26" s="27" t="s">
        <v>175</v>
      </c>
      <c r="D26" s="31">
        <v>709254</v>
      </c>
      <c r="E26" s="29">
        <v>1305.7366139999999</v>
      </c>
      <c r="F26" s="30">
        <v>1.1438288344414</v>
      </c>
    </row>
    <row r="27" spans="1:6" x14ac:dyDescent="0.2">
      <c r="A27" s="27" t="s">
        <v>148</v>
      </c>
      <c r="B27" s="27" t="s">
        <v>147</v>
      </c>
      <c r="C27" s="27" t="s">
        <v>149</v>
      </c>
      <c r="D27" s="31">
        <v>155566</v>
      </c>
      <c r="E27" s="29">
        <v>1209.8367820000001</v>
      </c>
      <c r="F27" s="30">
        <v>1.0598203201027701</v>
      </c>
    </row>
    <row r="28" spans="1:6" x14ac:dyDescent="0.2">
      <c r="A28" s="27" t="s">
        <v>151</v>
      </c>
      <c r="B28" s="27" t="s">
        <v>150</v>
      </c>
      <c r="C28" s="27" t="s">
        <v>149</v>
      </c>
      <c r="D28" s="31">
        <v>28265</v>
      </c>
      <c r="E28" s="29">
        <v>1168.4327029999999</v>
      </c>
      <c r="F28" s="30">
        <v>1.0235502339951199</v>
      </c>
    </row>
    <row r="29" spans="1:6" x14ac:dyDescent="0.2">
      <c r="A29" s="27" t="s">
        <v>277</v>
      </c>
      <c r="B29" s="27" t="s">
        <v>276</v>
      </c>
      <c r="C29" s="27" t="s">
        <v>278</v>
      </c>
      <c r="D29" s="31">
        <v>154134</v>
      </c>
      <c r="E29" s="29">
        <v>1115.6218919999999</v>
      </c>
      <c r="F29" s="30">
        <v>0.97728781955077104</v>
      </c>
    </row>
    <row r="30" spans="1:6" x14ac:dyDescent="0.2">
      <c r="A30" s="27" t="s">
        <v>124</v>
      </c>
      <c r="B30" s="27" t="s">
        <v>123</v>
      </c>
      <c r="C30" s="27" t="s">
        <v>125</v>
      </c>
      <c r="D30" s="31">
        <v>20000</v>
      </c>
      <c r="E30" s="29">
        <v>1084.6099999999999</v>
      </c>
      <c r="F30" s="30">
        <v>0.95012131759329199</v>
      </c>
    </row>
    <row r="31" spans="1:6" x14ac:dyDescent="0.2">
      <c r="A31" s="27" t="s">
        <v>127</v>
      </c>
      <c r="B31" s="27" t="s">
        <v>126</v>
      </c>
      <c r="C31" s="27" t="s">
        <v>128</v>
      </c>
      <c r="D31" s="31">
        <v>64045</v>
      </c>
      <c r="E31" s="29">
        <v>1079.6706099999999</v>
      </c>
      <c r="F31" s="30">
        <v>0.94579439848420499</v>
      </c>
    </row>
    <row r="32" spans="1:6" x14ac:dyDescent="0.2">
      <c r="A32" s="27" t="s">
        <v>211</v>
      </c>
      <c r="B32" s="27" t="s">
        <v>210</v>
      </c>
      <c r="C32" s="27" t="s">
        <v>122</v>
      </c>
      <c r="D32" s="31">
        <v>972460</v>
      </c>
      <c r="E32" s="29">
        <v>1049.2843399999999</v>
      </c>
      <c r="F32" s="30">
        <v>0.91917594310471695</v>
      </c>
    </row>
    <row r="33" spans="1:9" x14ac:dyDescent="0.2">
      <c r="A33" s="27" t="s">
        <v>280</v>
      </c>
      <c r="B33" s="27" t="s">
        <v>279</v>
      </c>
      <c r="C33" s="27" t="s">
        <v>98</v>
      </c>
      <c r="D33" s="31">
        <v>119545</v>
      </c>
      <c r="E33" s="29">
        <v>1027.6088199999999</v>
      </c>
      <c r="F33" s="30">
        <v>0.90018812847833596</v>
      </c>
    </row>
    <row r="34" spans="1:9" x14ac:dyDescent="0.2">
      <c r="A34" s="27" t="s">
        <v>236</v>
      </c>
      <c r="B34" s="27" t="s">
        <v>235</v>
      </c>
      <c r="C34" s="27" t="s">
        <v>149</v>
      </c>
      <c r="D34" s="31">
        <v>658906</v>
      </c>
      <c r="E34" s="29">
        <v>1022.622112</v>
      </c>
      <c r="F34" s="30">
        <v>0.89581975867221897</v>
      </c>
    </row>
    <row r="35" spans="1:9" x14ac:dyDescent="0.2">
      <c r="A35" s="27" t="s">
        <v>121</v>
      </c>
      <c r="B35" s="27" t="s">
        <v>120</v>
      </c>
      <c r="C35" s="27" t="s">
        <v>122</v>
      </c>
      <c r="D35" s="31">
        <v>339633</v>
      </c>
      <c r="E35" s="29">
        <v>995.80395599999997</v>
      </c>
      <c r="F35" s="30">
        <v>0.87232698088652405</v>
      </c>
    </row>
    <row r="36" spans="1:9" x14ac:dyDescent="0.2">
      <c r="A36" s="27" t="s">
        <v>282</v>
      </c>
      <c r="B36" s="27" t="s">
        <v>281</v>
      </c>
      <c r="C36" s="27" t="s">
        <v>209</v>
      </c>
      <c r="D36" s="31">
        <v>64130</v>
      </c>
      <c r="E36" s="29">
        <v>976.21892500000001</v>
      </c>
      <c r="F36" s="30">
        <v>0.85517044032463896</v>
      </c>
    </row>
    <row r="37" spans="1:9" x14ac:dyDescent="0.2">
      <c r="A37" s="27" t="s">
        <v>171</v>
      </c>
      <c r="B37" s="27" t="s">
        <v>170</v>
      </c>
      <c r="C37" s="27" t="s">
        <v>172</v>
      </c>
      <c r="D37" s="31">
        <v>64691</v>
      </c>
      <c r="E37" s="29">
        <v>969.55636249999998</v>
      </c>
      <c r="F37" s="30">
        <v>0.84933401740668002</v>
      </c>
    </row>
    <row r="38" spans="1:9" x14ac:dyDescent="0.2">
      <c r="A38" s="27" t="s">
        <v>213</v>
      </c>
      <c r="B38" s="27" t="s">
        <v>212</v>
      </c>
      <c r="C38" s="27" t="s">
        <v>131</v>
      </c>
      <c r="D38" s="31">
        <v>621258</v>
      </c>
      <c r="E38" s="29">
        <v>929.71259699999996</v>
      </c>
      <c r="F38" s="30">
        <v>0.81443077017980803</v>
      </c>
    </row>
    <row r="39" spans="1:9" x14ac:dyDescent="0.2">
      <c r="A39" s="27" t="s">
        <v>284</v>
      </c>
      <c r="B39" s="27" t="s">
        <v>283</v>
      </c>
      <c r="C39" s="27" t="s">
        <v>149</v>
      </c>
      <c r="D39" s="31">
        <v>739545</v>
      </c>
      <c r="E39" s="29">
        <v>906.68217000000004</v>
      </c>
      <c r="F39" s="30">
        <v>0.79425605332676696</v>
      </c>
    </row>
    <row r="40" spans="1:9" x14ac:dyDescent="0.2">
      <c r="A40" s="27" t="s">
        <v>286</v>
      </c>
      <c r="B40" s="27" t="s">
        <v>285</v>
      </c>
      <c r="C40" s="27" t="s">
        <v>287</v>
      </c>
      <c r="D40" s="31">
        <v>753071</v>
      </c>
      <c r="E40" s="29">
        <v>886.36456699999997</v>
      </c>
      <c r="F40" s="30">
        <v>0.77645777769525204</v>
      </c>
    </row>
    <row r="41" spans="1:9" x14ac:dyDescent="0.2">
      <c r="A41" s="27" t="s">
        <v>208</v>
      </c>
      <c r="B41" s="27" t="s">
        <v>207</v>
      </c>
      <c r="C41" s="27" t="s">
        <v>209</v>
      </c>
      <c r="D41" s="31">
        <v>439349</v>
      </c>
      <c r="E41" s="29">
        <v>817.62848899999995</v>
      </c>
      <c r="F41" s="30">
        <v>0.716244785932725</v>
      </c>
    </row>
    <row r="42" spans="1:9" x14ac:dyDescent="0.2">
      <c r="A42" s="27" t="s">
        <v>289</v>
      </c>
      <c r="B42" s="27" t="s">
        <v>288</v>
      </c>
      <c r="C42" s="27" t="s">
        <v>142</v>
      </c>
      <c r="D42" s="31">
        <v>100000</v>
      </c>
      <c r="E42" s="29">
        <v>769.9</v>
      </c>
      <c r="F42" s="30">
        <v>0.67443449941921596</v>
      </c>
    </row>
    <row r="43" spans="1:9" x14ac:dyDescent="0.2">
      <c r="A43" s="26" t="s">
        <v>35</v>
      </c>
      <c r="B43" s="26"/>
      <c r="C43" s="26"/>
      <c r="D43" s="32"/>
      <c r="E43" s="33">
        <f>SUM(E7:E42)</f>
        <v>79810.037154499994</v>
      </c>
      <c r="F43" s="34">
        <f>SUM(F7:F42)</f>
        <v>69.913810179145585</v>
      </c>
      <c r="G43" s="18"/>
      <c r="H43" s="18"/>
      <c r="I43" s="18"/>
    </row>
    <row r="44" spans="1:9" x14ac:dyDescent="0.2">
      <c r="A44" s="27"/>
      <c r="B44" s="27"/>
      <c r="C44" s="27"/>
      <c r="D44" s="28"/>
      <c r="E44" s="29"/>
      <c r="F44" s="30"/>
    </row>
    <row r="45" spans="1:9" x14ac:dyDescent="0.2">
      <c r="A45" s="26" t="s">
        <v>176</v>
      </c>
      <c r="B45" s="27"/>
      <c r="C45" s="27"/>
      <c r="D45" s="28"/>
      <c r="E45" s="29"/>
      <c r="F45" s="30"/>
    </row>
    <row r="46" spans="1:9" x14ac:dyDescent="0.2">
      <c r="A46" s="27" t="s">
        <v>178</v>
      </c>
      <c r="B46" s="27" t="s">
        <v>177</v>
      </c>
      <c r="C46" s="27" t="s">
        <v>358</v>
      </c>
      <c r="D46" s="31">
        <v>1483400</v>
      </c>
      <c r="E46" s="29">
        <v>5197.5369199999996</v>
      </c>
      <c r="F46" s="30">
        <v>4.5530565149410203</v>
      </c>
    </row>
    <row r="47" spans="1:9" x14ac:dyDescent="0.2">
      <c r="A47" s="27" t="s">
        <v>232</v>
      </c>
      <c r="B47" s="27" t="s">
        <v>231</v>
      </c>
      <c r="C47" s="27" t="s">
        <v>358</v>
      </c>
      <c r="D47" s="31">
        <v>1161600</v>
      </c>
      <c r="E47" s="29">
        <v>3117.8505599999999</v>
      </c>
      <c r="F47" s="30">
        <v>2.7312455925412702</v>
      </c>
    </row>
    <row r="48" spans="1:9" x14ac:dyDescent="0.2">
      <c r="A48" s="26" t="s">
        <v>35</v>
      </c>
      <c r="B48" s="26"/>
      <c r="C48" s="26"/>
      <c r="D48" s="32"/>
      <c r="E48" s="33">
        <f>SUM(E45:E47)</f>
        <v>8315.3874799999994</v>
      </c>
      <c r="F48" s="34">
        <f>SUM(F45:F47)</f>
        <v>7.28430210748229</v>
      </c>
      <c r="G48" s="18"/>
      <c r="H48" s="18"/>
      <c r="I48" s="18"/>
    </row>
    <row r="49" spans="1:9" x14ac:dyDescent="0.2">
      <c r="A49" s="27"/>
      <c r="B49" s="27"/>
      <c r="C49" s="27"/>
      <c r="D49" s="28"/>
      <c r="E49" s="29"/>
      <c r="F49" s="30"/>
    </row>
    <row r="50" spans="1:9" x14ac:dyDescent="0.2">
      <c r="A50" s="26" t="s">
        <v>290</v>
      </c>
      <c r="B50" s="27"/>
      <c r="C50" s="27"/>
      <c r="D50" s="28"/>
      <c r="E50" s="29"/>
      <c r="F50" s="30"/>
    </row>
    <row r="51" spans="1:9" x14ac:dyDescent="0.2">
      <c r="A51" s="27" t="s">
        <v>292</v>
      </c>
      <c r="B51" s="27" t="s">
        <v>291</v>
      </c>
      <c r="C51" s="27" t="s">
        <v>128</v>
      </c>
      <c r="D51" s="31">
        <v>86900</v>
      </c>
      <c r="E51" s="29">
        <v>3827.6903050000001</v>
      </c>
      <c r="F51" s="30">
        <v>3.3530671448038198</v>
      </c>
    </row>
    <row r="52" spans="1:9" x14ac:dyDescent="0.2">
      <c r="A52" s="27" t="s">
        <v>294</v>
      </c>
      <c r="B52" s="27" t="s">
        <v>293</v>
      </c>
      <c r="C52" s="27" t="s">
        <v>114</v>
      </c>
      <c r="D52" s="31">
        <v>2297307</v>
      </c>
      <c r="E52" s="29">
        <v>3218.8335729999999</v>
      </c>
      <c r="F52" s="30">
        <v>2.8197069872970801</v>
      </c>
    </row>
    <row r="53" spans="1:9" x14ac:dyDescent="0.2">
      <c r="A53" s="27" t="s">
        <v>296</v>
      </c>
      <c r="B53" s="27" t="s">
        <v>295</v>
      </c>
      <c r="C53" s="27" t="s">
        <v>297</v>
      </c>
      <c r="D53" s="31">
        <v>1575983</v>
      </c>
      <c r="E53" s="29">
        <v>2527.923648</v>
      </c>
      <c r="F53" s="30">
        <v>2.2144680089737299</v>
      </c>
    </row>
    <row r="54" spans="1:9" x14ac:dyDescent="0.2">
      <c r="A54" s="27" t="s">
        <v>299</v>
      </c>
      <c r="B54" s="27" t="s">
        <v>298</v>
      </c>
      <c r="C54" s="27" t="s">
        <v>204</v>
      </c>
      <c r="D54" s="31">
        <v>187038</v>
      </c>
      <c r="E54" s="29">
        <v>2489.0923149999999</v>
      </c>
      <c r="F54" s="30">
        <v>2.1804516553776399</v>
      </c>
    </row>
    <row r="55" spans="1:9" x14ac:dyDescent="0.2">
      <c r="A55" s="27" t="s">
        <v>301</v>
      </c>
      <c r="B55" s="27" t="s">
        <v>300</v>
      </c>
      <c r="C55" s="27" t="s">
        <v>302</v>
      </c>
      <c r="D55" s="31">
        <v>2562198</v>
      </c>
      <c r="E55" s="29">
        <v>2022.0598199999999</v>
      </c>
      <c r="F55" s="30">
        <v>1.77132991621952</v>
      </c>
    </row>
    <row r="56" spans="1:9" x14ac:dyDescent="0.2">
      <c r="A56" s="27" t="s">
        <v>304</v>
      </c>
      <c r="B56" s="27" t="s">
        <v>303</v>
      </c>
      <c r="C56" s="27" t="s">
        <v>98</v>
      </c>
      <c r="D56" s="31">
        <v>633055</v>
      </c>
      <c r="E56" s="29">
        <v>1015.439066</v>
      </c>
      <c r="F56" s="30">
        <v>0.88952739078896703</v>
      </c>
    </row>
    <row r="57" spans="1:9" x14ac:dyDescent="0.2">
      <c r="A57" s="27" t="s">
        <v>306</v>
      </c>
      <c r="B57" s="27" t="s">
        <v>305</v>
      </c>
      <c r="C57" s="27" t="s">
        <v>307</v>
      </c>
      <c r="D57" s="31">
        <v>500000</v>
      </c>
      <c r="E57" s="29">
        <v>760.07328540000003</v>
      </c>
      <c r="F57" s="30">
        <v>0.66582627063341704</v>
      </c>
    </row>
    <row r="58" spans="1:9" x14ac:dyDescent="0.2">
      <c r="A58" s="26" t="s">
        <v>35</v>
      </c>
      <c r="B58" s="26"/>
      <c r="C58" s="26"/>
      <c r="D58" s="32"/>
      <c r="E58" s="33">
        <f>SUM(E50:E57)</f>
        <v>15861.112012400001</v>
      </c>
      <c r="F58" s="34">
        <f>SUM(F50:F57)</f>
        <v>13.894377374094173</v>
      </c>
      <c r="G58" s="18"/>
      <c r="H58" s="18"/>
      <c r="I58" s="18"/>
    </row>
    <row r="59" spans="1:9" x14ac:dyDescent="0.2">
      <c r="A59" s="27"/>
      <c r="B59" s="27"/>
      <c r="C59" s="27"/>
      <c r="D59" s="28"/>
      <c r="E59" s="29"/>
      <c r="F59" s="30"/>
    </row>
    <row r="60" spans="1:9" x14ac:dyDescent="0.2">
      <c r="A60" s="26" t="s">
        <v>37</v>
      </c>
      <c r="B60" s="26"/>
      <c r="C60" s="26"/>
      <c r="D60" s="32"/>
      <c r="E60" s="33">
        <f>E43+E48+E58</f>
        <v>103986.5366469</v>
      </c>
      <c r="F60" s="34">
        <f>F43+F48+F58</f>
        <v>91.092489660722052</v>
      </c>
      <c r="G60" s="18"/>
      <c r="H60" s="18"/>
      <c r="I60" s="18"/>
    </row>
    <row r="61" spans="1:9" x14ac:dyDescent="0.2">
      <c r="A61" s="26"/>
      <c r="B61" s="26"/>
      <c r="C61" s="26"/>
      <c r="D61" s="32"/>
      <c r="E61" s="33"/>
      <c r="F61" s="34"/>
      <c r="G61" s="18"/>
      <c r="H61" s="18"/>
      <c r="I61" s="18"/>
    </row>
    <row r="62" spans="1:9" x14ac:dyDescent="0.2">
      <c r="A62" s="26" t="s">
        <v>39</v>
      </c>
      <c r="B62" s="26"/>
      <c r="C62" s="26"/>
      <c r="D62" s="32"/>
      <c r="E62" s="33">
        <f>E64-(E43+E48+E58)</f>
        <v>10168.359145499999</v>
      </c>
      <c r="F62" s="34">
        <f>F64-(F43+F48+F58)</f>
        <v>8.9075103392779482</v>
      </c>
      <c r="G62" s="18"/>
      <c r="H62" s="18"/>
      <c r="I62" s="18"/>
    </row>
    <row r="63" spans="1:9" x14ac:dyDescent="0.2">
      <c r="A63" s="26"/>
      <c r="B63" s="26"/>
      <c r="C63" s="26"/>
      <c r="D63" s="32"/>
      <c r="E63" s="33"/>
      <c r="F63" s="34"/>
      <c r="G63" s="18"/>
      <c r="H63" s="18"/>
      <c r="I63" s="18"/>
    </row>
    <row r="64" spans="1:9" x14ac:dyDescent="0.2">
      <c r="A64" s="35" t="s">
        <v>38</v>
      </c>
      <c r="B64" s="35"/>
      <c r="C64" s="35"/>
      <c r="D64" s="36"/>
      <c r="E64" s="37">
        <v>114154.8957924</v>
      </c>
      <c r="F64" s="38">
        <v>100</v>
      </c>
      <c r="G64" s="18"/>
      <c r="H64" s="18"/>
      <c r="I64" s="18"/>
    </row>
    <row r="67" spans="1:4" x14ac:dyDescent="0.2">
      <c r="A67" s="18" t="s">
        <v>41</v>
      </c>
    </row>
    <row r="68" spans="1:4" x14ac:dyDescent="0.2">
      <c r="A68" s="18" t="s">
        <v>42</v>
      </c>
    </row>
    <row r="69" spans="1:4" x14ac:dyDescent="0.2">
      <c r="A69" s="18" t="s">
        <v>43</v>
      </c>
      <c r="B69" s="18"/>
      <c r="C69" s="39" t="s">
        <v>45</v>
      </c>
      <c r="D69" s="19" t="s">
        <v>44</v>
      </c>
    </row>
    <row r="70" spans="1:4" x14ac:dyDescent="0.2">
      <c r="A70" s="9" t="s">
        <v>70</v>
      </c>
      <c r="C70" s="40">
        <v>56.966200000000001</v>
      </c>
      <c r="D70" s="40">
        <v>73.605999999999995</v>
      </c>
    </row>
    <row r="71" spans="1:4" x14ac:dyDescent="0.2">
      <c r="A71" s="9" t="s">
        <v>76</v>
      </c>
      <c r="C71" s="40">
        <v>15.642799999999999</v>
      </c>
      <c r="D71" s="40">
        <v>19.345300000000002</v>
      </c>
    </row>
    <row r="72" spans="1:4" x14ac:dyDescent="0.2">
      <c r="A72" s="9" t="s">
        <v>73</v>
      </c>
      <c r="C72" s="40">
        <v>60.162300000000002</v>
      </c>
      <c r="D72" s="40">
        <v>78.023899999999998</v>
      </c>
    </row>
    <row r="73" spans="1:4" x14ac:dyDescent="0.2">
      <c r="A73" s="9" t="s">
        <v>77</v>
      </c>
      <c r="C73" s="40">
        <v>16.858699999999999</v>
      </c>
      <c r="D73" s="40">
        <v>20.991499999999998</v>
      </c>
    </row>
    <row r="75" spans="1:4" x14ac:dyDescent="0.2">
      <c r="A75" s="18" t="s">
        <v>47</v>
      </c>
    </row>
    <row r="76" spans="1:4" x14ac:dyDescent="0.2">
      <c r="A76" s="81" t="s">
        <v>67</v>
      </c>
      <c r="B76" s="82"/>
      <c r="C76" s="43" t="s">
        <v>68</v>
      </c>
    </row>
    <row r="77" spans="1:4" x14ac:dyDescent="0.2">
      <c r="A77" s="77" t="s">
        <v>76</v>
      </c>
      <c r="B77" s="78"/>
      <c r="C77" s="44">
        <v>0.75</v>
      </c>
    </row>
    <row r="78" spans="1:4" x14ac:dyDescent="0.2">
      <c r="A78" s="77" t="s">
        <v>77</v>
      </c>
      <c r="B78" s="78"/>
      <c r="C78" s="44">
        <v>0.75</v>
      </c>
    </row>
    <row r="79" spans="1:4" x14ac:dyDescent="0.2">
      <c r="A79" s="9" t="s">
        <v>69</v>
      </c>
    </row>
    <row r="80" spans="1:4" x14ac:dyDescent="0.2">
      <c r="A80" s="9" t="s">
        <v>46</v>
      </c>
    </row>
    <row r="82" spans="1:4" x14ac:dyDescent="0.2">
      <c r="A82" s="18" t="s">
        <v>220</v>
      </c>
      <c r="D82" s="45">
        <v>9.7000000000000003E-2</v>
      </c>
    </row>
    <row r="84" spans="1:4" x14ac:dyDescent="0.2">
      <c r="A84" s="18" t="s">
        <v>94</v>
      </c>
    </row>
    <row r="85" spans="1:4" x14ac:dyDescent="0.2">
      <c r="A85" s="50" t="s">
        <v>50</v>
      </c>
    </row>
  </sheetData>
  <mergeCells count="4">
    <mergeCell ref="A1:F1"/>
    <mergeCell ref="A76:B76"/>
    <mergeCell ref="A77:B77"/>
    <mergeCell ref="A78:B78"/>
  </mergeCells>
  <conditionalFormatting sqref="F2:F3 F5:F65534">
    <cfRule type="cellIs" dxfId="24" priority="1" stopIfTrue="1" operator="between">
      <formula>0.009</formula>
      <formula>-0.009</formula>
    </cfRule>
  </conditionalFormatting>
  <hyperlinks>
    <hyperlink ref="A85" r:id="rId1" xr:uid="{00000000-0004-0000-1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74"/>
  <sheetViews>
    <sheetView workbookViewId="0">
      <selection sqref="A1:F1"/>
    </sheetView>
  </sheetViews>
  <sheetFormatPr defaultColWidth="9.109375" defaultRowHeight="10.199999999999999" x14ac:dyDescent="0.2"/>
  <cols>
    <col min="1" max="1" width="38.6640625" style="9" bestFit="1" customWidth="1"/>
    <col min="2" max="2" width="33.109375" style="9" bestFit="1" customWidth="1"/>
    <col min="3" max="3" width="26.8867187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79" t="s">
        <v>12</v>
      </c>
      <c r="B1" s="80"/>
      <c r="C1" s="80"/>
      <c r="D1" s="80"/>
      <c r="E1" s="80"/>
      <c r="F1" s="8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261</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97</v>
      </c>
      <c r="B7" s="27" t="s">
        <v>96</v>
      </c>
      <c r="C7" s="27" t="s">
        <v>98</v>
      </c>
      <c r="D7" s="31">
        <v>945647</v>
      </c>
      <c r="E7" s="29">
        <v>14948.787780000001</v>
      </c>
      <c r="F7" s="30">
        <v>24.719861246334698</v>
      </c>
    </row>
    <row r="8" spans="1:6" x14ac:dyDescent="0.2">
      <c r="A8" s="27" t="s">
        <v>137</v>
      </c>
      <c r="B8" s="27" t="s">
        <v>136</v>
      </c>
      <c r="C8" s="27" t="s">
        <v>98</v>
      </c>
      <c r="D8" s="31">
        <v>176000</v>
      </c>
      <c r="E8" s="29">
        <v>5888.52</v>
      </c>
      <c r="F8" s="30">
        <v>9.7374716591412191</v>
      </c>
    </row>
    <row r="9" spans="1:6" x14ac:dyDescent="0.2">
      <c r="A9" s="27" t="s">
        <v>238</v>
      </c>
      <c r="B9" s="27" t="s">
        <v>237</v>
      </c>
      <c r="C9" s="27" t="s">
        <v>98</v>
      </c>
      <c r="D9" s="31">
        <v>570000</v>
      </c>
      <c r="E9" s="29">
        <v>5605.95</v>
      </c>
      <c r="F9" s="30">
        <v>9.2702035906412306</v>
      </c>
    </row>
    <row r="10" spans="1:6" x14ac:dyDescent="0.2">
      <c r="A10" s="27" t="s">
        <v>309</v>
      </c>
      <c r="B10" s="27" t="s">
        <v>308</v>
      </c>
      <c r="C10" s="27" t="s">
        <v>160</v>
      </c>
      <c r="D10" s="31">
        <v>73229</v>
      </c>
      <c r="E10" s="29">
        <v>3599.7545679999998</v>
      </c>
      <c r="F10" s="30">
        <v>5.9526855790188602</v>
      </c>
    </row>
    <row r="11" spans="1:6" x14ac:dyDescent="0.2">
      <c r="A11" s="27" t="s">
        <v>196</v>
      </c>
      <c r="B11" s="27" t="s">
        <v>195</v>
      </c>
      <c r="C11" s="27" t="s">
        <v>98</v>
      </c>
      <c r="D11" s="31">
        <v>320000</v>
      </c>
      <c r="E11" s="29">
        <v>3505.44</v>
      </c>
      <c r="F11" s="30">
        <v>5.79672356599281</v>
      </c>
    </row>
    <row r="12" spans="1:6" x14ac:dyDescent="0.2">
      <c r="A12" s="27" t="s">
        <v>110</v>
      </c>
      <c r="B12" s="27" t="s">
        <v>109</v>
      </c>
      <c r="C12" s="27" t="s">
        <v>111</v>
      </c>
      <c r="D12" s="31">
        <v>600000</v>
      </c>
      <c r="E12" s="29">
        <v>3153.9</v>
      </c>
      <c r="F12" s="30">
        <v>5.2154041874300301</v>
      </c>
    </row>
    <row r="13" spans="1:6" x14ac:dyDescent="0.2">
      <c r="A13" s="27" t="s">
        <v>280</v>
      </c>
      <c r="B13" s="27" t="s">
        <v>279</v>
      </c>
      <c r="C13" s="27" t="s">
        <v>98</v>
      </c>
      <c r="D13" s="31">
        <v>200000</v>
      </c>
      <c r="E13" s="29">
        <v>1719.2</v>
      </c>
      <c r="F13" s="30">
        <v>2.84293188719671</v>
      </c>
    </row>
    <row r="14" spans="1:6" x14ac:dyDescent="0.2">
      <c r="A14" s="27" t="s">
        <v>311</v>
      </c>
      <c r="B14" s="27" t="s">
        <v>310</v>
      </c>
      <c r="C14" s="27" t="s">
        <v>98</v>
      </c>
      <c r="D14" s="31">
        <v>31000</v>
      </c>
      <c r="E14" s="29">
        <v>1262.1030000000001</v>
      </c>
      <c r="F14" s="30">
        <v>2.0870595995966901</v>
      </c>
    </row>
    <row r="15" spans="1:6" x14ac:dyDescent="0.2">
      <c r="A15" s="27" t="s">
        <v>313</v>
      </c>
      <c r="B15" s="27" t="s">
        <v>312</v>
      </c>
      <c r="C15" s="27" t="s">
        <v>160</v>
      </c>
      <c r="D15" s="31">
        <v>75000</v>
      </c>
      <c r="E15" s="29">
        <v>720.71249999999998</v>
      </c>
      <c r="F15" s="30">
        <v>1.19179650287998</v>
      </c>
    </row>
    <row r="16" spans="1:6" x14ac:dyDescent="0.2">
      <c r="A16" s="27" t="s">
        <v>315</v>
      </c>
      <c r="B16" s="27" t="s">
        <v>314</v>
      </c>
      <c r="C16" s="27" t="s">
        <v>160</v>
      </c>
      <c r="D16" s="31">
        <v>6000</v>
      </c>
      <c r="E16" s="29">
        <v>419.529</v>
      </c>
      <c r="F16" s="30">
        <v>0.69374847120971905</v>
      </c>
    </row>
    <row r="17" spans="1:9" x14ac:dyDescent="0.2">
      <c r="A17" s="27" t="s">
        <v>317</v>
      </c>
      <c r="B17" s="27" t="s">
        <v>316</v>
      </c>
      <c r="C17" s="27" t="s">
        <v>98</v>
      </c>
      <c r="D17" s="31">
        <v>63629</v>
      </c>
      <c r="E17" s="29">
        <v>202.14933300000001</v>
      </c>
      <c r="F17" s="30">
        <v>0.334281517427435</v>
      </c>
    </row>
    <row r="18" spans="1:9" x14ac:dyDescent="0.2">
      <c r="A18" s="26" t="s">
        <v>35</v>
      </c>
      <c r="B18" s="26"/>
      <c r="C18" s="26"/>
      <c r="D18" s="32"/>
      <c r="E18" s="33">
        <f>SUM(E7:E17)</f>
        <v>41026.046181000012</v>
      </c>
      <c r="F18" s="34">
        <f>SUM(F7:F17)</f>
        <v>67.842167806869398</v>
      </c>
      <c r="G18" s="18"/>
      <c r="H18" s="18"/>
      <c r="I18" s="18"/>
    </row>
    <row r="19" spans="1:9" x14ac:dyDescent="0.2">
      <c r="A19" s="27"/>
      <c r="B19" s="27"/>
      <c r="C19" s="27"/>
      <c r="D19" s="28"/>
      <c r="E19" s="29"/>
      <c r="F19" s="30"/>
    </row>
    <row r="20" spans="1:9" x14ac:dyDescent="0.2">
      <c r="A20" s="26" t="s">
        <v>227</v>
      </c>
      <c r="B20" s="27"/>
      <c r="C20" s="27"/>
      <c r="D20" s="28"/>
      <c r="E20" s="29"/>
      <c r="F20" s="30"/>
    </row>
    <row r="21" spans="1:9" x14ac:dyDescent="0.2">
      <c r="A21" s="27"/>
      <c r="B21" s="27" t="s">
        <v>732</v>
      </c>
      <c r="C21" s="27" t="s">
        <v>98</v>
      </c>
      <c r="D21" s="31">
        <v>970000</v>
      </c>
      <c r="E21" s="29">
        <v>9.7000000000000003E-2</v>
      </c>
      <c r="F21" s="30">
        <v>1.60402741425129E-4</v>
      </c>
    </row>
    <row r="22" spans="1:9" x14ac:dyDescent="0.2">
      <c r="A22" s="26" t="s">
        <v>35</v>
      </c>
      <c r="B22" s="26"/>
      <c r="C22" s="26"/>
      <c r="D22" s="32"/>
      <c r="E22" s="33">
        <f>SUM(E20:E21)</f>
        <v>9.7000000000000003E-2</v>
      </c>
      <c r="F22" s="34">
        <f>SUM(F20:F21)</f>
        <v>1.60402741425129E-4</v>
      </c>
      <c r="G22" s="18"/>
      <c r="H22" s="18"/>
      <c r="I22" s="18"/>
    </row>
    <row r="23" spans="1:9" x14ac:dyDescent="0.2">
      <c r="A23" s="27"/>
      <c r="B23" s="27"/>
      <c r="C23" s="27"/>
      <c r="D23" s="28"/>
      <c r="E23" s="29"/>
      <c r="F23" s="30"/>
    </row>
    <row r="24" spans="1:9" x14ac:dyDescent="0.2">
      <c r="A24" s="26" t="s">
        <v>290</v>
      </c>
      <c r="B24" s="27"/>
      <c r="C24" s="27"/>
      <c r="D24" s="28"/>
      <c r="E24" s="29"/>
      <c r="F24" s="30"/>
    </row>
    <row r="25" spans="1:9" x14ac:dyDescent="0.2">
      <c r="A25" s="27" t="s">
        <v>319</v>
      </c>
      <c r="B25" s="27" t="s">
        <v>318</v>
      </c>
      <c r="C25" s="27" t="s">
        <v>307</v>
      </c>
      <c r="D25" s="31">
        <v>2800</v>
      </c>
      <c r="E25" s="29">
        <v>1665.16652</v>
      </c>
      <c r="F25" s="30">
        <v>2.7535801519313501</v>
      </c>
    </row>
    <row r="26" spans="1:9" x14ac:dyDescent="0.2">
      <c r="A26" s="27" t="s">
        <v>321</v>
      </c>
      <c r="B26" s="27" t="s">
        <v>320</v>
      </c>
      <c r="C26" s="27" t="s">
        <v>98</v>
      </c>
      <c r="D26" s="31">
        <v>60135</v>
      </c>
      <c r="E26" s="29">
        <v>1343.1581759999999</v>
      </c>
      <c r="F26" s="30">
        <v>2.2210953979172698</v>
      </c>
    </row>
    <row r="27" spans="1:9" x14ac:dyDescent="0.2">
      <c r="A27" s="27" t="s">
        <v>323</v>
      </c>
      <c r="B27" s="27" t="s">
        <v>322</v>
      </c>
      <c r="C27" s="27" t="s">
        <v>307</v>
      </c>
      <c r="D27" s="31">
        <v>78000</v>
      </c>
      <c r="E27" s="29">
        <v>1237.719339</v>
      </c>
      <c r="F27" s="30">
        <v>2.0467378875309099</v>
      </c>
    </row>
    <row r="28" spans="1:9" x14ac:dyDescent="0.2">
      <c r="A28" s="27" t="s">
        <v>325</v>
      </c>
      <c r="B28" s="27" t="s">
        <v>324</v>
      </c>
      <c r="C28" s="27" t="s">
        <v>307</v>
      </c>
      <c r="D28" s="31">
        <v>37000</v>
      </c>
      <c r="E28" s="29">
        <v>949.26486030000001</v>
      </c>
      <c r="F28" s="30">
        <v>1.5697390302130101</v>
      </c>
    </row>
    <row r="29" spans="1:9" x14ac:dyDescent="0.2">
      <c r="A29" s="27" t="s">
        <v>327</v>
      </c>
      <c r="B29" s="27" t="s">
        <v>326</v>
      </c>
      <c r="C29" s="27" t="s">
        <v>328</v>
      </c>
      <c r="D29" s="31">
        <v>5173</v>
      </c>
      <c r="E29" s="29">
        <v>939.22140000000002</v>
      </c>
      <c r="F29" s="30">
        <v>1.55313079757884</v>
      </c>
    </row>
    <row r="30" spans="1:9" x14ac:dyDescent="0.2">
      <c r="A30" s="27" t="s">
        <v>330</v>
      </c>
      <c r="B30" s="27" t="s">
        <v>329</v>
      </c>
      <c r="C30" s="27" t="s">
        <v>307</v>
      </c>
      <c r="D30" s="31">
        <v>39000</v>
      </c>
      <c r="E30" s="29">
        <v>915.96225010000001</v>
      </c>
      <c r="F30" s="30">
        <v>1.5146686181233899</v>
      </c>
    </row>
    <row r="31" spans="1:9" x14ac:dyDescent="0.2">
      <c r="A31" s="27" t="s">
        <v>332</v>
      </c>
      <c r="B31" s="27" t="s">
        <v>331</v>
      </c>
      <c r="C31" s="27" t="s">
        <v>307</v>
      </c>
      <c r="D31" s="31">
        <v>17000</v>
      </c>
      <c r="E31" s="29">
        <v>903.7882869</v>
      </c>
      <c r="F31" s="30">
        <v>1.4945373081101101</v>
      </c>
    </row>
    <row r="32" spans="1:9" x14ac:dyDescent="0.2">
      <c r="A32" s="27" t="s">
        <v>334</v>
      </c>
      <c r="B32" s="27" t="s">
        <v>333</v>
      </c>
      <c r="C32" s="27" t="s">
        <v>335</v>
      </c>
      <c r="D32" s="31">
        <v>8200</v>
      </c>
      <c r="E32" s="29">
        <v>871.14934540000002</v>
      </c>
      <c r="F32" s="30">
        <v>1.44056436281305</v>
      </c>
    </row>
    <row r="33" spans="1:9" x14ac:dyDescent="0.2">
      <c r="A33" s="27" t="s">
        <v>337</v>
      </c>
      <c r="B33" s="27" t="s">
        <v>336</v>
      </c>
      <c r="C33" s="27" t="s">
        <v>307</v>
      </c>
      <c r="D33" s="31">
        <v>14982</v>
      </c>
      <c r="E33" s="29">
        <v>625.16919410000003</v>
      </c>
      <c r="F33" s="30">
        <v>1.03380260400184</v>
      </c>
    </row>
    <row r="34" spans="1:9" x14ac:dyDescent="0.2">
      <c r="A34" s="27" t="s">
        <v>339</v>
      </c>
      <c r="B34" s="27" t="s">
        <v>338</v>
      </c>
      <c r="C34" s="27" t="s">
        <v>98</v>
      </c>
      <c r="D34" s="31">
        <v>14000</v>
      </c>
      <c r="E34" s="29">
        <v>521.54821879999997</v>
      </c>
      <c r="F34" s="30">
        <v>0.86245117609188404</v>
      </c>
    </row>
    <row r="35" spans="1:9" x14ac:dyDescent="0.2">
      <c r="A35" s="27" t="s">
        <v>341</v>
      </c>
      <c r="B35" s="27" t="s">
        <v>340</v>
      </c>
      <c r="C35" s="27" t="s">
        <v>160</v>
      </c>
      <c r="D35" s="31">
        <v>23400</v>
      </c>
      <c r="E35" s="29">
        <v>492.69363090000002</v>
      </c>
      <c r="F35" s="30">
        <v>0.81473617607278803</v>
      </c>
    </row>
    <row r="36" spans="1:9" x14ac:dyDescent="0.2">
      <c r="A36" s="27" t="s">
        <v>343</v>
      </c>
      <c r="B36" s="27" t="s">
        <v>342</v>
      </c>
      <c r="C36" s="27" t="s">
        <v>98</v>
      </c>
      <c r="D36" s="31">
        <v>267</v>
      </c>
      <c r="E36" s="29">
        <v>484.59055000000001</v>
      </c>
      <c r="F36" s="30">
        <v>0.80133662565681296</v>
      </c>
    </row>
    <row r="37" spans="1:9" x14ac:dyDescent="0.2">
      <c r="A37" s="27" t="s">
        <v>345</v>
      </c>
      <c r="B37" s="27" t="s">
        <v>344</v>
      </c>
      <c r="C37" s="27" t="s">
        <v>98</v>
      </c>
      <c r="D37" s="31">
        <v>1310</v>
      </c>
      <c r="E37" s="29">
        <v>282.64660839999999</v>
      </c>
      <c r="F37" s="30">
        <v>0.46739475094716199</v>
      </c>
    </row>
    <row r="38" spans="1:9" x14ac:dyDescent="0.2">
      <c r="A38" s="27" t="s">
        <v>347</v>
      </c>
      <c r="B38" s="27" t="s">
        <v>346</v>
      </c>
      <c r="C38" s="27" t="s">
        <v>98</v>
      </c>
      <c r="D38" s="31">
        <v>110</v>
      </c>
      <c r="E38" s="29">
        <v>281.27212580000003</v>
      </c>
      <c r="F38" s="30">
        <v>0.46512185633807901</v>
      </c>
    </row>
    <row r="39" spans="1:9" x14ac:dyDescent="0.2">
      <c r="A39" s="27" t="s">
        <v>349</v>
      </c>
      <c r="B39" s="27" t="s">
        <v>348</v>
      </c>
      <c r="C39" s="27" t="s">
        <v>98</v>
      </c>
      <c r="D39" s="31">
        <v>1100</v>
      </c>
      <c r="E39" s="29">
        <v>221.4914972</v>
      </c>
      <c r="F39" s="30">
        <v>0.366266426322022</v>
      </c>
    </row>
    <row r="40" spans="1:9" x14ac:dyDescent="0.2">
      <c r="A40" s="26" t="s">
        <v>35</v>
      </c>
      <c r="B40" s="26"/>
      <c r="C40" s="26"/>
      <c r="D40" s="32"/>
      <c r="E40" s="33">
        <f>SUM(E24:E39)</f>
        <v>11734.842002900003</v>
      </c>
      <c r="F40" s="34">
        <f>SUM(F24:F39)</f>
        <v>19.405163169648514</v>
      </c>
      <c r="G40" s="18"/>
      <c r="H40" s="18"/>
      <c r="I40" s="18"/>
    </row>
    <row r="41" spans="1:9" x14ac:dyDescent="0.2">
      <c r="A41" s="27"/>
      <c r="B41" s="27"/>
      <c r="C41" s="27"/>
      <c r="D41" s="28"/>
      <c r="E41" s="29"/>
      <c r="F41" s="30"/>
    </row>
    <row r="42" spans="1:9" x14ac:dyDescent="0.2">
      <c r="A42" s="26" t="s">
        <v>350</v>
      </c>
      <c r="B42" s="27"/>
      <c r="C42" s="27"/>
      <c r="D42" s="28"/>
      <c r="E42" s="29"/>
      <c r="F42" s="30"/>
    </row>
    <row r="43" spans="1:9" x14ac:dyDescent="0.2">
      <c r="A43" s="27" t="s">
        <v>352</v>
      </c>
      <c r="B43" s="27" t="s">
        <v>351</v>
      </c>
      <c r="C43" s="27" t="s">
        <v>353</v>
      </c>
      <c r="D43" s="31">
        <v>91868.481</v>
      </c>
      <c r="E43" s="29">
        <v>4374.3027549999997</v>
      </c>
      <c r="F43" s="30">
        <v>7.2335067394380701</v>
      </c>
    </row>
    <row r="44" spans="1:9" x14ac:dyDescent="0.2">
      <c r="A44" s="26" t="s">
        <v>35</v>
      </c>
      <c r="B44" s="26"/>
      <c r="C44" s="26"/>
      <c r="D44" s="32"/>
      <c r="E44" s="33">
        <f>SUM(E43:E43)</f>
        <v>4374.3027549999997</v>
      </c>
      <c r="F44" s="34">
        <f>SUM(F43:F43)</f>
        <v>7.2335067394380701</v>
      </c>
      <c r="G44" s="18"/>
      <c r="H44" s="18"/>
      <c r="I44" s="18"/>
    </row>
    <row r="45" spans="1:9" x14ac:dyDescent="0.2">
      <c r="A45" s="27"/>
      <c r="B45" s="27"/>
      <c r="C45" s="27"/>
      <c r="D45" s="28"/>
      <c r="E45" s="29"/>
      <c r="F45" s="30"/>
    </row>
    <row r="46" spans="1:9" x14ac:dyDescent="0.2">
      <c r="A46" s="26" t="s">
        <v>37</v>
      </c>
      <c r="B46" s="26"/>
      <c r="C46" s="26"/>
      <c r="D46" s="32"/>
      <c r="E46" s="33">
        <f>E18+E22+E40+E44</f>
        <v>57135.287938900015</v>
      </c>
      <c r="F46" s="34">
        <f>F18+F22+F40+F44</f>
        <v>94.480998118697414</v>
      </c>
      <c r="G46" s="18"/>
      <c r="H46" s="18"/>
      <c r="I46" s="18"/>
    </row>
    <row r="47" spans="1:9" x14ac:dyDescent="0.2">
      <c r="A47" s="26"/>
      <c r="B47" s="26"/>
      <c r="C47" s="26"/>
      <c r="D47" s="32"/>
      <c r="E47" s="33"/>
      <c r="F47" s="34"/>
      <c r="G47" s="18"/>
      <c r="H47" s="18"/>
      <c r="I47" s="18"/>
    </row>
    <row r="48" spans="1:9" x14ac:dyDescent="0.2">
      <c r="A48" s="26" t="s">
        <v>39</v>
      </c>
      <c r="B48" s="26"/>
      <c r="C48" s="26"/>
      <c r="D48" s="32"/>
      <c r="E48" s="33">
        <f>E50-(E18+E22+E40+E44)</f>
        <v>3337.493971299984</v>
      </c>
      <c r="F48" s="34">
        <f>F50-(F18+F22+F40+F44)</f>
        <v>5.5190018813025858</v>
      </c>
      <c r="G48" s="18"/>
      <c r="H48" s="18"/>
      <c r="I48" s="18"/>
    </row>
    <row r="49" spans="1:9" x14ac:dyDescent="0.2">
      <c r="A49" s="26"/>
      <c r="B49" s="26"/>
      <c r="C49" s="26"/>
      <c r="D49" s="32"/>
      <c r="E49" s="33"/>
      <c r="F49" s="34"/>
      <c r="G49" s="18"/>
      <c r="H49" s="18"/>
      <c r="I49" s="18"/>
    </row>
    <row r="50" spans="1:9" x14ac:dyDescent="0.2">
      <c r="A50" s="35" t="s">
        <v>38</v>
      </c>
      <c r="B50" s="35"/>
      <c r="C50" s="35"/>
      <c r="D50" s="36"/>
      <c r="E50" s="37">
        <v>60472.781910199999</v>
      </c>
      <c r="F50" s="38">
        <v>100</v>
      </c>
      <c r="G50" s="18"/>
      <c r="H50" s="18"/>
      <c r="I50" s="18"/>
    </row>
    <row r="51" spans="1:9" x14ac:dyDescent="0.2">
      <c r="F51" s="20" t="s">
        <v>503</v>
      </c>
    </row>
    <row r="52" spans="1:9" x14ac:dyDescent="0.2">
      <c r="A52" s="18" t="s">
        <v>40</v>
      </c>
    </row>
    <row r="53" spans="1:9" x14ac:dyDescent="0.2">
      <c r="A53" s="18" t="s">
        <v>733</v>
      </c>
    </row>
    <row r="55" spans="1:9" x14ac:dyDescent="0.2">
      <c r="A55" s="18" t="s">
        <v>41</v>
      </c>
    </row>
    <row r="56" spans="1:9" x14ac:dyDescent="0.2">
      <c r="A56" s="18" t="s">
        <v>42</v>
      </c>
    </row>
    <row r="57" spans="1:9" x14ac:dyDescent="0.2">
      <c r="A57" s="18" t="s">
        <v>43</v>
      </c>
      <c r="B57" s="18"/>
      <c r="C57" s="39" t="s">
        <v>45</v>
      </c>
      <c r="D57" s="19" t="s">
        <v>44</v>
      </c>
    </row>
    <row r="58" spans="1:9" x14ac:dyDescent="0.2">
      <c r="A58" s="9" t="s">
        <v>70</v>
      </c>
      <c r="C58" s="40">
        <v>260.39569999999998</v>
      </c>
      <c r="D58" s="40">
        <v>306.0591</v>
      </c>
    </row>
    <row r="59" spans="1:9" x14ac:dyDescent="0.2">
      <c r="A59" s="9" t="s">
        <v>76</v>
      </c>
      <c r="C59" s="40">
        <v>35.084400000000002</v>
      </c>
      <c r="D59" s="40">
        <v>41.238599999999998</v>
      </c>
    </row>
    <row r="60" spans="1:9" x14ac:dyDescent="0.2">
      <c r="A60" s="9" t="s">
        <v>73</v>
      </c>
      <c r="C60" s="40">
        <v>273.88690000000003</v>
      </c>
      <c r="D60" s="40">
        <v>323.22329999999999</v>
      </c>
    </row>
    <row r="61" spans="1:9" x14ac:dyDescent="0.2">
      <c r="A61" s="9" t="s">
        <v>77</v>
      </c>
      <c r="C61" s="40">
        <v>37.373199999999997</v>
      </c>
      <c r="D61" s="40">
        <v>44.094099999999997</v>
      </c>
    </row>
    <row r="63" spans="1:9" x14ac:dyDescent="0.2">
      <c r="A63" s="9" t="s">
        <v>46</v>
      </c>
    </row>
    <row r="65" spans="1:4" x14ac:dyDescent="0.2">
      <c r="A65" s="18" t="s">
        <v>47</v>
      </c>
      <c r="D65" s="41" t="s">
        <v>48</v>
      </c>
    </row>
    <row r="67" spans="1:4" x14ac:dyDescent="0.2">
      <c r="A67" s="18" t="s">
        <v>220</v>
      </c>
      <c r="D67" s="45">
        <v>6.25E-2</v>
      </c>
    </row>
    <row r="69" spans="1:4" x14ac:dyDescent="0.2">
      <c r="A69" s="18" t="s">
        <v>734</v>
      </c>
      <c r="D69" s="41" t="s">
        <v>48</v>
      </c>
    </row>
    <row r="70" spans="1:4" x14ac:dyDescent="0.2">
      <c r="A70" s="9" t="s">
        <v>729</v>
      </c>
    </row>
    <row r="71" spans="1:4" x14ac:dyDescent="0.2">
      <c r="A71" s="50" t="s">
        <v>730</v>
      </c>
    </row>
    <row r="73" spans="1:4" x14ac:dyDescent="0.2">
      <c r="A73" s="18" t="s">
        <v>735</v>
      </c>
    </row>
    <row r="74" spans="1:4" x14ac:dyDescent="0.2">
      <c r="A74" s="50" t="s">
        <v>50</v>
      </c>
    </row>
  </sheetData>
  <mergeCells count="1">
    <mergeCell ref="A1:F1"/>
  </mergeCells>
  <conditionalFormatting sqref="F2:F3 F5:F50 F52:F65538">
    <cfRule type="cellIs" dxfId="23" priority="2" stopIfTrue="1" operator="between">
      <formula>0.009</formula>
      <formula>-0.009</formula>
    </cfRule>
  </conditionalFormatting>
  <conditionalFormatting sqref="F51">
    <cfRule type="cellIs" dxfId="22" priority="1" stopIfTrue="1" operator="between">
      <formula>0.009</formula>
      <formula>-0.009</formula>
    </cfRule>
  </conditionalFormatting>
  <hyperlinks>
    <hyperlink ref="A74" r:id="rId1" xr:uid="{00000000-0004-0000-1F00-000000000000}"/>
    <hyperlink ref="A71" r:id="rId2" xr:uid="{00000000-0004-0000-1F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94"/>
  <sheetViews>
    <sheetView workbookViewId="0">
      <selection sqref="A1:F1"/>
    </sheetView>
  </sheetViews>
  <sheetFormatPr defaultColWidth="9.109375" defaultRowHeight="10.199999999999999" x14ac:dyDescent="0.2"/>
  <cols>
    <col min="1" max="1" width="38.6640625" style="9" bestFit="1" customWidth="1"/>
    <col min="2" max="2" width="34.109375" style="9" bestFit="1" customWidth="1"/>
    <col min="3" max="3" width="24.66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79" t="s">
        <v>13</v>
      </c>
      <c r="B1" s="80"/>
      <c r="C1" s="80"/>
      <c r="D1" s="80"/>
      <c r="E1" s="80"/>
      <c r="F1" s="8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261</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355</v>
      </c>
      <c r="B7" s="27" t="s">
        <v>354</v>
      </c>
      <c r="C7" s="27" t="s">
        <v>278</v>
      </c>
      <c r="D7" s="31">
        <v>2482967</v>
      </c>
      <c r="E7" s="29">
        <v>44905.699679999998</v>
      </c>
      <c r="F7" s="30">
        <v>6.6346441604340303</v>
      </c>
    </row>
    <row r="8" spans="1:6" x14ac:dyDescent="0.2">
      <c r="A8" s="27" t="s">
        <v>357</v>
      </c>
      <c r="B8" s="27" t="s">
        <v>356</v>
      </c>
      <c r="C8" s="27" t="s">
        <v>358</v>
      </c>
      <c r="D8" s="31">
        <v>7537595</v>
      </c>
      <c r="E8" s="29">
        <v>21082.65322</v>
      </c>
      <c r="F8" s="30">
        <v>3.1148808073204601</v>
      </c>
    </row>
    <row r="9" spans="1:6" x14ac:dyDescent="0.2">
      <c r="A9" s="27" t="s">
        <v>280</v>
      </c>
      <c r="B9" s="27" t="s">
        <v>279</v>
      </c>
      <c r="C9" s="27" t="s">
        <v>98</v>
      </c>
      <c r="D9" s="31">
        <v>2359141</v>
      </c>
      <c r="E9" s="29">
        <v>20279.176039999998</v>
      </c>
      <c r="F9" s="30">
        <v>2.9961701488001302</v>
      </c>
    </row>
    <row r="10" spans="1:6" x14ac:dyDescent="0.2">
      <c r="A10" s="27" t="s">
        <v>243</v>
      </c>
      <c r="B10" s="27" t="s">
        <v>242</v>
      </c>
      <c r="C10" s="27" t="s">
        <v>204</v>
      </c>
      <c r="D10" s="31">
        <v>3884567</v>
      </c>
      <c r="E10" s="29">
        <v>20191.97927</v>
      </c>
      <c r="F10" s="30">
        <v>2.98328716189621</v>
      </c>
    </row>
    <row r="11" spans="1:6" x14ac:dyDescent="0.2">
      <c r="A11" s="27" t="s">
        <v>360</v>
      </c>
      <c r="B11" s="27" t="s">
        <v>359</v>
      </c>
      <c r="C11" s="27" t="s">
        <v>125</v>
      </c>
      <c r="D11" s="31">
        <v>1211988</v>
      </c>
      <c r="E11" s="29">
        <v>20182.02418</v>
      </c>
      <c r="F11" s="30">
        <v>2.98181633569361</v>
      </c>
    </row>
    <row r="12" spans="1:6" x14ac:dyDescent="0.2">
      <c r="A12" s="27" t="s">
        <v>362</v>
      </c>
      <c r="B12" s="27" t="s">
        <v>361</v>
      </c>
      <c r="C12" s="27" t="s">
        <v>128</v>
      </c>
      <c r="D12" s="31">
        <v>5562185</v>
      </c>
      <c r="E12" s="29">
        <v>20115.642049999999</v>
      </c>
      <c r="F12" s="30">
        <v>2.9720086316760801</v>
      </c>
    </row>
    <row r="13" spans="1:6" x14ac:dyDescent="0.2">
      <c r="A13" s="27" t="s">
        <v>282</v>
      </c>
      <c r="B13" s="27" t="s">
        <v>281</v>
      </c>
      <c r="C13" s="27" t="s">
        <v>209</v>
      </c>
      <c r="D13" s="31">
        <v>1300886</v>
      </c>
      <c r="E13" s="29">
        <v>19802.737140000001</v>
      </c>
      <c r="F13" s="30">
        <v>2.9257781364673101</v>
      </c>
    </row>
    <row r="14" spans="1:6" x14ac:dyDescent="0.2">
      <c r="A14" s="27" t="s">
        <v>364</v>
      </c>
      <c r="B14" s="27" t="s">
        <v>363</v>
      </c>
      <c r="C14" s="27" t="s">
        <v>365</v>
      </c>
      <c r="D14" s="31">
        <v>2410139</v>
      </c>
      <c r="E14" s="29">
        <v>19713.731950000001</v>
      </c>
      <c r="F14" s="30">
        <v>2.9126279624740299</v>
      </c>
    </row>
    <row r="15" spans="1:6" x14ac:dyDescent="0.2">
      <c r="A15" s="27" t="s">
        <v>258</v>
      </c>
      <c r="B15" s="27" t="s">
        <v>257</v>
      </c>
      <c r="C15" s="27" t="s">
        <v>185</v>
      </c>
      <c r="D15" s="31">
        <v>17172603</v>
      </c>
      <c r="E15" s="29">
        <v>16142.24682</v>
      </c>
      <c r="F15" s="30">
        <v>2.38495479112414</v>
      </c>
    </row>
    <row r="16" spans="1:6" x14ac:dyDescent="0.2">
      <c r="A16" s="27" t="s">
        <v>367</v>
      </c>
      <c r="B16" s="27" t="s">
        <v>366</v>
      </c>
      <c r="C16" s="27" t="s">
        <v>128</v>
      </c>
      <c r="D16" s="31">
        <v>10263765</v>
      </c>
      <c r="E16" s="29">
        <v>15888.308220000001</v>
      </c>
      <c r="F16" s="30">
        <v>2.34743634109208</v>
      </c>
    </row>
    <row r="17" spans="1:6" x14ac:dyDescent="0.2">
      <c r="A17" s="27" t="s">
        <v>369</v>
      </c>
      <c r="B17" s="27" t="s">
        <v>368</v>
      </c>
      <c r="C17" s="27" t="s">
        <v>229</v>
      </c>
      <c r="D17" s="31">
        <v>2618601</v>
      </c>
      <c r="E17" s="29">
        <v>15867.412759999999</v>
      </c>
      <c r="F17" s="30">
        <v>2.3443491173619901</v>
      </c>
    </row>
    <row r="18" spans="1:6" x14ac:dyDescent="0.2">
      <c r="A18" s="27" t="s">
        <v>121</v>
      </c>
      <c r="B18" s="27" t="s">
        <v>120</v>
      </c>
      <c r="C18" s="27" t="s">
        <v>122</v>
      </c>
      <c r="D18" s="31">
        <v>5289744</v>
      </c>
      <c r="E18" s="29">
        <v>15509.529409999999</v>
      </c>
      <c r="F18" s="30">
        <v>2.2914732308906798</v>
      </c>
    </row>
    <row r="19" spans="1:6" x14ac:dyDescent="0.2">
      <c r="A19" s="27" t="s">
        <v>371</v>
      </c>
      <c r="B19" s="27" t="s">
        <v>370</v>
      </c>
      <c r="C19" s="27" t="s">
        <v>98</v>
      </c>
      <c r="D19" s="31">
        <v>5500639</v>
      </c>
      <c r="E19" s="29">
        <v>14285.15948</v>
      </c>
      <c r="F19" s="30">
        <v>2.1105772897479702</v>
      </c>
    </row>
    <row r="20" spans="1:6" x14ac:dyDescent="0.2">
      <c r="A20" s="27" t="s">
        <v>105</v>
      </c>
      <c r="B20" s="27" t="s">
        <v>104</v>
      </c>
      <c r="C20" s="27" t="s">
        <v>101</v>
      </c>
      <c r="D20" s="31">
        <v>2259945</v>
      </c>
      <c r="E20" s="29">
        <v>14257.99301</v>
      </c>
      <c r="F20" s="30">
        <v>2.1065635484449898</v>
      </c>
    </row>
    <row r="21" spans="1:6" x14ac:dyDescent="0.2">
      <c r="A21" s="27" t="s">
        <v>373</v>
      </c>
      <c r="B21" s="27" t="s">
        <v>372</v>
      </c>
      <c r="C21" s="27" t="s">
        <v>229</v>
      </c>
      <c r="D21" s="31">
        <v>388284</v>
      </c>
      <c r="E21" s="29">
        <v>14045.591270000001</v>
      </c>
      <c r="F21" s="30">
        <v>2.0751820094867002</v>
      </c>
    </row>
    <row r="22" spans="1:6" x14ac:dyDescent="0.2">
      <c r="A22" s="27" t="s">
        <v>375</v>
      </c>
      <c r="B22" s="27" t="s">
        <v>374</v>
      </c>
      <c r="C22" s="27" t="s">
        <v>114</v>
      </c>
      <c r="D22" s="31">
        <v>1708713</v>
      </c>
      <c r="E22" s="29">
        <v>13943.952439999999</v>
      </c>
      <c r="F22" s="30">
        <v>2.0601652638455401</v>
      </c>
    </row>
    <row r="23" spans="1:6" x14ac:dyDescent="0.2">
      <c r="A23" s="27" t="s">
        <v>377</v>
      </c>
      <c r="B23" s="27" t="s">
        <v>376</v>
      </c>
      <c r="C23" s="27" t="s">
        <v>125</v>
      </c>
      <c r="D23" s="31">
        <v>1875900</v>
      </c>
      <c r="E23" s="29">
        <v>13271.9925</v>
      </c>
      <c r="F23" s="30">
        <v>1.9608857709585401</v>
      </c>
    </row>
    <row r="24" spans="1:6" x14ac:dyDescent="0.2">
      <c r="A24" s="27" t="s">
        <v>379</v>
      </c>
      <c r="B24" s="27" t="s">
        <v>378</v>
      </c>
      <c r="C24" s="27" t="s">
        <v>358</v>
      </c>
      <c r="D24" s="31">
        <v>2804248</v>
      </c>
      <c r="E24" s="29">
        <v>13209.4102</v>
      </c>
      <c r="F24" s="30">
        <v>1.95163947718736</v>
      </c>
    </row>
    <row r="25" spans="1:6" x14ac:dyDescent="0.2">
      <c r="A25" s="27" t="s">
        <v>381</v>
      </c>
      <c r="B25" s="27" t="s">
        <v>380</v>
      </c>
      <c r="C25" s="27" t="s">
        <v>358</v>
      </c>
      <c r="D25" s="31">
        <v>3169696</v>
      </c>
      <c r="E25" s="29">
        <v>13041.714190000001</v>
      </c>
      <c r="F25" s="30">
        <v>1.9268630376395299</v>
      </c>
    </row>
    <row r="26" spans="1:6" x14ac:dyDescent="0.2">
      <c r="A26" s="27" t="s">
        <v>113</v>
      </c>
      <c r="B26" s="27" t="s">
        <v>112</v>
      </c>
      <c r="C26" s="27" t="s">
        <v>114</v>
      </c>
      <c r="D26" s="31">
        <v>1261210</v>
      </c>
      <c r="E26" s="29">
        <v>12895.24165</v>
      </c>
      <c r="F26" s="30">
        <v>1.9052222840358599</v>
      </c>
    </row>
    <row r="27" spans="1:6" x14ac:dyDescent="0.2">
      <c r="A27" s="27" t="s">
        <v>124</v>
      </c>
      <c r="B27" s="27" t="s">
        <v>123</v>
      </c>
      <c r="C27" s="27" t="s">
        <v>125</v>
      </c>
      <c r="D27" s="31">
        <v>235825</v>
      </c>
      <c r="E27" s="29">
        <v>12788.907660000001</v>
      </c>
      <c r="F27" s="30">
        <v>1.88951184658947</v>
      </c>
    </row>
    <row r="28" spans="1:6" x14ac:dyDescent="0.2">
      <c r="A28" s="27" t="s">
        <v>383</v>
      </c>
      <c r="B28" s="27" t="s">
        <v>382</v>
      </c>
      <c r="C28" s="27" t="s">
        <v>358</v>
      </c>
      <c r="D28" s="31">
        <v>5211254</v>
      </c>
      <c r="E28" s="29">
        <v>12431.44642</v>
      </c>
      <c r="F28" s="30">
        <v>1.8366983252447899</v>
      </c>
    </row>
    <row r="29" spans="1:6" x14ac:dyDescent="0.2">
      <c r="A29" s="27" t="s">
        <v>100</v>
      </c>
      <c r="B29" s="27" t="s">
        <v>99</v>
      </c>
      <c r="C29" s="27" t="s">
        <v>101</v>
      </c>
      <c r="D29" s="31">
        <v>822910</v>
      </c>
      <c r="E29" s="29">
        <v>12326.36889</v>
      </c>
      <c r="F29" s="30">
        <v>1.8211735249237799</v>
      </c>
    </row>
    <row r="30" spans="1:6" x14ac:dyDescent="0.2">
      <c r="A30" s="27" t="s">
        <v>385</v>
      </c>
      <c r="B30" s="27" t="s">
        <v>384</v>
      </c>
      <c r="C30" s="27" t="s">
        <v>204</v>
      </c>
      <c r="D30" s="31">
        <v>2012883</v>
      </c>
      <c r="E30" s="29">
        <v>12203.10319</v>
      </c>
      <c r="F30" s="30">
        <v>1.8029614925422599</v>
      </c>
    </row>
    <row r="31" spans="1:6" x14ac:dyDescent="0.2">
      <c r="A31" s="27" t="s">
        <v>387</v>
      </c>
      <c r="B31" s="27" t="s">
        <v>386</v>
      </c>
      <c r="C31" s="27" t="s">
        <v>108</v>
      </c>
      <c r="D31" s="31">
        <v>1000416</v>
      </c>
      <c r="E31" s="29">
        <v>11690.86138</v>
      </c>
      <c r="F31" s="30">
        <v>1.7272797381622</v>
      </c>
    </row>
    <row r="32" spans="1:6" x14ac:dyDescent="0.2">
      <c r="A32" s="27" t="s">
        <v>389</v>
      </c>
      <c r="B32" s="27" t="s">
        <v>388</v>
      </c>
      <c r="C32" s="27" t="s">
        <v>390</v>
      </c>
      <c r="D32" s="31">
        <v>378620</v>
      </c>
      <c r="E32" s="29">
        <v>10736.71665</v>
      </c>
      <c r="F32" s="30">
        <v>1.586308529469</v>
      </c>
    </row>
    <row r="33" spans="1:6" x14ac:dyDescent="0.2">
      <c r="A33" s="27" t="s">
        <v>392</v>
      </c>
      <c r="B33" s="27" t="s">
        <v>391</v>
      </c>
      <c r="C33" s="27" t="s">
        <v>278</v>
      </c>
      <c r="D33" s="31">
        <v>3836227</v>
      </c>
      <c r="E33" s="29">
        <v>10409.60196</v>
      </c>
      <c r="F33" s="30">
        <v>1.5379785939983099</v>
      </c>
    </row>
    <row r="34" spans="1:6" x14ac:dyDescent="0.2">
      <c r="A34" s="27" t="s">
        <v>394</v>
      </c>
      <c r="B34" s="27" t="s">
        <v>393</v>
      </c>
      <c r="C34" s="27" t="s">
        <v>101</v>
      </c>
      <c r="D34" s="31">
        <v>9949095</v>
      </c>
      <c r="E34" s="29">
        <v>10297.313330000001</v>
      </c>
      <c r="F34" s="30">
        <v>1.5213883814279301</v>
      </c>
    </row>
    <row r="35" spans="1:6" x14ac:dyDescent="0.2">
      <c r="A35" s="27" t="s">
        <v>396</v>
      </c>
      <c r="B35" s="27" t="s">
        <v>395</v>
      </c>
      <c r="C35" s="27" t="s">
        <v>101</v>
      </c>
      <c r="D35" s="31">
        <v>19398917</v>
      </c>
      <c r="E35" s="29">
        <v>10029.240089999999</v>
      </c>
      <c r="F35" s="30">
        <v>1.4817815927795199</v>
      </c>
    </row>
    <row r="36" spans="1:6" x14ac:dyDescent="0.2">
      <c r="A36" s="27" t="s">
        <v>398</v>
      </c>
      <c r="B36" s="27" t="s">
        <v>397</v>
      </c>
      <c r="C36" s="27" t="s">
        <v>199</v>
      </c>
      <c r="D36" s="31">
        <v>23086857</v>
      </c>
      <c r="E36" s="29">
        <v>9684.9365120000002</v>
      </c>
      <c r="F36" s="30">
        <v>1.4309120653148</v>
      </c>
    </row>
    <row r="37" spans="1:6" x14ac:dyDescent="0.2">
      <c r="A37" s="27" t="s">
        <v>400</v>
      </c>
      <c r="B37" s="27" t="s">
        <v>399</v>
      </c>
      <c r="C37" s="27" t="s">
        <v>114</v>
      </c>
      <c r="D37" s="31">
        <v>100265</v>
      </c>
      <c r="E37" s="29">
        <v>9398.7408350000005</v>
      </c>
      <c r="F37" s="30">
        <v>1.3886277564034499</v>
      </c>
    </row>
    <row r="38" spans="1:6" x14ac:dyDescent="0.2">
      <c r="A38" s="27" t="s">
        <v>402</v>
      </c>
      <c r="B38" s="27" t="s">
        <v>401</v>
      </c>
      <c r="C38" s="27" t="s">
        <v>403</v>
      </c>
      <c r="D38" s="31">
        <v>594140</v>
      </c>
      <c r="E38" s="29">
        <v>9040.13717</v>
      </c>
      <c r="F38" s="30">
        <v>1.3356454461653999</v>
      </c>
    </row>
    <row r="39" spans="1:6" x14ac:dyDescent="0.2">
      <c r="A39" s="27" t="s">
        <v>405</v>
      </c>
      <c r="B39" s="27" t="s">
        <v>404</v>
      </c>
      <c r="C39" s="27" t="s">
        <v>172</v>
      </c>
      <c r="D39" s="31">
        <v>1488061</v>
      </c>
      <c r="E39" s="29">
        <v>8592.8082450000002</v>
      </c>
      <c r="F39" s="30">
        <v>1.2695543205133399</v>
      </c>
    </row>
    <row r="40" spans="1:6" x14ac:dyDescent="0.2">
      <c r="A40" s="27" t="s">
        <v>407</v>
      </c>
      <c r="B40" s="27" t="s">
        <v>406</v>
      </c>
      <c r="C40" s="27" t="s">
        <v>101</v>
      </c>
      <c r="D40" s="31">
        <v>14244569</v>
      </c>
      <c r="E40" s="29">
        <v>8397.1734259999994</v>
      </c>
      <c r="F40" s="30">
        <v>1.2406500295501599</v>
      </c>
    </row>
    <row r="41" spans="1:6" x14ac:dyDescent="0.2">
      <c r="A41" s="27" t="s">
        <v>409</v>
      </c>
      <c r="B41" s="27" t="s">
        <v>408</v>
      </c>
      <c r="C41" s="27" t="s">
        <v>199</v>
      </c>
      <c r="D41" s="31">
        <v>1600000</v>
      </c>
      <c r="E41" s="29">
        <v>7993.6</v>
      </c>
      <c r="F41" s="30">
        <v>1.1810236103384</v>
      </c>
    </row>
    <row r="42" spans="1:6" x14ac:dyDescent="0.2">
      <c r="A42" s="27" t="s">
        <v>411</v>
      </c>
      <c r="B42" s="27" t="s">
        <v>410</v>
      </c>
      <c r="C42" s="27" t="s">
        <v>204</v>
      </c>
      <c r="D42" s="31">
        <v>1159765</v>
      </c>
      <c r="E42" s="29">
        <v>7828.4137499999997</v>
      </c>
      <c r="F42" s="30">
        <v>1.1566179781635</v>
      </c>
    </row>
    <row r="43" spans="1:6" x14ac:dyDescent="0.2">
      <c r="A43" s="27" t="s">
        <v>413</v>
      </c>
      <c r="B43" s="27" t="s">
        <v>412</v>
      </c>
      <c r="C43" s="27" t="s">
        <v>185</v>
      </c>
      <c r="D43" s="31">
        <v>1503836</v>
      </c>
      <c r="E43" s="29">
        <v>7718.4382699999996</v>
      </c>
      <c r="F43" s="30">
        <v>1.1403695245958601</v>
      </c>
    </row>
    <row r="44" spans="1:6" x14ac:dyDescent="0.2">
      <c r="A44" s="27" t="s">
        <v>415</v>
      </c>
      <c r="B44" s="27" t="s">
        <v>414</v>
      </c>
      <c r="C44" s="27" t="s">
        <v>403</v>
      </c>
      <c r="D44" s="31">
        <v>1054022</v>
      </c>
      <c r="E44" s="29">
        <v>7454.5705950000001</v>
      </c>
      <c r="F44" s="30">
        <v>1.10138409197725</v>
      </c>
    </row>
    <row r="45" spans="1:6" x14ac:dyDescent="0.2">
      <c r="A45" s="27" t="s">
        <v>417</v>
      </c>
      <c r="B45" s="27" t="s">
        <v>416</v>
      </c>
      <c r="C45" s="27" t="s">
        <v>278</v>
      </c>
      <c r="D45" s="31">
        <v>82642</v>
      </c>
      <c r="E45" s="29">
        <v>7419.5161179999996</v>
      </c>
      <c r="F45" s="30">
        <v>1.09620492802296</v>
      </c>
    </row>
    <row r="46" spans="1:6" x14ac:dyDescent="0.2">
      <c r="A46" s="27" t="s">
        <v>419</v>
      </c>
      <c r="B46" s="27" t="s">
        <v>418</v>
      </c>
      <c r="C46" s="27" t="s">
        <v>114</v>
      </c>
      <c r="D46" s="31">
        <v>1846602</v>
      </c>
      <c r="E46" s="29">
        <v>7396.5643110000001</v>
      </c>
      <c r="F46" s="30">
        <v>1.0928138869442301</v>
      </c>
    </row>
    <row r="47" spans="1:6" x14ac:dyDescent="0.2">
      <c r="A47" s="27" t="s">
        <v>421</v>
      </c>
      <c r="B47" s="27" t="s">
        <v>420</v>
      </c>
      <c r="C47" s="27" t="s">
        <v>422</v>
      </c>
      <c r="D47" s="31">
        <v>2464730</v>
      </c>
      <c r="E47" s="29">
        <v>7360.9161450000001</v>
      </c>
      <c r="F47" s="30">
        <v>1.08754700772695</v>
      </c>
    </row>
    <row r="48" spans="1:6" x14ac:dyDescent="0.2">
      <c r="A48" s="27" t="s">
        <v>157</v>
      </c>
      <c r="B48" s="27" t="s">
        <v>156</v>
      </c>
      <c r="C48" s="27" t="s">
        <v>101</v>
      </c>
      <c r="D48" s="31">
        <v>4408453</v>
      </c>
      <c r="E48" s="29">
        <v>7344.4826979999998</v>
      </c>
      <c r="F48" s="30">
        <v>1.0851190292308699</v>
      </c>
    </row>
    <row r="49" spans="1:6" x14ac:dyDescent="0.2">
      <c r="A49" s="27" t="s">
        <v>260</v>
      </c>
      <c r="B49" s="27" t="s">
        <v>259</v>
      </c>
      <c r="C49" s="27" t="s">
        <v>122</v>
      </c>
      <c r="D49" s="31">
        <v>1057947</v>
      </c>
      <c r="E49" s="29">
        <v>7263.8641019999995</v>
      </c>
      <c r="F49" s="30">
        <v>1.0732079421977001</v>
      </c>
    </row>
    <row r="50" spans="1:6" x14ac:dyDescent="0.2">
      <c r="A50" s="27" t="s">
        <v>270</v>
      </c>
      <c r="B50" s="27" t="s">
        <v>269</v>
      </c>
      <c r="C50" s="27" t="s">
        <v>271</v>
      </c>
      <c r="D50" s="31">
        <v>529416</v>
      </c>
      <c r="E50" s="29">
        <v>7239.2343840000003</v>
      </c>
      <c r="F50" s="30">
        <v>1.0695689962316799</v>
      </c>
    </row>
    <row r="51" spans="1:6" x14ac:dyDescent="0.2">
      <c r="A51" s="27" t="s">
        <v>315</v>
      </c>
      <c r="B51" s="27" t="s">
        <v>314</v>
      </c>
      <c r="C51" s="27" t="s">
        <v>160</v>
      </c>
      <c r="D51" s="31">
        <v>103243</v>
      </c>
      <c r="E51" s="29">
        <v>7218.9054249999999</v>
      </c>
      <c r="F51" s="30">
        <v>1.06656547084229</v>
      </c>
    </row>
    <row r="52" spans="1:6" x14ac:dyDescent="0.2">
      <c r="A52" s="27" t="s">
        <v>424</v>
      </c>
      <c r="B52" s="27" t="s">
        <v>423</v>
      </c>
      <c r="C52" s="27" t="s">
        <v>358</v>
      </c>
      <c r="D52" s="31">
        <v>6313159</v>
      </c>
      <c r="E52" s="29">
        <v>6985.5104339999998</v>
      </c>
      <c r="F52" s="30">
        <v>1.0320822599103301</v>
      </c>
    </row>
    <row r="53" spans="1:6" x14ac:dyDescent="0.2">
      <c r="A53" s="27" t="s">
        <v>263</v>
      </c>
      <c r="B53" s="27" t="s">
        <v>262</v>
      </c>
      <c r="C53" s="27" t="s">
        <v>204</v>
      </c>
      <c r="D53" s="31">
        <v>3705630</v>
      </c>
      <c r="E53" s="29">
        <v>6816.5063849999997</v>
      </c>
      <c r="F53" s="30">
        <v>1.00711256263854</v>
      </c>
    </row>
    <row r="54" spans="1:6" x14ac:dyDescent="0.2">
      <c r="A54" s="27" t="s">
        <v>426</v>
      </c>
      <c r="B54" s="27" t="s">
        <v>425</v>
      </c>
      <c r="C54" s="27" t="s">
        <v>128</v>
      </c>
      <c r="D54" s="31">
        <v>1667102</v>
      </c>
      <c r="E54" s="29">
        <v>6700.0829379999996</v>
      </c>
      <c r="F54" s="30">
        <v>0.98991144678285903</v>
      </c>
    </row>
    <row r="55" spans="1:6" x14ac:dyDescent="0.2">
      <c r="A55" s="27" t="s">
        <v>428</v>
      </c>
      <c r="B55" s="27" t="s">
        <v>427</v>
      </c>
      <c r="C55" s="27" t="s">
        <v>192</v>
      </c>
      <c r="D55" s="31">
        <v>2017424</v>
      </c>
      <c r="E55" s="29">
        <v>6672.6298800000004</v>
      </c>
      <c r="F55" s="30">
        <v>0.98585536320675005</v>
      </c>
    </row>
    <row r="56" spans="1:6" x14ac:dyDescent="0.2">
      <c r="A56" s="27" t="s">
        <v>430</v>
      </c>
      <c r="B56" s="27" t="s">
        <v>429</v>
      </c>
      <c r="C56" s="27" t="s">
        <v>431</v>
      </c>
      <c r="D56" s="31">
        <v>6252038</v>
      </c>
      <c r="E56" s="29">
        <v>5742.4969030000002</v>
      </c>
      <c r="F56" s="30">
        <v>0.84843179853109096</v>
      </c>
    </row>
    <row r="57" spans="1:6" x14ac:dyDescent="0.2">
      <c r="A57" s="27" t="s">
        <v>433</v>
      </c>
      <c r="B57" s="27" t="s">
        <v>432</v>
      </c>
      <c r="C57" s="27" t="s">
        <v>422</v>
      </c>
      <c r="D57" s="31">
        <v>18921468</v>
      </c>
      <c r="E57" s="29">
        <v>4910.120946</v>
      </c>
      <c r="F57" s="30">
        <v>0.725451457021006</v>
      </c>
    </row>
    <row r="58" spans="1:6" x14ac:dyDescent="0.2">
      <c r="A58" s="27" t="s">
        <v>435</v>
      </c>
      <c r="B58" s="27" t="s">
        <v>434</v>
      </c>
      <c r="C58" s="27" t="s">
        <v>160</v>
      </c>
      <c r="D58" s="31">
        <v>988899</v>
      </c>
      <c r="E58" s="29">
        <v>4471.3068290000001</v>
      </c>
      <c r="F58" s="30">
        <v>0.66061836145370301</v>
      </c>
    </row>
    <row r="59" spans="1:6" x14ac:dyDescent="0.2">
      <c r="A59" s="27" t="s">
        <v>208</v>
      </c>
      <c r="B59" s="27" t="s">
        <v>207</v>
      </c>
      <c r="C59" s="27" t="s">
        <v>209</v>
      </c>
      <c r="D59" s="31">
        <v>1985738</v>
      </c>
      <c r="E59" s="29">
        <v>3695.4584180000002</v>
      </c>
      <c r="F59" s="30">
        <v>0.54598974713293003</v>
      </c>
    </row>
    <row r="60" spans="1:6" x14ac:dyDescent="0.2">
      <c r="A60" s="27" t="s">
        <v>437</v>
      </c>
      <c r="B60" s="27" t="s">
        <v>436</v>
      </c>
      <c r="C60" s="27" t="s">
        <v>192</v>
      </c>
      <c r="D60" s="31">
        <v>149704</v>
      </c>
      <c r="E60" s="29">
        <v>3387.1278520000001</v>
      </c>
      <c r="F60" s="30">
        <v>0.500435093630753</v>
      </c>
    </row>
    <row r="61" spans="1:6" x14ac:dyDescent="0.2">
      <c r="A61" s="27" t="s">
        <v>439</v>
      </c>
      <c r="B61" s="27" t="s">
        <v>438</v>
      </c>
      <c r="C61" s="27" t="s">
        <v>172</v>
      </c>
      <c r="D61" s="31">
        <v>1185414</v>
      </c>
      <c r="E61" s="29">
        <v>2994.9484710000002</v>
      </c>
      <c r="F61" s="30">
        <v>0.44249210068028</v>
      </c>
    </row>
    <row r="62" spans="1:6" x14ac:dyDescent="0.2">
      <c r="A62" s="27" t="s">
        <v>441</v>
      </c>
      <c r="B62" s="27" t="s">
        <v>440</v>
      </c>
      <c r="C62" s="27" t="s">
        <v>125</v>
      </c>
      <c r="D62" s="31">
        <v>612700</v>
      </c>
      <c r="E62" s="29">
        <v>2528.6129000000001</v>
      </c>
      <c r="F62" s="30">
        <v>0.37359281629131402</v>
      </c>
    </row>
    <row r="63" spans="1:6" x14ac:dyDescent="0.2">
      <c r="A63" s="27" t="s">
        <v>443</v>
      </c>
      <c r="B63" s="27" t="s">
        <v>442</v>
      </c>
      <c r="C63" s="27" t="s">
        <v>204</v>
      </c>
      <c r="D63" s="31">
        <v>364536</v>
      </c>
      <c r="E63" s="29">
        <v>2416.6914120000001</v>
      </c>
      <c r="F63" s="30">
        <v>0.357056847537285</v>
      </c>
    </row>
    <row r="64" spans="1:6" x14ac:dyDescent="0.2">
      <c r="A64" s="27" t="s">
        <v>445</v>
      </c>
      <c r="B64" s="27" t="s">
        <v>444</v>
      </c>
      <c r="C64" s="27" t="s">
        <v>446</v>
      </c>
      <c r="D64" s="31">
        <v>5890912</v>
      </c>
      <c r="E64" s="29">
        <v>1572.8735039999999</v>
      </c>
      <c r="F64" s="30">
        <v>0.23238600183893199</v>
      </c>
    </row>
    <row r="65" spans="1:9" x14ac:dyDescent="0.2">
      <c r="A65" s="27" t="s">
        <v>448</v>
      </c>
      <c r="B65" s="27" t="s">
        <v>447</v>
      </c>
      <c r="C65" s="27" t="s">
        <v>98</v>
      </c>
      <c r="D65" s="31">
        <v>200000</v>
      </c>
      <c r="E65" s="29">
        <v>1216.9000000000001</v>
      </c>
      <c r="F65" s="30">
        <v>0.17979228775780601</v>
      </c>
    </row>
    <row r="66" spans="1:9" x14ac:dyDescent="0.2">
      <c r="A66" s="27" t="s">
        <v>450</v>
      </c>
      <c r="B66" s="27" t="s">
        <v>449</v>
      </c>
      <c r="C66" s="27" t="s">
        <v>297</v>
      </c>
      <c r="D66" s="31">
        <v>45772</v>
      </c>
      <c r="E66" s="29">
        <v>865.25100199999997</v>
      </c>
      <c r="F66" s="30">
        <v>0.12783750278109501</v>
      </c>
    </row>
    <row r="67" spans="1:9" x14ac:dyDescent="0.2">
      <c r="A67" s="26" t="s">
        <v>35</v>
      </c>
      <c r="B67" s="26"/>
      <c r="C67" s="26"/>
      <c r="D67" s="32"/>
      <c r="E67" s="33">
        <f>SUM(E7:E66)</f>
        <v>649874.57490999997</v>
      </c>
      <c r="F67" s="34">
        <f>SUM(F7:F66)</f>
        <v>96.016465263127998</v>
      </c>
      <c r="G67" s="18"/>
      <c r="H67" s="18"/>
      <c r="I67" s="18"/>
    </row>
    <row r="68" spans="1:9" x14ac:dyDescent="0.2">
      <c r="A68" s="27"/>
      <c r="B68" s="27"/>
      <c r="C68" s="27"/>
      <c r="D68" s="28"/>
      <c r="E68" s="29"/>
      <c r="F68" s="30"/>
    </row>
    <row r="69" spans="1:9" x14ac:dyDescent="0.2">
      <c r="A69" s="26" t="s">
        <v>37</v>
      </c>
      <c r="B69" s="26"/>
      <c r="C69" s="26"/>
      <c r="D69" s="32"/>
      <c r="E69" s="33">
        <f>E67</f>
        <v>649874.57490999997</v>
      </c>
      <c r="F69" s="34">
        <f>F67</f>
        <v>96.016465263127998</v>
      </c>
      <c r="G69" s="18"/>
      <c r="H69" s="18"/>
      <c r="I69" s="18"/>
    </row>
    <row r="70" spans="1:9" x14ac:dyDescent="0.2">
      <c r="A70" s="26"/>
      <c r="B70" s="26"/>
      <c r="C70" s="26"/>
      <c r="D70" s="32"/>
      <c r="E70" s="33"/>
      <c r="F70" s="34"/>
      <c r="G70" s="18"/>
      <c r="H70" s="18"/>
      <c r="I70" s="18"/>
    </row>
    <row r="71" spans="1:9" x14ac:dyDescent="0.2">
      <c r="A71" s="26" t="s">
        <v>39</v>
      </c>
      <c r="B71" s="26"/>
      <c r="C71" s="26"/>
      <c r="D71" s="32"/>
      <c r="E71" s="33">
        <f>E73-(E67)</f>
        <v>26962.02090620005</v>
      </c>
      <c r="F71" s="34">
        <f>F73-(F67)</f>
        <v>3.9835347368720022</v>
      </c>
      <c r="G71" s="18"/>
      <c r="H71" s="18"/>
      <c r="I71" s="18"/>
    </row>
    <row r="72" spans="1:9" x14ac:dyDescent="0.2">
      <c r="A72" s="26"/>
      <c r="B72" s="26"/>
      <c r="C72" s="26"/>
      <c r="D72" s="32"/>
      <c r="E72" s="33"/>
      <c r="F72" s="34"/>
      <c r="G72" s="18"/>
      <c r="H72" s="18"/>
      <c r="I72" s="18"/>
    </row>
    <row r="73" spans="1:9" x14ac:dyDescent="0.2">
      <c r="A73" s="35" t="s">
        <v>38</v>
      </c>
      <c r="B73" s="35"/>
      <c r="C73" s="35"/>
      <c r="D73" s="36"/>
      <c r="E73" s="37">
        <v>676836.59581620002</v>
      </c>
      <c r="F73" s="38">
        <v>100</v>
      </c>
      <c r="G73" s="18"/>
      <c r="H73" s="18"/>
      <c r="I73" s="18"/>
    </row>
    <row r="76" spans="1:9" x14ac:dyDescent="0.2">
      <c r="A76" s="18" t="s">
        <v>41</v>
      </c>
    </row>
    <row r="77" spans="1:9" x14ac:dyDescent="0.2">
      <c r="A77" s="18" t="s">
        <v>42</v>
      </c>
    </row>
    <row r="78" spans="1:9" x14ac:dyDescent="0.2">
      <c r="A78" s="18" t="s">
        <v>43</v>
      </c>
      <c r="B78" s="18"/>
      <c r="C78" s="39" t="s">
        <v>45</v>
      </c>
      <c r="D78" s="19" t="s">
        <v>44</v>
      </c>
    </row>
    <row r="79" spans="1:9" x14ac:dyDescent="0.2">
      <c r="A79" s="9" t="s">
        <v>70</v>
      </c>
      <c r="C79" s="40">
        <v>59.166400000000003</v>
      </c>
      <c r="D79" s="40">
        <v>77.397499999999994</v>
      </c>
    </row>
    <row r="80" spans="1:9" x14ac:dyDescent="0.2">
      <c r="A80" s="9" t="s">
        <v>76</v>
      </c>
      <c r="C80" s="40">
        <v>24.930299999999999</v>
      </c>
      <c r="D80" s="40">
        <v>31.067499999999999</v>
      </c>
    </row>
    <row r="81" spans="1:4" x14ac:dyDescent="0.2">
      <c r="A81" s="9" t="s">
        <v>73</v>
      </c>
      <c r="C81" s="40">
        <v>64.459699999999998</v>
      </c>
      <c r="D81" s="40">
        <v>84.672399999999996</v>
      </c>
    </row>
    <row r="82" spans="1:4" x14ac:dyDescent="0.2">
      <c r="A82" s="9" t="s">
        <v>77</v>
      </c>
      <c r="C82" s="40">
        <v>27.9833</v>
      </c>
      <c r="D82" s="40">
        <v>35.208599999999997</v>
      </c>
    </row>
    <row r="84" spans="1:4" x14ac:dyDescent="0.2">
      <c r="A84" s="18" t="s">
        <v>47</v>
      </c>
    </row>
    <row r="85" spans="1:4" x14ac:dyDescent="0.2">
      <c r="A85" s="81" t="s">
        <v>67</v>
      </c>
      <c r="B85" s="82"/>
      <c r="C85" s="43" t="s">
        <v>68</v>
      </c>
    </row>
    <row r="86" spans="1:4" x14ac:dyDescent="0.2">
      <c r="A86" s="77" t="s">
        <v>76</v>
      </c>
      <c r="B86" s="78"/>
      <c r="C86" s="44">
        <v>1.3</v>
      </c>
    </row>
    <row r="87" spans="1:4" x14ac:dyDescent="0.2">
      <c r="A87" s="77" t="s">
        <v>77</v>
      </c>
      <c r="B87" s="78"/>
      <c r="C87" s="44">
        <v>1.3</v>
      </c>
    </row>
    <row r="88" spans="1:4" x14ac:dyDescent="0.2">
      <c r="A88" s="9" t="s">
        <v>69</v>
      </c>
    </row>
    <row r="89" spans="1:4" x14ac:dyDescent="0.2">
      <c r="A89" s="9" t="s">
        <v>46</v>
      </c>
    </row>
    <row r="91" spans="1:4" x14ac:dyDescent="0.2">
      <c r="A91" s="18" t="s">
        <v>220</v>
      </c>
      <c r="D91" s="45">
        <v>9.1999999999999998E-2</v>
      </c>
    </row>
    <row r="93" spans="1:4" x14ac:dyDescent="0.2">
      <c r="A93" s="18" t="s">
        <v>94</v>
      </c>
    </row>
    <row r="94" spans="1:4" x14ac:dyDescent="0.2">
      <c r="A94" s="50" t="s">
        <v>50</v>
      </c>
    </row>
  </sheetData>
  <mergeCells count="4">
    <mergeCell ref="A1:F1"/>
    <mergeCell ref="A85:B85"/>
    <mergeCell ref="A86:B86"/>
    <mergeCell ref="A87:B87"/>
  </mergeCells>
  <conditionalFormatting sqref="F2:F3 F5:F65534">
    <cfRule type="cellIs" dxfId="21" priority="1" stopIfTrue="1" operator="between">
      <formula>0.009</formula>
      <formula>-0.009</formula>
    </cfRule>
  </conditionalFormatting>
  <hyperlinks>
    <hyperlink ref="A94" r:id="rId1" xr:uid="{00000000-0004-0000-2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95"/>
  <sheetViews>
    <sheetView workbookViewId="0">
      <selection sqref="A1:F1"/>
    </sheetView>
  </sheetViews>
  <sheetFormatPr defaultColWidth="9.109375" defaultRowHeight="10.199999999999999" x14ac:dyDescent="0.2"/>
  <cols>
    <col min="1" max="1" width="38.6640625" style="9" bestFit="1" customWidth="1"/>
    <col min="2" max="2" width="36.33203125" style="9" bestFit="1" customWidth="1"/>
    <col min="3" max="3" width="24.6640625"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3.8" x14ac:dyDescent="0.2">
      <c r="A1" s="79" t="s">
        <v>14</v>
      </c>
      <c r="B1" s="80"/>
      <c r="C1" s="80"/>
      <c r="D1" s="80"/>
      <c r="E1" s="80"/>
      <c r="F1" s="8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261</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452</v>
      </c>
      <c r="B7" s="27" t="s">
        <v>451</v>
      </c>
      <c r="C7" s="27" t="s">
        <v>114</v>
      </c>
      <c r="D7" s="31">
        <v>7641052</v>
      </c>
      <c r="E7" s="29">
        <v>33208.011989999999</v>
      </c>
      <c r="F7" s="30">
        <v>4.3156815586867303</v>
      </c>
    </row>
    <row r="8" spans="1:6" x14ac:dyDescent="0.2">
      <c r="A8" s="27" t="s">
        <v>105</v>
      </c>
      <c r="B8" s="27" t="s">
        <v>104</v>
      </c>
      <c r="C8" s="27" t="s">
        <v>101</v>
      </c>
      <c r="D8" s="31">
        <v>4463996</v>
      </c>
      <c r="E8" s="29">
        <v>28163.350760000001</v>
      </c>
      <c r="F8" s="30">
        <v>3.6600821977045399</v>
      </c>
    </row>
    <row r="9" spans="1:6" x14ac:dyDescent="0.2">
      <c r="A9" s="27" t="s">
        <v>454</v>
      </c>
      <c r="B9" s="27" t="s">
        <v>453</v>
      </c>
      <c r="C9" s="27" t="s">
        <v>172</v>
      </c>
      <c r="D9" s="31">
        <v>2742380</v>
      </c>
      <c r="E9" s="29">
        <v>28129.96285</v>
      </c>
      <c r="F9" s="30">
        <v>3.6557431367720898</v>
      </c>
    </row>
    <row r="10" spans="1:6" x14ac:dyDescent="0.2">
      <c r="A10" s="27" t="s">
        <v>113</v>
      </c>
      <c r="B10" s="27" t="s">
        <v>112</v>
      </c>
      <c r="C10" s="27" t="s">
        <v>114</v>
      </c>
      <c r="D10" s="31">
        <v>2622087</v>
      </c>
      <c r="E10" s="29">
        <v>26809.52853</v>
      </c>
      <c r="F10" s="30">
        <v>3.4841407522030599</v>
      </c>
    </row>
    <row r="11" spans="1:6" x14ac:dyDescent="0.2">
      <c r="A11" s="27" t="s">
        <v>100</v>
      </c>
      <c r="B11" s="27" t="s">
        <v>99</v>
      </c>
      <c r="C11" s="27" t="s">
        <v>101</v>
      </c>
      <c r="D11" s="31">
        <v>1730636</v>
      </c>
      <c r="E11" s="29">
        <v>25923.196639999998</v>
      </c>
      <c r="F11" s="30">
        <v>3.3689539053150002</v>
      </c>
    </row>
    <row r="12" spans="1:6" x14ac:dyDescent="0.2">
      <c r="A12" s="27" t="s">
        <v>107</v>
      </c>
      <c r="B12" s="27" t="s">
        <v>106</v>
      </c>
      <c r="C12" s="27" t="s">
        <v>108</v>
      </c>
      <c r="D12" s="31">
        <v>1008984</v>
      </c>
      <c r="E12" s="29">
        <v>22593.169730000001</v>
      </c>
      <c r="F12" s="30">
        <v>2.9361867848458401</v>
      </c>
    </row>
    <row r="13" spans="1:6" x14ac:dyDescent="0.2">
      <c r="A13" s="27" t="s">
        <v>309</v>
      </c>
      <c r="B13" s="27" t="s">
        <v>308</v>
      </c>
      <c r="C13" s="27" t="s">
        <v>160</v>
      </c>
      <c r="D13" s="31">
        <v>458016</v>
      </c>
      <c r="E13" s="29">
        <v>22514.92152</v>
      </c>
      <c r="F13" s="30">
        <v>2.9260177221208901</v>
      </c>
    </row>
    <row r="14" spans="1:6" x14ac:dyDescent="0.2">
      <c r="A14" s="27" t="s">
        <v>157</v>
      </c>
      <c r="B14" s="27" t="s">
        <v>156</v>
      </c>
      <c r="C14" s="27" t="s">
        <v>101</v>
      </c>
      <c r="D14" s="31">
        <v>13160416</v>
      </c>
      <c r="E14" s="29">
        <v>21925.253059999999</v>
      </c>
      <c r="F14" s="30">
        <v>2.84938497158684</v>
      </c>
    </row>
    <row r="15" spans="1:6" x14ac:dyDescent="0.2">
      <c r="A15" s="27" t="s">
        <v>240</v>
      </c>
      <c r="B15" s="27" t="s">
        <v>239</v>
      </c>
      <c r="C15" s="27" t="s">
        <v>241</v>
      </c>
      <c r="D15" s="31">
        <v>11687252</v>
      </c>
      <c r="E15" s="29">
        <v>20803.308560000001</v>
      </c>
      <c r="F15" s="30">
        <v>2.7035781346711598</v>
      </c>
    </row>
    <row r="16" spans="1:6" x14ac:dyDescent="0.2">
      <c r="A16" s="27" t="s">
        <v>217</v>
      </c>
      <c r="B16" s="27" t="s">
        <v>216</v>
      </c>
      <c r="C16" s="27" t="s">
        <v>101</v>
      </c>
      <c r="D16" s="31">
        <v>23869927</v>
      </c>
      <c r="E16" s="29">
        <v>20790.706419999999</v>
      </c>
      <c r="F16" s="30">
        <v>2.7019403725788602</v>
      </c>
    </row>
    <row r="17" spans="1:6" x14ac:dyDescent="0.2">
      <c r="A17" s="27" t="s">
        <v>456</v>
      </c>
      <c r="B17" s="27" t="s">
        <v>455</v>
      </c>
      <c r="C17" s="27" t="s">
        <v>98</v>
      </c>
      <c r="D17" s="31">
        <v>957514</v>
      </c>
      <c r="E17" s="29">
        <v>20435.263790000001</v>
      </c>
      <c r="F17" s="30">
        <v>2.6557473874665898</v>
      </c>
    </row>
    <row r="18" spans="1:6" x14ac:dyDescent="0.2">
      <c r="A18" s="27" t="s">
        <v>169</v>
      </c>
      <c r="B18" s="27" t="s">
        <v>168</v>
      </c>
      <c r="C18" s="27" t="s">
        <v>128</v>
      </c>
      <c r="D18" s="31">
        <v>3548612</v>
      </c>
      <c r="E18" s="29">
        <v>20411.61622</v>
      </c>
      <c r="F18" s="30">
        <v>2.6526741718285201</v>
      </c>
    </row>
    <row r="19" spans="1:6" x14ac:dyDescent="0.2">
      <c r="A19" s="27" t="s">
        <v>355</v>
      </c>
      <c r="B19" s="27" t="s">
        <v>354</v>
      </c>
      <c r="C19" s="27" t="s">
        <v>278</v>
      </c>
      <c r="D19" s="31">
        <v>1125123</v>
      </c>
      <c r="E19" s="29">
        <v>20348.41202</v>
      </c>
      <c r="F19" s="30">
        <v>2.6444602142916001</v>
      </c>
    </row>
    <row r="20" spans="1:6" x14ac:dyDescent="0.2">
      <c r="A20" s="27" t="s">
        <v>284</v>
      </c>
      <c r="B20" s="27" t="s">
        <v>283</v>
      </c>
      <c r="C20" s="27" t="s">
        <v>149</v>
      </c>
      <c r="D20" s="31">
        <v>16189858</v>
      </c>
      <c r="E20" s="29">
        <v>19848.765909999998</v>
      </c>
      <c r="F20" s="30">
        <v>2.5795266824846999</v>
      </c>
    </row>
    <row r="21" spans="1:6" x14ac:dyDescent="0.2">
      <c r="A21" s="27" t="s">
        <v>458</v>
      </c>
      <c r="B21" s="27" t="s">
        <v>457</v>
      </c>
      <c r="C21" s="27" t="s">
        <v>390</v>
      </c>
      <c r="D21" s="31">
        <v>537865</v>
      </c>
      <c r="E21" s="29">
        <v>19469.906200000001</v>
      </c>
      <c r="F21" s="30">
        <v>2.5302904359948801</v>
      </c>
    </row>
    <row r="22" spans="1:6" x14ac:dyDescent="0.2">
      <c r="A22" s="27" t="s">
        <v>273</v>
      </c>
      <c r="B22" s="27" t="s">
        <v>272</v>
      </c>
      <c r="C22" s="27" t="s">
        <v>128</v>
      </c>
      <c r="D22" s="31">
        <v>2435553</v>
      </c>
      <c r="E22" s="29">
        <v>18373.811829999999</v>
      </c>
      <c r="F22" s="30">
        <v>2.3878430573136802</v>
      </c>
    </row>
    <row r="23" spans="1:6" x14ac:dyDescent="0.2">
      <c r="A23" s="27" t="s">
        <v>153</v>
      </c>
      <c r="B23" s="27" t="s">
        <v>152</v>
      </c>
      <c r="C23" s="27" t="s">
        <v>122</v>
      </c>
      <c r="D23" s="31">
        <v>3864460</v>
      </c>
      <c r="E23" s="29">
        <v>18089.537260000001</v>
      </c>
      <c r="F23" s="30">
        <v>2.3508990053866299</v>
      </c>
    </row>
    <row r="24" spans="1:6" x14ac:dyDescent="0.2">
      <c r="A24" s="27" t="s">
        <v>201</v>
      </c>
      <c r="B24" s="27" t="s">
        <v>200</v>
      </c>
      <c r="C24" s="27" t="s">
        <v>185</v>
      </c>
      <c r="D24" s="31">
        <v>2730269</v>
      </c>
      <c r="E24" s="29">
        <v>18079.84132</v>
      </c>
      <c r="F24" s="30">
        <v>2.3496389302738998</v>
      </c>
    </row>
    <row r="25" spans="1:6" x14ac:dyDescent="0.2">
      <c r="A25" s="27" t="s">
        <v>460</v>
      </c>
      <c r="B25" s="27" t="s">
        <v>459</v>
      </c>
      <c r="C25" s="27" t="s">
        <v>128</v>
      </c>
      <c r="D25" s="31">
        <v>3091673</v>
      </c>
      <c r="E25" s="29">
        <v>17324.18966</v>
      </c>
      <c r="F25" s="30">
        <v>2.2514351614112802</v>
      </c>
    </row>
    <row r="26" spans="1:6" x14ac:dyDescent="0.2">
      <c r="A26" s="27" t="s">
        <v>198</v>
      </c>
      <c r="B26" s="27" t="s">
        <v>197</v>
      </c>
      <c r="C26" s="27" t="s">
        <v>199</v>
      </c>
      <c r="D26" s="31">
        <v>12240848</v>
      </c>
      <c r="E26" s="29">
        <v>17314.679499999998</v>
      </c>
      <c r="F26" s="30">
        <v>2.2501992300901099</v>
      </c>
    </row>
    <row r="27" spans="1:6" x14ac:dyDescent="0.2">
      <c r="A27" s="27" t="s">
        <v>116</v>
      </c>
      <c r="B27" s="27" t="s">
        <v>115</v>
      </c>
      <c r="C27" s="27" t="s">
        <v>101</v>
      </c>
      <c r="D27" s="31">
        <v>1001436</v>
      </c>
      <c r="E27" s="29">
        <v>17082.996009999999</v>
      </c>
      <c r="F27" s="30">
        <v>2.2200898647494101</v>
      </c>
    </row>
    <row r="28" spans="1:6" x14ac:dyDescent="0.2">
      <c r="A28" s="27" t="s">
        <v>462</v>
      </c>
      <c r="B28" s="27" t="s">
        <v>461</v>
      </c>
      <c r="C28" s="27" t="s">
        <v>185</v>
      </c>
      <c r="D28" s="31">
        <v>624058</v>
      </c>
      <c r="E28" s="29">
        <v>16691.367300000002</v>
      </c>
      <c r="F28" s="30">
        <v>2.16919417120087</v>
      </c>
    </row>
    <row r="29" spans="1:6" x14ac:dyDescent="0.2">
      <c r="A29" s="27" t="s">
        <v>464</v>
      </c>
      <c r="B29" s="27" t="s">
        <v>463</v>
      </c>
      <c r="C29" s="27" t="s">
        <v>358</v>
      </c>
      <c r="D29" s="31">
        <v>2606125</v>
      </c>
      <c r="E29" s="29">
        <v>16410.769130000001</v>
      </c>
      <c r="F29" s="30">
        <v>2.1327279007106399</v>
      </c>
    </row>
    <row r="30" spans="1:6" x14ac:dyDescent="0.2">
      <c r="A30" s="27" t="s">
        <v>466</v>
      </c>
      <c r="B30" s="27" t="s">
        <v>465</v>
      </c>
      <c r="C30" s="27" t="s">
        <v>172</v>
      </c>
      <c r="D30" s="31">
        <v>567739</v>
      </c>
      <c r="E30" s="29">
        <v>16189.077590000001</v>
      </c>
      <c r="F30" s="30">
        <v>2.1039170796599</v>
      </c>
    </row>
    <row r="31" spans="1:6" x14ac:dyDescent="0.2">
      <c r="A31" s="27" t="s">
        <v>468</v>
      </c>
      <c r="B31" s="27" t="s">
        <v>467</v>
      </c>
      <c r="C31" s="27" t="s">
        <v>160</v>
      </c>
      <c r="D31" s="31">
        <v>1790964</v>
      </c>
      <c r="E31" s="29">
        <v>15220.50755</v>
      </c>
      <c r="F31" s="30">
        <v>1.9780426412507801</v>
      </c>
    </row>
    <row r="32" spans="1:6" x14ac:dyDescent="0.2">
      <c r="A32" s="27" t="s">
        <v>470</v>
      </c>
      <c r="B32" s="27" t="s">
        <v>469</v>
      </c>
      <c r="C32" s="27" t="s">
        <v>471</v>
      </c>
      <c r="D32" s="31">
        <v>1536228</v>
      </c>
      <c r="E32" s="29">
        <v>13839.878049999999</v>
      </c>
      <c r="F32" s="30">
        <v>1.7986173485135</v>
      </c>
    </row>
    <row r="33" spans="1:6" x14ac:dyDescent="0.2">
      <c r="A33" s="27" t="s">
        <v>473</v>
      </c>
      <c r="B33" s="27" t="s">
        <v>472</v>
      </c>
      <c r="C33" s="27" t="s">
        <v>108</v>
      </c>
      <c r="D33" s="31">
        <v>1705821</v>
      </c>
      <c r="E33" s="29">
        <v>13794.121520000001</v>
      </c>
      <c r="F33" s="30">
        <v>1.79267087352517</v>
      </c>
    </row>
    <row r="34" spans="1:6" x14ac:dyDescent="0.2">
      <c r="A34" s="27" t="s">
        <v>475</v>
      </c>
      <c r="B34" s="27" t="s">
        <v>474</v>
      </c>
      <c r="C34" s="27" t="s">
        <v>302</v>
      </c>
      <c r="D34" s="31">
        <v>1940126</v>
      </c>
      <c r="E34" s="29">
        <v>13548.869919999999</v>
      </c>
      <c r="F34" s="30">
        <v>1.7607982095524799</v>
      </c>
    </row>
    <row r="35" spans="1:6" x14ac:dyDescent="0.2">
      <c r="A35" s="27" t="s">
        <v>477</v>
      </c>
      <c r="B35" s="27" t="s">
        <v>476</v>
      </c>
      <c r="C35" s="27" t="s">
        <v>125</v>
      </c>
      <c r="D35" s="31">
        <v>646075</v>
      </c>
      <c r="E35" s="29">
        <v>13092.0638</v>
      </c>
      <c r="F35" s="30">
        <v>1.7014321219777999</v>
      </c>
    </row>
    <row r="36" spans="1:6" x14ac:dyDescent="0.2">
      <c r="A36" s="27" t="s">
        <v>389</v>
      </c>
      <c r="B36" s="27" t="s">
        <v>388</v>
      </c>
      <c r="C36" s="27" t="s">
        <v>390</v>
      </c>
      <c r="D36" s="31">
        <v>445570</v>
      </c>
      <c r="E36" s="29">
        <v>12635.25128</v>
      </c>
      <c r="F36" s="30">
        <v>1.64206520266523</v>
      </c>
    </row>
    <row r="37" spans="1:6" x14ac:dyDescent="0.2">
      <c r="A37" s="27" t="s">
        <v>133</v>
      </c>
      <c r="B37" s="27" t="s">
        <v>132</v>
      </c>
      <c r="C37" s="27" t="s">
        <v>131</v>
      </c>
      <c r="D37" s="31">
        <v>3751482</v>
      </c>
      <c r="E37" s="29">
        <v>12507.440989999999</v>
      </c>
      <c r="F37" s="30">
        <v>1.6254550993043499</v>
      </c>
    </row>
    <row r="38" spans="1:6" x14ac:dyDescent="0.2">
      <c r="A38" s="27" t="s">
        <v>479</v>
      </c>
      <c r="B38" s="27" t="s">
        <v>478</v>
      </c>
      <c r="C38" s="27" t="s">
        <v>480</v>
      </c>
      <c r="D38" s="31">
        <v>419936</v>
      </c>
      <c r="E38" s="29">
        <v>12221.81734</v>
      </c>
      <c r="F38" s="30">
        <v>1.5883357222274901</v>
      </c>
    </row>
    <row r="39" spans="1:6" x14ac:dyDescent="0.2">
      <c r="A39" s="27" t="s">
        <v>482</v>
      </c>
      <c r="B39" s="27" t="s">
        <v>481</v>
      </c>
      <c r="C39" s="27" t="s">
        <v>108</v>
      </c>
      <c r="D39" s="31">
        <v>5263737</v>
      </c>
      <c r="E39" s="29">
        <v>11843.40825</v>
      </c>
      <c r="F39" s="30">
        <v>1.5391580378829901</v>
      </c>
    </row>
    <row r="40" spans="1:6" x14ac:dyDescent="0.2">
      <c r="A40" s="27" t="s">
        <v>484</v>
      </c>
      <c r="B40" s="27" t="s">
        <v>483</v>
      </c>
      <c r="C40" s="27" t="s">
        <v>101</v>
      </c>
      <c r="D40" s="31">
        <v>5234341</v>
      </c>
      <c r="E40" s="29">
        <v>11018.28781</v>
      </c>
      <c r="F40" s="30">
        <v>1.43192617264289</v>
      </c>
    </row>
    <row r="41" spans="1:6" x14ac:dyDescent="0.2">
      <c r="A41" s="27" t="s">
        <v>258</v>
      </c>
      <c r="B41" s="27" t="s">
        <v>257</v>
      </c>
      <c r="C41" s="27" t="s">
        <v>185</v>
      </c>
      <c r="D41" s="31">
        <v>11253507</v>
      </c>
      <c r="E41" s="29">
        <v>10578.29658</v>
      </c>
      <c r="F41" s="30">
        <v>1.3747453321316701</v>
      </c>
    </row>
    <row r="42" spans="1:6" x14ac:dyDescent="0.2">
      <c r="A42" s="27" t="s">
        <v>247</v>
      </c>
      <c r="B42" s="27" t="s">
        <v>246</v>
      </c>
      <c r="C42" s="27" t="s">
        <v>108</v>
      </c>
      <c r="D42" s="31">
        <v>68736</v>
      </c>
      <c r="E42" s="29">
        <v>10327.687099999999</v>
      </c>
      <c r="F42" s="30">
        <v>1.34217636318544</v>
      </c>
    </row>
    <row r="43" spans="1:6" x14ac:dyDescent="0.2">
      <c r="A43" s="27" t="s">
        <v>486</v>
      </c>
      <c r="B43" s="27" t="s">
        <v>485</v>
      </c>
      <c r="C43" s="27" t="s">
        <v>149</v>
      </c>
      <c r="D43" s="31">
        <v>799918</v>
      </c>
      <c r="E43" s="29">
        <v>9759.7995179999998</v>
      </c>
      <c r="F43" s="30">
        <v>1.2683742347779201</v>
      </c>
    </row>
    <row r="44" spans="1:6" x14ac:dyDescent="0.2">
      <c r="A44" s="27" t="s">
        <v>159</v>
      </c>
      <c r="B44" s="27" t="s">
        <v>158</v>
      </c>
      <c r="C44" s="27" t="s">
        <v>160</v>
      </c>
      <c r="D44" s="31">
        <v>4468223</v>
      </c>
      <c r="E44" s="29">
        <v>9640.1911230000005</v>
      </c>
      <c r="F44" s="30">
        <v>1.2528300418668501</v>
      </c>
    </row>
    <row r="45" spans="1:6" x14ac:dyDescent="0.2">
      <c r="A45" s="27" t="s">
        <v>488</v>
      </c>
      <c r="B45" s="27" t="s">
        <v>487</v>
      </c>
      <c r="C45" s="27" t="s">
        <v>114</v>
      </c>
      <c r="D45" s="31">
        <v>968720</v>
      </c>
      <c r="E45" s="29">
        <v>9492.9716399999998</v>
      </c>
      <c r="F45" s="30">
        <v>1.2336975382995199</v>
      </c>
    </row>
    <row r="46" spans="1:6" x14ac:dyDescent="0.2">
      <c r="A46" s="27" t="s">
        <v>490</v>
      </c>
      <c r="B46" s="27" t="s">
        <v>489</v>
      </c>
      <c r="C46" s="27" t="s">
        <v>278</v>
      </c>
      <c r="D46" s="31">
        <v>932234</v>
      </c>
      <c r="E46" s="29">
        <v>8126.7498949999999</v>
      </c>
      <c r="F46" s="30">
        <v>1.0561446636574401</v>
      </c>
    </row>
    <row r="47" spans="1:6" x14ac:dyDescent="0.2">
      <c r="A47" s="27" t="s">
        <v>492</v>
      </c>
      <c r="B47" s="27" t="s">
        <v>491</v>
      </c>
      <c r="C47" s="27" t="s">
        <v>98</v>
      </c>
      <c r="D47" s="31">
        <v>228304</v>
      </c>
      <c r="E47" s="29">
        <v>6709.5121040000004</v>
      </c>
      <c r="F47" s="30">
        <v>0.87196179234510696</v>
      </c>
    </row>
    <row r="48" spans="1:6" x14ac:dyDescent="0.2">
      <c r="A48" s="27" t="s">
        <v>494</v>
      </c>
      <c r="B48" s="27" t="s">
        <v>493</v>
      </c>
      <c r="C48" s="27" t="s">
        <v>358</v>
      </c>
      <c r="D48" s="31">
        <v>821062</v>
      </c>
      <c r="E48" s="29">
        <v>6692.8868929999999</v>
      </c>
      <c r="F48" s="30">
        <v>0.86980119578354198</v>
      </c>
    </row>
    <row r="49" spans="1:9" x14ac:dyDescent="0.2">
      <c r="A49" s="27" t="s">
        <v>496</v>
      </c>
      <c r="B49" s="27" t="s">
        <v>495</v>
      </c>
      <c r="C49" s="27" t="s">
        <v>114</v>
      </c>
      <c r="D49" s="31">
        <v>408468</v>
      </c>
      <c r="E49" s="29">
        <v>6522.2127899999996</v>
      </c>
      <c r="F49" s="30">
        <v>0.84762055217608101</v>
      </c>
    </row>
    <row r="50" spans="1:9" x14ac:dyDescent="0.2">
      <c r="A50" s="27" t="s">
        <v>396</v>
      </c>
      <c r="B50" s="27" t="s">
        <v>395</v>
      </c>
      <c r="C50" s="27" t="s">
        <v>101</v>
      </c>
      <c r="D50" s="31">
        <v>12530441</v>
      </c>
      <c r="E50" s="29">
        <v>6478.2379970000002</v>
      </c>
      <c r="F50" s="30">
        <v>0.84190563002854901</v>
      </c>
    </row>
    <row r="51" spans="1:9" x14ac:dyDescent="0.2">
      <c r="A51" s="27" t="s">
        <v>498</v>
      </c>
      <c r="B51" s="27" t="s">
        <v>497</v>
      </c>
      <c r="C51" s="27" t="s">
        <v>204</v>
      </c>
      <c r="D51" s="31">
        <v>293622</v>
      </c>
      <c r="E51" s="29">
        <v>6283.9512329999998</v>
      </c>
      <c r="F51" s="30">
        <v>0.81665630752335905</v>
      </c>
    </row>
    <row r="52" spans="1:9" x14ac:dyDescent="0.2">
      <c r="A52" s="27" t="s">
        <v>500</v>
      </c>
      <c r="B52" s="27" t="s">
        <v>499</v>
      </c>
      <c r="C52" s="27" t="s">
        <v>204</v>
      </c>
      <c r="D52" s="31">
        <v>2053763</v>
      </c>
      <c r="E52" s="29">
        <v>5750.5364</v>
      </c>
      <c r="F52" s="30">
        <v>0.74733422468981603</v>
      </c>
    </row>
    <row r="53" spans="1:9" x14ac:dyDescent="0.2">
      <c r="A53" s="27" t="s">
        <v>243</v>
      </c>
      <c r="B53" s="27" t="s">
        <v>242</v>
      </c>
      <c r="C53" s="27" t="s">
        <v>204</v>
      </c>
      <c r="D53" s="31">
        <v>1066962</v>
      </c>
      <c r="E53" s="29">
        <v>5546.0684760000004</v>
      </c>
      <c r="F53" s="30">
        <v>0.72076176834357397</v>
      </c>
    </row>
    <row r="54" spans="1:9" x14ac:dyDescent="0.2">
      <c r="A54" s="27" t="s">
        <v>417</v>
      </c>
      <c r="B54" s="27" t="s">
        <v>416</v>
      </c>
      <c r="C54" s="27" t="s">
        <v>278</v>
      </c>
      <c r="D54" s="31">
        <v>44595</v>
      </c>
      <c r="E54" s="29">
        <v>4003.6945049999999</v>
      </c>
      <c r="F54" s="30">
        <v>0.52031631845492698</v>
      </c>
    </row>
    <row r="55" spans="1:9" x14ac:dyDescent="0.2">
      <c r="A55" s="27" t="s">
        <v>502</v>
      </c>
      <c r="B55" s="27" t="s">
        <v>501</v>
      </c>
      <c r="C55" s="27" t="s">
        <v>204</v>
      </c>
      <c r="D55" s="31">
        <v>62692</v>
      </c>
      <c r="E55" s="29">
        <v>3532.3180480000001</v>
      </c>
      <c r="F55" s="30">
        <v>0.45905668378343401</v>
      </c>
    </row>
    <row r="56" spans="1:9" x14ac:dyDescent="0.2">
      <c r="A56" s="27" t="s">
        <v>163</v>
      </c>
      <c r="B56" s="27" t="s">
        <v>725</v>
      </c>
      <c r="C56" s="27" t="s">
        <v>160</v>
      </c>
      <c r="D56" s="31">
        <v>387844</v>
      </c>
      <c r="E56" s="29">
        <v>718.67493200000001</v>
      </c>
      <c r="F56" s="30">
        <v>9.3398308566523702E-2</v>
      </c>
    </row>
    <row r="57" spans="1:9" x14ac:dyDescent="0.2">
      <c r="A57" s="26" t="s">
        <v>35</v>
      </c>
      <c r="B57" s="26"/>
      <c r="C57" s="26"/>
      <c r="D57" s="32"/>
      <c r="E57" s="33">
        <f>SUM(E7:E56)</f>
        <v>746817.07954399998</v>
      </c>
      <c r="F57" s="34">
        <f>SUM(F7:F56)</f>
        <v>97.055635214504136</v>
      </c>
      <c r="G57" s="18"/>
      <c r="H57" s="18"/>
      <c r="I57" s="18"/>
    </row>
    <row r="58" spans="1:9" x14ac:dyDescent="0.2">
      <c r="A58" s="27"/>
      <c r="B58" s="27"/>
      <c r="C58" s="27"/>
      <c r="D58" s="28"/>
      <c r="E58" s="29"/>
      <c r="F58" s="30"/>
    </row>
    <row r="59" spans="1:9" x14ac:dyDescent="0.2">
      <c r="A59" s="26" t="s">
        <v>227</v>
      </c>
      <c r="B59" s="27"/>
      <c r="C59" s="27"/>
      <c r="D59" s="28"/>
      <c r="E59" s="29"/>
      <c r="F59" s="30"/>
    </row>
    <row r="60" spans="1:9" x14ac:dyDescent="0.2">
      <c r="A60" s="27"/>
      <c r="B60" s="27" t="s">
        <v>728</v>
      </c>
      <c r="C60" s="27" t="s">
        <v>185</v>
      </c>
      <c r="D60" s="31">
        <v>8100</v>
      </c>
      <c r="E60" s="29">
        <v>8.0999999999999996E-4</v>
      </c>
      <c r="F60" s="30">
        <v>1.05266827282191E-7</v>
      </c>
    </row>
    <row r="61" spans="1:9" x14ac:dyDescent="0.2">
      <c r="A61" s="26" t="s">
        <v>35</v>
      </c>
      <c r="B61" s="26"/>
      <c r="C61" s="26"/>
      <c r="D61" s="32"/>
      <c r="E61" s="33">
        <f>SUM(E59:E60)</f>
        <v>8.0999999999999996E-4</v>
      </c>
      <c r="F61" s="34">
        <f>SUM(F59:F60)</f>
        <v>1.05266827282191E-7</v>
      </c>
      <c r="G61" s="18"/>
      <c r="H61" s="18"/>
      <c r="I61" s="18"/>
    </row>
    <row r="62" spans="1:9" x14ac:dyDescent="0.2">
      <c r="A62" s="27"/>
      <c r="B62" s="27"/>
      <c r="C62" s="27"/>
      <c r="D62" s="28"/>
      <c r="E62" s="29"/>
      <c r="F62" s="30"/>
    </row>
    <row r="63" spans="1:9" x14ac:dyDescent="0.2">
      <c r="A63" s="26" t="s">
        <v>37</v>
      </c>
      <c r="B63" s="26"/>
      <c r="C63" s="26"/>
      <c r="D63" s="32"/>
      <c r="E63" s="33">
        <f>E57+E61</f>
        <v>746817.08035399998</v>
      </c>
      <c r="F63" s="34">
        <f>F57+F61</f>
        <v>97.055635319770957</v>
      </c>
      <c r="G63" s="18"/>
      <c r="H63" s="18"/>
      <c r="I63" s="18"/>
    </row>
    <row r="64" spans="1:9" x14ac:dyDescent="0.2">
      <c r="A64" s="26"/>
      <c r="B64" s="26"/>
      <c r="C64" s="26"/>
      <c r="D64" s="32"/>
      <c r="E64" s="33"/>
      <c r="F64" s="34"/>
      <c r="G64" s="18"/>
      <c r="H64" s="18"/>
      <c r="I64" s="18"/>
    </row>
    <row r="65" spans="1:9" x14ac:dyDescent="0.2">
      <c r="A65" s="26" t="s">
        <v>39</v>
      </c>
      <c r="B65" s="26"/>
      <c r="C65" s="26"/>
      <c r="D65" s="32"/>
      <c r="E65" s="33">
        <f>E67-(E57+E61)</f>
        <v>22656.096441400005</v>
      </c>
      <c r="F65" s="34">
        <f>F67-(F57+F61)</f>
        <v>2.9443646802290431</v>
      </c>
      <c r="G65" s="18"/>
      <c r="H65" s="18"/>
      <c r="I65" s="18"/>
    </row>
    <row r="66" spans="1:9" x14ac:dyDescent="0.2">
      <c r="A66" s="26"/>
      <c r="B66" s="26"/>
      <c r="C66" s="26"/>
      <c r="D66" s="32"/>
      <c r="E66" s="33"/>
      <c r="F66" s="34"/>
      <c r="G66" s="18"/>
      <c r="H66" s="18"/>
      <c r="I66" s="18"/>
    </row>
    <row r="67" spans="1:9" x14ac:dyDescent="0.2">
      <c r="A67" s="35" t="s">
        <v>38</v>
      </c>
      <c r="B67" s="35"/>
      <c r="C67" s="35"/>
      <c r="D67" s="36"/>
      <c r="E67" s="37">
        <v>769473.17679539998</v>
      </c>
      <c r="F67" s="38">
        <v>100</v>
      </c>
      <c r="G67" s="18"/>
      <c r="H67" s="18"/>
      <c r="I67" s="18"/>
    </row>
    <row r="68" spans="1:9" x14ac:dyDescent="0.2">
      <c r="F68" s="20" t="s">
        <v>503</v>
      </c>
    </row>
    <row r="69" spans="1:9" x14ac:dyDescent="0.2">
      <c r="A69" s="18" t="s">
        <v>40</v>
      </c>
      <c r="F69" s="20"/>
    </row>
    <row r="70" spans="1:9" x14ac:dyDescent="0.2">
      <c r="A70" s="18" t="s">
        <v>733</v>
      </c>
      <c r="F70" s="20"/>
    </row>
    <row r="71" spans="1:9" x14ac:dyDescent="0.2">
      <c r="A71" s="18" t="s">
        <v>726</v>
      </c>
      <c r="F71" s="20"/>
    </row>
    <row r="73" spans="1:9" x14ac:dyDescent="0.2">
      <c r="A73" s="18" t="s">
        <v>41</v>
      </c>
    </row>
    <row r="74" spans="1:9" x14ac:dyDescent="0.2">
      <c r="A74" s="18" t="s">
        <v>42</v>
      </c>
    </row>
    <row r="75" spans="1:9" x14ac:dyDescent="0.2">
      <c r="A75" s="18" t="s">
        <v>43</v>
      </c>
      <c r="B75" s="18"/>
      <c r="C75" s="39" t="s">
        <v>45</v>
      </c>
      <c r="D75" s="19" t="s">
        <v>44</v>
      </c>
    </row>
    <row r="76" spans="1:9" x14ac:dyDescent="0.2">
      <c r="A76" s="9" t="s">
        <v>70</v>
      </c>
      <c r="C76" s="40">
        <v>1130.7201</v>
      </c>
      <c r="D76" s="40">
        <v>1387.6758</v>
      </c>
    </row>
    <row r="77" spans="1:9" x14ac:dyDescent="0.2">
      <c r="A77" s="9" t="s">
        <v>76</v>
      </c>
      <c r="C77" s="40">
        <v>59.355699999999999</v>
      </c>
      <c r="D77" s="40">
        <v>66.860200000000006</v>
      </c>
    </row>
    <row r="78" spans="1:9" x14ac:dyDescent="0.2">
      <c r="A78" s="9" t="s">
        <v>73</v>
      </c>
      <c r="C78" s="40">
        <v>1224.7280000000001</v>
      </c>
      <c r="D78" s="40">
        <v>1509.1468</v>
      </c>
    </row>
    <row r="79" spans="1:9" x14ac:dyDescent="0.2">
      <c r="A79" s="9" t="s">
        <v>77</v>
      </c>
      <c r="C79" s="40">
        <v>66.785200000000003</v>
      </c>
      <c r="D79" s="40">
        <v>76.308000000000007</v>
      </c>
    </row>
    <row r="81" spans="1:4" x14ac:dyDescent="0.2">
      <c r="A81" s="18" t="s">
        <v>47</v>
      </c>
    </row>
    <row r="82" spans="1:4" x14ac:dyDescent="0.2">
      <c r="A82" s="81" t="s">
        <v>67</v>
      </c>
      <c r="B82" s="82"/>
      <c r="C82" s="43" t="s">
        <v>68</v>
      </c>
    </row>
    <row r="83" spans="1:4" x14ac:dyDescent="0.2">
      <c r="A83" s="77" t="s">
        <v>76</v>
      </c>
      <c r="B83" s="78"/>
      <c r="C83" s="44">
        <v>6</v>
      </c>
    </row>
    <row r="84" spans="1:4" x14ac:dyDescent="0.2">
      <c r="A84" s="77" t="s">
        <v>77</v>
      </c>
      <c r="B84" s="78"/>
      <c r="C84" s="44">
        <v>6</v>
      </c>
    </row>
    <row r="85" spans="1:4" x14ac:dyDescent="0.2">
      <c r="A85" s="9" t="s">
        <v>69</v>
      </c>
    </row>
    <row r="86" spans="1:4" x14ac:dyDescent="0.2">
      <c r="A86" s="9" t="s">
        <v>46</v>
      </c>
    </row>
    <row r="88" spans="1:4" x14ac:dyDescent="0.2">
      <c r="A88" s="18" t="s">
        <v>220</v>
      </c>
      <c r="D88" s="45">
        <v>9.8100000000000007E-2</v>
      </c>
    </row>
    <row r="90" spans="1:4" x14ac:dyDescent="0.2">
      <c r="A90" s="18" t="s">
        <v>734</v>
      </c>
      <c r="D90" s="41" t="s">
        <v>48</v>
      </c>
    </row>
    <row r="91" spans="1:4" x14ac:dyDescent="0.2">
      <c r="A91" s="9" t="s">
        <v>729</v>
      </c>
    </row>
    <row r="92" spans="1:4" x14ac:dyDescent="0.2">
      <c r="A92" s="50" t="s">
        <v>730</v>
      </c>
    </row>
    <row r="94" spans="1:4" x14ac:dyDescent="0.2">
      <c r="A94" s="18" t="s">
        <v>735</v>
      </c>
    </row>
    <row r="95" spans="1:4" x14ac:dyDescent="0.2">
      <c r="A95" s="50" t="s">
        <v>50</v>
      </c>
    </row>
  </sheetData>
  <mergeCells count="4">
    <mergeCell ref="A1:F1"/>
    <mergeCell ref="A82:B82"/>
    <mergeCell ref="A83:B83"/>
    <mergeCell ref="A84:B84"/>
  </mergeCells>
  <conditionalFormatting sqref="F2:F3 F5:F65539">
    <cfRule type="cellIs" dxfId="20" priority="1" stopIfTrue="1" operator="between">
      <formula>0.009</formula>
      <formula>-0.009</formula>
    </cfRule>
  </conditionalFormatting>
  <hyperlinks>
    <hyperlink ref="A95" r:id="rId1" xr:uid="{00000000-0004-0000-2100-000000000000}"/>
    <hyperlink ref="A92" r:id="rId2" xr:uid="{00000000-0004-0000-21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75"/>
  <sheetViews>
    <sheetView workbookViewId="0">
      <selection sqref="A1:F1"/>
    </sheetView>
  </sheetViews>
  <sheetFormatPr defaultColWidth="9.109375" defaultRowHeight="10.199999999999999" x14ac:dyDescent="0.2"/>
  <cols>
    <col min="1" max="1" width="38.6640625" style="9" bestFit="1" customWidth="1"/>
    <col min="2" max="2" width="36.33203125" style="9" bestFit="1" customWidth="1"/>
    <col min="3" max="3" width="20"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3.8" x14ac:dyDescent="0.2">
      <c r="A1" s="79" t="s">
        <v>15</v>
      </c>
      <c r="B1" s="80"/>
      <c r="C1" s="80"/>
      <c r="D1" s="80"/>
      <c r="E1" s="80"/>
      <c r="F1" s="8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261</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97</v>
      </c>
      <c r="B7" s="27" t="s">
        <v>96</v>
      </c>
      <c r="C7" s="27" t="s">
        <v>98</v>
      </c>
      <c r="D7" s="31">
        <v>405492</v>
      </c>
      <c r="E7" s="29">
        <v>6410.0175360000003</v>
      </c>
      <c r="F7" s="30">
        <v>9.8576839919270203</v>
      </c>
    </row>
    <row r="8" spans="1:6" x14ac:dyDescent="0.2">
      <c r="A8" s="27" t="s">
        <v>100</v>
      </c>
      <c r="B8" s="27" t="s">
        <v>99</v>
      </c>
      <c r="C8" s="27" t="s">
        <v>101</v>
      </c>
      <c r="D8" s="31">
        <v>395485</v>
      </c>
      <c r="E8" s="29">
        <v>5923.9698150000004</v>
      </c>
      <c r="F8" s="30">
        <v>9.1102125830415801</v>
      </c>
    </row>
    <row r="9" spans="1:6" x14ac:dyDescent="0.2">
      <c r="A9" s="27" t="s">
        <v>309</v>
      </c>
      <c r="B9" s="27" t="s">
        <v>308</v>
      </c>
      <c r="C9" s="27" t="s">
        <v>160</v>
      </c>
      <c r="D9" s="31">
        <v>87910</v>
      </c>
      <c r="E9" s="29">
        <v>4321.4358249999996</v>
      </c>
      <c r="F9" s="30">
        <v>6.64574605529479</v>
      </c>
    </row>
    <row r="10" spans="1:6" x14ac:dyDescent="0.2">
      <c r="A10" s="27" t="s">
        <v>105</v>
      </c>
      <c r="B10" s="27" t="s">
        <v>104</v>
      </c>
      <c r="C10" s="27" t="s">
        <v>101</v>
      </c>
      <c r="D10" s="31">
        <v>583651</v>
      </c>
      <c r="E10" s="29">
        <v>3682.2541590000001</v>
      </c>
      <c r="F10" s="30">
        <v>5.6627766887564697</v>
      </c>
    </row>
    <row r="11" spans="1:6" x14ac:dyDescent="0.2">
      <c r="A11" s="27" t="s">
        <v>103</v>
      </c>
      <c r="B11" s="27" t="s">
        <v>102</v>
      </c>
      <c r="C11" s="27" t="s">
        <v>101</v>
      </c>
      <c r="D11" s="31">
        <v>458037</v>
      </c>
      <c r="E11" s="29">
        <v>3427.490871</v>
      </c>
      <c r="F11" s="30">
        <v>5.2709874351789496</v>
      </c>
    </row>
    <row r="12" spans="1:6" x14ac:dyDescent="0.2">
      <c r="A12" s="27" t="s">
        <v>247</v>
      </c>
      <c r="B12" s="27" t="s">
        <v>246</v>
      </c>
      <c r="C12" s="27" t="s">
        <v>108</v>
      </c>
      <c r="D12" s="31">
        <v>21180</v>
      </c>
      <c r="E12" s="29">
        <v>3182.3267700000001</v>
      </c>
      <c r="F12" s="30">
        <v>4.8939603490204604</v>
      </c>
    </row>
    <row r="13" spans="1:6" x14ac:dyDescent="0.2">
      <c r="A13" s="27" t="s">
        <v>116</v>
      </c>
      <c r="B13" s="27" t="s">
        <v>115</v>
      </c>
      <c r="C13" s="27" t="s">
        <v>101</v>
      </c>
      <c r="D13" s="31">
        <v>169031</v>
      </c>
      <c r="E13" s="29">
        <v>2883.4153139999999</v>
      </c>
      <c r="F13" s="30">
        <v>4.4342775699537604</v>
      </c>
    </row>
    <row r="14" spans="1:6" x14ac:dyDescent="0.2">
      <c r="A14" s="27" t="s">
        <v>153</v>
      </c>
      <c r="B14" s="27" t="s">
        <v>152</v>
      </c>
      <c r="C14" s="27" t="s">
        <v>122</v>
      </c>
      <c r="D14" s="31">
        <v>523765</v>
      </c>
      <c r="E14" s="29">
        <v>2451.7439650000001</v>
      </c>
      <c r="F14" s="30">
        <v>3.7704291915503698</v>
      </c>
    </row>
    <row r="15" spans="1:6" x14ac:dyDescent="0.2">
      <c r="A15" s="27" t="s">
        <v>238</v>
      </c>
      <c r="B15" s="27" t="s">
        <v>237</v>
      </c>
      <c r="C15" s="27" t="s">
        <v>98</v>
      </c>
      <c r="D15" s="31">
        <v>229692</v>
      </c>
      <c r="E15" s="29">
        <v>2259.0208200000002</v>
      </c>
      <c r="F15" s="30">
        <v>3.4740487447464998</v>
      </c>
    </row>
    <row r="16" spans="1:6" x14ac:dyDescent="0.2">
      <c r="A16" s="27" t="s">
        <v>191</v>
      </c>
      <c r="B16" s="27" t="s">
        <v>190</v>
      </c>
      <c r="C16" s="27" t="s">
        <v>192</v>
      </c>
      <c r="D16" s="31">
        <v>148885</v>
      </c>
      <c r="E16" s="29">
        <v>2234.0938679999999</v>
      </c>
      <c r="F16" s="30">
        <v>3.4357146818023798</v>
      </c>
    </row>
    <row r="17" spans="1:6" x14ac:dyDescent="0.2">
      <c r="A17" s="27" t="s">
        <v>505</v>
      </c>
      <c r="B17" s="27" t="s">
        <v>504</v>
      </c>
      <c r="C17" s="27" t="s">
        <v>128</v>
      </c>
      <c r="D17" s="31">
        <v>73037</v>
      </c>
      <c r="E17" s="29">
        <v>2185.7782990000001</v>
      </c>
      <c r="F17" s="30">
        <v>3.3614122936392801</v>
      </c>
    </row>
    <row r="18" spans="1:6" x14ac:dyDescent="0.2">
      <c r="A18" s="27" t="s">
        <v>124</v>
      </c>
      <c r="B18" s="27" t="s">
        <v>123</v>
      </c>
      <c r="C18" s="27" t="s">
        <v>125</v>
      </c>
      <c r="D18" s="31">
        <v>38978</v>
      </c>
      <c r="E18" s="29">
        <v>2113.796429</v>
      </c>
      <c r="F18" s="30">
        <v>3.2507145422489199</v>
      </c>
    </row>
    <row r="19" spans="1:6" x14ac:dyDescent="0.2">
      <c r="A19" s="27" t="s">
        <v>466</v>
      </c>
      <c r="B19" s="27" t="s">
        <v>465</v>
      </c>
      <c r="C19" s="27" t="s">
        <v>172</v>
      </c>
      <c r="D19" s="31">
        <v>60992</v>
      </c>
      <c r="E19" s="29">
        <v>1739.18688</v>
      </c>
      <c r="F19" s="30">
        <v>2.6746189959168198</v>
      </c>
    </row>
    <row r="20" spans="1:6" x14ac:dyDescent="0.2">
      <c r="A20" s="27" t="s">
        <v>162</v>
      </c>
      <c r="B20" s="27" t="s">
        <v>161</v>
      </c>
      <c r="C20" s="27" t="s">
        <v>149</v>
      </c>
      <c r="D20" s="31">
        <v>484457</v>
      </c>
      <c r="E20" s="29">
        <v>1645.215972</v>
      </c>
      <c r="F20" s="30">
        <v>2.53010527028409</v>
      </c>
    </row>
    <row r="21" spans="1:6" x14ac:dyDescent="0.2">
      <c r="A21" s="27" t="s">
        <v>121</v>
      </c>
      <c r="B21" s="27" t="s">
        <v>120</v>
      </c>
      <c r="C21" s="27" t="s">
        <v>122</v>
      </c>
      <c r="D21" s="31">
        <v>551423</v>
      </c>
      <c r="E21" s="29">
        <v>1616.772236</v>
      </c>
      <c r="F21" s="30">
        <v>2.48636289992971</v>
      </c>
    </row>
    <row r="22" spans="1:6" x14ac:dyDescent="0.2">
      <c r="A22" s="27" t="s">
        <v>148</v>
      </c>
      <c r="B22" s="27" t="s">
        <v>147</v>
      </c>
      <c r="C22" s="27" t="s">
        <v>149</v>
      </c>
      <c r="D22" s="31">
        <v>202897</v>
      </c>
      <c r="E22" s="29">
        <v>1577.929969</v>
      </c>
      <c r="F22" s="30">
        <v>2.4266290861818298</v>
      </c>
    </row>
    <row r="23" spans="1:6" x14ac:dyDescent="0.2">
      <c r="A23" s="27" t="s">
        <v>424</v>
      </c>
      <c r="B23" s="27" t="s">
        <v>423</v>
      </c>
      <c r="C23" s="27" t="s">
        <v>358</v>
      </c>
      <c r="D23" s="31">
        <v>1262673</v>
      </c>
      <c r="E23" s="29">
        <v>1397.1476749999999</v>
      </c>
      <c r="F23" s="30">
        <v>2.1486119488528002</v>
      </c>
    </row>
    <row r="24" spans="1:6" x14ac:dyDescent="0.2">
      <c r="A24" s="27" t="s">
        <v>171</v>
      </c>
      <c r="B24" s="27" t="s">
        <v>170</v>
      </c>
      <c r="C24" s="27" t="s">
        <v>172</v>
      </c>
      <c r="D24" s="31">
        <v>93194</v>
      </c>
      <c r="E24" s="29">
        <v>1396.745075</v>
      </c>
      <c r="F24" s="30">
        <v>2.1479928080231701</v>
      </c>
    </row>
    <row r="25" spans="1:6" x14ac:dyDescent="0.2">
      <c r="A25" s="27" t="s">
        <v>110</v>
      </c>
      <c r="B25" s="27" t="s">
        <v>109</v>
      </c>
      <c r="C25" s="27" t="s">
        <v>111</v>
      </c>
      <c r="D25" s="31">
        <v>242272</v>
      </c>
      <c r="E25" s="29">
        <v>1273.5027680000001</v>
      </c>
      <c r="F25" s="30">
        <v>1.95846388551726</v>
      </c>
    </row>
    <row r="26" spans="1:6" x14ac:dyDescent="0.2">
      <c r="A26" s="27" t="s">
        <v>402</v>
      </c>
      <c r="B26" s="27" t="s">
        <v>401</v>
      </c>
      <c r="C26" s="27" t="s">
        <v>403</v>
      </c>
      <c r="D26" s="31">
        <v>82066</v>
      </c>
      <c r="E26" s="29">
        <v>1248.675223</v>
      </c>
      <c r="F26" s="30">
        <v>1.9202826962255299</v>
      </c>
    </row>
    <row r="27" spans="1:6" x14ac:dyDescent="0.2">
      <c r="A27" s="27" t="s">
        <v>258</v>
      </c>
      <c r="B27" s="27" t="s">
        <v>257</v>
      </c>
      <c r="C27" s="27" t="s">
        <v>185</v>
      </c>
      <c r="D27" s="31">
        <v>1247117</v>
      </c>
      <c r="E27" s="29">
        <v>1172.28998</v>
      </c>
      <c r="F27" s="30">
        <v>1.80281319120286</v>
      </c>
    </row>
    <row r="28" spans="1:6" x14ac:dyDescent="0.2">
      <c r="A28" s="27" t="s">
        <v>507</v>
      </c>
      <c r="B28" s="27" t="s">
        <v>506</v>
      </c>
      <c r="C28" s="27" t="s">
        <v>125</v>
      </c>
      <c r="D28" s="31">
        <v>169673</v>
      </c>
      <c r="E28" s="29">
        <v>1131.8885829999999</v>
      </c>
      <c r="F28" s="30">
        <v>1.74068166001411</v>
      </c>
    </row>
    <row r="29" spans="1:6" x14ac:dyDescent="0.2">
      <c r="A29" s="27" t="s">
        <v>509</v>
      </c>
      <c r="B29" s="27" t="s">
        <v>508</v>
      </c>
      <c r="C29" s="27" t="s">
        <v>422</v>
      </c>
      <c r="D29" s="31">
        <v>583460</v>
      </c>
      <c r="E29" s="29">
        <v>1067.14834</v>
      </c>
      <c r="F29" s="30">
        <v>1.64112048822787</v>
      </c>
    </row>
    <row r="30" spans="1:6" x14ac:dyDescent="0.2">
      <c r="A30" s="27" t="s">
        <v>155</v>
      </c>
      <c r="B30" s="27" t="s">
        <v>154</v>
      </c>
      <c r="C30" s="27" t="s">
        <v>125</v>
      </c>
      <c r="D30" s="31">
        <v>152556</v>
      </c>
      <c r="E30" s="29">
        <v>984.29131199999995</v>
      </c>
      <c r="F30" s="30">
        <v>1.5136983097475301</v>
      </c>
    </row>
    <row r="31" spans="1:6" x14ac:dyDescent="0.2">
      <c r="A31" s="27" t="s">
        <v>389</v>
      </c>
      <c r="B31" s="27" t="s">
        <v>388</v>
      </c>
      <c r="C31" s="27" t="s">
        <v>390</v>
      </c>
      <c r="D31" s="31">
        <v>34087</v>
      </c>
      <c r="E31" s="29">
        <v>966.62210249999998</v>
      </c>
      <c r="F31" s="30">
        <v>1.48652560972605</v>
      </c>
    </row>
    <row r="32" spans="1:6" x14ac:dyDescent="0.2">
      <c r="A32" s="27" t="s">
        <v>273</v>
      </c>
      <c r="B32" s="27" t="s">
        <v>272</v>
      </c>
      <c r="C32" s="27" t="s">
        <v>128</v>
      </c>
      <c r="D32" s="31">
        <v>106104</v>
      </c>
      <c r="E32" s="29">
        <v>800.448576</v>
      </c>
      <c r="F32" s="30">
        <v>1.2309746532955499</v>
      </c>
    </row>
    <row r="33" spans="1:9" x14ac:dyDescent="0.2">
      <c r="A33" s="27" t="s">
        <v>315</v>
      </c>
      <c r="B33" s="27" t="s">
        <v>314</v>
      </c>
      <c r="C33" s="27" t="s">
        <v>160</v>
      </c>
      <c r="D33" s="31">
        <v>11431</v>
      </c>
      <c r="E33" s="29">
        <v>799.27266650000001</v>
      </c>
      <c r="F33" s="30">
        <v>1.2291662738037601</v>
      </c>
    </row>
    <row r="34" spans="1:9" x14ac:dyDescent="0.2">
      <c r="A34" s="27" t="s">
        <v>159</v>
      </c>
      <c r="B34" s="27" t="s">
        <v>158</v>
      </c>
      <c r="C34" s="27" t="s">
        <v>160</v>
      </c>
      <c r="D34" s="31">
        <v>226247</v>
      </c>
      <c r="E34" s="29">
        <v>488.1279025</v>
      </c>
      <c r="F34" s="30">
        <v>0.75067042850710297</v>
      </c>
    </row>
    <row r="35" spans="1:9" x14ac:dyDescent="0.2">
      <c r="A35" s="27" t="s">
        <v>511</v>
      </c>
      <c r="B35" s="27" t="s">
        <v>510</v>
      </c>
      <c r="C35" s="27" t="s">
        <v>185</v>
      </c>
      <c r="D35" s="31">
        <v>12795</v>
      </c>
      <c r="E35" s="29">
        <v>262.17594750000001</v>
      </c>
      <c r="F35" s="30">
        <v>0.40318885653966602</v>
      </c>
    </row>
    <row r="36" spans="1:9" x14ac:dyDescent="0.2">
      <c r="A36" s="27" t="s">
        <v>163</v>
      </c>
      <c r="B36" s="27" t="s">
        <v>725</v>
      </c>
      <c r="C36" s="27" t="s">
        <v>160</v>
      </c>
      <c r="D36" s="31">
        <v>26444</v>
      </c>
      <c r="E36" s="29">
        <v>49.000731999999999</v>
      </c>
      <c r="F36" s="30">
        <v>7.5356070200477299E-2</v>
      </c>
    </row>
    <row r="37" spans="1:9" x14ac:dyDescent="0.2">
      <c r="A37" s="26" t="s">
        <v>35</v>
      </c>
      <c r="B37" s="26"/>
      <c r="C37" s="26"/>
      <c r="D37" s="32"/>
      <c r="E37" s="33">
        <f>SUM(E7:E36)</f>
        <v>60691.785610999992</v>
      </c>
      <c r="F37" s="34">
        <f>SUM(F7:F36)</f>
        <v>93.335227259356671</v>
      </c>
      <c r="G37" s="18"/>
      <c r="H37" s="18"/>
      <c r="I37" s="18"/>
    </row>
    <row r="38" spans="1:9" x14ac:dyDescent="0.2">
      <c r="A38" s="27"/>
      <c r="B38" s="27"/>
      <c r="C38" s="27"/>
      <c r="D38" s="28"/>
      <c r="E38" s="29"/>
      <c r="F38" s="30"/>
    </row>
    <row r="39" spans="1:9" x14ac:dyDescent="0.2">
      <c r="A39" s="26" t="s">
        <v>227</v>
      </c>
      <c r="B39" s="27"/>
      <c r="C39" s="27"/>
      <c r="D39" s="28"/>
      <c r="E39" s="29"/>
      <c r="F39" s="30"/>
    </row>
    <row r="40" spans="1:9" x14ac:dyDescent="0.2">
      <c r="A40" s="27"/>
      <c r="B40" s="27" t="s">
        <v>732</v>
      </c>
      <c r="C40" s="27" t="s">
        <v>98</v>
      </c>
      <c r="D40" s="31">
        <v>489000</v>
      </c>
      <c r="E40" s="29">
        <v>4.8899999999999999E-2</v>
      </c>
      <c r="F40" s="30">
        <v>7.5201158888878197E-5</v>
      </c>
    </row>
    <row r="41" spans="1:9" x14ac:dyDescent="0.2">
      <c r="A41" s="27"/>
      <c r="B41" s="27" t="s">
        <v>728</v>
      </c>
      <c r="C41" s="27" t="s">
        <v>185</v>
      </c>
      <c r="D41" s="31">
        <v>98000</v>
      </c>
      <c r="E41" s="29">
        <v>9.7999999999999997E-3</v>
      </c>
      <c r="F41" s="30">
        <v>1.50709888979756E-5</v>
      </c>
    </row>
    <row r="42" spans="1:9" x14ac:dyDescent="0.2">
      <c r="A42" s="27" t="s">
        <v>512</v>
      </c>
      <c r="B42" s="27" t="s">
        <v>736</v>
      </c>
      <c r="C42" s="27" t="s">
        <v>365</v>
      </c>
      <c r="D42" s="31">
        <v>44170</v>
      </c>
      <c r="E42" s="29">
        <v>4.4169999999999999E-3</v>
      </c>
      <c r="F42" s="30">
        <v>6.7927099961590004E-6</v>
      </c>
    </row>
    <row r="43" spans="1:9" x14ac:dyDescent="0.2">
      <c r="A43" s="27"/>
      <c r="B43" s="27" t="s">
        <v>737</v>
      </c>
      <c r="C43" s="27" t="s">
        <v>98</v>
      </c>
      <c r="D43" s="31">
        <v>23815</v>
      </c>
      <c r="E43" s="29">
        <v>2.3814999999999999E-3</v>
      </c>
      <c r="F43" s="30">
        <v>3.6624040878090702E-6</v>
      </c>
    </row>
    <row r="44" spans="1:9" x14ac:dyDescent="0.2">
      <c r="A44" s="26" t="s">
        <v>35</v>
      </c>
      <c r="B44" s="26"/>
      <c r="C44" s="26"/>
      <c r="D44" s="32"/>
      <c r="E44" s="33">
        <f>SUM(E39:E43)</f>
        <v>6.5498500000000001E-2</v>
      </c>
      <c r="F44" s="34">
        <f>SUM(F39:F43)</f>
        <v>1.0072726187082186E-4</v>
      </c>
      <c r="G44" s="18"/>
      <c r="H44" s="18"/>
      <c r="I44" s="18"/>
    </row>
    <row r="45" spans="1:9" x14ac:dyDescent="0.2">
      <c r="A45" s="27"/>
      <c r="B45" s="27"/>
      <c r="C45" s="27"/>
      <c r="D45" s="28"/>
      <c r="E45" s="29"/>
      <c r="F45" s="30"/>
    </row>
    <row r="46" spans="1:9" x14ac:dyDescent="0.2">
      <c r="A46" s="26" t="s">
        <v>37</v>
      </c>
      <c r="B46" s="26"/>
      <c r="C46" s="26"/>
      <c r="D46" s="32"/>
      <c r="E46" s="33">
        <f>E37+E44</f>
        <v>60691.851109499992</v>
      </c>
      <c r="F46" s="34">
        <f>F37+F44</f>
        <v>93.335327986618537</v>
      </c>
      <c r="G46" s="18"/>
      <c r="H46" s="18"/>
      <c r="I46" s="18"/>
    </row>
    <row r="47" spans="1:9" x14ac:dyDescent="0.2">
      <c r="A47" s="26"/>
      <c r="B47" s="26"/>
      <c r="C47" s="26"/>
      <c r="D47" s="32"/>
      <c r="E47" s="33"/>
      <c r="F47" s="34"/>
      <c r="G47" s="18"/>
      <c r="H47" s="18"/>
      <c r="I47" s="18"/>
    </row>
    <row r="48" spans="1:9" x14ac:dyDescent="0.2">
      <c r="A48" s="26" t="s">
        <v>39</v>
      </c>
      <c r="B48" s="26"/>
      <c r="C48" s="26"/>
      <c r="D48" s="32"/>
      <c r="E48" s="33">
        <f>E50-(E37+E44)</f>
        <v>4333.7425416000115</v>
      </c>
      <c r="F48" s="34">
        <f>F50-(F37+F44)</f>
        <v>6.6646720133814625</v>
      </c>
      <c r="G48" s="18"/>
      <c r="H48" s="18"/>
      <c r="I48" s="18"/>
    </row>
    <row r="49" spans="1:9" x14ac:dyDescent="0.2">
      <c r="A49" s="26"/>
      <c r="B49" s="26"/>
      <c r="C49" s="26"/>
      <c r="D49" s="32"/>
      <c r="E49" s="33"/>
      <c r="F49" s="34"/>
      <c r="G49" s="18"/>
      <c r="H49" s="18"/>
      <c r="I49" s="18"/>
    </row>
    <row r="50" spans="1:9" x14ac:dyDescent="0.2">
      <c r="A50" s="35" t="s">
        <v>38</v>
      </c>
      <c r="B50" s="35"/>
      <c r="C50" s="35"/>
      <c r="D50" s="36"/>
      <c r="E50" s="37">
        <v>65025.593651100004</v>
      </c>
      <c r="F50" s="38">
        <v>100</v>
      </c>
      <c r="G50" s="18"/>
      <c r="H50" s="18"/>
      <c r="I50" s="18"/>
    </row>
    <row r="51" spans="1:9" x14ac:dyDescent="0.2">
      <c r="F51" s="20" t="s">
        <v>503</v>
      </c>
    </row>
    <row r="52" spans="1:9" x14ac:dyDescent="0.2">
      <c r="A52" s="18" t="s">
        <v>40</v>
      </c>
      <c r="F52" s="20"/>
    </row>
    <row r="53" spans="1:9" x14ac:dyDescent="0.2">
      <c r="A53" s="18" t="s">
        <v>733</v>
      </c>
      <c r="F53" s="20"/>
    </row>
    <row r="54" spans="1:9" x14ac:dyDescent="0.2">
      <c r="A54" s="18" t="s">
        <v>726</v>
      </c>
      <c r="F54" s="20"/>
    </row>
    <row r="56" spans="1:9" x14ac:dyDescent="0.2">
      <c r="A56" s="18" t="s">
        <v>41</v>
      </c>
    </row>
    <row r="57" spans="1:9" x14ac:dyDescent="0.2">
      <c r="A57" s="18" t="s">
        <v>42</v>
      </c>
    </row>
    <row r="58" spans="1:9" x14ac:dyDescent="0.2">
      <c r="A58" s="18" t="s">
        <v>43</v>
      </c>
      <c r="B58" s="18"/>
      <c r="C58" s="39" t="s">
        <v>45</v>
      </c>
      <c r="D58" s="19" t="s">
        <v>44</v>
      </c>
    </row>
    <row r="59" spans="1:9" x14ac:dyDescent="0.2">
      <c r="A59" s="9" t="s">
        <v>70</v>
      </c>
      <c r="C59" s="40">
        <v>93.620500000000007</v>
      </c>
      <c r="D59" s="40">
        <v>108.3242</v>
      </c>
    </row>
    <row r="60" spans="1:9" x14ac:dyDescent="0.2">
      <c r="A60" s="9" t="s">
        <v>76</v>
      </c>
      <c r="C60" s="40">
        <v>20.6462</v>
      </c>
      <c r="D60" s="40">
        <v>23.8888</v>
      </c>
    </row>
    <row r="61" spans="1:9" x14ac:dyDescent="0.2">
      <c r="A61" s="9" t="s">
        <v>73</v>
      </c>
      <c r="C61" s="40">
        <v>98.984700000000004</v>
      </c>
      <c r="D61" s="40">
        <v>114.9237</v>
      </c>
    </row>
    <row r="62" spans="1:9" x14ac:dyDescent="0.2">
      <c r="A62" s="9" t="s">
        <v>77</v>
      </c>
      <c r="C62" s="40">
        <v>22.239599999999999</v>
      </c>
      <c r="D62" s="40">
        <v>25.817900000000002</v>
      </c>
    </row>
    <row r="64" spans="1:9" x14ac:dyDescent="0.2">
      <c r="A64" s="9" t="s">
        <v>46</v>
      </c>
    </row>
    <row r="66" spans="1:4" x14ac:dyDescent="0.2">
      <c r="A66" s="18" t="s">
        <v>47</v>
      </c>
      <c r="D66" s="41" t="s">
        <v>48</v>
      </c>
    </row>
    <row r="68" spans="1:4" x14ac:dyDescent="0.2">
      <c r="A68" s="18" t="s">
        <v>220</v>
      </c>
      <c r="D68" s="45">
        <v>5.4100000000000002E-2</v>
      </c>
    </row>
    <row r="70" spans="1:4" x14ac:dyDescent="0.2">
      <c r="A70" s="18" t="s">
        <v>734</v>
      </c>
      <c r="D70" s="41" t="s">
        <v>48</v>
      </c>
    </row>
    <row r="71" spans="1:4" x14ac:dyDescent="0.2">
      <c r="A71" s="9" t="s">
        <v>729</v>
      </c>
    </row>
    <row r="72" spans="1:4" x14ac:dyDescent="0.2">
      <c r="A72" s="50" t="s">
        <v>730</v>
      </c>
    </row>
    <row r="74" spans="1:4" x14ac:dyDescent="0.2">
      <c r="A74" s="18" t="s">
        <v>735</v>
      </c>
    </row>
    <row r="75" spans="1:4" x14ac:dyDescent="0.2">
      <c r="A75" s="50" t="s">
        <v>50</v>
      </c>
    </row>
  </sheetData>
  <mergeCells count="1">
    <mergeCell ref="A1:F1"/>
  </mergeCells>
  <conditionalFormatting sqref="F2:F3 F5:F65539">
    <cfRule type="cellIs" dxfId="19" priority="1" stopIfTrue="1" operator="between">
      <formula>0.009</formula>
      <formula>-0.009</formula>
    </cfRule>
  </conditionalFormatting>
  <hyperlinks>
    <hyperlink ref="A75" r:id="rId1" xr:uid="{00000000-0004-0000-2200-000000000000}"/>
    <hyperlink ref="A72" r:id="rId2" xr:uid="{00000000-0004-0000-22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56"/>
  <sheetViews>
    <sheetView workbookViewId="0">
      <selection sqref="A1:F1"/>
    </sheetView>
  </sheetViews>
  <sheetFormatPr defaultColWidth="9.109375" defaultRowHeight="10.199999999999999" x14ac:dyDescent="0.2"/>
  <cols>
    <col min="1" max="1" width="38.6640625" style="9" bestFit="1" customWidth="1"/>
    <col min="2" max="2" width="24.109375" style="9" bestFit="1" customWidth="1"/>
    <col min="3" max="3" width="20"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79" t="s">
        <v>16</v>
      </c>
      <c r="B1" s="80"/>
      <c r="C1" s="80"/>
      <c r="D1" s="80"/>
      <c r="E1" s="80"/>
      <c r="F1" s="8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261</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105</v>
      </c>
      <c r="B7" s="27" t="s">
        <v>104</v>
      </c>
      <c r="C7" s="27" t="s">
        <v>101</v>
      </c>
      <c r="D7" s="31">
        <v>12000000</v>
      </c>
      <c r="E7" s="29">
        <v>75708</v>
      </c>
      <c r="F7" s="30">
        <v>10.259602938040301</v>
      </c>
    </row>
    <row r="8" spans="1:6" x14ac:dyDescent="0.2">
      <c r="A8" s="27" t="s">
        <v>135</v>
      </c>
      <c r="B8" s="27" t="s">
        <v>134</v>
      </c>
      <c r="C8" s="27" t="s">
        <v>101</v>
      </c>
      <c r="D8" s="31">
        <v>18000000</v>
      </c>
      <c r="E8" s="29">
        <v>75456</v>
      </c>
      <c r="F8" s="30">
        <v>10.2254530471386</v>
      </c>
    </row>
    <row r="9" spans="1:6" x14ac:dyDescent="0.2">
      <c r="A9" s="27" t="s">
        <v>103</v>
      </c>
      <c r="B9" s="27" t="s">
        <v>102</v>
      </c>
      <c r="C9" s="27" t="s">
        <v>101</v>
      </c>
      <c r="D9" s="31">
        <v>7300000</v>
      </c>
      <c r="E9" s="29">
        <v>54625.9</v>
      </c>
      <c r="F9" s="30">
        <v>7.4026528786006498</v>
      </c>
    </row>
    <row r="10" spans="1:6" x14ac:dyDescent="0.2">
      <c r="A10" s="27" t="s">
        <v>110</v>
      </c>
      <c r="B10" s="27" t="s">
        <v>109</v>
      </c>
      <c r="C10" s="27" t="s">
        <v>111</v>
      </c>
      <c r="D10" s="31">
        <v>7000000</v>
      </c>
      <c r="E10" s="29">
        <v>36795.5</v>
      </c>
      <c r="F10" s="30">
        <v>4.9863583756890097</v>
      </c>
    </row>
    <row r="11" spans="1:6" x14ac:dyDescent="0.2">
      <c r="A11" s="27" t="s">
        <v>144</v>
      </c>
      <c r="B11" s="27" t="s">
        <v>143</v>
      </c>
      <c r="C11" s="27" t="s">
        <v>142</v>
      </c>
      <c r="D11" s="31">
        <v>31000000</v>
      </c>
      <c r="E11" s="29">
        <v>36084</v>
      </c>
      <c r="F11" s="30">
        <v>4.8899391400677299</v>
      </c>
    </row>
    <row r="12" spans="1:6" x14ac:dyDescent="0.2">
      <c r="A12" s="27" t="s">
        <v>191</v>
      </c>
      <c r="B12" s="27" t="s">
        <v>190</v>
      </c>
      <c r="C12" s="27" t="s">
        <v>192</v>
      </c>
      <c r="D12" s="31">
        <v>2300000</v>
      </c>
      <c r="E12" s="29">
        <v>34512.65</v>
      </c>
      <c r="F12" s="30">
        <v>4.6769969532884001</v>
      </c>
    </row>
    <row r="13" spans="1:6" x14ac:dyDescent="0.2">
      <c r="A13" s="27" t="s">
        <v>153</v>
      </c>
      <c r="B13" s="27" t="s">
        <v>152</v>
      </c>
      <c r="C13" s="27" t="s">
        <v>122</v>
      </c>
      <c r="D13" s="31">
        <v>7300000</v>
      </c>
      <c r="E13" s="29">
        <v>34171.300000000003</v>
      </c>
      <c r="F13" s="30">
        <v>4.6307387578150001</v>
      </c>
    </row>
    <row r="14" spans="1:6" x14ac:dyDescent="0.2">
      <c r="A14" s="27" t="s">
        <v>217</v>
      </c>
      <c r="B14" s="27" t="s">
        <v>216</v>
      </c>
      <c r="C14" s="27" t="s">
        <v>101</v>
      </c>
      <c r="D14" s="31">
        <v>38000000</v>
      </c>
      <c r="E14" s="29">
        <v>33098</v>
      </c>
      <c r="F14" s="30">
        <v>4.4852900359705599</v>
      </c>
    </row>
    <row r="15" spans="1:6" x14ac:dyDescent="0.2">
      <c r="A15" s="27" t="s">
        <v>100</v>
      </c>
      <c r="B15" s="27" t="s">
        <v>99</v>
      </c>
      <c r="C15" s="27" t="s">
        <v>101</v>
      </c>
      <c r="D15" s="31">
        <v>1900000</v>
      </c>
      <c r="E15" s="29">
        <v>28460.1</v>
      </c>
      <c r="F15" s="30">
        <v>3.8567829763951198</v>
      </c>
    </row>
    <row r="16" spans="1:6" x14ac:dyDescent="0.2">
      <c r="A16" s="27" t="s">
        <v>514</v>
      </c>
      <c r="B16" s="27" t="s">
        <v>513</v>
      </c>
      <c r="C16" s="27" t="s">
        <v>125</v>
      </c>
      <c r="D16" s="31">
        <v>2800000</v>
      </c>
      <c r="E16" s="29">
        <v>27213.200000000001</v>
      </c>
      <c r="F16" s="30">
        <v>3.6878087741517298</v>
      </c>
    </row>
    <row r="17" spans="1:9" x14ac:dyDescent="0.2">
      <c r="A17" s="27" t="s">
        <v>211</v>
      </c>
      <c r="B17" s="27" t="s">
        <v>210</v>
      </c>
      <c r="C17" s="27" t="s">
        <v>122</v>
      </c>
      <c r="D17" s="31">
        <v>25000000</v>
      </c>
      <c r="E17" s="29">
        <v>26975</v>
      </c>
      <c r="F17" s="30">
        <v>3.6555289963232198</v>
      </c>
    </row>
    <row r="18" spans="1:9" x14ac:dyDescent="0.2">
      <c r="A18" s="27" t="s">
        <v>254</v>
      </c>
      <c r="B18" s="27" t="s">
        <v>253</v>
      </c>
      <c r="C18" s="27" t="s">
        <v>172</v>
      </c>
      <c r="D18" s="31">
        <v>1200000</v>
      </c>
      <c r="E18" s="29">
        <v>24177.599999999999</v>
      </c>
      <c r="F18" s="30">
        <v>3.27643810422629</v>
      </c>
    </row>
    <row r="19" spans="1:9" x14ac:dyDescent="0.2">
      <c r="A19" s="27" t="s">
        <v>405</v>
      </c>
      <c r="B19" s="27" t="s">
        <v>404</v>
      </c>
      <c r="C19" s="27" t="s">
        <v>172</v>
      </c>
      <c r="D19" s="31">
        <v>4147368</v>
      </c>
      <c r="E19" s="29">
        <v>23948.97652</v>
      </c>
      <c r="F19" s="30">
        <v>3.2454560927200702</v>
      </c>
    </row>
    <row r="20" spans="1:9" x14ac:dyDescent="0.2">
      <c r="A20" s="27" t="s">
        <v>516</v>
      </c>
      <c r="B20" s="27" t="s">
        <v>515</v>
      </c>
      <c r="C20" s="27" t="s">
        <v>204</v>
      </c>
      <c r="D20" s="31">
        <v>3300000</v>
      </c>
      <c r="E20" s="29">
        <v>22883.85</v>
      </c>
      <c r="F20" s="30">
        <v>3.1011150036148698</v>
      </c>
    </row>
    <row r="21" spans="1:9" x14ac:dyDescent="0.2">
      <c r="A21" s="27" t="s">
        <v>379</v>
      </c>
      <c r="B21" s="27" t="s">
        <v>378</v>
      </c>
      <c r="C21" s="27" t="s">
        <v>358</v>
      </c>
      <c r="D21" s="31">
        <v>4737521</v>
      </c>
      <c r="E21" s="29">
        <v>22316.092670000002</v>
      </c>
      <c r="F21" s="30">
        <v>3.0241751191777899</v>
      </c>
    </row>
    <row r="22" spans="1:9" x14ac:dyDescent="0.2">
      <c r="A22" s="27" t="s">
        <v>518</v>
      </c>
      <c r="B22" s="27" t="s">
        <v>517</v>
      </c>
      <c r="C22" s="27" t="s">
        <v>125</v>
      </c>
      <c r="D22" s="31">
        <v>1800000</v>
      </c>
      <c r="E22" s="29">
        <v>20683.8</v>
      </c>
      <c r="F22" s="30">
        <v>2.8029742596533902</v>
      </c>
    </row>
    <row r="23" spans="1:9" x14ac:dyDescent="0.2">
      <c r="A23" s="27" t="s">
        <v>520</v>
      </c>
      <c r="B23" s="27" t="s">
        <v>519</v>
      </c>
      <c r="C23" s="27" t="s">
        <v>302</v>
      </c>
      <c r="D23" s="31">
        <v>1200000</v>
      </c>
      <c r="E23" s="29">
        <v>20603.400000000001</v>
      </c>
      <c r="F23" s="30">
        <v>2.7920788182704599</v>
      </c>
    </row>
    <row r="24" spans="1:9" x14ac:dyDescent="0.2">
      <c r="A24" s="27" t="s">
        <v>213</v>
      </c>
      <c r="B24" s="27" t="s">
        <v>212</v>
      </c>
      <c r="C24" s="27" t="s">
        <v>131</v>
      </c>
      <c r="D24" s="31">
        <v>12500000</v>
      </c>
      <c r="E24" s="29">
        <v>18706.25</v>
      </c>
      <c r="F24" s="30">
        <v>2.5349857011110699</v>
      </c>
    </row>
    <row r="25" spans="1:9" x14ac:dyDescent="0.2">
      <c r="A25" s="27" t="s">
        <v>522</v>
      </c>
      <c r="B25" s="27" t="s">
        <v>521</v>
      </c>
      <c r="C25" s="27" t="s">
        <v>172</v>
      </c>
      <c r="D25" s="31">
        <v>10000000</v>
      </c>
      <c r="E25" s="29">
        <v>13680</v>
      </c>
      <c r="F25" s="30">
        <v>1.8538512203781901</v>
      </c>
    </row>
    <row r="26" spans="1:9" x14ac:dyDescent="0.2">
      <c r="A26" s="27" t="s">
        <v>458</v>
      </c>
      <c r="B26" s="27" t="s">
        <v>457</v>
      </c>
      <c r="C26" s="27" t="s">
        <v>390</v>
      </c>
      <c r="D26" s="31">
        <v>350000</v>
      </c>
      <c r="E26" s="29">
        <v>12669.475</v>
      </c>
      <c r="F26" s="30">
        <v>1.7169094802851601</v>
      </c>
    </row>
    <row r="27" spans="1:9" x14ac:dyDescent="0.2">
      <c r="A27" s="27" t="s">
        <v>524</v>
      </c>
      <c r="B27" s="27" t="s">
        <v>523</v>
      </c>
      <c r="C27" s="27" t="s">
        <v>358</v>
      </c>
      <c r="D27" s="31">
        <v>15000000</v>
      </c>
      <c r="E27" s="29">
        <v>12270</v>
      </c>
      <c r="F27" s="30">
        <v>1.66277444985675</v>
      </c>
    </row>
    <row r="28" spans="1:9" x14ac:dyDescent="0.2">
      <c r="A28" s="27" t="s">
        <v>526</v>
      </c>
      <c r="B28" s="27" t="s">
        <v>525</v>
      </c>
      <c r="C28" s="27" t="s">
        <v>114</v>
      </c>
      <c r="D28" s="31">
        <v>1865960</v>
      </c>
      <c r="E28" s="29">
        <v>11463.52526</v>
      </c>
      <c r="F28" s="30">
        <v>1.55348467054731</v>
      </c>
    </row>
    <row r="29" spans="1:9" x14ac:dyDescent="0.2">
      <c r="A29" s="27" t="s">
        <v>252</v>
      </c>
      <c r="B29" s="27" t="s">
        <v>251</v>
      </c>
      <c r="C29" s="27" t="s">
        <v>128</v>
      </c>
      <c r="D29" s="31">
        <v>1400000</v>
      </c>
      <c r="E29" s="29">
        <v>9263.1</v>
      </c>
      <c r="F29" s="30">
        <v>1.25529307306178</v>
      </c>
    </row>
    <row r="30" spans="1:9" x14ac:dyDescent="0.2">
      <c r="A30" s="27" t="s">
        <v>151</v>
      </c>
      <c r="B30" s="27" t="s">
        <v>150</v>
      </c>
      <c r="C30" s="27" t="s">
        <v>149</v>
      </c>
      <c r="D30" s="31">
        <v>100000</v>
      </c>
      <c r="E30" s="29">
        <v>4133.8500000000004</v>
      </c>
      <c r="F30" s="30">
        <v>0.56020050200002702</v>
      </c>
    </row>
    <row r="31" spans="1:9" x14ac:dyDescent="0.2">
      <c r="A31" s="27" t="s">
        <v>528</v>
      </c>
      <c r="B31" s="27" t="s">
        <v>527</v>
      </c>
      <c r="C31" s="27" t="s">
        <v>241</v>
      </c>
      <c r="D31" s="31">
        <v>300000</v>
      </c>
      <c r="E31" s="29">
        <v>3065.4</v>
      </c>
      <c r="F31" s="30">
        <v>0.41540903004000701</v>
      </c>
    </row>
    <row r="32" spans="1:9" x14ac:dyDescent="0.2">
      <c r="A32" s="26" t="s">
        <v>35</v>
      </c>
      <c r="B32" s="26"/>
      <c r="C32" s="26"/>
      <c r="D32" s="32"/>
      <c r="E32" s="33">
        <f>SUM(E7:E31)</f>
        <v>682964.96945000009</v>
      </c>
      <c r="F32" s="34">
        <f>SUM(F7:F31)</f>
        <v>92.552298398423474</v>
      </c>
      <c r="G32" s="18"/>
      <c r="H32" s="18"/>
      <c r="I32" s="18"/>
    </row>
    <row r="33" spans="1:9" x14ac:dyDescent="0.2">
      <c r="A33" s="27"/>
      <c r="B33" s="27"/>
      <c r="C33" s="27"/>
      <c r="D33" s="28"/>
      <c r="E33" s="29"/>
      <c r="F33" s="30"/>
    </row>
    <row r="34" spans="1:9" x14ac:dyDescent="0.2">
      <c r="A34" s="26" t="s">
        <v>37</v>
      </c>
      <c r="B34" s="26"/>
      <c r="C34" s="26"/>
      <c r="D34" s="32"/>
      <c r="E34" s="33">
        <f>E32</f>
        <v>682964.96945000009</v>
      </c>
      <c r="F34" s="34">
        <f>F32</f>
        <v>92.552298398423474</v>
      </c>
      <c r="G34" s="18"/>
      <c r="H34" s="18"/>
      <c r="I34" s="18"/>
    </row>
    <row r="35" spans="1:9" x14ac:dyDescent="0.2">
      <c r="A35" s="26"/>
      <c r="B35" s="26"/>
      <c r="C35" s="26"/>
      <c r="D35" s="32"/>
      <c r="E35" s="33"/>
      <c r="F35" s="34"/>
      <c r="G35" s="18"/>
      <c r="H35" s="18"/>
      <c r="I35" s="18"/>
    </row>
    <row r="36" spans="1:9" x14ac:dyDescent="0.2">
      <c r="A36" s="26" t="s">
        <v>39</v>
      </c>
      <c r="B36" s="26"/>
      <c r="C36" s="26"/>
      <c r="D36" s="32"/>
      <c r="E36" s="33">
        <f>E38-(E32)</f>
        <v>54958.325020699878</v>
      </c>
      <c r="F36" s="34">
        <f>F38-(F32)</f>
        <v>7.4477016015765258</v>
      </c>
      <c r="G36" s="18"/>
      <c r="H36" s="18"/>
      <c r="I36" s="18"/>
    </row>
    <row r="37" spans="1:9" x14ac:dyDescent="0.2">
      <c r="A37" s="26"/>
      <c r="B37" s="26"/>
      <c r="C37" s="26"/>
      <c r="D37" s="32"/>
      <c r="E37" s="33"/>
      <c r="F37" s="34"/>
      <c r="G37" s="18"/>
      <c r="H37" s="18"/>
      <c r="I37" s="18"/>
    </row>
    <row r="38" spans="1:9" x14ac:dyDescent="0.2">
      <c r="A38" s="35" t="s">
        <v>38</v>
      </c>
      <c r="B38" s="35"/>
      <c r="C38" s="35"/>
      <c r="D38" s="36"/>
      <c r="E38" s="37">
        <v>737923.29447069997</v>
      </c>
      <c r="F38" s="38">
        <v>100</v>
      </c>
      <c r="G38" s="18"/>
      <c r="H38" s="18"/>
      <c r="I38" s="18"/>
    </row>
    <row r="41" spans="1:9" x14ac:dyDescent="0.2">
      <c r="A41" s="18" t="s">
        <v>41</v>
      </c>
    </row>
    <row r="42" spans="1:9" x14ac:dyDescent="0.2">
      <c r="A42" s="18" t="s">
        <v>42</v>
      </c>
    </row>
    <row r="43" spans="1:9" x14ac:dyDescent="0.2">
      <c r="A43" s="18" t="s">
        <v>43</v>
      </c>
      <c r="B43" s="18"/>
      <c r="C43" s="39" t="s">
        <v>45</v>
      </c>
      <c r="D43" s="19" t="s">
        <v>44</v>
      </c>
    </row>
    <row r="44" spans="1:9" x14ac:dyDescent="0.2">
      <c r="A44" s="9" t="s">
        <v>70</v>
      </c>
      <c r="C44" s="40">
        <v>46.779800000000002</v>
      </c>
      <c r="D44" s="40">
        <v>58.330500000000001</v>
      </c>
    </row>
    <row r="45" spans="1:9" x14ac:dyDescent="0.2">
      <c r="A45" s="9" t="s">
        <v>76</v>
      </c>
      <c r="C45" s="40">
        <v>23.5077</v>
      </c>
      <c r="D45" s="40">
        <v>29.312200000000001</v>
      </c>
    </row>
    <row r="46" spans="1:9" x14ac:dyDescent="0.2">
      <c r="A46" s="9" t="s">
        <v>73</v>
      </c>
      <c r="C46" s="40">
        <v>50.786900000000003</v>
      </c>
      <c r="D46" s="40">
        <v>63.591299999999997</v>
      </c>
    </row>
    <row r="47" spans="1:9" x14ac:dyDescent="0.2">
      <c r="A47" s="9" t="s">
        <v>77</v>
      </c>
      <c r="C47" s="40">
        <v>26.367799999999999</v>
      </c>
      <c r="D47" s="40">
        <v>33.015599999999999</v>
      </c>
    </row>
    <row r="49" spans="1:4" x14ac:dyDescent="0.2">
      <c r="A49" s="9" t="s">
        <v>46</v>
      </c>
    </row>
    <row r="51" spans="1:4" x14ac:dyDescent="0.2">
      <c r="A51" s="18" t="s">
        <v>47</v>
      </c>
      <c r="D51" s="41" t="s">
        <v>48</v>
      </c>
    </row>
    <row r="53" spans="1:4" x14ac:dyDescent="0.2">
      <c r="A53" s="18" t="s">
        <v>220</v>
      </c>
      <c r="D53" s="45">
        <v>4.1599999999999998E-2</v>
      </c>
    </row>
    <row r="55" spans="1:4" x14ac:dyDescent="0.2">
      <c r="A55" s="18" t="s">
        <v>94</v>
      </c>
    </row>
    <row r="56" spans="1:4" x14ac:dyDescent="0.2">
      <c r="A56" s="50" t="s">
        <v>50</v>
      </c>
    </row>
  </sheetData>
  <mergeCells count="1">
    <mergeCell ref="A1:F1"/>
  </mergeCells>
  <conditionalFormatting sqref="F2:F3 F5:F65534">
    <cfRule type="cellIs" dxfId="18" priority="1" stopIfTrue="1" operator="between">
      <formula>0.009</formula>
      <formula>-0.009</formula>
    </cfRule>
  </conditionalFormatting>
  <hyperlinks>
    <hyperlink ref="A56" r:id="rId1" xr:uid="{00000000-0004-0000-2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91"/>
  <sheetViews>
    <sheetView workbookViewId="0">
      <selection sqref="A1:F1"/>
    </sheetView>
  </sheetViews>
  <sheetFormatPr defaultColWidth="9.109375" defaultRowHeight="10.199999999999999" x14ac:dyDescent="0.2"/>
  <cols>
    <col min="1" max="1" width="38.6640625" style="9" bestFit="1" customWidth="1"/>
    <col min="2" max="2" width="36.33203125" style="9" bestFit="1" customWidth="1"/>
    <col min="3" max="3" width="24.6640625"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5" customHeight="1" x14ac:dyDescent="0.2">
      <c r="A1" s="79" t="s">
        <v>738</v>
      </c>
      <c r="B1" s="80"/>
      <c r="C1" s="80"/>
      <c r="D1" s="80"/>
      <c r="E1" s="80"/>
      <c r="F1" s="8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261</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97</v>
      </c>
      <c r="B7" s="27" t="s">
        <v>96</v>
      </c>
      <c r="C7" s="27" t="s">
        <v>98</v>
      </c>
      <c r="D7" s="31">
        <v>5000000</v>
      </c>
      <c r="E7" s="29">
        <v>79040</v>
      </c>
      <c r="F7" s="30">
        <v>8.3308528764771399</v>
      </c>
    </row>
    <row r="8" spans="1:6" x14ac:dyDescent="0.2">
      <c r="A8" s="27" t="s">
        <v>100</v>
      </c>
      <c r="B8" s="27" t="s">
        <v>99</v>
      </c>
      <c r="C8" s="27" t="s">
        <v>101</v>
      </c>
      <c r="D8" s="31">
        <v>5000000</v>
      </c>
      <c r="E8" s="29">
        <v>74895</v>
      </c>
      <c r="F8" s="30">
        <v>7.8939679426082403</v>
      </c>
    </row>
    <row r="9" spans="1:6" x14ac:dyDescent="0.2">
      <c r="A9" s="27" t="s">
        <v>105</v>
      </c>
      <c r="B9" s="27" t="s">
        <v>104</v>
      </c>
      <c r="C9" s="27" t="s">
        <v>101</v>
      </c>
      <c r="D9" s="31">
        <v>10800000</v>
      </c>
      <c r="E9" s="29">
        <v>68137.2</v>
      </c>
      <c r="F9" s="30">
        <v>7.1816926697254404</v>
      </c>
    </row>
    <row r="10" spans="1:6" x14ac:dyDescent="0.2">
      <c r="A10" s="27" t="s">
        <v>103</v>
      </c>
      <c r="B10" s="27" t="s">
        <v>102</v>
      </c>
      <c r="C10" s="27" t="s">
        <v>101</v>
      </c>
      <c r="D10" s="31">
        <v>8500000</v>
      </c>
      <c r="E10" s="29">
        <v>63605.5</v>
      </c>
      <c r="F10" s="30">
        <v>6.70404937543986</v>
      </c>
    </row>
    <row r="11" spans="1:6" x14ac:dyDescent="0.2">
      <c r="A11" s="27" t="s">
        <v>110</v>
      </c>
      <c r="B11" s="27" t="s">
        <v>109</v>
      </c>
      <c r="C11" s="27" t="s">
        <v>111</v>
      </c>
      <c r="D11" s="31">
        <v>10800000</v>
      </c>
      <c r="E11" s="29">
        <v>56770.2</v>
      </c>
      <c r="F11" s="30">
        <v>5.9836055663990697</v>
      </c>
    </row>
    <row r="12" spans="1:6" x14ac:dyDescent="0.2">
      <c r="A12" s="27" t="s">
        <v>191</v>
      </c>
      <c r="B12" s="27" t="s">
        <v>190</v>
      </c>
      <c r="C12" s="27" t="s">
        <v>192</v>
      </c>
      <c r="D12" s="31">
        <v>2900000</v>
      </c>
      <c r="E12" s="29">
        <v>43515.95</v>
      </c>
      <c r="F12" s="30">
        <v>4.5866014325675</v>
      </c>
    </row>
    <row r="13" spans="1:6" x14ac:dyDescent="0.2">
      <c r="A13" s="27" t="s">
        <v>135</v>
      </c>
      <c r="B13" s="27" t="s">
        <v>134</v>
      </c>
      <c r="C13" s="27" t="s">
        <v>101</v>
      </c>
      <c r="D13" s="31">
        <v>9500000</v>
      </c>
      <c r="E13" s="29">
        <v>39824</v>
      </c>
      <c r="F13" s="30">
        <v>4.1974681800711799</v>
      </c>
    </row>
    <row r="14" spans="1:6" x14ac:dyDescent="0.2">
      <c r="A14" s="27" t="s">
        <v>162</v>
      </c>
      <c r="B14" s="27" t="s">
        <v>161</v>
      </c>
      <c r="C14" s="27" t="s">
        <v>149</v>
      </c>
      <c r="D14" s="31">
        <v>9500000</v>
      </c>
      <c r="E14" s="29">
        <v>32262</v>
      </c>
      <c r="F14" s="30">
        <v>3.4004298519851401</v>
      </c>
    </row>
    <row r="15" spans="1:6" x14ac:dyDescent="0.2">
      <c r="A15" s="27" t="s">
        <v>146</v>
      </c>
      <c r="B15" s="27" t="s">
        <v>145</v>
      </c>
      <c r="C15" s="27" t="s">
        <v>128</v>
      </c>
      <c r="D15" s="31">
        <v>1950000</v>
      </c>
      <c r="E15" s="29">
        <v>28202.85</v>
      </c>
      <c r="F15" s="30">
        <v>2.9725935481699599</v>
      </c>
    </row>
    <row r="16" spans="1:6" x14ac:dyDescent="0.2">
      <c r="A16" s="27" t="s">
        <v>144</v>
      </c>
      <c r="B16" s="27" t="s">
        <v>143</v>
      </c>
      <c r="C16" s="27" t="s">
        <v>142</v>
      </c>
      <c r="D16" s="31">
        <v>22000000</v>
      </c>
      <c r="E16" s="29">
        <v>25608</v>
      </c>
      <c r="F16" s="30">
        <v>2.6990951475306999</v>
      </c>
    </row>
    <row r="17" spans="1:6" x14ac:dyDescent="0.2">
      <c r="A17" s="27" t="s">
        <v>238</v>
      </c>
      <c r="B17" s="27" t="s">
        <v>237</v>
      </c>
      <c r="C17" s="27" t="s">
        <v>98</v>
      </c>
      <c r="D17" s="31">
        <v>2600000</v>
      </c>
      <c r="E17" s="29">
        <v>25571</v>
      </c>
      <c r="F17" s="30">
        <v>2.6951953302681799</v>
      </c>
    </row>
    <row r="18" spans="1:6" x14ac:dyDescent="0.2">
      <c r="A18" s="27" t="s">
        <v>171</v>
      </c>
      <c r="B18" s="27" t="s">
        <v>170</v>
      </c>
      <c r="C18" s="27" t="s">
        <v>172</v>
      </c>
      <c r="D18" s="31">
        <v>1600000</v>
      </c>
      <c r="E18" s="29">
        <v>23980</v>
      </c>
      <c r="F18" s="30">
        <v>2.52750318797978</v>
      </c>
    </row>
    <row r="19" spans="1:6" x14ac:dyDescent="0.2">
      <c r="A19" s="27" t="s">
        <v>530</v>
      </c>
      <c r="B19" s="27" t="s">
        <v>529</v>
      </c>
      <c r="C19" s="27" t="s">
        <v>128</v>
      </c>
      <c r="D19" s="31">
        <v>4500000</v>
      </c>
      <c r="E19" s="29">
        <v>23886</v>
      </c>
      <c r="F19" s="30">
        <v>2.5175955441236502</v>
      </c>
    </row>
    <row r="20" spans="1:6" x14ac:dyDescent="0.2">
      <c r="A20" s="27" t="s">
        <v>252</v>
      </c>
      <c r="B20" s="27" t="s">
        <v>251</v>
      </c>
      <c r="C20" s="27" t="s">
        <v>128</v>
      </c>
      <c r="D20" s="31">
        <v>3600000</v>
      </c>
      <c r="E20" s="29">
        <v>23819.4</v>
      </c>
      <c r="F20" s="30">
        <v>2.5105758730511099</v>
      </c>
    </row>
    <row r="21" spans="1:6" x14ac:dyDescent="0.2">
      <c r="A21" s="27" t="s">
        <v>121</v>
      </c>
      <c r="B21" s="27" t="s">
        <v>120</v>
      </c>
      <c r="C21" s="27" t="s">
        <v>122</v>
      </c>
      <c r="D21" s="31">
        <v>7800000</v>
      </c>
      <c r="E21" s="29">
        <v>22869.599999999999</v>
      </c>
      <c r="F21" s="30">
        <v>2.41046650991753</v>
      </c>
    </row>
    <row r="22" spans="1:6" x14ac:dyDescent="0.2">
      <c r="A22" s="27" t="s">
        <v>159</v>
      </c>
      <c r="B22" s="27" t="s">
        <v>158</v>
      </c>
      <c r="C22" s="27" t="s">
        <v>160</v>
      </c>
      <c r="D22" s="31">
        <v>10500000</v>
      </c>
      <c r="E22" s="29">
        <v>22653.75</v>
      </c>
      <c r="F22" s="30">
        <v>2.3877158192117198</v>
      </c>
    </row>
    <row r="23" spans="1:6" x14ac:dyDescent="0.2">
      <c r="A23" s="27" t="s">
        <v>113</v>
      </c>
      <c r="B23" s="27" t="s">
        <v>112</v>
      </c>
      <c r="C23" s="27" t="s">
        <v>114</v>
      </c>
      <c r="D23" s="31">
        <v>2000000</v>
      </c>
      <c r="E23" s="29">
        <v>20449</v>
      </c>
      <c r="F23" s="30">
        <v>2.1553341405754201</v>
      </c>
    </row>
    <row r="24" spans="1:6" x14ac:dyDescent="0.2">
      <c r="A24" s="27" t="s">
        <v>196</v>
      </c>
      <c r="B24" s="27" t="s">
        <v>195</v>
      </c>
      <c r="C24" s="27" t="s">
        <v>98</v>
      </c>
      <c r="D24" s="31">
        <v>1800000</v>
      </c>
      <c r="E24" s="29">
        <v>19718.099999999999</v>
      </c>
      <c r="F24" s="30">
        <v>2.0782969395706501</v>
      </c>
    </row>
    <row r="25" spans="1:6" x14ac:dyDescent="0.2">
      <c r="A25" s="27" t="s">
        <v>148</v>
      </c>
      <c r="B25" s="27" t="s">
        <v>147</v>
      </c>
      <c r="C25" s="27" t="s">
        <v>149</v>
      </c>
      <c r="D25" s="31">
        <v>2500000</v>
      </c>
      <c r="E25" s="29">
        <v>19442.5</v>
      </c>
      <c r="F25" s="30">
        <v>2.04924857098819</v>
      </c>
    </row>
    <row r="26" spans="1:6" x14ac:dyDescent="0.2">
      <c r="A26" s="27" t="s">
        <v>532</v>
      </c>
      <c r="B26" s="27" t="s">
        <v>531</v>
      </c>
      <c r="C26" s="27" t="s">
        <v>125</v>
      </c>
      <c r="D26" s="31">
        <v>2500000</v>
      </c>
      <c r="E26" s="29">
        <v>16886.25</v>
      </c>
      <c r="F26" s="30">
        <v>1.77981862835795</v>
      </c>
    </row>
    <row r="27" spans="1:6" x14ac:dyDescent="0.2">
      <c r="A27" s="27" t="s">
        <v>124</v>
      </c>
      <c r="B27" s="27" t="s">
        <v>123</v>
      </c>
      <c r="C27" s="27" t="s">
        <v>125</v>
      </c>
      <c r="D27" s="31">
        <v>295102</v>
      </c>
      <c r="E27" s="29">
        <v>16003.52901</v>
      </c>
      <c r="F27" s="30">
        <v>1.6867794241743901</v>
      </c>
    </row>
    <row r="28" spans="1:6" x14ac:dyDescent="0.2">
      <c r="A28" s="27" t="s">
        <v>367</v>
      </c>
      <c r="B28" s="27" t="s">
        <v>366</v>
      </c>
      <c r="C28" s="27" t="s">
        <v>128</v>
      </c>
      <c r="D28" s="31">
        <v>9200000</v>
      </c>
      <c r="E28" s="29">
        <v>14241.6</v>
      </c>
      <c r="F28" s="30">
        <v>1.50107128448427</v>
      </c>
    </row>
    <row r="29" spans="1:6" x14ac:dyDescent="0.2">
      <c r="A29" s="27" t="s">
        <v>213</v>
      </c>
      <c r="B29" s="27" t="s">
        <v>212</v>
      </c>
      <c r="C29" s="27" t="s">
        <v>131</v>
      </c>
      <c r="D29" s="31">
        <v>9500000</v>
      </c>
      <c r="E29" s="29">
        <v>14216.75</v>
      </c>
      <c r="F29" s="30">
        <v>1.49845208289039</v>
      </c>
    </row>
    <row r="30" spans="1:6" x14ac:dyDescent="0.2">
      <c r="A30" s="27" t="s">
        <v>534</v>
      </c>
      <c r="B30" s="27" t="s">
        <v>533</v>
      </c>
      <c r="C30" s="27" t="s">
        <v>185</v>
      </c>
      <c r="D30" s="31">
        <v>12000000</v>
      </c>
      <c r="E30" s="29">
        <v>14070</v>
      </c>
      <c r="F30" s="30">
        <v>1.4829845644235</v>
      </c>
    </row>
    <row r="31" spans="1:6" x14ac:dyDescent="0.2">
      <c r="A31" s="27" t="s">
        <v>518</v>
      </c>
      <c r="B31" s="27" t="s">
        <v>517</v>
      </c>
      <c r="C31" s="27" t="s">
        <v>125</v>
      </c>
      <c r="D31" s="31">
        <v>1100000</v>
      </c>
      <c r="E31" s="29">
        <v>12640.1</v>
      </c>
      <c r="F31" s="30">
        <v>1.33227243729705</v>
      </c>
    </row>
    <row r="32" spans="1:6" x14ac:dyDescent="0.2">
      <c r="A32" s="27" t="s">
        <v>254</v>
      </c>
      <c r="B32" s="27" t="s">
        <v>253</v>
      </c>
      <c r="C32" s="27" t="s">
        <v>172</v>
      </c>
      <c r="D32" s="31">
        <v>600000</v>
      </c>
      <c r="E32" s="29">
        <v>12088.8</v>
      </c>
      <c r="F32" s="30">
        <v>1.27416516008549</v>
      </c>
    </row>
    <row r="33" spans="1:6" x14ac:dyDescent="0.2">
      <c r="A33" s="27" t="s">
        <v>240</v>
      </c>
      <c r="B33" s="27" t="s">
        <v>239</v>
      </c>
      <c r="C33" s="27" t="s">
        <v>241</v>
      </c>
      <c r="D33" s="31">
        <v>6145427</v>
      </c>
      <c r="E33" s="29">
        <v>10938.860060000001</v>
      </c>
      <c r="F33" s="30">
        <v>1.1529609538997001</v>
      </c>
    </row>
    <row r="34" spans="1:6" x14ac:dyDescent="0.2">
      <c r="A34" s="27" t="s">
        <v>536</v>
      </c>
      <c r="B34" s="27" t="s">
        <v>535</v>
      </c>
      <c r="C34" s="27" t="s">
        <v>204</v>
      </c>
      <c r="D34" s="31">
        <v>370000</v>
      </c>
      <c r="E34" s="29">
        <v>9917.11</v>
      </c>
      <c r="F34" s="30">
        <v>1.0452680208734799</v>
      </c>
    </row>
    <row r="35" spans="1:6" x14ac:dyDescent="0.2">
      <c r="A35" s="27" t="s">
        <v>249</v>
      </c>
      <c r="B35" s="27" t="s">
        <v>248</v>
      </c>
      <c r="C35" s="27" t="s">
        <v>250</v>
      </c>
      <c r="D35" s="31">
        <v>1600000</v>
      </c>
      <c r="E35" s="29">
        <v>9843.2000000000007</v>
      </c>
      <c r="F35" s="30">
        <v>1.0374778723904301</v>
      </c>
    </row>
    <row r="36" spans="1:6" x14ac:dyDescent="0.2">
      <c r="A36" s="27" t="s">
        <v>236</v>
      </c>
      <c r="B36" s="27" t="s">
        <v>235</v>
      </c>
      <c r="C36" s="27" t="s">
        <v>149</v>
      </c>
      <c r="D36" s="31">
        <v>6000000</v>
      </c>
      <c r="E36" s="29">
        <v>9312</v>
      </c>
      <c r="F36" s="30">
        <v>0.98148914455661895</v>
      </c>
    </row>
    <row r="37" spans="1:6" x14ac:dyDescent="0.2">
      <c r="A37" s="27" t="s">
        <v>538</v>
      </c>
      <c r="B37" s="27" t="s">
        <v>537</v>
      </c>
      <c r="C37" s="27" t="s">
        <v>185</v>
      </c>
      <c r="D37" s="31">
        <v>950000</v>
      </c>
      <c r="E37" s="29">
        <v>9218.7999999999993</v>
      </c>
      <c r="F37" s="30">
        <v>0.97166582107372801</v>
      </c>
    </row>
    <row r="38" spans="1:6" x14ac:dyDescent="0.2">
      <c r="A38" s="27" t="s">
        <v>211</v>
      </c>
      <c r="B38" s="27" t="s">
        <v>210</v>
      </c>
      <c r="C38" s="27" t="s">
        <v>122</v>
      </c>
      <c r="D38" s="31">
        <v>8000000</v>
      </c>
      <c r="E38" s="29">
        <v>8632</v>
      </c>
      <c r="F38" s="30">
        <v>0.90981682729947699</v>
      </c>
    </row>
    <row r="39" spans="1:6" x14ac:dyDescent="0.2">
      <c r="A39" s="27" t="s">
        <v>263</v>
      </c>
      <c r="B39" s="27" t="s">
        <v>262</v>
      </c>
      <c r="C39" s="27" t="s">
        <v>204</v>
      </c>
      <c r="D39" s="31">
        <v>4636687</v>
      </c>
      <c r="E39" s="29">
        <v>8529.1857369999998</v>
      </c>
      <c r="F39" s="30">
        <v>0.89898015601080805</v>
      </c>
    </row>
    <row r="40" spans="1:6" x14ac:dyDescent="0.2">
      <c r="A40" s="27" t="s">
        <v>452</v>
      </c>
      <c r="B40" s="27" t="s">
        <v>451</v>
      </c>
      <c r="C40" s="27" t="s">
        <v>114</v>
      </c>
      <c r="D40" s="31">
        <v>1700000</v>
      </c>
      <c r="E40" s="29">
        <v>7388.2</v>
      </c>
      <c r="F40" s="30">
        <v>0.77871972699884096</v>
      </c>
    </row>
    <row r="41" spans="1:6" x14ac:dyDescent="0.2">
      <c r="A41" s="27" t="s">
        <v>260</v>
      </c>
      <c r="B41" s="27" t="s">
        <v>259</v>
      </c>
      <c r="C41" s="27" t="s">
        <v>122</v>
      </c>
      <c r="D41" s="31">
        <v>1000000</v>
      </c>
      <c r="E41" s="29">
        <v>6866</v>
      </c>
      <c r="F41" s="30">
        <v>0.72367960336401904</v>
      </c>
    </row>
    <row r="42" spans="1:6" x14ac:dyDescent="0.2">
      <c r="A42" s="27" t="s">
        <v>496</v>
      </c>
      <c r="B42" s="27" t="s">
        <v>495</v>
      </c>
      <c r="C42" s="27" t="s">
        <v>114</v>
      </c>
      <c r="D42" s="31">
        <v>400000</v>
      </c>
      <c r="E42" s="29">
        <v>6387</v>
      </c>
      <c r="F42" s="30">
        <v>0.673192779884356</v>
      </c>
    </row>
    <row r="43" spans="1:6" x14ac:dyDescent="0.2">
      <c r="A43" s="27" t="s">
        <v>540</v>
      </c>
      <c r="B43" s="27" t="s">
        <v>539</v>
      </c>
      <c r="C43" s="27" t="s">
        <v>160</v>
      </c>
      <c r="D43" s="31">
        <v>3213663</v>
      </c>
      <c r="E43" s="29">
        <v>4412.3592989999997</v>
      </c>
      <c r="F43" s="30">
        <v>0.46506472872121501</v>
      </c>
    </row>
    <row r="44" spans="1:6" x14ac:dyDescent="0.2">
      <c r="A44" s="27" t="s">
        <v>116</v>
      </c>
      <c r="B44" s="27" t="s">
        <v>115</v>
      </c>
      <c r="C44" s="27" t="s">
        <v>101</v>
      </c>
      <c r="D44" s="31">
        <v>230000</v>
      </c>
      <c r="E44" s="29">
        <v>3923.4549999999999</v>
      </c>
      <c r="F44" s="30">
        <v>0.41353398750605602</v>
      </c>
    </row>
    <row r="45" spans="1:6" x14ac:dyDescent="0.2">
      <c r="A45" s="27" t="s">
        <v>247</v>
      </c>
      <c r="B45" s="27" t="s">
        <v>246</v>
      </c>
      <c r="C45" s="27" t="s">
        <v>108</v>
      </c>
      <c r="D45" s="31">
        <v>25000</v>
      </c>
      <c r="E45" s="29">
        <v>3756.2874999999999</v>
      </c>
      <c r="F45" s="30">
        <v>0.39591445501328598</v>
      </c>
    </row>
    <row r="46" spans="1:6" x14ac:dyDescent="0.2">
      <c r="A46" s="27" t="s">
        <v>409</v>
      </c>
      <c r="B46" s="27" t="s">
        <v>408</v>
      </c>
      <c r="C46" s="27" t="s">
        <v>199</v>
      </c>
      <c r="D46" s="31">
        <v>500000</v>
      </c>
      <c r="E46" s="29">
        <v>2498</v>
      </c>
      <c r="F46" s="30">
        <v>0.26329036545343998</v>
      </c>
    </row>
    <row r="47" spans="1:6" x14ac:dyDescent="0.2">
      <c r="A47" s="27" t="s">
        <v>163</v>
      </c>
      <c r="B47" s="27" t="s">
        <v>725</v>
      </c>
      <c r="C47" s="27" t="s">
        <v>160</v>
      </c>
      <c r="D47" s="31">
        <v>1344155</v>
      </c>
      <c r="E47" s="29">
        <v>2490.7192150000001</v>
      </c>
      <c r="F47" s="30">
        <v>0.26252296731755598</v>
      </c>
    </row>
    <row r="48" spans="1:6" x14ac:dyDescent="0.2">
      <c r="A48" s="27" t="s">
        <v>396</v>
      </c>
      <c r="B48" s="27" t="s">
        <v>395</v>
      </c>
      <c r="C48" s="27" t="s">
        <v>101</v>
      </c>
      <c r="D48" s="31">
        <v>4500000</v>
      </c>
      <c r="E48" s="29">
        <v>2326.5</v>
      </c>
      <c r="F48" s="30">
        <v>0.245214185439323</v>
      </c>
    </row>
    <row r="49" spans="1:9" x14ac:dyDescent="0.2">
      <c r="A49" s="26" t="s">
        <v>35</v>
      </c>
      <c r="B49" s="26"/>
      <c r="C49" s="26"/>
      <c r="D49" s="32"/>
      <c r="E49" s="33">
        <f>SUM(E7:E48)</f>
        <v>920836.75582099985</v>
      </c>
      <c r="F49" s="34">
        <f>SUM(F7:F48)</f>
        <v>97.056623684175818</v>
      </c>
      <c r="G49" s="18"/>
      <c r="H49" s="18"/>
      <c r="I49" s="18"/>
    </row>
    <row r="50" spans="1:9" x14ac:dyDescent="0.2">
      <c r="A50" s="27"/>
      <c r="B50" s="27"/>
      <c r="C50" s="27"/>
      <c r="D50" s="28"/>
      <c r="E50" s="29"/>
      <c r="F50" s="30"/>
    </row>
    <row r="51" spans="1:9" x14ac:dyDescent="0.2">
      <c r="A51" s="26" t="s">
        <v>227</v>
      </c>
      <c r="B51" s="27"/>
      <c r="C51" s="27"/>
      <c r="D51" s="28"/>
      <c r="E51" s="29"/>
      <c r="F51" s="30"/>
    </row>
    <row r="52" spans="1:9" x14ac:dyDescent="0.2">
      <c r="A52" s="27"/>
      <c r="B52" s="27" t="s">
        <v>728</v>
      </c>
      <c r="C52" s="27" t="s">
        <v>185</v>
      </c>
      <c r="D52" s="31">
        <v>73500</v>
      </c>
      <c r="E52" s="29">
        <v>7.3499999999999998E-3</v>
      </c>
      <c r="F52" s="30">
        <v>7.7469342917645502E-7</v>
      </c>
    </row>
    <row r="53" spans="1:9" x14ac:dyDescent="0.2">
      <c r="A53" s="27"/>
      <c r="B53" s="27" t="s">
        <v>739</v>
      </c>
      <c r="C53" s="27" t="s">
        <v>98</v>
      </c>
      <c r="D53" s="31">
        <v>45000</v>
      </c>
      <c r="E53" s="29">
        <v>4.4999999999999997E-3</v>
      </c>
      <c r="F53" s="30">
        <v>4.7430209949578897E-7</v>
      </c>
    </row>
    <row r="54" spans="1:9" x14ac:dyDescent="0.2">
      <c r="A54" s="27" t="s">
        <v>512</v>
      </c>
      <c r="B54" s="27" t="s">
        <v>736</v>
      </c>
      <c r="C54" s="27" t="s">
        <v>365</v>
      </c>
      <c r="D54" s="31">
        <v>38000</v>
      </c>
      <c r="E54" s="29">
        <v>3.8E-3</v>
      </c>
      <c r="F54" s="30">
        <v>4.00521772907555E-7</v>
      </c>
    </row>
    <row r="55" spans="1:9" x14ac:dyDescent="0.2">
      <c r="A55" s="26" t="s">
        <v>35</v>
      </c>
      <c r="B55" s="26"/>
      <c r="C55" s="26"/>
      <c r="D55" s="32"/>
      <c r="E55" s="33">
        <f>SUM(E51:E54)</f>
        <v>1.5650000000000001E-2</v>
      </c>
      <c r="F55" s="34">
        <f>SUM(F51:F54)</f>
        <v>1.6495173015797989E-6</v>
      </c>
      <c r="G55" s="18"/>
      <c r="H55" s="18"/>
      <c r="I55" s="18"/>
    </row>
    <row r="56" spans="1:9" x14ac:dyDescent="0.2">
      <c r="A56" s="27"/>
      <c r="B56" s="27"/>
      <c r="C56" s="27"/>
      <c r="D56" s="28"/>
      <c r="E56" s="29"/>
      <c r="F56" s="30"/>
    </row>
    <row r="57" spans="1:9" x14ac:dyDescent="0.2">
      <c r="A57" s="26" t="s">
        <v>37</v>
      </c>
      <c r="B57" s="26"/>
      <c r="C57" s="26"/>
      <c r="D57" s="32"/>
      <c r="E57" s="33">
        <f>E49+E55</f>
        <v>920836.77147099981</v>
      </c>
      <c r="F57" s="34">
        <f>F49+F55</f>
        <v>97.05662533369312</v>
      </c>
      <c r="G57" s="18"/>
      <c r="H57" s="18"/>
      <c r="I57" s="18"/>
    </row>
    <row r="58" spans="1:9" x14ac:dyDescent="0.2">
      <c r="A58" s="26"/>
      <c r="B58" s="26"/>
      <c r="C58" s="26"/>
      <c r="D58" s="32"/>
      <c r="E58" s="33"/>
      <c r="F58" s="34"/>
      <c r="G58" s="18"/>
      <c r="H58" s="18"/>
      <c r="I58" s="18"/>
    </row>
    <row r="59" spans="1:9" x14ac:dyDescent="0.2">
      <c r="A59" s="26" t="s">
        <v>39</v>
      </c>
      <c r="B59" s="26"/>
      <c r="C59" s="26"/>
      <c r="D59" s="32"/>
      <c r="E59" s="33">
        <f>E61-(E49+E55)</f>
        <v>27925.632234100136</v>
      </c>
      <c r="F59" s="34">
        <f>F61-(F49+F55)</f>
        <v>2.9433746663068803</v>
      </c>
      <c r="G59" s="18"/>
      <c r="H59" s="18"/>
      <c r="I59" s="18"/>
    </row>
    <row r="60" spans="1:9" x14ac:dyDescent="0.2">
      <c r="A60" s="26"/>
      <c r="B60" s="26"/>
      <c r="C60" s="26"/>
      <c r="D60" s="32"/>
      <c r="E60" s="33"/>
      <c r="F60" s="34"/>
      <c r="G60" s="18"/>
      <c r="H60" s="18"/>
      <c r="I60" s="18"/>
    </row>
    <row r="61" spans="1:9" x14ac:dyDescent="0.2">
      <c r="A61" s="35" t="s">
        <v>38</v>
      </c>
      <c r="B61" s="35"/>
      <c r="C61" s="35"/>
      <c r="D61" s="36"/>
      <c r="E61" s="37">
        <v>948762.40370509995</v>
      </c>
      <c r="F61" s="38">
        <v>100</v>
      </c>
      <c r="G61" s="18"/>
      <c r="H61" s="18"/>
      <c r="I61" s="18"/>
    </row>
    <row r="62" spans="1:9" x14ac:dyDescent="0.2">
      <c r="F62" s="20" t="s">
        <v>503</v>
      </c>
    </row>
    <row r="63" spans="1:9" x14ac:dyDescent="0.2">
      <c r="A63" s="18" t="s">
        <v>40</v>
      </c>
      <c r="F63" s="20"/>
    </row>
    <row r="64" spans="1:9" x14ac:dyDescent="0.2">
      <c r="A64" s="18" t="s">
        <v>733</v>
      </c>
      <c r="F64" s="20"/>
    </row>
    <row r="65" spans="1:6" x14ac:dyDescent="0.2">
      <c r="A65" s="18" t="s">
        <v>726</v>
      </c>
      <c r="F65" s="20"/>
    </row>
    <row r="67" spans="1:6" x14ac:dyDescent="0.2">
      <c r="A67" s="18" t="s">
        <v>41</v>
      </c>
    </row>
    <row r="68" spans="1:6" x14ac:dyDescent="0.2">
      <c r="A68" s="18" t="s">
        <v>42</v>
      </c>
    </row>
    <row r="69" spans="1:6" x14ac:dyDescent="0.2">
      <c r="A69" s="18" t="s">
        <v>43</v>
      </c>
      <c r="B69" s="18"/>
      <c r="C69" s="39" t="s">
        <v>45</v>
      </c>
      <c r="D69" s="19" t="s">
        <v>44</v>
      </c>
    </row>
    <row r="70" spans="1:6" x14ac:dyDescent="0.2">
      <c r="A70" s="9" t="s">
        <v>70</v>
      </c>
      <c r="C70" s="40">
        <v>685.11630000000002</v>
      </c>
      <c r="D70" s="40">
        <v>843.95230000000004</v>
      </c>
    </row>
    <row r="71" spans="1:6" x14ac:dyDescent="0.2">
      <c r="A71" s="9" t="s">
        <v>76</v>
      </c>
      <c r="C71" s="40">
        <v>38.662100000000002</v>
      </c>
      <c r="D71" s="40">
        <v>44.6952</v>
      </c>
    </row>
    <row r="72" spans="1:6" x14ac:dyDescent="0.2">
      <c r="A72" s="9" t="s">
        <v>73</v>
      </c>
      <c r="C72" s="40">
        <v>736.947</v>
      </c>
      <c r="D72" s="40">
        <v>911.11040000000003</v>
      </c>
    </row>
    <row r="73" spans="1:6" x14ac:dyDescent="0.2">
      <c r="A73" s="9" t="s">
        <v>77</v>
      </c>
      <c r="C73" s="40">
        <v>42.5809</v>
      </c>
      <c r="D73" s="40">
        <v>49.7072</v>
      </c>
    </row>
    <row r="75" spans="1:6" x14ac:dyDescent="0.2">
      <c r="A75" s="18" t="s">
        <v>47</v>
      </c>
    </row>
    <row r="76" spans="1:6" x14ac:dyDescent="0.2">
      <c r="A76" s="81" t="s">
        <v>67</v>
      </c>
      <c r="B76" s="82"/>
      <c r="C76" s="43" t="s">
        <v>68</v>
      </c>
    </row>
    <row r="77" spans="1:6" x14ac:dyDescent="0.2">
      <c r="A77" s="77" t="s">
        <v>76</v>
      </c>
      <c r="B77" s="78"/>
      <c r="C77" s="44">
        <v>2.75</v>
      </c>
    </row>
    <row r="78" spans="1:6" x14ac:dyDescent="0.2">
      <c r="A78" s="77" t="s">
        <v>77</v>
      </c>
      <c r="B78" s="78"/>
      <c r="C78" s="44">
        <v>2.75</v>
      </c>
    </row>
    <row r="79" spans="1:6" x14ac:dyDescent="0.2">
      <c r="A79" s="9" t="s">
        <v>69</v>
      </c>
    </row>
    <row r="80" spans="1:6" x14ac:dyDescent="0.2">
      <c r="A80" s="9" t="s">
        <v>46</v>
      </c>
    </row>
    <row r="82" spans="1:4" x14ac:dyDescent="0.2">
      <c r="A82" s="18" t="s">
        <v>220</v>
      </c>
      <c r="D82" s="45">
        <v>6.5600000000000006E-2</v>
      </c>
    </row>
    <row r="84" spans="1:4" x14ac:dyDescent="0.2">
      <c r="A84" s="18" t="s">
        <v>734</v>
      </c>
      <c r="D84" s="41" t="s">
        <v>48</v>
      </c>
    </row>
    <row r="85" spans="1:4" x14ac:dyDescent="0.2">
      <c r="A85" s="9" t="s">
        <v>729</v>
      </c>
    </row>
    <row r="86" spans="1:4" x14ac:dyDescent="0.2">
      <c r="A86" s="50" t="s">
        <v>730</v>
      </c>
    </row>
    <row r="88" spans="1:4" x14ac:dyDescent="0.2">
      <c r="A88" s="18" t="s">
        <v>735</v>
      </c>
    </row>
    <row r="89" spans="1:4" x14ac:dyDescent="0.2">
      <c r="A89" s="50" t="s">
        <v>50</v>
      </c>
    </row>
    <row r="91" spans="1:4" x14ac:dyDescent="0.2">
      <c r="A91" s="18" t="s">
        <v>740</v>
      </c>
    </row>
  </sheetData>
  <mergeCells count="4">
    <mergeCell ref="A1:F1"/>
    <mergeCell ref="A76:B76"/>
    <mergeCell ref="A77:B77"/>
    <mergeCell ref="A78:B78"/>
  </mergeCells>
  <conditionalFormatting sqref="F2:F3 F5:F65539">
    <cfRule type="cellIs" dxfId="17" priority="1" stopIfTrue="1" operator="between">
      <formula>0.009</formula>
      <formula>-0.009</formula>
    </cfRule>
  </conditionalFormatting>
  <hyperlinks>
    <hyperlink ref="A89" r:id="rId1" xr:uid="{00000000-0004-0000-2400-000000000000}"/>
    <hyperlink ref="A86" r:id="rId2" xr:uid="{00000000-0004-0000-24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84"/>
  <sheetViews>
    <sheetView workbookViewId="0">
      <selection sqref="A1:F1"/>
    </sheetView>
  </sheetViews>
  <sheetFormatPr defaultColWidth="9.109375" defaultRowHeight="10.199999999999999" x14ac:dyDescent="0.2"/>
  <cols>
    <col min="1" max="1" width="38.6640625" style="9" bestFit="1" customWidth="1"/>
    <col min="2" max="2" width="36.33203125" style="9" bestFit="1" customWidth="1"/>
    <col min="3" max="3" width="24.66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79" t="s">
        <v>17</v>
      </c>
      <c r="B1" s="80"/>
      <c r="C1" s="80"/>
      <c r="D1" s="80"/>
      <c r="E1" s="80"/>
      <c r="F1" s="8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261</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97</v>
      </c>
      <c r="B7" s="27" t="s">
        <v>96</v>
      </c>
      <c r="C7" s="27" t="s">
        <v>98</v>
      </c>
      <c r="D7" s="31">
        <v>1729339</v>
      </c>
      <c r="E7" s="29">
        <v>27337.390909999998</v>
      </c>
      <c r="F7" s="30">
        <v>10.01110580115</v>
      </c>
    </row>
    <row r="8" spans="1:6" x14ac:dyDescent="0.2">
      <c r="A8" s="27" t="s">
        <v>100</v>
      </c>
      <c r="B8" s="27" t="s">
        <v>99</v>
      </c>
      <c r="C8" s="27" t="s">
        <v>101</v>
      </c>
      <c r="D8" s="31">
        <v>1288046</v>
      </c>
      <c r="E8" s="29">
        <v>19293.641029999999</v>
      </c>
      <c r="F8" s="30">
        <v>7.0654395028636001</v>
      </c>
    </row>
    <row r="9" spans="1:6" x14ac:dyDescent="0.2">
      <c r="A9" s="27" t="s">
        <v>103</v>
      </c>
      <c r="B9" s="27" t="s">
        <v>102</v>
      </c>
      <c r="C9" s="27" t="s">
        <v>101</v>
      </c>
      <c r="D9" s="31">
        <v>2494468</v>
      </c>
      <c r="E9" s="29">
        <v>18666.104039999998</v>
      </c>
      <c r="F9" s="30">
        <v>6.8356319392336999</v>
      </c>
    </row>
    <row r="10" spans="1:6" x14ac:dyDescent="0.2">
      <c r="A10" s="27" t="s">
        <v>105</v>
      </c>
      <c r="B10" s="27" t="s">
        <v>104</v>
      </c>
      <c r="C10" s="27" t="s">
        <v>101</v>
      </c>
      <c r="D10" s="31">
        <v>2285871</v>
      </c>
      <c r="E10" s="29">
        <v>14421.56014</v>
      </c>
      <c r="F10" s="30">
        <v>5.2812561686848696</v>
      </c>
    </row>
    <row r="11" spans="1:6" x14ac:dyDescent="0.2">
      <c r="A11" s="27" t="s">
        <v>189</v>
      </c>
      <c r="B11" s="27" t="s">
        <v>188</v>
      </c>
      <c r="C11" s="27" t="s">
        <v>142</v>
      </c>
      <c r="D11" s="31">
        <v>9377483</v>
      </c>
      <c r="E11" s="29">
        <v>11449.90674</v>
      </c>
      <c r="F11" s="30">
        <v>4.1930200348969704</v>
      </c>
    </row>
    <row r="12" spans="1:6" x14ac:dyDescent="0.2">
      <c r="A12" s="27" t="s">
        <v>458</v>
      </c>
      <c r="B12" s="27" t="s">
        <v>457</v>
      </c>
      <c r="C12" s="27" t="s">
        <v>390</v>
      </c>
      <c r="D12" s="31">
        <v>257232</v>
      </c>
      <c r="E12" s="29">
        <v>9311.4125519999998</v>
      </c>
      <c r="F12" s="30">
        <v>3.4098914751271701</v>
      </c>
    </row>
    <row r="13" spans="1:6" x14ac:dyDescent="0.2">
      <c r="A13" s="27" t="s">
        <v>198</v>
      </c>
      <c r="B13" s="27" t="s">
        <v>197</v>
      </c>
      <c r="C13" s="27" t="s">
        <v>199</v>
      </c>
      <c r="D13" s="31">
        <v>6017530</v>
      </c>
      <c r="E13" s="29">
        <v>8511.7961849999992</v>
      </c>
      <c r="F13" s="30">
        <v>3.11706747898495</v>
      </c>
    </row>
    <row r="14" spans="1:6" x14ac:dyDescent="0.2">
      <c r="A14" s="27" t="s">
        <v>110</v>
      </c>
      <c r="B14" s="27" t="s">
        <v>109</v>
      </c>
      <c r="C14" s="27" t="s">
        <v>111</v>
      </c>
      <c r="D14" s="31">
        <v>1433873</v>
      </c>
      <c r="E14" s="29">
        <v>7537.1534250000004</v>
      </c>
      <c r="F14" s="30">
        <v>2.76014783655061</v>
      </c>
    </row>
    <row r="15" spans="1:6" x14ac:dyDescent="0.2">
      <c r="A15" s="27" t="s">
        <v>217</v>
      </c>
      <c r="B15" s="27" t="s">
        <v>216</v>
      </c>
      <c r="C15" s="27" t="s">
        <v>101</v>
      </c>
      <c r="D15" s="31">
        <v>8330054</v>
      </c>
      <c r="E15" s="29">
        <v>7255.4770339999995</v>
      </c>
      <c r="F15" s="30">
        <v>2.6569963631246898</v>
      </c>
    </row>
    <row r="16" spans="1:6" x14ac:dyDescent="0.2">
      <c r="A16" s="27" t="s">
        <v>157</v>
      </c>
      <c r="B16" s="27" t="s">
        <v>156</v>
      </c>
      <c r="C16" s="27" t="s">
        <v>101</v>
      </c>
      <c r="D16" s="31">
        <v>4236879</v>
      </c>
      <c r="E16" s="29">
        <v>7058.6404140000004</v>
      </c>
      <c r="F16" s="30">
        <v>2.5849136894398299</v>
      </c>
    </row>
    <row r="17" spans="1:6" x14ac:dyDescent="0.2">
      <c r="A17" s="27" t="s">
        <v>206</v>
      </c>
      <c r="B17" s="27" t="s">
        <v>205</v>
      </c>
      <c r="C17" s="27" t="s">
        <v>185</v>
      </c>
      <c r="D17" s="31">
        <v>974352</v>
      </c>
      <c r="E17" s="29">
        <v>6658.7215679999999</v>
      </c>
      <c r="F17" s="30">
        <v>2.4384611661408599</v>
      </c>
    </row>
    <row r="18" spans="1:6" x14ac:dyDescent="0.2">
      <c r="A18" s="27" t="s">
        <v>133</v>
      </c>
      <c r="B18" s="27" t="s">
        <v>132</v>
      </c>
      <c r="C18" s="27" t="s">
        <v>131</v>
      </c>
      <c r="D18" s="31">
        <v>1965841</v>
      </c>
      <c r="E18" s="29">
        <v>6554.1138940000001</v>
      </c>
      <c r="F18" s="30">
        <v>2.4001532495048599</v>
      </c>
    </row>
    <row r="19" spans="1:6" x14ac:dyDescent="0.2">
      <c r="A19" s="27" t="s">
        <v>240</v>
      </c>
      <c r="B19" s="27" t="s">
        <v>239</v>
      </c>
      <c r="C19" s="27" t="s">
        <v>241</v>
      </c>
      <c r="D19" s="31">
        <v>3644411</v>
      </c>
      <c r="E19" s="29">
        <v>6487.0515800000003</v>
      </c>
      <c r="F19" s="30">
        <v>2.3755946541753299</v>
      </c>
    </row>
    <row r="20" spans="1:6" x14ac:dyDescent="0.2">
      <c r="A20" s="27" t="s">
        <v>107</v>
      </c>
      <c r="B20" s="27" t="s">
        <v>106</v>
      </c>
      <c r="C20" s="27" t="s">
        <v>108</v>
      </c>
      <c r="D20" s="31">
        <v>282387</v>
      </c>
      <c r="E20" s="29">
        <v>6323.2097039999999</v>
      </c>
      <c r="F20" s="30">
        <v>2.3155948407075799</v>
      </c>
    </row>
    <row r="21" spans="1:6" x14ac:dyDescent="0.2">
      <c r="A21" s="27" t="s">
        <v>155</v>
      </c>
      <c r="B21" s="27" t="s">
        <v>154</v>
      </c>
      <c r="C21" s="27" t="s">
        <v>125</v>
      </c>
      <c r="D21" s="31">
        <v>952564</v>
      </c>
      <c r="E21" s="29">
        <v>6145.9429280000004</v>
      </c>
      <c r="F21" s="30">
        <v>2.25067875360156</v>
      </c>
    </row>
    <row r="22" spans="1:6" x14ac:dyDescent="0.2">
      <c r="A22" s="27" t="s">
        <v>191</v>
      </c>
      <c r="B22" s="27" t="s">
        <v>190</v>
      </c>
      <c r="C22" s="27" t="s">
        <v>192</v>
      </c>
      <c r="D22" s="31">
        <v>399838</v>
      </c>
      <c r="E22" s="29">
        <v>5999.7691089999998</v>
      </c>
      <c r="F22" s="30">
        <v>2.1971490816520798</v>
      </c>
    </row>
    <row r="23" spans="1:6" x14ac:dyDescent="0.2">
      <c r="A23" s="27" t="s">
        <v>203</v>
      </c>
      <c r="B23" s="27" t="s">
        <v>202</v>
      </c>
      <c r="C23" s="27" t="s">
        <v>204</v>
      </c>
      <c r="D23" s="31">
        <v>2493349</v>
      </c>
      <c r="E23" s="29">
        <v>5924.1972239999996</v>
      </c>
      <c r="F23" s="30">
        <v>2.16947423371878</v>
      </c>
    </row>
    <row r="24" spans="1:6" x14ac:dyDescent="0.2">
      <c r="A24" s="27" t="s">
        <v>146</v>
      </c>
      <c r="B24" s="27" t="s">
        <v>145</v>
      </c>
      <c r="C24" s="27" t="s">
        <v>128</v>
      </c>
      <c r="D24" s="31">
        <v>397050</v>
      </c>
      <c r="E24" s="29">
        <v>5742.5341500000004</v>
      </c>
      <c r="F24" s="30">
        <v>2.1029481976400799</v>
      </c>
    </row>
    <row r="25" spans="1:6" x14ac:dyDescent="0.2">
      <c r="A25" s="27" t="s">
        <v>139</v>
      </c>
      <c r="B25" s="27" t="s">
        <v>138</v>
      </c>
      <c r="C25" s="27" t="s">
        <v>128</v>
      </c>
      <c r="D25" s="31">
        <v>210633</v>
      </c>
      <c r="E25" s="29">
        <v>5205.373329</v>
      </c>
      <c r="F25" s="30">
        <v>1.9062368937352001</v>
      </c>
    </row>
    <row r="26" spans="1:6" x14ac:dyDescent="0.2">
      <c r="A26" s="27" t="s">
        <v>542</v>
      </c>
      <c r="B26" s="27" t="s">
        <v>541</v>
      </c>
      <c r="C26" s="27" t="s">
        <v>101</v>
      </c>
      <c r="D26" s="31">
        <v>480528</v>
      </c>
      <c r="E26" s="29">
        <v>4883.8463279999996</v>
      </c>
      <c r="F26" s="30">
        <v>1.7884919035298601</v>
      </c>
    </row>
    <row r="27" spans="1:6" x14ac:dyDescent="0.2">
      <c r="A27" s="27" t="s">
        <v>273</v>
      </c>
      <c r="B27" s="27" t="s">
        <v>272</v>
      </c>
      <c r="C27" s="27" t="s">
        <v>128</v>
      </c>
      <c r="D27" s="31">
        <v>641207</v>
      </c>
      <c r="E27" s="29">
        <v>4837.2656079999997</v>
      </c>
      <c r="F27" s="30">
        <v>1.7714337827403199</v>
      </c>
    </row>
    <row r="28" spans="1:6" x14ac:dyDescent="0.2">
      <c r="A28" s="27" t="s">
        <v>224</v>
      </c>
      <c r="B28" s="27" t="s">
        <v>223</v>
      </c>
      <c r="C28" s="27" t="s">
        <v>142</v>
      </c>
      <c r="D28" s="31">
        <v>18217899</v>
      </c>
      <c r="E28" s="29">
        <v>4773.0895380000002</v>
      </c>
      <c r="F28" s="30">
        <v>1.7479321461435</v>
      </c>
    </row>
    <row r="29" spans="1:6" x14ac:dyDescent="0.2">
      <c r="A29" s="27" t="s">
        <v>284</v>
      </c>
      <c r="B29" s="27" t="s">
        <v>283</v>
      </c>
      <c r="C29" s="27" t="s">
        <v>149</v>
      </c>
      <c r="D29" s="31">
        <v>3769680</v>
      </c>
      <c r="E29" s="29">
        <v>4621.6276799999996</v>
      </c>
      <c r="F29" s="30">
        <v>1.6924659646681399</v>
      </c>
    </row>
    <row r="30" spans="1:6" x14ac:dyDescent="0.2">
      <c r="A30" s="27" t="s">
        <v>470</v>
      </c>
      <c r="B30" s="27" t="s">
        <v>469</v>
      </c>
      <c r="C30" s="27" t="s">
        <v>471</v>
      </c>
      <c r="D30" s="31">
        <v>511291</v>
      </c>
      <c r="E30" s="29">
        <v>4606.2206189999997</v>
      </c>
      <c r="F30" s="30">
        <v>1.68682381255994</v>
      </c>
    </row>
    <row r="31" spans="1:6" x14ac:dyDescent="0.2">
      <c r="A31" s="27" t="s">
        <v>211</v>
      </c>
      <c r="B31" s="27" t="s">
        <v>210</v>
      </c>
      <c r="C31" s="27" t="s">
        <v>122</v>
      </c>
      <c r="D31" s="31">
        <v>3938381</v>
      </c>
      <c r="E31" s="29">
        <v>4249.5130989999998</v>
      </c>
      <c r="F31" s="30">
        <v>1.55619551907932</v>
      </c>
    </row>
    <row r="32" spans="1:6" x14ac:dyDescent="0.2">
      <c r="A32" s="27" t="s">
        <v>113</v>
      </c>
      <c r="B32" s="27" t="s">
        <v>112</v>
      </c>
      <c r="C32" s="27" t="s">
        <v>114</v>
      </c>
      <c r="D32" s="31">
        <v>408797</v>
      </c>
      <c r="E32" s="29">
        <v>4179.7449269999997</v>
      </c>
      <c r="F32" s="30">
        <v>1.53064602338149</v>
      </c>
    </row>
    <row r="33" spans="1:6" x14ac:dyDescent="0.2">
      <c r="A33" s="27" t="s">
        <v>236</v>
      </c>
      <c r="B33" s="27" t="s">
        <v>235</v>
      </c>
      <c r="C33" s="27" t="s">
        <v>149</v>
      </c>
      <c r="D33" s="31">
        <v>2415915</v>
      </c>
      <c r="E33" s="29">
        <v>3749.5000799999998</v>
      </c>
      <c r="F33" s="30">
        <v>1.3730879485126499</v>
      </c>
    </row>
    <row r="34" spans="1:6" x14ac:dyDescent="0.2">
      <c r="A34" s="27" t="s">
        <v>201</v>
      </c>
      <c r="B34" s="27" t="s">
        <v>200</v>
      </c>
      <c r="C34" s="27" t="s">
        <v>185</v>
      </c>
      <c r="D34" s="31">
        <v>560390</v>
      </c>
      <c r="E34" s="29">
        <v>3710.9025799999999</v>
      </c>
      <c r="F34" s="30">
        <v>1.3589533276400201</v>
      </c>
    </row>
    <row r="35" spans="1:6" x14ac:dyDescent="0.2">
      <c r="A35" s="27" t="s">
        <v>124</v>
      </c>
      <c r="B35" s="27" t="s">
        <v>123</v>
      </c>
      <c r="C35" s="27" t="s">
        <v>125</v>
      </c>
      <c r="D35" s="31">
        <v>67295</v>
      </c>
      <c r="E35" s="29">
        <v>3649.4414980000001</v>
      </c>
      <c r="F35" s="30">
        <v>1.3364459348686699</v>
      </c>
    </row>
    <row r="36" spans="1:6" x14ac:dyDescent="0.2">
      <c r="A36" s="27" t="s">
        <v>518</v>
      </c>
      <c r="B36" s="27" t="s">
        <v>517</v>
      </c>
      <c r="C36" s="27" t="s">
        <v>125</v>
      </c>
      <c r="D36" s="31">
        <v>311893</v>
      </c>
      <c r="E36" s="29">
        <v>3583.9624629999998</v>
      </c>
      <c r="F36" s="30">
        <v>1.3124671451845999</v>
      </c>
    </row>
    <row r="37" spans="1:6" x14ac:dyDescent="0.2">
      <c r="A37" s="27" t="s">
        <v>194</v>
      </c>
      <c r="B37" s="27" t="s">
        <v>193</v>
      </c>
      <c r="C37" s="27" t="s">
        <v>128</v>
      </c>
      <c r="D37" s="31">
        <v>602514</v>
      </c>
      <c r="E37" s="29">
        <v>3426.7983749999999</v>
      </c>
      <c r="F37" s="30">
        <v>1.25491277511727</v>
      </c>
    </row>
    <row r="38" spans="1:6" x14ac:dyDescent="0.2">
      <c r="A38" s="27" t="s">
        <v>277</v>
      </c>
      <c r="B38" s="27" t="s">
        <v>276</v>
      </c>
      <c r="C38" s="27" t="s">
        <v>278</v>
      </c>
      <c r="D38" s="31">
        <v>451059</v>
      </c>
      <c r="E38" s="29">
        <v>3264.765042</v>
      </c>
      <c r="F38" s="30">
        <v>1.1955752602345899</v>
      </c>
    </row>
    <row r="39" spans="1:6" x14ac:dyDescent="0.2">
      <c r="A39" s="27" t="s">
        <v>196</v>
      </c>
      <c r="B39" s="27" t="s">
        <v>195</v>
      </c>
      <c r="C39" s="27" t="s">
        <v>98</v>
      </c>
      <c r="D39" s="31">
        <v>283932</v>
      </c>
      <c r="E39" s="29">
        <v>3110.3330940000001</v>
      </c>
      <c r="F39" s="30">
        <v>1.1390214151512901</v>
      </c>
    </row>
    <row r="40" spans="1:6" x14ac:dyDescent="0.2">
      <c r="A40" s="27" t="s">
        <v>475</v>
      </c>
      <c r="B40" s="27" t="s">
        <v>474</v>
      </c>
      <c r="C40" s="27" t="s">
        <v>302</v>
      </c>
      <c r="D40" s="31">
        <v>441969</v>
      </c>
      <c r="E40" s="29">
        <v>3086.4905119999999</v>
      </c>
      <c r="F40" s="30">
        <v>1.13029012796443</v>
      </c>
    </row>
    <row r="41" spans="1:6" x14ac:dyDescent="0.2">
      <c r="A41" s="27" t="s">
        <v>536</v>
      </c>
      <c r="B41" s="27" t="s">
        <v>535</v>
      </c>
      <c r="C41" s="27" t="s">
        <v>204</v>
      </c>
      <c r="D41" s="31">
        <v>90000</v>
      </c>
      <c r="E41" s="29">
        <v>2412.27</v>
      </c>
      <c r="F41" s="30">
        <v>0.88338679687629595</v>
      </c>
    </row>
    <row r="42" spans="1:6" x14ac:dyDescent="0.2">
      <c r="A42" s="27" t="s">
        <v>268</v>
      </c>
      <c r="B42" s="27" t="s">
        <v>267</v>
      </c>
      <c r="C42" s="27" t="s">
        <v>119</v>
      </c>
      <c r="D42" s="31">
        <v>3050843</v>
      </c>
      <c r="E42" s="29">
        <v>2390.3354909999998</v>
      </c>
      <c r="F42" s="30">
        <v>0.87535425671845102</v>
      </c>
    </row>
    <row r="43" spans="1:6" x14ac:dyDescent="0.2">
      <c r="A43" s="27" t="s">
        <v>398</v>
      </c>
      <c r="B43" s="27" t="s">
        <v>397</v>
      </c>
      <c r="C43" s="27" t="s">
        <v>199</v>
      </c>
      <c r="D43" s="31">
        <v>5150797</v>
      </c>
      <c r="E43" s="29">
        <v>2160.7593419999998</v>
      </c>
      <c r="F43" s="30">
        <v>0.79128218398019801</v>
      </c>
    </row>
    <row r="44" spans="1:6" x14ac:dyDescent="0.2">
      <c r="A44" s="27" t="s">
        <v>243</v>
      </c>
      <c r="B44" s="27" t="s">
        <v>242</v>
      </c>
      <c r="C44" s="27" t="s">
        <v>204</v>
      </c>
      <c r="D44" s="31">
        <v>360275</v>
      </c>
      <c r="E44" s="29">
        <v>1872.7094500000001</v>
      </c>
      <c r="F44" s="30">
        <v>0.68579669875904004</v>
      </c>
    </row>
    <row r="45" spans="1:6" x14ac:dyDescent="0.2">
      <c r="A45" s="27" t="s">
        <v>169</v>
      </c>
      <c r="B45" s="27" t="s">
        <v>168</v>
      </c>
      <c r="C45" s="27" t="s">
        <v>128</v>
      </c>
      <c r="D45" s="31">
        <v>312320</v>
      </c>
      <c r="E45" s="29">
        <v>1796.4646399999999</v>
      </c>
      <c r="F45" s="30">
        <v>0.65787542191841197</v>
      </c>
    </row>
    <row r="46" spans="1:6" x14ac:dyDescent="0.2">
      <c r="A46" s="27" t="s">
        <v>148</v>
      </c>
      <c r="B46" s="27" t="s">
        <v>147</v>
      </c>
      <c r="C46" s="27" t="s">
        <v>149</v>
      </c>
      <c r="D46" s="31">
        <v>226570</v>
      </c>
      <c r="E46" s="29">
        <v>1762.0348899999999</v>
      </c>
      <c r="F46" s="30">
        <v>0.64526705445964805</v>
      </c>
    </row>
    <row r="47" spans="1:6" x14ac:dyDescent="0.2">
      <c r="A47" s="27" t="s">
        <v>387</v>
      </c>
      <c r="B47" s="27" t="s">
        <v>386</v>
      </c>
      <c r="C47" s="27" t="s">
        <v>108</v>
      </c>
      <c r="D47" s="31">
        <v>150123</v>
      </c>
      <c r="E47" s="29">
        <v>1754.3373779999999</v>
      </c>
      <c r="F47" s="30">
        <v>0.64244818241398305</v>
      </c>
    </row>
    <row r="48" spans="1:6" x14ac:dyDescent="0.2">
      <c r="A48" s="27" t="s">
        <v>159</v>
      </c>
      <c r="B48" s="27" t="s">
        <v>158</v>
      </c>
      <c r="C48" s="27" t="s">
        <v>160</v>
      </c>
      <c r="D48" s="31">
        <v>805716</v>
      </c>
      <c r="E48" s="29">
        <v>1738.3322700000001</v>
      </c>
      <c r="F48" s="30">
        <v>0.63658702214179996</v>
      </c>
    </row>
    <row r="49" spans="1:9" x14ac:dyDescent="0.2">
      <c r="A49" s="27" t="s">
        <v>256</v>
      </c>
      <c r="B49" s="27" t="s">
        <v>255</v>
      </c>
      <c r="C49" s="27" t="s">
        <v>108</v>
      </c>
      <c r="D49" s="31">
        <v>42129</v>
      </c>
      <c r="E49" s="29">
        <v>1450.7963729999999</v>
      </c>
      <c r="F49" s="30">
        <v>0.53128976477103196</v>
      </c>
    </row>
    <row r="50" spans="1:9" x14ac:dyDescent="0.2">
      <c r="A50" s="27" t="s">
        <v>208</v>
      </c>
      <c r="B50" s="27" t="s">
        <v>207</v>
      </c>
      <c r="C50" s="27" t="s">
        <v>209</v>
      </c>
      <c r="D50" s="31">
        <v>656332</v>
      </c>
      <c r="E50" s="29">
        <v>1221.4338519999999</v>
      </c>
      <c r="F50" s="30">
        <v>0.44729592380395</v>
      </c>
    </row>
    <row r="51" spans="1:9" x14ac:dyDescent="0.2">
      <c r="A51" s="27" t="s">
        <v>258</v>
      </c>
      <c r="B51" s="27" t="s">
        <v>257</v>
      </c>
      <c r="C51" s="27" t="s">
        <v>185</v>
      </c>
      <c r="D51" s="31">
        <v>1113029</v>
      </c>
      <c r="E51" s="29">
        <v>1046.2472600000001</v>
      </c>
      <c r="F51" s="30">
        <v>0.38314161173998001</v>
      </c>
    </row>
    <row r="52" spans="1:9" x14ac:dyDescent="0.2">
      <c r="A52" s="27" t="s">
        <v>282</v>
      </c>
      <c r="B52" s="27" t="s">
        <v>281</v>
      </c>
      <c r="C52" s="27" t="s">
        <v>209</v>
      </c>
      <c r="D52" s="31">
        <v>67110</v>
      </c>
      <c r="E52" s="29">
        <v>1021.5819750000001</v>
      </c>
      <c r="F52" s="30">
        <v>0.37410904610255502</v>
      </c>
    </row>
    <row r="53" spans="1:9" x14ac:dyDescent="0.2">
      <c r="A53" s="27" t="s">
        <v>130</v>
      </c>
      <c r="B53" s="27" t="s">
        <v>129</v>
      </c>
      <c r="C53" s="27" t="s">
        <v>131</v>
      </c>
      <c r="D53" s="31">
        <v>432307</v>
      </c>
      <c r="E53" s="29">
        <v>976.14920600000005</v>
      </c>
      <c r="F53" s="30">
        <v>0.35747131140447802</v>
      </c>
    </row>
    <row r="54" spans="1:9" x14ac:dyDescent="0.2">
      <c r="A54" s="27" t="s">
        <v>121</v>
      </c>
      <c r="B54" s="27" t="s">
        <v>120</v>
      </c>
      <c r="C54" s="27" t="s">
        <v>122</v>
      </c>
      <c r="D54" s="31">
        <v>275067</v>
      </c>
      <c r="E54" s="29">
        <v>806.496444</v>
      </c>
      <c r="F54" s="30">
        <v>0.29534351890844801</v>
      </c>
    </row>
    <row r="55" spans="1:9" x14ac:dyDescent="0.2">
      <c r="A55" s="27" t="s">
        <v>163</v>
      </c>
      <c r="B55" s="27" t="s">
        <v>725</v>
      </c>
      <c r="C55" s="27" t="s">
        <v>160</v>
      </c>
      <c r="D55" s="31">
        <v>94174</v>
      </c>
      <c r="E55" s="29">
        <v>174.50442200000001</v>
      </c>
      <c r="F55" s="30">
        <v>6.3904497585813097E-2</v>
      </c>
    </row>
    <row r="56" spans="1:9" x14ac:dyDescent="0.2">
      <c r="A56" s="26" t="s">
        <v>35</v>
      </c>
      <c r="B56" s="26"/>
      <c r="C56" s="26"/>
      <c r="D56" s="32"/>
      <c r="E56" s="33">
        <f>SUM(E7:E55)</f>
        <v>268201.95039199991</v>
      </c>
      <c r="F56" s="34">
        <f>SUM(F7:F55)</f>
        <v>98.217057739292898</v>
      </c>
      <c r="G56" s="18"/>
      <c r="H56" s="18"/>
      <c r="I56" s="18"/>
    </row>
    <row r="57" spans="1:9" x14ac:dyDescent="0.2">
      <c r="A57" s="27"/>
      <c r="B57" s="27"/>
      <c r="C57" s="27"/>
      <c r="D57" s="28"/>
      <c r="E57" s="29"/>
      <c r="F57" s="30"/>
    </row>
    <row r="58" spans="1:9" x14ac:dyDescent="0.2">
      <c r="A58" s="26" t="s">
        <v>37</v>
      </c>
      <c r="B58" s="26"/>
      <c r="C58" s="26"/>
      <c r="D58" s="32"/>
      <c r="E58" s="33">
        <f>E56</f>
        <v>268201.95039199991</v>
      </c>
      <c r="F58" s="34">
        <f>F56</f>
        <v>98.217057739292898</v>
      </c>
      <c r="G58" s="18"/>
      <c r="H58" s="18"/>
      <c r="I58" s="18"/>
    </row>
    <row r="59" spans="1:9" x14ac:dyDescent="0.2">
      <c r="A59" s="26"/>
      <c r="B59" s="26"/>
      <c r="C59" s="26"/>
      <c r="D59" s="32"/>
      <c r="E59" s="33"/>
      <c r="F59" s="34"/>
      <c r="G59" s="18"/>
      <c r="H59" s="18"/>
      <c r="I59" s="18"/>
    </row>
    <row r="60" spans="1:9" x14ac:dyDescent="0.2">
      <c r="A60" s="26" t="s">
        <v>39</v>
      </c>
      <c r="B60" s="26"/>
      <c r="C60" s="26"/>
      <c r="D60" s="32"/>
      <c r="E60" s="33">
        <f>E62-(E56)</f>
        <v>4868.6918827000773</v>
      </c>
      <c r="F60" s="34">
        <f>F62-(F56)</f>
        <v>1.7829422607071024</v>
      </c>
      <c r="G60" s="18"/>
      <c r="H60" s="18"/>
      <c r="I60" s="18"/>
    </row>
    <row r="61" spans="1:9" x14ac:dyDescent="0.2">
      <c r="A61" s="26"/>
      <c r="B61" s="26"/>
      <c r="C61" s="26"/>
      <c r="D61" s="32"/>
      <c r="E61" s="33"/>
      <c r="F61" s="34"/>
      <c r="G61" s="18"/>
      <c r="H61" s="18"/>
      <c r="I61" s="18"/>
    </row>
    <row r="62" spans="1:9" x14ac:dyDescent="0.2">
      <c r="A62" s="35" t="s">
        <v>38</v>
      </c>
      <c r="B62" s="35"/>
      <c r="C62" s="35"/>
      <c r="D62" s="36"/>
      <c r="E62" s="37">
        <v>273070.64227469999</v>
      </c>
      <c r="F62" s="38">
        <v>100</v>
      </c>
      <c r="G62" s="18"/>
      <c r="H62" s="18"/>
      <c r="I62" s="18"/>
    </row>
    <row r="64" spans="1:9" x14ac:dyDescent="0.2">
      <c r="A64" s="18" t="s">
        <v>726</v>
      </c>
    </row>
    <row r="66" spans="1:4" x14ac:dyDescent="0.2">
      <c r="A66" s="18" t="s">
        <v>41</v>
      </c>
    </row>
    <row r="67" spans="1:4" x14ac:dyDescent="0.2">
      <c r="A67" s="18" t="s">
        <v>42</v>
      </c>
    </row>
    <row r="68" spans="1:4" x14ac:dyDescent="0.2">
      <c r="A68" s="18" t="s">
        <v>43</v>
      </c>
      <c r="B68" s="18"/>
      <c r="C68" s="39" t="s">
        <v>45</v>
      </c>
      <c r="D68" s="19" t="s">
        <v>44</v>
      </c>
    </row>
    <row r="69" spans="1:4" x14ac:dyDescent="0.2">
      <c r="A69" s="9" t="s">
        <v>70</v>
      </c>
      <c r="C69" s="40">
        <v>89.385300000000001</v>
      </c>
      <c r="D69" s="40">
        <v>112.4893</v>
      </c>
    </row>
    <row r="70" spans="1:4" x14ac:dyDescent="0.2">
      <c r="A70" s="9" t="s">
        <v>76</v>
      </c>
      <c r="C70" s="40">
        <v>15.669499999999999</v>
      </c>
      <c r="D70" s="40">
        <v>18.0105</v>
      </c>
    </row>
    <row r="71" spans="1:4" x14ac:dyDescent="0.2">
      <c r="A71" s="9" t="s">
        <v>73</v>
      </c>
      <c r="C71" s="40">
        <v>94.964600000000004</v>
      </c>
      <c r="D71" s="40">
        <v>119.9503</v>
      </c>
    </row>
    <row r="72" spans="1:4" x14ac:dyDescent="0.2">
      <c r="A72" s="9" t="s">
        <v>77</v>
      </c>
      <c r="C72" s="40">
        <v>17.063300000000002</v>
      </c>
      <c r="D72" s="40">
        <v>19.8398</v>
      </c>
    </row>
    <row r="74" spans="1:4" x14ac:dyDescent="0.2">
      <c r="A74" s="18" t="s">
        <v>47</v>
      </c>
    </row>
    <row r="75" spans="1:4" x14ac:dyDescent="0.2">
      <c r="A75" s="81" t="s">
        <v>67</v>
      </c>
      <c r="B75" s="82"/>
      <c r="C75" s="43" t="s">
        <v>68</v>
      </c>
    </row>
    <row r="76" spans="1:4" x14ac:dyDescent="0.2">
      <c r="A76" s="77" t="s">
        <v>76</v>
      </c>
      <c r="B76" s="78"/>
      <c r="C76" s="44">
        <v>1.5</v>
      </c>
    </row>
    <row r="77" spans="1:4" x14ac:dyDescent="0.2">
      <c r="A77" s="77" t="s">
        <v>77</v>
      </c>
      <c r="B77" s="78"/>
      <c r="C77" s="44">
        <v>1.5</v>
      </c>
    </row>
    <row r="78" spans="1:4" x14ac:dyDescent="0.2">
      <c r="A78" s="9" t="s">
        <v>69</v>
      </c>
    </row>
    <row r="79" spans="1:4" x14ac:dyDescent="0.2">
      <c r="A79" s="9" t="s">
        <v>46</v>
      </c>
    </row>
    <row r="81" spans="1:4" x14ac:dyDescent="0.2">
      <c r="A81" s="18" t="s">
        <v>220</v>
      </c>
      <c r="D81" s="45">
        <v>7.8E-2</v>
      </c>
    </row>
    <row r="83" spans="1:4" x14ac:dyDescent="0.2">
      <c r="A83" s="18" t="s">
        <v>94</v>
      </c>
    </row>
    <row r="84" spans="1:4" x14ac:dyDescent="0.2">
      <c r="A84" s="50" t="s">
        <v>50</v>
      </c>
    </row>
  </sheetData>
  <mergeCells count="4">
    <mergeCell ref="A1:F1"/>
    <mergeCell ref="A75:B75"/>
    <mergeCell ref="A76:B76"/>
    <mergeCell ref="A77:B77"/>
  </mergeCells>
  <conditionalFormatting sqref="F2:F3 F5:F65535">
    <cfRule type="cellIs" dxfId="16" priority="1" stopIfTrue="1" operator="between">
      <formula>0.009</formula>
      <formula>-0.009</formula>
    </cfRule>
  </conditionalFormatting>
  <hyperlinks>
    <hyperlink ref="A84" r:id="rId1" xr:uid="{00000000-0004-0000-2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60"/>
  <sheetViews>
    <sheetView workbookViewId="0">
      <selection sqref="A1:F1"/>
    </sheetView>
  </sheetViews>
  <sheetFormatPr defaultColWidth="9.109375" defaultRowHeight="10.199999999999999" x14ac:dyDescent="0.2"/>
  <cols>
    <col min="1" max="1" width="38.6640625" style="9" bestFit="1" customWidth="1"/>
    <col min="2" max="2" width="25.88671875" style="9" bestFit="1" customWidth="1"/>
    <col min="3" max="3" width="24.66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79" t="s">
        <v>18</v>
      </c>
      <c r="B1" s="80"/>
      <c r="C1" s="80"/>
      <c r="D1" s="80"/>
      <c r="E1" s="80"/>
      <c r="F1" s="8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261</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105</v>
      </c>
      <c r="B7" s="27" t="s">
        <v>104</v>
      </c>
      <c r="C7" s="27" t="s">
        <v>101</v>
      </c>
      <c r="D7" s="31">
        <v>9500000</v>
      </c>
      <c r="E7" s="29">
        <v>59935.5</v>
      </c>
      <c r="F7" s="30">
        <v>9.4011229230798001</v>
      </c>
    </row>
    <row r="8" spans="1:6" x14ac:dyDescent="0.2">
      <c r="A8" s="27" t="s">
        <v>135</v>
      </c>
      <c r="B8" s="27" t="s">
        <v>134</v>
      </c>
      <c r="C8" s="27" t="s">
        <v>101</v>
      </c>
      <c r="D8" s="31">
        <v>14000000</v>
      </c>
      <c r="E8" s="29">
        <v>58688</v>
      </c>
      <c r="F8" s="30">
        <v>9.2054475579532493</v>
      </c>
    </row>
    <row r="9" spans="1:6" x14ac:dyDescent="0.2">
      <c r="A9" s="27" t="s">
        <v>103</v>
      </c>
      <c r="B9" s="27" t="s">
        <v>102</v>
      </c>
      <c r="C9" s="27" t="s">
        <v>101</v>
      </c>
      <c r="D9" s="31">
        <v>6000000</v>
      </c>
      <c r="E9" s="29">
        <v>44898</v>
      </c>
      <c r="F9" s="30">
        <v>7.0424308965544098</v>
      </c>
    </row>
    <row r="10" spans="1:6" x14ac:dyDescent="0.2">
      <c r="A10" s="27" t="s">
        <v>97</v>
      </c>
      <c r="B10" s="27" t="s">
        <v>96</v>
      </c>
      <c r="C10" s="27" t="s">
        <v>98</v>
      </c>
      <c r="D10" s="31">
        <v>2300000</v>
      </c>
      <c r="E10" s="29">
        <v>36358.400000000001</v>
      </c>
      <c r="F10" s="30">
        <v>5.7029604772881601</v>
      </c>
    </row>
    <row r="11" spans="1:6" x14ac:dyDescent="0.2">
      <c r="A11" s="27" t="s">
        <v>191</v>
      </c>
      <c r="B11" s="27" t="s">
        <v>190</v>
      </c>
      <c r="C11" s="27" t="s">
        <v>192</v>
      </c>
      <c r="D11" s="31">
        <v>2000000</v>
      </c>
      <c r="E11" s="29">
        <v>30011</v>
      </c>
      <c r="F11" s="30">
        <v>4.70734539704429</v>
      </c>
    </row>
    <row r="12" spans="1:6" x14ac:dyDescent="0.2">
      <c r="A12" s="27" t="s">
        <v>110</v>
      </c>
      <c r="B12" s="27" t="s">
        <v>109</v>
      </c>
      <c r="C12" s="27" t="s">
        <v>111</v>
      </c>
      <c r="D12" s="31">
        <v>5500000</v>
      </c>
      <c r="E12" s="29">
        <v>28910.75</v>
      </c>
      <c r="F12" s="30">
        <v>4.5347667834326799</v>
      </c>
    </row>
    <row r="13" spans="1:6" x14ac:dyDescent="0.2">
      <c r="A13" s="27" t="s">
        <v>100</v>
      </c>
      <c r="B13" s="27" t="s">
        <v>99</v>
      </c>
      <c r="C13" s="27" t="s">
        <v>101</v>
      </c>
      <c r="D13" s="31">
        <v>1900000</v>
      </c>
      <c r="E13" s="29">
        <v>28460.1</v>
      </c>
      <c r="F13" s="30">
        <v>4.46408052828696</v>
      </c>
    </row>
    <row r="14" spans="1:6" x14ac:dyDescent="0.2">
      <c r="A14" s="27" t="s">
        <v>144</v>
      </c>
      <c r="B14" s="27" t="s">
        <v>143</v>
      </c>
      <c r="C14" s="27" t="s">
        <v>142</v>
      </c>
      <c r="D14" s="31">
        <v>23503715</v>
      </c>
      <c r="E14" s="29">
        <v>27358.324260000001</v>
      </c>
      <c r="F14" s="30">
        <v>4.2912625962532402</v>
      </c>
    </row>
    <row r="15" spans="1:6" x14ac:dyDescent="0.2">
      <c r="A15" s="27" t="s">
        <v>514</v>
      </c>
      <c r="B15" s="27" t="s">
        <v>513</v>
      </c>
      <c r="C15" s="27" t="s">
        <v>125</v>
      </c>
      <c r="D15" s="31">
        <v>2450000</v>
      </c>
      <c r="E15" s="29">
        <v>23811.55</v>
      </c>
      <c r="F15" s="30">
        <v>3.7349368661154201</v>
      </c>
    </row>
    <row r="16" spans="1:6" x14ac:dyDescent="0.2">
      <c r="A16" s="27" t="s">
        <v>153</v>
      </c>
      <c r="B16" s="27" t="s">
        <v>152</v>
      </c>
      <c r="C16" s="27" t="s">
        <v>122</v>
      </c>
      <c r="D16" s="31">
        <v>4700000</v>
      </c>
      <c r="E16" s="29">
        <v>22000.7</v>
      </c>
      <c r="F16" s="30">
        <v>3.4508978000317301</v>
      </c>
    </row>
    <row r="17" spans="1:6" x14ac:dyDescent="0.2">
      <c r="A17" s="27" t="s">
        <v>254</v>
      </c>
      <c r="B17" s="27" t="s">
        <v>253</v>
      </c>
      <c r="C17" s="27" t="s">
        <v>172</v>
      </c>
      <c r="D17" s="31">
        <v>1000000</v>
      </c>
      <c r="E17" s="29">
        <v>20148</v>
      </c>
      <c r="F17" s="30">
        <v>3.16029439404379</v>
      </c>
    </row>
    <row r="18" spans="1:6" x14ac:dyDescent="0.2">
      <c r="A18" s="27" t="s">
        <v>213</v>
      </c>
      <c r="B18" s="27" t="s">
        <v>212</v>
      </c>
      <c r="C18" s="27" t="s">
        <v>131</v>
      </c>
      <c r="D18" s="31">
        <v>12000000</v>
      </c>
      <c r="E18" s="29">
        <v>17958</v>
      </c>
      <c r="F18" s="30">
        <v>2.8167841338216402</v>
      </c>
    </row>
    <row r="19" spans="1:6" x14ac:dyDescent="0.2">
      <c r="A19" s="27" t="s">
        <v>217</v>
      </c>
      <c r="B19" s="27" t="s">
        <v>216</v>
      </c>
      <c r="C19" s="27" t="s">
        <v>101</v>
      </c>
      <c r="D19" s="31">
        <v>20000000</v>
      </c>
      <c r="E19" s="29">
        <v>17420</v>
      </c>
      <c r="F19" s="30">
        <v>2.73239668176707</v>
      </c>
    </row>
    <row r="20" spans="1:6" x14ac:dyDescent="0.2">
      <c r="A20" s="27" t="s">
        <v>211</v>
      </c>
      <c r="B20" s="27" t="s">
        <v>210</v>
      </c>
      <c r="C20" s="27" t="s">
        <v>122</v>
      </c>
      <c r="D20" s="31">
        <v>16000000</v>
      </c>
      <c r="E20" s="29">
        <v>17264</v>
      </c>
      <c r="F20" s="30">
        <v>2.7079274577512402</v>
      </c>
    </row>
    <row r="21" spans="1:6" x14ac:dyDescent="0.2">
      <c r="A21" s="27" t="s">
        <v>518</v>
      </c>
      <c r="B21" s="27" t="s">
        <v>517</v>
      </c>
      <c r="C21" s="27" t="s">
        <v>125</v>
      </c>
      <c r="D21" s="31">
        <v>1400000</v>
      </c>
      <c r="E21" s="29">
        <v>16087.4</v>
      </c>
      <c r="F21" s="30">
        <v>2.5233730412318902</v>
      </c>
    </row>
    <row r="22" spans="1:6" x14ac:dyDescent="0.2">
      <c r="A22" s="27" t="s">
        <v>520</v>
      </c>
      <c r="B22" s="27" t="s">
        <v>519</v>
      </c>
      <c r="C22" s="27" t="s">
        <v>302</v>
      </c>
      <c r="D22" s="31">
        <v>900000</v>
      </c>
      <c r="E22" s="29">
        <v>15452.55</v>
      </c>
      <c r="F22" s="30">
        <v>2.42379427926749</v>
      </c>
    </row>
    <row r="23" spans="1:6" x14ac:dyDescent="0.2">
      <c r="A23" s="27" t="s">
        <v>252</v>
      </c>
      <c r="B23" s="27" t="s">
        <v>251</v>
      </c>
      <c r="C23" s="27" t="s">
        <v>128</v>
      </c>
      <c r="D23" s="31">
        <v>2200000</v>
      </c>
      <c r="E23" s="29">
        <v>14556.3</v>
      </c>
      <c r="F23" s="30">
        <v>2.2832138816765801</v>
      </c>
    </row>
    <row r="24" spans="1:6" x14ac:dyDescent="0.2">
      <c r="A24" s="27" t="s">
        <v>544</v>
      </c>
      <c r="B24" s="27" t="s">
        <v>543</v>
      </c>
      <c r="C24" s="27" t="s">
        <v>172</v>
      </c>
      <c r="D24" s="31">
        <v>200000</v>
      </c>
      <c r="E24" s="29">
        <v>13552</v>
      </c>
      <c r="F24" s="30">
        <v>2.1256854093747002</v>
      </c>
    </row>
    <row r="25" spans="1:6" x14ac:dyDescent="0.2">
      <c r="A25" s="27" t="s">
        <v>546</v>
      </c>
      <c r="B25" s="27" t="s">
        <v>545</v>
      </c>
      <c r="C25" s="27" t="s">
        <v>547</v>
      </c>
      <c r="D25" s="31">
        <v>1325000</v>
      </c>
      <c r="E25" s="29">
        <v>13357.987499999999</v>
      </c>
      <c r="F25" s="30">
        <v>2.09525377268002</v>
      </c>
    </row>
    <row r="26" spans="1:6" x14ac:dyDescent="0.2">
      <c r="A26" s="27" t="s">
        <v>458</v>
      </c>
      <c r="B26" s="27" t="s">
        <v>457</v>
      </c>
      <c r="C26" s="27" t="s">
        <v>390</v>
      </c>
      <c r="D26" s="31">
        <v>350000</v>
      </c>
      <c r="E26" s="29">
        <v>12669.475</v>
      </c>
      <c r="F26" s="30">
        <v>1.98725783293518</v>
      </c>
    </row>
    <row r="27" spans="1:6" x14ac:dyDescent="0.2">
      <c r="A27" s="27" t="s">
        <v>151</v>
      </c>
      <c r="B27" s="27" t="s">
        <v>150</v>
      </c>
      <c r="C27" s="27" t="s">
        <v>149</v>
      </c>
      <c r="D27" s="31">
        <v>300000</v>
      </c>
      <c r="E27" s="29">
        <v>12401.55</v>
      </c>
      <c r="F27" s="30">
        <v>1.9452327249579999</v>
      </c>
    </row>
    <row r="28" spans="1:6" x14ac:dyDescent="0.2">
      <c r="A28" s="27" t="s">
        <v>171</v>
      </c>
      <c r="B28" s="27" t="s">
        <v>170</v>
      </c>
      <c r="C28" s="27" t="s">
        <v>172</v>
      </c>
      <c r="D28" s="31">
        <v>750000</v>
      </c>
      <c r="E28" s="29">
        <v>11240.625</v>
      </c>
      <c r="F28" s="30">
        <v>1.76313699489024</v>
      </c>
    </row>
    <row r="29" spans="1:6" x14ac:dyDescent="0.2">
      <c r="A29" s="27" t="s">
        <v>124</v>
      </c>
      <c r="B29" s="27" t="s">
        <v>123</v>
      </c>
      <c r="C29" s="27" t="s">
        <v>125</v>
      </c>
      <c r="D29" s="31">
        <v>200000</v>
      </c>
      <c r="E29" s="29">
        <v>10846.1</v>
      </c>
      <c r="F29" s="30">
        <v>1.70125417050022</v>
      </c>
    </row>
    <row r="30" spans="1:6" x14ac:dyDescent="0.2">
      <c r="A30" s="27" t="s">
        <v>141</v>
      </c>
      <c r="B30" s="27" t="s">
        <v>140</v>
      </c>
      <c r="C30" s="27" t="s">
        <v>142</v>
      </c>
      <c r="D30" s="31">
        <v>4500000</v>
      </c>
      <c r="E30" s="29">
        <v>10458</v>
      </c>
      <c r="F30" s="30">
        <v>1.6403791330608499</v>
      </c>
    </row>
    <row r="31" spans="1:6" x14ac:dyDescent="0.2">
      <c r="A31" s="27" t="s">
        <v>549</v>
      </c>
      <c r="B31" s="27" t="s">
        <v>548</v>
      </c>
      <c r="C31" s="27" t="s">
        <v>172</v>
      </c>
      <c r="D31" s="31">
        <v>2000000</v>
      </c>
      <c r="E31" s="29">
        <v>6813</v>
      </c>
      <c r="F31" s="30">
        <v>1.0686463026910999</v>
      </c>
    </row>
    <row r="32" spans="1:6" x14ac:dyDescent="0.2">
      <c r="A32" s="27" t="s">
        <v>118</v>
      </c>
      <c r="B32" s="27" t="s">
        <v>117</v>
      </c>
      <c r="C32" s="27" t="s">
        <v>119</v>
      </c>
      <c r="D32" s="31">
        <v>1500000</v>
      </c>
      <c r="E32" s="29">
        <v>5580.75</v>
      </c>
      <c r="F32" s="30">
        <v>0.875362961066106</v>
      </c>
    </row>
    <row r="33" spans="1:9" x14ac:dyDescent="0.2">
      <c r="A33" s="26" t="s">
        <v>35</v>
      </c>
      <c r="B33" s="26"/>
      <c r="C33" s="26"/>
      <c r="D33" s="32"/>
      <c r="E33" s="33">
        <f>SUM(E7:E32)</f>
        <v>576238.06175999995</v>
      </c>
      <c r="F33" s="34">
        <f>SUM(F7:F32)</f>
        <v>90.385244997756061</v>
      </c>
      <c r="G33" s="18"/>
      <c r="H33" s="18"/>
      <c r="I33" s="18"/>
    </row>
    <row r="34" spans="1:9" x14ac:dyDescent="0.2">
      <c r="A34" s="27"/>
      <c r="B34" s="27"/>
      <c r="C34" s="27"/>
      <c r="D34" s="28"/>
      <c r="E34" s="29"/>
      <c r="F34" s="30"/>
    </row>
    <row r="35" spans="1:9" x14ac:dyDescent="0.2">
      <c r="A35" s="26" t="s">
        <v>37</v>
      </c>
      <c r="B35" s="26"/>
      <c r="C35" s="26"/>
      <c r="D35" s="32"/>
      <c r="E35" s="33">
        <f>E33</f>
        <v>576238.06175999995</v>
      </c>
      <c r="F35" s="34">
        <f>F33</f>
        <v>90.385244997756061</v>
      </c>
      <c r="G35" s="18"/>
      <c r="H35" s="18"/>
      <c r="I35" s="18"/>
    </row>
    <row r="36" spans="1:9" x14ac:dyDescent="0.2">
      <c r="A36" s="26"/>
      <c r="B36" s="26"/>
      <c r="C36" s="26"/>
      <c r="D36" s="32"/>
      <c r="E36" s="33"/>
      <c r="F36" s="34"/>
      <c r="G36" s="18"/>
      <c r="H36" s="18"/>
      <c r="I36" s="18"/>
    </row>
    <row r="37" spans="1:9" x14ac:dyDescent="0.2">
      <c r="A37" s="26" t="s">
        <v>39</v>
      </c>
      <c r="B37" s="26"/>
      <c r="C37" s="26"/>
      <c r="D37" s="32"/>
      <c r="E37" s="33">
        <f>E39-(E33)</f>
        <v>61297.480434200028</v>
      </c>
      <c r="F37" s="34">
        <f>F39-(F33)</f>
        <v>9.614755002243939</v>
      </c>
      <c r="G37" s="18"/>
      <c r="H37" s="18"/>
      <c r="I37" s="18"/>
    </row>
    <row r="38" spans="1:9" x14ac:dyDescent="0.2">
      <c r="A38" s="26"/>
      <c r="B38" s="26"/>
      <c r="C38" s="26"/>
      <c r="D38" s="32"/>
      <c r="E38" s="33"/>
      <c r="F38" s="34"/>
      <c r="G38" s="18"/>
      <c r="H38" s="18"/>
      <c r="I38" s="18"/>
    </row>
    <row r="39" spans="1:9" x14ac:dyDescent="0.2">
      <c r="A39" s="35" t="s">
        <v>38</v>
      </c>
      <c r="B39" s="35"/>
      <c r="C39" s="35"/>
      <c r="D39" s="36"/>
      <c r="E39" s="37">
        <v>637535.54219419998</v>
      </c>
      <c r="F39" s="38">
        <v>100</v>
      </c>
      <c r="G39" s="18"/>
      <c r="H39" s="18"/>
      <c r="I39" s="18"/>
    </row>
    <row r="42" spans="1:9" x14ac:dyDescent="0.2">
      <c r="A42" s="18" t="s">
        <v>41</v>
      </c>
    </row>
    <row r="43" spans="1:9" x14ac:dyDescent="0.2">
      <c r="A43" s="18" t="s">
        <v>42</v>
      </c>
    </row>
    <row r="44" spans="1:9" x14ac:dyDescent="0.2">
      <c r="A44" s="18" t="s">
        <v>43</v>
      </c>
      <c r="B44" s="18"/>
      <c r="C44" s="39" t="s">
        <v>45</v>
      </c>
      <c r="D44" s="19" t="s">
        <v>44</v>
      </c>
    </row>
    <row r="45" spans="1:9" x14ac:dyDescent="0.2">
      <c r="A45" s="9" t="s">
        <v>70</v>
      </c>
      <c r="C45" s="40">
        <v>534.83879999999999</v>
      </c>
      <c r="D45" s="40">
        <v>652.14829999999995</v>
      </c>
    </row>
    <row r="46" spans="1:9" x14ac:dyDescent="0.2">
      <c r="A46" s="9" t="s">
        <v>76</v>
      </c>
      <c r="C46" s="40">
        <v>39.394100000000002</v>
      </c>
      <c r="D46" s="40">
        <v>43.951999999999998</v>
      </c>
    </row>
    <row r="47" spans="1:9" x14ac:dyDescent="0.2">
      <c r="A47" s="9" t="s">
        <v>73</v>
      </c>
      <c r="C47" s="40">
        <v>571.14980000000003</v>
      </c>
      <c r="D47" s="40">
        <v>698.93899999999996</v>
      </c>
    </row>
    <row r="48" spans="1:9" x14ac:dyDescent="0.2">
      <c r="A48" s="9" t="s">
        <v>77</v>
      </c>
      <c r="C48" s="40">
        <v>43.245199999999997</v>
      </c>
      <c r="D48" s="40">
        <v>48.824800000000003</v>
      </c>
    </row>
    <row r="50" spans="1:4" x14ac:dyDescent="0.2">
      <c r="A50" s="18" t="s">
        <v>47</v>
      </c>
    </row>
    <row r="51" spans="1:4" x14ac:dyDescent="0.2">
      <c r="A51" s="81" t="s">
        <v>67</v>
      </c>
      <c r="B51" s="82"/>
      <c r="C51" s="43" t="s">
        <v>68</v>
      </c>
    </row>
    <row r="52" spans="1:4" x14ac:dyDescent="0.2">
      <c r="A52" s="77" t="s">
        <v>76</v>
      </c>
      <c r="B52" s="78"/>
      <c r="C52" s="44">
        <v>3.5</v>
      </c>
    </row>
    <row r="53" spans="1:4" x14ac:dyDescent="0.2">
      <c r="A53" s="77" t="s">
        <v>77</v>
      </c>
      <c r="B53" s="78"/>
      <c r="C53" s="44">
        <v>3.5</v>
      </c>
    </row>
    <row r="54" spans="1:4" x14ac:dyDescent="0.2">
      <c r="A54" s="9" t="s">
        <v>69</v>
      </c>
    </row>
    <row r="55" spans="1:4" x14ac:dyDescent="0.2">
      <c r="A55" s="9" t="s">
        <v>46</v>
      </c>
    </row>
    <row r="57" spans="1:4" x14ac:dyDescent="0.2">
      <c r="A57" s="18" t="s">
        <v>220</v>
      </c>
      <c r="D57" s="45">
        <v>8.9599999999999999E-2</v>
      </c>
    </row>
    <row r="59" spans="1:4" x14ac:dyDescent="0.2">
      <c r="A59" s="18" t="s">
        <v>94</v>
      </c>
    </row>
    <row r="60" spans="1:4" x14ac:dyDescent="0.2">
      <c r="A60" s="50" t="s">
        <v>50</v>
      </c>
    </row>
  </sheetData>
  <mergeCells count="4">
    <mergeCell ref="A1:F1"/>
    <mergeCell ref="A51:B51"/>
    <mergeCell ref="A52:B52"/>
    <mergeCell ref="A53:B53"/>
  </mergeCells>
  <conditionalFormatting sqref="F2:F3 F5:F65534">
    <cfRule type="cellIs" dxfId="15" priority="1" stopIfTrue="1" operator="between">
      <formula>0.009</formula>
      <formula>-0.009</formula>
    </cfRule>
  </conditionalFormatting>
  <hyperlinks>
    <hyperlink ref="A60" r:id="rId1" xr:uid="{00000000-0004-0000-2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60"/>
  <sheetViews>
    <sheetView workbookViewId="0">
      <selection sqref="A1:F1"/>
    </sheetView>
  </sheetViews>
  <sheetFormatPr defaultColWidth="9.109375" defaultRowHeight="10.199999999999999" x14ac:dyDescent="0.2"/>
  <cols>
    <col min="1" max="1" width="38.6640625" style="9" bestFit="1" customWidth="1"/>
    <col min="2" max="2" width="25.88671875" style="9" bestFit="1" customWidth="1"/>
    <col min="3" max="3" width="24.66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79" t="s">
        <v>19</v>
      </c>
      <c r="B1" s="80"/>
      <c r="C1" s="80"/>
      <c r="D1" s="80"/>
      <c r="E1" s="80"/>
      <c r="F1" s="8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261</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135</v>
      </c>
      <c r="B7" s="27" t="s">
        <v>134</v>
      </c>
      <c r="C7" s="27" t="s">
        <v>101</v>
      </c>
      <c r="D7" s="31">
        <v>2500000</v>
      </c>
      <c r="E7" s="29">
        <v>10480</v>
      </c>
      <c r="F7" s="30">
        <v>10.1524508441608</v>
      </c>
    </row>
    <row r="8" spans="1:6" x14ac:dyDescent="0.2">
      <c r="A8" s="27" t="s">
        <v>105</v>
      </c>
      <c r="B8" s="27" t="s">
        <v>104</v>
      </c>
      <c r="C8" s="27" t="s">
        <v>101</v>
      </c>
      <c r="D8" s="31">
        <v>1500000</v>
      </c>
      <c r="E8" s="29">
        <v>9463.5</v>
      </c>
      <c r="F8" s="30">
        <v>9.1677212369957601</v>
      </c>
    </row>
    <row r="9" spans="1:6" x14ac:dyDescent="0.2">
      <c r="A9" s="27" t="s">
        <v>103</v>
      </c>
      <c r="B9" s="27" t="s">
        <v>102</v>
      </c>
      <c r="C9" s="27" t="s">
        <v>101</v>
      </c>
      <c r="D9" s="31">
        <v>1100000</v>
      </c>
      <c r="E9" s="29">
        <v>8231.2999999999993</v>
      </c>
      <c r="F9" s="30">
        <v>7.9740332665592204</v>
      </c>
    </row>
    <row r="10" spans="1:6" x14ac:dyDescent="0.2">
      <c r="A10" s="27" t="s">
        <v>144</v>
      </c>
      <c r="B10" s="27" t="s">
        <v>143</v>
      </c>
      <c r="C10" s="27" t="s">
        <v>142</v>
      </c>
      <c r="D10" s="31">
        <v>4600000</v>
      </c>
      <c r="E10" s="29">
        <v>5354.4</v>
      </c>
      <c r="F10" s="30">
        <v>5.1870498854937503</v>
      </c>
    </row>
    <row r="11" spans="1:6" x14ac:dyDescent="0.2">
      <c r="A11" s="27" t="s">
        <v>110</v>
      </c>
      <c r="B11" s="27" t="s">
        <v>109</v>
      </c>
      <c r="C11" s="27" t="s">
        <v>111</v>
      </c>
      <c r="D11" s="31">
        <v>1000000</v>
      </c>
      <c r="E11" s="29">
        <v>5256.5</v>
      </c>
      <c r="F11" s="30">
        <v>5.09220971968809</v>
      </c>
    </row>
    <row r="12" spans="1:6" x14ac:dyDescent="0.2">
      <c r="A12" s="27" t="s">
        <v>211</v>
      </c>
      <c r="B12" s="27" t="s">
        <v>210</v>
      </c>
      <c r="C12" s="27" t="s">
        <v>122</v>
      </c>
      <c r="D12" s="31">
        <v>4500000</v>
      </c>
      <c r="E12" s="29">
        <v>4855.5</v>
      </c>
      <c r="F12" s="30">
        <v>4.7037428505556003</v>
      </c>
    </row>
    <row r="13" spans="1:6" x14ac:dyDescent="0.2">
      <c r="A13" s="27" t="s">
        <v>153</v>
      </c>
      <c r="B13" s="27" t="s">
        <v>152</v>
      </c>
      <c r="C13" s="27" t="s">
        <v>122</v>
      </c>
      <c r="D13" s="31">
        <v>1000000</v>
      </c>
      <c r="E13" s="29">
        <v>4681</v>
      </c>
      <c r="F13" s="30">
        <v>4.5346967940378402</v>
      </c>
    </row>
    <row r="14" spans="1:6" x14ac:dyDescent="0.2">
      <c r="A14" s="27" t="s">
        <v>516</v>
      </c>
      <c r="B14" s="27" t="s">
        <v>515</v>
      </c>
      <c r="C14" s="27" t="s">
        <v>204</v>
      </c>
      <c r="D14" s="31">
        <v>675000</v>
      </c>
      <c r="E14" s="29">
        <v>4680.7875000000004</v>
      </c>
      <c r="F14" s="30">
        <v>4.5344909356595604</v>
      </c>
    </row>
    <row r="15" spans="1:6" x14ac:dyDescent="0.2">
      <c r="A15" s="27" t="s">
        <v>405</v>
      </c>
      <c r="B15" s="27" t="s">
        <v>404</v>
      </c>
      <c r="C15" s="27" t="s">
        <v>172</v>
      </c>
      <c r="D15" s="31">
        <v>767378</v>
      </c>
      <c r="E15" s="29">
        <v>4431.2242610000003</v>
      </c>
      <c r="F15" s="30">
        <v>4.2927277184403803</v>
      </c>
    </row>
    <row r="16" spans="1:6" x14ac:dyDescent="0.2">
      <c r="A16" s="27" t="s">
        <v>213</v>
      </c>
      <c r="B16" s="27" t="s">
        <v>212</v>
      </c>
      <c r="C16" s="27" t="s">
        <v>131</v>
      </c>
      <c r="D16" s="31">
        <v>2400000</v>
      </c>
      <c r="E16" s="29">
        <v>3591.6</v>
      </c>
      <c r="F16" s="30">
        <v>3.4793456538060901</v>
      </c>
    </row>
    <row r="17" spans="1:6" x14ac:dyDescent="0.2">
      <c r="A17" s="27" t="s">
        <v>191</v>
      </c>
      <c r="B17" s="27" t="s">
        <v>190</v>
      </c>
      <c r="C17" s="27" t="s">
        <v>192</v>
      </c>
      <c r="D17" s="31">
        <v>235000</v>
      </c>
      <c r="E17" s="29">
        <v>3526.2925</v>
      </c>
      <c r="F17" s="30">
        <v>3.4160793195021801</v>
      </c>
    </row>
    <row r="18" spans="1:6" x14ac:dyDescent="0.2">
      <c r="A18" s="27" t="s">
        <v>254</v>
      </c>
      <c r="B18" s="27" t="s">
        <v>253</v>
      </c>
      <c r="C18" s="27" t="s">
        <v>172</v>
      </c>
      <c r="D18" s="31">
        <v>175000</v>
      </c>
      <c r="E18" s="29">
        <v>3525.9</v>
      </c>
      <c r="F18" s="30">
        <v>3.4156990869681798</v>
      </c>
    </row>
    <row r="19" spans="1:6" x14ac:dyDescent="0.2">
      <c r="A19" s="27" t="s">
        <v>379</v>
      </c>
      <c r="B19" s="27" t="s">
        <v>378</v>
      </c>
      <c r="C19" s="27" t="s">
        <v>358</v>
      </c>
      <c r="D19" s="31">
        <v>700000</v>
      </c>
      <c r="E19" s="29">
        <v>3297.35</v>
      </c>
      <c r="F19" s="30">
        <v>3.19429234646885</v>
      </c>
    </row>
    <row r="20" spans="1:6" x14ac:dyDescent="0.2">
      <c r="A20" s="27" t="s">
        <v>526</v>
      </c>
      <c r="B20" s="27" t="s">
        <v>525</v>
      </c>
      <c r="C20" s="27" t="s">
        <v>114</v>
      </c>
      <c r="D20" s="31">
        <v>500000</v>
      </c>
      <c r="E20" s="29">
        <v>3071.75</v>
      </c>
      <c r="F20" s="30">
        <v>2.9757434046327198</v>
      </c>
    </row>
    <row r="21" spans="1:6" x14ac:dyDescent="0.2">
      <c r="A21" s="27" t="s">
        <v>520</v>
      </c>
      <c r="B21" s="27" t="s">
        <v>519</v>
      </c>
      <c r="C21" s="27" t="s">
        <v>302</v>
      </c>
      <c r="D21" s="31">
        <v>175000</v>
      </c>
      <c r="E21" s="29">
        <v>3004.6624999999999</v>
      </c>
      <c r="F21" s="30">
        <v>2.9107527036777898</v>
      </c>
    </row>
    <row r="22" spans="1:6" x14ac:dyDescent="0.2">
      <c r="A22" s="27" t="s">
        <v>243</v>
      </c>
      <c r="B22" s="27" t="s">
        <v>242</v>
      </c>
      <c r="C22" s="27" t="s">
        <v>204</v>
      </c>
      <c r="D22" s="31">
        <v>525000</v>
      </c>
      <c r="E22" s="29">
        <v>2728.95</v>
      </c>
      <c r="F22" s="30">
        <v>2.6436575125164699</v>
      </c>
    </row>
    <row r="23" spans="1:6" x14ac:dyDescent="0.2">
      <c r="A23" s="27" t="s">
        <v>551</v>
      </c>
      <c r="B23" s="27" t="s">
        <v>550</v>
      </c>
      <c r="C23" s="27" t="s">
        <v>358</v>
      </c>
      <c r="D23" s="31">
        <v>2233265</v>
      </c>
      <c r="E23" s="29">
        <v>1937.3573879999999</v>
      </c>
      <c r="F23" s="30">
        <v>1.8768058825612299</v>
      </c>
    </row>
    <row r="24" spans="1:6" x14ac:dyDescent="0.2">
      <c r="A24" s="27" t="s">
        <v>524</v>
      </c>
      <c r="B24" s="27" t="s">
        <v>523</v>
      </c>
      <c r="C24" s="27" t="s">
        <v>358</v>
      </c>
      <c r="D24" s="31">
        <v>2100000</v>
      </c>
      <c r="E24" s="29">
        <v>1717.8</v>
      </c>
      <c r="F24" s="30">
        <v>1.6641106927575799</v>
      </c>
    </row>
    <row r="25" spans="1:6" x14ac:dyDescent="0.2">
      <c r="A25" s="27" t="s">
        <v>553</v>
      </c>
      <c r="B25" s="27" t="s">
        <v>552</v>
      </c>
      <c r="C25" s="27" t="s">
        <v>302</v>
      </c>
      <c r="D25" s="31">
        <v>1500000</v>
      </c>
      <c r="E25" s="29">
        <v>1691.25</v>
      </c>
      <c r="F25" s="30">
        <v>1.6383905047888301</v>
      </c>
    </row>
    <row r="26" spans="1:6" x14ac:dyDescent="0.2">
      <c r="A26" s="27" t="s">
        <v>411</v>
      </c>
      <c r="B26" s="27" t="s">
        <v>410</v>
      </c>
      <c r="C26" s="27" t="s">
        <v>204</v>
      </c>
      <c r="D26" s="31">
        <v>250000</v>
      </c>
      <c r="E26" s="29">
        <v>1687.5</v>
      </c>
      <c r="F26" s="30">
        <v>1.63475770987799</v>
      </c>
    </row>
    <row r="27" spans="1:6" x14ac:dyDescent="0.2">
      <c r="A27" s="27" t="s">
        <v>555</v>
      </c>
      <c r="B27" s="27" t="s">
        <v>554</v>
      </c>
      <c r="C27" s="27" t="s">
        <v>204</v>
      </c>
      <c r="D27" s="31">
        <v>1200000</v>
      </c>
      <c r="E27" s="29">
        <v>1681.8</v>
      </c>
      <c r="F27" s="30">
        <v>1.6292358616135101</v>
      </c>
    </row>
    <row r="28" spans="1:6" x14ac:dyDescent="0.2">
      <c r="A28" s="27" t="s">
        <v>286</v>
      </c>
      <c r="B28" s="27" t="s">
        <v>285</v>
      </c>
      <c r="C28" s="27" t="s">
        <v>287</v>
      </c>
      <c r="D28" s="31">
        <v>1400000</v>
      </c>
      <c r="E28" s="29">
        <v>1647.8</v>
      </c>
      <c r="F28" s="30">
        <v>1.5962985210885601</v>
      </c>
    </row>
    <row r="29" spans="1:6" x14ac:dyDescent="0.2">
      <c r="A29" s="27" t="s">
        <v>475</v>
      </c>
      <c r="B29" s="27" t="s">
        <v>474</v>
      </c>
      <c r="C29" s="27" t="s">
        <v>302</v>
      </c>
      <c r="D29" s="31">
        <v>200000</v>
      </c>
      <c r="E29" s="29">
        <v>1396.7</v>
      </c>
      <c r="F29" s="30">
        <v>1.3530465738587201</v>
      </c>
    </row>
    <row r="30" spans="1:6" x14ac:dyDescent="0.2">
      <c r="A30" s="27" t="s">
        <v>141</v>
      </c>
      <c r="B30" s="27" t="s">
        <v>140</v>
      </c>
      <c r="C30" s="27" t="s">
        <v>142</v>
      </c>
      <c r="D30" s="31">
        <v>500000</v>
      </c>
      <c r="E30" s="29">
        <v>1162</v>
      </c>
      <c r="F30" s="30">
        <v>1.1256820497056099</v>
      </c>
    </row>
    <row r="31" spans="1:6" x14ac:dyDescent="0.2">
      <c r="A31" s="27" t="s">
        <v>557</v>
      </c>
      <c r="B31" s="27" t="s">
        <v>556</v>
      </c>
      <c r="C31" s="27" t="s">
        <v>302</v>
      </c>
      <c r="D31" s="31">
        <v>400000</v>
      </c>
      <c r="E31" s="29">
        <v>1158.8</v>
      </c>
      <c r="F31" s="30">
        <v>1.12258206471503</v>
      </c>
    </row>
    <row r="32" spans="1:6" x14ac:dyDescent="0.2">
      <c r="A32" s="27" t="s">
        <v>559</v>
      </c>
      <c r="B32" s="27" t="s">
        <v>558</v>
      </c>
      <c r="C32" s="27" t="s">
        <v>547</v>
      </c>
      <c r="D32" s="31">
        <v>600000</v>
      </c>
      <c r="E32" s="29">
        <v>1017.6</v>
      </c>
      <c r="F32" s="30">
        <v>0.98579522700553501</v>
      </c>
    </row>
    <row r="33" spans="1:9" x14ac:dyDescent="0.2">
      <c r="A33" s="26" t="s">
        <v>35</v>
      </c>
      <c r="B33" s="26"/>
      <c r="C33" s="26"/>
      <c r="D33" s="32"/>
      <c r="E33" s="33">
        <f>SUM(E7:E32)</f>
        <v>95279.324149000022</v>
      </c>
      <c r="F33" s="34">
        <f>SUM(F7:F32)</f>
        <v>92.301398367135889</v>
      </c>
      <c r="G33" s="18"/>
      <c r="H33" s="18"/>
      <c r="I33" s="18"/>
    </row>
    <row r="34" spans="1:9" x14ac:dyDescent="0.2">
      <c r="A34" s="27"/>
      <c r="B34" s="27"/>
      <c r="C34" s="27"/>
      <c r="D34" s="28"/>
      <c r="E34" s="29"/>
      <c r="F34" s="30"/>
    </row>
    <row r="35" spans="1:9" x14ac:dyDescent="0.2">
      <c r="A35" s="26" t="s">
        <v>37</v>
      </c>
      <c r="B35" s="26"/>
      <c r="C35" s="26"/>
      <c r="D35" s="32"/>
      <c r="E35" s="33">
        <f>E33</f>
        <v>95279.324149000022</v>
      </c>
      <c r="F35" s="34">
        <f>F33</f>
        <v>92.301398367135889</v>
      </c>
      <c r="G35" s="18"/>
      <c r="H35" s="18"/>
      <c r="I35" s="18"/>
    </row>
    <row r="36" spans="1:9" x14ac:dyDescent="0.2">
      <c r="A36" s="26"/>
      <c r="B36" s="26"/>
      <c r="C36" s="26"/>
      <c r="D36" s="32"/>
      <c r="E36" s="33"/>
      <c r="F36" s="34"/>
      <c r="G36" s="18"/>
      <c r="H36" s="18"/>
      <c r="I36" s="18"/>
    </row>
    <row r="37" spans="1:9" x14ac:dyDescent="0.2">
      <c r="A37" s="26" t="s">
        <v>39</v>
      </c>
      <c r="B37" s="26"/>
      <c r="C37" s="26"/>
      <c r="D37" s="32"/>
      <c r="E37" s="33">
        <f>E39-(E33)</f>
        <v>7946.9820982999809</v>
      </c>
      <c r="F37" s="34">
        <f>F39-(F33)</f>
        <v>7.6986016328641114</v>
      </c>
      <c r="G37" s="18"/>
      <c r="H37" s="18"/>
      <c r="I37" s="18"/>
    </row>
    <row r="38" spans="1:9" x14ac:dyDescent="0.2">
      <c r="A38" s="26"/>
      <c r="B38" s="26"/>
      <c r="C38" s="26"/>
      <c r="D38" s="32"/>
      <c r="E38" s="33"/>
      <c r="F38" s="34"/>
      <c r="G38" s="18"/>
      <c r="H38" s="18"/>
      <c r="I38" s="18"/>
    </row>
    <row r="39" spans="1:9" x14ac:dyDescent="0.2">
      <c r="A39" s="35" t="s">
        <v>38</v>
      </c>
      <c r="B39" s="35"/>
      <c r="C39" s="35"/>
      <c r="D39" s="36"/>
      <c r="E39" s="37">
        <v>103226.3062473</v>
      </c>
      <c r="F39" s="38">
        <v>100</v>
      </c>
      <c r="G39" s="18"/>
      <c r="H39" s="18"/>
      <c r="I39" s="18"/>
    </row>
    <row r="42" spans="1:9" x14ac:dyDescent="0.2">
      <c r="A42" s="18" t="s">
        <v>41</v>
      </c>
    </row>
    <row r="43" spans="1:9" x14ac:dyDescent="0.2">
      <c r="A43" s="18" t="s">
        <v>42</v>
      </c>
    </row>
    <row r="44" spans="1:9" x14ac:dyDescent="0.2">
      <c r="A44" s="18" t="s">
        <v>43</v>
      </c>
      <c r="B44" s="18"/>
      <c r="C44" s="39" t="s">
        <v>45</v>
      </c>
      <c r="D44" s="19" t="s">
        <v>44</v>
      </c>
    </row>
    <row r="45" spans="1:9" x14ac:dyDescent="0.2">
      <c r="A45" s="9" t="s">
        <v>70</v>
      </c>
      <c r="C45" s="40">
        <v>44.0959</v>
      </c>
      <c r="D45" s="40">
        <v>56.581299999999999</v>
      </c>
    </row>
    <row r="46" spans="1:9" x14ac:dyDescent="0.2">
      <c r="A46" s="9" t="s">
        <v>76</v>
      </c>
      <c r="C46" s="40">
        <v>21.075299999999999</v>
      </c>
      <c r="D46" s="40">
        <v>24.825900000000001</v>
      </c>
    </row>
    <row r="47" spans="1:9" x14ac:dyDescent="0.2">
      <c r="A47" s="9" t="s">
        <v>73</v>
      </c>
      <c r="C47" s="40">
        <v>48.383000000000003</v>
      </c>
      <c r="D47" s="40">
        <v>62.395499999999998</v>
      </c>
    </row>
    <row r="48" spans="1:9" x14ac:dyDescent="0.2">
      <c r="A48" s="9" t="s">
        <v>77</v>
      </c>
      <c r="C48" s="40">
        <v>23.879799999999999</v>
      </c>
      <c r="D48" s="40">
        <v>28.567399999999999</v>
      </c>
    </row>
    <row r="50" spans="1:4" x14ac:dyDescent="0.2">
      <c r="A50" s="18" t="s">
        <v>47</v>
      </c>
    </row>
    <row r="51" spans="1:4" x14ac:dyDescent="0.2">
      <c r="A51" s="81" t="s">
        <v>67</v>
      </c>
      <c r="B51" s="82"/>
      <c r="C51" s="43" t="s">
        <v>68</v>
      </c>
    </row>
    <row r="52" spans="1:4" x14ac:dyDescent="0.2">
      <c r="A52" s="77" t="s">
        <v>76</v>
      </c>
      <c r="B52" s="78"/>
      <c r="C52" s="44">
        <v>1.75</v>
      </c>
    </row>
    <row r="53" spans="1:4" x14ac:dyDescent="0.2">
      <c r="A53" s="77" t="s">
        <v>77</v>
      </c>
      <c r="B53" s="78"/>
      <c r="C53" s="44">
        <v>1.75</v>
      </c>
    </row>
    <row r="54" spans="1:4" x14ac:dyDescent="0.2">
      <c r="A54" s="9" t="s">
        <v>69</v>
      </c>
    </row>
    <row r="55" spans="1:4" x14ac:dyDescent="0.2">
      <c r="A55" s="9" t="s">
        <v>46</v>
      </c>
    </row>
    <row r="57" spans="1:4" x14ac:dyDescent="0.2">
      <c r="A57" s="18" t="s">
        <v>220</v>
      </c>
      <c r="D57" s="45">
        <v>1.47E-2</v>
      </c>
    </row>
    <row r="59" spans="1:4" x14ac:dyDescent="0.2">
      <c r="A59" s="18" t="s">
        <v>94</v>
      </c>
    </row>
    <row r="60" spans="1:4" x14ac:dyDescent="0.2">
      <c r="A60" s="50" t="s">
        <v>50</v>
      </c>
    </row>
  </sheetData>
  <mergeCells count="4">
    <mergeCell ref="A1:F1"/>
    <mergeCell ref="A51:B51"/>
    <mergeCell ref="A52:B52"/>
    <mergeCell ref="A53:B53"/>
  </mergeCells>
  <conditionalFormatting sqref="F2:F3 F5:F65534">
    <cfRule type="cellIs" dxfId="14" priority="1" stopIfTrue="1" operator="between">
      <formula>0.009</formula>
      <formula>-0.009</formula>
    </cfRule>
  </conditionalFormatting>
  <hyperlinks>
    <hyperlink ref="A60" r:id="rId1" xr:uid="{00000000-0004-0000-2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96"/>
  <sheetViews>
    <sheetView workbookViewId="0">
      <selection sqref="A1:F1"/>
    </sheetView>
  </sheetViews>
  <sheetFormatPr defaultColWidth="9.109375" defaultRowHeight="10.199999999999999" x14ac:dyDescent="0.2"/>
  <cols>
    <col min="1" max="1" width="38.6640625" style="9" bestFit="1" customWidth="1"/>
    <col min="2" max="2" width="39.5546875" style="9" bestFit="1" customWidth="1"/>
    <col min="3" max="3" width="35.6640625"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3.8" x14ac:dyDescent="0.2">
      <c r="A1" s="79" t="s">
        <v>20</v>
      </c>
      <c r="B1" s="80"/>
      <c r="C1" s="80"/>
      <c r="D1" s="80"/>
      <c r="E1" s="80"/>
      <c r="F1" s="8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261</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105</v>
      </c>
      <c r="B7" s="27" t="s">
        <v>104</v>
      </c>
      <c r="C7" s="27" t="s">
        <v>101</v>
      </c>
      <c r="D7" s="31">
        <v>104858</v>
      </c>
      <c r="E7" s="29">
        <v>661.54912200000001</v>
      </c>
      <c r="F7" s="30">
        <v>2.2227431686854602</v>
      </c>
    </row>
    <row r="8" spans="1:6" x14ac:dyDescent="0.2">
      <c r="A8" s="27" t="s">
        <v>100</v>
      </c>
      <c r="B8" s="27" t="s">
        <v>99</v>
      </c>
      <c r="C8" s="27" t="s">
        <v>101</v>
      </c>
      <c r="D8" s="31">
        <v>35094</v>
      </c>
      <c r="E8" s="29">
        <v>525.67302600000005</v>
      </c>
      <c r="F8" s="30">
        <v>1.76621219596103</v>
      </c>
    </row>
    <row r="9" spans="1:6" x14ac:dyDescent="0.2">
      <c r="A9" s="27" t="s">
        <v>116</v>
      </c>
      <c r="B9" s="27" t="s">
        <v>115</v>
      </c>
      <c r="C9" s="27" t="s">
        <v>101</v>
      </c>
      <c r="D9" s="31">
        <v>22917</v>
      </c>
      <c r="E9" s="29">
        <v>390.92964449999999</v>
      </c>
      <c r="F9" s="30">
        <v>1.31348703800261</v>
      </c>
    </row>
    <row r="10" spans="1:6" x14ac:dyDescent="0.2">
      <c r="A10" s="27" t="s">
        <v>191</v>
      </c>
      <c r="B10" s="27" t="s">
        <v>190</v>
      </c>
      <c r="C10" s="27" t="s">
        <v>192</v>
      </c>
      <c r="D10" s="31">
        <v>22989</v>
      </c>
      <c r="E10" s="29">
        <v>344.96143949999998</v>
      </c>
      <c r="F10" s="30">
        <v>1.15903816906362</v>
      </c>
    </row>
    <row r="11" spans="1:6" x14ac:dyDescent="0.2">
      <c r="A11" s="27" t="s">
        <v>198</v>
      </c>
      <c r="B11" s="27" t="s">
        <v>197</v>
      </c>
      <c r="C11" s="27" t="s">
        <v>199</v>
      </c>
      <c r="D11" s="31">
        <v>235400</v>
      </c>
      <c r="E11" s="29">
        <v>332.97329999999999</v>
      </c>
      <c r="F11" s="30">
        <v>1.1187591417129199</v>
      </c>
    </row>
    <row r="12" spans="1:6" x14ac:dyDescent="0.2">
      <c r="A12" s="27" t="s">
        <v>273</v>
      </c>
      <c r="B12" s="27" t="s">
        <v>272</v>
      </c>
      <c r="C12" s="27" t="s">
        <v>128</v>
      </c>
      <c r="D12" s="31">
        <v>40295</v>
      </c>
      <c r="E12" s="29">
        <v>303.98548</v>
      </c>
      <c r="F12" s="30">
        <v>1.0213627780305199</v>
      </c>
    </row>
    <row r="13" spans="1:6" x14ac:dyDescent="0.2">
      <c r="A13" s="27" t="s">
        <v>561</v>
      </c>
      <c r="B13" s="27" t="s">
        <v>560</v>
      </c>
      <c r="C13" s="27" t="s">
        <v>358</v>
      </c>
      <c r="D13" s="31">
        <v>20861</v>
      </c>
      <c r="E13" s="29">
        <v>291.59505799999999</v>
      </c>
      <c r="F13" s="30">
        <v>0.97973211910927405</v>
      </c>
    </row>
    <row r="14" spans="1:6" x14ac:dyDescent="0.2">
      <c r="A14" s="27" t="s">
        <v>118</v>
      </c>
      <c r="B14" s="27" t="s">
        <v>117</v>
      </c>
      <c r="C14" s="27" t="s">
        <v>119</v>
      </c>
      <c r="D14" s="31">
        <v>72567</v>
      </c>
      <c r="E14" s="29">
        <v>269.9855235</v>
      </c>
      <c r="F14" s="30">
        <v>0.90712610454283404</v>
      </c>
    </row>
    <row r="15" spans="1:6" x14ac:dyDescent="0.2">
      <c r="A15" s="27" t="s">
        <v>468</v>
      </c>
      <c r="B15" s="27" t="s">
        <v>467</v>
      </c>
      <c r="C15" s="27" t="s">
        <v>160</v>
      </c>
      <c r="D15" s="31">
        <v>31095</v>
      </c>
      <c r="E15" s="29">
        <v>264.26085749999999</v>
      </c>
      <c r="F15" s="30">
        <v>0.88789176226748301</v>
      </c>
    </row>
    <row r="16" spans="1:6" x14ac:dyDescent="0.2">
      <c r="A16" s="27" t="s">
        <v>563</v>
      </c>
      <c r="B16" s="27" t="s">
        <v>562</v>
      </c>
      <c r="C16" s="27" t="s">
        <v>403</v>
      </c>
      <c r="D16" s="31">
        <v>32972</v>
      </c>
      <c r="E16" s="29">
        <v>258.46750800000001</v>
      </c>
      <c r="F16" s="30">
        <v>0.86842664985677898</v>
      </c>
    </row>
    <row r="17" spans="1:9" x14ac:dyDescent="0.2">
      <c r="A17" s="27" t="s">
        <v>252</v>
      </c>
      <c r="B17" s="27" t="s">
        <v>251</v>
      </c>
      <c r="C17" s="27" t="s">
        <v>128</v>
      </c>
      <c r="D17" s="31">
        <v>31928</v>
      </c>
      <c r="E17" s="29">
        <v>211.25161199999999</v>
      </c>
      <c r="F17" s="30">
        <v>0.70978565586667197</v>
      </c>
    </row>
    <row r="18" spans="1:9" x14ac:dyDescent="0.2">
      <c r="A18" s="27" t="s">
        <v>464</v>
      </c>
      <c r="B18" s="27" t="s">
        <v>463</v>
      </c>
      <c r="C18" s="27" t="s">
        <v>358</v>
      </c>
      <c r="D18" s="31">
        <v>27579</v>
      </c>
      <c r="E18" s="29">
        <v>173.664963</v>
      </c>
      <c r="F18" s="30">
        <v>0.58349803107782305</v>
      </c>
    </row>
    <row r="19" spans="1:9" x14ac:dyDescent="0.2">
      <c r="A19" s="27" t="s">
        <v>458</v>
      </c>
      <c r="B19" s="27" t="s">
        <v>457</v>
      </c>
      <c r="C19" s="27" t="s">
        <v>390</v>
      </c>
      <c r="D19" s="31">
        <v>4528</v>
      </c>
      <c r="E19" s="29">
        <v>163.90680800000001</v>
      </c>
      <c r="F19" s="30">
        <v>0.55071154305460501</v>
      </c>
    </row>
    <row r="20" spans="1:9" x14ac:dyDescent="0.2">
      <c r="A20" s="27" t="s">
        <v>309</v>
      </c>
      <c r="B20" s="27" t="s">
        <v>308</v>
      </c>
      <c r="C20" s="27" t="s">
        <v>160</v>
      </c>
      <c r="D20" s="31">
        <v>2435</v>
      </c>
      <c r="E20" s="29">
        <v>119.69851250000001</v>
      </c>
      <c r="F20" s="30">
        <v>0.40217580541386599</v>
      </c>
    </row>
    <row r="21" spans="1:9" x14ac:dyDescent="0.2">
      <c r="A21" s="26" t="s">
        <v>35</v>
      </c>
      <c r="B21" s="26"/>
      <c r="C21" s="26"/>
      <c r="D21" s="32"/>
      <c r="E21" s="33">
        <f>SUM(E7:E20)</f>
        <v>4312.9028545000001</v>
      </c>
      <c r="F21" s="34">
        <f>SUM(F7:F20)</f>
        <v>14.490950162645497</v>
      </c>
      <c r="G21" s="18"/>
      <c r="H21" s="18"/>
      <c r="I21" s="18"/>
    </row>
    <row r="22" spans="1:9" x14ac:dyDescent="0.2">
      <c r="A22" s="27"/>
      <c r="B22" s="27"/>
      <c r="C22" s="27"/>
      <c r="D22" s="28"/>
      <c r="E22" s="29"/>
      <c r="F22" s="30"/>
    </row>
    <row r="23" spans="1:9" x14ac:dyDescent="0.2">
      <c r="A23" s="26" t="s">
        <v>290</v>
      </c>
      <c r="B23" s="27"/>
      <c r="C23" s="27"/>
      <c r="D23" s="28"/>
      <c r="E23" s="29"/>
      <c r="F23" s="30"/>
    </row>
    <row r="24" spans="1:9" x14ac:dyDescent="0.2">
      <c r="A24" s="27" t="s">
        <v>323</v>
      </c>
      <c r="B24" s="27" t="s">
        <v>322</v>
      </c>
      <c r="C24" s="27" t="s">
        <v>307</v>
      </c>
      <c r="D24" s="31">
        <v>169714</v>
      </c>
      <c r="E24" s="29">
        <v>2693.055128</v>
      </c>
      <c r="F24" s="30">
        <v>9.0484133219896297</v>
      </c>
    </row>
    <row r="25" spans="1:9" x14ac:dyDescent="0.2">
      <c r="A25" s="27" t="s">
        <v>332</v>
      </c>
      <c r="B25" s="27" t="s">
        <v>331</v>
      </c>
      <c r="C25" s="27" t="s">
        <v>307</v>
      </c>
      <c r="D25" s="31">
        <v>50233</v>
      </c>
      <c r="E25" s="29">
        <v>2670.58806</v>
      </c>
      <c r="F25" s="30">
        <v>8.9729260750767796</v>
      </c>
    </row>
    <row r="26" spans="1:9" x14ac:dyDescent="0.2">
      <c r="A26" s="27" t="s">
        <v>565</v>
      </c>
      <c r="B26" s="27" t="s">
        <v>564</v>
      </c>
      <c r="C26" s="27" t="s">
        <v>98</v>
      </c>
      <c r="D26" s="31">
        <v>45600</v>
      </c>
      <c r="E26" s="29">
        <v>2548.684628</v>
      </c>
      <c r="F26" s="30">
        <v>8.5633419463908496</v>
      </c>
    </row>
    <row r="27" spans="1:9" x14ac:dyDescent="0.2">
      <c r="A27" s="27" t="s">
        <v>341</v>
      </c>
      <c r="B27" s="27" t="s">
        <v>340</v>
      </c>
      <c r="C27" s="27" t="s">
        <v>160</v>
      </c>
      <c r="D27" s="31">
        <v>97004</v>
      </c>
      <c r="E27" s="29">
        <v>2042.4467079999999</v>
      </c>
      <c r="F27" s="30">
        <v>6.8624298886320698</v>
      </c>
    </row>
    <row r="28" spans="1:9" x14ac:dyDescent="0.2">
      <c r="A28" s="27" t="s">
        <v>567</v>
      </c>
      <c r="B28" s="27" t="s">
        <v>566</v>
      </c>
      <c r="C28" s="27" t="s">
        <v>185</v>
      </c>
      <c r="D28" s="31">
        <v>137524</v>
      </c>
      <c r="E28" s="29">
        <v>1270.1184330000001</v>
      </c>
      <c r="F28" s="30">
        <v>4.2674791281367996</v>
      </c>
    </row>
    <row r="29" spans="1:9" x14ac:dyDescent="0.2">
      <c r="A29" s="27" t="s">
        <v>569</v>
      </c>
      <c r="B29" s="27" t="s">
        <v>568</v>
      </c>
      <c r="C29" s="27" t="s">
        <v>98</v>
      </c>
      <c r="D29" s="31">
        <v>3076</v>
      </c>
      <c r="E29" s="29">
        <v>846.03253270000005</v>
      </c>
      <c r="F29" s="30">
        <v>2.8425901720788298</v>
      </c>
    </row>
    <row r="30" spans="1:9" x14ac:dyDescent="0.2">
      <c r="A30" s="27" t="s">
        <v>571</v>
      </c>
      <c r="B30" s="27" t="s">
        <v>570</v>
      </c>
      <c r="C30" s="27" t="s">
        <v>185</v>
      </c>
      <c r="D30" s="31">
        <v>82810</v>
      </c>
      <c r="E30" s="29">
        <v>602.72667550000006</v>
      </c>
      <c r="F30" s="30">
        <v>2.0251052506908498</v>
      </c>
    </row>
    <row r="31" spans="1:9" x14ac:dyDescent="0.2">
      <c r="A31" s="27" t="s">
        <v>573</v>
      </c>
      <c r="B31" s="27" t="s">
        <v>572</v>
      </c>
      <c r="C31" s="27" t="s">
        <v>101</v>
      </c>
      <c r="D31" s="31">
        <v>94000</v>
      </c>
      <c r="E31" s="29">
        <v>596.00807810000003</v>
      </c>
      <c r="F31" s="30">
        <v>2.00253139188374</v>
      </c>
    </row>
    <row r="32" spans="1:9" x14ac:dyDescent="0.2">
      <c r="A32" s="27" t="s">
        <v>575</v>
      </c>
      <c r="B32" s="27" t="s">
        <v>574</v>
      </c>
      <c r="C32" s="27" t="s">
        <v>160</v>
      </c>
      <c r="D32" s="31">
        <v>17900</v>
      </c>
      <c r="E32" s="29">
        <v>548.8882681</v>
      </c>
      <c r="F32" s="30">
        <v>1.8442132378657501</v>
      </c>
    </row>
    <row r="33" spans="1:6" x14ac:dyDescent="0.2">
      <c r="A33" s="27" t="s">
        <v>577</v>
      </c>
      <c r="B33" s="27" t="s">
        <v>576</v>
      </c>
      <c r="C33" s="27" t="s">
        <v>98</v>
      </c>
      <c r="D33" s="31">
        <v>18250</v>
      </c>
      <c r="E33" s="29">
        <v>533.4212483</v>
      </c>
      <c r="F33" s="30">
        <v>1.79224549812114</v>
      </c>
    </row>
    <row r="34" spans="1:6" x14ac:dyDescent="0.2">
      <c r="A34" s="27" t="s">
        <v>579</v>
      </c>
      <c r="B34" s="27" t="s">
        <v>578</v>
      </c>
      <c r="C34" s="27" t="s">
        <v>278</v>
      </c>
      <c r="D34" s="31">
        <v>902</v>
      </c>
      <c r="E34" s="29">
        <v>505.09109960000001</v>
      </c>
      <c r="F34" s="30">
        <v>1.6970588484882401</v>
      </c>
    </row>
    <row r="35" spans="1:6" x14ac:dyDescent="0.2">
      <c r="A35" s="27" t="s">
        <v>581</v>
      </c>
      <c r="B35" s="27" t="s">
        <v>580</v>
      </c>
      <c r="C35" s="27" t="s">
        <v>128</v>
      </c>
      <c r="D35" s="31">
        <v>112000</v>
      </c>
      <c r="E35" s="29">
        <v>503.25955490000001</v>
      </c>
      <c r="F35" s="30">
        <v>1.69090502961874</v>
      </c>
    </row>
    <row r="36" spans="1:6" x14ac:dyDescent="0.2">
      <c r="A36" s="27" t="s">
        <v>325</v>
      </c>
      <c r="B36" s="27" t="s">
        <v>324</v>
      </c>
      <c r="C36" s="27" t="s">
        <v>307</v>
      </c>
      <c r="D36" s="31">
        <v>19000</v>
      </c>
      <c r="E36" s="29">
        <v>487.46033369999998</v>
      </c>
      <c r="F36" s="30">
        <v>1.63782112424421</v>
      </c>
    </row>
    <row r="37" spans="1:6" x14ac:dyDescent="0.2">
      <c r="A37" s="27" t="s">
        <v>583</v>
      </c>
      <c r="B37" s="27" t="s">
        <v>582</v>
      </c>
      <c r="C37" s="27" t="s">
        <v>128</v>
      </c>
      <c r="D37" s="31">
        <v>2000</v>
      </c>
      <c r="E37" s="29">
        <v>473.43272209999998</v>
      </c>
      <c r="F37" s="30">
        <v>1.5906896614095101</v>
      </c>
    </row>
    <row r="38" spans="1:6" x14ac:dyDescent="0.2">
      <c r="A38" s="27" t="s">
        <v>585</v>
      </c>
      <c r="B38" s="27" t="s">
        <v>584</v>
      </c>
      <c r="C38" s="27" t="s">
        <v>229</v>
      </c>
      <c r="D38" s="31">
        <v>57000</v>
      </c>
      <c r="E38" s="29">
        <v>457.6940075</v>
      </c>
      <c r="F38" s="30">
        <v>1.5378090525512</v>
      </c>
    </row>
    <row r="39" spans="1:6" x14ac:dyDescent="0.2">
      <c r="A39" s="27" t="s">
        <v>587</v>
      </c>
      <c r="B39" s="27" t="s">
        <v>586</v>
      </c>
      <c r="C39" s="27" t="s">
        <v>297</v>
      </c>
      <c r="D39" s="31">
        <v>43260</v>
      </c>
      <c r="E39" s="29">
        <v>442.33610850000002</v>
      </c>
      <c r="F39" s="30">
        <v>1.48620794848744</v>
      </c>
    </row>
    <row r="40" spans="1:6" x14ac:dyDescent="0.2">
      <c r="A40" s="27" t="s">
        <v>589</v>
      </c>
      <c r="B40" s="27" t="s">
        <v>588</v>
      </c>
      <c r="C40" s="27" t="s">
        <v>307</v>
      </c>
      <c r="D40" s="31">
        <v>5116</v>
      </c>
      <c r="E40" s="29">
        <v>429.71941220000002</v>
      </c>
      <c r="F40" s="30">
        <v>1.4438170290838701</v>
      </c>
    </row>
    <row r="41" spans="1:6" x14ac:dyDescent="0.2">
      <c r="A41" s="27" t="s">
        <v>591</v>
      </c>
      <c r="B41" s="27" t="s">
        <v>590</v>
      </c>
      <c r="C41" s="27" t="s">
        <v>114</v>
      </c>
      <c r="D41" s="31">
        <v>49600</v>
      </c>
      <c r="E41" s="29">
        <v>407.43159220000001</v>
      </c>
      <c r="F41" s="30">
        <v>1.3689320386841799</v>
      </c>
    </row>
    <row r="42" spans="1:6" x14ac:dyDescent="0.2">
      <c r="A42" s="27" t="s">
        <v>593</v>
      </c>
      <c r="B42" s="27" t="s">
        <v>592</v>
      </c>
      <c r="C42" s="27" t="s">
        <v>98</v>
      </c>
      <c r="D42" s="31">
        <v>1900</v>
      </c>
      <c r="E42" s="29">
        <v>405.58163639999998</v>
      </c>
      <c r="F42" s="30">
        <v>1.3627163602408501</v>
      </c>
    </row>
    <row r="43" spans="1:6" x14ac:dyDescent="0.2">
      <c r="A43" s="27" t="s">
        <v>595</v>
      </c>
      <c r="B43" s="27" t="s">
        <v>594</v>
      </c>
      <c r="C43" s="27" t="s">
        <v>101</v>
      </c>
      <c r="D43" s="31">
        <v>255229</v>
      </c>
      <c r="E43" s="29">
        <v>394.13448990000001</v>
      </c>
      <c r="F43" s="30">
        <v>1.32425501876572</v>
      </c>
    </row>
    <row r="44" spans="1:6" x14ac:dyDescent="0.2">
      <c r="A44" s="27" t="s">
        <v>597</v>
      </c>
      <c r="B44" s="27" t="s">
        <v>596</v>
      </c>
      <c r="C44" s="27" t="s">
        <v>160</v>
      </c>
      <c r="D44" s="31">
        <v>29521</v>
      </c>
      <c r="E44" s="29">
        <v>383.11500710000001</v>
      </c>
      <c r="F44" s="30">
        <v>1.28723058731896</v>
      </c>
    </row>
    <row r="45" spans="1:6" x14ac:dyDescent="0.2">
      <c r="A45" s="27" t="s">
        <v>599</v>
      </c>
      <c r="B45" s="27" t="s">
        <v>598</v>
      </c>
      <c r="C45" s="27" t="s">
        <v>128</v>
      </c>
      <c r="D45" s="31">
        <v>144400</v>
      </c>
      <c r="E45" s="29">
        <v>338.58809780000001</v>
      </c>
      <c r="F45" s="30">
        <v>1.1376243371133301</v>
      </c>
    </row>
    <row r="46" spans="1:6" x14ac:dyDescent="0.2">
      <c r="A46" s="27" t="s">
        <v>601</v>
      </c>
      <c r="B46" s="27" t="s">
        <v>600</v>
      </c>
      <c r="C46" s="27" t="s">
        <v>128</v>
      </c>
      <c r="D46" s="31">
        <v>6800</v>
      </c>
      <c r="E46" s="29">
        <v>333.2830477</v>
      </c>
      <c r="F46" s="30">
        <v>1.11979986501115</v>
      </c>
    </row>
    <row r="47" spans="1:6" x14ac:dyDescent="0.2">
      <c r="A47" s="27" t="s">
        <v>603</v>
      </c>
      <c r="B47" s="27" t="s">
        <v>602</v>
      </c>
      <c r="C47" s="27" t="s">
        <v>172</v>
      </c>
      <c r="D47" s="31">
        <v>662300</v>
      </c>
      <c r="E47" s="29">
        <v>322.52673979999997</v>
      </c>
      <c r="F47" s="30">
        <v>1.08365967661105</v>
      </c>
    </row>
    <row r="48" spans="1:6" x14ac:dyDescent="0.2">
      <c r="A48" s="27" t="s">
        <v>605</v>
      </c>
      <c r="B48" s="27" t="s">
        <v>604</v>
      </c>
      <c r="C48" s="27" t="s">
        <v>358</v>
      </c>
      <c r="D48" s="31">
        <v>104000</v>
      </c>
      <c r="E48" s="29">
        <v>313.03464020000001</v>
      </c>
      <c r="F48" s="30">
        <v>1.0517671098450301</v>
      </c>
    </row>
    <row r="49" spans="1:6" x14ac:dyDescent="0.2">
      <c r="A49" s="27" t="s">
        <v>607</v>
      </c>
      <c r="B49" s="27" t="s">
        <v>606</v>
      </c>
      <c r="C49" s="27" t="s">
        <v>185</v>
      </c>
      <c r="D49" s="31">
        <v>19235</v>
      </c>
      <c r="E49" s="29">
        <v>292.58678200000003</v>
      </c>
      <c r="F49" s="30">
        <v>0.98306421898351704</v>
      </c>
    </row>
    <row r="50" spans="1:6" x14ac:dyDescent="0.2">
      <c r="A50" s="27" t="s">
        <v>609</v>
      </c>
      <c r="B50" s="27" t="s">
        <v>608</v>
      </c>
      <c r="C50" s="27" t="s">
        <v>101</v>
      </c>
      <c r="D50" s="31">
        <v>17400</v>
      </c>
      <c r="E50" s="29">
        <v>286.90093000000002</v>
      </c>
      <c r="F50" s="30">
        <v>0.963960288117508</v>
      </c>
    </row>
    <row r="51" spans="1:6" x14ac:dyDescent="0.2">
      <c r="A51" s="27" t="s">
        <v>611</v>
      </c>
      <c r="B51" s="27" t="s">
        <v>610</v>
      </c>
      <c r="C51" s="27" t="s">
        <v>172</v>
      </c>
      <c r="D51" s="31">
        <v>27012</v>
      </c>
      <c r="E51" s="29">
        <v>270.58273059999999</v>
      </c>
      <c r="F51" s="30">
        <v>0.90913266453614505</v>
      </c>
    </row>
    <row r="52" spans="1:6" x14ac:dyDescent="0.2">
      <c r="A52" s="27" t="s">
        <v>613</v>
      </c>
      <c r="B52" s="27" t="s">
        <v>612</v>
      </c>
      <c r="C52" s="27" t="s">
        <v>172</v>
      </c>
      <c r="D52" s="31">
        <v>510800</v>
      </c>
      <c r="E52" s="29">
        <v>269.6966051</v>
      </c>
      <c r="F52" s="30">
        <v>0.90615536574423095</v>
      </c>
    </row>
    <row r="53" spans="1:6" x14ac:dyDescent="0.2">
      <c r="A53" s="27" t="s">
        <v>615</v>
      </c>
      <c r="B53" s="27" t="s">
        <v>614</v>
      </c>
      <c r="C53" s="27" t="s">
        <v>302</v>
      </c>
      <c r="D53" s="31">
        <v>9838</v>
      </c>
      <c r="E53" s="29">
        <v>259.66466730000002</v>
      </c>
      <c r="F53" s="30">
        <v>0.87244899312262603</v>
      </c>
    </row>
    <row r="54" spans="1:6" x14ac:dyDescent="0.2">
      <c r="A54" s="27" t="s">
        <v>321</v>
      </c>
      <c r="B54" s="27" t="s">
        <v>320</v>
      </c>
      <c r="C54" s="27" t="s">
        <v>98</v>
      </c>
      <c r="D54" s="31">
        <v>9800</v>
      </c>
      <c r="E54" s="29">
        <v>226.82977</v>
      </c>
      <c r="F54" s="30">
        <v>0.76212680956742895</v>
      </c>
    </row>
    <row r="55" spans="1:6" x14ac:dyDescent="0.2">
      <c r="A55" s="27" t="s">
        <v>617</v>
      </c>
      <c r="B55" s="27" t="s">
        <v>616</v>
      </c>
      <c r="C55" s="27" t="s">
        <v>365</v>
      </c>
      <c r="D55" s="31">
        <v>35600</v>
      </c>
      <c r="E55" s="29">
        <v>218.05617100000001</v>
      </c>
      <c r="F55" s="30">
        <v>0.73264833760894599</v>
      </c>
    </row>
    <row r="56" spans="1:6" x14ac:dyDescent="0.2">
      <c r="A56" s="27" t="s">
        <v>619</v>
      </c>
      <c r="B56" s="27" t="s">
        <v>618</v>
      </c>
      <c r="C56" s="27" t="s">
        <v>172</v>
      </c>
      <c r="D56" s="31">
        <v>306000</v>
      </c>
      <c r="E56" s="29">
        <v>216.1305697</v>
      </c>
      <c r="F56" s="30">
        <v>0.72617849736148699</v>
      </c>
    </row>
    <row r="57" spans="1:6" x14ac:dyDescent="0.2">
      <c r="A57" s="27" t="s">
        <v>621</v>
      </c>
      <c r="B57" s="27" t="s">
        <v>620</v>
      </c>
      <c r="C57" s="27" t="s">
        <v>622</v>
      </c>
      <c r="D57" s="31">
        <v>308946</v>
      </c>
      <c r="E57" s="29">
        <v>214.91336229999999</v>
      </c>
      <c r="F57" s="30">
        <v>0.722088794354938</v>
      </c>
    </row>
    <row r="58" spans="1:6" x14ac:dyDescent="0.2">
      <c r="A58" s="27" t="s">
        <v>624</v>
      </c>
      <c r="B58" s="27" t="s">
        <v>623</v>
      </c>
      <c r="C58" s="27" t="s">
        <v>278</v>
      </c>
      <c r="D58" s="31">
        <v>15600</v>
      </c>
      <c r="E58" s="29">
        <v>191.36285520000001</v>
      </c>
      <c r="F58" s="30">
        <v>0.64296129341086805</v>
      </c>
    </row>
    <row r="59" spans="1:6" x14ac:dyDescent="0.2">
      <c r="A59" s="27" t="s">
        <v>626</v>
      </c>
      <c r="B59" s="27" t="s">
        <v>625</v>
      </c>
      <c r="C59" s="27" t="s">
        <v>160</v>
      </c>
      <c r="D59" s="31">
        <v>2265900</v>
      </c>
      <c r="E59" s="29">
        <v>145.1904725</v>
      </c>
      <c r="F59" s="30">
        <v>0.48782640649863801</v>
      </c>
    </row>
    <row r="60" spans="1:6" x14ac:dyDescent="0.2">
      <c r="A60" s="27" t="s">
        <v>628</v>
      </c>
      <c r="B60" s="27" t="s">
        <v>627</v>
      </c>
      <c r="C60" s="27" t="s">
        <v>390</v>
      </c>
      <c r="D60" s="31">
        <v>84000</v>
      </c>
      <c r="E60" s="29">
        <v>138.43657400000001</v>
      </c>
      <c r="F60" s="30">
        <v>0.46513393929758501</v>
      </c>
    </row>
    <row r="61" spans="1:6" x14ac:dyDescent="0.2">
      <c r="A61" s="27" t="s">
        <v>630</v>
      </c>
      <c r="B61" s="27" t="s">
        <v>629</v>
      </c>
      <c r="C61" s="27" t="s">
        <v>631</v>
      </c>
      <c r="D61" s="31">
        <v>21250</v>
      </c>
      <c r="E61" s="29">
        <v>135.30019849999999</v>
      </c>
      <c r="F61" s="30">
        <v>0.45459601099381602</v>
      </c>
    </row>
    <row r="62" spans="1:6" x14ac:dyDescent="0.2">
      <c r="A62" s="27" t="s">
        <v>633</v>
      </c>
      <c r="B62" s="27" t="s">
        <v>632</v>
      </c>
      <c r="C62" s="27" t="s">
        <v>390</v>
      </c>
      <c r="D62" s="31">
        <v>253100</v>
      </c>
      <c r="E62" s="29">
        <v>134.98315299999999</v>
      </c>
      <c r="F62" s="30">
        <v>0.453530767770219</v>
      </c>
    </row>
    <row r="63" spans="1:6" x14ac:dyDescent="0.2">
      <c r="A63" s="27" t="s">
        <v>635</v>
      </c>
      <c r="B63" s="27" t="s">
        <v>634</v>
      </c>
      <c r="C63" s="27" t="s">
        <v>204</v>
      </c>
      <c r="D63" s="31">
        <v>79000</v>
      </c>
      <c r="E63" s="29">
        <v>130.49873220000001</v>
      </c>
      <c r="F63" s="30">
        <v>0.43846353335446298</v>
      </c>
    </row>
    <row r="64" spans="1:6" x14ac:dyDescent="0.2">
      <c r="A64" s="27" t="s">
        <v>637</v>
      </c>
      <c r="B64" s="27" t="s">
        <v>636</v>
      </c>
      <c r="C64" s="27" t="s">
        <v>125</v>
      </c>
      <c r="D64" s="31">
        <v>13280</v>
      </c>
      <c r="E64" s="29">
        <v>80.519518500000004</v>
      </c>
      <c r="F64" s="30">
        <v>0.27053805037279999</v>
      </c>
    </row>
    <row r="65" spans="1:9" x14ac:dyDescent="0.2">
      <c r="A65" s="27" t="s">
        <v>296</v>
      </c>
      <c r="B65" s="27" t="s">
        <v>295</v>
      </c>
      <c r="C65" s="27" t="s">
        <v>297</v>
      </c>
      <c r="D65" s="31">
        <v>46000</v>
      </c>
      <c r="E65" s="29">
        <v>73.785369399999993</v>
      </c>
      <c r="F65" s="30">
        <v>0.24791193930839001</v>
      </c>
    </row>
    <row r="66" spans="1:9" x14ac:dyDescent="0.2">
      <c r="A66" s="27" t="s">
        <v>639</v>
      </c>
      <c r="B66" s="27" t="s">
        <v>638</v>
      </c>
      <c r="C66" s="27" t="s">
        <v>365</v>
      </c>
      <c r="D66" s="31">
        <v>2900</v>
      </c>
      <c r="E66" s="29">
        <v>54.793483600000002</v>
      </c>
      <c r="F66" s="30">
        <v>0.18410097951936899</v>
      </c>
    </row>
    <row r="67" spans="1:9" x14ac:dyDescent="0.2">
      <c r="A67" s="27" t="s">
        <v>641</v>
      </c>
      <c r="B67" s="27" t="s">
        <v>640</v>
      </c>
      <c r="C67" s="27" t="s">
        <v>229</v>
      </c>
      <c r="D67" s="31">
        <v>646</v>
      </c>
      <c r="E67" s="29">
        <v>3.2860502</v>
      </c>
      <c r="F67" s="30">
        <v>1.1040821295213599E-2</v>
      </c>
    </row>
    <row r="68" spans="1:9" x14ac:dyDescent="0.2">
      <c r="A68" s="27" t="s">
        <v>643</v>
      </c>
      <c r="B68" s="27" t="s">
        <v>642</v>
      </c>
      <c r="C68" s="27" t="s">
        <v>622</v>
      </c>
      <c r="D68" s="31">
        <v>8388</v>
      </c>
      <c r="E68" s="29">
        <v>1.8671930999999999</v>
      </c>
      <c r="F68" s="30">
        <v>6.2735941589559304E-3</v>
      </c>
    </row>
    <row r="69" spans="1:9" x14ac:dyDescent="0.2">
      <c r="A69" s="27" t="s">
        <v>644</v>
      </c>
      <c r="B69" s="27" t="s">
        <v>741</v>
      </c>
      <c r="C69" s="27" t="s">
        <v>622</v>
      </c>
      <c r="D69" s="31">
        <v>7501</v>
      </c>
      <c r="E69" s="29">
        <v>0.9044449</v>
      </c>
      <c r="F69" s="30">
        <v>3.0388502623202099E-3</v>
      </c>
    </row>
    <row r="70" spans="1:9" x14ac:dyDescent="0.2">
      <c r="A70" s="27" t="s">
        <v>645</v>
      </c>
      <c r="B70" s="27" t="s">
        <v>742</v>
      </c>
      <c r="C70" s="27" t="s">
        <v>622</v>
      </c>
      <c r="D70" s="31">
        <v>6798</v>
      </c>
      <c r="E70" s="29">
        <v>0.72510110000000005</v>
      </c>
      <c r="F70" s="30">
        <v>2.4362718701201901E-3</v>
      </c>
    </row>
    <row r="71" spans="1:9" x14ac:dyDescent="0.2">
      <c r="A71" s="27" t="s">
        <v>647</v>
      </c>
      <c r="B71" s="27" t="s">
        <v>646</v>
      </c>
      <c r="C71" s="27" t="s">
        <v>622</v>
      </c>
      <c r="D71" s="31">
        <v>8195</v>
      </c>
      <c r="E71" s="29">
        <v>9.8812499999999998E-2</v>
      </c>
      <c r="F71" s="30">
        <v>3.32000757089255E-4</v>
      </c>
    </row>
    <row r="72" spans="1:9" x14ac:dyDescent="0.2">
      <c r="A72" s="26" t="s">
        <v>35</v>
      </c>
      <c r="B72" s="26"/>
      <c r="C72" s="26"/>
      <c r="D72" s="32"/>
      <c r="E72" s="33">
        <f>SUM(E23:E71)</f>
        <v>23895.771795999994</v>
      </c>
      <c r="F72" s="34">
        <f>SUM(F23:F71)</f>
        <v>80.287558026606604</v>
      </c>
      <c r="G72" s="18"/>
      <c r="H72" s="18"/>
      <c r="I72" s="18"/>
    </row>
    <row r="73" spans="1:9" x14ac:dyDescent="0.2">
      <c r="A73" s="27"/>
      <c r="B73" s="27"/>
      <c r="C73" s="27"/>
      <c r="D73" s="28"/>
      <c r="E73" s="29"/>
      <c r="F73" s="30"/>
    </row>
    <row r="74" spans="1:9" x14ac:dyDescent="0.2">
      <c r="A74" s="26" t="s">
        <v>37</v>
      </c>
      <c r="B74" s="26"/>
      <c r="C74" s="26"/>
      <c r="D74" s="32"/>
      <c r="E74" s="33">
        <f>E21+E72</f>
        <v>28208.674650499994</v>
      </c>
      <c r="F74" s="34">
        <f>F21+F72</f>
        <v>94.778508189252108</v>
      </c>
      <c r="G74" s="18"/>
      <c r="H74" s="18"/>
      <c r="I74" s="18"/>
    </row>
    <row r="75" spans="1:9" x14ac:dyDescent="0.2">
      <c r="A75" s="26"/>
      <c r="B75" s="26"/>
      <c r="C75" s="26"/>
      <c r="D75" s="32"/>
      <c r="E75" s="33"/>
      <c r="F75" s="34"/>
      <c r="G75" s="18"/>
      <c r="H75" s="18"/>
      <c r="I75" s="18"/>
    </row>
    <row r="76" spans="1:9" x14ac:dyDescent="0.2">
      <c r="A76" s="26" t="s">
        <v>39</v>
      </c>
      <c r="B76" s="26"/>
      <c r="C76" s="26"/>
      <c r="D76" s="32"/>
      <c r="E76" s="33">
        <f>E78-(E21+E72)</f>
        <v>1554.0586837000046</v>
      </c>
      <c r="F76" s="34">
        <f>F78-(F21+F72)</f>
        <v>5.2214918107478923</v>
      </c>
      <c r="G76" s="18"/>
      <c r="H76" s="18"/>
      <c r="I76" s="18"/>
    </row>
    <row r="77" spans="1:9" x14ac:dyDescent="0.2">
      <c r="A77" s="26"/>
      <c r="B77" s="26"/>
      <c r="C77" s="26"/>
      <c r="D77" s="32"/>
      <c r="E77" s="33"/>
      <c r="F77" s="34"/>
      <c r="G77" s="18"/>
      <c r="H77" s="18"/>
      <c r="I77" s="18"/>
    </row>
    <row r="78" spans="1:9" x14ac:dyDescent="0.2">
      <c r="A78" s="35" t="s">
        <v>38</v>
      </c>
      <c r="B78" s="35"/>
      <c r="C78" s="35"/>
      <c r="D78" s="36"/>
      <c r="E78" s="37">
        <v>29762.733334199998</v>
      </c>
      <c r="F78" s="38">
        <v>100</v>
      </c>
      <c r="G78" s="18"/>
      <c r="H78" s="18"/>
      <c r="I78" s="18"/>
    </row>
    <row r="79" spans="1:9" x14ac:dyDescent="0.2">
      <c r="F79" s="20" t="s">
        <v>503</v>
      </c>
    </row>
    <row r="81" spans="1:4" x14ac:dyDescent="0.2">
      <c r="A81" s="18" t="s">
        <v>41</v>
      </c>
    </row>
    <row r="82" spans="1:4" x14ac:dyDescent="0.2">
      <c r="A82" s="18" t="s">
        <v>42</v>
      </c>
    </row>
    <row r="83" spans="1:4" x14ac:dyDescent="0.2">
      <c r="A83" s="18" t="s">
        <v>43</v>
      </c>
      <c r="B83" s="18"/>
      <c r="C83" s="39" t="s">
        <v>45</v>
      </c>
      <c r="D83" s="19" t="s">
        <v>44</v>
      </c>
    </row>
    <row r="84" spans="1:4" x14ac:dyDescent="0.2">
      <c r="A84" s="9" t="s">
        <v>70</v>
      </c>
      <c r="C84" s="40">
        <v>30.995000000000001</v>
      </c>
      <c r="D84" s="40">
        <v>32.122399999999999</v>
      </c>
    </row>
    <row r="85" spans="1:4" x14ac:dyDescent="0.2">
      <c r="A85" s="9" t="s">
        <v>76</v>
      </c>
      <c r="C85" s="40">
        <v>16.3065</v>
      </c>
      <c r="D85" s="40">
        <v>16.8996</v>
      </c>
    </row>
    <row r="86" spans="1:4" x14ac:dyDescent="0.2">
      <c r="A86" s="9" t="s">
        <v>73</v>
      </c>
      <c r="C86" s="40">
        <v>32.593200000000003</v>
      </c>
      <c r="D86" s="40">
        <v>33.890999999999998</v>
      </c>
    </row>
    <row r="87" spans="1:4" x14ac:dyDescent="0.2">
      <c r="A87" s="9" t="s">
        <v>77</v>
      </c>
      <c r="C87" s="40">
        <v>17.318300000000001</v>
      </c>
      <c r="D87" s="40">
        <v>18.005299999999998</v>
      </c>
    </row>
    <row r="89" spans="1:4" x14ac:dyDescent="0.2">
      <c r="A89" s="9" t="s">
        <v>46</v>
      </c>
    </row>
    <row r="91" spans="1:4" x14ac:dyDescent="0.2">
      <c r="A91" s="18" t="s">
        <v>47</v>
      </c>
      <c r="D91" s="41" t="s">
        <v>48</v>
      </c>
    </row>
    <row r="93" spans="1:4" x14ac:dyDescent="0.2">
      <c r="A93" s="18" t="s">
        <v>220</v>
      </c>
      <c r="D93" s="45">
        <v>7.1499999999999994E-2</v>
      </c>
    </row>
    <row r="95" spans="1:4" x14ac:dyDescent="0.2">
      <c r="A95" s="18" t="s">
        <v>94</v>
      </c>
    </row>
    <row r="96" spans="1:4" x14ac:dyDescent="0.2">
      <c r="A96" s="50" t="s">
        <v>50</v>
      </c>
    </row>
  </sheetData>
  <mergeCells count="1">
    <mergeCell ref="A1:F1"/>
  </mergeCells>
  <conditionalFormatting sqref="F2:F3 F5:F65534">
    <cfRule type="cellIs" dxfId="13" priority="1" stopIfTrue="1" operator="between">
      <formula>0.009</formula>
      <formula>-0.009</formula>
    </cfRule>
  </conditionalFormatting>
  <hyperlinks>
    <hyperlink ref="A96" r:id="rId1" xr:uid="{00000000-0004-0000-2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88"/>
  <sheetViews>
    <sheetView workbookViewId="0">
      <selection sqref="A1:G1"/>
    </sheetView>
  </sheetViews>
  <sheetFormatPr defaultColWidth="9.109375" defaultRowHeight="10.199999999999999" x14ac:dyDescent="0.2"/>
  <cols>
    <col min="1" max="1" width="38.6640625" style="9" bestFit="1" customWidth="1"/>
    <col min="2" max="2" width="34.33203125" style="9" bestFit="1" customWidth="1"/>
    <col min="3" max="3" width="25.109375" style="9" bestFit="1" customWidth="1"/>
    <col min="4" max="4" width="15.33203125" style="10" bestFit="1" customWidth="1"/>
    <col min="5" max="5" width="23" style="13" bestFit="1" customWidth="1"/>
    <col min="6" max="6" width="14.6640625" style="14" bestFit="1" customWidth="1"/>
    <col min="7" max="16384" width="9.109375" style="9"/>
  </cols>
  <sheetData>
    <row r="1" spans="1:7" s="1" customFormat="1" ht="15" customHeight="1" x14ac:dyDescent="0.2">
      <c r="A1" s="79" t="s">
        <v>21</v>
      </c>
      <c r="B1" s="80"/>
      <c r="C1" s="80"/>
      <c r="D1" s="80"/>
      <c r="E1" s="80"/>
      <c r="F1" s="80"/>
      <c r="G1" s="80"/>
    </row>
    <row r="2" spans="1:7" s="1" customFormat="1" ht="11.4" x14ac:dyDescent="0.2">
      <c r="D2" s="6"/>
      <c r="E2" s="7"/>
      <c r="F2" s="12"/>
    </row>
    <row r="3" spans="1:7" s="1" customFormat="1" ht="12" x14ac:dyDescent="0.2">
      <c r="A3" s="11" t="s">
        <v>7</v>
      </c>
      <c r="B3" s="2"/>
      <c r="C3" s="3"/>
      <c r="D3" s="4"/>
      <c r="E3" s="5"/>
      <c r="F3" s="12"/>
    </row>
    <row r="4" spans="1:7" s="1" customFormat="1" ht="17.399999999999999" customHeight="1" x14ac:dyDescent="0.2">
      <c r="A4" s="8" t="s">
        <v>2</v>
      </c>
      <c r="B4" s="8" t="s">
        <v>0</v>
      </c>
      <c r="C4" s="17" t="s">
        <v>5</v>
      </c>
      <c r="D4" s="16" t="s">
        <v>1</v>
      </c>
      <c r="E4" s="15" t="s">
        <v>3</v>
      </c>
      <c r="F4" s="15" t="s">
        <v>4</v>
      </c>
      <c r="G4" s="15" t="s">
        <v>6</v>
      </c>
    </row>
    <row r="5" spans="1:7" x14ac:dyDescent="0.2">
      <c r="A5" s="21" t="s">
        <v>95</v>
      </c>
      <c r="B5" s="22"/>
      <c r="C5" s="22"/>
      <c r="D5" s="23"/>
      <c r="E5" s="24"/>
      <c r="F5" s="25"/>
      <c r="G5" s="27"/>
    </row>
    <row r="6" spans="1:7" x14ac:dyDescent="0.2">
      <c r="A6" s="26" t="s">
        <v>32</v>
      </c>
      <c r="B6" s="27"/>
      <c r="C6" s="27"/>
      <c r="D6" s="28"/>
      <c r="E6" s="29"/>
      <c r="F6" s="30"/>
      <c r="G6" s="27"/>
    </row>
    <row r="7" spans="1:7" x14ac:dyDescent="0.2">
      <c r="A7" s="27" t="s">
        <v>649</v>
      </c>
      <c r="B7" s="27" t="s">
        <v>648</v>
      </c>
      <c r="C7" s="27" t="s">
        <v>122</v>
      </c>
      <c r="D7" s="31">
        <v>199567</v>
      </c>
      <c r="E7" s="29">
        <v>4212.1608859999997</v>
      </c>
      <c r="F7" s="30">
        <v>10.071850238269301</v>
      </c>
      <c r="G7" s="27"/>
    </row>
    <row r="8" spans="1:7" x14ac:dyDescent="0.2">
      <c r="A8" s="27" t="s">
        <v>100</v>
      </c>
      <c r="B8" s="27" t="s">
        <v>99</v>
      </c>
      <c r="C8" s="27" t="s">
        <v>101</v>
      </c>
      <c r="D8" s="31">
        <v>268691</v>
      </c>
      <c r="E8" s="29">
        <v>4024.7224890000002</v>
      </c>
      <c r="F8" s="30">
        <v>9.6236595080054101</v>
      </c>
      <c r="G8" s="27"/>
    </row>
    <row r="9" spans="1:7" x14ac:dyDescent="0.2">
      <c r="A9" s="27" t="s">
        <v>97</v>
      </c>
      <c r="B9" s="27" t="s">
        <v>96</v>
      </c>
      <c r="C9" s="27" t="s">
        <v>98</v>
      </c>
      <c r="D9" s="31">
        <v>228126</v>
      </c>
      <c r="E9" s="29">
        <v>3606.2158079999999</v>
      </c>
      <c r="F9" s="30">
        <v>8.6229530466836106</v>
      </c>
      <c r="G9" s="27"/>
    </row>
    <row r="10" spans="1:7" x14ac:dyDescent="0.2">
      <c r="A10" s="27" t="s">
        <v>184</v>
      </c>
      <c r="B10" s="27" t="s">
        <v>183</v>
      </c>
      <c r="C10" s="27" t="s">
        <v>185</v>
      </c>
      <c r="D10" s="31">
        <v>111171</v>
      </c>
      <c r="E10" s="29">
        <v>2751.760178</v>
      </c>
      <c r="F10" s="30">
        <v>6.5798332861802296</v>
      </c>
      <c r="G10" s="27"/>
    </row>
    <row r="11" spans="1:7" x14ac:dyDescent="0.2">
      <c r="A11" s="27" t="s">
        <v>105</v>
      </c>
      <c r="B11" s="27" t="s">
        <v>104</v>
      </c>
      <c r="C11" s="27" t="s">
        <v>101</v>
      </c>
      <c r="D11" s="31">
        <v>426099</v>
      </c>
      <c r="E11" s="29">
        <v>2688.2585909999998</v>
      </c>
      <c r="F11" s="30">
        <v>6.42799234480447</v>
      </c>
      <c r="G11" s="27"/>
    </row>
    <row r="12" spans="1:7" x14ac:dyDescent="0.2">
      <c r="A12" s="27" t="s">
        <v>137</v>
      </c>
      <c r="B12" s="27" t="s">
        <v>136</v>
      </c>
      <c r="C12" s="27" t="s">
        <v>98</v>
      </c>
      <c r="D12" s="31">
        <v>63891</v>
      </c>
      <c r="E12" s="29">
        <v>2137.6331329999998</v>
      </c>
      <c r="F12" s="30">
        <v>5.1113718973787501</v>
      </c>
      <c r="G12" s="27"/>
    </row>
    <row r="13" spans="1:7" x14ac:dyDescent="0.2">
      <c r="A13" s="27" t="s">
        <v>116</v>
      </c>
      <c r="B13" s="27" t="s">
        <v>115</v>
      </c>
      <c r="C13" s="27" t="s">
        <v>101</v>
      </c>
      <c r="D13" s="31">
        <v>90908</v>
      </c>
      <c r="E13" s="29">
        <v>1550.7541180000001</v>
      </c>
      <c r="F13" s="30">
        <v>3.7080642586061399</v>
      </c>
      <c r="G13" s="27"/>
    </row>
    <row r="14" spans="1:7" x14ac:dyDescent="0.2">
      <c r="A14" s="27" t="s">
        <v>139</v>
      </c>
      <c r="B14" s="27" t="s">
        <v>138</v>
      </c>
      <c r="C14" s="27" t="s">
        <v>128</v>
      </c>
      <c r="D14" s="31">
        <v>55027</v>
      </c>
      <c r="E14" s="29">
        <v>1359.882251</v>
      </c>
      <c r="F14" s="30">
        <v>3.2516636340448901</v>
      </c>
      <c r="G14" s="27"/>
    </row>
    <row r="15" spans="1:7" x14ac:dyDescent="0.2">
      <c r="A15" s="27" t="s">
        <v>103</v>
      </c>
      <c r="B15" s="27" t="s">
        <v>102</v>
      </c>
      <c r="C15" s="27" t="s">
        <v>101</v>
      </c>
      <c r="D15" s="31">
        <v>151079</v>
      </c>
      <c r="E15" s="29">
        <v>1130.5241570000001</v>
      </c>
      <c r="F15" s="30">
        <v>2.7032372001494398</v>
      </c>
      <c r="G15" s="27"/>
    </row>
    <row r="16" spans="1:7" x14ac:dyDescent="0.2">
      <c r="A16" s="27" t="s">
        <v>191</v>
      </c>
      <c r="B16" s="27" t="s">
        <v>190</v>
      </c>
      <c r="C16" s="27" t="s">
        <v>192</v>
      </c>
      <c r="D16" s="31">
        <v>74721</v>
      </c>
      <c r="E16" s="29">
        <v>1121.225966</v>
      </c>
      <c r="F16" s="30">
        <v>2.6810039593560799</v>
      </c>
      <c r="G16" s="27"/>
    </row>
    <row r="17" spans="1:7" x14ac:dyDescent="0.2">
      <c r="A17" s="27" t="s">
        <v>245</v>
      </c>
      <c r="B17" s="27" t="s">
        <v>244</v>
      </c>
      <c r="C17" s="27" t="s">
        <v>128</v>
      </c>
      <c r="D17" s="31">
        <v>534697</v>
      </c>
      <c r="E17" s="29">
        <v>1083.830819</v>
      </c>
      <c r="F17" s="30">
        <v>2.5915870708716202</v>
      </c>
      <c r="G17" s="27"/>
    </row>
    <row r="18" spans="1:7" x14ac:dyDescent="0.2">
      <c r="A18" s="27" t="s">
        <v>651</v>
      </c>
      <c r="B18" s="27" t="s">
        <v>650</v>
      </c>
      <c r="C18" s="27" t="s">
        <v>185</v>
      </c>
      <c r="D18" s="31">
        <v>16372</v>
      </c>
      <c r="E18" s="29">
        <v>984.91496199999995</v>
      </c>
      <c r="F18" s="30">
        <v>2.3550657876496599</v>
      </c>
      <c r="G18" s="27"/>
    </row>
    <row r="19" spans="1:7" x14ac:dyDescent="0.2">
      <c r="A19" s="27" t="s">
        <v>135</v>
      </c>
      <c r="B19" s="27" t="s">
        <v>134</v>
      </c>
      <c r="C19" s="27" t="s">
        <v>101</v>
      </c>
      <c r="D19" s="31">
        <v>223694</v>
      </c>
      <c r="E19" s="29">
        <v>937.72524799999997</v>
      </c>
      <c r="F19" s="30">
        <v>2.2422287557655101</v>
      </c>
      <c r="G19" s="27"/>
    </row>
    <row r="20" spans="1:7" x14ac:dyDescent="0.2">
      <c r="A20" s="27" t="s">
        <v>505</v>
      </c>
      <c r="B20" s="27" t="s">
        <v>504</v>
      </c>
      <c r="C20" s="27" t="s">
        <v>128</v>
      </c>
      <c r="D20" s="31">
        <v>27774</v>
      </c>
      <c r="E20" s="29">
        <v>831.192498</v>
      </c>
      <c r="F20" s="30">
        <v>1.9874944442064999</v>
      </c>
      <c r="G20" s="27"/>
    </row>
    <row r="21" spans="1:7" x14ac:dyDescent="0.2">
      <c r="A21" s="27" t="s">
        <v>110</v>
      </c>
      <c r="B21" s="27" t="s">
        <v>109</v>
      </c>
      <c r="C21" s="27" t="s">
        <v>111</v>
      </c>
      <c r="D21" s="31">
        <v>143659</v>
      </c>
      <c r="E21" s="29">
        <v>755.14353349999999</v>
      </c>
      <c r="F21" s="30">
        <v>1.80565101468194</v>
      </c>
      <c r="G21" s="27"/>
    </row>
    <row r="22" spans="1:7" x14ac:dyDescent="0.2">
      <c r="A22" s="27" t="s">
        <v>238</v>
      </c>
      <c r="B22" s="27" t="s">
        <v>237</v>
      </c>
      <c r="C22" s="27" t="s">
        <v>98</v>
      </c>
      <c r="D22" s="31">
        <v>67654</v>
      </c>
      <c r="E22" s="29">
        <v>665.37708999999995</v>
      </c>
      <c r="F22" s="30">
        <v>1.5910072249921701</v>
      </c>
      <c r="G22" s="27"/>
    </row>
    <row r="23" spans="1:7" x14ac:dyDescent="0.2">
      <c r="A23" s="27" t="s">
        <v>187</v>
      </c>
      <c r="B23" s="27" t="s">
        <v>186</v>
      </c>
      <c r="C23" s="27" t="s">
        <v>149</v>
      </c>
      <c r="D23" s="31">
        <v>8243</v>
      </c>
      <c r="E23" s="29">
        <v>619.53563699999995</v>
      </c>
      <c r="F23" s="30">
        <v>1.4813940687484799</v>
      </c>
      <c r="G23" s="27"/>
    </row>
    <row r="24" spans="1:7" x14ac:dyDescent="0.2">
      <c r="A24" s="27" t="s">
        <v>653</v>
      </c>
      <c r="B24" s="27" t="s">
        <v>652</v>
      </c>
      <c r="C24" s="27" t="s">
        <v>654</v>
      </c>
      <c r="D24" s="31">
        <v>46210</v>
      </c>
      <c r="E24" s="29">
        <v>539.08586000000003</v>
      </c>
      <c r="F24" s="30">
        <v>1.2890276972883401</v>
      </c>
      <c r="G24" s="27"/>
    </row>
    <row r="25" spans="1:7" x14ac:dyDescent="0.2">
      <c r="A25" s="27" t="s">
        <v>656</v>
      </c>
      <c r="B25" s="27" t="s">
        <v>655</v>
      </c>
      <c r="C25" s="27" t="s">
        <v>98</v>
      </c>
      <c r="D25" s="31">
        <v>87723</v>
      </c>
      <c r="E25" s="29">
        <v>478.6605495</v>
      </c>
      <c r="F25" s="30">
        <v>1.1445425519132699</v>
      </c>
      <c r="G25" s="27"/>
    </row>
    <row r="26" spans="1:7" x14ac:dyDescent="0.2">
      <c r="A26" s="27" t="s">
        <v>544</v>
      </c>
      <c r="B26" s="27" t="s">
        <v>543</v>
      </c>
      <c r="C26" s="27" t="s">
        <v>172</v>
      </c>
      <c r="D26" s="31">
        <v>6984</v>
      </c>
      <c r="E26" s="29">
        <v>473.23584</v>
      </c>
      <c r="F26" s="30">
        <v>1.1315713328290899</v>
      </c>
      <c r="G26" s="27"/>
    </row>
    <row r="27" spans="1:7" x14ac:dyDescent="0.2">
      <c r="A27" s="27" t="s">
        <v>148</v>
      </c>
      <c r="B27" s="27" t="s">
        <v>147</v>
      </c>
      <c r="C27" s="27" t="s">
        <v>149</v>
      </c>
      <c r="D27" s="31">
        <v>58902</v>
      </c>
      <c r="E27" s="29">
        <v>458.08085399999999</v>
      </c>
      <c r="F27" s="30">
        <v>1.0953336976850001</v>
      </c>
      <c r="G27" s="27"/>
    </row>
    <row r="28" spans="1:7" x14ac:dyDescent="0.2">
      <c r="A28" s="27" t="s">
        <v>658</v>
      </c>
      <c r="B28" s="27" t="s">
        <v>657</v>
      </c>
      <c r="C28" s="27" t="s">
        <v>547</v>
      </c>
      <c r="D28" s="31">
        <v>3706</v>
      </c>
      <c r="E28" s="29">
        <v>448.761393</v>
      </c>
      <c r="F28" s="30">
        <v>1.07304959742535</v>
      </c>
      <c r="G28" s="27"/>
    </row>
    <row r="29" spans="1:7" x14ac:dyDescent="0.2">
      <c r="A29" s="27" t="s">
        <v>532</v>
      </c>
      <c r="B29" s="27" t="s">
        <v>531</v>
      </c>
      <c r="C29" s="27" t="s">
        <v>125</v>
      </c>
      <c r="D29" s="31">
        <v>66051</v>
      </c>
      <c r="E29" s="29">
        <v>446.1414795</v>
      </c>
      <c r="F29" s="30">
        <v>1.0667850274995101</v>
      </c>
      <c r="G29" s="27"/>
    </row>
    <row r="30" spans="1:7" x14ac:dyDescent="0.2">
      <c r="A30" s="27" t="s">
        <v>226</v>
      </c>
      <c r="B30" s="27" t="s">
        <v>225</v>
      </c>
      <c r="C30" s="27" t="s">
        <v>114</v>
      </c>
      <c r="D30" s="31">
        <v>25701</v>
      </c>
      <c r="E30" s="29">
        <v>445.26982500000003</v>
      </c>
      <c r="F30" s="30">
        <v>1.0647007828989099</v>
      </c>
      <c r="G30" s="27"/>
    </row>
    <row r="31" spans="1:7" x14ac:dyDescent="0.2">
      <c r="A31" s="27" t="s">
        <v>196</v>
      </c>
      <c r="B31" s="27" t="s">
        <v>195</v>
      </c>
      <c r="C31" s="27" t="s">
        <v>98</v>
      </c>
      <c r="D31" s="31">
        <v>37572</v>
      </c>
      <c r="E31" s="29">
        <v>411.58247399999999</v>
      </c>
      <c r="F31" s="30">
        <v>0.98414973953213802</v>
      </c>
      <c r="G31" s="27"/>
    </row>
    <row r="32" spans="1:7" x14ac:dyDescent="0.2">
      <c r="A32" s="27" t="s">
        <v>660</v>
      </c>
      <c r="B32" s="27" t="s">
        <v>659</v>
      </c>
      <c r="C32" s="27" t="s">
        <v>654</v>
      </c>
      <c r="D32" s="31">
        <v>58927</v>
      </c>
      <c r="E32" s="29">
        <v>403.00175300000001</v>
      </c>
      <c r="F32" s="30">
        <v>0.96363206720494399</v>
      </c>
      <c r="G32" s="27"/>
    </row>
    <row r="33" spans="1:7" x14ac:dyDescent="0.2">
      <c r="A33" s="27" t="s">
        <v>124</v>
      </c>
      <c r="B33" s="27" t="s">
        <v>123</v>
      </c>
      <c r="C33" s="27" t="s">
        <v>125</v>
      </c>
      <c r="D33" s="31">
        <v>7297</v>
      </c>
      <c r="E33" s="29">
        <v>395.71995850000002</v>
      </c>
      <c r="F33" s="30">
        <v>0.946220305010955</v>
      </c>
      <c r="G33" s="27"/>
    </row>
    <row r="34" spans="1:7" x14ac:dyDescent="0.2">
      <c r="A34" s="27" t="s">
        <v>215</v>
      </c>
      <c r="B34" s="27" t="s">
        <v>214</v>
      </c>
      <c r="C34" s="27" t="s">
        <v>128</v>
      </c>
      <c r="D34" s="31">
        <v>2189</v>
      </c>
      <c r="E34" s="29">
        <v>385.98637000000002</v>
      </c>
      <c r="F34" s="30">
        <v>0.92294596950805896</v>
      </c>
      <c r="G34" s="27"/>
    </row>
    <row r="35" spans="1:7" x14ac:dyDescent="0.2">
      <c r="A35" s="27" t="s">
        <v>162</v>
      </c>
      <c r="B35" s="27" t="s">
        <v>161</v>
      </c>
      <c r="C35" s="27" t="s">
        <v>149</v>
      </c>
      <c r="D35" s="31">
        <v>108853</v>
      </c>
      <c r="E35" s="29">
        <v>369.66478799999999</v>
      </c>
      <c r="F35" s="30">
        <v>0.88391884447539204</v>
      </c>
      <c r="G35" s="27"/>
    </row>
    <row r="36" spans="1:7" x14ac:dyDescent="0.2">
      <c r="A36" s="27" t="s">
        <v>141</v>
      </c>
      <c r="B36" s="27" t="s">
        <v>140</v>
      </c>
      <c r="C36" s="27" t="s">
        <v>142</v>
      </c>
      <c r="D36" s="31">
        <v>156065</v>
      </c>
      <c r="E36" s="29">
        <v>362.69506000000001</v>
      </c>
      <c r="F36" s="30">
        <v>0.86725327577625</v>
      </c>
      <c r="G36" s="27"/>
    </row>
    <row r="37" spans="1:7" x14ac:dyDescent="0.2">
      <c r="A37" s="27" t="s">
        <v>542</v>
      </c>
      <c r="B37" s="27" t="s">
        <v>541</v>
      </c>
      <c r="C37" s="27" t="s">
        <v>101</v>
      </c>
      <c r="D37" s="31">
        <v>34804</v>
      </c>
      <c r="E37" s="29">
        <v>353.73045400000001</v>
      </c>
      <c r="F37" s="30">
        <v>0.845817682141356</v>
      </c>
      <c r="G37" s="27"/>
    </row>
    <row r="38" spans="1:7" x14ac:dyDescent="0.2">
      <c r="A38" s="27" t="s">
        <v>171</v>
      </c>
      <c r="B38" s="27" t="s">
        <v>170</v>
      </c>
      <c r="C38" s="27" t="s">
        <v>172</v>
      </c>
      <c r="D38" s="31">
        <v>23263</v>
      </c>
      <c r="E38" s="29">
        <v>348.65421250000003</v>
      </c>
      <c r="F38" s="30">
        <v>0.83367969749522797</v>
      </c>
      <c r="G38" s="27"/>
    </row>
    <row r="39" spans="1:7" x14ac:dyDescent="0.2">
      <c r="A39" s="27" t="s">
        <v>662</v>
      </c>
      <c r="B39" s="27" t="s">
        <v>661</v>
      </c>
      <c r="C39" s="27" t="s">
        <v>125</v>
      </c>
      <c r="D39" s="31">
        <v>7753</v>
      </c>
      <c r="E39" s="29">
        <v>341.77162249999998</v>
      </c>
      <c r="F39" s="30">
        <v>0.81722248761945904</v>
      </c>
      <c r="G39" s="27"/>
    </row>
    <row r="40" spans="1:7" x14ac:dyDescent="0.2">
      <c r="A40" s="27" t="s">
        <v>664</v>
      </c>
      <c r="B40" s="27" t="s">
        <v>663</v>
      </c>
      <c r="C40" s="27" t="s">
        <v>547</v>
      </c>
      <c r="D40" s="31">
        <v>49238</v>
      </c>
      <c r="E40" s="29">
        <v>337.92039399999999</v>
      </c>
      <c r="F40" s="30">
        <v>0.80801367586341299</v>
      </c>
      <c r="G40" s="27"/>
    </row>
    <row r="41" spans="1:7" x14ac:dyDescent="0.2">
      <c r="A41" s="27" t="s">
        <v>151</v>
      </c>
      <c r="B41" s="27" t="s">
        <v>150</v>
      </c>
      <c r="C41" s="27" t="s">
        <v>149</v>
      </c>
      <c r="D41" s="31">
        <v>8023</v>
      </c>
      <c r="E41" s="29">
        <v>331.65878550000002</v>
      </c>
      <c r="F41" s="30">
        <v>0.79304131731170402</v>
      </c>
      <c r="G41" s="27"/>
    </row>
    <row r="42" spans="1:7" x14ac:dyDescent="0.2">
      <c r="A42" s="27" t="s">
        <v>144</v>
      </c>
      <c r="B42" s="27" t="s">
        <v>143</v>
      </c>
      <c r="C42" s="27" t="s">
        <v>142</v>
      </c>
      <c r="D42" s="31">
        <v>284678</v>
      </c>
      <c r="E42" s="29">
        <v>331.36519199999998</v>
      </c>
      <c r="F42" s="30">
        <v>0.79233929527528202</v>
      </c>
      <c r="G42" s="27"/>
    </row>
    <row r="43" spans="1:7" x14ac:dyDescent="0.2">
      <c r="A43" s="27" t="s">
        <v>666</v>
      </c>
      <c r="B43" s="27" t="s">
        <v>665</v>
      </c>
      <c r="C43" s="27" t="s">
        <v>302</v>
      </c>
      <c r="D43" s="31">
        <v>45543</v>
      </c>
      <c r="E43" s="29">
        <v>320.48609099999999</v>
      </c>
      <c r="F43" s="30">
        <v>0.76632588340319596</v>
      </c>
      <c r="G43" s="27"/>
    </row>
    <row r="44" spans="1:7" x14ac:dyDescent="0.2">
      <c r="A44" s="27" t="s">
        <v>118</v>
      </c>
      <c r="B44" s="27" t="s">
        <v>117</v>
      </c>
      <c r="C44" s="27" t="s">
        <v>119</v>
      </c>
      <c r="D44" s="31">
        <v>85899</v>
      </c>
      <c r="E44" s="29">
        <v>319.58722949999998</v>
      </c>
      <c r="F44" s="30">
        <v>0.76417658316088199</v>
      </c>
      <c r="G44" s="27"/>
    </row>
    <row r="45" spans="1:7" x14ac:dyDescent="0.2">
      <c r="A45" s="27" t="s">
        <v>514</v>
      </c>
      <c r="B45" s="27" t="s">
        <v>513</v>
      </c>
      <c r="C45" s="27" t="s">
        <v>125</v>
      </c>
      <c r="D45" s="31">
        <v>30814</v>
      </c>
      <c r="E45" s="29">
        <v>299.48126600000001</v>
      </c>
      <c r="F45" s="30">
        <v>0.716100486651565</v>
      </c>
      <c r="G45" s="27"/>
    </row>
    <row r="46" spans="1:7" x14ac:dyDescent="0.2">
      <c r="A46" s="27" t="s">
        <v>668</v>
      </c>
      <c r="B46" s="27" t="s">
        <v>667</v>
      </c>
      <c r="C46" s="27" t="s">
        <v>128</v>
      </c>
      <c r="D46" s="31">
        <v>7175</v>
      </c>
      <c r="E46" s="29">
        <v>261.86238750000001</v>
      </c>
      <c r="F46" s="30">
        <v>0.62614862568562302</v>
      </c>
      <c r="G46" s="27"/>
    </row>
    <row r="47" spans="1:7" x14ac:dyDescent="0.2">
      <c r="A47" s="27" t="s">
        <v>670</v>
      </c>
      <c r="B47" s="27" t="s">
        <v>669</v>
      </c>
      <c r="C47" s="27" t="s">
        <v>480</v>
      </c>
      <c r="D47" s="31">
        <v>32142</v>
      </c>
      <c r="E47" s="29">
        <v>254.83784700000001</v>
      </c>
      <c r="F47" s="30">
        <v>0.60935199283529495</v>
      </c>
      <c r="G47" s="27"/>
    </row>
    <row r="48" spans="1:7" x14ac:dyDescent="0.2">
      <c r="A48" s="27" t="s">
        <v>273</v>
      </c>
      <c r="B48" s="27" t="s">
        <v>272</v>
      </c>
      <c r="C48" s="27" t="s">
        <v>128</v>
      </c>
      <c r="D48" s="31">
        <v>33313</v>
      </c>
      <c r="E48" s="29">
        <v>251.31327200000001</v>
      </c>
      <c r="F48" s="30">
        <v>0.60092425407737204</v>
      </c>
      <c r="G48" s="27"/>
    </row>
    <row r="49" spans="1:9" x14ac:dyDescent="0.2">
      <c r="A49" s="27" t="s">
        <v>286</v>
      </c>
      <c r="B49" s="27" t="s">
        <v>285</v>
      </c>
      <c r="C49" s="27" t="s">
        <v>287</v>
      </c>
      <c r="D49" s="31">
        <v>210784</v>
      </c>
      <c r="E49" s="29">
        <v>248.09276800000001</v>
      </c>
      <c r="F49" s="30">
        <v>0.59322359048506801</v>
      </c>
      <c r="G49" s="27"/>
    </row>
    <row r="50" spans="1:9" x14ac:dyDescent="0.2">
      <c r="A50" s="27" t="s">
        <v>546</v>
      </c>
      <c r="B50" s="27" t="s">
        <v>545</v>
      </c>
      <c r="C50" s="27" t="s">
        <v>547</v>
      </c>
      <c r="D50" s="31">
        <v>23408</v>
      </c>
      <c r="E50" s="29">
        <v>235.987752</v>
      </c>
      <c r="F50" s="30">
        <v>0.564278848918078</v>
      </c>
      <c r="G50" s="27"/>
    </row>
    <row r="51" spans="1:9" x14ac:dyDescent="0.2">
      <c r="A51" s="27" t="s">
        <v>672</v>
      </c>
      <c r="B51" s="27" t="s">
        <v>671</v>
      </c>
      <c r="C51" s="27" t="s">
        <v>149</v>
      </c>
      <c r="D51" s="31">
        <v>7692</v>
      </c>
      <c r="E51" s="29">
        <v>223.26799199999999</v>
      </c>
      <c r="F51" s="30">
        <v>0.53386417073887205</v>
      </c>
      <c r="G51" s="27"/>
    </row>
    <row r="52" spans="1:9" x14ac:dyDescent="0.2">
      <c r="A52" s="27" t="s">
        <v>674</v>
      </c>
      <c r="B52" s="27" t="s">
        <v>673</v>
      </c>
      <c r="C52" s="27" t="s">
        <v>149</v>
      </c>
      <c r="D52" s="31">
        <v>8296</v>
      </c>
      <c r="E52" s="29">
        <v>221.59860399999999</v>
      </c>
      <c r="F52" s="30">
        <v>0.52987243671431306</v>
      </c>
      <c r="G52" s="27"/>
    </row>
    <row r="53" spans="1:9" x14ac:dyDescent="0.2">
      <c r="A53" s="27" t="s">
        <v>153</v>
      </c>
      <c r="B53" s="27" t="s">
        <v>152</v>
      </c>
      <c r="C53" s="27" t="s">
        <v>122</v>
      </c>
      <c r="D53" s="31">
        <v>47078</v>
      </c>
      <c r="E53" s="29">
        <v>220.372118</v>
      </c>
      <c r="F53" s="30">
        <v>0.52693974168065705</v>
      </c>
      <c r="G53" s="27"/>
    </row>
    <row r="54" spans="1:9" x14ac:dyDescent="0.2">
      <c r="A54" s="27" t="s">
        <v>676</v>
      </c>
      <c r="B54" s="27" t="s">
        <v>675</v>
      </c>
      <c r="C54" s="27" t="s">
        <v>172</v>
      </c>
      <c r="D54" s="31">
        <v>781</v>
      </c>
      <c r="E54" s="29">
        <v>214.81092599999999</v>
      </c>
      <c r="F54" s="30">
        <v>0.51364217435448301</v>
      </c>
      <c r="G54" s="27"/>
    </row>
    <row r="55" spans="1:9" x14ac:dyDescent="0.2">
      <c r="A55" s="27" t="s">
        <v>174</v>
      </c>
      <c r="B55" s="27" t="s">
        <v>173</v>
      </c>
      <c r="C55" s="27" t="s">
        <v>175</v>
      </c>
      <c r="D55" s="31">
        <v>123394</v>
      </c>
      <c r="E55" s="29">
        <v>180.957301</v>
      </c>
      <c r="F55" s="30">
        <v>0.43269354721257802</v>
      </c>
      <c r="G55" s="27"/>
    </row>
    <row r="56" spans="1:9" x14ac:dyDescent="0.2">
      <c r="A56" s="27" t="s">
        <v>211</v>
      </c>
      <c r="B56" s="27" t="s">
        <v>210</v>
      </c>
      <c r="C56" s="27" t="s">
        <v>122</v>
      </c>
      <c r="D56" s="31">
        <v>146180</v>
      </c>
      <c r="E56" s="29">
        <v>157.72821999999999</v>
      </c>
      <c r="F56" s="30">
        <v>0.37714965149334301</v>
      </c>
      <c r="G56" s="27"/>
    </row>
    <row r="57" spans="1:9" x14ac:dyDescent="0.2">
      <c r="A57" s="27" t="s">
        <v>678</v>
      </c>
      <c r="B57" s="27" t="s">
        <v>677</v>
      </c>
      <c r="C57" s="27" t="s">
        <v>101</v>
      </c>
      <c r="D57" s="31">
        <v>92088</v>
      </c>
      <c r="E57" s="29">
        <v>9.2088000000000003E-5</v>
      </c>
      <c r="F57" s="30">
        <v>2.2019494740205E-7</v>
      </c>
      <c r="G57" s="27"/>
    </row>
    <row r="58" spans="1:9" x14ac:dyDescent="0.2">
      <c r="A58" s="26" t="s">
        <v>35</v>
      </c>
      <c r="B58" s="26"/>
      <c r="C58" s="26"/>
      <c r="D58" s="32"/>
      <c r="E58" s="33">
        <f>SUM(E7:E57)</f>
        <v>41534.228095587991</v>
      </c>
      <c r="F58" s="34">
        <f>SUM(F7:F57)</f>
        <v>99.313994992754189</v>
      </c>
      <c r="G58" s="26"/>
      <c r="H58" s="18"/>
      <c r="I58" s="18"/>
    </row>
    <row r="59" spans="1:9" x14ac:dyDescent="0.2">
      <c r="A59" s="27"/>
      <c r="B59" s="27"/>
      <c r="C59" s="27"/>
      <c r="D59" s="28"/>
      <c r="E59" s="29"/>
      <c r="F59" s="30"/>
      <c r="G59" s="27"/>
    </row>
    <row r="60" spans="1:9" x14ac:dyDescent="0.2">
      <c r="A60" s="26" t="s">
        <v>31</v>
      </c>
      <c r="B60" s="27"/>
      <c r="C60" s="27"/>
      <c r="D60" s="28"/>
      <c r="E60" s="29"/>
      <c r="F60" s="30"/>
      <c r="G60" s="27"/>
    </row>
    <row r="61" spans="1:9" x14ac:dyDescent="0.2">
      <c r="A61" s="26" t="s">
        <v>32</v>
      </c>
      <c r="B61" s="27"/>
      <c r="C61" s="27"/>
      <c r="D61" s="28"/>
      <c r="E61" s="29"/>
      <c r="F61" s="30"/>
      <c r="G61" s="27"/>
    </row>
    <row r="62" spans="1:9" x14ac:dyDescent="0.2">
      <c r="A62" s="27" t="s">
        <v>680</v>
      </c>
      <c r="B62" s="27" t="s">
        <v>679</v>
      </c>
      <c r="C62" s="27" t="s">
        <v>34</v>
      </c>
      <c r="D62" s="31">
        <v>7175</v>
      </c>
      <c r="E62" s="29">
        <v>2.0698780999999999</v>
      </c>
      <c r="F62" s="30">
        <v>4.9493603874354404E-3</v>
      </c>
      <c r="G62" s="51">
        <v>5.7</v>
      </c>
    </row>
    <row r="63" spans="1:9" x14ac:dyDescent="0.2">
      <c r="A63" s="26" t="s">
        <v>35</v>
      </c>
      <c r="B63" s="26"/>
      <c r="C63" s="26"/>
      <c r="D63" s="32"/>
      <c r="E63" s="33">
        <f>SUM(E61:E62)</f>
        <v>2.0698780999999999</v>
      </c>
      <c r="F63" s="34">
        <f>SUM(F61:F62)</f>
        <v>4.9493603874354404E-3</v>
      </c>
      <c r="G63" s="26"/>
      <c r="H63" s="18"/>
      <c r="I63" s="18"/>
    </row>
    <row r="64" spans="1:9" x14ac:dyDescent="0.2">
      <c r="A64" s="27"/>
      <c r="B64" s="27"/>
      <c r="C64" s="27"/>
      <c r="D64" s="28"/>
      <c r="E64" s="29"/>
      <c r="F64" s="30"/>
      <c r="G64" s="27"/>
    </row>
    <row r="65" spans="1:9" x14ac:dyDescent="0.2">
      <c r="A65" s="26" t="s">
        <v>37</v>
      </c>
      <c r="B65" s="26"/>
      <c r="C65" s="26"/>
      <c r="D65" s="32"/>
      <c r="E65" s="33">
        <f>E58+E63</f>
        <v>41536.297973687993</v>
      </c>
      <c r="F65" s="34">
        <f>F58+F63</f>
        <v>99.318944353141632</v>
      </c>
      <c r="G65" s="26"/>
      <c r="H65" s="18"/>
      <c r="I65" s="18"/>
    </row>
    <row r="66" spans="1:9" x14ac:dyDescent="0.2">
      <c r="A66" s="26"/>
      <c r="B66" s="26"/>
      <c r="C66" s="26"/>
      <c r="D66" s="32"/>
      <c r="E66" s="33"/>
      <c r="F66" s="34"/>
      <c r="G66" s="26"/>
      <c r="H66" s="18"/>
      <c r="I66" s="18"/>
    </row>
    <row r="67" spans="1:9" x14ac:dyDescent="0.2">
      <c r="A67" s="26" t="s">
        <v>39</v>
      </c>
      <c r="B67" s="26"/>
      <c r="C67" s="26"/>
      <c r="D67" s="32"/>
      <c r="E67" s="33">
        <f>E69-(E58+E63)</f>
        <v>284.82512041200971</v>
      </c>
      <c r="F67" s="34">
        <f>F69-(F58+F63)</f>
        <v>0.68105564685836839</v>
      </c>
      <c r="G67" s="26"/>
      <c r="H67" s="18"/>
      <c r="I67" s="18"/>
    </row>
    <row r="68" spans="1:9" x14ac:dyDescent="0.2">
      <c r="A68" s="26"/>
      <c r="B68" s="26"/>
      <c r="C68" s="26"/>
      <c r="D68" s="32"/>
      <c r="E68" s="33"/>
      <c r="F68" s="34"/>
      <c r="G68" s="26"/>
      <c r="H68" s="18"/>
      <c r="I68" s="18"/>
    </row>
    <row r="69" spans="1:9" x14ac:dyDescent="0.2">
      <c r="A69" s="35" t="s">
        <v>38</v>
      </c>
      <c r="B69" s="35"/>
      <c r="C69" s="35"/>
      <c r="D69" s="36"/>
      <c r="E69" s="37">
        <v>41821.123094100003</v>
      </c>
      <c r="F69" s="38">
        <v>100</v>
      </c>
      <c r="G69" s="35"/>
      <c r="H69" s="18"/>
      <c r="I69" s="18"/>
    </row>
    <row r="70" spans="1:9" x14ac:dyDescent="0.2">
      <c r="F70" s="20" t="s">
        <v>503</v>
      </c>
    </row>
    <row r="71" spans="1:9" x14ac:dyDescent="0.2">
      <c r="A71" s="18" t="s">
        <v>40</v>
      </c>
      <c r="F71" s="20"/>
    </row>
    <row r="73" spans="1:9" x14ac:dyDescent="0.2">
      <c r="A73" s="18" t="s">
        <v>41</v>
      </c>
    </row>
    <row r="74" spans="1:9" x14ac:dyDescent="0.2">
      <c r="A74" s="18" t="s">
        <v>42</v>
      </c>
    </row>
    <row r="75" spans="1:9" x14ac:dyDescent="0.2">
      <c r="A75" s="18" t="s">
        <v>43</v>
      </c>
      <c r="B75" s="18"/>
      <c r="C75" s="39" t="s">
        <v>45</v>
      </c>
      <c r="D75" s="19" t="s">
        <v>44</v>
      </c>
    </row>
    <row r="76" spans="1:9" x14ac:dyDescent="0.2">
      <c r="A76" s="9" t="s">
        <v>70</v>
      </c>
      <c r="C76" s="40">
        <v>110.4085</v>
      </c>
      <c r="D76" s="40">
        <v>124.2646</v>
      </c>
    </row>
    <row r="77" spans="1:9" x14ac:dyDescent="0.2">
      <c r="A77" s="9" t="s">
        <v>76</v>
      </c>
      <c r="C77" s="40">
        <v>110.4085</v>
      </c>
      <c r="D77" s="40">
        <v>124.2646</v>
      </c>
    </row>
    <row r="78" spans="1:9" x14ac:dyDescent="0.2">
      <c r="A78" s="9" t="s">
        <v>73</v>
      </c>
      <c r="C78" s="40">
        <v>113.96720000000001</v>
      </c>
      <c r="D78" s="40">
        <v>128.53219999999999</v>
      </c>
    </row>
    <row r="79" spans="1:9" x14ac:dyDescent="0.2">
      <c r="A79" s="9" t="s">
        <v>77</v>
      </c>
      <c r="C79" s="40">
        <v>113.96720000000001</v>
      </c>
      <c r="D79" s="40">
        <v>128.53219999999999</v>
      </c>
    </row>
    <row r="81" spans="1:4" x14ac:dyDescent="0.2">
      <c r="A81" s="9" t="s">
        <v>46</v>
      </c>
    </row>
    <row r="83" spans="1:4" x14ac:dyDescent="0.2">
      <c r="A83" s="18" t="s">
        <v>47</v>
      </c>
      <c r="D83" s="41" t="s">
        <v>48</v>
      </c>
    </row>
    <row r="85" spans="1:4" x14ac:dyDescent="0.2">
      <c r="A85" s="18" t="s">
        <v>220</v>
      </c>
      <c r="D85" s="45">
        <v>5.5999999999999999E-3</v>
      </c>
    </row>
    <row r="87" spans="1:4" x14ac:dyDescent="0.2">
      <c r="A87" s="18" t="s">
        <v>94</v>
      </c>
    </row>
    <row r="88" spans="1:4" x14ac:dyDescent="0.2">
      <c r="A88" s="50" t="s">
        <v>50</v>
      </c>
    </row>
  </sheetData>
  <mergeCells count="1">
    <mergeCell ref="A1:G1"/>
  </mergeCells>
  <conditionalFormatting sqref="F2:F3 F5:F65535">
    <cfRule type="cellIs" dxfId="12" priority="1" stopIfTrue="1" operator="between">
      <formula>0.009</formula>
      <formula>-0.009</formula>
    </cfRule>
  </conditionalFormatting>
  <hyperlinks>
    <hyperlink ref="A88" r:id="rId1" xr:uid="{00000000-0004-0000-2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99"/>
  <sheetViews>
    <sheetView workbookViewId="0">
      <selection sqref="A1:F1"/>
    </sheetView>
  </sheetViews>
  <sheetFormatPr defaultColWidth="9.109375" defaultRowHeight="10.199999999999999" x14ac:dyDescent="0.2"/>
  <cols>
    <col min="1" max="1" width="38.6640625" style="9" bestFit="1" customWidth="1"/>
    <col min="2" max="2" width="36.33203125" style="9" bestFit="1" customWidth="1"/>
    <col min="3" max="3" width="24.6640625"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3.8" x14ac:dyDescent="0.2">
      <c r="A1" s="79" t="s">
        <v>22</v>
      </c>
      <c r="B1" s="80"/>
      <c r="C1" s="80"/>
      <c r="D1" s="80"/>
      <c r="E1" s="80"/>
      <c r="F1" s="8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261</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97</v>
      </c>
      <c r="B7" s="27" t="s">
        <v>96</v>
      </c>
      <c r="C7" s="27" t="s">
        <v>98</v>
      </c>
      <c r="D7" s="31">
        <v>2778479</v>
      </c>
      <c r="E7" s="29">
        <v>43922.196029999999</v>
      </c>
      <c r="F7" s="30">
        <v>9.2679762379969404</v>
      </c>
    </row>
    <row r="8" spans="1:6" x14ac:dyDescent="0.2">
      <c r="A8" s="27" t="s">
        <v>103</v>
      </c>
      <c r="B8" s="27" t="s">
        <v>102</v>
      </c>
      <c r="C8" s="27" t="s">
        <v>101</v>
      </c>
      <c r="D8" s="31">
        <v>5129842</v>
      </c>
      <c r="E8" s="29">
        <v>38386.607689999997</v>
      </c>
      <c r="F8" s="30">
        <v>8.0999175834749497</v>
      </c>
    </row>
    <row r="9" spans="1:6" x14ac:dyDescent="0.2">
      <c r="A9" s="27" t="s">
        <v>100</v>
      </c>
      <c r="B9" s="27" t="s">
        <v>99</v>
      </c>
      <c r="C9" s="27" t="s">
        <v>101</v>
      </c>
      <c r="D9" s="31">
        <v>2480104</v>
      </c>
      <c r="E9" s="29">
        <v>37149.47782</v>
      </c>
      <c r="F9" s="30">
        <v>7.8388721150142002</v>
      </c>
    </row>
    <row r="10" spans="1:6" x14ac:dyDescent="0.2">
      <c r="A10" s="27" t="s">
        <v>105</v>
      </c>
      <c r="B10" s="27" t="s">
        <v>104</v>
      </c>
      <c r="C10" s="27" t="s">
        <v>101</v>
      </c>
      <c r="D10" s="31">
        <v>4283052</v>
      </c>
      <c r="E10" s="29">
        <v>27021.77507</v>
      </c>
      <c r="F10" s="30">
        <v>5.70183624439459</v>
      </c>
    </row>
    <row r="11" spans="1:6" x14ac:dyDescent="0.2">
      <c r="A11" s="27" t="s">
        <v>141</v>
      </c>
      <c r="B11" s="27" t="s">
        <v>140</v>
      </c>
      <c r="C11" s="27" t="s">
        <v>142</v>
      </c>
      <c r="D11" s="31">
        <v>8119223</v>
      </c>
      <c r="E11" s="29">
        <v>18869.074250000001</v>
      </c>
      <c r="F11" s="30">
        <v>3.9815434470205799</v>
      </c>
    </row>
    <row r="12" spans="1:6" x14ac:dyDescent="0.2">
      <c r="A12" s="27" t="s">
        <v>189</v>
      </c>
      <c r="B12" s="27" t="s">
        <v>188</v>
      </c>
      <c r="C12" s="27" t="s">
        <v>142</v>
      </c>
      <c r="D12" s="31">
        <v>14396794</v>
      </c>
      <c r="E12" s="29">
        <v>17578.48547</v>
      </c>
      <c r="F12" s="30">
        <v>3.7092176703700801</v>
      </c>
    </row>
    <row r="13" spans="1:6" x14ac:dyDescent="0.2">
      <c r="A13" s="27" t="s">
        <v>146</v>
      </c>
      <c r="B13" s="27" t="s">
        <v>145</v>
      </c>
      <c r="C13" s="27" t="s">
        <v>128</v>
      </c>
      <c r="D13" s="31">
        <v>871834</v>
      </c>
      <c r="E13" s="29">
        <v>12609.335139999999</v>
      </c>
      <c r="F13" s="30">
        <v>2.6606825026380601</v>
      </c>
    </row>
    <row r="14" spans="1:6" x14ac:dyDescent="0.2">
      <c r="A14" s="27" t="s">
        <v>171</v>
      </c>
      <c r="B14" s="27" t="s">
        <v>170</v>
      </c>
      <c r="C14" s="27" t="s">
        <v>172</v>
      </c>
      <c r="D14" s="31">
        <v>831440</v>
      </c>
      <c r="E14" s="29">
        <v>12461.207</v>
      </c>
      <c r="F14" s="30">
        <v>2.6294261401201</v>
      </c>
    </row>
    <row r="15" spans="1:6" x14ac:dyDescent="0.2">
      <c r="A15" s="27" t="s">
        <v>110</v>
      </c>
      <c r="B15" s="27" t="s">
        <v>109</v>
      </c>
      <c r="C15" s="27" t="s">
        <v>111</v>
      </c>
      <c r="D15" s="31">
        <v>2294619</v>
      </c>
      <c r="E15" s="29">
        <v>12061.664769999999</v>
      </c>
      <c r="F15" s="30">
        <v>2.54511915576105</v>
      </c>
    </row>
    <row r="16" spans="1:6" x14ac:dyDescent="0.2">
      <c r="A16" s="27" t="s">
        <v>116</v>
      </c>
      <c r="B16" s="27" t="s">
        <v>115</v>
      </c>
      <c r="C16" s="27" t="s">
        <v>101</v>
      </c>
      <c r="D16" s="31">
        <v>699652</v>
      </c>
      <c r="E16" s="29">
        <v>11935.013639999999</v>
      </c>
      <c r="F16" s="30">
        <v>2.5183946344608401</v>
      </c>
    </row>
    <row r="17" spans="1:6" x14ac:dyDescent="0.2">
      <c r="A17" s="27" t="s">
        <v>191</v>
      </c>
      <c r="B17" s="27" t="s">
        <v>190</v>
      </c>
      <c r="C17" s="27" t="s">
        <v>192</v>
      </c>
      <c r="D17" s="31">
        <v>757133</v>
      </c>
      <c r="E17" s="29">
        <v>11361.159229999999</v>
      </c>
      <c r="F17" s="30">
        <v>2.3973062209325899</v>
      </c>
    </row>
    <row r="18" spans="1:6" x14ac:dyDescent="0.2">
      <c r="A18" s="27" t="s">
        <v>139</v>
      </c>
      <c r="B18" s="27" t="s">
        <v>138</v>
      </c>
      <c r="C18" s="27" t="s">
        <v>128</v>
      </c>
      <c r="D18" s="31">
        <v>456440</v>
      </c>
      <c r="E18" s="29">
        <v>11280.00172</v>
      </c>
      <c r="F18" s="30">
        <v>2.3801812603841399</v>
      </c>
    </row>
    <row r="19" spans="1:6" x14ac:dyDescent="0.2">
      <c r="A19" s="27" t="s">
        <v>157</v>
      </c>
      <c r="B19" s="27" t="s">
        <v>156</v>
      </c>
      <c r="C19" s="27" t="s">
        <v>101</v>
      </c>
      <c r="D19" s="31">
        <v>5914508</v>
      </c>
      <c r="E19" s="29">
        <v>9853.5703279999998</v>
      </c>
      <c r="F19" s="30">
        <v>2.0791914775153799</v>
      </c>
    </row>
    <row r="20" spans="1:6" x14ac:dyDescent="0.2">
      <c r="A20" s="27" t="s">
        <v>118</v>
      </c>
      <c r="B20" s="27" t="s">
        <v>117</v>
      </c>
      <c r="C20" s="27" t="s">
        <v>119</v>
      </c>
      <c r="D20" s="31">
        <v>2549242</v>
      </c>
      <c r="E20" s="29">
        <v>9484.4548610000002</v>
      </c>
      <c r="F20" s="30">
        <v>2.0013048123109201</v>
      </c>
    </row>
    <row r="21" spans="1:6" x14ac:dyDescent="0.2">
      <c r="A21" s="27" t="s">
        <v>198</v>
      </c>
      <c r="B21" s="27" t="s">
        <v>197</v>
      </c>
      <c r="C21" s="27" t="s">
        <v>199</v>
      </c>
      <c r="D21" s="31">
        <v>6223868</v>
      </c>
      <c r="E21" s="29">
        <v>8803.6612860000005</v>
      </c>
      <c r="F21" s="30">
        <v>1.8576512784172301</v>
      </c>
    </row>
    <row r="22" spans="1:6" x14ac:dyDescent="0.2">
      <c r="A22" s="27" t="s">
        <v>135</v>
      </c>
      <c r="B22" s="27" t="s">
        <v>134</v>
      </c>
      <c r="C22" s="27" t="s">
        <v>101</v>
      </c>
      <c r="D22" s="31">
        <v>1935519</v>
      </c>
      <c r="E22" s="29">
        <v>8113.6956479999999</v>
      </c>
      <c r="F22" s="30">
        <v>1.7120623571881799</v>
      </c>
    </row>
    <row r="23" spans="1:6" x14ac:dyDescent="0.2">
      <c r="A23" s="27" t="s">
        <v>206</v>
      </c>
      <c r="B23" s="27" t="s">
        <v>205</v>
      </c>
      <c r="C23" s="27" t="s">
        <v>185</v>
      </c>
      <c r="D23" s="31">
        <v>1158898</v>
      </c>
      <c r="E23" s="29">
        <v>7919.9089320000003</v>
      </c>
      <c r="F23" s="30">
        <v>1.6711716267269601</v>
      </c>
    </row>
    <row r="24" spans="1:6" x14ac:dyDescent="0.2">
      <c r="A24" s="27" t="s">
        <v>121</v>
      </c>
      <c r="B24" s="27" t="s">
        <v>120</v>
      </c>
      <c r="C24" s="27" t="s">
        <v>122</v>
      </c>
      <c r="D24" s="31">
        <v>2520962</v>
      </c>
      <c r="E24" s="29">
        <v>7391.4605840000004</v>
      </c>
      <c r="F24" s="30">
        <v>1.5596642984292699</v>
      </c>
    </row>
    <row r="25" spans="1:6" x14ac:dyDescent="0.2">
      <c r="A25" s="27" t="s">
        <v>201</v>
      </c>
      <c r="B25" s="27" t="s">
        <v>200</v>
      </c>
      <c r="C25" s="27" t="s">
        <v>185</v>
      </c>
      <c r="D25" s="31">
        <v>1115794</v>
      </c>
      <c r="E25" s="29">
        <v>7388.7878680000003</v>
      </c>
      <c r="F25" s="30">
        <v>1.5591003314463401</v>
      </c>
    </row>
    <row r="26" spans="1:6" x14ac:dyDescent="0.2">
      <c r="A26" s="27" t="s">
        <v>240</v>
      </c>
      <c r="B26" s="27" t="s">
        <v>239</v>
      </c>
      <c r="C26" s="27" t="s">
        <v>241</v>
      </c>
      <c r="D26" s="31">
        <v>3970503</v>
      </c>
      <c r="E26" s="29">
        <v>7067.4953400000004</v>
      </c>
      <c r="F26" s="30">
        <v>1.4913047341379499</v>
      </c>
    </row>
    <row r="27" spans="1:6" x14ac:dyDescent="0.2">
      <c r="A27" s="27" t="s">
        <v>130</v>
      </c>
      <c r="B27" s="27" t="s">
        <v>129</v>
      </c>
      <c r="C27" s="27" t="s">
        <v>131</v>
      </c>
      <c r="D27" s="31">
        <v>3078627</v>
      </c>
      <c r="E27" s="29">
        <v>6951.5397659999999</v>
      </c>
      <c r="F27" s="30">
        <v>1.4668370708234599</v>
      </c>
    </row>
    <row r="28" spans="1:6" x14ac:dyDescent="0.2">
      <c r="A28" s="27" t="s">
        <v>194</v>
      </c>
      <c r="B28" s="27" t="s">
        <v>193</v>
      </c>
      <c r="C28" s="27" t="s">
        <v>128</v>
      </c>
      <c r="D28" s="31">
        <v>1219231</v>
      </c>
      <c r="E28" s="29">
        <v>6934.3763129999998</v>
      </c>
      <c r="F28" s="30">
        <v>1.4632154287166399</v>
      </c>
    </row>
    <row r="29" spans="1:6" x14ac:dyDescent="0.2">
      <c r="A29" s="27" t="s">
        <v>124</v>
      </c>
      <c r="B29" s="27" t="s">
        <v>123</v>
      </c>
      <c r="C29" s="27" t="s">
        <v>125</v>
      </c>
      <c r="D29" s="31">
        <v>127107</v>
      </c>
      <c r="E29" s="29">
        <v>6893.0761640000001</v>
      </c>
      <c r="F29" s="30">
        <v>1.4545007278556901</v>
      </c>
    </row>
    <row r="30" spans="1:6" x14ac:dyDescent="0.2">
      <c r="A30" s="27" t="s">
        <v>133</v>
      </c>
      <c r="B30" s="27" t="s">
        <v>132</v>
      </c>
      <c r="C30" s="27" t="s">
        <v>131</v>
      </c>
      <c r="D30" s="31">
        <v>2045176</v>
      </c>
      <c r="E30" s="29">
        <v>6818.6167839999998</v>
      </c>
      <c r="F30" s="30">
        <v>1.4387891326507301</v>
      </c>
    </row>
    <row r="31" spans="1:6" x14ac:dyDescent="0.2">
      <c r="A31" s="27" t="s">
        <v>107</v>
      </c>
      <c r="B31" s="27" t="s">
        <v>106</v>
      </c>
      <c r="C31" s="27" t="s">
        <v>108</v>
      </c>
      <c r="D31" s="31">
        <v>302972</v>
      </c>
      <c r="E31" s="29">
        <v>6784.1490240000003</v>
      </c>
      <c r="F31" s="30">
        <v>1.43151612698319</v>
      </c>
    </row>
    <row r="32" spans="1:6" x14ac:dyDescent="0.2">
      <c r="A32" s="27" t="s">
        <v>184</v>
      </c>
      <c r="B32" s="27" t="s">
        <v>183</v>
      </c>
      <c r="C32" s="27" t="s">
        <v>185</v>
      </c>
      <c r="D32" s="31">
        <v>268692</v>
      </c>
      <c r="E32" s="29">
        <v>6650.7987300000004</v>
      </c>
      <c r="F32" s="30">
        <v>1.40337802215624</v>
      </c>
    </row>
    <row r="33" spans="1:6" x14ac:dyDescent="0.2">
      <c r="A33" s="27" t="s">
        <v>148</v>
      </c>
      <c r="B33" s="27" t="s">
        <v>147</v>
      </c>
      <c r="C33" s="27" t="s">
        <v>149</v>
      </c>
      <c r="D33" s="31">
        <v>829699</v>
      </c>
      <c r="E33" s="29">
        <v>6452.5691230000002</v>
      </c>
      <c r="F33" s="30">
        <v>1.36154980195321</v>
      </c>
    </row>
    <row r="34" spans="1:6" x14ac:dyDescent="0.2">
      <c r="A34" s="27" t="s">
        <v>211</v>
      </c>
      <c r="B34" s="27" t="s">
        <v>210</v>
      </c>
      <c r="C34" s="27" t="s">
        <v>122</v>
      </c>
      <c r="D34" s="31">
        <v>5948967</v>
      </c>
      <c r="E34" s="29">
        <v>6418.9353929999997</v>
      </c>
      <c r="F34" s="30">
        <v>1.35445278407591</v>
      </c>
    </row>
    <row r="35" spans="1:6" x14ac:dyDescent="0.2">
      <c r="A35" s="27" t="s">
        <v>203</v>
      </c>
      <c r="B35" s="27" t="s">
        <v>202</v>
      </c>
      <c r="C35" s="27" t="s">
        <v>204</v>
      </c>
      <c r="D35" s="31">
        <v>2627584</v>
      </c>
      <c r="E35" s="29">
        <v>6243.1395839999996</v>
      </c>
      <c r="F35" s="30">
        <v>1.3173582959169301</v>
      </c>
    </row>
    <row r="36" spans="1:6" x14ac:dyDescent="0.2">
      <c r="A36" s="27" t="s">
        <v>542</v>
      </c>
      <c r="B36" s="27" t="s">
        <v>541</v>
      </c>
      <c r="C36" s="27" t="s">
        <v>101</v>
      </c>
      <c r="D36" s="31">
        <v>605270</v>
      </c>
      <c r="E36" s="29">
        <v>6151.6616450000001</v>
      </c>
      <c r="F36" s="30">
        <v>1.2980556325352099</v>
      </c>
    </row>
    <row r="37" spans="1:6" x14ac:dyDescent="0.2">
      <c r="A37" s="27" t="s">
        <v>252</v>
      </c>
      <c r="B37" s="27" t="s">
        <v>251</v>
      </c>
      <c r="C37" s="27" t="s">
        <v>128</v>
      </c>
      <c r="D37" s="31">
        <v>896279</v>
      </c>
      <c r="E37" s="29">
        <v>5930.230004</v>
      </c>
      <c r="F37" s="30">
        <v>1.25133157562041</v>
      </c>
    </row>
    <row r="38" spans="1:6" x14ac:dyDescent="0.2">
      <c r="A38" s="27" t="s">
        <v>196</v>
      </c>
      <c r="B38" s="27" t="s">
        <v>195</v>
      </c>
      <c r="C38" s="27" t="s">
        <v>98</v>
      </c>
      <c r="D38" s="31">
        <v>530548</v>
      </c>
      <c r="E38" s="29">
        <v>5811.8880660000004</v>
      </c>
      <c r="F38" s="30">
        <v>1.22636036815635</v>
      </c>
    </row>
    <row r="39" spans="1:6" x14ac:dyDescent="0.2">
      <c r="A39" s="27" t="s">
        <v>518</v>
      </c>
      <c r="B39" s="27" t="s">
        <v>517</v>
      </c>
      <c r="C39" s="27" t="s">
        <v>125</v>
      </c>
      <c r="D39" s="31">
        <v>503898</v>
      </c>
      <c r="E39" s="29">
        <v>5790.2919179999999</v>
      </c>
      <c r="F39" s="30">
        <v>1.2218033877549199</v>
      </c>
    </row>
    <row r="40" spans="1:6" x14ac:dyDescent="0.2">
      <c r="A40" s="27" t="s">
        <v>162</v>
      </c>
      <c r="B40" s="27" t="s">
        <v>161</v>
      </c>
      <c r="C40" s="27" t="s">
        <v>149</v>
      </c>
      <c r="D40" s="31">
        <v>1546634</v>
      </c>
      <c r="E40" s="29">
        <v>5252.3690640000004</v>
      </c>
      <c r="F40" s="30">
        <v>1.10829685394358</v>
      </c>
    </row>
    <row r="41" spans="1:6" x14ac:dyDescent="0.2">
      <c r="A41" s="27" t="s">
        <v>243</v>
      </c>
      <c r="B41" s="27" t="s">
        <v>242</v>
      </c>
      <c r="C41" s="27" t="s">
        <v>204</v>
      </c>
      <c r="D41" s="31">
        <v>990217</v>
      </c>
      <c r="E41" s="29">
        <v>5147.1479660000005</v>
      </c>
      <c r="F41" s="30">
        <v>1.0860942610829301</v>
      </c>
    </row>
    <row r="42" spans="1:6" x14ac:dyDescent="0.2">
      <c r="A42" s="27" t="s">
        <v>137</v>
      </c>
      <c r="B42" s="27" t="s">
        <v>136</v>
      </c>
      <c r="C42" s="27" t="s">
        <v>98</v>
      </c>
      <c r="D42" s="31">
        <v>148117</v>
      </c>
      <c r="E42" s="29">
        <v>4955.6245280000003</v>
      </c>
      <c r="F42" s="30">
        <v>1.0456811025243</v>
      </c>
    </row>
    <row r="43" spans="1:6" x14ac:dyDescent="0.2">
      <c r="A43" s="27" t="s">
        <v>653</v>
      </c>
      <c r="B43" s="27" t="s">
        <v>652</v>
      </c>
      <c r="C43" s="27" t="s">
        <v>654</v>
      </c>
      <c r="D43" s="31">
        <v>410704</v>
      </c>
      <c r="E43" s="29">
        <v>4791.2728639999996</v>
      </c>
      <c r="F43" s="30">
        <v>1.0110014313260101</v>
      </c>
    </row>
    <row r="44" spans="1:6" x14ac:dyDescent="0.2">
      <c r="A44" s="27" t="s">
        <v>155</v>
      </c>
      <c r="B44" s="27" t="s">
        <v>154</v>
      </c>
      <c r="C44" s="27" t="s">
        <v>125</v>
      </c>
      <c r="D44" s="31">
        <v>720735</v>
      </c>
      <c r="E44" s="29">
        <v>4650.1822199999997</v>
      </c>
      <c r="F44" s="30">
        <v>0.98123004341310605</v>
      </c>
    </row>
    <row r="45" spans="1:6" x14ac:dyDescent="0.2">
      <c r="A45" s="27" t="s">
        <v>144</v>
      </c>
      <c r="B45" s="27" t="s">
        <v>143</v>
      </c>
      <c r="C45" s="27" t="s">
        <v>142</v>
      </c>
      <c r="D45" s="31">
        <v>3977486</v>
      </c>
      <c r="E45" s="29">
        <v>4629.7937039999997</v>
      </c>
      <c r="F45" s="30">
        <v>0.97692788416571896</v>
      </c>
    </row>
    <row r="46" spans="1:6" x14ac:dyDescent="0.2">
      <c r="A46" s="27" t="s">
        <v>213</v>
      </c>
      <c r="B46" s="27" t="s">
        <v>212</v>
      </c>
      <c r="C46" s="27" t="s">
        <v>131</v>
      </c>
      <c r="D46" s="31">
        <v>2792178</v>
      </c>
      <c r="E46" s="29">
        <v>4178.494377</v>
      </c>
      <c r="F46" s="30">
        <v>0.88169968938230803</v>
      </c>
    </row>
    <row r="47" spans="1:6" x14ac:dyDescent="0.2">
      <c r="A47" s="27" t="s">
        <v>151</v>
      </c>
      <c r="B47" s="27" t="s">
        <v>150</v>
      </c>
      <c r="C47" s="27" t="s">
        <v>149</v>
      </c>
      <c r="D47" s="31">
        <v>87369</v>
      </c>
      <c r="E47" s="29">
        <v>3611.703407</v>
      </c>
      <c r="F47" s="30">
        <v>0.76210172487517602</v>
      </c>
    </row>
    <row r="48" spans="1:6" x14ac:dyDescent="0.2">
      <c r="A48" s="27" t="s">
        <v>169</v>
      </c>
      <c r="B48" s="27" t="s">
        <v>168</v>
      </c>
      <c r="C48" s="27" t="s">
        <v>128</v>
      </c>
      <c r="D48" s="31">
        <v>607174</v>
      </c>
      <c r="E48" s="29">
        <v>3492.4648480000001</v>
      </c>
      <c r="F48" s="30">
        <v>0.73694132236000598</v>
      </c>
    </row>
    <row r="49" spans="1:9" x14ac:dyDescent="0.2">
      <c r="A49" s="27" t="s">
        <v>113</v>
      </c>
      <c r="B49" s="27" t="s">
        <v>112</v>
      </c>
      <c r="C49" s="27" t="s">
        <v>114</v>
      </c>
      <c r="D49" s="31">
        <v>300000</v>
      </c>
      <c r="E49" s="29">
        <v>3067.35</v>
      </c>
      <c r="F49" s="30">
        <v>0.64723828686076601</v>
      </c>
    </row>
    <row r="50" spans="1:9" x14ac:dyDescent="0.2">
      <c r="A50" s="27" t="s">
        <v>217</v>
      </c>
      <c r="B50" s="27" t="s">
        <v>216</v>
      </c>
      <c r="C50" s="27" t="s">
        <v>101</v>
      </c>
      <c r="D50" s="31">
        <v>3293517</v>
      </c>
      <c r="E50" s="29">
        <v>2868.653307</v>
      </c>
      <c r="F50" s="30">
        <v>0.60531150733374095</v>
      </c>
    </row>
    <row r="51" spans="1:9" x14ac:dyDescent="0.2">
      <c r="A51" s="27" t="s">
        <v>236</v>
      </c>
      <c r="B51" s="27" t="s">
        <v>235</v>
      </c>
      <c r="C51" s="27" t="s">
        <v>149</v>
      </c>
      <c r="D51" s="31">
        <v>1791828</v>
      </c>
      <c r="E51" s="29">
        <v>2780.9170559999998</v>
      </c>
      <c r="F51" s="30">
        <v>0.58679837358870801</v>
      </c>
    </row>
    <row r="52" spans="1:9" x14ac:dyDescent="0.2">
      <c r="A52" s="27" t="s">
        <v>398</v>
      </c>
      <c r="B52" s="27" t="s">
        <v>397</v>
      </c>
      <c r="C52" s="27" t="s">
        <v>199</v>
      </c>
      <c r="D52" s="31">
        <v>6320734</v>
      </c>
      <c r="E52" s="29">
        <v>2651.5479129999999</v>
      </c>
      <c r="F52" s="30">
        <v>0.55950032723339604</v>
      </c>
    </row>
    <row r="53" spans="1:9" x14ac:dyDescent="0.2">
      <c r="A53" s="27" t="s">
        <v>208</v>
      </c>
      <c r="B53" s="27" t="s">
        <v>207</v>
      </c>
      <c r="C53" s="27" t="s">
        <v>209</v>
      </c>
      <c r="D53" s="31">
        <v>1278633</v>
      </c>
      <c r="E53" s="29">
        <v>2379.5360129999999</v>
      </c>
      <c r="F53" s="30">
        <v>0.50210338323882697</v>
      </c>
    </row>
    <row r="54" spans="1:9" x14ac:dyDescent="0.2">
      <c r="A54" s="27" t="s">
        <v>159</v>
      </c>
      <c r="B54" s="27" t="s">
        <v>158</v>
      </c>
      <c r="C54" s="27" t="s">
        <v>160</v>
      </c>
      <c r="D54" s="31">
        <v>1075124</v>
      </c>
      <c r="E54" s="29">
        <v>2319.5800300000001</v>
      </c>
      <c r="F54" s="30">
        <v>0.48945213453099401</v>
      </c>
    </row>
    <row r="55" spans="1:9" x14ac:dyDescent="0.2">
      <c r="A55" s="27" t="s">
        <v>682</v>
      </c>
      <c r="B55" s="27" t="s">
        <v>681</v>
      </c>
      <c r="C55" s="27" t="s">
        <v>358</v>
      </c>
      <c r="D55" s="31">
        <v>771008</v>
      </c>
      <c r="E55" s="29">
        <v>2232.4536640000001</v>
      </c>
      <c r="F55" s="30">
        <v>0.47106769197626602</v>
      </c>
    </row>
    <row r="56" spans="1:9" x14ac:dyDescent="0.2">
      <c r="A56" s="27" t="s">
        <v>280</v>
      </c>
      <c r="B56" s="27" t="s">
        <v>279</v>
      </c>
      <c r="C56" s="27" t="s">
        <v>98</v>
      </c>
      <c r="D56" s="31">
        <v>241063</v>
      </c>
      <c r="E56" s="29">
        <v>2072.1775480000001</v>
      </c>
      <c r="F56" s="30">
        <v>0.43724799786097501</v>
      </c>
    </row>
    <row r="57" spans="1:9" x14ac:dyDescent="0.2">
      <c r="A57" s="27" t="s">
        <v>258</v>
      </c>
      <c r="B57" s="27" t="s">
        <v>257</v>
      </c>
      <c r="C57" s="27" t="s">
        <v>185</v>
      </c>
      <c r="D57" s="31">
        <v>1695647</v>
      </c>
      <c r="E57" s="29">
        <v>1593.9081799999999</v>
      </c>
      <c r="F57" s="30">
        <v>0.33632888318469101</v>
      </c>
    </row>
    <row r="58" spans="1:9" x14ac:dyDescent="0.2">
      <c r="A58" s="27" t="s">
        <v>163</v>
      </c>
      <c r="B58" s="27" t="s">
        <v>725</v>
      </c>
      <c r="C58" s="27" t="s">
        <v>160</v>
      </c>
      <c r="D58" s="31">
        <v>125663</v>
      </c>
      <c r="E58" s="29">
        <v>232.85353900000001</v>
      </c>
      <c r="F58" s="30">
        <v>4.9134179559498101E-2</v>
      </c>
    </row>
    <row r="59" spans="1:9" x14ac:dyDescent="0.2">
      <c r="A59" s="26" t="s">
        <v>35</v>
      </c>
      <c r="B59" s="26"/>
      <c r="C59" s="26"/>
      <c r="D59" s="32"/>
      <c r="E59" s="33">
        <f>SUM(E7:E58)</f>
        <v>467398.33541899995</v>
      </c>
      <c r="F59" s="34">
        <f>SUM(F7:F58)</f>
        <v>98.625229562380255</v>
      </c>
      <c r="G59" s="18"/>
      <c r="H59" s="18"/>
      <c r="I59" s="18"/>
    </row>
    <row r="60" spans="1:9" x14ac:dyDescent="0.2">
      <c r="A60" s="27"/>
      <c r="B60" s="27"/>
      <c r="C60" s="27"/>
      <c r="D60" s="28"/>
      <c r="E60" s="29"/>
      <c r="F60" s="30"/>
    </row>
    <row r="61" spans="1:9" x14ac:dyDescent="0.2">
      <c r="A61" s="26" t="s">
        <v>227</v>
      </c>
      <c r="B61" s="27"/>
      <c r="C61" s="27"/>
      <c r="D61" s="28"/>
      <c r="E61" s="29"/>
      <c r="F61" s="30"/>
    </row>
    <row r="62" spans="1:9" x14ac:dyDescent="0.2">
      <c r="A62" s="27" t="s">
        <v>228</v>
      </c>
      <c r="B62" s="27" t="s">
        <v>727</v>
      </c>
      <c r="C62" s="27" t="s">
        <v>229</v>
      </c>
      <c r="D62" s="31">
        <v>30000</v>
      </c>
      <c r="E62" s="29">
        <v>3.0000000000000001E-3</v>
      </c>
      <c r="F62" s="30">
        <v>6.3302683442786001E-7</v>
      </c>
    </row>
    <row r="63" spans="1:9" x14ac:dyDescent="0.2">
      <c r="A63" s="27" t="s">
        <v>512</v>
      </c>
      <c r="B63" s="27" t="s">
        <v>736</v>
      </c>
      <c r="C63" s="27" t="s">
        <v>365</v>
      </c>
      <c r="D63" s="31">
        <v>3500</v>
      </c>
      <c r="E63" s="29">
        <v>3.5E-4</v>
      </c>
      <c r="F63" s="30">
        <v>7.3853130683250406E-8</v>
      </c>
    </row>
    <row r="64" spans="1:9" x14ac:dyDescent="0.2">
      <c r="A64" s="27"/>
      <c r="B64" s="27" t="s">
        <v>728</v>
      </c>
      <c r="C64" s="27" t="s">
        <v>185</v>
      </c>
      <c r="D64" s="31">
        <v>2900</v>
      </c>
      <c r="E64" s="29">
        <v>2.9E-4</v>
      </c>
      <c r="F64" s="30">
        <v>6.1192593994693094E-8</v>
      </c>
    </row>
    <row r="65" spans="1:9" x14ac:dyDescent="0.2">
      <c r="A65" s="26" t="s">
        <v>35</v>
      </c>
      <c r="B65" s="26"/>
      <c r="C65" s="26"/>
      <c r="D65" s="32"/>
      <c r="E65" s="33">
        <f>SUM(E61:E64)</f>
        <v>3.64E-3</v>
      </c>
      <c r="F65" s="34">
        <f>SUM(F61:F64)</f>
        <v>7.6807255910580351E-7</v>
      </c>
      <c r="G65" s="18"/>
      <c r="H65" s="18"/>
      <c r="I65" s="18"/>
    </row>
    <row r="66" spans="1:9" x14ac:dyDescent="0.2">
      <c r="A66" s="27"/>
      <c r="B66" s="27"/>
      <c r="C66" s="27"/>
      <c r="D66" s="28"/>
      <c r="E66" s="29"/>
      <c r="F66" s="30"/>
    </row>
    <row r="67" spans="1:9" x14ac:dyDescent="0.2">
      <c r="A67" s="26" t="s">
        <v>37</v>
      </c>
      <c r="B67" s="26"/>
      <c r="C67" s="26"/>
      <c r="D67" s="32"/>
      <c r="E67" s="33">
        <f>E59+E65</f>
        <v>467398.33905899996</v>
      </c>
      <c r="F67" s="34">
        <f>F59+F65</f>
        <v>98.625230330452808</v>
      </c>
      <c r="G67" s="18"/>
      <c r="H67" s="18"/>
      <c r="I67" s="18"/>
    </row>
    <row r="68" spans="1:9" x14ac:dyDescent="0.2">
      <c r="A68" s="26"/>
      <c r="B68" s="26"/>
      <c r="C68" s="26"/>
      <c r="D68" s="32"/>
      <c r="E68" s="33"/>
      <c r="F68" s="34"/>
      <c r="G68" s="18"/>
      <c r="H68" s="18"/>
      <c r="I68" s="18"/>
    </row>
    <row r="69" spans="1:9" x14ac:dyDescent="0.2">
      <c r="A69" s="26" t="s">
        <v>39</v>
      </c>
      <c r="B69" s="26"/>
      <c r="C69" s="26"/>
      <c r="D69" s="32"/>
      <c r="E69" s="33">
        <f>E71-(E59+E65)</f>
        <v>6515.2198680000147</v>
      </c>
      <c r="F69" s="34">
        <f>F71-(F59+F65)</f>
        <v>1.3747696695471916</v>
      </c>
      <c r="G69" s="18"/>
      <c r="H69" s="18"/>
      <c r="I69" s="18"/>
    </row>
    <row r="70" spans="1:9" x14ac:dyDescent="0.2">
      <c r="A70" s="26"/>
      <c r="B70" s="26"/>
      <c r="C70" s="26"/>
      <c r="D70" s="32"/>
      <c r="E70" s="33"/>
      <c r="F70" s="34"/>
      <c r="G70" s="18"/>
      <c r="H70" s="18"/>
      <c r="I70" s="18"/>
    </row>
    <row r="71" spans="1:9" x14ac:dyDescent="0.2">
      <c r="A71" s="35" t="s">
        <v>38</v>
      </c>
      <c r="B71" s="35"/>
      <c r="C71" s="35"/>
      <c r="D71" s="36"/>
      <c r="E71" s="37">
        <v>473913.55892699998</v>
      </c>
      <c r="F71" s="38">
        <v>100</v>
      </c>
      <c r="G71" s="18"/>
      <c r="H71" s="18"/>
      <c r="I71" s="18"/>
    </row>
    <row r="72" spans="1:9" x14ac:dyDescent="0.2">
      <c r="F72" s="20" t="s">
        <v>503</v>
      </c>
    </row>
    <row r="73" spans="1:9" x14ac:dyDescent="0.2">
      <c r="A73" s="18" t="s">
        <v>40</v>
      </c>
      <c r="F73" s="20"/>
    </row>
    <row r="74" spans="1:9" x14ac:dyDescent="0.2">
      <c r="A74" s="18" t="s">
        <v>733</v>
      </c>
      <c r="F74" s="20"/>
    </row>
    <row r="75" spans="1:9" x14ac:dyDescent="0.2">
      <c r="A75" s="18" t="s">
        <v>726</v>
      </c>
      <c r="F75" s="20"/>
    </row>
    <row r="77" spans="1:9" x14ac:dyDescent="0.2">
      <c r="A77" s="18" t="s">
        <v>41</v>
      </c>
    </row>
    <row r="78" spans="1:9" x14ac:dyDescent="0.2">
      <c r="A78" s="18" t="s">
        <v>42</v>
      </c>
    </row>
    <row r="79" spans="1:9" x14ac:dyDescent="0.2">
      <c r="A79" s="18" t="s">
        <v>43</v>
      </c>
      <c r="B79" s="18"/>
      <c r="C79" s="39" t="s">
        <v>45</v>
      </c>
      <c r="D79" s="19" t="s">
        <v>44</v>
      </c>
    </row>
    <row r="80" spans="1:9" x14ac:dyDescent="0.2">
      <c r="A80" s="9" t="s">
        <v>70</v>
      </c>
      <c r="C80" s="40">
        <v>633.01170000000002</v>
      </c>
      <c r="D80" s="40">
        <v>779.85450000000003</v>
      </c>
    </row>
    <row r="81" spans="1:4" x14ac:dyDescent="0.2">
      <c r="A81" s="9" t="s">
        <v>76</v>
      </c>
      <c r="C81" s="40">
        <v>42.097099999999998</v>
      </c>
      <c r="D81" s="40">
        <v>47.754399999999997</v>
      </c>
    </row>
    <row r="82" spans="1:4" x14ac:dyDescent="0.2">
      <c r="A82" s="9" t="s">
        <v>73</v>
      </c>
      <c r="C82" s="40">
        <v>679.84180000000003</v>
      </c>
      <c r="D82" s="40">
        <v>841.10090000000002</v>
      </c>
    </row>
    <row r="83" spans="1:4" x14ac:dyDescent="0.2">
      <c r="A83" s="9" t="s">
        <v>77</v>
      </c>
      <c r="C83" s="40">
        <v>46.333799999999997</v>
      </c>
      <c r="D83" s="40">
        <v>53.2014</v>
      </c>
    </row>
    <row r="85" spans="1:4" x14ac:dyDescent="0.2">
      <c r="A85" s="18" t="s">
        <v>47</v>
      </c>
    </row>
    <row r="86" spans="1:4" x14ac:dyDescent="0.2">
      <c r="A86" s="81" t="s">
        <v>67</v>
      </c>
      <c r="B86" s="82"/>
      <c r="C86" s="43" t="s">
        <v>68</v>
      </c>
    </row>
    <row r="87" spans="1:4" x14ac:dyDescent="0.2">
      <c r="A87" s="77" t="s">
        <v>76</v>
      </c>
      <c r="B87" s="78"/>
      <c r="C87" s="44">
        <v>3.5</v>
      </c>
    </row>
    <row r="88" spans="1:4" x14ac:dyDescent="0.2">
      <c r="A88" s="77" t="s">
        <v>77</v>
      </c>
      <c r="B88" s="78"/>
      <c r="C88" s="44">
        <v>3.5</v>
      </c>
    </row>
    <row r="89" spans="1:4" x14ac:dyDescent="0.2">
      <c r="A89" s="9" t="s">
        <v>69</v>
      </c>
    </row>
    <row r="90" spans="1:4" x14ac:dyDescent="0.2">
      <c r="A90" s="9" t="s">
        <v>46</v>
      </c>
    </row>
    <row r="92" spans="1:4" x14ac:dyDescent="0.2">
      <c r="A92" s="18" t="s">
        <v>220</v>
      </c>
      <c r="D92" s="45">
        <v>0.1477</v>
      </c>
    </row>
    <row r="94" spans="1:4" x14ac:dyDescent="0.2">
      <c r="A94" s="18" t="s">
        <v>734</v>
      </c>
      <c r="D94" s="41" t="s">
        <v>48</v>
      </c>
    </row>
    <row r="95" spans="1:4" x14ac:dyDescent="0.2">
      <c r="A95" s="9" t="s">
        <v>729</v>
      </c>
      <c r="D95" s="41"/>
    </row>
    <row r="96" spans="1:4" x14ac:dyDescent="0.2">
      <c r="A96" s="50" t="s">
        <v>730</v>
      </c>
      <c r="D96" s="41"/>
    </row>
    <row r="98" spans="1:1" x14ac:dyDescent="0.2">
      <c r="A98" s="18" t="s">
        <v>735</v>
      </c>
    </row>
    <row r="99" spans="1:1" x14ac:dyDescent="0.2">
      <c r="A99" s="50" t="s">
        <v>50</v>
      </c>
    </row>
  </sheetData>
  <mergeCells count="4">
    <mergeCell ref="A1:F1"/>
    <mergeCell ref="A86:B86"/>
    <mergeCell ref="A87:B87"/>
    <mergeCell ref="A88:B88"/>
  </mergeCells>
  <conditionalFormatting sqref="F2:F3 F5:F65537">
    <cfRule type="cellIs" dxfId="11" priority="1" stopIfTrue="1" operator="between">
      <formula>0.009</formula>
      <formula>-0.009</formula>
    </cfRule>
  </conditionalFormatting>
  <hyperlinks>
    <hyperlink ref="A96" r:id="rId1" xr:uid="{00000000-0004-0000-2A00-000000000000}"/>
    <hyperlink ref="A99" r:id="rId2" xr:uid="{00000000-0004-0000-2A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H31"/>
  <sheetViews>
    <sheetView workbookViewId="0">
      <selection sqref="A1:E1"/>
    </sheetView>
  </sheetViews>
  <sheetFormatPr defaultColWidth="9.109375" defaultRowHeight="10.199999999999999" x14ac:dyDescent="0.2"/>
  <cols>
    <col min="1" max="1" width="32.44140625" style="9" bestFit="1" customWidth="1"/>
    <col min="2" max="2" width="33.5546875" style="9" bestFit="1" customWidth="1"/>
    <col min="3" max="3" width="18.88671875" style="9" bestFit="1" customWidth="1"/>
    <col min="4" max="4" width="23" style="10" bestFit="1" customWidth="1"/>
    <col min="5" max="5" width="23" style="13" bestFit="1" customWidth="1"/>
    <col min="6" max="16384" width="9.109375" style="9"/>
  </cols>
  <sheetData>
    <row r="1" spans="1:8" s="1" customFormat="1" ht="13.8" x14ac:dyDescent="0.2">
      <c r="A1" s="79" t="s">
        <v>23</v>
      </c>
      <c r="B1" s="80"/>
      <c r="C1" s="80"/>
      <c r="D1" s="80"/>
      <c r="E1" s="80"/>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350</v>
      </c>
      <c r="B5" s="22"/>
      <c r="C5" s="23"/>
      <c r="D5" s="24"/>
      <c r="E5" s="25"/>
    </row>
    <row r="6" spans="1:8" x14ac:dyDescent="0.2">
      <c r="A6" s="27" t="s">
        <v>684</v>
      </c>
      <c r="B6" s="27" t="s">
        <v>683</v>
      </c>
      <c r="C6" s="31">
        <v>5866459.1469999999</v>
      </c>
      <c r="D6" s="29">
        <v>360565.70039000001</v>
      </c>
      <c r="E6" s="30">
        <v>99.877151181296995</v>
      </c>
    </row>
    <row r="7" spans="1:8" x14ac:dyDescent="0.2">
      <c r="A7" s="26" t="s">
        <v>35</v>
      </c>
      <c r="B7" s="26"/>
      <c r="C7" s="32"/>
      <c r="D7" s="33">
        <f>SUM(D6:D6)</f>
        <v>360565.70039000001</v>
      </c>
      <c r="E7" s="34">
        <f>SUM(E6:E6)</f>
        <v>99.877151181296995</v>
      </c>
      <c r="F7" s="18"/>
      <c r="G7" s="18"/>
      <c r="H7" s="18"/>
    </row>
    <row r="8" spans="1:8" x14ac:dyDescent="0.2">
      <c r="A8" s="27"/>
      <c r="B8" s="27"/>
      <c r="C8" s="28"/>
      <c r="D8" s="29"/>
      <c r="E8" s="30"/>
    </row>
    <row r="9" spans="1:8" x14ac:dyDescent="0.2">
      <c r="A9" s="26" t="s">
        <v>37</v>
      </c>
      <c r="B9" s="26"/>
      <c r="C9" s="32"/>
      <c r="D9" s="33">
        <f>D7</f>
        <v>360565.70039000001</v>
      </c>
      <c r="E9" s="34">
        <f>E7</f>
        <v>99.877151181296995</v>
      </c>
      <c r="F9" s="18"/>
      <c r="G9" s="18"/>
      <c r="H9" s="18"/>
    </row>
    <row r="10" spans="1:8" x14ac:dyDescent="0.2">
      <c r="A10" s="26"/>
      <c r="B10" s="26"/>
      <c r="C10" s="32"/>
      <c r="D10" s="33"/>
      <c r="E10" s="34"/>
      <c r="F10" s="18"/>
      <c r="G10" s="18"/>
      <c r="H10" s="18"/>
    </row>
    <row r="11" spans="1:8" x14ac:dyDescent="0.2">
      <c r="A11" s="26" t="s">
        <v>39</v>
      </c>
      <c r="B11" s="26"/>
      <c r="C11" s="32"/>
      <c r="D11" s="33">
        <f>D13-(D7)</f>
        <v>443.49553259997629</v>
      </c>
      <c r="E11" s="34">
        <f>E13-(E7)</f>
        <v>0.12284881870300524</v>
      </c>
      <c r="F11" s="18"/>
      <c r="G11" s="18"/>
      <c r="H11" s="18"/>
    </row>
    <row r="12" spans="1:8" x14ac:dyDescent="0.2">
      <c r="A12" s="26"/>
      <c r="B12" s="26"/>
      <c r="C12" s="32"/>
      <c r="D12" s="33"/>
      <c r="E12" s="34"/>
      <c r="F12" s="18"/>
      <c r="G12" s="18"/>
      <c r="H12" s="18"/>
    </row>
    <row r="13" spans="1:8" x14ac:dyDescent="0.2">
      <c r="A13" s="35" t="s">
        <v>38</v>
      </c>
      <c r="B13" s="35"/>
      <c r="C13" s="36"/>
      <c r="D13" s="37">
        <v>361009.19592259999</v>
      </c>
      <c r="E13" s="38">
        <v>100</v>
      </c>
      <c r="F13" s="18"/>
      <c r="G13" s="18"/>
      <c r="H13" s="18"/>
    </row>
    <row r="16" spans="1:8" x14ac:dyDescent="0.2">
      <c r="A16" s="18" t="s">
        <v>41</v>
      </c>
    </row>
    <row r="17" spans="1:4" x14ac:dyDescent="0.2">
      <c r="A17" s="18" t="s">
        <v>42</v>
      </c>
    </row>
    <row r="18" spans="1:4" x14ac:dyDescent="0.2">
      <c r="A18" s="18" t="s">
        <v>43</v>
      </c>
      <c r="B18" s="18"/>
      <c r="C18" s="39" t="s">
        <v>45</v>
      </c>
      <c r="D18" s="41" t="s">
        <v>44</v>
      </c>
    </row>
    <row r="19" spans="1:4" x14ac:dyDescent="0.2">
      <c r="A19" s="9" t="s">
        <v>70</v>
      </c>
      <c r="C19" s="40">
        <v>50.258499999999998</v>
      </c>
      <c r="D19" s="40">
        <v>57.199100000000001</v>
      </c>
    </row>
    <row r="20" spans="1:4" x14ac:dyDescent="0.2">
      <c r="A20" s="9" t="s">
        <v>76</v>
      </c>
      <c r="C20" s="40">
        <v>50.258499999999998</v>
      </c>
      <c r="D20" s="40">
        <v>57.199100000000001</v>
      </c>
    </row>
    <row r="21" spans="1:4" x14ac:dyDescent="0.2">
      <c r="A21" s="9" t="s">
        <v>73</v>
      </c>
      <c r="C21" s="40">
        <v>54.301000000000002</v>
      </c>
      <c r="D21" s="40">
        <v>62.109000000000002</v>
      </c>
    </row>
    <row r="22" spans="1:4" x14ac:dyDescent="0.2">
      <c r="A22" s="9" t="s">
        <v>77</v>
      </c>
      <c r="C22" s="40">
        <v>54.301000000000002</v>
      </c>
      <c r="D22" s="40">
        <v>62.109000000000002</v>
      </c>
    </row>
    <row r="24" spans="1:4" x14ac:dyDescent="0.2">
      <c r="A24" s="9" t="s">
        <v>46</v>
      </c>
    </row>
    <row r="26" spans="1:4" x14ac:dyDescent="0.2">
      <c r="A26" s="18" t="s">
        <v>47</v>
      </c>
      <c r="D26" s="41" t="s">
        <v>48</v>
      </c>
    </row>
    <row r="28" spans="1:4" x14ac:dyDescent="0.2">
      <c r="A28" s="18" t="s">
        <v>220</v>
      </c>
      <c r="D28" s="45">
        <v>2.7000000000000001E-3</v>
      </c>
    </row>
    <row r="30" spans="1:4" x14ac:dyDescent="0.2">
      <c r="A30" s="18" t="s">
        <v>94</v>
      </c>
    </row>
    <row r="31" spans="1:4" x14ac:dyDescent="0.2">
      <c r="A31" s="50" t="s">
        <v>50</v>
      </c>
    </row>
  </sheetData>
  <mergeCells count="1">
    <mergeCell ref="A1:E1"/>
  </mergeCells>
  <conditionalFormatting sqref="E5:E13">
    <cfRule type="cellIs" dxfId="10" priority="1" stopIfTrue="1" operator="between">
      <formula>0.009</formula>
      <formula>-0.009</formula>
    </cfRule>
  </conditionalFormatting>
  <hyperlinks>
    <hyperlink ref="A31" r:id="rId1" xr:uid="{00000000-0004-0000-2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31"/>
  <sheetViews>
    <sheetView workbookViewId="0">
      <selection sqref="A1:E1"/>
    </sheetView>
  </sheetViews>
  <sheetFormatPr defaultColWidth="9.109375" defaultRowHeight="10.199999999999999" x14ac:dyDescent="0.2"/>
  <cols>
    <col min="1" max="1" width="32.44140625" style="9" bestFit="1" customWidth="1"/>
    <col min="2" max="2" width="39.33203125" style="9" bestFit="1" customWidth="1"/>
    <col min="3" max="3" width="18.88671875" style="9" bestFit="1" customWidth="1"/>
    <col min="4" max="4" width="23" style="10" bestFit="1" customWidth="1"/>
    <col min="5" max="5" width="13.5546875" style="13" bestFit="1" customWidth="1"/>
    <col min="6" max="16384" width="9.109375" style="9"/>
  </cols>
  <sheetData>
    <row r="1" spans="1:8" s="1" customFormat="1" ht="15" customHeight="1" x14ac:dyDescent="0.2">
      <c r="A1" s="79" t="s">
        <v>743</v>
      </c>
      <c r="B1" s="80"/>
      <c r="C1" s="80"/>
      <c r="D1" s="80"/>
      <c r="E1" s="80"/>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350</v>
      </c>
      <c r="B5" s="22"/>
      <c r="C5" s="23"/>
      <c r="D5" s="24"/>
      <c r="E5" s="25"/>
    </row>
    <row r="6" spans="1:8" x14ac:dyDescent="0.2">
      <c r="A6" s="27" t="s">
        <v>686</v>
      </c>
      <c r="B6" s="27" t="s">
        <v>685</v>
      </c>
      <c r="C6" s="31">
        <v>85515.55</v>
      </c>
      <c r="D6" s="29">
        <v>2232.2203789999999</v>
      </c>
      <c r="E6" s="30">
        <v>98.773492089568194</v>
      </c>
    </row>
    <row r="7" spans="1:8" x14ac:dyDescent="0.2">
      <c r="A7" s="26" t="s">
        <v>35</v>
      </c>
      <c r="B7" s="26"/>
      <c r="C7" s="32"/>
      <c r="D7" s="33">
        <f>SUM(D6:D6)</f>
        <v>2232.2203789999999</v>
      </c>
      <c r="E7" s="34">
        <f>SUM(E6:E6)</f>
        <v>98.773492089568194</v>
      </c>
      <c r="F7" s="18"/>
      <c r="G7" s="18"/>
      <c r="H7" s="18"/>
    </row>
    <row r="8" spans="1:8" x14ac:dyDescent="0.2">
      <c r="A8" s="27"/>
      <c r="B8" s="27"/>
      <c r="C8" s="28"/>
      <c r="D8" s="29"/>
      <c r="E8" s="30"/>
    </row>
    <row r="9" spans="1:8" x14ac:dyDescent="0.2">
      <c r="A9" s="26" t="s">
        <v>37</v>
      </c>
      <c r="B9" s="26"/>
      <c r="C9" s="32"/>
      <c r="D9" s="33">
        <f>D7</f>
        <v>2232.2203789999999</v>
      </c>
      <c r="E9" s="34">
        <f>E7</f>
        <v>98.773492089568194</v>
      </c>
      <c r="F9" s="18"/>
      <c r="G9" s="18"/>
      <c r="H9" s="18"/>
    </row>
    <row r="10" spans="1:8" x14ac:dyDescent="0.2">
      <c r="A10" s="26"/>
      <c r="B10" s="26"/>
      <c r="C10" s="32"/>
      <c r="D10" s="33"/>
      <c r="E10" s="34"/>
      <c r="F10" s="18"/>
      <c r="G10" s="18"/>
      <c r="H10" s="18"/>
    </row>
    <row r="11" spans="1:8" x14ac:dyDescent="0.2">
      <c r="A11" s="26" t="s">
        <v>39</v>
      </c>
      <c r="B11" s="26"/>
      <c r="C11" s="32"/>
      <c r="D11" s="33">
        <f>D13-(D7)</f>
        <v>27.718327000000045</v>
      </c>
      <c r="E11" s="34">
        <f>E13-(E7)</f>
        <v>1.2265079104318062</v>
      </c>
      <c r="F11" s="18"/>
      <c r="G11" s="18"/>
      <c r="H11" s="18"/>
    </row>
    <row r="12" spans="1:8" x14ac:dyDescent="0.2">
      <c r="A12" s="26"/>
      <c r="B12" s="26"/>
      <c r="C12" s="32"/>
      <c r="D12" s="33"/>
      <c r="E12" s="34"/>
      <c r="F12" s="18"/>
      <c r="G12" s="18"/>
      <c r="H12" s="18"/>
    </row>
    <row r="13" spans="1:8" x14ac:dyDescent="0.2">
      <c r="A13" s="35" t="s">
        <v>38</v>
      </c>
      <c r="B13" s="35"/>
      <c r="C13" s="36"/>
      <c r="D13" s="37">
        <v>2259.9387059999999</v>
      </c>
      <c r="E13" s="38">
        <v>100</v>
      </c>
      <c r="F13" s="18"/>
      <c r="G13" s="18"/>
      <c r="H13" s="18"/>
    </row>
    <row r="16" spans="1:8" x14ac:dyDescent="0.2">
      <c r="A16" s="18" t="s">
        <v>41</v>
      </c>
    </row>
    <row r="17" spans="1:4" x14ac:dyDescent="0.2">
      <c r="A17" s="18" t="s">
        <v>42</v>
      </c>
    </row>
    <row r="18" spans="1:4" x14ac:dyDescent="0.2">
      <c r="A18" s="18" t="s">
        <v>43</v>
      </c>
      <c r="B18" s="18"/>
      <c r="C18" s="39" t="s">
        <v>45</v>
      </c>
      <c r="D18" s="41" t="s">
        <v>44</v>
      </c>
    </row>
    <row r="19" spans="1:4" x14ac:dyDescent="0.2">
      <c r="A19" s="9" t="s">
        <v>70</v>
      </c>
      <c r="C19" s="40">
        <v>9.1533999999999995</v>
      </c>
      <c r="D19" s="40">
        <v>9.7787000000000006</v>
      </c>
    </row>
    <row r="20" spans="1:4" x14ac:dyDescent="0.2">
      <c r="A20" s="9" t="s">
        <v>76</v>
      </c>
      <c r="C20" s="40">
        <v>9.1533999999999995</v>
      </c>
      <c r="D20" s="40">
        <v>9.7787000000000006</v>
      </c>
    </row>
    <row r="21" spans="1:4" x14ac:dyDescent="0.2">
      <c r="A21" s="9" t="s">
        <v>73</v>
      </c>
      <c r="C21" s="40">
        <v>9.9121000000000006</v>
      </c>
      <c r="D21" s="40">
        <v>10.6327</v>
      </c>
    </row>
    <row r="22" spans="1:4" x14ac:dyDescent="0.2">
      <c r="A22" s="9" t="s">
        <v>77</v>
      </c>
      <c r="C22" s="40">
        <v>9.9121000000000006</v>
      </c>
      <c r="D22" s="40">
        <v>10.6327</v>
      </c>
    </row>
    <row r="24" spans="1:4" x14ac:dyDescent="0.2">
      <c r="A24" s="9" t="s">
        <v>46</v>
      </c>
    </row>
    <row r="26" spans="1:4" x14ac:dyDescent="0.2">
      <c r="A26" s="18" t="s">
        <v>47</v>
      </c>
      <c r="D26" s="41" t="s">
        <v>48</v>
      </c>
    </row>
    <row r="28" spans="1:4" x14ac:dyDescent="0.2">
      <c r="A28" s="18" t="s">
        <v>220</v>
      </c>
      <c r="D28" s="45">
        <v>9.2499999999999999E-2</v>
      </c>
    </row>
    <row r="30" spans="1:4" x14ac:dyDescent="0.2">
      <c r="A30" s="18" t="s">
        <v>94</v>
      </c>
    </row>
    <row r="31" spans="1:4" x14ac:dyDescent="0.2">
      <c r="A31" s="50" t="s">
        <v>50</v>
      </c>
    </row>
  </sheetData>
  <mergeCells count="1">
    <mergeCell ref="A1:E1"/>
  </mergeCells>
  <conditionalFormatting sqref="E5:E13">
    <cfRule type="cellIs" dxfId="9" priority="1" stopIfTrue="1" operator="between">
      <formula>0.009</formula>
      <formula>-0.009</formula>
    </cfRule>
  </conditionalFormatting>
  <hyperlinks>
    <hyperlink ref="A31" r:id="rId1" xr:uid="{00000000-0004-0000-2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42"/>
  <sheetViews>
    <sheetView workbookViewId="0">
      <selection sqref="A1:E1"/>
    </sheetView>
  </sheetViews>
  <sheetFormatPr defaultColWidth="9.109375" defaultRowHeight="10.199999999999999" x14ac:dyDescent="0.2"/>
  <cols>
    <col min="1" max="1" width="32.44140625" style="9" bestFit="1" customWidth="1"/>
    <col min="2" max="2" width="50.6640625" style="9" customWidth="1"/>
    <col min="3" max="3" width="15.33203125" style="9" bestFit="1" customWidth="1"/>
    <col min="4" max="4" width="23" style="10" bestFit="1" customWidth="1"/>
    <col min="5" max="5" width="13.5546875" style="13" customWidth="1"/>
    <col min="6" max="16384" width="9.109375" style="9"/>
  </cols>
  <sheetData>
    <row r="1" spans="1:8" s="1" customFormat="1" ht="13.8" x14ac:dyDescent="0.2">
      <c r="A1" s="79" t="s">
        <v>24</v>
      </c>
      <c r="B1" s="80"/>
      <c r="C1" s="80"/>
      <c r="D1" s="80"/>
      <c r="E1" s="80"/>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36</v>
      </c>
      <c r="B5" s="22"/>
      <c r="C5" s="23"/>
      <c r="D5" s="24"/>
      <c r="E5" s="25"/>
    </row>
    <row r="6" spans="1:8" x14ac:dyDescent="0.2">
      <c r="A6" s="27" t="s">
        <v>688</v>
      </c>
      <c r="B6" s="52" t="s">
        <v>687</v>
      </c>
      <c r="C6" s="31">
        <v>187442.57199999999</v>
      </c>
      <c r="D6" s="29">
        <v>1310.109238</v>
      </c>
      <c r="E6" s="30">
        <v>26.129722111995299</v>
      </c>
    </row>
    <row r="7" spans="1:8" x14ac:dyDescent="0.2">
      <c r="A7" s="27" t="s">
        <v>690</v>
      </c>
      <c r="B7" s="52" t="s">
        <v>689</v>
      </c>
      <c r="C7" s="31">
        <v>2245360</v>
      </c>
      <c r="D7" s="29">
        <v>909.81987200000003</v>
      </c>
      <c r="E7" s="30">
        <v>18.146074951447002</v>
      </c>
    </row>
    <row r="8" spans="1:8" x14ac:dyDescent="0.2">
      <c r="A8" s="27" t="s">
        <v>692</v>
      </c>
      <c r="B8" s="52" t="s">
        <v>691</v>
      </c>
      <c r="C8" s="31">
        <v>17660.517</v>
      </c>
      <c r="D8" s="29">
        <v>550.45521489999999</v>
      </c>
      <c r="E8" s="30">
        <v>10.9786584074416</v>
      </c>
    </row>
    <row r="9" spans="1:8" ht="20.399999999999999" x14ac:dyDescent="0.2">
      <c r="A9" s="27" t="s">
        <v>693</v>
      </c>
      <c r="B9" s="52" t="s">
        <v>744</v>
      </c>
      <c r="C9" s="31">
        <v>14566.59</v>
      </c>
      <c r="D9" s="29">
        <v>360.00303150000002</v>
      </c>
      <c r="E9" s="30">
        <v>7.1801487232707197</v>
      </c>
    </row>
    <row r="10" spans="1:8" ht="20.399999999999999" x14ac:dyDescent="0.2">
      <c r="A10" s="27" t="s">
        <v>695</v>
      </c>
      <c r="B10" s="52" t="s">
        <v>694</v>
      </c>
      <c r="C10" s="31">
        <v>23973.544999999998</v>
      </c>
      <c r="D10" s="29">
        <v>0</v>
      </c>
      <c r="E10" s="29">
        <v>0</v>
      </c>
    </row>
    <row r="11" spans="1:8" ht="20.399999999999999" x14ac:dyDescent="0.2">
      <c r="A11" s="27" t="s">
        <v>697</v>
      </c>
      <c r="B11" s="52" t="s">
        <v>696</v>
      </c>
      <c r="C11" s="31">
        <v>22876.138999999999</v>
      </c>
      <c r="D11" s="29">
        <v>0</v>
      </c>
      <c r="E11" s="29">
        <v>0</v>
      </c>
    </row>
    <row r="12" spans="1:8" x14ac:dyDescent="0.2">
      <c r="A12" s="26" t="s">
        <v>35</v>
      </c>
      <c r="B12" s="26"/>
      <c r="C12" s="32"/>
      <c r="D12" s="33">
        <f>SUM(D6:D11)</f>
        <v>3130.3873564</v>
      </c>
      <c r="E12" s="34">
        <f>SUM(E6:E11)</f>
        <v>62.434604194154616</v>
      </c>
      <c r="F12" s="18"/>
      <c r="G12" s="18"/>
      <c r="H12" s="18"/>
    </row>
    <row r="13" spans="1:8" x14ac:dyDescent="0.2">
      <c r="A13" s="27"/>
      <c r="B13" s="27"/>
      <c r="C13" s="28"/>
      <c r="D13" s="29"/>
      <c r="E13" s="30"/>
    </row>
    <row r="14" spans="1:8" x14ac:dyDescent="0.2">
      <c r="A14" s="26" t="s">
        <v>37</v>
      </c>
      <c r="B14" s="26"/>
      <c r="C14" s="32"/>
      <c r="D14" s="33">
        <f>D12</f>
        <v>3130.3873564</v>
      </c>
      <c r="E14" s="34">
        <f>E12</f>
        <v>62.434604194154616</v>
      </c>
      <c r="F14" s="18"/>
      <c r="G14" s="18"/>
      <c r="H14" s="18"/>
    </row>
    <row r="15" spans="1:8" x14ac:dyDescent="0.2">
      <c r="A15" s="26"/>
      <c r="B15" s="26"/>
      <c r="C15" s="32"/>
      <c r="D15" s="33"/>
      <c r="E15" s="34"/>
      <c r="F15" s="18"/>
      <c r="G15" s="18"/>
      <c r="H15" s="18"/>
    </row>
    <row r="16" spans="1:8" x14ac:dyDescent="0.2">
      <c r="A16" s="26" t="s">
        <v>39</v>
      </c>
      <c r="B16" s="26"/>
      <c r="C16" s="32"/>
      <c r="D16" s="33">
        <f>D18-(D12)</f>
        <v>1883.4785866999996</v>
      </c>
      <c r="E16" s="34">
        <f>E18-(E12)</f>
        <v>37.565395805845384</v>
      </c>
      <c r="F16" s="18"/>
      <c r="G16" s="18"/>
      <c r="H16" s="18"/>
    </row>
    <row r="17" spans="1:8" x14ac:dyDescent="0.2">
      <c r="A17" s="26"/>
      <c r="B17" s="26"/>
      <c r="C17" s="32"/>
      <c r="D17" s="33"/>
      <c r="E17" s="34"/>
      <c r="F17" s="18"/>
      <c r="G17" s="18"/>
      <c r="H17" s="18"/>
    </row>
    <row r="18" spans="1:8" x14ac:dyDescent="0.2">
      <c r="A18" s="35" t="s">
        <v>38</v>
      </c>
      <c r="B18" s="35"/>
      <c r="C18" s="36"/>
      <c r="D18" s="37">
        <v>5013.8659430999996</v>
      </c>
      <c r="E18" s="38">
        <v>100</v>
      </c>
      <c r="F18" s="18"/>
      <c r="G18" s="18"/>
      <c r="H18" s="18"/>
    </row>
    <row r="19" spans="1:8" x14ac:dyDescent="0.2">
      <c r="C19" s="10"/>
      <c r="D19" s="13"/>
      <c r="E19" s="20"/>
    </row>
    <row r="20" spans="1:8" x14ac:dyDescent="0.2">
      <c r="A20" s="18" t="s">
        <v>745</v>
      </c>
    </row>
    <row r="21" spans="1:8" ht="25.5" customHeight="1" x14ac:dyDescent="0.3">
      <c r="A21" s="88" t="s">
        <v>746</v>
      </c>
      <c r="B21" s="89"/>
      <c r="C21" s="89"/>
      <c r="D21" s="89"/>
      <c r="E21" s="89"/>
    </row>
    <row r="22" spans="1:8" x14ac:dyDescent="0.2">
      <c r="A22" s="18"/>
    </row>
    <row r="23" spans="1:8" x14ac:dyDescent="0.2">
      <c r="A23" s="18" t="s">
        <v>41</v>
      </c>
    </row>
    <row r="24" spans="1:8" x14ac:dyDescent="0.2">
      <c r="A24" s="18" t="s">
        <v>42</v>
      </c>
    </row>
    <row r="25" spans="1:8" x14ac:dyDescent="0.2">
      <c r="A25" s="18" t="s">
        <v>43</v>
      </c>
      <c r="B25" s="18"/>
      <c r="C25" s="39" t="s">
        <v>45</v>
      </c>
      <c r="D25" s="41" t="s">
        <v>44</v>
      </c>
    </row>
    <row r="26" spans="1:8" x14ac:dyDescent="0.2">
      <c r="A26" s="9" t="s">
        <v>70</v>
      </c>
      <c r="C26" s="40">
        <v>11.307499999999999</v>
      </c>
      <c r="D26" s="40">
        <v>13.0602</v>
      </c>
    </row>
    <row r="27" spans="1:8" x14ac:dyDescent="0.2">
      <c r="A27" s="9" t="s">
        <v>76</v>
      </c>
      <c r="C27" s="40">
        <v>11.307499999999999</v>
      </c>
      <c r="D27" s="40">
        <v>13.0602</v>
      </c>
    </row>
    <row r="28" spans="1:8" x14ac:dyDescent="0.2">
      <c r="A28" s="9" t="s">
        <v>73</v>
      </c>
      <c r="C28" s="40">
        <v>12.2127</v>
      </c>
      <c r="D28" s="40">
        <v>14.165699999999999</v>
      </c>
    </row>
    <row r="29" spans="1:8" x14ac:dyDescent="0.2">
      <c r="A29" s="9" t="s">
        <v>77</v>
      </c>
      <c r="C29" s="40">
        <v>12.2127</v>
      </c>
      <c r="D29" s="40">
        <v>14.165699999999999</v>
      </c>
    </row>
    <row r="31" spans="1:8" x14ac:dyDescent="0.2">
      <c r="A31" s="9" t="s">
        <v>46</v>
      </c>
    </row>
    <row r="33" spans="1:4" x14ac:dyDescent="0.2">
      <c r="A33" s="18" t="s">
        <v>47</v>
      </c>
      <c r="D33" s="41" t="s">
        <v>48</v>
      </c>
    </row>
    <row r="35" spans="1:4" x14ac:dyDescent="0.2">
      <c r="A35" s="18" t="s">
        <v>220</v>
      </c>
      <c r="D35" s="45">
        <v>0.51139999999999997</v>
      </c>
    </row>
    <row r="37" spans="1:4" x14ac:dyDescent="0.2">
      <c r="A37" s="18" t="s">
        <v>734</v>
      </c>
      <c r="D37" s="41">
        <v>1</v>
      </c>
    </row>
    <row r="38" spans="1:4" x14ac:dyDescent="0.2">
      <c r="A38" s="9" t="s">
        <v>729</v>
      </c>
    </row>
    <row r="39" spans="1:4" x14ac:dyDescent="0.2">
      <c r="A39" s="50" t="s">
        <v>730</v>
      </c>
    </row>
    <row r="41" spans="1:4" x14ac:dyDescent="0.2">
      <c r="A41" s="18" t="s">
        <v>735</v>
      </c>
    </row>
    <row r="42" spans="1:4" x14ac:dyDescent="0.2">
      <c r="A42" s="50" t="s">
        <v>50</v>
      </c>
    </row>
  </sheetData>
  <mergeCells count="2">
    <mergeCell ref="A1:E1"/>
    <mergeCell ref="A21:E21"/>
  </mergeCells>
  <conditionalFormatting sqref="E5:E9 E12:E19">
    <cfRule type="cellIs" dxfId="8" priority="1" stopIfTrue="1" operator="between">
      <formula>0.009</formula>
      <formula>-0.009</formula>
    </cfRule>
  </conditionalFormatting>
  <hyperlinks>
    <hyperlink ref="A42" r:id="rId1" xr:uid="{00000000-0004-0000-2D00-000000000000}"/>
    <hyperlink ref="A39" r:id="rId2" xr:uid="{00000000-0004-0000-2D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35"/>
  <sheetViews>
    <sheetView workbookViewId="0">
      <selection sqref="A1:E1"/>
    </sheetView>
  </sheetViews>
  <sheetFormatPr defaultColWidth="9.109375" defaultRowHeight="10.199999999999999" x14ac:dyDescent="0.2"/>
  <cols>
    <col min="1" max="1" width="32.44140625" style="9" bestFit="1" customWidth="1"/>
    <col min="2" max="2" width="34.44140625" style="9" bestFit="1" customWidth="1"/>
    <col min="3" max="3" width="24.6640625" style="9" bestFit="1" customWidth="1"/>
    <col min="4" max="4" width="23" style="10" bestFit="1" customWidth="1"/>
    <col min="5" max="5" width="13.5546875" style="13" customWidth="1"/>
    <col min="6" max="16384" width="9.109375" style="9"/>
  </cols>
  <sheetData>
    <row r="1" spans="1:8" s="1" customFormat="1" ht="13.8" x14ac:dyDescent="0.2">
      <c r="A1" s="79" t="s">
        <v>25</v>
      </c>
      <c r="B1" s="80"/>
      <c r="C1" s="80"/>
      <c r="D1" s="80"/>
      <c r="E1" s="80"/>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36</v>
      </c>
      <c r="B5" s="22"/>
      <c r="C5" s="23"/>
      <c r="D5" s="24"/>
      <c r="E5" s="25"/>
    </row>
    <row r="6" spans="1:8" x14ac:dyDescent="0.2">
      <c r="A6" s="27" t="s">
        <v>699</v>
      </c>
      <c r="B6" s="27" t="s">
        <v>698</v>
      </c>
      <c r="C6" s="31">
        <v>4133604.5440000002</v>
      </c>
      <c r="D6" s="29">
        <v>1666.648684</v>
      </c>
      <c r="E6" s="30">
        <v>78.944481562229697</v>
      </c>
    </row>
    <row r="7" spans="1:8" x14ac:dyDescent="0.2">
      <c r="A7" s="27" t="s">
        <v>701</v>
      </c>
      <c r="B7" s="27" t="s">
        <v>700</v>
      </c>
      <c r="C7" s="31">
        <v>54779.614999999998</v>
      </c>
      <c r="D7" s="29">
        <v>206.9461009</v>
      </c>
      <c r="E7" s="30">
        <v>9.8024573527190793</v>
      </c>
    </row>
    <row r="8" spans="1:8" x14ac:dyDescent="0.2">
      <c r="A8" s="27" t="s">
        <v>688</v>
      </c>
      <c r="B8" s="27" t="s">
        <v>687</v>
      </c>
      <c r="C8" s="31">
        <v>29480.782999999999</v>
      </c>
      <c r="D8" s="29">
        <v>206.05268989999999</v>
      </c>
      <c r="E8" s="30">
        <v>9.7601389751905199</v>
      </c>
    </row>
    <row r="9" spans="1:8" x14ac:dyDescent="0.2">
      <c r="A9" s="26" t="s">
        <v>35</v>
      </c>
      <c r="B9" s="26"/>
      <c r="C9" s="32"/>
      <c r="D9" s="33">
        <f>SUM(D6:D8)</f>
        <v>2079.6474748000001</v>
      </c>
      <c r="E9" s="34">
        <f>SUM(E6:E8)</f>
        <v>98.507077890139286</v>
      </c>
      <c r="F9" s="18"/>
      <c r="G9" s="18"/>
      <c r="H9" s="18"/>
    </row>
    <row r="10" spans="1:8" x14ac:dyDescent="0.2">
      <c r="A10" s="27"/>
      <c r="B10" s="27"/>
      <c r="C10" s="28"/>
      <c r="D10" s="29"/>
      <c r="E10" s="30"/>
    </row>
    <row r="11" spans="1:8" x14ac:dyDescent="0.2">
      <c r="A11" s="26" t="s">
        <v>37</v>
      </c>
      <c r="B11" s="26"/>
      <c r="C11" s="32"/>
      <c r="D11" s="33">
        <f>D9</f>
        <v>2079.6474748000001</v>
      </c>
      <c r="E11" s="34">
        <f>E9</f>
        <v>98.507077890139286</v>
      </c>
      <c r="F11" s="18"/>
      <c r="G11" s="18"/>
      <c r="H11" s="18"/>
    </row>
    <row r="12" spans="1:8" x14ac:dyDescent="0.2">
      <c r="A12" s="26"/>
      <c r="B12" s="26"/>
      <c r="C12" s="32"/>
      <c r="D12" s="33"/>
      <c r="E12" s="34"/>
      <c r="F12" s="18"/>
      <c r="G12" s="18"/>
      <c r="H12" s="18"/>
    </row>
    <row r="13" spans="1:8" x14ac:dyDescent="0.2">
      <c r="A13" s="26" t="s">
        <v>39</v>
      </c>
      <c r="B13" s="26"/>
      <c r="C13" s="32"/>
      <c r="D13" s="33">
        <f>D15-(D9)</f>
        <v>31.518056999999772</v>
      </c>
      <c r="E13" s="34">
        <f>E15-(E9)</f>
        <v>1.4929221098607144</v>
      </c>
      <c r="F13" s="18"/>
      <c r="G13" s="18"/>
      <c r="H13" s="18"/>
    </row>
    <row r="14" spans="1:8" x14ac:dyDescent="0.2">
      <c r="A14" s="26"/>
      <c r="B14" s="26"/>
      <c r="C14" s="32"/>
      <c r="D14" s="33"/>
      <c r="E14" s="34"/>
      <c r="F14" s="18"/>
      <c r="G14" s="18"/>
      <c r="H14" s="18"/>
    </row>
    <row r="15" spans="1:8" x14ac:dyDescent="0.2">
      <c r="A15" s="35" t="s">
        <v>38</v>
      </c>
      <c r="B15" s="35"/>
      <c r="C15" s="36"/>
      <c r="D15" s="37">
        <v>2111.1655317999998</v>
      </c>
      <c r="E15" s="38">
        <v>100</v>
      </c>
      <c r="F15" s="18"/>
      <c r="G15" s="18"/>
      <c r="H15" s="18"/>
    </row>
    <row r="17" spans="1:4" x14ac:dyDescent="0.2">
      <c r="A17" s="18" t="s">
        <v>41</v>
      </c>
    </row>
    <row r="18" spans="1:4" x14ac:dyDescent="0.2">
      <c r="A18" s="18" t="s">
        <v>42</v>
      </c>
    </row>
    <row r="19" spans="1:4" x14ac:dyDescent="0.2">
      <c r="A19" s="18" t="s">
        <v>43</v>
      </c>
      <c r="B19" s="18"/>
      <c r="C19" s="39" t="s">
        <v>45</v>
      </c>
      <c r="D19" s="41" t="s">
        <v>44</v>
      </c>
    </row>
    <row r="20" spans="1:4" x14ac:dyDescent="0.2">
      <c r="A20" s="9" t="s">
        <v>90</v>
      </c>
      <c r="C20" s="40">
        <v>42.452500000000001</v>
      </c>
      <c r="D20" s="40">
        <v>45.0244</v>
      </c>
    </row>
    <row r="21" spans="1:4" x14ac:dyDescent="0.2">
      <c r="A21" s="9" t="s">
        <v>702</v>
      </c>
      <c r="C21" s="40">
        <v>13.992900000000001</v>
      </c>
      <c r="D21" s="40">
        <v>14.303100000000001</v>
      </c>
    </row>
    <row r="22" spans="1:4" x14ac:dyDescent="0.2">
      <c r="A22" s="9" t="s">
        <v>91</v>
      </c>
      <c r="C22" s="40">
        <v>43.959200000000003</v>
      </c>
      <c r="D22" s="40">
        <v>46.766399999999997</v>
      </c>
    </row>
    <row r="23" spans="1:4" x14ac:dyDescent="0.2">
      <c r="A23" s="9" t="s">
        <v>703</v>
      </c>
      <c r="C23" s="40">
        <v>14.541</v>
      </c>
      <c r="D23" s="40">
        <v>14.9123</v>
      </c>
    </row>
    <row r="25" spans="1:4" x14ac:dyDescent="0.2">
      <c r="A25" s="18" t="s">
        <v>47</v>
      </c>
    </row>
    <row r="26" spans="1:4" x14ac:dyDescent="0.2">
      <c r="A26" s="81" t="s">
        <v>67</v>
      </c>
      <c r="B26" s="82"/>
      <c r="C26" s="43" t="s">
        <v>68</v>
      </c>
    </row>
    <row r="27" spans="1:4" x14ac:dyDescent="0.2">
      <c r="A27" s="77" t="s">
        <v>702</v>
      </c>
      <c r="B27" s="78"/>
      <c r="C27" s="44">
        <v>0.53</v>
      </c>
    </row>
    <row r="28" spans="1:4" x14ac:dyDescent="0.2">
      <c r="A28" s="77" t="s">
        <v>703</v>
      </c>
      <c r="B28" s="78"/>
      <c r="C28" s="44">
        <v>0.53</v>
      </c>
    </row>
    <row r="29" spans="1:4" x14ac:dyDescent="0.2">
      <c r="A29" s="9" t="s">
        <v>69</v>
      </c>
    </row>
    <row r="30" spans="1:4" x14ac:dyDescent="0.2">
      <c r="A30" s="9" t="s">
        <v>46</v>
      </c>
    </row>
    <row r="32" spans="1:4" x14ac:dyDescent="0.2">
      <c r="A32" s="18" t="s">
        <v>220</v>
      </c>
      <c r="D32" s="45">
        <v>7.6300000000000007E-2</v>
      </c>
    </row>
    <row r="34" spans="1:1" x14ac:dyDescent="0.2">
      <c r="A34" s="18" t="s">
        <v>94</v>
      </c>
    </row>
    <row r="35" spans="1:1" x14ac:dyDescent="0.2">
      <c r="A35" s="50" t="s">
        <v>50</v>
      </c>
    </row>
  </sheetData>
  <mergeCells count="4">
    <mergeCell ref="A1:E1"/>
    <mergeCell ref="A26:B26"/>
    <mergeCell ref="A27:B27"/>
    <mergeCell ref="A28:B28"/>
  </mergeCells>
  <conditionalFormatting sqref="E5:E15">
    <cfRule type="cellIs" dxfId="7" priority="1" stopIfTrue="1" operator="between">
      <formula>0.009</formula>
      <formula>-0.009</formula>
    </cfRule>
  </conditionalFormatting>
  <hyperlinks>
    <hyperlink ref="A35" r:id="rId1" xr:uid="{00000000-0004-0000-2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H45"/>
  <sheetViews>
    <sheetView workbookViewId="0">
      <selection sqref="A1:E1"/>
    </sheetView>
  </sheetViews>
  <sheetFormatPr defaultColWidth="9.109375" defaultRowHeight="10.199999999999999" x14ac:dyDescent="0.2"/>
  <cols>
    <col min="1" max="1" width="32.44140625" style="9" bestFit="1" customWidth="1"/>
    <col min="2" max="2" width="50.6640625" style="9" customWidth="1"/>
    <col min="3" max="3" width="24.6640625" style="9" bestFit="1" customWidth="1"/>
    <col min="4" max="4" width="23" style="10" bestFit="1" customWidth="1"/>
    <col min="5" max="5" width="13.5546875" style="13" customWidth="1"/>
    <col min="6" max="16384" width="9.109375" style="9"/>
  </cols>
  <sheetData>
    <row r="1" spans="1:8" s="1" customFormat="1" ht="13.8" x14ac:dyDescent="0.2">
      <c r="A1" s="79" t="s">
        <v>26</v>
      </c>
      <c r="B1" s="80"/>
      <c r="C1" s="80"/>
      <c r="D1" s="80"/>
      <c r="E1" s="80"/>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36</v>
      </c>
      <c r="B5" s="22"/>
      <c r="C5" s="23"/>
      <c r="D5" s="24"/>
      <c r="E5" s="25"/>
    </row>
    <row r="6" spans="1:8" x14ac:dyDescent="0.2">
      <c r="A6" s="27" t="s">
        <v>705</v>
      </c>
      <c r="B6" s="52" t="s">
        <v>704</v>
      </c>
      <c r="C6" s="31">
        <v>1492333.885</v>
      </c>
      <c r="D6" s="29">
        <v>1234.0869990000001</v>
      </c>
      <c r="E6" s="30">
        <v>74.9001297028518</v>
      </c>
    </row>
    <row r="7" spans="1:8" x14ac:dyDescent="0.2">
      <c r="A7" s="27" t="s">
        <v>701</v>
      </c>
      <c r="B7" s="52" t="s">
        <v>700</v>
      </c>
      <c r="C7" s="31">
        <v>42799.131000000001</v>
      </c>
      <c r="D7" s="29">
        <v>161.6863003</v>
      </c>
      <c r="E7" s="30">
        <v>9.8131856777175592</v>
      </c>
    </row>
    <row r="8" spans="1:8" x14ac:dyDescent="0.2">
      <c r="A8" s="27" t="s">
        <v>688</v>
      </c>
      <c r="B8" s="52" t="s">
        <v>687</v>
      </c>
      <c r="C8" s="31">
        <v>23131.429</v>
      </c>
      <c r="D8" s="29">
        <v>161.6745785</v>
      </c>
      <c r="E8" s="30">
        <v>9.8124742494786599</v>
      </c>
    </row>
    <row r="9" spans="1:8" ht="20.399999999999999" x14ac:dyDescent="0.2">
      <c r="A9" s="27" t="s">
        <v>706</v>
      </c>
      <c r="B9" s="52" t="s">
        <v>747</v>
      </c>
      <c r="C9" s="31">
        <v>164580.736</v>
      </c>
      <c r="D9" s="29">
        <v>67.414902799999993</v>
      </c>
      <c r="E9" s="30">
        <v>4.0915956230936299</v>
      </c>
    </row>
    <row r="10" spans="1:8" ht="20.399999999999999" x14ac:dyDescent="0.2">
      <c r="A10" s="27" t="s">
        <v>708</v>
      </c>
      <c r="B10" s="52" t="s">
        <v>707</v>
      </c>
      <c r="C10" s="31">
        <v>489502.28</v>
      </c>
      <c r="D10" s="29">
        <v>0</v>
      </c>
      <c r="E10" s="29">
        <v>0</v>
      </c>
    </row>
    <row r="11" spans="1:8" ht="20.399999999999999" x14ac:dyDescent="0.2">
      <c r="A11" s="27" t="s">
        <v>710</v>
      </c>
      <c r="B11" s="52" t="s">
        <v>709</v>
      </c>
      <c r="C11" s="31">
        <v>371180.549</v>
      </c>
      <c r="D11" s="29">
        <v>0</v>
      </c>
      <c r="E11" s="29">
        <v>0</v>
      </c>
    </row>
    <row r="12" spans="1:8" x14ac:dyDescent="0.2">
      <c r="A12" s="26" t="s">
        <v>35</v>
      </c>
      <c r="B12" s="26"/>
      <c r="C12" s="32"/>
      <c r="D12" s="33">
        <f>SUM(D6:D11)</f>
        <v>1624.8627806000002</v>
      </c>
      <c r="E12" s="34">
        <f>SUM(E6:E11)</f>
        <v>98.617385253141634</v>
      </c>
      <c r="F12" s="18"/>
      <c r="G12" s="18"/>
      <c r="H12" s="18"/>
    </row>
    <row r="13" spans="1:8" x14ac:dyDescent="0.2">
      <c r="A13" s="27"/>
      <c r="B13" s="27"/>
      <c r="C13" s="28"/>
      <c r="D13" s="29"/>
      <c r="E13" s="30"/>
    </row>
    <row r="14" spans="1:8" x14ac:dyDescent="0.2">
      <c r="A14" s="26" t="s">
        <v>37</v>
      </c>
      <c r="B14" s="26"/>
      <c r="C14" s="32"/>
      <c r="D14" s="33">
        <f>D12</f>
        <v>1624.8627806000002</v>
      </c>
      <c r="E14" s="34">
        <f>E12</f>
        <v>98.617385253141634</v>
      </c>
      <c r="F14" s="18"/>
      <c r="G14" s="18"/>
      <c r="H14" s="18"/>
    </row>
    <row r="15" spans="1:8" x14ac:dyDescent="0.2">
      <c r="A15" s="26"/>
      <c r="B15" s="26"/>
      <c r="C15" s="32"/>
      <c r="D15" s="33"/>
      <c r="E15" s="34"/>
      <c r="F15" s="18"/>
      <c r="G15" s="18"/>
      <c r="H15" s="18"/>
    </row>
    <row r="16" spans="1:8" x14ac:dyDescent="0.2">
      <c r="A16" s="26" t="s">
        <v>39</v>
      </c>
      <c r="B16" s="26"/>
      <c r="C16" s="32"/>
      <c r="D16" s="33">
        <f>D18-(D12)</f>
        <v>22.780559799999764</v>
      </c>
      <c r="E16" s="34">
        <f>E18-(E12)</f>
        <v>1.3826147468583656</v>
      </c>
      <c r="F16" s="18"/>
      <c r="G16" s="18"/>
      <c r="H16" s="18"/>
    </row>
    <row r="17" spans="1:8" x14ac:dyDescent="0.2">
      <c r="A17" s="26"/>
      <c r="B17" s="26"/>
      <c r="C17" s="32"/>
      <c r="D17" s="33"/>
      <c r="E17" s="34"/>
      <c r="F17" s="18"/>
      <c r="G17" s="18"/>
      <c r="H17" s="18"/>
    </row>
    <row r="18" spans="1:8" x14ac:dyDescent="0.2">
      <c r="A18" s="35" t="s">
        <v>38</v>
      </c>
      <c r="B18" s="35"/>
      <c r="C18" s="36"/>
      <c r="D18" s="37">
        <v>1647.6433403999999</v>
      </c>
      <c r="E18" s="38">
        <v>100</v>
      </c>
      <c r="F18" s="18"/>
      <c r="G18" s="18"/>
      <c r="H18" s="18"/>
    </row>
    <row r="20" spans="1:8" x14ac:dyDescent="0.2">
      <c r="A20" s="18" t="s">
        <v>745</v>
      </c>
    </row>
    <row r="21" spans="1:8" ht="24" customHeight="1" x14ac:dyDescent="0.3">
      <c r="A21" s="88" t="s">
        <v>746</v>
      </c>
      <c r="B21" s="89"/>
      <c r="C21" s="89"/>
      <c r="D21" s="89"/>
      <c r="E21" s="89"/>
    </row>
    <row r="23" spans="1:8" x14ac:dyDescent="0.2">
      <c r="A23" s="18" t="s">
        <v>41</v>
      </c>
    </row>
    <row r="24" spans="1:8" x14ac:dyDescent="0.2">
      <c r="A24" s="18" t="s">
        <v>42</v>
      </c>
    </row>
    <row r="25" spans="1:8" x14ac:dyDescent="0.2">
      <c r="A25" s="18" t="s">
        <v>43</v>
      </c>
      <c r="B25" s="18"/>
      <c r="C25" s="39" t="s">
        <v>45</v>
      </c>
      <c r="D25" s="41" t="s">
        <v>44</v>
      </c>
    </row>
    <row r="26" spans="1:8" x14ac:dyDescent="0.2">
      <c r="A26" s="9" t="s">
        <v>90</v>
      </c>
      <c r="C26" s="40">
        <v>29.811199999999999</v>
      </c>
      <c r="D26" s="40">
        <v>33.704599999999999</v>
      </c>
    </row>
    <row r="27" spans="1:8" x14ac:dyDescent="0.2">
      <c r="A27" s="9" t="s">
        <v>702</v>
      </c>
      <c r="C27" s="40">
        <v>10.2073</v>
      </c>
      <c r="D27" s="40">
        <v>11.0876</v>
      </c>
    </row>
    <row r="28" spans="1:8" x14ac:dyDescent="0.2">
      <c r="A28" s="9" t="s">
        <v>91</v>
      </c>
      <c r="C28" s="40">
        <v>31.454799999999999</v>
      </c>
      <c r="D28" s="40">
        <v>35.710799999999999</v>
      </c>
    </row>
    <row r="29" spans="1:8" x14ac:dyDescent="0.2">
      <c r="A29" s="9" t="s">
        <v>703</v>
      </c>
      <c r="C29" s="40">
        <v>10.788</v>
      </c>
      <c r="D29" s="40">
        <v>11.793799999999999</v>
      </c>
    </row>
    <row r="31" spans="1:8" x14ac:dyDescent="0.2">
      <c r="A31" s="18" t="s">
        <v>47</v>
      </c>
    </row>
    <row r="32" spans="1:8" x14ac:dyDescent="0.2">
      <c r="A32" s="81" t="s">
        <v>67</v>
      </c>
      <c r="B32" s="82"/>
      <c r="C32" s="43" t="s">
        <v>68</v>
      </c>
    </row>
    <row r="33" spans="1:4" x14ac:dyDescent="0.2">
      <c r="A33" s="77" t="s">
        <v>702</v>
      </c>
      <c r="B33" s="78"/>
      <c r="C33" s="44">
        <v>0.44</v>
      </c>
    </row>
    <row r="34" spans="1:4" x14ac:dyDescent="0.2">
      <c r="A34" s="77" t="s">
        <v>703</v>
      </c>
      <c r="B34" s="78"/>
      <c r="C34" s="44">
        <v>0.44</v>
      </c>
    </row>
    <row r="35" spans="1:4" x14ac:dyDescent="0.2">
      <c r="A35" s="9" t="s">
        <v>69</v>
      </c>
    </row>
    <row r="36" spans="1:4" x14ac:dyDescent="0.2">
      <c r="A36" s="9" t="s">
        <v>46</v>
      </c>
    </row>
    <row r="38" spans="1:4" x14ac:dyDescent="0.2">
      <c r="A38" s="18" t="s">
        <v>220</v>
      </c>
      <c r="D38" s="45">
        <v>0.21099999999999999</v>
      </c>
    </row>
    <row r="40" spans="1:4" x14ac:dyDescent="0.2">
      <c r="A40" s="18" t="s">
        <v>734</v>
      </c>
      <c r="D40" s="41">
        <v>1</v>
      </c>
    </row>
    <row r="41" spans="1:4" x14ac:dyDescent="0.2">
      <c r="A41" s="9" t="s">
        <v>729</v>
      </c>
    </row>
    <row r="42" spans="1:4" x14ac:dyDescent="0.2">
      <c r="A42" s="50" t="s">
        <v>730</v>
      </c>
    </row>
    <row r="44" spans="1:4" x14ac:dyDescent="0.2">
      <c r="A44" s="18" t="s">
        <v>735</v>
      </c>
    </row>
    <row r="45" spans="1:4" x14ac:dyDescent="0.2">
      <c r="A45" s="50" t="s">
        <v>50</v>
      </c>
    </row>
  </sheetData>
  <mergeCells count="5">
    <mergeCell ref="A1:E1"/>
    <mergeCell ref="A32:B32"/>
    <mergeCell ref="A33:B33"/>
    <mergeCell ref="A34:B34"/>
    <mergeCell ref="A21:E21"/>
  </mergeCells>
  <conditionalFormatting sqref="E5:E9 E12:E18">
    <cfRule type="cellIs" dxfId="6" priority="1" stopIfTrue="1" operator="between">
      <formula>0.009</formula>
      <formula>-0.009</formula>
    </cfRule>
  </conditionalFormatting>
  <hyperlinks>
    <hyperlink ref="A45" r:id="rId1" xr:uid="{00000000-0004-0000-2F00-000000000000}"/>
    <hyperlink ref="A42" r:id="rId2" xr:uid="{00000000-0004-0000-2F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43"/>
  <sheetViews>
    <sheetView workbookViewId="0">
      <selection sqref="A1:E1"/>
    </sheetView>
  </sheetViews>
  <sheetFormatPr defaultColWidth="9.109375" defaultRowHeight="10.199999999999999" x14ac:dyDescent="0.2"/>
  <cols>
    <col min="1" max="1" width="32.44140625" style="9" bestFit="1" customWidth="1"/>
    <col min="2" max="2" width="50.6640625" style="9" customWidth="1"/>
    <col min="3" max="3" width="15.33203125" style="9" bestFit="1" customWidth="1"/>
    <col min="4" max="4" width="23" style="10" bestFit="1" customWidth="1"/>
    <col min="5" max="5" width="13.5546875" style="13" customWidth="1"/>
    <col min="6" max="16384" width="9.109375" style="9"/>
  </cols>
  <sheetData>
    <row r="1" spans="1:8" s="1" customFormat="1" ht="13.8" x14ac:dyDescent="0.2">
      <c r="A1" s="79" t="s">
        <v>27</v>
      </c>
      <c r="B1" s="80"/>
      <c r="C1" s="80"/>
      <c r="D1" s="80"/>
      <c r="E1" s="80"/>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36</v>
      </c>
      <c r="B5" s="22"/>
      <c r="C5" s="23"/>
      <c r="D5" s="24"/>
      <c r="E5" s="25"/>
    </row>
    <row r="6" spans="1:8" x14ac:dyDescent="0.2">
      <c r="A6" s="27" t="s">
        <v>705</v>
      </c>
      <c r="B6" s="52" t="s">
        <v>704</v>
      </c>
      <c r="C6" s="31">
        <v>1411811.5560000001</v>
      </c>
      <c r="D6" s="29">
        <v>1167.4989780000001</v>
      </c>
      <c r="E6" s="30">
        <v>59.672081271918202</v>
      </c>
    </row>
    <row r="7" spans="1:8" x14ac:dyDescent="0.2">
      <c r="A7" s="27" t="s">
        <v>688</v>
      </c>
      <c r="B7" s="52" t="s">
        <v>687</v>
      </c>
      <c r="C7" s="31">
        <v>41163.122000000003</v>
      </c>
      <c r="D7" s="29">
        <v>287.70511329999999</v>
      </c>
      <c r="E7" s="30">
        <v>14.704906151261801</v>
      </c>
    </row>
    <row r="8" spans="1:8" x14ac:dyDescent="0.2">
      <c r="A8" s="27" t="s">
        <v>712</v>
      </c>
      <c r="B8" s="52" t="s">
        <v>711</v>
      </c>
      <c r="C8" s="31">
        <v>12843.145</v>
      </c>
      <c r="D8" s="29">
        <v>193.82191180000001</v>
      </c>
      <c r="E8" s="30">
        <v>9.9064385418315695</v>
      </c>
    </row>
    <row r="9" spans="1:8" x14ac:dyDescent="0.2">
      <c r="A9" s="27" t="s">
        <v>701</v>
      </c>
      <c r="B9" s="52" t="s">
        <v>700</v>
      </c>
      <c r="C9" s="31">
        <v>50746.112000000001</v>
      </c>
      <c r="D9" s="29">
        <v>191.70835740000001</v>
      </c>
      <c r="E9" s="30">
        <v>9.7984125886564506</v>
      </c>
    </row>
    <row r="10" spans="1:8" ht="20.399999999999999" x14ac:dyDescent="0.2">
      <c r="A10" s="27" t="s">
        <v>706</v>
      </c>
      <c r="B10" s="52" t="s">
        <v>747</v>
      </c>
      <c r="C10" s="31">
        <v>214238.23499999999</v>
      </c>
      <c r="D10" s="29">
        <v>87.755408900000006</v>
      </c>
      <c r="E10" s="30">
        <v>4.4852697866183604</v>
      </c>
    </row>
    <row r="11" spans="1:8" ht="20.399999999999999" x14ac:dyDescent="0.2">
      <c r="A11" s="27" t="s">
        <v>708</v>
      </c>
      <c r="B11" s="52" t="s">
        <v>707</v>
      </c>
      <c r="C11" s="31">
        <v>631308.71</v>
      </c>
      <c r="D11" s="29">
        <v>0</v>
      </c>
      <c r="E11" s="29">
        <v>0</v>
      </c>
    </row>
    <row r="12" spans="1:8" ht="20.399999999999999" x14ac:dyDescent="0.2">
      <c r="A12" s="27" t="s">
        <v>710</v>
      </c>
      <c r="B12" s="52" t="s">
        <v>709</v>
      </c>
      <c r="C12" s="31">
        <v>584729.58299999998</v>
      </c>
      <c r="D12" s="29">
        <v>0</v>
      </c>
      <c r="E12" s="29">
        <v>0</v>
      </c>
    </row>
    <row r="13" spans="1:8" x14ac:dyDescent="0.2">
      <c r="A13" s="26" t="s">
        <v>35</v>
      </c>
      <c r="B13" s="26"/>
      <c r="C13" s="32"/>
      <c r="D13" s="33">
        <f>SUM(D6:D12)</f>
        <v>1928.4897694000001</v>
      </c>
      <c r="E13" s="34">
        <f>SUM(E6:E12)</f>
        <v>98.567108340286367</v>
      </c>
      <c r="F13" s="18"/>
      <c r="G13" s="18"/>
      <c r="H13" s="18"/>
    </row>
    <row r="14" spans="1:8" x14ac:dyDescent="0.2">
      <c r="A14" s="27"/>
      <c r="B14" s="27"/>
      <c r="C14" s="28"/>
      <c r="D14" s="29"/>
      <c r="E14" s="30"/>
    </row>
    <row r="15" spans="1:8" x14ac:dyDescent="0.2">
      <c r="A15" s="26" t="s">
        <v>37</v>
      </c>
      <c r="B15" s="26"/>
      <c r="C15" s="32"/>
      <c r="D15" s="33">
        <f>D13</f>
        <v>1928.4897694000001</v>
      </c>
      <c r="E15" s="34">
        <f>E13</f>
        <v>98.567108340286367</v>
      </c>
      <c r="F15" s="18"/>
      <c r="G15" s="18"/>
      <c r="H15" s="18"/>
    </row>
    <row r="16" spans="1:8" x14ac:dyDescent="0.2">
      <c r="A16" s="26"/>
      <c r="B16" s="26"/>
      <c r="C16" s="32"/>
      <c r="D16" s="33"/>
      <c r="E16" s="34"/>
      <c r="F16" s="18"/>
      <c r="G16" s="18"/>
      <c r="H16" s="18"/>
    </row>
    <row r="17" spans="1:8" x14ac:dyDescent="0.2">
      <c r="A17" s="26" t="s">
        <v>39</v>
      </c>
      <c r="B17" s="26"/>
      <c r="C17" s="32"/>
      <c r="D17" s="33">
        <f>D19-(D13)</f>
        <v>28.034878499999877</v>
      </c>
      <c r="E17" s="34">
        <f>E19-(E13)</f>
        <v>1.4328916597136327</v>
      </c>
      <c r="F17" s="18"/>
      <c r="G17" s="18"/>
      <c r="H17" s="18"/>
    </row>
    <row r="18" spans="1:8" x14ac:dyDescent="0.2">
      <c r="A18" s="26"/>
      <c r="B18" s="26"/>
      <c r="C18" s="32"/>
      <c r="D18" s="33"/>
      <c r="E18" s="34"/>
      <c r="F18" s="18"/>
      <c r="G18" s="18"/>
      <c r="H18" s="18"/>
    </row>
    <row r="19" spans="1:8" x14ac:dyDescent="0.2">
      <c r="A19" s="35" t="s">
        <v>38</v>
      </c>
      <c r="B19" s="35"/>
      <c r="C19" s="36"/>
      <c r="D19" s="37">
        <v>1956.5246479</v>
      </c>
      <c r="E19" s="38">
        <v>100</v>
      </c>
      <c r="F19" s="18"/>
      <c r="G19" s="18"/>
      <c r="H19" s="18"/>
    </row>
    <row r="21" spans="1:8" x14ac:dyDescent="0.2">
      <c r="A21" s="18" t="s">
        <v>745</v>
      </c>
      <c r="C21" s="10"/>
      <c r="D21" s="13"/>
      <c r="E21" s="14"/>
    </row>
    <row r="22" spans="1:8" ht="26.25" customHeight="1" x14ac:dyDescent="0.3">
      <c r="A22" s="88" t="s">
        <v>746</v>
      </c>
      <c r="B22" s="89"/>
      <c r="C22" s="89"/>
      <c r="D22" s="89"/>
      <c r="E22" s="89"/>
    </row>
    <row r="23" spans="1:8" s="53" customFormat="1" x14ac:dyDescent="0.2">
      <c r="D23" s="54"/>
      <c r="E23" s="55"/>
    </row>
    <row r="24" spans="1:8" x14ac:dyDescent="0.2">
      <c r="A24" s="18" t="s">
        <v>41</v>
      </c>
    </row>
    <row r="25" spans="1:8" x14ac:dyDescent="0.2">
      <c r="A25" s="18" t="s">
        <v>42</v>
      </c>
    </row>
    <row r="26" spans="1:8" x14ac:dyDescent="0.2">
      <c r="A26" s="18" t="s">
        <v>43</v>
      </c>
      <c r="B26" s="18"/>
      <c r="C26" s="39" t="s">
        <v>45</v>
      </c>
      <c r="D26" s="41" t="s">
        <v>44</v>
      </c>
    </row>
    <row r="27" spans="1:8" x14ac:dyDescent="0.2">
      <c r="A27" s="9" t="s">
        <v>90</v>
      </c>
      <c r="C27" s="40">
        <v>45.055799999999998</v>
      </c>
      <c r="D27" s="40">
        <v>52.882800000000003</v>
      </c>
    </row>
    <row r="28" spans="1:8" x14ac:dyDescent="0.2">
      <c r="A28" s="9" t="s">
        <v>702</v>
      </c>
      <c r="C28" s="40">
        <v>11.791</v>
      </c>
      <c r="D28" s="40">
        <v>13.8393</v>
      </c>
    </row>
    <row r="29" spans="1:8" x14ac:dyDescent="0.2">
      <c r="A29" s="9" t="s">
        <v>91</v>
      </c>
      <c r="C29" s="40">
        <v>47.494</v>
      </c>
      <c r="D29" s="40">
        <v>55.9634</v>
      </c>
    </row>
    <row r="30" spans="1:8" x14ac:dyDescent="0.2">
      <c r="A30" s="9" t="s">
        <v>703</v>
      </c>
      <c r="C30" s="40">
        <v>12.422499999999999</v>
      </c>
      <c r="D30" s="40">
        <v>14.631399999999999</v>
      </c>
    </row>
    <row r="32" spans="1:8" x14ac:dyDescent="0.2">
      <c r="A32" s="9" t="s">
        <v>46</v>
      </c>
    </row>
    <row r="34" spans="1:4" x14ac:dyDescent="0.2">
      <c r="A34" s="18" t="s">
        <v>47</v>
      </c>
      <c r="D34" s="41" t="s">
        <v>48</v>
      </c>
    </row>
    <row r="36" spans="1:4" x14ac:dyDescent="0.2">
      <c r="A36" s="18" t="s">
        <v>220</v>
      </c>
      <c r="D36" s="45">
        <v>0.24460000000000001</v>
      </c>
    </row>
    <row r="38" spans="1:4" x14ac:dyDescent="0.2">
      <c r="A38" s="18" t="s">
        <v>734</v>
      </c>
      <c r="D38" s="41">
        <v>1</v>
      </c>
    </row>
    <row r="39" spans="1:4" x14ac:dyDescent="0.2">
      <c r="A39" s="9" t="s">
        <v>729</v>
      </c>
    </row>
    <row r="40" spans="1:4" x14ac:dyDescent="0.2">
      <c r="A40" s="50" t="s">
        <v>730</v>
      </c>
    </row>
    <row r="42" spans="1:4" x14ac:dyDescent="0.2">
      <c r="A42" s="18" t="s">
        <v>735</v>
      </c>
    </row>
    <row r="43" spans="1:4" x14ac:dyDescent="0.2">
      <c r="A43" s="50" t="s">
        <v>50</v>
      </c>
    </row>
  </sheetData>
  <mergeCells count="2">
    <mergeCell ref="A1:E1"/>
    <mergeCell ref="A22:E22"/>
  </mergeCells>
  <conditionalFormatting sqref="E5:E10 E13:E19">
    <cfRule type="cellIs" dxfId="5" priority="2" stopIfTrue="1" operator="between">
      <formula>0.009</formula>
      <formula>-0.009</formula>
    </cfRule>
  </conditionalFormatting>
  <conditionalFormatting sqref="E21">
    <cfRule type="cellIs" dxfId="4" priority="1" stopIfTrue="1" operator="between">
      <formula>0.009</formula>
      <formula>-0.009</formula>
    </cfRule>
  </conditionalFormatting>
  <hyperlinks>
    <hyperlink ref="A43" r:id="rId1" xr:uid="{00000000-0004-0000-3000-000000000000}"/>
    <hyperlink ref="A40" r:id="rId2" xr:uid="{00000000-0004-0000-30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H43"/>
  <sheetViews>
    <sheetView workbookViewId="0">
      <selection sqref="A1:E1"/>
    </sheetView>
  </sheetViews>
  <sheetFormatPr defaultColWidth="9.109375" defaultRowHeight="10.199999999999999" x14ac:dyDescent="0.2"/>
  <cols>
    <col min="1" max="1" width="32.44140625" style="9" bestFit="1" customWidth="1"/>
    <col min="2" max="2" width="50.6640625" style="9" customWidth="1"/>
    <col min="3" max="3" width="15.33203125" style="9" bestFit="1" customWidth="1"/>
    <col min="4" max="4" width="23" style="10" bestFit="1" customWidth="1"/>
    <col min="5" max="5" width="13.5546875" style="13" customWidth="1"/>
    <col min="6" max="16384" width="9.109375" style="9"/>
  </cols>
  <sheetData>
    <row r="1" spans="1:8" s="1" customFormat="1" ht="13.8" x14ac:dyDescent="0.2">
      <c r="A1" s="79" t="s">
        <v>28</v>
      </c>
      <c r="B1" s="80"/>
      <c r="C1" s="80"/>
      <c r="D1" s="80"/>
      <c r="E1" s="80"/>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36</v>
      </c>
      <c r="B5" s="22"/>
      <c r="C5" s="23"/>
      <c r="D5" s="24"/>
      <c r="E5" s="25"/>
    </row>
    <row r="6" spans="1:8" x14ac:dyDescent="0.2">
      <c r="A6" s="27" t="s">
        <v>705</v>
      </c>
      <c r="B6" s="52" t="s">
        <v>704</v>
      </c>
      <c r="C6" s="31">
        <v>294144.33100000001</v>
      </c>
      <c r="D6" s="29">
        <v>243.2429487</v>
      </c>
      <c r="E6" s="30">
        <v>40.279949972120399</v>
      </c>
    </row>
    <row r="7" spans="1:8" x14ac:dyDescent="0.2">
      <c r="A7" s="27" t="s">
        <v>688</v>
      </c>
      <c r="B7" s="52" t="s">
        <v>687</v>
      </c>
      <c r="C7" s="31">
        <v>29697.574000000001</v>
      </c>
      <c r="D7" s="29">
        <v>207.56792669999999</v>
      </c>
      <c r="E7" s="30">
        <v>34.372325068318602</v>
      </c>
    </row>
    <row r="8" spans="1:8" x14ac:dyDescent="0.2">
      <c r="A8" s="27" t="s">
        <v>712</v>
      </c>
      <c r="B8" s="52" t="s">
        <v>711</v>
      </c>
      <c r="C8" s="31">
        <v>3963.7919999999999</v>
      </c>
      <c r="D8" s="29">
        <v>59.819440100000001</v>
      </c>
      <c r="E8" s="30">
        <v>9.9058331082805609</v>
      </c>
    </row>
    <row r="9" spans="1:8" x14ac:dyDescent="0.2">
      <c r="A9" s="27" t="s">
        <v>701</v>
      </c>
      <c r="B9" s="52" t="s">
        <v>700</v>
      </c>
      <c r="C9" s="31">
        <v>15828.602000000001</v>
      </c>
      <c r="D9" s="29">
        <v>59.797197699999998</v>
      </c>
      <c r="E9" s="30">
        <v>9.9021498658102303</v>
      </c>
    </row>
    <row r="10" spans="1:8" ht="20.399999999999999" x14ac:dyDescent="0.2">
      <c r="A10" s="27" t="s">
        <v>706</v>
      </c>
      <c r="B10" s="52" t="s">
        <v>747</v>
      </c>
      <c r="C10" s="31">
        <v>63876.769</v>
      </c>
      <c r="D10" s="29">
        <v>26.1649466</v>
      </c>
      <c r="E10" s="30">
        <v>4.3327987335453697</v>
      </c>
    </row>
    <row r="11" spans="1:8" ht="20.399999999999999" x14ac:dyDescent="0.2">
      <c r="A11" s="27" t="s">
        <v>708</v>
      </c>
      <c r="B11" s="52" t="s">
        <v>707</v>
      </c>
      <c r="C11" s="31">
        <v>196087.27</v>
      </c>
      <c r="D11" s="29">
        <v>0</v>
      </c>
      <c r="E11" s="29">
        <v>0</v>
      </c>
    </row>
    <row r="12" spans="1:8" ht="20.399999999999999" x14ac:dyDescent="0.2">
      <c r="A12" s="27" t="s">
        <v>710</v>
      </c>
      <c r="B12" s="52" t="s">
        <v>709</v>
      </c>
      <c r="C12" s="31">
        <v>177292.25099999999</v>
      </c>
      <c r="D12" s="29">
        <v>0</v>
      </c>
      <c r="E12" s="29">
        <v>0</v>
      </c>
    </row>
    <row r="13" spans="1:8" x14ac:dyDescent="0.2">
      <c r="A13" s="26" t="s">
        <v>35</v>
      </c>
      <c r="B13" s="26"/>
      <c r="C13" s="32"/>
      <c r="D13" s="33">
        <f>SUM(D6:D12)</f>
        <v>596.59245980000003</v>
      </c>
      <c r="E13" s="34">
        <f>SUM(E6:E12)</f>
        <v>98.793056748075173</v>
      </c>
      <c r="F13" s="18"/>
      <c r="G13" s="18"/>
      <c r="H13" s="18"/>
    </row>
    <row r="14" spans="1:8" x14ac:dyDescent="0.2">
      <c r="A14" s="27"/>
      <c r="B14" s="27"/>
      <c r="C14" s="28"/>
      <c r="D14" s="29"/>
      <c r="E14" s="30"/>
    </row>
    <row r="15" spans="1:8" x14ac:dyDescent="0.2">
      <c r="A15" s="26" t="s">
        <v>37</v>
      </c>
      <c r="B15" s="26"/>
      <c r="C15" s="32"/>
      <c r="D15" s="33">
        <f>D13</f>
        <v>596.59245980000003</v>
      </c>
      <c r="E15" s="34">
        <f>E13</f>
        <v>98.793056748075173</v>
      </c>
      <c r="F15" s="18"/>
      <c r="G15" s="18"/>
      <c r="H15" s="18"/>
    </row>
    <row r="16" spans="1:8" x14ac:dyDescent="0.2">
      <c r="A16" s="26"/>
      <c r="B16" s="26"/>
      <c r="C16" s="32"/>
      <c r="D16" s="33"/>
      <c r="E16" s="34"/>
      <c r="F16" s="18"/>
      <c r="G16" s="18"/>
      <c r="H16" s="18"/>
    </row>
    <row r="17" spans="1:8" x14ac:dyDescent="0.2">
      <c r="A17" s="26" t="s">
        <v>39</v>
      </c>
      <c r="B17" s="26"/>
      <c r="C17" s="32"/>
      <c r="D17" s="33">
        <f>D19-(D13)</f>
        <v>7.288500499999941</v>
      </c>
      <c r="E17" s="34">
        <f>E19-(E13)</f>
        <v>1.2069432519248267</v>
      </c>
      <c r="F17" s="18"/>
      <c r="G17" s="18"/>
      <c r="H17" s="18"/>
    </row>
    <row r="18" spans="1:8" x14ac:dyDescent="0.2">
      <c r="A18" s="26"/>
      <c r="B18" s="26"/>
      <c r="C18" s="32"/>
      <c r="D18" s="33"/>
      <c r="E18" s="34"/>
      <c r="F18" s="18"/>
      <c r="G18" s="18"/>
      <c r="H18" s="18"/>
    </row>
    <row r="19" spans="1:8" x14ac:dyDescent="0.2">
      <c r="A19" s="35" t="s">
        <v>38</v>
      </c>
      <c r="B19" s="35"/>
      <c r="C19" s="36"/>
      <c r="D19" s="37">
        <v>603.88096029999997</v>
      </c>
      <c r="E19" s="38">
        <v>100</v>
      </c>
      <c r="F19" s="18"/>
      <c r="G19" s="18"/>
      <c r="H19" s="18"/>
    </row>
    <row r="21" spans="1:8" x14ac:dyDescent="0.2">
      <c r="A21" s="18" t="s">
        <v>745</v>
      </c>
    </row>
    <row r="22" spans="1:8" ht="25.5" customHeight="1" x14ac:dyDescent="0.3">
      <c r="A22" s="88" t="s">
        <v>746</v>
      </c>
      <c r="B22" s="89"/>
      <c r="C22" s="89"/>
      <c r="D22" s="89"/>
      <c r="E22" s="89"/>
    </row>
    <row r="24" spans="1:8" x14ac:dyDescent="0.2">
      <c r="A24" s="18" t="s">
        <v>41</v>
      </c>
    </row>
    <row r="25" spans="1:8" x14ac:dyDescent="0.2">
      <c r="A25" s="18" t="s">
        <v>42</v>
      </c>
    </row>
    <row r="26" spans="1:8" x14ac:dyDescent="0.2">
      <c r="A26" s="18" t="s">
        <v>43</v>
      </c>
      <c r="B26" s="18"/>
      <c r="C26" s="39" t="s">
        <v>45</v>
      </c>
      <c r="D26" s="41" t="s">
        <v>44</v>
      </c>
    </row>
    <row r="27" spans="1:8" x14ac:dyDescent="0.2">
      <c r="A27" s="9" t="s">
        <v>90</v>
      </c>
      <c r="C27" s="40">
        <v>59.432200000000002</v>
      </c>
      <c r="D27" s="40">
        <v>72.052199999999999</v>
      </c>
    </row>
    <row r="28" spans="1:8" x14ac:dyDescent="0.2">
      <c r="A28" s="9" t="s">
        <v>702</v>
      </c>
      <c r="C28" s="40">
        <v>19.293900000000001</v>
      </c>
      <c r="D28" s="40">
        <v>23.390799999999999</v>
      </c>
    </row>
    <row r="29" spans="1:8" x14ac:dyDescent="0.2">
      <c r="A29" s="9" t="s">
        <v>91</v>
      </c>
      <c r="C29" s="40">
        <v>62.2851</v>
      </c>
      <c r="D29" s="40">
        <v>75.704700000000003</v>
      </c>
    </row>
    <row r="30" spans="1:8" x14ac:dyDescent="0.2">
      <c r="A30" s="9" t="s">
        <v>703</v>
      </c>
      <c r="C30" s="40">
        <v>20.546800000000001</v>
      </c>
      <c r="D30" s="40">
        <v>24.9648</v>
      </c>
    </row>
    <row r="32" spans="1:8" x14ac:dyDescent="0.2">
      <c r="A32" s="9" t="s">
        <v>46</v>
      </c>
    </row>
    <row r="34" spans="1:4" x14ac:dyDescent="0.2">
      <c r="A34" s="18" t="s">
        <v>47</v>
      </c>
      <c r="D34" s="41" t="s">
        <v>48</v>
      </c>
    </row>
    <row r="36" spans="1:4" x14ac:dyDescent="0.2">
      <c r="A36" s="18" t="s">
        <v>220</v>
      </c>
      <c r="D36" s="45">
        <v>0.25209999999999999</v>
      </c>
    </row>
    <row r="38" spans="1:4" x14ac:dyDescent="0.2">
      <c r="A38" s="18" t="s">
        <v>734</v>
      </c>
      <c r="D38" s="41">
        <v>1</v>
      </c>
    </row>
    <row r="39" spans="1:4" x14ac:dyDescent="0.2">
      <c r="A39" s="9" t="s">
        <v>729</v>
      </c>
    </row>
    <row r="40" spans="1:4" x14ac:dyDescent="0.2">
      <c r="A40" s="50" t="s">
        <v>730</v>
      </c>
    </row>
    <row r="42" spans="1:4" x14ac:dyDescent="0.2">
      <c r="A42" s="18" t="s">
        <v>735</v>
      </c>
    </row>
    <row r="43" spans="1:4" x14ac:dyDescent="0.2">
      <c r="A43" s="50" t="s">
        <v>50</v>
      </c>
    </row>
  </sheetData>
  <mergeCells count="2">
    <mergeCell ref="A1:E1"/>
    <mergeCell ref="A22:E22"/>
  </mergeCells>
  <conditionalFormatting sqref="E5:E10 E13:E19">
    <cfRule type="cellIs" dxfId="3" priority="1" stopIfTrue="1" operator="between">
      <formula>0.009</formula>
      <formula>-0.009</formula>
    </cfRule>
  </conditionalFormatting>
  <hyperlinks>
    <hyperlink ref="A43" r:id="rId1" xr:uid="{00000000-0004-0000-3100-000000000000}"/>
    <hyperlink ref="A40" r:id="rId2" xr:uid="{00000000-0004-0000-31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H43"/>
  <sheetViews>
    <sheetView workbookViewId="0">
      <selection sqref="A1:E1"/>
    </sheetView>
  </sheetViews>
  <sheetFormatPr defaultColWidth="9.109375" defaultRowHeight="10.199999999999999" x14ac:dyDescent="0.2"/>
  <cols>
    <col min="1" max="1" width="32.44140625" style="9" bestFit="1" customWidth="1"/>
    <col min="2" max="2" width="50.6640625" style="9" customWidth="1"/>
    <col min="3" max="3" width="15.33203125" style="9" bestFit="1" customWidth="1"/>
    <col min="4" max="4" width="23" style="10" bestFit="1" customWidth="1"/>
    <col min="5" max="5" width="13.5546875" style="13" customWidth="1"/>
    <col min="6" max="16384" width="9.109375" style="9"/>
  </cols>
  <sheetData>
    <row r="1" spans="1:8" s="1" customFormat="1" ht="13.8" x14ac:dyDescent="0.2">
      <c r="A1" s="79" t="s">
        <v>29</v>
      </c>
      <c r="B1" s="80"/>
      <c r="C1" s="80"/>
      <c r="D1" s="80"/>
      <c r="E1" s="80"/>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36</v>
      </c>
      <c r="B5" s="22"/>
      <c r="C5" s="23"/>
      <c r="D5" s="24"/>
      <c r="E5" s="25"/>
    </row>
    <row r="6" spans="1:8" x14ac:dyDescent="0.2">
      <c r="A6" s="27" t="s">
        <v>688</v>
      </c>
      <c r="B6" s="52" t="s">
        <v>687</v>
      </c>
      <c r="C6" s="31">
        <v>97925.214000000007</v>
      </c>
      <c r="D6" s="29">
        <v>684.43751150000003</v>
      </c>
      <c r="E6" s="30">
        <v>49.142507580960299</v>
      </c>
    </row>
    <row r="7" spans="1:8" x14ac:dyDescent="0.2">
      <c r="A7" s="27" t="s">
        <v>705</v>
      </c>
      <c r="B7" s="52" t="s">
        <v>704</v>
      </c>
      <c r="C7" s="31">
        <v>307596.52799999999</v>
      </c>
      <c r="D7" s="29">
        <v>254.3672564</v>
      </c>
      <c r="E7" s="30">
        <v>18.263529710096901</v>
      </c>
    </row>
    <row r="8" spans="1:8" x14ac:dyDescent="0.2">
      <c r="A8" s="27" t="s">
        <v>712</v>
      </c>
      <c r="B8" s="52" t="s">
        <v>711</v>
      </c>
      <c r="C8" s="31">
        <v>13796.294</v>
      </c>
      <c r="D8" s="29">
        <v>208.20632939999999</v>
      </c>
      <c r="E8" s="30">
        <v>14.9491822833025</v>
      </c>
    </row>
    <row r="9" spans="1:8" x14ac:dyDescent="0.2">
      <c r="A9" s="27" t="s">
        <v>701</v>
      </c>
      <c r="B9" s="52" t="s">
        <v>700</v>
      </c>
      <c r="C9" s="31">
        <v>54665.052000000003</v>
      </c>
      <c r="D9" s="29">
        <v>206.5133055</v>
      </c>
      <c r="E9" s="30">
        <v>14.827623428852499</v>
      </c>
    </row>
    <row r="10" spans="1:8" ht="20.399999999999999" x14ac:dyDescent="0.2">
      <c r="A10" s="27" t="s">
        <v>706</v>
      </c>
      <c r="B10" s="52" t="s">
        <v>747</v>
      </c>
      <c r="C10" s="31">
        <v>49196.983</v>
      </c>
      <c r="D10" s="29">
        <v>20.151871400000001</v>
      </c>
      <c r="E10" s="30">
        <v>1.4469012530810701</v>
      </c>
    </row>
    <row r="11" spans="1:8" ht="20.399999999999999" x14ac:dyDescent="0.2">
      <c r="A11" s="27" t="s">
        <v>708</v>
      </c>
      <c r="B11" s="52" t="s">
        <v>707</v>
      </c>
      <c r="C11" s="31">
        <v>167004.62</v>
      </c>
      <c r="D11" s="29">
        <v>0</v>
      </c>
      <c r="E11" s="29">
        <v>0</v>
      </c>
    </row>
    <row r="12" spans="1:8" ht="20.399999999999999" x14ac:dyDescent="0.2">
      <c r="A12" s="27" t="s">
        <v>710</v>
      </c>
      <c r="B12" s="52" t="s">
        <v>709</v>
      </c>
      <c r="C12" s="31">
        <v>147479.853</v>
      </c>
      <c r="D12" s="29">
        <v>0</v>
      </c>
      <c r="E12" s="29">
        <v>0</v>
      </c>
    </row>
    <row r="13" spans="1:8" x14ac:dyDescent="0.2">
      <c r="A13" s="26" t="s">
        <v>35</v>
      </c>
      <c r="B13" s="26"/>
      <c r="C13" s="32"/>
      <c r="D13" s="33">
        <f>SUM(D6:D12)</f>
        <v>1373.6762742000001</v>
      </c>
      <c r="E13" s="34">
        <f>SUM(E6:E12)</f>
        <v>98.629744256293279</v>
      </c>
      <c r="F13" s="18"/>
      <c r="G13" s="18"/>
      <c r="H13" s="18"/>
    </row>
    <row r="14" spans="1:8" x14ac:dyDescent="0.2">
      <c r="A14" s="27"/>
      <c r="B14" s="27"/>
      <c r="C14" s="28"/>
      <c r="D14" s="29"/>
      <c r="E14" s="30"/>
    </row>
    <row r="15" spans="1:8" x14ac:dyDescent="0.2">
      <c r="A15" s="26" t="s">
        <v>37</v>
      </c>
      <c r="B15" s="26"/>
      <c r="C15" s="32"/>
      <c r="D15" s="33">
        <f>D13</f>
        <v>1373.6762742000001</v>
      </c>
      <c r="E15" s="34">
        <f>E13</f>
        <v>98.629744256293279</v>
      </c>
      <c r="F15" s="18"/>
      <c r="G15" s="18"/>
      <c r="H15" s="18"/>
    </row>
    <row r="16" spans="1:8" x14ac:dyDescent="0.2">
      <c r="A16" s="26"/>
      <c r="B16" s="26"/>
      <c r="C16" s="32"/>
      <c r="D16" s="33"/>
      <c r="E16" s="34"/>
      <c r="F16" s="18"/>
      <c r="G16" s="18"/>
      <c r="H16" s="18"/>
    </row>
    <row r="17" spans="1:8" x14ac:dyDescent="0.2">
      <c r="A17" s="26" t="s">
        <v>39</v>
      </c>
      <c r="B17" s="26"/>
      <c r="C17" s="32"/>
      <c r="D17" s="33">
        <f>D19-(D13)</f>
        <v>19.08438289999981</v>
      </c>
      <c r="E17" s="34">
        <f>E19-(E13)</f>
        <v>1.3702557437067213</v>
      </c>
      <c r="F17" s="18"/>
      <c r="G17" s="18"/>
      <c r="H17" s="18"/>
    </row>
    <row r="18" spans="1:8" x14ac:dyDescent="0.2">
      <c r="A18" s="26"/>
      <c r="B18" s="26"/>
      <c r="C18" s="32"/>
      <c r="D18" s="33"/>
      <c r="E18" s="34"/>
      <c r="F18" s="18"/>
      <c r="G18" s="18"/>
      <c r="H18" s="18"/>
    </row>
    <row r="19" spans="1:8" x14ac:dyDescent="0.2">
      <c r="A19" s="35" t="s">
        <v>38</v>
      </c>
      <c r="B19" s="35"/>
      <c r="C19" s="36"/>
      <c r="D19" s="37">
        <v>1392.7606570999999</v>
      </c>
      <c r="E19" s="38">
        <v>100</v>
      </c>
      <c r="F19" s="18"/>
      <c r="G19" s="18"/>
      <c r="H19" s="18"/>
    </row>
    <row r="21" spans="1:8" x14ac:dyDescent="0.2">
      <c r="A21" s="18" t="s">
        <v>745</v>
      </c>
    </row>
    <row r="22" spans="1:8" ht="24.75" customHeight="1" x14ac:dyDescent="0.3">
      <c r="A22" s="88" t="s">
        <v>746</v>
      </c>
      <c r="B22" s="89"/>
      <c r="C22" s="89"/>
      <c r="D22" s="89"/>
      <c r="E22" s="89"/>
    </row>
    <row r="23" spans="1:8" s="53" customFormat="1" x14ac:dyDescent="0.2">
      <c r="D23" s="54"/>
      <c r="E23" s="55"/>
    </row>
    <row r="24" spans="1:8" x14ac:dyDescent="0.2">
      <c r="A24" s="18" t="s">
        <v>41</v>
      </c>
    </row>
    <row r="25" spans="1:8" x14ac:dyDescent="0.2">
      <c r="A25" s="18" t="s">
        <v>42</v>
      </c>
    </row>
    <row r="26" spans="1:8" x14ac:dyDescent="0.2">
      <c r="A26" s="18" t="s">
        <v>43</v>
      </c>
      <c r="B26" s="18"/>
      <c r="C26" s="39" t="s">
        <v>45</v>
      </c>
      <c r="D26" s="41" t="s">
        <v>44</v>
      </c>
    </row>
    <row r="27" spans="1:8" x14ac:dyDescent="0.2">
      <c r="A27" s="9" t="s">
        <v>70</v>
      </c>
      <c r="C27" s="40">
        <v>89.255099999999999</v>
      </c>
      <c r="D27" s="40">
        <v>108.5219</v>
      </c>
    </row>
    <row r="28" spans="1:8" x14ac:dyDescent="0.2">
      <c r="A28" s="9" t="s">
        <v>76</v>
      </c>
      <c r="C28" s="40">
        <v>26.848600000000001</v>
      </c>
      <c r="D28" s="40">
        <v>32.644199999999998</v>
      </c>
    </row>
    <row r="29" spans="1:8" x14ac:dyDescent="0.2">
      <c r="A29" s="9" t="s">
        <v>73</v>
      </c>
      <c r="C29" s="40">
        <v>92.723600000000005</v>
      </c>
      <c r="D29" s="40">
        <v>113.0027</v>
      </c>
    </row>
    <row r="30" spans="1:8" x14ac:dyDescent="0.2">
      <c r="A30" s="9" t="s">
        <v>77</v>
      </c>
      <c r="C30" s="40">
        <v>28.24</v>
      </c>
      <c r="D30" s="40">
        <v>34.406300000000002</v>
      </c>
    </row>
    <row r="32" spans="1:8" x14ac:dyDescent="0.2">
      <c r="A32" s="9" t="s">
        <v>46</v>
      </c>
    </row>
    <row r="34" spans="1:4" x14ac:dyDescent="0.2">
      <c r="A34" s="18" t="s">
        <v>47</v>
      </c>
      <c r="D34" s="41" t="s">
        <v>48</v>
      </c>
    </row>
    <row r="36" spans="1:4" x14ac:dyDescent="0.2">
      <c r="A36" s="18" t="s">
        <v>220</v>
      </c>
      <c r="D36" s="45">
        <v>0.14910000000000001</v>
      </c>
    </row>
    <row r="38" spans="1:4" x14ac:dyDescent="0.2">
      <c r="A38" s="18" t="s">
        <v>734</v>
      </c>
      <c r="D38" s="41">
        <v>1</v>
      </c>
    </row>
    <row r="39" spans="1:4" x14ac:dyDescent="0.2">
      <c r="A39" s="9" t="s">
        <v>729</v>
      </c>
    </row>
    <row r="40" spans="1:4" x14ac:dyDescent="0.2">
      <c r="A40" s="50" t="s">
        <v>730</v>
      </c>
    </row>
    <row r="42" spans="1:4" x14ac:dyDescent="0.2">
      <c r="A42" s="18" t="s">
        <v>735</v>
      </c>
    </row>
    <row r="43" spans="1:4" x14ac:dyDescent="0.2">
      <c r="A43" s="50" t="s">
        <v>50</v>
      </c>
    </row>
  </sheetData>
  <mergeCells count="2">
    <mergeCell ref="A1:E1"/>
    <mergeCell ref="A22:E22"/>
  </mergeCells>
  <conditionalFormatting sqref="E5:E10 E13:E19">
    <cfRule type="cellIs" dxfId="2" priority="1" stopIfTrue="1" operator="between">
      <formula>0.009</formula>
      <formula>-0.009</formula>
    </cfRule>
  </conditionalFormatting>
  <hyperlinks>
    <hyperlink ref="A43" r:id="rId1" xr:uid="{00000000-0004-0000-3200-000000000000}"/>
    <hyperlink ref="A40" r:id="rId2" xr:uid="{00000000-0004-0000-32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43"/>
  <sheetViews>
    <sheetView workbookViewId="0">
      <selection sqref="A1:E1"/>
    </sheetView>
  </sheetViews>
  <sheetFormatPr defaultColWidth="9.109375" defaultRowHeight="10.199999999999999" x14ac:dyDescent="0.2"/>
  <cols>
    <col min="1" max="1" width="32.44140625" style="9" bestFit="1" customWidth="1"/>
    <col min="2" max="2" width="50.6640625" style="9" customWidth="1"/>
    <col min="3" max="3" width="24.6640625" style="9" bestFit="1" customWidth="1"/>
    <col min="4" max="4" width="23" style="10" bestFit="1" customWidth="1"/>
    <col min="5" max="5" width="13.5546875" style="13" customWidth="1"/>
    <col min="6" max="16384" width="9.109375" style="9"/>
  </cols>
  <sheetData>
    <row r="1" spans="1:8" s="1" customFormat="1" ht="13.8" x14ac:dyDescent="0.2">
      <c r="A1" s="79" t="s">
        <v>30</v>
      </c>
      <c r="B1" s="80"/>
      <c r="C1" s="80"/>
      <c r="D1" s="80"/>
      <c r="E1" s="80"/>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36</v>
      </c>
      <c r="B5" s="22"/>
      <c r="C5" s="23"/>
      <c r="D5" s="24"/>
      <c r="E5" s="25"/>
    </row>
    <row r="6" spans="1:8" ht="20.399999999999999" x14ac:dyDescent="0.2">
      <c r="A6" s="27" t="s">
        <v>714</v>
      </c>
      <c r="B6" s="52" t="s">
        <v>713</v>
      </c>
      <c r="C6" s="31">
        <v>5360026.8600000003</v>
      </c>
      <c r="D6" s="29">
        <v>48835.762159999998</v>
      </c>
      <c r="E6" s="30">
        <v>46.000526523311699</v>
      </c>
    </row>
    <row r="7" spans="1:8" ht="20.399999999999999" x14ac:dyDescent="0.2">
      <c r="A7" s="27" t="s">
        <v>693</v>
      </c>
      <c r="B7" s="52" t="s">
        <v>744</v>
      </c>
      <c r="C7" s="31">
        <v>361209.239</v>
      </c>
      <c r="D7" s="29">
        <v>8927.0324120000005</v>
      </c>
      <c r="E7" s="30">
        <v>8.4087597506365892</v>
      </c>
    </row>
    <row r="8" spans="1:8" ht="20.399999999999999" x14ac:dyDescent="0.2">
      <c r="A8" s="27" t="s">
        <v>695</v>
      </c>
      <c r="B8" s="52" t="s">
        <v>694</v>
      </c>
      <c r="C8" s="31">
        <v>1370528.45</v>
      </c>
      <c r="D8" s="29">
        <v>1.3705284499999999E-3</v>
      </c>
      <c r="E8" s="30">
        <v>1.2909603029973099E-6</v>
      </c>
    </row>
    <row r="9" spans="1:8" ht="20.399999999999999" x14ac:dyDescent="0.2">
      <c r="A9" s="27" t="s">
        <v>697</v>
      </c>
      <c r="B9" s="52" t="s">
        <v>696</v>
      </c>
      <c r="C9" s="31">
        <v>1235134.5419999999</v>
      </c>
      <c r="D9" s="29">
        <v>1.2351345419999999E-3</v>
      </c>
      <c r="E9" s="30">
        <v>1.16342689754654E-6</v>
      </c>
    </row>
    <row r="10" spans="1:8" x14ac:dyDescent="0.2">
      <c r="A10" s="26" t="s">
        <v>35</v>
      </c>
      <c r="B10" s="26"/>
      <c r="C10" s="32"/>
      <c r="D10" s="33">
        <f>SUM(D6:D9)</f>
        <v>57762.797177662993</v>
      </c>
      <c r="E10" s="34">
        <f>SUM(E6:E9)</f>
        <v>54.40928872833549</v>
      </c>
      <c r="F10" s="18"/>
      <c r="G10" s="18"/>
      <c r="H10" s="18"/>
    </row>
    <row r="11" spans="1:8" x14ac:dyDescent="0.2">
      <c r="A11" s="27"/>
      <c r="B11" s="27"/>
      <c r="C11" s="28"/>
      <c r="D11" s="29"/>
      <c r="E11" s="30"/>
    </row>
    <row r="12" spans="1:8" x14ac:dyDescent="0.2">
      <c r="A12" s="26" t="s">
        <v>37</v>
      </c>
      <c r="B12" s="26"/>
      <c r="C12" s="32"/>
      <c r="D12" s="33">
        <f>D10</f>
        <v>57762.797177662993</v>
      </c>
      <c r="E12" s="34">
        <f>E10</f>
        <v>54.40928872833549</v>
      </c>
      <c r="F12" s="18"/>
      <c r="G12" s="18"/>
      <c r="H12" s="18"/>
    </row>
    <row r="13" spans="1:8" x14ac:dyDescent="0.2">
      <c r="A13" s="26"/>
      <c r="B13" s="26"/>
      <c r="C13" s="32"/>
      <c r="D13" s="33"/>
      <c r="E13" s="34"/>
      <c r="F13" s="18"/>
      <c r="G13" s="18"/>
      <c r="H13" s="18"/>
    </row>
    <row r="14" spans="1:8" x14ac:dyDescent="0.2">
      <c r="A14" s="26" t="s">
        <v>39</v>
      </c>
      <c r="B14" s="26"/>
      <c r="C14" s="32"/>
      <c r="D14" s="33">
        <f>D16-(D10)</f>
        <v>48400.688006037009</v>
      </c>
      <c r="E14" s="34">
        <f>E16-(E10)</f>
        <v>45.59071127166451</v>
      </c>
      <c r="F14" s="18"/>
      <c r="G14" s="18"/>
      <c r="H14" s="18"/>
    </row>
    <row r="15" spans="1:8" x14ac:dyDescent="0.2">
      <c r="A15" s="26"/>
      <c r="B15" s="26"/>
      <c r="C15" s="32"/>
      <c r="D15" s="33"/>
      <c r="E15" s="34"/>
      <c r="F15" s="18"/>
      <c r="G15" s="18"/>
      <c r="H15" s="18"/>
    </row>
    <row r="16" spans="1:8" x14ac:dyDescent="0.2">
      <c r="A16" s="35" t="s">
        <v>38</v>
      </c>
      <c r="B16" s="35"/>
      <c r="C16" s="36"/>
      <c r="D16" s="37">
        <v>106163.4851837</v>
      </c>
      <c r="E16" s="38">
        <v>100</v>
      </c>
      <c r="F16" s="18"/>
      <c r="G16" s="18"/>
      <c r="H16" s="18"/>
    </row>
    <row r="18" spans="1:5" x14ac:dyDescent="0.2">
      <c r="A18" s="18" t="s">
        <v>745</v>
      </c>
      <c r="C18" s="10"/>
      <c r="D18" s="13"/>
      <c r="E18" s="14"/>
    </row>
    <row r="19" spans="1:5" ht="26.25" customHeight="1" x14ac:dyDescent="0.3">
      <c r="A19" s="88" t="s">
        <v>746</v>
      </c>
      <c r="B19" s="89"/>
      <c r="C19" s="89"/>
      <c r="D19" s="89"/>
      <c r="E19" s="89"/>
    </row>
    <row r="21" spans="1:5" x14ac:dyDescent="0.2">
      <c r="A21" s="18" t="s">
        <v>41</v>
      </c>
    </row>
    <row r="22" spans="1:5" x14ac:dyDescent="0.2">
      <c r="A22" s="18" t="s">
        <v>42</v>
      </c>
    </row>
    <row r="23" spans="1:5" x14ac:dyDescent="0.2">
      <c r="A23" s="18" t="s">
        <v>43</v>
      </c>
      <c r="B23" s="18"/>
      <c r="C23" s="39" t="s">
        <v>45</v>
      </c>
      <c r="D23" s="41" t="s">
        <v>44</v>
      </c>
    </row>
    <row r="24" spans="1:5" x14ac:dyDescent="0.2">
      <c r="A24" s="9" t="s">
        <v>70</v>
      </c>
      <c r="C24" s="40">
        <v>79.5428</v>
      </c>
      <c r="D24" s="40">
        <v>96.331100000000006</v>
      </c>
    </row>
    <row r="25" spans="1:5" x14ac:dyDescent="0.2">
      <c r="A25" s="9" t="s">
        <v>76</v>
      </c>
      <c r="C25" s="40">
        <v>30.330400000000001</v>
      </c>
      <c r="D25" s="40">
        <v>35.014200000000002</v>
      </c>
    </row>
    <row r="26" spans="1:5" x14ac:dyDescent="0.2">
      <c r="A26" s="9" t="s">
        <v>73</v>
      </c>
      <c r="C26" s="40">
        <v>86.106399999999994</v>
      </c>
      <c r="D26" s="40">
        <v>104.8351</v>
      </c>
    </row>
    <row r="27" spans="1:5" x14ac:dyDescent="0.2">
      <c r="A27" s="9" t="s">
        <v>77</v>
      </c>
      <c r="C27" s="40">
        <v>33.886299999999999</v>
      </c>
      <c r="D27" s="40">
        <v>39.532699999999998</v>
      </c>
    </row>
    <row r="29" spans="1:5" x14ac:dyDescent="0.2">
      <c r="A29" s="18" t="s">
        <v>47</v>
      </c>
    </row>
    <row r="30" spans="1:5" x14ac:dyDescent="0.2">
      <c r="A30" s="81" t="s">
        <v>67</v>
      </c>
      <c r="B30" s="82"/>
      <c r="C30" s="43" t="s">
        <v>68</v>
      </c>
    </row>
    <row r="31" spans="1:5" x14ac:dyDescent="0.2">
      <c r="A31" s="77" t="s">
        <v>76</v>
      </c>
      <c r="B31" s="78"/>
      <c r="C31" s="44">
        <v>1.5</v>
      </c>
    </row>
    <row r="32" spans="1:5" x14ac:dyDescent="0.2">
      <c r="A32" s="77" t="s">
        <v>77</v>
      </c>
      <c r="B32" s="78"/>
      <c r="C32" s="44">
        <v>1.5</v>
      </c>
    </row>
    <row r="33" spans="1:4" x14ac:dyDescent="0.2">
      <c r="A33" s="9" t="s">
        <v>69</v>
      </c>
    </row>
    <row r="34" spans="1:4" x14ac:dyDescent="0.2">
      <c r="A34" s="9" t="s">
        <v>46</v>
      </c>
    </row>
    <row r="36" spans="1:4" x14ac:dyDescent="0.2">
      <c r="A36" s="18" t="s">
        <v>220</v>
      </c>
      <c r="D36" s="45">
        <v>0.1167</v>
      </c>
    </row>
    <row r="38" spans="1:4" x14ac:dyDescent="0.2">
      <c r="A38" s="18" t="s">
        <v>734</v>
      </c>
      <c r="D38" s="41">
        <v>1</v>
      </c>
    </row>
    <row r="39" spans="1:4" x14ac:dyDescent="0.2">
      <c r="A39" s="9" t="s">
        <v>729</v>
      </c>
    </row>
    <row r="40" spans="1:4" x14ac:dyDescent="0.2">
      <c r="A40" s="50" t="s">
        <v>730</v>
      </c>
    </row>
    <row r="42" spans="1:4" x14ac:dyDescent="0.2">
      <c r="A42" s="18" t="s">
        <v>735</v>
      </c>
    </row>
    <row r="43" spans="1:4" x14ac:dyDescent="0.2">
      <c r="A43" s="50" t="s">
        <v>50</v>
      </c>
    </row>
  </sheetData>
  <mergeCells count="5">
    <mergeCell ref="A1:E1"/>
    <mergeCell ref="A30:B30"/>
    <mergeCell ref="A31:B31"/>
    <mergeCell ref="A32:B32"/>
    <mergeCell ref="A19:E19"/>
  </mergeCells>
  <conditionalFormatting sqref="E5:E16">
    <cfRule type="cellIs" dxfId="1" priority="2" stopIfTrue="1" operator="between">
      <formula>0.009</formula>
      <formula>-0.009</formula>
    </cfRule>
  </conditionalFormatting>
  <conditionalFormatting sqref="E18">
    <cfRule type="cellIs" dxfId="0" priority="1" stopIfTrue="1" operator="between">
      <formula>0.009</formula>
      <formula>-0.009</formula>
    </cfRule>
  </conditionalFormatting>
  <hyperlinks>
    <hyperlink ref="A43" r:id="rId1" xr:uid="{00000000-0004-0000-3300-000000000000}"/>
    <hyperlink ref="A40" r:id="rId2" xr:uid="{00000000-0004-0000-33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FILF</vt:lpstr>
      <vt:lpstr>FIONF</vt:lpstr>
      <vt:lpstr>FISF</vt:lpstr>
      <vt:lpstr>FIFRF</vt:lpstr>
      <vt:lpstr>FICDF</vt:lpstr>
      <vt:lpstr>FBPF</vt:lpstr>
      <vt:lpstr>FIGSF</vt:lpstr>
      <vt:lpstr>FMPS6C</vt:lpstr>
      <vt:lpstr>FMPS5F</vt:lpstr>
      <vt:lpstr>FMPS5E</vt:lpstr>
      <vt:lpstr>FMPS5D</vt:lpstr>
      <vt:lpstr>FMPS5C</vt:lpstr>
      <vt:lpstr>FMPS5B</vt:lpstr>
      <vt:lpstr>FMPS5A</vt:lpstr>
      <vt:lpstr>FMPS4F</vt:lpstr>
      <vt:lpstr>FMPS4E</vt:lpstr>
      <vt:lpstr>FMPS4D</vt:lpstr>
      <vt:lpstr>FMPS4C</vt:lpstr>
      <vt:lpstr>FMPS4B</vt:lpstr>
      <vt:lpstr>FIPP</vt:lpstr>
      <vt:lpstr>FIDHY</vt:lpstr>
      <vt:lpstr>FIDA</vt:lpstr>
      <vt:lpstr>FILDF</vt:lpstr>
      <vt:lpstr>FISTIP</vt:lpstr>
      <vt:lpstr>FIUBF</vt:lpstr>
      <vt:lpstr>FIIOF</vt:lpstr>
      <vt:lpstr>FICRF</vt:lpstr>
      <vt:lpstr>FIESF</vt:lpstr>
      <vt:lpstr>FIEHF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30 June 2021</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2021-07-09T04:47:16Z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2021-07-07T10:31:16Z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9ba7165b-be7e-4797-9ea1-b4cb3fe2fc7b</vt:lpwstr>
  </property>
  <property fmtid="{D5CDD505-2E9C-101B-9397-08002B2CF9AE}" pid="10" name="MSIP_Label_3486a02c-2dfb-4efe-823f-aa2d1f0e6ab7_ContentBits">
    <vt:lpwstr>2</vt:lpwstr>
  </property>
  <property fmtid="{D5CDD505-2E9C-101B-9397-08002B2CF9AE}" pid="11" name="Classification">
    <vt:lpwstr>PUBLIC</vt:lpwstr>
  </property>
</Properties>
</file>